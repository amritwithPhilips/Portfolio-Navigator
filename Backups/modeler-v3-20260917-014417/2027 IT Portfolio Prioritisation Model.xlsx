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4e51cb85324a49" /></Relationships>
</file>

<file path=xl/workbook.xml><?xml version="1.0" encoding="utf-8"?>
<x:workbook xmlns:x="http://schemas.openxmlformats.org/spreadsheetml/2006/main">
  <x:sheets>
    <x:sheet xmlns:r="http://schemas.openxmlformats.org/officeDocument/2006/relationships" name="Executive Summary" sheetId="1" r:id="R29ee4feb74ec4d7b"/>
    <x:sheet xmlns:r="http://schemas.openxmlformats.org/officeDocument/2006/relationships" name="Scenario Controls" sheetId="2" r:id="Ra284e5ff8b2247dd"/>
    <x:sheet xmlns:r="http://schemas.openxmlformats.org/officeDocument/2006/relationships" name="Portfolio Model" sheetId="3" r:id="R8ac550113f3544e0"/>
    <x:sheet xmlns:r="http://schemas.openxmlformats.org/officeDocument/2006/relationships" name="BU Conference" sheetId="4" r:id="R6e1744bbbf354943"/>
    <x:sheet xmlns:r="http://schemas.openxmlformats.org/officeDocument/2006/relationships" name="EW Conference" sheetId="5" r:id="Rbbb96f1012804b7b"/>
    <x:sheet xmlns:r="http://schemas.openxmlformats.org/officeDocument/2006/relationships" name="Source Data" sheetId="6" r:id="Rb019931b44464126"/>
    <x:sheet xmlns:r="http://schemas.openxmlformats.org/officeDocument/2006/relationships" name="Scoring &amp; Rules" sheetId="7" r:id="R3364c027b4974059"/>
    <x:sheet xmlns:r="http://schemas.openxmlformats.org/officeDocument/2006/relationships" name="Checks &amp; Sources" sheetId="8" r:id="R1f978dbb7a454a1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quot; M€&quot;"/>
    <x:numFmt numFmtId="201" formatCode="0.0%"/>
    <x:numFmt numFmtId="202" formatCode="0.00x"/>
    <x:numFmt numFmtId="203" formatCode="0.0"/>
  </x:numFmts>
  <x:fonts count="7">
    <x:font>
      <x:sz val="11"/>
      <x:name val="Carlito"/>
    </x:font>
    <x:font>
      <x:b/>
      <x:sz val="19"/>
      <x:color rgb="FFFFFFFF"/>
      <x:name val="Arial"/>
    </x:font>
    <x:font>
      <x:sz val="10"/>
      <x:color rgb="FF0B1F3A"/>
      <x:name val="Arial"/>
    </x:font>
    <x:font>
      <x:b/>
      <x:sz val="10"/>
      <x:color rgb="FFFFFFFF"/>
      <x:name val="Arial"/>
    </x:font>
    <x:font>
      <x:sz val="9"/>
      <x:color rgb="FF0B1F3A"/>
      <x:name val="Arial"/>
    </x:font>
    <x:font>
      <x:sz val="11"/>
      <x:name val="Arial"/>
    </x:font>
    <x:font>
      <x:b/>
      <x:sz val="16"/>
      <x:color rgb="FF0B1F3A"/>
      <x:name val="Arial"/>
    </x:font>
  </x:fonts>
  <x:fills count="8">
    <x:fill>
      <x:patternFill patternType="none"/>
    </x:fill>
    <x:fill>
      <x:patternFill patternType="gray125"/>
    </x:fill>
    <x:fill>
      <x:patternFill patternType="solid">
        <x:fgColor rgb="FF0B1F3A"/>
      </x:patternFill>
    </x:fill>
    <x:fill>
      <x:patternFill patternType="solid">
        <x:fgColor rgb="FFDDEBF7"/>
      </x:patternFill>
    </x:fill>
    <x:fill>
      <x:patternFill patternType="solid">
        <x:fgColor rgb="FF1473E6"/>
      </x:patternFill>
    </x:fill>
    <x:fill>
      <x:patternFill patternType="solid">
        <x:fgColor rgb="FFD9EAF7"/>
      </x:patternFill>
    </x:fill>
    <x:fill>
      <x:patternFill patternType="solid">
        <x:fgColor rgb="FFE9EEF4"/>
      </x:patternFill>
    </x:fill>
    <x:fill>
      <x:patternFill patternType="solid">
        <x:fgColor rgb="FFFFF2CC"/>
      </x:patternFill>
    </x:fill>
  </x:fills>
  <x:borders count="2">
    <x:border/>
    <x:border>
      <x:left style="thin">
        <x:color rgb="FFD9E1E8"/>
      </x:left>
      <x:right style="thin">
        <x:color rgb="FFD9E1E8"/>
      </x:right>
      <x:top style="thin">
        <x:color rgb="FFD9E1E8"/>
      </x:top>
      <x:bottom style="thin">
        <x:color rgb="FFD9E1E8"/>
      </x:bottom>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vertical="center"/>
    </x:xf>
    <x:xf numFmtId="0" fontId="4" fillId="5" borderId="1" xfId="0" applyNumberFormat="1" applyFont="1" applyFill="1" applyBorder="1" applyAlignment="1">
      <x:alignment vertical="center"/>
    </x:xf>
    <x:xf numFmtId="200" fontId="4" fillId="5" borderId="1" xfId="0" applyNumberFormat="1" applyFont="1" applyFill="1" applyBorder="1" applyAlignment="1">
      <x:alignment vertical="center"/>
    </x:xf>
    <x:xf numFmtId="201" fontId="4" fillId="5" borderId="1" xfId="0" applyNumberFormat="1" applyFont="1" applyFill="1" applyBorder="1" applyAlignment="1">
      <x:alignment vertical="center"/>
    </x:xf>
    <x:xf numFmtId="200" fontId="4" fillId="0" borderId="1" xfId="0" applyNumberFormat="1" applyFont="1" applyFill="1" applyBorder="1" applyAlignment="1">
      <x:alignment vertical="center"/>
    </x:xf>
    <x:xf numFmtId="0" fontId="4" fillId="6" borderId="1" xfId="0" applyNumberFormat="1" applyFont="1" applyFill="1" applyBorder="1" applyAlignment="1">
      <x:alignment vertical="center"/>
    </x:xf>
    <x:xf numFmtId="0" fontId="5" fillId="0" borderId="0" xfId="0" applyNumberFormat="1" applyFont="1" applyFill="1" applyBorder="1"/>
    <x:xf numFmtId="202" fontId="4" fillId="0" borderId="1" xfId="0" applyNumberFormat="1" applyFont="1" applyFill="1" applyBorder="1" applyAlignment="1">
      <x:alignment vertical="center"/>
    </x:xf>
    <x:xf numFmtId="203" fontId="4" fillId="0" borderId="1" xfId="0" applyNumberFormat="1" applyFont="1" applyFill="1" applyBorder="1" applyAlignment="1">
      <x:alignment vertical="center"/>
    </x:xf>
    <x:xf numFmtId="0" fontId="4" fillId="7" borderId="1" xfId="0" applyNumberFormat="1" applyFont="1" applyFill="1" applyBorder="1" applyAlignment="1">
      <x:alignment vertical="center"/>
    </x:xf>
    <x:xf numFmtId="200" fontId="6" fillId="0" borderId="1" xfId="0" applyNumberFormat="1" applyFont="1" applyFill="1" applyBorder="1" applyAlignment="1">
      <x:alignment vertical="center"/>
    </x:xf>
    <x:xf numFmtId="0" fontId="6" fillId="0"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a8825bdc434092" /><Relationship Type="http://schemas.openxmlformats.org/officeDocument/2006/relationships/theme" Target="/xl/theme/theme1.xml" Id="Ra9328a1c184e4d41" /><Relationship Type="http://schemas.openxmlformats.org/officeDocument/2006/relationships/sharedStrings" Target="/xl/sharedStrings.xml" Id="R45f131e85a6f4437" /><Relationship Type="http://schemas.openxmlformats.org/officeDocument/2006/relationships/worksheet" Target="/xl/worksheets/sheet1.xml" Id="R29ee4feb74ec4d7b" /><Relationship Type="http://schemas.openxmlformats.org/officeDocument/2006/relationships/worksheet" Target="/xl/worksheets/sheet2.xml" Id="Ra284e5ff8b2247dd" /><Relationship Type="http://schemas.openxmlformats.org/officeDocument/2006/relationships/worksheet" Target="/xl/worksheets/sheet3.xml" Id="R8ac550113f3544e0" /><Relationship Type="http://schemas.openxmlformats.org/officeDocument/2006/relationships/worksheet" Target="/xl/worksheets/sheet4.xml" Id="R6e1744bbbf354943" /><Relationship Type="http://schemas.openxmlformats.org/officeDocument/2006/relationships/worksheet" Target="/xl/worksheets/sheet5.xml" Id="Rbbb96f1012804b7b" /><Relationship Type="http://schemas.openxmlformats.org/officeDocument/2006/relationships/worksheet" Target="/xl/worksheets/sheet6.xml" Id="Rb019931b44464126" /><Relationship Type="http://schemas.openxmlformats.org/officeDocument/2006/relationships/worksheet" Target="/xl/worksheets/sheet7.xml" Id="R3364c027b4974059" /><Relationship Type="http://schemas.openxmlformats.org/officeDocument/2006/relationships/worksheet" Target="/xl/worksheets/sheet8.xml" Id="R1f978dbb7a454a10" /></Relationships>
</file>

<file path=xl/drawings/_rels/drawing1.xml.rels>&#65279;<?xml version="1.0" encoding="utf-8"?><Relationships xmlns="http://schemas.openxmlformats.org/package/2006/relationships"><Relationship Type="http://schemas.openxmlformats.org/officeDocument/2006/relationships/chart" Target="/xl/drawings/charts/chart1.xml" Id="R4e671ab9aaf24d1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Demand by Decision Bucket</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Demand M€</c:v>
          </c:tx>
          <c:cat>
            <c:strRef>
              <c:f>'Executive Summary'!$B$10:$B$14</c:f>
              <c:strCache>
                <c:ptCount val="0"/>
              </c:strCache>
            </c:strRef>
          </c:cat>
          <c:val>
            <c:numRef>
              <c:f>'Executive Summary'!$C$10:$C$14</c:f>
              <c:numCache>
                <c:formatCode>0.000" M€"</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 M€&quot;" sourceLinked="0"/>
        <c:majorTickMark val="none"/>
        <c:minorTickMark val="none"/>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3</xdr:row>
      <xdr:rowOff>0</xdr:rowOff>
    </xdr:from>
    <xdr:to>
      <xdr:col>16</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e671ab9aaf24d17"/>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53aeee72ab1463a" /></Relationships>
</file>

<file path=xl/worksheets/sheet1.xml><?xml version="1.0" encoding="utf-8"?>
<x:worksheet xmlns:x="http://schemas.openxmlformats.org/spreadsheetml/2006/main">
  <x:sheetPr>
    <x:tabColor rgb="FF0B1F3A"/>
  </x:sheetPr>
  <x:sheetViews>
    <x:sheetView showGridLines="0" workbookViewId="0">
      <x:pane ySplit="3" topLeftCell="A4" activePane="bottomLeft" state="frozen"/>
    </x:sheetView>
  </x:sheetViews>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ht="34" customHeight="1">
      <x:c r="A1" s="3" t="str">
        <x:v>2027 IT Portfolio Prioritisation Model</x:v>
      </x:c>
      <x:c r="B1" s="3"/>
      <x:c r="C1" s="3"/>
      <x:c r="D1" s="3"/>
      <x:c r="E1" s="3"/>
      <x:c r="F1" s="3"/>
      <x:c r="G1" s="3"/>
      <x:c r="H1" s="3"/>
      <x:c r="I1" s="3"/>
      <x:c r="J1" s="3"/>
    </x:row>
    <x:row r="2" ht="30" customHeight="1">
      <x:c r="A2" s="7" t="str">
        <x:v>Live scenario view based only on 15926_IT AOP2027 Demand.xlsx. Final conference selections may remain over budget with a visible variance.</x:v>
      </x:c>
      <x:c r="B2" s="7"/>
      <x:c r="C2" s="7"/>
      <x:c r="D2" s="7"/>
      <x:c r="E2" s="7"/>
      <x:c r="F2" s="7"/>
      <x:c r="G2" s="7"/>
      <x:c r="H2" s="7"/>
      <x:c r="I2" s="7"/>
      <x:c r="J2" s="7"/>
    </x:row>
    <x:row r="3">
      <x:c r="A3" s="21"/>
      <x:c r="B3" s="21"/>
      <x:c r="C3" s="21"/>
      <x:c r="D3" s="21"/>
      <x:c r="E3" s="21"/>
      <x:c r="F3" s="21"/>
      <x:c r="G3" s="21"/>
      <x:c r="H3" s="21"/>
      <x:c r="I3" s="21"/>
      <x:c r="J3" s="21"/>
    </x:row>
    <x:row r="4">
      <x:c r="A4" s="12" t="str">
        <x:v>Total Demand</x:v>
      </x:c>
      <x:c r="B4" s="12" t="str">
        <x:v>Total AOP</x:v>
      </x:c>
      <x:c r="C4" s="12" t="str">
        <x:v>Automatic Selected</x:v>
      </x:c>
      <x:c r="D4" s="12" t="str">
        <x:v>Final Selected</x:v>
      </x:c>
      <x:c r="E4" s="12" t="str">
        <x:v>Budget Variance</x:v>
      </x:c>
      <x:c r="F4" s="12" t="str">
        <x:v>Over Budget</x:v>
      </x:c>
      <x:c r="G4" s="12" t="str">
        <x:v>Funded Initiatives</x:v>
      </x:c>
      <x:c r="H4" s="12" t="str">
        <x:v>Evidence Missing</x:v>
      </x:c>
      <x:c r="I4" s="21"/>
      <x:c r="J4" s="21"/>
    </x:row>
    <x:row r="5">
      <x:c r="A5" s="25" t="n">
        <x:f>SUM('Portfolio Model'!$E$6:$E$514)</x:f>
        <x:v>279.5950000000003</x:v>
      </x:c>
      <x:c r="B5" s="25" t="n">
        <x:f>'Scenario Controls'!$B$6</x:f>
        <x:v>100</x:v>
      </x:c>
      <x:c r="C5" s="25" t="n">
        <x:f>SUM('Portfolio Model'!$Q$6:$Q$514)</x:f>
        <x:v>102.59200000000003</x:v>
      </x:c>
      <x:c r="D5" s="25" t="n">
        <x:f>SUM('Portfolio Model'!$T$6:$T$514)</x:f>
        <x:v>102.59200000000003</x:v>
      </x:c>
      <x:c r="E5" s="25" t="n">
        <x:f>B5-D5</x:f>
        <x:v>-2.592000000000027</x:v>
      </x:c>
      <x:c r="F5" s="25" t="n">
        <x:f>MAX(0,-E5)</x:f>
        <x:v>2.592000000000027</x:v>
      </x:c>
      <x:c r="G5" s="26" t="n">
        <x:f>COUNTIF('Portfolio Model'!$U$6:$U$514,"Funded")</x:f>
        <x:v>154</x:v>
      </x:c>
      <x:c r="H5" s="26" t="n">
        <x:f>COUNTIF('Portfolio Model'!$U$6:$U$514,"Evidence missing / not eligible")</x:f>
        <x:v>236</x:v>
      </x:c>
      <x:c r="I5" s="21"/>
      <x:c r="J5" s="21"/>
    </x:row>
    <x:row r="6">
      <x:c r="A6" s="15" t="str">
        <x:v>M€</x:v>
      </x:c>
      <x:c r="B6" s="15" t="str">
        <x:v>M€</x:v>
      </x:c>
      <x:c r="C6" s="15" t="str">
        <x:v>M€</x:v>
      </x:c>
      <x:c r="D6" s="15" t="str">
        <x:v>M€</x:v>
      </x:c>
      <x:c r="E6" s="15" t="str">
        <x:v>M€ (+ under / - over)</x:v>
      </x:c>
      <x:c r="F6" s="15" t="str">
        <x:v>M€</x:v>
      </x:c>
      <x:c r="G6" s="15" t="str">
        <x:v>count</x:v>
      </x:c>
      <x:c r="H6" s="15" t="str">
        <x:v>count</x:v>
      </x:c>
      <x:c r="I6" s="21"/>
      <x:c r="J6" s="21"/>
    </x:row>
    <x:row r="7">
      <x:c r="A7" s="21"/>
      <x:c r="B7" s="21"/>
      <x:c r="C7" s="21"/>
      <x:c r="D7" s="21"/>
      <x:c r="E7" s="21"/>
      <x:c r="F7" s="21"/>
      <x:c r="G7" s="21"/>
      <x:c r="H7" s="21"/>
      <x:c r="I7" s="21"/>
      <x:c r="J7" s="21"/>
    </x:row>
    <x:row r="8">
      <x:c r="A8" s="21"/>
      <x:c r="B8" s="21"/>
      <x:c r="C8" s="21"/>
      <x:c r="D8" s="21"/>
      <x:c r="E8" s="21"/>
      <x:c r="F8" s="21"/>
      <x:c r="G8" s="21"/>
      <x:c r="H8" s="21"/>
      <x:c r="I8" s="21"/>
      <x:c r="J8" s="21"/>
    </x:row>
    <x:row r="9">
      <x:c r="A9" s="12" t="str">
        <x:v>Order</x:v>
      </x:c>
      <x:c r="B9" s="12" t="str">
        <x:v>Decision bucket</x:v>
      </x:c>
      <x:c r="C9" s="12" t="str">
        <x:v>Demand M€</x:v>
      </x:c>
      <x:c r="D9" s="12" t="str">
        <x:v>Target M€</x:v>
      </x:c>
      <x:c r="E9" s="12" t="str">
        <x:v>Automatic M€</x:v>
      </x:c>
      <x:c r="F9" s="12" t="str">
        <x:v>Final M€</x:v>
      </x:c>
      <x:c r="G9" s="12" t="str">
        <x:v>Funded count</x:v>
      </x:c>
      <x:c r="H9" s="21"/>
      <x:c r="I9" s="21"/>
      <x:c r="J9" s="21"/>
    </x:row>
    <x:row r="10">
      <x:c r="A10" s="15" t="n">
        <x:v>1</x:v>
      </x:c>
      <x:c r="B10" s="15" t="str">
        <x:v>LFR</x:v>
      </x:c>
      <x:c r="C10" s="19" t="n">
        <x:f>SUMIF('Portfolio Model'!$H$6:$H$514,B10,'Portfolio Model'!$E$6:$E$514)</x:f>
        <x:v>34.516999999999996</x:v>
      </x:c>
      <x:c r="D10" s="19" t="n">
        <x:f>'Scenario Controls'!F10</x:f>
        <x:v>34.517</x:v>
      </x:c>
      <x:c r="E10" s="19" t="n">
        <x:f>SUMIF('Portfolio Model'!$H$6:$H$514,B10,'Portfolio Model'!$Q$6:$Q$514)</x:f>
        <x:v>34.516999999999996</x:v>
      </x:c>
      <x:c r="F10" s="19" t="n">
        <x:f>SUMIF('Portfolio Model'!$H$6:$H$514,B10,'Portfolio Model'!$T$6:$T$514)</x:f>
        <x:v>34.516999999999996</x:v>
      </x:c>
      <x:c r="G10" s="15" t="n">
        <x:f>COUNTIFS('Portfolio Model'!$H$6:$H$514,B10,'Portfolio Model'!$U$6:$U$514,"Funded")</x:f>
        <x:v>36</x:v>
      </x:c>
      <x:c r="H10" s="21"/>
      <x:c r="I10" s="21"/>
      <x:c r="J10" s="21"/>
    </x:row>
    <x:row r="11">
      <x:c r="A11" s="15" t="n">
        <x:v>2</x:v>
      </x:c>
      <x:c r="B11" s="15" t="str">
        <x:v>Sustain Engineering</x:v>
      </x:c>
      <x:c r="C11" s="19" t="n">
        <x:f>SUMIF('Portfolio Model'!$H$6:$H$514,B11,'Portfolio Model'!$E$6:$E$514)</x:f>
        <x:v>12.333</x:v>
      </x:c>
      <x:c r="D11" s="19" t="n">
        <x:f>'Scenario Controls'!F11</x:f>
        <x:v>12.333</x:v>
      </x:c>
      <x:c r="E11" s="19" t="n">
        <x:f>SUMIF('Portfolio Model'!$H$6:$H$514,B11,'Portfolio Model'!$Q$6:$Q$514)</x:f>
        <x:v>12.333</x:v>
      </x:c>
      <x:c r="F11" s="19" t="n">
        <x:f>SUMIF('Portfolio Model'!$H$6:$H$514,B11,'Portfolio Model'!$T$6:$T$514)</x:f>
        <x:v>12.333</x:v>
      </x:c>
      <x:c r="G11" s="15" t="n">
        <x:f>COUNTIFS('Portfolio Model'!$H$6:$H$514,B11,'Portfolio Model'!$U$6:$U$514,"Funded")</x:f>
        <x:v>15</x:v>
      </x:c>
      <x:c r="H11" s="21"/>
      <x:c r="I11" s="21"/>
      <x:c r="J11" s="21"/>
    </x:row>
    <x:row r="12">
      <x:c r="A12" s="15" t="n">
        <x:v>3</x:v>
      </x:c>
      <x:c r="B12" s="15" t="str">
        <x:v>Hygiene</x:v>
      </x:c>
      <x:c r="C12" s="19" t="n">
        <x:f>SUMIF('Portfolio Model'!$H$6:$H$514,B12,'Portfolio Model'!$E$6:$E$514)</x:f>
        <x:v>65.55999999999999</x:v>
      </x:c>
      <x:c r="D12" s="19" t="n">
        <x:f>'Scenario Controls'!F12</x:f>
        <x:v>10</x:v>
      </x:c>
      <x:c r="E12" s="19" t="n">
        <x:f>SUMIF('Portfolio Model'!$H$6:$H$514,B12,'Portfolio Model'!$Q$6:$Q$514)</x:f>
        <x:v>10.486999999999998</x:v>
      </x:c>
      <x:c r="F12" s="19" t="n">
        <x:f>SUMIF('Portfolio Model'!$H$6:$H$514,B12,'Portfolio Model'!$T$6:$T$514)</x:f>
        <x:v>10.486999999999998</x:v>
      </x:c>
      <x:c r="G12" s="15" t="n">
        <x:f>COUNTIFS('Portfolio Model'!$H$6:$H$514,B12,'Portfolio Model'!$U$6:$U$514,"Funded")</x:f>
        <x:v>32</x:v>
      </x:c>
      <x:c r="H12" s="21"/>
      <x:c r="I12" s="21"/>
      <x:c r="J12" s="21"/>
    </x:row>
    <x:row r="13">
      <x:c r="A13" s="15" t="n">
        <x:v>4</x:v>
      </x:c>
      <x:c r="B13" s="15" t="str">
        <x:v>Carryover</x:v>
      </x:c>
      <x:c r="C13" s="19" t="n">
        <x:f>SUMIF('Portfolio Model'!$H$6:$H$514,B13,'Portfolio Model'!$E$6:$E$514)</x:f>
        <x:v>97.37500000000001</x:v>
      </x:c>
      <x:c r="D13" s="19"/>
      <x:c r="E13" s="19" t="n">
        <x:f>SUMIF('Portfolio Model'!$H$6:$H$514,B13,'Portfolio Model'!$Q$6:$Q$514)</x:f>
        <x:v>18.883999999999997</x:v>
      </x:c>
      <x:c r="F13" s="19" t="n">
        <x:f>SUMIF('Portfolio Model'!$H$6:$H$514,B13,'Portfolio Model'!$T$6:$T$514)</x:f>
        <x:v>18.883999999999997</x:v>
      </x:c>
      <x:c r="G13" s="15" t="n">
        <x:f>COUNTIFS('Portfolio Model'!$H$6:$H$514,B13,'Portfolio Model'!$U$6:$U$514,"Funded")</x:f>
        <x:v>18</x:v>
      </x:c>
      <x:c r="H13" s="21"/>
      <x:c r="I13" s="21"/>
      <x:c r="J13" s="21"/>
    </x:row>
    <x:row r="14">
      <x:c r="A14" s="15" t="n">
        <x:v>5</x:v>
      </x:c>
      <x:c r="B14" s="15" t="str">
        <x:v>ROI-Based Portfolio</x:v>
      </x:c>
      <x:c r="C14" s="19" t="n">
        <x:f>SUMIF('Portfolio Model'!$H$6:$H$514,B14,'Portfolio Model'!$E$6:$E$514)</x:f>
        <x:v>69.80999999999995</x:v>
      </x:c>
      <x:c r="D14" s="19"/>
      <x:c r="E14" s="19" t="n">
        <x:f>SUMIF('Portfolio Model'!$H$6:$H$514,B14,'Portfolio Model'!$Q$6:$Q$514)</x:f>
        <x:v>26.371000000000002</x:v>
      </x:c>
      <x:c r="F14" s="19" t="n">
        <x:f>SUMIF('Portfolio Model'!$H$6:$H$514,B14,'Portfolio Model'!$T$6:$T$514)</x:f>
        <x:v>26.371000000000002</x:v>
      </x:c>
      <x:c r="G14" s="15" t="n">
        <x:f>COUNTIFS('Portfolio Model'!$H$6:$H$514,B14,'Portfolio Model'!$U$6:$U$514,"Funded")</x:f>
        <x:v>53</x:v>
      </x:c>
      <x:c r="H14" s="21"/>
      <x:c r="I14" s="21"/>
      <x:c r="J14" s="21"/>
    </x:row>
    <x:row r="15">
      <x:c r="A15" s="21"/>
      <x:c r="B15" s="21"/>
      <x:c r="C15" s="21"/>
      <x:c r="D15" s="21"/>
      <x:c r="E15" s="21"/>
      <x:c r="F15" s="21"/>
      <x:c r="G15" s="21"/>
      <x:c r="H15" s="21"/>
      <x:c r="I15" s="21"/>
      <x:c r="J15" s="21"/>
    </x:row>
    <x:row r="16">
      <x:c r="A16" s="21"/>
      <x:c r="B16" s="21"/>
      <x:c r="C16" s="21"/>
      <x:c r="D16" s="21"/>
      <x:c r="E16" s="21"/>
      <x:c r="F16" s="21"/>
      <x:c r="G16" s="21"/>
      <x:c r="H16" s="21"/>
      <x:c r="I16" s="21"/>
      <x:c r="J16" s="21"/>
    </x:row>
    <x:row r="17">
      <x:c r="A17" s="12" t="str">
        <x:v>Decision workflow</x:v>
      </x:c>
      <x:c r="B17" s="12" t="str">
        <x:v>1</x:v>
      </x:c>
      <x:c r="C17" s="12" t="str">
        <x:v>2</x:v>
      </x:c>
      <x:c r="D17" s="12" t="str">
        <x:v>3</x:v>
      </x:c>
      <x:c r="E17" s="12" t="str">
        <x:v>4</x:v>
      </x:c>
      <x:c r="F17" s="12" t="str">
        <x:v>5</x:v>
      </x:c>
      <x:c r="G17" s="12" t="str">
        <x:v>6</x:v>
      </x:c>
      <x:c r="H17" s="12" t="str">
        <x:v>7</x:v>
      </x:c>
      <x:c r="I17" s="12" t="str">
        <x:v>8</x:v>
      </x:c>
      <x:c r="J17" s="12" t="str">
        <x:v>9</x:v>
      </x:c>
    </x:row>
    <x:row r="18">
      <x:c r="A18" s="15" t="str">
        <x:v>Step</x:v>
      </x:c>
      <x:c r="B18" s="15" t="str">
        <x:v>Reserve LFR</x:v>
      </x:c>
      <x:c r="C18" s="15" t="str">
        <x:v>Fund Sustain Engineering</x:v>
      </x:c>
      <x:c r="D18" s="15" t="str">
        <x:v>Reserve Hygiene</x:v>
      </x:c>
      <x:c r="E18" s="15" t="str">
        <x:v>Reserve Carryover</x:v>
      </x:c>
      <x:c r="F18" s="15" t="str">
        <x:v>Allocate ROI remainder</x:v>
      </x:c>
      <x:c r="G18" s="15" t="str">
        <x:v>Rank by Merit</x:v>
      </x:c>
      <x:c r="H18" s="15" t="str">
        <x:v>Funded/unfunded rationale</x:v>
      </x:c>
      <x:c r="I18" s="15" t="str">
        <x:v>BU/EW conferences</x:v>
      </x:c>
      <x:c r="J18" s="15" t="str">
        <x:v>Freeze scenario</x:v>
      </x:c>
    </x:row>
    <x:row r="19">
      <x:c r="A19" s="15" t="str">
        <x:v>Control</x:v>
      </x:c>
      <x:c r="B19" s="15" t="str">
        <x:v>Basis + %</x:v>
      </x:c>
      <x:c r="C19" s="15" t="str">
        <x:v>Basis + %</x:v>
      </x:c>
      <x:c r="D19" s="15" t="str">
        <x:v>Basis + %</x:v>
      </x:c>
      <x:c r="E19" s="15" t="str">
        <x:v>ROI threshold</x:v>
      </x:c>
      <x:c r="F19" s="15" t="str">
        <x:v>Automatic</x:v>
      </x:c>
      <x:c r="G19" s="15" t="str">
        <x:v>Advanced</x:v>
      </x:c>
      <x:c r="H19" s="15" t="str">
        <x:v>Traceable</x:v>
      </x:c>
      <x:c r="I19" s="15" t="str">
        <x:v>Checkbox decisions</x:v>
      </x:c>
      <x:c r="J19" s="15" t="str">
        <x:v>Refresh = new version</x:v>
      </x:c>
    </x:row>
    <x:row r="20">
      <x:c r="A20" s="15" t="str">
        <x:v>Automatic budget</x:v>
      </x:c>
      <x:c r="B20" s="15" t="str">
        <x:v>Whole initiatives</x:v>
      </x:c>
      <x:c r="C20" s="15" t="str">
        <x:v>Whole initiatives</x:v>
      </x:c>
      <x:c r="D20" s="15" t="str">
        <x:v>Whole initiatives</x:v>
      </x:c>
      <x:c r="E20" s="15" t="str">
        <x:v>Whole initiatives</x:v>
      </x:c>
      <x:c r="F20" s="15" t="str">
        <x:v>Whole initiatives</x:v>
      </x:c>
      <x:c r="G20" s="15" t="str">
        <x:v>5% tolerance</x:v>
      </x:c>
      <x:c r="H20" s="15" t="str">
        <x:v>No partial funding</x:v>
      </x:c>
      <x:c r="I20" s="15" t="str">
        <x:v>May exceed AOP</x:v>
      </x:c>
      <x:c r="J20" s="15" t="str">
        <x:v>Variance retained</x:v>
      </x:c>
    </x:row>
    <x:row r="21">
      <x:c r="A21" s="15" t="str">
        <x:v>Audit</x:v>
      </x:c>
      <x:c r="B21" s="15" t="str">
        <x:v>Source decision</x:v>
      </x:c>
      <x:c r="C21" s="15" t="str">
        <x:v>Source classification</x:v>
      </x:c>
      <x:c r="D21" s="15" t="str">
        <x:v>Source category</x:v>
      </x:c>
      <x:c r="E21" s="15" t="str">
        <x:v>Numeric benefit</x:v>
      </x:c>
      <x:c r="F21" s="15" t="str">
        <x:v>Remaining pool</x:v>
      </x:c>
      <x:c r="G21" s="15" t="str">
        <x:v>Score evidence</x:v>
      </x:c>
      <x:c r="H21" s="15" t="str">
        <x:v>Reason</x:v>
      </x:c>
      <x:c r="I21" s="15" t="str">
        <x:v>Reason required</x:v>
      </x:c>
      <x:c r="J21" s="15" t="str">
        <x:v>Source hash</x:v>
      </x:c>
    </x:row>
  </x:sheetData>
  <x:mergeCells>
    <x:mergeCell ref="A1:J1"/>
    <x:mergeCell ref="A2:J2"/>
  </x:mergeCells>
  <x:pageMargins left="0.7" right="0.7" top="0.75" bottom="0.75" header="0.3" footer="0.3"/>
  <x:drawing xmlns:r="http://schemas.openxmlformats.org/officeDocument/2006/relationships" r:id="Rc53aeee72ab1463a"/>
</x:worksheet>
</file>

<file path=xl/worksheets/sheet2.xml><?xml version="1.0" encoding="utf-8"?>
<x:worksheet xmlns:x="http://schemas.openxmlformats.org/spreadsheetml/2006/main">
  <x:sheetPr>
    <x:tabColor rgb="FF1473E6"/>
  </x:sheetPr>
  <x:sheetViews>
    <x:sheetView showGridLines="0" workbookViewId="0">
      <x:pane ySplit="3" topLeftCell="A4" activePane="bottomLeft" state="frozen"/>
    </x:sheetView>
  </x:sheetViews>
  <x:sheetFormatPr defaultRowHeight="15"/>
  <x:cols>
    <x:col min="1" max="1" width="28" hidden="0" customWidth="1"/>
    <x:col min="2" max="2" width="23" hidden="0" customWidth="1"/>
    <x:col min="3" max="3" width="24" hidden="0" customWidth="1"/>
    <x:col min="4" max="4" width="42" hidden="0" customWidth="1"/>
    <x:col min="5" max="5" width="16" hidden="0" customWidth="1"/>
    <x:col min="6" max="6" width="16" hidden="0" customWidth="1"/>
    <x:col min="7" max="7" width="16" hidden="0" customWidth="1"/>
  </x:cols>
  <x:sheetData>
    <x:row r="1" ht="34" customHeight="1">
      <x:c r="A1" s="3" t="str">
        <x:v>AOP 2027 Scenario Controls</x:v>
      </x:c>
      <x:c r="B1" s="3"/>
      <x:c r="C1" s="3"/>
      <x:c r="D1" s="3"/>
      <x:c r="E1" s="3"/>
      <x:c r="F1" s="3"/>
      <x:c r="G1" s="3"/>
    </x:row>
    <x:row r="2" ht="30" customHeight="1">
      <x:c r="A2" s="7" t="str">
        <x:v>Blue cells are editable. Reservations are followed in order; ROI receives all remaining AOP. Whole initiatives are selected with a 5% automatic tolerance.</x:v>
      </x:c>
      <x:c r="B2" s="7"/>
      <x:c r="C2" s="7"/>
      <x:c r="D2" s="7"/>
      <x:c r="E2" s="7"/>
      <x:c r="F2" s="7"/>
      <x:c r="G2" s="7"/>
    </x:row>
    <x:row r="3">
      <x:c r="A3" s="21"/>
      <x:c r="B3" s="21"/>
      <x:c r="C3" s="21"/>
      <x:c r="D3" s="21"/>
      <x:c r="E3" s="21"/>
      <x:c r="F3" s="21"/>
      <x:c r="G3" s="21"/>
    </x:row>
    <x:row r="4">
      <x:c r="A4" s="12" t="str">
        <x:v>Scenario setting</x:v>
      </x:c>
      <x:c r="B4" s="12" t="str">
        <x:v>Value</x:v>
      </x:c>
      <x:c r="C4" s="12" t="str">
        <x:v>Unit</x:v>
      </x:c>
      <x:c r="D4" s="12" t="str">
        <x:v>Decision note</x:v>
      </x:c>
      <x:c r="E4" s="21"/>
      <x:c r="F4" s="21"/>
      <x:c r="G4" s="21"/>
    </x:row>
    <x:row r="5">
      <x:c r="A5" s="15" t="str">
        <x:v>Scenario version</x:v>
      </x:c>
      <x:c r="B5" s="16" t="str">
        <x:v>AOP2027-v1</x:v>
      </x:c>
      <x:c r="C5" s="15" t="str">
        <x:v>Frozen on finalise</x:v>
      </x:c>
      <x:c r="D5" s="15" t="str">
        <x:v>Refresh creates a new version</x:v>
      </x:c>
      <x:c r="E5" s="21"/>
      <x:c r="F5" s="21"/>
      <x:c r="G5" s="21"/>
    </x:row>
    <x:row r="6">
      <x:c r="A6" s="15" t="str">
        <x:v>Total AOP budget</x:v>
      </x:c>
      <x:c r="B6" s="17" t="n">
        <x:v>100</x:v>
      </x:c>
      <x:c r="C6" s="15" t="str">
        <x:v>M€</x:v>
      </x:c>
      <x:c r="D6" s="15" t="str">
        <x:v>Scenario envelope; not asserted by source demand</x:v>
      </x:c>
      <x:c r="E6" s="21"/>
      <x:c r="F6" s="21"/>
      <x:c r="G6" s="21"/>
    </x:row>
    <x:row r="7">
      <x:c r="A7" s="15" t="str">
        <x:v>Whole-initiative tolerance</x:v>
      </x:c>
      <x:c r="B7" s="18" t="n">
        <x:v>0.05</x:v>
      </x:c>
      <x:c r="C7" s="15" t="str">
        <x:v>%</x:v>
      </x:c>
      <x:c r="D7" s="15" t="str">
        <x:v>Automatic selection only; conference additions may exceed budget</x:v>
      </x:c>
      <x:c r="E7" s="21"/>
      <x:c r="F7" s="21"/>
      <x:c r="G7" s="21"/>
    </x:row>
    <x:row r="8">
      <x:c r="A8" s="21"/>
      <x:c r="B8" s="21"/>
      <x:c r="C8" s="21"/>
      <x:c r="D8" s="21"/>
      <x:c r="E8" s="21"/>
      <x:c r="F8" s="21"/>
      <x:c r="G8" s="21"/>
    </x:row>
    <x:row r="9">
      <x:c r="A9" s="12" t="str">
        <x:v>Allocation order</x:v>
      </x:c>
      <x:c r="B9" s="12" t="str">
        <x:v>Visible lever</x:v>
      </x:c>
      <x:c r="C9" s="12" t="str">
        <x:v>Basis</x:v>
      </x:c>
      <x:c r="D9" s="12" t="str">
        <x:v>Allocation %</x:v>
      </x:c>
      <x:c r="E9" s="12" t="str">
        <x:v>Bucket demand</x:v>
      </x:c>
      <x:c r="F9" s="12" t="str">
        <x:v>Target</x:v>
      </x:c>
      <x:c r="G9" s="12" t="str">
        <x:v>Selected delta</x:v>
      </x:c>
    </x:row>
    <x:row r="10">
      <x:c r="A10" s="15" t="n">
        <x:v>1</x:v>
      </x:c>
      <x:c r="B10" s="15" t="str">
        <x:v>LFR</x:v>
      </x:c>
      <x:c r="C10" s="16" t="str">
        <x:v>% of bucket demand</x:v>
      </x:c>
      <x:c r="D10" s="18" t="n">
        <x:v>1</x:v>
      </x:c>
      <x:c r="E10" s="19" t="n">
        <x:v>34.517</x:v>
      </x:c>
      <x:c r="F10" s="19" t="n">
        <x:f>MIN(E10,IF(C10="% of bucket demand",E10*D10,$B$6*D10))</x:f>
        <x:v>34.517</x:v>
      </x:c>
      <x:c r="G10" s="19" t="n">
        <x:f>SUMIF('Portfolio Model'!$H$6:$H$514,B10,'Portfolio Model'!$Q$6:$Q$514)-F10</x:f>
        <x:v>-7.105427357601002e-15</x:v>
      </x:c>
    </x:row>
    <x:row r="11">
      <x:c r="A11" s="15" t="n">
        <x:v>2</x:v>
      </x:c>
      <x:c r="B11" s="15" t="str">
        <x:v>Sustain Engineering</x:v>
      </x:c>
      <x:c r="C11" s="16" t="str">
        <x:v>% of bucket demand</x:v>
      </x:c>
      <x:c r="D11" s="18" t="n">
        <x:v>1</x:v>
      </x:c>
      <x:c r="E11" s="19" t="n">
        <x:v>12.333</x:v>
      </x:c>
      <x:c r="F11" s="19" t="n">
        <x:f>MIN(E11,IF(C11="% of bucket demand",E11*D11,$B$6*D11))</x:f>
        <x:v>12.333</x:v>
      </x:c>
      <x:c r="G11" s="19" t="n">
        <x:f>SUMIF('Portfolio Model'!$H$6:$H$514,B11,'Portfolio Model'!$Q$6:$Q$514)-F11</x:f>
        <x:v>0</x:v>
      </x:c>
    </x:row>
    <x:row r="12">
      <x:c r="A12" s="15" t="n">
        <x:v>3</x:v>
      </x:c>
      <x:c r="B12" s="15" t="str">
        <x:v>Hygiene</x:v>
      </x:c>
      <x:c r="C12" s="16" t="str">
        <x:v>% of Total AOP</x:v>
      </x:c>
      <x:c r="D12" s="18" t="n">
        <x:v>0.1</x:v>
      </x:c>
      <x:c r="E12" s="19" t="n">
        <x:v>65.56</x:v>
      </x:c>
      <x:c r="F12" s="19" t="n">
        <x:f>MIN(E12,IF(C12="% of bucket demand",E12*D12,$B$6*D12))</x:f>
        <x:v>10</x:v>
      </x:c>
      <x:c r="G12" s="19" t="n">
        <x:f>SUMIF('Portfolio Model'!$H$6:$H$514,B12,'Portfolio Model'!$Q$6:$Q$514)-F12</x:f>
        <x:v>0.4869999999999983</x:v>
      </x:c>
    </x:row>
    <x:row r="13">
      <x:c r="A13" s="15" t="n">
        <x:v>5</x:v>
      </x:c>
      <x:c r="B13" s="15" t="str">
        <x:v>ROI-Based Portfolio</x:v>
      </x:c>
      <x:c r="C13" s="15" t="str">
        <x:v>Automatic remainder</x:v>
      </x:c>
      <x:c r="D13" s="15"/>
      <x:c r="E13" s="19" t="n">
        <x:v>69.81</x:v>
      </x:c>
      <x:c r="F13" s="19"/>
      <x:c r="G13" s="19"/>
    </x:row>
    <x:row r="14">
      <x:c r="A14" s="21"/>
      <x:c r="B14" s="21"/>
      <x:c r="C14" s="21"/>
      <x:c r="D14" s="21"/>
      <x:c r="E14" s="21"/>
      <x:c r="F14" s="21"/>
      <x:c r="G14" s="21"/>
    </x:row>
    <x:row r="15">
      <x:c r="A15" s="12" t="str">
        <x:v>Carryover control</x:v>
      </x:c>
      <x:c r="B15" s="12" t="str">
        <x:v>Value</x:v>
      </x:c>
      <x:c r="C15" s="12" t="str">
        <x:v>Range</x:v>
      </x:c>
      <x:c r="D15" s="12" t="str">
        <x:v>Treatment</x:v>
      </x:c>
      <x:c r="E15" s="21"/>
      <x:c r="F15" s="21"/>
      <x:c r="G15" s="21"/>
    </x:row>
    <x:row r="16">
      <x:c r="A16" s="15" t="str">
        <x:v>Benefit/request threshold</x:v>
      </x:c>
      <x:c r="B16" s="16" t="n">
        <x:v>2</x:v>
      </x:c>
      <x:c r="C16" s="15" t="str">
        <x:v>1x–5x+ in 0.5x steps</x:v>
      </x:c>
      <x:c r="D16" s="15" t="str">
        <x:v>Only Carryover eligibility control</x:v>
      </x:c>
      <x:c r="E16" s="21"/>
      <x:c r="F16" s="21"/>
      <x:c r="G16" s="21"/>
    </x:row>
    <x:row r="17">
      <x:c r="A17" s="15" t="str">
        <x:v>ROI-Based Portfolio</x:v>
      </x:c>
      <x:c r="B17" s="15" t="str">
        <x:v>Automatic</x:v>
      </x:c>
      <x:c r="C17" s="15" t="str">
        <x:v>Remaining AOP</x:v>
      </x:c>
      <x:c r="D17" s="15" t="str">
        <x:v>Merit-ranked after reservations</x:v>
      </x:c>
      <x:c r="E17" s="21"/>
      <x:c r="F17" s="21"/>
      <x:c r="G17" s="21"/>
    </x:row>
    <x:row r="18">
      <x:c r="A18" s="21"/>
      <x:c r="B18" s="21"/>
      <x:c r="C18" s="21"/>
      <x:c r="D18" s="21"/>
      <x:c r="E18" s="21"/>
      <x:c r="F18" s="21"/>
      <x:c r="G18" s="21"/>
    </x:row>
    <x:row r="19">
      <x:c r="A19" s="12" t="str">
        <x:v>Advanced configuration</x:v>
      </x:c>
      <x:c r="B19" s="12" t="str">
        <x:v>Value</x:v>
      </x:c>
      <x:c r="C19" s="12" t="str">
        <x:v>Max</x:v>
      </x:c>
      <x:c r="D19" s="12" t="str">
        <x:v>Purpose</x:v>
      </x:c>
      <x:c r="E19" s="21"/>
      <x:c r="F19" s="21"/>
      <x:c r="G19" s="21"/>
    </x:row>
    <x:row r="20">
      <x:c r="A20" s="15" t="str">
        <x:v>Minimum Merit Score</x:v>
      </x:c>
      <x:c r="B20" s="20" t="n">
        <x:v>45</x:v>
      </x:c>
      <x:c r="C20" s="15" t="n">
        <x:v>100</x:v>
      </x:c>
      <x:c r="D20" s="15" t="str">
        <x:v>ROI-pool gate; not a primary funding lever</x:v>
      </x:c>
      <x:c r="E20" s="21"/>
      <x:c r="F20" s="21"/>
      <x:c r="G20" s="21"/>
    </x:row>
    <x:row r="21">
      <x:c r="A21" s="15" t="str"/>
      <x:c r="B21" s="20" t="str"/>
      <x:c r="C21" s="15" t="str"/>
      <x:c r="D21" s="15" t="str"/>
      <x:c r="E21" s="21"/>
      <x:c r="F21" s="21"/>
      <x:c r="G21" s="21"/>
    </x:row>
    <x:row r="22">
      <x:c r="A22" s="15" t="str">
        <x:v>Benefit weight</x:v>
      </x:c>
      <x:c r="B22" s="20" t="n">
        <x:v>50</x:v>
      </x:c>
      <x:c r="C22" s="15" t="n">
        <x:v>50</x:v>
      </x:c>
      <x:c r="D22" s="15" t="str">
        <x:v>Submitted benefit/request</x:v>
      </x:c>
      <x:c r="E22" s="21"/>
      <x:c r="F22" s="21"/>
      <x:c r="G22" s="21"/>
    </x:row>
    <x:row r="23">
      <x:c r="A23" s="15" t="str">
        <x:v>Submitted priority weight</x:v>
      </x:c>
      <x:c r="B23" s="20" t="n">
        <x:v>25</x:v>
      </x:c>
      <x:c r="C23" s="15" t="n">
        <x:v>25</x:v>
      </x:c>
      <x:c r="D23" s="15" t="str">
        <x:v>Source priority</x:v>
      </x:c>
      <x:c r="E23" s="21"/>
      <x:c r="F23" s="21"/>
      <x:c r="G23" s="21"/>
    </x:row>
    <x:row r="24">
      <x:c r="A24" s="15" t="str">
        <x:v>Captured Consequence weight</x:v>
      </x:c>
      <x:c r="B24" s="20" t="n">
        <x:v>15</x:v>
      </x:c>
      <x:c r="C24" s="15" t="n">
        <x:v>15</x:v>
      </x:c>
      <x:c r="D24" s="15" t="str">
        <x:v>Impact + Problem + Scope only</x:v>
      </x:c>
      <x:c r="E24" s="21"/>
      <x:c r="F24" s="21"/>
      <x:c r="G24" s="21"/>
    </x:row>
    <x:row r="25">
      <x:c r="A25" s="15" t="str">
        <x:v>Decision Band weight</x:v>
      </x:c>
      <x:c r="B25" s="20" t="n">
        <x:v>10</x:v>
      </x:c>
      <x:c r="C25" s="15" t="n">
        <x:v>10</x:v>
      </x:c>
      <x:c r="D25" s="15" t="str">
        <x:v>Source Decision band</x:v>
      </x:c>
      <x:c r="E25" s="21"/>
      <x:c r="F25" s="21"/>
      <x:c r="G25" s="21"/>
    </x:row>
  </x:sheetData>
  <x:mergeCells>
    <x:mergeCell ref="A1:G1"/>
    <x:mergeCell ref="A2:G2"/>
  </x:mergeCells>
  <x:dataValidations count="5">
    <x:dataValidation type="list" sqref="C10:C12">
      <x:formula1>"% of bucket demand,% of Total AOP"</x:formula1>
    </x:dataValidation>
    <x:dataValidation type="decimal" operator="between" sqref="D10:D12">
      <x:formula1>0</x:formula1>
      <x:formula2>1</x:formula2>
    </x:dataValidation>
    <x:dataValidation type="decimal" operator="between" sqref="B16">
      <x:formula1>1</x:formula1>
      <x:formula2>5</x:formula2>
    </x:dataValidation>
    <x:dataValidation type="whole" operator="between" sqref="B20">
      <x:formula1>0</x:formula1>
      <x:formula2>100</x:formula2>
    </x:dataValidation>
    <x:dataValidation type="whole" operator="between" sqref="B22:B25">
      <x:formula1>0</x:formula1>
      <x:formula2>100</x:formula2>
    </x:dataValidation>
  </x:dataValidations>
  <x:pageMargins left="0.7" right="0.7" top="0.75" bottom="0.75" header="0.3" footer="0.3"/>
</x:worksheet>
</file>

<file path=xl/worksheets/sheet3.xml><?xml version="1.0" encoding="utf-8"?>
<x:worksheet xmlns:x="http://schemas.openxmlformats.org/spreadsheetml/2006/main">
  <x:sheetPr>
    <x:tabColor rgb="FF00A6B2"/>
  </x:sheetPr>
  <x:sheetViews>
    <x:sheetView showGridLines="0" workbookViewId="0">
      <x:pane xSplit="2" ySplit="5" topLeftCell="C6" activePane="bottomRight" state="frozen"/>
    </x:sheetView>
  </x:sheetViews>
  <x:sheetFormatPr defaultRowHeight="15"/>
  <x:cols>
    <x:col min="1" max="1" width="14" hidden="0" customWidth="1"/>
    <x:col min="2" max="2" width="44" hidden="0" customWidth="1"/>
    <x:col min="3" max="3" width="14" hidden="0" customWidth="1"/>
    <x:col min="4" max="4" width="28" hidden="0" customWidth="1"/>
    <x:col min="5" max="5" width="14" hidden="0" customWidth="1"/>
    <x:col min="6" max="6" width="14" hidden="0" customWidth="1"/>
    <x:col min="7" max="7" width="14" hidden="0" customWidth="1"/>
    <x:col min="8" max="8" width="22"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28" hidden="0" customWidth="1"/>
    <x:col min="17" max="17" width="14" hidden="0" customWidth="1"/>
    <x:col min="18" max="18" width="14" hidden="0" customWidth="1"/>
    <x:col min="19" max="19" width="14" hidden="0" customWidth="1"/>
    <x:col min="20" max="20" width="14" hidden="0" customWidth="1"/>
    <x:col min="21" max="21" width="14" hidden="0" customWidth="1"/>
    <x:col min="22" max="22" width="48" hidden="0" customWidth="1"/>
    <x:col min="23" max="23" width="14" hidden="0" customWidth="1"/>
    <x:col min="24" max="24" width="14" hidden="0" customWidth="1"/>
    <x:col min="25" max="25" width="34" hidden="0" customWidth="1"/>
    <x:col min="26" max="26" width="34" hidden="0" customWidth="1"/>
    <x:col min="27" max="27" width="34" hidden="0" customWidth="1"/>
    <x:col min="28" max="28" width="34" hidden="0" customWidth="1"/>
    <x:col min="29" max="29" width="34" hidden="0" customWidth="1"/>
    <x:col min="30" max="30" width="34" hidden="0" customWidth="1"/>
    <x:col min="31" max="31" width="34" hidden="0" customWidth="1"/>
    <x:col min="32" max="32" width="34" hidden="0" customWidth="1"/>
    <x:col min="33" max="33" width="14" hidden="0" customWidth="1"/>
    <x:col min="34" max="34" width="14" hidden="0" customWidth="1"/>
  </x:cols>
  <x:sheetData>
    <x:row r="1" ht="34" customHeight="1">
      <x:c r="A1" s="3" t="str">
        <x:v>AOP 2027 Prioritized Portfolio</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row>
    <x:row r="2" ht="30" customHeight="1">
      <x:c r="A2" s="7" t="str">
        <x:v>One row per source request. Whole-initiative allocation order: LFR → Sustain Engineering → Hygiene → Carryover → ROI-Based Portfolio.</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row>
    <x:row r="3">
      <x:c r="A3" s="21"/>
      <x:c r="B3" s="21"/>
      <x:c r="C3" s="21"/>
      <x:c r="D3" s="21"/>
      <x:c r="E3" s="21"/>
      <x:c r="F3" s="21"/>
      <x:c r="G3" s="21"/>
      <x:c r="H3" s="21"/>
      <x:c r="I3" s="21"/>
      <x:c r="J3" s="21"/>
      <x:c r="K3" s="21"/>
      <x:c r="L3" s="21"/>
      <x:c r="M3" s="21"/>
      <x:c r="N3" s="21"/>
      <x:c r="O3" s="21"/>
      <x:c r="P3" s="21"/>
      <x:c r="Q3" s="21"/>
      <x:c r="R3" s="21"/>
      <x:c r="S3" s="21"/>
      <x:c r="T3" s="21"/>
      <x:c r="U3" s="21"/>
      <x:c r="V3" s="21"/>
      <x:c r="W3" s="21"/>
      <x:c r="X3" s="21"/>
      <x:c r="Y3" s="21"/>
      <x:c r="Z3" s="21"/>
      <x:c r="AA3" s="21"/>
      <x:c r="AB3" s="21"/>
      <x:c r="AC3" s="21"/>
      <x:c r="AD3" s="21"/>
      <x:c r="AE3" s="21"/>
      <x:c r="AF3" s="21"/>
      <x:c r="AG3" s="21"/>
      <x:c r="AH3" s="21"/>
    </x:row>
    <x:row r="4">
      <x:c r="A4" s="21"/>
      <x:c r="B4" s="21"/>
      <x:c r="C4" s="21"/>
      <x:c r="D4" s="21"/>
      <x:c r="E4" s="21"/>
      <x:c r="F4" s="21"/>
      <x:c r="G4" s="21"/>
      <x:c r="H4" s="21"/>
      <x:c r="I4" s="21"/>
      <x:c r="J4" s="21"/>
      <x:c r="K4" s="21"/>
      <x:c r="L4" s="21"/>
      <x:c r="M4" s="21"/>
      <x:c r="N4" s="21"/>
      <x:c r="O4" s="21"/>
      <x:c r="P4" s="21"/>
      <x:c r="Q4" s="21"/>
      <x:c r="R4" s="21"/>
      <x:c r="S4" s="21"/>
      <x:c r="T4" s="21"/>
      <x:c r="U4" s="21"/>
      <x:c r="V4" s="21"/>
      <x:c r="W4" s="21"/>
      <x:c r="X4" s="21"/>
      <x:c r="Y4" s="21"/>
      <x:c r="Z4" s="21"/>
      <x:c r="AA4" s="21"/>
      <x:c r="AB4" s="21"/>
      <x:c r="AC4" s="21"/>
      <x:c r="AD4" s="21"/>
      <x:c r="AE4" s="21"/>
      <x:c r="AF4" s="21"/>
      <x:c r="AG4" s="21"/>
      <x:c r="AH4" s="21"/>
    </x:row>
    <x:row r="5">
      <x:c r="A5" s="12" t="str">
        <x:v>ID</x:v>
      </x:c>
      <x:c r="B5" s="12" t="str">
        <x:v>Initiative</x:v>
      </x:c>
      <x:c r="C5" s="12" t="str">
        <x:v>View</x:v>
      </x:c>
      <x:c r="D5" s="12" t="str">
        <x:v>Organisation</x:v>
      </x:c>
      <x:c r="E5" s="12" t="str">
        <x:v>Request M€</x:v>
      </x:c>
      <x:c r="F5" s="12" t="str">
        <x:v>Benefit M€</x:v>
      </x:c>
      <x:c r="G5" s="12" t="str">
        <x:v>Benefit/Request</x:v>
      </x:c>
      <x:c r="H5" s="12" t="str">
        <x:v>Primary Bucket</x:v>
      </x:c>
      <x:c r="I5" s="12" t="str">
        <x:v>Priority Rank</x:v>
      </x:c>
      <x:c r="J5" s="12" t="str">
        <x:v>Captured Consequence Level</x:v>
      </x:c>
      <x:c r="K5" s="12" t="str">
        <x:v>Benefit Pts</x:v>
      </x:c>
      <x:c r="L5" s="12" t="str">
        <x:v>Priority Pts</x:v>
      </x:c>
      <x:c r="M5" s="12" t="str">
        <x:v>Captured Consequence Pts</x:v>
      </x:c>
      <x:c r="N5" s="12" t="str">
        <x:v>Decision Band Pts</x:v>
      </x:c>
      <x:c r="O5" s="12" t="str">
        <x:v>Merit Score</x:v>
      </x:c>
      <x:c r="P5" s="12" t="str">
        <x:v>Eligibility</x:v>
      </x:c>
      <x:c r="Q5" s="12" t="str">
        <x:v>Automatic Funded M€</x:v>
      </x:c>
      <x:c r="R5" s="12" t="str">
        <x:v>Conference Decision</x:v>
      </x:c>
      <x:c r="S5" s="12" t="str">
        <x:v>Conference Reason</x:v>
      </x:c>
      <x:c r="T5" s="12" t="str">
        <x:v>Final Funded M€</x:v>
      </x:c>
      <x:c r="U5" s="12" t="str">
        <x:v>Status</x:v>
      </x:c>
      <x:c r="V5" s="12" t="str">
        <x:v>Funding Rationale</x:v>
      </x:c>
      <x:c r="W5" s="12" t="str">
        <x:v>Source Ref</x:v>
      </x:c>
      <x:c r="X5" s="12" t="str">
        <x:v>Decision Band</x:v>
      </x:c>
      <x:c r="Y5" s="12" t="str">
        <x:v>Overall AOP Decision</x:v>
      </x:c>
      <x:c r="Z5" s="12" t="str">
        <x:v>Category</x:v>
      </x:c>
      <x:c r="AA5" s="12" t="str">
        <x:v>Source Classification</x:v>
      </x:c>
      <x:c r="AB5" s="12" t="str">
        <x:v>Platform</x:v>
      </x:c>
      <x:c r="AC5" s="12" t="str">
        <x:v>Impact and Cost of Not Doing</x:v>
      </x:c>
      <x:c r="AD5" s="12" t="str">
        <x:v>Problem Statement</x:v>
      </x:c>
      <x:c r="AE5" s="12" t="str">
        <x:v>Scope</x:v>
      </x:c>
      <x:c r="AF5" s="12" t="str">
        <x:v>Captured Evidence</x:v>
      </x:c>
      <x:c r="AG5" s="12" t="str">
        <x:v>Submitted Priority</x:v>
      </x:c>
      <x:c r="AH5" s="12" t="str">
        <x:v>Source Data Row</x:v>
      </x:c>
    </x:row>
    <x:row r="6">
      <x:c r="A6" s="15" t="str">
        <x:v>EW-60</x:v>
      </x:c>
      <x:c r="B6" s="15" t="str">
        <x:v>3rd Party Screening Replatformation</x:v>
      </x:c>
      <x:c r="C6" s="15" t="str">
        <x:v>EW Led</x:v>
      </x:c>
      <x:c r="D6" s="15" t="str">
        <x:v>Legal</x:v>
      </x:c>
      <x:c r="E6" s="19" t="n">
        <x:v>0.2</x:v>
      </x:c>
      <x:c r="F6" s="19" t="n">
        <x:v>285</x:v>
      </x:c>
      <x:c r="G6" s="22" t="n">
        <x:f>IF(AND(E6&gt;0,ISNUMBER(F6)),F6/E6,"")</x:f>
        <x:v>1425</x:v>
      </x:c>
      <x:c r="H6" s="15" t="str">
        <x:v>LFR</x:v>
      </x:c>
      <x:c r="I6" s="15" t="n">
        <x:v>1</x:v>
      </x:c>
      <x:c r="J6" s="15" t="n">
        <x:v>15</x:v>
      </x:c>
      <x:c r="K6" s="23" t="n">
        <x:f>IF(G6="",0,IF(G6&lt;1,0,IF(G6&lt;2,20,IF(G6&lt;3,30,IF(G6&lt;5,40,50)))))*'Scenario Controls'!$B$22/50</x:f>
        <x:v>50</x:v>
      </x:c>
      <x:c r="L6" s="23" t="n">
        <x:f>IF(ISNUMBER(SEARCH("Must Do",AG6)),25,IF(ISNUMBER(SEARCH("Must Have",AG6)),18,IF(ISNUMBER(SEARCH("Deprior",AG6)),5,0)))*'Scenario Controls'!$B$23/25</x:f>
        <x:v>25</x:v>
      </x:c>
      <x:c r="M6" s="23" t="n">
        <x:f>J6*'Scenario Controls'!$B$24/15</x:f>
        <x:v>15</x:v>
      </x:c>
      <x:c r="N6" s="23" t="n">
        <x:f>IF(ISNUMBER(SEARCH("HEALTHY",X6)),10,IF(ISNUMBER(SEARCH("CONTAIN",X6)),6,0))*'Scenario Controls'!$B$25/10</x:f>
        <x:v>10</x:v>
      </x:c>
      <x:c r="O6" s="23" t="n">
        <x:f>SUM(K6:N6)</x:f>
        <x:v>100</x:v>
      </x:c>
      <x:c r="P6" s="15" t="str">
        <x:f>IF(OR(B6="",E6&lt;=0),"Evidence missing / not eligible",IF(ISNUMBER(SEARCH("priority TBD",Y6)),"Evidence missing / not eligible",IF(AND(H6="Carryover",NOT(ISNUMBER(F6))),"Evidence missing / not eligible",IF(AND(H6="Carryover",G6&lt;'Scenario Controls'!$B$16),"Evidence missing / not eligible",IF(AND(H6="ROI-Based Portfolio",NOT(ISNUMBER(F6))),"Evidence missing / not eligible",IF(AND(H6="ROI-Based Portfolio",O6&lt;'Scenario Controls'!$B$20),"Evidence missing / not eligible","Eligible"))))))</x:f>
        <x:v>Eligible</x:v>
      </x:c>
      <x:c r="Q6" s="19" t="n">
        <x:f>IF(P6&lt;&gt;"Eligible",0,IF(AND(SUMIFS($Q$5:Q5,$H$5:H5,H6)+E6&lt;=(IF(H6="LFR",'Scenario Controls'!$F$10,IF(H6="Sustain Engineering",'Scenario Controls'!$F$11,IF(H6="Hygiene",'Scenario Controls'!$F$12,1E+99))))*(1+'Scenario Controls'!$B$7),SUM($Q$5:Q5)+E6&lt;='Scenario Controls'!$B$6*(1+'Scenario Controls'!$B$7)),E6,0))</x:f>
        <x:v>0.2</x:v>
      </x:c>
      <x:c r="R6" s="24" t="str">
        <x:f>'EW Conference'!G6</x:f>
        <x:v>Automatic</x:v>
      </x:c>
      <x:c r="S6" s="24" t="str">
        <x:f>'EW Conference'!H6</x:f>
      </x:c>
      <x:c r="T6" s="19" t="n">
        <x:f>IF(R6="Exclude",0,IF(R6="Include",E6,Q6))</x:f>
        <x:v>0.2</x:v>
      </x:c>
      <x:c r="U6" s="15" t="str">
        <x:f>IF(T6&gt;0,"Funded",IF(P6="Eligible","Unfunded",P6))</x:f>
        <x:v>Funded</x:v>
      </x:c>
      <x:c r="V6" s="15" t="str">
        <x:f>IF(R6="Include","Conference inclusion: "&amp;S6,IF(R6="Exclude","Conference exclusion: "&amp;S6,IF(Q6&gt;0,H6&amp;" priority rank "&amp;I6&amp;"; whole initiative selected",P6)))</x:f>
        <x:v>LFR priority rank 1; whole initiative selected</x:v>
      </x:c>
      <x:c r="W6" s="15" t="str">
        <x:v>EW!56</x:v>
      </x:c>
      <x:c r="X6" s="15" t="str">
        <x:v>HEALTHY</x:v>
      </x:c>
      <x:c r="Y6" s="15" t="str">
        <x:v>HEALTHY / MUST-DO — P1 — Immediate</x:v>
      </x:c>
      <x:c r="Z6" s="15" t="str">
        <x:v>Legal Fiscal, Regulatory &amp; Compliancy</x:v>
      </x:c>
      <x:c r="AA6" s="15" t="str">
        <x:v>New Initiative</x:v>
      </x:c>
      <x:c r="AB6" s="15" t="str">
        <x:v>Group Functions &amp; Hyperautomation IT</x:v>
      </x:c>
      <x:c r="AC6" s="15" t="str">
        <x:v>1) Potential fines from Regulators for potential violations in ABAC, EC&amp;S related regulations</x:v>
      </x:c>
      <x:c r="AD6" s="15" t="str">
        <x:v>Current solution lacks AI capability and still requires significant engagement of Deloitte team for Legal Operations interms of screening and monitoring</x:v>
      </x:c>
      <x:c r="AE6" s="15" t="str">
        <x:v>3rd party screening as part of Due Diligence Program; Legal wants to harness AI based solution to improve productivity and screening turn around time further. This solution will lead decomm of CoreStream platform (IT - 200K) and Legal Operational Cost for Legal (500K)</x:v>
      </x:c>
      <x:c r="AF6" s="15" t="str">
        <x:v>1) Potential fines from Regulators for potential violations in ABAC, EC&amp;S related regulations | Current solution lacks AI capability and still requires significant engagement of Deloitte team for Legal Operations interms of screening and monitoring | 3rd party screening as part of Due Diligence Program; Legal wants to harness AI based solution to improve productivity and screening turn around time further. This solution will lead decomm of CoreStream platform (IT - 200K) and Legal Operational Cost for Legal (500K)</x:v>
      </x:c>
      <x:c r="AG6" s="15" t="str">
        <x:v>Must Do</x:v>
      </x:c>
      <x:c r="AH6" s="15" t="n">
        <x:v>58</x:v>
      </x:c>
    </x:row>
    <x:row r="7">
      <x:c r="A7" s="15" t="str">
        <x:v>EW-181</x:v>
      </x:c>
      <x:c r="B7" s="15" t="str">
        <x:v>GALA refactoring (license revenue management)</x:v>
      </x:c>
      <x:c r="C7" s="15" t="str">
        <x:v>EW Led</x:v>
      </x:c>
      <x:c r="D7" s="15" t="str">
        <x:v>Intellectual Property &amp; Standards (IP&amp;S)</x:v>
      </x:c>
      <x:c r="E7" s="19" t="n">
        <x:v>1.1</x:v>
      </x:c>
      <x:c r="F7" s="19" t="n">
        <x:v>500</x:v>
      </x:c>
      <x:c r="G7" s="22" t="n">
        <x:f>IF(AND(E7&gt;0,ISNUMBER(F7)),F7/E7,"")</x:f>
        <x:v>454.5454545454545</x:v>
      </x:c>
      <x:c r="H7" s="15" t="str">
        <x:v>LFR</x:v>
      </x:c>
      <x:c r="I7" s="15" t="n">
        <x:v>2</x:v>
      </x:c>
      <x:c r="J7" s="15" t="n">
        <x:v>15</x:v>
      </x:c>
      <x:c r="K7" s="23" t="n">
        <x:f>IF(G7="",0,IF(G7&lt;1,0,IF(G7&lt;2,20,IF(G7&lt;3,30,IF(G7&lt;5,40,50)))))*'Scenario Controls'!$B$22/50</x:f>
        <x:v>50</x:v>
      </x:c>
      <x:c r="L7" s="23" t="n">
        <x:f>IF(ISNUMBER(SEARCH("Must Do",AG7)),25,IF(ISNUMBER(SEARCH("Must Have",AG7)),18,IF(ISNUMBER(SEARCH("Deprior",AG7)),5,0)))*'Scenario Controls'!$B$23/25</x:f>
        <x:v>25</x:v>
      </x:c>
      <x:c r="M7" s="23" t="n">
        <x:f>J7*'Scenario Controls'!$B$24/15</x:f>
        <x:v>15</x:v>
      </x:c>
      <x:c r="N7" s="23" t="n">
        <x:f>IF(ISNUMBER(SEARCH("HEALTHY",X7)),10,IF(ISNUMBER(SEARCH("CONTAIN",X7)),6,0))*'Scenario Controls'!$B$25/10</x:f>
        <x:v>10</x:v>
      </x:c>
      <x:c r="O7" s="23" t="n">
        <x:f>SUM(K7:N7)</x:f>
        <x:v>100</x:v>
      </x:c>
      <x:c r="P7" s="15" t="str">
        <x:f>IF(OR(B7="",E7&lt;=0),"Evidence missing / not eligible",IF(ISNUMBER(SEARCH("priority TBD",Y7)),"Evidence missing / not eligible",IF(AND(H7="Carryover",NOT(ISNUMBER(F7))),"Evidence missing / not eligible",IF(AND(H7="Carryover",G7&lt;'Scenario Controls'!$B$16),"Evidence missing / not eligible",IF(AND(H7="ROI-Based Portfolio",NOT(ISNUMBER(F7))),"Evidence missing / not eligible",IF(AND(H7="ROI-Based Portfolio",O7&lt;'Scenario Controls'!$B$20),"Evidence missing / not eligible","Eligible"))))))</x:f>
        <x:v>Eligible</x:v>
      </x:c>
      <x:c r="Q7" s="19" t="n">
        <x:f>IF(P7&lt;&gt;"Eligible",0,IF(AND(SUMIFS($Q$5:Q6,$H$5:H6,H7)+E7&lt;=(IF(H7="LFR",'Scenario Controls'!$F$10,IF(H7="Sustain Engineering",'Scenario Controls'!$F$11,IF(H7="Hygiene",'Scenario Controls'!$F$12,1E+99))))*(1+'Scenario Controls'!$B$7),SUM($Q$5:Q6)+E7&lt;='Scenario Controls'!$B$6*(1+'Scenario Controls'!$B$7)),E7,0))</x:f>
        <x:v>1.1</x:v>
      </x:c>
      <x:c r="R7" s="24" t="str">
        <x:f>'EW Conference'!G7</x:f>
        <x:v>Automatic</x:v>
      </x:c>
      <x:c r="S7" s="24" t="str">
        <x:f>'EW Conference'!H7</x:f>
      </x:c>
      <x:c r="T7" s="19" t="n">
        <x:f>IF(R7="Exclude",0,IF(R7="Include",E7,Q7))</x:f>
        <x:v>1.1</x:v>
      </x:c>
      <x:c r="U7" s="15" t="str">
        <x:f>IF(T7&gt;0,"Funded",IF(P7="Eligible","Unfunded",P7))</x:f>
        <x:v>Funded</x:v>
      </x:c>
      <x:c r="V7" s="15" t="str">
        <x:f>IF(R7="Include","Conference inclusion: "&amp;S7,IF(R7="Exclude","Conference exclusion: "&amp;S7,IF(Q7&gt;0,H7&amp;" priority rank "&amp;I7&amp;"; whole initiative selected",P7)))</x:f>
        <x:v>LFR priority rank 2; whole initiative selected</x:v>
      </x:c>
      <x:c r="W7" s="15" t="str">
        <x:v>EW!177</x:v>
      </x:c>
      <x:c r="X7" s="15" t="str">
        <x:v>HEALTHY</x:v>
      </x:c>
      <x:c r="Y7" s="15" t="str">
        <x:v>HEALTHY / MUST-DO — P1 — Immediate</x:v>
      </x:c>
      <x:c r="Z7" s="15" t="str">
        <x:v>Decomm/Replatforming</x:v>
      </x:c>
      <x:c r="AA7" s="15" t="str">
        <x:v>Carry Over</x:v>
      </x:c>
      <x:c r="AB7" s="15" t="str">
        <x:v>Innovation and Digital IT</x:v>
      </x:c>
      <x:c r="AC7" s="15" t="str">
        <x:v>500 M Euro revenue at risk</x:v>
      </x:c>
      <x:c r="AD7" s="15" t="str">
        <x:v>Current technology is out of support (20 year old oracle). Need to replatform</x:v>
      </x:c>
      <x:c r="AE7" s="15" t="str">
        <x:v>Build new platform with help of AI</x:v>
      </x:c>
      <x:c r="AF7" s="15" t="str">
        <x:v>500 M Euro revenue at risk | Current technology is out of support (20 year old oracle). Need to replatform | Build new platform with help of AI</x:v>
      </x:c>
      <x:c r="AG7" s="15" t="str">
        <x:v>Must Do</x:v>
      </x:c>
      <x:c r="AH7" s="15" t="n">
        <x:v>179</x:v>
      </x:c>
    </x:row>
    <x:row r="8">
      <x:c r="A8" s="15" t="str">
        <x:v>Bu-101</x:v>
      </x:c>
      <x:c r="B8" s="15" t="str">
        <x:v>Kimball/Smoke changes</x:v>
      </x:c>
      <x:c r="C8" s="15" t="str">
        <x:v>BU Led</x:v>
      </x:c>
      <x:c r="D8" s="15" t="str">
        <x:v>Sleep &amp; Respiratory Care (SRC)</x:v>
      </x:c>
      <x:c r="E8" s="19" t="n">
        <x:v>0.1</x:v>
      </x:c>
      <x:c r="F8" s="19" t="n">
        <x:v>5.9</x:v>
      </x:c>
      <x:c r="G8" s="22" t="n">
        <x:f>IF(AND(E8&gt;0,ISNUMBER(F8)),F8/E8,"")</x:f>
        <x:v>59</x:v>
      </x:c>
      <x:c r="H8" s="15" t="str">
        <x:v>LFR</x:v>
      </x:c>
      <x:c r="I8" s="15" t="n">
        <x:v>3</x:v>
      </x:c>
      <x:c r="J8" s="15" t="n">
        <x:v>15</x:v>
      </x:c>
      <x:c r="K8" s="23" t="n">
        <x:f>IF(G8="",0,IF(G8&lt;1,0,IF(G8&lt;2,20,IF(G8&lt;3,30,IF(G8&lt;5,40,50)))))*'Scenario Controls'!$B$22/50</x:f>
        <x:v>50</x:v>
      </x:c>
      <x:c r="L8" s="23" t="n">
        <x:f>IF(ISNUMBER(SEARCH("Must Do",AG8)),25,IF(ISNUMBER(SEARCH("Must Have",AG8)),18,IF(ISNUMBER(SEARCH("Deprior",AG8)),5,0)))*'Scenario Controls'!$B$23/25</x:f>
        <x:v>25</x:v>
      </x:c>
      <x:c r="M8" s="23" t="n">
        <x:f>J8*'Scenario Controls'!$B$24/15</x:f>
        <x:v>15</x:v>
      </x:c>
      <x:c r="N8" s="23" t="n">
        <x:f>IF(ISNUMBER(SEARCH("HEALTHY",X8)),10,IF(ISNUMBER(SEARCH("CONTAIN",X8)),6,0))*'Scenario Controls'!$B$25/10</x:f>
        <x:v>10</x:v>
      </x:c>
      <x:c r="O8" s="23" t="n">
        <x:f>SUM(K8:N8)</x:f>
        <x:v>100</x:v>
      </x:c>
      <x:c r="P8" s="15" t="str">
        <x:f>IF(OR(B8="",E8&lt;=0),"Evidence missing / not eligible",IF(ISNUMBER(SEARCH("priority TBD",Y8)),"Evidence missing / not eligible",IF(AND(H8="Carryover",NOT(ISNUMBER(F8))),"Evidence missing / not eligible",IF(AND(H8="Carryover",G8&lt;'Scenario Controls'!$B$16),"Evidence missing / not eligible",IF(AND(H8="ROI-Based Portfolio",NOT(ISNUMBER(F8))),"Evidence missing / not eligible",IF(AND(H8="ROI-Based Portfolio",O8&lt;'Scenario Controls'!$B$20),"Evidence missing / not eligible","Eligible"))))))</x:f>
        <x:v>Eligible</x:v>
      </x:c>
      <x:c r="Q8" s="19" t="n">
        <x:f>IF(P8&lt;&gt;"Eligible",0,IF(AND(SUMIFS($Q$5:Q7,$H$5:H7,H8)+E8&lt;=(IF(H8="LFR",'Scenario Controls'!$F$10,IF(H8="Sustain Engineering",'Scenario Controls'!$F$11,IF(H8="Hygiene",'Scenario Controls'!$F$12,1E+99))))*(1+'Scenario Controls'!$B$7),SUM($Q$5:Q7)+E8&lt;='Scenario Controls'!$B$6*(1+'Scenario Controls'!$B$7)),E8,0))</x:f>
        <x:v>0.1</x:v>
      </x:c>
      <x:c r="R8" s="24" t="str">
        <x:f>'BU Conference'!G6</x:f>
        <x:v>Automatic</x:v>
      </x:c>
      <x:c r="S8" s="24" t="str">
        <x:f>'BU Conference'!H6</x:f>
      </x:c>
      <x:c r="T8" s="19" t="n">
        <x:f>IF(R8="Exclude",0,IF(R8="Include",E8,Q8))</x:f>
        <x:v>0.1</x:v>
      </x:c>
      <x:c r="U8" s="15" t="str">
        <x:f>IF(T8&gt;0,"Funded",IF(P8="Eligible","Unfunded",P8))</x:f>
        <x:v>Funded</x:v>
      </x:c>
      <x:c r="V8" s="15" t="str">
        <x:f>IF(R8="Include","Conference inclusion: "&amp;S8,IF(R8="Exclude","Conference exclusion: "&amp;S8,IF(Q8&gt;0,H8&amp;" priority rank "&amp;I8&amp;"; whole initiative selected",P8)))</x:f>
        <x:v>LFR priority rank 3; whole initiative selected</x:v>
      </x:c>
      <x:c r="W8" s="15" t="str">
        <x:v>Bu!242</x:v>
      </x:c>
      <x:c r="X8" s="15" t="str">
        <x:v>HEALTHY</x:v>
      </x:c>
      <x:c r="Y8" s="15" t="str">
        <x:v>HEALTHY / MUST-DO — P1 — Immediate</x:v>
      </x:c>
      <x:c r="Z8" s="15" t="str">
        <x:v>Legal Fiscal, Regulatory &amp; Compliancy</x:v>
      </x:c>
      <x:c r="AA8" s="15" t="str">
        <x:v>New Initiative</x:v>
      </x:c>
      <x:c r="AB8" s="15" t="str">
        <x:v>Integrated Supply Chain &amp; Finance</x:v>
      </x:c>
      <x:c r="AC8" s="15" t="str">
        <x:v>Direct impact on CD and injunction lift which prohibits us to sell in NA; overall revenue for that category was ~1000 M before injunction</x:v>
      </x:c>
      <x:c r="AD8" s="15" t="str">
        <x:v>Continuation of Smoke project with left over changes;</x:v>
      </x:c>
      <x:c r="AE8" s="15" t="str">
        <x:v>Continuation of Smoke project with left over changes;</x:v>
      </x:c>
      <x:c r="AF8" s="15" t="str">
        <x:v>Direct impact on CD and injunction lift which prohibits us to sell in NA; overall revenue for that category was ~1000 M before injunction | Continuation of Smoke project with left over changes; | Continuation of Smoke project with left over changes;</x:v>
      </x:c>
      <x:c r="AG8" s="15" t="str">
        <x:v>Must Do</x:v>
      </x:c>
      <x:c r="AH8" s="15" t="n">
        <x:v>278</x:v>
      </x:c>
    </x:row>
    <x:row r="9">
      <x:c r="A9" s="15" t="str">
        <x:v>Bu-61</x:v>
      </x:c>
      <x:c r="B9" s="15" t="str">
        <x:v>Entrepreneur Split</x:v>
      </x:c>
      <x:c r="C9" s="15" t="str">
        <x:v>BU Led</x:v>
      </x:c>
      <x:c r="D9" s="15" t="str">
        <x:v>Image Guided Therapy - Systems (IGT-S)</x:v>
      </x:c>
      <x:c r="E9" s="19" t="n">
        <x:v>0.7</x:v>
      </x:c>
      <x:c r="F9" s="19" t="n">
        <x:v>29.4</x:v>
      </x:c>
      <x:c r="G9" s="22" t="n">
        <x:f>IF(AND(E9&gt;0,ISNUMBER(F9)),F9/E9,"")</x:f>
        <x:v>42</x:v>
      </x:c>
      <x:c r="H9" s="15" t="str">
        <x:v>LFR</x:v>
      </x:c>
      <x:c r="I9" s="15" t="n">
        <x:v>4</x:v>
      </x:c>
      <x:c r="J9" s="15" t="n">
        <x:v>15</x:v>
      </x:c>
      <x:c r="K9" s="23" t="n">
        <x:f>IF(G9="",0,IF(G9&lt;1,0,IF(G9&lt;2,20,IF(G9&lt;3,30,IF(G9&lt;5,40,50)))))*'Scenario Controls'!$B$22/50</x:f>
        <x:v>50</x:v>
      </x:c>
      <x:c r="L9" s="23" t="n">
        <x:f>IF(ISNUMBER(SEARCH("Must Do",AG9)),25,IF(ISNUMBER(SEARCH("Must Have",AG9)),18,IF(ISNUMBER(SEARCH("Deprior",AG9)),5,0)))*'Scenario Controls'!$B$23/25</x:f>
        <x:v>25</x:v>
      </x:c>
      <x:c r="M9" s="23" t="n">
        <x:f>J9*'Scenario Controls'!$B$24/15</x:f>
        <x:v>15</x:v>
      </x:c>
      <x:c r="N9" s="23" t="n">
        <x:f>IF(ISNUMBER(SEARCH("HEALTHY",X9)),10,IF(ISNUMBER(SEARCH("CONTAIN",X9)),6,0))*'Scenario Controls'!$B$25/10</x:f>
        <x:v>10</x:v>
      </x:c>
      <x:c r="O9" s="23" t="n">
        <x:f>SUM(K9:N9)</x:f>
        <x:v>100</x:v>
      </x:c>
      <x:c r="P9" s="15" t="str">
        <x:f>IF(OR(B9="",E9&lt;=0),"Evidence missing / not eligible",IF(ISNUMBER(SEARCH("priority TBD",Y9)),"Evidence missing / not eligible",IF(AND(H9="Carryover",NOT(ISNUMBER(F9))),"Evidence missing / not eligible",IF(AND(H9="Carryover",G9&lt;'Scenario Controls'!$B$16),"Evidence missing / not eligible",IF(AND(H9="ROI-Based Portfolio",NOT(ISNUMBER(F9))),"Evidence missing / not eligible",IF(AND(H9="ROI-Based Portfolio",O9&lt;'Scenario Controls'!$B$20),"Evidence missing / not eligible","Eligible"))))))</x:f>
        <x:v>Eligible</x:v>
      </x:c>
      <x:c r="Q9" s="19" t="n">
        <x:f>IF(P9&lt;&gt;"Eligible",0,IF(AND(SUMIFS($Q$5:Q8,$H$5:H8,H9)+E9&lt;=(IF(H9="LFR",'Scenario Controls'!$F$10,IF(H9="Sustain Engineering",'Scenario Controls'!$F$11,IF(H9="Hygiene",'Scenario Controls'!$F$12,1E+99))))*(1+'Scenario Controls'!$B$7),SUM($Q$5:Q8)+E9&lt;='Scenario Controls'!$B$6*(1+'Scenario Controls'!$B$7)),E9,0))</x:f>
        <x:v>0.7</x:v>
      </x:c>
      <x:c r="R9" s="24" t="str">
        <x:f>'BU Conference'!G7</x:f>
        <x:v>Automatic</x:v>
      </x:c>
      <x:c r="S9" s="24" t="str">
        <x:f>'BU Conference'!H7</x:f>
      </x:c>
      <x:c r="T9" s="19" t="n">
        <x:f>IF(R9="Exclude",0,IF(R9="Include",E9,Q9))</x:f>
        <x:v>0.7</x:v>
      </x:c>
      <x:c r="U9" s="15" t="str">
        <x:f>IF(T9&gt;0,"Funded",IF(P9="Eligible","Unfunded",P9))</x:f>
        <x:v>Funded</x:v>
      </x:c>
      <x:c r="V9" s="15" t="str">
        <x:f>IF(R9="Include","Conference inclusion: "&amp;S9,IF(R9="Exclude","Conference exclusion: "&amp;S9,IF(Q9&gt;0,H9&amp;" priority rank "&amp;I9&amp;"; whole initiative selected",P9)))</x:f>
        <x:v>LFR priority rank 4; whole initiative selected</x:v>
      </x:c>
      <x:c r="W9" s="15" t="str">
        <x:v>Bu!134</x:v>
      </x:c>
      <x:c r="X9" s="15" t="str">
        <x:v>HEALTHY</x:v>
      </x:c>
      <x:c r="Y9" s="15" t="str">
        <x:v>HEALTHY / MUST-DO — P1 — Immediate</x:v>
      </x:c>
      <x:c r="Z9" s="15" t="str">
        <x:v>New Feature</x:v>
      </x:c>
      <x:c r="AA9" s="15" t="str">
        <x:v>New Initiative</x:v>
      </x:c>
      <x:c r="AB9" s="15" t="str">
        <x:v>Integrated Supply Chain &amp; Finance</x:v>
      </x:c>
      <x:c r="AC9" s="15" t="str">
        <x:v>Key enabler for network optimization driving ~€10M+ net P&amp;L impact.</x:v>
      </x:c>
      <x:c r="AD9" s="15" t="str">
        <x:v>Entrepreneur split - Split of SAP MBP Best factory from the Entrepreneur organization; future-factory blueprint.</x:v>
      </x:c>
      <x:c r="AE9" s="15" t="str">
        <x:v>Entrepreneur split - Split of SAP MBP Best factory from the Entrepreneur organization; future-factory blueprint.</x:v>
      </x:c>
      <x:c r="AF9" s="15" t="str">
        <x:v>Key enabler for network optimization driving ~€10M+ net P&amp;L impact. | Entrepreneur split - Split of SAP MBP Best factory from the Entrepreneur organization; future-factory blueprint. | Entrepreneur split - Split of SAP MBP Best factory from the Entrepreneur organization; future-factory blueprint.</x:v>
      </x:c>
      <x:c r="AG9" s="15" t="str">
        <x:v>Must Do</x:v>
      </x:c>
      <x:c r="AH9" s="15" t="n">
        <x:v>238</x:v>
      </x:c>
    </x:row>
    <x:row r="10">
      <x:c r="A10" s="15" t="str">
        <x:v>EW-69</x:v>
      </x:c>
      <x:c r="B10" s="15" t="str">
        <x:v>eClinical Platform - Compliance &amp; Sustain</x:v>
      </x:c>
      <x:c r="C10" s="15" t="str">
        <x:v>EW Led</x:v>
      </x:c>
      <x:c r="D10" s="15" t="str">
        <x:v>Medical Office</x:v>
      </x:c>
      <x:c r="E10" s="19" t="n">
        <x:v>0.35</x:v>
      </x:c>
      <x:c r="F10" s="19" t="n">
        <x:v>3.9</x:v>
      </x:c>
      <x:c r="G10" s="22" t="n">
        <x:f>IF(AND(E10&gt;0,ISNUMBER(F10)),F10/E10,"")</x:f>
        <x:v>11.142857142857144</x:v>
      </x:c>
      <x:c r="H10" s="15" t="str">
        <x:v>LFR</x:v>
      </x:c>
      <x:c r="I10" s="15" t="n">
        <x:v>5</x:v>
      </x:c>
      <x:c r="J10" s="15" t="n">
        <x:v>15</x:v>
      </x:c>
      <x:c r="K10" s="23" t="n">
        <x:f>IF(G10="",0,IF(G10&lt;1,0,IF(G10&lt;2,20,IF(G10&lt;3,30,IF(G10&lt;5,40,50)))))*'Scenario Controls'!$B$22/50</x:f>
        <x:v>50</x:v>
      </x:c>
      <x:c r="L10" s="23" t="n">
        <x:f>IF(ISNUMBER(SEARCH("Must Do",AG10)),25,IF(ISNUMBER(SEARCH("Must Have",AG10)),18,IF(ISNUMBER(SEARCH("Deprior",AG10)),5,0)))*'Scenario Controls'!$B$23/25</x:f>
        <x:v>25</x:v>
      </x:c>
      <x:c r="M10" s="23" t="n">
        <x:f>J10*'Scenario Controls'!$B$24/15</x:f>
        <x:v>15</x:v>
      </x:c>
      <x:c r="N10" s="23" t="n">
        <x:f>IF(ISNUMBER(SEARCH("HEALTHY",X10)),10,IF(ISNUMBER(SEARCH("CONTAIN",X10)),6,0))*'Scenario Controls'!$B$25/10</x:f>
        <x:v>10</x:v>
      </x:c>
      <x:c r="O10" s="23" t="n">
        <x:f>SUM(K10:N10)</x:f>
        <x:v>100</x:v>
      </x:c>
      <x:c r="P10" s="15" t="str">
        <x:f>IF(OR(B10="",E10&lt;=0),"Evidence missing / not eligible",IF(ISNUMBER(SEARCH("priority TBD",Y10)),"Evidence missing / not eligible",IF(AND(H10="Carryover",NOT(ISNUMBER(F10))),"Evidence missing / not eligible",IF(AND(H10="Carryover",G10&lt;'Scenario Controls'!$B$16),"Evidence missing / not eligible",IF(AND(H10="ROI-Based Portfolio",NOT(ISNUMBER(F10))),"Evidence missing / not eligible",IF(AND(H10="ROI-Based Portfolio",O10&lt;'Scenario Controls'!$B$20),"Evidence missing / not eligible","Eligible"))))))</x:f>
        <x:v>Eligible</x:v>
      </x:c>
      <x:c r="Q10" s="19" t="n">
        <x:f>IF(P10&lt;&gt;"Eligible",0,IF(AND(SUMIFS($Q$5:Q9,$H$5:H9,H10)+E10&lt;=(IF(H10="LFR",'Scenario Controls'!$F$10,IF(H10="Sustain Engineering",'Scenario Controls'!$F$11,IF(H10="Hygiene",'Scenario Controls'!$F$12,1E+99))))*(1+'Scenario Controls'!$B$7),SUM($Q$5:Q9)+E10&lt;='Scenario Controls'!$B$6*(1+'Scenario Controls'!$B$7)),E10,0))</x:f>
        <x:v>0.35</x:v>
      </x:c>
      <x:c r="R10" s="24" t="str">
        <x:f>'EW Conference'!G8</x:f>
        <x:v>Automatic</x:v>
      </x:c>
      <x:c r="S10" s="24" t="str">
        <x:f>'EW Conference'!H8</x:f>
      </x:c>
      <x:c r="T10" s="19" t="n">
        <x:f>IF(R10="Exclude",0,IF(R10="Include",E10,Q10))</x:f>
        <x:v>0.35</x:v>
      </x:c>
      <x:c r="U10" s="15" t="str">
        <x:f>IF(T10&gt;0,"Funded",IF(P10="Eligible","Unfunded",P10))</x:f>
        <x:v>Funded</x:v>
      </x:c>
      <x:c r="V10" s="15" t="str">
        <x:f>IF(R10="Include","Conference inclusion: "&amp;S10,IF(R10="Exclude","Conference exclusion: "&amp;S10,IF(Q10&gt;0,H10&amp;" priority rank "&amp;I10&amp;"; whole initiative selected",P10)))</x:f>
        <x:v>LFR priority rank 5; whole initiative selected</x:v>
      </x:c>
      <x:c r="W10" s="15" t="str">
        <x:v>EW!65</x:v>
      </x:c>
      <x:c r="X10" s="15" t="str">
        <x:v>HEALTHY</x:v>
      </x:c>
      <x:c r="Y10" s="15" t="str">
        <x:v>HEALTHY / MUST-DO — P1 — Immediate</x:v>
      </x:c>
      <x:c r="Z10" s="15" t="str">
        <x:v>Legal Fiscal, Regulatory &amp; Compliancy</x:v>
      </x:c>
      <x:c r="AA10" s="15" t="str">
        <x:v>Carry Over</x:v>
      </x:c>
      <x:c r="AB10" s="15" t="str">
        <x:v>Innovation and Digital IT</x:v>
      </x:c>
      <x:c r="AC10" s="15" t="str">
        <x:v>non compliance and see @investor 68502 v2</x:v>
      </x:c>
      <x:c r="AD10" s="15" t="str">
        <x: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x:v>
      </x:c>
      <x:c r="AE10" s="15" t="str">
        <x: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x:v>
      </x:c>
      <x:c r="AF10" s="15" t="str">
        <x:v>non compliance and see @investor 68502 v2 |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x:v>
      </x:c>
      <x:c r="AG10" s="15" t="str">
        <x:v>Must Do</x:v>
      </x:c>
      <x:c r="AH10" s="15" t="n">
        <x:v>67</x:v>
      </x:c>
    </x:row>
    <x:row r="11">
      <x:c r="A11" s="15" t="str">
        <x:v>EW-68</x:v>
      </x:c>
      <x:c r="B11" s="15" t="str">
        <x:v>Veeva Program (@investor - Evidence &amp; Claims Management)</x:v>
      </x:c>
      <x:c r="C11" s="15" t="str">
        <x:v>EW Led</x:v>
      </x:c>
      <x:c r="D11" s="15" t="str">
        <x:v>Medical Office</x:v>
      </x:c>
      <x:c r="E11" s="19" t="n">
        <x:v>0.725</x:v>
      </x:c>
      <x:c r="F11" s="19" t="n">
        <x:v>9.464</x:v>
      </x:c>
      <x:c r="G11" s="22" t="n">
        <x:f>IF(AND(E11&gt;0,ISNUMBER(F11)),F11/E11,"")</x:f>
        <x:v>13.053793103448276</x:v>
      </x:c>
      <x:c r="H11" s="15" t="str">
        <x:v>LFR</x:v>
      </x:c>
      <x:c r="I11" s="15" t="n">
        <x:v>6</x:v>
      </x:c>
      <x:c r="J11" s="15" t="n">
        <x:v>10</x:v>
      </x:c>
      <x:c r="K11" s="23" t="n">
        <x:f>IF(G11="",0,IF(G11&lt;1,0,IF(G11&lt;2,20,IF(G11&lt;3,30,IF(G11&lt;5,40,50)))))*'Scenario Controls'!$B$22/50</x:f>
        <x:v>50</x:v>
      </x:c>
      <x:c r="L11" s="23" t="n">
        <x:f>IF(ISNUMBER(SEARCH("Must Do",AG11)),25,IF(ISNUMBER(SEARCH("Must Have",AG11)),18,IF(ISNUMBER(SEARCH("Deprior",AG11)),5,0)))*'Scenario Controls'!$B$23/25</x:f>
        <x:v>25</x:v>
      </x:c>
      <x:c r="M11" s="23" t="n">
        <x:f>J11*'Scenario Controls'!$B$24/15</x:f>
        <x:v>10</x:v>
      </x:c>
      <x:c r="N11" s="23" t="n">
        <x:f>IF(ISNUMBER(SEARCH("HEALTHY",X11)),10,IF(ISNUMBER(SEARCH("CONTAIN",X11)),6,0))*'Scenario Controls'!$B$25/10</x:f>
        <x:v>10</x:v>
      </x:c>
      <x:c r="O11" s="23" t="n">
        <x:f>SUM(K11:N11)</x:f>
        <x:v>95</x:v>
      </x:c>
      <x:c r="P11" s="15" t="str">
        <x:f>IF(OR(B11="",E11&lt;=0),"Evidence missing / not eligible",IF(ISNUMBER(SEARCH("priority TBD",Y11)),"Evidence missing / not eligible",IF(AND(H11="Carryover",NOT(ISNUMBER(F11))),"Evidence missing / not eligible",IF(AND(H11="Carryover",G11&lt;'Scenario Controls'!$B$16),"Evidence missing / not eligible",IF(AND(H11="ROI-Based Portfolio",NOT(ISNUMBER(F11))),"Evidence missing / not eligible",IF(AND(H11="ROI-Based Portfolio",O11&lt;'Scenario Controls'!$B$20),"Evidence missing / not eligible","Eligible"))))))</x:f>
        <x:v>Eligible</x:v>
      </x:c>
      <x:c r="Q11" s="19" t="n">
        <x:f>IF(P11&lt;&gt;"Eligible",0,IF(AND(SUMIFS($Q$5:Q10,$H$5:H10,H11)+E11&lt;=(IF(H11="LFR",'Scenario Controls'!$F$10,IF(H11="Sustain Engineering",'Scenario Controls'!$F$11,IF(H11="Hygiene",'Scenario Controls'!$F$12,1E+99))))*(1+'Scenario Controls'!$B$7),SUM($Q$5:Q10)+E11&lt;='Scenario Controls'!$B$6*(1+'Scenario Controls'!$B$7)),E11,0))</x:f>
        <x:v>0.725</x:v>
      </x:c>
      <x:c r="R11" s="24" t="str">
        <x:f>'EW Conference'!G9</x:f>
        <x:v>Automatic</x:v>
      </x:c>
      <x:c r="S11" s="24" t="str">
        <x:f>'EW Conference'!H9</x:f>
      </x:c>
      <x:c r="T11" s="19" t="n">
        <x:f>IF(R11="Exclude",0,IF(R11="Include",E11,Q11))</x:f>
        <x:v>0.725</x:v>
      </x:c>
      <x:c r="U11" s="15" t="str">
        <x:f>IF(T11&gt;0,"Funded",IF(P11="Eligible","Unfunded",P11))</x:f>
        <x:v>Funded</x:v>
      </x:c>
      <x:c r="V11" s="15" t="str">
        <x:f>IF(R11="Include","Conference inclusion: "&amp;S11,IF(R11="Exclude","Conference exclusion: "&amp;S11,IF(Q11&gt;0,H11&amp;" priority rank "&amp;I11&amp;"; whole initiative selected",P11)))</x:f>
        <x:v>LFR priority rank 6; whole initiative selected</x:v>
      </x:c>
      <x:c r="W11" s="15" t="str">
        <x:v>EW!64</x:v>
      </x:c>
      <x:c r="X11" s="15" t="str">
        <x:v>HEALTHY</x:v>
      </x:c>
      <x:c r="Y11" s="15" t="str">
        <x:v>HEALTHY / MUST-DO — P1 — Immediate</x:v>
      </x:c>
      <x:c r="Z11" s="15" t="str">
        <x:v>Legal Fiscal, Regulatory &amp; Compliancy</x:v>
      </x:c>
      <x:c r="AA11" s="15" t="str">
        <x:v>Carry Over</x:v>
      </x:c>
      <x:c r="AB11" s="15" t="str">
        <x:v>Innovation and Digital IT</x:v>
      </x:c>
      <x:c r="AC11" s="15" t="str">
        <x:v>non compliance and see @investor 67273 v2</x:v>
      </x:c>
      <x:c r="AD11" s="15" t="str">
        <x: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x:v>
      </x:c>
      <x:c r="AE11" s="15" t="str">
        <x: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x:v>
      </x:c>
      <x:c r="AF11" s="15" t="str">
        <x:v>non compliance and see @investor 67273 v2 |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x:v>
      </x:c>
      <x:c r="AG11" s="15" t="str">
        <x:v>Must Do</x:v>
      </x:c>
      <x:c r="AH11" s="15" t="n">
        <x:v>66</x:v>
      </x:c>
    </x:row>
    <x:row r="12">
      <x:c r="A12" s="15" t="str">
        <x:v>EW-45</x:v>
      </x:c>
      <x:c r="B12" s="15" t="str">
        <x:v>FIN-IR - Brazil Tax Reform Phase 3</x:v>
      </x:c>
      <x:c r="C12" s="15" t="str">
        <x:v>EW Led</x:v>
      </x:c>
      <x:c r="D12" s="15" t="str">
        <x:v>International Regions (IR) - Overall</x:v>
      </x:c>
      <x:c r="E12" s="19" t="n">
        <x:v>0.55</x:v>
      </x:c>
      <x:c r="F12" s="19" t="n">
        <x:v>1150</x:v>
      </x:c>
      <x:c r="G12" s="22" t="n">
        <x:f>IF(AND(E12&gt;0,ISNUMBER(F12)),F12/E12,"")</x:f>
        <x:v>2090.9090909090905</x:v>
      </x:c>
      <x:c r="H12" s="15" t="str">
        <x:v>LFR</x:v>
      </x:c>
      <x:c r="I12" s="15" t="n">
        <x:v>7</x:v>
      </x:c>
      <x:c r="J12" s="15" t="n">
        <x:v>5</x:v>
      </x:c>
      <x:c r="K12" s="23" t="n">
        <x:f>IF(G12="",0,IF(G12&lt;1,0,IF(G12&lt;2,20,IF(G12&lt;3,30,IF(G12&lt;5,40,50)))))*'Scenario Controls'!$B$22/50</x:f>
        <x:v>50</x:v>
      </x:c>
      <x:c r="L12" s="23" t="n">
        <x:f>IF(ISNUMBER(SEARCH("Must Do",AG12)),25,IF(ISNUMBER(SEARCH("Must Have",AG12)),18,IF(ISNUMBER(SEARCH("Deprior",AG12)),5,0)))*'Scenario Controls'!$B$23/25</x:f>
        <x:v>25</x:v>
      </x:c>
      <x:c r="M12" s="23" t="n">
        <x:f>J12*'Scenario Controls'!$B$24/15</x:f>
        <x:v>5</x:v>
      </x:c>
      <x:c r="N12" s="23" t="n">
        <x:f>IF(ISNUMBER(SEARCH("HEALTHY",X12)),10,IF(ISNUMBER(SEARCH("CONTAIN",X12)),6,0))*'Scenario Controls'!$B$25/10</x:f>
        <x:v>10</x:v>
      </x:c>
      <x:c r="O12" s="23" t="n">
        <x:f>SUM(K12:N12)</x:f>
        <x:v>90</x:v>
      </x:c>
      <x:c r="P12" s="15" t="str">
        <x:f>IF(OR(B12="",E12&lt;=0),"Evidence missing / not eligible",IF(ISNUMBER(SEARCH("priority TBD",Y12)),"Evidence missing / not eligible",IF(AND(H12="Carryover",NOT(ISNUMBER(F12))),"Evidence missing / not eligible",IF(AND(H12="Carryover",G12&lt;'Scenario Controls'!$B$16),"Evidence missing / not eligible",IF(AND(H12="ROI-Based Portfolio",NOT(ISNUMBER(F12))),"Evidence missing / not eligible",IF(AND(H12="ROI-Based Portfolio",O12&lt;'Scenario Controls'!$B$20),"Evidence missing / not eligible","Eligible"))))))</x:f>
        <x:v>Eligible</x:v>
      </x:c>
      <x:c r="Q12" s="19" t="n">
        <x:f>IF(P12&lt;&gt;"Eligible",0,IF(AND(SUMIFS($Q$5:Q11,$H$5:H11,H12)+E12&lt;=(IF(H12="LFR",'Scenario Controls'!$F$10,IF(H12="Sustain Engineering",'Scenario Controls'!$F$11,IF(H12="Hygiene",'Scenario Controls'!$F$12,1E+99))))*(1+'Scenario Controls'!$B$7),SUM($Q$5:Q11)+E12&lt;='Scenario Controls'!$B$6*(1+'Scenario Controls'!$B$7)),E12,0))</x:f>
        <x:v>0.55</x:v>
      </x:c>
      <x:c r="R12" s="24" t="str">
        <x:f>'EW Conference'!G10</x:f>
        <x:v>Automatic</x:v>
      </x:c>
      <x:c r="S12" s="24" t="str">
        <x:f>'EW Conference'!H10</x:f>
      </x:c>
      <x:c r="T12" s="19" t="n">
        <x:f>IF(R12="Exclude",0,IF(R12="Include",E12,Q12))</x:f>
        <x:v>0.55</x:v>
      </x:c>
      <x:c r="U12" s="15" t="str">
        <x:f>IF(T12&gt;0,"Funded",IF(P12="Eligible","Unfunded",P12))</x:f>
        <x:v>Funded</x:v>
      </x:c>
      <x:c r="V12" s="15" t="str">
        <x:f>IF(R12="Include","Conference inclusion: "&amp;S12,IF(R12="Exclude","Conference exclusion: "&amp;S12,IF(Q12&gt;0,H12&amp;" priority rank "&amp;I12&amp;"; whole initiative selected",P12)))</x:f>
        <x:v>LFR priority rank 7; whole initiative selected</x:v>
      </x:c>
      <x:c r="W12" s="15" t="str">
        <x:v>EW!45</x:v>
      </x:c>
      <x:c r="X12" s="15" t="str">
        <x:v>HEALTHY</x:v>
      </x:c>
      <x:c r="Y12" s="15" t="str">
        <x:v>HEALTHY / MUST-DO — P1 — Immediate</x:v>
      </x:c>
      <x:c r="Z12" s="15" t="str">
        <x:v>Legal Fiscal, Regulatory &amp; Compliancy</x:v>
      </x:c>
      <x:c r="AA12" s="15" t="str">
        <x:v>Carry Over</x:v>
      </x:c>
      <x:c r="AB12" s="15" t="str">
        <x:v>Integrated Supply Chain &amp; Finance</x:v>
      </x:c>
      <x:c r="AC12" s="15" t="str">
        <x:v>-not compliant with Tax rules in Brazil</x:v>
      </x:c>
      <x:c r="AD12" s="15" t="str">
        <x:v>Brazil govt runs multi-year program of incremental phases of a larger tax reform, leadtimes of new requirements until due are short and i-year</x:v>
      </x:c>
      <x:c r="AE12" s="15" t="str">
        <x:v>All BU/Kernel and tax related systems, Brazil only.</x:v>
      </x:c>
      <x:c r="AF12" s="15" t="str">
        <x:v>-not compliant with Tax rules in Brazil | Brazil govt runs multi-year program of incremental phases of a larger tax reform, leadtimes of new requirements until due are short and i-year | All BU/Kernel and tax related systems, Brazil only.</x:v>
      </x:c>
      <x:c r="AG12" s="15" t="str">
        <x:v>Must Do</x:v>
      </x:c>
      <x:c r="AH12" s="15" t="n">
        <x:v>47</x:v>
      </x:c>
    </x:row>
    <x:row r="13">
      <x:c r="A13" s="15" t="str">
        <x:v>EW-46</x:v>
      </x:c>
      <x:c r="B13" s="15" t="str">
        <x:v>FIN-IR - India Privacy Data Protection Bill (deferred from 2026 on PF request)</x:v>
      </x:c>
      <x:c r="C13" s="15" t="str">
        <x:v>EW Led</x:v>
      </x:c>
      <x:c r="D13" s="15" t="str">
        <x:v>International Regions (IR) - Overall</x:v>
      </x:c>
      <x:c r="E13" s="19" t="n">
        <x:v>0.1</x:v>
      </x:c>
      <x:c r="F13" s="19" t="n">
        <x:v>110</x:v>
      </x:c>
      <x:c r="G13" s="22" t="n">
        <x:f>IF(AND(E13&gt;0,ISNUMBER(F13)),F13/E13,"")</x:f>
        <x:v>1100</x:v>
      </x:c>
      <x:c r="H13" s="15" t="str">
        <x:v>LFR</x:v>
      </x:c>
      <x:c r="I13" s="15" t="n">
        <x:v>8</x:v>
      </x:c>
      <x:c r="J13" s="15" t="n">
        <x:v>5</x:v>
      </x:c>
      <x:c r="K13" s="23" t="n">
        <x:f>IF(G13="",0,IF(G13&lt;1,0,IF(G13&lt;2,20,IF(G13&lt;3,30,IF(G13&lt;5,40,50)))))*'Scenario Controls'!$B$22/50</x:f>
        <x:v>50</x:v>
      </x:c>
      <x:c r="L13" s="23" t="n">
        <x:f>IF(ISNUMBER(SEARCH("Must Do",AG13)),25,IF(ISNUMBER(SEARCH("Must Have",AG13)),18,IF(ISNUMBER(SEARCH("Deprior",AG13)),5,0)))*'Scenario Controls'!$B$23/25</x:f>
        <x:v>25</x:v>
      </x:c>
      <x:c r="M13" s="23" t="n">
        <x:f>J13*'Scenario Controls'!$B$24/15</x:f>
        <x:v>5</x:v>
      </x:c>
      <x:c r="N13" s="23" t="n">
        <x:f>IF(ISNUMBER(SEARCH("HEALTHY",X13)),10,IF(ISNUMBER(SEARCH("CONTAIN",X13)),6,0))*'Scenario Controls'!$B$25/10</x:f>
        <x:v>10</x:v>
      </x:c>
      <x:c r="O13" s="23" t="n">
        <x:f>SUM(K13:N13)</x:f>
        <x:v>90</x:v>
      </x:c>
      <x:c r="P13" s="15" t="str">
        <x:f>IF(OR(B13="",E13&lt;=0),"Evidence missing / not eligible",IF(ISNUMBER(SEARCH("priority TBD",Y13)),"Evidence missing / not eligible",IF(AND(H13="Carryover",NOT(ISNUMBER(F13))),"Evidence missing / not eligible",IF(AND(H13="Carryover",G13&lt;'Scenario Controls'!$B$16),"Evidence missing / not eligible",IF(AND(H13="ROI-Based Portfolio",NOT(ISNUMBER(F13))),"Evidence missing / not eligible",IF(AND(H13="ROI-Based Portfolio",O13&lt;'Scenario Controls'!$B$20),"Evidence missing / not eligible","Eligible"))))))</x:f>
        <x:v>Eligible</x:v>
      </x:c>
      <x:c r="Q13" s="19" t="n">
        <x:f>IF(P13&lt;&gt;"Eligible",0,IF(AND(SUMIFS($Q$5:Q12,$H$5:H12,H13)+E13&lt;=(IF(H13="LFR",'Scenario Controls'!$F$10,IF(H13="Sustain Engineering",'Scenario Controls'!$F$11,IF(H13="Hygiene",'Scenario Controls'!$F$12,1E+99))))*(1+'Scenario Controls'!$B$7),SUM($Q$5:Q12)+E13&lt;='Scenario Controls'!$B$6*(1+'Scenario Controls'!$B$7)),E13,0))</x:f>
        <x:v>0.1</x:v>
      </x:c>
      <x:c r="R13" s="24" t="str">
        <x:f>'EW Conference'!G11</x:f>
        <x:v>Automatic</x:v>
      </x:c>
      <x:c r="S13" s="24" t="str">
        <x:f>'EW Conference'!H11</x:f>
      </x:c>
      <x:c r="T13" s="19" t="n">
        <x:f>IF(R13="Exclude",0,IF(R13="Include",E13,Q13))</x:f>
        <x:v>0.1</x:v>
      </x:c>
      <x:c r="U13" s="15" t="str">
        <x:f>IF(T13&gt;0,"Funded",IF(P13="Eligible","Unfunded",P13))</x:f>
        <x:v>Funded</x:v>
      </x:c>
      <x:c r="V13" s="15" t="str">
        <x:f>IF(R13="Include","Conference inclusion: "&amp;S13,IF(R13="Exclude","Conference exclusion: "&amp;S13,IF(Q13&gt;0,H13&amp;" priority rank "&amp;I13&amp;"; whole initiative selected",P13)))</x:f>
        <x:v>LFR priority rank 8; whole initiative selected</x:v>
      </x:c>
      <x:c r="W13" s="15" t="str">
        <x:v>EW!46</x:v>
      </x:c>
      <x:c r="X13" s="15" t="str">
        <x:v>HEALTHY</x:v>
      </x:c>
      <x:c r="Y13" s="15" t="str">
        <x:v>HEALTHY / MUST-DO — P1 — Immediate</x:v>
      </x:c>
      <x:c r="Z13" s="15" t="str">
        <x:v>Legal Fiscal, Regulatory &amp; Compliancy</x:v>
      </x:c>
      <x:c r="AA13" s="15" t="str">
        <x:v>Carry Over</x:v>
      </x:c>
      <x:c r="AB13" s="15" t="str">
        <x:v>Integrated Supply Chain &amp; Finance</x:v>
      </x:c>
      <x:c r="AC13" s="15" t="str">
        <x:v>-India Privacy Act Compliance</x:v>
      </x:c>
      <x:c r="AD13" s="15" t="str">
        <x:v>India landscape must adhere to commissioned Digital Privacy Data Protection Act. Started in 2026 with some scop deferred to 'last minute' (04'27)</x:v>
      </x:c>
      <x:c r="AE13" s="15" t="str">
        <x:v>India only, all local &amp; global systems, KPMG involved for evaluation</x:v>
      </x:c>
      <x:c r="AF13" s="15" t="str">
        <x:v>-India Privacy Act Compliance | India landscape must adhere to commissioned Digital Privacy Data Protection Act. Started in 2026 with some scop deferred to 'last minute' (04'27) | India only, all local &amp; global systems, KPMG involved for evaluation</x:v>
      </x:c>
      <x:c r="AG13" s="15" t="str">
        <x:v>Must Do</x:v>
      </x:c>
      <x:c r="AH13" s="15" t="n">
        <x:v>48</x:v>
      </x:c>
    </x:row>
    <x:row r="14">
      <x:c r="A14" s="15" t="str">
        <x:v>EW-124</x:v>
      </x:c>
      <x:c r="B14" s="15" t="str">
        <x:v>I2M Planisware : Audit Readiness &amp; Innovation Reporting Enablement</x:v>
      </x:c>
      <x:c r="C14" s="15" t="str">
        <x:v>EW Led</x:v>
      </x:c>
      <x:c r="D14" s="15" t="str">
        <x:v>Innovation and Design Business Operations</x:v>
      </x:c>
      <x:c r="E14" s="19" t="n">
        <x:v>0.5</x:v>
      </x:c>
      <x:c r="F14" s="19" t="n">
        <x:v>250</x:v>
      </x:c>
      <x:c r="G14" s="22" t="n">
        <x:f>IF(AND(E14&gt;0,ISNUMBER(F14)),F14/E14,"")</x:f>
        <x:v>500</x:v>
      </x:c>
      <x:c r="H14" s="15" t="str">
        <x:v>LFR</x:v>
      </x:c>
      <x:c r="I14" s="15" t="n">
        <x:v>9</x:v>
      </x:c>
      <x:c r="J14" s="15" t="n">
        <x:v>5</x:v>
      </x:c>
      <x:c r="K14" s="23" t="n">
        <x:f>IF(G14="",0,IF(G14&lt;1,0,IF(G14&lt;2,20,IF(G14&lt;3,30,IF(G14&lt;5,40,50)))))*'Scenario Controls'!$B$22/50</x:f>
        <x:v>50</x:v>
      </x:c>
      <x:c r="L14" s="23" t="n">
        <x:f>IF(ISNUMBER(SEARCH("Must Do",AG14)),25,IF(ISNUMBER(SEARCH("Must Have",AG14)),18,IF(ISNUMBER(SEARCH("Deprior",AG14)),5,0)))*'Scenario Controls'!$B$23/25</x:f>
        <x:v>25</x:v>
      </x:c>
      <x:c r="M14" s="23" t="n">
        <x:f>J14*'Scenario Controls'!$B$24/15</x:f>
        <x:v>5</x:v>
      </x:c>
      <x:c r="N14" s="23" t="n">
        <x:f>IF(ISNUMBER(SEARCH("HEALTHY",X14)),10,IF(ISNUMBER(SEARCH("CONTAIN",X14)),6,0))*'Scenario Controls'!$B$25/10</x:f>
        <x:v>10</x:v>
      </x:c>
      <x:c r="O14" s="23" t="n">
        <x:f>SUM(K14:N14)</x:f>
        <x:v>90</x:v>
      </x:c>
      <x:c r="P14" s="15" t="str">
        <x:f>IF(OR(B14="",E14&lt;=0),"Evidence missing / not eligible",IF(ISNUMBER(SEARCH("priority TBD",Y14)),"Evidence missing / not eligible",IF(AND(H14="Carryover",NOT(ISNUMBER(F14))),"Evidence missing / not eligible",IF(AND(H14="Carryover",G14&lt;'Scenario Controls'!$B$16),"Evidence missing / not eligible",IF(AND(H14="ROI-Based Portfolio",NOT(ISNUMBER(F14))),"Evidence missing / not eligible",IF(AND(H14="ROI-Based Portfolio",O14&lt;'Scenario Controls'!$B$20),"Evidence missing / not eligible","Eligible"))))))</x:f>
        <x:v>Eligible</x:v>
      </x:c>
      <x:c r="Q14" s="19" t="n">
        <x:f>IF(P14&lt;&gt;"Eligible",0,IF(AND(SUMIFS($Q$5:Q13,$H$5:H13,H14)+E14&lt;=(IF(H14="LFR",'Scenario Controls'!$F$10,IF(H14="Sustain Engineering",'Scenario Controls'!$F$11,IF(H14="Hygiene",'Scenario Controls'!$F$12,1E+99))))*(1+'Scenario Controls'!$B$7),SUM($Q$5:Q13)+E14&lt;='Scenario Controls'!$B$6*(1+'Scenario Controls'!$B$7)),E14,0))</x:f>
        <x:v>0.5</x:v>
      </x:c>
      <x:c r="R14" s="24" t="str">
        <x:f>'EW Conference'!G12</x:f>
        <x:v>Automatic</x:v>
      </x:c>
      <x:c r="S14" s="24" t="str">
        <x:f>'EW Conference'!H12</x:f>
      </x:c>
      <x:c r="T14" s="19" t="n">
        <x:f>IF(R14="Exclude",0,IF(R14="Include",E14,Q14))</x:f>
        <x:v>0.5</x:v>
      </x:c>
      <x:c r="U14" s="15" t="str">
        <x:f>IF(T14&gt;0,"Funded",IF(P14="Eligible","Unfunded",P14))</x:f>
        <x:v>Funded</x:v>
      </x:c>
      <x:c r="V14" s="15" t="str">
        <x:f>IF(R14="Include","Conference inclusion: "&amp;S14,IF(R14="Exclude","Conference exclusion: "&amp;S14,IF(Q14&gt;0,H14&amp;" priority rank "&amp;I14&amp;"; whole initiative selected",P14)))</x:f>
        <x:v>LFR priority rank 9; whole initiative selected</x:v>
      </x:c>
      <x:c r="W14" s="15" t="str">
        <x:v>EW!120</x:v>
      </x:c>
      <x:c r="X14" s="15" t="str">
        <x:v>HEALTHY</x:v>
      </x:c>
      <x:c r="Y14" s="15" t="str">
        <x:v>HEALTHY / MUST-DO — P1 — Immediate</x:v>
      </x:c>
      <x:c r="Z14" s="15" t="str">
        <x:v>Legal Fiscal, Regulatory &amp; Compliancy</x:v>
      </x:c>
      <x:c r="AA14" s="15" t="str">
        <x:v>Carry Over</x:v>
      </x:c>
      <x:c r="AB14" s="15" t="str">
        <x:v>Innovation and Digital IT</x:v>
      </x:c>
      <x:c r="AC14" s="15" t="str">
        <x:v>Not compliant with external laws, regulations, tax requirements, audit obligations, and external commitments. When failing the audit will cause the capitalized amount of I2M assets amortization to be impaired. The chance of failing is significant if we dont adhere to SOx Standard.</x:v>
      </x:c>
      <x:c r="AD14" s="15" t="str">
        <x:v>•Ensuring Planisware compliant with external laws, regulations, tax requirements, audit obligations, and external commitments.</x:v>
      </x:c>
      <x:c r="AE14" s="15" t="str">
        <x:v>Compliant ready tooling</x:v>
      </x:c>
      <x:c r="AF14" s="15" t="str">
        <x:v>Not compliant with external laws, regulations, tax requirements, audit obligations, and external commitments. When failing the audit will cause the capitalized amount of I2M assets amortization to be impaired. The chance of failing is significant if we dont adhere to SOx Standard. | •Ensuring Planisware compliant with external laws, regulations, tax requirements, audit obligations, and external commitments. | Compliant ready tooling</x:v>
      </x:c>
      <x:c r="AG14" s="15" t="str">
        <x:v>Must Do</x:v>
      </x:c>
      <x:c r="AH14" s="15" t="n">
        <x:v>122</x:v>
      </x:c>
    </x:row>
    <x:row r="15">
      <x:c r="A15" s="15" t="str">
        <x:v>EW-04</x:v>
      </x:c>
      <x:c r="B15" s="15" t="str">
        <x:v>Healthcare Compliance Project Engage</x:v>
      </x:c>
      <x:c r="C15" s="15" t="str">
        <x:v>EW Led</x:v>
      </x:c>
      <x:c r="D15" s="15" t="str">
        <x:v>Legal</x:v>
      </x:c>
      <x:c r="E15" s="19" t="n">
        <x:v>2.2</x:v>
      </x:c>
      <x:c r="F15" s="19" t="n">
        <x:v>105</x:v>
      </x:c>
      <x:c r="G15" s="22" t="n">
        <x:f>IF(AND(E15&gt;0,ISNUMBER(F15)),F15/E15,"")</x:f>
        <x:v>47.72727272727273</x:v>
      </x:c>
      <x:c r="H15" s="15" t="str">
        <x:v>LFR</x:v>
      </x:c>
      <x:c r="I15" s="15" t="n">
        <x:v>10</x:v>
      </x:c>
      <x:c r="J15" s="15" t="n">
        <x:v>5</x:v>
      </x:c>
      <x:c r="K15" s="23" t="n">
        <x:f>IF(G15="",0,IF(G15&lt;1,0,IF(G15&lt;2,20,IF(G15&lt;3,30,IF(G15&lt;5,40,50)))))*'Scenario Controls'!$B$22/50</x:f>
        <x:v>50</x:v>
      </x:c>
      <x:c r="L15" s="23" t="n">
        <x:f>IF(ISNUMBER(SEARCH("Must Do",AG15)),25,IF(ISNUMBER(SEARCH("Must Have",AG15)),18,IF(ISNUMBER(SEARCH("Deprior",AG15)),5,0)))*'Scenario Controls'!$B$23/25</x:f>
        <x:v>25</x:v>
      </x:c>
      <x:c r="M15" s="23" t="n">
        <x:f>J15*'Scenario Controls'!$B$24/15</x:f>
        <x:v>5</x:v>
      </x:c>
      <x:c r="N15" s="23" t="n">
        <x:f>IF(ISNUMBER(SEARCH("HEALTHY",X15)),10,IF(ISNUMBER(SEARCH("CONTAIN",X15)),6,0))*'Scenario Controls'!$B$25/10</x:f>
        <x:v>10</x:v>
      </x:c>
      <x:c r="O15" s="23" t="n">
        <x:f>SUM(K15:N15)</x:f>
        <x:v>90</x:v>
      </x:c>
      <x:c r="P15" s="15" t="str">
        <x:f>IF(OR(B15="",E15&lt;=0),"Evidence missing / not eligible",IF(ISNUMBER(SEARCH("priority TBD",Y15)),"Evidence missing / not eligible",IF(AND(H15="Carryover",NOT(ISNUMBER(F15))),"Evidence missing / not eligible",IF(AND(H15="Carryover",G15&lt;'Scenario Controls'!$B$16),"Evidence missing / not eligible",IF(AND(H15="ROI-Based Portfolio",NOT(ISNUMBER(F15))),"Evidence missing / not eligible",IF(AND(H15="ROI-Based Portfolio",O15&lt;'Scenario Controls'!$B$20),"Evidence missing / not eligible","Eligible"))))))</x:f>
        <x:v>Eligible</x:v>
      </x:c>
      <x:c r="Q15" s="19" t="n">
        <x:f>IF(P15&lt;&gt;"Eligible",0,IF(AND(SUMIFS($Q$5:Q14,$H$5:H14,H15)+E15&lt;=(IF(H15="LFR",'Scenario Controls'!$F$10,IF(H15="Sustain Engineering",'Scenario Controls'!$F$11,IF(H15="Hygiene",'Scenario Controls'!$F$12,1E+99))))*(1+'Scenario Controls'!$B$7),SUM($Q$5:Q14)+E15&lt;='Scenario Controls'!$B$6*(1+'Scenario Controls'!$B$7)),E15,0))</x:f>
        <x:v>2.2</x:v>
      </x:c>
      <x:c r="R15" s="24" t="str">
        <x:f>'EW Conference'!G13</x:f>
        <x:v>Automatic</x:v>
      </x:c>
      <x:c r="S15" s="24" t="str">
        <x:f>'EW Conference'!H13</x:f>
      </x:c>
      <x:c r="T15" s="19" t="n">
        <x:f>IF(R15="Exclude",0,IF(R15="Include",E15,Q15))</x:f>
        <x:v>2.2</x:v>
      </x:c>
      <x:c r="U15" s="15" t="str">
        <x:f>IF(T15&gt;0,"Funded",IF(P15="Eligible","Unfunded",P15))</x:f>
        <x:v>Funded</x:v>
      </x:c>
      <x:c r="V15" s="15" t="str">
        <x:f>IF(R15="Include","Conference inclusion: "&amp;S15,IF(R15="Exclude","Conference exclusion: "&amp;S15,IF(Q15&gt;0,H15&amp;" priority rank "&amp;I15&amp;"; whole initiative selected",P15)))</x:f>
        <x:v>LFR priority rank 10; whole initiative selected</x:v>
      </x:c>
      <x:c r="W15" s="15" t="str">
        <x:v>EW!7</x:v>
      </x:c>
      <x:c r="X15" s="15" t="str">
        <x:v>HEALTHY</x:v>
      </x:c>
      <x:c r="Y15" s="15" t="str">
        <x:v>HEALTHY / MUST-DO — P1 — Immediate</x:v>
      </x:c>
      <x:c r="Z15" s="15" t="str">
        <x:v>Legal Fiscal, Regulatory &amp; Compliancy</x:v>
      </x:c>
      <x:c r="AA15" s="15" t="str">
        <x:v>Carry Over</x:v>
      </x:c>
      <x:c r="AB15" s="15" t="str">
        <x:v>Group Functions &amp; Hyperautomation IT</x:v>
      </x:c>
      <x:c r="AC15" s="15" t="str">
        <x:v>1) Potential fines from Regulators for potential violations in ABAC, EC&amp;S related regulations</x:v>
      </x:c>
      <x:c r="AD15" s="15" t="str">
        <x:v>As a Health Tech company, Philips has frequent interactions with medical professionals and those in a position to purchase solutions used to diagnose and treat patients. Regulators (and industry associations) in an increasing number of countries are focusing on the perception of companies influencing decision-making through the use of fee-for-service arrangements, among other interactions. In some countries, Health Tech and Life Sciences companies can be prosecuted and penalized by regulators for breaches of these rules with high dollar settlements. As part of the reporting obligation in Project Post, the SEC has shown interest in Philips' end-to-end management of engagements of HCPs.</x:v>
      </x:c>
      <x:c r="AE15" s="15" t="str">
        <x:v>Project will deliver an E2E solution that includes:</x:v>
      </x:c>
      <x:c r="AF15" s="15" t="str">
        <x:v>1) Potential fines from Regulators for potential violations in ABAC, EC&amp;S related regulations | As a Health Tech company, Philips has frequent interactions with medical professionals and those in a position to purchase solutions used to diagnose and treat patients. Regulators (and industry associations) in an increasing number of countries are focusing on the perception of companies influencing decision-making through the use of fee-for-service arrangements, among other interactions. In some countries, Health Tech and Life Sciences companies can be prosecuted and penalized by regulators for breaches of these rules with high dollar settlements. As part of the reporting obligation in Project Post, the SEC has shown interest in Philips' end-to-end management of engagements of HCPs. | Project will deliver an E2E solution that includes:</x:v>
      </x:c>
      <x:c r="AG15" s="15" t="str">
        <x:v>Must Do</x:v>
      </x:c>
      <x:c r="AH15" s="15" t="n">
        <x:v>9</x:v>
      </x:c>
    </x:row>
    <x:row r="16">
      <x:c r="A16" s="15" t="str">
        <x:v>EW-47</x:v>
      </x:c>
      <x:c r="B16" s="15" t="str">
        <x:v>FIN-IR - ORU Lebanon (formalize current operations)</x:v>
      </x:c>
      <x:c r="C16" s="15" t="str">
        <x:v>EW Led</x:v>
      </x:c>
      <x:c r="D16" s="15" t="str">
        <x:v>International Regions (IR) - Overall</x:v>
      </x:c>
      <x:c r="E16" s="19" t="n">
        <x:v>0.085</x:v>
      </x:c>
      <x:c r="F16" s="19" t="n">
        <x:v>0.345</x:v>
      </x:c>
      <x:c r="G16" s="22" t="n">
        <x:f>IF(AND(E16&gt;0,ISNUMBER(F16)),F16/E16,"")</x:f>
        <x:v>4.0588235294117645</x:v>
      </x:c>
      <x:c r="H16" s="15" t="str">
        <x:v>LFR</x:v>
      </x:c>
      <x:c r="I16" s="15" t="n">
        <x:v>11</x:v>
      </x:c>
      <x:c r="J16" s="15" t="n">
        <x:v>15</x:v>
      </x:c>
      <x:c r="K16" s="23" t="n">
        <x:f>IF(G16="",0,IF(G16&lt;1,0,IF(G16&lt;2,20,IF(G16&lt;3,30,IF(G16&lt;5,40,50)))))*'Scenario Controls'!$B$22/50</x:f>
        <x:v>40</x:v>
      </x:c>
      <x:c r="L16" s="23" t="n">
        <x:f>IF(ISNUMBER(SEARCH("Must Do",AG16)),25,IF(ISNUMBER(SEARCH("Must Have",AG16)),18,IF(ISNUMBER(SEARCH("Deprior",AG16)),5,0)))*'Scenario Controls'!$B$23/25</x:f>
        <x:v>25</x:v>
      </x:c>
      <x:c r="M16" s="23" t="n">
        <x:f>J16*'Scenario Controls'!$B$24/15</x:f>
        <x:v>15</x:v>
      </x:c>
      <x:c r="N16" s="23" t="n">
        <x:f>IF(ISNUMBER(SEARCH("HEALTHY",X16)),10,IF(ISNUMBER(SEARCH("CONTAIN",X16)),6,0))*'Scenario Controls'!$B$25/10</x:f>
        <x:v>10</x:v>
      </x:c>
      <x:c r="O16" s="23" t="n">
        <x:f>SUM(K16:N16)</x:f>
        <x:v>90</x:v>
      </x:c>
      <x:c r="P16" s="15" t="str">
        <x:f>IF(OR(B16="",E16&lt;=0),"Evidence missing / not eligible",IF(ISNUMBER(SEARCH("priority TBD",Y16)),"Evidence missing / not eligible",IF(AND(H16="Carryover",NOT(ISNUMBER(F16))),"Evidence missing / not eligible",IF(AND(H16="Carryover",G16&lt;'Scenario Controls'!$B$16),"Evidence missing / not eligible",IF(AND(H16="ROI-Based Portfolio",NOT(ISNUMBER(F16))),"Evidence missing / not eligible",IF(AND(H16="ROI-Based Portfolio",O16&lt;'Scenario Controls'!$B$20),"Evidence missing / not eligible","Eligible"))))))</x:f>
        <x:v>Eligible</x:v>
      </x:c>
      <x:c r="Q16" s="19" t="n">
        <x:f>IF(P16&lt;&gt;"Eligible",0,IF(AND(SUMIFS($Q$5:Q15,$H$5:H15,H16)+E16&lt;=(IF(H16="LFR",'Scenario Controls'!$F$10,IF(H16="Sustain Engineering",'Scenario Controls'!$F$11,IF(H16="Hygiene",'Scenario Controls'!$F$12,1E+99))))*(1+'Scenario Controls'!$B$7),SUM($Q$5:Q15)+E16&lt;='Scenario Controls'!$B$6*(1+'Scenario Controls'!$B$7)),E16,0))</x:f>
        <x:v>0.085</x:v>
      </x:c>
      <x:c r="R16" s="24" t="str">
        <x:f>'EW Conference'!G14</x:f>
        <x:v>Automatic</x:v>
      </x:c>
      <x:c r="S16" s="24" t="str">
        <x:f>'EW Conference'!H14</x:f>
      </x:c>
      <x:c r="T16" s="19" t="n">
        <x:f>IF(R16="Exclude",0,IF(R16="Include",E16,Q16))</x:f>
        <x:v>0.085</x:v>
      </x:c>
      <x:c r="U16" s="15" t="str">
        <x:f>IF(T16&gt;0,"Funded",IF(P16="Eligible","Unfunded",P16))</x:f>
        <x:v>Funded</x:v>
      </x:c>
      <x:c r="V16" s="15" t="str">
        <x:f>IF(R16="Include","Conference inclusion: "&amp;S16,IF(R16="Exclude","Conference exclusion: "&amp;S16,IF(Q16&gt;0,H16&amp;" priority rank "&amp;I16&amp;"; whole initiative selected",P16)))</x:f>
        <x:v>LFR priority rank 11; whole initiative selected</x:v>
      </x:c>
      <x:c r="W16" s="15" t="str">
        <x:v>EW!47</x:v>
      </x:c>
      <x:c r="X16" s="15" t="str">
        <x:v>HEALTHY</x:v>
      </x:c>
      <x:c r="Y16" s="15" t="str">
        <x:v>HEALTHY / MUST-DO — P1 — Immediate</x:v>
      </x:c>
      <x:c r="Z16" s="15" t="str">
        <x:v>Legal Fiscal, Regulatory &amp; Compliancy</x:v>
      </x:c>
      <x:c r="AA16" s="15" t="str">
        <x:v>New Initiative</x:v>
      </x:c>
      <x:c r="AB16" s="15" t="str">
        <x:v>Integrated Supply Chain &amp; Finance</x:v>
      </x:c>
      <x:c r="AC16" s="15" t="str">
        <x:v>- Legal and regulatory non-compliance risk, a.o. for critical 14FTE employed</x:v>
      </x:c>
      <x:c r="AD16" s="15" t="str">
        <x:v>Legal changes and requirements require an ORU to be established to continue current staff.</x:v>
      </x:c>
      <x:c r="AE16" s="15" t="str">
        <x:v>all BU, Lebanon only, 'light' ORU</x:v>
      </x:c>
      <x:c r="AF16" s="15" t="str">
        <x:v>- Legal and regulatory non-compliance risk, a.o. for critical 14FTE employed | Legal changes and requirements require an ORU to be established to continue current staff. | all BU, Lebanon only, 'light' ORU</x:v>
      </x:c>
      <x:c r="AG16" s="15" t="str">
        <x:v>Must Do</x:v>
      </x:c>
      <x:c r="AH16" s="15" t="n">
        <x:v>49</x:v>
      </x:c>
    </x:row>
    <x:row r="17">
      <x:c r="A17" s="15" t="str">
        <x:v>EW-61</x:v>
      </x:c>
      <x:c r="B17" s="15" t="str">
        <x:v>Contractor Management &amp; Permit to Work</x:v>
      </x:c>
      <x:c r="C17" s="15" t="str">
        <x:v>EW Led</x:v>
      </x:c>
      <x:c r="D17" s="15" t="str">
        <x:v>Health &amp; Safety</x:v>
      </x:c>
      <x:c r="E17" s="19" t="n">
        <x:v>0.225</x:v>
      </x:c>
      <x:c r="F17" s="19" t="n">
        <x:v>0.8</x:v>
      </x:c>
      <x:c r="G17" s="22" t="n">
        <x:f>IF(AND(E17&gt;0,ISNUMBER(F17)),F17/E17,"")</x:f>
        <x:v>3.555555555555556</x:v>
      </x:c>
      <x:c r="H17" s="15" t="str">
        <x:v>LFR</x:v>
      </x:c>
      <x:c r="I17" s="15" t="n">
        <x:v>12</x:v>
      </x:c>
      <x:c r="J17" s="15" t="n">
        <x:v>15</x:v>
      </x:c>
      <x:c r="K17" s="23" t="n">
        <x:f>IF(G17="",0,IF(G17&lt;1,0,IF(G17&lt;2,20,IF(G17&lt;3,30,IF(G17&lt;5,40,50)))))*'Scenario Controls'!$B$22/50</x:f>
        <x:v>40</x:v>
      </x:c>
      <x:c r="L17" s="23" t="n">
        <x:f>IF(ISNUMBER(SEARCH("Must Do",AG17)),25,IF(ISNUMBER(SEARCH("Must Have",AG17)),18,IF(ISNUMBER(SEARCH("Deprior",AG17)),5,0)))*'Scenario Controls'!$B$23/25</x:f>
        <x:v>25</x:v>
      </x:c>
      <x:c r="M17" s="23" t="n">
        <x:f>J17*'Scenario Controls'!$B$24/15</x:f>
        <x:v>15</x:v>
      </x:c>
      <x:c r="N17" s="23" t="n">
        <x:f>IF(ISNUMBER(SEARCH("HEALTHY",X17)),10,IF(ISNUMBER(SEARCH("CONTAIN",X17)),6,0))*'Scenario Controls'!$B$25/10</x:f>
        <x:v>10</x:v>
      </x:c>
      <x:c r="O17" s="23" t="n">
        <x:f>SUM(K17:N17)</x:f>
        <x:v>90</x:v>
      </x:c>
      <x:c r="P17" s="15" t="str">
        <x:f>IF(OR(B17="",E17&lt;=0),"Evidence missing / not eligible",IF(ISNUMBER(SEARCH("priority TBD",Y17)),"Evidence missing / not eligible",IF(AND(H17="Carryover",NOT(ISNUMBER(F17))),"Evidence missing / not eligible",IF(AND(H17="Carryover",G17&lt;'Scenario Controls'!$B$16),"Evidence missing / not eligible",IF(AND(H17="ROI-Based Portfolio",NOT(ISNUMBER(F17))),"Evidence missing / not eligible",IF(AND(H17="ROI-Based Portfolio",O17&lt;'Scenario Controls'!$B$20),"Evidence missing / not eligible","Eligible"))))))</x:f>
        <x:v>Eligible</x:v>
      </x:c>
      <x:c r="Q17" s="19" t="n">
        <x:f>IF(P17&lt;&gt;"Eligible",0,IF(AND(SUMIFS($Q$5:Q16,$H$5:H16,H17)+E17&lt;=(IF(H17="LFR",'Scenario Controls'!$F$10,IF(H17="Sustain Engineering",'Scenario Controls'!$F$11,IF(H17="Hygiene",'Scenario Controls'!$F$12,1E+99))))*(1+'Scenario Controls'!$B$7),SUM($Q$5:Q16)+E17&lt;='Scenario Controls'!$B$6*(1+'Scenario Controls'!$B$7)),E17,0))</x:f>
        <x:v>0.225</x:v>
      </x:c>
      <x:c r="R17" s="24" t="str">
        <x:f>'EW Conference'!G15</x:f>
        <x:v>Automatic</x:v>
      </x:c>
      <x:c r="S17" s="24" t="str">
        <x:f>'EW Conference'!H15</x:f>
      </x:c>
      <x:c r="T17" s="19" t="n">
        <x:f>IF(R17="Exclude",0,IF(R17="Include",E17,Q17))</x:f>
        <x:v>0.225</x:v>
      </x:c>
      <x:c r="U17" s="15" t="str">
        <x:f>IF(T17&gt;0,"Funded",IF(P17="Eligible","Unfunded",P17))</x:f>
        <x:v>Funded</x:v>
      </x:c>
      <x:c r="V17" s="15" t="str">
        <x:f>IF(R17="Include","Conference inclusion: "&amp;S17,IF(R17="Exclude","Conference exclusion: "&amp;S17,IF(Q17&gt;0,H17&amp;" priority rank "&amp;I17&amp;"; whole initiative selected",P17)))</x:f>
        <x:v>LFR priority rank 12; whole initiative selected</x:v>
      </x:c>
      <x:c r="W17" s="15" t="str">
        <x:v>EW!57</x:v>
      </x:c>
      <x:c r="X17" s="15" t="str">
        <x:v>HEALTHY</x:v>
      </x:c>
      <x:c r="Y17" s="15" t="str">
        <x:v>HEALTHY / MUST-DO — P1 — Immediate</x:v>
      </x:c>
      <x:c r="Z17" s="15" t="str">
        <x:v>Legal Fiscal, Regulatory &amp; Compliancy</x:v>
      </x:c>
      <x:c r="AA17" s="15" t="str">
        <x:v>New Initiative</x:v>
      </x:c>
      <x:c r="AB17" s="15" t="str">
        <x:v>Group Functions &amp; Hyperautomation IT</x:v>
      </x:c>
      <x:c r="AC17" s="15" t="str">
        <x: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x:v>
      </x:c>
      <x:c r="AD17" s="15" t="str">
        <x:v>Philips’ fragmented, manual, and site-specific Contractor Management and Permit-to-Work processes limit consistent risk control, contractor oversight, and global visibility.</x:v>
      </x:c>
      <x:c r="AE17" s="15" t="str">
        <x: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x:v>
      </x:c>
      <x:c r="AF17" s="15" t="str">
        <x: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 Philips’ fragmented, manual, and site-specific Contractor Management and Permit-to-Work processes limit consistent risk control, contractor oversight, and global visibility. |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x:v>
      </x:c>
      <x:c r="AG17" s="15" t="str">
        <x:v>Must Do</x:v>
      </x:c>
      <x:c r="AH17" s="15" t="n">
        <x:v>59</x:v>
      </x:c>
    </x:row>
    <x:row r="18">
      <x:c r="A18" s="15" t="str">
        <x:v>EW-20</x:v>
      </x:c>
      <x:c r="B18" s="15" t="str">
        <x:v>ARIS deployment for ISC QMS Integration</x:v>
      </x:c>
      <x:c r="C18" s="15" t="str">
        <x:v>EW Led</x:v>
      </x:c>
      <x:c r="D18" s="15" t="str">
        <x:v>Patient Safety &amp; Quality</x:v>
      </x:c>
      <x:c r="E18" s="19" t="n">
        <x:v>0.05</x:v>
      </x:c>
      <x:c r="F18" s="19" t="n">
        <x:v>0.6</x:v>
      </x:c>
      <x:c r="G18" s="22" t="n">
        <x:f>IF(AND(E18&gt;0,ISNUMBER(F18)),F18/E18,"")</x:f>
        <x:v>11.999999999999998</x:v>
      </x:c>
      <x:c r="H18" s="15" t="str">
        <x:v>LFR</x:v>
      </x:c>
      <x:c r="I18" s="15" t="n">
        <x:v>13</x:v>
      </x:c>
      <x:c r="J18" s="15" t="n">
        <x:v>5</x:v>
      </x:c>
      <x:c r="K18" s="23" t="n">
        <x:f>IF(G18="",0,IF(G18&lt;1,0,IF(G18&lt;2,20,IF(G18&lt;3,30,IF(G18&lt;5,40,50)))))*'Scenario Controls'!$B$22/50</x:f>
        <x:v>50</x:v>
      </x:c>
      <x:c r="L18" s="23" t="n">
        <x:f>IF(ISNUMBER(SEARCH("Must Do",AG18)),25,IF(ISNUMBER(SEARCH("Must Have",AG18)),18,IF(ISNUMBER(SEARCH("Deprior",AG18)),5,0)))*'Scenario Controls'!$B$23/25</x:f>
        <x:v>25</x:v>
      </x:c>
      <x:c r="M18" s="23" t="n">
        <x:f>J18*'Scenario Controls'!$B$24/15</x:f>
        <x:v>5</x:v>
      </x:c>
      <x:c r="N18" s="23" t="n">
        <x:f>IF(ISNUMBER(SEARCH("HEALTHY",X18)),10,IF(ISNUMBER(SEARCH("CONTAIN",X18)),6,0))*'Scenario Controls'!$B$25/10</x:f>
        <x:v>6</x:v>
      </x:c>
      <x:c r="O18" s="23" t="n">
        <x:f>SUM(K18:N18)</x:f>
        <x:v>86</x:v>
      </x:c>
      <x:c r="P18" s="15" t="str">
        <x:f>IF(OR(B18="",E18&lt;=0),"Evidence missing / not eligible",IF(ISNUMBER(SEARCH("priority TBD",Y18)),"Evidence missing / not eligible",IF(AND(H18="Carryover",NOT(ISNUMBER(F18))),"Evidence missing / not eligible",IF(AND(H18="Carryover",G18&lt;'Scenario Controls'!$B$16),"Evidence missing / not eligible",IF(AND(H18="ROI-Based Portfolio",NOT(ISNUMBER(F18))),"Evidence missing / not eligible",IF(AND(H18="ROI-Based Portfolio",O18&lt;'Scenario Controls'!$B$20),"Evidence missing / not eligible","Eligible"))))))</x:f>
        <x:v>Eligible</x:v>
      </x:c>
      <x:c r="Q18" s="19" t="n">
        <x:f>IF(P18&lt;&gt;"Eligible",0,IF(AND(SUMIFS($Q$5:Q17,$H$5:H17,H18)+E18&lt;=(IF(H18="LFR",'Scenario Controls'!$F$10,IF(H18="Sustain Engineering",'Scenario Controls'!$F$11,IF(H18="Hygiene",'Scenario Controls'!$F$12,1E+99))))*(1+'Scenario Controls'!$B$7),SUM($Q$5:Q17)+E18&lt;='Scenario Controls'!$B$6*(1+'Scenario Controls'!$B$7)),E18,0))</x:f>
        <x:v>0.05</x:v>
      </x:c>
      <x:c r="R18" s="24" t="str">
        <x:f>'EW Conference'!G16</x:f>
        <x:v>Automatic</x:v>
      </x:c>
      <x:c r="S18" s="24" t="str">
        <x:f>'EW Conference'!H16</x:f>
      </x:c>
      <x:c r="T18" s="19" t="n">
        <x:f>IF(R18="Exclude",0,IF(R18="Include",E18,Q18))</x:f>
        <x:v>0.05</x:v>
      </x:c>
      <x:c r="U18" s="15" t="str">
        <x:f>IF(T18&gt;0,"Funded",IF(P18="Eligible","Unfunded",P18))</x:f>
        <x:v>Funded</x:v>
      </x:c>
      <x:c r="V18" s="15" t="str">
        <x:f>IF(R18="Include","Conference inclusion: "&amp;S18,IF(R18="Exclude","Conference exclusion: "&amp;S18,IF(Q18&gt;0,H18&amp;" priority rank "&amp;I18&amp;"; whole initiative selected",P18)))</x:f>
        <x:v>LFR priority rank 13; whole initiative selected</x:v>
      </x:c>
      <x:c r="W18" s="15" t="str">
        <x:v>EW!23</x:v>
      </x:c>
      <x:c r="X18" s="15" t="str">
        <x:v>CONTAIN</x:v>
      </x:c>
      <x:c r="Y18" s="15" t="str">
        <x:v>HEALTHY / MUST-DO — P1 — Immediate</x:v>
      </x:c>
      <x:c r="Z18" s="15" t="str">
        <x:v>New Technology</x:v>
      </x:c>
      <x:c r="AA18" s="15" t="str">
        <x:v>New Initiative</x:v>
      </x:c>
      <x:c r="AB18" s="15" t="str">
        <x:v>Group Functions &amp; Hyperautomation IT</x:v>
      </x:c>
      <x:c r="AC18" s="15" t="str">
        <x:v>1400k in total, of which:</x:v>
      </x:c>
      <x:c r="AD18" s="15" t="str">
        <x:v>ISC needs to be integrated into Aris</x:v>
      </x:c>
      <x:c r="AE18" s="15" t="str">
        <x:v>ISC QMS only</x:v>
      </x:c>
      <x:c r="AF18" s="15" t="str">
        <x:v>1400k in total, of which: | ISC needs to be integrated into Aris | ISC QMS only</x:v>
      </x:c>
      <x:c r="AG18" s="15" t="str">
        <x:v>Must Do</x:v>
      </x:c>
      <x:c r="AH18" s="15" t="n">
        <x:v>25</x:v>
      </x:c>
    </x:row>
    <x:row r="19">
      <x:c r="A19" s="15" t="str">
        <x:v>EW-162</x:v>
      </x:c>
      <x:c r="B19" s="15" t="str">
        <x:v>Quality AI for GCR Adverse Event Report and Post Market Vigilance</x:v>
      </x:c>
      <x:c r="C19" s="15" t="str">
        <x:v>EW Led</x:v>
      </x:c>
      <x:c r="D19" s="15" t="str">
        <x:v>Patient Safety &amp; Quality</x:v>
      </x:c>
      <x:c r="E19" s="19" t="n">
        <x:v>0.35</x:v>
      </x:c>
      <x:c r="F19" s="19" t="n">
        <x:v>1</x:v>
      </x:c>
      <x:c r="G19" s="22" t="n">
        <x:f>IF(AND(E19&gt;0,ISNUMBER(F19)),F19/E19,"")</x:f>
        <x:v>2.857142857142857</x:v>
      </x:c>
      <x:c r="H19" s="15" t="str">
        <x:v>LFR</x:v>
      </x:c>
      <x:c r="I19" s="15" t="n">
        <x:v>14</x:v>
      </x:c>
      <x:c r="J19" s="15" t="n">
        <x:v>15</x:v>
      </x:c>
      <x:c r="K19" s="23" t="n">
        <x:f>IF(G19="",0,IF(G19&lt;1,0,IF(G19&lt;2,20,IF(G19&lt;3,30,IF(G19&lt;5,40,50)))))*'Scenario Controls'!$B$22/50</x:f>
        <x:v>30</x:v>
      </x:c>
      <x:c r="L19" s="23" t="n">
        <x:f>IF(ISNUMBER(SEARCH("Must Do",AG19)),25,IF(ISNUMBER(SEARCH("Must Have",AG19)),18,IF(ISNUMBER(SEARCH("Deprior",AG19)),5,0)))*'Scenario Controls'!$B$23/25</x:f>
        <x:v>18</x:v>
      </x:c>
      <x:c r="M19" s="23" t="n">
        <x:f>J19*'Scenario Controls'!$B$24/15</x:f>
        <x:v>15</x:v>
      </x:c>
      <x:c r="N19" s="23" t="n">
        <x:f>IF(ISNUMBER(SEARCH("HEALTHY",X19)),10,IF(ISNUMBER(SEARCH("CONTAIN",X19)),6,0))*'Scenario Controls'!$B$25/10</x:f>
        <x:v>10</x:v>
      </x:c>
      <x:c r="O19" s="23" t="n">
        <x:f>SUM(K19:N19)</x:f>
        <x:v>73</x:v>
      </x:c>
      <x:c r="P19" s="15" t="str">
        <x:f>IF(OR(B19="",E19&lt;=0),"Evidence missing / not eligible",IF(ISNUMBER(SEARCH("priority TBD",Y19)),"Evidence missing / not eligible",IF(AND(H19="Carryover",NOT(ISNUMBER(F19))),"Evidence missing / not eligible",IF(AND(H19="Carryover",G19&lt;'Scenario Controls'!$B$16),"Evidence missing / not eligible",IF(AND(H19="ROI-Based Portfolio",NOT(ISNUMBER(F19))),"Evidence missing / not eligible",IF(AND(H19="ROI-Based Portfolio",O19&lt;'Scenario Controls'!$B$20),"Evidence missing / not eligible","Eligible"))))))</x:f>
        <x:v>Eligible</x:v>
      </x:c>
      <x:c r="Q19" s="19" t="n">
        <x:f>IF(P19&lt;&gt;"Eligible",0,IF(AND(SUMIFS($Q$5:Q18,$H$5:H18,H19)+E19&lt;=(IF(H19="LFR",'Scenario Controls'!$F$10,IF(H19="Sustain Engineering",'Scenario Controls'!$F$11,IF(H19="Hygiene",'Scenario Controls'!$F$12,1E+99))))*(1+'Scenario Controls'!$B$7),SUM($Q$5:Q18)+E19&lt;='Scenario Controls'!$B$6*(1+'Scenario Controls'!$B$7)),E19,0))</x:f>
        <x:v>0.35</x:v>
      </x:c>
      <x:c r="R19" s="24" t="str">
        <x:f>'EW Conference'!G17</x:f>
        <x:v>Automatic</x:v>
      </x:c>
      <x:c r="S19" s="24" t="str">
        <x:f>'EW Conference'!H17</x:f>
      </x:c>
      <x:c r="T19" s="19" t="n">
        <x:f>IF(R19="Exclude",0,IF(R19="Include",E19,Q19))</x:f>
        <x:v>0.35</x:v>
      </x:c>
      <x:c r="U19" s="15" t="str">
        <x:f>IF(T19&gt;0,"Funded",IF(P19="Eligible","Unfunded",P19))</x:f>
        <x:v>Funded</x:v>
      </x:c>
      <x:c r="V19" s="15" t="str">
        <x:f>IF(R19="Include","Conference inclusion: "&amp;S19,IF(R19="Exclude","Conference exclusion: "&amp;S19,IF(Q19&gt;0,H19&amp;" priority rank "&amp;I19&amp;"; whole initiative selected",P19)))</x:f>
        <x:v>LFR priority rank 14; whole initiative selected</x:v>
      </x:c>
      <x:c r="W19" s="15" t="str">
        <x:v>EW!158</x:v>
      </x:c>
      <x:c r="X19" s="15" t="str">
        <x:v>HEALTHY</x:v>
      </x:c>
      <x:c r="Y19" s="15" t="str">
        <x:v>HEALTHY / MUST-DO — P1 — Immediate</x:v>
      </x:c>
      <x:c r="Z19" s="15" t="str">
        <x:v>New Technology</x:v>
      </x:c>
      <x:c r="AA19" s="15" t="str">
        <x:v>New Initiative</x:v>
      </x:c>
      <x:c r="AB19" s="15" t="str">
        <x:v>Greater China IT</x:v>
      </x:c>
      <x:c r="AC19" s="15" t="str">
        <x:v>Addtional 25 incremental FTE requirement (~ EUR 1M+), not able to have required high quality of quality issue reporting, not able to provide audit traceability, no risk-trend analysis and earlier detection of quality-risk signals.</x:v>
      </x:c>
      <x:c r="AD19" s="15" t="str">
        <x:v>Manual fragmented effort for post market quality incidents that takes lots of wasted time, inefficient &amp; introduced human error</x:v>
      </x:c>
      <x:c r="AE19" s="15" t="str">
        <x: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x:v>
      </x:c>
      <x:c r="AF19" s="15" t="str">
        <x:v>Addtional 25 incremental FTE requirement (~ EUR 1M+), not able to have required high quality of quality issue reporting, not able to provide audit traceability, no risk-trend analysis and earlier detection of quality-risk signals. | Manual fragmented effort for post market quality incidents that takes lots of wasted time, inefficient &amp; introduced human error |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x:v>
      </x:c>
      <x:c r="AG19" s="15" t="str">
        <x:v>Must Have</x:v>
      </x:c>
      <x:c r="AH19" s="15" t="n">
        <x:v>160</x:v>
      </x:c>
    </x:row>
    <x:row r="20">
      <x:c r="A20" s="15" t="str">
        <x:v>EW-72</x:v>
      </x:c>
      <x:c r="B20" s="15" t="str">
        <x:v>ARIS Process framework</x:v>
      </x:c>
      <x:c r="C20" s="15" t="str">
        <x:v>EW Led</x:v>
      </x:c>
      <x:c r="D20" s="15" t="str">
        <x:v>Information Technology</x:v>
      </x:c>
      <x:c r="E20" s="19" t="n">
        <x:v>0.4</x:v>
      </x:c>
      <x:c r="F20" s="19" t="n">
        <x:v>0.7</x:v>
      </x:c>
      <x:c r="G20" s="22" t="n">
        <x:f>IF(AND(E20&gt;0,ISNUMBER(F20)),F20/E20,"")</x:f>
        <x:v>1.7499999999999998</x:v>
      </x:c>
      <x:c r="H20" s="15" t="str">
        <x:v>LFR</x:v>
      </x:c>
      <x:c r="I20" s="15" t="n">
        <x:v>15</x:v>
      </x:c>
      <x:c r="J20" s="15" t="n">
        <x:v>15</x:v>
      </x:c>
      <x:c r="K20" s="23" t="n">
        <x:f>IF(G20="",0,IF(G20&lt;1,0,IF(G20&lt;2,20,IF(G20&lt;3,30,IF(G20&lt;5,40,50)))))*'Scenario Controls'!$B$22/50</x:f>
        <x:v>20</x:v>
      </x:c>
      <x:c r="L20" s="23" t="n">
        <x:f>IF(ISNUMBER(SEARCH("Must Do",AG20)),25,IF(ISNUMBER(SEARCH("Must Have",AG20)),18,IF(ISNUMBER(SEARCH("Deprior",AG20)),5,0)))*'Scenario Controls'!$B$23/25</x:f>
        <x:v>25</x:v>
      </x:c>
      <x:c r="M20" s="23" t="n">
        <x:f>J20*'Scenario Controls'!$B$24/15</x:f>
        <x:v>15</x:v>
      </x:c>
      <x:c r="N20" s="23" t="n">
        <x:f>IF(ISNUMBER(SEARCH("HEALTHY",X20)),10,IF(ISNUMBER(SEARCH("CONTAIN",X20)),6,0))*'Scenario Controls'!$B$25/10</x:f>
        <x:v>10</x:v>
      </x:c>
      <x:c r="O20" s="23" t="n">
        <x:f>SUM(K20:N20)</x:f>
        <x:v>70</x:v>
      </x:c>
      <x:c r="P20" s="15" t="str">
        <x:f>IF(OR(B20="",E20&lt;=0),"Evidence missing / not eligible",IF(ISNUMBER(SEARCH("priority TBD",Y20)),"Evidence missing / not eligible",IF(AND(H20="Carryover",NOT(ISNUMBER(F20))),"Evidence missing / not eligible",IF(AND(H20="Carryover",G20&lt;'Scenario Controls'!$B$16),"Evidence missing / not eligible",IF(AND(H20="ROI-Based Portfolio",NOT(ISNUMBER(F20))),"Evidence missing / not eligible",IF(AND(H20="ROI-Based Portfolio",O20&lt;'Scenario Controls'!$B$20),"Evidence missing / not eligible","Eligible"))))))</x:f>
        <x:v>Eligible</x:v>
      </x:c>
      <x:c r="Q20" s="19" t="n">
        <x:f>IF(P20&lt;&gt;"Eligible",0,IF(AND(SUMIFS($Q$5:Q19,$H$5:H19,H20)+E20&lt;=(IF(H20="LFR",'Scenario Controls'!$F$10,IF(H20="Sustain Engineering",'Scenario Controls'!$F$11,IF(H20="Hygiene",'Scenario Controls'!$F$12,1E+99))))*(1+'Scenario Controls'!$B$7),SUM($Q$5:Q19)+E20&lt;='Scenario Controls'!$B$6*(1+'Scenario Controls'!$B$7)),E20,0))</x:f>
        <x:v>0.4</x:v>
      </x:c>
      <x:c r="R20" s="24" t="str">
        <x:f>'EW Conference'!G18</x:f>
        <x:v>Automatic</x:v>
      </x:c>
      <x:c r="S20" s="24" t="str">
        <x:f>'EW Conference'!H18</x:f>
      </x:c>
      <x:c r="T20" s="19" t="n">
        <x:f>IF(R20="Exclude",0,IF(R20="Include",E20,Q20))</x:f>
        <x:v>0.4</x:v>
      </x:c>
      <x:c r="U20" s="15" t="str">
        <x:f>IF(T20&gt;0,"Funded",IF(P20="Eligible","Unfunded",P20))</x:f>
        <x:v>Funded</x:v>
      </x:c>
      <x:c r="V20" s="15" t="str">
        <x:f>IF(R20="Include","Conference inclusion: "&amp;S20,IF(R20="Exclude","Conference exclusion: "&amp;S20,IF(Q20&gt;0,H20&amp;" priority rank "&amp;I20&amp;"; whole initiative selected",P20)))</x:f>
        <x:v>LFR priority rank 15; whole initiative selected</x:v>
      </x:c>
      <x:c r="W20" s="15" t="str">
        <x:v>EW!68</x:v>
      </x:c>
      <x:c r="X20" s="15" t="str">
        <x:v>HEALTHY</x:v>
      </x:c>
      <x:c r="Y20" s="15" t="str">
        <x:v>HEALTHY / MUST-DO — P1 — Immediate</x:v>
      </x:c>
      <x:c r="Z20" s="15" t="str">
        <x:v>Decomm/Replatforming</x:v>
      </x:c>
      <x:c r="AA20" s="15" t="str">
        <x:v>New Initiative</x:v>
      </x:c>
      <x:c r="AB20" s="15" t="str">
        <x:v>Group Functions &amp; Hyperautomation IT</x:v>
      </x:c>
      <x:c r="AC20" s="15" t="str">
        <x:v>Philips would have to continue with a heavily customized current solution which has high cost impact on IT; net loss of hard savings worth 700k annually due to license costs.</x:v>
      </x:c>
      <x:c r="AD20" s="15" t="str">
        <x:v>Decomm of ARIS to new alternative</x:v>
      </x:c>
      <x:c r="AE20" s="15" t="str">
        <x:v>Decomm ARIS, onboard Process framework as designed to fulfill Process and compliance requirements</x:v>
      </x:c>
      <x:c r="AF20" s="15" t="str">
        <x:v>Philips would have to continue with a heavily customized current solution which has high cost impact on IT; net loss of hard savings worth 700k annually due to license costs. | Decomm of ARIS to new alternative | Decomm ARIS, onboard Process framework as designed to fulfill Process and compliance requirements</x:v>
      </x:c>
      <x:c r="AG20" s="15" t="str">
        <x:v>Must Do</x:v>
      </x:c>
      <x:c r="AH20" s="15" t="n">
        <x:v>70</x:v>
      </x:c>
    </x:row>
    <x:row r="21">
      <x:c r="A21" s="15" t="str">
        <x:v>EW-21</x:v>
      </x:c>
      <x:c r="B21" s="15" t="str">
        <x:v>Service365 2027 Change&amp;Sustain</x:v>
      </x:c>
      <x:c r="C21" s="15" t="str">
        <x:v>EW Led</x:v>
      </x:c>
      <x:c r="D21" s="15" t="str">
        <x:v>Greater China</x:v>
      </x:c>
      <x:c r="E21" s="19" t="n">
        <x:v>0.48</x:v>
      </x:c>
      <x:c r="F21" s="19" t="n">
        <x:v>0.55</x:v>
      </x:c>
      <x:c r="G21" s="22" t="n">
        <x:f>IF(AND(E21&gt;0,ISNUMBER(F21)),F21/E21,"")</x:f>
        <x:v>1.1458333333333335</x:v>
      </x:c>
      <x:c r="H21" s="15" t="str">
        <x:v>LFR</x:v>
      </x:c>
      <x:c r="I21" s="15" t="n">
        <x:v>16</x:v>
      </x:c>
      <x:c r="J21" s="15" t="n">
        <x:v>15</x:v>
      </x:c>
      <x:c r="K21" s="23" t="n">
        <x:f>IF(G21="",0,IF(G21&lt;1,0,IF(G21&lt;2,20,IF(G21&lt;3,30,IF(G21&lt;5,40,50)))))*'Scenario Controls'!$B$22/50</x:f>
        <x:v>20</x:v>
      </x:c>
      <x:c r="L21" s="23" t="n">
        <x:f>IF(ISNUMBER(SEARCH("Must Do",AG21)),25,IF(ISNUMBER(SEARCH("Must Have",AG21)),18,IF(ISNUMBER(SEARCH("Deprior",AG21)),5,0)))*'Scenario Controls'!$B$23/25</x:f>
        <x:v>25</x:v>
      </x:c>
      <x:c r="M21" s="23" t="n">
        <x:f>J21*'Scenario Controls'!$B$24/15</x:f>
        <x:v>15</x:v>
      </x:c>
      <x:c r="N21" s="23" t="n">
        <x:f>IF(ISNUMBER(SEARCH("HEALTHY",X21)),10,IF(ISNUMBER(SEARCH("CONTAIN",X21)),6,0))*'Scenario Controls'!$B$25/10</x:f>
        <x:v>10</x:v>
      </x:c>
      <x:c r="O21" s="23" t="n">
        <x:f>SUM(K21:N21)</x:f>
        <x:v>70</x:v>
      </x:c>
      <x:c r="P21" s="15" t="str">
        <x:f>IF(OR(B21="",E21&lt;=0),"Evidence missing / not eligible",IF(ISNUMBER(SEARCH("priority TBD",Y21)),"Evidence missing / not eligible",IF(AND(H21="Carryover",NOT(ISNUMBER(F21))),"Evidence missing / not eligible",IF(AND(H21="Carryover",G21&lt;'Scenario Controls'!$B$16),"Evidence missing / not eligible",IF(AND(H21="ROI-Based Portfolio",NOT(ISNUMBER(F21))),"Evidence missing / not eligible",IF(AND(H21="ROI-Based Portfolio",O21&lt;'Scenario Controls'!$B$20),"Evidence missing / not eligible","Eligible"))))))</x:f>
        <x:v>Eligible</x:v>
      </x:c>
      <x:c r="Q21" s="19" t="n">
        <x:f>IF(P21&lt;&gt;"Eligible",0,IF(AND(SUMIFS($Q$5:Q20,$H$5:H20,H21)+E21&lt;=(IF(H21="LFR",'Scenario Controls'!$F$10,IF(H21="Sustain Engineering",'Scenario Controls'!$F$11,IF(H21="Hygiene",'Scenario Controls'!$F$12,1E+99))))*(1+'Scenario Controls'!$B$7),SUM($Q$5:Q20)+E21&lt;='Scenario Controls'!$B$6*(1+'Scenario Controls'!$B$7)),E21,0))</x:f>
        <x:v>0.48</x:v>
      </x:c>
      <x:c r="R21" s="24" t="str">
        <x:f>'EW Conference'!G19</x:f>
        <x:v>Automatic</x:v>
      </x:c>
      <x:c r="S21" s="24" t="str">
        <x:f>'EW Conference'!H19</x:f>
      </x:c>
      <x:c r="T21" s="19" t="n">
        <x:f>IF(R21="Exclude",0,IF(R21="Include",E21,Q21))</x:f>
        <x:v>0.48</x:v>
      </x:c>
      <x:c r="U21" s="15" t="str">
        <x:f>IF(T21&gt;0,"Funded",IF(P21="Eligible","Unfunded",P21))</x:f>
        <x:v>Funded</x:v>
      </x:c>
      <x:c r="V21" s="15" t="str">
        <x:f>IF(R21="Include","Conference inclusion: "&amp;S21,IF(R21="Exclude","Conference exclusion: "&amp;S21,IF(Q21&gt;0,H21&amp;" priority rank "&amp;I21&amp;"; whole initiative selected",P21)))</x:f>
        <x:v>LFR priority rank 16; whole initiative selected</x:v>
      </x:c>
      <x:c r="W21" s="15" t="str">
        <x:v>EW!24</x:v>
      </x:c>
      <x:c r="X21" s="15" t="str">
        <x:v>HEALTHY</x:v>
      </x:c>
      <x:c r="Y21" s="15" t="str">
        <x:v>HEALTHY / MUST-DO — P1 — Immediate</x:v>
      </x:c>
      <x:c r="Z21" s="15" t="str">
        <x:v>Continuous Improvement</x:v>
      </x:c>
      <x:c r="AA21" s="15" t="str">
        <x:v>Carry Over</x:v>
      </x:c>
      <x:c r="AB21" s="15" t="str">
        <x:v>Greater China IT</x:v>
      </x:c>
      <x:c r="AC21" s="15" t="str">
        <x:v>no business continuity for China Mainland Service Delivery (SRC Fraud CAPA + spare parts logistics, this is the SMAX + PSA for China)</x:v>
      </x:c>
      <x:c r="AD21" s="15" t="str">
        <x:v>1. Mandatory fraud Investigation Action to close, process &amp; system integration required to include China SRC business into Dynamics 365 for regulatory &amp; compliance mgmt (service material/parts &amp; service delivery)</x:v>
      </x:c>
      <x:c r="AE21" s="15" t="str"/>
      <x:c r="AF21" s="15" t="str">
        <x:v>no business continuity for China Mainland Service Delivery (SRC Fraud CAPA + spare parts logistics, this is the SMAX + PSA for China) | 1. Mandatory fraud Investigation Action to close, process &amp; system integration required to include China SRC business into Dynamics 365 for regulatory &amp; compliance mgmt (service material/parts &amp; service delivery)</x:v>
      </x:c>
      <x:c r="AG21" s="15" t="str">
        <x:v>Must Do</x:v>
      </x:c>
      <x:c r="AH21" s="15" t="n">
        <x:v>26</x:v>
      </x:c>
    </x:row>
    <x:row r="22">
      <x:c r="A22" s="15" t="str">
        <x:v>EW-67</x:v>
      </x:c>
      <x:c r="B22" s="15" t="str">
        <x:v>BEACON - Program (BoM - Clinical Research Model)</x:v>
      </x:c>
      <x:c r="C22" s="15" t="str">
        <x:v>EW Led</x:v>
      </x:c>
      <x:c r="D22" s="15" t="str">
        <x:v>Medical Office</x:v>
      </x:c>
      <x:c r="E22" s="19" t="n">
        <x:v>0.375</x:v>
      </x:c>
      <x:c r="F22" s="19" t="n">
        <x:v>0.4</x:v>
      </x:c>
      <x:c r="G22" s="22" t="n">
        <x:f>IF(AND(E22&gt;0,ISNUMBER(F22)),F22/E22,"")</x:f>
        <x:v>1.0666666666666667</x:v>
      </x:c>
      <x:c r="H22" s="15" t="str">
        <x:v>LFR</x:v>
      </x:c>
      <x:c r="I22" s="15" t="n">
        <x:v>17</x:v>
      </x:c>
      <x:c r="J22" s="15" t="n">
        <x:v>15</x:v>
      </x:c>
      <x:c r="K22" s="23" t="n">
        <x:f>IF(G22="",0,IF(G22&lt;1,0,IF(G22&lt;2,20,IF(G22&lt;3,30,IF(G22&lt;5,40,50)))))*'Scenario Controls'!$B$22/50</x:f>
        <x:v>20</x:v>
      </x:c>
      <x:c r="L22" s="23" t="n">
        <x:f>IF(ISNUMBER(SEARCH("Must Do",AG22)),25,IF(ISNUMBER(SEARCH("Must Have",AG22)),18,IF(ISNUMBER(SEARCH("Deprior",AG22)),5,0)))*'Scenario Controls'!$B$23/25</x:f>
        <x:v>25</x:v>
      </x:c>
      <x:c r="M22" s="23" t="n">
        <x:f>J22*'Scenario Controls'!$B$24/15</x:f>
        <x:v>15</x:v>
      </x:c>
      <x:c r="N22" s="23" t="n">
        <x:f>IF(ISNUMBER(SEARCH("HEALTHY",X22)),10,IF(ISNUMBER(SEARCH("CONTAIN",X22)),6,0))*'Scenario Controls'!$B$25/10</x:f>
        <x:v>10</x:v>
      </x:c>
      <x:c r="O22" s="23" t="n">
        <x:f>SUM(K22:N22)</x:f>
        <x:v>70</x:v>
      </x:c>
      <x:c r="P22" s="15" t="str">
        <x:f>IF(OR(B22="",E22&lt;=0),"Evidence missing / not eligible",IF(ISNUMBER(SEARCH("priority TBD",Y22)),"Evidence missing / not eligible",IF(AND(H22="Carryover",NOT(ISNUMBER(F22))),"Evidence missing / not eligible",IF(AND(H22="Carryover",G22&lt;'Scenario Controls'!$B$16),"Evidence missing / not eligible",IF(AND(H22="ROI-Based Portfolio",NOT(ISNUMBER(F22))),"Evidence missing / not eligible",IF(AND(H22="ROI-Based Portfolio",O22&lt;'Scenario Controls'!$B$20),"Evidence missing / not eligible","Eligible"))))))</x:f>
        <x:v>Eligible</x:v>
      </x:c>
      <x:c r="Q22" s="19" t="n">
        <x:f>IF(P22&lt;&gt;"Eligible",0,IF(AND(SUMIFS($Q$5:Q21,$H$5:H21,H22)+E22&lt;=(IF(H22="LFR",'Scenario Controls'!$F$10,IF(H22="Sustain Engineering",'Scenario Controls'!$F$11,IF(H22="Hygiene",'Scenario Controls'!$F$12,1E+99))))*(1+'Scenario Controls'!$B$7),SUM($Q$5:Q21)+E22&lt;='Scenario Controls'!$B$6*(1+'Scenario Controls'!$B$7)),E22,0))</x:f>
        <x:v>0.375</x:v>
      </x:c>
      <x:c r="R22" s="24" t="str">
        <x:f>'EW Conference'!G20</x:f>
        <x:v>Automatic</x:v>
      </x:c>
      <x:c r="S22" s="24" t="str">
        <x:f>'EW Conference'!H20</x:f>
      </x:c>
      <x:c r="T22" s="19" t="n">
        <x:f>IF(R22="Exclude",0,IF(R22="Include",E22,Q22))</x:f>
        <x:v>0.375</x:v>
      </x:c>
      <x:c r="U22" s="15" t="str">
        <x:f>IF(T22&gt;0,"Funded",IF(P22="Eligible","Unfunded",P22))</x:f>
        <x:v>Funded</x:v>
      </x:c>
      <x:c r="V22" s="15" t="str">
        <x:f>IF(R22="Include","Conference inclusion: "&amp;S22,IF(R22="Exclude","Conference exclusion: "&amp;S22,IF(Q22&gt;0,H22&amp;" priority rank "&amp;I22&amp;"; whole initiative selected",P22)))</x:f>
        <x:v>LFR priority rank 17; whole initiative selected</x:v>
      </x:c>
      <x:c r="W22" s="15" t="str">
        <x:v>EW!63</x:v>
      </x:c>
      <x:c r="X22" s="15" t="str">
        <x:v>HEALTHY</x:v>
      </x:c>
      <x:c r="Y22" s="15" t="str">
        <x:v>HEALTHY / MUST-DO — P1 — Immediate</x:v>
      </x:c>
      <x:c r="Z22" s="15" t="str">
        <x:v>Legal Fiscal, Regulatory &amp; Compliancy</x:v>
      </x:c>
      <x:c r="AA22" s="15" t="str">
        <x:v>Carry Over</x:v>
      </x:c>
      <x:c r="AB22" s="15" t="str">
        <x:v>Innovation and Digital IT</x:v>
      </x:c>
      <x:c r="AC22" s="15" t="str">
        <x:v>nono compliance and inefficient process</x:v>
      </x:c>
      <x:c r="AD22" s="15" t="str">
        <x: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x:v>
      </x:c>
      <x:c r="AE22" s="15" t="str">
        <x: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x:v>
      </x:c>
      <x:c r="AF22" s="15" t="str">
        <x:v>nono compliance and inefficient process |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x:v>
      </x:c>
      <x:c r="AG22" s="15" t="str">
        <x:v>Must Do</x:v>
      </x:c>
      <x:c r="AH22" s="15" t="n">
        <x:v>65</x:v>
      </x:c>
    </x:row>
    <x:row r="23">
      <x:c r="A23" s="15" t="str">
        <x:v>EW-127</x:v>
      </x:c>
      <x:c r="B23" s="15" t="str">
        <x:v>Digitization of Business Case template: Future proof and AI-powered for smart Portfolio prioritization</x:v>
      </x:c>
      <x:c r="C23" s="15" t="str">
        <x:v>EW Led</x:v>
      </x:c>
      <x:c r="D23" s="15" t="str">
        <x:v>Innovation and Design Business Operations</x:v>
      </x:c>
      <x:c r="E23" s="19" t="n">
        <x:v>2.5</x:v>
      </x:c>
      <x:c r="F23" s="19" t="n">
        <x:v>7</x:v>
      </x:c>
      <x:c r="G23" s="22" t="n">
        <x:f>IF(AND(E23&gt;0,ISNUMBER(F23)),F23/E23,"")</x:f>
        <x:v>2.8</x:v>
      </x:c>
      <x:c r="H23" s="15" t="str">
        <x:v>LFR</x:v>
      </x:c>
      <x:c r="I23" s="15" t="n">
        <x:v>18</x:v>
      </x:c>
      <x:c r="J23" s="15" t="n">
        <x:v>5</x:v>
      </x:c>
      <x:c r="K23" s="23" t="n">
        <x:f>IF(G23="",0,IF(G23&lt;1,0,IF(G23&lt;2,20,IF(G23&lt;3,30,IF(G23&lt;5,40,50)))))*'Scenario Controls'!$B$22/50</x:f>
        <x:v>30</x:v>
      </x:c>
      <x:c r="L23" s="23" t="n">
        <x:f>IF(ISNUMBER(SEARCH("Must Do",AG23)),25,IF(ISNUMBER(SEARCH("Must Have",AG23)),18,IF(ISNUMBER(SEARCH("Deprior",AG23)),5,0)))*'Scenario Controls'!$B$23/25</x:f>
        <x:v>18</x:v>
      </x:c>
      <x:c r="M23" s="23" t="n">
        <x:f>J23*'Scenario Controls'!$B$24/15</x:f>
        <x:v>5</x:v>
      </x:c>
      <x:c r="N23" s="23" t="n">
        <x:f>IF(ISNUMBER(SEARCH("HEALTHY",X23)),10,IF(ISNUMBER(SEARCH("CONTAIN",X23)),6,0))*'Scenario Controls'!$B$25/10</x:f>
        <x:v>10</x:v>
      </x:c>
      <x:c r="O23" s="23" t="n">
        <x:f>SUM(K23:N23)</x:f>
        <x:v>63</x:v>
      </x:c>
      <x:c r="P23" s="15" t="str">
        <x:f>IF(OR(B23="",E23&lt;=0),"Evidence missing / not eligible",IF(ISNUMBER(SEARCH("priority TBD",Y23)),"Evidence missing / not eligible",IF(AND(H23="Carryover",NOT(ISNUMBER(F23))),"Evidence missing / not eligible",IF(AND(H23="Carryover",G23&lt;'Scenario Controls'!$B$16),"Evidence missing / not eligible",IF(AND(H23="ROI-Based Portfolio",NOT(ISNUMBER(F23))),"Evidence missing / not eligible",IF(AND(H23="ROI-Based Portfolio",O23&lt;'Scenario Controls'!$B$20),"Evidence missing / not eligible","Eligible"))))))</x:f>
        <x:v>Eligible</x:v>
      </x:c>
      <x:c r="Q23" s="19" t="n">
        <x:f>IF(P23&lt;&gt;"Eligible",0,IF(AND(SUMIFS($Q$5:Q22,$H$5:H22,H23)+E23&lt;=(IF(H23="LFR",'Scenario Controls'!$F$10,IF(H23="Sustain Engineering",'Scenario Controls'!$F$11,IF(H23="Hygiene",'Scenario Controls'!$F$12,1E+99))))*(1+'Scenario Controls'!$B$7),SUM($Q$5:Q22)+E23&lt;='Scenario Controls'!$B$6*(1+'Scenario Controls'!$B$7)),E23,0))</x:f>
        <x:v>2.5</x:v>
      </x:c>
      <x:c r="R23" s="24" t="str">
        <x:f>'EW Conference'!G21</x:f>
        <x:v>Automatic</x:v>
      </x:c>
      <x:c r="S23" s="24" t="str">
        <x:f>'EW Conference'!H21</x:f>
      </x:c>
      <x:c r="T23" s="19" t="n">
        <x:f>IF(R23="Exclude",0,IF(R23="Include",E23,Q23))</x:f>
        <x:v>2.5</x:v>
      </x:c>
      <x:c r="U23" s="15" t="str">
        <x:f>IF(T23&gt;0,"Funded",IF(P23="Eligible","Unfunded",P23))</x:f>
        <x:v>Funded</x:v>
      </x:c>
      <x:c r="V23" s="15" t="str">
        <x:f>IF(R23="Include","Conference inclusion: "&amp;S23,IF(R23="Exclude","Conference exclusion: "&amp;S23,IF(Q23&gt;0,H23&amp;" priority rank "&amp;I23&amp;"; whole initiative selected",P23)))</x:f>
        <x:v>LFR priority rank 18; whole initiative selected</x:v>
      </x:c>
      <x:c r="W23" s="15" t="str">
        <x:v>EW!123</x:v>
      </x:c>
      <x:c r="X23" s="15" t="str">
        <x:v>HEALTHY</x:v>
      </x:c>
      <x:c r="Y23" s="15" t="str">
        <x:v>HEALTHY / MUST-DO — P1 — Immediate</x:v>
      </x:c>
      <x:c r="Z23" s="15" t="str">
        <x:v>Continuous Improvement</x:v>
      </x:c>
      <x:c r="AA23" s="15" t="str">
        <x:v>New Initiative</x:v>
      </x:c>
      <x:c r="AB23" s="15" t="str">
        <x:v>Innovation and Digital IT</x:v>
      </x:c>
      <x:c r="AC23" s="15" t="str">
        <x:v>Discontinues business case service and process because the expert behind it goes into retirement</x:v>
      </x:c>
      <x:c r="AD23" s="15" t="str">
        <x:v>•Safe-guarding the continuous adoption of business case within Philips</x:v>
      </x:c>
      <x:c r="AE23" s="15" t="str">
        <x:v>Easier workflow for business case users</x:v>
      </x:c>
      <x:c r="AF23" s="15" t="str">
        <x:v>Discontinues business case service and process because the expert behind it goes into retirement | •Safe-guarding the continuous adoption of business case within Philips | Easier workflow for business case users</x:v>
      </x:c>
      <x:c r="AG23" s="15" t="str">
        <x:v>Must Have</x:v>
      </x:c>
      <x:c r="AH23" s="15" t="n">
        <x:v>125</x:v>
      </x:c>
    </x:row>
    <x:row r="24">
      <x:c r="A24" s="15" t="str">
        <x:v>EW-25</x:v>
      </x:c>
      <x:c r="B24" s="15" t="str">
        <x:v>Service365 HK &amp; TW</x:v>
      </x:c>
      <x:c r="C24" s="15" t="str">
        <x:v>EW Led</x:v>
      </x:c>
      <x:c r="D24" s="15" t="str">
        <x:v>Greater China</x:v>
      </x:c>
      <x:c r="E24" s="19" t="n">
        <x:v>0.48</x:v>
      </x:c>
      <x:c r="F24" s="19" t="n">
        <x:v>0.9</x:v>
      </x:c>
      <x:c r="G24" s="22" t="n">
        <x:f>IF(AND(E24&gt;0,ISNUMBER(F24)),F24/E24,"")</x:f>
        <x:v>1.8750000000000002</x:v>
      </x:c>
      <x:c r="H24" s="15" t="str">
        <x:v>LFR</x:v>
      </x:c>
      <x:c r="I24" s="15" t="n">
        <x:v>19</x:v>
      </x:c>
      <x:c r="J24" s="15" t="n">
        <x:v>5</x:v>
      </x:c>
      <x:c r="K24" s="23" t="n">
        <x:f>IF(G24="",0,IF(G24&lt;1,0,IF(G24&lt;2,20,IF(G24&lt;3,30,IF(G24&lt;5,40,50)))))*'Scenario Controls'!$B$22/50</x:f>
        <x:v>20</x:v>
      </x:c>
      <x:c r="L24" s="23" t="n">
        <x:f>IF(ISNUMBER(SEARCH("Must Do",AG24)),25,IF(ISNUMBER(SEARCH("Must Have",AG24)),18,IF(ISNUMBER(SEARCH("Deprior",AG24)),5,0)))*'Scenario Controls'!$B$23/25</x:f>
        <x:v>25</x:v>
      </x:c>
      <x:c r="M24" s="23" t="n">
        <x:f>J24*'Scenario Controls'!$B$24/15</x:f>
        <x:v>5</x:v>
      </x:c>
      <x:c r="N24" s="23" t="n">
        <x:f>IF(ISNUMBER(SEARCH("HEALTHY",X24)),10,IF(ISNUMBER(SEARCH("CONTAIN",X24)),6,0))*'Scenario Controls'!$B$25/10</x:f>
        <x:v>10</x:v>
      </x:c>
      <x:c r="O24" s="23" t="n">
        <x:f>SUM(K24:N24)</x:f>
        <x:v>60</x:v>
      </x:c>
      <x:c r="P24" s="15" t="str">
        <x:f>IF(OR(B24="",E24&lt;=0),"Evidence missing / not eligible",IF(ISNUMBER(SEARCH("priority TBD",Y24)),"Evidence missing / not eligible",IF(AND(H24="Carryover",NOT(ISNUMBER(F24))),"Evidence missing / not eligible",IF(AND(H24="Carryover",G24&lt;'Scenario Controls'!$B$16),"Evidence missing / not eligible",IF(AND(H24="ROI-Based Portfolio",NOT(ISNUMBER(F24))),"Evidence missing / not eligible",IF(AND(H24="ROI-Based Portfolio",O24&lt;'Scenario Controls'!$B$20),"Evidence missing / not eligible","Eligible"))))))</x:f>
        <x:v>Eligible</x:v>
      </x:c>
      <x:c r="Q24" s="19" t="n">
        <x:f>IF(P24&lt;&gt;"Eligible",0,IF(AND(SUMIFS($Q$5:Q23,$H$5:H23,H24)+E24&lt;=(IF(H24="LFR",'Scenario Controls'!$F$10,IF(H24="Sustain Engineering",'Scenario Controls'!$F$11,IF(H24="Hygiene",'Scenario Controls'!$F$12,1E+99))))*(1+'Scenario Controls'!$B$7),SUM($Q$5:Q23)+E24&lt;='Scenario Controls'!$B$6*(1+'Scenario Controls'!$B$7)),E24,0))</x:f>
        <x:v>0.48</x:v>
      </x:c>
      <x:c r="R24" s="24" t="str">
        <x:f>'EW Conference'!G22</x:f>
        <x:v>Automatic</x:v>
      </x:c>
      <x:c r="S24" s="24" t="str">
        <x:f>'EW Conference'!H22</x:f>
      </x:c>
      <x:c r="T24" s="19" t="n">
        <x:f>IF(R24="Exclude",0,IF(R24="Include",E24,Q24))</x:f>
        <x:v>0.48</x:v>
      </x:c>
      <x:c r="U24" s="15" t="str">
        <x:f>IF(T24&gt;0,"Funded",IF(P24="Eligible","Unfunded",P24))</x:f>
        <x:v>Funded</x:v>
      </x:c>
      <x:c r="V24" s="15" t="str">
        <x:f>IF(R24="Include","Conference inclusion: "&amp;S24,IF(R24="Exclude","Conference exclusion: "&amp;S24,IF(Q24&gt;0,H24&amp;" priority rank "&amp;I24&amp;"; whole initiative selected",P24)))</x:f>
        <x:v>LFR priority rank 19; whole initiative selected</x:v>
      </x:c>
      <x:c r="W24" s="15" t="str">
        <x:v>EW!28</x:v>
      </x:c>
      <x:c r="X24" s="15" t="str">
        <x:v>HEALTHY</x:v>
      </x:c>
      <x:c r="Y24" s="15" t="str">
        <x:v>HEALTHY / MUST-DO — P1 — Immediate</x:v>
      </x:c>
      <x:c r="Z24" s="15" t="str">
        <x:v>Continuous Improvement</x:v>
      </x:c>
      <x:c r="AA24" s="15" t="str">
        <x:v>Carry Over</x:v>
      </x:c>
      <x:c r="AB24" s="15" t="str">
        <x:v>Greater China IT</x:v>
      </x:c>
      <x:c r="AC24" s="15" t="str">
        <x:v>no business continuity for HK &amp; TW Service Delivery (cost avoidance, continue what has started half way)</x:v>
      </x:c>
      <x:c r="AD24" s="15" t="str"/>
      <x:c r="AE24" s="15" t="str"/>
      <x:c r="AF24" s="15" t="str">
        <x:v>no business continuity for HK &amp; TW Service Delivery (cost avoidance, continue what has started half way)</x:v>
      </x:c>
      <x:c r="AG24" s="15" t="str">
        <x:v>Must Do</x:v>
      </x:c>
      <x:c r="AH24" s="15" t="n">
        <x:v>30</x:v>
      </x:c>
    </x:row>
    <x:row r="25">
      <x:c r="A25" s="15" t="str">
        <x:v>Bu-103</x:v>
      </x:c>
      <x:c r="B25" s="15" t="str">
        <x:v>3rd Party Inventory and Hold status update from SAP/PRD</x:v>
      </x:c>
      <x:c r="C25" s="15" t="str">
        <x:v>BU Led</x:v>
      </x:c>
      <x:c r="D25" s="15" t="str">
        <x:v>Sleep &amp; Respiratory Care (SRC)</x:v>
      </x:c>
      <x:c r="E25" s="19" t="n">
        <x:v>0.2</x:v>
      </x:c>
      <x:c r="F25" s="19" t="n">
        <x:v>0</x:v>
      </x:c>
      <x:c r="G25" s="22" t="n">
        <x:f>IF(AND(E25&gt;0,ISNUMBER(F25)),F25/E25,"")</x:f>
        <x:v>0</x:v>
      </x:c>
      <x:c r="H25" s="15" t="str">
        <x:v>LFR</x:v>
      </x:c>
      <x:c r="I25" s="15" t="n">
        <x:v>20</x:v>
      </x:c>
      <x:c r="J25" s="15" t="n">
        <x:v>15</x:v>
      </x:c>
      <x:c r="K25" s="23" t="n">
        <x:f>IF(G25="",0,IF(G25&lt;1,0,IF(G25&lt;2,20,IF(G25&lt;3,30,IF(G25&lt;5,40,50)))))*'Scenario Controls'!$B$22/50</x:f>
        <x:v>0</x:v>
      </x:c>
      <x:c r="L25" s="23" t="n">
        <x:f>IF(ISNUMBER(SEARCH("Must Do",AG25)),25,IF(ISNUMBER(SEARCH("Must Have",AG25)),18,IF(ISNUMBER(SEARCH("Deprior",AG25)),5,0)))*'Scenario Controls'!$B$23/25</x:f>
        <x:v>25</x:v>
      </x:c>
      <x:c r="M25" s="23" t="n">
        <x:f>J25*'Scenario Controls'!$B$24/15</x:f>
        <x:v>15</x:v>
      </x:c>
      <x:c r="N25" s="23" t="n">
        <x:f>IF(ISNUMBER(SEARCH("HEALTHY",X25)),10,IF(ISNUMBER(SEARCH("CONTAIN",X25)),6,0))*'Scenario Controls'!$B$25/10</x:f>
        <x:v>10</x:v>
      </x:c>
      <x:c r="O25" s="23" t="n">
        <x:f>SUM(K25:N25)</x:f>
        <x:v>50</x:v>
      </x:c>
      <x:c r="P25" s="15" t="str">
        <x:f>IF(OR(B25="",E25&lt;=0),"Evidence missing / not eligible",IF(ISNUMBER(SEARCH("priority TBD",Y25)),"Evidence missing / not eligible",IF(AND(H25="Carryover",NOT(ISNUMBER(F25))),"Evidence missing / not eligible",IF(AND(H25="Carryover",G25&lt;'Scenario Controls'!$B$16),"Evidence missing / not eligible",IF(AND(H25="ROI-Based Portfolio",NOT(ISNUMBER(F25))),"Evidence missing / not eligible",IF(AND(H25="ROI-Based Portfolio",O25&lt;'Scenario Controls'!$B$20),"Evidence missing / not eligible","Eligible"))))))</x:f>
        <x:v>Eligible</x:v>
      </x:c>
      <x:c r="Q25" s="19" t="n">
        <x:f>IF(P25&lt;&gt;"Eligible",0,IF(AND(SUMIFS($Q$5:Q24,$H$5:H24,H25)+E25&lt;=(IF(H25="LFR",'Scenario Controls'!$F$10,IF(H25="Sustain Engineering",'Scenario Controls'!$F$11,IF(H25="Hygiene",'Scenario Controls'!$F$12,1E+99))))*(1+'Scenario Controls'!$B$7),SUM($Q$5:Q24)+E25&lt;='Scenario Controls'!$B$6*(1+'Scenario Controls'!$B$7)),E25,0))</x:f>
        <x:v>0.2</x:v>
      </x:c>
      <x:c r="R25" s="24" t="str">
        <x:f>'BU Conference'!G8</x:f>
        <x:v>Automatic</x:v>
      </x:c>
      <x:c r="S25" s="24" t="str">
        <x:f>'BU Conference'!H8</x:f>
      </x:c>
      <x:c r="T25" s="19" t="n">
        <x:f>IF(R25="Exclude",0,IF(R25="Include",E25,Q25))</x:f>
        <x:v>0.2</x:v>
      </x:c>
      <x:c r="U25" s="15" t="str">
        <x:f>IF(T25&gt;0,"Funded",IF(P25="Eligible","Unfunded",P25))</x:f>
        <x:v>Funded</x:v>
      </x:c>
      <x:c r="V25" s="15" t="str">
        <x:f>IF(R25="Include","Conference inclusion: "&amp;S25,IF(R25="Exclude","Conference exclusion: "&amp;S25,IF(Q25&gt;0,H25&amp;" priority rank "&amp;I25&amp;"; whole initiative selected",P25)))</x:f>
        <x:v>LFR priority rank 20; whole initiative selected</x:v>
      </x:c>
      <x:c r="W25" s="15" t="str">
        <x:v>Bu!244</x:v>
      </x:c>
      <x:c r="X25" s="15" t="str">
        <x:v>HEALTHY</x:v>
      </x:c>
      <x:c r="Y25" s="15" t="str">
        <x:v>HEALTHY / MUST-DO — P1 — Immediate</x:v>
      </x:c>
      <x:c r="Z25" s="15" t="str">
        <x:v>Legal Fiscal, Regulatory &amp; Compliancy</x:v>
      </x:c>
      <x:c r="AA25" s="15" t="str">
        <x:v>New Initiative</x:v>
      </x:c>
      <x:c r="AB25" s="15" t="str">
        <x:v>Integrated Supply Chain &amp; Finance</x:v>
      </x:c>
      <x:c r="AC25" s="15" t="str">
        <x:v>Direct impact on CD and injunction lift which prohibits us to sell in NA; overall revenue for that category was ~1000 M before injunction</x:v>
      </x:c>
      <x:c r="AD25" s="15" t="str">
        <x:v>We have a CAPA related to this that needs to be addressed asap</x:v>
      </x:c>
      <x:c r="AE25" s="15" t="str">
        <x:v>3rd Party Inventory and Hold status update from SAP/PRD</x:v>
      </x:c>
      <x:c r="AF25" s="15" t="str">
        <x:v>Direct impact on CD and injunction lift which prohibits us to sell in NA; overall revenue for that category was ~1000 M before injunction | We have a CAPA related to this that needs to be addressed asap | 3rd Party Inventory and Hold status update from SAP/PRD</x:v>
      </x:c>
      <x:c r="AG25" s="15" t="str">
        <x:v>Must Do</x:v>
      </x:c>
      <x:c r="AH25" s="15" t="n">
        <x:v>280</x:v>
      </x:c>
    </x:row>
    <x:row r="26">
      <x:c r="A26" s="15" t="str">
        <x:v>EW-28</x:v>
      </x:c>
      <x:c r="B26" s="15" t="str">
        <x:v>NAR Government IT System &amp; Security</x:v>
      </x:c>
      <x:c r="C26" s="15" t="str">
        <x:v>EW Led</x:v>
      </x:c>
      <x:c r="D26" s="15" t="str">
        <x:v>North America</x:v>
      </x:c>
      <x:c r="E26" s="19" t="n">
        <x:v>0.777</x:v>
      </x:c>
      <x:c r="F26" s="19" t="n">
        <x:v>0</x:v>
      </x:c>
      <x:c r="G26" s="22" t="n">
        <x:f>IF(AND(E26&gt;0,ISNUMBER(F26)),F26/E26,"")</x:f>
        <x:v>0</x:v>
      </x:c>
      <x:c r="H26" s="15" t="str">
        <x:v>LFR</x:v>
      </x:c>
      <x:c r="I26" s="15" t="n">
        <x:v>21</x:v>
      </x:c>
      <x:c r="J26" s="15" t="n">
        <x:v>10</x:v>
      </x:c>
      <x:c r="K26" s="23" t="n">
        <x:f>IF(G26="",0,IF(G26&lt;1,0,IF(G26&lt;2,20,IF(G26&lt;3,30,IF(G26&lt;5,40,50)))))*'Scenario Controls'!$B$22/50</x:f>
        <x:v>0</x:v>
      </x:c>
      <x:c r="L26" s="23" t="n">
        <x:f>IF(ISNUMBER(SEARCH("Must Do",AG26)),25,IF(ISNUMBER(SEARCH("Must Have",AG26)),18,IF(ISNUMBER(SEARCH("Deprior",AG26)),5,0)))*'Scenario Controls'!$B$23/25</x:f>
        <x:v>25</x:v>
      </x:c>
      <x:c r="M26" s="23" t="n">
        <x:f>J26*'Scenario Controls'!$B$24/15</x:f>
        <x:v>10</x:v>
      </x:c>
      <x:c r="N26" s="23" t="n">
        <x:f>IF(ISNUMBER(SEARCH("HEALTHY",X26)),10,IF(ISNUMBER(SEARCH("CONTAIN",X26)),6,0))*'Scenario Controls'!$B$25/10</x:f>
        <x:v>10</x:v>
      </x:c>
      <x:c r="O26" s="23" t="n">
        <x:f>SUM(K26:N26)</x:f>
        <x:v>45</x:v>
      </x:c>
      <x:c r="P26" s="15" t="str">
        <x:f>IF(OR(B26="",E26&lt;=0),"Evidence missing / not eligible",IF(ISNUMBER(SEARCH("priority TBD",Y26)),"Evidence missing / not eligible",IF(AND(H26="Carryover",NOT(ISNUMBER(F26))),"Evidence missing / not eligible",IF(AND(H26="Carryover",G26&lt;'Scenario Controls'!$B$16),"Evidence missing / not eligible",IF(AND(H26="ROI-Based Portfolio",NOT(ISNUMBER(F26))),"Evidence missing / not eligible",IF(AND(H26="ROI-Based Portfolio",O26&lt;'Scenario Controls'!$B$20),"Evidence missing / not eligible","Eligible"))))))</x:f>
        <x:v>Eligible</x:v>
      </x:c>
      <x:c r="Q26" s="19" t="n">
        <x:f>IF(P26&lt;&gt;"Eligible",0,IF(AND(SUMIFS($Q$5:Q25,$H$5:H25,H26)+E26&lt;=(IF(H26="LFR",'Scenario Controls'!$F$10,IF(H26="Sustain Engineering",'Scenario Controls'!$F$11,IF(H26="Hygiene",'Scenario Controls'!$F$12,1E+99))))*(1+'Scenario Controls'!$B$7),SUM($Q$5:Q25)+E26&lt;='Scenario Controls'!$B$6*(1+'Scenario Controls'!$B$7)),E26,0))</x:f>
        <x:v>0.777</x:v>
      </x:c>
      <x:c r="R26" s="24" t="str">
        <x:f>'EW Conference'!G23</x:f>
        <x:v>Automatic</x:v>
      </x:c>
      <x:c r="S26" s="24" t="str">
        <x:f>'EW Conference'!H23</x:f>
      </x:c>
      <x:c r="T26" s="19" t="n">
        <x:f>IF(R26="Exclude",0,IF(R26="Include",E26,Q26))</x:f>
        <x:v>0.777</x:v>
      </x:c>
      <x:c r="U26" s="15" t="str">
        <x:f>IF(T26&gt;0,"Funded",IF(P26="Eligible","Unfunded",P26))</x:f>
        <x:v>Funded</x:v>
      </x:c>
      <x:c r="V26" s="15" t="str">
        <x:f>IF(R26="Include","Conference inclusion: "&amp;S26,IF(R26="Exclude","Conference exclusion: "&amp;S26,IF(Q26&gt;0,H26&amp;" priority rank "&amp;I26&amp;"; whole initiative selected",P26)))</x:f>
        <x:v>LFR priority rank 21; whole initiative selected</x:v>
      </x:c>
      <x:c r="W26" s="15" t="str">
        <x:v>EW!31</x:v>
      </x:c>
      <x:c r="X26" s="15" t="str">
        <x:v>HEALTHY</x:v>
      </x:c>
      <x:c r="Y26" s="15" t="str">
        <x:v>HEALTHY / MUST-DO — P1 — Immediate</x:v>
      </x:c>
      <x:c r="Z26" s="15" t="str">
        <x:v>Legal Fiscal, Regulatory &amp; Compliancy</x:v>
      </x:c>
      <x:c r="AA26" s="15" t="str">
        <x:v>Carry Over</x:v>
      </x:c>
      <x:c r="AB26" s="15" t="str">
        <x:v>Enterprise Architecture, Data &amp; Integration</x:v>
      </x:c>
      <x:c r="AC26" s="15" t="str">
        <x:v>Loss of license to sell . Unable to sell to the North American Government Department of War (DoW)</x:v>
      </x:c>
      <x:c r="AD26" s="15" t="str">
        <x:v>Comply wiht CMMC reglations for NA Gov DoW</x:v>
      </x:c>
      <x:c r="AE26" s="15" t="str">
        <x:v>All systems used for US Gov DOW that need to store CUI</x:v>
      </x:c>
      <x:c r="AF26" s="15" t="str">
        <x:v>Loss of license to sell . Unable to sell to the North American Government Department of War (DoW) | Comply wiht CMMC reglations for NA Gov DoW | All systems used for US Gov DOW that need to store CUI</x:v>
      </x:c>
      <x:c r="AG26" s="15" t="str">
        <x:v>Must Do</x:v>
      </x:c>
      <x:c r="AH26" s="15" t="n">
        <x:v>33</x:v>
      </x:c>
    </x:row>
    <x:row r="27">
      <x:c r="A27" s="15" t="str">
        <x:v>EW-19</x:v>
      </x:c>
      <x:c r="B27" s="15" t="str">
        <x:v>SICR APQP Supplier Portal</x:v>
      </x:c>
      <x:c r="C27" s="15" t="str">
        <x:v>EW Led</x:v>
      </x:c>
      <x:c r="D27" s="15" t="str">
        <x:v>Patient Safety &amp; Quality</x:v>
      </x:c>
      <x:c r="E27" s="19" t="n">
        <x:v>0.45</x:v>
      </x:c>
      <x:c r="F27" s="19" t="n">
        <x:v>0.225</x:v>
      </x:c>
      <x:c r="G27" s="22" t="n">
        <x:f>IF(AND(E27&gt;0,ISNUMBER(F27)),F27/E27,"")</x:f>
        <x:v>0.5</x:v>
      </x:c>
      <x:c r="H27" s="15" t="str">
        <x:v>LFR</x:v>
      </x:c>
      <x:c r="I27" s="15" t="n">
        <x:v>22</x:v>
      </x:c>
      <x:c r="J27" s="15" t="n">
        <x:v>5</x:v>
      </x:c>
      <x:c r="K27" s="23" t="n">
        <x:f>IF(G27="",0,IF(G27&lt;1,0,IF(G27&lt;2,20,IF(G27&lt;3,30,IF(G27&lt;5,40,50)))))*'Scenario Controls'!$B$22/50</x:f>
        <x:v>0</x:v>
      </x:c>
      <x:c r="L27" s="23" t="n">
        <x:f>IF(ISNUMBER(SEARCH("Must Do",AG27)),25,IF(ISNUMBER(SEARCH("Must Have",AG27)),18,IF(ISNUMBER(SEARCH("Deprior",AG27)),5,0)))*'Scenario Controls'!$B$23/25</x:f>
        <x:v>25</x:v>
      </x:c>
      <x:c r="M27" s="23" t="n">
        <x:f>J27*'Scenario Controls'!$B$24/15</x:f>
        <x:v>5</x:v>
      </x:c>
      <x:c r="N27" s="23" t="n">
        <x:f>IF(ISNUMBER(SEARCH("HEALTHY",X27)),10,IF(ISNUMBER(SEARCH("CONTAIN",X27)),6,0))*'Scenario Controls'!$B$25/10</x:f>
        <x:v>10</x:v>
      </x:c>
      <x:c r="O27" s="23" t="n">
        <x:f>SUM(K27:N27)</x:f>
        <x:v>40</x:v>
      </x:c>
      <x:c r="P27" s="15" t="str">
        <x:f>IF(OR(B27="",E27&lt;=0),"Evidence missing / not eligible",IF(ISNUMBER(SEARCH("priority TBD",Y27)),"Evidence missing / not eligible",IF(AND(H27="Carryover",NOT(ISNUMBER(F27))),"Evidence missing / not eligible",IF(AND(H27="Carryover",G27&lt;'Scenario Controls'!$B$16),"Evidence missing / not eligible",IF(AND(H27="ROI-Based Portfolio",NOT(ISNUMBER(F27))),"Evidence missing / not eligible",IF(AND(H27="ROI-Based Portfolio",O27&lt;'Scenario Controls'!$B$20),"Evidence missing / not eligible","Eligible"))))))</x:f>
        <x:v>Eligible</x:v>
      </x:c>
      <x:c r="Q27" s="19" t="n">
        <x:f>IF(P27&lt;&gt;"Eligible",0,IF(AND(SUMIFS($Q$5:Q26,$H$5:H26,H27)+E27&lt;=(IF(H27="LFR",'Scenario Controls'!$F$10,IF(H27="Sustain Engineering",'Scenario Controls'!$F$11,IF(H27="Hygiene",'Scenario Controls'!$F$12,1E+99))))*(1+'Scenario Controls'!$B$7),SUM($Q$5:Q26)+E27&lt;='Scenario Controls'!$B$6*(1+'Scenario Controls'!$B$7)),E27,0))</x:f>
        <x:v>0.45</x:v>
      </x:c>
      <x:c r="R27" s="24" t="str">
        <x:f>'EW Conference'!G24</x:f>
        <x:v>Automatic</x:v>
      </x:c>
      <x:c r="S27" s="24" t="str">
        <x:f>'EW Conference'!H24</x:f>
      </x:c>
      <x:c r="T27" s="19" t="n">
        <x:f>IF(R27="Exclude",0,IF(R27="Include",E27,Q27))</x:f>
        <x:v>0.45</x:v>
      </x:c>
      <x:c r="U27" s="15" t="str">
        <x:f>IF(T27&gt;0,"Funded",IF(P27="Eligible","Unfunded",P27))</x:f>
        <x:v>Funded</x:v>
      </x:c>
      <x:c r="V27" s="15" t="str">
        <x:f>IF(R27="Include","Conference inclusion: "&amp;S27,IF(R27="Exclude","Conference exclusion: "&amp;S27,IF(Q27&gt;0,H27&amp;" priority rank "&amp;I27&amp;"; whole initiative selected",P27)))</x:f>
        <x:v>LFR priority rank 22; whole initiative selected</x:v>
      </x:c>
      <x:c r="W27" s="15" t="str">
        <x:v>EW!22</x:v>
      </x:c>
      <x:c r="X27" s="15" t="str">
        <x:v>HEALTHY</x:v>
      </x:c>
      <x:c r="Y27" s="15" t="str">
        <x:v>HEALTHY / MUST-DO — P1 — Immediate</x:v>
      </x:c>
      <x:c r="Z27" s="15" t="str">
        <x:v>Decomm/Replatforming</x:v>
      </x:c>
      <x:c r="AA27" s="15" t="str">
        <x:v>New Initiative</x:v>
      </x:c>
      <x:c r="AB27" s="15" t="str">
        <x:v>Group Functions &amp; Hyperautomation IT</x:v>
      </x:c>
      <x:c r="AC27" s="15" t="str">
        <x:v>2550 total, of which:</x:v>
      </x:c>
      <x:c r="AD27" s="15" t="str">
        <x:v>Fragmented landscape to support Supplier Initiated Change Requests resulting in compliance exposure</x:v>
      </x:c>
      <x:c r="AE27" s="15" t="str">
        <x:v>Central SICR solution in phase 1, APQP process suport in phase 2</x:v>
      </x:c>
      <x:c r="AF27" s="15" t="str">
        <x:v>2550 total, of which: | Fragmented landscape to support Supplier Initiated Change Requests resulting in compliance exposure | Central SICR solution in phase 1, APQP process suport in phase 2</x:v>
      </x:c>
      <x:c r="AG27" s="15" t="str">
        <x:v>Must Do</x:v>
      </x:c>
      <x:c r="AH27" s="15" t="n">
        <x:v>24</x:v>
      </x:c>
    </x:row>
    <x:row r="28">
      <x:c r="A28" s="15" t="str">
        <x:v>EW-22</x:v>
      </x:c>
      <x:c r="B28" s="15" t="str">
        <x:v>Commercial365 2027 Change&amp;Sustain</x:v>
      </x:c>
      <x:c r="C28" s="15" t="str">
        <x:v>EW Led</x:v>
      </x:c>
      <x:c r="D28" s="15" t="str">
        <x:v>Greater China</x:v>
      </x:c>
      <x:c r="E28" s="19" t="n">
        <x:v>0.48</x:v>
      </x:c>
      <x:c r="F28" s="19" t="n">
        <x:v>0</x:v>
      </x:c>
      <x:c r="G28" s="22" t="n">
        <x:f>IF(AND(E28&gt;0,ISNUMBER(F28)),F28/E28,"")</x:f>
        <x:v>0</x:v>
      </x:c>
      <x:c r="H28" s="15" t="str">
        <x:v>LFR</x:v>
      </x:c>
      <x:c r="I28" s="15" t="n">
        <x:v>23</x:v>
      </x:c>
      <x:c r="J28" s="15" t="n">
        <x:v>5</x:v>
      </x:c>
      <x:c r="K28" s="23" t="n">
        <x:f>IF(G28="",0,IF(G28&lt;1,0,IF(G28&lt;2,20,IF(G28&lt;3,30,IF(G28&lt;5,40,50)))))*'Scenario Controls'!$B$22/50</x:f>
        <x:v>0</x:v>
      </x:c>
      <x:c r="L28" s="23" t="n">
        <x:f>IF(ISNUMBER(SEARCH("Must Do",AG28)),25,IF(ISNUMBER(SEARCH("Must Have",AG28)),18,IF(ISNUMBER(SEARCH("Deprior",AG28)),5,0)))*'Scenario Controls'!$B$23/25</x:f>
        <x:v>25</x:v>
      </x:c>
      <x:c r="M28" s="23" t="n">
        <x:f>J28*'Scenario Controls'!$B$24/15</x:f>
        <x:v>5</x:v>
      </x:c>
      <x:c r="N28" s="23" t="n">
        <x:f>IF(ISNUMBER(SEARCH("HEALTHY",X28)),10,IF(ISNUMBER(SEARCH("CONTAIN",X28)),6,0))*'Scenario Controls'!$B$25/10</x:f>
        <x:v>10</x:v>
      </x:c>
      <x:c r="O28" s="23" t="n">
        <x:f>SUM(K28:N28)</x:f>
        <x:v>40</x:v>
      </x:c>
      <x:c r="P28" s="15" t="str">
        <x:f>IF(OR(B28="",E28&lt;=0),"Evidence missing / not eligible",IF(ISNUMBER(SEARCH("priority TBD",Y28)),"Evidence missing / not eligible",IF(AND(H28="Carryover",NOT(ISNUMBER(F28))),"Evidence missing / not eligible",IF(AND(H28="Carryover",G28&lt;'Scenario Controls'!$B$16),"Evidence missing / not eligible",IF(AND(H28="ROI-Based Portfolio",NOT(ISNUMBER(F28))),"Evidence missing / not eligible",IF(AND(H28="ROI-Based Portfolio",O28&lt;'Scenario Controls'!$B$20),"Evidence missing / not eligible","Eligible"))))))</x:f>
        <x:v>Eligible</x:v>
      </x:c>
      <x:c r="Q28" s="19" t="n">
        <x:f>IF(P28&lt;&gt;"Eligible",0,IF(AND(SUMIFS($Q$5:Q27,$H$5:H27,H28)+E28&lt;=(IF(H28="LFR",'Scenario Controls'!$F$10,IF(H28="Sustain Engineering",'Scenario Controls'!$F$11,IF(H28="Hygiene",'Scenario Controls'!$F$12,1E+99))))*(1+'Scenario Controls'!$B$7),SUM($Q$5:Q27)+E28&lt;='Scenario Controls'!$B$6*(1+'Scenario Controls'!$B$7)),E28,0))</x:f>
        <x:v>0.48</x:v>
      </x:c>
      <x:c r="R28" s="24" t="str">
        <x:f>'EW Conference'!G25</x:f>
        <x:v>Automatic</x:v>
      </x:c>
      <x:c r="S28" s="24" t="str">
        <x:f>'EW Conference'!H25</x:f>
      </x:c>
      <x:c r="T28" s="19" t="n">
        <x:f>IF(R28="Exclude",0,IF(R28="Include",E28,Q28))</x:f>
        <x:v>0.48</x:v>
      </x:c>
      <x:c r="U28" s="15" t="str">
        <x:f>IF(T28&gt;0,"Funded",IF(P28="Eligible","Unfunded",P28))</x:f>
        <x:v>Funded</x:v>
      </x:c>
      <x:c r="V28" s="15" t="str">
        <x:f>IF(R28="Include","Conference inclusion: "&amp;S28,IF(R28="Exclude","Conference exclusion: "&amp;S28,IF(Q28&gt;0,H28&amp;" priority rank "&amp;I28&amp;"; whole initiative selected",P28)))</x:f>
        <x:v>LFR priority rank 23; whole initiative selected</x:v>
      </x:c>
      <x:c r="W28" s="15" t="str">
        <x:v>EW!25</x:v>
      </x:c>
      <x:c r="X28" s="15" t="str">
        <x:v>HEALTHY</x:v>
      </x:c>
      <x:c r="Y28" s="15" t="str">
        <x:v>HEALTHY / MUST-DO — P1 — Immediate</x:v>
      </x:c>
      <x:c r="Z28" s="15" t="str">
        <x:v>Continuous Improvement</x:v>
      </x:c>
      <x:c r="AA28" s="15" t="str">
        <x:v>Carry Over</x:v>
      </x:c>
      <x:c r="AB28" s="15" t="str">
        <x:v>Greater China IT</x:v>
      </x:c>
      <x:c r="AC28" s="15" t="str">
        <x:v>no business continuity for China Mainland funnel &amp; OIT (Continue what has started to maintain business, this is the SFDC CRM + Conga for China)</x:v>
      </x:c>
      <x:c r="AD28" s="15" t="str"/>
      <x:c r="AE28" s="15" t="str"/>
      <x:c r="AF28" s="15" t="str">
        <x:v>no business continuity for China Mainland funnel &amp; OIT (Continue what has started to maintain business, this is the SFDC CRM + Conga for China)</x:v>
      </x:c>
      <x:c r="AG28" s="15" t="str">
        <x:v>Must Do</x:v>
      </x:c>
      <x:c r="AH28" s="15" t="n">
        <x:v>27</x:v>
      </x:c>
    </x:row>
    <x:row r="29">
      <x:c r="A29" s="15" t="str">
        <x:v>EW-23</x:v>
      </x:c>
      <x:c r="B29" s="15" t="str">
        <x:v>Channel365 2027 Change&amp;Sustain</x:v>
      </x:c>
      <x:c r="C29" s="15" t="str">
        <x:v>EW Led</x:v>
      </x:c>
      <x:c r="D29" s="15" t="str">
        <x:v>Greater China</x:v>
      </x:c>
      <x:c r="E29" s="19" t="n">
        <x:v>0.4</x:v>
      </x:c>
      <x:c r="F29" s="19" t="n">
        <x:v>0</x:v>
      </x:c>
      <x:c r="G29" s="22" t="n">
        <x:f>IF(AND(E29&gt;0,ISNUMBER(F29)),F29/E29,"")</x:f>
        <x:v>0</x:v>
      </x:c>
      <x:c r="H29" s="15" t="str">
        <x:v>LFR</x:v>
      </x:c>
      <x:c r="I29" s="15" t="n">
        <x:v>24</x:v>
      </x:c>
      <x:c r="J29" s="15" t="n">
        <x:v>5</x:v>
      </x:c>
      <x:c r="K29" s="23" t="n">
        <x:f>IF(G29="",0,IF(G29&lt;1,0,IF(G29&lt;2,20,IF(G29&lt;3,30,IF(G29&lt;5,40,50)))))*'Scenario Controls'!$B$22/50</x:f>
        <x:v>0</x:v>
      </x:c>
      <x:c r="L29" s="23" t="n">
        <x:f>IF(ISNUMBER(SEARCH("Must Do",AG29)),25,IF(ISNUMBER(SEARCH("Must Have",AG29)),18,IF(ISNUMBER(SEARCH("Deprior",AG29)),5,0)))*'Scenario Controls'!$B$23/25</x:f>
        <x:v>25</x:v>
      </x:c>
      <x:c r="M29" s="23" t="n">
        <x:f>J29*'Scenario Controls'!$B$24/15</x:f>
        <x:v>5</x:v>
      </x:c>
      <x:c r="N29" s="23" t="n">
        <x:f>IF(ISNUMBER(SEARCH("HEALTHY",X29)),10,IF(ISNUMBER(SEARCH("CONTAIN",X29)),6,0))*'Scenario Controls'!$B$25/10</x:f>
        <x:v>10</x:v>
      </x:c>
      <x:c r="O29" s="23" t="n">
        <x:f>SUM(K29:N29)</x:f>
        <x:v>40</x:v>
      </x:c>
      <x:c r="P29" s="15" t="str">
        <x:f>IF(OR(B29="",E29&lt;=0),"Evidence missing / not eligible",IF(ISNUMBER(SEARCH("priority TBD",Y29)),"Evidence missing / not eligible",IF(AND(H29="Carryover",NOT(ISNUMBER(F29))),"Evidence missing / not eligible",IF(AND(H29="Carryover",G29&lt;'Scenario Controls'!$B$16),"Evidence missing / not eligible",IF(AND(H29="ROI-Based Portfolio",NOT(ISNUMBER(F29))),"Evidence missing / not eligible",IF(AND(H29="ROI-Based Portfolio",O29&lt;'Scenario Controls'!$B$20),"Evidence missing / not eligible","Eligible"))))))</x:f>
        <x:v>Eligible</x:v>
      </x:c>
      <x:c r="Q29" s="19" t="n">
        <x:f>IF(P29&lt;&gt;"Eligible",0,IF(AND(SUMIFS($Q$5:Q28,$H$5:H28,H29)+E29&lt;=(IF(H29="LFR",'Scenario Controls'!$F$10,IF(H29="Sustain Engineering",'Scenario Controls'!$F$11,IF(H29="Hygiene",'Scenario Controls'!$F$12,1E+99))))*(1+'Scenario Controls'!$B$7),SUM($Q$5:Q28)+E29&lt;='Scenario Controls'!$B$6*(1+'Scenario Controls'!$B$7)),E29,0))</x:f>
        <x:v>0.4</x:v>
      </x:c>
      <x:c r="R29" s="24" t="str">
        <x:f>'EW Conference'!G26</x:f>
        <x:v>Automatic</x:v>
      </x:c>
      <x:c r="S29" s="24" t="str">
        <x:f>'EW Conference'!H26</x:f>
      </x:c>
      <x:c r="T29" s="19" t="n">
        <x:f>IF(R29="Exclude",0,IF(R29="Include",E29,Q29))</x:f>
        <x:v>0.4</x:v>
      </x:c>
      <x:c r="U29" s="15" t="str">
        <x:f>IF(T29&gt;0,"Funded",IF(P29="Eligible","Unfunded",P29))</x:f>
        <x:v>Funded</x:v>
      </x:c>
      <x:c r="V29" s="15" t="str">
        <x:f>IF(R29="Include","Conference inclusion: "&amp;S29,IF(R29="Exclude","Conference exclusion: "&amp;S29,IF(Q29&gt;0,H29&amp;" priority rank "&amp;I29&amp;"; whole initiative selected",P29)))</x:f>
        <x:v>LFR priority rank 24; whole initiative selected</x:v>
      </x:c>
      <x:c r="W29" s="15" t="str">
        <x:v>EW!26</x:v>
      </x:c>
      <x:c r="X29" s="15" t="str">
        <x:v>HEALTHY</x:v>
      </x:c>
      <x:c r="Y29" s="15" t="str">
        <x:v>HEALTHY / MUST-DO — P1 — Immediate</x:v>
      </x:c>
      <x:c r="Z29" s="15" t="str">
        <x:v>Continuous Improvement</x:v>
      </x:c>
      <x:c r="AA29" s="15" t="str">
        <x:v>Carry Over</x:v>
      </x:c>
      <x:c r="AB29" s="15" t="str">
        <x:v>Greater China IT</x:v>
      </x:c>
      <x:c r="AC29" s="15" t="str">
        <x:v>no business continuity for China Mainland funnel &amp; OIT (Continue what has started to maintain business, this is the Conga + ICON for China)</x:v>
      </x:c>
      <x:c r="AD29" s="15" t="str"/>
      <x:c r="AE29" s="15" t="str"/>
      <x:c r="AF29" s="15" t="str">
        <x:v>no business continuity for China Mainland funnel &amp; OIT (Continue what has started to maintain business, this is the Conga + ICON for China)</x:v>
      </x:c>
      <x:c r="AG29" s="15" t="str">
        <x:v>Must Do</x:v>
      </x:c>
      <x:c r="AH29" s="15" t="n">
        <x:v>28</x:v>
      </x:c>
    </x:row>
    <x:row r="30">
      <x:c r="A30" s="15" t="str">
        <x:v>EW-24</x:v>
      </x:c>
      <x:c r="B30" s="15" t="str">
        <x:v>China Data Lake 2027 Change&amp;Sustain</x:v>
      </x:c>
      <x:c r="C30" s="15" t="str">
        <x:v>EW Led</x:v>
      </x:c>
      <x:c r="D30" s="15" t="str">
        <x:v>Greater China</x:v>
      </x:c>
      <x:c r="E30" s="19" t="n">
        <x:v>0.4</x:v>
      </x:c>
      <x:c r="F30" s="19" t="n">
        <x:v>0</x:v>
      </x:c>
      <x:c r="G30" s="22" t="n">
        <x:f>IF(AND(E30&gt;0,ISNUMBER(F30)),F30/E30,"")</x:f>
        <x:v>0</x:v>
      </x:c>
      <x:c r="H30" s="15" t="str">
        <x:v>LFR</x:v>
      </x:c>
      <x:c r="I30" s="15" t="n">
        <x:v>25</x:v>
      </x:c>
      <x:c r="J30" s="15" t="n">
        <x:v>5</x:v>
      </x:c>
      <x:c r="K30" s="23" t="n">
        <x:f>IF(G30="",0,IF(G30&lt;1,0,IF(G30&lt;2,20,IF(G30&lt;3,30,IF(G30&lt;5,40,50)))))*'Scenario Controls'!$B$22/50</x:f>
        <x:v>0</x:v>
      </x:c>
      <x:c r="L30" s="23" t="n">
        <x:f>IF(ISNUMBER(SEARCH("Must Do",AG30)),25,IF(ISNUMBER(SEARCH("Must Have",AG30)),18,IF(ISNUMBER(SEARCH("Deprior",AG30)),5,0)))*'Scenario Controls'!$B$23/25</x:f>
        <x:v>25</x:v>
      </x:c>
      <x:c r="M30" s="23" t="n">
        <x:f>J30*'Scenario Controls'!$B$24/15</x:f>
        <x:v>5</x:v>
      </x:c>
      <x:c r="N30" s="23" t="n">
        <x:f>IF(ISNUMBER(SEARCH("HEALTHY",X30)),10,IF(ISNUMBER(SEARCH("CONTAIN",X30)),6,0))*'Scenario Controls'!$B$25/10</x:f>
        <x:v>10</x:v>
      </x:c>
      <x:c r="O30" s="23" t="n">
        <x:f>SUM(K30:N30)</x:f>
        <x:v>40</x:v>
      </x:c>
      <x:c r="P30" s="15" t="str">
        <x:f>IF(OR(B30="",E30&lt;=0),"Evidence missing / not eligible",IF(ISNUMBER(SEARCH("priority TBD",Y30)),"Evidence missing / not eligible",IF(AND(H30="Carryover",NOT(ISNUMBER(F30))),"Evidence missing / not eligible",IF(AND(H30="Carryover",G30&lt;'Scenario Controls'!$B$16),"Evidence missing / not eligible",IF(AND(H30="ROI-Based Portfolio",NOT(ISNUMBER(F30))),"Evidence missing / not eligible",IF(AND(H30="ROI-Based Portfolio",O30&lt;'Scenario Controls'!$B$20),"Evidence missing / not eligible","Eligible"))))))</x:f>
        <x:v>Eligible</x:v>
      </x:c>
      <x:c r="Q30" s="19" t="n">
        <x:f>IF(P30&lt;&gt;"Eligible",0,IF(AND(SUMIFS($Q$5:Q29,$H$5:H29,H30)+E30&lt;=(IF(H30="LFR",'Scenario Controls'!$F$10,IF(H30="Sustain Engineering",'Scenario Controls'!$F$11,IF(H30="Hygiene",'Scenario Controls'!$F$12,1E+99))))*(1+'Scenario Controls'!$B$7),SUM($Q$5:Q29)+E30&lt;='Scenario Controls'!$B$6*(1+'Scenario Controls'!$B$7)),E30,0))</x:f>
        <x:v>0.4</x:v>
      </x:c>
      <x:c r="R30" s="24" t="str">
        <x:f>'EW Conference'!G27</x:f>
        <x:v>Automatic</x:v>
      </x:c>
      <x:c r="S30" s="24" t="str">
        <x:f>'EW Conference'!H27</x:f>
      </x:c>
      <x:c r="T30" s="19" t="n">
        <x:f>IF(R30="Exclude",0,IF(R30="Include",E30,Q30))</x:f>
        <x:v>0.4</x:v>
      </x:c>
      <x:c r="U30" s="15" t="str">
        <x:f>IF(T30&gt;0,"Funded",IF(P30="Eligible","Unfunded",P30))</x:f>
        <x:v>Funded</x:v>
      </x:c>
      <x:c r="V30" s="15" t="str">
        <x:f>IF(R30="Include","Conference inclusion: "&amp;S30,IF(R30="Exclude","Conference exclusion: "&amp;S30,IF(Q30&gt;0,H30&amp;" priority rank "&amp;I30&amp;"; whole initiative selected",P30)))</x:f>
        <x:v>LFR priority rank 25; whole initiative selected</x:v>
      </x:c>
      <x:c r="W30" s="15" t="str">
        <x:v>EW!27</x:v>
      </x:c>
      <x:c r="X30" s="15" t="str">
        <x:v>HEALTHY</x:v>
      </x:c>
      <x:c r="Y30" s="15" t="str">
        <x:v>HEALTHY / MUST-DO — P1 — Immediate</x:v>
      </x:c>
      <x:c r="Z30" s="15" t="str">
        <x:v>Continuous Improvement</x:v>
      </x:c>
      <x:c r="AA30" s="15" t="str">
        <x:v>Carry Over</x:v>
      </x:c>
      <x:c r="AB30" s="15" t="str">
        <x:v>Greater China IT</x:v>
      </x:c>
      <x:c r="AC30" s="15" t="str">
        <x:v>no business continuity for GCR Data to support any business</x:v>
      </x:c>
      <x:c r="AD30" s="15" t="str"/>
      <x:c r="AE30" s="15" t="str"/>
      <x:c r="AF30" s="15" t="str">
        <x:v>no business continuity for GCR Data to support any business</x:v>
      </x:c>
      <x:c r="AG30" s="15" t="str">
        <x:v>Must Do</x:v>
      </x:c>
      <x:c r="AH30" s="15" t="n">
        <x:v>29</x:v>
      </x:c>
    </x:row>
    <x:row r="31">
      <x:c r="A31" s="15" t="str">
        <x:v>EW-102</x:v>
      </x:c>
      <x:c r="B31" s="15" t="str">
        <x:v>IT ServiceContinuity Management</x:v>
      </x:c>
      <x:c r="C31" s="15" t="str">
        <x:v>EW Led</x:v>
      </x:c>
      <x:c r="D31" s="15" t="str">
        <x:v>Information Technology</x:v>
      </x:c>
      <x:c r="E31" s="19" t="n">
        <x:v>0.125</x:v>
      </x:c>
      <x:c r="F31" s="19" t="n">
        <x:v>0</x:v>
      </x:c>
      <x:c r="G31" s="22" t="n">
        <x:f>IF(AND(E31&gt;0,ISNUMBER(F31)),F31/E31,"")</x:f>
        <x:v>0</x:v>
      </x:c>
      <x:c r="H31" s="15" t="str">
        <x:v>LFR</x:v>
      </x:c>
      <x:c r="I31" s="15" t="n">
        <x:v>26</x:v>
      </x:c>
      <x:c r="J31" s="15" t="n">
        <x:v>5</x:v>
      </x:c>
      <x:c r="K31" s="23" t="n">
        <x:f>IF(G31="",0,IF(G31&lt;1,0,IF(G31&lt;2,20,IF(G31&lt;3,30,IF(G31&lt;5,40,50)))))*'Scenario Controls'!$B$22/50</x:f>
        <x:v>0</x:v>
      </x:c>
      <x:c r="L31" s="23" t="n">
        <x:f>IF(ISNUMBER(SEARCH("Must Do",AG31)),25,IF(ISNUMBER(SEARCH("Must Have",AG31)),18,IF(ISNUMBER(SEARCH("Deprior",AG31)),5,0)))*'Scenario Controls'!$B$23/25</x:f>
        <x:v>25</x:v>
      </x:c>
      <x:c r="M31" s="23" t="n">
        <x:f>J31*'Scenario Controls'!$B$24/15</x:f>
        <x:v>5</x:v>
      </x:c>
      <x:c r="N31" s="23" t="n">
        <x:f>IF(ISNUMBER(SEARCH("HEALTHY",X31)),10,IF(ISNUMBER(SEARCH("CONTAIN",X31)),6,0))*'Scenario Controls'!$B$25/10</x:f>
        <x:v>10</x:v>
      </x:c>
      <x:c r="O31" s="23" t="n">
        <x:f>SUM(K31:N31)</x:f>
        <x:v>40</x:v>
      </x:c>
      <x:c r="P31" s="15" t="str">
        <x:f>IF(OR(B31="",E31&lt;=0),"Evidence missing / not eligible",IF(ISNUMBER(SEARCH("priority TBD",Y31)),"Evidence missing / not eligible",IF(AND(H31="Carryover",NOT(ISNUMBER(F31))),"Evidence missing / not eligible",IF(AND(H31="Carryover",G31&lt;'Scenario Controls'!$B$16),"Evidence missing / not eligible",IF(AND(H31="ROI-Based Portfolio",NOT(ISNUMBER(F31))),"Evidence missing / not eligible",IF(AND(H31="ROI-Based Portfolio",O31&lt;'Scenario Controls'!$B$20),"Evidence missing / not eligible","Eligible"))))))</x:f>
        <x:v>Eligible</x:v>
      </x:c>
      <x:c r="Q31" s="19" t="n">
        <x:f>IF(P31&lt;&gt;"Eligible",0,IF(AND(SUMIFS($Q$5:Q30,$H$5:H30,H31)+E31&lt;=(IF(H31="LFR",'Scenario Controls'!$F$10,IF(H31="Sustain Engineering",'Scenario Controls'!$F$11,IF(H31="Hygiene",'Scenario Controls'!$F$12,1E+99))))*(1+'Scenario Controls'!$B$7),SUM($Q$5:Q30)+E31&lt;='Scenario Controls'!$B$6*(1+'Scenario Controls'!$B$7)),E31,0))</x:f>
        <x:v>0.125</x:v>
      </x:c>
      <x:c r="R31" s="24" t="str">
        <x:f>'EW Conference'!G28</x:f>
        <x:v>Automatic</x:v>
      </x:c>
      <x:c r="S31" s="24" t="str">
        <x:f>'EW Conference'!H28</x:f>
      </x:c>
      <x:c r="T31" s="19" t="n">
        <x:f>IF(R31="Exclude",0,IF(R31="Include",E31,Q31))</x:f>
        <x:v>0.125</x:v>
      </x:c>
      <x:c r="U31" s="15" t="str">
        <x:f>IF(T31&gt;0,"Funded",IF(P31="Eligible","Unfunded",P31))</x:f>
        <x:v>Funded</x:v>
      </x:c>
      <x:c r="V31" s="15" t="str">
        <x:f>IF(R31="Include","Conference inclusion: "&amp;S31,IF(R31="Exclude","Conference exclusion: "&amp;S31,IF(Q31&gt;0,H31&amp;" priority rank "&amp;I31&amp;"; whole initiative selected",P31)))</x:f>
        <x:v>LFR priority rank 26; whole initiative selected</x:v>
      </x:c>
      <x:c r="W31" s="15" t="str">
        <x:v>EW!98</x:v>
      </x:c>
      <x:c r="X31" s="15" t="str">
        <x:v>HEALTHY</x:v>
      </x:c>
      <x:c r="Y31" s="15" t="str">
        <x:v>HEALTHY / MUST-DO — P1 — Immediate</x:v>
      </x:c>
      <x:c r="Z31" s="15" t="str">
        <x:v>Legal Fiscal, Regulatory &amp; Compliancy</x:v>
      </x:c>
      <x:c r="AA31" s="15" t="str">
        <x:v>Carry Over</x:v>
      </x:c>
      <x:c r="AB31" s="15" t="str">
        <x:v>Infrastructure Services – Projects</x:v>
      </x:c>
      <x:c r="AC31" s="15" t="str">
        <x:v>If this is not implemented we are in the danger of additional audit queries and NC from the auditors</x:v>
      </x:c>
      <x:c r="AD31" s="15" t="str">
        <x:v>There are some finanacial controls and reporting that needs to be completed to for us to be compliant</x:v>
      </x:c>
      <x:c r="AE31" s="15" t="str">
        <x:v>Global</x:v>
      </x:c>
      <x:c r="AF31" s="15" t="str">
        <x:v>If this is not implemented we are in the danger of additional audit queries and NC from the auditors | There are some finanacial controls and reporting that needs to be completed to for us to be compliant | Global</x:v>
      </x:c>
      <x:c r="AG31" s="15" t="str">
        <x:v>Must Do</x:v>
      </x:c>
      <x:c r="AH31" s="15" t="n">
        <x:v>100</x:v>
      </x:c>
    </x:row>
    <x:row r="32">
      <x:c r="A32" s="15" t="str">
        <x:v>EW-142</x:v>
      </x:c>
      <x:c r="B32" s="15" t="str">
        <x:v>Vmware/Broadcom exit for Compute estate (GoA)</x:v>
      </x:c>
      <x:c r="C32" s="15" t="str">
        <x:v>EW Led</x:v>
      </x:c>
      <x:c r="D32" s="15" t="str">
        <x:v>Information Technology</x:v>
      </x:c>
      <x:c r="E32" s="19" t="n">
        <x:v>0.7</x:v>
      </x:c>
      <x:c r="F32" s="19" t="n">
        <x:v>0.35</x:v>
      </x:c>
      <x:c r="G32" s="22" t="n">
        <x:f>IF(AND(E32&gt;0,ISNUMBER(F32)),F32/E32,"")</x:f>
        <x:v>0.5</x:v>
      </x:c>
      <x:c r="H32" s="15" t="str">
        <x:v>LFR</x:v>
      </x:c>
      <x:c r="I32" s="15" t="n">
        <x:v>27</x:v>
      </x:c>
      <x:c r="J32" s="15" t="n">
        <x:v>5</x:v>
      </x:c>
      <x:c r="K32" s="23" t="n">
        <x:f>IF(G32="",0,IF(G32&lt;1,0,IF(G32&lt;2,20,IF(G32&lt;3,30,IF(G32&lt;5,40,50)))))*'Scenario Controls'!$B$22/50</x:f>
        <x:v>0</x:v>
      </x:c>
      <x:c r="L32" s="23" t="n">
        <x:f>IF(ISNUMBER(SEARCH("Must Do",AG32)),25,IF(ISNUMBER(SEARCH("Must Have",AG32)),18,IF(ISNUMBER(SEARCH("Deprior",AG32)),5,0)))*'Scenario Controls'!$B$23/25</x:f>
        <x:v>25</x:v>
      </x:c>
      <x:c r="M32" s="23" t="n">
        <x:f>J32*'Scenario Controls'!$B$24/15</x:f>
        <x:v>5</x:v>
      </x:c>
      <x:c r="N32" s="23" t="n">
        <x:f>IF(ISNUMBER(SEARCH("HEALTHY",X32)),10,IF(ISNUMBER(SEARCH("CONTAIN",X32)),6,0))*'Scenario Controls'!$B$25/10</x:f>
        <x:v>6</x:v>
      </x:c>
      <x:c r="O32" s="23" t="n">
        <x:f>SUM(K32:N32)</x:f>
        <x:v>36</x:v>
      </x:c>
      <x:c r="P32" s="15" t="str">
        <x:f>IF(OR(B32="",E32&lt;=0),"Evidence missing / not eligible",IF(ISNUMBER(SEARCH("priority TBD",Y32)),"Evidence missing / not eligible",IF(AND(H32="Carryover",NOT(ISNUMBER(F32))),"Evidence missing / not eligible",IF(AND(H32="Carryover",G32&lt;'Scenario Controls'!$B$16),"Evidence missing / not eligible",IF(AND(H32="ROI-Based Portfolio",NOT(ISNUMBER(F32))),"Evidence missing / not eligible",IF(AND(H32="ROI-Based Portfolio",O32&lt;'Scenario Controls'!$B$20),"Evidence missing / not eligible","Eligible"))))))</x:f>
        <x:v>Eligible</x:v>
      </x:c>
      <x:c r="Q32" s="19" t="n">
        <x:f>IF(P32&lt;&gt;"Eligible",0,IF(AND(SUMIFS($Q$5:Q31,$H$5:H31,H32)+E32&lt;=(IF(H32="LFR",'Scenario Controls'!$F$10,IF(H32="Sustain Engineering",'Scenario Controls'!$F$11,IF(H32="Hygiene",'Scenario Controls'!$F$12,1E+99))))*(1+'Scenario Controls'!$B$7),SUM($Q$5:Q31)+E32&lt;='Scenario Controls'!$B$6*(1+'Scenario Controls'!$B$7)),E32,0))</x:f>
        <x:v>0.7</x:v>
      </x:c>
      <x:c r="R32" s="24" t="str">
        <x:f>'EW Conference'!G29</x:f>
        <x:v>Automatic</x:v>
      </x:c>
      <x:c r="S32" s="24" t="str">
        <x:f>'EW Conference'!H29</x:f>
      </x:c>
      <x:c r="T32" s="19" t="n">
        <x:f>IF(R32="Exclude",0,IF(R32="Include",E32,Q32))</x:f>
        <x:v>0.7</x:v>
      </x:c>
      <x:c r="U32" s="15" t="str">
        <x:f>IF(T32&gt;0,"Funded",IF(P32="Eligible","Unfunded",P32))</x:f>
        <x:v>Funded</x:v>
      </x:c>
      <x:c r="V32" s="15" t="str">
        <x:f>IF(R32="Include","Conference inclusion: "&amp;S32,IF(R32="Exclude","Conference exclusion: "&amp;S32,IF(Q32&gt;0,H32&amp;" priority rank "&amp;I32&amp;"; whole initiative selected",P32)))</x:f>
        <x:v>LFR priority rank 27; whole initiative selected</x:v>
      </x:c>
      <x:c r="W32" s="15" t="str">
        <x:v>EW!138</x:v>
      </x:c>
      <x:c r="X32" s="15" t="str">
        <x:v>CONTAIN</x:v>
      </x:c>
      <x:c r="Y32" s="15" t="str">
        <x:v>HEALTHY / MUST-DO — P1 — Immediate</x:v>
      </x:c>
      <x:c r="Z32" s="15" t="str">
        <x:v>Legal Fiscal, Regulatory &amp; Compliancy</x:v>
      </x:c>
      <x:c r="AA32" s="15" t="str">
        <x:v>New Initiative</x:v>
      </x:c>
      <x:c r="AB32" s="15" t="str">
        <x:v>Infrastructure Services – Projects</x:v>
      </x:c>
      <x:c r="AC32" s="15" t="str">
        <x:v>Aug 2027 Microsoft will no longer be able to provide a license included service and we would need to procure licenses directly from broadcom</x:v>
      </x:c>
      <x:c r="AD32" s="15" t="str">
        <x:v>Following Broadcom's Vmware acquisition and further license announcement, cloud workloads will require license procurement directly from broadcom. As per the Microsoft team, Philips must either procure the necessary licenses before Aug 2027.</x:v>
      </x:c>
      <x:c r="AE32" s="15" t="str">
        <x:v>Global</x:v>
      </x:c>
      <x:c r="AF32" s="15" t="str">
        <x:v>Aug 2027 Microsoft will no longer be able to provide a license included service and we would need to procure licenses directly from broadcom | Following Broadcom's Vmware acquisition and further license announcement, cloud workloads will require license procurement directly from broadcom. As per the Microsoft team, Philips must either procure the necessary licenses before Aug 2027. | Global</x:v>
      </x:c>
      <x:c r="AG32" s="15" t="str">
        <x:v>Must Do</x:v>
      </x:c>
      <x:c r="AH32" s="15" t="n">
        <x:v>140</x:v>
      </x:c>
    </x:row>
    <x:row r="33">
      <x:c r="A33" s="15" t="str">
        <x:v>EW-154</x:v>
      </x:c>
      <x:c r="B33" s="15" t="str">
        <x:v>E2E event planning incl. GBP compliance review, HCP engagement review &amp; registration for GCR (Engage - Legal not usable)</x:v>
      </x:c>
      <x:c r="C33" s="15" t="str">
        <x:v>EW Led</x:v>
      </x:c>
      <x:c r="D33" s="15" t="str">
        <x:v>Greater China</x:v>
      </x:c>
      <x:c r="E33" s="19" t="n">
        <x:v>0.25</x:v>
      </x:c>
      <x:c r="F33" s="19" t="n">
        <x:v>0</x:v>
      </x:c>
      <x:c r="G33" s="22" t="n">
        <x:f>IF(AND(E33&gt;0,ISNUMBER(F33)),F33/E33,"")</x:f>
        <x:v>0</x:v>
      </x:c>
      <x:c r="H33" s="15" t="str">
        <x:v>LFR</x:v>
      </x:c>
      <x:c r="I33" s="15" t="n">
        <x:v>28</x:v>
      </x:c>
      <x:c r="J33" s="15" t="n">
        <x:v>5</x:v>
      </x:c>
      <x:c r="K33" s="23" t="n">
        <x:f>IF(G33="",0,IF(G33&lt;1,0,IF(G33&lt;2,20,IF(G33&lt;3,30,IF(G33&lt;5,40,50)))))*'Scenario Controls'!$B$22/50</x:f>
        <x:v>0</x:v>
      </x:c>
      <x:c r="L33" s="23" t="n">
        <x:f>IF(ISNUMBER(SEARCH("Must Do",AG33)),25,IF(ISNUMBER(SEARCH("Must Have",AG33)),18,IF(ISNUMBER(SEARCH("Deprior",AG33)),5,0)))*'Scenario Controls'!$B$23/25</x:f>
        <x:v>18</x:v>
      </x:c>
      <x:c r="M33" s="23" t="n">
        <x:f>J33*'Scenario Controls'!$B$24/15</x:f>
        <x:v>5</x:v>
      </x:c>
      <x:c r="N33" s="23" t="n">
        <x:f>IF(ISNUMBER(SEARCH("HEALTHY",X33)),10,IF(ISNUMBER(SEARCH("CONTAIN",X33)),6,0))*'Scenario Controls'!$B$25/10</x:f>
        <x:v>10</x:v>
      </x:c>
      <x:c r="O33" s="23" t="n">
        <x:f>SUM(K33:N33)</x:f>
        <x:v>33</x:v>
      </x:c>
      <x:c r="P33" s="15" t="str">
        <x:f>IF(OR(B33="",E33&lt;=0),"Evidence missing / not eligible",IF(ISNUMBER(SEARCH("priority TBD",Y33)),"Evidence missing / not eligible",IF(AND(H33="Carryover",NOT(ISNUMBER(F33))),"Evidence missing / not eligible",IF(AND(H33="Carryover",G33&lt;'Scenario Controls'!$B$16),"Evidence missing / not eligible",IF(AND(H33="ROI-Based Portfolio",NOT(ISNUMBER(F33))),"Evidence missing / not eligible",IF(AND(H33="ROI-Based Portfolio",O33&lt;'Scenario Controls'!$B$20),"Evidence missing / not eligible","Eligible"))))))</x:f>
        <x:v>Eligible</x:v>
      </x:c>
      <x:c r="Q33" s="19" t="n">
        <x:f>IF(P33&lt;&gt;"Eligible",0,IF(AND(SUMIFS($Q$5:Q32,$H$5:H32,H33)+E33&lt;=(IF(H33="LFR",'Scenario Controls'!$F$10,IF(H33="Sustain Engineering",'Scenario Controls'!$F$11,IF(H33="Hygiene",'Scenario Controls'!$F$12,1E+99))))*(1+'Scenario Controls'!$B$7),SUM($Q$5:Q32)+E33&lt;='Scenario Controls'!$B$6*(1+'Scenario Controls'!$B$7)),E33,0))</x:f>
        <x:v>0.25</x:v>
      </x:c>
      <x:c r="R33" s="24" t="str">
        <x:f>'EW Conference'!G30</x:f>
        <x:v>Automatic</x:v>
      </x:c>
      <x:c r="S33" s="24" t="str">
        <x:f>'EW Conference'!H30</x:f>
      </x:c>
      <x:c r="T33" s="19" t="n">
        <x:f>IF(R33="Exclude",0,IF(R33="Include",E33,Q33))</x:f>
        <x:v>0.25</x:v>
      </x:c>
      <x:c r="U33" s="15" t="str">
        <x:f>IF(T33&gt;0,"Funded",IF(P33="Eligible","Unfunded",P33))</x:f>
        <x:v>Funded</x:v>
      </x:c>
      <x:c r="V33" s="15" t="str">
        <x:f>IF(R33="Include","Conference inclusion: "&amp;S33,IF(R33="Exclude","Conference exclusion: "&amp;S33,IF(Q33&gt;0,H33&amp;" priority rank "&amp;I33&amp;"; whole initiative selected",P33)))</x:f>
        <x:v>LFR priority rank 28; whole initiative selected</x:v>
      </x:c>
      <x:c r="W33" s="15" t="str">
        <x:v>EW!150</x:v>
      </x:c>
      <x:c r="X33" s="15" t="str">
        <x:v>HEALTHY</x:v>
      </x:c>
      <x:c r="Y33" s="15" t="str">
        <x:v>HEALTHY / MUST-DO — P1 — Immediate</x:v>
      </x:c>
      <x:c r="Z33" s="15" t="str">
        <x:v>Decomm/Replatforming</x:v>
      </x:c>
      <x:c r="AA33" s="15" t="str">
        <x:v>New Initiative</x:v>
      </x:c>
      <x:c r="AB33" s="15" t="str">
        <x:v>Greater China IT</x:v>
      </x:c>
      <x:c r="AC33" s="15" t="str">
        <x:v>This is the China version of Legal Engage Platform due to non-compliance of data hosting for Engage. Combined with replacemnet/decommision of a currently non-compliant event + GBP review tool hosted on Japan SFDC (ePR).</x:v>
      </x:c>
      <x:c r="AD33" s="15" t="str"/>
      <x:c r="AE33" s="15" t="str"/>
      <x:c r="AF33" s="15" t="str">
        <x:v>This is the China version of Legal Engage Platform due to non-compliance of data hosting for Engage. Combined with replacemnet/decommision of a currently non-compliant event + GBP review tool hosted on Japan SFDC (ePR).</x:v>
      </x:c>
      <x:c r="AG33" s="15" t="str">
        <x:v>Must Have</x:v>
      </x:c>
      <x:c r="AH33" s="15" t="n">
        <x:v>152</x:v>
      </x:c>
    </x:row>
    <x:row r="34">
      <x:c r="A34" s="15" t="str">
        <x:v>EW-163</x:v>
      </x:c>
      <x:c r="B34" s="15" t="str">
        <x:v>Master Data Clean up, Harmonization &amp; Data Stweart for HS &amp; PH (incl. mainland, TW, HK split) for IT SoX readiness, Key Reports</x:v>
      </x:c>
      <x:c r="C34" s="15" t="str">
        <x:v>EW Led</x:v>
      </x:c>
      <x:c r="D34" s="15" t="str">
        <x:v>Greater China</x:v>
      </x:c>
      <x:c r="E34" s="19" t="n">
        <x:v>0.1</x:v>
      </x:c>
      <x:c r="F34" s="19" t="n">
        <x:v>0</x:v>
      </x:c>
      <x:c r="G34" s="22" t="n">
        <x:f>IF(AND(E34&gt;0,ISNUMBER(F34)),F34/E34,"")</x:f>
        <x:v>0</x:v>
      </x:c>
      <x:c r="H34" s="15" t="str">
        <x:v>LFR</x:v>
      </x:c>
      <x:c r="I34" s="15" t="n">
        <x:v>29</x:v>
      </x:c>
      <x:c r="J34" s="15" t="n">
        <x:v>5</x:v>
      </x:c>
      <x:c r="K34" s="23" t="n">
        <x:f>IF(G34="",0,IF(G34&lt;1,0,IF(G34&lt;2,20,IF(G34&lt;3,30,IF(G34&lt;5,40,50)))))*'Scenario Controls'!$B$22/50</x:f>
        <x:v>0</x:v>
      </x:c>
      <x:c r="L34" s="23" t="n">
        <x:f>IF(ISNUMBER(SEARCH("Must Do",AG34)),25,IF(ISNUMBER(SEARCH("Must Have",AG34)),18,IF(ISNUMBER(SEARCH("Deprior",AG34)),5,0)))*'Scenario Controls'!$B$23/25</x:f>
        <x:v>18</x:v>
      </x:c>
      <x:c r="M34" s="23" t="n">
        <x:f>J34*'Scenario Controls'!$B$24/15</x:f>
        <x:v>5</x:v>
      </x:c>
      <x:c r="N34" s="23" t="n">
        <x:f>IF(ISNUMBER(SEARCH("HEALTHY",X34)),10,IF(ISNUMBER(SEARCH("CONTAIN",X34)),6,0))*'Scenario Controls'!$B$25/10</x:f>
        <x:v>10</x:v>
      </x:c>
      <x:c r="O34" s="23" t="n">
        <x:f>SUM(K34:N34)</x:f>
        <x:v>33</x:v>
      </x:c>
      <x:c r="P34" s="15" t="str">
        <x:f>IF(OR(B34="",E34&lt;=0),"Evidence missing / not eligible",IF(ISNUMBER(SEARCH("priority TBD",Y34)),"Evidence missing / not eligible",IF(AND(H34="Carryover",NOT(ISNUMBER(F34))),"Evidence missing / not eligible",IF(AND(H34="Carryover",G34&lt;'Scenario Controls'!$B$16),"Evidence missing / not eligible",IF(AND(H34="ROI-Based Portfolio",NOT(ISNUMBER(F34))),"Evidence missing / not eligible",IF(AND(H34="ROI-Based Portfolio",O34&lt;'Scenario Controls'!$B$20),"Evidence missing / not eligible","Eligible"))))))</x:f>
        <x:v>Eligible</x:v>
      </x:c>
      <x:c r="Q34" s="19" t="n">
        <x:f>IF(P34&lt;&gt;"Eligible",0,IF(AND(SUMIFS($Q$5:Q33,$H$5:H33,H34)+E34&lt;=(IF(H34="LFR",'Scenario Controls'!$F$10,IF(H34="Sustain Engineering",'Scenario Controls'!$F$11,IF(H34="Hygiene",'Scenario Controls'!$F$12,1E+99))))*(1+'Scenario Controls'!$B$7),SUM($Q$5:Q33)+E34&lt;='Scenario Controls'!$B$6*(1+'Scenario Controls'!$B$7)),E34,0))</x:f>
        <x:v>0.1</x:v>
      </x:c>
      <x:c r="R34" s="24" t="str">
        <x:f>'EW Conference'!G31</x:f>
        <x:v>Automatic</x:v>
      </x:c>
      <x:c r="S34" s="24" t="str">
        <x:f>'EW Conference'!H31</x:f>
      </x:c>
      <x:c r="T34" s="19" t="n">
        <x:f>IF(R34="Exclude",0,IF(R34="Include",E34,Q34))</x:f>
        <x:v>0.1</x:v>
      </x:c>
      <x:c r="U34" s="15" t="str">
        <x:f>IF(T34&gt;0,"Funded",IF(P34="Eligible","Unfunded",P34))</x:f>
        <x:v>Funded</x:v>
      </x:c>
      <x:c r="V34" s="15" t="str">
        <x:f>IF(R34="Include","Conference inclusion: "&amp;S34,IF(R34="Exclude","Conference exclusion: "&amp;S34,IF(Q34&gt;0,H34&amp;" priority rank "&amp;I34&amp;"; whole initiative selected",P34)))</x:f>
        <x:v>LFR priority rank 29; whole initiative selected</x:v>
      </x:c>
      <x:c r="W34" s="15" t="str">
        <x:v>EW!159</x:v>
      </x:c>
      <x:c r="X34" s="15" t="str">
        <x:v>HEALTHY</x:v>
      </x:c>
      <x:c r="Y34" s="15" t="str">
        <x:v>HEALTHY / MUST-DO — P1 — Immediate</x:v>
      </x:c>
      <x:c r="Z34" s="15" t="str">
        <x:v>Legal Fiscal, Regulatory &amp; Compliancy</x:v>
      </x:c>
      <x:c r="AA34" s="15" t="str">
        <x:v>New Initiative</x:v>
      </x:c>
      <x:c r="AB34" s="15" t="str">
        <x:v>Greater China IT</x:v>
      </x:c>
      <x:c r="AC34" s="15" t="str">
        <x:v>Wrong data generate issue across various systems and reporting, incl SOX related systems. Not able to empower AI usages since garbage in garbage out</x:v>
      </x:c>
      <x:c r="AD34" s="15" t="str"/>
      <x:c r="AE34" s="15" t="str"/>
      <x:c r="AF34" s="15" t="str">
        <x:v>Wrong data generate issue across various systems and reporting, incl SOX related systems. Not able to empower AI usages since garbage in garbage out</x:v>
      </x:c>
      <x:c r="AG34" s="15" t="str">
        <x:v>Must Have</x:v>
      </x:c>
      <x:c r="AH34" s="15" t="n">
        <x:v>161</x:v>
      </x:c>
    </x:row>
    <x:row r="35">
      <x:c r="A35" s="15" t="str">
        <x:v>EW-165</x:v>
      </x:c>
      <x:c r="B35" s="15" t="str">
        <x:v>Multiple GCR Application Enhancement (VAT Mainland, VAT Taiwan, VAT Hongkong, e-Invoice, T&amp;E company billing, EHS Lone woker, USB DLP for IP protection etc.)</x:v>
      </x:c>
      <x:c r="C35" s="15" t="str">
        <x:v>EW Led</x:v>
      </x:c>
      <x:c r="D35" s="15" t="str">
        <x:v>Greater China</x:v>
      </x:c>
      <x:c r="E35" s="19" t="n">
        <x:v>0.05</x:v>
      </x:c>
      <x:c r="F35" s="19" t="n">
        <x:v>0</x:v>
      </x:c>
      <x:c r="G35" s="22" t="n">
        <x:f>IF(AND(E35&gt;0,ISNUMBER(F35)),F35/E35,"")</x:f>
        <x:v>0</x:v>
      </x:c>
      <x:c r="H35" s="15" t="str">
        <x:v>LFR</x:v>
      </x:c>
      <x:c r="I35" s="15" t="n">
        <x:v>30</x:v>
      </x:c>
      <x:c r="J35" s="15" t="n">
        <x:v>5</x:v>
      </x:c>
      <x:c r="K35" s="23" t="n">
        <x:f>IF(G35="",0,IF(G35&lt;1,0,IF(G35&lt;2,20,IF(G35&lt;3,30,IF(G35&lt;5,40,50)))))*'Scenario Controls'!$B$22/50</x:f>
        <x:v>0</x:v>
      </x:c>
      <x:c r="L35" s="23" t="n">
        <x:f>IF(ISNUMBER(SEARCH("Must Do",AG35)),25,IF(ISNUMBER(SEARCH("Must Have",AG35)),18,IF(ISNUMBER(SEARCH("Deprior",AG35)),5,0)))*'Scenario Controls'!$B$23/25</x:f>
        <x:v>18</x:v>
      </x:c>
      <x:c r="M35" s="23" t="n">
        <x:f>J35*'Scenario Controls'!$B$24/15</x:f>
        <x:v>5</x:v>
      </x:c>
      <x:c r="N35" s="23" t="n">
        <x:f>IF(ISNUMBER(SEARCH("HEALTHY",X35)),10,IF(ISNUMBER(SEARCH("CONTAIN",X35)),6,0))*'Scenario Controls'!$B$25/10</x:f>
        <x:v>10</x:v>
      </x:c>
      <x:c r="O35" s="23" t="n">
        <x:f>SUM(K35:N35)</x:f>
        <x:v>33</x:v>
      </x:c>
      <x:c r="P35" s="15" t="str">
        <x:f>IF(OR(B35="",E35&lt;=0),"Evidence missing / not eligible",IF(ISNUMBER(SEARCH("priority TBD",Y35)),"Evidence missing / not eligible",IF(AND(H35="Carryover",NOT(ISNUMBER(F35))),"Evidence missing / not eligible",IF(AND(H35="Carryover",G35&lt;'Scenario Controls'!$B$16),"Evidence missing / not eligible",IF(AND(H35="ROI-Based Portfolio",NOT(ISNUMBER(F35))),"Evidence missing / not eligible",IF(AND(H35="ROI-Based Portfolio",O35&lt;'Scenario Controls'!$B$20),"Evidence missing / not eligible","Eligible"))))))</x:f>
        <x:v>Eligible</x:v>
      </x:c>
      <x:c r="Q35" s="19" t="n">
        <x:f>IF(P35&lt;&gt;"Eligible",0,IF(AND(SUMIFS($Q$5:Q34,$H$5:H34,H35)+E35&lt;=(IF(H35="LFR",'Scenario Controls'!$F$10,IF(H35="Sustain Engineering",'Scenario Controls'!$F$11,IF(H35="Hygiene",'Scenario Controls'!$F$12,1E+99))))*(1+'Scenario Controls'!$B$7),SUM($Q$5:Q34)+E35&lt;='Scenario Controls'!$B$6*(1+'Scenario Controls'!$B$7)),E35,0))</x:f>
        <x:v>0.05</x:v>
      </x:c>
      <x:c r="R35" s="24" t="str">
        <x:f>'EW Conference'!G32</x:f>
        <x:v>Automatic</x:v>
      </x:c>
      <x:c r="S35" s="24" t="str">
        <x:f>'EW Conference'!H32</x:f>
      </x:c>
      <x:c r="T35" s="19" t="n">
        <x:f>IF(R35="Exclude",0,IF(R35="Include",E35,Q35))</x:f>
        <x:v>0.05</x:v>
      </x:c>
      <x:c r="U35" s="15" t="str">
        <x:f>IF(T35&gt;0,"Funded",IF(P35="Eligible","Unfunded",P35))</x:f>
        <x:v>Funded</x:v>
      </x:c>
      <x:c r="V35" s="15" t="str">
        <x:f>IF(R35="Include","Conference inclusion: "&amp;S35,IF(R35="Exclude","Conference exclusion: "&amp;S35,IF(Q35&gt;0,H35&amp;" priority rank "&amp;I35&amp;"; whole initiative selected",P35)))</x:f>
        <x:v>LFR priority rank 30; whole initiative selected</x:v>
      </x:c>
      <x:c r="W35" s="15" t="str">
        <x:v>EW!161</x:v>
      </x:c>
      <x:c r="X35" s="15" t="str">
        <x:v>HEALTHY</x:v>
      </x:c>
      <x:c r="Y35" s="15" t="str">
        <x:v>HEALTHY / MUST-DO — P1 — Immediate</x:v>
      </x:c>
      <x:c r="Z35" s="15" t="str">
        <x:v>Legal Fiscal, Regulatory &amp; Compliancy</x:v>
      </x:c>
      <x:c r="AA35" s="15" t="str"/>
      <x:c r="AB35" s="15" t="str">
        <x:v>Greater China IT</x:v>
      </x:c>
      <x:c r="AC35" s="15" t="str">
        <x:v>Not able to comply with local tax/fiscal policy and requirements, &amp; security monitoring</x:v>
      </x:c>
      <x:c r="AD35" s="15" t="str"/>
      <x:c r="AE35" s="15" t="str"/>
      <x:c r="AF35" s="15" t="str">
        <x:v>Not able to comply with local tax/fiscal policy and requirements, &amp; security monitoring</x:v>
      </x:c>
      <x:c r="AG35" s="15" t="str">
        <x:v>Must Have</x:v>
      </x:c>
      <x:c r="AH35" s="15" t="n">
        <x:v>163</x:v>
      </x:c>
    </x:row>
    <x:row r="36">
      <x:c r="A36" s="15" t="str">
        <x:v>EW-77</x:v>
      </x:c>
      <x:c r="B36" s="15" t="str">
        <x:v>FIN-ARIC LFR's Non SAP being ADL/BW/Power BI etc. Dashboard &amp; Reports for SOx &amp; Compliancy purposes</x:v>
      </x:c>
      <x:c r="C36" s="15" t="str">
        <x:v>EW Led</x:v>
      </x:c>
      <x:c r="D36" s="15" t="str">
        <x:v>Finance</x:v>
      </x:c>
      <x:c r="E36" s="19" t="n">
        <x:v>0.12</x:v>
      </x:c>
      <x:c r="F36" s="19" t="n">
        <x:v>0.12</x:v>
      </x:c>
      <x:c r="G36" s="22" t="n">
        <x:f>IF(AND(E36&gt;0,ISNUMBER(F36)),F36/E36,"")</x:f>
        <x:v>1</x:v>
      </x:c>
      <x:c r="H36" s="15" t="str">
        <x:v>LFR</x:v>
      </x:c>
      <x:c r="I36" s="15" t="n">
        <x:v>31</x:v>
      </x:c>
      <x:c r="J36" s="15" t="n">
        <x:v>5</x:v>
      </x:c>
      <x:c r="K36" s="23" t="n">
        <x:f>IF(G36="",0,IF(G36&lt;1,0,IF(G36&lt;2,20,IF(G36&lt;3,30,IF(G36&lt;5,40,50)))))*'Scenario Controls'!$B$22/50</x:f>
        <x:v>20</x:v>
      </x:c>
      <x:c r="L36" s="23" t="n">
        <x:f>IF(ISNUMBER(SEARCH("Must Do",AG36)),25,IF(ISNUMBER(SEARCH("Must Have",AG36)),18,IF(ISNUMBER(SEARCH("Deprior",AG36)),5,0)))*'Scenario Controls'!$B$23/25</x:f>
        <x:v>25</x:v>
      </x:c>
      <x:c r="M36" s="23" t="n">
        <x:f>J36*'Scenario Controls'!$B$24/15</x:f>
        <x:v>5</x:v>
      </x:c>
      <x:c r="N36" s="23" t="n">
        <x:f>IF(ISNUMBER(SEARCH("HEALTHY",X36)),10,IF(ISNUMBER(SEARCH("CONTAIN",X36)),6,0))*'Scenario Controls'!$B$25/10</x:f>
        <x:v>10</x:v>
      </x:c>
      <x:c r="O36" s="23" t="n">
        <x:f>SUM(K36:N36)</x:f>
        <x:v>60</x:v>
      </x:c>
      <x:c r="P36" s="15" t="str">
        <x:f>IF(OR(B36="",E36&lt;=0),"Evidence missing / not eligible",IF(ISNUMBER(SEARCH("priority TBD",Y36)),"Evidence missing / not eligible",IF(AND(H36="Carryover",NOT(ISNUMBER(F36))),"Evidence missing / not eligible",IF(AND(H36="Carryover",G36&lt;'Scenario Controls'!$B$16),"Evidence missing / not eligible",IF(AND(H36="ROI-Based Portfolio",NOT(ISNUMBER(F36))),"Evidence missing / not eligible",IF(AND(H36="ROI-Based Portfolio",O36&lt;'Scenario Controls'!$B$20),"Evidence missing / not eligible","Eligible"))))))</x:f>
        <x:v>Eligible</x:v>
      </x:c>
      <x:c r="Q36" s="19" t="n">
        <x:f>IF(P36&lt;&gt;"Eligible",0,IF(AND(SUMIFS($Q$5:Q35,$H$5:H35,H36)+E36&lt;=(IF(H36="LFR",'Scenario Controls'!$F$10,IF(H36="Sustain Engineering",'Scenario Controls'!$F$11,IF(H36="Hygiene",'Scenario Controls'!$F$12,1E+99))))*(1+'Scenario Controls'!$B$7),SUM($Q$5:Q35)+E36&lt;='Scenario Controls'!$B$6*(1+'Scenario Controls'!$B$7)),E36,0))</x:f>
        <x:v>0.12</x:v>
      </x:c>
      <x:c r="R36" s="24" t="str">
        <x:f>'EW Conference'!G33</x:f>
        <x:v>Automatic</x:v>
      </x:c>
      <x:c r="S36" s="24" t="str">
        <x:f>'EW Conference'!H33</x:f>
      </x:c>
      <x:c r="T36" s="19" t="n">
        <x:f>IF(R36="Exclude",0,IF(R36="Include",E36,Q36))</x:f>
        <x:v>0.12</x:v>
      </x:c>
      <x:c r="U36" s="15" t="str">
        <x:f>IF(T36&gt;0,"Funded",IF(P36="Eligible","Unfunded",P36))</x:f>
        <x:v>Funded</x:v>
      </x:c>
      <x:c r="V36" s="15" t="str">
        <x:f>IF(R36="Include","Conference inclusion: "&amp;S36,IF(R36="Exclude","Conference exclusion: "&amp;S36,IF(Q36&gt;0,H36&amp;" priority rank "&amp;I36&amp;"; whole initiative selected",P36)))</x:f>
        <x:v>LFR priority rank 31; whole initiative selected</x:v>
      </x:c>
      <x:c r="W36" s="15" t="str">
        <x:v>EW!73</x:v>
      </x:c>
      <x:c r="X36" s="15" t="str">
        <x:v>HEALTHY</x:v>
      </x:c>
      <x:c r="Y36" s="15" t="str">
        <x:v>HEALTHY / MUST-DO — P2 — Scheduled</x:v>
      </x:c>
      <x:c r="Z36" s="15" t="str">
        <x:v>Continuous Improvement</x:v>
      </x:c>
      <x:c r="AA36" s="15" t="str">
        <x:v>New Initiative</x:v>
      </x:c>
      <x:c r="AB36" s="15" t="str">
        <x:v>Integrated Supply Chain &amp; Finance</x:v>
      </x:c>
      <x:c r="AC36" s="15" t="str">
        <x:v>Philips becomes non-compliant with legal/fiscal/regulatory requirements; High risk exposure due to outdated systems; Potential penalties and audit findings</x:v>
      </x:c>
      <x:c r="AD36" s="15" t="str"/>
      <x:c r="AE36" s="15" t="str"/>
      <x:c r="AF36" s="15" t="str">
        <x:v>Philips becomes non-compliant with legal/fiscal/regulatory requirements; High risk exposure due to outdated systems; Potential penalties and audit findings</x:v>
      </x:c>
      <x:c r="AG36" s="15" t="str">
        <x:v>Must Do</x:v>
      </x:c>
      <x:c r="AH36" s="15" t="n">
        <x:v>75</x:v>
      </x:c>
    </x:row>
    <x:row r="37">
      <x:c r="A37" s="15" t="str">
        <x:v>EW-59</x:v>
      </x:c>
      <x:c r="B37" s="15" t="str">
        <x:v>GCR IT Decommission</x:v>
      </x:c>
      <x:c r="C37" s="15" t="str">
        <x:v>EW Led</x:v>
      </x:c>
      <x:c r="D37" s="15" t="str">
        <x:v>Information Technology</x:v>
      </x:c>
      <x:c r="E37" s="19" t="n">
        <x:v>0.48</x:v>
      </x:c>
      <x:c r="F37" s="19" t="n">
        <x:v>0.05</x:v>
      </x:c>
      <x:c r="G37" s="22" t="n">
        <x:f>IF(AND(E37&gt;0,ISNUMBER(F37)),F37/E37,"")</x:f>
        <x:v>0.10416666666666667</x:v>
      </x:c>
      <x:c r="H37" s="15" t="str">
        <x:v>LFR</x:v>
      </x:c>
      <x:c r="I37" s="15" t="n">
        <x:v>32</x:v>
      </x:c>
      <x:c r="J37" s="15" t="n">
        <x:v>5</x:v>
      </x:c>
      <x:c r="K37" s="23" t="n">
        <x:f>IF(G37="",0,IF(G37&lt;1,0,IF(G37&lt;2,20,IF(G37&lt;3,30,IF(G37&lt;5,40,50)))))*'Scenario Controls'!$B$22/50</x:f>
        <x:v>0</x:v>
      </x:c>
      <x:c r="L37" s="23" t="n">
        <x:f>IF(ISNUMBER(SEARCH("Must Do",AG37)),25,IF(ISNUMBER(SEARCH("Must Have",AG37)),18,IF(ISNUMBER(SEARCH("Deprior",AG37)),5,0)))*'Scenario Controls'!$B$23/25</x:f>
        <x:v>25</x:v>
      </x:c>
      <x:c r="M37" s="23" t="n">
        <x:f>J37*'Scenario Controls'!$B$24/15</x:f>
        <x:v>5</x:v>
      </x:c>
      <x:c r="N37" s="23" t="n">
        <x:f>IF(ISNUMBER(SEARCH("HEALTHY",X37)),10,IF(ISNUMBER(SEARCH("CONTAIN",X37)),6,0))*'Scenario Controls'!$B$25/10</x:f>
        <x:v>10</x:v>
      </x:c>
      <x:c r="O37" s="23" t="n">
        <x:f>SUM(K37:N37)</x:f>
        <x:v>40</x:v>
      </x:c>
      <x:c r="P37" s="15" t="str">
        <x:f>IF(OR(B37="",E37&lt;=0),"Evidence missing / not eligible",IF(ISNUMBER(SEARCH("priority TBD",Y37)),"Evidence missing / not eligible",IF(AND(H37="Carryover",NOT(ISNUMBER(F37))),"Evidence missing / not eligible",IF(AND(H37="Carryover",G37&lt;'Scenario Controls'!$B$16),"Evidence missing / not eligible",IF(AND(H37="ROI-Based Portfolio",NOT(ISNUMBER(F37))),"Evidence missing / not eligible",IF(AND(H37="ROI-Based Portfolio",O37&lt;'Scenario Controls'!$B$20),"Evidence missing / not eligible","Eligible"))))))</x:f>
        <x:v>Eligible</x:v>
      </x:c>
      <x:c r="Q37" s="19" t="n">
        <x:f>IF(P37&lt;&gt;"Eligible",0,IF(AND(SUMIFS($Q$5:Q36,$H$5:H36,H37)+E37&lt;=(IF(H37="LFR",'Scenario Controls'!$F$10,IF(H37="Sustain Engineering",'Scenario Controls'!$F$11,IF(H37="Hygiene",'Scenario Controls'!$F$12,1E+99))))*(1+'Scenario Controls'!$B$7),SUM($Q$5:Q36)+E37&lt;='Scenario Controls'!$B$6*(1+'Scenario Controls'!$B$7)),E37,0))</x:f>
        <x:v>0.48</x:v>
      </x:c>
      <x:c r="R37" s="24" t="str">
        <x:f>'EW Conference'!G34</x:f>
        <x:v>Automatic</x:v>
      </x:c>
      <x:c r="S37" s="24" t="str">
        <x:f>'EW Conference'!H34</x:f>
      </x:c>
      <x:c r="T37" s="19" t="n">
        <x:f>IF(R37="Exclude",0,IF(R37="Include",E37,Q37))</x:f>
        <x:v>0.48</x:v>
      </x:c>
      <x:c r="U37" s="15" t="str">
        <x:f>IF(T37&gt;0,"Funded",IF(P37="Eligible","Unfunded",P37))</x:f>
        <x:v>Funded</x:v>
      </x:c>
      <x:c r="V37" s="15" t="str">
        <x:f>IF(R37="Include","Conference inclusion: "&amp;S37,IF(R37="Exclude","Conference exclusion: "&amp;S37,IF(Q37&gt;0,H37&amp;" priority rank "&amp;I37&amp;"; whole initiative selected",P37)))</x:f>
        <x:v>LFR priority rank 32; whole initiative selected</x:v>
      </x:c>
      <x:c r="W37" s="15" t="str">
        <x:v>EW!55</x:v>
      </x:c>
      <x:c r="X37" s="15" t="str">
        <x:v>HEALTHY</x:v>
      </x:c>
      <x:c r="Y37" s="15" t="str">
        <x:v>HEALTHY / MUST-DO — P2 — Scheduled</x:v>
      </x:c>
      <x:c r="Z37" s="15" t="str">
        <x:v>Decomm/Replatforming</x:v>
      </x:c>
      <x:c r="AA37" s="15" t="str">
        <x:v>New Initiative</x:v>
      </x:c>
      <x:c r="AB37" s="15" t="str">
        <x:v>Greater China IT</x:v>
      </x:c>
      <x:c r="AC37" s="15" t="str">
        <x:v>Keep system running</x:v>
      </x:c>
      <x:c r="AD37" s="15" t="str"/>
      <x:c r="AE37" s="15" t="str">
        <x:v>1) CD;</x:v>
      </x:c>
      <x:c r="AF37" s="15" t="str">
        <x:v>Keep system running | 1) CD;</x:v>
      </x:c>
      <x:c r="AG37" s="15" t="str">
        <x:v>Must Do</x:v>
      </x:c>
      <x:c r="AH37" s="15" t="n">
        <x:v>57</x:v>
      </x:c>
    </x:row>
    <x:row r="38">
      <x:c r="A38" s="15" t="str">
        <x:v>EW-119</x:v>
      </x:c>
      <x:c r="B38" s="15" t="str">
        <x:v>LLM, AI Foundation &amp; ITaaP Extension in GCR</x:v>
      </x:c>
      <x:c r="C38" s="15" t="str">
        <x:v>EW Led</x:v>
      </x:c>
      <x:c r="D38" s="15" t="str">
        <x:v>Greater China</x:v>
      </x:c>
      <x:c r="E38" s="19" t="n">
        <x:v>0.5</x:v>
      </x:c>
      <x:c r="F38" s="19" t="n">
        <x:v>0</x:v>
      </x:c>
      <x:c r="G38" s="22" t="n">
        <x:f>IF(AND(E38&gt;0,ISNUMBER(F38)),F38/E38,"")</x:f>
        <x:v>0</x:v>
      </x:c>
      <x:c r="H38" s="15" t="str">
        <x:v>LFR</x:v>
      </x:c>
      <x:c r="I38" s="15" t="n">
        <x:v>33</x:v>
      </x:c>
      <x:c r="J38" s="15" t="n">
        <x:v>5</x:v>
      </x:c>
      <x:c r="K38" s="23" t="n">
        <x:f>IF(G38="",0,IF(G38&lt;1,0,IF(G38&lt;2,20,IF(G38&lt;3,30,IF(G38&lt;5,40,50)))))*'Scenario Controls'!$B$22/50</x:f>
        <x:v>0</x:v>
      </x:c>
      <x:c r="L38" s="23" t="n">
        <x:f>IF(ISNUMBER(SEARCH("Must Do",AG38)),25,IF(ISNUMBER(SEARCH("Must Have",AG38)),18,IF(ISNUMBER(SEARCH("Deprior",AG38)),5,0)))*'Scenario Controls'!$B$23/25</x:f>
        <x:v>25</x:v>
      </x:c>
      <x:c r="M38" s="23" t="n">
        <x:f>J38*'Scenario Controls'!$B$24/15</x:f>
        <x:v>5</x:v>
      </x:c>
      <x:c r="N38" s="23" t="n">
        <x:f>IF(ISNUMBER(SEARCH("HEALTHY",X38)),10,IF(ISNUMBER(SEARCH("CONTAIN",X38)),6,0))*'Scenario Controls'!$B$25/10</x:f>
        <x:v>10</x:v>
      </x:c>
      <x:c r="O38" s="23" t="n">
        <x:f>SUM(K38:N38)</x:f>
        <x:v>40</x:v>
      </x:c>
      <x:c r="P38" s="15" t="str">
        <x:f>IF(OR(B38="",E38&lt;=0),"Evidence missing / not eligible",IF(ISNUMBER(SEARCH("priority TBD",Y38)),"Evidence missing / not eligible",IF(AND(H38="Carryover",NOT(ISNUMBER(F38))),"Evidence missing / not eligible",IF(AND(H38="Carryover",G38&lt;'Scenario Controls'!$B$16),"Evidence missing / not eligible",IF(AND(H38="ROI-Based Portfolio",NOT(ISNUMBER(F38))),"Evidence missing / not eligible",IF(AND(H38="ROI-Based Portfolio",O38&lt;'Scenario Controls'!$B$20),"Evidence missing / not eligible","Eligible"))))))</x:f>
        <x:v>Eligible</x:v>
      </x:c>
      <x:c r="Q38" s="19" t="n">
        <x:f>IF(P38&lt;&gt;"Eligible",0,IF(AND(SUMIFS($Q$5:Q37,$H$5:H37,H38)+E38&lt;=(IF(H38="LFR",'Scenario Controls'!$F$10,IF(H38="Sustain Engineering",'Scenario Controls'!$F$11,IF(H38="Hygiene",'Scenario Controls'!$F$12,1E+99))))*(1+'Scenario Controls'!$B$7),SUM($Q$5:Q37)+E38&lt;='Scenario Controls'!$B$6*(1+'Scenario Controls'!$B$7)),E38,0))</x:f>
        <x:v>0.5</x:v>
      </x:c>
      <x:c r="R38" s="24" t="str">
        <x:f>'EW Conference'!G35</x:f>
        <x:v>Automatic</x:v>
      </x:c>
      <x:c r="S38" s="24" t="str">
        <x:f>'EW Conference'!H35</x:f>
      </x:c>
      <x:c r="T38" s="19" t="n">
        <x:f>IF(R38="Exclude",0,IF(R38="Include",E38,Q38))</x:f>
        <x:v>0.5</x:v>
      </x:c>
      <x:c r="U38" s="15" t="str">
        <x:f>IF(T38&gt;0,"Funded",IF(P38="Eligible","Unfunded",P38))</x:f>
        <x:v>Funded</x:v>
      </x:c>
      <x:c r="V38" s="15" t="str">
        <x:f>IF(R38="Include","Conference inclusion: "&amp;S38,IF(R38="Exclude","Conference exclusion: "&amp;S38,IF(Q38&gt;0,H38&amp;" priority rank "&amp;I38&amp;"; whole initiative selected",P38)))</x:f>
        <x:v>LFR priority rank 33; whole initiative selected</x:v>
      </x:c>
      <x:c r="W38" s="15" t="str">
        <x:v>EW!115</x:v>
      </x:c>
      <x:c r="X38" s="15" t="str">
        <x:v>HEALTHY</x:v>
      </x:c>
      <x:c r="Y38" s="15" t="str">
        <x:v>HEALTHY / MUST-DO — P2 — Scheduled</x:v>
      </x:c>
      <x:c r="Z38" s="15" t="str">
        <x:v>AI Enablement</x:v>
      </x:c>
      <x:c r="AA38" s="15" t="str">
        <x:v>New Initiative</x:v>
      </x:c>
      <x:c r="AB38" s="15" t="str">
        <x:v>Greater China IT</x:v>
      </x:c>
      <x:c r="AC38" s="15" t="str">
        <x:v>Comply to GCR AI regulations &amp; Data transfer/usage for AI, Uncerternaity of adhereance to AI Governance and gaurdrails. Impact on spending due to probable inefficient used of models</x:v>
      </x:c>
      <x:c r="AD38" s="15" t="str"/>
      <x:c r="AE38" s="15" t="str"/>
      <x:c r="AF38" s="15" t="str">
        <x:v>Comply to GCR AI regulations &amp; Data transfer/usage for AI, Uncerternaity of adhereance to AI Governance and gaurdrails. Impact on spending due to probable inefficient used of models</x:v>
      </x:c>
      <x:c r="AG38" s="15" t="str">
        <x:v>Must Do</x:v>
      </x:c>
      <x:c r="AH38" s="15" t="n">
        <x:v>117</x:v>
      </x:c>
    </x:row>
    <x:row r="39">
      <x:c r="A39" s="15" t="str">
        <x:v>EW-11</x:v>
      </x:c>
      <x:c r="B39" s="15" t="str">
        <x:v>CCB - Group Function</x:v>
      </x:c>
      <x:c r="C39" s="15" t="str">
        <x:v>EW Led</x:v>
      </x:c>
      <x:c r="D39" s="15" t="str">
        <x:v>Information Technology</x:v>
      </x:c>
      <x:c r="E39" s="19" t="n">
        <x:v>7.63</x:v>
      </x:c>
      <x:c r="F39" s="19" t="n">
        <x:v>0</x:v>
      </x:c>
      <x:c r="G39" s="22" t="n">
        <x:f>IF(AND(E39&gt;0,ISNUMBER(F39)),F39/E39,"")</x:f>
        <x:v>0</x:v>
      </x:c>
      <x:c r="H39" s="15" t="str">
        <x:v>LFR</x:v>
      </x:c>
      <x:c r="I39" s="15" t="n">
        <x:v>34</x:v>
      </x:c>
      <x:c r="J39" s="15" t="n">
        <x:v>10</x:v>
      </x:c>
      <x:c r="K39" s="23" t="n">
        <x:f>IF(G39="",0,IF(G39&lt;1,0,IF(G39&lt;2,20,IF(G39&lt;3,30,IF(G39&lt;5,40,50)))))*'Scenario Controls'!$B$22/50</x:f>
        <x:v>0</x:v>
      </x:c>
      <x:c r="L39" s="23" t="n">
        <x:f>IF(ISNUMBER(SEARCH("Must Do",AG39)),25,IF(ISNUMBER(SEARCH("Must Have",AG39)),18,IF(ISNUMBER(SEARCH("Deprior",AG39)),5,0)))*'Scenario Controls'!$B$23/25</x:f>
        <x:v>25</x:v>
      </x:c>
      <x:c r="M39" s="23" t="n">
        <x:f>J39*'Scenario Controls'!$B$24/15</x:f>
        <x:v>10</x:v>
      </x:c>
      <x:c r="N39" s="23" t="n">
        <x:f>IF(ISNUMBER(SEARCH("HEALTHY",X39)),10,IF(ISNUMBER(SEARCH("CONTAIN",X39)),6,0))*'Scenario Controls'!$B$25/10</x:f>
        <x:v>0</x:v>
      </x:c>
      <x:c r="O39" s="23" t="n">
        <x:f>SUM(K39:N39)</x:f>
        <x:v>35</x:v>
      </x:c>
      <x:c r="P39" s="15" t="str">
        <x:f>IF(OR(B39="",E39&lt;=0),"Evidence missing / not eligible",IF(ISNUMBER(SEARCH("priority TBD",Y39)),"Evidence missing / not eligible",IF(AND(H39="Carryover",NOT(ISNUMBER(F39))),"Evidence missing / not eligible",IF(AND(H39="Carryover",G39&lt;'Scenario Controls'!$B$16),"Evidence missing / not eligible",IF(AND(H39="ROI-Based Portfolio",NOT(ISNUMBER(F39))),"Evidence missing / not eligible",IF(AND(H39="ROI-Based Portfolio",O39&lt;'Scenario Controls'!$B$20),"Evidence missing / not eligible","Eligible"))))))</x:f>
        <x:v>Eligible</x:v>
      </x:c>
      <x:c r="Q39" s="19" t="n">
        <x:f>IF(P39&lt;&gt;"Eligible",0,IF(AND(SUMIFS($Q$5:Q38,$H$5:H38,H39)+E39&lt;=(IF(H39="LFR",'Scenario Controls'!$F$10,IF(H39="Sustain Engineering",'Scenario Controls'!$F$11,IF(H39="Hygiene",'Scenario Controls'!$F$12,1E+99))))*(1+'Scenario Controls'!$B$7),SUM($Q$5:Q38)+E39&lt;='Scenario Controls'!$B$6*(1+'Scenario Controls'!$B$7)),E39,0))</x:f>
        <x:v>7.63</x:v>
      </x:c>
      <x:c r="R39" s="24" t="str">
        <x:f>'EW Conference'!G36</x:f>
        <x:v>Automatic</x:v>
      </x:c>
      <x:c r="S39" s="24" t="str">
        <x:f>'EW Conference'!H36</x:f>
      </x:c>
      <x:c r="T39" s="19" t="n">
        <x:f>IF(R39="Exclude",0,IF(R39="Include",E39,Q39))</x:f>
        <x:v>7.63</x:v>
      </x:c>
      <x:c r="U39" s="15" t="str">
        <x:f>IF(T39&gt;0,"Funded",IF(P39="Eligible","Unfunded",P39))</x:f>
        <x:v>Funded</x:v>
      </x:c>
      <x:c r="V39" s="15" t="str">
        <x:f>IF(R39="Include","Conference inclusion: "&amp;S39,IF(R39="Exclude","Conference exclusion: "&amp;S39,IF(Q39&gt;0,H39&amp;" priority rank "&amp;I39&amp;"; whole initiative selected",P39)))</x:f>
        <x:v>LFR priority rank 34; whole initiative selected</x:v>
      </x:c>
      <x:c r="W39" s="15" t="str">
        <x:v>EW!14</x:v>
      </x:c>
      <x:c r="X39" s="15" t="str"/>
      <x:c r="Y39" s="15" t="str"/>
      <x:c r="Z39" s="15" t="str">
        <x:v>Legal Fiscal, Regulatory &amp; Compliancy</x:v>
      </x:c>
      <x:c r="AA39" s="15" t="str">
        <x:v>Change &amp; Sustain</x:v>
      </x:c>
      <x:c r="AB39" s="15" t="str">
        <x:v>Group Functions &amp; Hyperautomation IT</x:v>
      </x:c>
      <x:c r="AC39" s="15" t="str">
        <x:v>License to operate and risk to operations; potential penalties and audit findings. Includes Legal, Risk, Compliance/Audit, Sustainability, Health&amp;Safety, Q&amp;R, People functions</x:v>
      </x:c>
      <x:c r="AD39" s="15" t="str">
        <x:v>LFRs and change requests</x:v>
      </x:c>
      <x:c r="AE39" s="15" t="str">
        <x:v>Deliver changes to existimg Production solutions to address LFRs and changes</x:v>
      </x:c>
      <x:c r="AF39" s="15" t="str">
        <x:v>License to operate and risk to operations; potential penalties and audit findings. Includes Legal, Risk, Compliance/Audit, Sustainability, Health&amp;Safety, Q&amp;R, People functions | LFRs and change requests | Deliver changes to existimg Production solutions to address LFRs and changes</x:v>
      </x:c>
      <x:c r="AG39" s="15" t="str">
        <x:v>Must Do</x:v>
      </x:c>
      <x:c r="AH39" s="15" t="n">
        <x:v>16</x:v>
      </x:c>
    </x:row>
    <x:row r="40">
      <x:c r="A40" s="15" t="str">
        <x:v>EW-65</x:v>
      </x:c>
      <x:c r="B40" s="15" t="str">
        <x:v>ISC -CCB - EW</x:v>
      </x:c>
      <x:c r="C40" s="15" t="str">
        <x:v>EW Led</x:v>
      </x:c>
      <x:c r="D40" s="15" t="str">
        <x:v>Information Technology</x:v>
      </x:c>
      <x:c r="E40" s="19" t="n">
        <x:v>4.16</x:v>
      </x:c>
      <x:c r="F40" s="19" t="n">
        <x:v>0</x:v>
      </x:c>
      <x:c r="G40" s="22" t="n">
        <x:f>IF(AND(E40&gt;0,ISNUMBER(F40)),F40/E40,"")</x:f>
        <x:v>0</x:v>
      </x:c>
      <x:c r="H40" s="15" t="str">
        <x:v>LFR</x:v>
      </x:c>
      <x:c r="I40" s="15" t="n">
        <x:v>35</x:v>
      </x:c>
      <x:c r="J40" s="15" t="n">
        <x:v>5</x:v>
      </x:c>
      <x:c r="K40" s="23" t="n">
        <x:f>IF(G40="",0,IF(G40&lt;1,0,IF(G40&lt;2,20,IF(G40&lt;3,30,IF(G40&lt;5,40,50)))))*'Scenario Controls'!$B$22/50</x:f>
        <x:v>0</x:v>
      </x:c>
      <x:c r="L40" s="23" t="n">
        <x:f>IF(ISNUMBER(SEARCH("Must Do",AG40)),25,IF(ISNUMBER(SEARCH("Must Have",AG40)),18,IF(ISNUMBER(SEARCH("Deprior",AG40)),5,0)))*'Scenario Controls'!$B$23/25</x:f>
        <x:v>25</x:v>
      </x:c>
      <x:c r="M40" s="23" t="n">
        <x:f>J40*'Scenario Controls'!$B$24/15</x:f>
        <x:v>5</x:v>
      </x:c>
      <x:c r="N40" s="23" t="n">
        <x:f>IF(ISNUMBER(SEARCH("HEALTHY",X40)),10,IF(ISNUMBER(SEARCH("CONTAIN",X40)),6,0))*'Scenario Controls'!$B$25/10</x:f>
        <x:v>0</x:v>
      </x:c>
      <x:c r="O40" s="23" t="n">
        <x:f>SUM(K40:N40)</x:f>
        <x:v>30</x:v>
      </x:c>
      <x:c r="P40" s="15" t="str">
        <x:f>IF(OR(B40="",E40&lt;=0),"Evidence missing / not eligible",IF(ISNUMBER(SEARCH("priority TBD",Y40)),"Evidence missing / not eligible",IF(AND(H40="Carryover",NOT(ISNUMBER(F40))),"Evidence missing / not eligible",IF(AND(H40="Carryover",G40&lt;'Scenario Controls'!$B$16),"Evidence missing / not eligible",IF(AND(H40="ROI-Based Portfolio",NOT(ISNUMBER(F40))),"Evidence missing / not eligible",IF(AND(H40="ROI-Based Portfolio",O40&lt;'Scenario Controls'!$B$20),"Evidence missing / not eligible","Eligible"))))))</x:f>
        <x:v>Eligible</x:v>
      </x:c>
      <x:c r="Q40" s="19" t="n">
        <x:f>IF(P40&lt;&gt;"Eligible",0,IF(AND(SUMIFS($Q$5:Q39,$H$5:H39,H40)+E40&lt;=(IF(H40="LFR",'Scenario Controls'!$F$10,IF(H40="Sustain Engineering",'Scenario Controls'!$F$11,IF(H40="Hygiene",'Scenario Controls'!$F$12,1E+99))))*(1+'Scenario Controls'!$B$7),SUM($Q$5:Q39)+E40&lt;='Scenario Controls'!$B$6*(1+'Scenario Controls'!$B$7)),E40,0))</x:f>
        <x:v>4.16</x:v>
      </x:c>
      <x:c r="R40" s="24" t="str">
        <x:f>'EW Conference'!G37</x:f>
        <x:v>Automatic</x:v>
      </x:c>
      <x:c r="S40" s="24" t="str">
        <x:f>'EW Conference'!H37</x:f>
      </x:c>
      <x:c r="T40" s="19" t="n">
        <x:f>IF(R40="Exclude",0,IF(R40="Include",E40,Q40))</x:f>
        <x:v>4.16</x:v>
      </x:c>
      <x:c r="U40" s="15" t="str">
        <x:f>IF(T40&gt;0,"Funded",IF(P40="Eligible","Unfunded",P40))</x:f>
        <x:v>Funded</x:v>
      </x:c>
      <x:c r="V40" s="15" t="str">
        <x:f>IF(R40="Include","Conference inclusion: "&amp;S40,IF(R40="Exclude","Conference exclusion: "&amp;S40,IF(Q40&gt;0,H40&amp;" priority rank "&amp;I40&amp;"; whole initiative selected",P40)))</x:f>
        <x:v>LFR priority rank 35; whole initiative selected</x:v>
      </x:c>
      <x:c r="W40" s="15" t="str">
        <x:v>EW!61</x:v>
      </x:c>
      <x:c r="X40" s="15" t="str"/>
      <x:c r="Y40" s="15" t="str"/>
      <x:c r="Z40" s="15" t="str">
        <x:v>Legal Fiscal, Regulatory &amp; Compliancy</x:v>
      </x:c>
      <x:c r="AA40" s="15" t="str">
        <x:v>Change &amp; Sustain</x:v>
      </x:c>
      <x:c r="AB40" s="15" t="str">
        <x:v>Integrated Supply Chain &amp; Finance</x:v>
      </x:c>
      <x:c r="AC40" s="15" t="str">
        <x:v>Philips becomes non-compliant with legal/fiscal/regulatory requirements for various BUs as prioritized change requests cannot be deployed; Potential penalties and audit findings</x:v>
      </x:c>
      <x:c r="AD40" s="15" t="str"/>
      <x:c r="AE40" s="15" t="str"/>
      <x:c r="AF40" s="15" t="str">
        <x:v>Philips becomes non-compliant with legal/fiscal/regulatory requirements for various BUs as prioritized change requests cannot be deployed; Potential penalties and audit findings</x:v>
      </x:c>
      <x:c r="AG40" s="15" t="str">
        <x:v>Must Do</x:v>
      </x:c>
      <x:c r="AH40" s="15" t="n">
        <x:v>63</x:v>
      </x:c>
    </x:row>
    <x:row r="41">
      <x:c r="A41" s="15" t="str">
        <x:v>EW-71</x:v>
      </x:c>
      <x:c r="B41" s="15" t="str">
        <x:v>FIN-CCB - Finance</x:v>
      </x:c>
      <x:c r="C41" s="15" t="str">
        <x:v>EW Led</x:v>
      </x:c>
      <x:c r="D41" s="15" t="str">
        <x:v>Finance</x:v>
      </x:c>
      <x:c r="E41" s="19" t="n">
        <x:v>6.225</x:v>
      </x:c>
      <x:c r="F41" s="19" t="n">
        <x:v>0</x:v>
      </x:c>
      <x:c r="G41" s="22" t="n">
        <x:f>IF(AND(E41&gt;0,ISNUMBER(F41)),F41/E41,"")</x:f>
        <x:v>0</x:v>
      </x:c>
      <x:c r="H41" s="15" t="str">
        <x:v>LFR</x:v>
      </x:c>
      <x:c r="I41" s="15" t="n">
        <x:v>36</x:v>
      </x:c>
      <x:c r="J41" s="15" t="n">
        <x:v>5</x:v>
      </x:c>
      <x:c r="K41" s="23" t="n">
        <x:f>IF(G41="",0,IF(G41&lt;1,0,IF(G41&lt;2,20,IF(G41&lt;3,30,IF(G41&lt;5,40,50)))))*'Scenario Controls'!$B$22/50</x:f>
        <x:v>0</x:v>
      </x:c>
      <x:c r="L41" s="23" t="n">
        <x:f>IF(ISNUMBER(SEARCH("Must Do",AG41)),25,IF(ISNUMBER(SEARCH("Must Have",AG41)),18,IF(ISNUMBER(SEARCH("Deprior",AG41)),5,0)))*'Scenario Controls'!$B$23/25</x:f>
        <x:v>25</x:v>
      </x:c>
      <x:c r="M41" s="23" t="n">
        <x:f>J41*'Scenario Controls'!$B$24/15</x:f>
        <x:v>5</x:v>
      </x:c>
      <x:c r="N41" s="23" t="n">
        <x:f>IF(ISNUMBER(SEARCH("HEALTHY",X41)),10,IF(ISNUMBER(SEARCH("CONTAIN",X41)),6,0))*'Scenario Controls'!$B$25/10</x:f>
        <x:v>0</x:v>
      </x:c>
      <x:c r="O41" s="23" t="n">
        <x:f>SUM(K41:N41)</x:f>
        <x:v>30</x:v>
      </x:c>
      <x:c r="P41" s="15" t="str">
        <x:f>IF(OR(B41="",E41&lt;=0),"Evidence missing / not eligible",IF(ISNUMBER(SEARCH("priority TBD",Y41)),"Evidence missing / not eligible",IF(AND(H41="Carryover",NOT(ISNUMBER(F41))),"Evidence missing / not eligible",IF(AND(H41="Carryover",G41&lt;'Scenario Controls'!$B$16),"Evidence missing / not eligible",IF(AND(H41="ROI-Based Portfolio",NOT(ISNUMBER(F41))),"Evidence missing / not eligible",IF(AND(H41="ROI-Based Portfolio",O41&lt;'Scenario Controls'!$B$20),"Evidence missing / not eligible","Eligible"))))))</x:f>
        <x:v>Eligible</x:v>
      </x:c>
      <x:c r="Q41" s="19" t="n">
        <x:f>IF(P41&lt;&gt;"Eligible",0,IF(AND(SUMIFS($Q$5:Q40,$H$5:H40,H41)+E41&lt;=(IF(H41="LFR",'Scenario Controls'!$F$10,IF(H41="Sustain Engineering",'Scenario Controls'!$F$11,IF(H41="Hygiene",'Scenario Controls'!$F$12,1E+99))))*(1+'Scenario Controls'!$B$7),SUM($Q$5:Q40)+E41&lt;='Scenario Controls'!$B$6*(1+'Scenario Controls'!$B$7)),E41,0))</x:f>
        <x:v>6.225</x:v>
      </x:c>
      <x:c r="R41" s="24" t="str">
        <x:f>'EW Conference'!G38</x:f>
        <x:v>Automatic</x:v>
      </x:c>
      <x:c r="S41" s="24" t="str">
        <x:f>'EW Conference'!H38</x:f>
      </x:c>
      <x:c r="T41" s="19" t="n">
        <x:f>IF(R41="Exclude",0,IF(R41="Include",E41,Q41))</x:f>
        <x:v>6.225</x:v>
      </x:c>
      <x:c r="U41" s="15" t="str">
        <x:f>IF(T41&gt;0,"Funded",IF(P41="Eligible","Unfunded",P41))</x:f>
        <x:v>Funded</x:v>
      </x:c>
      <x:c r="V41" s="15" t="str">
        <x:f>IF(R41="Include","Conference inclusion: "&amp;S41,IF(R41="Exclude","Conference exclusion: "&amp;S41,IF(Q41&gt;0,H41&amp;" priority rank "&amp;I41&amp;"; whole initiative selected",P41)))</x:f>
        <x:v>LFR priority rank 36; whole initiative selected</x:v>
      </x:c>
      <x:c r="W41" s="15" t="str">
        <x:v>EW!67</x:v>
      </x:c>
      <x:c r="X41" s="15" t="str"/>
      <x:c r="Y41" s="15" t="str"/>
      <x:c r="Z41" s="15" t="str">
        <x:v>Legal Fiscal, Regulatory &amp; Compliancy</x:v>
      </x:c>
      <x:c r="AA41" s="15" t="str">
        <x:v>Change &amp; Sustain</x:v>
      </x:c>
      <x:c r="AB41" s="15" t="str">
        <x:v>Integrated Supply Chain &amp; Finance</x:v>
      </x:c>
      <x:c r="AC41" s="15" t="str">
        <x:v>Philips becomes non-compliant with legal/fiscal/regulatory requirements; High risk exposure due to outdated systems; Potential penalties and audit findings (cost avoidance on the tune of ~400M)</x:v>
      </x:c>
      <x:c r="AD41" s="15" t="str"/>
      <x:c r="AE41" s="15" t="str"/>
      <x:c r="AF41" s="15" t="str">
        <x:v>Philips becomes non-compliant with legal/fiscal/regulatory requirements; High risk exposure due to outdated systems; Potential penalties and audit findings (cost avoidance on the tune of ~400M)</x:v>
      </x:c>
      <x:c r="AG41" s="15" t="str">
        <x:v>Must Do</x:v>
      </x:c>
      <x:c r="AH41" s="15" t="n">
        <x:v>69</x:v>
      </x:c>
    </x:row>
    <x:row r="42">
      <x:c r="A42" s="15" t="str">
        <x:v>Bu-76</x:v>
      </x:c>
      <x:c r="B42" s="15" t="str">
        <x:v>IR27#60 - Supply Chain Excellence (in fact 3x Type 1: each 50K HPM SE, ULS DK, IGTD Italy) - create 3 lines?</x:v>
      </x:c>
      <x:c r="C42" s="15" t="str">
        <x:v>BU Led</x:v>
      </x:c>
      <x:c r="D42" s="15" t="str">
        <x:v>International Regions (IR)</x:v>
      </x:c>
      <x:c r="E42" s="19" t="n">
        <x:v>0.15</x:v>
      </x:c>
      <x:c r="F42" s="19" t="n">
        <x:v>128.25</x:v>
      </x:c>
      <x:c r="G42" s="22" t="n">
        <x:f>IF(AND(E42&gt;0,ISNUMBER(F42)),F42/E42,"")</x:f>
        <x:v>855</x:v>
      </x:c>
      <x:c r="H42" s="15" t="str">
        <x:v>Sustain Engineering</x:v>
      </x:c>
      <x:c r="I42" s="15" t="n">
        <x:v>1</x:v>
      </x:c>
      <x:c r="J42" s="15" t="n">
        <x:v>10</x:v>
      </x:c>
      <x:c r="K42" s="23" t="n">
        <x:f>IF(G42="",0,IF(G42&lt;1,0,IF(G42&lt;2,20,IF(G42&lt;3,30,IF(G42&lt;5,40,50)))))*'Scenario Controls'!$B$22/50</x:f>
        <x:v>50</x:v>
      </x:c>
      <x:c r="L42" s="23" t="n">
        <x:f>IF(ISNUMBER(SEARCH("Must Do",AG42)),25,IF(ISNUMBER(SEARCH("Must Have",AG42)),18,IF(ISNUMBER(SEARCH("Deprior",AG42)),5,0)))*'Scenario Controls'!$B$23/25</x:f>
        <x:v>25</x:v>
      </x:c>
      <x:c r="M42" s="23" t="n">
        <x:f>J42*'Scenario Controls'!$B$24/15</x:f>
        <x:v>10</x:v>
      </x:c>
      <x:c r="N42" s="23" t="n">
        <x:f>IF(ISNUMBER(SEARCH("HEALTHY",X42)),10,IF(ISNUMBER(SEARCH("CONTAIN",X42)),6,0))*'Scenario Controls'!$B$25/10</x:f>
        <x:v>10</x:v>
      </x:c>
      <x:c r="O42" s="23" t="n">
        <x:f>SUM(K42:N42)</x:f>
        <x:v>95</x:v>
      </x:c>
      <x:c r="P42" s="15" t="str">
        <x:f>IF(OR(B42="",E42&lt;=0),"Evidence missing / not eligible",IF(ISNUMBER(SEARCH("priority TBD",Y42)),"Evidence missing / not eligible",IF(AND(H42="Carryover",NOT(ISNUMBER(F42))),"Evidence missing / not eligible",IF(AND(H42="Carryover",G42&lt;'Scenario Controls'!$B$16),"Evidence missing / not eligible",IF(AND(H42="ROI-Based Portfolio",NOT(ISNUMBER(F42))),"Evidence missing / not eligible",IF(AND(H42="ROI-Based Portfolio",O42&lt;'Scenario Controls'!$B$20),"Evidence missing / not eligible","Eligible"))))))</x:f>
        <x:v>Eligible</x:v>
      </x:c>
      <x:c r="Q42" s="19" t="n">
        <x:f>IF(P42&lt;&gt;"Eligible",0,IF(AND(SUMIFS($Q$5:Q41,$H$5:H41,H42)+E42&lt;=(IF(H42="LFR",'Scenario Controls'!$F$10,IF(H42="Sustain Engineering",'Scenario Controls'!$F$11,IF(H42="Hygiene",'Scenario Controls'!$F$12,1E+99))))*(1+'Scenario Controls'!$B$7),SUM($Q$5:Q41)+E42&lt;='Scenario Controls'!$B$6*(1+'Scenario Controls'!$B$7)),E42,0))</x:f>
        <x:v>0.15</x:v>
      </x:c>
      <x:c r="R42" s="24" t="str">
        <x:f>'BU Conference'!G9</x:f>
        <x:v>Automatic</x:v>
      </x:c>
      <x:c r="S42" s="24" t="str">
        <x:f>'BU Conference'!H9</x:f>
      </x:c>
      <x:c r="T42" s="19" t="n">
        <x:f>IF(R42="Exclude",0,IF(R42="Include",E42,Q42))</x:f>
        <x:v>0.15</x:v>
      </x:c>
      <x:c r="U42" s="15" t="str">
        <x:f>IF(T42&gt;0,"Funded",IF(P42="Eligible","Unfunded",P42))</x:f>
        <x:v>Funded</x:v>
      </x:c>
      <x:c r="V42" s="15" t="str">
        <x:f>IF(R42="Include","Conference inclusion: "&amp;S42,IF(R42="Exclude","Conference exclusion: "&amp;S42,IF(Q42&gt;0,H42&amp;" priority rank "&amp;I42&amp;"; whole initiative selected",P42)))</x:f>
        <x:v>Sustain Engineering priority rank 1; whole initiative selected</x:v>
      </x:c>
      <x:c r="W42" s="15" t="str">
        <x:v>Bu!190</x:v>
      </x:c>
      <x:c r="X42" s="15" t="str">
        <x:v>HEALTHY</x:v>
      </x:c>
      <x:c r="Y42" s="15" t="str">
        <x:v>HEALTHY — Rank in priority matrix</x:v>
      </x:c>
      <x:c r="Z42" s="15" t="str">
        <x:v>Upgrades &amp; Enhancements</x:v>
      </x:c>
      <x:c r="AA42" s="15" t="str">
        <x:v>Change &amp; Sustain</x:v>
      </x:c>
      <x:c r="AB42" s="15" t="str">
        <x:v>Integrated Supply Chain &amp; Finance</x:v>
      </x:c>
      <x:c r="AC42" s="15" t="str">
        <x:v>Loss of revenue due to breach of existing contracts and potential impact to customer decision on future orders for IGTD in Italy.</x:v>
      </x:c>
      <x:c r="AD42" s="15" t="str">
        <x:v>3 dedicated small investments by individual BUs:</x:v>
      </x:c>
      <x:c r="AE42" s="15" t="str">
        <x:v>SC twists for designated country/BU needs</x:v>
      </x:c>
      <x:c r="AF42" s="15" t="str">
        <x:v>Loss of revenue due to breach of existing contracts and potential impact to customer decision on future orders for IGTD in Italy. | 3 dedicated small investments by individual BUs: | SC twists for designated country/BU needs</x:v>
      </x:c>
      <x:c r="AG42" s="15" t="str">
        <x:v>Must Do</x:v>
      </x:c>
      <x:c r="AH42" s="15" t="n">
        <x:v>253</x:v>
      </x:c>
    </x:row>
    <x:row r="43">
      <x:c r="A43" s="15" t="str">
        <x:v>Bu-75</x:v>
      </x:c>
      <x:c r="B43" s="15" t="str">
        <x:v>IR27#44 - EDI Continuous Improvement incl BNL Peppol Orders</x:v>
      </x:c>
      <x:c r="C43" s="15" t="str">
        <x:v>BU Led</x:v>
      </x:c>
      <x:c r="D43" s="15" t="str">
        <x:v>International Regions (IR)</x:v>
      </x:c>
      <x:c r="E43" s="19" t="n">
        <x:v>0.078</x:v>
      </x:c>
      <x:c r="F43" s="19" t="n">
        <x:v>2.25</x:v>
      </x:c>
      <x:c r="G43" s="22" t="n">
        <x:f>IF(AND(E43&gt;0,ISNUMBER(F43)),F43/E43,"")</x:f>
        <x:v>28.846153846153847</x:v>
      </x:c>
      <x:c r="H43" s="15" t="str">
        <x:v>Sustain Engineering</x:v>
      </x:c>
      <x:c r="I43" s="15" t="n">
        <x:v>2</x:v>
      </x:c>
      <x:c r="J43" s="15" t="n">
        <x:v>15</x:v>
      </x:c>
      <x:c r="K43" s="23" t="n">
        <x:f>IF(G43="",0,IF(G43&lt;1,0,IF(G43&lt;2,20,IF(G43&lt;3,30,IF(G43&lt;5,40,50)))))*'Scenario Controls'!$B$22/50</x:f>
        <x:v>50</x:v>
      </x:c>
      <x:c r="L43" s="23" t="n">
        <x:f>IF(ISNUMBER(SEARCH("Must Do",AG43)),25,IF(ISNUMBER(SEARCH("Must Have",AG43)),18,IF(ISNUMBER(SEARCH("Deprior",AG43)),5,0)))*'Scenario Controls'!$B$23/25</x:f>
        <x:v>25</x:v>
      </x:c>
      <x:c r="M43" s="23" t="n">
        <x:f>J43*'Scenario Controls'!$B$24/15</x:f>
        <x:v>15</x:v>
      </x:c>
      <x:c r="N43" s="23" t="n">
        <x:f>IF(ISNUMBER(SEARCH("HEALTHY",X43)),10,IF(ISNUMBER(SEARCH("CONTAIN",X43)),6,0))*'Scenario Controls'!$B$25/10</x:f>
        <x:v>0</x:v>
      </x:c>
      <x:c r="O43" s="23" t="n">
        <x:f>SUM(K43:N43)</x:f>
        <x:v>90</x:v>
      </x:c>
      <x:c r="P43" s="15" t="str">
        <x:f>IF(OR(B43="",E43&lt;=0),"Evidence missing / not eligible",IF(ISNUMBER(SEARCH("priority TBD",Y43)),"Evidence missing / not eligible",IF(AND(H43="Carryover",NOT(ISNUMBER(F43))),"Evidence missing / not eligible",IF(AND(H43="Carryover",G43&lt;'Scenario Controls'!$B$16),"Evidence missing / not eligible",IF(AND(H43="ROI-Based Portfolio",NOT(ISNUMBER(F43))),"Evidence missing / not eligible",IF(AND(H43="ROI-Based Portfolio",O43&lt;'Scenario Controls'!$B$20),"Evidence missing / not eligible","Eligible"))))))</x:f>
        <x:v>Eligible</x:v>
      </x:c>
      <x:c r="Q43" s="19" t="n">
        <x:f>IF(P43&lt;&gt;"Eligible",0,IF(AND(SUMIFS($Q$5:Q42,$H$5:H42,H43)+E43&lt;=(IF(H43="LFR",'Scenario Controls'!$F$10,IF(H43="Sustain Engineering",'Scenario Controls'!$F$11,IF(H43="Hygiene",'Scenario Controls'!$F$12,1E+99))))*(1+'Scenario Controls'!$B$7),SUM($Q$5:Q42)+E43&lt;='Scenario Controls'!$B$6*(1+'Scenario Controls'!$B$7)),E43,0))</x:f>
        <x:v>0.078</x:v>
      </x:c>
      <x:c r="R43" s="24" t="str">
        <x:f>'BU Conference'!G10</x:f>
        <x:v>Automatic</x:v>
      </x:c>
      <x:c r="S43" s="24" t="str">
        <x:f>'BU Conference'!H10</x:f>
      </x:c>
      <x:c r="T43" s="19" t="n">
        <x:f>IF(R43="Exclude",0,IF(R43="Include",E43,Q43))</x:f>
        <x:v>0.078</x:v>
      </x:c>
      <x:c r="U43" s="15" t="str">
        <x:f>IF(T43&gt;0,"Funded",IF(P43="Eligible","Unfunded",P43))</x:f>
        <x:v>Funded</x:v>
      </x:c>
      <x:c r="V43" s="15" t="str">
        <x:f>IF(R43="Include","Conference inclusion: "&amp;S43,IF(R43="Exclude","Conference exclusion: "&amp;S43,IF(Q43&gt;0,H43&amp;" priority rank "&amp;I43&amp;"; whole initiative selected",P43)))</x:f>
        <x:v>Sustain Engineering priority rank 2; whole initiative selected</x:v>
      </x:c>
      <x:c r="W43" s="15" t="str">
        <x:v>Bu!184</x:v>
      </x:c>
      <x:c r="X43" s="15" t="str"/>
      <x:c r="Y43" s="15" t="str"/>
      <x:c r="Z43" s="15" t="str">
        <x:v>Continous Improvement</x:v>
      </x:c>
      <x:c r="AA43" s="15" t="str">
        <x:v>Change &amp; Sustain</x:v>
      </x:c>
      <x:c r="AB43" s="15" t="str">
        <x:v>Innovation and Digital IT</x:v>
      </x:c>
      <x:c r="AC43" s="15" t="str">
        <x:v>BNL OIT risk (500K p.a).</x:v>
      </x:c>
      <x:c r="AD43" s="15" t="str">
        <x:v>EDI is an established standard but requires tweaks of existing connections and sometimes new connections as preconditions in tenders / for contracts. I.e. Peppol Orders required in BNL by 4 customers now</x:v>
      </x:c>
      <x:c r="AE43" s="15" t="str">
        <x:v>Mainly HPM / IGTD, across IR</x:v>
      </x:c>
      <x:c r="AF43" s="15" t="str">
        <x:v>BNL OIT risk (500K p.a). | EDI is an established standard but requires tweaks of existing connections and sometimes new connections as preconditions in tenders / for contracts. I.e. Peppol Orders required in BNL by 4 customers now | Mainly HPM / IGTD, across IR</x:v>
      </x:c>
      <x:c r="AG43" s="15" t="str">
        <x:v>Must Do</x:v>
      </x:c>
      <x:c r="AH43" s="15" t="n">
        <x:v>252</x:v>
      </x:c>
    </x:row>
    <x:row r="44">
      <x:c r="A44" s="15" t="str">
        <x:v>EW-178</x:v>
      </x:c>
      <x:c r="B44" s="15" t="str">
        <x:v>CCB - I&amp;D: Brand Licensing</x:v>
      </x:c>
      <x:c r="C44" s="15" t="str">
        <x:v>EW Led</x:v>
      </x:c>
      <x:c r="D44" s="15" t="str">
        <x:v>Intellectual Property &amp; Standards (IP&amp;S)</x:v>
      </x:c>
      <x:c r="E44" s="19" t="n">
        <x:v>0.333</x:v>
      </x:c>
      <x:c r="F44" s="19" t="n">
        <x:v>200</x:v>
      </x:c>
      <x:c r="G44" s="22" t="n">
        <x:f>IF(AND(E44&gt;0,ISNUMBER(F44)),F44/E44,"")</x:f>
        <x:v>600.6006006006006</x:v>
      </x:c>
      <x:c r="H44" s="15" t="str">
        <x:v>Sustain Engineering</x:v>
      </x:c>
      <x:c r="I44" s="15" t="n">
        <x:v>3</x:v>
      </x:c>
      <x:c r="J44" s="15" t="n">
        <x:v>15</x:v>
      </x:c>
      <x:c r="K44" s="23" t="n">
        <x:f>IF(G44="",0,IF(G44&lt;1,0,IF(G44&lt;2,20,IF(G44&lt;3,30,IF(G44&lt;5,40,50)))))*'Scenario Controls'!$B$22/50</x:f>
        <x:v>50</x:v>
      </x:c>
      <x:c r="L44" s="23" t="n">
        <x:f>IF(ISNUMBER(SEARCH("Must Do",AG44)),25,IF(ISNUMBER(SEARCH("Must Have",AG44)),18,IF(ISNUMBER(SEARCH("Deprior",AG44)),5,0)))*'Scenario Controls'!$B$23/25</x:f>
        <x:v>18</x:v>
      </x:c>
      <x:c r="M44" s="23" t="n">
        <x:f>J44*'Scenario Controls'!$B$24/15</x:f>
        <x:v>15</x:v>
      </x:c>
      <x:c r="N44" s="23" t="n">
        <x:f>IF(ISNUMBER(SEARCH("HEALTHY",X44)),10,IF(ISNUMBER(SEARCH("CONTAIN",X44)),6,0))*'Scenario Controls'!$B$25/10</x:f>
        <x:v>0</x:v>
      </x:c>
      <x:c r="O44" s="23" t="n">
        <x:f>SUM(K44:N44)</x:f>
        <x:v>83</x:v>
      </x:c>
      <x:c r="P44" s="15" t="str">
        <x:f>IF(OR(B44="",E44&lt;=0),"Evidence missing / not eligible",IF(ISNUMBER(SEARCH("priority TBD",Y44)),"Evidence missing / not eligible",IF(AND(H44="Carryover",NOT(ISNUMBER(F44))),"Evidence missing / not eligible",IF(AND(H44="Carryover",G44&lt;'Scenario Controls'!$B$16),"Evidence missing / not eligible",IF(AND(H44="ROI-Based Portfolio",NOT(ISNUMBER(F44))),"Evidence missing / not eligible",IF(AND(H44="ROI-Based Portfolio",O44&lt;'Scenario Controls'!$B$20),"Evidence missing / not eligible","Eligible"))))))</x:f>
        <x:v>Eligible</x:v>
      </x:c>
      <x:c r="Q44" s="19" t="n">
        <x:f>IF(P44&lt;&gt;"Eligible",0,IF(AND(SUMIFS($Q$5:Q43,$H$5:H43,H44)+E44&lt;=(IF(H44="LFR",'Scenario Controls'!$F$10,IF(H44="Sustain Engineering",'Scenario Controls'!$F$11,IF(H44="Hygiene",'Scenario Controls'!$F$12,1E+99))))*(1+'Scenario Controls'!$B$7),SUM($Q$5:Q43)+E44&lt;='Scenario Controls'!$B$6*(1+'Scenario Controls'!$B$7)),E44,0))</x:f>
        <x:v>0.333</x:v>
      </x:c>
      <x:c r="R44" s="24" t="str">
        <x:f>'EW Conference'!G39</x:f>
        <x:v>Automatic</x:v>
      </x:c>
      <x:c r="S44" s="24" t="str">
        <x:f>'EW Conference'!H39</x:f>
      </x:c>
      <x:c r="T44" s="19" t="n">
        <x:f>IF(R44="Exclude",0,IF(R44="Include",E44,Q44))</x:f>
        <x:v>0.333</x:v>
      </x:c>
      <x:c r="U44" s="15" t="str">
        <x:f>IF(T44&gt;0,"Funded",IF(P44="Eligible","Unfunded",P44))</x:f>
        <x:v>Funded</x:v>
      </x:c>
      <x:c r="V44" s="15" t="str">
        <x:f>IF(R44="Include","Conference inclusion: "&amp;S44,IF(R44="Exclude","Conference exclusion: "&amp;S44,IF(Q44&gt;0,H44&amp;" priority rank "&amp;I44&amp;"; whole initiative selected",P44)))</x:f>
        <x:v>Sustain Engineering priority rank 3; whole initiative selected</x:v>
      </x:c>
      <x:c r="W44" s="15" t="str">
        <x:v>EW!174</x:v>
      </x:c>
      <x:c r="X44" s="15" t="str"/>
      <x:c r="Y44" s="15" t="str"/>
      <x:c r="Z44" s="15" t="str">
        <x:v>Continuous Improvement</x:v>
      </x:c>
      <x:c r="AA44" s="15" t="str">
        <x:v>Change &amp; Sustain</x:v>
      </x:c>
      <x:c r="AB44" s="15" t="str">
        <x:v>Innovation and Digital IT</x:v>
      </x:c>
      <x:c r="AC44" s="15" t="str">
        <x:v>200M euro revenue at risk; Support needed to fullfill needs for our Brand licensees; in addition Philips no longer can offer D2C solution so we need to transer</x:v>
      </x:c>
      <x:c r="AD44" s="15" t="str">
        <x: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x:v>
      </x:c>
      <x:c r="AE44" s="15" t="str">
        <x:v>Disentangle brand licensees from Philips systems</x:v>
      </x:c>
      <x:c r="AF44" s="15" t="str">
        <x:v>200M euro revenue at risk; Support needed to fullfill needs for our Brand licensees; in addition Philips no longer can offer D2C solution so we need to transer |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 Disentangle brand licensees from Philips systems</x:v>
      </x:c>
      <x:c r="AG44" s="15" t="str">
        <x:v>Must Have</x:v>
      </x:c>
      <x:c r="AH44" s="15" t="n">
        <x:v>176</x:v>
      </x:c>
    </x:row>
    <x:row r="45">
      <x:c r="A45" s="15" t="str">
        <x:v>Bu-74</x:v>
      </x:c>
      <x:c r="B45" s="15" t="str">
        <x:v>IR27#43 - D2B Configurable Product Mgt</x:v>
      </x:c>
      <x:c r="C45" s="15" t="str">
        <x:v>BU Led</x:v>
      </x:c>
      <x:c r="D45" s="15" t="str">
        <x:v>International Regions (IR)</x:v>
      </x:c>
      <x:c r="E45" s="19" t="n">
        <x:v>0.08</x:v>
      </x:c>
      <x:c r="F45" s="19" t="n">
        <x:v>5.95</x:v>
      </x:c>
      <x:c r="G45" s="22" t="n">
        <x:f>IF(AND(E45&gt;0,ISNUMBER(F45)),F45/E45,"")</x:f>
        <x:v>74.375</x:v>
      </x:c>
      <x:c r="H45" s="15" t="str">
        <x:v>Sustain Engineering</x:v>
      </x:c>
      <x:c r="I45" s="15" t="n">
        <x:v>4</x:v>
      </x:c>
      <x:c r="J45" s="15" t="n">
        <x:v>15</x:v>
      </x:c>
      <x:c r="K45" s="23" t="n">
        <x:f>IF(G45="",0,IF(G45&lt;1,0,IF(G45&lt;2,20,IF(G45&lt;3,30,IF(G45&lt;5,40,50)))))*'Scenario Controls'!$B$22/50</x:f>
        <x:v>50</x:v>
      </x:c>
      <x:c r="L45" s="23" t="n">
        <x:f>IF(ISNUMBER(SEARCH("Must Do",AG45)),25,IF(ISNUMBER(SEARCH("Must Have",AG45)),18,IF(ISNUMBER(SEARCH("Deprior",AG45)),5,0)))*'Scenario Controls'!$B$23/25</x:f>
        <x:v>18</x:v>
      </x:c>
      <x:c r="M45" s="23" t="n">
        <x:f>J45*'Scenario Controls'!$B$24/15</x:f>
        <x:v>15</x:v>
      </x:c>
      <x:c r="N45" s="23" t="n">
        <x:f>IF(ISNUMBER(SEARCH("HEALTHY",X45)),10,IF(ISNUMBER(SEARCH("CONTAIN",X45)),6,0))*'Scenario Controls'!$B$25/10</x:f>
        <x:v>0</x:v>
      </x:c>
      <x:c r="O45" s="23" t="n">
        <x:f>SUM(K45:N45)</x:f>
        <x:v>83</x:v>
      </x:c>
      <x:c r="P45" s="15" t="str">
        <x:f>IF(OR(B45="",E45&lt;=0),"Evidence missing / not eligible",IF(ISNUMBER(SEARCH("priority TBD",Y45)),"Evidence missing / not eligible",IF(AND(H45="Carryover",NOT(ISNUMBER(F45))),"Evidence missing / not eligible",IF(AND(H45="Carryover",G45&lt;'Scenario Controls'!$B$16),"Evidence missing / not eligible",IF(AND(H45="ROI-Based Portfolio",NOT(ISNUMBER(F45))),"Evidence missing / not eligible",IF(AND(H45="ROI-Based Portfolio",O45&lt;'Scenario Controls'!$B$20),"Evidence missing / not eligible","Eligible"))))))</x:f>
        <x:v>Eligible</x:v>
      </x:c>
      <x:c r="Q45" s="19" t="n">
        <x:f>IF(P45&lt;&gt;"Eligible",0,IF(AND(SUMIFS($Q$5:Q44,$H$5:H44,H45)+E45&lt;=(IF(H45="LFR",'Scenario Controls'!$F$10,IF(H45="Sustain Engineering",'Scenario Controls'!$F$11,IF(H45="Hygiene",'Scenario Controls'!$F$12,1E+99))))*(1+'Scenario Controls'!$B$7),SUM($Q$5:Q44)+E45&lt;='Scenario Controls'!$B$6*(1+'Scenario Controls'!$B$7)),E45,0))</x:f>
        <x:v>0.08</x:v>
      </x:c>
      <x:c r="R45" s="24" t="str">
        <x:f>'BU Conference'!G11</x:f>
        <x:v>Automatic</x:v>
      </x:c>
      <x:c r="S45" s="24" t="str">
        <x:f>'BU Conference'!H11</x:f>
      </x:c>
      <x:c r="T45" s="19" t="n">
        <x:f>IF(R45="Exclude",0,IF(R45="Include",E45,Q45))</x:f>
        <x:v>0.08</x:v>
      </x:c>
      <x:c r="U45" s="15" t="str">
        <x:f>IF(T45&gt;0,"Funded",IF(P45="Eligible","Unfunded",P45))</x:f>
        <x:v>Funded</x:v>
      </x:c>
      <x:c r="V45" s="15" t="str">
        <x:f>IF(R45="Include","Conference inclusion: "&amp;S45,IF(R45="Exclude","Conference exclusion: "&amp;S45,IF(Q45&gt;0,H45&amp;" priority rank "&amp;I45&amp;"; whole initiative selected",P45)))</x:f>
        <x:v>Sustain Engineering priority rank 4; whole initiative selected</x:v>
      </x:c>
      <x:c r="W45" s="15" t="str">
        <x:v>Bu!183</x:v>
      </x:c>
      <x:c r="X45" s="15" t="str"/>
      <x:c r="Y45" s="15" t="str"/>
      <x:c r="Z45" s="15" t="str">
        <x:v>Upgrades &amp; Enhancements</x:v>
      </x:c>
      <x:c r="AA45" s="15" t="str">
        <x:v>Change &amp; Sustain</x:v>
      </x:c>
      <x:c r="AB45" s="15" t="str">
        <x:v>Innovation and Digital IT</x:v>
      </x:c>
      <x:c r="AC45" s="15" t="str">
        <x:v>Business continuity challenge. All the 6NC products which are enabled with Configit are generating approx. 8M EUR revenue yearly on Hybris e-Store. Missing an opportunity to potentially grow the revenue via this channel by 1.4M EUR.</x:v>
      </x:c>
      <x:c r="AD45" s="15" t="str">
        <x:v>eStore volume stagnates with opportunity on low-config items. Prepare and scale.</x:v>
      </x:c>
      <x:c r="AE45" s="15" t="str">
        <x:v>Focus on Europe with BUs HPM &amp; ULS</x:v>
      </x:c>
      <x:c r="AF45" s="15" t="str">
        <x:v>Business continuity challenge. All the 6NC products which are enabled with Configit are generating approx. 8M EUR revenue yearly on Hybris e-Store. Missing an opportunity to potentially grow the revenue via this channel by 1.4M EUR. | eStore volume stagnates with opportunity on low-config items. Prepare and scale. | Focus on Europe with BUs HPM &amp; ULS</x:v>
      </x:c>
      <x:c r="AG45" s="15" t="str">
        <x:v>Must Have</x:v>
      </x:c>
      <x:c r="AH45" s="15" t="n">
        <x:v>251</x:v>
      </x:c>
    </x:row>
    <x:row r="46">
      <x:c r="A46" s="15" t="str">
        <x:v>EW-180</x:v>
      </x:c>
      <x:c r="B46" s="15" t="str">
        <x:v>CCB - I&amp;D - The Vault</x:v>
      </x:c>
      <x:c r="C46" s="15" t="str">
        <x:v>EW Led</x:v>
      </x:c>
      <x:c r="D46" s="15" t="str">
        <x:v>Intellectual Property &amp; Standards (IP&amp;S)</x:v>
      </x:c>
      <x:c r="E46" s="19" t="n">
        <x:v>0.05</x:v>
      </x:c>
      <x:c r="F46" s="19" t="n">
        <x:v>500</x:v>
      </x:c>
      <x:c r="G46" s="22" t="n">
        <x:f>IF(AND(E46&gt;0,ISNUMBER(F46)),F46/E46,"")</x:f>
        <x:v>10000</x:v>
      </x:c>
      <x:c r="H46" s="15" t="str">
        <x:v>Sustain Engineering</x:v>
      </x:c>
      <x:c r="I46" s="15" t="n">
        <x:v>5</x:v>
      </x:c>
      <x:c r="J46" s="15" t="n">
        <x:v>5</x:v>
      </x:c>
      <x:c r="K46" s="23" t="n">
        <x:f>IF(G46="",0,IF(G46&lt;1,0,IF(G46&lt;2,20,IF(G46&lt;3,30,IF(G46&lt;5,40,50)))))*'Scenario Controls'!$B$22/50</x:f>
        <x:v>50</x:v>
      </x:c>
      <x:c r="L46" s="23" t="n">
        <x:f>IF(ISNUMBER(SEARCH("Must Do",AG46)),25,IF(ISNUMBER(SEARCH("Must Have",AG46)),18,IF(ISNUMBER(SEARCH("Deprior",AG46)),5,0)))*'Scenario Controls'!$B$23/25</x:f>
        <x:v>25</x:v>
      </x:c>
      <x:c r="M46" s="23" t="n">
        <x:f>J46*'Scenario Controls'!$B$24/15</x:f>
        <x:v>5</x:v>
      </x:c>
      <x:c r="N46" s="23" t="n">
        <x:f>IF(ISNUMBER(SEARCH("HEALTHY",X46)),10,IF(ISNUMBER(SEARCH("CONTAIN",X46)),6,0))*'Scenario Controls'!$B$25/10</x:f>
        <x:v>0</x:v>
      </x:c>
      <x:c r="O46" s="23" t="n">
        <x:f>SUM(K46:N46)</x:f>
        <x:v>80</x:v>
      </x:c>
      <x:c r="P46" s="15" t="str">
        <x:f>IF(OR(B46="",E46&lt;=0),"Evidence missing / not eligible",IF(ISNUMBER(SEARCH("priority TBD",Y46)),"Evidence missing / not eligible",IF(AND(H46="Carryover",NOT(ISNUMBER(F46))),"Evidence missing / not eligible",IF(AND(H46="Carryover",G46&lt;'Scenario Controls'!$B$16),"Evidence missing / not eligible",IF(AND(H46="ROI-Based Portfolio",NOT(ISNUMBER(F46))),"Evidence missing / not eligible",IF(AND(H46="ROI-Based Portfolio",O46&lt;'Scenario Controls'!$B$20),"Evidence missing / not eligible","Eligible"))))))</x:f>
        <x:v>Eligible</x:v>
      </x:c>
      <x:c r="Q46" s="19" t="n">
        <x:f>IF(P46&lt;&gt;"Eligible",0,IF(AND(SUMIFS($Q$5:Q45,$H$5:H45,H46)+E46&lt;=(IF(H46="LFR",'Scenario Controls'!$F$10,IF(H46="Sustain Engineering",'Scenario Controls'!$F$11,IF(H46="Hygiene",'Scenario Controls'!$F$12,1E+99))))*(1+'Scenario Controls'!$B$7),SUM($Q$5:Q45)+E46&lt;='Scenario Controls'!$B$6*(1+'Scenario Controls'!$B$7)),E46,0))</x:f>
        <x:v>0.05</x:v>
      </x:c>
      <x:c r="R46" s="24" t="str">
        <x:f>'EW Conference'!G40</x:f>
        <x:v>Automatic</x:v>
      </x:c>
      <x:c r="S46" s="24" t="str">
        <x:f>'EW Conference'!H40</x:f>
      </x:c>
      <x:c r="T46" s="19" t="n">
        <x:f>IF(R46="Exclude",0,IF(R46="Include",E46,Q46))</x:f>
        <x:v>0.05</x:v>
      </x:c>
      <x:c r="U46" s="15" t="str">
        <x:f>IF(T46&gt;0,"Funded",IF(P46="Eligible","Unfunded",P46))</x:f>
        <x:v>Funded</x:v>
      </x:c>
      <x:c r="V46" s="15" t="str">
        <x:f>IF(R46="Include","Conference inclusion: "&amp;S46,IF(R46="Exclude","Conference exclusion: "&amp;S46,IF(Q46&gt;0,H46&amp;" priority rank "&amp;I46&amp;"; whole initiative selected",P46)))</x:f>
        <x:v>Sustain Engineering priority rank 5; whole initiative selected</x:v>
      </x:c>
      <x:c r="W46" s="15" t="str">
        <x:v>EW!176</x:v>
      </x:c>
      <x:c r="X46" s="15" t="str"/>
      <x:c r="Y46" s="15" t="str"/>
      <x:c r="Z46" s="15" t="str">
        <x:v>Continuous Improvement</x:v>
      </x:c>
      <x:c r="AA46" s="15" t="str">
        <x:v>Change &amp; Sustain</x:v>
      </x:c>
      <x:c r="AB46" s="15" t="str">
        <x:v>Innovation and Digital IT</x:v>
      </x:c>
      <x:c r="AC46" s="15" t="str">
        <x:v>Storage of all our patent and license information next to all contractual obligations on IP</x:v>
      </x:c>
      <x:c r="AD46" s="15" t="str">
        <x:v>The Vault is the system where all our IP, patents and brand license information is stored</x:v>
      </x:c>
      <x:c r="AE46" s="15" t="str">
        <x:v>Small must do changes for compliance</x:v>
      </x:c>
      <x:c r="AF46" s="15" t="str">
        <x:v>Storage of all our patent and license information next to all contractual obligations on IP | The Vault is the system where all our IP, patents and brand license information is stored | Small must do changes for compliance</x:v>
      </x:c>
      <x:c r="AG46" s="15" t="str">
        <x:v>Must Do</x:v>
      </x:c>
      <x:c r="AH46" s="15" t="n">
        <x:v>178</x:v>
      </x:c>
    </x:row>
    <x:row r="47">
      <x:c r="A47" s="15" t="str">
        <x:v>EW-10</x:v>
      </x:c>
      <x:c r="B47" s="15" t="str">
        <x:v>CCB - Hyperautomation</x:v>
      </x:c>
      <x:c r="C47" s="15" t="str">
        <x:v>EW Led</x:v>
      </x:c>
      <x:c r="D47" s="15" t="str">
        <x:v>Information Technology</x:v>
      </x:c>
      <x:c r="E47" s="19" t="n">
        <x:v>1.052</x:v>
      </x:c>
      <x:c r="F47" s="19" t="n">
        <x:v>0</x:v>
      </x:c>
      <x:c r="G47" s="22" t="n">
        <x:f>IF(AND(E47&gt;0,ISNUMBER(F47)),F47/E47,"")</x:f>
        <x:v>0</x:v>
      </x:c>
      <x:c r="H47" s="15" t="str">
        <x:v>Sustain Engineering</x:v>
      </x:c>
      <x:c r="I47" s="15" t="n">
        <x:v>6</x:v>
      </x:c>
      <x:c r="J47" s="15" t="n">
        <x:v>10</x:v>
      </x:c>
      <x:c r="K47" s="23" t="n">
        <x:f>IF(G47="",0,IF(G47&lt;1,0,IF(G47&lt;2,20,IF(G47&lt;3,30,IF(G47&lt;5,40,50)))))*'Scenario Controls'!$B$22/50</x:f>
        <x:v>0</x:v>
      </x:c>
      <x:c r="L47" s="23" t="n">
        <x:f>IF(ISNUMBER(SEARCH("Must Do",AG47)),25,IF(ISNUMBER(SEARCH("Must Have",AG47)),18,IF(ISNUMBER(SEARCH("Deprior",AG47)),5,0)))*'Scenario Controls'!$B$23/25</x:f>
        <x:v>25</x:v>
      </x:c>
      <x:c r="M47" s="23" t="n">
        <x:f>J47*'Scenario Controls'!$B$24/15</x:f>
        <x:v>10</x:v>
      </x:c>
      <x:c r="N47" s="23" t="n">
        <x:f>IF(ISNUMBER(SEARCH("HEALTHY",X47)),10,IF(ISNUMBER(SEARCH("CONTAIN",X47)),6,0))*'Scenario Controls'!$B$25/10</x:f>
        <x:v>0</x:v>
      </x:c>
      <x:c r="O47" s="23" t="n">
        <x:f>SUM(K47:N47)</x:f>
        <x:v>35</x:v>
      </x:c>
      <x:c r="P47" s="15" t="str">
        <x:f>IF(OR(B47="",E47&lt;=0),"Evidence missing / not eligible",IF(ISNUMBER(SEARCH("priority TBD",Y47)),"Evidence missing / not eligible",IF(AND(H47="Carryover",NOT(ISNUMBER(F47))),"Evidence missing / not eligible",IF(AND(H47="Carryover",G47&lt;'Scenario Controls'!$B$16),"Evidence missing / not eligible",IF(AND(H47="ROI-Based Portfolio",NOT(ISNUMBER(F47))),"Evidence missing / not eligible",IF(AND(H47="ROI-Based Portfolio",O47&lt;'Scenario Controls'!$B$20),"Evidence missing / not eligible","Eligible"))))))</x:f>
        <x:v>Eligible</x:v>
      </x:c>
      <x:c r="Q47" s="19" t="n">
        <x:f>IF(P47&lt;&gt;"Eligible",0,IF(AND(SUMIFS($Q$5:Q46,$H$5:H46,H47)+E47&lt;=(IF(H47="LFR",'Scenario Controls'!$F$10,IF(H47="Sustain Engineering",'Scenario Controls'!$F$11,IF(H47="Hygiene",'Scenario Controls'!$F$12,1E+99))))*(1+'Scenario Controls'!$B$7),SUM($Q$5:Q46)+E47&lt;='Scenario Controls'!$B$6*(1+'Scenario Controls'!$B$7)),E47,0))</x:f>
        <x:v>1.052</x:v>
      </x:c>
      <x:c r="R47" s="24" t="str">
        <x:f>'EW Conference'!G41</x:f>
        <x:v>Automatic</x:v>
      </x:c>
      <x:c r="S47" s="24" t="str">
        <x:f>'EW Conference'!H41</x:f>
      </x:c>
      <x:c r="T47" s="19" t="n">
        <x:f>IF(R47="Exclude",0,IF(R47="Include",E47,Q47))</x:f>
        <x:v>1.052</x:v>
      </x:c>
      <x:c r="U47" s="15" t="str">
        <x:f>IF(T47&gt;0,"Funded",IF(P47="Eligible","Unfunded",P47))</x:f>
        <x:v>Funded</x:v>
      </x:c>
      <x:c r="V47" s="15" t="str">
        <x:f>IF(R47="Include","Conference inclusion: "&amp;S47,IF(R47="Exclude","Conference exclusion: "&amp;S47,IF(Q47&gt;0,H47&amp;" priority rank "&amp;I47&amp;"; whole initiative selected",P47)))</x:f>
        <x:v>Sustain Engineering priority rank 6; whole initiative selected</x:v>
      </x:c>
      <x:c r="W47" s="15" t="str">
        <x:v>EW!13</x:v>
      </x:c>
      <x:c r="X47" s="15" t="str"/>
      <x:c r="Y47" s="15" t="str"/>
      <x:c r="Z47" s="15" t="str">
        <x:v>AI Enablement</x:v>
      </x:c>
      <x:c r="AA47" s="15" t="str">
        <x:v>Change &amp; Sustain</x:v>
      </x:c>
      <x:c r="AB47" s="15" t="str">
        <x:v>Group Functions &amp; Hyperautomation IT</x:v>
      </x:c>
      <x:c r="AC47" s="15" t="str">
        <x:v>Operational &amp; security risk if regular enhancements and continuous improvements are not prioritized</x:v>
      </x:c>
      <x:c r="AD47" s="15" t="str">
        <x:v>LFRs and change requests</x:v>
      </x:c>
      <x:c r="AE47" s="15" t="str">
        <x:v>Deliver changes to existimg Production solutions to address LFRs and changes</x:v>
      </x:c>
      <x:c r="AF47" s="15" t="str">
        <x:v>Operational &amp; security risk if regular enhancements and continuous improvements are not prioritized | LFRs and change requests | Deliver changes to existimg Production solutions to address LFRs and changes</x:v>
      </x:c>
      <x:c r="AG47" s="15" t="str">
        <x:v>Must Do</x:v>
      </x:c>
      <x:c r="AH47" s="15" t="n">
        <x:v>15</x:v>
      </x:c>
    </x:row>
    <x:row r="48">
      <x:c r="A48" s="15" t="str">
        <x:v>EW-161</x:v>
      </x:c>
      <x:c r="B48" s="15" t="str">
        <x:v>Regina AI - GCR NMPA Submission Assistant for Regulatory Affair</x:v>
      </x:c>
      <x:c r="C48" s="15" t="str">
        <x:v>EW Led</x:v>
      </x:c>
      <x:c r="D48" s="15" t="str">
        <x:v>Greater China</x:v>
      </x:c>
      <x:c r="E48" s="19" t="n">
        <x:v>0.15</x:v>
      </x:c>
      <x:c r="F48" s="19" t="n">
        <x:v>0</x:v>
      </x:c>
      <x:c r="G48" s="22" t="n">
        <x:f>IF(AND(E48&gt;0,ISNUMBER(F48)),F48/E48,"")</x:f>
        <x:v>0</x:v>
      </x:c>
      <x:c r="H48" s="15" t="str">
        <x:v>Sustain Engineering</x:v>
      </x:c>
      <x:c r="I48" s="15" t="n">
        <x:v>7</x:v>
      </x:c>
      <x:c r="J48" s="15" t="n">
        <x:v>15</x:v>
      </x:c>
      <x:c r="K48" s="23" t="n">
        <x:f>IF(G48="",0,IF(G48&lt;1,0,IF(G48&lt;2,20,IF(G48&lt;3,30,IF(G48&lt;5,40,50)))))*'Scenario Controls'!$B$22/50</x:f>
        <x:v>0</x:v>
      </x:c>
      <x:c r="L48" s="23" t="n">
        <x:f>IF(ISNUMBER(SEARCH("Must Do",AG48)),25,IF(ISNUMBER(SEARCH("Must Have",AG48)),18,IF(ISNUMBER(SEARCH("Deprior",AG48)),5,0)))*'Scenario Controls'!$B$23/25</x:f>
        <x:v>18</x:v>
      </x:c>
      <x:c r="M48" s="23" t="n">
        <x:f>J48*'Scenario Controls'!$B$24/15</x:f>
        <x:v>15</x:v>
      </x:c>
      <x:c r="N48" s="23" t="n">
        <x:f>IF(ISNUMBER(SEARCH("HEALTHY",X48)),10,IF(ISNUMBER(SEARCH("CONTAIN",X48)),6,0))*'Scenario Controls'!$B$25/10</x:f>
        <x:v>0</x:v>
      </x:c>
      <x:c r="O48" s="23" t="n">
        <x:f>SUM(K48:N48)</x:f>
        <x:v>33</x:v>
      </x:c>
      <x:c r="P48" s="15" t="str">
        <x:f>IF(OR(B48="",E48&lt;=0),"Evidence missing / not eligible",IF(ISNUMBER(SEARCH("priority TBD",Y48)),"Evidence missing / not eligible",IF(AND(H48="Carryover",NOT(ISNUMBER(F48))),"Evidence missing / not eligible",IF(AND(H48="Carryover",G48&lt;'Scenario Controls'!$B$16),"Evidence missing / not eligible",IF(AND(H48="ROI-Based Portfolio",NOT(ISNUMBER(F48))),"Evidence missing / not eligible",IF(AND(H48="ROI-Based Portfolio",O48&lt;'Scenario Controls'!$B$20),"Evidence missing / not eligible","Eligible"))))))</x:f>
        <x:v>Eligible</x:v>
      </x:c>
      <x:c r="Q48" s="19" t="n">
        <x:f>IF(P48&lt;&gt;"Eligible",0,IF(AND(SUMIFS($Q$5:Q47,$H$5:H47,H48)+E48&lt;=(IF(H48="LFR",'Scenario Controls'!$F$10,IF(H48="Sustain Engineering",'Scenario Controls'!$F$11,IF(H48="Hygiene",'Scenario Controls'!$F$12,1E+99))))*(1+'Scenario Controls'!$B$7),SUM($Q$5:Q47)+E48&lt;='Scenario Controls'!$B$6*(1+'Scenario Controls'!$B$7)),E48,0))</x:f>
        <x:v>0.15</x:v>
      </x:c>
      <x:c r="R48" s="24" t="str">
        <x:f>'EW Conference'!G42</x:f>
        <x:v>Automatic</x:v>
      </x:c>
      <x:c r="S48" s="24" t="str">
        <x:f>'EW Conference'!H42</x:f>
      </x:c>
      <x:c r="T48" s="19" t="n">
        <x:f>IF(R48="Exclude",0,IF(R48="Include",E48,Q48))</x:f>
        <x:v>0.15</x:v>
      </x:c>
      <x:c r="U48" s="15" t="str">
        <x:f>IF(T48&gt;0,"Funded",IF(P48="Eligible","Unfunded",P48))</x:f>
        <x:v>Funded</x:v>
      </x:c>
      <x:c r="V48" s="15" t="str">
        <x:f>IF(R48="Include","Conference inclusion: "&amp;S48,IF(R48="Exclude","Conference exclusion: "&amp;S48,IF(Q48&gt;0,H48&amp;" priority rank "&amp;I48&amp;"; whole initiative selected",P48)))</x:f>
        <x:v>Sustain Engineering priority rank 7; whole initiative selected</x:v>
      </x:c>
      <x:c r="W48" s="15" t="str">
        <x:v>EW!157</x:v>
      </x:c>
      <x:c r="X48" s="15" t="str"/>
      <x:c r="Y48" s="15" t="str"/>
      <x:c r="Z48" s="15" t="str">
        <x:v>Continuous Improvement</x:v>
      </x:c>
      <x:c r="AA48" s="15" t="str">
        <x:v>Change &amp; Sustain</x:v>
      </x:c>
      <x:c r="AB48" s="15" t="str">
        <x:v>Greater China IT</x:v>
      </x:c>
      <x:c r="AC48" s="15" t="str">
        <x:v>Delayed product registration for China FDA</x:v>
      </x:c>
      <x:c r="AD48" s="15" t="str">
        <x:v>Already developed 2 modules that already significantly improved the speed for regulatory submission. Need to embed E2E into workflow to make it useful and scalable</x:v>
      </x:c>
      <x:c r="AE48" s="15" t="str">
        <x: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x:v>
      </x:c>
      <x:c r="AF48" s="15" t="str">
        <x:v>Delayed product registration for China FDA | Already developed 2 modules that already significantly improved the speed for regulatory submission. Need to embed E2E into workflow to make it useful and scalable |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x:v>
      </x:c>
      <x:c r="AG48" s="15" t="str">
        <x:v>Must Have</x:v>
      </x:c>
      <x:c r="AH48" s="15" t="n">
        <x:v>159</x:v>
      </x:c>
    </x:row>
    <x:row r="49">
      <x:c r="A49" s="15" t="str">
        <x:v>EW-07</x:v>
      </x:c>
      <x:c r="B49" s="15" t="str">
        <x:v>CCB Commercial IT</x:v>
      </x:c>
      <x:c r="C49" s="15" t="str">
        <x:v>EW Led</x:v>
      </x:c>
      <x:c r="D49" s="15" t="str">
        <x:v>Information Technology</x:v>
      </x:c>
      <x:c r="E49" s="19" t="n">
        <x:v>4.985</x:v>
      </x:c>
      <x:c r="F49" s="19" t="n">
        <x:v>0</x:v>
      </x:c>
      <x:c r="G49" s="22" t="n">
        <x:f>IF(AND(E49&gt;0,ISNUMBER(F49)),F49/E49,"")</x:f>
        <x:v>0</x:v>
      </x:c>
      <x:c r="H49" s="15" t="str">
        <x:v>Sustain Engineering</x:v>
      </x:c>
      <x:c r="I49" s="15" t="n">
        <x:v>8</x:v>
      </x:c>
      <x:c r="J49" s="15" t="n">
        <x:v>5</x:v>
      </x:c>
      <x:c r="K49" s="23" t="n">
        <x:f>IF(G49="",0,IF(G49&lt;1,0,IF(G49&lt;2,20,IF(G49&lt;3,30,IF(G49&lt;5,40,50)))))*'Scenario Controls'!$B$22/50</x:f>
        <x:v>0</x:v>
      </x:c>
      <x:c r="L49" s="23" t="n">
        <x:f>IF(ISNUMBER(SEARCH("Must Do",AG49)),25,IF(ISNUMBER(SEARCH("Must Have",AG49)),18,IF(ISNUMBER(SEARCH("Deprior",AG49)),5,0)))*'Scenario Controls'!$B$23/25</x:f>
        <x:v>25</x:v>
      </x:c>
      <x:c r="M49" s="23" t="n">
        <x:f>J49*'Scenario Controls'!$B$24/15</x:f>
        <x:v>5</x:v>
      </x:c>
      <x:c r="N49" s="23" t="n">
        <x:f>IF(ISNUMBER(SEARCH("HEALTHY",X49)),10,IF(ISNUMBER(SEARCH("CONTAIN",X49)),6,0))*'Scenario Controls'!$B$25/10</x:f>
        <x:v>0</x:v>
      </x:c>
      <x:c r="O49" s="23" t="n">
        <x:f>SUM(K49:N49)</x:f>
        <x:v>30</x:v>
      </x:c>
      <x:c r="P49" s="15" t="str">
        <x:f>IF(OR(B49="",E49&lt;=0),"Evidence missing / not eligible",IF(ISNUMBER(SEARCH("priority TBD",Y49)),"Evidence missing / not eligible",IF(AND(H49="Carryover",NOT(ISNUMBER(F49))),"Evidence missing / not eligible",IF(AND(H49="Carryover",G49&lt;'Scenario Controls'!$B$16),"Evidence missing / not eligible",IF(AND(H49="ROI-Based Portfolio",NOT(ISNUMBER(F49))),"Evidence missing / not eligible",IF(AND(H49="ROI-Based Portfolio",O49&lt;'Scenario Controls'!$B$20),"Evidence missing / not eligible","Eligible"))))))</x:f>
        <x:v>Eligible</x:v>
      </x:c>
      <x:c r="Q49" s="19" t="n">
        <x:f>IF(P49&lt;&gt;"Eligible",0,IF(AND(SUMIFS($Q$5:Q48,$H$5:H48,H49)+E49&lt;=(IF(H49="LFR",'Scenario Controls'!$F$10,IF(H49="Sustain Engineering",'Scenario Controls'!$F$11,IF(H49="Hygiene",'Scenario Controls'!$F$12,1E+99))))*(1+'Scenario Controls'!$B$7),SUM($Q$5:Q48)+E49&lt;='Scenario Controls'!$B$6*(1+'Scenario Controls'!$B$7)),E49,0))</x:f>
        <x:v>4.985</x:v>
      </x:c>
      <x:c r="R49" s="24" t="str">
        <x:f>'EW Conference'!G43</x:f>
        <x:v>Automatic</x:v>
      </x:c>
      <x:c r="S49" s="24" t="str">
        <x:f>'EW Conference'!H43</x:f>
      </x:c>
      <x:c r="T49" s="19" t="n">
        <x:f>IF(R49="Exclude",0,IF(R49="Include",E49,Q49))</x:f>
        <x:v>4.985</x:v>
      </x:c>
      <x:c r="U49" s="15" t="str">
        <x:f>IF(T49&gt;0,"Funded",IF(P49="Eligible","Unfunded",P49))</x:f>
        <x:v>Funded</x:v>
      </x:c>
      <x:c r="V49" s="15" t="str">
        <x:f>IF(R49="Include","Conference inclusion: "&amp;S49,IF(R49="Exclude","Conference exclusion: "&amp;S49,IF(Q49&gt;0,H49&amp;" priority rank "&amp;I49&amp;"; whole initiative selected",P49)))</x:f>
        <x:v>Sustain Engineering priority rank 8; whole initiative selected</x:v>
      </x:c>
      <x:c r="W49" s="15" t="str">
        <x:v>EW!10</x:v>
      </x:c>
      <x:c r="X49" s="15" t="str"/>
      <x:c r="Y49" s="15" t="str"/>
      <x:c r="Z49" s="15" t="str">
        <x:v>Continuous Improvement</x:v>
      </x:c>
      <x:c r="AA49" s="15" t="str">
        <x:v>Change &amp; Sustain</x:v>
      </x:c>
      <x:c r="AB49" s="15" t="str">
        <x:v>Commercial IT</x:v>
      </x:c>
      <x:c r="AC49" s="15" t="str">
        <x:v>Operational risk if regular enhancements and continuous improvements are not prioritized</x:v>
      </x:c>
      <x:c r="AD49" s="15" t="str"/>
      <x:c r="AE49" s="15" t="str"/>
      <x:c r="AF49" s="15" t="str">
        <x:v>Operational risk if regular enhancements and continuous improvements are not prioritized</x:v>
      </x:c>
      <x:c r="AG49" s="15" t="str">
        <x:v>Must Do</x:v>
      </x:c>
      <x:c r="AH49" s="15" t="n">
        <x:v>12</x:v>
      </x:c>
    </x:row>
    <x:row r="50">
      <x:c r="A50" s="15" t="str">
        <x:v>EW-179</x:v>
      </x:c>
      <x:c r="B50" s="15" t="str">
        <x:v>Upgrade Windchill 2027 to meet support compliance requirements</x:v>
      </x:c>
      <x:c r="C50" s="15" t="str">
        <x:v>EW Led</x:v>
      </x:c>
      <x:c r="D50" s="15" t="str">
        <x:v>Information Technology</x:v>
      </x:c>
      <x:c r="E50" s="19" t="n">
        <x:v>1</x:v>
      </x:c>
      <x:c r="F50" s="19" t="n">
        <x:v>0</x:v>
      </x:c>
      <x:c r="G50" s="22" t="n">
        <x:f>IF(AND(E50&gt;0,ISNUMBER(F50)),F50/E50,"")</x:f>
        <x:v>0</x:v>
      </x:c>
      <x:c r="H50" s="15" t="str">
        <x:v>Sustain Engineering</x:v>
      </x:c>
      <x:c r="I50" s="15" t="n">
        <x:v>9</x:v>
      </x:c>
      <x:c r="J50" s="15" t="n">
        <x:v>5</x:v>
      </x:c>
      <x:c r="K50" s="23" t="n">
        <x:f>IF(G50="",0,IF(G50&lt;1,0,IF(G50&lt;2,20,IF(G50&lt;3,30,IF(G50&lt;5,40,50)))))*'Scenario Controls'!$B$22/50</x:f>
        <x:v>0</x:v>
      </x:c>
      <x:c r="L50" s="23" t="n">
        <x:f>IF(ISNUMBER(SEARCH("Must Do",AG50)),25,IF(ISNUMBER(SEARCH("Must Have",AG50)),18,IF(ISNUMBER(SEARCH("Deprior",AG50)),5,0)))*'Scenario Controls'!$B$23/25</x:f>
        <x:v>25</x:v>
      </x:c>
      <x:c r="M50" s="23" t="n">
        <x:f>J50*'Scenario Controls'!$B$24/15</x:f>
        <x:v>5</x:v>
      </x:c>
      <x:c r="N50" s="23" t="n">
        <x:f>IF(ISNUMBER(SEARCH("HEALTHY",X50)),10,IF(ISNUMBER(SEARCH("CONTAIN",X50)),6,0))*'Scenario Controls'!$B$25/10</x:f>
        <x:v>0</x:v>
      </x:c>
      <x:c r="O50" s="23" t="n">
        <x:f>SUM(K50:N50)</x:f>
        <x:v>30</x:v>
      </x:c>
      <x:c r="P50" s="15" t="str">
        <x:f>IF(OR(B50="",E50&lt;=0),"Evidence missing / not eligible",IF(ISNUMBER(SEARCH("priority TBD",Y50)),"Evidence missing / not eligible",IF(AND(H50="Carryover",NOT(ISNUMBER(F50))),"Evidence missing / not eligible",IF(AND(H50="Carryover",G50&lt;'Scenario Controls'!$B$16),"Evidence missing / not eligible",IF(AND(H50="ROI-Based Portfolio",NOT(ISNUMBER(F50))),"Evidence missing / not eligible",IF(AND(H50="ROI-Based Portfolio",O50&lt;'Scenario Controls'!$B$20),"Evidence missing / not eligible","Eligible"))))))</x:f>
        <x:v>Eligible</x:v>
      </x:c>
      <x:c r="Q50" s="19" t="n">
        <x:f>IF(P50&lt;&gt;"Eligible",0,IF(AND(SUMIFS($Q$5:Q49,$H$5:H49,H50)+E50&lt;=(IF(H50="LFR",'Scenario Controls'!$F$10,IF(H50="Sustain Engineering",'Scenario Controls'!$F$11,IF(H50="Hygiene",'Scenario Controls'!$F$12,1E+99))))*(1+'Scenario Controls'!$B$7),SUM($Q$5:Q49)+E50&lt;='Scenario Controls'!$B$6*(1+'Scenario Controls'!$B$7)),E50,0))</x:f>
        <x:v>1</x:v>
      </x:c>
      <x:c r="R50" s="24" t="str">
        <x:f>'EW Conference'!G44</x:f>
        <x:v>Automatic</x:v>
      </x:c>
      <x:c r="S50" s="24" t="str">
        <x:f>'EW Conference'!H44</x:f>
      </x:c>
      <x:c r="T50" s="19" t="n">
        <x:f>IF(R50="Exclude",0,IF(R50="Include",E50,Q50))</x:f>
        <x:v>1</x:v>
      </x:c>
      <x:c r="U50" s="15" t="str">
        <x:f>IF(T50&gt;0,"Funded",IF(P50="Eligible","Unfunded",P50))</x:f>
        <x:v>Funded</x:v>
      </x:c>
      <x:c r="V50" s="15" t="str">
        <x:f>IF(R50="Include","Conference inclusion: "&amp;S50,IF(R50="Exclude","Conference exclusion: "&amp;S50,IF(Q50&gt;0,H50&amp;" priority rank "&amp;I50&amp;"; whole initiative selected",P50)))</x:f>
        <x:v>Sustain Engineering priority rank 9; whole initiative selected</x:v>
      </x:c>
      <x:c r="W50" s="15" t="str">
        <x:v>EW!175</x:v>
      </x:c>
      <x:c r="X50" s="15" t="str"/>
      <x:c r="Y50" s="15" t="str"/>
      <x:c r="Z50" s="15" t="str">
        <x:v>Continuous Improvement</x:v>
      </x:c>
      <x:c r="AA50" s="15" t="str">
        <x:v>Change &amp; Sustain</x:v>
      </x:c>
      <x:c r="AB50" s="15" t="str">
        <x:v>Innovation and Digital IT</x:v>
      </x:c>
      <x:c r="AC50" s="15" t="str">
        <x:v>Our company wide PLM system will run out of support; non compliance</x:v>
      </x:c>
      <x:c r="AD50" s="15" t="str">
        <x:v>Our company wide PLM system will run out of support; non compliance</x:v>
      </x:c>
      <x:c r="AE50" s="15" t="str"/>
      <x:c r="AF50" s="15" t="str">
        <x:v>Our company wide PLM system will run out of support; non compliance | Our company wide PLM system will run out of support; non compliance</x:v>
      </x:c>
      <x:c r="AG50" s="15" t="str">
        <x:v>Must Do</x:v>
      </x:c>
      <x:c r="AH50" s="15" t="n">
        <x:v>177</x:v>
      </x:c>
    </x:row>
    <x:row r="51">
      <x:c r="A51" s="15" t="str">
        <x:v>Bu-77</x:v>
      </x:c>
      <x:c r="B51" s="15" t="str">
        <x:v>IR27#70 - SC IW&amp;D Excellence</x:v>
      </x:c>
      <x:c r="C51" s="15" t="str">
        <x:v>BU Led</x:v>
      </x:c>
      <x:c r="D51" s="15" t="str">
        <x:v>International Regions (IR)</x:v>
      </x:c>
      <x:c r="E51" s="19" t="n">
        <x:v>0</x:v>
      </x:c>
      <x:c r="F51" s="19" t="n">
        <x:v>0.585</x:v>
      </x:c>
      <x:c r="G51" s="22" t="str">
        <x:f>IF(AND(E51&gt;0,ISNUMBER(F51)),F51/E51,"")</x:f>
      </x:c>
      <x:c r="H51" s="15" t="str">
        <x:v>Sustain Engineering</x:v>
      </x:c>
      <x:c r="I51" s="15" t="n">
        <x:v>10</x:v>
      </x:c>
      <x:c r="J51" s="15" t="n">
        <x:v>10</x:v>
      </x:c>
      <x:c r="K51" s="23" t="n">
        <x:f>IF(G51="",0,IF(G51&lt;1,0,IF(G51&lt;2,20,IF(G51&lt;3,30,IF(G51&lt;5,40,50)))))*'Scenario Controls'!$B$22/50</x:f>
        <x:v>0</x:v>
      </x:c>
      <x:c r="L51" s="23" t="n">
        <x:f>IF(ISNUMBER(SEARCH("Must Do",AG51)),25,IF(ISNUMBER(SEARCH("Must Have",AG51)),18,IF(ISNUMBER(SEARCH("Deprior",AG51)),5,0)))*'Scenario Controls'!$B$23/25</x:f>
        <x:v>5</x:v>
      </x:c>
      <x:c r="M51" s="23" t="n">
        <x:f>J51*'Scenario Controls'!$B$24/15</x:f>
        <x:v>10</x:v>
      </x:c>
      <x:c r="N51" s="23" t="n">
        <x:f>IF(ISNUMBER(SEARCH("HEALTHY",X51)),10,IF(ISNUMBER(SEARCH("CONTAIN",X51)),6,0))*'Scenario Controls'!$B$25/10</x:f>
        <x:v>10</x:v>
      </x:c>
      <x:c r="O51" s="23" t="n">
        <x:f>SUM(K51:N51)</x:f>
        <x:v>25</x:v>
      </x:c>
      <x:c r="P51" s="15" t="str">
        <x:f>IF(OR(B51="",E51&lt;=0),"Evidence missing / not eligible",IF(ISNUMBER(SEARCH("priority TBD",Y51)),"Evidence missing / not eligible",IF(AND(H51="Carryover",NOT(ISNUMBER(F51))),"Evidence missing / not eligible",IF(AND(H51="Carryover",G51&lt;'Scenario Controls'!$B$16),"Evidence missing / not eligible",IF(AND(H51="ROI-Based Portfolio",NOT(ISNUMBER(F51))),"Evidence missing / not eligible",IF(AND(H51="ROI-Based Portfolio",O51&lt;'Scenario Controls'!$B$20),"Evidence missing / not eligible","Eligible"))))))</x:f>
        <x:v>Evidence missing / not eligible</x:v>
      </x:c>
      <x:c r="Q51" s="19" t="n">
        <x:f>IF(P51&lt;&gt;"Eligible",0,IF(AND(SUMIFS($Q$5:Q50,$H$5:H50,H51)+E51&lt;=(IF(H51="LFR",'Scenario Controls'!$F$10,IF(H51="Sustain Engineering",'Scenario Controls'!$F$11,IF(H51="Hygiene",'Scenario Controls'!$F$12,1E+99))))*(1+'Scenario Controls'!$B$7),SUM($Q$5:Q50)+E51&lt;='Scenario Controls'!$B$6*(1+'Scenario Controls'!$B$7)),E51,0))</x:f>
        <x:v>0</x:v>
      </x:c>
      <x:c r="R51" s="24" t="str">
        <x:f>'BU Conference'!G12</x:f>
        <x:v>Automatic</x:v>
      </x:c>
      <x:c r="S51" s="24" t="str">
        <x:f>'BU Conference'!H12</x:f>
      </x:c>
      <x:c r="T51" s="19" t="n">
        <x:f>IF(R51="Exclude",0,IF(R51="Include",E51,Q51))</x:f>
        <x:v>0</x:v>
      </x:c>
      <x:c r="U51" s="15" t="str">
        <x:f>IF(T51&gt;0,"Funded",IF(P51="Eligible","Unfunded",P51))</x:f>
        <x:v>Evidence missing / not eligible</x:v>
      </x:c>
      <x:c r="V51" s="15" t="str">
        <x:f>IF(R51="Include","Conference inclusion: "&amp;S51,IF(R51="Exclude","Conference exclusion: "&amp;S51,IF(Q51&gt;0,H51&amp;" priority rank "&amp;I51&amp;"; whole initiative selected",P51)))</x:f>
        <x:v>Evidence missing / not eligible</x:v>
      </x:c>
      <x:c r="W51" s="15" t="str">
        <x:v>Bu!195</x:v>
      </x:c>
      <x:c r="X51" s="15" t="str">
        <x:v>HEALTHY</x:v>
      </x:c>
      <x:c r="Y51" s="15" t="str">
        <x:v>HEALTHY — Rank in priority matrix</x:v>
      </x:c>
      <x:c r="Z51" s="15" t="str">
        <x:v>Upgrades &amp; Enhancements</x:v>
      </x:c>
      <x:c r="AA51" s="15" t="str">
        <x:v>Change &amp; Sustain</x:v>
      </x:c>
      <x:c r="AB51" s="15" t="str">
        <x:v>Integrated Supply Chain &amp; Finance</x:v>
      </x:c>
      <x:c r="AC51" s="15" t="str">
        <x:v>Current inefficiencies will continue.</x:v>
      </x:c>
      <x:c r="AD51" s="15" t="str">
        <x:v>Warehouse operations and information automation where needed most - too much manual work hinders speed, agility &amp; quality.</x:v>
      </x:c>
      <x:c r="AE51" s="15" t="str">
        <x:v>IR scope, all BUs</x:v>
      </x:c>
      <x:c r="AF51" s="15" t="str">
        <x:v>Current inefficiencies will continue. | Warehouse operations and information automation where needed most - too much manual work hinders speed, agility &amp; quality. | IR scope, all BUs</x:v>
      </x:c>
      <x:c r="AG51" s="15" t="str">
        <x:v>Deprioritised</x:v>
      </x:c>
      <x:c r="AH51" s="15" t="n">
        <x:v>254</x:v>
      </x:c>
    </x:row>
    <x:row r="52">
      <x:c r="A52" s="15" t="str">
        <x:v>Bu-159</x:v>
      </x:c>
      <x:c r="B52" s="15" t="str">
        <x:v>I2M PLM (Windchill) CR's</x:v>
      </x:c>
      <x:c r="C52" s="15" t="str">
        <x:v>BU Led</x:v>
      </x:c>
      <x:c r="D52" s="15" t="str">
        <x:v>Precision Diagnosis - Magnetic Resonance (MR)</x:v>
      </x:c>
      <x:c r="E52" s="19" t="n">
        <x:v>0.3</x:v>
      </x:c>
      <x:c r="F52" s="19" t="n">
        <x:v>0</x:v>
      </x:c>
      <x:c r="G52" s="22" t="n">
        <x:f>IF(AND(E52&gt;0,ISNUMBER(F52)),F52/E52,"")</x:f>
        <x:v>0</x:v>
      </x:c>
      <x:c r="H52" s="15" t="str">
        <x:v>Sustain Engineering</x:v>
      </x:c>
      <x:c r="I52" s="15" t="n">
        <x:v>11</x:v>
      </x:c>
      <x:c r="J52" s="15" t="n">
        <x:v>5</x:v>
      </x:c>
      <x:c r="K52" s="23" t="n">
        <x:f>IF(G52="",0,IF(G52&lt;1,0,IF(G52&lt;2,20,IF(G52&lt;3,30,IF(G52&lt;5,40,50)))))*'Scenario Controls'!$B$22/50</x:f>
        <x:v>0</x:v>
      </x:c>
      <x:c r="L52" s="23" t="n">
        <x:f>IF(ISNUMBER(SEARCH("Must Do",AG52)),25,IF(ISNUMBER(SEARCH("Must Have",AG52)),18,IF(ISNUMBER(SEARCH("Deprior",AG52)),5,0)))*'Scenario Controls'!$B$23/25</x:f>
        <x:v>18</x:v>
      </x:c>
      <x:c r="M52" s="23" t="n">
        <x:f>J52*'Scenario Controls'!$B$24/15</x:f>
        <x:v>5</x:v>
      </x:c>
      <x:c r="N52" s="23" t="n">
        <x:f>IF(ISNUMBER(SEARCH("HEALTHY",X52)),10,IF(ISNUMBER(SEARCH("CONTAIN",X52)),6,0))*'Scenario Controls'!$B$25/10</x:f>
        <x:v>0</x:v>
      </x:c>
      <x:c r="O52" s="23" t="n">
        <x:f>SUM(K52:N52)</x:f>
        <x:v>23</x:v>
      </x:c>
      <x:c r="P52" s="15" t="str">
        <x:f>IF(OR(B52="",E52&lt;=0),"Evidence missing / not eligible",IF(ISNUMBER(SEARCH("priority TBD",Y52)),"Evidence missing / not eligible",IF(AND(H52="Carryover",NOT(ISNUMBER(F52))),"Evidence missing / not eligible",IF(AND(H52="Carryover",G52&lt;'Scenario Controls'!$B$16),"Evidence missing / not eligible",IF(AND(H52="ROI-Based Portfolio",NOT(ISNUMBER(F52))),"Evidence missing / not eligible",IF(AND(H52="ROI-Based Portfolio",O52&lt;'Scenario Controls'!$B$20),"Evidence missing / not eligible","Eligible"))))))</x:f>
        <x:v>Eligible</x:v>
      </x:c>
      <x:c r="Q52" s="19" t="n">
        <x:f>IF(P52&lt;&gt;"Eligible",0,IF(AND(SUMIFS($Q$5:Q51,$H$5:H51,H52)+E52&lt;=(IF(H52="LFR",'Scenario Controls'!$F$10,IF(H52="Sustain Engineering",'Scenario Controls'!$F$11,IF(H52="Hygiene",'Scenario Controls'!$F$12,1E+99))))*(1+'Scenario Controls'!$B$7),SUM($Q$5:Q51)+E52&lt;='Scenario Controls'!$B$6*(1+'Scenario Controls'!$B$7)),E52,0))</x:f>
        <x:v>0.3</x:v>
      </x:c>
      <x:c r="R52" s="24" t="str">
        <x:f>'BU Conference'!G13</x:f>
        <x:v>Automatic</x:v>
      </x:c>
      <x:c r="S52" s="24" t="str">
        <x:f>'BU Conference'!H13</x:f>
      </x:c>
      <x:c r="T52" s="19" t="n">
        <x:f>IF(R52="Exclude",0,IF(R52="Include",E52,Q52))</x:f>
        <x:v>0.3</x:v>
      </x:c>
      <x:c r="U52" s="15" t="str">
        <x:f>IF(T52&gt;0,"Funded",IF(P52="Eligible","Unfunded",P52))</x:f>
        <x:v>Funded</x:v>
      </x:c>
      <x:c r="V52" s="15" t="str">
        <x:f>IF(R52="Include","Conference inclusion: "&amp;S52,IF(R52="Exclude","Conference exclusion: "&amp;S52,IF(Q52&gt;0,H52&amp;" priority rank "&amp;I52&amp;"; whole initiative selected",P52)))</x:f>
        <x:v>Sustain Engineering priority rank 11; whole initiative selected</x:v>
      </x:c>
      <x:c r="W52" s="15" t="str">
        <x:v>Bu!380</x:v>
      </x:c>
      <x:c r="X52" s="15" t="str"/>
      <x:c r="Y52" s="15" t="str"/>
      <x:c r="Z52" s="15" t="str">
        <x:v>Upgrades &amp; Enhancements</x:v>
      </x:c>
      <x:c r="AA52" s="15" t="str">
        <x:v>Change &amp; Sustain</x:v>
      </x:c>
      <x:c r="AB52" s="15" t="str">
        <x:v>Innovation and Digital IT</x:v>
      </x:c>
      <x:c r="AC52" s="15" t="str"/>
      <x:c r="AD52" s="15" t="str"/>
      <x:c r="AE52" s="15" t="str">
        <x:v>Reservation for further enhancements of the MR Imaging app, integration of the MR Imaging App and the MR Learning app and enhancements for the Scan Buddy App- SI 50</x:v>
      </x:c>
      <x:c r="AF52" s="15" t="str">
        <x:v>Reservation for further enhancements of the MR Imaging app, integration of the MR Imaging App and the MR Learning app and enhancements for the Scan Buddy App- SI 50</x:v>
      </x:c>
      <x:c r="AG52" s="15" t="str">
        <x:v>Must Have</x:v>
      </x:c>
      <x:c r="AH52" s="15" t="n">
        <x:v>336</x:v>
      </x:c>
    </x:row>
    <x:row r="53">
      <x:c r="A53" s="15" t="str">
        <x:v>Bu-323</x:v>
      </x:c>
      <x:c r="B53" s="15" t="str">
        <x:v>Windchill customization/integration to support automation</x:v>
      </x:c>
      <x:c r="C53" s="15" t="str">
        <x:v>BU Led</x:v>
      </x:c>
      <x:c r="D53" s="15" t="str">
        <x:v>Ambulatory Monitoring and Diagnostics (AM&amp;D)</x:v>
      </x:c>
      <x:c r="E53" s="19" t="n">
        <x:v>0.025</x:v>
      </x:c>
      <x:c r="F53" s="19" t="n">
        <x:v>0</x:v>
      </x:c>
      <x:c r="G53" s="22" t="n">
        <x:f>IF(AND(E53&gt;0,ISNUMBER(F53)),F53/E53,"")</x:f>
        <x:v>0</x:v>
      </x:c>
      <x:c r="H53" s="15" t="str">
        <x:v>Sustain Engineering</x:v>
      </x:c>
      <x:c r="I53" s="15" t="n">
        <x:v>12</x:v>
      </x:c>
      <x:c r="J53" s="15" t="n">
        <x:v>5</x:v>
      </x:c>
      <x:c r="K53" s="23" t="n">
        <x:f>IF(G53="",0,IF(G53&lt;1,0,IF(G53&lt;2,20,IF(G53&lt;3,30,IF(G53&lt;5,40,50)))))*'Scenario Controls'!$B$22/50</x:f>
        <x:v>0</x:v>
      </x:c>
      <x:c r="L53" s="23" t="n">
        <x:f>IF(ISNUMBER(SEARCH("Must Do",AG53)),25,IF(ISNUMBER(SEARCH("Must Have",AG53)),18,IF(ISNUMBER(SEARCH("Deprior",AG53)),5,0)))*'Scenario Controls'!$B$23/25</x:f>
        <x:v>18</x:v>
      </x:c>
      <x:c r="M53" s="23" t="n">
        <x:f>J53*'Scenario Controls'!$B$24/15</x:f>
        <x:v>5</x:v>
      </x:c>
      <x:c r="N53" s="23" t="n">
        <x:f>IF(ISNUMBER(SEARCH("HEALTHY",X53)),10,IF(ISNUMBER(SEARCH("CONTAIN",X53)),6,0))*'Scenario Controls'!$B$25/10</x:f>
        <x:v>0</x:v>
      </x:c>
      <x:c r="O53" s="23" t="n">
        <x:f>SUM(K53:N53)</x:f>
        <x:v>23</x:v>
      </x:c>
      <x:c r="P53" s="15" t="str">
        <x:f>IF(OR(B53="",E53&lt;=0),"Evidence missing / not eligible",IF(ISNUMBER(SEARCH("priority TBD",Y53)),"Evidence missing / not eligible",IF(AND(H53="Carryover",NOT(ISNUMBER(F53))),"Evidence missing / not eligible",IF(AND(H53="Carryover",G53&lt;'Scenario Controls'!$B$16),"Evidence missing / not eligible",IF(AND(H53="ROI-Based Portfolio",NOT(ISNUMBER(F53))),"Evidence missing / not eligible",IF(AND(H53="ROI-Based Portfolio",O53&lt;'Scenario Controls'!$B$20),"Evidence missing / not eligible","Eligible"))))))</x:f>
        <x:v>Eligible</x:v>
      </x:c>
      <x:c r="Q53" s="19" t="n">
        <x:f>IF(P53&lt;&gt;"Eligible",0,IF(AND(SUMIFS($Q$5:Q52,$H$5:H52,H53)+E53&lt;=(IF(H53="LFR",'Scenario Controls'!$F$10,IF(H53="Sustain Engineering",'Scenario Controls'!$F$11,IF(H53="Hygiene",'Scenario Controls'!$F$12,1E+99))))*(1+'Scenario Controls'!$B$7),SUM($Q$5:Q52)+E53&lt;='Scenario Controls'!$B$6*(1+'Scenario Controls'!$B$7)),E53,0))</x:f>
        <x:v>0.025</x:v>
      </x:c>
      <x:c r="R53" s="24" t="str">
        <x:f>'BU Conference'!G14</x:f>
        <x:v>Automatic</x:v>
      </x:c>
      <x:c r="S53" s="24" t="str">
        <x:f>'BU Conference'!H14</x:f>
      </x:c>
      <x:c r="T53" s="19" t="n">
        <x:f>IF(R53="Exclude",0,IF(R53="Include",E53,Q53))</x:f>
        <x:v>0.025</x:v>
      </x:c>
      <x:c r="U53" s="15" t="str">
        <x:f>IF(T53&gt;0,"Funded",IF(P53="Eligible","Unfunded",P53))</x:f>
        <x:v>Funded</x:v>
      </x:c>
      <x:c r="V53" s="15" t="str">
        <x:f>IF(R53="Include","Conference inclusion: "&amp;S53,IF(R53="Exclude","Conference exclusion: "&amp;S53,IF(Q53&gt;0,H53&amp;" priority rank "&amp;I53&amp;"; whole initiative selected",P53)))</x:f>
        <x:v>Sustain Engineering priority rank 12; whole initiative selected</x:v>
      </x:c>
      <x:c r="W53" s="15" t="str">
        <x:v>Bu!660</x:v>
      </x:c>
      <x:c r="X53" s="15" t="str"/>
      <x:c r="Y53" s="15" t="str"/>
      <x:c r="Z53" s="15" t="str">
        <x:v>Upgrades &amp; Enhancements</x:v>
      </x:c>
      <x:c r="AA53" s="15" t="str">
        <x:v>Change &amp; Sustain</x:v>
      </x:c>
      <x:c r="AB53" s="15" t="str">
        <x:v>Innovation and Digital IT</x:v>
      </x:c>
      <x:c r="AC53" s="15" t="str">
        <x:v>Manual effort to update release documentation</x:v>
      </x:c>
      <x:c r="AD53" s="15" t="str"/>
      <x:c r="AE53" s="15" t="str">
        <x:v>Reservation for enhancing automation from our CI/CD to Windchill</x:v>
      </x:c>
      <x:c r="AF53" s="15" t="str">
        <x:v>Manual effort to update release documentation | Reservation for enhancing automation from our CI/CD to Windchill</x:v>
      </x:c>
      <x:c r="AG53" s="15" t="str">
        <x:v>Must Have</x:v>
      </x:c>
      <x:c r="AH53" s="15" t="n">
        <x:v>500</x:v>
      </x:c>
    </x:row>
    <x:row r="54">
      <x:c r="A54" s="15" t="str">
        <x:v>Bu-324</x:v>
      </x:c>
      <x:c r="B54" s="15" t="str">
        <x:v>Advanced resource and capacity management (PARP) Onboarding / Adoption</x:v>
      </x:c>
      <x:c r="C54" s="15" t="str">
        <x:v>BU Led</x:v>
      </x:c>
      <x:c r="D54" s="15" t="str">
        <x:v>Ambulatory Monitoring and Diagnostics (AM&amp;D)</x:v>
      </x:c>
      <x:c r="E54" s="19" t="n">
        <x:v>0.03</x:v>
      </x:c>
      <x:c r="F54" s="19" t="n">
        <x:v>0</x:v>
      </x:c>
      <x:c r="G54" s="22" t="n">
        <x:f>IF(AND(E54&gt;0,ISNUMBER(F54)),F54/E54,"")</x:f>
        <x:v>0</x:v>
      </x:c>
      <x:c r="H54" s="15" t="str">
        <x:v>Sustain Engineering</x:v>
      </x:c>
      <x:c r="I54" s="15" t="n">
        <x:v>13</x:v>
      </x:c>
      <x:c r="J54" s="15" t="n">
        <x:v>5</x:v>
      </x:c>
      <x:c r="K54" s="23" t="n">
        <x:f>IF(G54="",0,IF(G54&lt;1,0,IF(G54&lt;2,20,IF(G54&lt;3,30,IF(G54&lt;5,40,50)))))*'Scenario Controls'!$B$22/50</x:f>
        <x:v>0</x:v>
      </x:c>
      <x:c r="L54" s="23" t="n">
        <x:f>IF(ISNUMBER(SEARCH("Must Do",AG54)),25,IF(ISNUMBER(SEARCH("Must Have",AG54)),18,IF(ISNUMBER(SEARCH("Deprior",AG54)),5,0)))*'Scenario Controls'!$B$23/25</x:f>
        <x:v>18</x:v>
      </x:c>
      <x:c r="M54" s="23" t="n">
        <x:f>J54*'Scenario Controls'!$B$24/15</x:f>
        <x:v>5</x:v>
      </x:c>
      <x:c r="N54" s="23" t="n">
        <x:f>IF(ISNUMBER(SEARCH("HEALTHY",X54)),10,IF(ISNUMBER(SEARCH("CONTAIN",X54)),6,0))*'Scenario Controls'!$B$25/10</x:f>
        <x:v>0</x:v>
      </x:c>
      <x:c r="O54" s="23" t="n">
        <x:f>SUM(K54:N54)</x:f>
        <x:v>23</x:v>
      </x:c>
      <x:c r="P54" s="15" t="str">
        <x:f>IF(OR(B54="",E54&lt;=0),"Evidence missing / not eligible",IF(ISNUMBER(SEARCH("priority TBD",Y54)),"Evidence missing / not eligible",IF(AND(H54="Carryover",NOT(ISNUMBER(F54))),"Evidence missing / not eligible",IF(AND(H54="Carryover",G54&lt;'Scenario Controls'!$B$16),"Evidence missing / not eligible",IF(AND(H54="ROI-Based Portfolio",NOT(ISNUMBER(F54))),"Evidence missing / not eligible",IF(AND(H54="ROI-Based Portfolio",O54&lt;'Scenario Controls'!$B$20),"Evidence missing / not eligible","Eligible"))))))</x:f>
        <x:v>Eligible</x:v>
      </x:c>
      <x:c r="Q54" s="19" t="n">
        <x:f>IF(P54&lt;&gt;"Eligible",0,IF(AND(SUMIFS($Q$5:Q53,$H$5:H53,H54)+E54&lt;=(IF(H54="LFR",'Scenario Controls'!$F$10,IF(H54="Sustain Engineering",'Scenario Controls'!$F$11,IF(H54="Hygiene",'Scenario Controls'!$F$12,1E+99))))*(1+'Scenario Controls'!$B$7),SUM($Q$5:Q53)+E54&lt;='Scenario Controls'!$B$6*(1+'Scenario Controls'!$B$7)),E54,0))</x:f>
        <x:v>0.03</x:v>
      </x:c>
      <x:c r="R54" s="24" t="str">
        <x:f>'BU Conference'!G15</x:f>
        <x:v>Automatic</x:v>
      </x:c>
      <x:c r="S54" s="24" t="str">
        <x:f>'BU Conference'!H15</x:f>
      </x:c>
      <x:c r="T54" s="19" t="n">
        <x:f>IF(R54="Exclude",0,IF(R54="Include",E54,Q54))</x:f>
        <x:v>0.03</x:v>
      </x:c>
      <x:c r="U54" s="15" t="str">
        <x:f>IF(T54&gt;0,"Funded",IF(P54="Eligible","Unfunded",P54))</x:f>
        <x:v>Funded</x:v>
      </x:c>
      <x:c r="V54" s="15" t="str">
        <x:f>IF(R54="Include","Conference inclusion: "&amp;S54,IF(R54="Exclude","Conference exclusion: "&amp;S54,IF(Q54&gt;0,H54&amp;" priority rank "&amp;I54&amp;"; whole initiative selected",P54)))</x:f>
        <x:v>Sustain Engineering priority rank 13; whole initiative selected</x:v>
      </x:c>
      <x:c r="W54" s="15" t="str">
        <x:v>Bu!661</x:v>
      </x:c>
      <x:c r="X54" s="15" t="str"/>
      <x:c r="Y54" s="15" t="str"/>
      <x:c r="Z54" s="15" t="str">
        <x:v>Continous Improvement</x:v>
      </x:c>
      <x:c r="AA54" s="15" t="str">
        <x:v>Change &amp; Sustain</x:v>
      </x:c>
      <x:c r="AB54" s="15" t="str">
        <x:v>Innovation and Digital IT</x:v>
      </x:c>
      <x:c r="AC54" s="15" t="str"/>
      <x:c r="AD54" s="15" t="str"/>
      <x:c r="AE54" s="15" t="str">
        <x:v>Reservation for PARP adoption</x:v>
      </x:c>
      <x:c r="AF54" s="15" t="str">
        <x:v>Reservation for PARP adoption</x:v>
      </x:c>
      <x:c r="AG54" s="15" t="str">
        <x:v>Must Have</x:v>
      </x:c>
      <x:c r="AH54" s="15" t="n">
        <x:v>501</x:v>
      </x:c>
    </x:row>
    <x:row r="55">
      <x:c r="A55" s="15" t="str">
        <x:v>EW-42</x:v>
      </x:c>
      <x:c r="B55" s="15" t="str">
        <x:v>CCB - I&amp;D - Innovation &amp; Digital</x:v>
      </x:c>
      <x:c r="C55" s="15" t="str">
        <x:v>EW Led</x:v>
      </x:c>
      <x:c r="D55" s="15" t="str">
        <x:v>Information Technology</x:v>
      </x:c>
      <x:c r="E55" s="19" t="n">
        <x:v>2</x:v>
      </x:c>
      <x:c r="F55" s="19" t="n">
        <x:v>0</x:v>
      </x:c>
      <x:c r="G55" s="22" t="n">
        <x:f>IF(AND(E55&gt;0,ISNUMBER(F55)),F55/E55,"")</x:f>
        <x:v>0</x:v>
      </x:c>
      <x:c r="H55" s="15" t="str">
        <x:v>Sustain Engineering</x:v>
      </x:c>
      <x:c r="I55" s="15" t="n">
        <x:v>14</x:v>
      </x:c>
      <x:c r="J55" s="15" t="n">
        <x:v>5</x:v>
      </x:c>
      <x:c r="K55" s="23" t="n">
        <x:f>IF(G55="",0,IF(G55&lt;1,0,IF(G55&lt;2,20,IF(G55&lt;3,30,IF(G55&lt;5,40,50)))))*'Scenario Controls'!$B$22/50</x:f>
        <x:v>0</x:v>
      </x:c>
      <x:c r="L55" s="23" t="n">
        <x:f>IF(ISNUMBER(SEARCH("Must Do",AG55)),25,IF(ISNUMBER(SEARCH("Must Have",AG55)),18,IF(ISNUMBER(SEARCH("Deprior",AG55)),5,0)))*'Scenario Controls'!$B$23/25</x:f>
        <x:v>18</x:v>
      </x:c>
      <x:c r="M55" s="23" t="n">
        <x:f>J55*'Scenario Controls'!$B$24/15</x:f>
        <x:v>5</x:v>
      </x:c>
      <x:c r="N55" s="23" t="n">
        <x:f>IF(ISNUMBER(SEARCH("HEALTHY",X55)),10,IF(ISNUMBER(SEARCH("CONTAIN",X55)),6,0))*'Scenario Controls'!$B$25/10</x:f>
        <x:v>0</x:v>
      </x:c>
      <x:c r="O55" s="23" t="n">
        <x:f>SUM(K55:N55)</x:f>
        <x:v>23</x:v>
      </x:c>
      <x:c r="P55" s="15" t="str">
        <x:f>IF(OR(B55="",E55&lt;=0),"Evidence missing / not eligible",IF(ISNUMBER(SEARCH("priority TBD",Y55)),"Evidence missing / not eligible",IF(AND(H55="Carryover",NOT(ISNUMBER(F55))),"Evidence missing / not eligible",IF(AND(H55="Carryover",G55&lt;'Scenario Controls'!$B$16),"Evidence missing / not eligible",IF(AND(H55="ROI-Based Portfolio",NOT(ISNUMBER(F55))),"Evidence missing / not eligible",IF(AND(H55="ROI-Based Portfolio",O55&lt;'Scenario Controls'!$B$20),"Evidence missing / not eligible","Eligible"))))))</x:f>
        <x:v>Eligible</x:v>
      </x:c>
      <x:c r="Q55" s="19" t="n">
        <x:f>IF(P55&lt;&gt;"Eligible",0,IF(AND(SUMIFS($Q$5:Q54,$H$5:H54,H55)+E55&lt;=(IF(H55="LFR",'Scenario Controls'!$F$10,IF(H55="Sustain Engineering",'Scenario Controls'!$F$11,IF(H55="Hygiene",'Scenario Controls'!$F$12,1E+99))))*(1+'Scenario Controls'!$B$7),SUM($Q$5:Q54)+E55&lt;='Scenario Controls'!$B$6*(1+'Scenario Controls'!$B$7)),E55,0))</x:f>
        <x:v>2</x:v>
      </x:c>
      <x:c r="R55" s="24" t="str">
        <x:f>'EW Conference'!G45</x:f>
        <x:v>Automatic</x:v>
      </x:c>
      <x:c r="S55" s="24" t="str">
        <x:f>'EW Conference'!H45</x:f>
      </x:c>
      <x:c r="T55" s="19" t="n">
        <x:f>IF(R55="Exclude",0,IF(R55="Include",E55,Q55))</x:f>
        <x:v>2</x:v>
      </x:c>
      <x:c r="U55" s="15" t="str">
        <x:f>IF(T55&gt;0,"Funded",IF(P55="Eligible","Unfunded",P55))</x:f>
        <x:v>Funded</x:v>
      </x:c>
      <x:c r="V55" s="15" t="str">
        <x:f>IF(R55="Include","Conference inclusion: "&amp;S55,IF(R55="Exclude","Conference exclusion: "&amp;S55,IF(Q55&gt;0,H55&amp;" priority rank "&amp;I55&amp;"; whole initiative selected",P55)))</x:f>
        <x:v>Sustain Engineering priority rank 14; whole initiative selected</x:v>
      </x:c>
      <x:c r="W55" s="15" t="str">
        <x:v>EW!42</x:v>
      </x:c>
      <x:c r="X55" s="15" t="str"/>
      <x:c r="Y55" s="15" t="str"/>
      <x:c r="Z55" s="15" t="str">
        <x:v>Continuous Improvement</x:v>
      </x:c>
      <x:c r="AA55" s="15" t="str">
        <x:v>Change &amp; Sustain</x:v>
      </x:c>
      <x:c r="AB55" s="15" t="str">
        <x:v>Innovation and Digital IT</x:v>
      </x:c>
      <x:c r="AC55" s="15" t="str"/>
      <x:c r="AD55" s="15" t="str">
        <x:v>Add hoc change request and must do's</x:v>
      </x:c>
      <x:c r="AE55" s="15" t="str">
        <x:v>All I&amp;D domains</x:v>
      </x:c>
      <x:c r="AF55" s="15" t="str">
        <x:v>Add hoc change request and must do's | All I&amp;D domains</x:v>
      </x:c>
      <x:c r="AG55" s="15" t="str">
        <x:v>Must Have</x:v>
      </x:c>
      <x:c r="AH55" s="15" t="n">
        <x:v>44</x:v>
      </x:c>
    </x:row>
    <x:row r="56">
      <x:c r="A56" s="15" t="str">
        <x:v>EW-44</x:v>
      </x:c>
      <x:c r="B56" s="15" t="str">
        <x:v>EADI - CCB Initiative</x:v>
      </x:c>
      <x:c r="C56" s="15" t="str">
        <x:v>EW Led</x:v>
      </x:c>
      <x:c r="D56" s="15" t="str">
        <x:v>Information Technology</x:v>
      </x:c>
      <x:c r="E56" s="19" t="n">
        <x:v>0.5</x:v>
      </x:c>
      <x:c r="F56" s="19" t="n">
        <x:v>0</x:v>
      </x:c>
      <x:c r="G56" s="22" t="n">
        <x:f>IF(AND(E56&gt;0,ISNUMBER(F56)),F56/E56,"")</x:f>
        <x:v>0</x:v>
      </x:c>
      <x:c r="H56" s="15" t="str">
        <x:v>Sustain Engineering</x:v>
      </x:c>
      <x:c r="I56" s="15" t="n">
        <x:v>15</x:v>
      </x:c>
      <x:c r="J56" s="15" t="n">
        <x:v>5</x:v>
      </x:c>
      <x:c r="K56" s="23" t="n">
        <x:f>IF(G56="",0,IF(G56&lt;1,0,IF(G56&lt;2,20,IF(G56&lt;3,30,IF(G56&lt;5,40,50)))))*'Scenario Controls'!$B$22/50</x:f>
        <x:v>0</x:v>
      </x:c>
      <x:c r="L56" s="23" t="n">
        <x:f>IF(ISNUMBER(SEARCH("Must Do",AG56)),25,IF(ISNUMBER(SEARCH("Must Have",AG56)),18,IF(ISNUMBER(SEARCH("Deprior",AG56)),5,0)))*'Scenario Controls'!$B$23/25</x:f>
        <x:v>18</x:v>
      </x:c>
      <x:c r="M56" s="23" t="n">
        <x:f>J56*'Scenario Controls'!$B$24/15</x:f>
        <x:v>5</x:v>
      </x:c>
      <x:c r="N56" s="23" t="n">
        <x:f>IF(ISNUMBER(SEARCH("HEALTHY",X56)),10,IF(ISNUMBER(SEARCH("CONTAIN",X56)),6,0))*'Scenario Controls'!$B$25/10</x:f>
        <x:v>0</x:v>
      </x:c>
      <x:c r="O56" s="23" t="n">
        <x:f>SUM(K56:N56)</x:f>
        <x:v>23</x:v>
      </x:c>
      <x:c r="P56" s="15" t="str">
        <x:f>IF(OR(B56="",E56&lt;=0),"Evidence missing / not eligible",IF(ISNUMBER(SEARCH("priority TBD",Y56)),"Evidence missing / not eligible",IF(AND(H56="Carryover",NOT(ISNUMBER(F56))),"Evidence missing / not eligible",IF(AND(H56="Carryover",G56&lt;'Scenario Controls'!$B$16),"Evidence missing / not eligible",IF(AND(H56="ROI-Based Portfolio",NOT(ISNUMBER(F56))),"Evidence missing / not eligible",IF(AND(H56="ROI-Based Portfolio",O56&lt;'Scenario Controls'!$B$20),"Evidence missing / not eligible","Eligible"))))))</x:f>
        <x:v>Eligible</x:v>
      </x:c>
      <x:c r="Q56" s="19" t="n">
        <x:f>IF(P56&lt;&gt;"Eligible",0,IF(AND(SUMIFS($Q$5:Q55,$H$5:H55,H56)+E56&lt;=(IF(H56="LFR",'Scenario Controls'!$F$10,IF(H56="Sustain Engineering",'Scenario Controls'!$F$11,IF(H56="Hygiene",'Scenario Controls'!$F$12,1E+99))))*(1+'Scenario Controls'!$B$7),SUM($Q$5:Q55)+E56&lt;='Scenario Controls'!$B$6*(1+'Scenario Controls'!$B$7)),E56,0))</x:f>
        <x:v>0.5</x:v>
      </x:c>
      <x:c r="R56" s="24" t="str">
        <x:f>'EW Conference'!G46</x:f>
        <x:v>Automatic</x:v>
      </x:c>
      <x:c r="S56" s="24" t="str">
        <x:f>'EW Conference'!H46</x:f>
      </x:c>
      <x:c r="T56" s="19" t="n">
        <x:f>IF(R56="Exclude",0,IF(R56="Include",E56,Q56))</x:f>
        <x:v>0.5</x:v>
      </x:c>
      <x:c r="U56" s="15" t="str">
        <x:f>IF(T56&gt;0,"Funded",IF(P56="Eligible","Unfunded",P56))</x:f>
        <x:v>Funded</x:v>
      </x:c>
      <x:c r="V56" s="15" t="str">
        <x:f>IF(R56="Include","Conference inclusion: "&amp;S56,IF(R56="Exclude","Conference exclusion: "&amp;S56,IF(Q56&gt;0,H56&amp;" priority rank "&amp;I56&amp;"; whole initiative selected",P56)))</x:f>
        <x:v>Sustain Engineering priority rank 15; whole initiative selected</x:v>
      </x:c>
      <x:c r="W56" s="15" t="str">
        <x:v>EW!44</x:v>
      </x:c>
      <x:c r="X56" s="15" t="str"/>
      <x:c r="Y56" s="15" t="str"/>
      <x:c r="Z56" s="15" t="str">
        <x:v>Continuous Improvement</x:v>
      </x:c>
      <x:c r="AA56" s="15" t="str">
        <x:v>Change &amp; Sustain</x:v>
      </x:c>
      <x:c r="AB56" s="15" t="str">
        <x:v>Enterprise Architecture, Data &amp; Integration</x:v>
      </x:c>
      <x:c r="AC56" s="15" t="str">
        <x:v>NA</x:v>
      </x:c>
      <x:c r="AD56" s="15" t="str">
        <x:v>As EADI, the data platform, MDM, DQ,Insights &amp; Analystics are getting series of small changes during the course of the year.</x:v>
      </x:c>
      <x:c r="AE56" s="15" t="str">
        <x:v>Planning and Delivery of changes requests under 5-10k.</x:v>
      </x:c>
      <x:c r="AF56" s="15" t="str">
        <x:v>NA | As EADI, the data platform, MDM, DQ,Insights &amp; Analystics are getting series of small changes during the course of the year. | Planning and Delivery of changes requests under 5-10k.</x:v>
      </x:c>
      <x:c r="AG56" s="15" t="str">
        <x:v>Must Have</x:v>
      </x:c>
      <x:c r="AH56" s="15" t="n">
        <x:v>46</x:v>
      </x:c>
    </x:row>
    <x:row r="57">
      <x:c r="A57" s="15" t="str">
        <x:v>EW-27</x:v>
      </x:c>
      <x:c r="B57" s="15" t="str">
        <x:v>CCB Services IT</x:v>
      </x:c>
      <x:c r="C57" s="15" t="str">
        <x:v>EW Led</x:v>
      </x:c>
      <x:c r="D57" s="15" t="str">
        <x:v>Information Technology</x:v>
      </x:c>
      <x:c r="E57" s="19" t="n">
        <x:v>1.6</x:v>
      </x:c>
      <x:c r="F57" s="19" t="n">
        <x:v>0</x:v>
      </x:c>
      <x:c r="G57" s="22" t="n">
        <x:f>IF(AND(E57&gt;0,ISNUMBER(F57)),F57/E57,"")</x:f>
        <x:v>0</x:v>
      </x:c>
      <x:c r="H57" s="15" t="str">
        <x:v>Sustain Engineering</x:v>
      </x:c>
      <x:c r="I57" s="15" t="n">
        <x:v>16</x:v>
      </x:c>
      <x:c r="J57" s="15" t="n">
        <x:v>0</x:v>
      </x:c>
      <x:c r="K57" s="23" t="n">
        <x:f>IF(G57="",0,IF(G57&lt;1,0,IF(G57&lt;2,20,IF(G57&lt;3,30,IF(G57&lt;5,40,50)))))*'Scenario Controls'!$B$22/50</x:f>
        <x:v>0</x:v>
      </x:c>
      <x:c r="L57" s="23" t="n">
        <x:f>IF(ISNUMBER(SEARCH("Must Do",AG57)),25,IF(ISNUMBER(SEARCH("Must Have",AG57)),18,IF(ISNUMBER(SEARCH("Deprior",AG57)),5,0)))*'Scenario Controls'!$B$23/25</x:f>
        <x:v>0</x:v>
      </x:c>
      <x:c r="M57" s="23" t="n">
        <x:f>J57*'Scenario Controls'!$B$24/15</x:f>
        <x:v>0</x:v>
      </x:c>
      <x:c r="N57" s="23" t="n">
        <x:f>IF(ISNUMBER(SEARCH("HEALTHY",X57)),10,IF(ISNUMBER(SEARCH("CONTAIN",X57)),6,0))*'Scenario Controls'!$B$25/10</x:f>
        <x:v>0</x:v>
      </x:c>
      <x:c r="O57" s="23" t="n">
        <x:f>SUM(K57:N57)</x:f>
        <x:v>0</x:v>
      </x:c>
      <x:c r="P57" s="15" t="str">
        <x:f>IF(OR(B57="",E57&lt;=0),"Evidence missing / not eligible",IF(ISNUMBER(SEARCH("priority TBD",Y57)),"Evidence missing / not eligible",IF(AND(H57="Carryover",NOT(ISNUMBER(F57))),"Evidence missing / not eligible",IF(AND(H57="Carryover",G57&lt;'Scenario Controls'!$B$16),"Evidence missing / not eligible",IF(AND(H57="ROI-Based Portfolio",NOT(ISNUMBER(F57))),"Evidence missing / not eligible",IF(AND(H57="ROI-Based Portfolio",O57&lt;'Scenario Controls'!$B$20),"Evidence missing / not eligible","Eligible"))))))</x:f>
        <x:v>Eligible</x:v>
      </x:c>
      <x:c r="Q57" s="19" t="n">
        <x:f>IF(P57&lt;&gt;"Eligible",0,IF(AND(SUMIFS($Q$5:Q56,$H$5:H56,H57)+E57&lt;=(IF(H57="LFR",'Scenario Controls'!$F$10,IF(H57="Sustain Engineering",'Scenario Controls'!$F$11,IF(H57="Hygiene",'Scenario Controls'!$F$12,1E+99))))*(1+'Scenario Controls'!$B$7),SUM($Q$5:Q56)+E57&lt;='Scenario Controls'!$B$6*(1+'Scenario Controls'!$B$7)),E57,0))</x:f>
        <x:v>1.6</x:v>
      </x:c>
      <x:c r="R57" s="24" t="str">
        <x:f>'EW Conference'!G47</x:f>
        <x:v>Automatic</x:v>
      </x:c>
      <x:c r="S57" s="24" t="str">
        <x:f>'EW Conference'!H47</x:f>
      </x:c>
      <x:c r="T57" s="19" t="n">
        <x:f>IF(R57="Exclude",0,IF(R57="Include",E57,Q57))</x:f>
        <x:v>1.6</x:v>
      </x:c>
      <x:c r="U57" s="15" t="str">
        <x:f>IF(T57&gt;0,"Funded",IF(P57="Eligible","Unfunded",P57))</x:f>
        <x:v>Funded</x:v>
      </x:c>
      <x:c r="V57" s="15" t="str">
        <x:f>IF(R57="Include","Conference inclusion: "&amp;S57,IF(R57="Exclude","Conference exclusion: "&amp;S57,IF(Q57&gt;0,H57&amp;" priority rank "&amp;I57&amp;"; whole initiative selected",P57)))</x:f>
        <x:v>Sustain Engineering priority rank 16; whole initiative selected</x:v>
      </x:c>
      <x:c r="W57" s="15" t="str">
        <x:v>EW!30</x:v>
      </x:c>
      <x:c r="X57" s="15" t="str"/>
      <x:c r="Y57" s="15" t="str"/>
      <x:c r="Z57" s="15" t="str">
        <x:v>Continuous Improvement</x:v>
      </x:c>
      <x:c r="AA57" s="15" t="str">
        <x:v>Change &amp; Sustain</x:v>
      </x:c>
      <x:c r="AB57" s="15" t="str">
        <x:v>Services &amp; Solutions IT</x:v>
      </x:c>
      <x:c r="AC57" s="15" t="str"/>
      <x:c r="AD57" s="15" t="str"/>
      <x:c r="AE57" s="15" t="str"/>
      <x:c r="AF57" s="15" t="str"/>
      <x:c r="AG57" s="15" t="str"/>
      <x:c r="AH57" s="15" t="n">
        <x:v>32</x:v>
      </x:c>
    </x:row>
    <x:row r="58">
      <x:c r="A58" s="15" t="str">
        <x:v>EW-174</x:v>
      </x:c>
      <x:c r="B58" s="15" t="str">
        <x:v>Global Intranet &amp; Sharepoint</x:v>
      </x:c>
      <x:c r="C58" s="15" t="str">
        <x:v>EW Led</x:v>
      </x:c>
      <x:c r="D58" s="15" t="str">
        <x:v>Communications &amp; Brand</x:v>
      </x:c>
      <x:c r="E58" s="19" t="n">
        <x:v>0.175</x:v>
      </x:c>
      <x:c r="F58" s="19" t="n">
        <x:v>720</x:v>
      </x:c>
      <x:c r="G58" s="22" t="n">
        <x:f>IF(AND(E58&gt;0,ISNUMBER(F58)),F58/E58,"")</x:f>
        <x:v>4114.285714285715</x:v>
      </x:c>
      <x:c r="H58" s="15" t="str">
        <x:v>Hygiene</x:v>
      </x:c>
      <x:c r="I58" s="15" t="n">
        <x:v>1</x:v>
      </x:c>
      <x:c r="J58" s="15" t="n">
        <x:v>15</x:v>
      </x:c>
      <x:c r="K58" s="23" t="n">
        <x:f>IF(G58="",0,IF(G58&lt;1,0,IF(G58&lt;2,20,IF(G58&lt;3,30,IF(G58&lt;5,40,50)))))*'Scenario Controls'!$B$22/50</x:f>
        <x:v>50</x:v>
      </x:c>
      <x:c r="L58" s="23" t="n">
        <x:f>IF(ISNUMBER(SEARCH("Must Do",AG58)),25,IF(ISNUMBER(SEARCH("Must Have",AG58)),18,IF(ISNUMBER(SEARCH("Deprior",AG58)),5,0)))*'Scenario Controls'!$B$23/25</x:f>
        <x:v>25</x:v>
      </x:c>
      <x:c r="M58" s="23" t="n">
        <x:f>J58*'Scenario Controls'!$B$24/15</x:f>
        <x:v>15</x:v>
      </x:c>
      <x:c r="N58" s="23" t="n">
        <x:f>IF(ISNUMBER(SEARCH("HEALTHY",X58)),10,IF(ISNUMBER(SEARCH("CONTAIN",X58)),6,0))*'Scenario Controls'!$B$25/10</x:f>
        <x:v>10</x:v>
      </x:c>
      <x:c r="O58" s="23" t="n">
        <x:f>SUM(K58:N58)</x:f>
        <x:v>100</x:v>
      </x:c>
      <x:c r="P58" s="15" t="str">
        <x:f>IF(OR(B58="",E58&lt;=0),"Evidence missing / not eligible",IF(ISNUMBER(SEARCH("priority TBD",Y58)),"Evidence missing / not eligible",IF(AND(H58="Carryover",NOT(ISNUMBER(F58))),"Evidence missing / not eligible",IF(AND(H58="Carryover",G58&lt;'Scenario Controls'!$B$16),"Evidence missing / not eligible",IF(AND(H58="ROI-Based Portfolio",NOT(ISNUMBER(F58))),"Evidence missing / not eligible",IF(AND(H58="ROI-Based Portfolio",O58&lt;'Scenario Controls'!$B$20),"Evidence missing / not eligible","Eligible"))))))</x:f>
        <x:v>Eligible</x:v>
      </x:c>
      <x:c r="Q58" s="19" t="n">
        <x:f>IF(P58&lt;&gt;"Eligible",0,IF(AND(SUMIFS($Q$5:Q57,$H$5:H57,H58)+E58&lt;=(IF(H58="LFR",'Scenario Controls'!$F$10,IF(H58="Sustain Engineering",'Scenario Controls'!$F$11,IF(H58="Hygiene",'Scenario Controls'!$F$12,1E+99))))*(1+'Scenario Controls'!$B$7),SUM($Q$5:Q57)+E58&lt;='Scenario Controls'!$B$6*(1+'Scenario Controls'!$B$7)),E58,0))</x:f>
        <x:v>0.175</x:v>
      </x:c>
      <x:c r="R58" s="24" t="str">
        <x:f>'EW Conference'!G48</x:f>
        <x:v>Automatic</x:v>
      </x:c>
      <x:c r="S58" s="24" t="str">
        <x:f>'EW Conference'!H48</x:f>
      </x:c>
      <x:c r="T58" s="19" t="n">
        <x:f>IF(R58="Exclude",0,IF(R58="Include",E58,Q58))</x:f>
        <x:v>0.175</x:v>
      </x:c>
      <x:c r="U58" s="15" t="str">
        <x:f>IF(T58&gt;0,"Funded",IF(P58="Eligible","Unfunded",P58))</x:f>
        <x:v>Funded</x:v>
      </x:c>
      <x:c r="V58" s="15" t="str">
        <x:f>IF(R58="Include","Conference inclusion: "&amp;S58,IF(R58="Exclude","Conference exclusion: "&amp;S58,IF(Q58&gt;0,H58&amp;" priority rank "&amp;I58&amp;"; whole initiative selected",P58)))</x:f>
        <x:v>Hygiene priority rank 1; whole initiative selected</x:v>
      </x:c>
      <x:c r="W58" s="15" t="str">
        <x:v>EW!170</x:v>
      </x:c>
      <x:c r="X58" s="15" t="str">
        <x:v>HEALTHY</x:v>
      </x:c>
      <x:c r="Y58" s="15" t="str">
        <x:v>HEALTHY — Rank in priority matrix</x:v>
      </x:c>
      <x:c r="Z58" s="15" t="str">
        <x:v>Continuous Improvement</x:v>
      </x:c>
      <x:c r="AA58" s="15" t="str">
        <x:v>Carry Over</x:v>
      </x:c>
      <x:c r="AB58" s="15" t="str">
        <x:v>Innovation and Digital IT</x:v>
      </x:c>
      <x:c r="AC58" s="15" t="str">
        <x:v>Not retaining this development capacity would be a false saving. It would not simply pause future enhancements; it would remove the only dedicated technical capability responsible for resolving intranet issues, supporting compliance and legal-related global SharePoint incidents and maintaining a business-critical global employee platform.</x:v>
      </x:c>
      <x:c r="AD58" s="15" t="str">
        <x:v>The global SharePoint intranet is the centre of Philips’ digital employee experience and the central gateway through which approximately 70,000 employees access trusted information, business updates, digital tools, enterprise communications and personalized performance dashboards.</x:v>
      </x:c>
      <x:c r="AE58" s="15" t="str">
        <x: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x:v>
      </x:c>
      <x:c r="AF58" s="15" t="str">
        <x:v>Not retaining this development capacity would be a false saving. It would not simply pause future enhancements; it would remove the only dedicated technical capability responsible for resolving intranet issues, supporting compliance and legal-related global SharePoint incidents and maintaining a business-critical global employee platform. | The global SharePoint intranet is the centre of Philips’ digital employee experience and the central gateway through which approximately 70,000 employees access trusted information, business updates, digital tools, enterprise communications and personalized performance dashboards. |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x:v>
      </x:c>
      <x:c r="AG58" s="15" t="str">
        <x:v>Must Do</x:v>
      </x:c>
      <x:c r="AH58" s="15" t="n">
        <x:v>172</x:v>
      </x:c>
    </x:row>
    <x:row r="59">
      <x:c r="A59" s="15" t="str">
        <x:v>EW-95</x:v>
      </x:c>
      <x:c r="B59" s="15" t="str">
        <x:v>Infrastructure Setup to support Real Estate initiatives (new site setup, relocation and closure)</x:v>
      </x:c>
      <x:c r="C59" s="15" t="str">
        <x:v>EW Led</x:v>
      </x:c>
      <x:c r="D59" s="15" t="str">
        <x:v>Information Technology</x:v>
      </x:c>
      <x:c r="E59" s="19" t="n">
        <x:v>2.5</x:v>
      </x:c>
      <x:c r="F59" s="19" t="n">
        <x:v>2000</x:v>
      </x:c>
      <x:c r="G59" s="22" t="n">
        <x:f>IF(AND(E59&gt;0,ISNUMBER(F59)),F59/E59,"")</x:f>
        <x:v>800</x:v>
      </x:c>
      <x:c r="H59" s="15" t="str">
        <x:v>Hygiene</x:v>
      </x:c>
      <x:c r="I59" s="15" t="n">
        <x:v>2</x:v>
      </x:c>
      <x:c r="J59" s="15" t="n">
        <x:v>15</x:v>
      </x:c>
      <x:c r="K59" s="23" t="n">
        <x:f>IF(G59="",0,IF(G59&lt;1,0,IF(G59&lt;2,20,IF(G59&lt;3,30,IF(G59&lt;5,40,50)))))*'Scenario Controls'!$B$22/50</x:f>
        <x:v>50</x:v>
      </x:c>
      <x:c r="L59" s="23" t="n">
        <x:f>IF(ISNUMBER(SEARCH("Must Do",AG59)),25,IF(ISNUMBER(SEARCH("Must Have",AG59)),18,IF(ISNUMBER(SEARCH("Deprior",AG59)),5,0)))*'Scenario Controls'!$B$23/25</x:f>
        <x:v>25</x:v>
      </x:c>
      <x:c r="M59" s="23" t="n">
        <x:f>J59*'Scenario Controls'!$B$24/15</x:f>
        <x:v>15</x:v>
      </x:c>
      <x:c r="N59" s="23" t="n">
        <x:f>IF(ISNUMBER(SEARCH("HEALTHY",X59)),10,IF(ISNUMBER(SEARCH("CONTAIN",X59)),6,0))*'Scenario Controls'!$B$25/10</x:f>
        <x:v>10</x:v>
      </x:c>
      <x:c r="O59" s="23" t="n">
        <x:f>SUM(K59:N59)</x:f>
        <x:v>100</x:v>
      </x:c>
      <x:c r="P59" s="15" t="str">
        <x:f>IF(OR(B59="",E59&lt;=0),"Evidence missing / not eligible",IF(ISNUMBER(SEARCH("priority TBD",Y59)),"Evidence missing / not eligible",IF(AND(H59="Carryover",NOT(ISNUMBER(F59))),"Evidence missing / not eligible",IF(AND(H59="Carryover",G59&lt;'Scenario Controls'!$B$16),"Evidence missing / not eligible",IF(AND(H59="ROI-Based Portfolio",NOT(ISNUMBER(F59))),"Evidence missing / not eligible",IF(AND(H59="ROI-Based Portfolio",O59&lt;'Scenario Controls'!$B$20),"Evidence missing / not eligible","Eligible"))))))</x:f>
        <x:v>Eligible</x:v>
      </x:c>
      <x:c r="Q59" s="19" t="n">
        <x:f>IF(P59&lt;&gt;"Eligible",0,IF(AND(SUMIFS($Q$5:Q58,$H$5:H58,H59)+E59&lt;=(IF(H59="LFR",'Scenario Controls'!$F$10,IF(H59="Sustain Engineering",'Scenario Controls'!$F$11,IF(H59="Hygiene",'Scenario Controls'!$F$12,1E+99))))*(1+'Scenario Controls'!$B$7),SUM($Q$5:Q58)+E59&lt;='Scenario Controls'!$B$6*(1+'Scenario Controls'!$B$7)),E59,0))</x:f>
        <x:v>2.5</x:v>
      </x:c>
      <x:c r="R59" s="24" t="str">
        <x:f>'EW Conference'!G49</x:f>
        <x:v>Automatic</x:v>
      </x:c>
      <x:c r="S59" s="24" t="str">
        <x:f>'EW Conference'!H49</x:f>
      </x:c>
      <x:c r="T59" s="19" t="n">
        <x:f>IF(R59="Exclude",0,IF(R59="Include",E59,Q59))</x:f>
        <x:v>2.5</x:v>
      </x:c>
      <x:c r="U59" s="15" t="str">
        <x:f>IF(T59&gt;0,"Funded",IF(P59="Eligible","Unfunded",P59))</x:f>
        <x:v>Funded</x:v>
      </x:c>
      <x:c r="V59" s="15" t="str">
        <x:f>IF(R59="Include","Conference inclusion: "&amp;S59,IF(R59="Exclude","Conference exclusion: "&amp;S59,IF(Q59&gt;0,H59&amp;" priority rank "&amp;I59&amp;"; whole initiative selected",P59)))</x:f>
        <x:v>Hygiene priority rank 2; whole initiative selected</x:v>
      </x:c>
      <x:c r="W59" s="15" t="str">
        <x:v>EW!91</x:v>
      </x:c>
      <x:c r="X59" s="15" t="str">
        <x:v>HEALTHY</x:v>
      </x:c>
      <x:c r="Y59" s="15" t="str">
        <x:v>HEALTHY — Rank in priority matrix</x:v>
      </x:c>
      <x:c r="Z59" s="15" t="str">
        <x:v>Decomm/Replatforming</x:v>
      </x:c>
      <x:c r="AA59" s="15" t="str">
        <x:v>New Initiative</x:v>
      </x:c>
      <x:c r="AB59" s="15" t="str">
        <x:v>Infrastructure Services – Projects</x:v>
      </x:c>
      <x:c r="AC59" s="15" t="str">
        <x: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x:v>
      </x:c>
      <x:c r="AD59" s="15" t="str">
        <x:v>Mandatory office exits and business growth are creating a critical need for workspace relocation and expansion. Failure to execute these initiatives on time could impact business continuity, employee productivity, growth plans, and compliance with facility exit commitments.</x:v>
      </x:c>
      <x:c r="AE59" s="15" t="str">
        <x:v>Global</x:v>
      </x:c>
      <x:c r="AF59" s="15" t="str">
        <x: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 Mandatory office exits and business growth are creating a critical need for workspace relocation and expansion. Failure to execute these initiatives on time could impact business continuity, employee productivity, growth plans, and compliance with facility exit commitments. | Global</x:v>
      </x:c>
      <x:c r="AG59" s="15" t="str">
        <x:v>Must Do</x:v>
      </x:c>
      <x:c r="AH59" s="15" t="n">
        <x:v>93</x:v>
      </x:c>
    </x:row>
    <x:row r="60">
      <x:c r="A60" s="15" t="str">
        <x:v>Bu-99</x:v>
      </x:c>
      <x:c r="B60" s="15" t="str">
        <x:v>Rotech Virtual Org (CPG in BY)</x:v>
      </x:c>
      <x:c r="C60" s="15" t="str">
        <x:v>BU Led</x:v>
      </x:c>
      <x:c r="D60" s="15" t="str">
        <x:v>Sleep &amp; Respiratory Care (SRC)</x:v>
      </x:c>
      <x:c r="E60" s="19" t="n">
        <x:v>0.1</x:v>
      </x:c>
      <x:c r="F60" s="19" t="n">
        <x:v>38</x:v>
      </x:c>
      <x:c r="G60" s="22" t="n">
        <x:f>IF(AND(E60&gt;0,ISNUMBER(F60)),F60/E60,"")</x:f>
        <x:v>380</x:v>
      </x:c>
      <x:c r="H60" s="15" t="str">
        <x:v>Hygiene</x:v>
      </x:c>
      <x:c r="I60" s="15" t="n">
        <x:v>3</x:v>
      </x:c>
      <x:c r="J60" s="15" t="n">
        <x:v>15</x:v>
      </x:c>
      <x:c r="K60" s="23" t="n">
        <x:f>IF(G60="",0,IF(G60&lt;1,0,IF(G60&lt;2,20,IF(G60&lt;3,30,IF(G60&lt;5,40,50)))))*'Scenario Controls'!$B$22/50</x:f>
        <x:v>50</x:v>
      </x:c>
      <x:c r="L60" s="23" t="n">
        <x:f>IF(ISNUMBER(SEARCH("Must Do",AG60)),25,IF(ISNUMBER(SEARCH("Must Have",AG60)),18,IF(ISNUMBER(SEARCH("Deprior",AG60)),5,0)))*'Scenario Controls'!$B$23/25</x:f>
        <x:v>25</x:v>
      </x:c>
      <x:c r="M60" s="23" t="n">
        <x:f>J60*'Scenario Controls'!$B$24/15</x:f>
        <x:v>15</x:v>
      </x:c>
      <x:c r="N60" s="23" t="n">
        <x:f>IF(ISNUMBER(SEARCH("HEALTHY",X60)),10,IF(ISNUMBER(SEARCH("CONTAIN",X60)),6,0))*'Scenario Controls'!$B$25/10</x:f>
        <x:v>10</x:v>
      </x:c>
      <x:c r="O60" s="23" t="n">
        <x:f>SUM(K60:N60)</x:f>
        <x:v>100</x:v>
      </x:c>
      <x:c r="P60" s="15" t="str">
        <x:f>IF(OR(B60="",E60&lt;=0),"Evidence missing / not eligible",IF(ISNUMBER(SEARCH("priority TBD",Y60)),"Evidence missing / not eligible",IF(AND(H60="Carryover",NOT(ISNUMBER(F60))),"Evidence missing / not eligible",IF(AND(H60="Carryover",G60&lt;'Scenario Controls'!$B$16),"Evidence missing / not eligible",IF(AND(H60="ROI-Based Portfolio",NOT(ISNUMBER(F60))),"Evidence missing / not eligible",IF(AND(H60="ROI-Based Portfolio",O60&lt;'Scenario Controls'!$B$20),"Evidence missing / not eligible","Eligible"))))))</x:f>
        <x:v>Eligible</x:v>
      </x:c>
      <x:c r="Q60" s="19" t="n">
        <x:f>IF(P60&lt;&gt;"Eligible",0,IF(AND(SUMIFS($Q$5:Q59,$H$5:H59,H60)+E60&lt;=(IF(H60="LFR",'Scenario Controls'!$F$10,IF(H60="Sustain Engineering",'Scenario Controls'!$F$11,IF(H60="Hygiene",'Scenario Controls'!$F$12,1E+99))))*(1+'Scenario Controls'!$B$7),SUM($Q$5:Q59)+E60&lt;='Scenario Controls'!$B$6*(1+'Scenario Controls'!$B$7)),E60,0))</x:f>
        <x:v>0.1</x:v>
      </x:c>
      <x:c r="R60" s="24" t="str">
        <x:f>'BU Conference'!G16</x:f>
        <x:v>Automatic</x:v>
      </x:c>
      <x:c r="S60" s="24" t="str">
        <x:f>'BU Conference'!H16</x:f>
      </x:c>
      <x:c r="T60" s="19" t="n">
        <x:f>IF(R60="Exclude",0,IF(R60="Include",E60,Q60))</x:f>
        <x:v>0.1</x:v>
      </x:c>
      <x:c r="U60" s="15" t="str">
        <x:f>IF(T60&gt;0,"Funded",IF(P60="Eligible","Unfunded",P60))</x:f>
        <x:v>Funded</x:v>
      </x:c>
      <x:c r="V60" s="15" t="str">
        <x:f>IF(R60="Include","Conference inclusion: "&amp;S60,IF(R60="Exclude","Conference exclusion: "&amp;S60,IF(Q60&gt;0,H60&amp;" priority rank "&amp;I60&amp;"; whole initiative selected",P60)))</x:f>
        <x:v>Hygiene priority rank 3; whole initiative selected</x:v>
      </x:c>
      <x:c r="W60" s="15" t="str">
        <x:v>Bu!240</x:v>
      </x:c>
      <x:c r="X60" s="15" t="str">
        <x:v>HEALTHY</x:v>
      </x:c>
      <x:c r="Y60" s="15" t="str">
        <x:v>HEALTHY — Rank in priority matrix</x:v>
      </x:c>
      <x:c r="Z60" s="15" t="str">
        <x:v>Continous Improvement</x:v>
      </x:c>
      <x:c r="AA60" s="15" t="str">
        <x:v>New Initiative</x:v>
      </x:c>
      <x:c r="AB60" s="15" t="str">
        <x:v>Integrated Supply Chain &amp; Finance</x:v>
      </x:c>
      <x:c r="AC60" s="15" t="str">
        <x:v>We will miss significant benefits</x:v>
      </x:c>
      <x:c r="AD60" s="15" t="str">
        <x:v>Enable Philips to hold protected, replenishable customer-specific inventory for Rotech to guarantee stock availability, recover market share, and unlock up to ~$38M in incremental revenue.</x:v>
      </x:c>
      <x:c r="AE60" s="15" t="str">
        <x:v>Market-share recovery with Rotech (15% → up to 60%), delivering up to ~$38M incremental annual revenue, enabled by a reliable dedicated-inventory model with zero stock-out-driven service failures.</x:v>
      </x:c>
      <x:c r="AF60" s="15" t="str">
        <x:v>We will miss significant benefits | Enable Philips to hold protected, replenishable customer-specific inventory for Rotech to guarantee stock availability, recover market share, and unlock up to ~$38M in incremental revenue. | Market-share recovery with Rotech (15% → up to 60%), delivering up to ~$38M incremental annual revenue, enabled by a reliable dedicated-inventory model with zero stock-out-driven service failures.</x:v>
      </x:c>
      <x:c r="AG60" s="15" t="str">
        <x:v>Must Do</x:v>
      </x:c>
      <x:c r="AH60" s="15" t="n">
        <x:v>276</x:v>
      </x:c>
    </x:row>
    <x:row r="61">
      <x:c r="A61" s="15" t="str">
        <x:v>EW-38</x:v>
      </x:c>
      <x:c r="B61" s="15" t="str">
        <x:v>EADI - DQ modernization</x:v>
      </x:c>
      <x:c r="C61" s="15" t="str">
        <x:v>EW Led</x:v>
      </x:c>
      <x:c r="D61" s="15" t="str">
        <x:v>Information Technology</x:v>
      </x:c>
      <x:c r="E61" s="19" t="n">
        <x:v>0.13</x:v>
      </x:c>
      <x:c r="F61" s="19" t="n">
        <x:v>1</x:v>
      </x:c>
      <x:c r="G61" s="22" t="n">
        <x:f>IF(AND(E61&gt;0,ISNUMBER(F61)),F61/E61,"")</x:f>
        <x:v>7.692307692307692</x:v>
      </x:c>
      <x:c r="H61" s="15" t="str">
        <x:v>Hygiene</x:v>
      </x:c>
      <x:c r="I61" s="15" t="n">
        <x:v>4</x:v>
      </x:c>
      <x:c r="J61" s="15" t="n">
        <x:v>15</x:v>
      </x:c>
      <x:c r="K61" s="23" t="n">
        <x:f>IF(G61="",0,IF(G61&lt;1,0,IF(G61&lt;2,20,IF(G61&lt;3,30,IF(G61&lt;5,40,50)))))*'Scenario Controls'!$B$22/50</x:f>
        <x:v>50</x:v>
      </x:c>
      <x:c r="L61" s="23" t="n">
        <x:f>IF(ISNUMBER(SEARCH("Must Do",AG61)),25,IF(ISNUMBER(SEARCH("Must Have",AG61)),18,IF(ISNUMBER(SEARCH("Deprior",AG61)),5,0)))*'Scenario Controls'!$B$23/25</x:f>
        <x:v>25</x:v>
      </x:c>
      <x:c r="M61" s="23" t="n">
        <x:f>J61*'Scenario Controls'!$B$24/15</x:f>
        <x:v>15</x:v>
      </x:c>
      <x:c r="N61" s="23" t="n">
        <x:f>IF(ISNUMBER(SEARCH("HEALTHY",X61)),10,IF(ISNUMBER(SEARCH("CONTAIN",X61)),6,0))*'Scenario Controls'!$B$25/10</x:f>
        <x:v>10</x:v>
      </x:c>
      <x:c r="O61" s="23" t="n">
        <x:f>SUM(K61:N61)</x:f>
        <x:v>100</x:v>
      </x:c>
      <x:c r="P61" s="15" t="str">
        <x:f>IF(OR(B61="",E61&lt;=0),"Evidence missing / not eligible",IF(ISNUMBER(SEARCH("priority TBD",Y61)),"Evidence missing / not eligible",IF(AND(H61="Carryover",NOT(ISNUMBER(F61))),"Evidence missing / not eligible",IF(AND(H61="Carryover",G61&lt;'Scenario Controls'!$B$16),"Evidence missing / not eligible",IF(AND(H61="ROI-Based Portfolio",NOT(ISNUMBER(F61))),"Evidence missing / not eligible",IF(AND(H61="ROI-Based Portfolio",O61&lt;'Scenario Controls'!$B$20),"Evidence missing / not eligible","Eligible"))))))</x:f>
        <x:v>Eligible</x:v>
      </x:c>
      <x:c r="Q61" s="19" t="n">
        <x:f>IF(P61&lt;&gt;"Eligible",0,IF(AND(SUMIFS($Q$5:Q60,$H$5:H60,H61)+E61&lt;=(IF(H61="LFR",'Scenario Controls'!$F$10,IF(H61="Sustain Engineering",'Scenario Controls'!$F$11,IF(H61="Hygiene",'Scenario Controls'!$F$12,1E+99))))*(1+'Scenario Controls'!$B$7),SUM($Q$5:Q60)+E61&lt;='Scenario Controls'!$B$6*(1+'Scenario Controls'!$B$7)),E61,0))</x:f>
        <x:v>0.13</x:v>
      </x:c>
      <x:c r="R61" s="24" t="str">
        <x:f>'EW Conference'!G50</x:f>
        <x:v>Automatic</x:v>
      </x:c>
      <x:c r="S61" s="24" t="str">
        <x:f>'EW Conference'!H50</x:f>
      </x:c>
      <x:c r="T61" s="19" t="n">
        <x:f>IF(R61="Exclude",0,IF(R61="Include",E61,Q61))</x:f>
        <x:v>0.13</x:v>
      </x:c>
      <x:c r="U61" s="15" t="str">
        <x:f>IF(T61&gt;0,"Funded",IF(P61="Eligible","Unfunded",P61))</x:f>
        <x:v>Funded</x:v>
      </x:c>
      <x:c r="V61" s="15" t="str">
        <x:f>IF(R61="Include","Conference inclusion: "&amp;S61,IF(R61="Exclude","Conference exclusion: "&amp;S61,IF(Q61&gt;0,H61&amp;" priority rank "&amp;I61&amp;"; whole initiative selected",P61)))</x:f>
        <x:v>Hygiene priority rank 4; whole initiative selected</x:v>
      </x:c>
      <x:c r="W61" s="15" t="str">
        <x:v>EW!39</x:v>
      </x:c>
      <x:c r="X61" s="15" t="str">
        <x:v>HEALTHY</x:v>
      </x:c>
      <x:c r="Y61" s="15" t="str">
        <x:v>HEALTHY — Rank in priority matrix</x:v>
      </x:c>
      <x:c r="Z61" s="15" t="str">
        <x:v>Continuous Improvement</x:v>
      </x:c>
      <x:c r="AA61" s="15" t="str">
        <x:v>Carry Over</x:v>
      </x:c>
      <x:c r="AB61" s="15" t="str">
        <x:v>Enterprise Architecture, Data &amp; Integration</x:v>
      </x:c>
      <x:c r="AC61" s="15" t="str">
        <x:v>Loss in productivity &amp; defect resolution cost of 1M incurred.</x:v>
      </x:c>
      <x:c r="AD61" s="15" t="str">
        <x:v>Reduce the analysis time in finding the root cause of data Quality defects</x:v>
      </x:c>
      <x:c r="AE61" s="15" t="str">
        <x:v>Providing upfront Data Quality Inputs to correct Or Prevent DQ defects in Master Data.</x:v>
      </x:c>
      <x:c r="AF61" s="15" t="str">
        <x:v>Loss in productivity &amp; defect resolution cost of 1M incurred. | Reduce the analysis time in finding the root cause of data Quality defects | Providing upfront Data Quality Inputs to correct Or Prevent DQ defects in Master Data.</x:v>
      </x:c>
      <x:c r="AG61" s="15" t="str">
        <x:v>Must Do</x:v>
      </x:c>
      <x:c r="AH61" s="15" t="n">
        <x:v>41</x:v>
      </x:c>
    </x:row>
    <x:row r="62">
      <x:c r="A62" s="15" t="str">
        <x:v>Bu-65</x:v>
      </x:c>
      <x:c r="B62" s="15" t="str">
        <x:v>IR27#18 - Performance Split Automation Step 2</x:v>
      </x:c>
      <x:c r="C62" s="15" t="str">
        <x:v>BU Led</x:v>
      </x:c>
      <x:c r="D62" s="15" t="str">
        <x:v>International Regions (IR)</x:v>
      </x:c>
      <x:c r="E62" s="19" t="n">
        <x:v>0.2</x:v>
      </x:c>
      <x:c r="F62" s="19" t="n">
        <x:v>5</x:v>
      </x:c>
      <x:c r="G62" s="22" t="n">
        <x:f>IF(AND(E62&gt;0,ISNUMBER(F62)),F62/E62,"")</x:f>
        <x:v>25</x:v>
      </x:c>
      <x:c r="H62" s="15" t="str">
        <x:v>Hygiene</x:v>
      </x:c>
      <x:c r="I62" s="15" t="n">
        <x:v>5</x:v>
      </x:c>
      <x:c r="J62" s="15" t="n">
        <x:v>10</x:v>
      </x:c>
      <x:c r="K62" s="23" t="n">
        <x:f>IF(G62="",0,IF(G62&lt;1,0,IF(G62&lt;2,20,IF(G62&lt;3,30,IF(G62&lt;5,40,50)))))*'Scenario Controls'!$B$22/50</x:f>
        <x:v>50</x:v>
      </x:c>
      <x:c r="L62" s="23" t="n">
        <x:f>IF(ISNUMBER(SEARCH("Must Do",AG62)),25,IF(ISNUMBER(SEARCH("Must Have",AG62)),18,IF(ISNUMBER(SEARCH("Deprior",AG62)),5,0)))*'Scenario Controls'!$B$23/25</x:f>
        <x:v>25</x:v>
      </x:c>
      <x:c r="M62" s="23" t="n">
        <x:f>J62*'Scenario Controls'!$B$24/15</x:f>
        <x:v>10</x:v>
      </x:c>
      <x:c r="N62" s="23" t="n">
        <x:f>IF(ISNUMBER(SEARCH("HEALTHY",X62)),10,IF(ISNUMBER(SEARCH("CONTAIN",X62)),6,0))*'Scenario Controls'!$B$25/10</x:f>
        <x:v>10</x:v>
      </x:c>
      <x:c r="O62" s="23" t="n">
        <x:f>SUM(K62:N62)</x:f>
        <x:v>95</x:v>
      </x:c>
      <x:c r="P62" s="15" t="str">
        <x:f>IF(OR(B62="",E62&lt;=0),"Evidence missing / not eligible",IF(ISNUMBER(SEARCH("priority TBD",Y62)),"Evidence missing / not eligible",IF(AND(H62="Carryover",NOT(ISNUMBER(F62))),"Evidence missing / not eligible",IF(AND(H62="Carryover",G62&lt;'Scenario Controls'!$B$16),"Evidence missing / not eligible",IF(AND(H62="ROI-Based Portfolio",NOT(ISNUMBER(F62))),"Evidence missing / not eligible",IF(AND(H62="ROI-Based Portfolio",O62&lt;'Scenario Controls'!$B$20),"Evidence missing / not eligible","Eligible"))))))</x:f>
        <x:v>Eligible</x:v>
      </x:c>
      <x:c r="Q62" s="19" t="n">
        <x:f>IF(P62&lt;&gt;"Eligible",0,IF(AND(SUMIFS($Q$5:Q61,$H$5:H61,H62)+E62&lt;=(IF(H62="LFR",'Scenario Controls'!$F$10,IF(H62="Sustain Engineering",'Scenario Controls'!$F$11,IF(H62="Hygiene",'Scenario Controls'!$F$12,1E+99))))*(1+'Scenario Controls'!$B$7),SUM($Q$5:Q61)+E62&lt;='Scenario Controls'!$B$6*(1+'Scenario Controls'!$B$7)),E62,0))</x:f>
        <x:v>0.2</x:v>
      </x:c>
      <x:c r="R62" s="24" t="str">
        <x:f>'BU Conference'!G17</x:f>
        <x:v>Automatic</x:v>
      </x:c>
      <x:c r="S62" s="24" t="str">
        <x:f>'BU Conference'!H17</x:f>
      </x:c>
      <x:c r="T62" s="19" t="n">
        <x:f>IF(R62="Exclude",0,IF(R62="Include",E62,Q62))</x:f>
        <x:v>0.2</x:v>
      </x:c>
      <x:c r="U62" s="15" t="str">
        <x:f>IF(T62&gt;0,"Funded",IF(P62="Eligible","Unfunded",P62))</x:f>
        <x:v>Funded</x:v>
      </x:c>
      <x:c r="V62" s="15" t="str">
        <x:f>IF(R62="Include","Conference inclusion: "&amp;S62,IF(R62="Exclude","Conference exclusion: "&amp;S62,IF(Q62&gt;0,H62&amp;" priority rank "&amp;I62&amp;"; whole initiative selected",P62)))</x:f>
        <x:v>Hygiene priority rank 5; whole initiative selected</x:v>
      </x:c>
      <x:c r="W62" s="15" t="str">
        <x:v>Bu!139</x:v>
      </x:c>
      <x:c r="X62" s="15" t="str">
        <x:v>HEALTHY</x:v>
      </x:c>
      <x:c r="Y62" s="15" t="str">
        <x:v>HEALTHY — Rank in priority matrix</x:v>
      </x:c>
      <x:c r="Z62" s="15" t="str">
        <x:v>Upgrades &amp; Enhancements</x:v>
      </x:c>
      <x:c r="AA62" s="15" t="str">
        <x:v>New Initiative</x:v>
      </x:c>
      <x:c r="AB62" s="15" t="str">
        <x:v>Integrated Supply Chain &amp; Finance</x:v>
      </x:c>
      <x:c r="AC62" s="15" t="str">
        <x:v>Semi-automated Performance split process is not sufficiently “guiding” the organization and is leading to potential errors in Quoting, OM, CPM, Services and finance resulting in</x:v>
      </x:c>
      <x:c r="AD62" s="15" t="str">
        <x:v>High manual work introduced by PerfSplit involves risks in critical audit scope (a.o. revenue recognition)</x:v>
      </x:c>
      <x:c r="AE62" s="15" t="str">
        <x:v>IR, NAR, GCR &amp; DI, IGTS, HPM, ULS; E2E NPI 2Service.</x:v>
      </x:c>
      <x:c r="AF62" s="15" t="str">
        <x:v>Semi-automated Performance split process is not sufficiently “guiding” the organization and is leading to potential errors in Quoting, OM, CPM, Services and finance resulting in | High manual work introduced by PerfSplit involves risks in critical audit scope (a.o. revenue recognition) | IR, NAR, GCR &amp; DI, IGTS, HPM, ULS; E2E NPI 2Service.</x:v>
      </x:c>
      <x:c r="AG62" s="15" t="str">
        <x:v>Must Do</x:v>
      </x:c>
      <x:c r="AH62" s="15" t="n">
        <x:v>242</x:v>
      </x:c>
    </x:row>
    <x:row r="63">
      <x:c r="A63" s="15" t="str">
        <x:v>EW-125</x:v>
      </x:c>
      <x:c r="B63" s="15" t="str">
        <x:v>I2M Planisware : AI-Driven Portfolio Management focused on Insights &amp; Value Realization</x:v>
      </x:c>
      <x:c r="C63" s="15" t="str">
        <x:v>EW Led</x:v>
      </x:c>
      <x:c r="D63" s="15" t="str">
        <x:v>Innovation and Design Business Operations</x:v>
      </x:c>
      <x:c r="E63" s="19" t="n">
        <x:v>1</x:v>
      </x:c>
      <x:c r="F63" s="19" t="n">
        <x:v>42.5</x:v>
      </x:c>
      <x:c r="G63" s="22" t="n">
        <x:f>IF(AND(E63&gt;0,ISNUMBER(F63)),F63/E63,"")</x:f>
        <x:v>42.5</x:v>
      </x:c>
      <x:c r="H63" s="15" t="str">
        <x:v>Hygiene</x:v>
      </x:c>
      <x:c r="I63" s="15" t="n">
        <x:v>6</x:v>
      </x:c>
      <x:c r="J63" s="15" t="n">
        <x:v>15</x:v>
      </x:c>
      <x:c r="K63" s="23" t="n">
        <x:f>IF(G63="",0,IF(G63&lt;1,0,IF(G63&lt;2,20,IF(G63&lt;3,30,IF(G63&lt;5,40,50)))))*'Scenario Controls'!$B$22/50</x:f>
        <x:v>50</x:v>
      </x:c>
      <x:c r="L63" s="23" t="n">
        <x:f>IF(ISNUMBER(SEARCH("Must Do",AG63)),25,IF(ISNUMBER(SEARCH("Must Have",AG63)),18,IF(ISNUMBER(SEARCH("Deprior",AG63)),5,0)))*'Scenario Controls'!$B$23/25</x:f>
        <x:v>18</x:v>
      </x:c>
      <x:c r="M63" s="23" t="n">
        <x:f>J63*'Scenario Controls'!$B$24/15</x:f>
        <x:v>15</x:v>
      </x:c>
      <x:c r="N63" s="23" t="n">
        <x:f>IF(ISNUMBER(SEARCH("HEALTHY",X63)),10,IF(ISNUMBER(SEARCH("CONTAIN",X63)),6,0))*'Scenario Controls'!$B$25/10</x:f>
        <x:v>10</x:v>
      </x:c>
      <x:c r="O63" s="23" t="n">
        <x:f>SUM(K63:N63)</x:f>
        <x:v>93</x:v>
      </x:c>
      <x:c r="P63" s="15" t="str">
        <x:f>IF(OR(B63="",E63&lt;=0),"Evidence missing / not eligible",IF(ISNUMBER(SEARCH("priority TBD",Y63)),"Evidence missing / not eligible",IF(AND(H63="Carryover",NOT(ISNUMBER(F63))),"Evidence missing / not eligible",IF(AND(H63="Carryover",G63&lt;'Scenario Controls'!$B$16),"Evidence missing / not eligible",IF(AND(H63="ROI-Based Portfolio",NOT(ISNUMBER(F63))),"Evidence missing / not eligible",IF(AND(H63="ROI-Based Portfolio",O63&lt;'Scenario Controls'!$B$20),"Evidence missing / not eligible","Eligible"))))))</x:f>
        <x:v>Eligible</x:v>
      </x:c>
      <x:c r="Q63" s="19" t="n">
        <x:f>IF(P63&lt;&gt;"Eligible",0,IF(AND(SUMIFS($Q$5:Q62,$H$5:H62,H63)+E63&lt;=(IF(H63="LFR",'Scenario Controls'!$F$10,IF(H63="Sustain Engineering",'Scenario Controls'!$F$11,IF(H63="Hygiene",'Scenario Controls'!$F$12,1E+99))))*(1+'Scenario Controls'!$B$7),SUM($Q$5:Q62)+E63&lt;='Scenario Controls'!$B$6*(1+'Scenario Controls'!$B$7)),E63,0))</x:f>
        <x:v>1</x:v>
      </x:c>
      <x:c r="R63" s="24" t="str">
        <x:f>'EW Conference'!G51</x:f>
        <x:v>Automatic</x:v>
      </x:c>
      <x:c r="S63" s="24" t="str">
        <x:f>'EW Conference'!H51</x:f>
      </x:c>
      <x:c r="T63" s="19" t="n">
        <x:f>IF(R63="Exclude",0,IF(R63="Include",E63,Q63))</x:f>
        <x:v>1</x:v>
      </x:c>
      <x:c r="U63" s="15" t="str">
        <x:f>IF(T63&gt;0,"Funded",IF(P63="Eligible","Unfunded",P63))</x:f>
        <x:v>Funded</x:v>
      </x:c>
      <x:c r="V63" s="15" t="str">
        <x:f>IF(R63="Include","Conference inclusion: "&amp;S63,IF(R63="Exclude","Conference exclusion: "&amp;S63,IF(Q63&gt;0,H63&amp;" priority rank "&amp;I63&amp;"; whole initiative selected",P63)))</x:f>
        <x:v>Hygiene priority rank 6; whole initiative selected</x:v>
      </x:c>
      <x:c r="W63" s="15" t="str">
        <x:v>EW!121</x:v>
      </x:c>
      <x:c r="X63" s="15" t="str">
        <x:v>HEALTHY</x:v>
      </x:c>
      <x:c r="Y63" s="15" t="str">
        <x:v>HEALTHY — Rank in priority matrix</x:v>
      </x:c>
      <x:c r="Z63" s="15" t="str">
        <x:v>Continuous Improvement</x:v>
      </x:c>
      <x:c r="AA63" s="15" t="str">
        <x:v>Carry Over</x:v>
      </x:c>
      <x:c r="AB63" s="15" t="str">
        <x:v>Innovation and Digital IT</x:v>
      </x:c>
      <x:c r="AC63" s="15" t="str">
        <x:v>Improvement on the existing tooling will increase the maturity level by 25% of 10% of the total R&amp;D budget. Therefore, taking the assumption of 2025 1,7 bio of R&amp;D budget, the impact considered is 42,5 mio. The tooling and processes of Planisware as it is needs further improvement so it can be use to generate insights for Portfolio Management</x:v>
      </x:c>
      <x:c r="AD63" s="15" t="str">
        <x:v>•Further improvement of tooling and processes of Planisware as the Portfolio Management tool within Philips</x:v>
      </x:c>
      <x:c r="AE63" s="15" t="str">
        <x:v>More targeted streamlined insights generation</x:v>
      </x:c>
      <x:c r="AF63" s="15" t="str">
        <x:v>Improvement on the existing tooling will increase the maturity level by 25% of 10% of the total R&amp;D budget. Therefore, taking the assumption of 2025 1,7 bio of R&amp;D budget, the impact considered is 42,5 mio. The tooling and processes of Planisware as it is needs further improvement so it can be use to generate insights for Portfolio Management | •Further improvement of tooling and processes of Planisware as the Portfolio Management tool within Philips | More targeted streamlined insights generation</x:v>
      </x:c>
      <x:c r="AG63" s="15" t="str">
        <x:v>Must Have</x:v>
      </x:c>
      <x:c r="AH63" s="15" t="n">
        <x:v>123</x:v>
      </x:c>
    </x:row>
    <x:row r="64">
      <x:c r="A64" s="15" t="str">
        <x:v>Bu-31</x:v>
      </x:c>
      <x:c r="B64" s="15" t="str">
        <x:v>31.1 E-Commerce Analytics &amp; Digital Shelf</x:v>
      </x:c>
      <x:c r="C64" s="15" t="str">
        <x:v>BU Led</x:v>
      </x:c>
      <x:c r="D64" s="15" t="str">
        <x:v>Personal Health (PH)</x:v>
      </x:c>
      <x:c r="E64" s="19" t="n">
        <x:v>0.22</x:v>
      </x:c>
      <x:c r="F64" s="19" t="n">
        <x:v>1.533</x:v>
      </x:c>
      <x:c r="G64" s="22" t="n">
        <x:f>IF(AND(E64&gt;0,ISNUMBER(F64)),F64/E64,"")</x:f>
        <x:v>6.968181818181818</x:v>
      </x:c>
      <x:c r="H64" s="15" t="str">
        <x:v>Hygiene</x:v>
      </x:c>
      <x:c r="I64" s="15" t="n">
        <x:v>7</x:v>
      </x:c>
      <x:c r="J64" s="15" t="n">
        <x:v>15</x:v>
      </x:c>
      <x:c r="K64" s="23" t="n">
        <x:f>IF(G64="",0,IF(G64&lt;1,0,IF(G64&lt;2,20,IF(G64&lt;3,30,IF(G64&lt;5,40,50)))))*'Scenario Controls'!$B$22/50</x:f>
        <x:v>50</x:v>
      </x:c>
      <x:c r="L64" s="23" t="n">
        <x:f>IF(ISNUMBER(SEARCH("Must Do",AG64)),25,IF(ISNUMBER(SEARCH("Must Have",AG64)),18,IF(ISNUMBER(SEARCH("Deprior",AG64)),5,0)))*'Scenario Controls'!$B$23/25</x:f>
        <x:v>25</x:v>
      </x:c>
      <x:c r="M64" s="23" t="n">
        <x:f>J64*'Scenario Controls'!$B$24/15</x:f>
        <x:v>15</x:v>
      </x:c>
      <x:c r="N64" s="23" t="n">
        <x:f>IF(ISNUMBER(SEARCH("HEALTHY",X64)),10,IF(ISNUMBER(SEARCH("CONTAIN",X64)),6,0))*'Scenario Controls'!$B$25/10</x:f>
        <x:v>0</x:v>
      </x:c>
      <x:c r="O64" s="23" t="n">
        <x:f>SUM(K64:N64)</x:f>
        <x:v>90</x:v>
      </x:c>
      <x:c r="P64" s="15" t="str">
        <x:f>IF(OR(B64="",E64&lt;=0),"Evidence missing / not eligible",IF(ISNUMBER(SEARCH("priority TBD",Y64)),"Evidence missing / not eligible",IF(AND(H64="Carryover",NOT(ISNUMBER(F64))),"Evidence missing / not eligible",IF(AND(H64="Carryover",G64&lt;'Scenario Controls'!$B$16),"Evidence missing / not eligible",IF(AND(H64="ROI-Based Portfolio",NOT(ISNUMBER(F64))),"Evidence missing / not eligible",IF(AND(H64="ROI-Based Portfolio",O64&lt;'Scenario Controls'!$B$20),"Evidence missing / not eligible","Eligible"))))))</x:f>
        <x:v>Eligible</x:v>
      </x:c>
      <x:c r="Q64" s="19" t="n">
        <x:f>IF(P64&lt;&gt;"Eligible",0,IF(AND(SUMIFS($Q$5:Q63,$H$5:H63,H64)+E64&lt;=(IF(H64="LFR",'Scenario Controls'!$F$10,IF(H64="Sustain Engineering",'Scenario Controls'!$F$11,IF(H64="Hygiene",'Scenario Controls'!$F$12,1E+99))))*(1+'Scenario Controls'!$B$7),SUM($Q$5:Q63)+E64&lt;='Scenario Controls'!$B$6*(1+'Scenario Controls'!$B$7)),E64,0))</x:f>
        <x:v>0.22</x:v>
      </x:c>
      <x:c r="R64" s="24" t="str">
        <x:f>'BU Conference'!G18</x:f>
        <x:v>Automatic</x:v>
      </x:c>
      <x:c r="S64" s="24" t="str">
        <x:f>'BU Conference'!H18</x:f>
      </x:c>
      <x:c r="T64" s="19" t="n">
        <x:f>IF(R64="Exclude",0,IF(R64="Include",E64,Q64))</x:f>
        <x:v>0.22</x:v>
      </x:c>
      <x:c r="U64" s="15" t="str">
        <x:f>IF(T64&gt;0,"Funded",IF(P64="Eligible","Unfunded",P64))</x:f>
        <x:v>Funded</x:v>
      </x:c>
      <x:c r="V64" s="15" t="str">
        <x:f>IF(R64="Include","Conference inclusion: "&amp;S64,IF(R64="Exclude","Conference exclusion: "&amp;S64,IF(Q64&gt;0,H64&amp;" priority rank "&amp;I64&amp;"; whole initiative selected",P64)))</x:f>
        <x:v>Hygiene priority rank 7; whole initiative selected</x:v>
      </x:c>
      <x:c r="W64" s="15" t="str">
        <x:v>Bu!72</x:v>
      </x:c>
      <x:c r="X64" s="15" t="str"/>
      <x:c r="Y64" s="15" t="str"/>
      <x:c r="Z64" s="15" t="str">
        <x:v>Continous Improvement</x:v>
      </x:c>
      <x:c r="AA64" s="15" t="str">
        <x:v>Carry Over</x:v>
      </x:c>
      <x:c r="AB64" s="15" t="str">
        <x:v>Innovation and Digital IT</x:v>
      </x:c>
      <x:c r="AC64" s="15" t="str">
        <x:v>loss of revenue uplift that can be achieved with the continuouse investment on the amazon analytics</x:v>
      </x:c>
      <x:c r="AD64" s="15" t="str">
        <x:v>In 2027 will be about helping the global/region and markets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x:v>
      </x:c>
      <x:c r="AE64" s="15" t="str">
        <x:v>SKU Level Analysis reporting</x:v>
      </x:c>
      <x:c r="AF64" s="15" t="str">
        <x:v>loss of revenue uplift that can be achieved with the continuouse investment on the amazon analytics | In 2027 will be about helping the global/region and markets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 SKU Level Analysis reporting</x:v>
      </x:c>
      <x:c r="AG64" s="15" t="str">
        <x:v>Must Do</x:v>
      </x:c>
      <x:c r="AH64" s="15" t="n">
        <x:v>216</x:v>
      </x:c>
    </x:row>
    <x:row r="65">
      <x:c r="A65" s="15" t="str">
        <x:v>Bu-22</x:v>
      </x:c>
      <x:c r="B65" s="15" t="str">
        <x:v>03. Professionals / D2B2C</x:v>
      </x:c>
      <x:c r="C65" s="15" t="str">
        <x:v>BU Led</x:v>
      </x:c>
      <x:c r="D65" s="15" t="str">
        <x:v>Personal Health (PH)</x:v>
      </x:c>
      <x:c r="E65" s="19" t="n">
        <x:v>1</x:v>
      </x:c>
      <x:c r="F65" s="19" t="n">
        <x:v>5.053</x:v>
      </x:c>
      <x:c r="G65" s="22" t="n">
        <x:f>IF(AND(E65&gt;0,ISNUMBER(F65)),F65/E65,"")</x:f>
        <x:v>5.053</x:v>
      </x:c>
      <x:c r="H65" s="15" t="str">
        <x:v>Hygiene</x:v>
      </x:c>
      <x:c r="I65" s="15" t="n">
        <x:v>8</x:v>
      </x:c>
      <x:c r="J65" s="15" t="n">
        <x:v>15</x:v>
      </x:c>
      <x:c r="K65" s="23" t="n">
        <x:f>IF(G65="",0,IF(G65&lt;1,0,IF(G65&lt;2,20,IF(G65&lt;3,30,IF(G65&lt;5,40,50)))))*'Scenario Controls'!$B$22/50</x:f>
        <x:v>50</x:v>
      </x:c>
      <x:c r="L65" s="23" t="n">
        <x:f>IF(ISNUMBER(SEARCH("Must Do",AG65)),25,IF(ISNUMBER(SEARCH("Must Have",AG65)),18,IF(ISNUMBER(SEARCH("Deprior",AG65)),5,0)))*'Scenario Controls'!$B$23/25</x:f>
        <x:v>25</x:v>
      </x:c>
      <x:c r="M65" s="23" t="n">
        <x:f>J65*'Scenario Controls'!$B$24/15</x:f>
        <x:v>15</x:v>
      </x:c>
      <x:c r="N65" s="23" t="n">
        <x:f>IF(ISNUMBER(SEARCH("HEALTHY",X65)),10,IF(ISNUMBER(SEARCH("CONTAIN",X65)),6,0))*'Scenario Controls'!$B$25/10</x:f>
        <x:v>0</x:v>
      </x:c>
      <x:c r="O65" s="23" t="n">
        <x:f>SUM(K65:N65)</x:f>
        <x:v>90</x:v>
      </x:c>
      <x:c r="P65" s="15" t="str">
        <x:f>IF(OR(B65="",E65&lt;=0),"Evidence missing / not eligible",IF(ISNUMBER(SEARCH("priority TBD",Y65)),"Evidence missing / not eligible",IF(AND(H65="Carryover",NOT(ISNUMBER(F65))),"Evidence missing / not eligible",IF(AND(H65="Carryover",G65&lt;'Scenario Controls'!$B$16),"Evidence missing / not eligible",IF(AND(H65="ROI-Based Portfolio",NOT(ISNUMBER(F65))),"Evidence missing / not eligible",IF(AND(H65="ROI-Based Portfolio",O65&lt;'Scenario Controls'!$B$20),"Evidence missing / not eligible","Eligible"))))))</x:f>
        <x:v>Eligible</x:v>
      </x:c>
      <x:c r="Q65" s="19" t="n">
        <x:f>IF(P65&lt;&gt;"Eligible",0,IF(AND(SUMIFS($Q$5:Q64,$H$5:H64,H65)+E65&lt;=(IF(H65="LFR",'Scenario Controls'!$F$10,IF(H65="Sustain Engineering",'Scenario Controls'!$F$11,IF(H65="Hygiene",'Scenario Controls'!$F$12,1E+99))))*(1+'Scenario Controls'!$B$7),SUM($Q$5:Q64)+E65&lt;='Scenario Controls'!$B$6*(1+'Scenario Controls'!$B$7)),E65,0))</x:f>
        <x:v>1</x:v>
      </x:c>
      <x:c r="R65" s="24" t="str">
        <x:f>'BU Conference'!G19</x:f>
        <x:v>Automatic</x:v>
      </x:c>
      <x:c r="S65" s="24" t="str">
        <x:f>'BU Conference'!H19</x:f>
      </x:c>
      <x:c r="T65" s="19" t="n">
        <x:f>IF(R65="Exclude",0,IF(R65="Include",E65,Q65))</x:f>
        <x:v>1</x:v>
      </x:c>
      <x:c r="U65" s="15" t="str">
        <x:f>IF(T65&gt;0,"Funded",IF(P65="Eligible","Unfunded",P65))</x:f>
        <x:v>Funded</x:v>
      </x:c>
      <x:c r="V65" s="15" t="str">
        <x:f>IF(R65="Include","Conference inclusion: "&amp;S65,IF(R65="Exclude","Conference exclusion: "&amp;S65,IF(Q65&gt;0,H65&amp;" priority rank "&amp;I65&amp;"; whole initiative selected",P65)))</x:f>
        <x:v>Hygiene priority rank 8; whole initiative selected</x:v>
      </x:c>
      <x:c r="W65" s="15" t="str">
        <x:v>Bu!32</x:v>
      </x:c>
      <x:c r="X65" s="15" t="str"/>
      <x:c r="Y65" s="15" t="str"/>
      <x:c r="Z65" s="15" t="str">
        <x:v>Upgrades &amp; Enhancements</x:v>
      </x:c>
      <x:c r="AA65" s="15" t="str">
        <x:v>Carry Over</x:v>
      </x:c>
      <x:c r="AB65" s="15" t="str">
        <x:v>Innovation and Digital IT</x:v>
      </x:c>
      <x:c r="AC65" s="15" t="str">
        <x: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x:v>
      </x:c>
      <x:c r="AD65" s="15" t="str">
        <x:v>Evolve Philips Store for Business into a scalable digital growth and customer engagement channel, enabling Philips to serve the longtail of retail customers more efficiently while focusing PH teams on strategic top customers.</x:v>
      </x:c>
      <x:c r="AE65" s="15" t="str">
        <x:v>Roll-out and set SFDC up for success to accelerate our flywheel to key countries and have same version &amp; functions everywhere (=standardization) &gt; Nordics</x:v>
      </x:c>
      <x:c r="AF65" s="15" t="str">
        <x: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 Evolve Philips Store for Business into a scalable digital growth and customer engagement channel, enabling Philips to serve the longtail of retail customers more efficiently while focusing PH teams on strategic top customers. | Roll-out and set SFDC up for success to accelerate our flywheel to key countries and have same version &amp; functions everywhere (=standardization) &gt; Nordics</x:v>
      </x:c>
      <x:c r="AG65" s="15" t="str">
        <x:v>Must Do</x:v>
      </x:c>
      <x:c r="AH65" s="15" t="n">
        <x:v>207</x:v>
      </x:c>
    </x:row>
    <x:row r="66">
      <x:c r="A66" s="15" t="str">
        <x:v>Bu-98</x:v>
      </x:c>
      <x:c r="B66" s="15" t="str">
        <x:v>ISC CRs</x:v>
      </x:c>
      <x:c r="C66" s="15" t="str">
        <x:v>BU Led</x:v>
      </x:c>
      <x:c r="D66" s="15" t="str">
        <x:v>Sleep &amp; Respiratory Care (SRC)</x:v>
      </x:c>
      <x:c r="E66" s="19" t="n">
        <x:v>0.1</x:v>
      </x:c>
      <x:c r="F66" s="19" t="n">
        <x:v>0.5</x:v>
      </x:c>
      <x:c r="G66" s="22" t="n">
        <x:f>IF(AND(E66&gt;0,ISNUMBER(F66)),F66/E66,"")</x:f>
        <x:v>5</x:v>
      </x:c>
      <x:c r="H66" s="15" t="str">
        <x:v>Hygiene</x:v>
      </x:c>
      <x:c r="I66" s="15" t="n">
        <x:v>9</x:v>
      </x:c>
      <x:c r="J66" s="15" t="n">
        <x:v>5</x:v>
      </x:c>
      <x:c r="K66" s="23" t="n">
        <x:f>IF(G66="",0,IF(G66&lt;1,0,IF(G66&lt;2,20,IF(G66&lt;3,30,IF(G66&lt;5,40,50)))))*'Scenario Controls'!$B$22/50</x:f>
        <x:v>50</x:v>
      </x:c>
      <x:c r="L66" s="23" t="n">
        <x:f>IF(ISNUMBER(SEARCH("Must Do",AG66)),25,IF(ISNUMBER(SEARCH("Must Have",AG66)),18,IF(ISNUMBER(SEARCH("Deprior",AG66)),5,0)))*'Scenario Controls'!$B$23/25</x:f>
        <x:v>25</x:v>
      </x:c>
      <x:c r="M66" s="23" t="n">
        <x:f>J66*'Scenario Controls'!$B$24/15</x:f>
        <x:v>5</x:v>
      </x:c>
      <x:c r="N66" s="23" t="n">
        <x:f>IF(ISNUMBER(SEARCH("HEALTHY",X66)),10,IF(ISNUMBER(SEARCH("CONTAIN",X66)),6,0))*'Scenario Controls'!$B$25/10</x:f>
        <x:v>10</x:v>
      </x:c>
      <x:c r="O66" s="23" t="n">
        <x:f>SUM(K66:N66)</x:f>
        <x:v>90</x:v>
      </x:c>
      <x:c r="P66" s="15" t="str">
        <x:f>IF(OR(B66="",E66&lt;=0),"Evidence missing / not eligible",IF(ISNUMBER(SEARCH("priority TBD",Y66)),"Evidence missing / not eligible",IF(AND(H66="Carryover",NOT(ISNUMBER(F66))),"Evidence missing / not eligible",IF(AND(H66="Carryover",G66&lt;'Scenario Controls'!$B$16),"Evidence missing / not eligible",IF(AND(H66="ROI-Based Portfolio",NOT(ISNUMBER(F66))),"Evidence missing / not eligible",IF(AND(H66="ROI-Based Portfolio",O66&lt;'Scenario Controls'!$B$20),"Evidence missing / not eligible","Eligible"))))))</x:f>
        <x:v>Eligible</x:v>
      </x:c>
      <x:c r="Q66" s="19" t="n">
        <x:f>IF(P66&lt;&gt;"Eligible",0,IF(AND(SUMIFS($Q$5:Q65,$H$5:H65,H66)+E66&lt;=(IF(H66="LFR",'Scenario Controls'!$F$10,IF(H66="Sustain Engineering",'Scenario Controls'!$F$11,IF(H66="Hygiene",'Scenario Controls'!$F$12,1E+99))))*(1+'Scenario Controls'!$B$7),SUM($Q$5:Q65)+E66&lt;='Scenario Controls'!$B$6*(1+'Scenario Controls'!$B$7)),E66,0))</x:f>
        <x:v>0.1</x:v>
      </x:c>
      <x:c r="R66" s="24" t="str">
        <x:f>'BU Conference'!G20</x:f>
        <x:v>Automatic</x:v>
      </x:c>
      <x:c r="S66" s="24" t="str">
        <x:f>'BU Conference'!H20</x:f>
      </x:c>
      <x:c r="T66" s="19" t="n">
        <x:f>IF(R66="Exclude",0,IF(R66="Include",E66,Q66))</x:f>
        <x:v>0.1</x:v>
      </x:c>
      <x:c r="U66" s="15" t="str">
        <x:f>IF(T66&gt;0,"Funded",IF(P66="Eligible","Unfunded",P66))</x:f>
        <x:v>Funded</x:v>
      </x:c>
      <x:c r="V66" s="15" t="str">
        <x:f>IF(R66="Include","Conference inclusion: "&amp;S66,IF(R66="Exclude","Conference exclusion: "&amp;S66,IF(Q66&gt;0,H66&amp;" priority rank "&amp;I66&amp;"; whole initiative selected",P66)))</x:f>
        <x:v>Hygiene priority rank 9; whole initiative selected</x:v>
      </x:c>
      <x:c r="W66" s="15" t="str">
        <x:v>Bu!239</x:v>
      </x:c>
      <x:c r="X66" s="15" t="str">
        <x:v>HEALTHY</x:v>
      </x:c>
      <x:c r="Y66" s="15" t="str">
        <x:v>HEALTHY — Rank in priority matrix</x:v>
      </x:c>
      <x:c r="Z66" s="15" t="str">
        <x:v>Continous Improvement</x:v>
      </x:c>
      <x:c r="AA66" s="15" t="str">
        <x:v>New Initiative</x:v>
      </x:c>
      <x:c r="AB66" s="15" t="str">
        <x:v>Integrated Supply Chain &amp; Finance</x:v>
      </x:c>
      <x:c r="AC66" s="15" t="str">
        <x:v>Critical budget required to support SAP CRs for multiple projects</x:v>
      </x:c>
      <x:c r="AD66" s="15" t="str">
        <x:v>SRC spare parts purchase orders under CN90 (China) + establish manual debit notes to replace the previous automatic charging under CN95 + New Purchasing Org for Costa Rica</x:v>
      </x:c>
      <x:c r="AE66" s="15" t="str">
        <x:v>SRC spare parts purchase orders under CN90 (China) + establish manual debit notes to replace the previous automatic charging under CN95 + New Purchasing Org for Costa Rica</x:v>
      </x:c>
      <x:c r="AF66" s="15" t="str">
        <x:v>Critical budget required to support SAP CRs for multiple projects | SRC spare parts purchase orders under CN90 (China) + establish manual debit notes to replace the previous automatic charging under CN95 + New Purchasing Org for Costa Rica | SRC spare parts purchase orders under CN90 (China) + establish manual debit notes to replace the previous automatic charging under CN95 + New Purchasing Org for Costa Rica</x:v>
      </x:c>
      <x:c r="AG66" s="15" t="str">
        <x:v>Must Do</x:v>
      </x:c>
      <x:c r="AH66" s="15" t="n">
        <x:v>275</x:v>
      </x:c>
    </x:row>
    <x:row r="67">
      <x:c r="A67" s="15" t="str">
        <x:v>EW-120</x:v>
      </x:c>
      <x:c r="B67" s="15" t="str">
        <x:v>EADI - MDM Decom</x:v>
      </x:c>
      <x:c r="C67" s="15" t="str">
        <x:v>EW Led</x:v>
      </x:c>
      <x:c r="D67" s="15" t="str">
        <x:v>Information Technology</x:v>
      </x:c>
      <x:c r="E67" s="19" t="n">
        <x:v>0.575</x:v>
      </x:c>
      <x:c r="F67" s="19" t="n">
        <x:v>2.2</x:v>
      </x:c>
      <x:c r="G67" s="22" t="n">
        <x:f>IF(AND(E67&gt;0,ISNUMBER(F67)),F67/E67,"")</x:f>
        <x:v>3.8260869565217397</x:v>
      </x:c>
      <x:c r="H67" s="15" t="str">
        <x:v>Hygiene</x:v>
      </x:c>
      <x:c r="I67" s="15" t="n">
        <x:v>10</x:v>
      </x:c>
      <x:c r="J67" s="15" t="n">
        <x:v>15</x:v>
      </x:c>
      <x:c r="K67" s="23" t="n">
        <x:f>IF(G67="",0,IF(G67&lt;1,0,IF(G67&lt;2,20,IF(G67&lt;3,30,IF(G67&lt;5,40,50)))))*'Scenario Controls'!$B$22/50</x:f>
        <x:v>40</x:v>
      </x:c>
      <x:c r="L67" s="23" t="n">
        <x:f>IF(ISNUMBER(SEARCH("Must Do",AG67)),25,IF(ISNUMBER(SEARCH("Must Have",AG67)),18,IF(ISNUMBER(SEARCH("Deprior",AG67)),5,0)))*'Scenario Controls'!$B$23/25</x:f>
        <x:v>25</x:v>
      </x:c>
      <x:c r="M67" s="23" t="n">
        <x:f>J67*'Scenario Controls'!$B$24/15</x:f>
        <x:v>15</x:v>
      </x:c>
      <x:c r="N67" s="23" t="n">
        <x:f>IF(ISNUMBER(SEARCH("HEALTHY",X67)),10,IF(ISNUMBER(SEARCH("CONTAIN",X67)),6,0))*'Scenario Controls'!$B$25/10</x:f>
        <x:v>10</x:v>
      </x:c>
      <x:c r="O67" s="23" t="n">
        <x:f>SUM(K67:N67)</x:f>
        <x:v>90</x:v>
      </x:c>
      <x:c r="P67" s="15" t="str">
        <x:f>IF(OR(B67="",E67&lt;=0),"Evidence missing / not eligible",IF(ISNUMBER(SEARCH("priority TBD",Y67)),"Evidence missing / not eligible",IF(AND(H67="Carryover",NOT(ISNUMBER(F67))),"Evidence missing / not eligible",IF(AND(H67="Carryover",G67&lt;'Scenario Controls'!$B$16),"Evidence missing / not eligible",IF(AND(H67="ROI-Based Portfolio",NOT(ISNUMBER(F67))),"Evidence missing / not eligible",IF(AND(H67="ROI-Based Portfolio",O67&lt;'Scenario Controls'!$B$20),"Evidence missing / not eligible","Eligible"))))))</x:f>
        <x:v>Eligible</x:v>
      </x:c>
      <x:c r="Q67" s="19" t="n">
        <x:f>IF(P67&lt;&gt;"Eligible",0,IF(AND(SUMIFS($Q$5:Q66,$H$5:H66,H67)+E67&lt;=(IF(H67="LFR",'Scenario Controls'!$F$10,IF(H67="Sustain Engineering",'Scenario Controls'!$F$11,IF(H67="Hygiene",'Scenario Controls'!$F$12,1E+99))))*(1+'Scenario Controls'!$B$7),SUM($Q$5:Q66)+E67&lt;='Scenario Controls'!$B$6*(1+'Scenario Controls'!$B$7)),E67,0))</x:f>
        <x:v>0.575</x:v>
      </x:c>
      <x:c r="R67" s="24" t="str">
        <x:f>'EW Conference'!G52</x:f>
        <x:v>Automatic</x:v>
      </x:c>
      <x:c r="S67" s="24" t="str">
        <x:f>'EW Conference'!H52</x:f>
      </x:c>
      <x:c r="T67" s="19" t="n">
        <x:f>IF(R67="Exclude",0,IF(R67="Include",E67,Q67))</x:f>
        <x:v>0.575</x:v>
      </x:c>
      <x:c r="U67" s="15" t="str">
        <x:f>IF(T67&gt;0,"Funded",IF(P67="Eligible","Unfunded",P67))</x:f>
        <x:v>Funded</x:v>
      </x:c>
      <x:c r="V67" s="15" t="str">
        <x:f>IF(R67="Include","Conference inclusion: "&amp;S67,IF(R67="Exclude","Conference exclusion: "&amp;S67,IF(Q67&gt;0,H67&amp;" priority rank "&amp;I67&amp;"; whole initiative selected",P67)))</x:f>
        <x:v>Hygiene priority rank 10; whole initiative selected</x:v>
      </x:c>
      <x:c r="W67" s="15" t="str">
        <x:v>EW!116</x:v>
      </x:c>
      <x:c r="X67" s="15" t="str">
        <x:v>HEALTHY</x:v>
      </x:c>
      <x:c r="Y67" s="15" t="str">
        <x:v>HEALTHY — Rank in priority matrix</x:v>
      </x:c>
      <x:c r="Z67" s="15" t="str">
        <x:v>Decomm/Replatforming</x:v>
      </x:c>
      <x:c r="AA67" s="15" t="str">
        <x:v>Carry Over</x:v>
      </x:c>
      <x:c r="AB67" s="15" t="str">
        <x:v>Enterprise Architecture, Data &amp; Integration</x:v>
      </x:c>
      <x:c r="AC67" s="15" t="str">
        <x:v>Cost of 2200K-2600K will be incurred.</x:v>
      </x:c>
      <x:c r="AD67" s="15" t="str">
        <x:v>As per Sunshine act, HCO/HCP spend requires Master data consolidation in IDMC</x:v>
      </x:c>
      <x:c r="AE67" s="15" t="str">
        <x:v>Consolidation of Business partners by moving customers master data and vendor master data as well to IDMC.</x:v>
      </x:c>
      <x:c r="AF67" s="15" t="str">
        <x:v>Cost of 2200K-2600K will be incurred. | As per Sunshine act, HCO/HCP spend requires Master data consolidation in IDMC | Consolidation of Business partners by moving customers master data and vendor master data as well to IDMC.</x:v>
      </x:c>
      <x:c r="AG67" s="15" t="str">
        <x:v>Must Do</x:v>
      </x:c>
      <x:c r="AH67" s="15" t="n">
        <x:v>118</x:v>
      </x:c>
    </x:row>
    <x:row r="68">
      <x:c r="A68" s="15" t="str">
        <x:v>EW-40</x:v>
      </x:c>
      <x:c r="B68" s="15" t="str">
        <x:v>EADI - Data Design &amp; Lineage</x:v>
      </x:c>
      <x:c r="C68" s="15" t="str">
        <x:v>EW Led</x:v>
      </x:c>
      <x:c r="D68" s="15" t="str">
        <x:v>Information Technology</x:v>
      </x:c>
      <x:c r="E68" s="19" t="n">
        <x:v>0.15</x:v>
      </x:c>
      <x:c r="F68" s="19" t="n">
        <x:v>0.5</x:v>
      </x:c>
      <x:c r="G68" s="22" t="n">
        <x:f>IF(AND(E68&gt;0,ISNUMBER(F68)),F68/E68,"")</x:f>
        <x:v>3.3333333333333335</x:v>
      </x:c>
      <x:c r="H68" s="15" t="str">
        <x:v>Hygiene</x:v>
      </x:c>
      <x:c r="I68" s="15" t="n">
        <x:v>11</x:v>
      </x:c>
      <x:c r="J68" s="15" t="n">
        <x:v>15</x:v>
      </x:c>
      <x:c r="K68" s="23" t="n">
        <x:f>IF(G68="",0,IF(G68&lt;1,0,IF(G68&lt;2,20,IF(G68&lt;3,30,IF(G68&lt;5,40,50)))))*'Scenario Controls'!$B$22/50</x:f>
        <x:v>40</x:v>
      </x:c>
      <x:c r="L68" s="23" t="n">
        <x:f>IF(ISNUMBER(SEARCH("Must Do",AG68)),25,IF(ISNUMBER(SEARCH("Must Have",AG68)),18,IF(ISNUMBER(SEARCH("Deprior",AG68)),5,0)))*'Scenario Controls'!$B$23/25</x:f>
        <x:v>25</x:v>
      </x:c>
      <x:c r="M68" s="23" t="n">
        <x:f>J68*'Scenario Controls'!$B$24/15</x:f>
        <x:v>15</x:v>
      </x:c>
      <x:c r="N68" s="23" t="n">
        <x:f>IF(ISNUMBER(SEARCH("HEALTHY",X68)),10,IF(ISNUMBER(SEARCH("CONTAIN",X68)),6,0))*'Scenario Controls'!$B$25/10</x:f>
        <x:v>10</x:v>
      </x:c>
      <x:c r="O68" s="23" t="n">
        <x:f>SUM(K68:N68)</x:f>
        <x:v>90</x:v>
      </x:c>
      <x:c r="P68" s="15" t="str">
        <x:f>IF(OR(B68="",E68&lt;=0),"Evidence missing / not eligible",IF(ISNUMBER(SEARCH("priority TBD",Y68)),"Evidence missing / not eligible",IF(AND(H68="Carryover",NOT(ISNUMBER(F68))),"Evidence missing / not eligible",IF(AND(H68="Carryover",G68&lt;'Scenario Controls'!$B$16),"Evidence missing / not eligible",IF(AND(H68="ROI-Based Portfolio",NOT(ISNUMBER(F68))),"Evidence missing / not eligible",IF(AND(H68="ROI-Based Portfolio",O68&lt;'Scenario Controls'!$B$20),"Evidence missing / not eligible","Eligible"))))))</x:f>
        <x:v>Eligible</x:v>
      </x:c>
      <x:c r="Q68" s="19" t="n">
        <x:f>IF(P68&lt;&gt;"Eligible",0,IF(AND(SUMIFS($Q$5:Q67,$H$5:H67,H68)+E68&lt;=(IF(H68="LFR",'Scenario Controls'!$F$10,IF(H68="Sustain Engineering",'Scenario Controls'!$F$11,IF(H68="Hygiene",'Scenario Controls'!$F$12,1E+99))))*(1+'Scenario Controls'!$B$7),SUM($Q$5:Q67)+E68&lt;='Scenario Controls'!$B$6*(1+'Scenario Controls'!$B$7)),E68,0))</x:f>
        <x:v>0.15</x:v>
      </x:c>
      <x:c r="R68" s="24" t="str">
        <x:f>'EW Conference'!G53</x:f>
        <x:v>Automatic</x:v>
      </x:c>
      <x:c r="S68" s="24" t="str">
        <x:f>'EW Conference'!H53</x:f>
      </x:c>
      <x:c r="T68" s="19" t="n">
        <x:f>IF(R68="Exclude",0,IF(R68="Include",E68,Q68))</x:f>
        <x:v>0.15</x:v>
      </x:c>
      <x:c r="U68" s="15" t="str">
        <x:f>IF(T68&gt;0,"Funded",IF(P68="Eligible","Unfunded",P68))</x:f>
        <x:v>Funded</x:v>
      </x:c>
      <x:c r="V68" s="15" t="str">
        <x:f>IF(R68="Include","Conference inclusion: "&amp;S68,IF(R68="Exclude","Conference exclusion: "&amp;S68,IF(Q68&gt;0,H68&amp;" priority rank "&amp;I68&amp;"; whole initiative selected",P68)))</x:f>
        <x:v>Hygiene priority rank 11; whole initiative selected</x:v>
      </x:c>
      <x:c r="W68" s="15" t="str">
        <x:v>EW!41</x:v>
      </x:c>
      <x:c r="X68" s="15" t="str">
        <x:v>HEALTHY</x:v>
      </x:c>
      <x:c r="Y68" s="15" t="str">
        <x:v>HEALTHY — Rank in priority matrix</x:v>
      </x:c>
      <x:c r="Z68" s="15" t="str">
        <x:v>Upgrades &amp; Enhancements</x:v>
      </x:c>
      <x:c r="AA68" s="15" t="str">
        <x:v>Carry Over</x:v>
      </x:c>
      <x:c r="AB68" s="15" t="str">
        <x:v>Enterprise Architecture, Data &amp; Integration</x:v>
      </x:c>
      <x:c r="AC68" s="15" t="str">
        <x:v>Loss in Productivity and Savings will not be realized.</x:v>
      </x:c>
      <x:c r="AD68" s="15" t="str">
        <x:v>One Stop Analytics Shop legacy application is highly manual, data quality is poor and there is lack of data ownership. No visibility to lineage across data models, assets, reports</x:v>
      </x:c>
      <x:c r="AE68" s="15" t="str">
        <x:v>Enterprise IT and Clinical Data E2E lineage and visibility; integration with enterprise Knowledge Graph</x:v>
      </x:c>
      <x:c r="AF68" s="15" t="str">
        <x:v>Loss in Productivity and Savings will not be realized. | One Stop Analytics Shop legacy application is highly manual, data quality is poor and there is lack of data ownership. No visibility to lineage across data models, assets, reports | Enterprise IT and Clinical Data E2E lineage and visibility; integration with enterprise Knowledge Graph</x:v>
      </x:c>
      <x:c r="AG68" s="15" t="str">
        <x:v>Must Do</x:v>
      </x:c>
      <x:c r="AH68" s="15" t="n">
        <x:v>43</x:v>
      </x:c>
    </x:row>
    <x:row r="69">
      <x:c r="A69" s="15" t="str">
        <x:v>EW-155</x:v>
      </x:c>
      <x:c r="B69" s="15" t="str">
        <x:v>CRMA and Qlikview Decom - Commercial Analytics</x:v>
      </x:c>
      <x:c r="C69" s="15" t="str">
        <x:v>EW Led</x:v>
      </x:c>
      <x:c r="D69" s="15" t="str">
        <x:v>Information Technology</x:v>
      </x:c>
      <x:c r="E69" s="19" t="n">
        <x:v>0.15</x:v>
      </x:c>
      <x:c r="F69" s="19" t="n">
        <x:v>0.77</x:v>
      </x:c>
      <x:c r="G69" s="22" t="n">
        <x:f>IF(AND(E69&gt;0,ISNUMBER(F69)),F69/E69,"")</x:f>
        <x:v>5.133333333333334</x:v>
      </x:c>
      <x:c r="H69" s="15" t="str">
        <x:v>Hygiene</x:v>
      </x:c>
      <x:c r="I69" s="15" t="n">
        <x:v>12</x:v>
      </x:c>
      <x:c r="J69" s="15" t="n">
        <x:v>10</x:v>
      </x:c>
      <x:c r="K69" s="23" t="n">
        <x:f>IF(G69="",0,IF(G69&lt;1,0,IF(G69&lt;2,20,IF(G69&lt;3,30,IF(G69&lt;5,40,50)))))*'Scenario Controls'!$B$22/50</x:f>
        <x:v>50</x:v>
      </x:c>
      <x:c r="L69" s="23" t="n">
        <x:f>IF(ISNUMBER(SEARCH("Must Do",AG69)),25,IF(ISNUMBER(SEARCH("Must Have",AG69)),18,IF(ISNUMBER(SEARCH("Deprior",AG69)),5,0)))*'Scenario Controls'!$B$23/25</x:f>
        <x:v>18</x:v>
      </x:c>
      <x:c r="M69" s="23" t="n">
        <x:f>J69*'Scenario Controls'!$B$24/15</x:f>
        <x:v>10</x:v>
      </x:c>
      <x:c r="N69" s="23" t="n">
        <x:f>IF(ISNUMBER(SEARCH("HEALTHY",X69)),10,IF(ISNUMBER(SEARCH("CONTAIN",X69)),6,0))*'Scenario Controls'!$B$25/10</x:f>
        <x:v>10</x:v>
      </x:c>
      <x:c r="O69" s="23" t="n">
        <x:f>SUM(K69:N69)</x:f>
        <x:v>88</x:v>
      </x:c>
      <x:c r="P69" s="15" t="str">
        <x:f>IF(OR(B69="",E69&lt;=0),"Evidence missing / not eligible",IF(ISNUMBER(SEARCH("priority TBD",Y69)),"Evidence missing / not eligible",IF(AND(H69="Carryover",NOT(ISNUMBER(F69))),"Evidence missing / not eligible",IF(AND(H69="Carryover",G69&lt;'Scenario Controls'!$B$16),"Evidence missing / not eligible",IF(AND(H69="ROI-Based Portfolio",NOT(ISNUMBER(F69))),"Evidence missing / not eligible",IF(AND(H69="ROI-Based Portfolio",O69&lt;'Scenario Controls'!$B$20),"Evidence missing / not eligible","Eligible"))))))</x:f>
        <x:v>Eligible</x:v>
      </x:c>
      <x:c r="Q69" s="19" t="n">
        <x:f>IF(P69&lt;&gt;"Eligible",0,IF(AND(SUMIFS($Q$5:Q68,$H$5:H68,H69)+E69&lt;=(IF(H69="LFR",'Scenario Controls'!$F$10,IF(H69="Sustain Engineering",'Scenario Controls'!$F$11,IF(H69="Hygiene",'Scenario Controls'!$F$12,1E+99))))*(1+'Scenario Controls'!$B$7),SUM($Q$5:Q68)+E69&lt;='Scenario Controls'!$B$6*(1+'Scenario Controls'!$B$7)),E69,0))</x:f>
        <x:v>0.15</x:v>
      </x:c>
      <x:c r="R69" s="24" t="str">
        <x:f>'EW Conference'!G54</x:f>
        <x:v>Automatic</x:v>
      </x:c>
      <x:c r="S69" s="24" t="str">
        <x:f>'EW Conference'!H54</x:f>
      </x:c>
      <x:c r="T69" s="19" t="n">
        <x:f>IF(R69="Exclude",0,IF(R69="Include",E69,Q69))</x:f>
        <x:v>0.15</x:v>
      </x:c>
      <x:c r="U69" s="15" t="str">
        <x:f>IF(T69&gt;0,"Funded",IF(P69="Eligible","Unfunded",P69))</x:f>
        <x:v>Funded</x:v>
      </x:c>
      <x:c r="V69" s="15" t="str">
        <x:f>IF(R69="Include","Conference inclusion: "&amp;S69,IF(R69="Exclude","Conference exclusion: "&amp;S69,IF(Q69&gt;0,H69&amp;" priority rank "&amp;I69&amp;"; whole initiative selected",P69)))</x:f>
        <x:v>Hygiene priority rank 12; whole initiative selected</x:v>
      </x:c>
      <x:c r="W69" s="15" t="str">
        <x:v>EW!151</x:v>
      </x:c>
      <x:c r="X69" s="15" t="str">
        <x:v>HEALTHY</x:v>
      </x:c>
      <x:c r="Y69" s="15" t="str">
        <x:v>HEALTHY — Rank in priority matrix</x:v>
      </x:c>
      <x:c r="Z69" s="15" t="str">
        <x:v>Decomm/Replatforming</x:v>
      </x:c>
      <x:c r="AA69" s="15" t="str">
        <x:v>New Initiative</x:v>
      </x:c>
      <x:c r="AB69" s="15" t="str">
        <x:v>Commercial IT</x:v>
      </x:c>
      <x:c r="AC69" s="15" t="str">
        <x:v>License and maintenance cost reduction in line with our Ops spend reduction</x:v>
      </x:c>
      <x:c r="AD69" s="15" t="str">
        <x:v>Use context-aware AI nudges to give leaders and employees timely onboarding actions, improving accountability, consistency and the new-hire experience.</x:v>
      </x:c>
      <x:c r="AE69" s="15" t="str">
        <x:v>Replace generic onboarding messages with timely, milestone-based AI guidance.</x:v>
      </x:c>
      <x:c r="AF69" s="15" t="str">
        <x:v>License and maintenance cost reduction in line with our Ops spend reduction | Use context-aware AI nudges to give leaders and employees timely onboarding actions, improving accountability, consistency and the new-hire experience. | Replace generic onboarding messages with timely, milestone-based AI guidance.</x:v>
      </x:c>
      <x:c r="AG69" s="15" t="str">
        <x:v>Must Have</x:v>
      </x:c>
      <x:c r="AH69" s="15" t="n">
        <x:v>153</x:v>
      </x:c>
    </x:row>
    <x:row r="70">
      <x:c r="A70" s="15" t="str">
        <x:v>Bu-55</x:v>
      </x:c>
      <x:c r="B70" s="15" t="str">
        <x:v>D2B HS eCommerce 2025_26</x:v>
      </x:c>
      <x:c r="C70" s="15" t="str">
        <x:v>BU Led</x:v>
      </x:c>
      <x:c r="D70" s="15" t="str">
        <x:v>CoE Marketing – HS (former DMEC)</x:v>
      </x:c>
      <x:c r="E70" s="19" t="n">
        <x:v>0.4</x:v>
      </x:c>
      <x:c r="F70" s="19" t="n">
        <x:v>3</x:v>
      </x:c>
      <x:c r="G70" s="22" t="n">
        <x:f>IF(AND(E70&gt;0,ISNUMBER(F70)),F70/E70,"")</x:f>
        <x:v>7.5</x:v>
      </x:c>
      <x:c r="H70" s="15" t="str">
        <x:v>Hygiene</x:v>
      </x:c>
      <x:c r="I70" s="15" t="n">
        <x:v>13</x:v>
      </x:c>
      <x:c r="J70" s="15" t="n">
        <x:v>10</x:v>
      </x:c>
      <x:c r="K70" s="23" t="n">
        <x:f>IF(G70="",0,IF(G70&lt;1,0,IF(G70&lt;2,20,IF(G70&lt;3,30,IF(G70&lt;5,40,50)))))*'Scenario Controls'!$B$22/50</x:f>
        <x:v>50</x:v>
      </x:c>
      <x:c r="L70" s="23" t="n">
        <x:f>IF(ISNUMBER(SEARCH("Must Do",AG70)),25,IF(ISNUMBER(SEARCH("Must Have",AG70)),18,IF(ISNUMBER(SEARCH("Deprior",AG70)),5,0)))*'Scenario Controls'!$B$23/25</x:f>
        <x:v>25</x:v>
      </x:c>
      <x:c r="M70" s="23" t="n">
        <x:f>J70*'Scenario Controls'!$B$24/15</x:f>
        <x:v>10</x:v>
      </x:c>
      <x:c r="N70" s="23" t="n">
        <x:f>IF(ISNUMBER(SEARCH("HEALTHY",X70)),10,IF(ISNUMBER(SEARCH("CONTAIN",X70)),6,0))*'Scenario Controls'!$B$25/10</x:f>
        <x:v>0</x:v>
      </x:c>
      <x:c r="O70" s="23" t="n">
        <x:f>SUM(K70:N70)</x:f>
        <x:v>85</x:v>
      </x:c>
      <x:c r="P70" s="15" t="str">
        <x:f>IF(OR(B70="",E70&lt;=0),"Evidence missing / not eligible",IF(ISNUMBER(SEARCH("priority TBD",Y70)),"Evidence missing / not eligible",IF(AND(H70="Carryover",NOT(ISNUMBER(F70))),"Evidence missing / not eligible",IF(AND(H70="Carryover",G70&lt;'Scenario Controls'!$B$16),"Evidence missing / not eligible",IF(AND(H70="ROI-Based Portfolio",NOT(ISNUMBER(F70))),"Evidence missing / not eligible",IF(AND(H70="ROI-Based Portfolio",O70&lt;'Scenario Controls'!$B$20),"Evidence missing / not eligible","Eligible"))))))</x:f>
        <x:v>Eligible</x:v>
      </x:c>
      <x:c r="Q70" s="19" t="n">
        <x:f>IF(P70&lt;&gt;"Eligible",0,IF(AND(SUMIFS($Q$5:Q69,$H$5:H69,H70)+E70&lt;=(IF(H70="LFR",'Scenario Controls'!$F$10,IF(H70="Sustain Engineering",'Scenario Controls'!$F$11,IF(H70="Hygiene",'Scenario Controls'!$F$12,1E+99))))*(1+'Scenario Controls'!$B$7),SUM($Q$5:Q69)+E70&lt;='Scenario Controls'!$B$6*(1+'Scenario Controls'!$B$7)),E70,0))</x:f>
        <x:v>0.4</x:v>
      </x:c>
      <x:c r="R70" s="24" t="str">
        <x:f>'BU Conference'!G21</x:f>
        <x:v>Automatic</x:v>
      </x:c>
      <x:c r="S70" s="24" t="str">
        <x:f>'BU Conference'!H21</x:f>
      </x:c>
      <x:c r="T70" s="19" t="n">
        <x:f>IF(R70="Exclude",0,IF(R70="Include",E70,Q70))</x:f>
        <x:v>0.4</x:v>
      </x:c>
      <x:c r="U70" s="15" t="str">
        <x:f>IF(T70&gt;0,"Funded",IF(P70="Eligible","Unfunded",P70))</x:f>
        <x:v>Funded</x:v>
      </x:c>
      <x:c r="V70" s="15" t="str">
        <x:f>IF(R70="Include","Conference inclusion: "&amp;S70,IF(R70="Exclude","Conference exclusion: "&amp;S70,IF(Q70&gt;0,H70&amp;" priority rank "&amp;I70&amp;"; whole initiative selected",P70)))</x:f>
        <x:v>Hygiene priority rank 13; whole initiative selected</x:v>
      </x:c>
      <x:c r="W70" s="15" t="str">
        <x:v>Bu!119</x:v>
      </x:c>
      <x:c r="X70" s="15" t="str"/>
      <x:c r="Y70" s="15" t="str"/>
      <x:c r="Z70" s="15" t="str">
        <x:v>Continous Improvement</x:v>
      </x:c>
      <x:c r="AA70" s="15" t="str">
        <x:v>Carry Over</x:v>
      </x:c>
      <x:c r="AB70" s="15" t="str">
        <x:v>Innovation and Digital IT</x:v>
      </x:c>
      <x:c r="AC70" s="15" t="str">
        <x:v>Continue headless store launch to drive incremental revenue - if not done continued decline of OIT</x:v>
      </x:c>
      <x:c r="AD70" s="15" t="str">
        <x:v>Headless store rollout must continue into priority markets to protect and grow revenue (ex. Germany), where inaction will result in a decline in eCom performance - improved experience is not yet uniformly distributed to key markets</x:v>
      </x:c>
      <x:c r="AE70" s="15" t="str">
        <x:v>Development of additional front end stores including DX transformation to support lightweight launches of stores in new markets</x:v>
      </x:c>
      <x:c r="AF70" s="15" t="str">
        <x:v>Continue headless store launch to drive incremental revenue - if not done continued decline of OIT | Headless store rollout must continue into priority markets to protect and grow revenue (ex. Germany), where inaction will result in a decline in eCom performance - improved experience is not yet uniformly distributed to key markets | Development of additional front end stores including DX transformation to support lightweight launches of stores in new markets</x:v>
      </x:c>
      <x:c r="AG70" s="15" t="str">
        <x:v>Must Do</x:v>
      </x:c>
      <x:c r="AH70" s="15" t="n">
        <x:v>232</x:v>
      </x:c>
    </x:row>
    <x:row r="71">
      <x:c r="A71" s="15" t="str">
        <x:v>EW-128</x:v>
      </x:c>
      <x:c r="B71" s="15" t="str">
        <x:v>Integrated project &amp; business performance modernization</x:v>
      </x:c>
      <x:c r="C71" s="15" t="str">
        <x:v>EW Led</x:v>
      </x:c>
      <x:c r="D71" s="15" t="str">
        <x:v>Innovation and Design Business Operations</x:v>
      </x:c>
      <x:c r="E71" s="19" t="n">
        <x:v>0.09</x:v>
      </x:c>
      <x:c r="F71" s="19" t="n">
        <x:v>0.55</x:v>
      </x:c>
      <x:c r="G71" s="22" t="n">
        <x:f>IF(AND(E71&gt;0,ISNUMBER(F71)),F71/E71,"")</x:f>
        <x:v>6.111111111111112</x:v>
      </x:c>
      <x:c r="H71" s="15" t="str">
        <x:v>Hygiene</x:v>
      </x:c>
      <x:c r="I71" s="15" t="n">
        <x:v>14</x:v>
      </x:c>
      <x:c r="J71" s="15" t="n">
        <x:v>5</x:v>
      </x:c>
      <x:c r="K71" s="23" t="n">
        <x:f>IF(G71="",0,IF(G71&lt;1,0,IF(G71&lt;2,20,IF(G71&lt;3,30,IF(G71&lt;5,40,50)))))*'Scenario Controls'!$B$22/50</x:f>
        <x:v>50</x:v>
      </x:c>
      <x:c r="L71" s="23" t="n">
        <x:f>IF(ISNUMBER(SEARCH("Must Do",AG71)),25,IF(ISNUMBER(SEARCH("Must Have",AG71)),18,IF(ISNUMBER(SEARCH("Deprior",AG71)),5,0)))*'Scenario Controls'!$B$23/25</x:f>
        <x:v>18</x:v>
      </x:c>
      <x:c r="M71" s="23" t="n">
        <x:f>J71*'Scenario Controls'!$B$24/15</x:f>
        <x:v>5</x:v>
      </x:c>
      <x:c r="N71" s="23" t="n">
        <x:f>IF(ISNUMBER(SEARCH("HEALTHY",X71)),10,IF(ISNUMBER(SEARCH("CONTAIN",X71)),6,0))*'Scenario Controls'!$B$25/10</x:f>
        <x:v>10</x:v>
      </x:c>
      <x:c r="O71" s="23" t="n">
        <x:f>SUM(K71:N71)</x:f>
        <x:v>83</x:v>
      </x:c>
      <x:c r="P71" s="15" t="str">
        <x:f>IF(OR(B71="",E71&lt;=0),"Evidence missing / not eligible",IF(ISNUMBER(SEARCH("priority TBD",Y71)),"Evidence missing / not eligible",IF(AND(H71="Carryover",NOT(ISNUMBER(F71))),"Evidence missing / not eligible",IF(AND(H71="Carryover",G71&lt;'Scenario Controls'!$B$16),"Evidence missing / not eligible",IF(AND(H71="ROI-Based Portfolio",NOT(ISNUMBER(F71))),"Evidence missing / not eligible",IF(AND(H71="ROI-Based Portfolio",O71&lt;'Scenario Controls'!$B$20),"Evidence missing / not eligible","Eligible"))))))</x:f>
        <x:v>Eligible</x:v>
      </x:c>
      <x:c r="Q71" s="19" t="n">
        <x:f>IF(P71&lt;&gt;"Eligible",0,IF(AND(SUMIFS($Q$5:Q70,$H$5:H70,H71)+E71&lt;=(IF(H71="LFR",'Scenario Controls'!$F$10,IF(H71="Sustain Engineering",'Scenario Controls'!$F$11,IF(H71="Hygiene",'Scenario Controls'!$F$12,1E+99))))*(1+'Scenario Controls'!$B$7),SUM($Q$5:Q70)+E71&lt;='Scenario Controls'!$B$6*(1+'Scenario Controls'!$B$7)),E71,0))</x:f>
        <x:v>0.09</x:v>
      </x:c>
      <x:c r="R71" s="24" t="str">
        <x:f>'EW Conference'!G55</x:f>
        <x:v>Automatic</x:v>
      </x:c>
      <x:c r="S71" s="24" t="str">
        <x:f>'EW Conference'!H55</x:f>
      </x:c>
      <x:c r="T71" s="19" t="n">
        <x:f>IF(R71="Exclude",0,IF(R71="Include",E71,Q71))</x:f>
        <x:v>0.09</x:v>
      </x:c>
      <x:c r="U71" s="15" t="str">
        <x:f>IF(T71&gt;0,"Funded",IF(P71="Eligible","Unfunded",P71))</x:f>
        <x:v>Funded</x:v>
      </x:c>
      <x:c r="V71" s="15" t="str">
        <x:f>IF(R71="Include","Conference inclusion: "&amp;S71,IF(R71="Exclude","Conference exclusion: "&amp;S71,IF(Q71&gt;0,H71&amp;" priority rank "&amp;I71&amp;"; whole initiative selected",P71)))</x:f>
        <x:v>Hygiene priority rank 14; whole initiative selected</x:v>
      </x:c>
      <x:c r="W71" s="15" t="str">
        <x:v>EW!124</x:v>
      </x:c>
      <x:c r="X71" s="15" t="str">
        <x:v>HEALTHY</x:v>
      </x:c>
      <x:c r="Y71" s="15" t="str">
        <x:v>HEALTHY — Rank in priority matrix</x:v>
      </x:c>
      <x:c r="Z71" s="15" t="str">
        <x:v>Continuous Improvement</x:v>
      </x:c>
      <x:c r="AA71" s="15" t="str">
        <x:v>New Initiative</x:v>
      </x:c>
      <x:c r="AB71" s="15" t="str">
        <x:v>Innovation and Digital IT</x:v>
      </x:c>
      <x:c r="AC71" s="15" t="str">
        <x:v>Inefficient planning, resource management and portfolio management of IEN</x:v>
      </x:c>
      <x:c r="AD71" s="15" t="str">
        <x:v>•Deploy an integrated digital capability for IEN, leveraging enterprise-standard platforms to improve planning, resource management, portfolio visibility, and delivery control, with targeted configurations to support its scale of ~1,400 FTE and 800 projects annually.</x:v>
      </x:c>
      <x:c r="AE71" s="15" t="str">
        <x:v>Real-time portfolio, financial, and resource insights.</x:v>
      </x:c>
      <x:c r="AF71" s="15" t="str">
        <x:v>Inefficient planning, resource management and portfolio management of IEN | •Deploy an integrated digital capability for IEN, leveraging enterprise-standard platforms to improve planning, resource management, portfolio visibility, and delivery control, with targeted configurations to support its scale of ~1,400 FTE and 800 projects annually. | Real-time portfolio, financial, and resource insights.</x:v>
      </x:c>
      <x:c r="AG71" s="15" t="str">
        <x:v>Must Have</x:v>
      </x:c>
      <x:c r="AH71" s="15" t="n">
        <x:v>126</x:v>
      </x:c>
    </x:row>
    <x:row r="72">
      <x:c r="A72" s="15" t="str">
        <x:v>EW-129</x:v>
      </x:c>
      <x:c r="B72" s="15" t="str">
        <x:v>FIN-IR - DACH DMS 2 OpenText document archive, save 92K IT Ops p.a.</x:v>
      </x:c>
      <x:c r="C72" s="15" t="str">
        <x:v>EW Led</x:v>
      </x:c>
      <x:c r="D72" s="15" t="str">
        <x:v>International Regions (IR) - Overall</x:v>
      </x:c>
      <x:c r="E72" s="19" t="n">
        <x:v>0.08</x:v>
      </x:c>
      <x:c r="F72" s="19" t="n">
        <x:v>0.393</x:v>
      </x:c>
      <x:c r="G72" s="22" t="n">
        <x:f>IF(AND(E72&gt;0,ISNUMBER(F72)),F72/E72,"")</x:f>
        <x:v>4.9125000000000005</x:v>
      </x:c>
      <x:c r="H72" s="15" t="str">
        <x:v>Hygiene</x:v>
      </x:c>
      <x:c r="I72" s="15" t="n">
        <x:v>15</x:v>
      </x:c>
      <x:c r="J72" s="15" t="n">
        <x:v>15</x:v>
      </x:c>
      <x:c r="K72" s="23" t="n">
        <x:f>IF(G72="",0,IF(G72&lt;1,0,IF(G72&lt;2,20,IF(G72&lt;3,30,IF(G72&lt;5,40,50)))))*'Scenario Controls'!$B$22/50</x:f>
        <x:v>40</x:v>
      </x:c>
      <x:c r="L72" s="23" t="n">
        <x:f>IF(ISNUMBER(SEARCH("Must Do",AG72)),25,IF(ISNUMBER(SEARCH("Must Have",AG72)),18,IF(ISNUMBER(SEARCH("Deprior",AG72)),5,0)))*'Scenario Controls'!$B$23/25</x:f>
        <x:v>18</x:v>
      </x:c>
      <x:c r="M72" s="23" t="n">
        <x:f>J72*'Scenario Controls'!$B$24/15</x:f>
        <x:v>15</x:v>
      </x:c>
      <x:c r="N72" s="23" t="n">
        <x:f>IF(ISNUMBER(SEARCH("HEALTHY",X72)),10,IF(ISNUMBER(SEARCH("CONTAIN",X72)),6,0))*'Scenario Controls'!$B$25/10</x:f>
        <x:v>10</x:v>
      </x:c>
      <x:c r="O72" s="23" t="n">
        <x:f>SUM(K72:N72)</x:f>
        <x:v>83</x:v>
      </x:c>
      <x:c r="P72" s="15" t="str">
        <x:f>IF(OR(B72="",E72&lt;=0),"Evidence missing / not eligible",IF(ISNUMBER(SEARCH("priority TBD",Y72)),"Evidence missing / not eligible",IF(AND(H72="Carryover",NOT(ISNUMBER(F72))),"Evidence missing / not eligible",IF(AND(H72="Carryover",G72&lt;'Scenario Controls'!$B$16),"Evidence missing / not eligible",IF(AND(H72="ROI-Based Portfolio",NOT(ISNUMBER(F72))),"Evidence missing / not eligible",IF(AND(H72="ROI-Based Portfolio",O72&lt;'Scenario Controls'!$B$20),"Evidence missing / not eligible","Eligible"))))))</x:f>
        <x:v>Eligible</x:v>
      </x:c>
      <x:c r="Q72" s="19" t="n">
        <x:f>IF(P72&lt;&gt;"Eligible",0,IF(AND(SUMIFS($Q$5:Q71,$H$5:H71,H72)+E72&lt;=(IF(H72="LFR",'Scenario Controls'!$F$10,IF(H72="Sustain Engineering",'Scenario Controls'!$F$11,IF(H72="Hygiene",'Scenario Controls'!$F$12,1E+99))))*(1+'Scenario Controls'!$B$7),SUM($Q$5:Q71)+E72&lt;='Scenario Controls'!$B$6*(1+'Scenario Controls'!$B$7)),E72,0))</x:f>
        <x:v>0.08</x:v>
      </x:c>
      <x:c r="R72" s="24" t="str">
        <x:f>'EW Conference'!G56</x:f>
        <x:v>Automatic</x:v>
      </x:c>
      <x:c r="S72" s="24" t="str">
        <x:f>'EW Conference'!H56</x:f>
      </x:c>
      <x:c r="T72" s="19" t="n">
        <x:f>IF(R72="Exclude",0,IF(R72="Include",E72,Q72))</x:f>
        <x:v>0.08</x:v>
      </x:c>
      <x:c r="U72" s="15" t="str">
        <x:f>IF(T72&gt;0,"Funded",IF(P72="Eligible","Unfunded",P72))</x:f>
        <x:v>Funded</x:v>
      </x:c>
      <x:c r="V72" s="15" t="str">
        <x:f>IF(R72="Include","Conference inclusion: "&amp;S72,IF(R72="Exclude","Conference exclusion: "&amp;S72,IF(Q72&gt;0,H72&amp;" priority rank "&amp;I72&amp;"; whole initiative selected",P72)))</x:f>
        <x:v>Hygiene priority rank 15; whole initiative selected</x:v>
      </x:c>
      <x:c r="W72" s="15" t="str">
        <x:v>EW!125</x:v>
      </x:c>
      <x:c r="X72" s="15" t="str">
        <x:v>HEALTHY</x:v>
      </x:c>
      <x:c r="Y72" s="15" t="str">
        <x:v>HEALTHY — Rank in priority matrix</x:v>
      </x:c>
      <x:c r="Z72" s="15" t="str">
        <x:v>Decomm/Replatforming</x:v>
      </x:c>
      <x:c r="AA72" s="15" t="str">
        <x:v>New Initiative</x:v>
      </x:c>
      <x:c r="AB72" s="15" t="str">
        <x:v>Integrated Supply Chain &amp; Finance</x:v>
      </x:c>
      <x:c r="AC72" s="15" t="str">
        <x:v>- Continued local IT spent of €91.5k+ via IT ops. (with pressure on cost)</x:v>
      </x:c>
      <x:c r="AD72" s="15" t="str">
        <x:v>Legacy document archive across BUs creating 91,5K operational costs per year</x:v>
      </x:c>
      <x:c r="AE72" s="15" t="str">
        <x:v>DACH, all BUs</x:v>
      </x:c>
      <x:c r="AF72" s="15" t="str">
        <x:v>- Continued local IT spent of €91.5k+ via IT ops. (with pressure on cost) | Legacy document archive across BUs creating 91,5K operational costs per year | DACH, all BUs</x:v>
      </x:c>
      <x:c r="AG72" s="15" t="str">
        <x:v>Must Have</x:v>
      </x:c>
      <x:c r="AH72" s="15" t="n">
        <x:v>127</x:v>
      </x:c>
    </x:row>
    <x:row r="73">
      <x:c r="A73" s="15" t="str">
        <x:v>Bu-253</x:v>
      </x:c>
      <x:c r="B73" s="15" t="str">
        <x:v>cCRM – Change &amp; Sustain</x:v>
      </x:c>
      <x:c r="C73" s="15" t="str">
        <x:v>BU Led</x:v>
      </x:c>
      <x:c r="D73" s="15" t="str">
        <x:v>Image Guided Therapy - Devices (IGT-D)</x:v>
      </x:c>
      <x:c r="E73" s="19" t="n">
        <x:v>0.12</x:v>
      </x:c>
      <x:c r="F73" s="19" t="n">
        <x:v>117</x:v>
      </x:c>
      <x:c r="G73" s="22" t="n">
        <x:f>IF(AND(E73&gt;0,ISNUMBER(F73)),F73/E73,"")</x:f>
        <x:v>975</x:v>
      </x:c>
      <x:c r="H73" s="15" t="str">
        <x:v>Hygiene</x:v>
      </x:c>
      <x:c r="I73" s="15" t="n">
        <x:v>16</x:v>
      </x:c>
      <x:c r="J73" s="15" t="n">
        <x:v>5</x:v>
      </x:c>
      <x:c r="K73" s="23" t="n">
        <x:f>IF(G73="",0,IF(G73&lt;1,0,IF(G73&lt;2,20,IF(G73&lt;3,30,IF(G73&lt;5,40,50)))))*'Scenario Controls'!$B$22/50</x:f>
        <x:v>50</x:v>
      </x:c>
      <x:c r="L73" s="23" t="n">
        <x:f>IF(ISNUMBER(SEARCH("Must Do",AG73)),25,IF(ISNUMBER(SEARCH("Must Have",AG73)),18,IF(ISNUMBER(SEARCH("Deprior",AG73)),5,0)))*'Scenario Controls'!$B$23/25</x:f>
        <x:v>25</x:v>
      </x:c>
      <x:c r="M73" s="23" t="n">
        <x:f>J73*'Scenario Controls'!$B$24/15</x:f>
        <x:v>5</x:v>
      </x:c>
      <x:c r="N73" s="23" t="n">
        <x:f>IF(ISNUMBER(SEARCH("HEALTHY",X73)),10,IF(ISNUMBER(SEARCH("CONTAIN",X73)),6,0))*'Scenario Controls'!$B$25/10</x:f>
        <x:v>0</x:v>
      </x:c>
      <x:c r="O73" s="23" t="n">
        <x:f>SUM(K73:N73)</x:f>
        <x:v>80</x:v>
      </x:c>
      <x:c r="P73" s="15" t="str">
        <x:f>IF(OR(B73="",E73&lt;=0),"Evidence missing / not eligible",IF(ISNUMBER(SEARCH("priority TBD",Y73)),"Evidence missing / not eligible",IF(AND(H73="Carryover",NOT(ISNUMBER(F73))),"Evidence missing / not eligible",IF(AND(H73="Carryover",G73&lt;'Scenario Controls'!$B$16),"Evidence missing / not eligible",IF(AND(H73="ROI-Based Portfolio",NOT(ISNUMBER(F73))),"Evidence missing / not eligible",IF(AND(H73="ROI-Based Portfolio",O73&lt;'Scenario Controls'!$B$20),"Evidence missing / not eligible","Eligible"))))))</x:f>
        <x:v>Eligible</x:v>
      </x:c>
      <x:c r="Q73" s="19" t="n">
        <x:f>IF(P73&lt;&gt;"Eligible",0,IF(AND(SUMIFS($Q$5:Q72,$H$5:H72,H73)+E73&lt;=(IF(H73="LFR",'Scenario Controls'!$F$10,IF(H73="Sustain Engineering",'Scenario Controls'!$F$11,IF(H73="Hygiene",'Scenario Controls'!$F$12,1E+99))))*(1+'Scenario Controls'!$B$7),SUM($Q$5:Q72)+E73&lt;='Scenario Controls'!$B$6*(1+'Scenario Controls'!$B$7)),E73,0))</x:f>
        <x:v>0.12</x:v>
      </x:c>
      <x:c r="R73" s="24" t="str">
        <x:f>'BU Conference'!G22</x:f>
        <x:v>Automatic</x:v>
      </x:c>
      <x:c r="S73" s="24" t="str">
        <x:f>'BU Conference'!H22</x:f>
      </x:c>
      <x:c r="T73" s="19" t="n">
        <x:f>IF(R73="Exclude",0,IF(R73="Include",E73,Q73))</x:f>
        <x:v>0.12</x:v>
      </x:c>
      <x:c r="U73" s="15" t="str">
        <x:f>IF(T73&gt;0,"Funded",IF(P73="Eligible","Unfunded",P73))</x:f>
        <x:v>Funded</x:v>
      </x:c>
      <x:c r="V73" s="15" t="str">
        <x:f>IF(R73="Include","Conference inclusion: "&amp;S73,IF(R73="Exclude","Conference exclusion: "&amp;S73,IF(Q73&gt;0,H73&amp;" priority rank "&amp;I73&amp;"; whole initiative selected",P73)))</x:f>
        <x:v>Hygiene priority rank 16; whole initiative selected</x:v>
      </x:c>
      <x:c r="W73" s="15" t="str">
        <x:v>Bu!561</x:v>
      </x:c>
      <x:c r="X73" s="15" t="str"/>
      <x:c r="Y73" s="15" t="str"/>
      <x:c r="Z73" s="15" t="str">
        <x:v>Upgrades &amp; Enhancements</x:v>
      </x:c>
      <x:c r="AA73" s="15" t="str">
        <x:v>Carry Over</x:v>
      </x:c>
      <x:c r="AB73" s="15" t="str">
        <x:v>Commercial IT</x:v>
      </x:c>
      <x:c r="AC73" s="15" t="str">
        <x:v>Critical to support sales growth targets</x:v>
      </x:c>
      <x:c r="AD73" s="15" t="str"/>
      <x:c r="AE73" s="15" t="str">
        <x:v>cCRM - sustain - focus on to enablement of agreed Region commercial excellence maturity (as critical to supporting sales growth)</x:v>
      </x:c>
      <x:c r="AF73" s="15" t="str">
        <x:v>Critical to support sales growth targets | cCRM - sustain - focus on to enablement of agreed Region commercial excellence maturity (as critical to supporting sales growth)</x:v>
      </x:c>
      <x:c r="AG73" s="15" t="str">
        <x:v>Must Do</x:v>
      </x:c>
      <x:c r="AH73" s="15" t="n">
        <x:v>433</x:v>
      </x:c>
    </x:row>
    <x:row r="74">
      <x:c r="A74" s="15" t="str">
        <x:v>Bu-252</x:v>
      </x:c>
      <x:c r="B74" s="15" t="str">
        <x:v>Conga – Change &amp; Sustain</x:v>
      </x:c>
      <x:c r="C74" s="15" t="str">
        <x:v>BU Led</x:v>
      </x:c>
      <x:c r="D74" s="15" t="str">
        <x:v>Image Guided Therapy - Devices (IGT-D)</x:v>
      </x:c>
      <x:c r="E74" s="19" t="n">
        <x:v>0.32</x:v>
      </x:c>
      <x:c r="F74" s="19" t="n">
        <x:v>117</x:v>
      </x:c>
      <x:c r="G74" s="22" t="n">
        <x:f>IF(AND(E74&gt;0,ISNUMBER(F74)),F74/E74,"")</x:f>
        <x:v>365.625</x:v>
      </x:c>
      <x:c r="H74" s="15" t="str">
        <x:v>Hygiene</x:v>
      </x:c>
      <x:c r="I74" s="15" t="n">
        <x:v>17</x:v>
      </x:c>
      <x:c r="J74" s="15" t="n">
        <x:v>5</x:v>
      </x:c>
      <x:c r="K74" s="23" t="n">
        <x:f>IF(G74="",0,IF(G74&lt;1,0,IF(G74&lt;2,20,IF(G74&lt;3,30,IF(G74&lt;5,40,50)))))*'Scenario Controls'!$B$22/50</x:f>
        <x:v>50</x:v>
      </x:c>
      <x:c r="L74" s="23" t="n">
        <x:f>IF(ISNUMBER(SEARCH("Must Do",AG74)),25,IF(ISNUMBER(SEARCH("Must Have",AG74)),18,IF(ISNUMBER(SEARCH("Deprior",AG74)),5,0)))*'Scenario Controls'!$B$23/25</x:f>
        <x:v>25</x:v>
      </x:c>
      <x:c r="M74" s="23" t="n">
        <x:f>J74*'Scenario Controls'!$B$24/15</x:f>
        <x:v>5</x:v>
      </x:c>
      <x:c r="N74" s="23" t="n">
        <x:f>IF(ISNUMBER(SEARCH("HEALTHY",X74)),10,IF(ISNUMBER(SEARCH("CONTAIN",X74)),6,0))*'Scenario Controls'!$B$25/10</x:f>
        <x:v>0</x:v>
      </x:c>
      <x:c r="O74" s="23" t="n">
        <x:f>SUM(K74:N74)</x:f>
        <x:v>80</x:v>
      </x:c>
      <x:c r="P74" s="15" t="str">
        <x:f>IF(OR(B74="",E74&lt;=0),"Evidence missing / not eligible",IF(ISNUMBER(SEARCH("priority TBD",Y74)),"Evidence missing / not eligible",IF(AND(H74="Carryover",NOT(ISNUMBER(F74))),"Evidence missing / not eligible",IF(AND(H74="Carryover",G74&lt;'Scenario Controls'!$B$16),"Evidence missing / not eligible",IF(AND(H74="ROI-Based Portfolio",NOT(ISNUMBER(F74))),"Evidence missing / not eligible",IF(AND(H74="ROI-Based Portfolio",O74&lt;'Scenario Controls'!$B$20),"Evidence missing / not eligible","Eligible"))))))</x:f>
        <x:v>Eligible</x:v>
      </x:c>
      <x:c r="Q74" s="19" t="n">
        <x:f>IF(P74&lt;&gt;"Eligible",0,IF(AND(SUMIFS($Q$5:Q73,$H$5:H73,H74)+E74&lt;=(IF(H74="LFR",'Scenario Controls'!$F$10,IF(H74="Sustain Engineering",'Scenario Controls'!$F$11,IF(H74="Hygiene",'Scenario Controls'!$F$12,1E+99))))*(1+'Scenario Controls'!$B$7),SUM($Q$5:Q73)+E74&lt;='Scenario Controls'!$B$6*(1+'Scenario Controls'!$B$7)),E74,0))</x:f>
        <x:v>0.32</x:v>
      </x:c>
      <x:c r="R74" s="24" t="str">
        <x:f>'BU Conference'!G23</x:f>
        <x:v>Automatic</x:v>
      </x:c>
      <x:c r="S74" s="24" t="str">
        <x:f>'BU Conference'!H23</x:f>
      </x:c>
      <x:c r="T74" s="19" t="n">
        <x:f>IF(R74="Exclude",0,IF(R74="Include",E74,Q74))</x:f>
        <x:v>0.32</x:v>
      </x:c>
      <x:c r="U74" s="15" t="str">
        <x:f>IF(T74&gt;0,"Funded",IF(P74="Eligible","Unfunded",P74))</x:f>
        <x:v>Funded</x:v>
      </x:c>
      <x:c r="V74" s="15" t="str">
        <x:f>IF(R74="Include","Conference inclusion: "&amp;S74,IF(R74="Exclude","Conference exclusion: "&amp;S74,IF(Q74&gt;0,H74&amp;" priority rank "&amp;I74&amp;"; whole initiative selected",P74)))</x:f>
        <x:v>Hygiene priority rank 17; whole initiative selected</x:v>
      </x:c>
      <x:c r="W74" s="15" t="str">
        <x:v>Bu!560</x:v>
      </x:c>
      <x:c r="X74" s="15" t="str"/>
      <x:c r="Y74" s="15" t="str"/>
      <x:c r="Z74" s="15" t="str">
        <x:v>Upgrades &amp; Enhancements</x:v>
      </x:c>
      <x:c r="AA74" s="15" t="str">
        <x:v>Carry Over</x:v>
      </x:c>
      <x:c r="AB74" s="15" t="str">
        <x:v>Commercial IT</x:v>
      </x:c>
      <x:c r="AC74" s="15" t="str">
        <x:v>Critical to support sales growth targets</x:v>
      </x:c>
      <x:c r="AD74" s="15" t="str"/>
      <x:c r="AE74" s="15" t="str">
        <x:v>Conga - changes as prioritized for 2027 - focus on to enablement of agreed Region commercial excellence maturity &amp; expansion (as critical to supporting sales growth)</x:v>
      </x:c>
      <x:c r="AF74" s="15" t="str">
        <x:v>Critical to support sales growth targets | Conga - changes as prioritized for 2027 - focus on to enablement of agreed Region commercial excellence maturity &amp; expansion (as critical to supporting sales growth)</x:v>
      </x:c>
      <x:c r="AG74" s="15" t="str">
        <x:v>Must Do</x:v>
      </x:c>
      <x:c r="AH74" s="15" t="n">
        <x:v>432</x:v>
      </x:c>
    </x:row>
    <x:row r="75">
      <x:c r="A75" s="15" t="str">
        <x:v>Bu-72</x:v>
      </x:c>
      <x:c r="B75" s="15" t="str">
        <x:v>IR27#34 - Partner Central Consistency While Scaling</x:v>
      </x:c>
      <x:c r="C75" s="15" t="str">
        <x:v>BU Led</x:v>
      </x:c>
      <x:c r="D75" s="15" t="str">
        <x:v>International Regions (IR)</x:v>
      </x:c>
      <x:c r="E75" s="19" t="n">
        <x:v>0.14</x:v>
      </x:c>
      <x:c r="F75" s="19" t="n">
        <x:v>4.4</x:v>
      </x:c>
      <x:c r="G75" s="22" t="n">
        <x:f>IF(AND(E75&gt;0,ISNUMBER(F75)),F75/E75,"")</x:f>
        <x:v>31.428571428571427</x:v>
      </x:c>
      <x:c r="H75" s="15" t="str">
        <x:v>Hygiene</x:v>
      </x:c>
      <x:c r="I75" s="15" t="n">
        <x:v>18</x:v>
      </x:c>
      <x:c r="J75" s="15" t="n">
        <x:v>5</x:v>
      </x:c>
      <x:c r="K75" s="23" t="n">
        <x:f>IF(G75="",0,IF(G75&lt;1,0,IF(G75&lt;2,20,IF(G75&lt;3,30,IF(G75&lt;5,40,50)))))*'Scenario Controls'!$B$22/50</x:f>
        <x:v>50</x:v>
      </x:c>
      <x:c r="L75" s="23" t="n">
        <x:f>IF(ISNUMBER(SEARCH("Must Do",AG75)),25,IF(ISNUMBER(SEARCH("Must Have",AG75)),18,IF(ISNUMBER(SEARCH("Deprior",AG75)),5,0)))*'Scenario Controls'!$B$23/25</x:f>
        <x:v>25</x:v>
      </x:c>
      <x:c r="M75" s="23" t="n">
        <x:f>J75*'Scenario Controls'!$B$24/15</x:f>
        <x:v>5</x:v>
      </x:c>
      <x:c r="N75" s="23" t="n">
        <x:f>IF(ISNUMBER(SEARCH("HEALTHY",X75)),10,IF(ISNUMBER(SEARCH("CONTAIN",X75)),6,0))*'Scenario Controls'!$B$25/10</x:f>
        <x:v>0</x:v>
      </x:c>
      <x:c r="O75" s="23" t="n">
        <x:f>SUM(K75:N75)</x:f>
        <x:v>80</x:v>
      </x:c>
      <x:c r="P75" s="15" t="str">
        <x:f>IF(OR(B75="",E75&lt;=0),"Evidence missing / not eligible",IF(ISNUMBER(SEARCH("priority TBD",Y75)),"Evidence missing / not eligible",IF(AND(H75="Carryover",NOT(ISNUMBER(F75))),"Evidence missing / not eligible",IF(AND(H75="Carryover",G75&lt;'Scenario Controls'!$B$16),"Evidence missing / not eligible",IF(AND(H75="ROI-Based Portfolio",NOT(ISNUMBER(F75))),"Evidence missing / not eligible",IF(AND(H75="ROI-Based Portfolio",O75&lt;'Scenario Controls'!$B$20),"Evidence missing / not eligible","Eligible"))))))</x:f>
        <x:v>Eligible</x:v>
      </x:c>
      <x:c r="Q75" s="19" t="n">
        <x:f>IF(P75&lt;&gt;"Eligible",0,IF(AND(SUMIFS($Q$5:Q74,$H$5:H74,H75)+E75&lt;=(IF(H75="LFR",'Scenario Controls'!$F$10,IF(H75="Sustain Engineering",'Scenario Controls'!$F$11,IF(H75="Hygiene",'Scenario Controls'!$F$12,1E+99))))*(1+'Scenario Controls'!$B$7),SUM($Q$5:Q74)+E75&lt;='Scenario Controls'!$B$6*(1+'Scenario Controls'!$B$7)),E75,0))</x:f>
        <x:v>0.14</x:v>
      </x:c>
      <x:c r="R75" s="24" t="str">
        <x:f>'BU Conference'!G24</x:f>
        <x:v>Automatic</x:v>
      </x:c>
      <x:c r="S75" s="24" t="str">
        <x:f>'BU Conference'!H24</x:f>
      </x:c>
      <x:c r="T75" s="19" t="n">
        <x:f>IF(R75="Exclude",0,IF(R75="Include",E75,Q75))</x:f>
        <x:v>0.14</x:v>
      </x:c>
      <x:c r="U75" s="15" t="str">
        <x:f>IF(T75&gt;0,"Funded",IF(P75="Eligible","Unfunded",P75))</x:f>
        <x:v>Funded</x:v>
      </x:c>
      <x:c r="V75" s="15" t="str">
        <x:f>IF(R75="Include","Conference inclusion: "&amp;S75,IF(R75="Exclude","Conference exclusion: "&amp;S75,IF(Q75&gt;0,H75&amp;" priority rank "&amp;I75&amp;"; whole initiative selected",P75)))</x:f>
        <x:v>Hygiene priority rank 18; whole initiative selected</x:v>
      </x:c>
      <x:c r="W75" s="15" t="str">
        <x:v>Bu!175</x:v>
      </x:c>
      <x:c r="X75" s="15" t="str"/>
      <x:c r="Y75" s="15" t="str"/>
      <x:c r="Z75" s="15" t="str">
        <x:v>Upgrades &amp; Enhancements</x:v>
      </x:c>
      <x:c r="AA75" s="15" t="str">
        <x:v>New Initiative</x:v>
      </x:c>
      <x:c r="AB75" s="15" t="str">
        <x:v>Innovation and Digital IT</x:v>
      </x:c>
      <x:c r="AC75" s="15" t="str">
        <x:v>Existing manual controls continue without new IT investment</x:v>
      </x:c>
      <x:c r="AD75" s="15" t="str">
        <x:v>Current environment is too much tuned to 'all or nothing' and needs revision for a more tailored access by partners, but also Philips roles</x:v>
      </x:c>
      <x:c r="AE75" s="15" t="str">
        <x:v>Channel Partner business IR / all HS BUs</x:v>
      </x:c>
      <x:c r="AF75" s="15" t="str">
        <x:v>Existing manual controls continue without new IT investment | Current environment is too much tuned to 'all or nothing' and needs revision for a more tailored access by partners, but also Philips roles | Channel Partner business IR / all HS BUs</x:v>
      </x:c>
      <x:c r="AG75" s="15" t="str">
        <x:v>Must Do</x:v>
      </x:c>
      <x:c r="AH75" s="15" t="n">
        <x:v>249</x:v>
      </x:c>
    </x:row>
    <x:row r="76">
      <x:c r="A76" s="15" t="str">
        <x:v>Bu-32</x:v>
      </x:c>
      <x:c r="B76" s="15" t="str">
        <x:v>30. COPAD (Customer One performance Analytics Dashboards)</x:v>
      </x:c>
      <x:c r="C76" s="15" t="str">
        <x:v>BU Led</x:v>
      </x:c>
      <x:c r="D76" s="15" t="str">
        <x:v>Personal Health (PH)</x:v>
      </x:c>
      <x:c r="E76" s="19" t="n">
        <x:v>0.2</x:v>
      </x:c>
      <x:c r="F76" s="19" t="n">
        <x:v>2.954</x:v>
      </x:c>
      <x:c r="G76" s="22" t="n">
        <x:f>IF(AND(E76&gt;0,ISNUMBER(F76)),F76/E76,"")</x:f>
        <x:v>14.77</x:v>
      </x:c>
      <x:c r="H76" s="15" t="str">
        <x:v>Hygiene</x:v>
      </x:c>
      <x:c r="I76" s="15" t="n">
        <x:v>19</x:v>
      </x:c>
      <x:c r="J76" s="15" t="n">
        <x:v>5</x:v>
      </x:c>
      <x:c r="K76" s="23" t="n">
        <x:f>IF(G76="",0,IF(G76&lt;1,0,IF(G76&lt;2,20,IF(G76&lt;3,30,IF(G76&lt;5,40,50)))))*'Scenario Controls'!$B$22/50</x:f>
        <x:v>50</x:v>
      </x:c>
      <x:c r="L76" s="23" t="n">
        <x:f>IF(ISNUMBER(SEARCH("Must Do",AG76)),25,IF(ISNUMBER(SEARCH("Must Have",AG76)),18,IF(ISNUMBER(SEARCH("Deprior",AG76)),5,0)))*'Scenario Controls'!$B$23/25</x:f>
        <x:v>25</x:v>
      </x:c>
      <x:c r="M76" s="23" t="n">
        <x:f>J76*'Scenario Controls'!$B$24/15</x:f>
        <x:v>5</x:v>
      </x:c>
      <x:c r="N76" s="23" t="n">
        <x:f>IF(ISNUMBER(SEARCH("HEALTHY",X76)),10,IF(ISNUMBER(SEARCH("CONTAIN",X76)),6,0))*'Scenario Controls'!$B$25/10</x:f>
        <x:v>0</x:v>
      </x:c>
      <x:c r="O76" s="23" t="n">
        <x:f>SUM(K76:N76)</x:f>
        <x:v>80</x:v>
      </x:c>
      <x:c r="P76" s="15" t="str">
        <x:f>IF(OR(B76="",E76&lt;=0),"Evidence missing / not eligible",IF(ISNUMBER(SEARCH("priority TBD",Y76)),"Evidence missing / not eligible",IF(AND(H76="Carryover",NOT(ISNUMBER(F76))),"Evidence missing / not eligible",IF(AND(H76="Carryover",G76&lt;'Scenario Controls'!$B$16),"Evidence missing / not eligible",IF(AND(H76="ROI-Based Portfolio",NOT(ISNUMBER(F76))),"Evidence missing / not eligible",IF(AND(H76="ROI-Based Portfolio",O76&lt;'Scenario Controls'!$B$20),"Evidence missing / not eligible","Eligible"))))))</x:f>
        <x:v>Eligible</x:v>
      </x:c>
      <x:c r="Q76" s="19" t="n">
        <x:f>IF(P76&lt;&gt;"Eligible",0,IF(AND(SUMIFS($Q$5:Q75,$H$5:H75,H76)+E76&lt;=(IF(H76="LFR",'Scenario Controls'!$F$10,IF(H76="Sustain Engineering",'Scenario Controls'!$F$11,IF(H76="Hygiene",'Scenario Controls'!$F$12,1E+99))))*(1+'Scenario Controls'!$B$7),SUM($Q$5:Q75)+E76&lt;='Scenario Controls'!$B$6*(1+'Scenario Controls'!$B$7)),E76,0))</x:f>
        <x:v>0.2</x:v>
      </x:c>
      <x:c r="R76" s="24" t="str">
        <x:f>'BU Conference'!G25</x:f>
        <x:v>Automatic</x:v>
      </x:c>
      <x:c r="S76" s="24" t="str">
        <x:f>'BU Conference'!H25</x:f>
      </x:c>
      <x:c r="T76" s="19" t="n">
        <x:f>IF(R76="Exclude",0,IF(R76="Include",E76,Q76))</x:f>
        <x:v>0.2</x:v>
      </x:c>
      <x:c r="U76" s="15" t="str">
        <x:f>IF(T76&gt;0,"Funded",IF(P76="Eligible","Unfunded",P76))</x:f>
        <x:v>Funded</x:v>
      </x:c>
      <x:c r="V76" s="15" t="str">
        <x:f>IF(R76="Include","Conference inclusion: "&amp;S76,IF(R76="Exclude","Conference exclusion: "&amp;S76,IF(Q76&gt;0,H76&amp;" priority rank "&amp;I76&amp;"; whole initiative selected",P76)))</x:f>
        <x:v>Hygiene priority rank 19; whole initiative selected</x:v>
      </x:c>
      <x:c r="W76" s="15" t="str">
        <x:v>Bu!80</x:v>
      </x:c>
      <x:c r="X76" s="15" t="str"/>
      <x:c r="Y76" s="15" t="str"/>
      <x:c r="Z76" s="15" t="str">
        <x:v>Continous Improvement</x:v>
      </x:c>
      <x:c r="AA76" s="15" t="str">
        <x:v>Carry Over</x:v>
      </x:c>
      <x:c r="AB76" s="15" t="str">
        <x:v>Innovation and Digital IT</x:v>
      </x:c>
      <x:c r="AC76" s="15" t="str">
        <x:v>long time to get insights on leading indicators like distribution and availability dur to lack of automation of all the manual efforts currently done by regions, LATAM, GCR, &amp; CEE</x:v>
      </x:c>
      <x:c r="AD76" s="15" t="str">
        <x:v>Currently our Regional PH teams uses multiple different (Philips and 3rd Party Data) data sources to:</x:v>
      </x:c>
      <x:c r="AE76" s="15" t="str">
        <x:v>LATAM CO-PAD</x:v>
      </x:c>
      <x:c r="AF76" s="15" t="str">
        <x:v>long time to get insights on leading indicators like distribution and availability dur to lack of automation of all the manual efforts currently done by regions, LATAM, GCR, &amp; CEE | Currently our Regional PH teams uses multiple different (Philips and 3rd Party Data) data sources to: | LATAM CO-PAD</x:v>
      </x:c>
      <x:c r="AG76" s="15" t="str">
        <x:v>Must Do</x:v>
      </x:c>
      <x:c r="AH76" s="15" t="n">
        <x:v>217</x:v>
      </x:c>
    </x:row>
    <x:row r="77">
      <x:c r="A77" s="15" t="str">
        <x:v>Bu-33</x:v>
      </x:c>
      <x:c r="B77" s="15" t="str">
        <x:v>28. Social Care and Project Management</x:v>
      </x:c>
      <x:c r="C77" s="15" t="str">
        <x:v>BU Led</x:v>
      </x:c>
      <x:c r="D77" s="15" t="str">
        <x:v>Personal Health (PH)</x:v>
      </x:c>
      <x:c r="E77" s="19" t="n">
        <x:v>0.025</x:v>
      </x:c>
      <x:c r="F77" s="19" t="n">
        <x:v>0.283</x:v>
      </x:c>
      <x:c r="G77" s="22" t="n">
        <x:f>IF(AND(E77&gt;0,ISNUMBER(F77)),F77/E77,"")</x:f>
        <x:v>11.319999999999999</x:v>
      </x:c>
      <x:c r="H77" s="15" t="str">
        <x:v>Hygiene</x:v>
      </x:c>
      <x:c r="I77" s="15" t="n">
        <x:v>20</x:v>
      </x:c>
      <x:c r="J77" s="15" t="n">
        <x:v>5</x:v>
      </x:c>
      <x:c r="K77" s="23" t="n">
        <x:f>IF(G77="",0,IF(G77&lt;1,0,IF(G77&lt;2,20,IF(G77&lt;3,30,IF(G77&lt;5,40,50)))))*'Scenario Controls'!$B$22/50</x:f>
        <x:v>50</x:v>
      </x:c>
      <x:c r="L77" s="23" t="n">
        <x:f>IF(ISNUMBER(SEARCH("Must Do",AG77)),25,IF(ISNUMBER(SEARCH("Must Have",AG77)),18,IF(ISNUMBER(SEARCH("Deprior",AG77)),5,0)))*'Scenario Controls'!$B$23/25</x:f>
        <x:v>25</x:v>
      </x:c>
      <x:c r="M77" s="23" t="n">
        <x:f>J77*'Scenario Controls'!$B$24/15</x:f>
        <x:v>5</x:v>
      </x:c>
      <x:c r="N77" s="23" t="n">
        <x:f>IF(ISNUMBER(SEARCH("HEALTHY",X77)),10,IF(ISNUMBER(SEARCH("CONTAIN",X77)),6,0))*'Scenario Controls'!$B$25/10</x:f>
        <x:v>0</x:v>
      </x:c>
      <x:c r="O77" s="23" t="n">
        <x:f>SUM(K77:N77)</x:f>
        <x:v>80</x:v>
      </x:c>
      <x:c r="P77" s="15" t="str">
        <x:f>IF(OR(B77="",E77&lt;=0),"Evidence missing / not eligible",IF(ISNUMBER(SEARCH("priority TBD",Y77)),"Evidence missing / not eligible",IF(AND(H77="Carryover",NOT(ISNUMBER(F77))),"Evidence missing / not eligible",IF(AND(H77="Carryover",G77&lt;'Scenario Controls'!$B$16),"Evidence missing / not eligible",IF(AND(H77="ROI-Based Portfolio",NOT(ISNUMBER(F77))),"Evidence missing / not eligible",IF(AND(H77="ROI-Based Portfolio",O77&lt;'Scenario Controls'!$B$20),"Evidence missing / not eligible","Eligible"))))))</x:f>
        <x:v>Eligible</x:v>
      </x:c>
      <x:c r="Q77" s="19" t="n">
        <x:f>IF(P77&lt;&gt;"Eligible",0,IF(AND(SUMIFS($Q$5:Q76,$H$5:H76,H77)+E77&lt;=(IF(H77="LFR",'Scenario Controls'!$F$10,IF(H77="Sustain Engineering",'Scenario Controls'!$F$11,IF(H77="Hygiene",'Scenario Controls'!$F$12,1E+99))))*(1+'Scenario Controls'!$B$7),SUM($Q$5:Q76)+E77&lt;='Scenario Controls'!$B$6*(1+'Scenario Controls'!$B$7)),E77,0))</x:f>
        <x:v>0.025</x:v>
      </x:c>
      <x:c r="R77" s="24" t="str">
        <x:f>'BU Conference'!G26</x:f>
        <x:v>Automatic</x:v>
      </x:c>
      <x:c r="S77" s="24" t="str">
        <x:f>'BU Conference'!H26</x:f>
      </x:c>
      <x:c r="T77" s="19" t="n">
        <x:f>IF(R77="Exclude",0,IF(R77="Include",E77,Q77))</x:f>
        <x:v>0.025</x:v>
      </x:c>
      <x:c r="U77" s="15" t="str">
        <x:f>IF(T77&gt;0,"Funded",IF(P77="Eligible","Unfunded",P77))</x:f>
        <x:v>Funded</x:v>
      </x:c>
      <x:c r="V77" s="15" t="str">
        <x:f>IF(R77="Include","Conference inclusion: "&amp;S77,IF(R77="Exclude","Conference exclusion: "&amp;S77,IF(Q77&gt;0,H77&amp;" priority rank "&amp;I77&amp;"; whole initiative selected",P77)))</x:f>
        <x:v>Hygiene priority rank 20; whole initiative selected</x:v>
      </x:c>
      <x:c r="W77" s="15" t="str">
        <x:v>Bu!86</x:v>
      </x:c>
      <x:c r="X77" s="15" t="str"/>
      <x:c r="Y77" s="15" t="str"/>
      <x:c r="Z77" s="15" t="str">
        <x:v>Upgrades &amp; Enhancements</x:v>
      </x:c>
      <x:c r="AA77" s="15" t="str">
        <x:v>Carry Over</x:v>
      </x:c>
      <x:c r="AB77" s="15" t="str">
        <x:v>Innovation and Digital IT</x:v>
      </x:c>
      <x:c r="AC77" s="15" t="str"/>
      <x:c r="AD77" s="15" t="str">
        <x:v>BYOC (carry over): PH is currently participating in a beta program to test and validate Sprout Socials Bring Your Own Channel (BYOC) integration in Salesforce Service Cloud</x:v>
      </x:c>
      <x:c r="AE77" s="15" t="str">
        <x:v>Complete Sprout Social -&gt; SF integration for all private cases.</x:v>
      </x:c>
      <x:c r="AF77" s="15" t="str">
        <x:v>BYOC (carry over): PH is currently participating in a beta program to test and validate Sprout Socials Bring Your Own Channel (BYOC) integration in Salesforce Service Cloud | Complete Sprout Social -&gt; SF integration for all private cases.</x:v>
      </x:c>
      <x:c r="AG77" s="15" t="str">
        <x:v>Must Do</x:v>
      </x:c>
      <x:c r="AH77" s="15" t="n">
        <x:v>218</x:v>
      </x:c>
    </x:row>
    <x:row r="78">
      <x:c r="A78" s="15" t="str">
        <x:v>EW-143</x:v>
      </x:c>
      <x:c r="B78" s="15" t="str">
        <x:v>FIN-IGM performance management improvement ( Tagged to - IT Finance Foundation)</x:v>
      </x:c>
      <x:c r="C78" s="15" t="str">
        <x:v>EW Led</x:v>
      </x:c>
      <x:c r="D78" s="15" t="str">
        <x:v>Finance</x:v>
      </x:c>
      <x:c r="E78" s="19" t="n">
        <x:v>0.2</x:v>
      </x:c>
      <x:c r="F78" s="19" t="n">
        <x:v>0.981</x:v>
      </x:c>
      <x:c r="G78" s="22" t="n">
        <x:f>IF(AND(E78&gt;0,ISNUMBER(F78)),F78/E78,"")</x:f>
        <x:v>4.904999999999999</x:v>
      </x:c>
      <x:c r="H78" s="15" t="str">
        <x:v>Hygiene</x:v>
      </x:c>
      <x:c r="I78" s="15" t="n">
        <x:v>21</x:v>
      </x:c>
      <x:c r="J78" s="15" t="n">
        <x:v>5</x:v>
      </x:c>
      <x:c r="K78" s="23" t="n">
        <x:f>IF(G78="",0,IF(G78&lt;1,0,IF(G78&lt;2,20,IF(G78&lt;3,30,IF(G78&lt;5,40,50)))))*'Scenario Controls'!$B$22/50</x:f>
        <x:v>40</x:v>
      </x:c>
      <x:c r="L78" s="23" t="n">
        <x:f>IF(ISNUMBER(SEARCH("Must Do",AG78)),25,IF(ISNUMBER(SEARCH("Must Have",AG78)),18,IF(ISNUMBER(SEARCH("Deprior",AG78)),5,0)))*'Scenario Controls'!$B$23/25</x:f>
        <x:v>25</x:v>
      </x:c>
      <x:c r="M78" s="23" t="n">
        <x:f>J78*'Scenario Controls'!$B$24/15</x:f>
        <x:v>5</x:v>
      </x:c>
      <x:c r="N78" s="23" t="n">
        <x:f>IF(ISNUMBER(SEARCH("HEALTHY",X78)),10,IF(ISNUMBER(SEARCH("CONTAIN",X78)),6,0))*'Scenario Controls'!$B$25/10</x:f>
        <x:v>10</x:v>
      </x:c>
      <x:c r="O78" s="23" t="n">
        <x:f>SUM(K78:N78)</x:f>
        <x:v>80</x:v>
      </x:c>
      <x:c r="P78" s="15" t="str">
        <x:f>IF(OR(B78="",E78&lt;=0),"Evidence missing / not eligible",IF(ISNUMBER(SEARCH("priority TBD",Y78)),"Evidence missing / not eligible",IF(AND(H78="Carryover",NOT(ISNUMBER(F78))),"Evidence missing / not eligible",IF(AND(H78="Carryover",G78&lt;'Scenario Controls'!$B$16),"Evidence missing / not eligible",IF(AND(H78="ROI-Based Portfolio",NOT(ISNUMBER(F78))),"Evidence missing / not eligible",IF(AND(H78="ROI-Based Portfolio",O78&lt;'Scenario Controls'!$B$20),"Evidence missing / not eligible","Eligible"))))))</x:f>
        <x:v>Eligible</x:v>
      </x:c>
      <x:c r="Q78" s="19" t="n">
        <x:f>IF(P78&lt;&gt;"Eligible",0,IF(AND(SUMIFS($Q$5:Q77,$H$5:H77,H78)+E78&lt;=(IF(H78="LFR",'Scenario Controls'!$F$10,IF(H78="Sustain Engineering",'Scenario Controls'!$F$11,IF(H78="Hygiene",'Scenario Controls'!$F$12,1E+99))))*(1+'Scenario Controls'!$B$7),SUM($Q$5:Q77)+E78&lt;='Scenario Controls'!$B$6*(1+'Scenario Controls'!$B$7)),E78,0))</x:f>
        <x:v>0.2</x:v>
      </x:c>
      <x:c r="R78" s="24" t="str">
        <x:f>'EW Conference'!G57</x:f>
        <x:v>Automatic</x:v>
      </x:c>
      <x:c r="S78" s="24" t="str">
        <x:f>'EW Conference'!H57</x:f>
      </x:c>
      <x:c r="T78" s="19" t="n">
        <x:f>IF(R78="Exclude",0,IF(R78="Include",E78,Q78))</x:f>
        <x:v>0.2</x:v>
      </x:c>
      <x:c r="U78" s="15" t="str">
        <x:f>IF(T78&gt;0,"Funded",IF(P78="Eligible","Unfunded",P78))</x:f>
        <x:v>Funded</x:v>
      </x:c>
      <x:c r="V78" s="15" t="str">
        <x:f>IF(R78="Include","Conference inclusion: "&amp;S78,IF(R78="Exclude","Conference exclusion: "&amp;S78,IF(Q78&gt;0,H78&amp;" priority rank "&amp;I78&amp;"; whole initiative selected",P78)))</x:f>
        <x:v>Hygiene priority rank 21; whole initiative selected</x:v>
      </x:c>
      <x:c r="W78" s="15" t="str">
        <x:v>EW!139</x:v>
      </x:c>
      <x:c r="X78" s="15" t="str">
        <x:v>HEALTHY</x:v>
      </x:c>
      <x:c r="Y78" s="15" t="str">
        <x:v>HEALTHY — Rank in priority matrix</x:v>
      </x:c>
      <x:c r="Z78" s="15" t="str">
        <x:v>Continuous Improvement</x:v>
      </x:c>
      <x:c r="AA78" s="15" t="str">
        <x:v>New Initiative</x:v>
      </x:c>
      <x:c r="AB78" s="15" t="str">
        <x:v>Integrated Supply Chain &amp; Finance</x:v>
      </x:c>
      <x:c r="AC78" s="15" t="str">
        <x:v>IGM leakage continues; Customer projects with risk of leakage not proactively identified (Benefit Y1 - € 234 K &amp; Y2 € 981 K.)</x:v>
      </x:c>
      <x:c r="AD78" s="15" t="str"/>
      <x:c r="AE78" s="15" t="str"/>
      <x:c r="AF78" s="15" t="str">
        <x:v>IGM leakage continues; Customer projects with risk of leakage not proactively identified (Benefit Y1 - € 234 K &amp; Y2 € 981 K.)</x:v>
      </x:c>
      <x:c r="AG78" s="15" t="str">
        <x:v>Must Do</x:v>
      </x:c>
      <x:c r="AH78" s="15" t="n">
        <x:v>141</x:v>
      </x:c>
    </x:row>
    <x:row r="79">
      <x:c r="A79" s="15" t="str">
        <x:v>Bu-23</x:v>
      </x:c>
      <x:c r="B79" s="15" t="str">
        <x:v>02. CRM | Building meaningful relationships</x:v>
      </x:c>
      <x:c r="C79" s="15" t="str">
        <x:v>BU Led</x:v>
      </x:c>
      <x:c r="D79" s="15" t="str">
        <x:v>Personal Health (PH)</x:v>
      </x:c>
      <x:c r="E79" s="19" t="n">
        <x:v>0.25</x:v>
      </x:c>
      <x:c r="F79" s="19" t="n">
        <x:v>1</x:v>
      </x:c>
      <x:c r="G79" s="22" t="n">
        <x:f>IF(AND(E79&gt;0,ISNUMBER(F79)),F79/E79,"")</x:f>
        <x:v>4</x:v>
      </x:c>
      <x:c r="H79" s="15" t="str">
        <x:v>Hygiene</x:v>
      </x:c>
      <x:c r="I79" s="15" t="n">
        <x:v>22</x:v>
      </x:c>
      <x:c r="J79" s="15" t="n">
        <x:v>15</x:v>
      </x:c>
      <x:c r="K79" s="23" t="n">
        <x:f>IF(G79="",0,IF(G79&lt;1,0,IF(G79&lt;2,20,IF(G79&lt;3,30,IF(G79&lt;5,40,50)))))*'Scenario Controls'!$B$22/50</x:f>
        <x:v>40</x:v>
      </x:c>
      <x:c r="L79" s="23" t="n">
        <x:f>IF(ISNUMBER(SEARCH("Must Do",AG79)),25,IF(ISNUMBER(SEARCH("Must Have",AG79)),18,IF(ISNUMBER(SEARCH("Deprior",AG79)),5,0)))*'Scenario Controls'!$B$23/25</x:f>
        <x:v>25</x:v>
      </x:c>
      <x:c r="M79" s="23" t="n">
        <x:f>J79*'Scenario Controls'!$B$24/15</x:f>
        <x:v>15</x:v>
      </x:c>
      <x:c r="N79" s="23" t="n">
        <x:f>IF(ISNUMBER(SEARCH("HEALTHY",X79)),10,IF(ISNUMBER(SEARCH("CONTAIN",X79)),6,0))*'Scenario Controls'!$B$25/10</x:f>
        <x:v>0</x:v>
      </x:c>
      <x:c r="O79" s="23" t="n">
        <x:f>SUM(K79:N79)</x:f>
        <x:v>80</x:v>
      </x:c>
      <x:c r="P79" s="15" t="str">
        <x:f>IF(OR(B79="",E79&lt;=0),"Evidence missing / not eligible",IF(ISNUMBER(SEARCH("priority TBD",Y79)),"Evidence missing / not eligible",IF(AND(H79="Carryover",NOT(ISNUMBER(F79))),"Evidence missing / not eligible",IF(AND(H79="Carryover",G79&lt;'Scenario Controls'!$B$16),"Evidence missing / not eligible",IF(AND(H79="ROI-Based Portfolio",NOT(ISNUMBER(F79))),"Evidence missing / not eligible",IF(AND(H79="ROI-Based Portfolio",O79&lt;'Scenario Controls'!$B$20),"Evidence missing / not eligible","Eligible"))))))</x:f>
        <x:v>Eligible</x:v>
      </x:c>
      <x:c r="Q79" s="19" t="n">
        <x:f>IF(P79&lt;&gt;"Eligible",0,IF(AND(SUMIFS($Q$5:Q78,$H$5:H78,H79)+E79&lt;=(IF(H79="LFR",'Scenario Controls'!$F$10,IF(H79="Sustain Engineering",'Scenario Controls'!$F$11,IF(H79="Hygiene",'Scenario Controls'!$F$12,1E+99))))*(1+'Scenario Controls'!$B$7),SUM($Q$5:Q78)+E79&lt;='Scenario Controls'!$B$6*(1+'Scenario Controls'!$B$7)),E79,0))</x:f>
        <x:v>0.25</x:v>
      </x:c>
      <x:c r="R79" s="24" t="str">
        <x:f>'BU Conference'!G27</x:f>
        <x:v>Automatic</x:v>
      </x:c>
      <x:c r="S79" s="24" t="str">
        <x:f>'BU Conference'!H27</x:f>
      </x:c>
      <x:c r="T79" s="19" t="n">
        <x:f>IF(R79="Exclude",0,IF(R79="Include",E79,Q79))</x:f>
        <x:v>0.25</x:v>
      </x:c>
      <x:c r="U79" s="15" t="str">
        <x:f>IF(T79&gt;0,"Funded",IF(P79="Eligible","Unfunded",P79))</x:f>
        <x:v>Funded</x:v>
      </x:c>
      <x:c r="V79" s="15" t="str">
        <x:f>IF(R79="Include","Conference inclusion: "&amp;S79,IF(R79="Exclude","Conference exclusion: "&amp;S79,IF(Q79&gt;0,H79&amp;" priority rank "&amp;I79&amp;"; whole initiative selected",P79)))</x:f>
        <x:v>Hygiene priority rank 22; whole initiative selected</x:v>
      </x:c>
      <x:c r="W79" s="15" t="str">
        <x:v>Bu!41</x:v>
      </x:c>
      <x:c r="X79" s="15" t="str"/>
      <x:c r="Y79" s="15" t="str"/>
      <x:c r="Z79" s="15" t="str">
        <x:v>Upgrades &amp; Enhancements</x:v>
      </x:c>
      <x:c r="AA79" s="15" t="str">
        <x:v>Carry Over</x:v>
      </x:c>
      <x:c r="AB79" s="15" t="str">
        <x:v>Innovation and Digital IT</x:v>
      </x:c>
      <x:c r="AC79" s="15" t="str">
        <x: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x:v>
      </x:c>
      <x:c r="AD79" s="15" t="str">
        <x: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x:v>
      </x:c>
      <x:c r="AE79" s="15" t="str">
        <x:v>Evaluate opportunities to reduce the current €2.05M annual SFMC license cost and operating costs. Savings remain to be validated.</x:v>
      </x:c>
      <x:c r="AF79" s="15" t="str">
        <x: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 Evaluate opportunities to reduce the current €2.05M annual SFMC license cost and operating costs. Savings remain to be validated.</x:v>
      </x:c>
      <x:c r="AG79" s="15" t="str">
        <x:v>Must Do</x:v>
      </x:c>
      <x:c r="AH79" s="15" t="n">
        <x:v>208</x:v>
      </x:c>
    </x:row>
    <x:row r="80">
      <x:c r="A80" s="15" t="str">
        <x:v>EW-168</x:v>
      </x:c>
      <x:c r="B80" s="15" t="str">
        <x:v>Standardization</x:v>
      </x:c>
      <x:c r="C80" s="15" t="str">
        <x:v>EW Led</x:v>
      </x:c>
      <x:c r="D80" s="15" t="str">
        <x:v>People function</x:v>
      </x:c>
      <x:c r="E80" s="19" t="n">
        <x:v>0.2</x:v>
      </x:c>
      <x:c r="F80" s="19" t="n">
        <x:v>0.7</x:v>
      </x:c>
      <x:c r="G80" s="22" t="n">
        <x:f>IF(AND(E80&gt;0,ISNUMBER(F80)),F80/E80,"")</x:f>
        <x:v>3.4999999999999996</x:v>
      </x:c>
      <x:c r="H80" s="15" t="str">
        <x:v>Hygiene</x:v>
      </x:c>
      <x:c r="I80" s="15" t="n">
        <x:v>23</x:v>
      </x:c>
      <x:c r="J80" s="15" t="n">
        <x:v>5</x:v>
      </x:c>
      <x:c r="K80" s="23" t="n">
        <x:f>IF(G80="",0,IF(G80&lt;1,0,IF(G80&lt;2,20,IF(G80&lt;3,30,IF(G80&lt;5,40,50)))))*'Scenario Controls'!$B$22/50</x:f>
        <x:v>40</x:v>
      </x:c>
      <x:c r="L80" s="23" t="n">
        <x:f>IF(ISNUMBER(SEARCH("Must Do",AG80)),25,IF(ISNUMBER(SEARCH("Must Have",AG80)),18,IF(ISNUMBER(SEARCH("Deprior",AG80)),5,0)))*'Scenario Controls'!$B$23/25</x:f>
        <x:v>25</x:v>
      </x:c>
      <x:c r="M80" s="23" t="n">
        <x:f>J80*'Scenario Controls'!$B$24/15</x:f>
        <x:v>5</x:v>
      </x:c>
      <x:c r="N80" s="23" t="n">
        <x:f>IF(ISNUMBER(SEARCH("HEALTHY",X80)),10,IF(ISNUMBER(SEARCH("CONTAIN",X80)),6,0))*'Scenario Controls'!$B$25/10</x:f>
        <x:v>10</x:v>
      </x:c>
      <x:c r="O80" s="23" t="n">
        <x:f>SUM(K80:N80)</x:f>
        <x:v>80</x:v>
      </x:c>
      <x:c r="P80" s="15" t="str">
        <x:f>IF(OR(B80="",E80&lt;=0),"Evidence missing / not eligible",IF(ISNUMBER(SEARCH("priority TBD",Y80)),"Evidence missing / not eligible",IF(AND(H80="Carryover",NOT(ISNUMBER(F80))),"Evidence missing / not eligible",IF(AND(H80="Carryover",G80&lt;'Scenario Controls'!$B$16),"Evidence missing / not eligible",IF(AND(H80="ROI-Based Portfolio",NOT(ISNUMBER(F80))),"Evidence missing / not eligible",IF(AND(H80="ROI-Based Portfolio",O80&lt;'Scenario Controls'!$B$20),"Evidence missing / not eligible","Eligible"))))))</x:f>
        <x:v>Eligible</x:v>
      </x:c>
      <x:c r="Q80" s="19" t="n">
        <x:f>IF(P80&lt;&gt;"Eligible",0,IF(AND(SUMIFS($Q$5:Q79,$H$5:H79,H80)+E80&lt;=(IF(H80="LFR",'Scenario Controls'!$F$10,IF(H80="Sustain Engineering",'Scenario Controls'!$F$11,IF(H80="Hygiene",'Scenario Controls'!$F$12,1E+99))))*(1+'Scenario Controls'!$B$7),SUM($Q$5:Q79)+E80&lt;='Scenario Controls'!$B$6*(1+'Scenario Controls'!$B$7)),E80,0))</x:f>
        <x:v>0.2</x:v>
      </x:c>
      <x:c r="R80" s="24" t="str">
        <x:f>'EW Conference'!G58</x:f>
        <x:v>Automatic</x:v>
      </x:c>
      <x:c r="S80" s="24" t="str">
        <x:f>'EW Conference'!H58</x:f>
      </x:c>
      <x:c r="T80" s="19" t="n">
        <x:f>IF(R80="Exclude",0,IF(R80="Include",E80,Q80))</x:f>
        <x:v>0.2</x:v>
      </x:c>
      <x:c r="U80" s="15" t="str">
        <x:f>IF(T80&gt;0,"Funded",IF(P80="Eligible","Unfunded",P80))</x:f>
        <x:v>Funded</x:v>
      </x:c>
      <x:c r="V80" s="15" t="str">
        <x:f>IF(R80="Include","Conference inclusion: "&amp;S80,IF(R80="Exclude","Conference exclusion: "&amp;S80,IF(Q80&gt;0,H80&amp;" priority rank "&amp;I80&amp;"; whole initiative selected",P80)))</x:f>
        <x:v>Hygiene priority rank 23; whole initiative selected</x:v>
      </x:c>
      <x:c r="W80" s="15" t="str">
        <x:v>EW!164</x:v>
      </x:c>
      <x:c r="X80" s="15" t="str">
        <x:v>HEALTHY</x:v>
      </x:c>
      <x:c r="Y80" s="15" t="str">
        <x:v>HEALTHY — Rank in priority matrix</x:v>
      </x:c>
      <x:c r="Z80" s="15" t="str">
        <x:v>Continuous Improvement</x:v>
      </x:c>
      <x:c r="AA80" s="15" t="str">
        <x:v>New Initiative</x:v>
      </x:c>
      <x:c r="AB80" s="15" t="str">
        <x:v>Group Functions &amp; Hyperautomation IT</x:v>
      </x:c>
      <x:c r="AC80" s="15" t="str">
        <x:v>Productivity targets will not be met and thereby forfeit Business case worth of 700K</x:v>
      </x:c>
      <x:c r="AD80" s="15" t="str">
        <x:v>Inconsistent local processes limit efficiency, governance, and AI readiness.</x:v>
      </x:c>
      <x:c r="AE80" s="15" t="str">
        <x:v>Define global standards while retaining only essential local variations.</x:v>
      </x:c>
      <x:c r="AF80" s="15" t="str">
        <x:v>Productivity targets will not be met and thereby forfeit Business case worth of 700K | Inconsistent local processes limit efficiency, governance, and AI readiness. | Define global standards while retaining only essential local variations.</x:v>
      </x:c>
      <x:c r="AG80" s="15" t="str">
        <x:v>Must Do</x:v>
      </x:c>
      <x:c r="AH80" s="15" t="n">
        <x:v>166</x:v>
      </x:c>
    </x:row>
    <x:row r="81">
      <x:c r="A81" s="15" t="str">
        <x:v>EW-137</x:v>
      </x:c>
      <x:c r="B81" s="15" t="str">
        <x:v>FIN-Process Mining RTR</x:v>
      </x:c>
      <x:c r="C81" s="15" t="str">
        <x:v>EW Led</x:v>
      </x:c>
      <x:c r="D81" s="15" t="str">
        <x:v>Finance</x:v>
      </x:c>
      <x:c r="E81" s="19" t="n">
        <x:v>0.1</x:v>
      </x:c>
      <x:c r="F81" s="19" t="n">
        <x:v>0.32</x:v>
      </x:c>
      <x:c r="G81" s="22" t="n">
        <x:f>IF(AND(E81&gt;0,ISNUMBER(F81)),F81/E81,"")</x:f>
        <x:v>3.1999999999999997</x:v>
      </x:c>
      <x:c r="H81" s="15" t="str">
        <x:v>Hygiene</x:v>
      </x:c>
      <x:c r="I81" s="15" t="n">
        <x:v>24</x:v>
      </x:c>
      <x:c r="J81" s="15" t="n">
        <x:v>5</x:v>
      </x:c>
      <x:c r="K81" s="23" t="n">
        <x:f>IF(G81="",0,IF(G81&lt;1,0,IF(G81&lt;2,20,IF(G81&lt;3,30,IF(G81&lt;5,40,50)))))*'Scenario Controls'!$B$22/50</x:f>
        <x:v>40</x:v>
      </x:c>
      <x:c r="L81" s="23" t="n">
        <x:f>IF(ISNUMBER(SEARCH("Must Do",AG81)),25,IF(ISNUMBER(SEARCH("Must Have",AG81)),18,IF(ISNUMBER(SEARCH("Deprior",AG81)),5,0)))*'Scenario Controls'!$B$23/25</x:f>
        <x:v>25</x:v>
      </x:c>
      <x:c r="M81" s="23" t="n">
        <x:f>J81*'Scenario Controls'!$B$24/15</x:f>
        <x:v>5</x:v>
      </x:c>
      <x:c r="N81" s="23" t="n">
        <x:f>IF(ISNUMBER(SEARCH("HEALTHY",X81)),10,IF(ISNUMBER(SEARCH("CONTAIN",X81)),6,0))*'Scenario Controls'!$B$25/10</x:f>
        <x:v>10</x:v>
      </x:c>
      <x:c r="O81" s="23" t="n">
        <x:f>SUM(K81:N81)</x:f>
        <x:v>80</x:v>
      </x:c>
      <x:c r="P81" s="15" t="str">
        <x:f>IF(OR(B81="",E81&lt;=0),"Evidence missing / not eligible",IF(ISNUMBER(SEARCH("priority TBD",Y81)),"Evidence missing / not eligible",IF(AND(H81="Carryover",NOT(ISNUMBER(F81))),"Evidence missing / not eligible",IF(AND(H81="Carryover",G81&lt;'Scenario Controls'!$B$16),"Evidence missing / not eligible",IF(AND(H81="ROI-Based Portfolio",NOT(ISNUMBER(F81))),"Evidence missing / not eligible",IF(AND(H81="ROI-Based Portfolio",O81&lt;'Scenario Controls'!$B$20),"Evidence missing / not eligible","Eligible"))))))</x:f>
        <x:v>Eligible</x:v>
      </x:c>
      <x:c r="Q81" s="19" t="n">
        <x:f>IF(P81&lt;&gt;"Eligible",0,IF(AND(SUMIFS($Q$5:Q80,$H$5:H80,H81)+E81&lt;=(IF(H81="LFR",'Scenario Controls'!$F$10,IF(H81="Sustain Engineering",'Scenario Controls'!$F$11,IF(H81="Hygiene",'Scenario Controls'!$F$12,1E+99))))*(1+'Scenario Controls'!$B$7),SUM($Q$5:Q80)+E81&lt;='Scenario Controls'!$B$6*(1+'Scenario Controls'!$B$7)),E81,0))</x:f>
        <x:v>0.1</x:v>
      </x:c>
      <x:c r="R81" s="24" t="str">
        <x:f>'EW Conference'!G59</x:f>
        <x:v>Automatic</x:v>
      </x:c>
      <x:c r="S81" s="24" t="str">
        <x:f>'EW Conference'!H59</x:f>
      </x:c>
      <x:c r="T81" s="19" t="n">
        <x:f>IF(R81="Exclude",0,IF(R81="Include",E81,Q81))</x:f>
        <x:v>0.1</x:v>
      </x:c>
      <x:c r="U81" s="15" t="str">
        <x:f>IF(T81&gt;0,"Funded",IF(P81="Eligible","Unfunded",P81))</x:f>
        <x:v>Funded</x:v>
      </x:c>
      <x:c r="V81" s="15" t="str">
        <x:f>IF(R81="Include","Conference inclusion: "&amp;S81,IF(R81="Exclude","Conference exclusion: "&amp;S81,IF(Q81&gt;0,H81&amp;" priority rank "&amp;I81&amp;"; whole initiative selected",P81)))</x:f>
        <x:v>Hygiene priority rank 24; whole initiative selected</x:v>
      </x:c>
      <x:c r="W81" s="15" t="str">
        <x:v>EW!133</x:v>
      </x:c>
      <x:c r="X81" s="15" t="str">
        <x:v>HEALTHY</x:v>
      </x:c>
      <x:c r="Y81" s="15" t="str">
        <x:v>HEALTHY — Rank in priority matrix</x:v>
      </x:c>
      <x:c r="Z81" s="15" t="str">
        <x:v>Continuous Improvement</x:v>
      </x:c>
      <x:c r="AA81" s="15" t="str">
        <x:v>Carry Over</x:v>
      </x:c>
      <x:c r="AB81" s="15" t="str">
        <x:v>Integrated Supply Chain &amp; Finance</x:v>
      </x:c>
      <x:c r="AC81" s="15" t="str">
        <x:v>Non-standard design accounting postings unidentified; Resolution delayed (4 FTEs)</x:v>
      </x:c>
      <x:c r="AD81" s="15" t="str"/>
      <x:c r="AE81" s="15" t="str"/>
      <x:c r="AF81" s="15" t="str">
        <x:v>Non-standard design accounting postings unidentified; Resolution delayed (4 FTEs)</x:v>
      </x:c>
      <x:c r="AG81" s="15" t="str">
        <x:v>Must Do</x:v>
      </x:c>
      <x:c r="AH81" s="15" t="n">
        <x:v>135</x:v>
      </x:c>
    </x:row>
    <x:row r="82">
      <x:c r="A82" s="15" t="str">
        <x:v>Bu-29</x:v>
      </x:c>
      <x:c r="B82" s="15" t="str">
        <x:v>41. Accelerate Incremental Sales from Media Investments (MMM)</x:v>
      </x:c>
      <x:c r="C82" s="15" t="str">
        <x:v>BU Led</x:v>
      </x:c>
      <x:c r="D82" s="15" t="str">
        <x:v>Personal Health (PH)</x:v>
      </x:c>
      <x:c r="E82" s="19" t="n">
        <x:v>1.2</x:v>
      </x:c>
      <x:c r="F82" s="19" t="n">
        <x:v>3.697</x:v>
      </x:c>
      <x:c r="G82" s="22" t="n">
        <x:f>IF(AND(E82&gt;0,ISNUMBER(F82)),F82/E82,"")</x:f>
        <x:v>3.0808333333333335</x:v>
      </x:c>
      <x:c r="H82" s="15" t="str">
        <x:v>Hygiene</x:v>
      </x:c>
      <x:c r="I82" s="15" t="n">
        <x:v>25</x:v>
      </x:c>
      <x:c r="J82" s="15" t="n">
        <x:v>15</x:v>
      </x:c>
      <x:c r="K82" s="23" t="n">
        <x:f>IF(G82="",0,IF(G82&lt;1,0,IF(G82&lt;2,20,IF(G82&lt;3,30,IF(G82&lt;5,40,50)))))*'Scenario Controls'!$B$22/50</x:f>
        <x:v>40</x:v>
      </x:c>
      <x:c r="L82" s="23" t="n">
        <x:f>IF(ISNUMBER(SEARCH("Must Do",AG82)),25,IF(ISNUMBER(SEARCH("Must Have",AG82)),18,IF(ISNUMBER(SEARCH("Deprior",AG82)),5,0)))*'Scenario Controls'!$B$23/25</x:f>
        <x:v>25</x:v>
      </x:c>
      <x:c r="M82" s="23" t="n">
        <x:f>J82*'Scenario Controls'!$B$24/15</x:f>
        <x:v>15</x:v>
      </x:c>
      <x:c r="N82" s="23" t="n">
        <x:f>IF(ISNUMBER(SEARCH("HEALTHY",X82)),10,IF(ISNUMBER(SEARCH("CONTAIN",X82)),6,0))*'Scenario Controls'!$B$25/10</x:f>
        <x:v>0</x:v>
      </x:c>
      <x:c r="O82" s="23" t="n">
        <x:f>SUM(K82:N82)</x:f>
        <x:v>80</x:v>
      </x:c>
      <x:c r="P82" s="15" t="str">
        <x:f>IF(OR(B82="",E82&lt;=0),"Evidence missing / not eligible",IF(ISNUMBER(SEARCH("priority TBD",Y82)),"Evidence missing / not eligible",IF(AND(H82="Carryover",NOT(ISNUMBER(F82))),"Evidence missing / not eligible",IF(AND(H82="Carryover",G82&lt;'Scenario Controls'!$B$16),"Evidence missing / not eligible",IF(AND(H82="ROI-Based Portfolio",NOT(ISNUMBER(F82))),"Evidence missing / not eligible",IF(AND(H82="ROI-Based Portfolio",O82&lt;'Scenario Controls'!$B$20),"Evidence missing / not eligible","Eligible"))))))</x:f>
        <x:v>Eligible</x:v>
      </x:c>
      <x:c r="Q82" s="19" t="n">
        <x:f>IF(P82&lt;&gt;"Eligible",0,IF(AND(SUMIFS($Q$5:Q81,$H$5:H81,H82)+E82&lt;=(IF(H82="LFR",'Scenario Controls'!$F$10,IF(H82="Sustain Engineering",'Scenario Controls'!$F$11,IF(H82="Hygiene",'Scenario Controls'!$F$12,1E+99))))*(1+'Scenario Controls'!$B$7),SUM($Q$5:Q81)+E82&lt;='Scenario Controls'!$B$6*(1+'Scenario Controls'!$B$7)),E82,0))</x:f>
        <x:v>1.2</x:v>
      </x:c>
      <x:c r="R82" s="24" t="str">
        <x:f>'BU Conference'!G28</x:f>
        <x:v>Automatic</x:v>
      </x:c>
      <x:c r="S82" s="24" t="str">
        <x:f>'BU Conference'!H28</x:f>
      </x:c>
      <x:c r="T82" s="19" t="n">
        <x:f>IF(R82="Exclude",0,IF(R82="Include",E82,Q82))</x:f>
        <x:v>1.2</x:v>
      </x:c>
      <x:c r="U82" s="15" t="str">
        <x:f>IF(T82&gt;0,"Funded",IF(P82="Eligible","Unfunded",P82))</x:f>
        <x:v>Funded</x:v>
      </x:c>
      <x:c r="V82" s="15" t="str">
        <x:f>IF(R82="Include","Conference inclusion: "&amp;S82,IF(R82="Exclude","Conference exclusion: "&amp;S82,IF(Q82&gt;0,H82&amp;" priority rank "&amp;I82&amp;"; whole initiative selected",P82)))</x:f>
        <x:v>Hygiene priority rank 25; whole initiative selected</x:v>
      </x:c>
      <x:c r="W82" s="15" t="str">
        <x:v>Bu!63</x:v>
      </x:c>
      <x:c r="X82" s="15" t="str"/>
      <x:c r="Y82" s="15" t="str"/>
      <x:c r="Z82" s="15" t="str">
        <x:v>Continous Improvement</x:v>
      </x:c>
      <x:c r="AA82" s="15" t="str">
        <x:v>Carry Over</x:v>
      </x:c>
      <x:c r="AB82" s="15" t="str">
        <x:v>Innovation and Digital IT</x:v>
      </x:c>
      <x:c r="AC82" s="15" t="str">
        <x:v>No insights for Marketing teams to assess media effectiveness by combining ROI, response curves, halo impact, and predictive recommendations into planning decisions</x:v>
      </x:c>
      <x:c r="AD82" s="15" t="str">
        <x:v>Evolve PHCAT’s MMM Program from a cost-efficient in-house measurement capability into a predictive MMM engine, reducing reliance on €80K–150K third-party studies while scaling ROI decision support across ~85% of Philips’ €311M media spend.</x:v>
      </x:c>
      <x:c r="AE82" s="15" t="str">
        <x:v>Predictive MMM: forecast future Media ROI and incremental impact.</x:v>
      </x:c>
      <x:c r="AF82" s="15" t="str">
        <x:v>No insights for Marketing teams to assess media effectiveness by combining ROI, response curves, halo impact, and predictive recommendations into planning decisions | Evolve PHCAT’s MMM Program from a cost-efficient in-house measurement capability into a predictive MMM engine, reducing reliance on €80K–150K third-party studies while scaling ROI decision support across ~85% of Philips’ €311M media spend. | Predictive MMM: forecast future Media ROI and incremental impact.</x:v>
      </x:c>
      <x:c r="AG82" s="15" t="str">
        <x:v>Must Do</x:v>
      </x:c>
      <x:c r="AH82" s="15" t="n">
        <x:v>214</x:v>
      </x:c>
    </x:row>
    <x:row r="83">
      <x:c r="A83" s="15" t="str">
        <x:v>EW-54</x:v>
      </x:c>
      <x:c r="B83" s="15" t="str">
        <x:v>FIN- IT DRP - AP Invoice Process Automation (PIPE)</x:v>
      </x:c>
      <x:c r="C83" s="15" t="str">
        <x:v>EW Led</x:v>
      </x:c>
      <x:c r="D83" s="15" t="str">
        <x:v>Finance</x:v>
      </x:c>
      <x:c r="E83" s="19" t="n">
        <x:v>0.43</x:v>
      </x:c>
      <x:c r="F83" s="19" t="n">
        <x:v>1.32</x:v>
      </x:c>
      <x:c r="G83" s="22" t="n">
        <x:f>IF(AND(E83&gt;0,ISNUMBER(F83)),F83/E83,"")</x:f>
        <x:v>3.0697674418604652</x:v>
      </x:c>
      <x:c r="H83" s="15" t="str">
        <x:v>Hygiene</x:v>
      </x:c>
      <x:c r="I83" s="15" t="n">
        <x:v>26</x:v>
      </x:c>
      <x:c r="J83" s="15" t="n">
        <x:v>5</x:v>
      </x:c>
      <x:c r="K83" s="23" t="n">
        <x:f>IF(G83="",0,IF(G83&lt;1,0,IF(G83&lt;2,20,IF(G83&lt;3,30,IF(G83&lt;5,40,50)))))*'Scenario Controls'!$B$22/50</x:f>
        <x:v>40</x:v>
      </x:c>
      <x:c r="L83" s="23" t="n">
        <x:f>IF(ISNUMBER(SEARCH("Must Do",AG83)),25,IF(ISNUMBER(SEARCH("Must Have",AG83)),18,IF(ISNUMBER(SEARCH("Deprior",AG83)),5,0)))*'Scenario Controls'!$B$23/25</x:f>
        <x:v>25</x:v>
      </x:c>
      <x:c r="M83" s="23" t="n">
        <x:f>J83*'Scenario Controls'!$B$24/15</x:f>
        <x:v>5</x:v>
      </x:c>
      <x:c r="N83" s="23" t="n">
        <x:f>IF(ISNUMBER(SEARCH("HEALTHY",X83)),10,IF(ISNUMBER(SEARCH("CONTAIN",X83)),6,0))*'Scenario Controls'!$B$25/10</x:f>
        <x:v>10</x:v>
      </x:c>
      <x:c r="O83" s="23" t="n">
        <x:f>SUM(K83:N83)</x:f>
        <x:v>80</x:v>
      </x:c>
      <x:c r="P83" s="15" t="str">
        <x:f>IF(OR(B83="",E83&lt;=0),"Evidence missing / not eligible",IF(ISNUMBER(SEARCH("priority TBD",Y83)),"Evidence missing / not eligible",IF(AND(H83="Carryover",NOT(ISNUMBER(F83))),"Evidence missing / not eligible",IF(AND(H83="Carryover",G83&lt;'Scenario Controls'!$B$16),"Evidence missing / not eligible",IF(AND(H83="ROI-Based Portfolio",NOT(ISNUMBER(F83))),"Evidence missing / not eligible",IF(AND(H83="ROI-Based Portfolio",O83&lt;'Scenario Controls'!$B$20),"Evidence missing / not eligible","Eligible"))))))</x:f>
        <x:v>Eligible</x:v>
      </x:c>
      <x:c r="Q83" s="19" t="n">
        <x:f>IF(P83&lt;&gt;"Eligible",0,IF(AND(SUMIFS($Q$5:Q82,$H$5:H82,H83)+E83&lt;=(IF(H83="LFR",'Scenario Controls'!$F$10,IF(H83="Sustain Engineering",'Scenario Controls'!$F$11,IF(H83="Hygiene",'Scenario Controls'!$F$12,1E+99))))*(1+'Scenario Controls'!$B$7),SUM($Q$5:Q82)+E83&lt;='Scenario Controls'!$B$6*(1+'Scenario Controls'!$B$7)),E83,0))</x:f>
        <x:v>0.43</x:v>
      </x:c>
      <x:c r="R83" s="24" t="str">
        <x:f>'EW Conference'!G60</x:f>
        <x:v>Automatic</x:v>
      </x:c>
      <x:c r="S83" s="24" t="str">
        <x:f>'EW Conference'!H60</x:f>
      </x:c>
      <x:c r="T83" s="19" t="n">
        <x:f>IF(R83="Exclude",0,IF(R83="Include",E83,Q83))</x:f>
        <x:v>0.43</x:v>
      </x:c>
      <x:c r="U83" s="15" t="str">
        <x:f>IF(T83&gt;0,"Funded",IF(P83="Eligible","Unfunded",P83))</x:f>
        <x:v>Funded</x:v>
      </x:c>
      <x:c r="V83" s="15" t="str">
        <x:f>IF(R83="Include","Conference inclusion: "&amp;S83,IF(R83="Exclude","Conference exclusion: "&amp;S83,IF(Q83&gt;0,H83&amp;" priority rank "&amp;I83&amp;"; whole initiative selected",P83)))</x:f>
        <x:v>Hygiene priority rank 26; whole initiative selected</x:v>
      </x:c>
      <x:c r="W83" s="15" t="str">
        <x:v>EW!52</x:v>
      </x:c>
      <x:c r="X83" s="15" t="str">
        <x:v>HEALTHY</x:v>
      </x:c>
      <x:c r="Y83" s="15" t="str">
        <x:v>HEALTHY — Rank in priority matrix</x:v>
      </x:c>
      <x:c r="Z83" s="15" t="str">
        <x:v>Decomm/Replatforming</x:v>
      </x:c>
      <x:c r="AA83" s="15" t="str">
        <x:v>Carry Over</x:v>
      </x:c>
      <x:c r="AB83" s="15" t="str">
        <x:v>Integrated Supply Chain &amp; Finance</x:v>
      </x:c>
      <x:c r="AC83" s="15" t="str">
        <x:v>Savings not realized</x:v>
      </x:c>
      <x:c r="AD83" s="15" t="str"/>
      <x:c r="AE83" s="15" t="str"/>
      <x:c r="AF83" s="15" t="str">
        <x:v>Savings not realized</x:v>
      </x:c>
      <x:c r="AG83" s="15" t="str">
        <x:v>Must Do</x:v>
      </x:c>
      <x:c r="AH83" s="15" t="n">
        <x:v>54</x:v>
      </x:c>
    </x:row>
    <x:row r="84">
      <x:c r="A84" s="15" t="str">
        <x:v>EW-148</x:v>
      </x:c>
      <x:c r="B84" s="15" t="str">
        <x:v>TrueContext replacement</x:v>
      </x:c>
      <x:c r="C84" s="15" t="str">
        <x:v>EW Led</x:v>
      </x:c>
      <x:c r="D84" s="15" t="str">
        <x:v>Information Technology</x:v>
      </x:c>
      <x:c r="E84" s="19" t="n">
        <x:v>0.7</x:v>
      </x:c>
      <x:c r="F84" s="19" t="n">
        <x:v>1.675</x:v>
      </x:c>
      <x:c r="G84" s="22" t="n">
        <x:f>IF(AND(E84&gt;0,ISNUMBER(F84)),F84/E84,"")</x:f>
        <x:v>2.3928571428571432</x:v>
      </x:c>
      <x:c r="H84" s="15" t="str">
        <x:v>Hygiene</x:v>
      </x:c>
      <x:c r="I84" s="15" t="n">
        <x:v>27</x:v>
      </x:c>
      <x:c r="J84" s="15" t="n">
        <x:v>10</x:v>
      </x:c>
      <x:c r="K84" s="23" t="n">
        <x:f>IF(G84="",0,IF(G84&lt;1,0,IF(G84&lt;2,20,IF(G84&lt;3,30,IF(G84&lt;5,40,50)))))*'Scenario Controls'!$B$22/50</x:f>
        <x:v>30</x:v>
      </x:c>
      <x:c r="L84" s="23" t="n">
        <x:f>IF(ISNUMBER(SEARCH("Must Do",AG84)),25,IF(ISNUMBER(SEARCH("Must Have",AG84)),18,IF(ISNUMBER(SEARCH("Deprior",AG84)),5,0)))*'Scenario Controls'!$B$23/25</x:f>
        <x:v>25</x:v>
      </x:c>
      <x:c r="M84" s="23" t="n">
        <x:f>J84*'Scenario Controls'!$B$24/15</x:f>
        <x:v>10</x:v>
      </x:c>
      <x:c r="N84" s="23" t="n">
        <x:f>IF(ISNUMBER(SEARCH("HEALTHY",X84)),10,IF(ISNUMBER(SEARCH("CONTAIN",X84)),6,0))*'Scenario Controls'!$B$25/10</x:f>
        <x:v>10</x:v>
      </x:c>
      <x:c r="O84" s="23" t="n">
        <x:f>SUM(K84:N84)</x:f>
        <x:v>75</x:v>
      </x:c>
      <x:c r="P84" s="15" t="str">
        <x:f>IF(OR(B84="",E84&lt;=0),"Evidence missing / not eligible",IF(ISNUMBER(SEARCH("priority TBD",Y84)),"Evidence missing / not eligible",IF(AND(H84="Carryover",NOT(ISNUMBER(F84))),"Evidence missing / not eligible",IF(AND(H84="Carryover",G84&lt;'Scenario Controls'!$B$16),"Evidence missing / not eligible",IF(AND(H84="ROI-Based Portfolio",NOT(ISNUMBER(F84))),"Evidence missing / not eligible",IF(AND(H84="ROI-Based Portfolio",O84&lt;'Scenario Controls'!$B$20),"Evidence missing / not eligible","Eligible"))))))</x:f>
        <x:v>Eligible</x:v>
      </x:c>
      <x:c r="Q84" s="19" t="n">
        <x:f>IF(P84&lt;&gt;"Eligible",0,IF(AND(SUMIFS($Q$5:Q83,$H$5:H83,H84)+E84&lt;=(IF(H84="LFR",'Scenario Controls'!$F$10,IF(H84="Sustain Engineering",'Scenario Controls'!$F$11,IF(H84="Hygiene",'Scenario Controls'!$F$12,1E+99))))*(1+'Scenario Controls'!$B$7),SUM($Q$5:Q83)+E84&lt;='Scenario Controls'!$B$6*(1+'Scenario Controls'!$B$7)),E84,0))</x:f>
        <x:v>0</x:v>
      </x:c>
      <x:c r="R84" s="24" t="str">
        <x:f>'EW Conference'!G61</x:f>
        <x:v>Automatic</x:v>
      </x:c>
      <x:c r="S84" s="24" t="str">
        <x:f>'EW Conference'!H61</x:f>
      </x:c>
      <x:c r="T84" s="19" t="n">
        <x:f>IF(R84="Exclude",0,IF(R84="Include",E84,Q84))</x:f>
        <x:v>0</x:v>
      </x:c>
      <x:c r="U84" s="15" t="str">
        <x:f>IF(T84&gt;0,"Funded",IF(P84="Eligible","Unfunded",P84))</x:f>
        <x:v>Unfunded</x:v>
      </x:c>
      <x:c r="V84" s="15" t="str">
        <x:f>IF(R84="Include","Conference inclusion: "&amp;S84,IF(R84="Exclude","Conference exclusion: "&amp;S84,IF(Q84&gt;0,H84&amp;" priority rank "&amp;I84&amp;"; whole initiative selected",P84)))</x:f>
        <x:v>Eligible</x:v>
      </x:c>
      <x:c r="W84" s="15" t="str">
        <x:v>EW!144</x:v>
      </x:c>
      <x:c r="X84" s="15" t="str">
        <x:v>HEALTHY</x:v>
      </x:c>
      <x:c r="Y84" s="15" t="str">
        <x:v>HEALTHY — Rank in priority matrix</x:v>
      </x:c>
      <x:c r="Z84" s="15" t="str">
        <x:v>Decomm/Replatforming</x:v>
      </x:c>
      <x:c r="AA84" s="15" t="str">
        <x:v>New Initiative</x:v>
      </x:c>
      <x:c r="AB84" s="15" t="str">
        <x:v>Services &amp; Solutions IT</x:v>
      </x:c>
      <x:c r="AC84" s="15" t="str">
        <x:v>License cost Impact</x:v>
      </x:c>
      <x:c r="AD84" s="15" t="str">
        <x:v>Build in house solution for Test and Verification, as a replacement to current 3rd party licensed application (TrueContext), thus significantly reducing operations costs</x:v>
      </x:c>
      <x:c r="AE84" s="15" t="str">
        <x:v>Develop and implement an in-house Test &amp; Verification solution to replace TrueContext, replicating critical business workflows and capabilities while improving flexibility, security, and reporting and significantly reducing licensing and operational costs.</x:v>
      </x:c>
      <x:c r="AF84" s="15" t="str">
        <x:v>License cost Impact | Build in house solution for Test and Verification, as a replacement to current 3rd party licensed application (TrueContext), thus significantly reducing operations costs | Develop and implement an in-house Test &amp; Verification solution to replace TrueContext, replicating critical business workflows and capabilities while improving flexibility, security, and reporting and significantly reducing licensing and operational costs.</x:v>
      </x:c>
      <x:c r="AG84" s="15" t="str">
        <x:v>Must Do</x:v>
      </x:c>
      <x:c r="AH84" s="15" t="n">
        <x:v>146</x:v>
      </x:c>
    </x:row>
    <x:row r="85">
      <x:c r="A85" s="15" t="str">
        <x:v>EW-149</x:v>
      </x:c>
      <x:c r="B85" s="15" t="str">
        <x:v>Decisions replacement</x:v>
      </x:c>
      <x:c r="C85" s="15" t="str">
        <x:v>EW Led</x:v>
      </x:c>
      <x:c r="D85" s="15" t="str">
        <x:v>Information Technology</x:v>
      </x:c>
      <x:c r="E85" s="19" t="n">
        <x:v>0.1</x:v>
      </x:c>
      <x:c r="F85" s="19" t="n">
        <x:v>0.229</x:v>
      </x:c>
      <x:c r="G85" s="22" t="n">
        <x:f>IF(AND(E85&gt;0,ISNUMBER(F85)),F85/E85,"")</x:f>
        <x:v>2.29</x:v>
      </x:c>
      <x:c r="H85" s="15" t="str">
        <x:v>Hygiene</x:v>
      </x:c>
      <x:c r="I85" s="15" t="n">
        <x:v>28</x:v>
      </x:c>
      <x:c r="J85" s="15" t="n">
        <x:v>10</x:v>
      </x:c>
      <x:c r="K85" s="23" t="n">
        <x:f>IF(G85="",0,IF(G85&lt;1,0,IF(G85&lt;2,20,IF(G85&lt;3,30,IF(G85&lt;5,40,50)))))*'Scenario Controls'!$B$22/50</x:f>
        <x:v>30</x:v>
      </x:c>
      <x:c r="L85" s="23" t="n">
        <x:f>IF(ISNUMBER(SEARCH("Must Do",AG85)),25,IF(ISNUMBER(SEARCH("Must Have",AG85)),18,IF(ISNUMBER(SEARCH("Deprior",AG85)),5,0)))*'Scenario Controls'!$B$23/25</x:f>
        <x:v>25</x:v>
      </x:c>
      <x:c r="M85" s="23" t="n">
        <x:f>J85*'Scenario Controls'!$B$24/15</x:f>
        <x:v>10</x:v>
      </x:c>
      <x:c r="N85" s="23" t="n">
        <x:f>IF(ISNUMBER(SEARCH("HEALTHY",X85)),10,IF(ISNUMBER(SEARCH("CONTAIN",X85)),6,0))*'Scenario Controls'!$B$25/10</x:f>
        <x:v>10</x:v>
      </x:c>
      <x:c r="O85" s="23" t="n">
        <x:f>SUM(K85:N85)</x:f>
        <x:v>75</x:v>
      </x:c>
      <x:c r="P85" s="15" t="str">
        <x:f>IF(OR(B85="",E85&lt;=0),"Evidence missing / not eligible",IF(ISNUMBER(SEARCH("priority TBD",Y85)),"Evidence missing / not eligible",IF(AND(H85="Carryover",NOT(ISNUMBER(F85))),"Evidence missing / not eligible",IF(AND(H85="Carryover",G85&lt;'Scenario Controls'!$B$16),"Evidence missing / not eligible",IF(AND(H85="ROI-Based Portfolio",NOT(ISNUMBER(F85))),"Evidence missing / not eligible",IF(AND(H85="ROI-Based Portfolio",O85&lt;'Scenario Controls'!$B$20),"Evidence missing / not eligible","Eligible"))))))</x:f>
        <x:v>Eligible</x:v>
      </x:c>
      <x:c r="Q85" s="19" t="n">
        <x:f>IF(P85&lt;&gt;"Eligible",0,IF(AND(SUMIFS($Q$5:Q84,$H$5:H84,H85)+E85&lt;=(IF(H85="LFR",'Scenario Controls'!$F$10,IF(H85="Sustain Engineering",'Scenario Controls'!$F$11,IF(H85="Hygiene",'Scenario Controls'!$F$12,1E+99))))*(1+'Scenario Controls'!$B$7),SUM($Q$5:Q84)+E85&lt;='Scenario Controls'!$B$6*(1+'Scenario Controls'!$B$7)),E85,0))</x:f>
        <x:v>0.1</x:v>
      </x:c>
      <x:c r="R85" s="24" t="str">
        <x:f>'EW Conference'!G62</x:f>
        <x:v>Automatic</x:v>
      </x:c>
      <x:c r="S85" s="24" t="str">
        <x:f>'EW Conference'!H62</x:f>
      </x:c>
      <x:c r="T85" s="19" t="n">
        <x:f>IF(R85="Exclude",0,IF(R85="Include",E85,Q85))</x:f>
        <x:v>0.1</x:v>
      </x:c>
      <x:c r="U85" s="15" t="str">
        <x:f>IF(T85&gt;0,"Funded",IF(P85="Eligible","Unfunded",P85))</x:f>
        <x:v>Funded</x:v>
      </x:c>
      <x:c r="V85" s="15" t="str">
        <x:f>IF(R85="Include","Conference inclusion: "&amp;S85,IF(R85="Exclude","Conference exclusion: "&amp;S85,IF(Q85&gt;0,H85&amp;" priority rank "&amp;I85&amp;"; whole initiative selected",P85)))</x:f>
        <x:v>Hygiene priority rank 28; whole initiative selected</x:v>
      </x:c>
      <x:c r="W85" s="15" t="str">
        <x:v>EW!145</x:v>
      </x:c>
      <x:c r="X85" s="15" t="str">
        <x:v>HEALTHY</x:v>
      </x:c>
      <x:c r="Y85" s="15" t="str">
        <x:v>HEALTHY — Rank in priority matrix</x:v>
      </x:c>
      <x:c r="Z85" s="15" t="str">
        <x:v>Decomm/Replatforming</x:v>
      </x:c>
      <x:c r="AA85" s="15" t="str">
        <x:v>New Initiative</x:v>
      </x:c>
      <x:c r="AB85" s="15" t="str">
        <x:v>Services &amp; Solutions IT</x:v>
      </x:c>
      <x:c r="AC85" s="15" t="str">
        <x:v>License cost Impact</x:v>
      </x:c>
      <x:c r="AD85" s="15" t="str">
        <x:v>Build in house solution for Service Entitlment checks, as a replacement to current 3rd party licensed application (Decisions), thus significantly reducing operations costs</x:v>
      </x:c>
      <x:c r="AE85" s="15" t="str">
        <x:v>Develop and implement an in-house Service Entitlement solution to replace Decisions, automating entitlement validation and business rules while reducing third-party licensing and operational costs.</x:v>
      </x:c>
      <x:c r="AF85" s="15" t="str">
        <x:v>License cost Impact | Build in house solution for Service Entitlment checks, as a replacement to current 3rd party licensed application (Decisions), thus significantly reducing operations costs | Develop and implement an in-house Service Entitlement solution to replace Decisions, automating entitlement validation and business rules while reducing third-party licensing and operational costs.</x:v>
      </x:c>
      <x:c r="AG85" s="15" t="str">
        <x:v>Must Do</x:v>
      </x:c>
      <x:c r="AH85" s="15" t="n">
        <x:v>147</x:v>
      </x:c>
    </x:row>
    <x:row r="86">
      <x:c r="A86" s="15" t="str">
        <x:v>EW-151</x:v>
      </x:c>
      <x:c r="B86" s="15" t="str">
        <x:v>Incenter replacement</x:v>
      </x:c>
      <x:c r="C86" s="15" t="str">
        <x:v>EW Led</x:v>
      </x:c>
      <x:c r="D86" s="15" t="str">
        <x:v>Information Technology</x:v>
      </x:c>
      <x:c r="E86" s="19" t="n">
        <x:v>0.8</x:v>
      </x:c>
      <x:c r="F86" s="19" t="n">
        <x:v>1.7</x:v>
      </x:c>
      <x:c r="G86" s="22" t="n">
        <x:f>IF(AND(E86&gt;0,ISNUMBER(F86)),F86/E86,"")</x:f>
        <x:v>2.125</x:v>
      </x:c>
      <x:c r="H86" s="15" t="str">
        <x:v>Hygiene</x:v>
      </x:c>
      <x:c r="I86" s="15" t="n">
        <x:v>29</x:v>
      </x:c>
      <x:c r="J86" s="15" t="n">
        <x:v>10</x:v>
      </x:c>
      <x:c r="K86" s="23" t="n">
        <x:f>IF(G86="",0,IF(G86&lt;1,0,IF(G86&lt;2,20,IF(G86&lt;3,30,IF(G86&lt;5,40,50)))))*'Scenario Controls'!$B$22/50</x:f>
        <x:v>30</x:v>
      </x:c>
      <x:c r="L86" s="23" t="n">
        <x:f>IF(ISNUMBER(SEARCH("Must Do",AG86)),25,IF(ISNUMBER(SEARCH("Must Have",AG86)),18,IF(ISNUMBER(SEARCH("Deprior",AG86)),5,0)))*'Scenario Controls'!$B$23/25</x:f>
        <x:v>25</x:v>
      </x:c>
      <x:c r="M86" s="23" t="n">
        <x:f>J86*'Scenario Controls'!$B$24/15</x:f>
        <x:v>10</x:v>
      </x:c>
      <x:c r="N86" s="23" t="n">
        <x:f>IF(ISNUMBER(SEARCH("HEALTHY",X86)),10,IF(ISNUMBER(SEARCH("CONTAIN",X86)),6,0))*'Scenario Controls'!$B$25/10</x:f>
        <x:v>10</x:v>
      </x:c>
      <x:c r="O86" s="23" t="n">
        <x:f>SUM(K86:N86)</x:f>
        <x:v>75</x:v>
      </x:c>
      <x:c r="P86" s="15" t="str">
        <x:f>IF(OR(B86="",E86&lt;=0),"Evidence missing / not eligible",IF(ISNUMBER(SEARCH("priority TBD",Y86)),"Evidence missing / not eligible",IF(AND(H86="Carryover",NOT(ISNUMBER(F86))),"Evidence missing / not eligible",IF(AND(H86="Carryover",G86&lt;'Scenario Controls'!$B$16),"Evidence missing / not eligible",IF(AND(H86="ROI-Based Portfolio",NOT(ISNUMBER(F86))),"Evidence missing / not eligible",IF(AND(H86="ROI-Based Portfolio",O86&lt;'Scenario Controls'!$B$20),"Evidence missing / not eligible","Eligible"))))))</x:f>
        <x:v>Eligible</x:v>
      </x:c>
      <x:c r="Q86" s="19" t="n">
        <x:f>IF(P86&lt;&gt;"Eligible",0,IF(AND(SUMIFS($Q$5:Q85,$H$5:H85,H86)+E86&lt;=(IF(H86="LFR",'Scenario Controls'!$F$10,IF(H86="Sustain Engineering",'Scenario Controls'!$F$11,IF(H86="Hygiene",'Scenario Controls'!$F$12,1E+99))))*(1+'Scenario Controls'!$B$7),SUM($Q$5:Q85)+E86&lt;='Scenario Controls'!$B$6*(1+'Scenario Controls'!$B$7)),E86,0))</x:f>
        <x:v>0</x:v>
      </x:c>
      <x:c r="R86" s="24" t="str">
        <x:f>'EW Conference'!G63</x:f>
        <x:v>Automatic</x:v>
      </x:c>
      <x:c r="S86" s="24" t="str">
        <x:f>'EW Conference'!H63</x:f>
      </x:c>
      <x:c r="T86" s="19" t="n">
        <x:f>IF(R86="Exclude",0,IF(R86="Include",E86,Q86))</x:f>
        <x:v>0</x:v>
      </x:c>
      <x:c r="U86" s="15" t="str">
        <x:f>IF(T86&gt;0,"Funded",IF(P86="Eligible","Unfunded",P86))</x:f>
        <x:v>Unfunded</x:v>
      </x:c>
      <x:c r="V86" s="15" t="str">
        <x:f>IF(R86="Include","Conference inclusion: "&amp;S86,IF(R86="Exclude","Conference exclusion: "&amp;S86,IF(Q86&gt;0,H86&amp;" priority rank "&amp;I86&amp;"; whole initiative selected",P86)))</x:f>
        <x:v>Eligible</x:v>
      </x:c>
      <x:c r="W86" s="15" t="str">
        <x:v>EW!147</x:v>
      </x:c>
      <x:c r="X86" s="15" t="str">
        <x:v>HEALTHY</x:v>
      </x:c>
      <x:c r="Y86" s="15" t="str">
        <x:v>HEALTHY — Rank in priority matrix</x:v>
      </x:c>
      <x:c r="Z86" s="15" t="str">
        <x:v>Decomm/Replatforming</x:v>
      </x:c>
      <x:c r="AA86" s="15" t="str">
        <x:v>New Initiative</x:v>
      </x:c>
      <x:c r="AB86" s="15" t="str">
        <x:v>Services &amp; Solutions IT</x:v>
      </x:c>
      <x:c r="AC86" s="15" t="str">
        <x:v>License cost Impact</x:v>
      </x:c>
      <x:c r="AD86" s="15" t="str">
        <x:v>Replace with an in-house solution to address limitation with current Vendor solution and to reduce operations cost</x:v>
      </x:c>
      <x:c r="AE86" s="15" t="str">
        <x:v>Develop and implement an in-house solution to overcome current vendor solution limitations, enhance flexibility and capabilities, and reduce operational and licensing costs.</x:v>
      </x:c>
      <x:c r="AF86" s="15" t="str">
        <x:v>License cost Impact | Replace with an in-house solution to address limitation with current Vendor solution and to reduce operations cost | Develop and implement an in-house solution to overcome current vendor solution limitations, enhance flexibility and capabilities, and reduce operational and licensing costs.</x:v>
      </x:c>
      <x:c r="AG86" s="15" t="str">
        <x:v>Must Do</x:v>
      </x:c>
      <x:c r="AH86" s="15" t="n">
        <x:v>149</x:v>
      </x:c>
    </x:row>
    <x:row r="87">
      <x:c r="A87" s="15" t="str">
        <x:v>EW-186</x:v>
      </x:c>
      <x:c r="B87" s="15" t="str">
        <x:v>Agent Atelier</x:v>
      </x:c>
      <x:c r="C87" s="15" t="str">
        <x:v>EW Led</x:v>
      </x:c>
      <x:c r="D87" s="15" t="str">
        <x:v>Innovation and Design Business Operations</x:v>
      </x:c>
      <x:c r="E87" s="19" t="n">
        <x:v>0.075</x:v>
      </x:c>
      <x:c r="F87" s="19" t="n">
        <x:v>0.4</x:v>
      </x:c>
      <x:c r="G87" s="22" t="n">
        <x:f>IF(AND(E87&gt;0,ISNUMBER(F87)),F87/E87,"")</x:f>
        <x:v>5.333333333333334</x:v>
      </x:c>
      <x:c r="H87" s="15" t="str">
        <x:v>Hygiene</x:v>
      </x:c>
      <x:c r="I87" s="15" t="n">
        <x:v>30</x:v>
      </x:c>
      <x:c r="J87" s="15" t="n">
        <x:v>5</x:v>
      </x:c>
      <x:c r="K87" s="23" t="n">
        <x:f>IF(G87="",0,IF(G87&lt;1,0,IF(G87&lt;2,20,IF(G87&lt;3,30,IF(G87&lt;5,40,50)))))*'Scenario Controls'!$B$22/50</x:f>
        <x:v>50</x:v>
      </x:c>
      <x:c r="L87" s="23" t="n">
        <x:f>IF(ISNUMBER(SEARCH("Must Do",AG87)),25,IF(ISNUMBER(SEARCH("Must Have",AG87)),18,IF(ISNUMBER(SEARCH("Deprior",AG87)),5,0)))*'Scenario Controls'!$B$23/25</x:f>
        <x:v>18</x:v>
      </x:c>
      <x:c r="M87" s="23" t="n">
        <x:f>J87*'Scenario Controls'!$B$24/15</x:f>
        <x:v>5</x:v>
      </x:c>
      <x:c r="N87" s="23" t="n">
        <x:f>IF(ISNUMBER(SEARCH("HEALTHY",X87)),10,IF(ISNUMBER(SEARCH("CONTAIN",X87)),6,0))*'Scenario Controls'!$B$25/10</x:f>
        <x:v>0</x:v>
      </x:c>
      <x:c r="O87" s="23" t="n">
        <x:f>SUM(K87:N87)</x:f>
        <x:v>73</x:v>
      </x:c>
      <x:c r="P87" s="15" t="str">
        <x:f>IF(OR(B87="",E87&lt;=0),"Evidence missing / not eligible",IF(ISNUMBER(SEARCH("priority TBD",Y87)),"Evidence missing / not eligible",IF(AND(H87="Carryover",NOT(ISNUMBER(F87))),"Evidence missing / not eligible",IF(AND(H87="Carryover",G87&lt;'Scenario Controls'!$B$16),"Evidence missing / not eligible",IF(AND(H87="ROI-Based Portfolio",NOT(ISNUMBER(F87))),"Evidence missing / not eligible",IF(AND(H87="ROI-Based Portfolio",O87&lt;'Scenario Controls'!$B$20),"Evidence missing / not eligible","Eligible"))))))</x:f>
        <x:v>Eligible</x:v>
      </x:c>
      <x:c r="Q87" s="19" t="n">
        <x:f>IF(P87&lt;&gt;"Eligible",0,IF(AND(SUMIFS($Q$5:Q86,$H$5:H86,H87)+E87&lt;=(IF(H87="LFR",'Scenario Controls'!$F$10,IF(H87="Sustain Engineering",'Scenario Controls'!$F$11,IF(H87="Hygiene",'Scenario Controls'!$F$12,1E+99))))*(1+'Scenario Controls'!$B$7),SUM($Q$5:Q86)+E87&lt;='Scenario Controls'!$B$6*(1+'Scenario Controls'!$B$7)),E87,0))</x:f>
        <x:v>0.075</x:v>
      </x:c>
      <x:c r="R87" s="24" t="str">
        <x:f>'EW Conference'!G64</x:f>
        <x:v>Automatic</x:v>
      </x:c>
      <x:c r="S87" s="24" t="str">
        <x:f>'EW Conference'!H64</x:f>
      </x:c>
      <x:c r="T87" s="19" t="n">
        <x:f>IF(R87="Exclude",0,IF(R87="Include",E87,Q87))</x:f>
        <x:v>0.075</x:v>
      </x:c>
      <x:c r="U87" s="15" t="str">
        <x:f>IF(T87&gt;0,"Funded",IF(P87="Eligible","Unfunded",P87))</x:f>
        <x:v>Funded</x:v>
      </x:c>
      <x:c r="V87" s="15" t="str">
        <x:f>IF(R87="Include","Conference inclusion: "&amp;S87,IF(R87="Exclude","Conference exclusion: "&amp;S87,IF(Q87&gt;0,H87&amp;" priority rank "&amp;I87&amp;"; whole initiative selected",P87)))</x:f>
        <x:v>Hygiene priority rank 30; whole initiative selected</x:v>
      </x:c>
      <x:c r="W87" s="15" t="str">
        <x:v>EW!182</x:v>
      </x:c>
      <x:c r="X87" s="15" t="str"/>
      <x:c r="Y87" s="15" t="str"/>
      <x:c r="Z87" s="15" t="str">
        <x:v>Continuous Improvement</x:v>
      </x:c>
      <x:c r="AA87" s="15" t="str">
        <x:v>Carry Over</x:v>
      </x:c>
      <x:c r="AB87" s="15" t="str">
        <x:v>Enterprise Architecture, Data &amp; Integration</x:v>
      </x:c>
      <x:c r="AC87" s="15" t="str">
        <x:v>Duplication of work, lost visibility of existing projects and capabilities, lack of collaboration across businesses and functions, slow reuse and scaling of solutions, low R&amp;D efficiency and innovation speed</x:v>
      </x:c>
      <x:c r="AD87" s="15" t="str"/>
      <x:c r="AE87" s="15" t="str"/>
      <x:c r="AF87" s="15" t="str">
        <x:v>Duplication of work, lost visibility of existing projects and capabilities, lack of collaboration across businesses and functions, slow reuse and scaling of solutions, low R&amp;D efficiency and innovation speed</x:v>
      </x:c>
      <x:c r="AG87" s="15" t="str">
        <x:v>Must Have</x:v>
      </x:c>
      <x:c r="AH87" s="15" t="n">
        <x:v>184</x:v>
      </x:c>
    </x:row>
    <x:row r="88">
      <x:c r="A88" s="15" t="str">
        <x:v>EW-187</x:v>
      </x:c>
      <x:c r="B88" s="15" t="str">
        <x:v>Innovation &amp; AI Atlas</x:v>
      </x:c>
      <x:c r="C88" s="15" t="str">
        <x:v>EW Led</x:v>
      </x:c>
      <x:c r="D88" s="15" t="str">
        <x:v>Innovation and Design Business Operations</x:v>
      </x:c>
      <x:c r="E88" s="19" t="n">
        <x:v>0.075</x:v>
      </x:c>
      <x:c r="F88" s="19" t="n">
        <x:v>0.4</x:v>
      </x:c>
      <x:c r="G88" s="22" t="n">
        <x:f>IF(AND(E88&gt;0,ISNUMBER(F88)),F88/E88,"")</x:f>
        <x:v>5.333333333333334</x:v>
      </x:c>
      <x:c r="H88" s="15" t="str">
        <x:v>Hygiene</x:v>
      </x:c>
      <x:c r="I88" s="15" t="n">
        <x:v>31</x:v>
      </x:c>
      <x:c r="J88" s="15" t="n">
        <x:v>5</x:v>
      </x:c>
      <x:c r="K88" s="23" t="n">
        <x:f>IF(G88="",0,IF(G88&lt;1,0,IF(G88&lt;2,20,IF(G88&lt;3,30,IF(G88&lt;5,40,50)))))*'Scenario Controls'!$B$22/50</x:f>
        <x:v>50</x:v>
      </x:c>
      <x:c r="L88" s="23" t="n">
        <x:f>IF(ISNUMBER(SEARCH("Must Do",AG88)),25,IF(ISNUMBER(SEARCH("Must Have",AG88)),18,IF(ISNUMBER(SEARCH("Deprior",AG88)),5,0)))*'Scenario Controls'!$B$23/25</x:f>
        <x:v>18</x:v>
      </x:c>
      <x:c r="M88" s="23" t="n">
        <x:f>J88*'Scenario Controls'!$B$24/15</x:f>
        <x:v>5</x:v>
      </x:c>
      <x:c r="N88" s="23" t="n">
        <x:f>IF(ISNUMBER(SEARCH("HEALTHY",X88)),10,IF(ISNUMBER(SEARCH("CONTAIN",X88)),6,0))*'Scenario Controls'!$B$25/10</x:f>
        <x:v>0</x:v>
      </x:c>
      <x:c r="O88" s="23" t="n">
        <x:f>SUM(K88:N88)</x:f>
        <x:v>73</x:v>
      </x:c>
      <x:c r="P88" s="15" t="str">
        <x:f>IF(OR(B88="",E88&lt;=0),"Evidence missing / not eligible",IF(ISNUMBER(SEARCH("priority TBD",Y88)),"Evidence missing / not eligible",IF(AND(H88="Carryover",NOT(ISNUMBER(F88))),"Evidence missing / not eligible",IF(AND(H88="Carryover",G88&lt;'Scenario Controls'!$B$16),"Evidence missing / not eligible",IF(AND(H88="ROI-Based Portfolio",NOT(ISNUMBER(F88))),"Evidence missing / not eligible",IF(AND(H88="ROI-Based Portfolio",O88&lt;'Scenario Controls'!$B$20),"Evidence missing / not eligible","Eligible"))))))</x:f>
        <x:v>Eligible</x:v>
      </x:c>
      <x:c r="Q88" s="19" t="n">
        <x:f>IF(P88&lt;&gt;"Eligible",0,IF(AND(SUMIFS($Q$5:Q87,$H$5:H87,H88)+E88&lt;=(IF(H88="LFR",'Scenario Controls'!$F$10,IF(H88="Sustain Engineering",'Scenario Controls'!$F$11,IF(H88="Hygiene",'Scenario Controls'!$F$12,1E+99))))*(1+'Scenario Controls'!$B$7),SUM($Q$5:Q87)+E88&lt;='Scenario Controls'!$B$6*(1+'Scenario Controls'!$B$7)),E88,0))</x:f>
        <x:v>0.075</x:v>
      </x:c>
      <x:c r="R88" s="24" t="str">
        <x:f>'EW Conference'!G65</x:f>
        <x:v>Automatic</x:v>
      </x:c>
      <x:c r="S88" s="24" t="str">
        <x:f>'EW Conference'!H65</x:f>
      </x:c>
      <x:c r="T88" s="19" t="n">
        <x:f>IF(R88="Exclude",0,IF(R88="Include",E88,Q88))</x:f>
        <x:v>0.075</x:v>
      </x:c>
      <x:c r="U88" s="15" t="str">
        <x:f>IF(T88&gt;0,"Funded",IF(P88="Eligible","Unfunded",P88))</x:f>
        <x:v>Funded</x:v>
      </x:c>
      <x:c r="V88" s="15" t="str">
        <x:f>IF(R88="Include","Conference inclusion: "&amp;S88,IF(R88="Exclude","Conference exclusion: "&amp;S88,IF(Q88&gt;0,H88&amp;" priority rank "&amp;I88&amp;"; whole initiative selected",P88)))</x:f>
        <x:v>Hygiene priority rank 31; whole initiative selected</x:v>
      </x:c>
      <x:c r="W88" s="15" t="str">
        <x:v>EW!183</x:v>
      </x:c>
      <x:c r="X88" s="15" t="str"/>
      <x:c r="Y88" s="15" t="str"/>
      <x:c r="Z88" s="15" t="str">
        <x:v>Continuous Improvement</x:v>
      </x:c>
      <x:c r="AA88" s="15" t="str">
        <x:v>Carry Over</x:v>
      </x:c>
      <x:c r="AB88" s="15" t="str">
        <x:v>Enterprise Architecture, Data &amp; Integration</x:v>
      </x:c>
      <x:c r="AC88" s="15" t="str">
        <x:v>Duplication of work, lost visibility of existing projects and capabilities, lack of collaboration across businesses and functions, slow reuse and scaling of solutions, low R&amp;D efficiency and innovation speed</x:v>
      </x:c>
      <x:c r="AD88" s="15" t="str"/>
      <x:c r="AE88" s="15" t="str"/>
      <x:c r="AF88" s="15" t="str">
        <x:v>Duplication of work, lost visibility of existing projects and capabilities, lack of collaboration across businesses and functions, slow reuse and scaling of solutions, low R&amp;D efficiency and innovation speed</x:v>
      </x:c>
      <x:c r="AG88" s="15" t="str">
        <x:v>Must Have</x:v>
      </x:c>
      <x:c r="AH88" s="15" t="n">
        <x:v>185</x:v>
      </x:c>
    </x:row>
    <x:row r="89">
      <x:c r="A89" s="15" t="str">
        <x:v>EW-57</x:v>
      </x:c>
      <x:c r="B89" s="15" t="str">
        <x:v>Commercial IT DRP</x:v>
      </x:c>
      <x:c r="C89" s="15" t="str">
        <x:v>EW Led</x:v>
      </x:c>
      <x:c r="D89" s="15" t="str">
        <x:v>Information Technology</x:v>
      </x:c>
      <x:c r="E89" s="19" t="n">
        <x:v>0.5</x:v>
      </x:c>
      <x:c r="F89" s="19" t="n">
        <x:v>2.2</x:v>
      </x:c>
      <x:c r="G89" s="22" t="n">
        <x:f>IF(AND(E89&gt;0,ISNUMBER(F89)),F89/E89,"")</x:f>
        <x:v>4.4</x:v>
      </x:c>
      <x:c r="H89" s="15" t="str">
        <x:v>Hygiene</x:v>
      </x:c>
      <x:c r="I89" s="15" t="n">
        <x:v>32</x:v>
      </x:c>
      <x:c r="J89" s="15" t="n">
        <x:v>5</x:v>
      </x:c>
      <x:c r="K89" s="23" t="n">
        <x:f>IF(G89="",0,IF(G89&lt;1,0,IF(G89&lt;2,20,IF(G89&lt;3,30,IF(G89&lt;5,40,50)))))*'Scenario Controls'!$B$22/50</x:f>
        <x:v>40</x:v>
      </x:c>
      <x:c r="L89" s="23" t="n">
        <x:f>IF(ISNUMBER(SEARCH("Must Do",AG89)),25,IF(ISNUMBER(SEARCH("Must Have",AG89)),18,IF(ISNUMBER(SEARCH("Deprior",AG89)),5,0)))*'Scenario Controls'!$B$23/25</x:f>
        <x:v>18</x:v>
      </x:c>
      <x:c r="M89" s="23" t="n">
        <x:f>J89*'Scenario Controls'!$B$24/15</x:f>
        <x:v>5</x:v>
      </x:c>
      <x:c r="N89" s="23" t="n">
        <x:f>IF(ISNUMBER(SEARCH("HEALTHY",X89)),10,IF(ISNUMBER(SEARCH("CONTAIN",X89)),6,0))*'Scenario Controls'!$B$25/10</x:f>
        <x:v>10</x:v>
      </x:c>
      <x:c r="O89" s="23" t="n">
        <x:f>SUM(K89:N89)</x:f>
        <x:v>73</x:v>
      </x:c>
      <x:c r="P89" s="15" t="str">
        <x:f>IF(OR(B89="",E89&lt;=0),"Evidence missing / not eligible",IF(ISNUMBER(SEARCH("priority TBD",Y89)),"Evidence missing / not eligible",IF(AND(H89="Carryover",NOT(ISNUMBER(F89))),"Evidence missing / not eligible",IF(AND(H89="Carryover",G89&lt;'Scenario Controls'!$B$16),"Evidence missing / not eligible",IF(AND(H89="ROI-Based Portfolio",NOT(ISNUMBER(F89))),"Evidence missing / not eligible",IF(AND(H89="ROI-Based Portfolio",O89&lt;'Scenario Controls'!$B$20),"Evidence missing / not eligible","Eligible"))))))</x:f>
        <x:v>Eligible</x:v>
      </x:c>
      <x:c r="Q89" s="19" t="n">
        <x:f>IF(P89&lt;&gt;"Eligible",0,IF(AND(SUMIFS($Q$5:Q88,$H$5:H88,H89)+E89&lt;=(IF(H89="LFR",'Scenario Controls'!$F$10,IF(H89="Sustain Engineering",'Scenario Controls'!$F$11,IF(H89="Hygiene",'Scenario Controls'!$F$12,1E+99))))*(1+'Scenario Controls'!$B$7),SUM($Q$5:Q88)+E89&lt;='Scenario Controls'!$B$6*(1+'Scenario Controls'!$B$7)),E89,0))</x:f>
        <x:v>0</x:v>
      </x:c>
      <x:c r="R89" s="24" t="str">
        <x:f>'EW Conference'!G66</x:f>
        <x:v>Automatic</x:v>
      </x:c>
      <x:c r="S89" s="24" t="str">
        <x:f>'EW Conference'!H66</x:f>
      </x:c>
      <x:c r="T89" s="19" t="n">
        <x:f>IF(R89="Exclude",0,IF(R89="Include",E89,Q89))</x:f>
        <x:v>0</x:v>
      </x:c>
      <x:c r="U89" s="15" t="str">
        <x:f>IF(T89&gt;0,"Funded",IF(P89="Eligible","Unfunded",P89))</x:f>
        <x:v>Unfunded</x:v>
      </x:c>
      <x:c r="V89" s="15" t="str">
        <x:f>IF(R89="Include","Conference inclusion: "&amp;S89,IF(R89="Exclude","Conference exclusion: "&amp;S89,IF(Q89&gt;0,H89&amp;" priority rank "&amp;I89&amp;"; whole initiative selected",P89)))</x:f>
        <x:v>Eligible</x:v>
      </x:c>
      <x:c r="W89" s="15" t="str">
        <x:v>EW!53</x:v>
      </x:c>
      <x:c r="X89" s="15" t="str">
        <x:v>HEALTHY</x:v>
      </x:c>
      <x:c r="Y89" s="15" t="str">
        <x:v>HEALTHY — Rank in priority matrix</x:v>
      </x:c>
      <x:c r="Z89" s="15" t="str">
        <x:v>Decomm/Replatforming</x:v>
      </x:c>
      <x:c r="AA89" s="15" t="str">
        <x:v>Carry Over</x:v>
      </x:c>
      <x:c r="AB89" s="15" t="str">
        <x:v>Commercial IT</x:v>
      </x:c>
      <x:c r="AC89" s="15" t="str">
        <x:v>License and maintenance cost reduction in line with our Ops spend reduction</x:v>
      </x:c>
      <x:c r="AD89" s="15" t="str"/>
      <x:c r="AE89" s="15" t="str"/>
      <x:c r="AF89" s="15" t="str">
        <x:v>License and maintenance cost reduction in line with our Ops spend reduction</x:v>
      </x:c>
      <x:c r="AG89" s="15" t="str">
        <x:v>Must Have</x:v>
      </x:c>
      <x:c r="AH89" s="15" t="n">
        <x:v>55</x:v>
      </x:c>
    </x:row>
    <x:row r="90">
      <x:c r="A90" s="15" t="str">
        <x:v>EW-133</x:v>
      </x:c>
      <x:c r="B90" s="15" t="str">
        <x:v>EADI Data Replatforming</x:v>
      </x:c>
      <x:c r="C90" s="15" t="str">
        <x:v>EW Led</x:v>
      </x:c>
      <x:c r="D90" s="15" t="str">
        <x:v>Information Technology</x:v>
      </x:c>
      <x:c r="E90" s="19" t="n">
        <x:v>0.15</x:v>
      </x:c>
      <x:c r="F90" s="19" t="n">
        <x:v>0.624</x:v>
      </x:c>
      <x:c r="G90" s="22" t="n">
        <x:f>IF(AND(E90&gt;0,ISNUMBER(F90)),F90/E90,"")</x:f>
        <x:v>4.16</x:v>
      </x:c>
      <x:c r="H90" s="15" t="str">
        <x:v>Hygiene</x:v>
      </x:c>
      <x:c r="I90" s="15" t="n">
        <x:v>33</x:v>
      </x:c>
      <x:c r="J90" s="15" t="n">
        <x:v>5</x:v>
      </x:c>
      <x:c r="K90" s="23" t="n">
        <x:f>IF(G90="",0,IF(G90&lt;1,0,IF(G90&lt;2,20,IF(G90&lt;3,30,IF(G90&lt;5,40,50)))))*'Scenario Controls'!$B$22/50</x:f>
        <x:v>40</x:v>
      </x:c>
      <x:c r="L90" s="23" t="n">
        <x:f>IF(ISNUMBER(SEARCH("Must Do",AG90)),25,IF(ISNUMBER(SEARCH("Must Have",AG90)),18,IF(ISNUMBER(SEARCH("Deprior",AG90)),5,0)))*'Scenario Controls'!$B$23/25</x:f>
        <x:v>18</x:v>
      </x:c>
      <x:c r="M90" s="23" t="n">
        <x:f>J90*'Scenario Controls'!$B$24/15</x:f>
        <x:v>5</x:v>
      </x:c>
      <x:c r="N90" s="23" t="n">
        <x:f>IF(ISNUMBER(SEARCH("HEALTHY",X90)),10,IF(ISNUMBER(SEARCH("CONTAIN",X90)),6,0))*'Scenario Controls'!$B$25/10</x:f>
        <x:v>10</x:v>
      </x:c>
      <x:c r="O90" s="23" t="n">
        <x:f>SUM(K90:N90)</x:f>
        <x:v>73</x:v>
      </x:c>
      <x:c r="P90" s="15" t="str">
        <x:f>IF(OR(B90="",E90&lt;=0),"Evidence missing / not eligible",IF(ISNUMBER(SEARCH("priority TBD",Y90)),"Evidence missing / not eligible",IF(AND(H90="Carryover",NOT(ISNUMBER(F90))),"Evidence missing / not eligible",IF(AND(H90="Carryover",G90&lt;'Scenario Controls'!$B$16),"Evidence missing / not eligible",IF(AND(H90="ROI-Based Portfolio",NOT(ISNUMBER(F90))),"Evidence missing / not eligible",IF(AND(H90="ROI-Based Portfolio",O90&lt;'Scenario Controls'!$B$20),"Evidence missing / not eligible","Eligible"))))))</x:f>
        <x:v>Eligible</x:v>
      </x:c>
      <x:c r="Q90" s="19" t="n">
        <x:f>IF(P90&lt;&gt;"Eligible",0,IF(AND(SUMIFS($Q$5:Q89,$H$5:H89,H90)+E90&lt;=(IF(H90="LFR",'Scenario Controls'!$F$10,IF(H90="Sustain Engineering",'Scenario Controls'!$F$11,IF(H90="Hygiene",'Scenario Controls'!$F$12,1E+99))))*(1+'Scenario Controls'!$B$7),SUM($Q$5:Q89)+E90&lt;='Scenario Controls'!$B$6*(1+'Scenario Controls'!$B$7)),E90,0))</x:f>
        <x:v>0.15</x:v>
      </x:c>
      <x:c r="R90" s="24" t="str">
        <x:f>'EW Conference'!G67</x:f>
        <x:v>Automatic</x:v>
      </x:c>
      <x:c r="S90" s="24" t="str">
        <x:f>'EW Conference'!H67</x:f>
      </x:c>
      <x:c r="T90" s="19" t="n">
        <x:f>IF(R90="Exclude",0,IF(R90="Include",E90,Q90))</x:f>
        <x:v>0.15</x:v>
      </x:c>
      <x:c r="U90" s="15" t="str">
        <x:f>IF(T90&gt;0,"Funded",IF(P90="Eligible","Unfunded",P90))</x:f>
        <x:v>Funded</x:v>
      </x:c>
      <x:c r="V90" s="15" t="str">
        <x:f>IF(R90="Include","Conference inclusion: "&amp;S90,IF(R90="Exclude","Conference exclusion: "&amp;S90,IF(Q90&gt;0,H90&amp;" priority rank "&amp;I90&amp;"; whole initiative selected",P90)))</x:f>
        <x:v>Hygiene priority rank 33; whole initiative selected</x:v>
      </x:c>
      <x:c r="W90" s="15" t="str">
        <x:v>EW!129</x:v>
      </x:c>
      <x:c r="X90" s="15" t="str">
        <x:v>HEALTHY</x:v>
      </x:c>
      <x:c r="Y90" s="15" t="str">
        <x:v>HEALTHY — Rank in priority matrix</x:v>
      </x:c>
      <x:c r="Z90" s="15" t="str">
        <x:v>Decomm/Replatforming</x:v>
      </x:c>
      <x:c r="AA90" s="15" t="str">
        <x:v>New Initiative</x:v>
      </x:c>
      <x:c r="AB90" s="15" t="str">
        <x:v>Enterprise Architecture, Data &amp; Integration</x:v>
      </x:c>
      <x:c r="AC90" s="15" t="str">
        <x:v>Continued use of legacy platforms , additonal infra and Falcon costs</x:v>
      </x:c>
      <x:c r="AD90" s="15" t="str">
        <x:v>Need to retire legacy platform of HC Informatica (for PR1 system) and cme out of GoA hosting charges and Falcon costs, for OPS savings</x:v>
      </x:c>
      <x:c r="AE90" s="15" t="str">
        <x:v>HC informatica- 1. HC Informatica- to move out from Skytap hosting(GoA) and also save Application support. (Skytap+ falcon)</x:v>
      </x:c>
      <x:c r="AF90" s="15" t="str">
        <x:v>Continued use of legacy platforms , additonal infra and Falcon costs | Need to retire legacy platform of HC Informatica (for PR1 system) and cme out of GoA hosting charges and Falcon costs, for OPS savings | HC informatica- 1. HC Informatica- to move out from Skytap hosting(GoA) and also save Application support. (Skytap+ falcon)</x:v>
      </x:c>
      <x:c r="AG90" s="15" t="str">
        <x:v>Must Have</x:v>
      </x:c>
      <x:c r="AH90" s="15" t="n">
        <x:v>131</x:v>
      </x:c>
    </x:row>
    <x:row r="91">
      <x:c r="A91" s="15" t="str">
        <x:v>Bu-27</x:v>
      </x:c>
      <x:c r="B91" s="15" t="str">
        <x:v>34. Retailer Sell-out Dashboard (RSD)</x:v>
      </x:c>
      <x:c r="C91" s="15" t="str">
        <x:v>BU Led</x:v>
      </x:c>
      <x:c r="D91" s="15" t="str">
        <x:v>Personal Health (PH)</x:v>
      </x:c>
      <x:c r="E91" s="19" t="n">
        <x:v>1.5</x:v>
      </x:c>
      <x:c r="F91" s="19" t="n">
        <x:v>5.273</x:v>
      </x:c>
      <x:c r="G91" s="22" t="n">
        <x:f>IF(AND(E91&gt;0,ISNUMBER(F91)),F91/E91,"")</x:f>
        <x:v>3.515333333333333</x:v>
      </x:c>
      <x:c r="H91" s="15" t="str">
        <x:v>Hygiene</x:v>
      </x:c>
      <x:c r="I91" s="15" t="n">
        <x:v>34</x:v>
      </x:c>
      <x:c r="J91" s="15" t="n">
        <x:v>15</x:v>
      </x:c>
      <x:c r="K91" s="23" t="n">
        <x:f>IF(G91="",0,IF(G91&lt;1,0,IF(G91&lt;2,20,IF(G91&lt;3,30,IF(G91&lt;5,40,50)))))*'Scenario Controls'!$B$22/50</x:f>
        <x:v>40</x:v>
      </x:c>
      <x:c r="L91" s="23" t="n">
        <x:f>IF(ISNUMBER(SEARCH("Must Do",AG91)),25,IF(ISNUMBER(SEARCH("Must Have",AG91)),18,IF(ISNUMBER(SEARCH("Deprior",AG91)),5,0)))*'Scenario Controls'!$B$23/25</x:f>
        <x:v>18</x:v>
      </x:c>
      <x:c r="M91" s="23" t="n">
        <x:f>J91*'Scenario Controls'!$B$24/15</x:f>
        <x:v>15</x:v>
      </x:c>
      <x:c r="N91" s="23" t="n">
        <x:f>IF(ISNUMBER(SEARCH("HEALTHY",X91)),10,IF(ISNUMBER(SEARCH("CONTAIN",X91)),6,0))*'Scenario Controls'!$B$25/10</x:f>
        <x:v>0</x:v>
      </x:c>
      <x:c r="O91" s="23" t="n">
        <x:f>SUM(K91:N91)</x:f>
        <x:v>73</x:v>
      </x:c>
      <x:c r="P91" s="15" t="str">
        <x:f>IF(OR(B91="",E91&lt;=0),"Evidence missing / not eligible",IF(ISNUMBER(SEARCH("priority TBD",Y91)),"Evidence missing / not eligible",IF(AND(H91="Carryover",NOT(ISNUMBER(F91))),"Evidence missing / not eligible",IF(AND(H91="Carryover",G91&lt;'Scenario Controls'!$B$16),"Evidence missing / not eligible",IF(AND(H91="ROI-Based Portfolio",NOT(ISNUMBER(F91))),"Evidence missing / not eligible",IF(AND(H91="ROI-Based Portfolio",O91&lt;'Scenario Controls'!$B$20),"Evidence missing / not eligible","Eligible"))))))</x:f>
        <x:v>Eligible</x:v>
      </x:c>
      <x:c r="Q91" s="19" t="n">
        <x:f>IF(P91&lt;&gt;"Eligible",0,IF(AND(SUMIFS($Q$5:Q90,$H$5:H90,H91)+E91&lt;=(IF(H91="LFR",'Scenario Controls'!$F$10,IF(H91="Sustain Engineering",'Scenario Controls'!$F$11,IF(H91="Hygiene",'Scenario Controls'!$F$12,1E+99))))*(1+'Scenario Controls'!$B$7),SUM($Q$5:Q90)+E91&lt;='Scenario Controls'!$B$6*(1+'Scenario Controls'!$B$7)),E91,0))</x:f>
        <x:v>0</x:v>
      </x:c>
      <x:c r="R91" s="24" t="str">
        <x:f>'BU Conference'!G29</x:f>
        <x:v>Automatic</x:v>
      </x:c>
      <x:c r="S91" s="24" t="str">
        <x:f>'BU Conference'!H29</x:f>
      </x:c>
      <x:c r="T91" s="19" t="n">
        <x:f>IF(R91="Exclude",0,IF(R91="Include",E91,Q91))</x:f>
        <x:v>0</x:v>
      </x:c>
      <x:c r="U91" s="15" t="str">
        <x:f>IF(T91&gt;0,"Funded",IF(P91="Eligible","Unfunded",P91))</x:f>
        <x:v>Unfunded</x:v>
      </x:c>
      <x:c r="V91" s="15" t="str">
        <x:f>IF(R91="Include","Conference inclusion: "&amp;S91,IF(R91="Exclude","Conference exclusion: "&amp;S91,IF(Q91&gt;0,H91&amp;" priority rank "&amp;I91&amp;"; whole initiative selected",P91)))</x:f>
        <x:v>Eligible</x:v>
      </x:c>
      <x:c r="W91" s="15" t="str">
        <x:v>Bu!59</x:v>
      </x:c>
      <x:c r="X91" s="15" t="str"/>
      <x:c r="Y91" s="15" t="str"/>
      <x:c r="Z91" s="15" t="str">
        <x:v>Continous Improvement</x:v>
      </x:c>
      <x:c r="AA91" s="15" t="str">
        <x:v>Carry Over</x:v>
      </x:c>
      <x:c r="AB91" s="15" t="str">
        <x:v>Innovation and Digital IT</x:v>
      </x:c>
      <x:c r="AC91" s="15" t="str">
        <x:v>Philips risks disruption to critical retailer sell out analytics capabilities, reduced visibility into customer performance, degraded forecast accuracy, productivity gains, cost savings, and AI-driven decision-making capabilities.</x:v>
      </x:c>
      <x:c r="AD91" s="15" t="str">
        <x: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x:v>
      </x:c>
      <x:c r="AE91" s="15" t="str">
        <x:v>5 Regional AI Agents</x:v>
      </x:c>
      <x:c r="AF91" s="15" t="str">
        <x:v>Philips risks disruption to critical retailer sell out analytics capabilities, reduced visibility into customer performance, degraded forecast accuracy, productivity gains, cost savings, and AI-driven decision-making capabilities. |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 5 Regional AI Agents</x:v>
      </x:c>
      <x:c r="AG91" s="15" t="str">
        <x:v>Must Have</x:v>
      </x:c>
      <x:c r="AH91" s="15" t="n">
        <x:v>212</x:v>
      </x:c>
    </x:row>
    <x:row r="92">
      <x:c r="A92" s="15" t="str">
        <x:v>Bu-108</x:v>
      </x:c>
      <x:c r="B92" s="15" t="str">
        <x:v>Automation of offline sales process</x:v>
      </x:c>
      <x:c r="C92" s="15" t="str">
        <x:v>BU Led</x:v>
      </x:c>
      <x:c r="D92" s="15" t="str">
        <x:v>Sleep &amp; Respiratory Care (SRC)</x:v>
      </x:c>
      <x:c r="E92" s="19" t="n">
        <x:v>0.1</x:v>
      </x:c>
      <x:c r="F92" s="19" t="n">
        <x:v>0.2</x:v>
      </x:c>
      <x:c r="G92" s="22" t="n">
        <x:f>IF(AND(E92&gt;0,ISNUMBER(F92)),F92/E92,"")</x:f>
        <x:v>2</x:v>
      </x:c>
      <x:c r="H92" s="15" t="str">
        <x:v>Hygiene</x:v>
      </x:c>
      <x:c r="I92" s="15" t="n">
        <x:v>35</x:v>
      </x:c>
      <x:c r="J92" s="15" t="n">
        <x:v>15</x:v>
      </x:c>
      <x:c r="K92" s="23" t="n">
        <x:f>IF(G92="",0,IF(G92&lt;1,0,IF(G92&lt;2,20,IF(G92&lt;3,30,IF(G92&lt;5,40,50)))))*'Scenario Controls'!$B$22/50</x:f>
        <x:v>30</x:v>
      </x:c>
      <x:c r="L92" s="23" t="n">
        <x:f>IF(ISNUMBER(SEARCH("Must Do",AG92)),25,IF(ISNUMBER(SEARCH("Must Have",AG92)),18,IF(ISNUMBER(SEARCH("Deprior",AG92)),5,0)))*'Scenario Controls'!$B$23/25</x:f>
        <x:v>18</x:v>
      </x:c>
      <x:c r="M92" s="23" t="n">
        <x:f>J92*'Scenario Controls'!$B$24/15</x:f>
        <x:v>15</x:v>
      </x:c>
      <x:c r="N92" s="23" t="n">
        <x:f>IF(ISNUMBER(SEARCH("HEALTHY",X92)),10,IF(ISNUMBER(SEARCH("CONTAIN",X92)),6,0))*'Scenario Controls'!$B$25/10</x:f>
        <x:v>10</x:v>
      </x:c>
      <x:c r="O92" s="23" t="n">
        <x:f>SUM(K92:N92)</x:f>
        <x:v>73</x:v>
      </x:c>
      <x:c r="P92" s="15" t="str">
        <x:f>IF(OR(B92="",E92&lt;=0),"Evidence missing / not eligible",IF(ISNUMBER(SEARCH("priority TBD",Y92)),"Evidence missing / not eligible",IF(AND(H92="Carryover",NOT(ISNUMBER(F92))),"Evidence missing / not eligible",IF(AND(H92="Carryover",G92&lt;'Scenario Controls'!$B$16),"Evidence missing / not eligible",IF(AND(H92="ROI-Based Portfolio",NOT(ISNUMBER(F92))),"Evidence missing / not eligible",IF(AND(H92="ROI-Based Portfolio",O92&lt;'Scenario Controls'!$B$20),"Evidence missing / not eligible","Eligible"))))))</x:f>
        <x:v>Eligible</x:v>
      </x:c>
      <x:c r="Q92" s="19" t="n">
        <x:f>IF(P92&lt;&gt;"Eligible",0,IF(AND(SUMIFS($Q$5:Q91,$H$5:H91,H92)+E92&lt;=(IF(H92="LFR",'Scenario Controls'!$F$10,IF(H92="Sustain Engineering",'Scenario Controls'!$F$11,IF(H92="Hygiene",'Scenario Controls'!$F$12,1E+99))))*(1+'Scenario Controls'!$B$7),SUM($Q$5:Q91)+E92&lt;='Scenario Controls'!$B$6*(1+'Scenario Controls'!$B$7)),E92,0))</x:f>
        <x:v>0</x:v>
      </x:c>
      <x:c r="R92" s="24" t="str">
        <x:f>'BU Conference'!G30</x:f>
        <x:v>Automatic</x:v>
      </x:c>
      <x:c r="S92" s="24" t="str">
        <x:f>'BU Conference'!H30</x:f>
      </x:c>
      <x:c r="T92" s="19" t="n">
        <x:f>IF(R92="Exclude",0,IF(R92="Include",E92,Q92))</x:f>
        <x:v>0</x:v>
      </x:c>
      <x:c r="U92" s="15" t="str">
        <x:f>IF(T92&gt;0,"Funded",IF(P92="Eligible","Unfunded",P92))</x:f>
        <x:v>Unfunded</x:v>
      </x:c>
      <x:c r="V92" s="15" t="str">
        <x:f>IF(R92="Include","Conference inclusion: "&amp;S92,IF(R92="Exclude","Conference exclusion: "&amp;S92,IF(Q92&gt;0,H92&amp;" priority rank "&amp;I92&amp;"; whole initiative selected",P92)))</x:f>
        <x:v>Eligible</x:v>
      </x:c>
      <x:c r="W92" s="15" t="str">
        <x:v>Bu!249</x:v>
      </x:c>
      <x:c r="X92" s="15" t="str">
        <x:v>HEALTHY</x:v>
      </x:c>
      <x:c r="Y92" s="15" t="str">
        <x:v>HEALTHY — Rank in priority matrix</x:v>
      </x:c>
      <x:c r="Z92" s="15" t="str">
        <x:v>Continous Improvement</x:v>
      </x:c>
      <x:c r="AA92" s="15" t="str">
        <x:v>New Initiative</x:v>
      </x:c>
      <x:c r="AB92" s="15" t="str">
        <x:v>Integrated Supply Chain &amp; Finance</x:v>
      </x:c>
      <x:c r="AC92" s="15" t="str">
        <x:v>Loss of revenue ~3M due to to delay in manual activities</x:v>
      </x:c>
      <x:c r="AD92" s="15" t="str">
        <x:v>Lot of manual work from GBS leads to delay in revenue recognition and cancellation of orders</x:v>
      </x:c>
      <x:c r="AE92" s="15" t="str">
        <x:v>Automation of manual activtieswhich will lead to higher revenue recognition and less dependency on manual work</x:v>
      </x:c>
      <x:c r="AF92" s="15" t="str">
        <x:v>Loss of revenue ~3M due to to delay in manual activities | Lot of manual work from GBS leads to delay in revenue recognition and cancellation of orders | Automation of manual activtieswhich will lead to higher revenue recognition and less dependency on manual work</x:v>
      </x:c>
      <x:c r="AG92" s="15" t="str">
        <x:v>Must Have</x:v>
      </x:c>
      <x:c r="AH92" s="15" t="n">
        <x:v>285</x:v>
      </x:c>
    </x:row>
    <x:row r="93">
      <x:c r="A93" s="15" t="str">
        <x:v>EW-34</x:v>
      </x:c>
      <x:c r="B93" s="15" t="str">
        <x:v>EADI - DataPlatform 2026</x:v>
      </x:c>
      <x:c r="C93" s="15" t="str">
        <x:v>EW Led</x:v>
      </x:c>
      <x:c r="D93" s="15" t="str">
        <x:v>Information Technology</x:v>
      </x:c>
      <x:c r="E93" s="19" t="n">
        <x:v>0.3</x:v>
      </x:c>
      <x:c r="F93" s="19" t="n">
        <x:v>0.6</x:v>
      </x:c>
      <x:c r="G93" s="22" t="n">
        <x:f>IF(AND(E93&gt;0,ISNUMBER(F93)),F93/E93,"")</x:f>
        <x:v>2</x:v>
      </x:c>
      <x:c r="H93" s="15" t="str">
        <x:v>Hygiene</x:v>
      </x:c>
      <x:c r="I93" s="15" t="n">
        <x:v>36</x:v>
      </x:c>
      <x:c r="J93" s="15" t="n">
        <x:v>15</x:v>
      </x:c>
      <x:c r="K93" s="23" t="n">
        <x:f>IF(G93="",0,IF(G93&lt;1,0,IF(G93&lt;2,20,IF(G93&lt;3,30,IF(G93&lt;5,40,50)))))*'Scenario Controls'!$B$22/50</x:f>
        <x:v>30</x:v>
      </x:c>
      <x:c r="L93" s="23" t="n">
        <x:f>IF(ISNUMBER(SEARCH("Must Do",AG93)),25,IF(ISNUMBER(SEARCH("Must Have",AG93)),18,IF(ISNUMBER(SEARCH("Deprior",AG93)),5,0)))*'Scenario Controls'!$B$23/25</x:f>
        <x:v>18</x:v>
      </x:c>
      <x:c r="M93" s="23" t="n">
        <x:f>J93*'Scenario Controls'!$B$24/15</x:f>
        <x:v>15</x:v>
      </x:c>
      <x:c r="N93" s="23" t="n">
        <x:f>IF(ISNUMBER(SEARCH("HEALTHY",X93)),10,IF(ISNUMBER(SEARCH("CONTAIN",X93)),6,0))*'Scenario Controls'!$B$25/10</x:f>
        <x:v>10</x:v>
      </x:c>
      <x:c r="O93" s="23" t="n">
        <x:f>SUM(K93:N93)</x:f>
        <x:v>73</x:v>
      </x:c>
      <x:c r="P93" s="15" t="str">
        <x:f>IF(OR(B93="",E93&lt;=0),"Evidence missing / not eligible",IF(ISNUMBER(SEARCH("priority TBD",Y93)),"Evidence missing / not eligible",IF(AND(H93="Carryover",NOT(ISNUMBER(F93))),"Evidence missing / not eligible",IF(AND(H93="Carryover",G93&lt;'Scenario Controls'!$B$16),"Evidence missing / not eligible",IF(AND(H93="ROI-Based Portfolio",NOT(ISNUMBER(F93))),"Evidence missing / not eligible",IF(AND(H93="ROI-Based Portfolio",O93&lt;'Scenario Controls'!$B$20),"Evidence missing / not eligible","Eligible"))))))</x:f>
        <x:v>Eligible</x:v>
      </x:c>
      <x:c r="Q93" s="19" t="n">
        <x:f>IF(P93&lt;&gt;"Eligible",0,IF(AND(SUMIFS($Q$5:Q92,$H$5:H92,H93)+E93&lt;=(IF(H93="LFR",'Scenario Controls'!$F$10,IF(H93="Sustain Engineering",'Scenario Controls'!$F$11,IF(H93="Hygiene",'Scenario Controls'!$F$12,1E+99))))*(1+'Scenario Controls'!$B$7),SUM($Q$5:Q92)+E93&lt;='Scenario Controls'!$B$6*(1+'Scenario Controls'!$B$7)),E93,0))</x:f>
        <x:v>0</x:v>
      </x:c>
      <x:c r="R93" s="24" t="str">
        <x:f>'EW Conference'!G68</x:f>
        <x:v>Automatic</x:v>
      </x:c>
      <x:c r="S93" s="24" t="str">
        <x:f>'EW Conference'!H68</x:f>
      </x:c>
      <x:c r="T93" s="19" t="n">
        <x:f>IF(R93="Exclude",0,IF(R93="Include",E93,Q93))</x:f>
        <x:v>0</x:v>
      </x:c>
      <x:c r="U93" s="15" t="str">
        <x:f>IF(T93&gt;0,"Funded",IF(P93="Eligible","Unfunded",P93))</x:f>
        <x:v>Unfunded</x:v>
      </x:c>
      <x:c r="V93" s="15" t="str">
        <x:f>IF(R93="Include","Conference inclusion: "&amp;S93,IF(R93="Exclude","Conference exclusion: "&amp;S93,IF(Q93&gt;0,H93&amp;" priority rank "&amp;I93&amp;"; whole initiative selected",P93)))</x:f>
        <x:v>Eligible</x:v>
      </x:c>
      <x:c r="W93" s="15" t="str">
        <x:v>EW!35</x:v>
      </x:c>
      <x:c r="X93" s="15" t="str">
        <x:v>HEALTHY</x:v>
      </x:c>
      <x:c r="Y93" s="15" t="str">
        <x:v>HEALTHY — Rank in priority matrix</x:v>
      </x:c>
      <x:c r="Z93" s="15" t="str">
        <x:v>Upgrades &amp; Enhancements</x:v>
      </x:c>
      <x:c r="AA93" s="15" t="str">
        <x:v>Carry Over</x:v>
      </x:c>
      <x:c r="AB93" s="15" t="str">
        <x:v>Enterprise Architecture, Data &amp; Integration</x:v>
      </x:c>
      <x:c r="AC93" s="15" t="str">
        <x:v>1. Missed Retirement PIL informatica</x:v>
      </x:c>
      <x:c r="AD93" s="15" t="str">
        <x:v>migrate out of informatica and save license &amp; ops cost</x:v>
      </x:c>
      <x:c r="AE93" s="15" t="str">
        <x:v>Migrate Informatica integrations to Azure Databricks stack</x:v>
      </x:c>
      <x:c r="AF93" s="15" t="str">
        <x:v>1. Missed Retirement PIL informatica | migrate out of informatica and save license &amp; ops cost | Migrate Informatica integrations to Azure Databricks stack</x:v>
      </x:c>
      <x:c r="AG93" s="15" t="str">
        <x:v>Must Have</x:v>
      </x:c>
      <x:c r="AH93" s="15" t="n">
        <x:v>37</x:v>
      </x:c>
    </x:row>
    <x:row r="94">
      <x:c r="A94" s="15" t="str">
        <x:v>Bu-115</x:v>
      </x:c>
      <x:c r="B94" s="15" t="str">
        <x:v>SFDC NAM Changes</x:v>
      </x:c>
      <x:c r="C94" s="15" t="str">
        <x:v>BU Led</x:v>
      </x:c>
      <x:c r="D94" s="15" t="str">
        <x:v>Sleep &amp; Respiratory Care (SRC)</x:v>
      </x:c>
      <x:c r="E94" s="19" t="n">
        <x:v>0.08</x:v>
      </x:c>
      <x:c r="F94" s="19" t="n">
        <x:v>0.25</x:v>
      </x:c>
      <x:c r="G94" s="22" t="n">
        <x:f>IF(AND(E94&gt;0,ISNUMBER(F94)),F94/E94,"")</x:f>
        <x:v>3.125</x:v>
      </x:c>
      <x:c r="H94" s="15" t="str">
        <x:v>Hygiene</x:v>
      </x:c>
      <x:c r="I94" s="15" t="n">
        <x:v>37</x:v>
      </x:c>
      <x:c r="J94" s="15" t="n">
        <x:v>5</x:v>
      </x:c>
      <x:c r="K94" s="23" t="n">
        <x:f>IF(G94="",0,IF(G94&lt;1,0,IF(G94&lt;2,20,IF(G94&lt;3,30,IF(G94&lt;5,40,50)))))*'Scenario Controls'!$B$22/50</x:f>
        <x:v>40</x:v>
      </x:c>
      <x:c r="L94" s="23" t="n">
        <x:f>IF(ISNUMBER(SEARCH("Must Do",AG94)),25,IF(ISNUMBER(SEARCH("Must Have",AG94)),18,IF(ISNUMBER(SEARCH("Deprior",AG94)),5,0)))*'Scenario Controls'!$B$23/25</x:f>
        <x:v>25</x:v>
      </x:c>
      <x:c r="M94" s="23" t="n">
        <x:f>J94*'Scenario Controls'!$B$24/15</x:f>
        <x:v>5</x:v>
      </x:c>
      <x:c r="N94" s="23" t="n">
        <x:f>IF(ISNUMBER(SEARCH("HEALTHY",X94)),10,IF(ISNUMBER(SEARCH("CONTAIN",X94)),6,0))*'Scenario Controls'!$B$25/10</x:f>
        <x:v>0</x:v>
      </x:c>
      <x:c r="O94" s="23" t="n">
        <x:f>SUM(K94:N94)</x:f>
        <x:v>70</x:v>
      </x:c>
      <x:c r="P94" s="15" t="str">
        <x:f>IF(OR(B94="",E94&lt;=0),"Evidence missing / not eligible",IF(ISNUMBER(SEARCH("priority TBD",Y94)),"Evidence missing / not eligible",IF(AND(H94="Carryover",NOT(ISNUMBER(F94))),"Evidence missing / not eligible",IF(AND(H94="Carryover",G94&lt;'Scenario Controls'!$B$16),"Evidence missing / not eligible",IF(AND(H94="ROI-Based Portfolio",NOT(ISNUMBER(F94))),"Evidence missing / not eligible",IF(AND(H94="ROI-Based Portfolio",O94&lt;'Scenario Controls'!$B$20),"Evidence missing / not eligible","Eligible"))))))</x:f>
        <x:v>Eligible</x:v>
      </x:c>
      <x:c r="Q94" s="19" t="n">
        <x:f>IF(P94&lt;&gt;"Eligible",0,IF(AND(SUMIFS($Q$5:Q93,$H$5:H93,H94)+E94&lt;=(IF(H94="LFR",'Scenario Controls'!$F$10,IF(H94="Sustain Engineering",'Scenario Controls'!$F$11,IF(H94="Hygiene",'Scenario Controls'!$F$12,1E+99))))*(1+'Scenario Controls'!$B$7),SUM($Q$5:Q93)+E94&lt;='Scenario Controls'!$B$6*(1+'Scenario Controls'!$B$7)),E94,0))</x:f>
        <x:v>0</x:v>
      </x:c>
      <x:c r="R94" s="24" t="str">
        <x:f>'BU Conference'!G31</x:f>
        <x:v>Automatic</x:v>
      </x:c>
      <x:c r="S94" s="24" t="str">
        <x:f>'BU Conference'!H31</x:f>
      </x:c>
      <x:c r="T94" s="19" t="n">
        <x:f>IF(R94="Exclude",0,IF(R94="Include",E94,Q94))</x:f>
        <x:v>0</x:v>
      </x:c>
      <x:c r="U94" s="15" t="str">
        <x:f>IF(T94&gt;0,"Funded",IF(P94="Eligible","Unfunded",P94))</x:f>
        <x:v>Unfunded</x:v>
      </x:c>
      <x:c r="V94" s="15" t="str">
        <x:f>IF(R94="Include","Conference inclusion: "&amp;S94,IF(R94="Exclude","Conference exclusion: "&amp;S94,IF(Q94&gt;0,H94&amp;" priority rank "&amp;I94&amp;"; whole initiative selected",P94)))</x:f>
        <x:v>Eligible</x:v>
      </x:c>
      <x:c r="W94" s="15" t="str">
        <x:v>Bu!285</x:v>
      </x:c>
      <x:c r="X94" s="15" t="str"/>
      <x:c r="Y94" s="15" t="str"/>
      <x:c r="Z94" s="15" t="str">
        <x:v>Continous Improvement</x:v>
      </x:c>
      <x:c r="AA94" s="15" t="str">
        <x:v>New Initiative</x:v>
      </x:c>
      <x:c r="AB94" s="15" t="str">
        <x:v>Commercial IT</x:v>
      </x:c>
      <x:c r="AC94" s="15" t="str">
        <x:v>Critical for standardizing the WoW and without this, we will not be able to realize benefits</x:v>
      </x:c>
      <x:c r="AD94" s="15" t="str">
        <x:v>Introduce a checkbox on Opportunity create/update to set Commits equal to Target — eliminating a frequent, error-prone manual step that currently slows forecasting accuracy.</x:v>
      </x:c>
      <x:c r="AE94" s="15" t="str">
        <x:v>Checkbox on Opportunity create/update to set Commits equal to Target.</x:v>
      </x:c>
      <x:c r="AF94" s="15" t="str">
        <x:v>Critical for standardizing the WoW and without this, we will not be able to realize benefits | Introduce a checkbox on Opportunity create/update to set Commits equal to Target — eliminating a frequent, error-prone manual step that currently slows forecasting accuracy. | Checkbox on Opportunity create/update to set Commits equal to Target.</x:v>
      </x:c>
      <x:c r="AG94" s="15" t="str">
        <x:v>Must Do</x:v>
      </x:c>
      <x:c r="AH94" s="15" t="n">
        <x:v>292</x:v>
      </x:c>
    </x:row>
    <x:row r="95">
      <x:c r="A95" s="15" t="str">
        <x:v>EW-131</x:v>
      </x:c>
      <x:c r="B95" s="15" t="str">
        <x:v>EADI- Synapse Decommissioning</x:v>
      </x:c>
      <x:c r="C95" s="15" t="str">
        <x:v>EW Led</x:v>
      </x:c>
      <x:c r="D95" s="15" t="str">
        <x:v>Information Technology</x:v>
      </x:c>
      <x:c r="E95" s="19" t="n">
        <x:v>1.062</x:v>
      </x:c>
      <x:c r="F95" s="19" t="n">
        <x:v>3.06</x:v>
      </x:c>
      <x:c r="G95" s="22" t="n">
        <x:f>IF(AND(E95&gt;0,ISNUMBER(F95)),F95/E95,"")</x:f>
        <x:v>2.8813559322033897</x:v>
      </x:c>
      <x:c r="H95" s="15" t="str">
        <x:v>Hygiene</x:v>
      </x:c>
      <x:c r="I95" s="15" t="n">
        <x:v>38</x:v>
      </x:c>
      <x:c r="J95" s="15" t="n">
        <x:v>15</x:v>
      </x:c>
      <x:c r="K95" s="23" t="n">
        <x:f>IF(G95="",0,IF(G95&lt;1,0,IF(G95&lt;2,20,IF(G95&lt;3,30,IF(G95&lt;5,40,50)))))*'Scenario Controls'!$B$22/50</x:f>
        <x:v>30</x:v>
      </x:c>
      <x:c r="L95" s="23" t="n">
        <x:f>IF(ISNUMBER(SEARCH("Must Do",AG95)),25,IF(ISNUMBER(SEARCH("Must Have",AG95)),18,IF(ISNUMBER(SEARCH("Deprior",AG95)),5,0)))*'Scenario Controls'!$B$23/25</x:f>
        <x:v>25</x:v>
      </x:c>
      <x:c r="M95" s="23" t="n">
        <x:f>J95*'Scenario Controls'!$B$24/15</x:f>
        <x:v>15</x:v>
      </x:c>
      <x:c r="N95" s="23" t="n">
        <x:f>IF(ISNUMBER(SEARCH("HEALTHY",X95)),10,IF(ISNUMBER(SEARCH("CONTAIN",X95)),6,0))*'Scenario Controls'!$B$25/10</x:f>
        <x:v>0</x:v>
      </x:c>
      <x:c r="O95" s="23" t="n">
        <x:f>SUM(K95:N95)</x:f>
        <x:v>70</x:v>
      </x:c>
      <x:c r="P95" s="15" t="str">
        <x:f>IF(OR(B95="",E95&lt;=0),"Evidence missing / not eligible",IF(ISNUMBER(SEARCH("priority TBD",Y95)),"Evidence missing / not eligible",IF(AND(H95="Carryover",NOT(ISNUMBER(F95))),"Evidence missing / not eligible",IF(AND(H95="Carryover",G95&lt;'Scenario Controls'!$B$16),"Evidence missing / not eligible",IF(AND(H95="ROI-Based Portfolio",NOT(ISNUMBER(F95))),"Evidence missing / not eligible",IF(AND(H95="ROI-Based Portfolio",O95&lt;'Scenario Controls'!$B$20),"Evidence missing / not eligible","Eligible"))))))</x:f>
        <x:v>Eligible</x:v>
      </x:c>
      <x:c r="Q95" s="19" t="n">
        <x:f>IF(P95&lt;&gt;"Eligible",0,IF(AND(SUMIFS($Q$5:Q94,$H$5:H94,H95)+E95&lt;=(IF(H95="LFR",'Scenario Controls'!$F$10,IF(H95="Sustain Engineering",'Scenario Controls'!$F$11,IF(H95="Hygiene",'Scenario Controls'!$F$12,1E+99))))*(1+'Scenario Controls'!$B$7),SUM($Q$5:Q94)+E95&lt;='Scenario Controls'!$B$6*(1+'Scenario Controls'!$B$7)),E95,0))</x:f>
        <x:v>0</x:v>
      </x:c>
      <x:c r="R95" s="24" t="str">
        <x:f>'EW Conference'!G69</x:f>
        <x:v>Automatic</x:v>
      </x:c>
      <x:c r="S95" s="24" t="str">
        <x:f>'EW Conference'!H69</x:f>
      </x:c>
      <x:c r="T95" s="19" t="n">
        <x:f>IF(R95="Exclude",0,IF(R95="Include",E95,Q95))</x:f>
        <x:v>0</x:v>
      </x:c>
      <x:c r="U95" s="15" t="str">
        <x:f>IF(T95&gt;0,"Funded",IF(P95="Eligible","Unfunded",P95))</x:f>
        <x:v>Unfunded</x:v>
      </x:c>
      <x:c r="V95" s="15" t="str">
        <x:f>IF(R95="Include","Conference inclusion: "&amp;S95,IF(R95="Exclude","Conference exclusion: "&amp;S95,IF(Q95&gt;0,H95&amp;" priority rank "&amp;I95&amp;"; whole initiative selected",P95)))</x:f>
        <x:v>Eligible</x:v>
      </x:c>
      <x:c r="W95" s="15" t="str">
        <x:v>EW!127</x:v>
      </x:c>
      <x:c r="X95" s="15" t="str"/>
      <x:c r="Y95" s="15" t="str"/>
      <x:c r="Z95" s="15" t="str">
        <x:v>Decomm/Replatforming</x:v>
      </x:c>
      <x:c r="AA95" s="15" t="str">
        <x:v>New Initiative</x:v>
      </x:c>
      <x:c r="AB95" s="15" t="str">
        <x:v>Enterprise Architecture, Data &amp; Integration</x:v>
      </x:c>
      <x:c r="AC95" s="15" t="str">
        <x:v>Synapse decommissioning cannot happen (Euro 1.02M per year), Informatica Power centre (PIL Informatica instance) cannot be decommissioned resulting in non realization of projected savings of 230k per year July 2027</x:v>
      </x:c>
      <x:c r="AD95" s="15" t="str">
        <x:v>Retire Synapse for License Cost Reduction, Infrastructure cost reduction, Synapse SQL Cost Reduction for EADI</x:v>
      </x:c>
      <x:c r="AE95" s="15" t="str">
        <x:v>Migration of QCM DPPM Data warehouse from Synapse SQL to PSQ ADL New L2 and Gold Build and repointing the BI reports as applicable - Shivendra and Jeroen Douw (Group Functions IT)</x:v>
      </x:c>
      <x:c r="AF95" s="15" t="str">
        <x:v>Synapse decommissioning cannot happen (Euro 1.02M per year), Informatica Power centre (PIL Informatica instance) cannot be decommissioned resulting in non realization of projected savings of 230k per year July 2027 | Retire Synapse for License Cost Reduction, Infrastructure cost reduction, Synapse SQL Cost Reduction for EADI | Migration of QCM DPPM Data warehouse from Synapse SQL to PSQ ADL New L2 and Gold Build and repointing the BI reports as applicable - Shivendra and Jeroen Douw (Group Functions IT)</x:v>
      </x:c>
      <x:c r="AG95" s="15" t="str">
        <x:v>Must Do</x:v>
      </x:c>
      <x:c r="AH95" s="15" t="n">
        <x:v>129</x:v>
      </x:c>
    </x:row>
    <x:row r="96">
      <x:c r="A96" s="15" t="str">
        <x:v>EW-75</x:v>
      </x:c>
      <x:c r="B96" s="15" t="str">
        <x:v>FIN-ARIC Digital finance strategy - RtR</x:v>
      </x:c>
      <x:c r="C96" s="15" t="str">
        <x:v>EW Led</x:v>
      </x:c>
      <x:c r="D96" s="15" t="str">
        <x:v>Finance</x:v>
      </x:c>
      <x:c r="E96" s="19" t="n">
        <x:v>0.5</x:v>
      </x:c>
      <x:c r="F96" s="19" t="n">
        <x:v>1.2</x:v>
      </x:c>
      <x:c r="G96" s="22" t="n">
        <x:f>IF(AND(E96&gt;0,ISNUMBER(F96)),F96/E96,"")</x:f>
        <x:v>2.4</x:v>
      </x:c>
      <x:c r="H96" s="15" t="str">
        <x:v>Hygiene</x:v>
      </x:c>
      <x:c r="I96" s="15" t="n">
        <x:v>39</x:v>
      </x:c>
      <x:c r="J96" s="15" t="n">
        <x:v>5</x:v>
      </x:c>
      <x:c r="K96" s="23" t="n">
        <x:f>IF(G96="",0,IF(G96&lt;1,0,IF(G96&lt;2,20,IF(G96&lt;3,30,IF(G96&lt;5,40,50)))))*'Scenario Controls'!$B$22/50</x:f>
        <x:v>30</x:v>
      </x:c>
      <x:c r="L96" s="23" t="n">
        <x:f>IF(ISNUMBER(SEARCH("Must Do",AG96)),25,IF(ISNUMBER(SEARCH("Must Have",AG96)),18,IF(ISNUMBER(SEARCH("Deprior",AG96)),5,0)))*'Scenario Controls'!$B$23/25</x:f>
        <x:v>25</x:v>
      </x:c>
      <x:c r="M96" s="23" t="n">
        <x:f>J96*'Scenario Controls'!$B$24/15</x:f>
        <x:v>5</x:v>
      </x:c>
      <x:c r="N96" s="23" t="n">
        <x:f>IF(ISNUMBER(SEARCH("HEALTHY",X96)),10,IF(ISNUMBER(SEARCH("CONTAIN",X96)),6,0))*'Scenario Controls'!$B$25/10</x:f>
        <x:v>10</x:v>
      </x:c>
      <x:c r="O96" s="23" t="n">
        <x:f>SUM(K96:N96)</x:f>
        <x:v>70</x:v>
      </x:c>
      <x:c r="P96" s="15" t="str">
        <x:f>IF(OR(B96="",E96&lt;=0),"Evidence missing / not eligible",IF(ISNUMBER(SEARCH("priority TBD",Y96)),"Evidence missing / not eligible",IF(AND(H96="Carryover",NOT(ISNUMBER(F96))),"Evidence missing / not eligible",IF(AND(H96="Carryover",G96&lt;'Scenario Controls'!$B$16),"Evidence missing / not eligible",IF(AND(H96="ROI-Based Portfolio",NOT(ISNUMBER(F96))),"Evidence missing / not eligible",IF(AND(H96="ROI-Based Portfolio",O96&lt;'Scenario Controls'!$B$20),"Evidence missing / not eligible","Eligible"))))))</x:f>
        <x:v>Eligible</x:v>
      </x:c>
      <x:c r="Q96" s="19" t="n">
        <x:f>IF(P96&lt;&gt;"Eligible",0,IF(AND(SUMIFS($Q$5:Q95,$H$5:H95,H96)+E96&lt;=(IF(H96="LFR",'Scenario Controls'!$F$10,IF(H96="Sustain Engineering",'Scenario Controls'!$F$11,IF(H96="Hygiene",'Scenario Controls'!$F$12,1E+99))))*(1+'Scenario Controls'!$B$7),SUM($Q$5:Q95)+E96&lt;='Scenario Controls'!$B$6*(1+'Scenario Controls'!$B$7)),E96,0))</x:f>
        <x:v>0</x:v>
      </x:c>
      <x:c r="R96" s="24" t="str">
        <x:f>'EW Conference'!G70</x:f>
        <x:v>Automatic</x:v>
      </x:c>
      <x:c r="S96" s="24" t="str">
        <x:f>'EW Conference'!H70</x:f>
      </x:c>
      <x:c r="T96" s="19" t="n">
        <x:f>IF(R96="Exclude",0,IF(R96="Include",E96,Q96))</x:f>
        <x:v>0</x:v>
      </x:c>
      <x:c r="U96" s="15" t="str">
        <x:f>IF(T96&gt;0,"Funded",IF(P96="Eligible","Unfunded",P96))</x:f>
        <x:v>Unfunded</x:v>
      </x:c>
      <x:c r="V96" s="15" t="str">
        <x:f>IF(R96="Include","Conference inclusion: "&amp;S96,IF(R96="Exclude","Conference exclusion: "&amp;S96,IF(Q96&gt;0,H96&amp;" priority rank "&amp;I96&amp;"; whole initiative selected",P96)))</x:f>
        <x:v>Eligible</x:v>
      </x:c>
      <x:c r="W96" s="15" t="str">
        <x:v>EW!71</x:v>
      </x:c>
      <x:c r="X96" s="15" t="str">
        <x:v>HEALTHY</x:v>
      </x:c>
      <x:c r="Y96" s="15" t="str">
        <x:v>HEALTHY — Rank in priority matrix</x:v>
      </x:c>
      <x:c r="Z96" s="15" t="str">
        <x:v>Decomm/Replatforming</x:v>
      </x:c>
      <x:c r="AA96" s="15" t="str">
        <x:v>Carry Over</x:v>
      </x:c>
      <x:c r="AB96" s="15" t="str">
        <x:v>Integrated Supply Chain &amp; Finance</x:v>
      </x:c>
      <x:c r="AC96" s="15" t="str">
        <x:v>Compelling business case of cost avoidance (20 FTE saving &amp; license cost)</x:v>
      </x:c>
      <x:c r="AD96" s="15" t="str"/>
      <x:c r="AE96" s="15" t="str"/>
      <x:c r="AF96" s="15" t="str">
        <x:v>Compelling business case of cost avoidance (20 FTE saving &amp; license cost)</x:v>
      </x:c>
      <x:c r="AG96" s="15" t="str">
        <x:v>Must Do</x:v>
      </x:c>
      <x:c r="AH96" s="15" t="n">
        <x:v>73</x:v>
      </x:c>
    </x:row>
    <x:row r="97">
      <x:c r="A97" s="15" t="str">
        <x:v>EW-158</x:v>
      </x:c>
      <x:c r="B97" s="15" t="str">
        <x:v>Scheduling</x:v>
      </x:c>
      <x:c r="C97" s="15" t="str">
        <x:v>EW Led</x:v>
      </x:c>
      <x:c r="D97" s="15" t="str">
        <x:v>People function</x:v>
      </x:c>
      <x:c r="E97" s="19" t="n">
        <x:v>0.05</x:v>
      </x:c>
      <x:c r="F97" s="19" t="n">
        <x:v>0.1</x:v>
      </x:c>
      <x:c r="G97" s="22" t="n">
        <x:f>IF(AND(E97&gt;0,ISNUMBER(F97)),F97/E97,"")</x:f>
        <x:v>2</x:v>
      </x:c>
      <x:c r="H97" s="15" t="str">
        <x:v>Hygiene</x:v>
      </x:c>
      <x:c r="I97" s="15" t="n">
        <x:v>40</x:v>
      </x:c>
      <x:c r="J97" s="15" t="n">
        <x:v>5</x:v>
      </x:c>
      <x:c r="K97" s="23" t="n">
        <x:f>IF(G97="",0,IF(G97&lt;1,0,IF(G97&lt;2,20,IF(G97&lt;3,30,IF(G97&lt;5,40,50)))))*'Scenario Controls'!$B$22/50</x:f>
        <x:v>30</x:v>
      </x:c>
      <x:c r="L97" s="23" t="n">
        <x:f>IF(ISNUMBER(SEARCH("Must Do",AG97)),25,IF(ISNUMBER(SEARCH("Must Have",AG97)),18,IF(ISNUMBER(SEARCH("Deprior",AG97)),5,0)))*'Scenario Controls'!$B$23/25</x:f>
        <x:v>25</x:v>
      </x:c>
      <x:c r="M97" s="23" t="n">
        <x:f>J97*'Scenario Controls'!$B$24/15</x:f>
        <x:v>5</x:v>
      </x:c>
      <x:c r="N97" s="23" t="n">
        <x:f>IF(ISNUMBER(SEARCH("HEALTHY",X97)),10,IF(ISNUMBER(SEARCH("CONTAIN",X97)),6,0))*'Scenario Controls'!$B$25/10</x:f>
        <x:v>10</x:v>
      </x:c>
      <x:c r="O97" s="23" t="n">
        <x:f>SUM(K97:N97)</x:f>
        <x:v>70</x:v>
      </x:c>
      <x:c r="P97" s="15" t="str">
        <x:f>IF(OR(B97="",E97&lt;=0),"Evidence missing / not eligible",IF(ISNUMBER(SEARCH("priority TBD",Y97)),"Evidence missing / not eligible",IF(AND(H97="Carryover",NOT(ISNUMBER(F97))),"Evidence missing / not eligible",IF(AND(H97="Carryover",G97&lt;'Scenario Controls'!$B$16),"Evidence missing / not eligible",IF(AND(H97="ROI-Based Portfolio",NOT(ISNUMBER(F97))),"Evidence missing / not eligible",IF(AND(H97="ROI-Based Portfolio",O97&lt;'Scenario Controls'!$B$20),"Evidence missing / not eligible","Eligible"))))))</x:f>
        <x:v>Eligible</x:v>
      </x:c>
      <x:c r="Q97" s="19" t="n">
        <x:f>IF(P97&lt;&gt;"Eligible",0,IF(AND(SUMIFS($Q$5:Q96,$H$5:H96,H97)+E97&lt;=(IF(H97="LFR",'Scenario Controls'!$F$10,IF(H97="Sustain Engineering",'Scenario Controls'!$F$11,IF(H97="Hygiene",'Scenario Controls'!$F$12,1E+99))))*(1+'Scenario Controls'!$B$7),SUM($Q$5:Q96)+E97&lt;='Scenario Controls'!$B$6*(1+'Scenario Controls'!$B$7)),E97,0))</x:f>
        <x:v>0</x:v>
      </x:c>
      <x:c r="R97" s="24" t="str">
        <x:f>'EW Conference'!G71</x:f>
        <x:v>Automatic</x:v>
      </x:c>
      <x:c r="S97" s="24" t="str">
        <x:f>'EW Conference'!H71</x:f>
      </x:c>
      <x:c r="T97" s="19" t="n">
        <x:f>IF(R97="Exclude",0,IF(R97="Include",E97,Q97))</x:f>
        <x:v>0</x:v>
      </x:c>
      <x:c r="U97" s="15" t="str">
        <x:f>IF(T97&gt;0,"Funded",IF(P97="Eligible","Unfunded",P97))</x:f>
        <x:v>Unfunded</x:v>
      </x:c>
      <x:c r="V97" s="15" t="str">
        <x:f>IF(R97="Include","Conference inclusion: "&amp;S97,IF(R97="Exclude","Conference exclusion: "&amp;S97,IF(Q97&gt;0,H97&amp;" priority rank "&amp;I97&amp;"; whole initiative selected",P97)))</x:f>
        <x:v>Eligible</x:v>
      </x:c>
      <x:c r="W97" s="15" t="str">
        <x:v>EW!154</x:v>
      </x:c>
      <x:c r="X97" s="15" t="str">
        <x:v>HEALTHY</x:v>
      </x:c>
      <x:c r="Y97" s="15" t="str">
        <x:v>HEALTHY — Rank in priority matrix</x:v>
      </x:c>
      <x:c r="Z97" s="15" t="str">
        <x:v>Continuous Improvement</x:v>
      </x:c>
      <x:c r="AA97" s="15" t="str">
        <x:v>New Initiative</x:v>
      </x:c>
      <x:c r="AB97" s="15" t="str">
        <x:v>Group Functions &amp; Hyperautomation IT</x:v>
      </x:c>
      <x:c r="AC97" s="15" t="str">
        <x:v>Productivity targets will not be met and thereby forfeit Business case worth of 100K</x:v>
      </x:c>
      <x:c r="AD97" s="15" t="str"/>
      <x:c r="AE97" s="15" t="str">
        <x:v>Expand automated interview scheduling and fix regional process and coordinator gaps.</x:v>
      </x:c>
      <x:c r="AF97" s="15" t="str">
        <x:v>Productivity targets will not be met and thereby forfeit Business case worth of 100K | Expand automated interview scheduling and fix regional process and coordinator gaps.</x:v>
      </x:c>
      <x:c r="AG97" s="15" t="str">
        <x:v>Must Do</x:v>
      </x:c>
      <x:c r="AH97" s="15" t="n">
        <x:v>156</x:v>
      </x:c>
    </x:row>
    <x:row r="98">
      <x:c r="A98" s="15" t="str">
        <x:v>EW-33</x:v>
      </x:c>
      <x:c r="B98" s="15" t="str">
        <x:v>EADI - Modeling</x:v>
      </x:c>
      <x:c r="C98" s="15" t="str">
        <x:v>EW Led</x:v>
      </x:c>
      <x:c r="D98" s="15" t="str">
        <x:v>Information Technology</x:v>
      </x:c>
      <x:c r="E98" s="19" t="n">
        <x:v>0.12</x:v>
      </x:c>
      <x:c r="F98" s="19" t="n">
        <x:v>0.19</x:v>
      </x:c>
      <x:c r="G98" s="22" t="n">
        <x:f>IF(AND(E98&gt;0,ISNUMBER(F98)),F98/E98,"")</x:f>
        <x:v>1.5833333333333335</x:v>
      </x:c>
      <x:c r="H98" s="15" t="str">
        <x:v>Hygiene</x:v>
      </x:c>
      <x:c r="I98" s="15" t="n">
        <x:v>41</x:v>
      </x:c>
      <x:c r="J98" s="15" t="n">
        <x:v>15</x:v>
      </x:c>
      <x:c r="K98" s="23" t="n">
        <x:f>IF(G98="",0,IF(G98&lt;1,0,IF(G98&lt;2,20,IF(G98&lt;3,30,IF(G98&lt;5,40,50)))))*'Scenario Controls'!$B$22/50</x:f>
        <x:v>20</x:v>
      </x:c>
      <x:c r="L98" s="23" t="n">
        <x:f>IF(ISNUMBER(SEARCH("Must Do",AG98)),25,IF(ISNUMBER(SEARCH("Must Have",AG98)),18,IF(ISNUMBER(SEARCH("Deprior",AG98)),5,0)))*'Scenario Controls'!$B$23/25</x:f>
        <x:v>25</x:v>
      </x:c>
      <x:c r="M98" s="23" t="n">
        <x:f>J98*'Scenario Controls'!$B$24/15</x:f>
        <x:v>15</x:v>
      </x:c>
      <x:c r="N98" s="23" t="n">
        <x:f>IF(ISNUMBER(SEARCH("HEALTHY",X98)),10,IF(ISNUMBER(SEARCH("CONTAIN",X98)),6,0))*'Scenario Controls'!$B$25/10</x:f>
        <x:v>10</x:v>
      </x:c>
      <x:c r="O98" s="23" t="n">
        <x:f>SUM(K98:N98)</x:f>
        <x:v>70</x:v>
      </x:c>
      <x:c r="P98" s="15" t="str">
        <x:f>IF(OR(B98="",E98&lt;=0),"Evidence missing / not eligible",IF(ISNUMBER(SEARCH("priority TBD",Y98)),"Evidence missing / not eligible",IF(AND(H98="Carryover",NOT(ISNUMBER(F98))),"Evidence missing / not eligible",IF(AND(H98="Carryover",G98&lt;'Scenario Controls'!$B$16),"Evidence missing / not eligible",IF(AND(H98="ROI-Based Portfolio",NOT(ISNUMBER(F98))),"Evidence missing / not eligible",IF(AND(H98="ROI-Based Portfolio",O98&lt;'Scenario Controls'!$B$20),"Evidence missing / not eligible","Eligible"))))))</x:f>
        <x:v>Eligible</x:v>
      </x:c>
      <x:c r="Q98" s="19" t="n">
        <x:f>IF(P98&lt;&gt;"Eligible",0,IF(AND(SUMIFS($Q$5:Q97,$H$5:H97,H98)+E98&lt;=(IF(H98="LFR",'Scenario Controls'!$F$10,IF(H98="Sustain Engineering",'Scenario Controls'!$F$11,IF(H98="Hygiene",'Scenario Controls'!$F$12,1E+99))))*(1+'Scenario Controls'!$B$7),SUM($Q$5:Q97)+E98&lt;='Scenario Controls'!$B$6*(1+'Scenario Controls'!$B$7)),E98,0))</x:f>
        <x:v>0</x:v>
      </x:c>
      <x:c r="R98" s="24" t="str">
        <x:f>'EW Conference'!G72</x:f>
        <x:v>Automatic</x:v>
      </x:c>
      <x:c r="S98" s="24" t="str">
        <x:f>'EW Conference'!H72</x:f>
      </x:c>
      <x:c r="T98" s="19" t="n">
        <x:f>IF(R98="Exclude",0,IF(R98="Include",E98,Q98))</x:f>
        <x:v>0</x:v>
      </x:c>
      <x:c r="U98" s="15" t="str">
        <x:f>IF(T98&gt;0,"Funded",IF(P98="Eligible","Unfunded",P98))</x:f>
        <x:v>Unfunded</x:v>
      </x:c>
      <x:c r="V98" s="15" t="str">
        <x:f>IF(R98="Include","Conference inclusion: "&amp;S98,IF(R98="Exclude","Conference exclusion: "&amp;S98,IF(Q98&gt;0,H98&amp;" priority rank "&amp;I98&amp;"; whole initiative selected",P98)))</x:f>
        <x:v>Eligible</x:v>
      </x:c>
      <x:c r="W98" s="15" t="str">
        <x:v>EW!34</x:v>
      </x:c>
      <x:c r="X98" s="15" t="str">
        <x:v>HEALTHY</x:v>
      </x:c>
      <x:c r="Y98" s="15" t="str">
        <x:v>HEALTHY — Rank in priority matrix</x:v>
      </x:c>
      <x:c r="Z98" s="15" t="str">
        <x:v>Upgrades &amp; Enhancements</x:v>
      </x:c>
      <x:c r="AA98" s="15" t="str">
        <x:v>Carry Over</x:v>
      </x:c>
      <x:c r="AB98" s="15" t="str">
        <x:v>Enterprise Architecture, Data &amp; Integration</x:v>
      </x:c>
      <x:c r="AC98" s="15" t="str">
        <x:v>Continue to incur the SAP PD cost and productivity savings are lost</x:v>
      </x:c>
      <x:c r="AD98" s="15" t="str">
        <x:v>Data modeling is highly manual for both design and implementation to make data accessible via common data models for I&amp;A</x:v>
      </x:c>
      <x:c r="AE98" s="15" t="str">
        <x:v>E2E agentic capability for full enterprise IT data asset availability</x:v>
      </x:c>
      <x:c r="AF98" s="15" t="str">
        <x:v>Continue to incur the SAP PD cost and productivity savings are lost | Data modeling is highly manual for both design and implementation to make data accessible via common data models for I&amp;A | E2E agentic capability for full enterprise IT data asset availability</x:v>
      </x:c>
      <x:c r="AG98" s="15" t="str">
        <x:v>Must Do</x:v>
      </x:c>
      <x:c r="AH98" s="15" t="n">
        <x:v>36</x:v>
      </x:c>
    </x:row>
    <x:row r="99">
      <x:c r="A99" s="15" t="str">
        <x:v>EW-15</x:v>
      </x:c>
      <x:c r="B99" s="15" t="str">
        <x:v>Next Gen CH</x:v>
      </x:c>
      <x:c r="C99" s="15" t="str">
        <x:v>EW Led</x:v>
      </x:c>
      <x:c r="D99" s="15" t="str">
        <x:v>Patient Safety &amp; Quality</x:v>
      </x:c>
      <x:c r="E99" s="19" t="n">
        <x:v>2.7</x:v>
      </x:c>
      <x:c r="F99" s="19" t="n">
        <x:v>3.46</x:v>
      </x:c>
      <x:c r="G99" s="22" t="n">
        <x:f>IF(AND(E99&gt;0,ISNUMBER(F99)),F99/E99,"")</x:f>
        <x:v>1.2814814814814814</x:v>
      </x:c>
      <x:c r="H99" s="15" t="str">
        <x:v>Hygiene</x:v>
      </x:c>
      <x:c r="I99" s="15" t="n">
        <x:v>42</x:v>
      </x:c>
      <x:c r="J99" s="15" t="n">
        <x:v>15</x:v>
      </x:c>
      <x:c r="K99" s="23" t="n">
        <x:f>IF(G99="",0,IF(G99&lt;1,0,IF(G99&lt;2,20,IF(G99&lt;3,30,IF(G99&lt;5,40,50)))))*'Scenario Controls'!$B$22/50</x:f>
        <x:v>20</x:v>
      </x:c>
      <x:c r="L99" s="23" t="n">
        <x:f>IF(ISNUMBER(SEARCH("Must Do",AG99)),25,IF(ISNUMBER(SEARCH("Must Have",AG99)),18,IF(ISNUMBER(SEARCH("Deprior",AG99)),5,0)))*'Scenario Controls'!$B$23/25</x:f>
        <x:v>25</x:v>
      </x:c>
      <x:c r="M99" s="23" t="n">
        <x:f>J99*'Scenario Controls'!$B$24/15</x:f>
        <x:v>15</x:v>
      </x:c>
      <x:c r="N99" s="23" t="n">
        <x:f>IF(ISNUMBER(SEARCH("HEALTHY",X99)),10,IF(ISNUMBER(SEARCH("CONTAIN",X99)),6,0))*'Scenario Controls'!$B$25/10</x:f>
        <x:v>10</x:v>
      </x:c>
      <x:c r="O99" s="23" t="n">
        <x:f>SUM(K99:N99)</x:f>
        <x:v>70</x:v>
      </x:c>
      <x:c r="P99" s="15" t="str">
        <x:f>IF(OR(B99="",E99&lt;=0),"Evidence missing / not eligible",IF(ISNUMBER(SEARCH("priority TBD",Y99)),"Evidence missing / not eligible",IF(AND(H99="Carryover",NOT(ISNUMBER(F99))),"Evidence missing / not eligible",IF(AND(H99="Carryover",G99&lt;'Scenario Controls'!$B$16),"Evidence missing / not eligible",IF(AND(H99="ROI-Based Portfolio",NOT(ISNUMBER(F99))),"Evidence missing / not eligible",IF(AND(H99="ROI-Based Portfolio",O99&lt;'Scenario Controls'!$B$20),"Evidence missing / not eligible","Eligible"))))))</x:f>
        <x:v>Eligible</x:v>
      </x:c>
      <x:c r="Q99" s="19" t="n">
        <x:f>IF(P99&lt;&gt;"Eligible",0,IF(AND(SUMIFS($Q$5:Q98,$H$5:H98,H99)+E99&lt;=(IF(H99="LFR",'Scenario Controls'!$F$10,IF(H99="Sustain Engineering",'Scenario Controls'!$F$11,IF(H99="Hygiene",'Scenario Controls'!$F$12,1E+99))))*(1+'Scenario Controls'!$B$7),SUM($Q$5:Q98)+E99&lt;='Scenario Controls'!$B$6*(1+'Scenario Controls'!$B$7)),E99,0))</x:f>
        <x:v>0</x:v>
      </x:c>
      <x:c r="R99" s="24" t="str">
        <x:f>'EW Conference'!G73</x:f>
        <x:v>Automatic</x:v>
      </x:c>
      <x:c r="S99" s="24" t="str">
        <x:f>'EW Conference'!H73</x:f>
      </x:c>
      <x:c r="T99" s="19" t="n">
        <x:f>IF(R99="Exclude",0,IF(R99="Include",E99,Q99))</x:f>
        <x:v>0</x:v>
      </x:c>
      <x:c r="U99" s="15" t="str">
        <x:f>IF(T99&gt;0,"Funded",IF(P99="Eligible","Unfunded",P99))</x:f>
        <x:v>Unfunded</x:v>
      </x:c>
      <x:c r="V99" s="15" t="str">
        <x:f>IF(R99="Include","Conference inclusion: "&amp;S99,IF(R99="Exclude","Conference exclusion: "&amp;S99,IF(Q99&gt;0,H99&amp;" priority rank "&amp;I99&amp;"; whole initiative selected",P99)))</x:f>
        <x:v>Eligible</x:v>
      </x:c>
      <x:c r="W99" s="15" t="str">
        <x:v>EW!18</x:v>
      </x:c>
      <x:c r="X99" s="15" t="str">
        <x:v>HEALTHY</x:v>
      </x:c>
      <x:c r="Y99" s="15" t="str">
        <x:v>HEALTHY — Rank in priority matrix</x:v>
      </x:c>
      <x:c r="Z99" s="15" t="str">
        <x:v>Decomm/Replatforming</x:v>
      </x:c>
      <x:c r="AA99" s="15" t="str">
        <x:v>New Initiative</x:v>
      </x:c>
      <x:c r="AB99" s="15" t="str">
        <x:v>Group Functions &amp; Hyperautomation IT</x:v>
      </x:c>
      <x:c r="AC99" s="15" t="str">
        <x:v>Inability to remove operational inefficiencies: 1.9m</x:v>
      </x:c>
      <x:c r="AD99" s="15" t="str">
        <x:v>Replace Trackwise with AI-native Enterprise grade Solution that meets regulatory scrutiny given high visibility during regulatory inspections and Philips Q&amp;R requirements</x:v>
      </x:c>
      <x:c r="AE99" s="15" t="str">
        <x:v>Global deployment with AI capabilities offering differentiation as needed for BU</x:v>
      </x:c>
      <x:c r="AF99" s="15" t="str">
        <x:v>Inability to remove operational inefficiencies: 1.9m | Replace Trackwise with AI-native Enterprise grade Solution that meets regulatory scrutiny given high visibility during regulatory inspections and Philips Q&amp;R requirements | Global deployment with AI capabilities offering differentiation as needed for BU</x:v>
      </x:c>
      <x:c r="AG99" s="15" t="str">
        <x:v>Must Do</x:v>
      </x:c>
      <x:c r="AH99" s="15" t="n">
        <x:v>20</x:v>
      </x:c>
    </x:row>
    <x:row r="100">
      <x:c r="A100" s="15" t="str">
        <x:v>EW-51</x:v>
      </x:c>
      <x:c r="B100" s="15" t="str">
        <x:v>Centralized Certificate Verification(CCV)</x:v>
      </x:c>
      <x:c r="C100" s="15" t="str">
        <x:v>EW Led</x:v>
      </x:c>
      <x:c r="D100" s="15" t="str">
        <x:v>Patient Safety &amp; Quality</x:v>
      </x:c>
      <x:c r="E100" s="19" t="n">
        <x:v>0.35</x:v>
      </x:c>
      <x:c r="F100" s="19" t="n">
        <x:v>0.36</x:v>
      </x:c>
      <x:c r="G100" s="22" t="n">
        <x:f>IF(AND(E100&gt;0,ISNUMBER(F100)),F100/E100,"")</x:f>
        <x:v>1.0285714285714287</x:v>
      </x:c>
      <x:c r="H100" s="15" t="str">
        <x:v>Hygiene</x:v>
      </x:c>
      <x:c r="I100" s="15" t="n">
        <x:v>43</x:v>
      </x:c>
      <x:c r="J100" s="15" t="n">
        <x:v>15</x:v>
      </x:c>
      <x:c r="K100" s="23" t="n">
        <x:f>IF(G100="",0,IF(G100&lt;1,0,IF(G100&lt;2,20,IF(G100&lt;3,30,IF(G100&lt;5,40,50)))))*'Scenario Controls'!$B$22/50</x:f>
        <x:v>20</x:v>
      </x:c>
      <x:c r="L100" s="23" t="n">
        <x:f>IF(ISNUMBER(SEARCH("Must Do",AG100)),25,IF(ISNUMBER(SEARCH("Must Have",AG100)),18,IF(ISNUMBER(SEARCH("Deprior",AG100)),5,0)))*'Scenario Controls'!$B$23/25</x:f>
        <x:v>25</x:v>
      </x:c>
      <x:c r="M100" s="23" t="n">
        <x:f>J100*'Scenario Controls'!$B$24/15</x:f>
        <x:v>15</x:v>
      </x:c>
      <x:c r="N100" s="23" t="n">
        <x:f>IF(ISNUMBER(SEARCH("HEALTHY",X100)),10,IF(ISNUMBER(SEARCH("CONTAIN",X100)),6,0))*'Scenario Controls'!$B$25/10</x:f>
        <x:v>10</x:v>
      </x:c>
      <x:c r="O100" s="23" t="n">
        <x:f>SUM(K100:N100)</x:f>
        <x:v>70</x:v>
      </x:c>
      <x:c r="P100" s="15" t="str">
        <x:f>IF(OR(B100="",E100&lt;=0),"Evidence missing / not eligible",IF(ISNUMBER(SEARCH("priority TBD",Y100)),"Evidence missing / not eligible",IF(AND(H100="Carryover",NOT(ISNUMBER(F100))),"Evidence missing / not eligible",IF(AND(H100="Carryover",G100&lt;'Scenario Controls'!$B$16),"Evidence missing / not eligible",IF(AND(H100="ROI-Based Portfolio",NOT(ISNUMBER(F100))),"Evidence missing / not eligible",IF(AND(H100="ROI-Based Portfolio",O100&lt;'Scenario Controls'!$B$20),"Evidence missing / not eligible","Eligible"))))))</x:f>
        <x:v>Eligible</x:v>
      </x:c>
      <x:c r="Q100" s="19" t="n">
        <x:f>IF(P100&lt;&gt;"Eligible",0,IF(AND(SUMIFS($Q$5:Q99,$H$5:H99,H100)+E100&lt;=(IF(H100="LFR",'Scenario Controls'!$F$10,IF(H100="Sustain Engineering",'Scenario Controls'!$F$11,IF(H100="Hygiene",'Scenario Controls'!$F$12,1E+99))))*(1+'Scenario Controls'!$B$7),SUM($Q$5:Q99)+E100&lt;='Scenario Controls'!$B$6*(1+'Scenario Controls'!$B$7)),E100,0))</x:f>
        <x:v>0</x:v>
      </x:c>
      <x:c r="R100" s="24" t="str">
        <x:f>'EW Conference'!G74</x:f>
        <x:v>Automatic</x:v>
      </x:c>
      <x:c r="S100" s="24" t="str">
        <x:f>'EW Conference'!H74</x:f>
      </x:c>
      <x:c r="T100" s="19" t="n">
        <x:f>IF(R100="Exclude",0,IF(R100="Include",E100,Q100))</x:f>
        <x:v>0</x:v>
      </x:c>
      <x:c r="U100" s="15" t="str">
        <x:f>IF(T100&gt;0,"Funded",IF(P100="Eligible","Unfunded",P100))</x:f>
        <x:v>Unfunded</x:v>
      </x:c>
      <x:c r="V100" s="15" t="str">
        <x:f>IF(R100="Include","Conference inclusion: "&amp;S100,IF(R100="Exclude","Conference exclusion: "&amp;S100,IF(Q100&gt;0,H100&amp;" priority rank "&amp;I100&amp;"; whole initiative selected",P100)))</x:f>
        <x:v>Eligible</x:v>
      </x:c>
      <x:c r="W100" s="15" t="str">
        <x:v>EW!49</x:v>
      </x:c>
      <x:c r="X100" s="15" t="str">
        <x:v>HEALTHY</x:v>
      </x:c>
      <x:c r="Y100" s="15" t="str">
        <x:v>HEALTHY — Rank in priority matrix</x:v>
      </x:c>
      <x:c r="Z100" s="15" t="str">
        <x:v>Upgrades &amp; Enhancements</x:v>
      </x:c>
      <x:c r="AA100" s="15" t="str">
        <x:v>Carry Over</x:v>
      </x:c>
      <x:c r="AB100" s="15" t="str">
        <x:v>Group Functions &amp; Hyperautomation IT</x:v>
      </x:c>
      <x:c r="AC100" s="15" t="str">
        <x:v>1503 in total, of which</x:v>
      </x:c>
      <x:c r="AD100" s="15" t="str">
        <x: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x:v>
      </x:c>
      <x:c r="AE100" s="15" t="str">
        <x:v>Enterprise wide CCV process</x:v>
      </x:c>
      <x:c r="AF100" s="15" t="str">
        <x:v>1503 in total, of which |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 Enterprise wide CCV process</x:v>
      </x:c>
      <x:c r="AG100" s="15" t="str">
        <x:v>Must Do</x:v>
      </x:c>
      <x:c r="AH100" s="15" t="n">
        <x:v>51</x:v>
      </x:c>
    </x:row>
    <x:row r="101">
      <x:c r="A101" s="15" t="str">
        <x:v>Bu-28</x:v>
      </x:c>
      <x:c r="B101" s="15" t="str">
        <x:v>27. Sales operations | Raise the norm in commercial excellence</x:v>
      </x:c>
      <x:c r="C101" s="15" t="str">
        <x:v>BU Led</x:v>
      </x:c>
      <x:c r="D101" s="15" t="str">
        <x:v>Personal Health (PH)</x:v>
      </x:c>
      <x:c r="E101" s="19" t="n">
        <x:v>1</x:v>
      </x:c>
      <x:c r="F101" s="19" t="n">
        <x:v>4.392</x:v>
      </x:c>
      <x:c r="G101" s="22" t="n">
        <x:f>IF(AND(E101&gt;0,ISNUMBER(F101)),F101/E101,"")</x:f>
        <x:v>4.392</x:v>
      </x:c>
      <x:c r="H101" s="15" t="str">
        <x:v>Hygiene</x:v>
      </x:c>
      <x:c r="I101" s="15" t="n">
        <x:v>44</x:v>
      </x:c>
      <x:c r="J101" s="15" t="n">
        <x:v>0</x:v>
      </x:c>
      <x:c r="K101" s="23" t="n">
        <x:f>IF(G101="",0,IF(G101&lt;1,0,IF(G101&lt;2,20,IF(G101&lt;3,30,IF(G101&lt;5,40,50)))))*'Scenario Controls'!$B$22/50</x:f>
        <x:v>40</x:v>
      </x:c>
      <x:c r="L101" s="23" t="n">
        <x:f>IF(ISNUMBER(SEARCH("Must Do",AG101)),25,IF(ISNUMBER(SEARCH("Must Have",AG101)),18,IF(ISNUMBER(SEARCH("Deprior",AG101)),5,0)))*'Scenario Controls'!$B$23/25</x:f>
        <x:v>25</x:v>
      </x:c>
      <x:c r="M101" s="23" t="n">
        <x:f>J101*'Scenario Controls'!$B$24/15</x:f>
        <x:v>0</x:v>
      </x:c>
      <x:c r="N101" s="23" t="n">
        <x:f>IF(ISNUMBER(SEARCH("HEALTHY",X101)),10,IF(ISNUMBER(SEARCH("CONTAIN",X101)),6,0))*'Scenario Controls'!$B$25/10</x:f>
        <x:v>0</x:v>
      </x:c>
      <x:c r="O101" s="23" t="n">
        <x:f>SUM(K101:N101)</x:f>
        <x:v>65</x:v>
      </x:c>
      <x:c r="P101" s="15" t="str">
        <x:f>IF(OR(B101="",E101&lt;=0),"Evidence missing / not eligible",IF(ISNUMBER(SEARCH("priority TBD",Y101)),"Evidence missing / not eligible",IF(AND(H101="Carryover",NOT(ISNUMBER(F101))),"Evidence missing / not eligible",IF(AND(H101="Carryover",G101&lt;'Scenario Controls'!$B$16),"Evidence missing / not eligible",IF(AND(H101="ROI-Based Portfolio",NOT(ISNUMBER(F101))),"Evidence missing / not eligible",IF(AND(H101="ROI-Based Portfolio",O101&lt;'Scenario Controls'!$B$20),"Evidence missing / not eligible","Eligible"))))))</x:f>
        <x:v>Eligible</x:v>
      </x:c>
      <x:c r="Q101" s="19" t="n">
        <x:f>IF(P101&lt;&gt;"Eligible",0,IF(AND(SUMIFS($Q$5:Q100,$H$5:H100,H101)+E101&lt;=(IF(H101="LFR",'Scenario Controls'!$F$10,IF(H101="Sustain Engineering",'Scenario Controls'!$F$11,IF(H101="Hygiene",'Scenario Controls'!$F$12,1E+99))))*(1+'Scenario Controls'!$B$7),SUM($Q$5:Q100)+E101&lt;='Scenario Controls'!$B$6*(1+'Scenario Controls'!$B$7)),E101,0))</x:f>
        <x:v>0</x:v>
      </x:c>
      <x:c r="R101" s="24" t="str">
        <x:f>'BU Conference'!G32</x:f>
        <x:v>Automatic</x:v>
      </x:c>
      <x:c r="S101" s="24" t="str">
        <x:f>'BU Conference'!H32</x:f>
      </x:c>
      <x:c r="T101" s="19" t="n">
        <x:f>IF(R101="Exclude",0,IF(R101="Include",E101,Q101))</x:f>
        <x:v>0</x:v>
      </x:c>
      <x:c r="U101" s="15" t="str">
        <x:f>IF(T101&gt;0,"Funded",IF(P101="Eligible","Unfunded",P101))</x:f>
        <x:v>Unfunded</x:v>
      </x:c>
      <x:c r="V101" s="15" t="str">
        <x:f>IF(R101="Include","Conference inclusion: "&amp;S101,IF(R101="Exclude","Conference exclusion: "&amp;S101,IF(Q101&gt;0,H101&amp;" priority rank "&amp;I101&amp;"; whole initiative selected",P101)))</x:f>
        <x:v>Eligible</x:v>
      </x:c>
      <x:c r="W101" s="15" t="str">
        <x:v>Bu!62</x:v>
      </x:c>
      <x:c r="X101" s="15" t="str"/>
      <x:c r="Y101" s="15" t="str"/>
      <x:c r="Z101" s="15" t="str">
        <x:v>Continous Improvement</x:v>
      </x:c>
      <x:c r="AA101" s="15" t="str">
        <x:v>Carry Over</x:v>
      </x:c>
      <x:c r="AB101" s="15" t="str">
        <x:v>Commercial IT</x:v>
      </x:c>
      <x:c r="AC101" s="15" t="str"/>
      <x:c r="AD101" s="15" t="str"/>
      <x:c r="AE101" s="15" t="str"/>
      <x:c r="AF101" s="15" t="str"/>
      <x:c r="AG101" s="15" t="str">
        <x:v>Must Do</x:v>
      </x:c>
      <x:c r="AH101" s="15" t="n">
        <x:v>213</x:v>
      </x:c>
    </x:row>
    <x:row r="102">
      <x:c r="A102" s="15" t="str">
        <x:v>EW-121</x:v>
      </x:c>
      <x:c r="B102" s="15" t="str">
        <x:v>Conga Advantage</x:v>
      </x:c>
      <x:c r="C102" s="15" t="str">
        <x:v>EW Led</x:v>
      </x:c>
      <x:c r="D102" s="15" t="str">
        <x:v>Information Technology</x:v>
      </x:c>
      <x:c r="E102" s="19" t="n">
        <x:v>0.65</x:v>
      </x:c>
      <x:c r="F102" s="19" t="n">
        <x:v>1.2</x:v>
      </x:c>
      <x:c r="G102" s="22" t="n">
        <x:f>IF(AND(E102&gt;0,ISNUMBER(F102)),F102/E102,"")</x:f>
        <x:v>1.846153846153846</x:v>
      </x:c>
      <x:c r="H102" s="15" t="str">
        <x:v>Hygiene</x:v>
      </x:c>
      <x:c r="I102" s="15" t="n">
        <x:v>45</x:v>
      </x:c>
      <x:c r="J102" s="15" t="n">
        <x:v>10</x:v>
      </x:c>
      <x:c r="K102" s="23" t="n">
        <x:f>IF(G102="",0,IF(G102&lt;1,0,IF(G102&lt;2,20,IF(G102&lt;3,30,IF(G102&lt;5,40,50)))))*'Scenario Controls'!$B$22/50</x:f>
        <x:v>20</x:v>
      </x:c>
      <x:c r="L102" s="23" t="n">
        <x:f>IF(ISNUMBER(SEARCH("Must Do",AG102)),25,IF(ISNUMBER(SEARCH("Must Have",AG102)),18,IF(ISNUMBER(SEARCH("Deprior",AG102)),5,0)))*'Scenario Controls'!$B$23/25</x:f>
        <x:v>25</x:v>
      </x:c>
      <x:c r="M102" s="23" t="n">
        <x:f>J102*'Scenario Controls'!$B$24/15</x:f>
        <x:v>10</x:v>
      </x:c>
      <x:c r="N102" s="23" t="n">
        <x:f>IF(ISNUMBER(SEARCH("HEALTHY",X102)),10,IF(ISNUMBER(SEARCH("CONTAIN",X102)),6,0))*'Scenario Controls'!$B$25/10</x:f>
        <x:v>10</x:v>
      </x:c>
      <x:c r="O102" s="23" t="n">
        <x:f>SUM(K102:N102)</x:f>
        <x:v>65</x:v>
      </x:c>
      <x:c r="P102" s="15" t="str">
        <x:f>IF(OR(B102="",E102&lt;=0),"Evidence missing / not eligible",IF(ISNUMBER(SEARCH("priority TBD",Y102)),"Evidence missing / not eligible",IF(AND(H102="Carryover",NOT(ISNUMBER(F102))),"Evidence missing / not eligible",IF(AND(H102="Carryover",G102&lt;'Scenario Controls'!$B$16),"Evidence missing / not eligible",IF(AND(H102="ROI-Based Portfolio",NOT(ISNUMBER(F102))),"Evidence missing / not eligible",IF(AND(H102="ROI-Based Portfolio",O102&lt;'Scenario Controls'!$B$20),"Evidence missing / not eligible","Eligible"))))))</x:f>
        <x:v>Eligible</x:v>
      </x:c>
      <x:c r="Q102" s="19" t="n">
        <x:f>IF(P102&lt;&gt;"Eligible",0,IF(AND(SUMIFS($Q$5:Q101,$H$5:H101,H102)+E102&lt;=(IF(H102="LFR",'Scenario Controls'!$F$10,IF(H102="Sustain Engineering",'Scenario Controls'!$F$11,IF(H102="Hygiene",'Scenario Controls'!$F$12,1E+99))))*(1+'Scenario Controls'!$B$7),SUM($Q$5:Q101)+E102&lt;='Scenario Controls'!$B$6*(1+'Scenario Controls'!$B$7)),E102,0))</x:f>
        <x:v>0</x:v>
      </x:c>
      <x:c r="R102" s="24" t="str">
        <x:f>'EW Conference'!G75</x:f>
        <x:v>Automatic</x:v>
      </x:c>
      <x:c r="S102" s="24" t="str">
        <x:f>'EW Conference'!H75</x:f>
      </x:c>
      <x:c r="T102" s="19" t="n">
        <x:f>IF(R102="Exclude",0,IF(R102="Include",E102,Q102))</x:f>
        <x:v>0</x:v>
      </x:c>
      <x:c r="U102" s="15" t="str">
        <x:f>IF(T102&gt;0,"Funded",IF(P102="Eligible","Unfunded",P102))</x:f>
        <x:v>Unfunded</x:v>
      </x:c>
      <x:c r="V102" s="15" t="str">
        <x:f>IF(R102="Include","Conference inclusion: "&amp;S102,IF(R102="Exclude","Conference exclusion: "&amp;S102,IF(Q102&gt;0,H102&amp;" priority rank "&amp;I102&amp;"; whole initiative selected",P102)))</x:f>
        <x:v>Eligible</x:v>
      </x:c>
      <x:c r="W102" s="15" t="str">
        <x:v>EW!117</x:v>
      </x:c>
      <x:c r="X102" s="15" t="str">
        <x:v>HEALTHY</x:v>
      </x:c>
      <x:c r="Y102" s="15" t="str">
        <x:v>HEALTHY — Rank in priority matrix</x:v>
      </x:c>
      <x:c r="Z102" s="15" t="str">
        <x:v>Upgrades &amp; Enhancements</x:v>
      </x:c>
      <x:c r="AA102" s="15" t="str">
        <x:v>New Initiative</x:v>
      </x:c>
      <x:c r="AB102" s="15" t="str">
        <x:v>Commercial IT</x:v>
      </x:c>
      <x:c r="AC102" s="15" t="str">
        <x:v>License and maintenance cost reduction in line with our Ops spend reduction</x:v>
      </x:c>
      <x:c r="AD102" s="15" t="str">
        <x:v>Improve performance.</x:v>
      </x:c>
      <x:c r="AE102" s="15" t="str"/>
      <x:c r="AF102" s="15" t="str">
        <x:v>License and maintenance cost reduction in line with our Ops spend reduction | Improve performance.</x:v>
      </x:c>
      <x:c r="AG102" s="15" t="str">
        <x:v>Must Do</x:v>
      </x:c>
      <x:c r="AH102" s="15" t="n">
        <x:v>119</x:v>
      </x:c>
    </x:row>
    <x:row r="103">
      <x:c r="A103" s="15" t="str">
        <x:v>EW-150</x:v>
      </x:c>
      <x:c r="B103" s="15" t="str">
        <x:v>PS Cloud replacement</x:v>
      </x:c>
      <x:c r="C103" s="15" t="str">
        <x:v>EW Led</x:v>
      </x:c>
      <x:c r="D103" s="15" t="str">
        <x:v>Information Technology</x:v>
      </x:c>
      <x:c r="E103" s="19" t="n">
        <x:v>1.2</x:v>
      </x:c>
      <x:c r="F103" s="19" t="n">
        <x:v>1.7</x:v>
      </x:c>
      <x:c r="G103" s="22" t="n">
        <x:f>IF(AND(E103&gt;0,ISNUMBER(F103)),F103/E103,"")</x:f>
        <x:v>1.4166666666666667</x:v>
      </x:c>
      <x:c r="H103" s="15" t="str">
        <x:v>Hygiene</x:v>
      </x:c>
      <x:c r="I103" s="15" t="n">
        <x:v>46</x:v>
      </x:c>
      <x:c r="J103" s="15" t="n">
        <x:v>10</x:v>
      </x:c>
      <x:c r="K103" s="23" t="n">
        <x:f>IF(G103="",0,IF(G103&lt;1,0,IF(G103&lt;2,20,IF(G103&lt;3,30,IF(G103&lt;5,40,50)))))*'Scenario Controls'!$B$22/50</x:f>
        <x:v>20</x:v>
      </x:c>
      <x:c r="L103" s="23" t="n">
        <x:f>IF(ISNUMBER(SEARCH("Must Do",AG103)),25,IF(ISNUMBER(SEARCH("Must Have",AG103)),18,IF(ISNUMBER(SEARCH("Deprior",AG103)),5,0)))*'Scenario Controls'!$B$23/25</x:f>
        <x:v>25</x:v>
      </x:c>
      <x:c r="M103" s="23" t="n">
        <x:f>J103*'Scenario Controls'!$B$24/15</x:f>
        <x:v>10</x:v>
      </x:c>
      <x:c r="N103" s="23" t="n">
        <x:f>IF(ISNUMBER(SEARCH("HEALTHY",X103)),10,IF(ISNUMBER(SEARCH("CONTAIN",X103)),6,0))*'Scenario Controls'!$B$25/10</x:f>
        <x:v>10</x:v>
      </x:c>
      <x:c r="O103" s="23" t="n">
        <x:f>SUM(K103:N103)</x:f>
        <x:v>65</x:v>
      </x:c>
      <x:c r="P103" s="15" t="str">
        <x:f>IF(OR(B103="",E103&lt;=0),"Evidence missing / not eligible",IF(ISNUMBER(SEARCH("priority TBD",Y103)),"Evidence missing / not eligible",IF(AND(H103="Carryover",NOT(ISNUMBER(F103))),"Evidence missing / not eligible",IF(AND(H103="Carryover",G103&lt;'Scenario Controls'!$B$16),"Evidence missing / not eligible",IF(AND(H103="ROI-Based Portfolio",NOT(ISNUMBER(F103))),"Evidence missing / not eligible",IF(AND(H103="ROI-Based Portfolio",O103&lt;'Scenario Controls'!$B$20),"Evidence missing / not eligible","Eligible"))))))</x:f>
        <x:v>Eligible</x:v>
      </x:c>
      <x:c r="Q103" s="19" t="n">
        <x:f>IF(P103&lt;&gt;"Eligible",0,IF(AND(SUMIFS($Q$5:Q102,$H$5:H102,H103)+E103&lt;=(IF(H103="LFR",'Scenario Controls'!$F$10,IF(H103="Sustain Engineering",'Scenario Controls'!$F$11,IF(H103="Hygiene",'Scenario Controls'!$F$12,1E+99))))*(1+'Scenario Controls'!$B$7),SUM($Q$5:Q102)+E103&lt;='Scenario Controls'!$B$6*(1+'Scenario Controls'!$B$7)),E103,0))</x:f>
        <x:v>0</x:v>
      </x:c>
      <x:c r="R103" s="24" t="str">
        <x:f>'EW Conference'!G76</x:f>
        <x:v>Automatic</x:v>
      </x:c>
      <x:c r="S103" s="24" t="str">
        <x:f>'EW Conference'!H76</x:f>
      </x:c>
      <x:c r="T103" s="19" t="n">
        <x:f>IF(R103="Exclude",0,IF(R103="Include",E103,Q103))</x:f>
        <x:v>0</x:v>
      </x:c>
      <x:c r="U103" s="15" t="str">
        <x:f>IF(T103&gt;0,"Funded",IF(P103="Eligible","Unfunded",P103))</x:f>
        <x:v>Unfunded</x:v>
      </x:c>
      <x:c r="V103" s="15" t="str">
        <x:f>IF(R103="Include","Conference inclusion: "&amp;S103,IF(R103="Exclude","Conference exclusion: "&amp;S103,IF(Q103&gt;0,H103&amp;" priority rank "&amp;I103&amp;"; whole initiative selected",P103)))</x:f>
        <x:v>Eligible</x:v>
      </x:c>
      <x:c r="W103" s="15" t="str">
        <x:v>EW!146</x:v>
      </x:c>
      <x:c r="X103" s="15" t="str">
        <x:v>HEALTHY</x:v>
      </x:c>
      <x:c r="Y103" s="15" t="str">
        <x:v>HEALTHY — Rank in priority matrix</x:v>
      </x:c>
      <x:c r="Z103" s="15" t="str">
        <x:v>Decomm/Replatforming</x:v>
      </x:c>
      <x:c r="AA103" s="15" t="str">
        <x:v>New Initiative</x:v>
      </x:c>
      <x:c r="AB103" s="15" t="str">
        <x:v>Services &amp; Solutions IT</x:v>
      </x:c>
      <x:c r="AC103" s="15" t="str">
        <x:v>License cost Impact</x:v>
      </x:c>
      <x:c r="AD103" s="15" t="str">
        <x:v>Migration of SaaS based PS Cloud app to custom developed app.</x:v>
      </x:c>
      <x:c r="AE103" s="15" t="str">
        <x:v>Migrate the SaaS-based PS Cloud application to a custom-developed in-house solution, ensuring functional continuity, data migration, integrations, security, and improved flexibility while reducing dependency and operational costs.</x:v>
      </x:c>
      <x:c r="AF103" s="15" t="str">
        <x:v>License cost Impact | Migration of SaaS based PS Cloud app to custom developed app. | Migrate the SaaS-based PS Cloud application to a custom-developed in-house solution, ensuring functional continuity, data migration, integrations, security, and improved flexibility while reducing dependency and operational costs.</x:v>
      </x:c>
      <x:c r="AG103" s="15" t="str">
        <x:v>Must Do</x:v>
      </x:c>
      <x:c r="AH103" s="15" t="n">
        <x:v>148</x:v>
      </x:c>
    </x:row>
    <x:row r="104">
      <x:c r="A104" s="15" t="str">
        <x:v>EW-122</x:v>
      </x:c>
      <x:c r="B104" s="15" t="str">
        <x:v>Sales Replatforming</x:v>
      </x:c>
      <x:c r="C104" s="15" t="str">
        <x:v>EW Led</x:v>
      </x:c>
      <x:c r="D104" s="15" t="str">
        <x:v>Information Technology</x:v>
      </x:c>
      <x:c r="E104" s="19" t="n">
        <x:v>7</x:v>
      </x:c>
      <x:c r="F104" s="19" t="n">
        <x:v>22</x:v>
      </x:c>
      <x:c r="G104" s="22" t="n">
        <x:f>IF(AND(E104&gt;0,ISNUMBER(F104)),F104/E104,"")</x:f>
        <x:v>3.142857142857143</x:v>
      </x:c>
      <x:c r="H104" s="15" t="str">
        <x:v>Hygiene</x:v>
      </x:c>
      <x:c r="I104" s="15" t="n">
        <x:v>47</x:v>
      </x:c>
      <x:c r="J104" s="15" t="n">
        <x:v>5</x:v>
      </x:c>
      <x:c r="K104" s="23" t="n">
        <x:f>IF(G104="",0,IF(G104&lt;1,0,IF(G104&lt;2,20,IF(G104&lt;3,30,IF(G104&lt;5,40,50)))))*'Scenario Controls'!$B$22/50</x:f>
        <x:v>40</x:v>
      </x:c>
      <x:c r="L104" s="23" t="n">
        <x:f>IF(ISNUMBER(SEARCH("Must Do",AG104)),25,IF(ISNUMBER(SEARCH("Must Have",AG104)),18,IF(ISNUMBER(SEARCH("Deprior",AG104)),5,0)))*'Scenario Controls'!$B$23/25</x:f>
        <x:v>18</x:v>
      </x:c>
      <x:c r="M104" s="23" t="n">
        <x:f>J104*'Scenario Controls'!$B$24/15</x:f>
        <x:v>5</x:v>
      </x:c>
      <x:c r="N104" s="23" t="n">
        <x:f>IF(ISNUMBER(SEARCH("HEALTHY",X104)),10,IF(ISNUMBER(SEARCH("CONTAIN",X104)),6,0))*'Scenario Controls'!$B$25/10</x:f>
        <x:v>0</x:v>
      </x:c>
      <x:c r="O104" s="23" t="n">
        <x:f>SUM(K104:N104)</x:f>
        <x:v>63</x:v>
      </x:c>
      <x:c r="P104" s="15" t="str">
        <x:f>IF(OR(B104="",E104&lt;=0),"Evidence missing / not eligible",IF(ISNUMBER(SEARCH("priority TBD",Y104)),"Evidence missing / not eligible",IF(AND(H104="Carryover",NOT(ISNUMBER(F104))),"Evidence missing / not eligible",IF(AND(H104="Carryover",G104&lt;'Scenario Controls'!$B$16),"Evidence missing / not eligible",IF(AND(H104="ROI-Based Portfolio",NOT(ISNUMBER(F104))),"Evidence missing / not eligible",IF(AND(H104="ROI-Based Portfolio",O104&lt;'Scenario Controls'!$B$20),"Evidence missing / not eligible","Eligible"))))))</x:f>
        <x:v>Eligible</x:v>
      </x:c>
      <x:c r="Q104" s="19" t="n">
        <x:f>IF(P104&lt;&gt;"Eligible",0,IF(AND(SUMIFS($Q$5:Q103,$H$5:H103,H104)+E104&lt;=(IF(H104="LFR",'Scenario Controls'!$F$10,IF(H104="Sustain Engineering",'Scenario Controls'!$F$11,IF(H104="Hygiene",'Scenario Controls'!$F$12,1E+99))))*(1+'Scenario Controls'!$B$7),SUM($Q$5:Q103)+E104&lt;='Scenario Controls'!$B$6*(1+'Scenario Controls'!$B$7)),E104,0))</x:f>
        <x:v>0</x:v>
      </x:c>
      <x:c r="R104" s="24" t="str">
        <x:f>'EW Conference'!G77</x:f>
        <x:v>Automatic</x:v>
      </x:c>
      <x:c r="S104" s="24" t="str">
        <x:f>'EW Conference'!H77</x:f>
      </x:c>
      <x:c r="T104" s="19" t="n">
        <x:f>IF(R104="Exclude",0,IF(R104="Include",E104,Q104))</x:f>
        <x:v>0</x:v>
      </x:c>
      <x:c r="U104" s="15" t="str">
        <x:f>IF(T104&gt;0,"Funded",IF(P104="Eligible","Unfunded",P104))</x:f>
        <x:v>Unfunded</x:v>
      </x:c>
      <x:c r="V104" s="15" t="str">
        <x:f>IF(R104="Include","Conference inclusion: "&amp;S104,IF(R104="Exclude","Conference exclusion: "&amp;S104,IF(Q104&gt;0,H104&amp;" priority rank "&amp;I104&amp;"; whole initiative selected",P104)))</x:f>
        <x:v>Eligible</x:v>
      </x:c>
      <x:c r="W104" s="15" t="str">
        <x:v>EW!118</x:v>
      </x:c>
      <x:c r="X104" s="15" t="str"/>
      <x:c r="Y104" s="15" t="str"/>
      <x:c r="Z104" s="15" t="str">
        <x:v>Decomm/Replatforming</x:v>
      </x:c>
      <x:c r="AA104" s="15" t="str">
        <x:v>New Initiative</x:v>
      </x:c>
      <x:c r="AB104" s="15" t="str">
        <x:v>Commercial IT</x:v>
      </x:c>
      <x:c r="AC104" s="15" t="str">
        <x:v>License and maintenance cost reduction in line with our Ops spend reduction</x:v>
      </x:c>
      <x:c r="AD104" s="15" t="str"/>
      <x:c r="AE104" s="15" t="str"/>
      <x:c r="AF104" s="15" t="str">
        <x:v>License and maintenance cost reduction in line with our Ops spend reduction</x:v>
      </x:c>
      <x:c r="AG104" s="15" t="str">
        <x:v>Must Have</x:v>
      </x:c>
      <x:c r="AH104" s="15" t="n">
        <x:v>120</x:v>
      </x:c>
    </x:row>
    <x:row r="105">
      <x:c r="A105" s="15" t="str">
        <x:v>EW-123</x:v>
      </x:c>
      <x:c r="B105" s="15" t="str">
        <x:v>FIN-IR - Latam SOVOS 2 DCR (ex Brazil) eInvoices, save 305K IT Ops p.a.</x:v>
      </x:c>
      <x:c r="C105" s="15" t="str">
        <x:v>EW Led</x:v>
      </x:c>
      <x:c r="D105" s="15" t="str">
        <x:v>International Regions (IR) - Overall</x:v>
      </x:c>
      <x:c r="E105" s="19" t="n">
        <x:v>0.5</x:v>
      </x:c>
      <x:c r="F105" s="19" t="n">
        <x:v>1.22</x:v>
      </x:c>
      <x:c r="G105" s="22" t="n">
        <x:f>IF(AND(E105&gt;0,ISNUMBER(F105)),F105/E105,"")</x:f>
        <x:v>2.44</x:v>
      </x:c>
      <x:c r="H105" s="15" t="str">
        <x:v>Hygiene</x:v>
      </x:c>
      <x:c r="I105" s="15" t="n">
        <x:v>48</x:v>
      </x:c>
      <x:c r="J105" s="15" t="n">
        <x:v>5</x:v>
      </x:c>
      <x:c r="K105" s="23" t="n">
        <x:f>IF(G105="",0,IF(G105&lt;1,0,IF(G105&lt;2,20,IF(G105&lt;3,30,IF(G105&lt;5,40,50)))))*'Scenario Controls'!$B$22/50</x:f>
        <x:v>30</x:v>
      </x:c>
      <x:c r="L105" s="23" t="n">
        <x:f>IF(ISNUMBER(SEARCH("Must Do",AG105)),25,IF(ISNUMBER(SEARCH("Must Have",AG105)),18,IF(ISNUMBER(SEARCH("Deprior",AG105)),5,0)))*'Scenario Controls'!$B$23/25</x:f>
        <x:v>18</x:v>
      </x:c>
      <x:c r="M105" s="23" t="n">
        <x:f>J105*'Scenario Controls'!$B$24/15</x:f>
        <x:v>5</x:v>
      </x:c>
      <x:c r="N105" s="23" t="n">
        <x:f>IF(ISNUMBER(SEARCH("HEALTHY",X105)),10,IF(ISNUMBER(SEARCH("CONTAIN",X105)),6,0))*'Scenario Controls'!$B$25/10</x:f>
        <x:v>10</x:v>
      </x:c>
      <x:c r="O105" s="23" t="n">
        <x:f>SUM(K105:N105)</x:f>
        <x:v>63</x:v>
      </x:c>
      <x:c r="P105" s="15" t="str">
        <x:f>IF(OR(B105="",E105&lt;=0),"Evidence missing / not eligible",IF(ISNUMBER(SEARCH("priority TBD",Y105)),"Evidence missing / not eligible",IF(AND(H105="Carryover",NOT(ISNUMBER(F105))),"Evidence missing / not eligible",IF(AND(H105="Carryover",G105&lt;'Scenario Controls'!$B$16),"Evidence missing / not eligible",IF(AND(H105="ROI-Based Portfolio",NOT(ISNUMBER(F105))),"Evidence missing / not eligible",IF(AND(H105="ROI-Based Portfolio",O105&lt;'Scenario Controls'!$B$20),"Evidence missing / not eligible","Eligible"))))))</x:f>
        <x:v>Eligible</x:v>
      </x:c>
      <x:c r="Q105" s="19" t="n">
        <x:f>IF(P105&lt;&gt;"Eligible",0,IF(AND(SUMIFS($Q$5:Q104,$H$5:H104,H105)+E105&lt;=(IF(H105="LFR",'Scenario Controls'!$F$10,IF(H105="Sustain Engineering",'Scenario Controls'!$F$11,IF(H105="Hygiene",'Scenario Controls'!$F$12,1E+99))))*(1+'Scenario Controls'!$B$7),SUM($Q$5:Q104)+E105&lt;='Scenario Controls'!$B$6*(1+'Scenario Controls'!$B$7)),E105,0))</x:f>
        <x:v>0</x:v>
      </x:c>
      <x:c r="R105" s="24" t="str">
        <x:f>'EW Conference'!G78</x:f>
        <x:v>Automatic</x:v>
      </x:c>
      <x:c r="S105" s="24" t="str">
        <x:f>'EW Conference'!H78</x:f>
      </x:c>
      <x:c r="T105" s="19" t="n">
        <x:f>IF(R105="Exclude",0,IF(R105="Include",E105,Q105))</x:f>
        <x:v>0</x:v>
      </x:c>
      <x:c r="U105" s="15" t="str">
        <x:f>IF(T105&gt;0,"Funded",IF(P105="Eligible","Unfunded",P105))</x:f>
        <x:v>Unfunded</x:v>
      </x:c>
      <x:c r="V105" s="15" t="str">
        <x:f>IF(R105="Include","Conference inclusion: "&amp;S105,IF(R105="Exclude","Conference exclusion: "&amp;S105,IF(Q105&gt;0,H105&amp;" priority rank "&amp;I105&amp;"; whole initiative selected",P105)))</x:f>
        <x:v>Eligible</x:v>
      </x:c>
      <x:c r="W105" s="15" t="str">
        <x:v>EW!119</x:v>
      </x:c>
      <x:c r="X105" s="15" t="str">
        <x:v>HEALTHY</x:v>
      </x:c>
      <x:c r="Y105" s="15" t="str">
        <x:v>HEALTHY — Rank in priority matrix</x:v>
      </x:c>
      <x:c r="Z105" s="15" t="str">
        <x:v>Decomm/Replatforming</x:v>
      </x:c>
      <x:c r="AA105" s="15" t="str">
        <x:v>New Initiative</x:v>
      </x:c>
      <x:c r="AB105" s="15" t="str">
        <x:v>Integrated Supply Chain &amp; Finance</x:v>
      </x:c>
      <x:c r="AC105" s="15" t="str">
        <x:v>- Savings not realized</x:v>
      </x:c>
      <x:c r="AD105" s="15" t="str">
        <x:v>Reduce operating costs, simplify the landscape and replace a difficult local supplier.</x:v>
      </x:c>
      <x:c r="AE105" s="15" t="str">
        <x:v>All LATAM BUs except Brazil.</x:v>
      </x:c>
      <x:c r="AF105" s="15" t="str">
        <x:v>- Savings not realized | Reduce operating costs, simplify the landscape and replace a difficult local supplier. | All LATAM BUs except Brazil.</x:v>
      </x:c>
      <x:c r="AG105" s="15" t="str">
        <x:v>Must Have</x:v>
      </x:c>
      <x:c r="AH105" s="15" t="n">
        <x:v>121</x:v>
      </x:c>
    </x:row>
    <x:row r="106">
      <x:c r="A106" s="15" t="str">
        <x:v>EW-58</x:v>
      </x:c>
      <x:c r="B106" s="15" t="str">
        <x:v>PST &amp; Hubwoo Replatforming</x:v>
      </x:c>
      <x:c r="C106" s="15" t="str">
        <x:v>EW Led</x:v>
      </x:c>
      <x:c r="D106" s="15" t="str">
        <x:v>Information Technology</x:v>
      </x:c>
      <x:c r="E106" s="19" t="n">
        <x:v>0.6</x:v>
      </x:c>
      <x:c r="F106" s="19" t="n">
        <x:v>1.25</x:v>
      </x:c>
      <x:c r="G106" s="22" t="n">
        <x:f>IF(AND(E106&gt;0,ISNUMBER(F106)),F106/E106,"")</x:f>
        <x:v>2.0833333333333335</x:v>
      </x:c>
      <x:c r="H106" s="15" t="str">
        <x:v>Hygiene</x:v>
      </x:c>
      <x:c r="I106" s="15" t="n">
        <x:v>49</x:v>
      </x:c>
      <x:c r="J106" s="15" t="n">
        <x:v>5</x:v>
      </x:c>
      <x:c r="K106" s="23" t="n">
        <x:f>IF(G106="",0,IF(G106&lt;1,0,IF(G106&lt;2,20,IF(G106&lt;3,30,IF(G106&lt;5,40,50)))))*'Scenario Controls'!$B$22/50</x:f>
        <x:v>30</x:v>
      </x:c>
      <x:c r="L106" s="23" t="n">
        <x:f>IF(ISNUMBER(SEARCH("Must Do",AG106)),25,IF(ISNUMBER(SEARCH("Must Have",AG106)),18,IF(ISNUMBER(SEARCH("Deprior",AG106)),5,0)))*'Scenario Controls'!$B$23/25</x:f>
        <x:v>18</x:v>
      </x:c>
      <x:c r="M106" s="23" t="n">
        <x:f>J106*'Scenario Controls'!$B$24/15</x:f>
        <x:v>5</x:v>
      </x:c>
      <x:c r="N106" s="23" t="n">
        <x:f>IF(ISNUMBER(SEARCH("HEALTHY",X106)),10,IF(ISNUMBER(SEARCH("CONTAIN",X106)),6,0))*'Scenario Controls'!$B$25/10</x:f>
        <x:v>10</x:v>
      </x:c>
      <x:c r="O106" s="23" t="n">
        <x:f>SUM(K106:N106)</x:f>
        <x:v>63</x:v>
      </x:c>
      <x:c r="P106" s="15" t="str">
        <x:f>IF(OR(B106="",E106&lt;=0),"Evidence missing / not eligible",IF(ISNUMBER(SEARCH("priority TBD",Y106)),"Evidence missing / not eligible",IF(AND(H106="Carryover",NOT(ISNUMBER(F106))),"Evidence missing / not eligible",IF(AND(H106="Carryover",G106&lt;'Scenario Controls'!$B$16),"Evidence missing / not eligible",IF(AND(H106="ROI-Based Portfolio",NOT(ISNUMBER(F106))),"Evidence missing / not eligible",IF(AND(H106="ROI-Based Portfolio",O106&lt;'Scenario Controls'!$B$20),"Evidence missing / not eligible","Eligible"))))))</x:f>
        <x:v>Eligible</x:v>
      </x:c>
      <x:c r="Q106" s="19" t="n">
        <x:f>IF(P106&lt;&gt;"Eligible",0,IF(AND(SUMIFS($Q$5:Q105,$H$5:H105,H106)+E106&lt;=(IF(H106="LFR",'Scenario Controls'!$F$10,IF(H106="Sustain Engineering",'Scenario Controls'!$F$11,IF(H106="Hygiene",'Scenario Controls'!$F$12,1E+99))))*(1+'Scenario Controls'!$B$7),SUM($Q$5:Q105)+E106&lt;='Scenario Controls'!$B$6*(1+'Scenario Controls'!$B$7)),E106,0))</x:f>
        <x:v>0</x:v>
      </x:c>
      <x:c r="R106" s="24" t="str">
        <x:f>'EW Conference'!G79</x:f>
        <x:v>Automatic</x:v>
      </x:c>
      <x:c r="S106" s="24" t="str">
        <x:f>'EW Conference'!H79</x:f>
      </x:c>
      <x:c r="T106" s="19" t="n">
        <x:f>IF(R106="Exclude",0,IF(R106="Include",E106,Q106))</x:f>
        <x:v>0</x:v>
      </x:c>
      <x:c r="U106" s="15" t="str">
        <x:f>IF(T106&gt;0,"Funded",IF(P106="Eligible","Unfunded",P106))</x:f>
        <x:v>Unfunded</x:v>
      </x:c>
      <x:c r="V106" s="15" t="str">
        <x:f>IF(R106="Include","Conference inclusion: "&amp;S106,IF(R106="Exclude","Conference exclusion: "&amp;S106,IF(Q106&gt;0,H106&amp;" priority rank "&amp;I106&amp;"; whole initiative selected",P106)))</x:f>
        <x:v>Eligible</x:v>
      </x:c>
      <x:c r="W106" s="15" t="str">
        <x:v>EW!54</x:v>
      </x:c>
      <x:c r="X106" s="15" t="str">
        <x:v>HEALTHY</x:v>
      </x:c>
      <x:c r="Y106" s="15" t="str">
        <x:v>HEALTHY — Rank in priority matrix</x:v>
      </x:c>
      <x:c r="Z106" s="15" t="str">
        <x:v>Decomm/Replatforming</x:v>
      </x:c>
      <x:c r="AA106" s="15" t="str">
        <x:v>New Initiative</x:v>
      </x:c>
      <x:c r="AB106" s="15" t="str">
        <x:v>Commercial IT</x:v>
      </x:c>
      <x:c r="AC106" s="15" t="str">
        <x:v>License and maintenance cost reduction in line with our Ops spend reduction</x:v>
      </x:c>
      <x:c r="AD106" s="15" t="str"/>
      <x:c r="AE106" s="15" t="str"/>
      <x:c r="AF106" s="15" t="str">
        <x:v>License and maintenance cost reduction in line with our Ops spend reduction</x:v>
      </x:c>
      <x:c r="AG106" s="15" t="str">
        <x:v>Must Have</x:v>
      </x:c>
      <x:c r="AH106" s="15" t="n">
        <x:v>56</x:v>
      </x:c>
    </x:row>
    <x:row r="107">
      <x:c r="A107" s="15" t="str">
        <x:v>EW-144</x:v>
      </x:c>
      <x:c r="B107" s="15" t="str">
        <x:v>ISC IT DRP - Software Optimization: RunMyJob</x:v>
      </x:c>
      <x:c r="C107" s="15" t="str">
        <x:v>EW Led</x:v>
      </x:c>
      <x:c r="D107" s="15" t="str">
        <x:v>Information Technology</x:v>
      </x:c>
      <x:c r="E107" s="19" t="n">
        <x:v>0.3</x:v>
      </x:c>
      <x:c r="F107" s="19" t="n">
        <x:v>0.5</x:v>
      </x:c>
      <x:c r="G107" s="22" t="n">
        <x:f>IF(AND(E107&gt;0,ISNUMBER(F107)),F107/E107,"")</x:f>
        <x:v>1.6666666666666667</x:v>
      </x:c>
      <x:c r="H107" s="15" t="str">
        <x:v>Hygiene</x:v>
      </x:c>
      <x:c r="I107" s="15" t="n">
        <x:v>50</x:v>
      </x:c>
      <x:c r="J107" s="15" t="n">
        <x:v>5</x:v>
      </x:c>
      <x:c r="K107" s="23" t="n">
        <x:f>IF(G107="",0,IF(G107&lt;1,0,IF(G107&lt;2,20,IF(G107&lt;3,30,IF(G107&lt;5,40,50)))))*'Scenario Controls'!$B$22/50</x:f>
        <x:v>20</x:v>
      </x:c>
      <x:c r="L107" s="23" t="n">
        <x:f>IF(ISNUMBER(SEARCH("Must Do",AG107)),25,IF(ISNUMBER(SEARCH("Must Have",AG107)),18,IF(ISNUMBER(SEARCH("Deprior",AG107)),5,0)))*'Scenario Controls'!$B$23/25</x:f>
        <x:v>25</x:v>
      </x:c>
      <x:c r="M107" s="23" t="n">
        <x:f>J107*'Scenario Controls'!$B$24/15</x:f>
        <x:v>5</x:v>
      </x:c>
      <x:c r="N107" s="23" t="n">
        <x:f>IF(ISNUMBER(SEARCH("HEALTHY",X107)),10,IF(ISNUMBER(SEARCH("CONTAIN",X107)),6,0))*'Scenario Controls'!$B$25/10</x:f>
        <x:v>10</x:v>
      </x:c>
      <x:c r="O107" s="23" t="n">
        <x:f>SUM(K107:N107)</x:f>
        <x:v>60</x:v>
      </x:c>
      <x:c r="P107" s="15" t="str">
        <x:f>IF(OR(B107="",E107&lt;=0),"Evidence missing / not eligible",IF(ISNUMBER(SEARCH("priority TBD",Y107)),"Evidence missing / not eligible",IF(AND(H107="Carryover",NOT(ISNUMBER(F107))),"Evidence missing / not eligible",IF(AND(H107="Carryover",G107&lt;'Scenario Controls'!$B$16),"Evidence missing / not eligible",IF(AND(H107="ROI-Based Portfolio",NOT(ISNUMBER(F107))),"Evidence missing / not eligible",IF(AND(H107="ROI-Based Portfolio",O107&lt;'Scenario Controls'!$B$20),"Evidence missing / not eligible","Eligible"))))))</x:f>
        <x:v>Eligible</x:v>
      </x:c>
      <x:c r="Q107" s="19" t="n">
        <x:f>IF(P107&lt;&gt;"Eligible",0,IF(AND(SUMIFS($Q$5:Q106,$H$5:H106,H107)+E107&lt;=(IF(H107="LFR",'Scenario Controls'!$F$10,IF(H107="Sustain Engineering",'Scenario Controls'!$F$11,IF(H107="Hygiene",'Scenario Controls'!$F$12,1E+99))))*(1+'Scenario Controls'!$B$7),SUM($Q$5:Q106)+E107&lt;='Scenario Controls'!$B$6*(1+'Scenario Controls'!$B$7)),E107,0))</x:f>
        <x:v>0</x:v>
      </x:c>
      <x:c r="R107" s="24" t="str">
        <x:f>'EW Conference'!G80</x:f>
        <x:v>Automatic</x:v>
      </x:c>
      <x:c r="S107" s="24" t="str">
        <x:f>'EW Conference'!H80</x:f>
      </x:c>
      <x:c r="T107" s="19" t="n">
        <x:f>IF(R107="Exclude",0,IF(R107="Include",E107,Q107))</x:f>
        <x:v>0</x:v>
      </x:c>
      <x:c r="U107" s="15" t="str">
        <x:f>IF(T107&gt;0,"Funded",IF(P107="Eligible","Unfunded",P107))</x:f>
        <x:v>Unfunded</x:v>
      </x:c>
      <x:c r="V107" s="15" t="str">
        <x:f>IF(R107="Include","Conference inclusion: "&amp;S107,IF(R107="Exclude","Conference exclusion: "&amp;S107,IF(Q107&gt;0,H107&amp;" priority rank "&amp;I107&amp;"; whole initiative selected",P107)))</x:f>
        <x:v>Eligible</x:v>
      </x:c>
      <x:c r="W107" s="15" t="str">
        <x:v>EW!140</x:v>
      </x:c>
      <x:c r="X107" s="15" t="str">
        <x:v>HEALTHY</x:v>
      </x:c>
      <x:c r="Y107" s="15" t="str">
        <x:v>HEALTHY — Rank in priority matrix</x:v>
      </x:c>
      <x:c r="Z107" s="15" t="str">
        <x:v>Decomm/Replatforming</x:v>
      </x:c>
      <x:c r="AA107" s="15" t="str">
        <x:v>New Initiative</x:v>
      </x:c>
      <x:c r="AB107" s="15" t="str">
        <x:v>Integrated Supply Chain &amp; Finance</x:v>
      </x:c>
      <x:c r="AC107" s="15" t="str">
        <x:v>Compelling business case of cost avoidance</x:v>
      </x:c>
      <x:c r="AD107" s="15" t="str"/>
      <x:c r="AE107" s="15" t="str"/>
      <x:c r="AF107" s="15" t="str">
        <x:v>Compelling business case of cost avoidance</x:v>
      </x:c>
      <x:c r="AG107" s="15" t="str">
        <x:v>Must Do</x:v>
      </x:c>
      <x:c r="AH107" s="15" t="n">
        <x:v>142</x:v>
      </x:c>
    </x:row>
    <x:row r="108">
      <x:c r="A108" s="15" t="str">
        <x:v>EW-146</x:v>
      </x:c>
      <x:c r="B108" s="15" t="str">
        <x:v>ISC IT DRP - SAP OneBi &amp; BCS to BDC</x:v>
      </x:c>
      <x:c r="C108" s="15" t="str">
        <x:v>EW Led</x:v>
      </x:c>
      <x:c r="D108" s="15" t="str">
        <x:v>Information Technology</x:v>
      </x:c>
      <x:c r="E108" s="19" t="n">
        <x:v>0.3</x:v>
      </x:c>
      <x:c r="F108" s="19" t="n">
        <x:v>0.5</x:v>
      </x:c>
      <x:c r="G108" s="22" t="n">
        <x:f>IF(AND(E108&gt;0,ISNUMBER(F108)),F108/E108,"")</x:f>
        <x:v>1.6666666666666667</x:v>
      </x:c>
      <x:c r="H108" s="15" t="str">
        <x:v>Hygiene</x:v>
      </x:c>
      <x:c r="I108" s="15" t="n">
        <x:v>51</x:v>
      </x:c>
      <x:c r="J108" s="15" t="n">
        <x:v>5</x:v>
      </x:c>
      <x:c r="K108" s="23" t="n">
        <x:f>IF(G108="",0,IF(G108&lt;1,0,IF(G108&lt;2,20,IF(G108&lt;3,30,IF(G108&lt;5,40,50)))))*'Scenario Controls'!$B$22/50</x:f>
        <x:v>20</x:v>
      </x:c>
      <x:c r="L108" s="23" t="n">
        <x:f>IF(ISNUMBER(SEARCH("Must Do",AG108)),25,IF(ISNUMBER(SEARCH("Must Have",AG108)),18,IF(ISNUMBER(SEARCH("Deprior",AG108)),5,0)))*'Scenario Controls'!$B$23/25</x:f>
        <x:v>25</x:v>
      </x:c>
      <x:c r="M108" s="23" t="n">
        <x:f>J108*'Scenario Controls'!$B$24/15</x:f>
        <x:v>5</x:v>
      </x:c>
      <x:c r="N108" s="23" t="n">
        <x:f>IF(ISNUMBER(SEARCH("HEALTHY",X108)),10,IF(ISNUMBER(SEARCH("CONTAIN",X108)),6,0))*'Scenario Controls'!$B$25/10</x:f>
        <x:v>10</x:v>
      </x:c>
      <x:c r="O108" s="23" t="n">
        <x:f>SUM(K108:N108)</x:f>
        <x:v>60</x:v>
      </x:c>
      <x:c r="P108" s="15" t="str">
        <x:f>IF(OR(B108="",E108&lt;=0),"Evidence missing / not eligible",IF(ISNUMBER(SEARCH("priority TBD",Y108)),"Evidence missing / not eligible",IF(AND(H108="Carryover",NOT(ISNUMBER(F108))),"Evidence missing / not eligible",IF(AND(H108="Carryover",G108&lt;'Scenario Controls'!$B$16),"Evidence missing / not eligible",IF(AND(H108="ROI-Based Portfolio",NOT(ISNUMBER(F108))),"Evidence missing / not eligible",IF(AND(H108="ROI-Based Portfolio",O108&lt;'Scenario Controls'!$B$20),"Evidence missing / not eligible","Eligible"))))))</x:f>
        <x:v>Eligible</x:v>
      </x:c>
      <x:c r="Q108" s="19" t="n">
        <x:f>IF(P108&lt;&gt;"Eligible",0,IF(AND(SUMIFS($Q$5:Q107,$H$5:H107,H108)+E108&lt;=(IF(H108="LFR",'Scenario Controls'!$F$10,IF(H108="Sustain Engineering",'Scenario Controls'!$F$11,IF(H108="Hygiene",'Scenario Controls'!$F$12,1E+99))))*(1+'Scenario Controls'!$B$7),SUM($Q$5:Q107)+E108&lt;='Scenario Controls'!$B$6*(1+'Scenario Controls'!$B$7)),E108,0))</x:f>
        <x:v>0</x:v>
      </x:c>
      <x:c r="R108" s="24" t="str">
        <x:f>'EW Conference'!G81</x:f>
        <x:v>Automatic</x:v>
      </x:c>
      <x:c r="S108" s="24" t="str">
        <x:f>'EW Conference'!H81</x:f>
      </x:c>
      <x:c r="T108" s="19" t="n">
        <x:f>IF(R108="Exclude",0,IF(R108="Include",E108,Q108))</x:f>
        <x:v>0</x:v>
      </x:c>
      <x:c r="U108" s="15" t="str">
        <x:f>IF(T108&gt;0,"Funded",IF(P108="Eligible","Unfunded",P108))</x:f>
        <x:v>Unfunded</x:v>
      </x:c>
      <x:c r="V108" s="15" t="str">
        <x:f>IF(R108="Include","Conference inclusion: "&amp;S108,IF(R108="Exclude","Conference exclusion: "&amp;S108,IF(Q108&gt;0,H108&amp;" priority rank "&amp;I108&amp;"; whole initiative selected",P108)))</x:f>
        <x:v>Eligible</x:v>
      </x:c>
      <x:c r="W108" s="15" t="str">
        <x:v>EW!142</x:v>
      </x:c>
      <x:c r="X108" s="15" t="str">
        <x:v>HEALTHY</x:v>
      </x:c>
      <x:c r="Y108" s="15" t="str">
        <x:v>HEALTHY — Rank in priority matrix</x:v>
      </x:c>
      <x:c r="Z108" s="15" t="str">
        <x:v>Decomm/Replatforming</x:v>
      </x:c>
      <x:c r="AA108" s="15" t="str">
        <x:v>New Initiative</x:v>
      </x:c>
      <x:c r="AB108" s="15" t="str">
        <x:v>Integrated Supply Chain &amp; Finance</x:v>
      </x:c>
      <x:c r="AC108" s="15" t="str">
        <x:v>Unsupported software - EOL, Security Vulnerability</x:v>
      </x:c>
      <x:c r="AD108" s="15" t="str"/>
      <x:c r="AE108" s="15" t="str"/>
      <x:c r="AF108" s="15" t="str">
        <x:v>Unsupported software - EOL, Security Vulnerability</x:v>
      </x:c>
      <x:c r="AG108" s="15" t="str">
        <x:v>Must Do</x:v>
      </x:c>
      <x:c r="AH108" s="15" t="n">
        <x:v>144</x:v>
      </x:c>
    </x:row>
    <x:row r="109">
      <x:c r="A109" s="15" t="str">
        <x:v>EW-86</x:v>
      </x:c>
      <x:c r="B109" s="15" t="str">
        <x:v>FIN-MJV improvements</x:v>
      </x:c>
      <x:c r="C109" s="15" t="str">
        <x:v>EW Led</x:v>
      </x:c>
      <x:c r="D109" s="15" t="str">
        <x:v>Finance</x:v>
      </x:c>
      <x:c r="E109" s="19" t="n">
        <x:v>0.5</x:v>
      </x:c>
      <x:c r="F109" s="19" t="n">
        <x:v>0.83</x:v>
      </x:c>
      <x:c r="G109" s="22" t="n">
        <x:f>IF(AND(E109&gt;0,ISNUMBER(F109)),F109/E109,"")</x:f>
        <x:v>1.66</x:v>
      </x:c>
      <x:c r="H109" s="15" t="str">
        <x:v>Hygiene</x:v>
      </x:c>
      <x:c r="I109" s="15" t="n">
        <x:v>52</x:v>
      </x:c>
      <x:c r="J109" s="15" t="n">
        <x:v>5</x:v>
      </x:c>
      <x:c r="K109" s="23" t="n">
        <x:f>IF(G109="",0,IF(G109&lt;1,0,IF(G109&lt;2,20,IF(G109&lt;3,30,IF(G109&lt;5,40,50)))))*'Scenario Controls'!$B$22/50</x:f>
        <x:v>20</x:v>
      </x:c>
      <x:c r="L109" s="23" t="n">
        <x:f>IF(ISNUMBER(SEARCH("Must Do",AG109)),25,IF(ISNUMBER(SEARCH("Must Have",AG109)),18,IF(ISNUMBER(SEARCH("Deprior",AG109)),5,0)))*'Scenario Controls'!$B$23/25</x:f>
        <x:v>25</x:v>
      </x:c>
      <x:c r="M109" s="23" t="n">
        <x:f>J109*'Scenario Controls'!$B$24/15</x:f>
        <x:v>5</x:v>
      </x:c>
      <x:c r="N109" s="23" t="n">
        <x:f>IF(ISNUMBER(SEARCH("HEALTHY",X109)),10,IF(ISNUMBER(SEARCH("CONTAIN",X109)),6,0))*'Scenario Controls'!$B$25/10</x:f>
        <x:v>10</x:v>
      </x:c>
      <x:c r="O109" s="23" t="n">
        <x:f>SUM(K109:N109)</x:f>
        <x:v>60</x:v>
      </x:c>
      <x:c r="P109" s="15" t="str">
        <x:f>IF(OR(B109="",E109&lt;=0),"Evidence missing / not eligible",IF(ISNUMBER(SEARCH("priority TBD",Y109)),"Evidence missing / not eligible",IF(AND(H109="Carryover",NOT(ISNUMBER(F109))),"Evidence missing / not eligible",IF(AND(H109="Carryover",G109&lt;'Scenario Controls'!$B$16),"Evidence missing / not eligible",IF(AND(H109="ROI-Based Portfolio",NOT(ISNUMBER(F109))),"Evidence missing / not eligible",IF(AND(H109="ROI-Based Portfolio",O109&lt;'Scenario Controls'!$B$20),"Evidence missing / not eligible","Eligible"))))))</x:f>
        <x:v>Eligible</x:v>
      </x:c>
      <x:c r="Q109" s="19" t="n">
        <x:f>IF(P109&lt;&gt;"Eligible",0,IF(AND(SUMIFS($Q$5:Q108,$H$5:H108,H109)+E109&lt;=(IF(H109="LFR",'Scenario Controls'!$F$10,IF(H109="Sustain Engineering",'Scenario Controls'!$F$11,IF(H109="Hygiene",'Scenario Controls'!$F$12,1E+99))))*(1+'Scenario Controls'!$B$7),SUM($Q$5:Q108)+E109&lt;='Scenario Controls'!$B$6*(1+'Scenario Controls'!$B$7)),E109,0))</x:f>
        <x:v>0</x:v>
      </x:c>
      <x:c r="R109" s="24" t="str">
        <x:f>'EW Conference'!G82</x:f>
        <x:v>Automatic</x:v>
      </x:c>
      <x:c r="S109" s="24" t="str">
        <x:f>'EW Conference'!H82</x:f>
      </x:c>
      <x:c r="T109" s="19" t="n">
        <x:f>IF(R109="Exclude",0,IF(R109="Include",E109,Q109))</x:f>
        <x:v>0</x:v>
      </x:c>
      <x:c r="U109" s="15" t="str">
        <x:f>IF(T109&gt;0,"Funded",IF(P109="Eligible","Unfunded",P109))</x:f>
        <x:v>Unfunded</x:v>
      </x:c>
      <x:c r="V109" s="15" t="str">
        <x:f>IF(R109="Include","Conference inclusion: "&amp;S109,IF(R109="Exclude","Conference exclusion: "&amp;S109,IF(Q109&gt;0,H109&amp;" priority rank "&amp;I109&amp;"; whole initiative selected",P109)))</x:f>
        <x:v>Eligible</x:v>
      </x:c>
      <x:c r="W109" s="15" t="str">
        <x:v>EW!82</x:v>
      </x:c>
      <x:c r="X109" s="15" t="str">
        <x:v>HEALTHY</x:v>
      </x:c>
      <x:c r="Y109" s="15" t="str">
        <x:v>HEALTHY — Rank in priority matrix</x:v>
      </x:c>
      <x:c r="Z109" s="15" t="str">
        <x:v>Decomm/Replatforming</x:v>
      </x:c>
      <x:c r="AA109" s="15" t="str">
        <x:v>Carry Over</x:v>
      </x:c>
      <x:c r="AB109" s="15" t="str">
        <x:v>Integrated Supply Chain &amp; Finance</x:v>
      </x:c>
      <x:c r="AC109" s="15" t="str">
        <x:v>Compelling business case of cost avoidance (12 FTE saving &amp; license cost)</x:v>
      </x:c>
      <x:c r="AD109" s="15" t="str"/>
      <x:c r="AE109" s="15" t="str"/>
      <x:c r="AF109" s="15" t="str">
        <x:v>Compelling business case of cost avoidance (12 FTE saving &amp; license cost)</x:v>
      </x:c>
      <x:c r="AG109" s="15" t="str">
        <x:v>Must Do</x:v>
      </x:c>
      <x:c r="AH109" s="15" t="n">
        <x:v>84</x:v>
      </x:c>
    </x:row>
    <x:row r="110">
      <x:c r="A110" s="15" t="str">
        <x:v>EW-145</x:v>
      </x:c>
      <x:c r="B110" s="15" t="str">
        <x:v>ISC IT DRP - Software Optimization: EveryAngle -&gt; ADL</x:v>
      </x:c>
      <x:c r="C110" s="15" t="str">
        <x:v>EW Led</x:v>
      </x:c>
      <x:c r="D110" s="15" t="str">
        <x:v>Information Technology</x:v>
      </x:c>
      <x:c r="E110" s="19" t="n">
        <x:v>0.5</x:v>
      </x:c>
      <x:c r="F110" s="19" t="n">
        <x:v>0.7</x:v>
      </x:c>
      <x:c r="G110" s="22" t="n">
        <x:f>IF(AND(E110&gt;0,ISNUMBER(F110)),F110/E110,"")</x:f>
        <x:v>1.4</x:v>
      </x:c>
      <x:c r="H110" s="15" t="str">
        <x:v>Hygiene</x:v>
      </x:c>
      <x:c r="I110" s="15" t="n">
        <x:v>53</x:v>
      </x:c>
      <x:c r="J110" s="15" t="n">
        <x:v>5</x:v>
      </x:c>
      <x:c r="K110" s="23" t="n">
        <x:f>IF(G110="",0,IF(G110&lt;1,0,IF(G110&lt;2,20,IF(G110&lt;3,30,IF(G110&lt;5,40,50)))))*'Scenario Controls'!$B$22/50</x:f>
        <x:v>20</x:v>
      </x:c>
      <x:c r="L110" s="23" t="n">
        <x:f>IF(ISNUMBER(SEARCH("Must Do",AG110)),25,IF(ISNUMBER(SEARCH("Must Have",AG110)),18,IF(ISNUMBER(SEARCH("Deprior",AG110)),5,0)))*'Scenario Controls'!$B$23/25</x:f>
        <x:v>25</x:v>
      </x:c>
      <x:c r="M110" s="23" t="n">
        <x:f>J110*'Scenario Controls'!$B$24/15</x:f>
        <x:v>5</x:v>
      </x:c>
      <x:c r="N110" s="23" t="n">
        <x:f>IF(ISNUMBER(SEARCH("HEALTHY",X110)),10,IF(ISNUMBER(SEARCH("CONTAIN",X110)),6,0))*'Scenario Controls'!$B$25/10</x:f>
        <x:v>10</x:v>
      </x:c>
      <x:c r="O110" s="23" t="n">
        <x:f>SUM(K110:N110)</x:f>
        <x:v>60</x:v>
      </x:c>
      <x:c r="P110" s="15" t="str">
        <x:f>IF(OR(B110="",E110&lt;=0),"Evidence missing / not eligible",IF(ISNUMBER(SEARCH("priority TBD",Y110)),"Evidence missing / not eligible",IF(AND(H110="Carryover",NOT(ISNUMBER(F110))),"Evidence missing / not eligible",IF(AND(H110="Carryover",G110&lt;'Scenario Controls'!$B$16),"Evidence missing / not eligible",IF(AND(H110="ROI-Based Portfolio",NOT(ISNUMBER(F110))),"Evidence missing / not eligible",IF(AND(H110="ROI-Based Portfolio",O110&lt;'Scenario Controls'!$B$20),"Evidence missing / not eligible","Eligible"))))))</x:f>
        <x:v>Eligible</x:v>
      </x:c>
      <x:c r="Q110" s="19" t="n">
        <x:f>IF(P110&lt;&gt;"Eligible",0,IF(AND(SUMIFS($Q$5:Q109,$H$5:H109,H110)+E110&lt;=(IF(H110="LFR",'Scenario Controls'!$F$10,IF(H110="Sustain Engineering",'Scenario Controls'!$F$11,IF(H110="Hygiene",'Scenario Controls'!$F$12,1E+99))))*(1+'Scenario Controls'!$B$7),SUM($Q$5:Q109)+E110&lt;='Scenario Controls'!$B$6*(1+'Scenario Controls'!$B$7)),E110,0))</x:f>
        <x:v>0</x:v>
      </x:c>
      <x:c r="R110" s="24" t="str">
        <x:f>'EW Conference'!G83</x:f>
        <x:v>Automatic</x:v>
      </x:c>
      <x:c r="S110" s="24" t="str">
        <x:f>'EW Conference'!H83</x:f>
      </x:c>
      <x:c r="T110" s="19" t="n">
        <x:f>IF(R110="Exclude",0,IF(R110="Include",E110,Q110))</x:f>
        <x:v>0</x:v>
      </x:c>
      <x:c r="U110" s="15" t="str">
        <x:f>IF(T110&gt;0,"Funded",IF(P110="Eligible","Unfunded",P110))</x:f>
        <x:v>Unfunded</x:v>
      </x:c>
      <x:c r="V110" s="15" t="str">
        <x:f>IF(R110="Include","Conference inclusion: "&amp;S110,IF(R110="Exclude","Conference exclusion: "&amp;S110,IF(Q110&gt;0,H110&amp;" priority rank "&amp;I110&amp;"; whole initiative selected",P110)))</x:f>
        <x:v>Eligible</x:v>
      </x:c>
      <x:c r="W110" s="15" t="str">
        <x:v>EW!141</x:v>
      </x:c>
      <x:c r="X110" s="15" t="str">
        <x:v>HEALTHY</x:v>
      </x:c>
      <x:c r="Y110" s="15" t="str">
        <x:v>HEALTHY — Rank in priority matrix</x:v>
      </x:c>
      <x:c r="Z110" s="15" t="str">
        <x:v>Decomm/Replatforming</x:v>
      </x:c>
      <x:c r="AA110" s="15" t="str">
        <x:v>New Initiative</x:v>
      </x:c>
      <x:c r="AB110" s="15" t="str">
        <x:v>Integrated Supply Chain &amp; Finance</x:v>
      </x:c>
      <x:c r="AC110" s="15" t="str">
        <x:v>Compelling business case of cost avoidance</x:v>
      </x:c>
      <x:c r="AD110" s="15" t="str"/>
      <x:c r="AE110" s="15" t="str"/>
      <x:c r="AF110" s="15" t="str">
        <x:v>Compelling business case of cost avoidance</x:v>
      </x:c>
      <x:c r="AG110" s="15" t="str">
        <x:v>Must Do</x:v>
      </x:c>
      <x:c r="AH110" s="15" t="n">
        <x:v>143</x:v>
      </x:c>
    </x:row>
    <x:row r="111">
      <x:c r="A111" s="15" t="str">
        <x:v>Bu-256</x:v>
      </x:c>
      <x:c r="B111" s="15" t="str">
        <x:v>Horizon (EnLabel)</x:v>
      </x:c>
      <x:c r="C111" s="15" t="str">
        <x:v>BU Led</x:v>
      </x:c>
      <x:c r="D111" s="15" t="str">
        <x:v>Image Guided Therapy - Devices (IGT-D)</x:v>
      </x:c>
      <x:c r="E111" s="19" t="n">
        <x:v>0.235</x:v>
      </x:c>
      <x:c r="F111" s="19" t="n">
        <x:v>0.259</x:v>
      </x:c>
      <x:c r="G111" s="22" t="n">
        <x:f>IF(AND(E111&gt;0,ISNUMBER(F111)),F111/E111,"")</x:f>
        <x:v>1.1021276595744682</x:v>
      </x:c>
      <x:c r="H111" s="15" t="str">
        <x:v>Hygiene</x:v>
      </x:c>
      <x:c r="I111" s="15" t="n">
        <x:v>54</x:v>
      </x:c>
      <x:c r="J111" s="15" t="n">
        <x:v>5</x:v>
      </x:c>
      <x:c r="K111" s="23" t="n">
        <x:f>IF(G111="",0,IF(G111&lt;1,0,IF(G111&lt;2,20,IF(G111&lt;3,30,IF(G111&lt;5,40,50)))))*'Scenario Controls'!$B$22/50</x:f>
        <x:v>20</x:v>
      </x:c>
      <x:c r="L111" s="23" t="n">
        <x:f>IF(ISNUMBER(SEARCH("Must Do",AG111)),25,IF(ISNUMBER(SEARCH("Must Have",AG111)),18,IF(ISNUMBER(SEARCH("Deprior",AG111)),5,0)))*'Scenario Controls'!$B$23/25</x:f>
        <x:v>25</x:v>
      </x:c>
      <x:c r="M111" s="23" t="n">
        <x:f>J111*'Scenario Controls'!$B$24/15</x:f>
        <x:v>5</x:v>
      </x:c>
      <x:c r="N111" s="23" t="n">
        <x:f>IF(ISNUMBER(SEARCH("HEALTHY",X111)),10,IF(ISNUMBER(SEARCH("CONTAIN",X111)),6,0))*'Scenario Controls'!$B$25/10</x:f>
        <x:v>10</x:v>
      </x:c>
      <x:c r="O111" s="23" t="n">
        <x:f>SUM(K111:N111)</x:f>
        <x:v>60</x:v>
      </x:c>
      <x:c r="P111" s="15" t="str">
        <x:f>IF(OR(B111="",E111&lt;=0),"Evidence missing / not eligible",IF(ISNUMBER(SEARCH("priority TBD",Y111)),"Evidence missing / not eligible",IF(AND(H111="Carryover",NOT(ISNUMBER(F111))),"Evidence missing / not eligible",IF(AND(H111="Carryover",G111&lt;'Scenario Controls'!$B$16),"Evidence missing / not eligible",IF(AND(H111="ROI-Based Portfolio",NOT(ISNUMBER(F111))),"Evidence missing / not eligible",IF(AND(H111="ROI-Based Portfolio",O111&lt;'Scenario Controls'!$B$20),"Evidence missing / not eligible","Eligible"))))))</x:f>
        <x:v>Eligible</x:v>
      </x:c>
      <x:c r="Q111" s="19" t="n">
        <x:f>IF(P111&lt;&gt;"Eligible",0,IF(AND(SUMIFS($Q$5:Q110,$H$5:H110,H111)+E111&lt;=(IF(H111="LFR",'Scenario Controls'!$F$10,IF(H111="Sustain Engineering",'Scenario Controls'!$F$11,IF(H111="Hygiene",'Scenario Controls'!$F$12,1E+99))))*(1+'Scenario Controls'!$B$7),SUM($Q$5:Q110)+E111&lt;='Scenario Controls'!$B$6*(1+'Scenario Controls'!$B$7)),E111,0))</x:f>
        <x:v>0</x:v>
      </x:c>
      <x:c r="R111" s="24" t="str">
        <x:f>'BU Conference'!G33</x:f>
        <x:v>Automatic</x:v>
      </x:c>
      <x:c r="S111" s="24" t="str">
        <x:f>'BU Conference'!H33</x:f>
      </x:c>
      <x:c r="T111" s="19" t="n">
        <x:f>IF(R111="Exclude",0,IF(R111="Include",E111,Q111))</x:f>
        <x:v>0</x:v>
      </x:c>
      <x:c r="U111" s="15" t="str">
        <x:f>IF(T111&gt;0,"Funded",IF(P111="Eligible","Unfunded",P111))</x:f>
        <x:v>Unfunded</x:v>
      </x:c>
      <x:c r="V111" s="15" t="str">
        <x:f>IF(R111="Include","Conference inclusion: "&amp;S111,IF(R111="Exclude","Conference exclusion: "&amp;S111,IF(Q111&gt;0,H111&amp;" priority rank "&amp;I111&amp;"; whole initiative selected",P111)))</x:f>
        <x:v>Eligible</x:v>
      </x:c>
      <x:c r="W111" s="15" t="str">
        <x:v>Bu!564</x:v>
      </x:c>
      <x:c r="X111" s="15" t="str">
        <x:v>HEALTHY</x:v>
      </x:c>
      <x:c r="Y111" s="15" t="str">
        <x:v>HEALTHY — Rank in priority matrix</x:v>
      </x:c>
      <x:c r="Z111" s="15" t="str">
        <x:v>Upgrades &amp; Enhancements</x:v>
      </x:c>
      <x:c r="AA111" s="15" t="str">
        <x:v>Carry Over</x:v>
      </x:c>
      <x:c r="AB111" s="15" t="str">
        <x:v>Integrated Supply Chain &amp; Finance</x:v>
      </x:c>
      <x:c r="AC111" s="15" t="str"/>
      <x:c r="AD111" s="15" t="str"/>
      <x:c r="AE111" s="15" t="str">
        <x:v>Single system harmonization (product labeling print systems), Enabling reduction of E2E timelines for mass labeling changes by an estimated 50%. Hypercare for ongoing implementation and next site scaling.</x:v>
      </x:c>
      <x:c r="AF111" s="15" t="str">
        <x:v>Single system harmonization (product labeling print systems), Enabling reduction of E2E timelines for mass labeling changes by an estimated 50%. Hypercare for ongoing implementation and next site scaling.</x:v>
      </x:c>
      <x:c r="AG111" s="15" t="str">
        <x:v>Must Do</x:v>
      </x:c>
      <x:c r="AH111" s="15" t="n">
        <x:v>436</x:v>
      </x:c>
    </x:row>
    <x:row r="112">
      <x:c r="A112" s="15" t="str">
        <x:v>EW-92</x:v>
      </x:c>
      <x:c r="B112" s="15" t="str">
        <x:v>FIN-Decom UiPatch (Communication Mining)</x:v>
      </x:c>
      <x:c r="C112" s="15" t="str">
        <x:v>EW Led</x:v>
      </x:c>
      <x:c r="D112" s="15" t="str">
        <x:v>Finance</x:v>
      </x:c>
      <x:c r="E112" s="19" t="n">
        <x:v>0.4</x:v>
      </x:c>
      <x:c r="F112" s="19" t="n">
        <x:v>0.4</x:v>
      </x:c>
      <x:c r="G112" s="22" t="n">
        <x:f>IF(AND(E112&gt;0,ISNUMBER(F112)),F112/E112,"")</x:f>
        <x:v>1</x:v>
      </x:c>
      <x:c r="H112" s="15" t="str">
        <x:v>Hygiene</x:v>
      </x:c>
      <x:c r="I112" s="15" t="n">
        <x:v>55</x:v>
      </x:c>
      <x:c r="J112" s="15" t="n">
        <x:v>5</x:v>
      </x:c>
      <x:c r="K112" s="23" t="n">
        <x:f>IF(G112="",0,IF(G112&lt;1,0,IF(G112&lt;2,20,IF(G112&lt;3,30,IF(G112&lt;5,40,50)))))*'Scenario Controls'!$B$22/50</x:f>
        <x:v>20</x:v>
      </x:c>
      <x:c r="L112" s="23" t="n">
        <x:f>IF(ISNUMBER(SEARCH("Must Do",AG112)),25,IF(ISNUMBER(SEARCH("Must Have",AG112)),18,IF(ISNUMBER(SEARCH("Deprior",AG112)),5,0)))*'Scenario Controls'!$B$23/25</x:f>
        <x:v>25</x:v>
      </x:c>
      <x:c r="M112" s="23" t="n">
        <x:f>J112*'Scenario Controls'!$B$24/15</x:f>
        <x:v>5</x:v>
      </x:c>
      <x:c r="N112" s="23" t="n">
        <x:f>IF(ISNUMBER(SEARCH("HEALTHY",X112)),10,IF(ISNUMBER(SEARCH("CONTAIN",X112)),6,0))*'Scenario Controls'!$B$25/10</x:f>
        <x:v>10</x:v>
      </x:c>
      <x:c r="O112" s="23" t="n">
        <x:f>SUM(K112:N112)</x:f>
        <x:v>60</x:v>
      </x:c>
      <x:c r="P112" s="15" t="str">
        <x:f>IF(OR(B112="",E112&lt;=0),"Evidence missing / not eligible",IF(ISNUMBER(SEARCH("priority TBD",Y112)),"Evidence missing / not eligible",IF(AND(H112="Carryover",NOT(ISNUMBER(F112))),"Evidence missing / not eligible",IF(AND(H112="Carryover",G112&lt;'Scenario Controls'!$B$16),"Evidence missing / not eligible",IF(AND(H112="ROI-Based Portfolio",NOT(ISNUMBER(F112))),"Evidence missing / not eligible",IF(AND(H112="ROI-Based Portfolio",O112&lt;'Scenario Controls'!$B$20),"Evidence missing / not eligible","Eligible"))))))</x:f>
        <x:v>Eligible</x:v>
      </x:c>
      <x:c r="Q112" s="19" t="n">
        <x:f>IF(P112&lt;&gt;"Eligible",0,IF(AND(SUMIFS($Q$5:Q111,$H$5:H111,H112)+E112&lt;=(IF(H112="LFR",'Scenario Controls'!$F$10,IF(H112="Sustain Engineering",'Scenario Controls'!$F$11,IF(H112="Hygiene",'Scenario Controls'!$F$12,1E+99))))*(1+'Scenario Controls'!$B$7),SUM($Q$5:Q111)+E112&lt;='Scenario Controls'!$B$6*(1+'Scenario Controls'!$B$7)),E112,0))</x:f>
        <x:v>0</x:v>
      </x:c>
      <x:c r="R112" s="24" t="str">
        <x:f>'EW Conference'!G84</x:f>
        <x:v>Automatic</x:v>
      </x:c>
      <x:c r="S112" s="24" t="str">
        <x:f>'EW Conference'!H84</x:f>
      </x:c>
      <x:c r="T112" s="19" t="n">
        <x:f>IF(R112="Exclude",0,IF(R112="Include",E112,Q112))</x:f>
        <x:v>0</x:v>
      </x:c>
      <x:c r="U112" s="15" t="str">
        <x:f>IF(T112&gt;0,"Funded",IF(P112="Eligible","Unfunded",P112))</x:f>
        <x:v>Unfunded</x:v>
      </x:c>
      <x:c r="V112" s="15" t="str">
        <x:f>IF(R112="Include","Conference inclusion: "&amp;S112,IF(R112="Exclude","Conference exclusion: "&amp;S112,IF(Q112&gt;0,H112&amp;" priority rank "&amp;I112&amp;"; whole initiative selected",P112)))</x:f>
        <x:v>Eligible</x:v>
      </x:c>
      <x:c r="W112" s="15" t="str">
        <x:v>EW!88</x:v>
      </x:c>
      <x:c r="X112" s="15" t="str">
        <x:v>HEALTHY</x:v>
      </x:c>
      <x:c r="Y112" s="15" t="str">
        <x:v>HEALTHY — Rank in priority matrix</x:v>
      </x:c>
      <x:c r="Z112" s="15" t="str">
        <x:v>Decomm/Replatforming</x:v>
      </x:c>
      <x:c r="AA112" s="15" t="str">
        <x:v>New Initiative</x:v>
      </x:c>
      <x:c r="AB112" s="15" t="str">
        <x:v>Integrated Supply Chain &amp; Finance</x:v>
      </x:c>
      <x:c r="AC112" s="15" t="str">
        <x:v>Savings not realized</x:v>
      </x:c>
      <x:c r="AD112" s="15" t="str"/>
      <x:c r="AE112" s="15" t="str"/>
      <x:c r="AF112" s="15" t="str">
        <x:v>Savings not realized</x:v>
      </x:c>
      <x:c r="AG112" s="15" t="str">
        <x:v>Must Do</x:v>
      </x:c>
      <x:c r="AH112" s="15" t="n">
        <x:v>90</x:v>
      </x:c>
    </x:row>
    <x:row r="113">
      <x:c r="A113" s="15" t="str">
        <x:v>Bu-21</x:v>
      </x:c>
      <x:c r="B113" s="15" t="str">
        <x:v>13. Finish the ecommerce brilliant basics</x:v>
      </x:c>
      <x:c r="C113" s="15" t="str">
        <x:v>BU Led</x:v>
      </x:c>
      <x:c r="D113" s="15" t="str">
        <x:v>Personal Health (PH)</x:v>
      </x:c>
      <x:c r="E113" s="19" t="n">
        <x:v>0.32</x:v>
      </x:c>
      <x:c r="F113" s="19" t="n">
        <x:v>0.679</x:v>
      </x:c>
      <x:c r="G113" s="22" t="n">
        <x:f>IF(AND(E113&gt;0,ISNUMBER(F113)),F113/E113,"")</x:f>
        <x:v>2.121875</x:v>
      </x:c>
      <x:c r="H113" s="15" t="str">
        <x:v>Hygiene</x:v>
      </x:c>
      <x:c r="I113" s="15" t="n">
        <x:v>56</x:v>
      </x:c>
      <x:c r="J113" s="15" t="n">
        <x:v>0</x:v>
      </x:c>
      <x:c r="K113" s="23" t="n">
        <x:f>IF(G113="",0,IF(G113&lt;1,0,IF(G113&lt;2,20,IF(G113&lt;3,30,IF(G113&lt;5,40,50)))))*'Scenario Controls'!$B$22/50</x:f>
        <x:v>30</x:v>
      </x:c>
      <x:c r="L113" s="23" t="n">
        <x:f>IF(ISNUMBER(SEARCH("Must Do",AG113)),25,IF(ISNUMBER(SEARCH("Must Have",AG113)),18,IF(ISNUMBER(SEARCH("Deprior",AG113)),5,0)))*'Scenario Controls'!$B$23/25</x:f>
        <x:v>25</x:v>
      </x:c>
      <x:c r="M113" s="23" t="n">
        <x:f>J113*'Scenario Controls'!$B$24/15</x:f>
        <x:v>0</x:v>
      </x:c>
      <x:c r="N113" s="23" t="n">
        <x:f>IF(ISNUMBER(SEARCH("HEALTHY",X113)),10,IF(ISNUMBER(SEARCH("CONTAIN",X113)),6,0))*'Scenario Controls'!$B$25/10</x:f>
        <x:v>0</x:v>
      </x:c>
      <x:c r="O113" s="23" t="n">
        <x:f>SUM(K113:N113)</x:f>
        <x:v>55</x:v>
      </x:c>
      <x:c r="P113" s="15" t="str">
        <x:f>IF(OR(B113="",E113&lt;=0),"Evidence missing / not eligible",IF(ISNUMBER(SEARCH("priority TBD",Y113)),"Evidence missing / not eligible",IF(AND(H113="Carryover",NOT(ISNUMBER(F113))),"Evidence missing / not eligible",IF(AND(H113="Carryover",G113&lt;'Scenario Controls'!$B$16),"Evidence missing / not eligible",IF(AND(H113="ROI-Based Portfolio",NOT(ISNUMBER(F113))),"Evidence missing / not eligible",IF(AND(H113="ROI-Based Portfolio",O113&lt;'Scenario Controls'!$B$20),"Evidence missing / not eligible","Eligible"))))))</x:f>
        <x:v>Eligible</x:v>
      </x:c>
      <x:c r="Q113" s="19" t="n">
        <x:f>IF(P113&lt;&gt;"Eligible",0,IF(AND(SUMIFS($Q$5:Q112,$H$5:H112,H113)+E113&lt;=(IF(H113="LFR",'Scenario Controls'!$F$10,IF(H113="Sustain Engineering",'Scenario Controls'!$F$11,IF(H113="Hygiene",'Scenario Controls'!$F$12,1E+99))))*(1+'Scenario Controls'!$B$7),SUM($Q$5:Q112)+E113&lt;='Scenario Controls'!$B$6*(1+'Scenario Controls'!$B$7)),E113,0))</x:f>
        <x:v>0</x:v>
      </x:c>
      <x:c r="R113" s="24" t="str">
        <x:f>'BU Conference'!G34</x:f>
        <x:v>Automatic</x:v>
      </x:c>
      <x:c r="S113" s="24" t="str">
        <x:f>'BU Conference'!H34</x:f>
      </x:c>
      <x:c r="T113" s="19" t="n">
        <x:f>IF(R113="Exclude",0,IF(R113="Include",E113,Q113))</x:f>
        <x:v>0</x:v>
      </x:c>
      <x:c r="U113" s="15" t="str">
        <x:f>IF(T113&gt;0,"Funded",IF(P113="Eligible","Unfunded",P113))</x:f>
        <x:v>Unfunded</x:v>
      </x:c>
      <x:c r="V113" s="15" t="str">
        <x:f>IF(R113="Include","Conference inclusion: "&amp;S113,IF(R113="Exclude","Conference exclusion: "&amp;S113,IF(Q113&gt;0,H113&amp;" priority rank "&amp;I113&amp;"; whole initiative selected",P113)))</x:f>
        <x:v>Eligible</x:v>
      </x:c>
      <x:c r="W113" s="15" t="str">
        <x:v>Bu!31</x:v>
      </x:c>
      <x:c r="X113" s="15" t="str"/>
      <x:c r="Y113" s="15" t="str"/>
      <x:c r="Z113" s="15" t="str">
        <x:v>Continous Improvement</x:v>
      </x:c>
      <x:c r="AA113" s="15" t="str">
        <x:v>Carry Over</x:v>
      </x:c>
      <x:c r="AB113" s="15" t="str">
        <x:v>Innovation and Digital IT</x:v>
      </x:c>
      <x:c r="AC113" s="15" t="str"/>
      <x:c r="AD113" s="15" t="str"/>
      <x:c r="AE113" s="15" t="str"/>
      <x:c r="AF113" s="15" t="str"/>
      <x:c r="AG113" s="15" t="str">
        <x:v>Must Do</x:v>
      </x:c>
      <x:c r="AH113" s="15" t="n">
        <x:v>206</x:v>
      </x:c>
    </x:row>
    <x:row r="114">
      <x:c r="A114" s="15" t="str">
        <x:v>EW-169</x:v>
      </x:c>
      <x:c r="B114" s="15" t="str">
        <x:v>People data architechture &amp; AI solutions enablement</x:v>
      </x:c>
      <x:c r="C114" s="15" t="str">
        <x:v>EW Led</x:v>
      </x:c>
      <x:c r="D114" s="15" t="str">
        <x:v>People function</x:v>
      </x:c>
      <x:c r="E114" s="19" t="n">
        <x:v>0.3</x:v>
      </x:c>
      <x:c r="F114" s="19" t="n">
        <x:v>0.4</x:v>
      </x:c>
      <x:c r="G114" s="22" t="n">
        <x:f>IF(AND(E114&gt;0,ISNUMBER(F114)),F114/E114,"")</x:f>
        <x:v>1.3333333333333335</x:v>
      </x:c>
      <x:c r="H114" s="15" t="str">
        <x:v>Hygiene</x:v>
      </x:c>
      <x:c r="I114" s="15" t="n">
        <x:v>57</x:v>
      </x:c>
      <x:c r="J114" s="15" t="n">
        <x:v>5</x:v>
      </x:c>
      <x:c r="K114" s="23" t="n">
        <x:f>IF(G114="",0,IF(G114&lt;1,0,IF(G114&lt;2,20,IF(G114&lt;3,30,IF(G114&lt;5,40,50)))))*'Scenario Controls'!$B$22/50</x:f>
        <x:v>20</x:v>
      </x:c>
      <x:c r="L114" s="23" t="n">
        <x:f>IF(ISNUMBER(SEARCH("Must Do",AG114)),25,IF(ISNUMBER(SEARCH("Must Have",AG114)),18,IF(ISNUMBER(SEARCH("Deprior",AG114)),5,0)))*'Scenario Controls'!$B$23/25</x:f>
        <x:v>18</x:v>
      </x:c>
      <x:c r="M114" s="23" t="n">
        <x:f>J114*'Scenario Controls'!$B$24/15</x:f>
        <x:v>5</x:v>
      </x:c>
      <x:c r="N114" s="23" t="n">
        <x:f>IF(ISNUMBER(SEARCH("HEALTHY",X114)),10,IF(ISNUMBER(SEARCH("CONTAIN",X114)),6,0))*'Scenario Controls'!$B$25/10</x:f>
        <x:v>10</x:v>
      </x:c>
      <x:c r="O114" s="23" t="n">
        <x:f>SUM(K114:N114)</x:f>
        <x:v>53</x:v>
      </x:c>
      <x:c r="P114" s="15" t="str">
        <x:f>IF(OR(B114="",E114&lt;=0),"Evidence missing / not eligible",IF(ISNUMBER(SEARCH("priority TBD",Y114)),"Evidence missing / not eligible",IF(AND(H114="Carryover",NOT(ISNUMBER(F114))),"Evidence missing / not eligible",IF(AND(H114="Carryover",G114&lt;'Scenario Controls'!$B$16),"Evidence missing / not eligible",IF(AND(H114="ROI-Based Portfolio",NOT(ISNUMBER(F114))),"Evidence missing / not eligible",IF(AND(H114="ROI-Based Portfolio",O114&lt;'Scenario Controls'!$B$20),"Evidence missing / not eligible","Eligible"))))))</x:f>
        <x:v>Eligible</x:v>
      </x:c>
      <x:c r="Q114" s="19" t="n">
        <x:f>IF(P114&lt;&gt;"Eligible",0,IF(AND(SUMIFS($Q$5:Q113,$H$5:H113,H114)+E114&lt;=(IF(H114="LFR",'Scenario Controls'!$F$10,IF(H114="Sustain Engineering",'Scenario Controls'!$F$11,IF(H114="Hygiene",'Scenario Controls'!$F$12,1E+99))))*(1+'Scenario Controls'!$B$7),SUM($Q$5:Q113)+E114&lt;='Scenario Controls'!$B$6*(1+'Scenario Controls'!$B$7)),E114,0))</x:f>
        <x:v>0</x:v>
      </x:c>
      <x:c r="R114" s="24" t="str">
        <x:f>'EW Conference'!G85</x:f>
        <x:v>Automatic</x:v>
      </x:c>
      <x:c r="S114" s="24" t="str">
        <x:f>'EW Conference'!H85</x:f>
      </x:c>
      <x:c r="T114" s="19" t="n">
        <x:f>IF(R114="Exclude",0,IF(R114="Include",E114,Q114))</x:f>
        <x:v>0</x:v>
      </x:c>
      <x:c r="U114" s="15" t="str">
        <x:f>IF(T114&gt;0,"Funded",IF(P114="Eligible","Unfunded",P114))</x:f>
        <x:v>Unfunded</x:v>
      </x:c>
      <x:c r="V114" s="15" t="str">
        <x:f>IF(R114="Include","Conference inclusion: "&amp;S114,IF(R114="Exclude","Conference exclusion: "&amp;S114,IF(Q114&gt;0,H114&amp;" priority rank "&amp;I114&amp;"; whole initiative selected",P114)))</x:f>
        <x:v>Eligible</x:v>
      </x:c>
      <x:c r="W114" s="15" t="str">
        <x:v>EW!165</x:v>
      </x:c>
      <x:c r="X114" s="15" t="str">
        <x:v>HEALTHY</x:v>
      </x:c>
      <x:c r="Y114" s="15" t="str">
        <x:v>HEALTHY — Rank in priority matrix</x:v>
      </x:c>
      <x:c r="Z114" s="15" t="str">
        <x:v>Continuous Improvement</x:v>
      </x:c>
      <x:c r="AA114" s="15" t="str">
        <x:v>New Initiative</x:v>
      </x:c>
      <x:c r="AB114" s="15" t="str">
        <x:v>Group Functions &amp; Hyperautomation IT</x:v>
      </x:c>
      <x:c r="AC114" s="15" t="str">
        <x:v>Productivity targets will not be met and thereby forfeit Business case worth of 400K</x:v>
      </x:c>
      <x:c r="AD114" s="15" t="str">
        <x:v>Fragmented data architecture prevents trusted, integrated AI insights.</x:v>
      </x:c>
      <x:c r="AE114" s="15" t="str">
        <x:v>Build a connected data foundation and trusted intelligence layer.</x:v>
      </x:c>
      <x:c r="AF114" s="15" t="str">
        <x:v>Productivity targets will not be met and thereby forfeit Business case worth of 400K | Fragmented data architecture prevents trusted, integrated AI insights. | Build a connected data foundation and trusted intelligence layer.</x:v>
      </x:c>
      <x:c r="AG114" s="15" t="str">
        <x:v>Must Have</x:v>
      </x:c>
      <x:c r="AH114" s="15" t="n">
        <x:v>167</x:v>
      </x:c>
    </x:row>
    <x:row r="115">
      <x:c r="A115" s="15" t="str">
        <x:v>Bu-257</x:v>
      </x:c>
      <x:c r="B115" s="15" t="str">
        <x:v>Windchill – Change &amp; Sustain</x:v>
      </x:c>
      <x:c r="C115" s="15" t="str">
        <x:v>BU Led</x:v>
      </x:c>
      <x:c r="D115" s="15" t="str">
        <x:v>Image Guided Therapy - Devices (IGT-D)</x:v>
      </x:c>
      <x:c r="E115" s="19" t="n">
        <x:v>0.165</x:v>
      </x:c>
      <x:c r="F115" s="19" t="n">
        <x:v>0.317</x:v>
      </x:c>
      <x:c r="G115" s="22" t="n">
        <x:f>IF(AND(E115&gt;0,ISNUMBER(F115)),F115/E115,"")</x:f>
        <x:v>1.9212121212121211</x:v>
      </x:c>
      <x:c r="H115" s="15" t="str">
        <x:v>Hygiene</x:v>
      </x:c>
      <x:c r="I115" s="15" t="n">
        <x:v>58</x:v>
      </x:c>
      <x:c r="J115" s="15" t="n">
        <x:v>5</x:v>
      </x:c>
      <x:c r="K115" s="23" t="n">
        <x:f>IF(G115="",0,IF(G115&lt;1,0,IF(G115&lt;2,20,IF(G115&lt;3,30,IF(G115&lt;5,40,50)))))*'Scenario Controls'!$B$22/50</x:f>
        <x:v>20</x:v>
      </x:c>
      <x:c r="L115" s="23" t="n">
        <x:f>IF(ISNUMBER(SEARCH("Must Do",AG115)),25,IF(ISNUMBER(SEARCH("Must Have",AG115)),18,IF(ISNUMBER(SEARCH("Deprior",AG115)),5,0)))*'Scenario Controls'!$B$23/25</x:f>
        <x:v>25</x:v>
      </x:c>
      <x:c r="M115" s="23" t="n">
        <x:f>J115*'Scenario Controls'!$B$24/15</x:f>
        <x:v>5</x:v>
      </x:c>
      <x:c r="N115" s="23" t="n">
        <x:f>IF(ISNUMBER(SEARCH("HEALTHY",X115)),10,IF(ISNUMBER(SEARCH("CONTAIN",X115)),6,0))*'Scenario Controls'!$B$25/10</x:f>
        <x:v>0</x:v>
      </x:c>
      <x:c r="O115" s="23" t="n">
        <x:f>SUM(K115:N115)</x:f>
        <x:v>50</x:v>
      </x:c>
      <x:c r="P115" s="15" t="str">
        <x:f>IF(OR(B115="",E115&lt;=0),"Evidence missing / not eligible",IF(ISNUMBER(SEARCH("priority TBD",Y115)),"Evidence missing / not eligible",IF(AND(H115="Carryover",NOT(ISNUMBER(F115))),"Evidence missing / not eligible",IF(AND(H115="Carryover",G115&lt;'Scenario Controls'!$B$16),"Evidence missing / not eligible",IF(AND(H115="ROI-Based Portfolio",NOT(ISNUMBER(F115))),"Evidence missing / not eligible",IF(AND(H115="ROI-Based Portfolio",O115&lt;'Scenario Controls'!$B$20),"Evidence missing / not eligible","Eligible"))))))</x:f>
        <x:v>Eligible</x:v>
      </x:c>
      <x:c r="Q115" s="19" t="n">
        <x:f>IF(P115&lt;&gt;"Eligible",0,IF(AND(SUMIFS($Q$5:Q114,$H$5:H114,H115)+E115&lt;=(IF(H115="LFR",'Scenario Controls'!$F$10,IF(H115="Sustain Engineering",'Scenario Controls'!$F$11,IF(H115="Hygiene",'Scenario Controls'!$F$12,1E+99))))*(1+'Scenario Controls'!$B$7),SUM($Q$5:Q114)+E115&lt;='Scenario Controls'!$B$6*(1+'Scenario Controls'!$B$7)),E115,0))</x:f>
        <x:v>0</x:v>
      </x:c>
      <x:c r="R115" s="24" t="str">
        <x:f>'BU Conference'!G35</x:f>
        <x:v>Automatic</x:v>
      </x:c>
      <x:c r="S115" s="24" t="str">
        <x:f>'BU Conference'!H35</x:f>
      </x:c>
      <x:c r="T115" s="19" t="n">
        <x:f>IF(R115="Exclude",0,IF(R115="Include",E115,Q115))</x:f>
        <x:v>0</x:v>
      </x:c>
      <x:c r="U115" s="15" t="str">
        <x:f>IF(T115&gt;0,"Funded",IF(P115="Eligible","Unfunded",P115))</x:f>
        <x:v>Unfunded</x:v>
      </x:c>
      <x:c r="V115" s="15" t="str">
        <x:f>IF(R115="Include","Conference inclusion: "&amp;S115,IF(R115="Exclude","Conference exclusion: "&amp;S115,IF(Q115&gt;0,H115&amp;" priority rank "&amp;I115&amp;"; whole initiative selected",P115)))</x:f>
        <x:v>Eligible</x:v>
      </x:c>
      <x:c r="W115" s="15" t="str">
        <x:v>Bu!565</x:v>
      </x:c>
      <x:c r="X115" s="15" t="str"/>
      <x:c r="Y115" s="15" t="str"/>
      <x:c r="Z115" s="15" t="str">
        <x:v>Upgrades &amp; Enhancements</x:v>
      </x:c>
      <x:c r="AA115" s="15" t="str">
        <x:v>Carry Over</x:v>
      </x:c>
      <x:c r="AB115" s="15" t="str">
        <x:v>Innovation and Digital IT</x:v>
      </x:c>
      <x:c r="AC115" s="15" t="str"/>
      <x:c r="AD115" s="15" t="str"/>
      <x:c r="AE115" s="15" t="str">
        <x:v>Continued Windchill improvements will drive data quality improvement, first time right improvements and operational efficiency/time savings, and enable better decision-making while resolving existing system issues.</x:v>
      </x:c>
      <x:c r="AF115" s="15" t="str">
        <x:v>Continued Windchill improvements will drive data quality improvement, first time right improvements and operational efficiency/time savings, and enable better decision-making while resolving existing system issues.</x:v>
      </x:c>
      <x:c r="AG115" s="15" t="str">
        <x:v>Must Do</x:v>
      </x:c>
      <x:c r="AH115" s="15" t="n">
        <x:v>437</x:v>
      </x:c>
    </x:row>
    <x:row r="116">
      <x:c r="A116" s="15" t="str">
        <x:v>EW-173</x:v>
      </x:c>
      <x:c r="B116" s="15" t="str">
        <x:v>ISC IT DRP - DESCARTES</x:v>
      </x:c>
      <x:c r="C116" s="15" t="str">
        <x:v>EW Led</x:v>
      </x:c>
      <x:c r="D116" s="15" t="str">
        <x:v>Information Technology</x:v>
      </x:c>
      <x:c r="E116" s="19" t="n">
        <x:v>0.5</x:v>
      </x:c>
      <x:c r="F116" s="19" t="n">
        <x:v>0.8</x:v>
      </x:c>
      <x:c r="G116" s="22" t="n">
        <x:f>IF(AND(E116&gt;0,ISNUMBER(F116)),F116/E116,"")</x:f>
        <x:v>1.6</x:v>
      </x:c>
      <x:c r="H116" s="15" t="str">
        <x:v>Hygiene</x:v>
      </x:c>
      <x:c r="I116" s="15" t="n">
        <x:v>59</x:v>
      </x:c>
      <x:c r="J116" s="15" t="n">
        <x:v>5</x:v>
      </x:c>
      <x:c r="K116" s="23" t="n">
        <x:f>IF(G116="",0,IF(G116&lt;1,0,IF(G116&lt;2,20,IF(G116&lt;3,30,IF(G116&lt;5,40,50)))))*'Scenario Controls'!$B$22/50</x:f>
        <x:v>20</x:v>
      </x:c>
      <x:c r="L116" s="23" t="n">
        <x:f>IF(ISNUMBER(SEARCH("Must Do",AG116)),25,IF(ISNUMBER(SEARCH("Must Have",AG116)),18,IF(ISNUMBER(SEARCH("Deprior",AG116)),5,0)))*'Scenario Controls'!$B$23/25</x:f>
        <x:v>25</x:v>
      </x:c>
      <x:c r="M116" s="23" t="n">
        <x:f>J116*'Scenario Controls'!$B$24/15</x:f>
        <x:v>5</x:v>
      </x:c>
      <x:c r="N116" s="23" t="n">
        <x:f>IF(ISNUMBER(SEARCH("HEALTHY",X116)),10,IF(ISNUMBER(SEARCH("CONTAIN",X116)),6,0))*'Scenario Controls'!$B$25/10</x:f>
        <x:v>0</x:v>
      </x:c>
      <x:c r="O116" s="23" t="n">
        <x:f>SUM(K116:N116)</x:f>
        <x:v>50</x:v>
      </x:c>
      <x:c r="P116" s="15" t="str">
        <x:f>IF(OR(B116="",E116&lt;=0),"Evidence missing / not eligible",IF(ISNUMBER(SEARCH("priority TBD",Y116)),"Evidence missing / not eligible",IF(AND(H116="Carryover",NOT(ISNUMBER(F116))),"Evidence missing / not eligible",IF(AND(H116="Carryover",G116&lt;'Scenario Controls'!$B$16),"Evidence missing / not eligible",IF(AND(H116="ROI-Based Portfolio",NOT(ISNUMBER(F116))),"Evidence missing / not eligible",IF(AND(H116="ROI-Based Portfolio",O116&lt;'Scenario Controls'!$B$20),"Evidence missing / not eligible","Eligible"))))))</x:f>
        <x:v>Eligible</x:v>
      </x:c>
      <x:c r="Q116" s="19" t="n">
        <x:f>IF(P116&lt;&gt;"Eligible",0,IF(AND(SUMIFS($Q$5:Q115,$H$5:H115,H116)+E116&lt;=(IF(H116="LFR",'Scenario Controls'!$F$10,IF(H116="Sustain Engineering",'Scenario Controls'!$F$11,IF(H116="Hygiene",'Scenario Controls'!$F$12,1E+99))))*(1+'Scenario Controls'!$B$7),SUM($Q$5:Q115)+E116&lt;='Scenario Controls'!$B$6*(1+'Scenario Controls'!$B$7)),E116,0))</x:f>
        <x:v>0</x:v>
      </x:c>
      <x:c r="R116" s="24" t="str">
        <x:f>'EW Conference'!G86</x:f>
        <x:v>Automatic</x:v>
      </x:c>
      <x:c r="S116" s="24" t="str">
        <x:f>'EW Conference'!H86</x:f>
      </x:c>
      <x:c r="T116" s="19" t="n">
        <x:f>IF(R116="Exclude",0,IF(R116="Include",E116,Q116))</x:f>
        <x:v>0</x:v>
      </x:c>
      <x:c r="U116" s="15" t="str">
        <x:f>IF(T116&gt;0,"Funded",IF(P116="Eligible","Unfunded",P116))</x:f>
        <x:v>Unfunded</x:v>
      </x:c>
      <x:c r="V116" s="15" t="str">
        <x:f>IF(R116="Include","Conference inclusion: "&amp;S116,IF(R116="Exclude","Conference exclusion: "&amp;S116,IF(Q116&gt;0,H116&amp;" priority rank "&amp;I116&amp;"; whole initiative selected",P116)))</x:f>
        <x:v>Eligible</x:v>
      </x:c>
      <x:c r="W116" s="15" t="str">
        <x:v>EW!169</x:v>
      </x:c>
      <x:c r="X116" s="15" t="str"/>
      <x:c r="Y116" s="15" t="str"/>
      <x:c r="Z116" s="15" t="str">
        <x:v>Decomm/Replatforming</x:v>
      </x:c>
      <x:c r="AA116" s="15" t="str">
        <x:v>New Initiative</x:v>
      </x:c>
      <x:c r="AB116" s="15" t="str">
        <x:v>Integrated Supply Chain &amp; Finance</x:v>
      </x:c>
      <x:c r="AC116" s="15" t="str">
        <x:v>Higher licensing cost that increase YoY</x:v>
      </x:c>
      <x:c r="AD116" s="15" t="str"/>
      <x:c r="AE116" s="15" t="str"/>
      <x:c r="AF116" s="15" t="str">
        <x:v>Higher licensing cost that increase YoY</x:v>
      </x:c>
      <x:c r="AG116" s="15" t="str">
        <x:v>Must Do</x:v>
      </x:c>
      <x:c r="AH116" s="15" t="n">
        <x:v>171</x:v>
      </x:c>
    </x:row>
    <x:row r="117">
      <x:c r="A117" s="15" t="str">
        <x:v>EW-100</x:v>
      </x:c>
      <x:c r="B117" s="15" t="str">
        <x:v>HW Lifecycle for NEtwork FW, Access points and core switches</x:v>
      </x:c>
      <x:c r="C117" s="15" t="str">
        <x:v>EW Led</x:v>
      </x:c>
      <x:c r="D117" s="15" t="str">
        <x:v>Information Technology</x:v>
      </x:c>
      <x:c r="E117" s="19" t="n">
        <x:v>1.2</x:v>
      </x:c>
      <x:c r="F117" s="19" t="n">
        <x:v>0</x:v>
      </x:c>
      <x:c r="G117" s="22" t="n">
        <x:f>IF(AND(E117&gt;0,ISNUMBER(F117)),F117/E117,"")</x:f>
        <x:v>0</x:v>
      </x:c>
      <x:c r="H117" s="15" t="str">
        <x:v>Hygiene</x:v>
      </x:c>
      <x:c r="I117" s="15" t="n">
        <x:v>60</x:v>
      </x:c>
      <x:c r="J117" s="15" t="n">
        <x:v>15</x:v>
      </x:c>
      <x:c r="K117" s="23" t="n">
        <x:f>IF(G117="",0,IF(G117&lt;1,0,IF(G117&lt;2,20,IF(G117&lt;3,30,IF(G117&lt;5,40,50)))))*'Scenario Controls'!$B$22/50</x:f>
        <x:v>0</x:v>
      </x:c>
      <x:c r="L117" s="23" t="n">
        <x:f>IF(ISNUMBER(SEARCH("Must Do",AG117)),25,IF(ISNUMBER(SEARCH("Must Have",AG117)),18,IF(ISNUMBER(SEARCH("Deprior",AG117)),5,0)))*'Scenario Controls'!$B$23/25</x:f>
        <x:v>25</x:v>
      </x:c>
      <x:c r="M117" s="23" t="n">
        <x:f>J117*'Scenario Controls'!$B$24/15</x:f>
        <x:v>15</x:v>
      </x:c>
      <x:c r="N117" s="23" t="n">
        <x:f>IF(ISNUMBER(SEARCH("HEALTHY",X117)),10,IF(ISNUMBER(SEARCH("CONTAIN",X117)),6,0))*'Scenario Controls'!$B$25/10</x:f>
        <x:v>10</x:v>
      </x:c>
      <x:c r="O117" s="23" t="n">
        <x:f>SUM(K117:N117)</x:f>
        <x:v>50</x:v>
      </x:c>
      <x:c r="P117" s="15" t="str">
        <x:f>IF(OR(B117="",E117&lt;=0),"Evidence missing / not eligible",IF(ISNUMBER(SEARCH("priority TBD",Y117)),"Evidence missing / not eligible",IF(AND(H117="Carryover",NOT(ISNUMBER(F117))),"Evidence missing / not eligible",IF(AND(H117="Carryover",G117&lt;'Scenario Controls'!$B$16),"Evidence missing / not eligible",IF(AND(H117="ROI-Based Portfolio",NOT(ISNUMBER(F117))),"Evidence missing / not eligible",IF(AND(H117="ROI-Based Portfolio",O117&lt;'Scenario Controls'!$B$20),"Evidence missing / not eligible","Eligible"))))))</x:f>
        <x:v>Eligible</x:v>
      </x:c>
      <x:c r="Q117" s="19" t="n">
        <x:f>IF(P117&lt;&gt;"Eligible",0,IF(AND(SUMIFS($Q$5:Q116,$H$5:H116,H117)+E117&lt;=(IF(H117="LFR",'Scenario Controls'!$F$10,IF(H117="Sustain Engineering",'Scenario Controls'!$F$11,IF(H117="Hygiene",'Scenario Controls'!$F$12,1E+99))))*(1+'Scenario Controls'!$B$7),SUM($Q$5:Q116)+E117&lt;='Scenario Controls'!$B$6*(1+'Scenario Controls'!$B$7)),E117,0))</x:f>
        <x:v>0</x:v>
      </x:c>
      <x:c r="R117" s="24" t="str">
        <x:f>'EW Conference'!G87</x:f>
        <x:v>Automatic</x:v>
      </x:c>
      <x:c r="S117" s="24" t="str">
        <x:f>'EW Conference'!H87</x:f>
      </x:c>
      <x:c r="T117" s="19" t="n">
        <x:f>IF(R117="Exclude",0,IF(R117="Include",E117,Q117))</x:f>
        <x:v>0</x:v>
      </x:c>
      <x:c r="U117" s="15" t="str">
        <x:f>IF(T117&gt;0,"Funded",IF(P117="Eligible","Unfunded",P117))</x:f>
        <x:v>Unfunded</x:v>
      </x:c>
      <x:c r="V117" s="15" t="str">
        <x:f>IF(R117="Include","Conference inclusion: "&amp;S117,IF(R117="Exclude","Conference exclusion: "&amp;S117,IF(Q117&gt;0,H117&amp;" priority rank "&amp;I117&amp;"; whole initiative selected",P117)))</x:f>
        <x:v>Eligible</x:v>
      </x:c>
      <x:c r="W117" s="15" t="str">
        <x:v>EW!96</x:v>
      </x:c>
      <x:c r="X117" s="15" t="str">
        <x:v>HEALTHY</x:v>
      </x:c>
      <x:c r="Y117" s="15" t="str">
        <x:v>HEALTHY — Rank in priority matrix</x:v>
      </x:c>
      <x:c r="Z117" s="15" t="str">
        <x:v>Upgrades &amp; Enhancements</x:v>
      </x:c>
      <x:c r="AA117" s="15" t="str">
        <x:v>New Initiative</x:v>
      </x:c>
      <x:c r="AB117" s="15" t="str">
        <x:v>Infrastructure Services – Projects</x:v>
      </x:c>
      <x:c r="AC117" s="15" t="str">
        <x:v>Impact of Not Executing</x:v>
      </x:c>
      <x:c r="AD117" s="15" t="str">
        <x: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x:v>
      </x:c>
      <x:c r="AE117" s="15" t="str">
        <x:v>Global</x:v>
      </x:c>
      <x:c r="AF117" s="15" t="str">
        <x:v>Impact of Not Executing |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 Global</x:v>
      </x:c>
      <x:c r="AG117" s="15" t="str">
        <x:v>Must Do</x:v>
      </x:c>
      <x:c r="AH117" s="15" t="n">
        <x:v>98</x:v>
      </x:c>
    </x:row>
    <x:row r="118">
      <x:c r="A118" s="15" t="str">
        <x:v>Bu-18</x:v>
      </x:c>
      <x:c r="B118" s="15" t="str">
        <x:v>06. Unlocking Digital Marketplaces: Expansion for future growth</x:v>
      </x:c>
      <x:c r="C118" s="15" t="str">
        <x:v>BU Led</x:v>
      </x:c>
      <x:c r="D118" s="15" t="str">
        <x:v>Personal Health (PH)</x:v>
      </x:c>
      <x:c r="E118" s="19" t="n">
        <x:v>0.2</x:v>
      </x:c>
      <x:c r="F118" s="19" t="n">
        <x:v>0.239</x:v>
      </x:c>
      <x:c r="G118" s="22" t="n">
        <x:f>IF(AND(E118&gt;0,ISNUMBER(F118)),F118/E118,"")</x:f>
        <x:v>1.1949999999999998</x:v>
      </x:c>
      <x:c r="H118" s="15" t="str">
        <x:v>Hygiene</x:v>
      </x:c>
      <x:c r="I118" s="15" t="n">
        <x:v>61</x:v>
      </x:c>
      <x:c r="J118" s="15" t="n">
        <x:v>0</x:v>
      </x:c>
      <x:c r="K118" s="23" t="n">
        <x:f>IF(G118="",0,IF(G118&lt;1,0,IF(G118&lt;2,20,IF(G118&lt;3,30,IF(G118&lt;5,40,50)))))*'Scenario Controls'!$B$22/50</x:f>
        <x:v>20</x:v>
      </x:c>
      <x:c r="L118" s="23" t="n">
        <x:f>IF(ISNUMBER(SEARCH("Must Do",AG118)),25,IF(ISNUMBER(SEARCH("Must Have",AG118)),18,IF(ISNUMBER(SEARCH("Deprior",AG118)),5,0)))*'Scenario Controls'!$B$23/25</x:f>
        <x:v>25</x:v>
      </x:c>
      <x:c r="M118" s="23" t="n">
        <x:f>J118*'Scenario Controls'!$B$24/15</x:f>
        <x:v>0</x:v>
      </x:c>
      <x:c r="N118" s="23" t="n">
        <x:f>IF(ISNUMBER(SEARCH("HEALTHY",X118)),10,IF(ISNUMBER(SEARCH("CONTAIN",X118)),6,0))*'Scenario Controls'!$B$25/10</x:f>
        <x:v>0</x:v>
      </x:c>
      <x:c r="O118" s="23" t="n">
        <x:f>SUM(K118:N118)</x:f>
        <x:v>45</x:v>
      </x:c>
      <x:c r="P118" s="15" t="str">
        <x:f>IF(OR(B118="",E118&lt;=0),"Evidence missing / not eligible",IF(ISNUMBER(SEARCH("priority TBD",Y118)),"Evidence missing / not eligible",IF(AND(H118="Carryover",NOT(ISNUMBER(F118))),"Evidence missing / not eligible",IF(AND(H118="Carryover",G118&lt;'Scenario Controls'!$B$16),"Evidence missing / not eligible",IF(AND(H118="ROI-Based Portfolio",NOT(ISNUMBER(F118))),"Evidence missing / not eligible",IF(AND(H118="ROI-Based Portfolio",O118&lt;'Scenario Controls'!$B$20),"Evidence missing / not eligible","Eligible"))))))</x:f>
        <x:v>Eligible</x:v>
      </x:c>
      <x:c r="Q118" s="19" t="n">
        <x:f>IF(P118&lt;&gt;"Eligible",0,IF(AND(SUMIFS($Q$5:Q117,$H$5:H117,H118)+E118&lt;=(IF(H118="LFR",'Scenario Controls'!$F$10,IF(H118="Sustain Engineering",'Scenario Controls'!$F$11,IF(H118="Hygiene",'Scenario Controls'!$F$12,1E+99))))*(1+'Scenario Controls'!$B$7),SUM($Q$5:Q117)+E118&lt;='Scenario Controls'!$B$6*(1+'Scenario Controls'!$B$7)),E118,0))</x:f>
        <x:v>0</x:v>
      </x:c>
      <x:c r="R118" s="24" t="str">
        <x:f>'BU Conference'!G36</x:f>
        <x:v>Automatic</x:v>
      </x:c>
      <x:c r="S118" s="24" t="str">
        <x:f>'BU Conference'!H36</x:f>
      </x:c>
      <x:c r="T118" s="19" t="n">
        <x:f>IF(R118="Exclude",0,IF(R118="Include",E118,Q118))</x:f>
        <x:v>0</x:v>
      </x:c>
      <x:c r="U118" s="15" t="str">
        <x:f>IF(T118&gt;0,"Funded",IF(P118="Eligible","Unfunded",P118))</x:f>
        <x:v>Unfunded</x:v>
      </x:c>
      <x:c r="V118" s="15" t="str">
        <x:f>IF(R118="Include","Conference inclusion: "&amp;S118,IF(R118="Exclude","Conference exclusion: "&amp;S118,IF(Q118&gt;0,H118&amp;" priority rank "&amp;I118&amp;"; whole initiative selected",P118)))</x:f>
        <x:v>Eligible</x:v>
      </x:c>
      <x:c r="W118" s="15" t="str">
        <x:v>Bu!27</x:v>
      </x:c>
      <x:c r="X118" s="15" t="str"/>
      <x:c r="Y118" s="15" t="str"/>
      <x:c r="Z118" s="15" t="str">
        <x:v>Continous Improvement</x:v>
      </x:c>
      <x:c r="AA118" s="15" t="str">
        <x:v>Carry Over</x:v>
      </x:c>
      <x:c r="AB118" s="15" t="str">
        <x:v>Innovation and Digital IT</x:v>
      </x:c>
      <x:c r="AC118" s="15" t="str"/>
      <x:c r="AD118" s="15" t="str"/>
      <x:c r="AE118" s="15" t="str"/>
      <x:c r="AF118" s="15" t="str"/>
      <x:c r="AG118" s="15" t="str">
        <x:v>Must Do</x:v>
      </x:c>
      <x:c r="AH118" s="15" t="n">
        <x:v>203</x:v>
      </x:c>
    </x:row>
    <x:row r="119">
      <x:c r="A119" s="15" t="str">
        <x:v>Bu-19</x:v>
      </x:c>
      <x:c r="B119" s="15" t="str">
        <x:v>01. Unleashing the power of Subscriptions</x:v>
      </x:c>
      <x:c r="C119" s="15" t="str">
        <x:v>BU Led</x:v>
      </x:c>
      <x:c r="D119" s="15" t="str">
        <x:v>Personal Health (PH)</x:v>
      </x:c>
      <x:c r="E119" s="19" t="n">
        <x:v>0.1</x:v>
      </x:c>
      <x:c r="F119" s="19" t="n">
        <x:v>0.113</x:v>
      </x:c>
      <x:c r="G119" s="22" t="n">
        <x:f>IF(AND(E119&gt;0,ISNUMBER(F119)),F119/E119,"")</x:f>
        <x:v>1.13</x:v>
      </x:c>
      <x:c r="H119" s="15" t="str">
        <x:v>Hygiene</x:v>
      </x:c>
      <x:c r="I119" s="15" t="n">
        <x:v>62</x:v>
      </x:c>
      <x:c r="J119" s="15" t="n">
        <x:v>0</x:v>
      </x:c>
      <x:c r="K119" s="23" t="n">
        <x:f>IF(G119="",0,IF(G119&lt;1,0,IF(G119&lt;2,20,IF(G119&lt;3,30,IF(G119&lt;5,40,50)))))*'Scenario Controls'!$B$22/50</x:f>
        <x:v>20</x:v>
      </x:c>
      <x:c r="L119" s="23" t="n">
        <x:f>IF(ISNUMBER(SEARCH("Must Do",AG119)),25,IF(ISNUMBER(SEARCH("Must Have",AG119)),18,IF(ISNUMBER(SEARCH("Deprior",AG119)),5,0)))*'Scenario Controls'!$B$23/25</x:f>
        <x:v>25</x:v>
      </x:c>
      <x:c r="M119" s="23" t="n">
        <x:f>J119*'Scenario Controls'!$B$24/15</x:f>
        <x:v>0</x:v>
      </x:c>
      <x:c r="N119" s="23" t="n">
        <x:f>IF(ISNUMBER(SEARCH("HEALTHY",X119)),10,IF(ISNUMBER(SEARCH("CONTAIN",X119)),6,0))*'Scenario Controls'!$B$25/10</x:f>
        <x:v>0</x:v>
      </x:c>
      <x:c r="O119" s="23" t="n">
        <x:f>SUM(K119:N119)</x:f>
        <x:v>45</x:v>
      </x:c>
      <x:c r="P119" s="15" t="str">
        <x:f>IF(OR(B119="",E119&lt;=0),"Evidence missing / not eligible",IF(ISNUMBER(SEARCH("priority TBD",Y119)),"Evidence missing / not eligible",IF(AND(H119="Carryover",NOT(ISNUMBER(F119))),"Evidence missing / not eligible",IF(AND(H119="Carryover",G119&lt;'Scenario Controls'!$B$16),"Evidence missing / not eligible",IF(AND(H119="ROI-Based Portfolio",NOT(ISNUMBER(F119))),"Evidence missing / not eligible",IF(AND(H119="ROI-Based Portfolio",O119&lt;'Scenario Controls'!$B$20),"Evidence missing / not eligible","Eligible"))))))</x:f>
        <x:v>Eligible</x:v>
      </x:c>
      <x:c r="Q119" s="19" t="n">
        <x:f>IF(P119&lt;&gt;"Eligible",0,IF(AND(SUMIFS($Q$5:Q118,$H$5:H118,H119)+E119&lt;=(IF(H119="LFR",'Scenario Controls'!$F$10,IF(H119="Sustain Engineering",'Scenario Controls'!$F$11,IF(H119="Hygiene",'Scenario Controls'!$F$12,1E+99))))*(1+'Scenario Controls'!$B$7),SUM($Q$5:Q118)+E119&lt;='Scenario Controls'!$B$6*(1+'Scenario Controls'!$B$7)),E119,0))</x:f>
        <x:v>0</x:v>
      </x:c>
      <x:c r="R119" s="24" t="str">
        <x:f>'BU Conference'!G37</x:f>
        <x:v>Automatic</x:v>
      </x:c>
      <x:c r="S119" s="24" t="str">
        <x:f>'BU Conference'!H37</x:f>
      </x:c>
      <x:c r="T119" s="19" t="n">
        <x:f>IF(R119="Exclude",0,IF(R119="Include",E119,Q119))</x:f>
        <x:v>0</x:v>
      </x:c>
      <x:c r="U119" s="15" t="str">
        <x:f>IF(T119&gt;0,"Funded",IF(P119="Eligible","Unfunded",P119))</x:f>
        <x:v>Unfunded</x:v>
      </x:c>
      <x:c r="V119" s="15" t="str">
        <x:f>IF(R119="Include","Conference inclusion: "&amp;S119,IF(R119="Exclude","Conference exclusion: "&amp;S119,IF(Q119&gt;0,H119&amp;" priority rank "&amp;I119&amp;"; whole initiative selected",P119)))</x:f>
        <x:v>Eligible</x:v>
      </x:c>
      <x:c r="W119" s="15" t="str">
        <x:v>Bu!28</x:v>
      </x:c>
      <x:c r="X119" s="15" t="str"/>
      <x:c r="Y119" s="15" t="str"/>
      <x:c r="Z119" s="15" t="str">
        <x:v>Continous Improvement</x:v>
      </x:c>
      <x:c r="AA119" s="15" t="str">
        <x:v>Carry Over</x:v>
      </x:c>
      <x:c r="AB119" s="15" t="str">
        <x:v>Innovation and Digital IT</x:v>
      </x:c>
      <x:c r="AC119" s="15" t="str"/>
      <x:c r="AD119" s="15" t="str"/>
      <x:c r="AE119" s="15" t="str"/>
      <x:c r="AF119" s="15" t="str"/>
      <x:c r="AG119" s="15" t="str">
        <x:v>Must Do</x:v>
      </x:c>
      <x:c r="AH119" s="15" t="n">
        <x:v>204</x:v>
      </x:c>
    </x:row>
    <x:row r="120">
      <x:c r="A120" s="15" t="str">
        <x:v>Bu-193</x:v>
      </x:c>
      <x:c r="B120" s="15" t="str">
        <x:v>Catalog Simplification - Catalog workflow</x:v>
      </x:c>
      <x:c r="C120" s="15" t="str">
        <x:v>BU Led</x:v>
      </x:c>
      <x:c r="D120" s="15" t="str">
        <x:v>Precision Diagnosis - Ultrasound (PDU)</x:v>
      </x:c>
      <x:c r="E120" s="19" t="n">
        <x:v>0.2</x:v>
      </x:c>
      <x:c r="F120" s="19" t="n">
        <x:v>0</x:v>
      </x:c>
      <x:c r="G120" s="22" t="n">
        <x:f>IF(AND(E120&gt;0,ISNUMBER(F120)),F120/E120,"")</x:f>
        <x:v>0</x:v>
      </x:c>
      <x:c r="H120" s="15" t="str">
        <x:v>Hygiene</x:v>
      </x:c>
      <x:c r="I120" s="15" t="n">
        <x:v>63</x:v>
      </x:c>
      <x:c r="J120" s="15" t="n">
        <x:v>10</x:v>
      </x:c>
      <x:c r="K120" s="23" t="n">
        <x:f>IF(G120="",0,IF(G120&lt;1,0,IF(G120&lt;2,20,IF(G120&lt;3,30,IF(G120&lt;5,40,50)))))*'Scenario Controls'!$B$22/50</x:f>
        <x:v>0</x:v>
      </x:c>
      <x:c r="L120" s="23" t="n">
        <x:f>IF(ISNUMBER(SEARCH("Must Do",AG120)),25,IF(ISNUMBER(SEARCH("Must Have",AG120)),18,IF(ISNUMBER(SEARCH("Deprior",AG120)),5,0)))*'Scenario Controls'!$B$23/25</x:f>
        <x:v>25</x:v>
      </x:c>
      <x:c r="M120" s="23" t="n">
        <x:f>J120*'Scenario Controls'!$B$24/15</x:f>
        <x:v>10</x:v>
      </x:c>
      <x:c r="N120" s="23" t="n">
        <x:f>IF(ISNUMBER(SEARCH("HEALTHY",X120)),10,IF(ISNUMBER(SEARCH("CONTAIN",X120)),6,0))*'Scenario Controls'!$B$25/10</x:f>
        <x:v>10</x:v>
      </x:c>
      <x:c r="O120" s="23" t="n">
        <x:f>SUM(K120:N120)</x:f>
        <x:v>45</x:v>
      </x:c>
      <x:c r="P120" s="15" t="str">
        <x:f>IF(OR(B120="",E120&lt;=0),"Evidence missing / not eligible",IF(ISNUMBER(SEARCH("priority TBD",Y120)),"Evidence missing / not eligible",IF(AND(H120="Carryover",NOT(ISNUMBER(F120))),"Evidence missing / not eligible",IF(AND(H120="Carryover",G120&lt;'Scenario Controls'!$B$16),"Evidence missing / not eligible",IF(AND(H120="ROI-Based Portfolio",NOT(ISNUMBER(F120))),"Evidence missing / not eligible",IF(AND(H120="ROI-Based Portfolio",O120&lt;'Scenario Controls'!$B$20),"Evidence missing / not eligible","Eligible"))))))</x:f>
        <x:v>Eligible</x:v>
      </x:c>
      <x:c r="Q120" s="19" t="n">
        <x:f>IF(P120&lt;&gt;"Eligible",0,IF(AND(SUMIFS($Q$5:Q119,$H$5:H119,H120)+E120&lt;=(IF(H120="LFR",'Scenario Controls'!$F$10,IF(H120="Sustain Engineering",'Scenario Controls'!$F$11,IF(H120="Hygiene",'Scenario Controls'!$F$12,1E+99))))*(1+'Scenario Controls'!$B$7),SUM($Q$5:Q119)+E120&lt;='Scenario Controls'!$B$6*(1+'Scenario Controls'!$B$7)),E120,0))</x:f>
        <x:v>0</x:v>
      </x:c>
      <x:c r="R120" s="24" t="str">
        <x:f>'BU Conference'!G38</x:f>
        <x:v>Automatic</x:v>
      </x:c>
      <x:c r="S120" s="24" t="str">
        <x:f>'BU Conference'!H38</x:f>
      </x:c>
      <x:c r="T120" s="19" t="n">
        <x:f>IF(R120="Exclude",0,IF(R120="Include",E120,Q120))</x:f>
        <x:v>0</x:v>
      </x:c>
      <x:c r="U120" s="15" t="str">
        <x:f>IF(T120&gt;0,"Funded",IF(P120="Eligible","Unfunded",P120))</x:f>
        <x:v>Unfunded</x:v>
      </x:c>
      <x:c r="V120" s="15" t="str">
        <x:f>IF(R120="Include","Conference inclusion: "&amp;S120,IF(R120="Exclude","Conference exclusion: "&amp;S120,IF(Q120&gt;0,H120&amp;" priority rank "&amp;I120&amp;"; whole initiative selected",P120)))</x:f>
        <x:v>Eligible</x:v>
      </x:c>
      <x:c r="W120" s="15" t="str">
        <x:v>Bu!460</x:v>
      </x:c>
      <x:c r="X120" s="15" t="str">
        <x:v>HEALTHY</x:v>
      </x:c>
      <x:c r="Y120" s="15" t="str">
        <x:v>HEALTHY — Rank in priority matrix</x:v>
      </x:c>
      <x:c r="Z120" s="15" t="str">
        <x:v>Continous Improvement</x:v>
      </x:c>
      <x:c r="AA120" s="15" t="str">
        <x:v>Carry Over</x:v>
      </x:c>
      <x:c r="AB120" s="15" t="str">
        <x:v>Enterprise Architecture, Data &amp; Integration</x:v>
      </x:c>
      <x:c r="AC120" s="15" t="str"/>
      <x:c r="AD120" s="15" t="str">
        <x:v>Improvement of sales text quality, ensuring claims are excluded. Simplification and improvement of speed of sales text creation.</x:v>
      </x:c>
      <x:c r="AE120" s="15" t="str">
        <x:v>Catalog workflow tool</x:v>
      </x:c>
      <x:c r="AF120" s="15" t="str">
        <x:v>Improvement of sales text quality, ensuring claims are excluded. Simplification and improvement of speed of sales text creation. | Catalog workflow tool</x:v>
      </x:c>
      <x:c r="AG120" s="15" t="str">
        <x:v>Must Do</x:v>
      </x:c>
      <x:c r="AH120" s="15" t="n">
        <x:v>370</x:v>
      </x:c>
    </x:row>
    <x:row r="121">
      <x:c r="A121" s="15" t="str">
        <x:v>EW-118</x:v>
      </x:c>
      <x:c r="B121" s="15" t="str">
        <x:v>Replace Appian with cheaper alternative solution</x:v>
      </x:c>
      <x:c r="C121" s="15" t="str">
        <x:v>EW Led</x:v>
      </x:c>
      <x:c r="D121" s="15" t="str">
        <x:v>Information Technology</x:v>
      </x:c>
      <x:c r="E121" s="19" t="n">
        <x:v>0.8</x:v>
      </x:c>
      <x:c r="F121" s="19" t="n">
        <x:v>0</x:v>
      </x:c>
      <x:c r="G121" s="22" t="n">
        <x:f>IF(AND(E121&gt;0,ISNUMBER(F121)),F121/E121,"")</x:f>
        <x:v>0</x:v>
      </x:c>
      <x:c r="H121" s="15" t="str">
        <x:v>Hygiene</x:v>
      </x:c>
      <x:c r="I121" s="15" t="n">
        <x:v>64</x:v>
      </x:c>
      <x:c r="J121" s="15" t="n">
        <x:v>10</x:v>
      </x:c>
      <x:c r="K121" s="23" t="n">
        <x:f>IF(G121="",0,IF(G121&lt;1,0,IF(G121&lt;2,20,IF(G121&lt;3,30,IF(G121&lt;5,40,50)))))*'Scenario Controls'!$B$22/50</x:f>
        <x:v>0</x:v>
      </x:c>
      <x:c r="L121" s="23" t="n">
        <x:f>IF(ISNUMBER(SEARCH("Must Do",AG121)),25,IF(ISNUMBER(SEARCH("Must Have",AG121)),18,IF(ISNUMBER(SEARCH("Deprior",AG121)),5,0)))*'Scenario Controls'!$B$23/25</x:f>
        <x:v>25</x:v>
      </x:c>
      <x:c r="M121" s="23" t="n">
        <x:f>J121*'Scenario Controls'!$B$24/15</x:f>
        <x:v>10</x:v>
      </x:c>
      <x:c r="N121" s="23" t="n">
        <x:f>IF(ISNUMBER(SEARCH("HEALTHY",X121)),10,IF(ISNUMBER(SEARCH("CONTAIN",X121)),6,0))*'Scenario Controls'!$B$25/10</x:f>
        <x:v>10</x:v>
      </x:c>
      <x:c r="O121" s="23" t="n">
        <x:f>SUM(K121:N121)</x:f>
        <x:v>45</x:v>
      </x:c>
      <x:c r="P121" s="15" t="str">
        <x:f>IF(OR(B121="",E121&lt;=0),"Evidence missing / not eligible",IF(ISNUMBER(SEARCH("priority TBD",Y121)),"Evidence missing / not eligible",IF(AND(H121="Carryover",NOT(ISNUMBER(F121))),"Evidence missing / not eligible",IF(AND(H121="Carryover",G121&lt;'Scenario Controls'!$B$16),"Evidence missing / not eligible",IF(AND(H121="ROI-Based Portfolio",NOT(ISNUMBER(F121))),"Evidence missing / not eligible",IF(AND(H121="ROI-Based Portfolio",O121&lt;'Scenario Controls'!$B$20),"Evidence missing / not eligible","Eligible"))))))</x:f>
        <x:v>Eligible</x:v>
      </x:c>
      <x:c r="Q121" s="19" t="n">
        <x:f>IF(P121&lt;&gt;"Eligible",0,IF(AND(SUMIFS($Q$5:Q120,$H$5:H120,H121)+E121&lt;=(IF(H121="LFR",'Scenario Controls'!$F$10,IF(H121="Sustain Engineering",'Scenario Controls'!$F$11,IF(H121="Hygiene",'Scenario Controls'!$F$12,1E+99))))*(1+'Scenario Controls'!$B$7),SUM($Q$5:Q120)+E121&lt;='Scenario Controls'!$B$6*(1+'Scenario Controls'!$B$7)),E121,0))</x:f>
        <x:v>0</x:v>
      </x:c>
      <x:c r="R121" s="24" t="str">
        <x:f>'EW Conference'!G88</x:f>
        <x:v>Automatic</x:v>
      </x:c>
      <x:c r="S121" s="24" t="str">
        <x:f>'EW Conference'!H88</x:f>
      </x:c>
      <x:c r="T121" s="19" t="n">
        <x:f>IF(R121="Exclude",0,IF(R121="Include",E121,Q121))</x:f>
        <x:v>0</x:v>
      </x:c>
      <x:c r="U121" s="15" t="str">
        <x:f>IF(T121&gt;0,"Funded",IF(P121="Eligible","Unfunded",P121))</x:f>
        <x:v>Unfunded</x:v>
      </x:c>
      <x:c r="V121" s="15" t="str">
        <x:f>IF(R121="Include","Conference inclusion: "&amp;S121,IF(R121="Exclude","Conference exclusion: "&amp;S121,IF(Q121&gt;0,H121&amp;" priority rank "&amp;I121&amp;"; whole initiative selected",P121)))</x:f>
        <x:v>Eligible</x:v>
      </x:c>
      <x:c r="W121" s="15" t="str">
        <x:v>EW!114</x:v>
      </x:c>
      <x:c r="X121" s="15" t="str">
        <x:v>HEALTHY</x:v>
      </x:c>
      <x:c r="Y121" s="15" t="str">
        <x:v>HEALTHY — Rank in priority matrix</x:v>
      </x:c>
      <x:c r="Z121" s="15" t="str">
        <x:v>Decomm/Replatforming</x:v>
      </x:c>
      <x:c r="AA121" s="15" t="str">
        <x:v>New Initiative</x:v>
      </x:c>
      <x:c r="AB121" s="15" t="str">
        <x:v>Innovation and Digital IT</x:v>
      </x:c>
      <x:c r="AC121" s="15" t="str">
        <x:v>Replatforming to reduce annual license cost</x:v>
      </x:c>
      <x:c r="AD121" s="15" t="str">
        <x:v>Reduce operating costs.</x:v>
      </x:c>
      <x:c r="AE121" s="15" t="str">
        <x:v>Programs are being defined.</x:v>
      </x:c>
      <x:c r="AF121" s="15" t="str">
        <x:v>Replatforming to reduce annual license cost | Reduce operating costs. | Programs are being defined.</x:v>
      </x:c>
      <x:c r="AG121" s="15" t="str">
        <x:v>Must Do</x:v>
      </x:c>
      <x:c r="AH121" s="15" t="n">
        <x:v>116</x:v>
      </x:c>
    </x:row>
    <x:row r="122">
      <x:c r="A122" s="15" t="str">
        <x:v>EW-177</x:v>
      </x:c>
      <x:c r="B122" s="15" t="str">
        <x:v>Extending Artifactory footprint &amp; offering to support SDLC and SDLC Security at scale</x:v>
      </x:c>
      <x:c r="C122" s="15" t="str">
        <x:v>EW Led</x:v>
      </x:c>
      <x:c r="D122" s="15" t="str">
        <x:v>Group Security</x:v>
      </x:c>
      <x:c r="E122" s="19" t="n">
        <x:v>0.7</x:v>
      </x:c>
      <x:c r="F122" s="19" t="n">
        <x:v>0</x:v>
      </x:c>
      <x:c r="G122" s="22" t="n">
        <x:f>IF(AND(E122&gt;0,ISNUMBER(F122)),F122/E122,"")</x:f>
        <x:v>0</x:v>
      </x:c>
      <x:c r="H122" s="15" t="str">
        <x:v>Hygiene</x:v>
      </x:c>
      <x:c r="I122" s="15" t="n">
        <x:v>65</x:v>
      </x:c>
      <x:c r="J122" s="15" t="n">
        <x:v>10</x:v>
      </x:c>
      <x:c r="K122" s="23" t="n">
        <x:f>IF(G122="",0,IF(G122&lt;1,0,IF(G122&lt;2,20,IF(G122&lt;3,30,IF(G122&lt;5,40,50)))))*'Scenario Controls'!$B$22/50</x:f>
        <x:v>0</x:v>
      </x:c>
      <x:c r="L122" s="23" t="n">
        <x:f>IF(ISNUMBER(SEARCH("Must Do",AG122)),25,IF(ISNUMBER(SEARCH("Must Have",AG122)),18,IF(ISNUMBER(SEARCH("Deprior",AG122)),5,0)))*'Scenario Controls'!$B$23/25</x:f>
        <x:v>25</x:v>
      </x:c>
      <x:c r="M122" s="23" t="n">
        <x:f>J122*'Scenario Controls'!$B$24/15</x:f>
        <x:v>10</x:v>
      </x:c>
      <x:c r="N122" s="23" t="n">
        <x:f>IF(ISNUMBER(SEARCH("HEALTHY",X122)),10,IF(ISNUMBER(SEARCH("CONTAIN",X122)),6,0))*'Scenario Controls'!$B$25/10</x:f>
        <x:v>10</x:v>
      </x:c>
      <x:c r="O122" s="23" t="n">
        <x:f>SUM(K122:N122)</x:f>
        <x:v>45</x:v>
      </x:c>
      <x:c r="P122" s="15" t="str">
        <x:f>IF(OR(B122="",E122&lt;=0),"Evidence missing / not eligible",IF(ISNUMBER(SEARCH("priority TBD",Y122)),"Evidence missing / not eligible",IF(AND(H122="Carryover",NOT(ISNUMBER(F122))),"Evidence missing / not eligible",IF(AND(H122="Carryover",G122&lt;'Scenario Controls'!$B$16),"Evidence missing / not eligible",IF(AND(H122="ROI-Based Portfolio",NOT(ISNUMBER(F122))),"Evidence missing / not eligible",IF(AND(H122="ROI-Based Portfolio",O122&lt;'Scenario Controls'!$B$20),"Evidence missing / not eligible","Eligible"))))))</x:f>
        <x:v>Eligible</x:v>
      </x:c>
      <x:c r="Q122" s="19" t="n">
        <x:f>IF(P122&lt;&gt;"Eligible",0,IF(AND(SUMIFS($Q$5:Q121,$H$5:H121,H122)+E122&lt;=(IF(H122="LFR",'Scenario Controls'!$F$10,IF(H122="Sustain Engineering",'Scenario Controls'!$F$11,IF(H122="Hygiene",'Scenario Controls'!$F$12,1E+99))))*(1+'Scenario Controls'!$B$7),SUM($Q$5:Q121)+E122&lt;='Scenario Controls'!$B$6*(1+'Scenario Controls'!$B$7)),E122,0))</x:f>
        <x:v>0</x:v>
      </x:c>
      <x:c r="R122" s="24" t="str">
        <x:f>'EW Conference'!G89</x:f>
        <x:v>Automatic</x:v>
      </x:c>
      <x:c r="S122" s="24" t="str">
        <x:f>'EW Conference'!H89</x:f>
      </x:c>
      <x:c r="T122" s="19" t="n">
        <x:f>IF(R122="Exclude",0,IF(R122="Include",E122,Q122))</x:f>
        <x:v>0</x:v>
      </x:c>
      <x:c r="U122" s="15" t="str">
        <x:f>IF(T122&gt;0,"Funded",IF(P122="Eligible","Unfunded",P122))</x:f>
        <x:v>Unfunded</x:v>
      </x:c>
      <x:c r="V122" s="15" t="str">
        <x:f>IF(R122="Include","Conference inclusion: "&amp;S122,IF(R122="Exclude","Conference exclusion: "&amp;S122,IF(Q122&gt;0,H122&amp;" priority rank "&amp;I122&amp;"; whole initiative selected",P122)))</x:f>
        <x:v>Eligible</x:v>
      </x:c>
      <x:c r="W122" s="15" t="str">
        <x:v>EW!173</x:v>
      </x:c>
      <x:c r="X122" s="15" t="str">
        <x:v>HEALTHY</x:v>
      </x:c>
      <x:c r="Y122" s="15" t="str">
        <x:v>HEALTHY — Rank in priority matrix</x:v>
      </x:c>
      <x:c r="Z122" s="15" t="str">
        <x:v>Upgrades &amp; Enhancements</x:v>
      </x:c>
      <x:c r="AA122" s="15" t="str">
        <x:v>New Initiative</x:v>
      </x:c>
      <x:c r="AB122" s="15" t="str">
        <x:v>Innovation and Digital IT</x:v>
      </x:c>
      <x:c r="AC122" s="15" t="str">
        <x:v>Avoid security breaches, early detection</x:v>
      </x:c>
      <x:c r="AD122" s="15" t="str">
        <x:v>Extending Artifactory footprint &amp; offering to support SDLC and SDLC Security at scale; Improving security footprint, e.g. avoid supply chain attack. (contact Uzi Yona); Derived from security containment through Wim Sonneman and team.</x:v>
      </x:c>
      <x:c r="AE122" s="15" t="str"/>
      <x:c r="AF122" s="15" t="str">
        <x:v>Avoid security breaches, early detection | Extending Artifactory footprint &amp; offering to support SDLC and SDLC Security at scale; Improving security footprint, e.g. avoid supply chain attack. (contact Uzi Yona); Derived from security containment through Wim Sonneman and team.</x:v>
      </x:c>
      <x:c r="AG122" s="15" t="str">
        <x:v>Must Do</x:v>
      </x:c>
      <x:c r="AH122" s="15" t="n">
        <x:v>175</x:v>
      </x:c>
    </x:row>
    <x:row r="123">
      <x:c r="A123" s="15" t="str">
        <x:v>EW-101</x:v>
      </x:c>
      <x:c r="B123" s="15" t="str">
        <x:v>Cloud File Share Solution (CFSS)</x:v>
      </x:c>
      <x:c r="C123" s="15" t="str">
        <x:v>EW Led</x:v>
      </x:c>
      <x:c r="D123" s="15" t="str">
        <x:v>Information Technology</x:v>
      </x:c>
      <x:c r="E123" s="19" t="n">
        <x:v>0.7</x:v>
      </x:c>
      <x:c r="F123" s="19" t="n">
        <x:v>0.146</x:v>
      </x:c>
      <x:c r="G123" s="22" t="n">
        <x:f>IF(AND(E123&gt;0,ISNUMBER(F123)),F123/E123,"")</x:f>
        <x:v>0.20857142857142857</x:v>
      </x:c>
      <x:c r="H123" s="15" t="str">
        <x:v>Hygiene</x:v>
      </x:c>
      <x:c r="I123" s="15" t="n">
        <x:v>66</x:v>
      </x:c>
      <x:c r="J123" s="15" t="n">
        <x:v>15</x:v>
      </x:c>
      <x:c r="K123" s="23" t="n">
        <x:f>IF(G123="",0,IF(G123&lt;1,0,IF(G123&lt;2,20,IF(G123&lt;3,30,IF(G123&lt;5,40,50)))))*'Scenario Controls'!$B$22/50</x:f>
        <x:v>0</x:v>
      </x:c>
      <x:c r="L123" s="23" t="n">
        <x:f>IF(ISNUMBER(SEARCH("Must Do",AG123)),25,IF(ISNUMBER(SEARCH("Must Have",AG123)),18,IF(ISNUMBER(SEARCH("Deprior",AG123)),5,0)))*'Scenario Controls'!$B$23/25</x:f>
        <x:v>18</x:v>
      </x:c>
      <x:c r="M123" s="23" t="n">
        <x:f>J123*'Scenario Controls'!$B$24/15</x:f>
        <x:v>15</x:v>
      </x:c>
      <x:c r="N123" s="23" t="n">
        <x:f>IF(ISNUMBER(SEARCH("HEALTHY",X123)),10,IF(ISNUMBER(SEARCH("CONTAIN",X123)),6,0))*'Scenario Controls'!$B$25/10</x:f>
        <x:v>10</x:v>
      </x:c>
      <x:c r="O123" s="23" t="n">
        <x:f>SUM(K123:N123)</x:f>
        <x:v>43</x:v>
      </x:c>
      <x:c r="P123" s="15" t="str">
        <x:f>IF(OR(B123="",E123&lt;=0),"Evidence missing / not eligible",IF(ISNUMBER(SEARCH("priority TBD",Y123)),"Evidence missing / not eligible",IF(AND(H123="Carryover",NOT(ISNUMBER(F123))),"Evidence missing / not eligible",IF(AND(H123="Carryover",G123&lt;'Scenario Controls'!$B$16),"Evidence missing / not eligible",IF(AND(H123="ROI-Based Portfolio",NOT(ISNUMBER(F123))),"Evidence missing / not eligible",IF(AND(H123="ROI-Based Portfolio",O123&lt;'Scenario Controls'!$B$20),"Evidence missing / not eligible","Eligible"))))))</x:f>
        <x:v>Eligible</x:v>
      </x:c>
      <x:c r="Q123" s="19" t="n">
        <x:f>IF(P123&lt;&gt;"Eligible",0,IF(AND(SUMIFS($Q$5:Q122,$H$5:H122,H123)+E123&lt;=(IF(H123="LFR",'Scenario Controls'!$F$10,IF(H123="Sustain Engineering",'Scenario Controls'!$F$11,IF(H123="Hygiene",'Scenario Controls'!$F$12,1E+99))))*(1+'Scenario Controls'!$B$7),SUM($Q$5:Q122)+E123&lt;='Scenario Controls'!$B$6*(1+'Scenario Controls'!$B$7)),E123,0))</x:f>
        <x:v>0</x:v>
      </x:c>
      <x:c r="R123" s="24" t="str">
        <x:f>'EW Conference'!G90</x:f>
        <x:v>Automatic</x:v>
      </x:c>
      <x:c r="S123" s="24" t="str">
        <x:f>'EW Conference'!H90</x:f>
      </x:c>
      <x:c r="T123" s="19" t="n">
        <x:f>IF(R123="Exclude",0,IF(R123="Include",E123,Q123))</x:f>
        <x:v>0</x:v>
      </x:c>
      <x:c r="U123" s="15" t="str">
        <x:f>IF(T123&gt;0,"Funded",IF(P123="Eligible","Unfunded",P123))</x:f>
        <x:v>Unfunded</x:v>
      </x:c>
      <x:c r="V123" s="15" t="str">
        <x:f>IF(R123="Include","Conference inclusion: "&amp;S123,IF(R123="Exclude","Conference exclusion: "&amp;S123,IF(Q123&gt;0,H123&amp;" priority rank "&amp;I123&amp;"; whole initiative selected",P123)))</x:f>
        <x:v>Eligible</x:v>
      </x:c>
      <x:c r="W123" s="15" t="str">
        <x:v>EW!97</x:v>
      </x:c>
      <x:c r="X123" s="15" t="str">
        <x:v>HEALTHY</x:v>
      </x:c>
      <x:c r="Y123" s="15" t="str">
        <x:v>HEALTHY — Rank in priority matrix</x:v>
      </x:c>
      <x:c r="Z123" s="15" t="str">
        <x:v>Decomm/Replatforming</x:v>
      </x:c>
      <x:c r="AA123" s="15" t="str">
        <x:v>New Initiative</x:v>
      </x:c>
      <x:c r="AB123" s="15" t="str">
        <x:v>Infrastructure Services – Projects</x:v>
      </x:c>
      <x:c r="AC123" s="15" t="str">
        <x:v>Cache loss results in factories having to call off shifts</x:v>
      </x:c>
      <x:c r="AD123" s="15" t="str">
        <x:v>Current AWS Storage gateway based file share solution is a black box and requires lot of maintenance and support. Loss of cache brings factories down</x:v>
      </x:c>
      <x:c r="AE123" s="15" t="str">
        <x:v>Global</x:v>
      </x:c>
      <x:c r="AF123" s="15" t="str">
        <x:v>Cache loss results in factories having to call off shifts | Current AWS Storage gateway based file share solution is a black box and requires lot of maintenance and support. Loss of cache brings factories down | Global</x:v>
      </x:c>
      <x:c r="AG123" s="15" t="str">
        <x:v>Must Have</x:v>
      </x:c>
      <x:c r="AH123" s="15" t="n">
        <x:v>99</x:v>
      </x:c>
    </x:row>
    <x:row r="124">
      <x:c r="A124" s="15" t="str">
        <x:v>EW-126</x:v>
      </x:c>
      <x:c r="B124" s="15" t="str">
        <x:v>MCP Service Windchill</x:v>
      </x:c>
      <x:c r="C124" s="15" t="str">
        <x:v>EW Led</x:v>
      </x:c>
      <x:c r="D124" s="15" t="str">
        <x:v>Innovation and Design Business Operations</x:v>
      </x:c>
      <x:c r="E124" s="19" t="n">
        <x:v>0.1</x:v>
      </x:c>
      <x:c r="F124" s="19" t="n">
        <x:v>0</x:v>
      </x:c>
      <x:c r="G124" s="22" t="n">
        <x:f>IF(AND(E124&gt;0,ISNUMBER(F124)),F124/E124,"")</x:f>
        <x:v>0</x:v>
      </x:c>
      <x:c r="H124" s="15" t="str">
        <x:v>Hygiene</x:v>
      </x:c>
      <x:c r="I124" s="15" t="n">
        <x:v>67</x:v>
      </x:c>
      <x:c r="J124" s="15" t="n">
        <x:v>15</x:v>
      </x:c>
      <x:c r="K124" s="23" t="n">
        <x:f>IF(G124="",0,IF(G124&lt;1,0,IF(G124&lt;2,20,IF(G124&lt;3,30,IF(G124&lt;5,40,50)))))*'Scenario Controls'!$B$22/50</x:f>
        <x:v>0</x:v>
      </x:c>
      <x:c r="L124" s="23" t="n">
        <x:f>IF(ISNUMBER(SEARCH("Must Do",AG124)),25,IF(ISNUMBER(SEARCH("Must Have",AG124)),18,IF(ISNUMBER(SEARCH("Deprior",AG124)),5,0)))*'Scenario Controls'!$B$23/25</x:f>
        <x:v>18</x:v>
      </x:c>
      <x:c r="M124" s="23" t="n">
        <x:f>J124*'Scenario Controls'!$B$24/15</x:f>
        <x:v>15</x:v>
      </x:c>
      <x:c r="N124" s="23" t="n">
        <x:f>IF(ISNUMBER(SEARCH("HEALTHY",X124)),10,IF(ISNUMBER(SEARCH("CONTAIN",X124)),6,0))*'Scenario Controls'!$B$25/10</x:f>
        <x:v>10</x:v>
      </x:c>
      <x:c r="O124" s="23" t="n">
        <x:f>SUM(K124:N124)</x:f>
        <x:v>43</x:v>
      </x:c>
      <x:c r="P124" s="15" t="str">
        <x:f>IF(OR(B124="",E124&lt;=0),"Evidence missing / not eligible",IF(ISNUMBER(SEARCH("priority TBD",Y124)),"Evidence missing / not eligible",IF(AND(H124="Carryover",NOT(ISNUMBER(F124))),"Evidence missing / not eligible",IF(AND(H124="Carryover",G124&lt;'Scenario Controls'!$B$16),"Evidence missing / not eligible",IF(AND(H124="ROI-Based Portfolio",NOT(ISNUMBER(F124))),"Evidence missing / not eligible",IF(AND(H124="ROI-Based Portfolio",O124&lt;'Scenario Controls'!$B$20),"Evidence missing / not eligible","Eligible"))))))</x:f>
        <x:v>Eligible</x:v>
      </x:c>
      <x:c r="Q124" s="19" t="n">
        <x:f>IF(P124&lt;&gt;"Eligible",0,IF(AND(SUMIFS($Q$5:Q123,$H$5:H123,H124)+E124&lt;=(IF(H124="LFR",'Scenario Controls'!$F$10,IF(H124="Sustain Engineering",'Scenario Controls'!$F$11,IF(H124="Hygiene",'Scenario Controls'!$F$12,1E+99))))*(1+'Scenario Controls'!$B$7),SUM($Q$5:Q123)+E124&lt;='Scenario Controls'!$B$6*(1+'Scenario Controls'!$B$7)),E124,0))</x:f>
        <x:v>0</x:v>
      </x:c>
      <x:c r="R124" s="24" t="str">
        <x:f>'EW Conference'!G91</x:f>
        <x:v>Automatic</x:v>
      </x:c>
      <x:c r="S124" s="24" t="str">
        <x:f>'EW Conference'!H91</x:f>
      </x:c>
      <x:c r="T124" s="19" t="n">
        <x:f>IF(R124="Exclude",0,IF(R124="Include",E124,Q124))</x:f>
        <x:v>0</x:v>
      </x:c>
      <x:c r="U124" s="15" t="str">
        <x:f>IF(T124&gt;0,"Funded",IF(P124="Eligible","Unfunded",P124))</x:f>
        <x:v>Unfunded</x:v>
      </x:c>
      <x:c r="V124" s="15" t="str">
        <x:f>IF(R124="Include","Conference inclusion: "&amp;S124,IF(R124="Exclude","Conference exclusion: "&amp;S124,IF(Q124&gt;0,H124&amp;" priority rank "&amp;I124&amp;"; whole initiative selected",P124)))</x:f>
        <x:v>Eligible</x:v>
      </x:c>
      <x:c r="W124" s="15" t="str">
        <x:v>EW!122</x:v>
      </x:c>
      <x:c r="X124" s="15" t="str">
        <x:v>HEALTHY</x:v>
      </x:c>
      <x:c r="Y124" s="15" t="str">
        <x:v>HEALTHY — Rank in priority matrix</x:v>
      </x:c>
      <x:c r="Z124" s="15" t="str">
        <x:v>Continuous Improvement</x:v>
      </x:c>
      <x:c r="AA124" s="15" t="str">
        <x:v>New Initiative</x:v>
      </x:c>
      <x:c r="AB124" s="15" t="str">
        <x:v>Innovation and Digital IT</x:v>
      </x:c>
      <x:c r="AC124" s="15" t="str">
        <x:v>Inefficient use engineering and product data</x:v>
      </x:c>
      <x:c r="AD124" s="15" t="str">
        <x:v>•Making engineering and product data accessible through AI while maintaining enterprise security and governance. (linked to Elevate and Catalyst)</x:v>
      </x:c>
      <x:c r="AE124" s="15" t="str">
        <x:v>Natural language access to engineering data</x:v>
      </x:c>
      <x:c r="AF124" s="15" t="str">
        <x:v>Inefficient use engineering and product data | •Making engineering and product data accessible through AI while maintaining enterprise security and governance. (linked to Elevate and Catalyst) | Natural language access to engineering data</x:v>
      </x:c>
      <x:c r="AG124" s="15" t="str">
        <x:v>Must Have</x:v>
      </x:c>
      <x:c r="AH124" s="15" t="n">
        <x:v>124</x:v>
      </x:c>
    </x:row>
    <x:row r="125">
      <x:c r="A125" s="15" t="str">
        <x:v>Bu-26</x:v>
      </x:c>
      <x:c r="B125" s="15" t="str">
        <x:v>18. Product Content Excellence - Content Engine</x:v>
      </x:c>
      <x:c r="C125" s="15" t="str">
        <x:v>BU Led</x:v>
      </x:c>
      <x:c r="D125" s="15" t="str">
        <x:v>Personal Health (PH)</x:v>
      </x:c>
      <x:c r="E125" s="19" t="n">
        <x:v>0.9</x:v>
      </x:c>
      <x:c r="F125" s="19" t="n">
        <x:v>0.48</x:v>
      </x:c>
      <x:c r="G125" s="22" t="n">
        <x:f>IF(AND(E125&gt;0,ISNUMBER(F125)),F125/E125,"")</x:f>
        <x:v>0.5333333333333333</x:v>
      </x:c>
      <x:c r="H125" s="15" t="str">
        <x:v>Hygiene</x:v>
      </x:c>
      <x:c r="I125" s="15" t="n">
        <x:v>68</x:v>
      </x:c>
      <x:c r="J125" s="15" t="n">
        <x:v>15</x:v>
      </x:c>
      <x:c r="K125" s="23" t="n">
        <x:f>IF(G125="",0,IF(G125&lt;1,0,IF(G125&lt;2,20,IF(G125&lt;3,30,IF(G125&lt;5,40,50)))))*'Scenario Controls'!$B$22/50</x:f>
        <x:v>0</x:v>
      </x:c>
      <x:c r="L125" s="23" t="n">
        <x:f>IF(ISNUMBER(SEARCH("Must Do",AG125)),25,IF(ISNUMBER(SEARCH("Must Have",AG125)),18,IF(ISNUMBER(SEARCH("Deprior",AG125)),5,0)))*'Scenario Controls'!$B$23/25</x:f>
        <x:v>25</x:v>
      </x:c>
      <x:c r="M125" s="23" t="n">
        <x:f>J125*'Scenario Controls'!$B$24/15</x:f>
        <x:v>15</x:v>
      </x:c>
      <x:c r="N125" s="23" t="n">
        <x:f>IF(ISNUMBER(SEARCH("HEALTHY",X125)),10,IF(ISNUMBER(SEARCH("CONTAIN",X125)),6,0))*'Scenario Controls'!$B$25/10</x:f>
        <x:v>0</x:v>
      </x:c>
      <x:c r="O125" s="23" t="n">
        <x:f>SUM(K125:N125)</x:f>
        <x:v>40</x:v>
      </x:c>
      <x:c r="P125" s="15" t="str">
        <x:f>IF(OR(B125="",E125&lt;=0),"Evidence missing / not eligible",IF(ISNUMBER(SEARCH("priority TBD",Y125)),"Evidence missing / not eligible",IF(AND(H125="Carryover",NOT(ISNUMBER(F125))),"Evidence missing / not eligible",IF(AND(H125="Carryover",G125&lt;'Scenario Controls'!$B$16),"Evidence missing / not eligible",IF(AND(H125="ROI-Based Portfolio",NOT(ISNUMBER(F125))),"Evidence missing / not eligible",IF(AND(H125="ROI-Based Portfolio",O125&lt;'Scenario Controls'!$B$20),"Evidence missing / not eligible","Eligible"))))))</x:f>
        <x:v>Eligible</x:v>
      </x:c>
      <x:c r="Q125" s="19" t="n">
        <x:f>IF(P125&lt;&gt;"Eligible",0,IF(AND(SUMIFS($Q$5:Q124,$H$5:H124,H125)+E125&lt;=(IF(H125="LFR",'Scenario Controls'!$F$10,IF(H125="Sustain Engineering",'Scenario Controls'!$F$11,IF(H125="Hygiene",'Scenario Controls'!$F$12,1E+99))))*(1+'Scenario Controls'!$B$7),SUM($Q$5:Q124)+E125&lt;='Scenario Controls'!$B$6*(1+'Scenario Controls'!$B$7)),E125,0))</x:f>
        <x:v>0</x:v>
      </x:c>
      <x:c r="R125" s="24" t="str">
        <x:f>'BU Conference'!G39</x:f>
        <x:v>Automatic</x:v>
      </x:c>
      <x:c r="S125" s="24" t="str">
        <x:f>'BU Conference'!H39</x:f>
      </x:c>
      <x:c r="T125" s="19" t="n">
        <x:f>IF(R125="Exclude",0,IF(R125="Include",E125,Q125))</x:f>
        <x:v>0</x:v>
      </x:c>
      <x:c r="U125" s="15" t="str">
        <x:f>IF(T125&gt;0,"Funded",IF(P125="Eligible","Unfunded",P125))</x:f>
        <x:v>Unfunded</x:v>
      </x:c>
      <x:c r="V125" s="15" t="str">
        <x:f>IF(R125="Include","Conference inclusion: "&amp;S125,IF(R125="Exclude","Conference exclusion: "&amp;S125,IF(Q125&gt;0,H125&amp;" priority rank "&amp;I125&amp;"; whole initiative selected",P125)))</x:f>
        <x:v>Eligible</x:v>
      </x:c>
      <x:c r="W125" s="15" t="str">
        <x:v>Bu!54</x:v>
      </x:c>
      <x:c r="X125" s="15" t="str"/>
      <x:c r="Y125" s="15" t="str"/>
      <x:c r="Z125" s="15" t="str">
        <x:v>Continous Improvement</x:v>
      </x:c>
      <x:c r="AA125" s="15" t="str">
        <x:v>Carry Over</x:v>
      </x:c>
      <x:c r="AB125" s="15" t="str">
        <x:v>Innovation and Digital IT</x:v>
      </x:c>
      <x:c r="AC125" s="15" t="str"/>
      <x:c r="AD125" s="15" t="str">
        <x: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x:v>
      </x:c>
      <x:c r="AE125" s="15" t="str">
        <x:v>Enterprise application enablement (identity, authentication, security and access management).</x:v>
      </x:c>
      <x:c r="AF125" s="15" t="str">
        <x: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 Enterprise application enablement (identity, authentication, security and access management).</x:v>
      </x:c>
      <x:c r="AG125" s="15" t="str">
        <x:v>Must Do</x:v>
      </x:c>
      <x:c r="AH125" s="15" t="n">
        <x:v>211</x:v>
      </x:c>
    </x:row>
    <x:row r="126">
      <x:c r="A126" s="15" t="str">
        <x:v>Bu-08</x:v>
      </x:c>
      <x:c r="B126" s="15" t="str">
        <x:v>IWD capabilities improvements and cost reductions</x:v>
      </x:c>
      <x:c r="C126" s="15" t="str">
        <x:v>BU Led</x:v>
      </x:c>
      <x:c r="D126" s="15" t="str">
        <x:v>Integrated Supply Chain (ISC)</x:v>
      </x:c>
      <x:c r="E126" s="19" t="n">
        <x:v>0.14</x:v>
      </x:c>
      <x:c r="F126" s="19" t="n">
        <x:v>0</x:v>
      </x:c>
      <x:c r="G126" s="22" t="n">
        <x:f>IF(AND(E126&gt;0,ISNUMBER(F126)),F126/E126,"")</x:f>
        <x:v>0</x:v>
      </x:c>
      <x:c r="H126" s="15" t="str">
        <x:v>Hygiene</x:v>
      </x:c>
      <x:c r="I126" s="15" t="n">
        <x:v>69</x:v>
      </x:c>
      <x:c r="J126" s="15" t="n">
        <x:v>5</x:v>
      </x:c>
      <x:c r="K126" s="23" t="n">
        <x:f>IF(G126="",0,IF(G126&lt;1,0,IF(G126&lt;2,20,IF(G126&lt;3,30,IF(G126&lt;5,40,50)))))*'Scenario Controls'!$B$22/50</x:f>
        <x:v>0</x:v>
      </x:c>
      <x:c r="L126" s="23" t="n">
        <x:f>IF(ISNUMBER(SEARCH("Must Do",AG126)),25,IF(ISNUMBER(SEARCH("Must Have",AG126)),18,IF(ISNUMBER(SEARCH("Deprior",AG126)),5,0)))*'Scenario Controls'!$B$23/25</x:f>
        <x:v>25</x:v>
      </x:c>
      <x:c r="M126" s="23" t="n">
        <x:f>J126*'Scenario Controls'!$B$24/15</x:f>
        <x:v>5</x:v>
      </x:c>
      <x:c r="N126" s="23" t="n">
        <x:f>IF(ISNUMBER(SEARCH("HEALTHY",X126)),10,IF(ISNUMBER(SEARCH("CONTAIN",X126)),6,0))*'Scenario Controls'!$B$25/10</x:f>
        <x:v>10</x:v>
      </x:c>
      <x:c r="O126" s="23" t="n">
        <x:f>SUM(K126:N126)</x:f>
        <x:v>40</x:v>
      </x:c>
      <x:c r="P126" s="15" t="str">
        <x:f>IF(OR(B126="",E126&lt;=0),"Evidence missing / not eligible",IF(ISNUMBER(SEARCH("priority TBD",Y126)),"Evidence missing / not eligible",IF(AND(H126="Carryover",NOT(ISNUMBER(F126))),"Evidence missing / not eligible",IF(AND(H126="Carryover",G126&lt;'Scenario Controls'!$B$16),"Evidence missing / not eligible",IF(AND(H126="ROI-Based Portfolio",NOT(ISNUMBER(F126))),"Evidence missing / not eligible",IF(AND(H126="ROI-Based Portfolio",O126&lt;'Scenario Controls'!$B$20),"Evidence missing / not eligible","Eligible"))))))</x:f>
        <x:v>Eligible</x:v>
      </x:c>
      <x:c r="Q126" s="19" t="n">
        <x:f>IF(P126&lt;&gt;"Eligible",0,IF(AND(SUMIFS($Q$5:Q125,$H$5:H125,H126)+E126&lt;=(IF(H126="LFR",'Scenario Controls'!$F$10,IF(H126="Sustain Engineering",'Scenario Controls'!$F$11,IF(H126="Hygiene",'Scenario Controls'!$F$12,1E+99))))*(1+'Scenario Controls'!$B$7),SUM($Q$5:Q125)+E126&lt;='Scenario Controls'!$B$6*(1+'Scenario Controls'!$B$7)),E126,0))</x:f>
        <x:v>0</x:v>
      </x:c>
      <x:c r="R126" s="24" t="str">
        <x:f>'BU Conference'!G40</x:f>
        <x:v>Automatic</x:v>
      </x:c>
      <x:c r="S126" s="24" t="str">
        <x:f>'BU Conference'!H40</x:f>
      </x:c>
      <x:c r="T126" s="19" t="n">
        <x:f>IF(R126="Exclude",0,IF(R126="Include",E126,Q126))</x:f>
        <x:v>0</x:v>
      </x:c>
      <x:c r="U126" s="15" t="str">
        <x:f>IF(T126&gt;0,"Funded",IF(P126="Eligible","Unfunded",P126))</x:f>
        <x:v>Unfunded</x:v>
      </x:c>
      <x:c r="V126" s="15" t="str">
        <x:f>IF(R126="Include","Conference inclusion: "&amp;S126,IF(R126="Exclude","Conference exclusion: "&amp;S126,IF(Q126&gt;0,H126&amp;" priority rank "&amp;I126&amp;"; whole initiative selected",P126)))</x:f>
        <x:v>Eligible</x:v>
      </x:c>
      <x:c r="W126" s="15" t="str">
        <x:v>Bu!13</x:v>
      </x:c>
      <x:c r="X126" s="15" t="str">
        <x:v>HEALTHY</x:v>
      </x:c>
      <x:c r="Y126" s="15" t="str">
        <x:v>HEALTHY — Rank in priority matrix</x:v>
      </x:c>
      <x:c r="Z126" s="15" t="str">
        <x:v>Upgrades &amp; Enhancements</x:v>
      </x:c>
      <x:c r="AA126" s="15" t="str">
        <x:v>Carry Over</x:v>
      </x:c>
      <x:c r="AB126" s="15" t="str">
        <x:v>Integrated Supply Chain &amp; Finance</x:v>
      </x:c>
      <x:c r="AC126" s="15" t="str">
        <x:v>OTIF imapct</x:v>
      </x:c>
      <x:c r="AD126" s="15" t="str"/>
      <x:c r="AE126" s="15" t="str"/>
      <x:c r="AF126" s="15" t="str">
        <x:v>OTIF imapct</x:v>
      </x:c>
      <x:c r="AG126" s="15" t="str">
        <x:v>Must Do</x:v>
      </x:c>
      <x:c r="AH126" s="15" t="n">
        <x:v>193</x:v>
      </x:c>
    </x:row>
    <x:row r="127">
      <x:c r="A127" s="15" t="str">
        <x:v>Bu-89</x:v>
      </x:c>
      <x:c r="B127" s="15" t="str">
        <x:v>Estore Headless and transformation</x:v>
      </x:c>
      <x:c r="C127" s="15" t="str">
        <x:v>BU Led</x:v>
      </x:c>
      <x:c r="D127" s="15" t="str">
        <x:v>Sleep &amp; Respiratory Care (SRC)</x:v>
      </x:c>
      <x:c r="E127" s="19" t="n">
        <x:v>0</x:v>
      </x:c>
      <x:c r="F127" s="19" t="n">
        <x:v>0</x:v>
      </x:c>
      <x:c r="G127" s="22" t="str">
        <x:f>IF(AND(E127&gt;0,ISNUMBER(F127)),F127/E127,"")</x:f>
      </x:c>
      <x:c r="H127" s="15" t="str">
        <x:v>Hygiene</x:v>
      </x:c>
      <x:c r="I127" s="15" t="n">
        <x:v>70</x:v>
      </x:c>
      <x:c r="J127" s="15" t="n">
        <x:v>15</x:v>
      </x:c>
      <x:c r="K127" s="23" t="n">
        <x:f>IF(G127="",0,IF(G127&lt;1,0,IF(G127&lt;2,20,IF(G127&lt;3,30,IF(G127&lt;5,40,50)))))*'Scenario Controls'!$B$22/50</x:f>
        <x:v>0</x:v>
      </x:c>
      <x:c r="L127" s="23" t="n">
        <x:f>IF(ISNUMBER(SEARCH("Must Do",AG127)),25,IF(ISNUMBER(SEARCH("Must Have",AG127)),18,IF(ISNUMBER(SEARCH("Deprior",AG127)),5,0)))*'Scenario Controls'!$B$23/25</x:f>
        <x:v>25</x:v>
      </x:c>
      <x:c r="M127" s="23" t="n">
        <x:f>J127*'Scenario Controls'!$B$24/15</x:f>
        <x:v>15</x:v>
      </x:c>
      <x:c r="N127" s="23" t="n">
        <x:f>IF(ISNUMBER(SEARCH("HEALTHY",X127)),10,IF(ISNUMBER(SEARCH("CONTAIN",X127)),6,0))*'Scenario Controls'!$B$25/10</x:f>
        <x:v>0</x:v>
      </x:c>
      <x:c r="O127" s="23" t="n">
        <x:f>SUM(K127:N127)</x:f>
        <x:v>40</x:v>
      </x:c>
      <x:c r="P127" s="15" t="str">
        <x:f>IF(OR(B127="",E127&lt;=0),"Evidence missing / not eligible",IF(ISNUMBER(SEARCH("priority TBD",Y127)),"Evidence missing / not eligible",IF(AND(H127="Carryover",NOT(ISNUMBER(F127))),"Evidence missing / not eligible",IF(AND(H127="Carryover",G127&lt;'Scenario Controls'!$B$16),"Evidence missing / not eligible",IF(AND(H127="ROI-Based Portfolio",NOT(ISNUMBER(F127))),"Evidence missing / not eligible",IF(AND(H127="ROI-Based Portfolio",O127&lt;'Scenario Controls'!$B$20),"Evidence missing / not eligible","Eligible"))))))</x:f>
        <x:v>Evidence missing / not eligible</x:v>
      </x:c>
      <x:c r="Q127" s="19" t="n">
        <x:f>IF(P127&lt;&gt;"Eligible",0,IF(AND(SUMIFS($Q$5:Q126,$H$5:H126,H127)+E127&lt;=(IF(H127="LFR",'Scenario Controls'!$F$10,IF(H127="Sustain Engineering",'Scenario Controls'!$F$11,IF(H127="Hygiene",'Scenario Controls'!$F$12,1E+99))))*(1+'Scenario Controls'!$B$7),SUM($Q$5:Q126)+E127&lt;='Scenario Controls'!$B$6*(1+'Scenario Controls'!$B$7)),E127,0))</x:f>
        <x:v>0</x:v>
      </x:c>
      <x:c r="R127" s="24" t="str">
        <x:f>'BU Conference'!G41</x:f>
        <x:v>Automatic</x:v>
      </x:c>
      <x:c r="S127" s="24" t="str">
        <x:f>'BU Conference'!H41</x:f>
      </x:c>
      <x:c r="T127" s="19" t="n">
        <x:f>IF(R127="Exclude",0,IF(R127="Include",E127,Q127))</x:f>
        <x:v>0</x:v>
      </x:c>
      <x:c r="U127" s="15" t="str">
        <x:f>IF(T127&gt;0,"Funded",IF(P127="Eligible","Unfunded",P127))</x:f>
        <x:v>Evidence missing / not eligible</x:v>
      </x:c>
      <x:c r="V127" s="15" t="str">
        <x:f>IF(R127="Include","Conference inclusion: "&amp;S127,IF(R127="Exclude","Conference exclusion: "&amp;S127,IF(Q127&gt;0,H127&amp;" priority rank "&amp;I127&amp;"; whole initiative selected",P127)))</x:f>
        <x:v>Evidence missing / not eligible</x:v>
      </x:c>
      <x:c r="W127" s="15" t="str">
        <x:v>Bu!229</x:v>
      </x:c>
      <x:c r="X127" s="15" t="str"/>
      <x:c r="Y127" s="15" t="str"/>
      <x:c r="Z127" s="15" t="str">
        <x:v>Decomm/Replatforming</x:v>
      </x:c>
      <x:c r="AA127" s="15" t="str">
        <x:v>New Initiative</x:v>
      </x:c>
      <x:c r="AB127" s="15" t="str">
        <x:v>Innovation and Digital IT</x:v>
      </x:c>
      <x:c r="AC127" s="15" t="str">
        <x:v>Estores will stop working and direct loss of revenue &gt;25 M</x:v>
      </x:c>
      <x:c r="AD127" s="15" t="str">
        <x:v>The current IT platform is getting decommed by the vendor hence there is no choice other than to migrate to Contentful</x:v>
      </x:c>
      <x:c r="AE127" s="15" t="str">
        <x:v>All estores will be in scope as there is no other choice</x:v>
      </x:c>
      <x:c r="AF127" s="15" t="str">
        <x:v>Estores will stop working and direct loss of revenue &gt;25 M | The current IT platform is getting decommed by the vendor hence there is no choice other than to migrate to Contentful | All estores will be in scope as there is no other choice</x:v>
      </x:c>
      <x:c r="AG127" s="15" t="str">
        <x:v>Must Do</x:v>
      </x:c>
      <x:c r="AH127" s="15" t="n">
        <x:v>266</x:v>
      </x:c>
    </x:row>
    <x:row r="128">
      <x:c r="A128" s="15" t="str">
        <x:v>Bu-128</x:v>
      </x:c>
      <x:c r="B128" s="15" t="str">
        <x:v>Ultrasound Simplification</x:v>
      </x:c>
      <x:c r="C128" s="15" t="str">
        <x:v>BU Led</x:v>
      </x:c>
      <x:c r="D128" s="15" t="str">
        <x:v>Precision Diagnosis - Ultrasound (PDU)</x:v>
      </x:c>
      <x:c r="E128" s="19" t="n">
        <x:v>0.45</x:v>
      </x:c>
      <x:c r="F128" s="19" t="n">
        <x:v>0</x:v>
      </x:c>
      <x:c r="G128" s="22" t="n">
        <x:f>IF(AND(E128&gt;0,ISNUMBER(F128)),F128/E128,"")</x:f>
        <x:v>0</x:v>
      </x:c>
      <x:c r="H128" s="15" t="str">
        <x:v>Hygiene</x:v>
      </x:c>
      <x:c r="I128" s="15" t="n">
        <x:v>71</x:v>
      </x:c>
      <x:c r="J128" s="15" t="n">
        <x:v>5</x:v>
      </x:c>
      <x:c r="K128" s="23" t="n">
        <x:f>IF(G128="",0,IF(G128&lt;1,0,IF(G128&lt;2,20,IF(G128&lt;3,30,IF(G128&lt;5,40,50)))))*'Scenario Controls'!$B$22/50</x:f>
        <x:v>0</x:v>
      </x:c>
      <x:c r="L128" s="23" t="n">
        <x:f>IF(ISNUMBER(SEARCH("Must Do",AG128)),25,IF(ISNUMBER(SEARCH("Must Have",AG128)),18,IF(ISNUMBER(SEARCH("Deprior",AG128)),5,0)))*'Scenario Controls'!$B$23/25</x:f>
        <x:v>25</x:v>
      </x:c>
      <x:c r="M128" s="23" t="n">
        <x:f>J128*'Scenario Controls'!$B$24/15</x:f>
        <x:v>5</x:v>
      </x:c>
      <x:c r="N128" s="23" t="n">
        <x:f>IF(ISNUMBER(SEARCH("HEALTHY",X128)),10,IF(ISNUMBER(SEARCH("CONTAIN",X128)),6,0))*'Scenario Controls'!$B$25/10</x:f>
        <x:v>10</x:v>
      </x:c>
      <x:c r="O128" s="23" t="n">
        <x:f>SUM(K128:N128)</x:f>
        <x:v>40</x:v>
      </x:c>
      <x:c r="P128" s="15" t="str">
        <x:f>IF(OR(B128="",E128&lt;=0),"Evidence missing / not eligible",IF(ISNUMBER(SEARCH("priority TBD",Y128)),"Evidence missing / not eligible",IF(AND(H128="Carryover",NOT(ISNUMBER(F128))),"Evidence missing / not eligible",IF(AND(H128="Carryover",G128&lt;'Scenario Controls'!$B$16),"Evidence missing / not eligible",IF(AND(H128="ROI-Based Portfolio",NOT(ISNUMBER(F128))),"Evidence missing / not eligible",IF(AND(H128="ROI-Based Portfolio",O128&lt;'Scenario Controls'!$B$20),"Evidence missing / not eligible","Eligible"))))))</x:f>
        <x:v>Eligible</x:v>
      </x:c>
      <x:c r="Q128" s="19" t="n">
        <x:f>IF(P128&lt;&gt;"Eligible",0,IF(AND(SUMIFS($Q$5:Q127,$H$5:H127,H128)+E128&lt;=(IF(H128="LFR",'Scenario Controls'!$F$10,IF(H128="Sustain Engineering",'Scenario Controls'!$F$11,IF(H128="Hygiene",'Scenario Controls'!$F$12,1E+99))))*(1+'Scenario Controls'!$B$7),SUM($Q$5:Q127)+E128&lt;='Scenario Controls'!$B$6*(1+'Scenario Controls'!$B$7)),E128,0))</x:f>
        <x:v>0</x:v>
      </x:c>
      <x:c r="R128" s="24" t="str">
        <x:f>'BU Conference'!G42</x:f>
        <x:v>Automatic</x:v>
      </x:c>
      <x:c r="S128" s="24" t="str">
        <x:f>'BU Conference'!H42</x:f>
      </x:c>
      <x:c r="T128" s="19" t="n">
        <x:f>IF(R128="Exclude",0,IF(R128="Include",E128,Q128))</x:f>
        <x:v>0</x:v>
      </x:c>
      <x:c r="U128" s="15" t="str">
        <x:f>IF(T128&gt;0,"Funded",IF(P128="Eligible","Unfunded",P128))</x:f>
        <x:v>Unfunded</x:v>
      </x:c>
      <x:c r="V128" s="15" t="str">
        <x:f>IF(R128="Include","Conference inclusion: "&amp;S128,IF(R128="Exclude","Conference exclusion: "&amp;S128,IF(Q128&gt;0,H128&amp;" priority rank "&amp;I128&amp;"; whole initiative selected",P128)))</x:f>
        <x:v>Eligible</x:v>
      </x:c>
      <x:c r="W128" s="15" t="str">
        <x:v>Bu!305</x:v>
      </x:c>
      <x:c r="X128" s="15" t="str">
        <x:v>HEALTHY</x:v>
      </x:c>
      <x:c r="Y128" s="15" t="str">
        <x:v>HEALTHY — Rank in priority matrix</x:v>
      </x:c>
      <x:c r="Z128" s="15" t="str">
        <x:v>Continous Improvement</x:v>
      </x:c>
      <x:c r="AA128" s="15" t="str">
        <x:v>New Initiative</x:v>
      </x:c>
      <x:c r="AB128" s="15" t="str">
        <x:v>Innovation and Digital IT</x:v>
      </x:c>
      <x:c r="AC128" s="15" t="str"/>
      <x:c r="AD128" s="15" t="str">
        <x:v>Simplification initiatives</x:v>
      </x:c>
      <x:c r="AE128" s="15" t="str">
        <x:v>Scope may include, but not limited to:</x:v>
      </x:c>
      <x:c r="AF128" s="15" t="str">
        <x:v>Simplification initiatives | Scope may include, but not limited to:</x:v>
      </x:c>
      <x:c r="AG128" s="15" t="str">
        <x:v>Must Do</x:v>
      </x:c>
      <x:c r="AH128" s="15" t="n">
        <x:v>305</x:v>
      </x:c>
    </x:row>
    <x:row r="129">
      <x:c r="A129" s="15" t="str">
        <x:v>Bu-191</x:v>
      </x:c>
      <x:c r="B129" s="15" t="str">
        <x:v>LEM - Type I</x:v>
      </x:c>
      <x:c r="C129" s="15" t="str">
        <x:v>BU Led</x:v>
      </x:c>
      <x:c r="D129" s="15" t="str">
        <x:v>Image Guided Therapy - Systems (IGT-S)</x:v>
      </x:c>
      <x:c r="E129" s="19" t="n">
        <x:v>0.428</x:v>
      </x:c>
      <x:c r="F129" s="19" t="n">
        <x:v>0</x:v>
      </x:c>
      <x:c r="G129" s="22" t="n">
        <x:f>IF(AND(E129&gt;0,ISNUMBER(F129)),F129/E129,"")</x:f>
        <x:v>0</x:v>
      </x:c>
      <x:c r="H129" s="15" t="str">
        <x:v>Hygiene</x:v>
      </x:c>
      <x:c r="I129" s="15" t="n">
        <x:v>72</x:v>
      </x:c>
      <x:c r="J129" s="15" t="n">
        <x:v>5</x:v>
      </x:c>
      <x:c r="K129" s="23" t="n">
        <x:f>IF(G129="",0,IF(G129&lt;1,0,IF(G129&lt;2,20,IF(G129&lt;3,30,IF(G129&lt;5,40,50)))))*'Scenario Controls'!$B$22/50</x:f>
        <x:v>0</x:v>
      </x:c>
      <x:c r="L129" s="23" t="n">
        <x:f>IF(ISNUMBER(SEARCH("Must Do",AG129)),25,IF(ISNUMBER(SEARCH("Must Have",AG129)),18,IF(ISNUMBER(SEARCH("Deprior",AG129)),5,0)))*'Scenario Controls'!$B$23/25</x:f>
        <x:v>25</x:v>
      </x:c>
      <x:c r="M129" s="23" t="n">
        <x:f>J129*'Scenario Controls'!$B$24/15</x:f>
        <x:v>5</x:v>
      </x:c>
      <x:c r="N129" s="23" t="n">
        <x:f>IF(ISNUMBER(SEARCH("HEALTHY",X129)),10,IF(ISNUMBER(SEARCH("CONTAIN",X129)),6,0))*'Scenario Controls'!$B$25/10</x:f>
        <x:v>10</x:v>
      </x:c>
      <x:c r="O129" s="23" t="n">
        <x:f>SUM(K129:N129)</x:f>
        <x:v>40</x:v>
      </x:c>
      <x:c r="P129" s="15" t="str">
        <x:f>IF(OR(B129="",E129&lt;=0),"Evidence missing / not eligible",IF(ISNUMBER(SEARCH("priority TBD",Y129)),"Evidence missing / not eligible",IF(AND(H129="Carryover",NOT(ISNUMBER(F129))),"Evidence missing / not eligible",IF(AND(H129="Carryover",G129&lt;'Scenario Controls'!$B$16),"Evidence missing / not eligible",IF(AND(H129="ROI-Based Portfolio",NOT(ISNUMBER(F129))),"Evidence missing / not eligible",IF(AND(H129="ROI-Based Portfolio",O129&lt;'Scenario Controls'!$B$20),"Evidence missing / not eligible","Eligible"))))))</x:f>
        <x:v>Eligible</x:v>
      </x:c>
      <x:c r="Q129" s="19" t="n">
        <x:f>IF(P129&lt;&gt;"Eligible",0,IF(AND(SUMIFS($Q$5:Q128,$H$5:H128,H129)+E129&lt;=(IF(H129="LFR",'Scenario Controls'!$F$10,IF(H129="Sustain Engineering",'Scenario Controls'!$F$11,IF(H129="Hygiene",'Scenario Controls'!$F$12,1E+99))))*(1+'Scenario Controls'!$B$7),SUM($Q$5:Q128)+E129&lt;='Scenario Controls'!$B$6*(1+'Scenario Controls'!$B$7)),E129,0))</x:f>
        <x:v>0</x:v>
      </x:c>
      <x:c r="R129" s="24" t="str">
        <x:f>'BU Conference'!G43</x:f>
        <x:v>Automatic</x:v>
      </x:c>
      <x:c r="S129" s="24" t="str">
        <x:f>'BU Conference'!H43</x:f>
      </x:c>
      <x:c r="T129" s="19" t="n">
        <x:f>IF(R129="Exclude",0,IF(R129="Include",E129,Q129))</x:f>
        <x:v>0</x:v>
      </x:c>
      <x:c r="U129" s="15" t="str">
        <x:f>IF(T129&gt;0,"Funded",IF(P129="Eligible","Unfunded",P129))</x:f>
        <x:v>Unfunded</x:v>
      </x:c>
      <x:c r="V129" s="15" t="str">
        <x:f>IF(R129="Include","Conference inclusion: "&amp;S129,IF(R129="Exclude","Conference exclusion: "&amp;S129,IF(Q129&gt;0,H129&amp;" priority rank "&amp;I129&amp;"; whole initiative selected",P129)))</x:f>
        <x:v>Eligible</x:v>
      </x:c>
      <x:c r="W129" s="15" t="str">
        <x:v>Bu!455</x:v>
      </x:c>
      <x:c r="X129" s="15" t="str">
        <x:v>HEALTHY</x:v>
      </x:c>
      <x:c r="Y129" s="15" t="str">
        <x:v>HEALTHY — Rank in priority matrix</x:v>
      </x:c>
      <x:c r="Z129" s="15" t="str">
        <x:v>Continous Improvement</x:v>
      </x:c>
      <x:c r="AA129" s="15" t="str">
        <x:v>Carry Over</x:v>
      </x:c>
      <x:c r="AB129" s="15" t="str">
        <x:v>Services &amp; Solutions IT</x:v>
      </x:c>
      <x:c r="AC129" s="15" t="str">
        <x:v>A foundational capability required to enable new business models for IGT such as Software Subscription (PPP) and AI-based growth; without it, initiatives like Azurion Next Gen and Sentinel native enforcement will rely on manual processes, constraining IGT's ability to scale.</x:v>
      </x:c>
      <x:c r="AD129" s="15" t="str">
        <x:v>Entitlement and Licensing capabilities to support Azurion Next Gen</x:v>
      </x:c>
      <x:c r="AE129" s="15" t="str">
        <x:v>1. Order fulfilment</x:v>
      </x:c>
      <x:c r="AF129" s="15" t="str">
        <x:v>A foundational capability required to enable new business models for IGT such as Software Subscription (PPP) and AI-based growth; without it, initiatives like Azurion Next Gen and Sentinel native enforcement will rely on manual processes, constraining IGT's ability to scale. | Entitlement and Licensing capabilities to support Azurion Next Gen | 1. Order fulfilment</x:v>
      </x:c>
      <x:c r="AG129" s="15" t="str">
        <x:v>Must Do</x:v>
      </x:c>
      <x:c r="AH129" s="15" t="n">
        <x:v>368</x:v>
      </x:c>
    </x:row>
    <x:row r="130">
      <x:c r="A130" s="15" t="str">
        <x:v>Bu-192</x:v>
      </x:c>
      <x:c r="B130" s="15" t="str">
        <x:v>LEM - Type II</x:v>
      </x:c>
      <x:c r="C130" s="15" t="str">
        <x:v>BU Led</x:v>
      </x:c>
      <x:c r="D130" s="15" t="str">
        <x:v>Image Guided Therapy - Systems (IGT-S)</x:v>
      </x:c>
      <x:c r="E130" s="19" t="n">
        <x:v>0.407</x:v>
      </x:c>
      <x:c r="F130" s="19" t="n">
        <x:v>0</x:v>
      </x:c>
      <x:c r="G130" s="22" t="n">
        <x:f>IF(AND(E130&gt;0,ISNUMBER(F130)),F130/E130,"")</x:f>
        <x:v>0</x:v>
      </x:c>
      <x:c r="H130" s="15" t="str">
        <x:v>Hygiene</x:v>
      </x:c>
      <x:c r="I130" s="15" t="n">
        <x:v>73</x:v>
      </x:c>
      <x:c r="J130" s="15" t="n">
        <x:v>5</x:v>
      </x:c>
      <x:c r="K130" s="23" t="n">
        <x:f>IF(G130="",0,IF(G130&lt;1,0,IF(G130&lt;2,20,IF(G130&lt;3,30,IF(G130&lt;5,40,50)))))*'Scenario Controls'!$B$22/50</x:f>
        <x:v>0</x:v>
      </x:c>
      <x:c r="L130" s="23" t="n">
        <x:f>IF(ISNUMBER(SEARCH("Must Do",AG130)),25,IF(ISNUMBER(SEARCH("Must Have",AG130)),18,IF(ISNUMBER(SEARCH("Deprior",AG130)),5,0)))*'Scenario Controls'!$B$23/25</x:f>
        <x:v>25</x:v>
      </x:c>
      <x:c r="M130" s="23" t="n">
        <x:f>J130*'Scenario Controls'!$B$24/15</x:f>
        <x:v>5</x:v>
      </x:c>
      <x:c r="N130" s="23" t="n">
        <x:f>IF(ISNUMBER(SEARCH("HEALTHY",X130)),10,IF(ISNUMBER(SEARCH("CONTAIN",X130)),6,0))*'Scenario Controls'!$B$25/10</x:f>
        <x:v>10</x:v>
      </x:c>
      <x:c r="O130" s="23" t="n">
        <x:f>SUM(K130:N130)</x:f>
        <x:v>40</x:v>
      </x:c>
      <x:c r="P130" s="15" t="str">
        <x:f>IF(OR(B130="",E130&lt;=0),"Evidence missing / not eligible",IF(ISNUMBER(SEARCH("priority TBD",Y130)),"Evidence missing / not eligible",IF(AND(H130="Carryover",NOT(ISNUMBER(F130))),"Evidence missing / not eligible",IF(AND(H130="Carryover",G130&lt;'Scenario Controls'!$B$16),"Evidence missing / not eligible",IF(AND(H130="ROI-Based Portfolio",NOT(ISNUMBER(F130))),"Evidence missing / not eligible",IF(AND(H130="ROI-Based Portfolio",O130&lt;'Scenario Controls'!$B$20),"Evidence missing / not eligible","Eligible"))))))</x:f>
        <x:v>Eligible</x:v>
      </x:c>
      <x:c r="Q130" s="19" t="n">
        <x:f>IF(P130&lt;&gt;"Eligible",0,IF(AND(SUMIFS($Q$5:Q129,$H$5:H129,H130)+E130&lt;=(IF(H130="LFR",'Scenario Controls'!$F$10,IF(H130="Sustain Engineering",'Scenario Controls'!$F$11,IF(H130="Hygiene",'Scenario Controls'!$F$12,1E+99))))*(1+'Scenario Controls'!$B$7),SUM($Q$5:Q129)+E130&lt;='Scenario Controls'!$B$6*(1+'Scenario Controls'!$B$7)),E130,0))</x:f>
        <x:v>0</x:v>
      </x:c>
      <x:c r="R130" s="24" t="str">
        <x:f>'BU Conference'!G44</x:f>
        <x:v>Automatic</x:v>
      </x:c>
      <x:c r="S130" s="24" t="str">
        <x:f>'BU Conference'!H44</x:f>
      </x:c>
      <x:c r="T130" s="19" t="n">
        <x:f>IF(R130="Exclude",0,IF(R130="Include",E130,Q130))</x:f>
        <x:v>0</x:v>
      </x:c>
      <x:c r="U130" s="15" t="str">
        <x:f>IF(T130&gt;0,"Funded",IF(P130="Eligible","Unfunded",P130))</x:f>
        <x:v>Unfunded</x:v>
      </x:c>
      <x:c r="V130" s="15" t="str">
        <x:f>IF(R130="Include","Conference inclusion: "&amp;S130,IF(R130="Exclude","Conference exclusion: "&amp;S130,IF(Q130&gt;0,H130&amp;" priority rank "&amp;I130&amp;"; whole initiative selected",P130)))</x:f>
        <x:v>Eligible</x:v>
      </x:c>
      <x:c r="W130" s="15" t="str">
        <x:v>Bu!458</x:v>
      </x:c>
      <x:c r="X130" s="15" t="str">
        <x:v>HEALTHY</x:v>
      </x:c>
      <x:c r="Y130" s="15" t="str">
        <x:v>HEALTHY — Rank in priority matrix</x:v>
      </x:c>
      <x:c r="Z130" s="15" t="str">
        <x:v>Continous Improvement</x:v>
      </x:c>
      <x:c r="AA130" s="15" t="str">
        <x:v>Carry Over</x:v>
      </x:c>
      <x:c r="AB130" s="15" t="str">
        <x:v>Services &amp; Solutions IT</x:v>
      </x:c>
      <x:c r="AC130" s="15" t="str">
        <x:v>A foundational capability required to enable new business models for IGT such as Software Subscription (PPP) and AI-based growth; without it, initiatives like Azurion Next Gen and Sentinel native enforcement will rely on manual processes, constraining IGT's ability to scale.</x:v>
      </x:c>
      <x:c r="AD130" s="15" t="str">
        <x:v>Capabilities for subscription model</x:v>
      </x:c>
      <x:c r="AE130" s="15" t="str">
        <x:v>1. Enabling subscriptions for Pay Per Period (PPP) business model</x:v>
      </x:c>
      <x:c r="AF130" s="15" t="str">
        <x:v>A foundational capability required to enable new business models for IGT such as Software Subscription (PPP) and AI-based growth; without it, initiatives like Azurion Next Gen and Sentinel native enforcement will rely on manual processes, constraining IGT's ability to scale. | Capabilities for subscription model | 1. Enabling subscriptions for Pay Per Period (PPP) business model</x:v>
      </x:c>
      <x:c r="AG130" s="15" t="str">
        <x:v>Must Do</x:v>
      </x:c>
      <x:c r="AH130" s="15" t="n">
        <x:v>369</x:v>
      </x:c>
    </x:row>
    <x:row r="131">
      <x:c r="A131" s="15" t="str">
        <x:v>Bu-194</x:v>
      </x:c>
      <x:c r="B131" s="15" t="str">
        <x:v>Ultrasound Simplification - Supply Chain &amp; Manufacturing</x:v>
      </x:c>
      <x:c r="C131" s="15" t="str">
        <x:v>BU Led</x:v>
      </x:c>
      <x:c r="D131" s="15" t="str">
        <x:v>Precision Diagnosis - Ultrasound (PDU)</x:v>
      </x:c>
      <x:c r="E131" s="19" t="n">
        <x:v>0.7</x:v>
      </x:c>
      <x:c r="F131" s="19" t="n">
        <x:v>0</x:v>
      </x:c>
      <x:c r="G131" s="22" t="n">
        <x:f>IF(AND(E131&gt;0,ISNUMBER(F131)),F131/E131,"")</x:f>
        <x:v>0</x:v>
      </x:c>
      <x:c r="H131" s="15" t="str">
        <x:v>Hygiene</x:v>
      </x:c>
      <x:c r="I131" s="15" t="n">
        <x:v>74</x:v>
      </x:c>
      <x:c r="J131" s="15" t="n">
        <x:v>5</x:v>
      </x:c>
      <x:c r="K131" s="23" t="n">
        <x:f>IF(G131="",0,IF(G131&lt;1,0,IF(G131&lt;2,20,IF(G131&lt;3,30,IF(G131&lt;5,40,50)))))*'Scenario Controls'!$B$22/50</x:f>
        <x:v>0</x:v>
      </x:c>
      <x:c r="L131" s="23" t="n">
        <x:f>IF(ISNUMBER(SEARCH("Must Do",AG131)),25,IF(ISNUMBER(SEARCH("Must Have",AG131)),18,IF(ISNUMBER(SEARCH("Deprior",AG131)),5,0)))*'Scenario Controls'!$B$23/25</x:f>
        <x:v>25</x:v>
      </x:c>
      <x:c r="M131" s="23" t="n">
        <x:f>J131*'Scenario Controls'!$B$24/15</x:f>
        <x:v>5</x:v>
      </x:c>
      <x:c r="N131" s="23" t="n">
        <x:f>IF(ISNUMBER(SEARCH("HEALTHY",X131)),10,IF(ISNUMBER(SEARCH("CONTAIN",X131)),6,0))*'Scenario Controls'!$B$25/10</x:f>
        <x:v>10</x:v>
      </x:c>
      <x:c r="O131" s="23" t="n">
        <x:f>SUM(K131:N131)</x:f>
        <x:v>40</x:v>
      </x:c>
      <x:c r="P131" s="15" t="str">
        <x:f>IF(OR(B131="",E131&lt;=0),"Evidence missing / not eligible",IF(ISNUMBER(SEARCH("priority TBD",Y131)),"Evidence missing / not eligible",IF(AND(H131="Carryover",NOT(ISNUMBER(F131))),"Evidence missing / not eligible",IF(AND(H131="Carryover",G131&lt;'Scenario Controls'!$B$16),"Evidence missing / not eligible",IF(AND(H131="ROI-Based Portfolio",NOT(ISNUMBER(F131))),"Evidence missing / not eligible",IF(AND(H131="ROI-Based Portfolio",O131&lt;'Scenario Controls'!$B$20),"Evidence missing / not eligible","Eligible"))))))</x:f>
        <x:v>Eligible</x:v>
      </x:c>
      <x:c r="Q131" s="19" t="n">
        <x:f>IF(P131&lt;&gt;"Eligible",0,IF(AND(SUMIFS($Q$5:Q130,$H$5:H130,H131)+E131&lt;=(IF(H131="LFR",'Scenario Controls'!$F$10,IF(H131="Sustain Engineering",'Scenario Controls'!$F$11,IF(H131="Hygiene",'Scenario Controls'!$F$12,1E+99))))*(1+'Scenario Controls'!$B$7),SUM($Q$5:Q130)+E131&lt;='Scenario Controls'!$B$6*(1+'Scenario Controls'!$B$7)),E131,0))</x:f>
        <x:v>0</x:v>
      </x:c>
      <x:c r="R131" s="24" t="str">
        <x:f>'BU Conference'!G45</x:f>
        <x:v>Automatic</x:v>
      </x:c>
      <x:c r="S131" s="24" t="str">
        <x:f>'BU Conference'!H45</x:f>
      </x:c>
      <x:c r="T131" s="19" t="n">
        <x:f>IF(R131="Exclude",0,IF(R131="Include",E131,Q131))</x:f>
        <x:v>0</x:v>
      </x:c>
      <x:c r="U131" s="15" t="str">
        <x:f>IF(T131&gt;0,"Funded",IF(P131="Eligible","Unfunded",P131))</x:f>
        <x:v>Unfunded</x:v>
      </x:c>
      <x:c r="V131" s="15" t="str">
        <x:f>IF(R131="Include","Conference inclusion: "&amp;S131,IF(R131="Exclude","Conference exclusion: "&amp;S131,IF(Q131&gt;0,H131&amp;" priority rank "&amp;I131&amp;"; whole initiative selected",P131)))</x:f>
        <x:v>Eligible</x:v>
      </x:c>
      <x:c r="W131" s="15" t="str">
        <x:v>Bu!461</x:v>
      </x:c>
      <x:c r="X131" s="15" t="str">
        <x:v>HEALTHY</x:v>
      </x:c>
      <x:c r="Y131" s="15" t="str">
        <x:v>HEALTHY — Rank in priority matrix</x:v>
      </x:c>
      <x:c r="Z131" s="15" t="str">
        <x:v>Upgrades &amp; Enhancements</x:v>
      </x:c>
      <x:c r="AA131" s="15" t="str">
        <x:v>Delayed</x:v>
      </x:c>
      <x:c r="AB131" s="15" t="str">
        <x:v>Integrated Supply Chain &amp; Finance</x:v>
      </x:c>
      <x:c r="AC131" s="15" t="str"/>
      <x:c r="AD131" s="15" t="str">
        <x:v>Improvement and simplification of ISC function for Ultrasound</x:v>
      </x:c>
      <x:c r="AE131" s="15" t="str">
        <x:v>Scope may include, but not limited to:</x:v>
      </x:c>
      <x:c r="AF131" s="15" t="str">
        <x:v>Improvement and simplification of ISC function for Ultrasound | Scope may include, but not limited to:</x:v>
      </x:c>
      <x:c r="AG131" s="15" t="str">
        <x:v>Must Do</x:v>
      </x:c>
      <x:c r="AH131" s="15" t="n">
        <x:v>371</x:v>
      </x:c>
    </x:row>
    <x:row r="132">
      <x:c r="A132" s="15" t="str">
        <x:v>EW-16</x:v>
      </x:c>
      <x:c r="B132" s="15" t="str">
        <x:v>Document control with Ai capabilities (ARIS replacement)</x:v>
      </x:c>
      <x:c r="C132" s="15" t="str">
        <x:v>EW Led</x:v>
      </x:c>
      <x:c r="D132" s="15" t="str">
        <x:v>Patient Safety &amp; Quality</x:v>
      </x:c>
      <x:c r="E132" s="19" t="n">
        <x:v>0.8</x:v>
      </x:c>
      <x:c r="F132" s="19" t="n">
        <x:v>0</x:v>
      </x:c>
      <x:c r="G132" s="22" t="n">
        <x:f>IF(AND(E132&gt;0,ISNUMBER(F132)),F132/E132,"")</x:f>
        <x:v>0</x:v>
      </x:c>
      <x:c r="H132" s="15" t="str">
        <x:v>Hygiene</x:v>
      </x:c>
      <x:c r="I132" s="15" t="n">
        <x:v>75</x:v>
      </x:c>
      <x:c r="J132" s="15" t="n">
        <x:v>5</x:v>
      </x:c>
      <x:c r="K132" s="23" t="n">
        <x:f>IF(G132="",0,IF(G132&lt;1,0,IF(G132&lt;2,20,IF(G132&lt;3,30,IF(G132&lt;5,40,50)))))*'Scenario Controls'!$B$22/50</x:f>
        <x:v>0</x:v>
      </x:c>
      <x:c r="L132" s="23" t="n">
        <x:f>IF(ISNUMBER(SEARCH("Must Do",AG132)),25,IF(ISNUMBER(SEARCH("Must Have",AG132)),18,IF(ISNUMBER(SEARCH("Deprior",AG132)),5,0)))*'Scenario Controls'!$B$23/25</x:f>
        <x:v>25</x:v>
      </x:c>
      <x:c r="M132" s="23" t="n">
        <x:f>J132*'Scenario Controls'!$B$24/15</x:f>
        <x:v>5</x:v>
      </x:c>
      <x:c r="N132" s="23" t="n">
        <x:f>IF(ISNUMBER(SEARCH("HEALTHY",X132)),10,IF(ISNUMBER(SEARCH("CONTAIN",X132)),6,0))*'Scenario Controls'!$B$25/10</x:f>
        <x:v>10</x:v>
      </x:c>
      <x:c r="O132" s="23" t="n">
        <x:f>SUM(K132:N132)</x:f>
        <x:v>40</x:v>
      </x:c>
      <x:c r="P132" s="15" t="str">
        <x:f>IF(OR(B132="",E132&lt;=0),"Evidence missing / not eligible",IF(ISNUMBER(SEARCH("priority TBD",Y132)),"Evidence missing / not eligible",IF(AND(H132="Carryover",NOT(ISNUMBER(F132))),"Evidence missing / not eligible",IF(AND(H132="Carryover",G132&lt;'Scenario Controls'!$B$16),"Evidence missing / not eligible",IF(AND(H132="ROI-Based Portfolio",NOT(ISNUMBER(F132))),"Evidence missing / not eligible",IF(AND(H132="ROI-Based Portfolio",O132&lt;'Scenario Controls'!$B$20),"Evidence missing / not eligible","Eligible"))))))</x:f>
        <x:v>Eligible</x:v>
      </x:c>
      <x:c r="Q132" s="19" t="n">
        <x:f>IF(P132&lt;&gt;"Eligible",0,IF(AND(SUMIFS($Q$5:Q131,$H$5:H131,H132)+E132&lt;=(IF(H132="LFR",'Scenario Controls'!$F$10,IF(H132="Sustain Engineering",'Scenario Controls'!$F$11,IF(H132="Hygiene",'Scenario Controls'!$F$12,1E+99))))*(1+'Scenario Controls'!$B$7),SUM($Q$5:Q131)+E132&lt;='Scenario Controls'!$B$6*(1+'Scenario Controls'!$B$7)),E132,0))</x:f>
        <x:v>0</x:v>
      </x:c>
      <x:c r="R132" s="24" t="str">
        <x:f>'EW Conference'!G92</x:f>
        <x:v>Automatic</x:v>
      </x:c>
      <x:c r="S132" s="24" t="str">
        <x:f>'EW Conference'!H92</x:f>
      </x:c>
      <x:c r="T132" s="19" t="n">
        <x:f>IF(R132="Exclude",0,IF(R132="Include",E132,Q132))</x:f>
        <x:v>0</x:v>
      </x:c>
      <x:c r="U132" s="15" t="str">
        <x:f>IF(T132&gt;0,"Funded",IF(P132="Eligible","Unfunded",P132))</x:f>
        <x:v>Unfunded</x:v>
      </x:c>
      <x:c r="V132" s="15" t="str">
        <x:f>IF(R132="Include","Conference inclusion: "&amp;S132,IF(R132="Exclude","Conference exclusion: "&amp;S132,IF(Q132&gt;0,H132&amp;" priority rank "&amp;I132&amp;"; whole initiative selected",P132)))</x:f>
        <x:v>Eligible</x:v>
      </x:c>
      <x:c r="W132" s="15" t="str">
        <x:v>EW!19</x:v>
      </x:c>
      <x:c r="X132" s="15" t="str">
        <x:v>HEALTHY</x:v>
      </x:c>
      <x:c r="Y132" s="15" t="str">
        <x:v>HEALTHY — Rank in priority matrix</x:v>
      </x:c>
      <x:c r="Z132" s="15" t="str">
        <x:v>Decomm/Replatforming</x:v>
      </x:c>
      <x:c r="AA132" s="15" t="str">
        <x:v>New Initiative</x:v>
      </x:c>
      <x:c r="AB132" s="15" t="str">
        <x:v>Group Functions &amp; Hyperautomation IT</x:v>
      </x:c>
      <x:c r="AC132" s="15" t="str">
        <x:v>Continue to maintain ARIS licensing high costs while increasing operational inefficiencies (2m/year)</x:v>
      </x:c>
      <x:c r="AD132" s="15" t="str">
        <x:v>Aris is an expensive system which we're looking to exit and doesn't fulfill the needs of a doc-based QMS management system effectively</x:v>
      </x:c>
      <x:c r="AE132" s="15" t="str">
        <x:v>Replacement of QMS use of Aris (separate from process framework)</x:v>
      </x:c>
      <x:c r="AF132" s="15" t="str">
        <x:v>Continue to maintain ARIS licensing high costs while increasing operational inefficiencies (2m/year) | Aris is an expensive system which we're looking to exit and doesn't fulfill the needs of a doc-based QMS management system effectively | Replacement of QMS use of Aris (separate from process framework)</x:v>
      </x:c>
      <x:c r="AG132" s="15" t="str">
        <x:v>Must Do</x:v>
      </x:c>
      <x:c r="AH132" s="15" t="n">
        <x:v>21</x:v>
      </x:c>
    </x:row>
    <x:row r="133">
      <x:c r="A133" s="15" t="str">
        <x:v>EW-90</x:v>
      </x:c>
      <x:c r="B133" s="15" t="str">
        <x:v>FIN-PSA improvements (cfr issues listed in the audit report)</x:v>
      </x:c>
      <x:c r="C133" s="15" t="str">
        <x:v>EW Led</x:v>
      </x:c>
      <x:c r="D133" s="15" t="str">
        <x:v>Finance</x:v>
      </x:c>
      <x:c r="E133" s="19" t="n">
        <x:v>0.25</x:v>
      </x:c>
      <x:c r="F133" s="19" t="n">
        <x:v>0</x:v>
      </x:c>
      <x:c r="G133" s="22" t="n">
        <x:f>IF(AND(E133&gt;0,ISNUMBER(F133)),F133/E133,"")</x:f>
        <x:v>0</x:v>
      </x:c>
      <x:c r="H133" s="15" t="str">
        <x:v>Hygiene</x:v>
      </x:c>
      <x:c r="I133" s="15" t="n">
        <x:v>76</x:v>
      </x:c>
      <x:c r="J133" s="15" t="n">
        <x:v>5</x:v>
      </x:c>
      <x:c r="K133" s="23" t="n">
        <x:f>IF(G133="",0,IF(G133&lt;1,0,IF(G133&lt;2,20,IF(G133&lt;3,30,IF(G133&lt;5,40,50)))))*'Scenario Controls'!$B$22/50</x:f>
        <x:v>0</x:v>
      </x:c>
      <x:c r="L133" s="23" t="n">
        <x:f>IF(ISNUMBER(SEARCH("Must Do",AG133)),25,IF(ISNUMBER(SEARCH("Must Have",AG133)),18,IF(ISNUMBER(SEARCH("Deprior",AG133)),5,0)))*'Scenario Controls'!$B$23/25</x:f>
        <x:v>25</x:v>
      </x:c>
      <x:c r="M133" s="23" t="n">
        <x:f>J133*'Scenario Controls'!$B$24/15</x:f>
        <x:v>5</x:v>
      </x:c>
      <x:c r="N133" s="23" t="n">
        <x:f>IF(ISNUMBER(SEARCH("HEALTHY",X133)),10,IF(ISNUMBER(SEARCH("CONTAIN",X133)),6,0))*'Scenario Controls'!$B$25/10</x:f>
        <x:v>10</x:v>
      </x:c>
      <x:c r="O133" s="23" t="n">
        <x:f>SUM(K133:N133)</x:f>
        <x:v>40</x:v>
      </x:c>
      <x:c r="P133" s="15" t="str">
        <x:f>IF(OR(B133="",E133&lt;=0),"Evidence missing / not eligible",IF(ISNUMBER(SEARCH("priority TBD",Y133)),"Evidence missing / not eligible",IF(AND(H133="Carryover",NOT(ISNUMBER(F133))),"Evidence missing / not eligible",IF(AND(H133="Carryover",G133&lt;'Scenario Controls'!$B$16),"Evidence missing / not eligible",IF(AND(H133="ROI-Based Portfolio",NOT(ISNUMBER(F133))),"Evidence missing / not eligible",IF(AND(H133="ROI-Based Portfolio",O133&lt;'Scenario Controls'!$B$20),"Evidence missing / not eligible","Eligible"))))))</x:f>
        <x:v>Eligible</x:v>
      </x:c>
      <x:c r="Q133" s="19" t="n">
        <x:f>IF(P133&lt;&gt;"Eligible",0,IF(AND(SUMIFS($Q$5:Q132,$H$5:H132,H133)+E133&lt;=(IF(H133="LFR",'Scenario Controls'!$F$10,IF(H133="Sustain Engineering",'Scenario Controls'!$F$11,IF(H133="Hygiene",'Scenario Controls'!$F$12,1E+99))))*(1+'Scenario Controls'!$B$7),SUM($Q$5:Q132)+E133&lt;='Scenario Controls'!$B$6*(1+'Scenario Controls'!$B$7)),E133,0))</x:f>
        <x:v>0</x:v>
      </x:c>
      <x:c r="R133" s="24" t="str">
        <x:f>'EW Conference'!G93</x:f>
        <x:v>Automatic</x:v>
      </x:c>
      <x:c r="S133" s="24" t="str">
        <x:f>'EW Conference'!H93</x:f>
      </x:c>
      <x:c r="T133" s="19" t="n">
        <x:f>IF(R133="Exclude",0,IF(R133="Include",E133,Q133))</x:f>
        <x:v>0</x:v>
      </x:c>
      <x:c r="U133" s="15" t="str">
        <x:f>IF(T133&gt;0,"Funded",IF(P133="Eligible","Unfunded",P133))</x:f>
        <x:v>Unfunded</x:v>
      </x:c>
      <x:c r="V133" s="15" t="str">
        <x:f>IF(R133="Include","Conference inclusion: "&amp;S133,IF(R133="Exclude","Conference exclusion: "&amp;S133,IF(Q133&gt;0,H133&amp;" priority rank "&amp;I133&amp;"; whole initiative selected",P133)))</x:f>
        <x:v>Eligible</x:v>
      </x:c>
      <x:c r="W133" s="15" t="str">
        <x:v>EW!86</x:v>
      </x:c>
      <x:c r="X133" s="15" t="str">
        <x:v>HEALTHY</x:v>
      </x:c>
      <x:c r="Y133" s="15" t="str">
        <x:v>HEALTHY — Rank in priority matrix</x:v>
      </x:c>
      <x:c r="Z133" s="15" t="str">
        <x:v>Continuous Improvement</x:v>
      </x:c>
      <x:c r="AA133" s="15" t="str">
        <x:v>New Initiative</x:v>
      </x:c>
      <x:c r="AB133" s="15" t="str">
        <x:v>Integrated Supply Chain &amp; Finance</x:v>
      </x:c>
      <x:c r="AC133" s="15" t="str">
        <x:v>Inefficient monitoring of time written to PSA transaltes to Financial data sent to MP1</x:v>
      </x:c>
      <x:c r="AD133" s="15" t="str"/>
      <x:c r="AE133" s="15" t="str"/>
      <x:c r="AF133" s="15" t="str">
        <x:v>Inefficient monitoring of time written to PSA transaltes to Financial data sent to MP1</x:v>
      </x:c>
      <x:c r="AG133" s="15" t="str">
        <x:v>Must Do</x:v>
      </x:c>
      <x:c r="AH133" s="15" t="n">
        <x:v>88</x:v>
      </x:c>
    </x:row>
    <x:row r="134">
      <x:c r="A134" s="15" t="str">
        <x:v>EW-111</x:v>
      </x:c>
      <x:c r="B134" s="15" t="str">
        <x:v>Spequinox 2.0</x:v>
      </x:c>
      <x:c r="C134" s="15" t="str">
        <x:v>EW Led</x:v>
      </x:c>
      <x:c r="D134" s="15" t="str">
        <x:v>People function</x:v>
      </x:c>
      <x:c r="E134" s="19" t="n">
        <x:v>0.16</x:v>
      </x:c>
      <x:c r="F134" s="19" t="n">
        <x:v>0</x:v>
      </x:c>
      <x:c r="G134" s="22" t="n">
        <x:f>IF(AND(E134&gt;0,ISNUMBER(F134)),F134/E134,"")</x:f>
        <x:v>0</x:v>
      </x:c>
      <x:c r="H134" s="15" t="str">
        <x:v>Hygiene</x:v>
      </x:c>
      <x:c r="I134" s="15" t="n">
        <x:v>77</x:v>
      </x:c>
      <x:c r="J134" s="15" t="n">
        <x:v>5</x:v>
      </x:c>
      <x:c r="K134" s="23" t="n">
        <x:f>IF(G134="",0,IF(G134&lt;1,0,IF(G134&lt;2,20,IF(G134&lt;3,30,IF(G134&lt;5,40,50)))))*'Scenario Controls'!$B$22/50</x:f>
        <x:v>0</x:v>
      </x:c>
      <x:c r="L134" s="23" t="n">
        <x:f>IF(ISNUMBER(SEARCH("Must Do",AG134)),25,IF(ISNUMBER(SEARCH("Must Have",AG134)),18,IF(ISNUMBER(SEARCH("Deprior",AG134)),5,0)))*'Scenario Controls'!$B$23/25</x:f>
        <x:v>25</x:v>
      </x:c>
      <x:c r="M134" s="23" t="n">
        <x:f>J134*'Scenario Controls'!$B$24/15</x:f>
        <x:v>5</x:v>
      </x:c>
      <x:c r="N134" s="23" t="n">
        <x:f>IF(ISNUMBER(SEARCH("HEALTHY",X134)),10,IF(ISNUMBER(SEARCH("CONTAIN",X134)),6,0))*'Scenario Controls'!$B$25/10</x:f>
        <x:v>10</x:v>
      </x:c>
      <x:c r="O134" s="23" t="n">
        <x:f>SUM(K134:N134)</x:f>
        <x:v>40</x:v>
      </x:c>
      <x:c r="P134" s="15" t="str">
        <x:f>IF(OR(B134="",E134&lt;=0),"Evidence missing / not eligible",IF(ISNUMBER(SEARCH("priority TBD",Y134)),"Evidence missing / not eligible",IF(AND(H134="Carryover",NOT(ISNUMBER(F134))),"Evidence missing / not eligible",IF(AND(H134="Carryover",G134&lt;'Scenario Controls'!$B$16),"Evidence missing / not eligible",IF(AND(H134="ROI-Based Portfolio",NOT(ISNUMBER(F134))),"Evidence missing / not eligible",IF(AND(H134="ROI-Based Portfolio",O134&lt;'Scenario Controls'!$B$20),"Evidence missing / not eligible","Eligible"))))))</x:f>
        <x:v>Eligible</x:v>
      </x:c>
      <x:c r="Q134" s="19" t="n">
        <x:f>IF(P134&lt;&gt;"Eligible",0,IF(AND(SUMIFS($Q$5:Q133,$H$5:H133,H134)+E134&lt;=(IF(H134="LFR",'Scenario Controls'!$F$10,IF(H134="Sustain Engineering",'Scenario Controls'!$F$11,IF(H134="Hygiene",'Scenario Controls'!$F$12,1E+99))))*(1+'Scenario Controls'!$B$7),SUM($Q$5:Q133)+E134&lt;='Scenario Controls'!$B$6*(1+'Scenario Controls'!$B$7)),E134,0))</x:f>
        <x:v>0</x:v>
      </x:c>
      <x:c r="R134" s="24" t="str">
        <x:f>'EW Conference'!G94</x:f>
        <x:v>Automatic</x:v>
      </x:c>
      <x:c r="S134" s="24" t="str">
        <x:f>'EW Conference'!H94</x:f>
      </x:c>
      <x:c r="T134" s="19" t="n">
        <x:f>IF(R134="Exclude",0,IF(R134="Include",E134,Q134))</x:f>
        <x:v>0</x:v>
      </x:c>
      <x:c r="U134" s="15" t="str">
        <x:f>IF(T134&gt;0,"Funded",IF(P134="Eligible","Unfunded",P134))</x:f>
        <x:v>Unfunded</x:v>
      </x:c>
      <x:c r="V134" s="15" t="str">
        <x:f>IF(R134="Include","Conference inclusion: "&amp;S134,IF(R134="Exclude","Conference exclusion: "&amp;S134,IF(Q134&gt;0,H134&amp;" priority rank "&amp;I134&amp;"; whole initiative selected",P134)))</x:f>
        <x:v>Eligible</x:v>
      </x:c>
      <x:c r="W134" s="15" t="str">
        <x:v>EW!107</x:v>
      </x:c>
      <x:c r="X134" s="15" t="str">
        <x:v>HEALTHY</x:v>
      </x:c>
      <x:c r="Y134" s="15" t="str">
        <x:v>HEALTHY — Rank in priority matrix</x:v>
      </x:c>
      <x:c r="Z134" s="15" t="str">
        <x:v>Continuous Improvement</x:v>
      </x:c>
      <x:c r="AA134" s="15" t="str">
        <x:v>New Initiative</x:v>
      </x:c>
      <x:c r="AB134" s="15" t="str">
        <x:v>Group Functions &amp; Hyperautomation IT</x:v>
      </x:c>
      <x:c r="AC134" s="15" t="str">
        <x:v>Strategic priorities of PF will not be met.</x:v>
      </x:c>
      <x:c r="AD134" s="15" t="str">
        <x:v>Apply the EU directive globally and align it with the Rewards Philosophy.</x:v>
      </x:c>
      <x:c r="AE134" s="15" t="str">
        <x:v>Globalize Phase 2.</x:v>
      </x:c>
      <x:c r="AF134" s="15" t="str">
        <x:v>Strategic priorities of PF will not be met. | Apply the EU directive globally and align it with the Rewards Philosophy. | Globalize Phase 2.</x:v>
      </x:c>
      <x:c r="AG134" s="15" t="str">
        <x:v>Must Do</x:v>
      </x:c>
      <x:c r="AH134" s="15" t="n">
        <x:v>109</x:v>
      </x:c>
    </x:row>
    <x:row r="135">
      <x:c r="A135" s="15" t="str">
        <x:v>EW-113</x:v>
      </x:c>
      <x:c r="B135" s="15" t="str">
        <x:v>Content (PRX merge into PCP)</x:v>
      </x:c>
      <x:c r="C135" s="15" t="str">
        <x:v>EW Led</x:v>
      </x:c>
      <x:c r="D135" s="15" t="str">
        <x:v>Information Technology</x:v>
      </x:c>
      <x:c r="E135" s="19" t="n">
        <x:v>0.3</x:v>
      </x:c>
      <x:c r="F135" s="19" t="n">
        <x:v>0</x:v>
      </x:c>
      <x:c r="G135" s="22" t="n">
        <x:f>IF(AND(E135&gt;0,ISNUMBER(F135)),F135/E135,"")</x:f>
        <x:v>0</x:v>
      </x:c>
      <x:c r="H135" s="15" t="str">
        <x:v>Hygiene</x:v>
      </x:c>
      <x:c r="I135" s="15" t="n">
        <x:v>78</x:v>
      </x:c>
      <x:c r="J135" s="15" t="n">
        <x:v>5</x:v>
      </x:c>
      <x:c r="K135" s="23" t="n">
        <x:f>IF(G135="",0,IF(G135&lt;1,0,IF(G135&lt;2,20,IF(G135&lt;3,30,IF(G135&lt;5,40,50)))))*'Scenario Controls'!$B$22/50</x:f>
        <x:v>0</x:v>
      </x:c>
      <x:c r="L135" s="23" t="n">
        <x:f>IF(ISNUMBER(SEARCH("Must Do",AG135)),25,IF(ISNUMBER(SEARCH("Must Have",AG135)),18,IF(ISNUMBER(SEARCH("Deprior",AG135)),5,0)))*'Scenario Controls'!$B$23/25</x:f>
        <x:v>25</x:v>
      </x:c>
      <x:c r="M135" s="23" t="n">
        <x:f>J135*'Scenario Controls'!$B$24/15</x:f>
        <x:v>5</x:v>
      </x:c>
      <x:c r="N135" s="23" t="n">
        <x:f>IF(ISNUMBER(SEARCH("HEALTHY",X135)),10,IF(ISNUMBER(SEARCH("CONTAIN",X135)),6,0))*'Scenario Controls'!$B$25/10</x:f>
        <x:v>10</x:v>
      </x:c>
      <x:c r="O135" s="23" t="n">
        <x:f>SUM(K135:N135)</x:f>
        <x:v>40</x:v>
      </x:c>
      <x:c r="P135" s="15" t="str">
        <x:f>IF(OR(B135="",E135&lt;=0),"Evidence missing / not eligible",IF(ISNUMBER(SEARCH("priority TBD",Y135)),"Evidence missing / not eligible",IF(AND(H135="Carryover",NOT(ISNUMBER(F135))),"Evidence missing / not eligible",IF(AND(H135="Carryover",G135&lt;'Scenario Controls'!$B$16),"Evidence missing / not eligible",IF(AND(H135="ROI-Based Portfolio",NOT(ISNUMBER(F135))),"Evidence missing / not eligible",IF(AND(H135="ROI-Based Portfolio",O135&lt;'Scenario Controls'!$B$20),"Evidence missing / not eligible","Eligible"))))))</x:f>
        <x:v>Eligible</x:v>
      </x:c>
      <x:c r="Q135" s="19" t="n">
        <x:f>IF(P135&lt;&gt;"Eligible",0,IF(AND(SUMIFS($Q$5:Q134,$H$5:H134,H135)+E135&lt;=(IF(H135="LFR",'Scenario Controls'!$F$10,IF(H135="Sustain Engineering",'Scenario Controls'!$F$11,IF(H135="Hygiene",'Scenario Controls'!$F$12,1E+99))))*(1+'Scenario Controls'!$B$7),SUM($Q$5:Q134)+E135&lt;='Scenario Controls'!$B$6*(1+'Scenario Controls'!$B$7)),E135,0))</x:f>
        <x:v>0</x:v>
      </x:c>
      <x:c r="R135" s="24" t="str">
        <x:f>'EW Conference'!G95</x:f>
        <x:v>Automatic</x:v>
      </x:c>
      <x:c r="S135" s="24" t="str">
        <x:f>'EW Conference'!H95</x:f>
      </x:c>
      <x:c r="T135" s="19" t="n">
        <x:f>IF(R135="Exclude",0,IF(R135="Include",E135,Q135))</x:f>
        <x:v>0</x:v>
      </x:c>
      <x:c r="U135" s="15" t="str">
        <x:f>IF(T135&gt;0,"Funded",IF(P135="Eligible","Unfunded",P135))</x:f>
        <x:v>Unfunded</x:v>
      </x:c>
      <x:c r="V135" s="15" t="str">
        <x:f>IF(R135="Include","Conference inclusion: "&amp;S135,IF(R135="Exclude","Conference exclusion: "&amp;S135,IF(Q135&gt;0,H135&amp;" priority rank "&amp;I135&amp;"; whole initiative selected",P135)))</x:f>
        <x:v>Eligible</x:v>
      </x:c>
      <x:c r="W135" s="15" t="str">
        <x:v>EW!109</x:v>
      </x:c>
      <x:c r="X135" s="15" t="str">
        <x:v>HEALTHY</x:v>
      </x:c>
      <x:c r="Y135" s="15" t="str">
        <x:v>HEALTHY — Rank in priority matrix</x:v>
      </x:c>
      <x:c r="Z135" s="15" t="str">
        <x:v>Decomm/Replatforming</x:v>
      </x:c>
      <x:c r="AA135" s="15" t="str">
        <x:v>New Initiative</x:v>
      </x:c>
      <x:c r="AB135" s="15" t="str">
        <x:v>Innovation and Digital IT</x:v>
      </x:c>
      <x:c r="AC135" s="15" t="str">
        <x:v>Commercial content process will break down</x:v>
      </x:c>
      <x:c r="AD135" s="15" t="str">
        <x:v>PRX has reached end of life.</x:v>
      </x:c>
      <x:c r="AE135" s="15" t="str">
        <x:v>Move PRX functions to PCP and decommission PRX (SE000719).</x:v>
      </x:c>
      <x:c r="AF135" s="15" t="str">
        <x:v>Commercial content process will break down | PRX has reached end of life. | Move PRX functions to PCP and decommission PRX (SE000719).</x:v>
      </x:c>
      <x:c r="AG135" s="15" t="str">
        <x:v>Must Do</x:v>
      </x:c>
      <x:c r="AH135" s="15" t="n">
        <x:v>111</x:v>
      </x:c>
    </x:row>
    <x:row r="136">
      <x:c r="A136" s="15" t="str">
        <x:v>EW-136</x:v>
      </x:c>
      <x:c r="B136" s="15" t="str">
        <x:v>FIN-Managed Services automation</x:v>
      </x:c>
      <x:c r="C136" s="15" t="str">
        <x:v>EW Led</x:v>
      </x:c>
      <x:c r="D136" s="15" t="str">
        <x:v>Finance</x:v>
      </x:c>
      <x:c r="E136" s="19" t="n">
        <x:v>0.3</x:v>
      </x:c>
      <x:c r="F136" s="19" t="n">
        <x:v>0</x:v>
      </x:c>
      <x:c r="G136" s="22" t="n">
        <x:f>IF(AND(E136&gt;0,ISNUMBER(F136)),F136/E136,"")</x:f>
        <x:v>0</x:v>
      </x:c>
      <x:c r="H136" s="15" t="str">
        <x:v>Hygiene</x:v>
      </x:c>
      <x:c r="I136" s="15" t="n">
        <x:v>79</x:v>
      </x:c>
      <x:c r="J136" s="15" t="n">
        <x:v>5</x:v>
      </x:c>
      <x:c r="K136" s="23" t="n">
        <x:f>IF(G136="",0,IF(G136&lt;1,0,IF(G136&lt;2,20,IF(G136&lt;3,30,IF(G136&lt;5,40,50)))))*'Scenario Controls'!$B$22/50</x:f>
        <x:v>0</x:v>
      </x:c>
      <x:c r="L136" s="23" t="n">
        <x:f>IF(ISNUMBER(SEARCH("Must Do",AG136)),25,IF(ISNUMBER(SEARCH("Must Have",AG136)),18,IF(ISNUMBER(SEARCH("Deprior",AG136)),5,0)))*'Scenario Controls'!$B$23/25</x:f>
        <x:v>25</x:v>
      </x:c>
      <x:c r="M136" s="23" t="n">
        <x:f>J136*'Scenario Controls'!$B$24/15</x:f>
        <x:v>5</x:v>
      </x:c>
      <x:c r="N136" s="23" t="n">
        <x:f>IF(ISNUMBER(SEARCH("HEALTHY",X136)),10,IF(ISNUMBER(SEARCH("CONTAIN",X136)),6,0))*'Scenario Controls'!$B$25/10</x:f>
        <x:v>10</x:v>
      </x:c>
      <x:c r="O136" s="23" t="n">
        <x:f>SUM(K136:N136)</x:f>
        <x:v>40</x:v>
      </x:c>
      <x:c r="P136" s="15" t="str">
        <x:f>IF(OR(B136="",E136&lt;=0),"Evidence missing / not eligible",IF(ISNUMBER(SEARCH("priority TBD",Y136)),"Evidence missing / not eligible",IF(AND(H136="Carryover",NOT(ISNUMBER(F136))),"Evidence missing / not eligible",IF(AND(H136="Carryover",G136&lt;'Scenario Controls'!$B$16),"Evidence missing / not eligible",IF(AND(H136="ROI-Based Portfolio",NOT(ISNUMBER(F136))),"Evidence missing / not eligible",IF(AND(H136="ROI-Based Portfolio",O136&lt;'Scenario Controls'!$B$20),"Evidence missing / not eligible","Eligible"))))))</x:f>
        <x:v>Eligible</x:v>
      </x:c>
      <x:c r="Q136" s="19" t="n">
        <x:f>IF(P136&lt;&gt;"Eligible",0,IF(AND(SUMIFS($Q$5:Q135,$H$5:H135,H136)+E136&lt;=(IF(H136="LFR",'Scenario Controls'!$F$10,IF(H136="Sustain Engineering",'Scenario Controls'!$F$11,IF(H136="Hygiene",'Scenario Controls'!$F$12,1E+99))))*(1+'Scenario Controls'!$B$7),SUM($Q$5:Q135)+E136&lt;='Scenario Controls'!$B$6*(1+'Scenario Controls'!$B$7)),E136,0))</x:f>
        <x:v>0</x:v>
      </x:c>
      <x:c r="R136" s="24" t="str">
        <x:f>'EW Conference'!G96</x:f>
        <x:v>Automatic</x:v>
      </x:c>
      <x:c r="S136" s="24" t="str">
        <x:f>'EW Conference'!H96</x:f>
      </x:c>
      <x:c r="T136" s="19" t="n">
        <x:f>IF(R136="Exclude",0,IF(R136="Include",E136,Q136))</x:f>
        <x:v>0</x:v>
      </x:c>
      <x:c r="U136" s="15" t="str">
        <x:f>IF(T136&gt;0,"Funded",IF(P136="Eligible","Unfunded",P136))</x:f>
        <x:v>Unfunded</x:v>
      </x:c>
      <x:c r="V136" s="15" t="str">
        <x:f>IF(R136="Include","Conference inclusion: "&amp;S136,IF(R136="Exclude","Conference exclusion: "&amp;S136,IF(Q136&gt;0,H136&amp;" priority rank "&amp;I136&amp;"; whole initiative selected",P136)))</x:f>
        <x:v>Eligible</x:v>
      </x:c>
      <x:c r="W136" s="15" t="str">
        <x:v>EW!132</x:v>
      </x:c>
      <x:c r="X136" s="15" t="str">
        <x:v>HEALTHY</x:v>
      </x:c>
      <x:c r="Y136" s="15" t="str">
        <x:v>HEALTHY — Rank in priority matrix</x:v>
      </x:c>
      <x:c r="Z136" s="15" t="str">
        <x:v>Continuous Improvement</x:v>
      </x:c>
      <x:c r="AA136" s="15" t="str">
        <x:v>New Initiative</x:v>
      </x:c>
      <x:c r="AB136" s="15" t="str">
        <x:v>Integrated Supply Chain &amp; Finance</x:v>
      </x:c>
      <x:c r="AC136" s="15" t="str">
        <x:v>Revenue recognition errors risk continues; Manual and error-prone processes; TAO requirements unmet; UIPE and capitalization issues persist;</x:v>
      </x:c>
      <x:c r="AD136" s="15" t="str"/>
      <x:c r="AE136" s="15" t="str"/>
      <x:c r="AF136" s="15" t="str">
        <x:v>Revenue recognition errors risk continues; Manual and error-prone processes; TAO requirements unmet; UIPE and capitalization issues persist;</x:v>
      </x:c>
      <x:c r="AG136" s="15" t="str">
        <x:v>Must Do</x:v>
      </x:c>
      <x:c r="AH136" s="15" t="n">
        <x:v>134</x:v>
      </x:c>
    </x:row>
    <x:row r="137">
      <x:c r="A137" s="15" t="str">
        <x:v>EW-157</x:v>
      </x:c>
      <x:c r="B137" s="15" t="str">
        <x:v>PPM</x:v>
      </x:c>
      <x:c r="C137" s="15" t="str">
        <x:v>EW Led</x:v>
      </x:c>
      <x:c r="D137" s="15" t="str">
        <x:v>People function</x:v>
      </x:c>
      <x:c r="E137" s="19" t="n">
        <x:v>0.195</x:v>
      </x:c>
      <x:c r="F137" s="19" t="n">
        <x:v>0</x:v>
      </x:c>
      <x:c r="G137" s="22" t="n">
        <x:f>IF(AND(E137&gt;0,ISNUMBER(F137)),F137/E137,"")</x:f>
        <x:v>0</x:v>
      </x:c>
      <x:c r="H137" s="15" t="str">
        <x:v>Hygiene</x:v>
      </x:c>
      <x:c r="I137" s="15" t="n">
        <x:v>80</x:v>
      </x:c>
      <x:c r="J137" s="15" t="n">
        <x:v>5</x:v>
      </x:c>
      <x:c r="K137" s="23" t="n">
        <x:f>IF(G137="",0,IF(G137&lt;1,0,IF(G137&lt;2,20,IF(G137&lt;3,30,IF(G137&lt;5,40,50)))))*'Scenario Controls'!$B$22/50</x:f>
        <x:v>0</x:v>
      </x:c>
      <x:c r="L137" s="23" t="n">
        <x:f>IF(ISNUMBER(SEARCH("Must Do",AG137)),25,IF(ISNUMBER(SEARCH("Must Have",AG137)),18,IF(ISNUMBER(SEARCH("Deprior",AG137)),5,0)))*'Scenario Controls'!$B$23/25</x:f>
        <x:v>25</x:v>
      </x:c>
      <x:c r="M137" s="23" t="n">
        <x:f>J137*'Scenario Controls'!$B$24/15</x:f>
        <x:v>5</x:v>
      </x:c>
      <x:c r="N137" s="23" t="n">
        <x:f>IF(ISNUMBER(SEARCH("HEALTHY",X137)),10,IF(ISNUMBER(SEARCH("CONTAIN",X137)),6,0))*'Scenario Controls'!$B$25/10</x:f>
        <x:v>10</x:v>
      </x:c>
      <x:c r="O137" s="23" t="n">
        <x:f>SUM(K137:N137)</x:f>
        <x:v>40</x:v>
      </x:c>
      <x:c r="P137" s="15" t="str">
        <x:f>IF(OR(B137="",E137&lt;=0),"Evidence missing / not eligible",IF(ISNUMBER(SEARCH("priority TBD",Y137)),"Evidence missing / not eligible",IF(AND(H137="Carryover",NOT(ISNUMBER(F137))),"Evidence missing / not eligible",IF(AND(H137="Carryover",G137&lt;'Scenario Controls'!$B$16),"Evidence missing / not eligible",IF(AND(H137="ROI-Based Portfolio",NOT(ISNUMBER(F137))),"Evidence missing / not eligible",IF(AND(H137="ROI-Based Portfolio",O137&lt;'Scenario Controls'!$B$20),"Evidence missing / not eligible","Eligible"))))))</x:f>
        <x:v>Eligible</x:v>
      </x:c>
      <x:c r="Q137" s="19" t="n">
        <x:f>IF(P137&lt;&gt;"Eligible",0,IF(AND(SUMIFS($Q$5:Q136,$H$5:H136,H137)+E137&lt;=(IF(H137="LFR",'Scenario Controls'!$F$10,IF(H137="Sustain Engineering",'Scenario Controls'!$F$11,IF(H137="Hygiene",'Scenario Controls'!$F$12,1E+99))))*(1+'Scenario Controls'!$B$7),SUM($Q$5:Q136)+E137&lt;='Scenario Controls'!$B$6*(1+'Scenario Controls'!$B$7)),E137,0))</x:f>
        <x:v>0</x:v>
      </x:c>
      <x:c r="R137" s="24" t="str">
        <x:f>'EW Conference'!G97</x:f>
        <x:v>Automatic</x:v>
      </x:c>
      <x:c r="S137" s="24" t="str">
        <x:f>'EW Conference'!H97</x:f>
      </x:c>
      <x:c r="T137" s="19" t="n">
        <x:f>IF(R137="Exclude",0,IF(R137="Include",E137,Q137))</x:f>
        <x:v>0</x:v>
      </x:c>
      <x:c r="U137" s="15" t="str">
        <x:f>IF(T137&gt;0,"Funded",IF(P137="Eligible","Unfunded",P137))</x:f>
        <x:v>Unfunded</x:v>
      </x:c>
      <x:c r="V137" s="15" t="str">
        <x:f>IF(R137="Include","Conference inclusion: "&amp;S137,IF(R137="Exclude","Conference exclusion: "&amp;S137,IF(Q137&gt;0,H137&amp;" priority rank "&amp;I137&amp;"; whole initiative selected",P137)))</x:f>
        <x:v>Eligible</x:v>
      </x:c>
      <x:c r="W137" s="15" t="str">
        <x:v>EW!153</x:v>
      </x:c>
      <x:c r="X137" s="15" t="str">
        <x:v>HEALTHY</x:v>
      </x:c>
      <x:c r="Y137" s="15" t="str">
        <x:v>HEALTHY — Rank in priority matrix</x:v>
      </x:c>
      <x:c r="Z137" s="15" t="str">
        <x:v>Continuous Improvement</x:v>
      </x:c>
      <x:c r="AA137" s="15" t="str">
        <x:v>New Initiative</x:v>
      </x:c>
      <x:c r="AB137" s="15" t="str">
        <x:v>Group Functions &amp; Hyperautomation IT</x:v>
      </x:c>
      <x:c r="AC137" s="15" t="str">
        <x:v>Strategic priorities of PF will not be met.</x:v>
      </x:c>
      <x:c r="AD137" s="15" t="str">
        <x:v>Improve performance during the year through reviews, development and guidance, while meeting governance and local requirements.</x:v>
      </x:c>
      <x:c r="AE137" s="15" t="str">
        <x:v>Unify performance activities and add AI summaries, personalized guidance, possible Career Hub integration and updated P&amp;D expectations.</x:v>
      </x:c>
      <x:c r="AF137" s="15" t="str">
        <x:v>Strategic priorities of PF will not be met. | Improve performance during the year through reviews, development and guidance, while meeting governance and local requirements. | Unify performance activities and add AI summaries, personalized guidance, possible Career Hub integration and updated P&amp;D expectations.</x:v>
      </x:c>
      <x:c r="AG137" s="15" t="str">
        <x:v>Must Do</x:v>
      </x:c>
      <x:c r="AH137" s="15" t="n">
        <x:v>155</x:v>
      </x:c>
    </x:row>
    <x:row r="138">
      <x:c r="A138" s="15" t="str">
        <x:v>EW-167</x:v>
      </x:c>
      <x:c r="B138" s="15" t="str">
        <x:v>Veeva-Seismic-PAL Integration API upgrade</x:v>
      </x:c>
      <x:c r="C138" s="15" t="str">
        <x:v>EW Led</x:v>
      </x:c>
      <x:c r="D138" s="15" t="str"/>
      <x:c r="E138" s="19" t="n">
        <x:v>0.05</x:v>
      </x:c>
      <x:c r="F138" s="19" t="n">
        <x:v>0</x:v>
      </x:c>
      <x:c r="G138" s="22" t="n">
        <x:f>IF(AND(E138&gt;0,ISNUMBER(F138)),F138/E138,"")</x:f>
        <x:v>0</x:v>
      </x:c>
      <x:c r="H138" s="15" t="str">
        <x:v>Hygiene</x:v>
      </x:c>
      <x:c r="I138" s="15" t="n">
        <x:v>81</x:v>
      </x:c>
      <x:c r="J138" s="15" t="n">
        <x:v>5</x:v>
      </x:c>
      <x:c r="K138" s="23" t="n">
        <x:f>IF(G138="",0,IF(G138&lt;1,0,IF(G138&lt;2,20,IF(G138&lt;3,30,IF(G138&lt;5,40,50)))))*'Scenario Controls'!$B$22/50</x:f>
        <x:v>0</x:v>
      </x:c>
      <x:c r="L138" s="23" t="n">
        <x:f>IF(ISNUMBER(SEARCH("Must Do",AG138)),25,IF(ISNUMBER(SEARCH("Must Have",AG138)),18,IF(ISNUMBER(SEARCH("Deprior",AG138)),5,0)))*'Scenario Controls'!$B$23/25</x:f>
        <x:v>25</x:v>
      </x:c>
      <x:c r="M138" s="23" t="n">
        <x:f>J138*'Scenario Controls'!$B$24/15</x:f>
        <x:v>5</x:v>
      </x:c>
      <x:c r="N138" s="23" t="n">
        <x:f>IF(ISNUMBER(SEARCH("HEALTHY",X138)),10,IF(ISNUMBER(SEARCH("CONTAIN",X138)),6,0))*'Scenario Controls'!$B$25/10</x:f>
        <x:v>10</x:v>
      </x:c>
      <x:c r="O138" s="23" t="n">
        <x:f>SUM(K138:N138)</x:f>
        <x:v>40</x:v>
      </x:c>
      <x:c r="P138" s="15" t="str">
        <x:f>IF(OR(B138="",E138&lt;=0),"Evidence missing / not eligible",IF(ISNUMBER(SEARCH("priority TBD",Y138)),"Evidence missing / not eligible",IF(AND(H138="Carryover",NOT(ISNUMBER(F138))),"Evidence missing / not eligible",IF(AND(H138="Carryover",G138&lt;'Scenario Controls'!$B$16),"Evidence missing / not eligible",IF(AND(H138="ROI-Based Portfolio",NOT(ISNUMBER(F138))),"Evidence missing / not eligible",IF(AND(H138="ROI-Based Portfolio",O138&lt;'Scenario Controls'!$B$20),"Evidence missing / not eligible","Eligible"))))))</x:f>
        <x:v>Eligible</x:v>
      </x:c>
      <x:c r="Q138" s="19" t="n">
        <x:f>IF(P138&lt;&gt;"Eligible",0,IF(AND(SUMIFS($Q$5:Q137,$H$5:H137,H138)+E138&lt;=(IF(H138="LFR",'Scenario Controls'!$F$10,IF(H138="Sustain Engineering",'Scenario Controls'!$F$11,IF(H138="Hygiene",'Scenario Controls'!$F$12,1E+99))))*(1+'Scenario Controls'!$B$7),SUM($Q$5:Q137)+E138&lt;='Scenario Controls'!$B$6*(1+'Scenario Controls'!$B$7)),E138,0))</x:f>
        <x:v>0</x:v>
      </x:c>
      <x:c r="R138" s="24" t="str">
        <x:f>'EW Conference'!G98</x:f>
        <x:v>Automatic</x:v>
      </x:c>
      <x:c r="S138" s="24" t="str">
        <x:f>'EW Conference'!H98</x:f>
      </x:c>
      <x:c r="T138" s="19" t="n">
        <x:f>IF(R138="Exclude",0,IF(R138="Include",E138,Q138))</x:f>
        <x:v>0</x:v>
      </x:c>
      <x:c r="U138" s="15" t="str">
        <x:f>IF(T138&gt;0,"Funded",IF(P138="Eligible","Unfunded",P138))</x:f>
        <x:v>Unfunded</x:v>
      </x:c>
      <x:c r="V138" s="15" t="str">
        <x:f>IF(R138="Include","Conference inclusion: "&amp;S138,IF(R138="Exclude","Conference exclusion: "&amp;S138,IF(Q138&gt;0,H138&amp;" priority rank "&amp;I138&amp;"; whole initiative selected",P138)))</x:f>
        <x:v>Eligible</x:v>
      </x:c>
      <x:c r="W138" s="15" t="str">
        <x:v>EW!163</x:v>
      </x:c>
      <x:c r="X138" s="15" t="str">
        <x:v>HEALTHY</x:v>
      </x:c>
      <x:c r="Y138" s="15" t="str">
        <x:v>HEALTHY — Rank in priority matrix</x:v>
      </x:c>
      <x:c r="Z138" s="15" t="str">
        <x:v>Continuous Improvement</x:v>
      </x:c>
      <x:c r="AA138" s="15" t="str">
        <x:v>Carry Over</x:v>
      </x:c>
      <x:c r="AB138" s="15" t="str">
        <x:v>Innovation and Digital IT</x:v>
      </x:c>
      <x:c r="AC138" s="15" t="str">
        <x:v>Making non compliant marketing claims</x:v>
      </x:c>
      <x:c r="AD138" s="15" t="str"/>
      <x:c r="AE138" s="15" t="str"/>
      <x:c r="AF138" s="15" t="str">
        <x:v>Making non compliant marketing claims</x:v>
      </x:c>
      <x:c r="AG138" s="15" t="str">
        <x:v>Must Do</x:v>
      </x:c>
      <x:c r="AH138" s="15" t="n">
        <x:v>165</x:v>
      </x:c>
    </x:row>
    <x:row r="139">
      <x:c r="A139" s="15" t="str">
        <x:v>EW-164</x:v>
      </x:c>
      <x:c r="B139" s="15" t="str">
        <x:v>Lexa AI - GCR Legal Review &amp; Compliance Assistant</x:v>
      </x:c>
      <x:c r="C139" s="15" t="str">
        <x:v>EW Led</x:v>
      </x:c>
      <x:c r="D139" s="15" t="str">
        <x:v>Legal</x:v>
      </x:c>
      <x:c r="E139" s="19" t="n">
        <x:v>0.15</x:v>
      </x:c>
      <x:c r="F139" s="19" t="n">
        <x:v>0</x:v>
      </x:c>
      <x:c r="G139" s="22" t="n">
        <x:f>IF(AND(E139&gt;0,ISNUMBER(F139)),F139/E139,"")</x:f>
        <x:v>0</x:v>
      </x:c>
      <x:c r="H139" s="15" t="str">
        <x:v>Hygiene</x:v>
      </x:c>
      <x:c r="I139" s="15" t="n">
        <x:v>82</x:v>
      </x:c>
      <x:c r="J139" s="15" t="n">
        <x:v>10</x:v>
      </x:c>
      <x:c r="K139" s="23" t="n">
        <x:f>IF(G139="",0,IF(G139&lt;1,0,IF(G139&lt;2,20,IF(G139&lt;3,30,IF(G139&lt;5,40,50)))))*'Scenario Controls'!$B$22/50</x:f>
        <x:v>0</x:v>
      </x:c>
      <x:c r="L139" s="23" t="n">
        <x:f>IF(ISNUMBER(SEARCH("Must Do",AG139)),25,IF(ISNUMBER(SEARCH("Must Have",AG139)),18,IF(ISNUMBER(SEARCH("Deprior",AG139)),5,0)))*'Scenario Controls'!$B$23/25</x:f>
        <x:v>18</x:v>
      </x:c>
      <x:c r="M139" s="23" t="n">
        <x:f>J139*'Scenario Controls'!$B$24/15</x:f>
        <x:v>10</x:v>
      </x:c>
      <x:c r="N139" s="23" t="n">
        <x:f>IF(ISNUMBER(SEARCH("HEALTHY",X139)),10,IF(ISNUMBER(SEARCH("CONTAIN",X139)),6,0))*'Scenario Controls'!$B$25/10</x:f>
        <x:v>10</x:v>
      </x:c>
      <x:c r="O139" s="23" t="n">
        <x:f>SUM(K139:N139)</x:f>
        <x:v>38</x:v>
      </x:c>
      <x:c r="P139" s="15" t="str">
        <x:f>IF(OR(B139="",E139&lt;=0),"Evidence missing / not eligible",IF(ISNUMBER(SEARCH("priority TBD",Y139)),"Evidence missing / not eligible",IF(AND(H139="Carryover",NOT(ISNUMBER(F139))),"Evidence missing / not eligible",IF(AND(H139="Carryover",G139&lt;'Scenario Controls'!$B$16),"Evidence missing / not eligible",IF(AND(H139="ROI-Based Portfolio",NOT(ISNUMBER(F139))),"Evidence missing / not eligible",IF(AND(H139="ROI-Based Portfolio",O139&lt;'Scenario Controls'!$B$20),"Evidence missing / not eligible","Eligible"))))))</x:f>
        <x:v>Eligible</x:v>
      </x:c>
      <x:c r="Q139" s="19" t="n">
        <x:f>IF(P139&lt;&gt;"Eligible",0,IF(AND(SUMIFS($Q$5:Q138,$H$5:H138,H139)+E139&lt;=(IF(H139="LFR",'Scenario Controls'!$F$10,IF(H139="Sustain Engineering",'Scenario Controls'!$F$11,IF(H139="Hygiene",'Scenario Controls'!$F$12,1E+99))))*(1+'Scenario Controls'!$B$7),SUM($Q$5:Q138)+E139&lt;='Scenario Controls'!$B$6*(1+'Scenario Controls'!$B$7)),E139,0))</x:f>
        <x:v>0</x:v>
      </x:c>
      <x:c r="R139" s="24" t="str">
        <x:f>'EW Conference'!G99</x:f>
        <x:v>Automatic</x:v>
      </x:c>
      <x:c r="S139" s="24" t="str">
        <x:f>'EW Conference'!H99</x:f>
      </x:c>
      <x:c r="T139" s="19" t="n">
        <x:f>IF(R139="Exclude",0,IF(R139="Include",E139,Q139))</x:f>
        <x:v>0</x:v>
      </x:c>
      <x:c r="U139" s="15" t="str">
        <x:f>IF(T139&gt;0,"Funded",IF(P139="Eligible","Unfunded",P139))</x:f>
        <x:v>Unfunded</x:v>
      </x:c>
      <x:c r="V139" s="15" t="str">
        <x:f>IF(R139="Include","Conference inclusion: "&amp;S139,IF(R139="Exclude","Conference exclusion: "&amp;S139,IF(Q139&gt;0,H139&amp;" priority rank "&amp;I139&amp;"; whole initiative selected",P139)))</x:f>
        <x:v>Eligible</x:v>
      </x:c>
      <x:c r="W139" s="15" t="str">
        <x:v>EW!160</x:v>
      </x:c>
      <x:c r="X139" s="15" t="str">
        <x:v>HEALTHY</x:v>
      </x:c>
      <x:c r="Y139" s="15" t="str">
        <x:v>HEALTHY — Rank in priority matrix</x:v>
      </x:c>
      <x:c r="Z139" s="15" t="str">
        <x:v>Continuous Improvement</x:v>
      </x:c>
      <x:c r="AA139" s="15" t="str"/>
      <x:c r="AB139" s="15" t="str">
        <x:v>Greater China IT</x:v>
      </x:c>
      <x:c r="AC139" s="15" t="str">
        <x:v>Overdue legal reviews and law suit handling for contracts, partnerships and other business critical engagement that requires legal support</x:v>
      </x:c>
      <x:c r="AD139" s="15" t="str">
        <x:v>Wasted time to search for the latest legal reference, review and compare notes on submitted document, track differences and provide timely feedback</x:v>
      </x:c>
      <x:c r="AE139" s="15" t="str">
        <x:v>Lexa AI is an AI-powered Legal Contract Intelligence Platform that enables intelligent contract search, comparison, risk assessment, and clause recommendation, significantly improving legal productivity, compliance consistency, and contract review efficiency</x:v>
      </x:c>
      <x:c r="AF139" s="15" t="str">
        <x:v>Overdue legal reviews and law suit handling for contracts, partnerships and other business critical engagement that requires legal support | Wasted time to search for the latest legal reference, review and compare notes on submitted document, track differences and provide timely feedback | Lexa AI is an AI-powered Legal Contract Intelligence Platform that enables intelligent contract search, comparison, risk assessment, and clause recommendation, significantly improving legal productivity, compliance consistency, and contract review efficiency</x:v>
      </x:c>
      <x:c r="AG139" s="15" t="str">
        <x:v>Must Have</x:v>
      </x:c>
      <x:c r="AH139" s="15" t="n">
        <x:v>162</x:v>
      </x:c>
    </x:row>
    <x:row r="140">
      <x:c r="A140" s="15" t="str">
        <x:v>EW-175</x:v>
      </x:c>
      <x:c r="B140" s="15" t="str">
        <x:v>Corporate website (Investors, Legal &amp; Regulatory pages, ExCo pages, News, Museum, Foundation etc.)</x:v>
      </x:c>
      <x:c r="C140" s="15" t="str">
        <x:v>EW Led</x:v>
      </x:c>
      <x:c r="D140" s="15" t="str">
        <x:v>Communications &amp; Brand</x:v>
      </x:c>
      <x:c r="E140" s="19" t="n">
        <x:v>0.6</x:v>
      </x:c>
      <x:c r="F140" s="19" t="n">
        <x:v>0</x:v>
      </x:c>
      <x:c r="G140" s="22" t="n">
        <x:f>IF(AND(E140&gt;0,ISNUMBER(F140)),F140/E140,"")</x:f>
        <x:v>0</x:v>
      </x:c>
      <x:c r="H140" s="15" t="str">
        <x:v>Hygiene</x:v>
      </x:c>
      <x:c r="I140" s="15" t="n">
        <x:v>83</x:v>
      </x:c>
      <x:c r="J140" s="15" t="n">
        <x:v>10</x:v>
      </x:c>
      <x:c r="K140" s="23" t="n">
        <x:f>IF(G140="",0,IF(G140&lt;1,0,IF(G140&lt;2,20,IF(G140&lt;3,30,IF(G140&lt;5,40,50)))))*'Scenario Controls'!$B$22/50</x:f>
        <x:v>0</x:v>
      </x:c>
      <x:c r="L140" s="23" t="n">
        <x:f>IF(ISNUMBER(SEARCH("Must Do",AG140)),25,IF(ISNUMBER(SEARCH("Must Have",AG140)),18,IF(ISNUMBER(SEARCH("Deprior",AG140)),5,0)))*'Scenario Controls'!$B$23/25</x:f>
        <x:v>18</x:v>
      </x:c>
      <x:c r="M140" s="23" t="n">
        <x:f>J140*'Scenario Controls'!$B$24/15</x:f>
        <x:v>10</x:v>
      </x:c>
      <x:c r="N140" s="23" t="n">
        <x:f>IF(ISNUMBER(SEARCH("HEALTHY",X140)),10,IF(ISNUMBER(SEARCH("CONTAIN",X140)),6,0))*'Scenario Controls'!$B$25/10</x:f>
        <x:v>10</x:v>
      </x:c>
      <x:c r="O140" s="23" t="n">
        <x:f>SUM(K140:N140)</x:f>
        <x:v>38</x:v>
      </x:c>
      <x:c r="P140" s="15" t="str">
        <x:f>IF(OR(B140="",E140&lt;=0),"Evidence missing / not eligible",IF(ISNUMBER(SEARCH("priority TBD",Y140)),"Evidence missing / not eligible",IF(AND(H140="Carryover",NOT(ISNUMBER(F140))),"Evidence missing / not eligible",IF(AND(H140="Carryover",G140&lt;'Scenario Controls'!$B$16),"Evidence missing / not eligible",IF(AND(H140="ROI-Based Portfolio",NOT(ISNUMBER(F140))),"Evidence missing / not eligible",IF(AND(H140="ROI-Based Portfolio",O140&lt;'Scenario Controls'!$B$20),"Evidence missing / not eligible","Eligible"))))))</x:f>
        <x:v>Eligible</x:v>
      </x:c>
      <x:c r="Q140" s="19" t="n">
        <x:f>IF(P140&lt;&gt;"Eligible",0,IF(AND(SUMIFS($Q$5:Q139,$H$5:H139,H140)+E140&lt;=(IF(H140="LFR",'Scenario Controls'!$F$10,IF(H140="Sustain Engineering",'Scenario Controls'!$F$11,IF(H140="Hygiene",'Scenario Controls'!$F$12,1E+99))))*(1+'Scenario Controls'!$B$7),SUM($Q$5:Q139)+E140&lt;='Scenario Controls'!$B$6*(1+'Scenario Controls'!$B$7)),E140,0))</x:f>
        <x:v>0</x:v>
      </x:c>
      <x:c r="R140" s="24" t="str">
        <x:f>'EW Conference'!G100</x:f>
        <x:v>Automatic</x:v>
      </x:c>
      <x:c r="S140" s="24" t="str">
        <x:f>'EW Conference'!H100</x:f>
      </x:c>
      <x:c r="T140" s="19" t="n">
        <x:f>IF(R140="Exclude",0,IF(R140="Include",E140,Q140))</x:f>
        <x:v>0</x:v>
      </x:c>
      <x:c r="U140" s="15" t="str">
        <x:f>IF(T140&gt;0,"Funded",IF(P140="Eligible","Unfunded",P140))</x:f>
        <x:v>Unfunded</x:v>
      </x:c>
      <x:c r="V140" s="15" t="str">
        <x:f>IF(R140="Include","Conference inclusion: "&amp;S140,IF(R140="Exclude","Conference exclusion: "&amp;S140,IF(Q140&gt;0,H140&amp;" priority rank "&amp;I140&amp;"; whole initiative selected",P140)))</x:f>
        <x:v>Eligible</x:v>
      </x:c>
      <x:c r="W140" s="15" t="str">
        <x:v>EW!171</x:v>
      </x:c>
      <x:c r="X140" s="15" t="str">
        <x:v>HEALTHY</x:v>
      </x:c>
      <x:c r="Y140" s="15" t="str">
        <x:v>HEALTHY — Rank in priority matrix</x:v>
      </x:c>
      <x:c r="Z140" s="15" t="str">
        <x:v>Decomm/Replatforming</x:v>
      </x:c>
      <x:c r="AA140" s="15" t="str">
        <x:v>Carry Over</x:v>
      </x:c>
      <x:c r="AB140" s="15" t="str">
        <x:v>Innovation and Digital IT</x:v>
      </x:c>
      <x:c r="AC140" s="15" t="str">
        <x:v>The cost of doing nothing is not measured by lost website visits. The cost is measured by:</x:v>
      </x:c>
      <x:c r="AD140" s="15" t="str">
        <x:v>The Philips corporate website is no longer simply a communications channel. It has become a business-critical corporate asset that protects and builds our reputation, enables stakeholder trust, supports transparency, and increasingly determines how Philips is represented in AI-generated answers.</x:v>
      </x:c>
      <x:c r="AE140" s="15" t="str">
        <x:v>Scope: continued development of the corporate website and associated microsites, prioritized around two investment pillars:</x:v>
      </x:c>
      <x:c r="AF140" s="15" t="str">
        <x:v>The cost of doing nothing is not measured by lost website visits. The cost is measured by: | The Philips corporate website is no longer simply a communications channel. It has become a business-critical corporate asset that protects and builds our reputation, enables stakeholder trust, supports transparency, and increasingly determines how Philips is represented in AI-generated answers. | Scope: continued development of the corporate website and associated microsites, prioritized around two investment pillars:</x:v>
      </x:c>
      <x:c r="AG140" s="15" t="str">
        <x:v>Must have</x:v>
      </x:c>
      <x:c r="AH140" s="15" t="n">
        <x:v>173</x:v>
      </x:c>
    </x:row>
    <x:row r="141">
      <x:c r="A141" s="15" t="str">
        <x:v>Bu-201</x:v>
      </x:c>
      <x:c r="B141" s="15" t="str">
        <x:v>HPM - Continuous Improvement - MKT</x:v>
      </x:c>
      <x:c r="C141" s="15" t="str">
        <x:v>BU Led</x:v>
      </x:c>
      <x:c r="D141" s="15" t="str">
        <x:v>Monitoring - HPM (MCH)</x:v>
      </x:c>
      <x:c r="E141" s="19" t="n">
        <x:v>0.2</x:v>
      </x:c>
      <x:c r="F141" s="19" t="n">
        <x:v>0</x:v>
      </x:c>
      <x:c r="G141" s="22" t="n">
        <x:f>IF(AND(E141&gt;0,ISNUMBER(F141)),F141/E141,"")</x:f>
        <x:v>0</x:v>
      </x:c>
      <x:c r="H141" s="15" t="str">
        <x:v>Hygiene</x:v>
      </x:c>
      <x:c r="I141" s="15" t="n">
        <x:v>84</x:v>
      </x:c>
      <x:c r="J141" s="15" t="n">
        <x:v>5</x:v>
      </x:c>
      <x:c r="K141" s="23" t="n">
        <x:f>IF(G141="",0,IF(G141&lt;1,0,IF(G141&lt;2,20,IF(G141&lt;3,30,IF(G141&lt;5,40,50)))))*'Scenario Controls'!$B$22/50</x:f>
        <x:v>0</x:v>
      </x:c>
      <x:c r="L141" s="23" t="n">
        <x:f>IF(ISNUMBER(SEARCH("Must Do",AG141)),25,IF(ISNUMBER(SEARCH("Must Have",AG141)),18,IF(ISNUMBER(SEARCH("Deprior",AG141)),5,0)))*'Scenario Controls'!$B$23/25</x:f>
        <x:v>25</x:v>
      </x:c>
      <x:c r="M141" s="23" t="n">
        <x:f>J141*'Scenario Controls'!$B$24/15</x:f>
        <x:v>5</x:v>
      </x:c>
      <x:c r="N141" s="23" t="n">
        <x:f>IF(ISNUMBER(SEARCH("HEALTHY",X141)),10,IF(ISNUMBER(SEARCH("CONTAIN",X141)),6,0))*'Scenario Controls'!$B$25/10</x:f>
        <x:v>6</x:v>
      </x:c>
      <x:c r="O141" s="23" t="n">
        <x:f>SUM(K141:N141)</x:f>
        <x:v>36</x:v>
      </x:c>
      <x:c r="P141" s="15" t="str">
        <x:f>IF(OR(B141="",E141&lt;=0),"Evidence missing / not eligible",IF(ISNUMBER(SEARCH("priority TBD",Y141)),"Evidence missing / not eligible",IF(AND(H141="Carryover",NOT(ISNUMBER(F141))),"Evidence missing / not eligible",IF(AND(H141="Carryover",G141&lt;'Scenario Controls'!$B$16),"Evidence missing / not eligible",IF(AND(H141="ROI-Based Portfolio",NOT(ISNUMBER(F141))),"Evidence missing / not eligible",IF(AND(H141="ROI-Based Portfolio",O141&lt;'Scenario Controls'!$B$20),"Evidence missing / not eligible","Eligible"))))))</x:f>
        <x:v>Eligible</x:v>
      </x:c>
      <x:c r="Q141" s="19" t="n">
        <x:f>IF(P141&lt;&gt;"Eligible",0,IF(AND(SUMIFS($Q$5:Q140,$H$5:H140,H141)+E141&lt;=(IF(H141="LFR",'Scenario Controls'!$F$10,IF(H141="Sustain Engineering",'Scenario Controls'!$F$11,IF(H141="Hygiene",'Scenario Controls'!$F$12,1E+99))))*(1+'Scenario Controls'!$B$7),SUM($Q$5:Q140)+E141&lt;='Scenario Controls'!$B$6*(1+'Scenario Controls'!$B$7)),E141,0))</x:f>
        <x:v>0</x:v>
      </x:c>
      <x:c r="R141" s="24" t="str">
        <x:f>'BU Conference'!G46</x:f>
        <x:v>Automatic</x:v>
      </x:c>
      <x:c r="S141" s="24" t="str">
        <x:f>'BU Conference'!H46</x:f>
      </x:c>
      <x:c r="T141" s="19" t="n">
        <x:f>IF(R141="Exclude",0,IF(R141="Include",E141,Q141))</x:f>
        <x:v>0</x:v>
      </x:c>
      <x:c r="U141" s="15" t="str">
        <x:f>IF(T141&gt;0,"Funded",IF(P141="Eligible","Unfunded",P141))</x:f>
        <x:v>Unfunded</x:v>
      </x:c>
      <x:c r="V141" s="15" t="str">
        <x:f>IF(R141="Include","Conference inclusion: "&amp;S141,IF(R141="Exclude","Conference exclusion: "&amp;S141,IF(Q141&gt;0,H141&amp;" priority rank "&amp;I141&amp;"; whole initiative selected",P141)))</x:f>
        <x:v>Eligible</x:v>
      </x:c>
      <x:c r="W141" s="15" t="str">
        <x:v>Bu!494</x:v>
      </x:c>
      <x:c r="X141" s="15" t="str">
        <x:v>CONTAIN</x:v>
      </x:c>
      <x:c r="Y141" s="15" t="str">
        <x:v>CONTAIN — Conditions</x:v>
      </x:c>
      <x:c r="Z141" s="15" t="str">
        <x:v>Continous Improvement</x:v>
      </x:c>
      <x:c r="AA141" s="15" t="str">
        <x:v>Carry Over</x:v>
      </x:c>
      <x:c r="AB141" s="15" t="str">
        <x:v>Commercial IT</x:v>
      </x:c>
      <x:c r="AC141" s="15" t="str">
        <x:v>Carry Over stops</x:v>
      </x:c>
      <x:c r="AD141" s="15" t="str"/>
      <x:c r="AE141" s="15" t="str"/>
      <x:c r="AF141" s="15" t="str">
        <x:v>Carry Over stops</x:v>
      </x:c>
      <x:c r="AG141" s="15" t="str">
        <x:v>Must Do</x:v>
      </x:c>
      <x:c r="AH141" s="15" t="n">
        <x:v>378</x:v>
      </x:c>
    </x:row>
    <x:row r="142">
      <x:c r="A142" s="15" t="str">
        <x:v>Bu-202</x:v>
      </x:c>
      <x:c r="B142" s="15" t="str">
        <x:v>HPM - Continuous Improvement - ISC</x:v>
      </x:c>
      <x:c r="C142" s="15" t="str">
        <x:v>BU Led</x:v>
      </x:c>
      <x:c r="D142" s="15" t="str">
        <x:v>Monitoring - HPM (MCH)</x:v>
      </x:c>
      <x:c r="E142" s="19" t="n">
        <x:v>0.3</x:v>
      </x:c>
      <x:c r="F142" s="19" t="n">
        <x:v>0</x:v>
      </x:c>
      <x:c r="G142" s="22" t="n">
        <x:f>IF(AND(E142&gt;0,ISNUMBER(F142)),F142/E142,"")</x:f>
        <x:v>0</x:v>
      </x:c>
      <x:c r="H142" s="15" t="str">
        <x:v>Hygiene</x:v>
      </x:c>
      <x:c r="I142" s="15" t="n">
        <x:v>85</x:v>
      </x:c>
      <x:c r="J142" s="15" t="n">
        <x:v>5</x:v>
      </x:c>
      <x:c r="K142" s="23" t="n">
        <x:f>IF(G142="",0,IF(G142&lt;1,0,IF(G142&lt;2,20,IF(G142&lt;3,30,IF(G142&lt;5,40,50)))))*'Scenario Controls'!$B$22/50</x:f>
        <x:v>0</x:v>
      </x:c>
      <x:c r="L142" s="23" t="n">
        <x:f>IF(ISNUMBER(SEARCH("Must Do",AG142)),25,IF(ISNUMBER(SEARCH("Must Have",AG142)),18,IF(ISNUMBER(SEARCH("Deprior",AG142)),5,0)))*'Scenario Controls'!$B$23/25</x:f>
        <x:v>25</x:v>
      </x:c>
      <x:c r="M142" s="23" t="n">
        <x:f>J142*'Scenario Controls'!$B$24/15</x:f>
        <x:v>5</x:v>
      </x:c>
      <x:c r="N142" s="23" t="n">
        <x:f>IF(ISNUMBER(SEARCH("HEALTHY",X142)),10,IF(ISNUMBER(SEARCH("CONTAIN",X142)),6,0))*'Scenario Controls'!$B$25/10</x:f>
        <x:v>6</x:v>
      </x:c>
      <x:c r="O142" s="23" t="n">
        <x:f>SUM(K142:N142)</x:f>
        <x:v>36</x:v>
      </x:c>
      <x:c r="P142" s="15" t="str">
        <x:f>IF(OR(B142="",E142&lt;=0),"Evidence missing / not eligible",IF(ISNUMBER(SEARCH("priority TBD",Y142)),"Evidence missing / not eligible",IF(AND(H142="Carryover",NOT(ISNUMBER(F142))),"Evidence missing / not eligible",IF(AND(H142="Carryover",G142&lt;'Scenario Controls'!$B$16),"Evidence missing / not eligible",IF(AND(H142="ROI-Based Portfolio",NOT(ISNUMBER(F142))),"Evidence missing / not eligible",IF(AND(H142="ROI-Based Portfolio",O142&lt;'Scenario Controls'!$B$20),"Evidence missing / not eligible","Eligible"))))))</x:f>
        <x:v>Eligible</x:v>
      </x:c>
      <x:c r="Q142" s="19" t="n">
        <x:f>IF(P142&lt;&gt;"Eligible",0,IF(AND(SUMIFS($Q$5:Q141,$H$5:H141,H142)+E142&lt;=(IF(H142="LFR",'Scenario Controls'!$F$10,IF(H142="Sustain Engineering",'Scenario Controls'!$F$11,IF(H142="Hygiene",'Scenario Controls'!$F$12,1E+99))))*(1+'Scenario Controls'!$B$7),SUM($Q$5:Q141)+E142&lt;='Scenario Controls'!$B$6*(1+'Scenario Controls'!$B$7)),E142,0))</x:f>
        <x:v>0</x:v>
      </x:c>
      <x:c r="R142" s="24" t="str">
        <x:f>'BU Conference'!G47</x:f>
        <x:v>Automatic</x:v>
      </x:c>
      <x:c r="S142" s="24" t="str">
        <x:f>'BU Conference'!H47</x:f>
      </x:c>
      <x:c r="T142" s="19" t="n">
        <x:f>IF(R142="Exclude",0,IF(R142="Include",E142,Q142))</x:f>
        <x:v>0</x:v>
      </x:c>
      <x:c r="U142" s="15" t="str">
        <x:f>IF(T142&gt;0,"Funded",IF(P142="Eligible","Unfunded",P142))</x:f>
        <x:v>Unfunded</x:v>
      </x:c>
      <x:c r="V142" s="15" t="str">
        <x:f>IF(R142="Include","Conference inclusion: "&amp;S142,IF(R142="Exclude","Conference exclusion: "&amp;S142,IF(Q142&gt;0,H142&amp;" priority rank "&amp;I142&amp;"; whole initiative selected",P142)))</x:f>
        <x:v>Eligible</x:v>
      </x:c>
      <x:c r="W142" s="15" t="str">
        <x:v>Bu!495</x:v>
      </x:c>
      <x:c r="X142" s="15" t="str">
        <x:v>CONTAIN</x:v>
      </x:c>
      <x:c r="Y142" s="15" t="str">
        <x:v>CONTAIN — Conditions</x:v>
      </x:c>
      <x:c r="Z142" s="15" t="str">
        <x:v>Continous Improvement</x:v>
      </x:c>
      <x:c r="AA142" s="15" t="str">
        <x:v>Carry Over</x:v>
      </x:c>
      <x:c r="AB142" s="15" t="str">
        <x:v>Integrated Supply Chain &amp; Finance</x:v>
      </x:c>
      <x:c r="AC142" s="15" t="str">
        <x:v>Carry Over stops</x:v>
      </x:c>
      <x:c r="AD142" s="15" t="str"/>
      <x:c r="AE142" s="15" t="str"/>
      <x:c r="AF142" s="15" t="str">
        <x:v>Carry Over stops</x:v>
      </x:c>
      <x:c r="AG142" s="15" t="str">
        <x:v>Must Do</x:v>
      </x:c>
      <x:c r="AH142" s="15" t="n">
        <x:v>379</x:v>
      </x:c>
    </x:row>
    <x:row r="143">
      <x:c r="A143" s="15" t="str">
        <x:v>Bu-203</x:v>
      </x:c>
      <x:c r="B143" s="15" t="str">
        <x:v>HPM - Continuous Improvement - SVC</x:v>
      </x:c>
      <x:c r="C143" s="15" t="str">
        <x:v>BU Led</x:v>
      </x:c>
      <x:c r="D143" s="15" t="str">
        <x:v>Monitoring - HPM (MCH)</x:v>
      </x:c>
      <x:c r="E143" s="19" t="n">
        <x:v>0.2</x:v>
      </x:c>
      <x:c r="F143" s="19" t="n">
        <x:v>0</x:v>
      </x:c>
      <x:c r="G143" s="22" t="n">
        <x:f>IF(AND(E143&gt;0,ISNUMBER(F143)),F143/E143,"")</x:f>
        <x:v>0</x:v>
      </x:c>
      <x:c r="H143" s="15" t="str">
        <x:v>Hygiene</x:v>
      </x:c>
      <x:c r="I143" s="15" t="n">
        <x:v>86</x:v>
      </x:c>
      <x:c r="J143" s="15" t="n">
        <x:v>5</x:v>
      </x:c>
      <x:c r="K143" s="23" t="n">
        <x:f>IF(G143="",0,IF(G143&lt;1,0,IF(G143&lt;2,20,IF(G143&lt;3,30,IF(G143&lt;5,40,50)))))*'Scenario Controls'!$B$22/50</x:f>
        <x:v>0</x:v>
      </x:c>
      <x:c r="L143" s="23" t="n">
        <x:f>IF(ISNUMBER(SEARCH("Must Do",AG143)),25,IF(ISNUMBER(SEARCH("Must Have",AG143)),18,IF(ISNUMBER(SEARCH("Deprior",AG143)),5,0)))*'Scenario Controls'!$B$23/25</x:f>
        <x:v>25</x:v>
      </x:c>
      <x:c r="M143" s="23" t="n">
        <x:f>J143*'Scenario Controls'!$B$24/15</x:f>
        <x:v>5</x:v>
      </x:c>
      <x:c r="N143" s="23" t="n">
        <x:f>IF(ISNUMBER(SEARCH("HEALTHY",X143)),10,IF(ISNUMBER(SEARCH("CONTAIN",X143)),6,0))*'Scenario Controls'!$B$25/10</x:f>
        <x:v>6</x:v>
      </x:c>
      <x:c r="O143" s="23" t="n">
        <x:f>SUM(K143:N143)</x:f>
        <x:v>36</x:v>
      </x:c>
      <x:c r="P143" s="15" t="str">
        <x:f>IF(OR(B143="",E143&lt;=0),"Evidence missing / not eligible",IF(ISNUMBER(SEARCH("priority TBD",Y143)),"Evidence missing / not eligible",IF(AND(H143="Carryover",NOT(ISNUMBER(F143))),"Evidence missing / not eligible",IF(AND(H143="Carryover",G143&lt;'Scenario Controls'!$B$16),"Evidence missing / not eligible",IF(AND(H143="ROI-Based Portfolio",NOT(ISNUMBER(F143))),"Evidence missing / not eligible",IF(AND(H143="ROI-Based Portfolio",O143&lt;'Scenario Controls'!$B$20),"Evidence missing / not eligible","Eligible"))))))</x:f>
        <x:v>Eligible</x:v>
      </x:c>
      <x:c r="Q143" s="19" t="n">
        <x:f>IF(P143&lt;&gt;"Eligible",0,IF(AND(SUMIFS($Q$5:Q142,$H$5:H142,H143)+E143&lt;=(IF(H143="LFR",'Scenario Controls'!$F$10,IF(H143="Sustain Engineering",'Scenario Controls'!$F$11,IF(H143="Hygiene",'Scenario Controls'!$F$12,1E+99))))*(1+'Scenario Controls'!$B$7),SUM($Q$5:Q142)+E143&lt;='Scenario Controls'!$B$6*(1+'Scenario Controls'!$B$7)),E143,0))</x:f>
        <x:v>0</x:v>
      </x:c>
      <x:c r="R143" s="24" t="str">
        <x:f>'BU Conference'!G48</x:f>
        <x:v>Automatic</x:v>
      </x:c>
      <x:c r="S143" s="24" t="str">
        <x:f>'BU Conference'!H48</x:f>
      </x:c>
      <x:c r="T143" s="19" t="n">
        <x:f>IF(R143="Exclude",0,IF(R143="Include",E143,Q143))</x:f>
        <x:v>0</x:v>
      </x:c>
      <x:c r="U143" s="15" t="str">
        <x:f>IF(T143&gt;0,"Funded",IF(P143="Eligible","Unfunded",P143))</x:f>
        <x:v>Unfunded</x:v>
      </x:c>
      <x:c r="V143" s="15" t="str">
        <x:f>IF(R143="Include","Conference inclusion: "&amp;S143,IF(R143="Exclude","Conference exclusion: "&amp;S143,IF(Q143&gt;0,H143&amp;" priority rank "&amp;I143&amp;"; whole initiative selected",P143)))</x:f>
        <x:v>Eligible</x:v>
      </x:c>
      <x:c r="W143" s="15" t="str">
        <x:v>Bu!496</x:v>
      </x:c>
      <x:c r="X143" s="15" t="str">
        <x:v>CONTAIN</x:v>
      </x:c>
      <x:c r="Y143" s="15" t="str">
        <x:v>CONTAIN — Conditions</x:v>
      </x:c>
      <x:c r="Z143" s="15" t="str">
        <x:v>Continous Improvement</x:v>
      </x:c>
      <x:c r="AA143" s="15" t="str">
        <x:v>Carry Over</x:v>
      </x:c>
      <x:c r="AB143" s="15" t="str">
        <x:v>Services &amp; Solutions IT</x:v>
      </x:c>
      <x:c r="AC143" s="15" t="str">
        <x:v>Carry Over stops</x:v>
      </x:c>
      <x:c r="AD143" s="15" t="str"/>
      <x:c r="AE143" s="15" t="str"/>
      <x:c r="AF143" s="15" t="str">
        <x:v>Carry Over stops</x:v>
      </x:c>
      <x:c r="AG143" s="15" t="str">
        <x:v>Must Do</x:v>
      </x:c>
      <x:c r="AH143" s="15" t="n">
        <x:v>380</x:v>
      </x:c>
    </x:row>
    <x:row r="144">
      <x:c r="A144" s="15" t="str">
        <x:v>Bu-204</x:v>
      </x:c>
      <x:c r="B144" s="15" t="str">
        <x:v>HPM - Continuous Improvement -REG</x:v>
      </x:c>
      <x:c r="C144" s="15" t="str">
        <x:v>BU Led</x:v>
      </x:c>
      <x:c r="D144" s="15" t="str">
        <x:v>Monitoring - HPM (MCH)</x:v>
      </x:c>
      <x:c r="E144" s="19" t="n">
        <x:v>0.05</x:v>
      </x:c>
      <x:c r="F144" s="19" t="n">
        <x:v>0</x:v>
      </x:c>
      <x:c r="G144" s="22" t="n">
        <x:f>IF(AND(E144&gt;0,ISNUMBER(F144)),F144/E144,"")</x:f>
        <x:v>0</x:v>
      </x:c>
      <x:c r="H144" s="15" t="str">
        <x:v>Hygiene</x:v>
      </x:c>
      <x:c r="I144" s="15" t="n">
        <x:v>87</x:v>
      </x:c>
      <x:c r="J144" s="15" t="n">
        <x:v>5</x:v>
      </x:c>
      <x:c r="K144" s="23" t="n">
        <x:f>IF(G144="",0,IF(G144&lt;1,0,IF(G144&lt;2,20,IF(G144&lt;3,30,IF(G144&lt;5,40,50)))))*'Scenario Controls'!$B$22/50</x:f>
        <x:v>0</x:v>
      </x:c>
      <x:c r="L144" s="23" t="n">
        <x:f>IF(ISNUMBER(SEARCH("Must Do",AG144)),25,IF(ISNUMBER(SEARCH("Must Have",AG144)),18,IF(ISNUMBER(SEARCH("Deprior",AG144)),5,0)))*'Scenario Controls'!$B$23/25</x:f>
        <x:v>25</x:v>
      </x:c>
      <x:c r="M144" s="23" t="n">
        <x:f>J144*'Scenario Controls'!$B$24/15</x:f>
        <x:v>5</x:v>
      </x:c>
      <x:c r="N144" s="23" t="n">
        <x:f>IF(ISNUMBER(SEARCH("HEALTHY",X144)),10,IF(ISNUMBER(SEARCH("CONTAIN",X144)),6,0))*'Scenario Controls'!$B$25/10</x:f>
        <x:v>6</x:v>
      </x:c>
      <x:c r="O144" s="23" t="n">
        <x:f>SUM(K144:N144)</x:f>
        <x:v>36</x:v>
      </x:c>
      <x:c r="P144" s="15" t="str">
        <x:f>IF(OR(B144="",E144&lt;=0),"Evidence missing / not eligible",IF(ISNUMBER(SEARCH("priority TBD",Y144)),"Evidence missing / not eligible",IF(AND(H144="Carryover",NOT(ISNUMBER(F144))),"Evidence missing / not eligible",IF(AND(H144="Carryover",G144&lt;'Scenario Controls'!$B$16),"Evidence missing / not eligible",IF(AND(H144="ROI-Based Portfolio",NOT(ISNUMBER(F144))),"Evidence missing / not eligible",IF(AND(H144="ROI-Based Portfolio",O144&lt;'Scenario Controls'!$B$20),"Evidence missing / not eligible","Eligible"))))))</x:f>
        <x:v>Eligible</x:v>
      </x:c>
      <x:c r="Q144" s="19" t="n">
        <x:f>IF(P144&lt;&gt;"Eligible",0,IF(AND(SUMIFS($Q$5:Q143,$H$5:H143,H144)+E144&lt;=(IF(H144="LFR",'Scenario Controls'!$F$10,IF(H144="Sustain Engineering",'Scenario Controls'!$F$11,IF(H144="Hygiene",'Scenario Controls'!$F$12,1E+99))))*(1+'Scenario Controls'!$B$7),SUM($Q$5:Q143)+E144&lt;='Scenario Controls'!$B$6*(1+'Scenario Controls'!$B$7)),E144,0))</x:f>
        <x:v>0</x:v>
      </x:c>
      <x:c r="R144" s="24" t="str">
        <x:f>'BU Conference'!G49</x:f>
        <x:v>Automatic</x:v>
      </x:c>
      <x:c r="S144" s="24" t="str">
        <x:f>'BU Conference'!H49</x:f>
      </x:c>
      <x:c r="T144" s="19" t="n">
        <x:f>IF(R144="Exclude",0,IF(R144="Include",E144,Q144))</x:f>
        <x:v>0</x:v>
      </x:c>
      <x:c r="U144" s="15" t="str">
        <x:f>IF(T144&gt;0,"Funded",IF(P144="Eligible","Unfunded",P144))</x:f>
        <x:v>Unfunded</x:v>
      </x:c>
      <x:c r="V144" s="15" t="str">
        <x:f>IF(R144="Include","Conference inclusion: "&amp;S144,IF(R144="Exclude","Conference exclusion: "&amp;S144,IF(Q144&gt;0,H144&amp;" priority rank "&amp;I144&amp;"; whole initiative selected",P144)))</x:f>
        <x:v>Eligible</x:v>
      </x:c>
      <x:c r="W144" s="15" t="str">
        <x:v>Bu!497</x:v>
      </x:c>
      <x:c r="X144" s="15" t="str">
        <x:v>CONTAIN</x:v>
      </x:c>
      <x:c r="Y144" s="15" t="str">
        <x:v>CONTAIN — Conditions</x:v>
      </x:c>
      <x:c r="Z144" s="15" t="str">
        <x:v>Continous Improvement</x:v>
      </x:c>
      <x:c r="AA144" s="15" t="str">
        <x:v>Carry Over</x:v>
      </x:c>
      <x:c r="AB144" s="15" t="str">
        <x:v>Commercial IT</x:v>
      </x:c>
      <x:c r="AC144" s="15" t="str">
        <x:v>Carry Over stops</x:v>
      </x:c>
      <x:c r="AD144" s="15" t="str"/>
      <x:c r="AE144" s="15" t="str"/>
      <x:c r="AF144" s="15" t="str">
        <x:v>Carry Over stops</x:v>
      </x:c>
      <x:c r="AG144" s="15" t="str">
        <x:v>Must Do</x:v>
      </x:c>
      <x:c r="AH144" s="15" t="n">
        <x:v>381</x:v>
      </x:c>
    </x:row>
    <x:row r="145">
      <x:c r="A145" s="15" t="str">
        <x:v>Bu-205</x:v>
      </x:c>
      <x:c r="B145" s="15" t="str">
        <x:v>HPM - Continuous Improvement -OTH</x:v>
      </x:c>
      <x:c r="C145" s="15" t="str">
        <x:v>BU Led</x:v>
      </x:c>
      <x:c r="D145" s="15" t="str">
        <x:v>Monitoring - HPM (MCH)</x:v>
      </x:c>
      <x:c r="E145" s="19" t="n">
        <x:v>0.05</x:v>
      </x:c>
      <x:c r="F145" s="19" t="n">
        <x:v>0</x:v>
      </x:c>
      <x:c r="G145" s="22" t="n">
        <x:f>IF(AND(E145&gt;0,ISNUMBER(F145)),F145/E145,"")</x:f>
        <x:v>0</x:v>
      </x:c>
      <x:c r="H145" s="15" t="str">
        <x:v>Hygiene</x:v>
      </x:c>
      <x:c r="I145" s="15" t="n">
        <x:v>88</x:v>
      </x:c>
      <x:c r="J145" s="15" t="n">
        <x:v>5</x:v>
      </x:c>
      <x:c r="K145" s="23" t="n">
        <x:f>IF(G145="",0,IF(G145&lt;1,0,IF(G145&lt;2,20,IF(G145&lt;3,30,IF(G145&lt;5,40,50)))))*'Scenario Controls'!$B$22/50</x:f>
        <x:v>0</x:v>
      </x:c>
      <x:c r="L145" s="23" t="n">
        <x:f>IF(ISNUMBER(SEARCH("Must Do",AG145)),25,IF(ISNUMBER(SEARCH("Must Have",AG145)),18,IF(ISNUMBER(SEARCH("Deprior",AG145)),5,0)))*'Scenario Controls'!$B$23/25</x:f>
        <x:v>25</x:v>
      </x:c>
      <x:c r="M145" s="23" t="n">
        <x:f>J145*'Scenario Controls'!$B$24/15</x:f>
        <x:v>5</x:v>
      </x:c>
      <x:c r="N145" s="23" t="n">
        <x:f>IF(ISNUMBER(SEARCH("HEALTHY",X145)),10,IF(ISNUMBER(SEARCH("CONTAIN",X145)),6,0))*'Scenario Controls'!$B$25/10</x:f>
        <x:v>6</x:v>
      </x:c>
      <x:c r="O145" s="23" t="n">
        <x:f>SUM(K145:N145)</x:f>
        <x:v>36</x:v>
      </x:c>
      <x:c r="P145" s="15" t="str">
        <x:f>IF(OR(B145="",E145&lt;=0),"Evidence missing / not eligible",IF(ISNUMBER(SEARCH("priority TBD",Y145)),"Evidence missing / not eligible",IF(AND(H145="Carryover",NOT(ISNUMBER(F145))),"Evidence missing / not eligible",IF(AND(H145="Carryover",G145&lt;'Scenario Controls'!$B$16),"Evidence missing / not eligible",IF(AND(H145="ROI-Based Portfolio",NOT(ISNUMBER(F145))),"Evidence missing / not eligible",IF(AND(H145="ROI-Based Portfolio",O145&lt;'Scenario Controls'!$B$20),"Evidence missing / not eligible","Eligible"))))))</x:f>
        <x:v>Eligible</x:v>
      </x:c>
      <x:c r="Q145" s="19" t="n">
        <x:f>IF(P145&lt;&gt;"Eligible",0,IF(AND(SUMIFS($Q$5:Q144,$H$5:H144,H145)+E145&lt;=(IF(H145="LFR",'Scenario Controls'!$F$10,IF(H145="Sustain Engineering",'Scenario Controls'!$F$11,IF(H145="Hygiene",'Scenario Controls'!$F$12,1E+99))))*(1+'Scenario Controls'!$B$7),SUM($Q$5:Q144)+E145&lt;='Scenario Controls'!$B$6*(1+'Scenario Controls'!$B$7)),E145,0))</x:f>
        <x:v>0</x:v>
      </x:c>
      <x:c r="R145" s="24" t="str">
        <x:f>'BU Conference'!G50</x:f>
        <x:v>Automatic</x:v>
      </x:c>
      <x:c r="S145" s="24" t="str">
        <x:f>'BU Conference'!H50</x:f>
      </x:c>
      <x:c r="T145" s="19" t="n">
        <x:f>IF(R145="Exclude",0,IF(R145="Include",E145,Q145))</x:f>
        <x:v>0</x:v>
      </x:c>
      <x:c r="U145" s="15" t="str">
        <x:f>IF(T145&gt;0,"Funded",IF(P145="Eligible","Unfunded",P145))</x:f>
        <x:v>Unfunded</x:v>
      </x:c>
      <x:c r="V145" s="15" t="str">
        <x:f>IF(R145="Include","Conference inclusion: "&amp;S145,IF(R145="Exclude","Conference exclusion: "&amp;S145,IF(Q145&gt;0,H145&amp;" priority rank "&amp;I145&amp;"; whole initiative selected",P145)))</x:f>
        <x:v>Eligible</x:v>
      </x:c>
      <x:c r="W145" s="15" t="str">
        <x:v>Bu!498</x:v>
      </x:c>
      <x:c r="X145" s="15" t="str">
        <x:v>CONTAIN</x:v>
      </x:c>
      <x:c r="Y145" s="15" t="str">
        <x:v>CONTAIN — Conditions</x:v>
      </x:c>
      <x:c r="Z145" s="15" t="str">
        <x:v>Continous Improvement</x:v>
      </x:c>
      <x:c r="AA145" s="15" t="str">
        <x:v>Carry Over</x:v>
      </x:c>
      <x:c r="AB145" s="15" t="str">
        <x:v>Commercial IT</x:v>
      </x:c>
      <x:c r="AC145" s="15" t="str">
        <x:v>Carry Over stops</x:v>
      </x:c>
      <x:c r="AD145" s="15" t="str"/>
      <x:c r="AE145" s="15" t="str"/>
      <x:c r="AF145" s="15" t="str">
        <x:v>Carry Over stops</x:v>
      </x:c>
      <x:c r="AG145" s="15" t="str">
        <x:v>Must Do</x:v>
      </x:c>
      <x:c r="AH145" s="15" t="n">
        <x:v>382</x:v>
      </x:c>
    </x:row>
    <x:row r="146">
      <x:c r="A146" s="15" t="str">
        <x:v>Bu-30</x:v>
      </x:c>
      <x:c r="B146" s="15" t="str">
        <x:v>07 Philips Store for Business</x:v>
      </x:c>
      <x:c r="C146" s="15" t="str">
        <x:v>BU Led</x:v>
      </x:c>
      <x:c r="D146" s="15" t="str">
        <x:v>Personal Health (PH)</x:v>
      </x:c>
      <x:c r="E146" s="19" t="n">
        <x:v>1.5</x:v>
      </x:c>
      <x:c r="F146" s="19" t="n">
        <x:v>1.015</x:v>
      </x:c>
      <x:c r="G146" s="22" t="n">
        <x:f>IF(AND(E146&gt;0,ISNUMBER(F146)),F146/E146,"")</x:f>
        <x:v>0.6766666666666666</x:v>
      </x:c>
      <x:c r="H146" s="15" t="str">
        <x:v>Hygiene</x:v>
      </x:c>
      <x:c r="I146" s="15" t="n">
        <x:v>89</x:v>
      </x:c>
      <x:c r="J146" s="15" t="n">
        <x:v>10</x:v>
      </x:c>
      <x:c r="K146" s="23" t="n">
        <x:f>IF(G146="",0,IF(G146&lt;1,0,IF(G146&lt;2,20,IF(G146&lt;3,30,IF(G146&lt;5,40,50)))))*'Scenario Controls'!$B$22/50</x:f>
        <x:v>0</x:v>
      </x:c>
      <x:c r="L146" s="23" t="n">
        <x:f>IF(ISNUMBER(SEARCH("Must Do",AG146)),25,IF(ISNUMBER(SEARCH("Must Have",AG146)),18,IF(ISNUMBER(SEARCH("Deprior",AG146)),5,0)))*'Scenario Controls'!$B$23/25</x:f>
        <x:v>25</x:v>
      </x:c>
      <x:c r="M146" s="23" t="n">
        <x:f>J146*'Scenario Controls'!$B$24/15</x:f>
        <x:v>10</x:v>
      </x:c>
      <x:c r="N146" s="23" t="n">
        <x:f>IF(ISNUMBER(SEARCH("HEALTHY",X146)),10,IF(ISNUMBER(SEARCH("CONTAIN",X146)),6,0))*'Scenario Controls'!$B$25/10</x:f>
        <x:v>0</x:v>
      </x:c>
      <x:c r="O146" s="23" t="n">
        <x:f>SUM(K146:N146)</x:f>
        <x:v>35</x:v>
      </x:c>
      <x:c r="P146" s="15" t="str">
        <x:f>IF(OR(B146="",E146&lt;=0),"Evidence missing / not eligible",IF(ISNUMBER(SEARCH("priority TBD",Y146)),"Evidence missing / not eligible",IF(AND(H146="Carryover",NOT(ISNUMBER(F146))),"Evidence missing / not eligible",IF(AND(H146="Carryover",G146&lt;'Scenario Controls'!$B$16),"Evidence missing / not eligible",IF(AND(H146="ROI-Based Portfolio",NOT(ISNUMBER(F146))),"Evidence missing / not eligible",IF(AND(H146="ROI-Based Portfolio",O146&lt;'Scenario Controls'!$B$20),"Evidence missing / not eligible","Eligible"))))))</x:f>
        <x:v>Eligible</x:v>
      </x:c>
      <x:c r="Q146" s="19" t="n">
        <x:f>IF(P146&lt;&gt;"Eligible",0,IF(AND(SUMIFS($Q$5:Q145,$H$5:H145,H146)+E146&lt;=(IF(H146="LFR",'Scenario Controls'!$F$10,IF(H146="Sustain Engineering",'Scenario Controls'!$F$11,IF(H146="Hygiene",'Scenario Controls'!$F$12,1E+99))))*(1+'Scenario Controls'!$B$7),SUM($Q$5:Q145)+E146&lt;='Scenario Controls'!$B$6*(1+'Scenario Controls'!$B$7)),E146,0))</x:f>
        <x:v>0</x:v>
      </x:c>
      <x:c r="R146" s="24" t="str">
        <x:f>'BU Conference'!G51</x:f>
        <x:v>Automatic</x:v>
      </x:c>
      <x:c r="S146" s="24" t="str">
        <x:f>'BU Conference'!H51</x:f>
      </x:c>
      <x:c r="T146" s="19" t="n">
        <x:f>IF(R146="Exclude",0,IF(R146="Include",E146,Q146))</x:f>
        <x:v>0</x:v>
      </x:c>
      <x:c r="U146" s="15" t="str">
        <x:f>IF(T146&gt;0,"Funded",IF(P146="Eligible","Unfunded",P146))</x:f>
        <x:v>Unfunded</x:v>
      </x:c>
      <x:c r="V146" s="15" t="str">
        <x:f>IF(R146="Include","Conference inclusion: "&amp;S146,IF(R146="Exclude","Conference exclusion: "&amp;S146,IF(Q146&gt;0,H146&amp;" priority rank "&amp;I146&amp;"; whole initiative selected",P146)))</x:f>
        <x:v>Eligible</x:v>
      </x:c>
      <x:c r="W146" s="15" t="str">
        <x:v>Bu!67</x:v>
      </x:c>
      <x:c r="X146" s="15" t="str"/>
      <x:c r="Y146" s="15" t="str"/>
      <x:c r="Z146" s="15" t="str">
        <x:v>Decomm/Replatforming</x:v>
      </x:c>
      <x:c r="AA146" s="15" t="str">
        <x:v>Carry Over</x:v>
      </x:c>
      <x:c r="AB146" s="15" t="str">
        <x:v>Innovation and Digital IT</x:v>
      </x:c>
      <x:c r="AC146" s="15" t="str">
        <x:v>1015</x:v>
      </x:c>
      <x:c r="AD146" s="15" t="str">
        <x:v>Evolve Philips Store for Business into a scalable digital growth and customer engagement channel, enabling Philips to serve the longtail of retail customers more efficiently while focusing PH teams on strategic top customers.</x:v>
      </x:c>
      <x:c r="AE146" s="15" t="str">
        <x:v>Complete the headless eCommerce MVP (phase 1 and phase 2)</x:v>
      </x:c>
      <x:c r="AF146" s="15" t="str">
        <x:v>1015 | Evolve Philips Store for Business into a scalable digital growth and customer engagement channel, enabling Philips to serve the longtail of retail customers more efficiently while focusing PH teams on strategic top customers. | Complete the headless eCommerce MVP (phase 1 and phase 2)</x:v>
      </x:c>
      <x:c r="AG146" s="15" t="str">
        <x:v>Must Do</x:v>
      </x:c>
      <x:c r="AH146" s="15" t="n">
        <x:v>215</x:v>
      </x:c>
    </x:row>
    <x:row r="147">
      <x:c r="A147" s="15" t="str">
        <x:v>Bu-262</x:v>
      </x:c>
      <x:c r="B147" s="15" t="str">
        <x:v>Optimize Distribution Network North America</x:v>
      </x:c>
      <x:c r="C147" s="15" t="str">
        <x:v>BU Led</x:v>
      </x:c>
      <x:c r="D147" s="15" t="str">
        <x:v>Image Guided Therapy - Devices (IGT-D)</x:v>
      </x:c>
      <x:c r="E147" s="19" t="n">
        <x:v>0.6</x:v>
      </x:c>
      <x:c r="F147" s="19" t="n">
        <x:v>0</x:v>
      </x:c>
      <x:c r="G147" s="22" t="n">
        <x:f>IF(AND(E147&gt;0,ISNUMBER(F147)),F147/E147,"")</x:f>
        <x:v>0</x:v>
      </x:c>
      <x:c r="H147" s="15" t="str">
        <x:v>Hygiene</x:v>
      </x:c>
      <x:c r="I147" s="15" t="n">
        <x:v>90</x:v>
      </x:c>
      <x:c r="J147" s="15" t="n">
        <x:v>10</x:v>
      </x:c>
      <x:c r="K147" s="23" t="n">
        <x:f>IF(G147="",0,IF(G147&lt;1,0,IF(G147&lt;2,20,IF(G147&lt;3,30,IF(G147&lt;5,40,50)))))*'Scenario Controls'!$B$22/50</x:f>
        <x:v>0</x:v>
      </x:c>
      <x:c r="L147" s="23" t="n">
        <x:f>IF(ISNUMBER(SEARCH("Must Do",AG147)),25,IF(ISNUMBER(SEARCH("Must Have",AG147)),18,IF(ISNUMBER(SEARCH("Deprior",AG147)),5,0)))*'Scenario Controls'!$B$23/25</x:f>
        <x:v>25</x:v>
      </x:c>
      <x:c r="M147" s="23" t="n">
        <x:f>J147*'Scenario Controls'!$B$24/15</x:f>
        <x:v>10</x:v>
      </x:c>
      <x:c r="N147" s="23" t="n">
        <x:f>IF(ISNUMBER(SEARCH("HEALTHY",X147)),10,IF(ISNUMBER(SEARCH("CONTAIN",X147)),6,0))*'Scenario Controls'!$B$25/10</x:f>
        <x:v>0</x:v>
      </x:c>
      <x:c r="O147" s="23" t="n">
        <x:f>SUM(K147:N147)</x:f>
        <x:v>35</x:v>
      </x:c>
      <x:c r="P147" s="15" t="str">
        <x:f>IF(OR(B147="",E147&lt;=0),"Evidence missing / not eligible",IF(ISNUMBER(SEARCH("priority TBD",Y147)),"Evidence missing / not eligible",IF(AND(H147="Carryover",NOT(ISNUMBER(F147))),"Evidence missing / not eligible",IF(AND(H147="Carryover",G147&lt;'Scenario Controls'!$B$16),"Evidence missing / not eligible",IF(AND(H147="ROI-Based Portfolio",NOT(ISNUMBER(F147))),"Evidence missing / not eligible",IF(AND(H147="ROI-Based Portfolio",O147&lt;'Scenario Controls'!$B$20),"Evidence missing / not eligible","Eligible"))))))</x:f>
        <x:v>Eligible</x:v>
      </x:c>
      <x:c r="Q147" s="19" t="n">
        <x:f>IF(P147&lt;&gt;"Eligible",0,IF(AND(SUMIFS($Q$5:Q146,$H$5:H146,H147)+E147&lt;=(IF(H147="LFR",'Scenario Controls'!$F$10,IF(H147="Sustain Engineering",'Scenario Controls'!$F$11,IF(H147="Hygiene",'Scenario Controls'!$F$12,1E+99))))*(1+'Scenario Controls'!$B$7),SUM($Q$5:Q146)+E147&lt;='Scenario Controls'!$B$6*(1+'Scenario Controls'!$B$7)),E147,0))</x:f>
        <x:v>0</x:v>
      </x:c>
      <x:c r="R147" s="24" t="str">
        <x:f>'BU Conference'!G52</x:f>
        <x:v>Automatic</x:v>
      </x:c>
      <x:c r="S147" s="24" t="str">
        <x:f>'BU Conference'!H52</x:f>
      </x:c>
      <x:c r="T147" s="19" t="n">
        <x:f>IF(R147="Exclude",0,IF(R147="Include",E147,Q147))</x:f>
        <x:v>0</x:v>
      </x:c>
      <x:c r="U147" s="15" t="str">
        <x:f>IF(T147&gt;0,"Funded",IF(P147="Eligible","Unfunded",P147))</x:f>
        <x:v>Unfunded</x:v>
      </x:c>
      <x:c r="V147" s="15" t="str">
        <x:f>IF(R147="Include","Conference inclusion: "&amp;S147,IF(R147="Exclude","Conference exclusion: "&amp;S147,IF(Q147&gt;0,H147&amp;" priority rank "&amp;I147&amp;"; whole initiative selected",P147)))</x:f>
        <x:v>Eligible</x:v>
      </x:c>
      <x:c r="W147" s="15" t="str">
        <x:v>Bu!570</x:v>
      </x:c>
      <x:c r="X147" s="15" t="str"/>
      <x:c r="Y147" s="15" t="str"/>
      <x:c r="Z147" s="15" t="str">
        <x:v>Continuous Improvement</x:v>
      </x:c>
      <x:c r="AA147" s="15" t="str">
        <x:v>New Initiative</x:v>
      </x:c>
      <x:c r="AB147" s="15" t="str">
        <x:v>Integrated Supply Chain &amp; Finance</x:v>
      </x:c>
      <x:c r="AC147" s="15" t="str"/>
      <x:c r="AD147" s="15" t="str">
        <x:v>There are opportunities to streamline distribution in North America</x:v>
      </x:c>
      <x:c r="AE147" s="15" t="str">
        <x:v>Distribution network optimization driving cost reduction</x:v>
      </x:c>
      <x:c r="AF147" s="15" t="str">
        <x:v>There are opportunities to streamline distribution in North America | Distribution network optimization driving cost reduction</x:v>
      </x:c>
      <x:c r="AG147" s="15" t="str">
        <x:v>Must Do</x:v>
      </x:c>
      <x:c r="AH147" s="15" t="n">
        <x:v>442</x:v>
      </x:c>
    </x:row>
    <x:row r="148">
      <x:c r="A148" s="15" t="str">
        <x:v>Bu-274</x:v>
      </x:c>
      <x:c r="B148" s="15" t="str">
        <x:v>PAL/PPL enhancements</x:v>
      </x:c>
      <x:c r="C148" s="15" t="str">
        <x:v>BU Led</x:v>
      </x:c>
      <x:c r="D148" s="15" t="str">
        <x:v>CoE Marketing – HS (former DMEC)</x:v>
      </x:c>
      <x:c r="E148" s="19" t="n">
        <x:v>0.3</x:v>
      </x:c>
      <x:c r="F148" s="19" t="n">
        <x:v>0</x:v>
      </x:c>
      <x:c r="G148" s="22" t="n">
        <x:f>IF(AND(E148&gt;0,ISNUMBER(F148)),F148/E148,"")</x:f>
        <x:v>0</x:v>
      </x:c>
      <x:c r="H148" s="15" t="str">
        <x:v>Hygiene</x:v>
      </x:c>
      <x:c r="I148" s="15" t="n">
        <x:v>91</x:v>
      </x:c>
      <x:c r="J148" s="15" t="n">
        <x:v>10</x:v>
      </x:c>
      <x:c r="K148" s="23" t="n">
        <x:f>IF(G148="",0,IF(G148&lt;1,0,IF(G148&lt;2,20,IF(G148&lt;3,30,IF(G148&lt;5,40,50)))))*'Scenario Controls'!$B$22/50</x:f>
        <x:v>0</x:v>
      </x:c>
      <x:c r="L148" s="23" t="n">
        <x:f>IF(ISNUMBER(SEARCH("Must Do",AG148)),25,IF(ISNUMBER(SEARCH("Must Have",AG148)),18,IF(ISNUMBER(SEARCH("Deprior",AG148)),5,0)))*'Scenario Controls'!$B$23/25</x:f>
        <x:v>25</x:v>
      </x:c>
      <x:c r="M148" s="23" t="n">
        <x:f>J148*'Scenario Controls'!$B$24/15</x:f>
        <x:v>10</x:v>
      </x:c>
      <x:c r="N148" s="23" t="n">
        <x:f>IF(ISNUMBER(SEARCH("HEALTHY",X148)),10,IF(ISNUMBER(SEARCH("CONTAIN",X148)),6,0))*'Scenario Controls'!$B$25/10</x:f>
        <x:v>0</x:v>
      </x:c>
      <x:c r="O148" s="23" t="n">
        <x:f>SUM(K148:N148)</x:f>
        <x:v>35</x:v>
      </x:c>
      <x:c r="P148" s="15" t="str">
        <x:f>IF(OR(B148="",E148&lt;=0),"Evidence missing / not eligible",IF(ISNUMBER(SEARCH("priority TBD",Y148)),"Evidence missing / not eligible",IF(AND(H148="Carryover",NOT(ISNUMBER(F148))),"Evidence missing / not eligible",IF(AND(H148="Carryover",G148&lt;'Scenario Controls'!$B$16),"Evidence missing / not eligible",IF(AND(H148="ROI-Based Portfolio",NOT(ISNUMBER(F148))),"Evidence missing / not eligible",IF(AND(H148="ROI-Based Portfolio",O148&lt;'Scenario Controls'!$B$20),"Evidence missing / not eligible","Eligible"))))))</x:f>
        <x:v>Eligible</x:v>
      </x:c>
      <x:c r="Q148" s="19" t="n">
        <x:f>IF(P148&lt;&gt;"Eligible",0,IF(AND(SUMIFS($Q$5:Q147,$H$5:H147,H148)+E148&lt;=(IF(H148="LFR",'Scenario Controls'!$F$10,IF(H148="Sustain Engineering",'Scenario Controls'!$F$11,IF(H148="Hygiene",'Scenario Controls'!$F$12,1E+99))))*(1+'Scenario Controls'!$B$7),SUM($Q$5:Q147)+E148&lt;='Scenario Controls'!$B$6*(1+'Scenario Controls'!$B$7)),E148,0))</x:f>
        <x:v>0</x:v>
      </x:c>
      <x:c r="R148" s="24" t="str">
        <x:f>'BU Conference'!G53</x:f>
        <x:v>Automatic</x:v>
      </x:c>
      <x:c r="S148" s="24" t="str">
        <x:f>'BU Conference'!H53</x:f>
      </x:c>
      <x:c r="T148" s="19" t="n">
        <x:f>IF(R148="Exclude",0,IF(R148="Include",E148,Q148))</x:f>
        <x:v>0</x:v>
      </x:c>
      <x:c r="U148" s="15" t="str">
        <x:f>IF(T148&gt;0,"Funded",IF(P148="Eligible","Unfunded",P148))</x:f>
        <x:v>Unfunded</x:v>
      </x:c>
      <x:c r="V148" s="15" t="str">
        <x:f>IF(R148="Include","Conference inclusion: "&amp;S148,IF(R148="Exclude","Conference exclusion: "&amp;S148,IF(Q148&gt;0,H148&amp;" priority rank "&amp;I148&amp;"; whole initiative selected",P148)))</x:f>
        <x:v>Eligible</x:v>
      </x:c>
      <x:c r="W148" s="15" t="str">
        <x:v>Bu!582</x:v>
      </x:c>
      <x:c r="X148" s="15" t="str"/>
      <x:c r="Y148" s="15" t="str"/>
      <x:c r="Z148" s="15" t="str">
        <x:v>Continous Improvement</x:v>
      </x:c>
      <x:c r="AA148" s="15" t="str">
        <x:v>Carry Over</x:v>
      </x:c>
      <x:c r="AB148" s="15" t="str">
        <x:v>Innovation and Digital IT</x:v>
      </x:c>
      <x:c r="AC148" s="15" t="str">
        <x:v>Improve usability and speed to market for content - cost of inaction is increased timelines and regulatory risk</x:v>
      </x:c>
      <x:c r="AD148" s="15" t="str">
        <x:v>Legacy systems require updated governance and maintenance, including front-end fixes for improved usability,and content discoverability and metadata to ensure compliance and proper use of content digitally</x:v>
      </x:c>
      <x:c r="AE148" s="15" t="str">
        <x:v>Development and configuration of existing tools, including the use of available AI and automation to drive usability</x:v>
      </x:c>
      <x:c r="AF148" s="15" t="str">
        <x:v>Improve usability and speed to market for content - cost of inaction is increased timelines and regulatory risk | Legacy systems require updated governance and maintenance, including front-end fixes for improved usability,and content discoverability and metadata to ensure compliance and proper use of content digitally | Development and configuration of existing tools, including the use of available AI and automation to drive usability</x:v>
      </x:c>
      <x:c r="AG148" s="15" t="str">
        <x:v>Must Do</x:v>
      </x:c>
      <x:c r="AH148" s="15" t="n">
        <x:v>453</x:v>
      </x:c>
    </x:row>
    <x:row r="149">
      <x:c r="A149" s="15" t="str">
        <x:v>Bu-275</x:v>
      </x:c>
      <x:c r="B149" s="15" t="str">
        <x:v>Web - Contentful features backlog (GEO, Compliance, Fixes, etc.)</x:v>
      </x:c>
      <x:c r="C149" s="15" t="str">
        <x:v>BU Led</x:v>
      </x:c>
      <x:c r="D149" s="15" t="str">
        <x:v>CoE Marketing – HS (former DMEC)</x:v>
      </x:c>
      <x:c r="E149" s="19" t="n">
        <x:v>0.57</x:v>
      </x:c>
      <x:c r="F149" s="19" t="n">
        <x:v>0</x:v>
      </x:c>
      <x:c r="G149" s="22" t="n">
        <x:f>IF(AND(E149&gt;0,ISNUMBER(F149)),F149/E149,"")</x:f>
        <x:v>0</x:v>
      </x:c>
      <x:c r="H149" s="15" t="str">
        <x:v>Hygiene</x:v>
      </x:c>
      <x:c r="I149" s="15" t="n">
        <x:v>92</x:v>
      </x:c>
      <x:c r="J149" s="15" t="n">
        <x:v>10</x:v>
      </x:c>
      <x:c r="K149" s="23" t="n">
        <x:f>IF(G149="",0,IF(G149&lt;1,0,IF(G149&lt;2,20,IF(G149&lt;3,30,IF(G149&lt;5,40,50)))))*'Scenario Controls'!$B$22/50</x:f>
        <x:v>0</x:v>
      </x:c>
      <x:c r="L149" s="23" t="n">
        <x:f>IF(ISNUMBER(SEARCH("Must Do",AG149)),25,IF(ISNUMBER(SEARCH("Must Have",AG149)),18,IF(ISNUMBER(SEARCH("Deprior",AG149)),5,0)))*'Scenario Controls'!$B$23/25</x:f>
        <x:v>25</x:v>
      </x:c>
      <x:c r="M149" s="23" t="n">
        <x:f>J149*'Scenario Controls'!$B$24/15</x:f>
        <x:v>10</x:v>
      </x:c>
      <x:c r="N149" s="23" t="n">
        <x:f>IF(ISNUMBER(SEARCH("HEALTHY",X149)),10,IF(ISNUMBER(SEARCH("CONTAIN",X149)),6,0))*'Scenario Controls'!$B$25/10</x:f>
        <x:v>0</x:v>
      </x:c>
      <x:c r="O149" s="23" t="n">
        <x:f>SUM(K149:N149)</x:f>
        <x:v>35</x:v>
      </x:c>
      <x:c r="P149" s="15" t="str">
        <x:f>IF(OR(B149="",E149&lt;=0),"Evidence missing / not eligible",IF(ISNUMBER(SEARCH("priority TBD",Y149)),"Evidence missing / not eligible",IF(AND(H149="Carryover",NOT(ISNUMBER(F149))),"Evidence missing / not eligible",IF(AND(H149="Carryover",G149&lt;'Scenario Controls'!$B$16),"Evidence missing / not eligible",IF(AND(H149="ROI-Based Portfolio",NOT(ISNUMBER(F149))),"Evidence missing / not eligible",IF(AND(H149="ROI-Based Portfolio",O149&lt;'Scenario Controls'!$B$20),"Evidence missing / not eligible","Eligible"))))))</x:f>
        <x:v>Eligible</x:v>
      </x:c>
      <x:c r="Q149" s="19" t="n">
        <x:f>IF(P149&lt;&gt;"Eligible",0,IF(AND(SUMIFS($Q$5:Q148,$H$5:H148,H149)+E149&lt;=(IF(H149="LFR",'Scenario Controls'!$F$10,IF(H149="Sustain Engineering",'Scenario Controls'!$F$11,IF(H149="Hygiene",'Scenario Controls'!$F$12,1E+99))))*(1+'Scenario Controls'!$B$7),SUM($Q$5:Q148)+E149&lt;='Scenario Controls'!$B$6*(1+'Scenario Controls'!$B$7)),E149,0))</x:f>
        <x:v>0</x:v>
      </x:c>
      <x:c r="R149" s="24" t="str">
        <x:f>'BU Conference'!G54</x:f>
        <x:v>Automatic</x:v>
      </x:c>
      <x:c r="S149" s="24" t="str">
        <x:f>'BU Conference'!H54</x:f>
      </x:c>
      <x:c r="T149" s="19" t="n">
        <x:f>IF(R149="Exclude",0,IF(R149="Include",E149,Q149))</x:f>
        <x:v>0</x:v>
      </x:c>
      <x:c r="U149" s="15" t="str">
        <x:f>IF(T149&gt;0,"Funded",IF(P149="Eligible","Unfunded",P149))</x:f>
        <x:v>Unfunded</x:v>
      </x:c>
      <x:c r="V149" s="15" t="str">
        <x:f>IF(R149="Include","Conference inclusion: "&amp;S149,IF(R149="Exclude","Conference exclusion: "&amp;S149,IF(Q149&gt;0,H149&amp;" priority rank "&amp;I149&amp;"; whole initiative selected",P149)))</x:f>
        <x:v>Eligible</x:v>
      </x:c>
      <x:c r="W149" s="15" t="str">
        <x:v>Bu!583</x:v>
      </x:c>
      <x:c r="X149" s="15" t="str"/>
      <x:c r="Y149" s="15" t="str"/>
      <x:c r="Z149" s="15" t="str">
        <x:v>Continous Improvement</x:v>
      </x:c>
      <x:c r="AA149" s="15" t="str">
        <x:v>Carry Over</x:v>
      </x:c>
      <x:c r="AB149" s="15" t="str">
        <x:v>Innovation and Digital IT</x:v>
      </x:c>
      <x:c r="AC149" s="15" t="str">
        <x:v>Improve on-site conversion rates and marketing impact on sales - inaction result in decreased customer satisfaction</x:v>
      </x:c>
      <x:c r="AD149" s="15" t="str">
        <x:v>Website is successfully migrating to Contentful in 2026, but there are required compliance (accessability) enhancements along with a BU requested feature enhancement backlog that has been prioritized and must be addressed</x:v>
      </x:c>
      <x:c r="AE149" s="15" t="str">
        <x:v>Development of front and back end feature requsts including GEO enhancements, accessbility issues, page load speed, and user experience improvements</x:v>
      </x:c>
      <x:c r="AF149" s="15" t="str">
        <x:v>Improve on-site conversion rates and marketing impact on sales - inaction result in decreased customer satisfaction | Website is successfully migrating to Contentful in 2026, but there are required compliance (accessability) enhancements along with a BU requested feature enhancement backlog that has been prioritized and must be addressed | Development of front and back end feature requsts including GEO enhancements, accessbility issues, page load speed, and user experience improvements</x:v>
      </x:c>
      <x:c r="AG149" s="15" t="str">
        <x:v>Must Do</x:v>
      </x:c>
      <x:c r="AH149" s="15" t="n">
        <x:v>454</x:v>
      </x:c>
    </x:row>
    <x:row r="150">
      <x:c r="A150" s="15" t="str">
        <x:v>Bu-280</x:v>
      </x:c>
      <x:c r="B150" s="15" t="str">
        <x:v>Nurture &amp; Campaign Enhancements (AI data enrichment, API connectors, customer match)</x:v>
      </x:c>
      <x:c r="C150" s="15" t="str">
        <x:v>BU Led</x:v>
      </x:c>
      <x:c r="D150" s="15" t="str">
        <x:v>CoE Marketing – HS (former DMEC)</x:v>
      </x:c>
      <x:c r="E150" s="19" t="n">
        <x:v>0.183</x:v>
      </x:c>
      <x:c r="F150" s="19" t="n">
        <x:v>0</x:v>
      </x:c>
      <x:c r="G150" s="22" t="n">
        <x:f>IF(AND(E150&gt;0,ISNUMBER(F150)),F150/E150,"")</x:f>
        <x:v>0</x:v>
      </x:c>
      <x:c r="H150" s="15" t="str">
        <x:v>Hygiene</x:v>
      </x:c>
      <x:c r="I150" s="15" t="n">
        <x:v>93</x:v>
      </x:c>
      <x:c r="J150" s="15" t="n">
        <x:v>10</x:v>
      </x:c>
      <x:c r="K150" s="23" t="n">
        <x:f>IF(G150="",0,IF(G150&lt;1,0,IF(G150&lt;2,20,IF(G150&lt;3,30,IF(G150&lt;5,40,50)))))*'Scenario Controls'!$B$22/50</x:f>
        <x:v>0</x:v>
      </x:c>
      <x:c r="L150" s="23" t="n">
        <x:f>IF(ISNUMBER(SEARCH("Must Do",AG150)),25,IF(ISNUMBER(SEARCH("Must Have",AG150)),18,IF(ISNUMBER(SEARCH("Deprior",AG150)),5,0)))*'Scenario Controls'!$B$23/25</x:f>
        <x:v>25</x:v>
      </x:c>
      <x:c r="M150" s="23" t="n">
        <x:f>J150*'Scenario Controls'!$B$24/15</x:f>
        <x:v>10</x:v>
      </x:c>
      <x:c r="N150" s="23" t="n">
        <x:f>IF(ISNUMBER(SEARCH("HEALTHY",X150)),10,IF(ISNUMBER(SEARCH("CONTAIN",X150)),6,0))*'Scenario Controls'!$B$25/10</x:f>
        <x:v>0</x:v>
      </x:c>
      <x:c r="O150" s="23" t="n">
        <x:f>SUM(K150:N150)</x:f>
        <x:v>35</x:v>
      </x:c>
      <x:c r="P150" s="15" t="str">
        <x:f>IF(OR(B150="",E150&lt;=0),"Evidence missing / not eligible",IF(ISNUMBER(SEARCH("priority TBD",Y150)),"Evidence missing / not eligible",IF(AND(H150="Carryover",NOT(ISNUMBER(F150))),"Evidence missing / not eligible",IF(AND(H150="Carryover",G150&lt;'Scenario Controls'!$B$16),"Evidence missing / not eligible",IF(AND(H150="ROI-Based Portfolio",NOT(ISNUMBER(F150))),"Evidence missing / not eligible",IF(AND(H150="ROI-Based Portfolio",O150&lt;'Scenario Controls'!$B$20),"Evidence missing / not eligible","Eligible"))))))</x:f>
        <x:v>Eligible</x:v>
      </x:c>
      <x:c r="Q150" s="19" t="n">
        <x:f>IF(P150&lt;&gt;"Eligible",0,IF(AND(SUMIFS($Q$5:Q149,$H$5:H149,H150)+E150&lt;=(IF(H150="LFR",'Scenario Controls'!$F$10,IF(H150="Sustain Engineering",'Scenario Controls'!$F$11,IF(H150="Hygiene",'Scenario Controls'!$F$12,1E+99))))*(1+'Scenario Controls'!$B$7),SUM($Q$5:Q149)+E150&lt;='Scenario Controls'!$B$6*(1+'Scenario Controls'!$B$7)),E150,0))</x:f>
        <x:v>0</x:v>
      </x:c>
      <x:c r="R150" s="24" t="str">
        <x:f>'BU Conference'!G55</x:f>
        <x:v>Automatic</x:v>
      </x:c>
      <x:c r="S150" s="24" t="str">
        <x:f>'BU Conference'!H55</x:f>
      </x:c>
      <x:c r="T150" s="19" t="n">
        <x:f>IF(R150="Exclude",0,IF(R150="Include",E150,Q150))</x:f>
        <x:v>0</x:v>
      </x:c>
      <x:c r="U150" s="15" t="str">
        <x:f>IF(T150&gt;0,"Funded",IF(P150="Eligible","Unfunded",P150))</x:f>
        <x:v>Unfunded</x:v>
      </x:c>
      <x:c r="V150" s="15" t="str">
        <x:f>IF(R150="Include","Conference inclusion: "&amp;S150,IF(R150="Exclude","Conference exclusion: "&amp;S150,IF(Q150&gt;0,H150&amp;" priority rank "&amp;I150&amp;"; whole initiative selected",P150)))</x:f>
        <x:v>Eligible</x:v>
      </x:c>
      <x:c r="W150" s="15" t="str">
        <x:v>Bu!586</x:v>
      </x:c>
      <x:c r="X150" s="15" t="str"/>
      <x:c r="Y150" s="15" t="str"/>
      <x:c r="Z150" s="15" t="str">
        <x:v>Continous Improvement</x:v>
      </x:c>
      <x:c r="AA150" s="15" t="str">
        <x:v>New Initiative</x:v>
      </x:c>
      <x:c r="AB150" s="15" t="str">
        <x:v>Innovation and Digital IT</x:v>
      </x:c>
      <x:c r="AC150" s="15" t="str">
        <x:v>Improve quality of campaigns and email sends resulting in more and better qualified leads - decline in opp value without action</x:v>
      </x:c>
      <x:c r="AD150" s="15" t="str">
        <x:v>Core technology (Eloqua, Veeva, Seismic, Linkedin, Google) require connections and maintenance to take advantage of features to deploy more effective marketing campaigns</x:v>
      </x:c>
      <x:c r="AE150" s="15" t="str">
        <x:v>Multiple API connections and database enhancements to support improved data collection, customer match, and data flow between core platforms</x:v>
      </x:c>
      <x:c r="AF150" s="15" t="str">
        <x:v>Improve quality of campaigns and email sends resulting in more and better qualified leads - decline in opp value without action | Core technology (Eloqua, Veeva, Seismic, Linkedin, Google) require connections and maintenance to take advantage of features to deploy more effective marketing campaigns | Multiple API connections and database enhancements to support improved data collection, customer match, and data flow between core platforms</x:v>
      </x:c>
      <x:c r="AG150" s="15" t="str">
        <x:v>Must Do</x:v>
      </x:c>
      <x:c r="AH150" s="15" t="n">
        <x:v>457</x:v>
      </x:c>
    </x:row>
    <x:row r="151">
      <x:c r="A151" s="15" t="str">
        <x:v>EW-182</x:v>
      </x:c>
      <x:c r="B151" s="15" t="str">
        <x:v>Future State Product Configuration Platform</x:v>
      </x:c>
      <x:c r="C151" s="15" t="str">
        <x:v>EW Led</x:v>
      </x:c>
      <x:c r="D151" s="15" t="str">
        <x:v>Information Technology</x:v>
      </x:c>
      <x:c r="E151" s="19" t="n">
        <x:v>0.7</x:v>
      </x:c>
      <x:c r="F151" s="19" t="n">
        <x:v>0</x:v>
      </x:c>
      <x:c r="G151" s="22" t="n">
        <x:f>IF(AND(E151&gt;0,ISNUMBER(F151)),F151/E151,"")</x:f>
        <x:v>0</x:v>
      </x:c>
      <x:c r="H151" s="15" t="str">
        <x:v>Hygiene</x:v>
      </x:c>
      <x:c r="I151" s="15" t="n">
        <x:v>94</x:v>
      </x:c>
      <x:c r="J151" s="15" t="n">
        <x:v>10</x:v>
      </x:c>
      <x:c r="K151" s="23" t="n">
        <x:f>IF(G151="",0,IF(G151&lt;1,0,IF(G151&lt;2,20,IF(G151&lt;3,30,IF(G151&lt;5,40,50)))))*'Scenario Controls'!$B$22/50</x:f>
        <x:v>0</x:v>
      </x:c>
      <x:c r="L151" s="23" t="n">
        <x:f>IF(ISNUMBER(SEARCH("Must Do",AG151)),25,IF(ISNUMBER(SEARCH("Must Have",AG151)),18,IF(ISNUMBER(SEARCH("Deprior",AG151)),5,0)))*'Scenario Controls'!$B$23/25</x:f>
        <x:v>25</x:v>
      </x:c>
      <x:c r="M151" s="23" t="n">
        <x:f>J151*'Scenario Controls'!$B$24/15</x:f>
        <x:v>10</x:v>
      </x:c>
      <x:c r="N151" s="23" t="n">
        <x:f>IF(ISNUMBER(SEARCH("HEALTHY",X151)),10,IF(ISNUMBER(SEARCH("CONTAIN",X151)),6,0))*'Scenario Controls'!$B$25/10</x:f>
        <x:v>0</x:v>
      </x:c>
      <x:c r="O151" s="23" t="n">
        <x:f>SUM(K151:N151)</x:f>
        <x:v>35</x:v>
      </x:c>
      <x:c r="P151" s="15" t="str">
        <x:f>IF(OR(B151="",E151&lt;=0),"Evidence missing / not eligible",IF(ISNUMBER(SEARCH("priority TBD",Y151)),"Evidence missing / not eligible",IF(AND(H151="Carryover",NOT(ISNUMBER(F151))),"Evidence missing / not eligible",IF(AND(H151="Carryover",G151&lt;'Scenario Controls'!$B$16),"Evidence missing / not eligible",IF(AND(H151="ROI-Based Portfolio",NOT(ISNUMBER(F151))),"Evidence missing / not eligible",IF(AND(H151="ROI-Based Portfolio",O151&lt;'Scenario Controls'!$B$20),"Evidence missing / not eligible","Eligible"))))))</x:f>
        <x:v>Eligible</x:v>
      </x:c>
      <x:c r="Q151" s="19" t="n">
        <x:f>IF(P151&lt;&gt;"Eligible",0,IF(AND(SUMIFS($Q$5:Q150,$H$5:H150,H151)+E151&lt;=(IF(H151="LFR",'Scenario Controls'!$F$10,IF(H151="Sustain Engineering",'Scenario Controls'!$F$11,IF(H151="Hygiene",'Scenario Controls'!$F$12,1E+99))))*(1+'Scenario Controls'!$B$7),SUM($Q$5:Q150)+E151&lt;='Scenario Controls'!$B$6*(1+'Scenario Controls'!$B$7)),E151,0))</x:f>
        <x:v>0</x:v>
      </x:c>
      <x:c r="R151" s="24" t="str">
        <x:f>'EW Conference'!G101</x:f>
        <x:v>Automatic</x:v>
      </x:c>
      <x:c r="S151" s="24" t="str">
        <x:f>'EW Conference'!H101</x:f>
      </x:c>
      <x:c r="T151" s="19" t="n">
        <x:f>IF(R151="Exclude",0,IF(R151="Include",E151,Q151))</x:f>
        <x:v>0</x:v>
      </x:c>
      <x:c r="U151" s="15" t="str">
        <x:f>IF(T151&gt;0,"Funded",IF(P151="Eligible","Unfunded",P151))</x:f>
        <x:v>Unfunded</x:v>
      </x:c>
      <x:c r="V151" s="15" t="str">
        <x:f>IF(R151="Include","Conference inclusion: "&amp;S151,IF(R151="Exclude","Conference exclusion: "&amp;S151,IF(Q151&gt;0,H151&amp;" priority rank "&amp;I151&amp;"; whole initiative selected",P151)))</x:f>
        <x:v>Eligible</x:v>
      </x:c>
      <x:c r="W151" s="15" t="str">
        <x:v>EW!178</x:v>
      </x:c>
      <x:c r="X151" s="15" t="str"/>
      <x:c r="Y151" s="15" t="str"/>
      <x:c r="Z151" s="15" t="str">
        <x:v>Decomm/Replatforming</x:v>
      </x:c>
      <x:c r="AA151" s="15" t="str">
        <x:v>New Initiative</x:v>
      </x:c>
      <x:c r="AB151" s="15" t="str">
        <x:v>Innovation and Digital IT</x:v>
      </x:c>
      <x:c r="AC151" s="15" t="str">
        <x:v>High level license fee</x:v>
      </x:c>
      <x:c r="AD151" s="15" t="str">
        <x:v>To drive recuring license cost down (ops budget) we are looking for a new solution for Configuration management</x:v>
      </x:c>
      <x:c r="AE151" s="15" t="str">
        <x:v>Use AI to rebuild new platform against lower maintenance cost.</x:v>
      </x:c>
      <x:c r="AF151" s="15" t="str">
        <x:v>High level license fee | To drive recuring license cost down (ops budget) we are looking for a new solution for Configuration management | Use AI to rebuild new platform against lower maintenance cost.</x:v>
      </x:c>
      <x:c r="AG151" s="15" t="str">
        <x:v>Must Do</x:v>
      </x:c>
      <x:c r="AH151" s="15" t="n">
        <x:v>180</x:v>
      </x:c>
    </x:row>
    <x:row r="152">
      <x:c r="A152" s="15" t="str">
        <x:v>EW-183</x:v>
      </x:c>
      <x:c r="B152" s="15" t="str">
        <x:v>FIN - Internal Controls Automation</x:v>
      </x:c>
      <x:c r="C152" s="15" t="str">
        <x:v>EW Led</x:v>
      </x:c>
      <x:c r="D152" s="15" t="str">
        <x:v>Finance</x:v>
      </x:c>
      <x:c r="E152" s="19" t="n">
        <x:v>0.15</x:v>
      </x:c>
      <x:c r="F152" s="19" t="n">
        <x:v>0</x:v>
      </x:c>
      <x:c r="G152" s="22" t="n">
        <x:f>IF(AND(E152&gt;0,ISNUMBER(F152)),F152/E152,"")</x:f>
        <x:v>0</x:v>
      </x:c>
      <x:c r="H152" s="15" t="str">
        <x:v>Hygiene</x:v>
      </x:c>
      <x:c r="I152" s="15" t="n">
        <x:v>95</x:v>
      </x:c>
      <x:c r="J152" s="15" t="n">
        <x:v>10</x:v>
      </x:c>
      <x:c r="K152" s="23" t="n">
        <x:f>IF(G152="",0,IF(G152&lt;1,0,IF(G152&lt;2,20,IF(G152&lt;3,30,IF(G152&lt;5,40,50)))))*'Scenario Controls'!$B$22/50</x:f>
        <x:v>0</x:v>
      </x:c>
      <x:c r="L152" s="23" t="n">
        <x:f>IF(ISNUMBER(SEARCH("Must Do",AG152)),25,IF(ISNUMBER(SEARCH("Must Have",AG152)),18,IF(ISNUMBER(SEARCH("Deprior",AG152)),5,0)))*'Scenario Controls'!$B$23/25</x:f>
        <x:v>25</x:v>
      </x:c>
      <x:c r="M152" s="23" t="n">
        <x:f>J152*'Scenario Controls'!$B$24/15</x:f>
        <x:v>10</x:v>
      </x:c>
      <x:c r="N152" s="23" t="n">
        <x:f>IF(ISNUMBER(SEARCH("HEALTHY",X152)),10,IF(ISNUMBER(SEARCH("CONTAIN",X152)),6,0))*'Scenario Controls'!$B$25/10</x:f>
        <x:v>0</x:v>
      </x:c>
      <x:c r="O152" s="23" t="n">
        <x:f>SUM(K152:N152)</x:f>
        <x:v>35</x:v>
      </x:c>
      <x:c r="P152" s="15" t="str">
        <x:f>IF(OR(B152="",E152&lt;=0),"Evidence missing / not eligible",IF(ISNUMBER(SEARCH("priority TBD",Y152)),"Evidence missing / not eligible",IF(AND(H152="Carryover",NOT(ISNUMBER(F152))),"Evidence missing / not eligible",IF(AND(H152="Carryover",G152&lt;'Scenario Controls'!$B$16),"Evidence missing / not eligible",IF(AND(H152="ROI-Based Portfolio",NOT(ISNUMBER(F152))),"Evidence missing / not eligible",IF(AND(H152="ROI-Based Portfolio",O152&lt;'Scenario Controls'!$B$20),"Evidence missing / not eligible","Eligible"))))))</x:f>
        <x:v>Eligible</x:v>
      </x:c>
      <x:c r="Q152" s="19" t="n">
        <x:f>IF(P152&lt;&gt;"Eligible",0,IF(AND(SUMIFS($Q$5:Q151,$H$5:H151,H152)+E152&lt;=(IF(H152="LFR",'Scenario Controls'!$F$10,IF(H152="Sustain Engineering",'Scenario Controls'!$F$11,IF(H152="Hygiene",'Scenario Controls'!$F$12,1E+99))))*(1+'Scenario Controls'!$B$7),SUM($Q$5:Q151)+E152&lt;='Scenario Controls'!$B$6*(1+'Scenario Controls'!$B$7)),E152,0))</x:f>
        <x:v>0</x:v>
      </x:c>
      <x:c r="R152" s="24" t="str">
        <x:f>'EW Conference'!G102</x:f>
        <x:v>Automatic</x:v>
      </x:c>
      <x:c r="S152" s="24" t="str">
        <x:f>'EW Conference'!H102</x:f>
      </x:c>
      <x:c r="T152" s="19" t="n">
        <x:f>IF(R152="Exclude",0,IF(R152="Include",E152,Q152))</x:f>
        <x:v>0</x:v>
      </x:c>
      <x:c r="U152" s="15" t="str">
        <x:f>IF(T152&gt;0,"Funded",IF(P152="Eligible","Unfunded",P152))</x:f>
        <x:v>Unfunded</x:v>
      </x:c>
      <x:c r="V152" s="15" t="str">
        <x:f>IF(R152="Include","Conference inclusion: "&amp;S152,IF(R152="Exclude","Conference exclusion: "&amp;S152,IF(Q152&gt;0,H152&amp;" priority rank "&amp;I152&amp;"; whole initiative selected",P152)))</x:f>
        <x:v>Eligible</x:v>
      </x:c>
      <x:c r="W152" s="15" t="str">
        <x:v>EW!179</x:v>
      </x:c>
      <x:c r="X152" s="15" t="str"/>
      <x:c r="Y152" s="15" t="str"/>
      <x:c r="Z152" s="15" t="str">
        <x:v>Continuous Improvement</x:v>
      </x:c>
      <x:c r="AA152" s="15" t="str">
        <x:v>Carry Over</x:v>
      </x:c>
      <x:c r="AB152" s="15" t="str">
        <x:v>Integrated Supply Chain &amp; Finance</x:v>
      </x:c>
      <x:c r="AC152" s="15" t="str">
        <x:v>Miss out AI productivity benefits and associated cost savings</x:v>
      </x:c>
      <x:c r="AD152" s="15" t="str"/>
      <x:c r="AE152" s="15" t="str">
        <x:v>Implementation of automation IT application controls contineous monitoring/testing (IT application dashboards). IT support required for implementation in ADL and handover to IT (zone 3).</x:v>
      </x:c>
      <x:c r="AF152" s="15" t="str">
        <x:v>Miss out AI productivity benefits and associated cost savings | Implementation of automation IT application controls contineous monitoring/testing (IT application dashboards). IT support required for implementation in ADL and handover to IT (zone 3).</x:v>
      </x:c>
      <x:c r="AG152" s="15" t="str">
        <x:v>Must Do</x:v>
      </x:c>
      <x:c r="AH152" s="15" t="n">
        <x:v>181</x:v>
      </x:c>
    </x:row>
    <x:row r="153">
      <x:c r="A153" s="15" t="str">
        <x:v>EW-109</x:v>
      </x:c>
      <x:c r="B153" s="15" t="str">
        <x:v>Pay to perform</x:v>
      </x:c>
      <x:c r="C153" s="15" t="str">
        <x:v>EW Led</x:v>
      </x:c>
      <x:c r="D153" s="15" t="str">
        <x:v>People function</x:v>
      </x:c>
      <x:c r="E153" s="19" t="n">
        <x:v>0.48</x:v>
      </x:c>
      <x:c r="F153" s="19" t="n">
        <x:v>0.3</x:v>
      </x:c>
      <x:c r="G153" s="22" t="n">
        <x:f>IF(AND(E153&gt;0,ISNUMBER(F153)),F153/E153,"")</x:f>
        <x:v>0.625</x:v>
      </x:c>
      <x:c r="H153" s="15" t="str">
        <x:v>Hygiene</x:v>
      </x:c>
      <x:c r="I153" s="15" t="n">
        <x:v>96</x:v>
      </x:c>
      <x:c r="J153" s="15" t="n">
        <x:v>5</x:v>
      </x:c>
      <x:c r="K153" s="23" t="n">
        <x:f>IF(G153="",0,IF(G153&lt;1,0,IF(G153&lt;2,20,IF(G153&lt;3,30,IF(G153&lt;5,40,50)))))*'Scenario Controls'!$B$22/50</x:f>
        <x:v>0</x:v>
      </x:c>
      <x:c r="L153" s="23" t="n">
        <x:f>IF(ISNUMBER(SEARCH("Must Do",AG153)),25,IF(ISNUMBER(SEARCH("Must Have",AG153)),18,IF(ISNUMBER(SEARCH("Deprior",AG153)),5,0)))*'Scenario Controls'!$B$23/25</x:f>
        <x:v>18</x:v>
      </x:c>
      <x:c r="M153" s="23" t="n">
        <x:f>J153*'Scenario Controls'!$B$24/15</x:f>
        <x:v>5</x:v>
      </x:c>
      <x:c r="N153" s="23" t="n">
        <x:f>IF(ISNUMBER(SEARCH("HEALTHY",X153)),10,IF(ISNUMBER(SEARCH("CONTAIN",X153)),6,0))*'Scenario Controls'!$B$25/10</x:f>
        <x:v>10</x:v>
      </x:c>
      <x:c r="O153" s="23" t="n">
        <x:f>SUM(K153:N153)</x:f>
        <x:v>33</x:v>
      </x:c>
      <x:c r="P153" s="15" t="str">
        <x:f>IF(OR(B153="",E153&lt;=0),"Evidence missing / not eligible",IF(ISNUMBER(SEARCH("priority TBD",Y153)),"Evidence missing / not eligible",IF(AND(H153="Carryover",NOT(ISNUMBER(F153))),"Evidence missing / not eligible",IF(AND(H153="Carryover",G153&lt;'Scenario Controls'!$B$16),"Evidence missing / not eligible",IF(AND(H153="ROI-Based Portfolio",NOT(ISNUMBER(F153))),"Evidence missing / not eligible",IF(AND(H153="ROI-Based Portfolio",O153&lt;'Scenario Controls'!$B$20),"Evidence missing / not eligible","Eligible"))))))</x:f>
        <x:v>Eligible</x:v>
      </x:c>
      <x:c r="Q153" s="19" t="n">
        <x:f>IF(P153&lt;&gt;"Eligible",0,IF(AND(SUMIFS($Q$5:Q152,$H$5:H152,H153)+E153&lt;=(IF(H153="LFR",'Scenario Controls'!$F$10,IF(H153="Sustain Engineering",'Scenario Controls'!$F$11,IF(H153="Hygiene",'Scenario Controls'!$F$12,1E+99))))*(1+'Scenario Controls'!$B$7),SUM($Q$5:Q152)+E153&lt;='Scenario Controls'!$B$6*(1+'Scenario Controls'!$B$7)),E153,0))</x:f>
        <x:v>0</x:v>
      </x:c>
      <x:c r="R153" s="24" t="str">
        <x:f>'EW Conference'!G103</x:f>
        <x:v>Automatic</x:v>
      </x:c>
      <x:c r="S153" s="24" t="str">
        <x:f>'EW Conference'!H103</x:f>
      </x:c>
      <x:c r="T153" s="19" t="n">
        <x:f>IF(R153="Exclude",0,IF(R153="Include",E153,Q153))</x:f>
        <x:v>0</x:v>
      </x:c>
      <x:c r="U153" s="15" t="str">
        <x:f>IF(T153&gt;0,"Funded",IF(P153="Eligible","Unfunded",P153))</x:f>
        <x:v>Unfunded</x:v>
      </x:c>
      <x:c r="V153" s="15" t="str">
        <x:f>IF(R153="Include","Conference inclusion: "&amp;S153,IF(R153="Exclude","Conference exclusion: "&amp;S153,IF(Q153&gt;0,H153&amp;" priority rank "&amp;I153&amp;"; whole initiative selected",P153)))</x:f>
        <x:v>Eligible</x:v>
      </x:c>
      <x:c r="W153" s="15" t="str">
        <x:v>EW!105</x:v>
      </x:c>
      <x:c r="X153" s="15" t="str">
        <x:v>HEALTHY</x:v>
      </x:c>
      <x:c r="Y153" s="15" t="str">
        <x:v>HEALTHY — Rank in priority matrix</x:v>
      </x:c>
      <x:c r="Z153" s="15" t="str">
        <x:v>Continuous Improvement</x:v>
      </x:c>
      <x:c r="AA153" s="15" t="str">
        <x:v>New Initiative</x:v>
      </x:c>
      <x:c r="AB153" s="15" t="str">
        <x:v>Group Functions &amp; Hyperautomation IT</x:v>
      </x:c>
      <x:c r="AC153" s="15" t="str">
        <x:v>Productivity targets will not be met and thereby forfeit Business case worth of 300K</x:v>
      </x:c>
      <x:c r="AD153" s="15" t="str">
        <x:v>Make rewards transparent, competitive, differentiated and aligned with the People Strategy.</x:v>
      </x:c>
      <x:c r="AE153" s="15" t="str">
        <x:v>Consolidate rewards and performance initiatives.</x:v>
      </x:c>
      <x:c r="AF153" s="15" t="str">
        <x:v>Productivity targets will not be met and thereby forfeit Business case worth of 300K | Make rewards transparent, competitive, differentiated and aligned with the People Strategy. | Consolidate rewards and performance initiatives.</x:v>
      </x:c>
      <x:c r="AG153" s="15" t="str">
        <x:v>Must Have</x:v>
      </x:c>
      <x:c r="AH153" s="15" t="n">
        <x:v>107</x:v>
      </x:c>
    </x:row>
    <x:row r="154">
      <x:c r="A154" s="15" t="str">
        <x:v>Bu-228</x:v>
      </x:c>
      <x:c r="B154" s="15" t="str">
        <x:v>ACI Integration (SNOW)</x:v>
      </x:c>
      <x:c r="C154" s="15" t="str">
        <x:v>BU Led</x:v>
      </x:c>
      <x:c r="D154" s="15" t="str">
        <x:v>Monitoring - HPM (MCH)</x:v>
      </x:c>
      <x:c r="E154" s="19" t="n">
        <x:v>0.25</x:v>
      </x:c>
      <x:c r="F154" s="19" t="n">
        <x:v>0</x:v>
      </x:c>
      <x:c r="G154" s="22" t="n">
        <x:f>IF(AND(E154&gt;0,ISNUMBER(F154)),F154/E154,"")</x:f>
        <x:v>0</x:v>
      </x:c>
      <x:c r="H154" s="15" t="str">
        <x:v>Hygiene</x:v>
      </x:c>
      <x:c r="I154" s="15" t="n">
        <x:v>97</x:v>
      </x:c>
      <x:c r="J154" s="15" t="n">
        <x:v>5</x:v>
      </x:c>
      <x:c r="K154" s="23" t="n">
        <x:f>IF(G154="",0,IF(G154&lt;1,0,IF(G154&lt;2,20,IF(G154&lt;3,30,IF(G154&lt;5,40,50)))))*'Scenario Controls'!$B$22/50</x:f>
        <x:v>0</x:v>
      </x:c>
      <x:c r="L154" s="23" t="n">
        <x:f>IF(ISNUMBER(SEARCH("Must Do",AG154)),25,IF(ISNUMBER(SEARCH("Must Have",AG154)),18,IF(ISNUMBER(SEARCH("Deprior",AG154)),5,0)))*'Scenario Controls'!$B$23/25</x:f>
        <x:v>18</x:v>
      </x:c>
      <x:c r="M154" s="23" t="n">
        <x:f>J154*'Scenario Controls'!$B$24/15</x:f>
        <x:v>5</x:v>
      </x:c>
      <x:c r="N154" s="23" t="n">
        <x:f>IF(ISNUMBER(SEARCH("HEALTHY",X154)),10,IF(ISNUMBER(SEARCH("CONTAIN",X154)),6,0))*'Scenario Controls'!$B$25/10</x:f>
        <x:v>10</x:v>
      </x:c>
      <x:c r="O154" s="23" t="n">
        <x:f>SUM(K154:N154)</x:f>
        <x:v>33</x:v>
      </x:c>
      <x:c r="P154" s="15" t="str">
        <x:f>IF(OR(B154="",E154&lt;=0),"Evidence missing / not eligible",IF(ISNUMBER(SEARCH("priority TBD",Y154)),"Evidence missing / not eligible",IF(AND(H154="Carryover",NOT(ISNUMBER(F154))),"Evidence missing / not eligible",IF(AND(H154="Carryover",G154&lt;'Scenario Controls'!$B$16),"Evidence missing / not eligible",IF(AND(H154="ROI-Based Portfolio",NOT(ISNUMBER(F154))),"Evidence missing / not eligible",IF(AND(H154="ROI-Based Portfolio",O154&lt;'Scenario Controls'!$B$20),"Evidence missing / not eligible","Eligible"))))))</x:f>
        <x:v>Eligible</x:v>
      </x:c>
      <x:c r="Q154" s="19" t="n">
        <x:f>IF(P154&lt;&gt;"Eligible",0,IF(AND(SUMIFS($Q$5:Q153,$H$5:H153,H154)+E154&lt;=(IF(H154="LFR",'Scenario Controls'!$F$10,IF(H154="Sustain Engineering",'Scenario Controls'!$F$11,IF(H154="Hygiene",'Scenario Controls'!$F$12,1E+99))))*(1+'Scenario Controls'!$B$7),SUM($Q$5:Q153)+E154&lt;='Scenario Controls'!$B$6*(1+'Scenario Controls'!$B$7)),E154,0))</x:f>
        <x:v>0</x:v>
      </x:c>
      <x:c r="R154" s="24" t="str">
        <x:f>'BU Conference'!G56</x:f>
        <x:v>Automatic</x:v>
      </x:c>
      <x:c r="S154" s="24" t="str">
        <x:f>'BU Conference'!H56</x:f>
      </x:c>
      <x:c r="T154" s="19" t="n">
        <x:f>IF(R154="Exclude",0,IF(R154="Include",E154,Q154))</x:f>
        <x:v>0</x:v>
      </x:c>
      <x:c r="U154" s="15" t="str">
        <x:f>IF(T154&gt;0,"Funded",IF(P154="Eligible","Unfunded",P154))</x:f>
        <x:v>Unfunded</x:v>
      </x:c>
      <x:c r="V154" s="15" t="str">
        <x:f>IF(R154="Include","Conference inclusion: "&amp;S154,IF(R154="Exclude","Conference exclusion: "&amp;S154,IF(Q154&gt;0,H154&amp;" priority rank "&amp;I154&amp;"; whole initiative selected",P154)))</x:f>
        <x:v>Eligible</x:v>
      </x:c>
      <x:c r="W154" s="15" t="str">
        <x:v>Bu!523</x:v>
      </x:c>
      <x:c r="X154" s="15" t="str">
        <x:v>HEALTHY</x:v>
      </x:c>
      <x:c r="Y154" s="15" t="str">
        <x:v>HEALTHY — Rank in priority matrix</x:v>
      </x:c>
      <x:c r="Z154" s="15" t="str">
        <x:v>Continous Improvement</x:v>
      </x:c>
      <x:c r="AA154" s="15" t="str">
        <x:v>New Initiative</x:v>
      </x:c>
      <x:c r="AB154" s="15" t="str">
        <x:v>Innovation and Digital IT</x:v>
      </x:c>
      <x:c r="AC154" s="15" t="str"/>
      <x:c r="AD154" s="15" t="str">
        <x:v>new unit, ACI, moved from EI to HPM - processes and tools and currently not aligned or integrated</x:v>
      </x:c>
      <x:c r="AE154" s="15" t="str">
        <x:v>integrate new HPM unit into standard ways of working</x:v>
      </x:c>
      <x:c r="AF154" s="15" t="str">
        <x:v>new unit, ACI, moved from EI to HPM - processes and tools and currently not aligned or integrated | integrate new HPM unit into standard ways of working</x:v>
      </x:c>
      <x:c r="AG154" s="15" t="str">
        <x:v>Must Have</x:v>
      </x:c>
      <x:c r="AH154" s="15" t="n">
        <x:v>407</x:v>
      </x:c>
    </x:row>
    <x:row r="155">
      <x:c r="A155" s="15" t="str">
        <x:v>Bu-288</x:v>
      </x:c>
      <x:c r="B155" s="15" t="str">
        <x:v>94. PH ISC ring fenced budget + A/ ML Demand forecasting</x:v>
      </x:c>
      <x:c r="C155" s="15" t="str">
        <x:v>BU Led</x:v>
      </x:c>
      <x:c r="D155" s="15" t="str">
        <x:v>Personal Health (PH)</x:v>
      </x:c>
      <x:c r="E155" s="19" t="n">
        <x:v>1</x:v>
      </x:c>
      <x:c r="F155" s="19" t="n">
        <x:v>0</x:v>
      </x:c>
      <x:c r="G155" s="22" t="n">
        <x:f>IF(AND(E155&gt;0,ISNUMBER(F155)),F155/E155,"")</x:f>
        <x:v>0</x:v>
      </x:c>
      <x:c r="H155" s="15" t="str">
        <x:v>Hygiene</x:v>
      </x:c>
      <x:c r="I155" s="15" t="n">
        <x:v>98</x:v>
      </x:c>
      <x:c r="J155" s="15" t="n">
        <x:v>15</x:v>
      </x:c>
      <x:c r="K155" s="23" t="n">
        <x:f>IF(G155="",0,IF(G155&lt;1,0,IF(G155&lt;2,20,IF(G155&lt;3,30,IF(G155&lt;5,40,50)))))*'Scenario Controls'!$B$22/50</x:f>
        <x:v>0</x:v>
      </x:c>
      <x:c r="L155" s="23" t="n">
        <x:f>IF(ISNUMBER(SEARCH("Must Do",AG155)),25,IF(ISNUMBER(SEARCH("Must Have",AG155)),18,IF(ISNUMBER(SEARCH("Deprior",AG155)),5,0)))*'Scenario Controls'!$B$23/25</x:f>
        <x:v>18</x:v>
      </x:c>
      <x:c r="M155" s="23" t="n">
        <x:f>J155*'Scenario Controls'!$B$24/15</x:f>
        <x:v>15</x:v>
      </x:c>
      <x:c r="N155" s="23" t="n">
        <x:f>IF(ISNUMBER(SEARCH("HEALTHY",X155)),10,IF(ISNUMBER(SEARCH("CONTAIN",X155)),6,0))*'Scenario Controls'!$B$25/10</x:f>
        <x:v>0</x:v>
      </x:c>
      <x:c r="O155" s="23" t="n">
        <x:f>SUM(K155:N155)</x:f>
        <x:v>33</x:v>
      </x:c>
      <x:c r="P155" s="15" t="str">
        <x:f>IF(OR(B155="",E155&lt;=0),"Evidence missing / not eligible",IF(ISNUMBER(SEARCH("priority TBD",Y155)),"Evidence missing / not eligible",IF(AND(H155="Carryover",NOT(ISNUMBER(F155))),"Evidence missing / not eligible",IF(AND(H155="Carryover",G155&lt;'Scenario Controls'!$B$16),"Evidence missing / not eligible",IF(AND(H155="ROI-Based Portfolio",NOT(ISNUMBER(F155))),"Evidence missing / not eligible",IF(AND(H155="ROI-Based Portfolio",O155&lt;'Scenario Controls'!$B$20),"Evidence missing / not eligible","Eligible"))))))</x:f>
        <x:v>Eligible</x:v>
      </x:c>
      <x:c r="Q155" s="19" t="n">
        <x:f>IF(P155&lt;&gt;"Eligible",0,IF(AND(SUMIFS($Q$5:Q154,$H$5:H154,H155)+E155&lt;=(IF(H155="LFR",'Scenario Controls'!$F$10,IF(H155="Sustain Engineering",'Scenario Controls'!$F$11,IF(H155="Hygiene",'Scenario Controls'!$F$12,1E+99))))*(1+'Scenario Controls'!$B$7),SUM($Q$5:Q154)+E155&lt;='Scenario Controls'!$B$6*(1+'Scenario Controls'!$B$7)),E155,0))</x:f>
        <x:v>0</x:v>
      </x:c>
      <x:c r="R155" s="24" t="str">
        <x:f>'BU Conference'!G57</x:f>
        <x:v>Automatic</x:v>
      </x:c>
      <x:c r="S155" s="24" t="str">
        <x:f>'BU Conference'!H57</x:f>
      </x:c>
      <x:c r="T155" s="19" t="n">
        <x:f>IF(R155="Exclude",0,IF(R155="Include",E155,Q155))</x:f>
        <x:v>0</x:v>
      </x:c>
      <x:c r="U155" s="15" t="str">
        <x:f>IF(T155&gt;0,"Funded",IF(P155="Eligible","Unfunded",P155))</x:f>
        <x:v>Unfunded</x:v>
      </x:c>
      <x:c r="V155" s="15" t="str">
        <x:f>IF(R155="Include","Conference inclusion: "&amp;S155,IF(R155="Exclude","Conference exclusion: "&amp;S155,IF(Q155&gt;0,H155&amp;" priority rank "&amp;I155&amp;"; whole initiative selected",P155)))</x:f>
        <x:v>Eligible</x:v>
      </x:c>
      <x:c r="W155" s="15" t="str">
        <x:v>Bu!601</x:v>
      </x:c>
      <x:c r="X155" s="15" t="str"/>
      <x:c r="Y155" s="15" t="str"/>
      <x:c r="Z155" s="15" t="str">
        <x:v>Continous Improvement</x:v>
      </x:c>
      <x:c r="AA155" s="15" t="str">
        <x:v>Carry Over</x:v>
      </x:c>
      <x:c r="AB155" s="15" t="str">
        <x:v>Integrated Supply Chain &amp; Finance</x:v>
      </x:c>
      <x:c r="AC155" s="15" t="str">
        <x:v>No funds to address regional ISC demands during global events or mid-year regulatory asks</x:v>
      </x:c>
      <x:c r="AD155" s="15" t="str">
        <x: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x:v>
      </x:c>
      <x:c r="AE155" s="15" t="str">
        <x:v>AI/ML Demand planning capabilities and automation</x:v>
      </x:c>
      <x:c r="AF155" s="15" t="str">
        <x:v>No funds to address regional ISC demands during global events or mid-year regulatory asks |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 AI/ML Demand planning capabilities and automation</x:v>
      </x:c>
      <x:c r="AG155" s="15" t="str">
        <x:v>Must Have</x:v>
      </x:c>
      <x:c r="AH155" s="15" t="n">
        <x:v>465</x:v>
      </x:c>
    </x:row>
    <x:row r="156">
      <x:c r="A156" s="15" t="str">
        <x:v>EW-110</x:v>
      </x:c>
      <x:c r="B156" s="15" t="str">
        <x:v>Sales incentives</x:v>
      </x:c>
      <x:c r="C156" s="15" t="str">
        <x:v>EW Led</x:v>
      </x:c>
      <x:c r="D156" s="15" t="str">
        <x:v>People function</x:v>
      </x:c>
      <x:c r="E156" s="19" t="n">
        <x:v>0.55</x:v>
      </x:c>
      <x:c r="F156" s="19" t="n">
        <x:v>0</x:v>
      </x:c>
      <x:c r="G156" s="22" t="n">
        <x:f>IF(AND(E156&gt;0,ISNUMBER(F156)),F156/E156,"")</x:f>
        <x:v>0</x:v>
      </x:c>
      <x:c r="H156" s="15" t="str">
        <x:v>Hygiene</x:v>
      </x:c>
      <x:c r="I156" s="15" t="n">
        <x:v>99</x:v>
      </x:c>
      <x:c r="J156" s="15" t="n">
        <x:v>5</x:v>
      </x:c>
      <x:c r="K156" s="23" t="n">
        <x:f>IF(G156="",0,IF(G156&lt;1,0,IF(G156&lt;2,20,IF(G156&lt;3,30,IF(G156&lt;5,40,50)))))*'Scenario Controls'!$B$22/50</x:f>
        <x:v>0</x:v>
      </x:c>
      <x:c r="L156" s="23" t="n">
        <x:f>IF(ISNUMBER(SEARCH("Must Do",AG156)),25,IF(ISNUMBER(SEARCH("Must Have",AG156)),18,IF(ISNUMBER(SEARCH("Deprior",AG156)),5,0)))*'Scenario Controls'!$B$23/25</x:f>
        <x:v>18</x:v>
      </x:c>
      <x:c r="M156" s="23" t="n">
        <x:f>J156*'Scenario Controls'!$B$24/15</x:f>
        <x:v>5</x:v>
      </x:c>
      <x:c r="N156" s="23" t="n">
        <x:f>IF(ISNUMBER(SEARCH("HEALTHY",X156)),10,IF(ISNUMBER(SEARCH("CONTAIN",X156)),6,0))*'Scenario Controls'!$B$25/10</x:f>
        <x:v>10</x:v>
      </x:c>
      <x:c r="O156" s="23" t="n">
        <x:f>SUM(K156:N156)</x:f>
        <x:v>33</x:v>
      </x:c>
      <x:c r="P156" s="15" t="str">
        <x:f>IF(OR(B156="",E156&lt;=0),"Evidence missing / not eligible",IF(ISNUMBER(SEARCH("priority TBD",Y156)),"Evidence missing / not eligible",IF(AND(H156="Carryover",NOT(ISNUMBER(F156))),"Evidence missing / not eligible",IF(AND(H156="Carryover",G156&lt;'Scenario Controls'!$B$16),"Evidence missing / not eligible",IF(AND(H156="ROI-Based Portfolio",NOT(ISNUMBER(F156))),"Evidence missing / not eligible",IF(AND(H156="ROI-Based Portfolio",O156&lt;'Scenario Controls'!$B$20),"Evidence missing / not eligible","Eligible"))))))</x:f>
        <x:v>Eligible</x:v>
      </x:c>
      <x:c r="Q156" s="19" t="n">
        <x:f>IF(P156&lt;&gt;"Eligible",0,IF(AND(SUMIFS($Q$5:Q155,$H$5:H155,H156)+E156&lt;=(IF(H156="LFR",'Scenario Controls'!$F$10,IF(H156="Sustain Engineering",'Scenario Controls'!$F$11,IF(H156="Hygiene",'Scenario Controls'!$F$12,1E+99))))*(1+'Scenario Controls'!$B$7),SUM($Q$5:Q155)+E156&lt;='Scenario Controls'!$B$6*(1+'Scenario Controls'!$B$7)),E156,0))</x:f>
        <x:v>0</x:v>
      </x:c>
      <x:c r="R156" s="24" t="str">
        <x:f>'EW Conference'!G104</x:f>
        <x:v>Automatic</x:v>
      </x:c>
      <x:c r="S156" s="24" t="str">
        <x:f>'EW Conference'!H104</x:f>
      </x:c>
      <x:c r="T156" s="19" t="n">
        <x:f>IF(R156="Exclude",0,IF(R156="Include",E156,Q156))</x:f>
        <x:v>0</x:v>
      </x:c>
      <x:c r="U156" s="15" t="str">
        <x:f>IF(T156&gt;0,"Funded",IF(P156="Eligible","Unfunded",P156))</x:f>
        <x:v>Unfunded</x:v>
      </x:c>
      <x:c r="V156" s="15" t="str">
        <x:f>IF(R156="Include","Conference inclusion: "&amp;S156,IF(R156="Exclude","Conference exclusion: "&amp;S156,IF(Q156&gt;0,H156&amp;" priority rank "&amp;I156&amp;"; whole initiative selected",P156)))</x:f>
        <x:v>Eligible</x:v>
      </x:c>
      <x:c r="W156" s="15" t="str">
        <x:v>EW!106</x:v>
      </x:c>
      <x:c r="X156" s="15" t="str">
        <x:v>HEALTHY</x:v>
      </x:c>
      <x:c r="Y156" s="15" t="str">
        <x:v>HEALTHY — Rank in priority matrix</x:v>
      </x:c>
      <x:c r="Z156" s="15" t="str">
        <x:v>Continuous Improvement</x:v>
      </x:c>
      <x:c r="AA156" s="15" t="str">
        <x:v>New Initiative</x:v>
      </x:c>
      <x:c r="AB156" s="15" t="str">
        <x:v>Group Functions &amp; Hyperautomation IT</x:v>
      </x:c>
      <x:c r="AC156" s="15" t="str">
        <x:v>Strategic priorities of PF will not be met.</x:v>
      </x:c>
      <x:c r="AD156" s="15" t="str">
        <x:v>Create differentiated sales incentives to drive growth.</x:v>
      </x:c>
      <x:c r="AE156" s="15" t="str">
        <x:v>Develop the sales incentive and eligibility framework with Sales Operations.</x:v>
      </x:c>
      <x:c r="AF156" s="15" t="str">
        <x:v>Strategic priorities of PF will not be met. | Create differentiated sales incentives to drive growth. | Develop the sales incentive and eligibility framework with Sales Operations.</x:v>
      </x:c>
      <x:c r="AG156" s="15" t="str">
        <x:v>Must Have</x:v>
      </x:c>
      <x:c r="AH156" s="15" t="n">
        <x:v>108</x:v>
      </x:c>
    </x:row>
    <x:row r="157">
      <x:c r="A157" s="15" t="str">
        <x:v>EW-112</x:v>
      </x:c>
      <x:c r="B157" s="15" t="str">
        <x:v>Org Effectiveness</x:v>
      </x:c>
      <x:c r="C157" s="15" t="str">
        <x:v>EW Led</x:v>
      </x:c>
      <x:c r="D157" s="15" t="str">
        <x:v>People function</x:v>
      </x:c>
      <x:c r="E157" s="19" t="n">
        <x:v>0.5</x:v>
      </x:c>
      <x:c r="F157" s="19" t="n">
        <x:v>0</x:v>
      </x:c>
      <x:c r="G157" s="22" t="n">
        <x:f>IF(AND(E157&gt;0,ISNUMBER(F157)),F157/E157,"")</x:f>
        <x:v>0</x:v>
      </x:c>
      <x:c r="H157" s="15" t="str">
        <x:v>Hygiene</x:v>
      </x:c>
      <x:c r="I157" s="15" t="n">
        <x:v>100</x:v>
      </x:c>
      <x:c r="J157" s="15" t="n">
        <x:v>5</x:v>
      </x:c>
      <x:c r="K157" s="23" t="n">
        <x:f>IF(G157="",0,IF(G157&lt;1,0,IF(G157&lt;2,20,IF(G157&lt;3,30,IF(G157&lt;5,40,50)))))*'Scenario Controls'!$B$22/50</x:f>
        <x:v>0</x:v>
      </x:c>
      <x:c r="L157" s="23" t="n">
        <x:f>IF(ISNUMBER(SEARCH("Must Do",AG157)),25,IF(ISNUMBER(SEARCH("Must Have",AG157)),18,IF(ISNUMBER(SEARCH("Deprior",AG157)),5,0)))*'Scenario Controls'!$B$23/25</x:f>
        <x:v>18</x:v>
      </x:c>
      <x:c r="M157" s="23" t="n">
        <x:f>J157*'Scenario Controls'!$B$24/15</x:f>
        <x:v>5</x:v>
      </x:c>
      <x:c r="N157" s="23" t="n">
        <x:f>IF(ISNUMBER(SEARCH("HEALTHY",X157)),10,IF(ISNUMBER(SEARCH("CONTAIN",X157)),6,0))*'Scenario Controls'!$B$25/10</x:f>
        <x:v>10</x:v>
      </x:c>
      <x:c r="O157" s="23" t="n">
        <x:f>SUM(K157:N157)</x:f>
        <x:v>33</x:v>
      </x:c>
      <x:c r="P157" s="15" t="str">
        <x:f>IF(OR(B157="",E157&lt;=0),"Evidence missing / not eligible",IF(ISNUMBER(SEARCH("priority TBD",Y157)),"Evidence missing / not eligible",IF(AND(H157="Carryover",NOT(ISNUMBER(F157))),"Evidence missing / not eligible",IF(AND(H157="Carryover",G157&lt;'Scenario Controls'!$B$16),"Evidence missing / not eligible",IF(AND(H157="ROI-Based Portfolio",NOT(ISNUMBER(F157))),"Evidence missing / not eligible",IF(AND(H157="ROI-Based Portfolio",O157&lt;'Scenario Controls'!$B$20),"Evidence missing / not eligible","Eligible"))))))</x:f>
        <x:v>Eligible</x:v>
      </x:c>
      <x:c r="Q157" s="19" t="n">
        <x:f>IF(P157&lt;&gt;"Eligible",0,IF(AND(SUMIFS($Q$5:Q156,$H$5:H156,H157)+E157&lt;=(IF(H157="LFR",'Scenario Controls'!$F$10,IF(H157="Sustain Engineering",'Scenario Controls'!$F$11,IF(H157="Hygiene",'Scenario Controls'!$F$12,1E+99))))*(1+'Scenario Controls'!$B$7),SUM($Q$5:Q156)+E157&lt;='Scenario Controls'!$B$6*(1+'Scenario Controls'!$B$7)),E157,0))</x:f>
        <x:v>0</x:v>
      </x:c>
      <x:c r="R157" s="24" t="str">
        <x:f>'EW Conference'!G105</x:f>
        <x:v>Automatic</x:v>
      </x:c>
      <x:c r="S157" s="24" t="str">
        <x:f>'EW Conference'!H105</x:f>
      </x:c>
      <x:c r="T157" s="19" t="n">
        <x:f>IF(R157="Exclude",0,IF(R157="Include",E157,Q157))</x:f>
        <x:v>0</x:v>
      </x:c>
      <x:c r="U157" s="15" t="str">
        <x:f>IF(T157&gt;0,"Funded",IF(P157="Eligible","Unfunded",P157))</x:f>
        <x:v>Unfunded</x:v>
      </x:c>
      <x:c r="V157" s="15" t="str">
        <x:f>IF(R157="Include","Conference inclusion: "&amp;S157,IF(R157="Exclude","Conference exclusion: "&amp;S157,IF(Q157&gt;0,H157&amp;" priority rank "&amp;I157&amp;"; whole initiative selected",P157)))</x:f>
        <x:v>Eligible</x:v>
      </x:c>
      <x:c r="W157" s="15" t="str">
        <x:v>EW!108</x:v>
      </x:c>
      <x:c r="X157" s="15" t="str">
        <x:v>HEALTHY</x:v>
      </x:c>
      <x:c r="Y157" s="15" t="str">
        <x:v>HEALTHY — Rank in priority matrix</x:v>
      </x:c>
      <x:c r="Z157" s="15" t="str">
        <x:v>Continuous Improvement</x:v>
      </x:c>
      <x:c r="AA157" s="15" t="str">
        <x:v>New Initiative</x:v>
      </x:c>
      <x:c r="AB157" s="15" t="str">
        <x:v>Group Functions &amp; Hyperautomation IT</x:v>
      </x:c>
      <x:c r="AC157" s="15" t="str">
        <x:v>Strategic priorities of PF will not be met.</x:v>
      </x:c>
      <x:c r="AD157" s="15" t="str">
        <x:v>Improve restructuring and organization design using benchmarks.</x:v>
      </x:c>
      <x:c r="AE157" s="15" t="str">
        <x:v>Simplify and scale grading, organization design and benchmarking workflows using OrgVue and Cognizant.</x:v>
      </x:c>
      <x:c r="AF157" s="15" t="str">
        <x:v>Strategic priorities of PF will not be met. | Improve restructuring and organization design using benchmarks. | Simplify and scale grading, organization design and benchmarking workflows using OrgVue and Cognizant.</x:v>
      </x:c>
      <x:c r="AG157" s="15" t="str">
        <x:v>Must Have</x:v>
      </x:c>
      <x:c r="AH157" s="15" t="n">
        <x:v>110</x:v>
      </x:c>
    </x:row>
    <x:row r="158">
      <x:c r="A158" s="15" t="str">
        <x:v>EW-117</x:v>
      </x:c>
      <x:c r="B158" s="15" t="str">
        <x:v>Sales &amp; Commercial Intelligence</x:v>
      </x:c>
      <x:c r="C158" s="15" t="str">
        <x:v>EW Led</x:v>
      </x:c>
      <x:c r="D158" s="15" t="str">
        <x:v>Information Technology</x:v>
      </x:c>
      <x:c r="E158" s="19" t="n">
        <x:v>0.3</x:v>
      </x:c>
      <x:c r="F158" s="19" t="n">
        <x:v>0</x:v>
      </x:c>
      <x:c r="G158" s="22" t="n">
        <x:f>IF(AND(E158&gt;0,ISNUMBER(F158)),F158/E158,"")</x:f>
        <x:v>0</x:v>
      </x:c>
      <x:c r="H158" s="15" t="str">
        <x:v>Hygiene</x:v>
      </x:c>
      <x:c r="I158" s="15" t="n">
        <x:v>101</x:v>
      </x:c>
      <x:c r="J158" s="15" t="n">
        <x:v>5</x:v>
      </x:c>
      <x:c r="K158" s="23" t="n">
        <x:f>IF(G158="",0,IF(G158&lt;1,0,IF(G158&lt;2,20,IF(G158&lt;3,30,IF(G158&lt;5,40,50)))))*'Scenario Controls'!$B$22/50</x:f>
        <x:v>0</x:v>
      </x:c>
      <x:c r="L158" s="23" t="n">
        <x:f>IF(ISNUMBER(SEARCH("Must Do",AG158)),25,IF(ISNUMBER(SEARCH("Must Have",AG158)),18,IF(ISNUMBER(SEARCH("Deprior",AG158)),5,0)))*'Scenario Controls'!$B$23/25</x:f>
        <x:v>18</x:v>
      </x:c>
      <x:c r="M158" s="23" t="n">
        <x:f>J158*'Scenario Controls'!$B$24/15</x:f>
        <x:v>5</x:v>
      </x:c>
      <x:c r="N158" s="23" t="n">
        <x:f>IF(ISNUMBER(SEARCH("HEALTHY",X158)),10,IF(ISNUMBER(SEARCH("CONTAIN",X158)),6,0))*'Scenario Controls'!$B$25/10</x:f>
        <x:v>10</x:v>
      </x:c>
      <x:c r="O158" s="23" t="n">
        <x:f>SUM(K158:N158)</x:f>
        <x:v>33</x:v>
      </x:c>
      <x:c r="P158" s="15" t="str">
        <x:f>IF(OR(B158="",E158&lt;=0),"Evidence missing / not eligible",IF(ISNUMBER(SEARCH("priority TBD",Y158)),"Evidence missing / not eligible",IF(AND(H158="Carryover",NOT(ISNUMBER(F158))),"Evidence missing / not eligible",IF(AND(H158="Carryover",G158&lt;'Scenario Controls'!$B$16),"Evidence missing / not eligible",IF(AND(H158="ROI-Based Portfolio",NOT(ISNUMBER(F158))),"Evidence missing / not eligible",IF(AND(H158="ROI-Based Portfolio",O158&lt;'Scenario Controls'!$B$20),"Evidence missing / not eligible","Eligible"))))))</x:f>
        <x:v>Eligible</x:v>
      </x:c>
      <x:c r="Q158" s="19" t="n">
        <x:f>IF(P158&lt;&gt;"Eligible",0,IF(AND(SUMIFS($Q$5:Q157,$H$5:H157,H158)+E158&lt;=(IF(H158="LFR",'Scenario Controls'!$F$10,IF(H158="Sustain Engineering",'Scenario Controls'!$F$11,IF(H158="Hygiene",'Scenario Controls'!$F$12,1E+99))))*(1+'Scenario Controls'!$B$7),SUM($Q$5:Q157)+E158&lt;='Scenario Controls'!$B$6*(1+'Scenario Controls'!$B$7)),E158,0))</x:f>
        <x:v>0</x:v>
      </x:c>
      <x:c r="R158" s="24" t="str">
        <x:f>'EW Conference'!G106</x:f>
        <x:v>Automatic</x:v>
      </x:c>
      <x:c r="S158" s="24" t="str">
        <x:f>'EW Conference'!H106</x:f>
      </x:c>
      <x:c r="T158" s="19" t="n">
        <x:f>IF(R158="Exclude",0,IF(R158="Include",E158,Q158))</x:f>
        <x:v>0</x:v>
      </x:c>
      <x:c r="U158" s="15" t="str">
        <x:f>IF(T158&gt;0,"Funded",IF(P158="Eligible","Unfunded",P158))</x:f>
        <x:v>Unfunded</x:v>
      </x:c>
      <x:c r="V158" s="15" t="str">
        <x:f>IF(R158="Include","Conference inclusion: "&amp;S158,IF(R158="Exclude","Conference exclusion: "&amp;S158,IF(Q158&gt;0,H158&amp;" priority rank "&amp;I158&amp;"; whole initiative selected",P158)))</x:f>
        <x:v>Eligible</x:v>
      </x:c>
      <x:c r="W158" s="15" t="str">
        <x:v>EW!113</x:v>
      </x:c>
      <x:c r="X158" s="15" t="str">
        <x:v>HEALTHY</x:v>
      </x:c>
      <x:c r="Y158" s="15" t="str">
        <x:v>HEALTHY — Rank in priority matrix</x:v>
      </x:c>
      <x:c r="Z158" s="15" t="str">
        <x:v>Upgrades &amp; Enhancements</x:v>
      </x:c>
      <x:c r="AA158" s="15" t="str">
        <x:v>New Initiative</x:v>
      </x:c>
      <x:c r="AB158" s="15" t="str">
        <x:v>Commercial IT</x:v>
      </x:c>
      <x:c r="AC158" s="15" t="str">
        <x:v>Sales productivity improvement</x:v>
      </x:c>
      <x:c r="AD158" s="15" t="str"/>
      <x:c r="AE158" s="15" t="str"/>
      <x:c r="AF158" s="15" t="str">
        <x:v>Sales productivity improvement</x:v>
      </x:c>
      <x:c r="AG158" s="15" t="str">
        <x:v>Must Have</x:v>
      </x:c>
      <x:c r="AH158" s="15" t="n">
        <x:v>115</x:v>
      </x:c>
    </x:row>
    <x:row r="159">
      <x:c r="A159" s="15" t="str">
        <x:v>EW-147</x:v>
      </x:c>
      <x:c r="B159" s="15" t="str">
        <x:v>ISC IT DRP - Decommission legacy app and rebuild via GenAI - HS Industry app</x:v>
      </x:c>
      <x:c r="C159" s="15" t="str">
        <x:v>EW Led</x:v>
      </x:c>
      <x:c r="D159" s="15" t="str">
        <x:v>Information Technology</x:v>
      </x:c>
      <x:c r="E159" s="19" t="n">
        <x:v>0.35</x:v>
      </x:c>
      <x:c r="F159" s="19" t="n">
        <x:v>0</x:v>
      </x:c>
      <x:c r="G159" s="22" t="n">
        <x:f>IF(AND(E159&gt;0,ISNUMBER(F159)),F159/E159,"")</x:f>
        <x:v>0</x:v>
      </x:c>
      <x:c r="H159" s="15" t="str">
        <x:v>Hygiene</x:v>
      </x:c>
      <x:c r="I159" s="15" t="n">
        <x:v>102</x:v>
      </x:c>
      <x:c r="J159" s="15" t="n">
        <x:v>5</x:v>
      </x:c>
      <x:c r="K159" s="23" t="n">
        <x:f>IF(G159="",0,IF(G159&lt;1,0,IF(G159&lt;2,20,IF(G159&lt;3,30,IF(G159&lt;5,40,50)))))*'Scenario Controls'!$B$22/50</x:f>
        <x:v>0</x:v>
      </x:c>
      <x:c r="L159" s="23" t="n">
        <x:f>IF(ISNUMBER(SEARCH("Must Do",AG159)),25,IF(ISNUMBER(SEARCH("Must Have",AG159)),18,IF(ISNUMBER(SEARCH("Deprior",AG159)),5,0)))*'Scenario Controls'!$B$23/25</x:f>
        <x:v>18</x:v>
      </x:c>
      <x:c r="M159" s="23" t="n">
        <x:f>J159*'Scenario Controls'!$B$24/15</x:f>
        <x:v>5</x:v>
      </x:c>
      <x:c r="N159" s="23" t="n">
        <x:f>IF(ISNUMBER(SEARCH("HEALTHY",X159)),10,IF(ISNUMBER(SEARCH("CONTAIN",X159)),6,0))*'Scenario Controls'!$B$25/10</x:f>
        <x:v>10</x:v>
      </x:c>
      <x:c r="O159" s="23" t="n">
        <x:f>SUM(K159:N159)</x:f>
        <x:v>33</x:v>
      </x:c>
      <x:c r="P159" s="15" t="str">
        <x:f>IF(OR(B159="",E159&lt;=0),"Evidence missing / not eligible",IF(ISNUMBER(SEARCH("priority TBD",Y159)),"Evidence missing / not eligible",IF(AND(H159="Carryover",NOT(ISNUMBER(F159))),"Evidence missing / not eligible",IF(AND(H159="Carryover",G159&lt;'Scenario Controls'!$B$16),"Evidence missing / not eligible",IF(AND(H159="ROI-Based Portfolio",NOT(ISNUMBER(F159))),"Evidence missing / not eligible",IF(AND(H159="ROI-Based Portfolio",O159&lt;'Scenario Controls'!$B$20),"Evidence missing / not eligible","Eligible"))))))</x:f>
        <x:v>Eligible</x:v>
      </x:c>
      <x:c r="Q159" s="19" t="n">
        <x:f>IF(P159&lt;&gt;"Eligible",0,IF(AND(SUMIFS($Q$5:Q158,$H$5:H158,H159)+E159&lt;=(IF(H159="LFR",'Scenario Controls'!$F$10,IF(H159="Sustain Engineering",'Scenario Controls'!$F$11,IF(H159="Hygiene",'Scenario Controls'!$F$12,1E+99))))*(1+'Scenario Controls'!$B$7),SUM($Q$5:Q158)+E159&lt;='Scenario Controls'!$B$6*(1+'Scenario Controls'!$B$7)),E159,0))</x:f>
        <x:v>0</x:v>
      </x:c>
      <x:c r="R159" s="24" t="str">
        <x:f>'EW Conference'!G107</x:f>
        <x:v>Automatic</x:v>
      </x:c>
      <x:c r="S159" s="24" t="str">
        <x:f>'EW Conference'!H107</x:f>
      </x:c>
      <x:c r="T159" s="19" t="n">
        <x:f>IF(R159="Exclude",0,IF(R159="Include",E159,Q159))</x:f>
        <x:v>0</x:v>
      </x:c>
      <x:c r="U159" s="15" t="str">
        <x:f>IF(T159&gt;0,"Funded",IF(P159="Eligible","Unfunded",P159))</x:f>
        <x:v>Unfunded</x:v>
      </x:c>
      <x:c r="V159" s="15" t="str">
        <x:f>IF(R159="Include","Conference inclusion: "&amp;S159,IF(R159="Exclude","Conference exclusion: "&amp;S159,IF(Q159&gt;0,H159&amp;" priority rank "&amp;I159&amp;"; whole initiative selected",P159)))</x:f>
        <x:v>Eligible</x:v>
      </x:c>
      <x:c r="W159" s="15" t="str">
        <x:v>EW!143</x:v>
      </x:c>
      <x:c r="X159" s="15" t="str">
        <x:v>HEALTHY</x:v>
      </x:c>
      <x:c r="Y159" s="15" t="str">
        <x:v>HEALTHY — Rank in priority matrix</x:v>
      </x:c>
      <x:c r="Z159" s="15" t="str">
        <x:v>Decomm/Replatforming</x:v>
      </x:c>
      <x:c r="AA159" s="15" t="str">
        <x:v>New Initiative</x:v>
      </x:c>
      <x:c r="AB159" s="15" t="str">
        <x:v>Integrated Supply Chain &amp; Finance</x:v>
      </x:c>
      <x:c r="AC159" s="15" t="str">
        <x:v>Service continuity of Factory and Warehouse at Best site; Unsupported software - EOL, Security Vulnerability</x:v>
      </x:c>
      <x:c r="AD159" s="15" t="str"/>
      <x:c r="AE159" s="15" t="str"/>
      <x:c r="AF159" s="15" t="str">
        <x:v>Service continuity of Factory and Warehouse at Best site; Unsupported software - EOL, Security Vulnerability</x:v>
      </x:c>
      <x:c r="AG159" s="15" t="str">
        <x:v>Must Have</x:v>
      </x:c>
      <x:c r="AH159" s="15" t="n">
        <x:v>145</x:v>
      </x:c>
    </x:row>
    <x:row r="160">
      <x:c r="A160" s="15" t="str">
        <x:v>EW-152</x:v>
      </x:c>
      <x:c r="B160" s="15" t="str">
        <x:v>Grading (framework, governance &amp; job catalogue)</x:v>
      </x:c>
      <x:c r="C160" s="15" t="str">
        <x:v>EW Led</x:v>
      </x:c>
      <x:c r="D160" s="15" t="str">
        <x:v>People function</x:v>
      </x:c>
      <x:c r="E160" s="19" t="n">
        <x:v>0.35</x:v>
      </x:c>
      <x:c r="F160" s="19" t="n">
        <x:v>0</x:v>
      </x:c>
      <x:c r="G160" s="22" t="n">
        <x:f>IF(AND(E160&gt;0,ISNUMBER(F160)),F160/E160,"")</x:f>
        <x:v>0</x:v>
      </x:c>
      <x:c r="H160" s="15" t="str">
        <x:v>Hygiene</x:v>
      </x:c>
      <x:c r="I160" s="15" t="n">
        <x:v>103</x:v>
      </x:c>
      <x:c r="J160" s="15" t="n">
        <x:v>5</x:v>
      </x:c>
      <x:c r="K160" s="23" t="n">
        <x:f>IF(G160="",0,IF(G160&lt;1,0,IF(G160&lt;2,20,IF(G160&lt;3,30,IF(G160&lt;5,40,50)))))*'Scenario Controls'!$B$22/50</x:f>
        <x:v>0</x:v>
      </x:c>
      <x:c r="L160" s="23" t="n">
        <x:f>IF(ISNUMBER(SEARCH("Must Do",AG160)),25,IF(ISNUMBER(SEARCH("Must Have",AG160)),18,IF(ISNUMBER(SEARCH("Deprior",AG160)),5,0)))*'Scenario Controls'!$B$23/25</x:f>
        <x:v>18</x:v>
      </x:c>
      <x:c r="M160" s="23" t="n">
        <x:f>J160*'Scenario Controls'!$B$24/15</x:f>
        <x:v>5</x:v>
      </x:c>
      <x:c r="N160" s="23" t="n">
        <x:f>IF(ISNUMBER(SEARCH("HEALTHY",X160)),10,IF(ISNUMBER(SEARCH("CONTAIN",X160)),6,0))*'Scenario Controls'!$B$25/10</x:f>
        <x:v>10</x:v>
      </x:c>
      <x:c r="O160" s="23" t="n">
        <x:f>SUM(K160:N160)</x:f>
        <x:v>33</x:v>
      </x:c>
      <x:c r="P160" s="15" t="str">
        <x:f>IF(OR(B160="",E160&lt;=0),"Evidence missing / not eligible",IF(ISNUMBER(SEARCH("priority TBD",Y160)),"Evidence missing / not eligible",IF(AND(H160="Carryover",NOT(ISNUMBER(F160))),"Evidence missing / not eligible",IF(AND(H160="Carryover",G160&lt;'Scenario Controls'!$B$16),"Evidence missing / not eligible",IF(AND(H160="ROI-Based Portfolio",NOT(ISNUMBER(F160))),"Evidence missing / not eligible",IF(AND(H160="ROI-Based Portfolio",O160&lt;'Scenario Controls'!$B$20),"Evidence missing / not eligible","Eligible"))))))</x:f>
        <x:v>Eligible</x:v>
      </x:c>
      <x:c r="Q160" s="19" t="n">
        <x:f>IF(P160&lt;&gt;"Eligible",0,IF(AND(SUMIFS($Q$5:Q159,$H$5:H159,H160)+E160&lt;=(IF(H160="LFR",'Scenario Controls'!$F$10,IF(H160="Sustain Engineering",'Scenario Controls'!$F$11,IF(H160="Hygiene",'Scenario Controls'!$F$12,1E+99))))*(1+'Scenario Controls'!$B$7),SUM($Q$5:Q159)+E160&lt;='Scenario Controls'!$B$6*(1+'Scenario Controls'!$B$7)),E160,0))</x:f>
        <x:v>0</x:v>
      </x:c>
      <x:c r="R160" s="24" t="str">
        <x:f>'EW Conference'!G108</x:f>
        <x:v>Automatic</x:v>
      </x:c>
      <x:c r="S160" s="24" t="str">
        <x:f>'EW Conference'!H108</x:f>
      </x:c>
      <x:c r="T160" s="19" t="n">
        <x:f>IF(R160="Exclude",0,IF(R160="Include",E160,Q160))</x:f>
        <x:v>0</x:v>
      </x:c>
      <x:c r="U160" s="15" t="str">
        <x:f>IF(T160&gt;0,"Funded",IF(P160="Eligible","Unfunded",P160))</x:f>
        <x:v>Unfunded</x:v>
      </x:c>
      <x:c r="V160" s="15" t="str">
        <x:f>IF(R160="Include","Conference inclusion: "&amp;S160,IF(R160="Exclude","Conference exclusion: "&amp;S160,IF(Q160&gt;0,H160&amp;" priority rank "&amp;I160&amp;"; whole initiative selected",P160)))</x:f>
        <x:v>Eligible</x:v>
      </x:c>
      <x:c r="W160" s="15" t="str">
        <x:v>EW!148</x:v>
      </x:c>
      <x:c r="X160" s="15" t="str">
        <x:v>HEALTHY</x:v>
      </x:c>
      <x:c r="Y160" s="15" t="str">
        <x:v>HEALTHY — Rank in priority matrix</x:v>
      </x:c>
      <x:c r="Z160" s="15" t="str">
        <x:v>Continuous Improvement</x:v>
      </x:c>
      <x:c r="AA160" s="15" t="str">
        <x:v>New Initiative</x:v>
      </x:c>
      <x:c r="AB160" s="15" t="str">
        <x:v>Group Functions &amp; Hyperautomation IT</x:v>
      </x:c>
      <x:c r="AC160" s="15" t="str">
        <x:v>Strategic priorities of PF will not be met.</x:v>
      </x:c>
      <x:c r="AD160" s="15" t="str">
        <x:v>New or significantly changed job profiles need consistent, fair grading.</x:v>
      </x:c>
      <x:c r="AE160" s="15" t="str">
        <x:v>Build grading governance into the Job Catalog using reference roles and checks for scope, accountability, overlap and market fit.</x:v>
      </x:c>
      <x:c r="AF160" s="15" t="str">
        <x:v>Strategic priorities of PF will not be met. | New or significantly changed job profiles need consistent, fair grading. | Build grading governance into the Job Catalog using reference roles and checks for scope, accountability, overlap and market fit.</x:v>
      </x:c>
      <x:c r="AG160" s="15" t="str">
        <x:v>Must Have</x:v>
      </x:c>
      <x:c r="AH160" s="15" t="n">
        <x:v>150</x:v>
      </x:c>
    </x:row>
    <x:row r="161">
      <x:c r="A161" s="15" t="str">
        <x:v>EW-153</x:v>
      </x:c>
      <x:c r="B161" s="15" t="str">
        <x:v>Onboarding</x:v>
      </x:c>
      <x:c r="C161" s="15" t="str">
        <x:v>EW Led</x:v>
      </x:c>
      <x:c r="D161" s="15" t="str">
        <x:v>People function</x:v>
      </x:c>
      <x:c r="E161" s="19" t="n">
        <x:v>0.152</x:v>
      </x:c>
      <x:c r="F161" s="19" t="n">
        <x:v>0</x:v>
      </x:c>
      <x:c r="G161" s="22" t="n">
        <x:f>IF(AND(E161&gt;0,ISNUMBER(F161)),F161/E161,"")</x:f>
        <x:v>0</x:v>
      </x:c>
      <x:c r="H161" s="15" t="str">
        <x:v>Hygiene</x:v>
      </x:c>
      <x:c r="I161" s="15" t="n">
        <x:v>104</x:v>
      </x:c>
      <x:c r="J161" s="15" t="n">
        <x:v>5</x:v>
      </x:c>
      <x:c r="K161" s="23" t="n">
        <x:f>IF(G161="",0,IF(G161&lt;1,0,IF(G161&lt;2,20,IF(G161&lt;3,30,IF(G161&lt;5,40,50)))))*'Scenario Controls'!$B$22/50</x:f>
        <x:v>0</x:v>
      </x:c>
      <x:c r="L161" s="23" t="n">
        <x:f>IF(ISNUMBER(SEARCH("Must Do",AG161)),25,IF(ISNUMBER(SEARCH("Must Have",AG161)),18,IF(ISNUMBER(SEARCH("Deprior",AG161)),5,0)))*'Scenario Controls'!$B$23/25</x:f>
        <x:v>18</x:v>
      </x:c>
      <x:c r="M161" s="23" t="n">
        <x:f>J161*'Scenario Controls'!$B$24/15</x:f>
        <x:v>5</x:v>
      </x:c>
      <x:c r="N161" s="23" t="n">
        <x:f>IF(ISNUMBER(SEARCH("HEALTHY",X161)),10,IF(ISNUMBER(SEARCH("CONTAIN",X161)),6,0))*'Scenario Controls'!$B$25/10</x:f>
        <x:v>10</x:v>
      </x:c>
      <x:c r="O161" s="23" t="n">
        <x:f>SUM(K161:N161)</x:f>
        <x:v>33</x:v>
      </x:c>
      <x:c r="P161" s="15" t="str">
        <x:f>IF(OR(B161="",E161&lt;=0),"Evidence missing / not eligible",IF(ISNUMBER(SEARCH("priority TBD",Y161)),"Evidence missing / not eligible",IF(AND(H161="Carryover",NOT(ISNUMBER(F161))),"Evidence missing / not eligible",IF(AND(H161="Carryover",G161&lt;'Scenario Controls'!$B$16),"Evidence missing / not eligible",IF(AND(H161="ROI-Based Portfolio",NOT(ISNUMBER(F161))),"Evidence missing / not eligible",IF(AND(H161="ROI-Based Portfolio",O161&lt;'Scenario Controls'!$B$20),"Evidence missing / not eligible","Eligible"))))))</x:f>
        <x:v>Eligible</x:v>
      </x:c>
      <x:c r="Q161" s="19" t="n">
        <x:f>IF(P161&lt;&gt;"Eligible",0,IF(AND(SUMIFS($Q$5:Q160,$H$5:H160,H161)+E161&lt;=(IF(H161="LFR",'Scenario Controls'!$F$10,IF(H161="Sustain Engineering",'Scenario Controls'!$F$11,IF(H161="Hygiene",'Scenario Controls'!$F$12,1E+99))))*(1+'Scenario Controls'!$B$7),SUM($Q$5:Q160)+E161&lt;='Scenario Controls'!$B$6*(1+'Scenario Controls'!$B$7)),E161,0))</x:f>
        <x:v>0</x:v>
      </x:c>
      <x:c r="R161" s="24" t="str">
        <x:f>'EW Conference'!G109</x:f>
        <x:v>Automatic</x:v>
      </x:c>
      <x:c r="S161" s="24" t="str">
        <x:f>'EW Conference'!H109</x:f>
      </x:c>
      <x:c r="T161" s="19" t="n">
        <x:f>IF(R161="Exclude",0,IF(R161="Include",E161,Q161))</x:f>
        <x:v>0</x:v>
      </x:c>
      <x:c r="U161" s="15" t="str">
        <x:f>IF(T161&gt;0,"Funded",IF(P161="Eligible","Unfunded",P161))</x:f>
        <x:v>Unfunded</x:v>
      </x:c>
      <x:c r="V161" s="15" t="str">
        <x:f>IF(R161="Include","Conference inclusion: "&amp;S161,IF(R161="Exclude","Conference exclusion: "&amp;S161,IF(Q161&gt;0,H161&amp;" priority rank "&amp;I161&amp;"; whole initiative selected",P161)))</x:f>
        <x:v>Eligible</x:v>
      </x:c>
      <x:c r="W161" s="15" t="str">
        <x:v>EW!149</x:v>
      </x:c>
      <x:c r="X161" s="15" t="str">
        <x:v>HEALTHY</x:v>
      </x:c>
      <x:c r="Y161" s="15" t="str">
        <x:v>HEALTHY — Rank in priority matrix</x:v>
      </x:c>
      <x:c r="Z161" s="15" t="str">
        <x:v>Continuous Improvement</x:v>
      </x:c>
      <x:c r="AA161" s="15" t="str">
        <x:v>New Initiative</x:v>
      </x:c>
      <x:c r="AB161" s="15" t="str">
        <x:v>Group Functions &amp; Hyperautomation IT</x:v>
      </x:c>
      <x:c r="AC161" s="15" t="str">
        <x:v>Strategic priorities of PF will not be met.</x:v>
      </x:c>
      <x:c r="AD161" s="15" t="str">
        <x:v>Measure onboarding outcomes to improve time-to-proficiency using targeted feedback for leaders and new hires. This is mainly a process and operating-model change, not an IT investment.</x:v>
      </x:c>
      <x:c r="AE161" s="15" t="str">
        <x:v>Add onboarding outcome measures and targeted feedback, potentially linked to the Hiring Manager experience.</x:v>
      </x:c>
      <x:c r="AF161" s="15" t="str">
        <x:v>Strategic priorities of PF will not be met. | Measure onboarding outcomes to improve time-to-proficiency using targeted feedback for leaders and new hires. This is mainly a process and operating-model change, not an IT investment. | Add onboarding outcome measures and targeted feedback, potentially linked to the Hiring Manager experience.</x:v>
      </x:c>
      <x:c r="AG161" s="15" t="str">
        <x:v>Must Have</x:v>
      </x:c>
      <x:c r="AH161" s="15" t="n">
        <x:v>151</x:v>
      </x:c>
    </x:row>
    <x:row r="162">
      <x:c r="A162" s="15" t="str">
        <x:v>EW-159</x:v>
      </x:c>
      <x:c r="B162" s="15" t="str">
        <x:v>Sourcing</x:v>
      </x:c>
      <x:c r="C162" s="15" t="str">
        <x:v>EW Led</x:v>
      </x:c>
      <x:c r="D162" s="15" t="str">
        <x:v>People function</x:v>
      </x:c>
      <x:c r="E162" s="19" t="n">
        <x:v>0.129</x:v>
      </x:c>
      <x:c r="F162" s="19" t="n">
        <x:v>0</x:v>
      </x:c>
      <x:c r="G162" s="22" t="n">
        <x:f>IF(AND(E162&gt;0,ISNUMBER(F162)),F162/E162,"")</x:f>
        <x:v>0</x:v>
      </x:c>
      <x:c r="H162" s="15" t="str">
        <x:v>Hygiene</x:v>
      </x:c>
      <x:c r="I162" s="15" t="n">
        <x:v>105</x:v>
      </x:c>
      <x:c r="J162" s="15" t="n">
        <x:v>5</x:v>
      </x:c>
      <x:c r="K162" s="23" t="n">
        <x:f>IF(G162="",0,IF(G162&lt;1,0,IF(G162&lt;2,20,IF(G162&lt;3,30,IF(G162&lt;5,40,50)))))*'Scenario Controls'!$B$22/50</x:f>
        <x:v>0</x:v>
      </x:c>
      <x:c r="L162" s="23" t="n">
        <x:f>IF(ISNUMBER(SEARCH("Must Do",AG162)),25,IF(ISNUMBER(SEARCH("Must Have",AG162)),18,IF(ISNUMBER(SEARCH("Deprior",AG162)),5,0)))*'Scenario Controls'!$B$23/25</x:f>
        <x:v>18</x:v>
      </x:c>
      <x:c r="M162" s="23" t="n">
        <x:f>J162*'Scenario Controls'!$B$24/15</x:f>
        <x:v>5</x:v>
      </x:c>
      <x:c r="N162" s="23" t="n">
        <x:f>IF(ISNUMBER(SEARCH("HEALTHY",X162)),10,IF(ISNUMBER(SEARCH("CONTAIN",X162)),6,0))*'Scenario Controls'!$B$25/10</x:f>
        <x:v>10</x:v>
      </x:c>
      <x:c r="O162" s="23" t="n">
        <x:f>SUM(K162:N162)</x:f>
        <x:v>33</x:v>
      </x:c>
      <x:c r="P162" s="15" t="str">
        <x:f>IF(OR(B162="",E162&lt;=0),"Evidence missing / not eligible",IF(ISNUMBER(SEARCH("priority TBD",Y162)),"Evidence missing / not eligible",IF(AND(H162="Carryover",NOT(ISNUMBER(F162))),"Evidence missing / not eligible",IF(AND(H162="Carryover",G162&lt;'Scenario Controls'!$B$16),"Evidence missing / not eligible",IF(AND(H162="ROI-Based Portfolio",NOT(ISNUMBER(F162))),"Evidence missing / not eligible",IF(AND(H162="ROI-Based Portfolio",O162&lt;'Scenario Controls'!$B$20),"Evidence missing / not eligible","Eligible"))))))</x:f>
        <x:v>Eligible</x:v>
      </x:c>
      <x:c r="Q162" s="19" t="n">
        <x:f>IF(P162&lt;&gt;"Eligible",0,IF(AND(SUMIFS($Q$5:Q161,$H$5:H161,H162)+E162&lt;=(IF(H162="LFR",'Scenario Controls'!$F$10,IF(H162="Sustain Engineering",'Scenario Controls'!$F$11,IF(H162="Hygiene",'Scenario Controls'!$F$12,1E+99))))*(1+'Scenario Controls'!$B$7),SUM($Q$5:Q161)+E162&lt;='Scenario Controls'!$B$6*(1+'Scenario Controls'!$B$7)),E162,0))</x:f>
        <x:v>0</x:v>
      </x:c>
      <x:c r="R162" s="24" t="str">
        <x:f>'EW Conference'!G110</x:f>
        <x:v>Automatic</x:v>
      </x:c>
      <x:c r="S162" s="24" t="str">
        <x:f>'EW Conference'!H110</x:f>
      </x:c>
      <x:c r="T162" s="19" t="n">
        <x:f>IF(R162="Exclude",0,IF(R162="Include",E162,Q162))</x:f>
        <x:v>0</x:v>
      </x:c>
      <x:c r="U162" s="15" t="str">
        <x:f>IF(T162&gt;0,"Funded",IF(P162="Eligible","Unfunded",P162))</x:f>
        <x:v>Unfunded</x:v>
      </x:c>
      <x:c r="V162" s="15" t="str">
        <x:f>IF(R162="Include","Conference inclusion: "&amp;S162,IF(R162="Exclude","Conference exclusion: "&amp;S162,IF(Q162&gt;0,H162&amp;" priority rank "&amp;I162&amp;"; whole initiative selected",P162)))</x:f>
        <x:v>Eligible</x:v>
      </x:c>
      <x:c r="W162" s="15" t="str">
        <x:v>EW!155</x:v>
      </x:c>
      <x:c r="X162" s="15" t="str">
        <x:v>HEALTHY</x:v>
      </x:c>
      <x:c r="Y162" s="15" t="str">
        <x:v>HEALTHY — Rank in priority matrix</x:v>
      </x:c>
      <x:c r="Z162" s="15" t="str">
        <x:v>Continuous Improvement</x:v>
      </x:c>
      <x:c r="AA162" s="15" t="str">
        <x:v>New Initiative</x:v>
      </x:c>
      <x:c r="AB162" s="15" t="str">
        <x:v>Group Functions &amp; Hyperautomation IT</x:v>
      </x:c>
      <x:c r="AC162" s="15" t="str">
        <x:v>Strategic priorities of PF will not be met.</x:v>
      </x:c>
      <x:c r="AD162" s="15" t="str">
        <x:v>Maintain compliant talent pipelines for critical roles and scarce skills.</x:v>
      </x:c>
      <x:c r="AE162" s="15" t="str">
        <x:v>Use connected workforce data, Avature and AI to strengthen pipelines, reduce agency reliance and forecast demand.</x:v>
      </x:c>
      <x:c r="AF162" s="15" t="str">
        <x:v>Strategic priorities of PF will not be met. | Maintain compliant talent pipelines for critical roles and scarce skills. | Use connected workforce data, Avature and AI to strengthen pipelines, reduce agency reliance and forecast demand.</x:v>
      </x:c>
      <x:c r="AG162" s="15" t="str">
        <x:v>Must Have</x:v>
      </x:c>
      <x:c r="AH162" s="15" t="n">
        <x:v>157</x:v>
      </x:c>
    </x:row>
    <x:row r="163">
      <x:c r="A163" s="15" t="str">
        <x:v>EW-160</x:v>
      </x:c>
      <x:c r="B163" s="15" t="str">
        <x:v>Well-being Insights Platform</x:v>
      </x:c>
      <x:c r="C163" s="15" t="str">
        <x:v>EW Led</x:v>
      </x:c>
      <x:c r="D163" s="15" t="str">
        <x:v>People function</x:v>
      </x:c>
      <x:c r="E163" s="19" t="n">
        <x:v>0.075</x:v>
      </x:c>
      <x:c r="F163" s="19" t="n">
        <x:v>0</x:v>
      </x:c>
      <x:c r="G163" s="22" t="n">
        <x:f>IF(AND(E163&gt;0,ISNUMBER(F163)),F163/E163,"")</x:f>
        <x:v>0</x:v>
      </x:c>
      <x:c r="H163" s="15" t="str">
        <x:v>Hygiene</x:v>
      </x:c>
      <x:c r="I163" s="15" t="n">
        <x:v>106</x:v>
      </x:c>
      <x:c r="J163" s="15" t="n">
        <x:v>5</x:v>
      </x:c>
      <x:c r="K163" s="23" t="n">
        <x:f>IF(G163="",0,IF(G163&lt;1,0,IF(G163&lt;2,20,IF(G163&lt;3,30,IF(G163&lt;5,40,50)))))*'Scenario Controls'!$B$22/50</x:f>
        <x:v>0</x:v>
      </x:c>
      <x:c r="L163" s="23" t="n">
        <x:f>IF(ISNUMBER(SEARCH("Must Do",AG163)),25,IF(ISNUMBER(SEARCH("Must Have",AG163)),18,IF(ISNUMBER(SEARCH("Deprior",AG163)),5,0)))*'Scenario Controls'!$B$23/25</x:f>
        <x:v>18</x:v>
      </x:c>
      <x:c r="M163" s="23" t="n">
        <x:f>J163*'Scenario Controls'!$B$24/15</x:f>
        <x:v>5</x:v>
      </x:c>
      <x:c r="N163" s="23" t="n">
        <x:f>IF(ISNUMBER(SEARCH("HEALTHY",X163)),10,IF(ISNUMBER(SEARCH("CONTAIN",X163)),6,0))*'Scenario Controls'!$B$25/10</x:f>
        <x:v>10</x:v>
      </x:c>
      <x:c r="O163" s="23" t="n">
        <x:f>SUM(K163:N163)</x:f>
        <x:v>33</x:v>
      </x:c>
      <x:c r="P163" s="15" t="str">
        <x:f>IF(OR(B163="",E163&lt;=0),"Evidence missing / not eligible",IF(ISNUMBER(SEARCH("priority TBD",Y163)),"Evidence missing / not eligible",IF(AND(H163="Carryover",NOT(ISNUMBER(F163))),"Evidence missing / not eligible",IF(AND(H163="Carryover",G163&lt;'Scenario Controls'!$B$16),"Evidence missing / not eligible",IF(AND(H163="ROI-Based Portfolio",NOT(ISNUMBER(F163))),"Evidence missing / not eligible",IF(AND(H163="ROI-Based Portfolio",O163&lt;'Scenario Controls'!$B$20),"Evidence missing / not eligible","Eligible"))))))</x:f>
        <x:v>Eligible</x:v>
      </x:c>
      <x:c r="Q163" s="19" t="n">
        <x:f>IF(P163&lt;&gt;"Eligible",0,IF(AND(SUMIFS($Q$5:Q162,$H$5:H162,H163)+E163&lt;=(IF(H163="LFR",'Scenario Controls'!$F$10,IF(H163="Sustain Engineering",'Scenario Controls'!$F$11,IF(H163="Hygiene",'Scenario Controls'!$F$12,1E+99))))*(1+'Scenario Controls'!$B$7),SUM($Q$5:Q162)+E163&lt;='Scenario Controls'!$B$6*(1+'Scenario Controls'!$B$7)),E163,0))</x:f>
        <x:v>0</x:v>
      </x:c>
      <x:c r="R163" s="24" t="str">
        <x:f>'EW Conference'!G111</x:f>
        <x:v>Automatic</x:v>
      </x:c>
      <x:c r="S163" s="24" t="str">
        <x:f>'EW Conference'!H111</x:f>
      </x:c>
      <x:c r="T163" s="19" t="n">
        <x:f>IF(R163="Exclude",0,IF(R163="Include",E163,Q163))</x:f>
        <x:v>0</x:v>
      </x:c>
      <x:c r="U163" s="15" t="str">
        <x:f>IF(T163&gt;0,"Funded",IF(P163="Eligible","Unfunded",P163))</x:f>
        <x:v>Unfunded</x:v>
      </x:c>
      <x:c r="V163" s="15" t="str">
        <x:f>IF(R163="Include","Conference inclusion: "&amp;S163,IF(R163="Exclude","Conference exclusion: "&amp;S163,IF(Q163&gt;0,H163&amp;" priority rank "&amp;I163&amp;"; whole initiative selected",P163)))</x:f>
        <x:v>Eligible</x:v>
      </x:c>
      <x:c r="W163" s="15" t="str">
        <x:v>EW!156</x:v>
      </x:c>
      <x:c r="X163" s="15" t="str">
        <x:v>HEALTHY</x:v>
      </x:c>
      <x:c r="Y163" s="15" t="str">
        <x:v>HEALTHY — Rank in priority matrix</x:v>
      </x:c>
      <x:c r="Z163" s="15" t="str">
        <x:v>Continuous Improvement</x:v>
      </x:c>
      <x:c r="AA163" s="15" t="str">
        <x:v>New Initiative</x:v>
      </x:c>
      <x:c r="AB163" s="15" t="str">
        <x:v>Group Functions &amp; Hyperautomation IT</x:v>
      </x:c>
      <x:c r="AC163" s="15" t="str">
        <x:v>Strategic priorities of PF will not be met.</x:v>
      </x:c>
      <x:c r="AD163" s="15" t="str">
        <x:v>Maintain compliant workforce, absence and wellbeing reporting.</x:v>
      </x:c>
      <x:c r="AE163" s="15" t="str">
        <x:v>Create a predictive Well-being Insights Platform to identify risks, track costs and trends, and guide action.</x:v>
      </x:c>
      <x:c r="AF163" s="15" t="str">
        <x:v>Strategic priorities of PF will not be met. | Maintain compliant workforce, absence and wellbeing reporting. | Create a predictive Well-being Insights Platform to identify risks, track costs and trends, and guide action.</x:v>
      </x:c>
      <x:c r="AG163" s="15" t="str">
        <x:v>Must Have</x:v>
      </x:c>
      <x:c r="AH163" s="15" t="n">
        <x:v>158</x:v>
      </x:c>
    </x:row>
    <x:row r="164">
      <x:c r="A164" s="15" t="str">
        <x:v>EW-171</x:v>
      </x:c>
      <x:c r="B164" s="15" t="str">
        <x:v>Critical Capabilities</x:v>
      </x:c>
      <x:c r="C164" s="15" t="str">
        <x:v>EW Led</x:v>
      </x:c>
      <x:c r="D164" s="15" t="str">
        <x:v>People function</x:v>
      </x:c>
      <x:c r="E164" s="19" t="n">
        <x:v>0.425</x:v>
      </x:c>
      <x:c r="F164" s="19" t="n">
        <x:v>0</x:v>
      </x:c>
      <x:c r="G164" s="22" t="n">
        <x:f>IF(AND(E164&gt;0,ISNUMBER(F164)),F164/E164,"")</x:f>
        <x:v>0</x:v>
      </x:c>
      <x:c r="H164" s="15" t="str">
        <x:v>Hygiene</x:v>
      </x:c>
      <x:c r="I164" s="15" t="n">
        <x:v>107</x:v>
      </x:c>
      <x:c r="J164" s="15" t="n">
        <x:v>5</x:v>
      </x:c>
      <x:c r="K164" s="23" t="n">
        <x:f>IF(G164="",0,IF(G164&lt;1,0,IF(G164&lt;2,20,IF(G164&lt;3,30,IF(G164&lt;5,40,50)))))*'Scenario Controls'!$B$22/50</x:f>
        <x:v>0</x:v>
      </x:c>
      <x:c r="L164" s="23" t="n">
        <x:f>IF(ISNUMBER(SEARCH("Must Do",AG164)),25,IF(ISNUMBER(SEARCH("Must Have",AG164)),18,IF(ISNUMBER(SEARCH("Deprior",AG164)),5,0)))*'Scenario Controls'!$B$23/25</x:f>
        <x:v>18</x:v>
      </x:c>
      <x:c r="M164" s="23" t="n">
        <x:f>J164*'Scenario Controls'!$B$24/15</x:f>
        <x:v>5</x:v>
      </x:c>
      <x:c r="N164" s="23" t="n">
        <x:f>IF(ISNUMBER(SEARCH("HEALTHY",X164)),10,IF(ISNUMBER(SEARCH("CONTAIN",X164)),6,0))*'Scenario Controls'!$B$25/10</x:f>
        <x:v>10</x:v>
      </x:c>
      <x:c r="O164" s="23" t="n">
        <x:f>SUM(K164:N164)</x:f>
        <x:v>33</x:v>
      </x:c>
      <x:c r="P164" s="15" t="str">
        <x:f>IF(OR(B164="",E164&lt;=0),"Evidence missing / not eligible",IF(ISNUMBER(SEARCH("priority TBD",Y164)),"Evidence missing / not eligible",IF(AND(H164="Carryover",NOT(ISNUMBER(F164))),"Evidence missing / not eligible",IF(AND(H164="Carryover",G164&lt;'Scenario Controls'!$B$16),"Evidence missing / not eligible",IF(AND(H164="ROI-Based Portfolio",NOT(ISNUMBER(F164))),"Evidence missing / not eligible",IF(AND(H164="ROI-Based Portfolio",O164&lt;'Scenario Controls'!$B$20),"Evidence missing / not eligible","Eligible"))))))</x:f>
        <x:v>Eligible</x:v>
      </x:c>
      <x:c r="Q164" s="19" t="n">
        <x:f>IF(P164&lt;&gt;"Eligible",0,IF(AND(SUMIFS($Q$5:Q163,$H$5:H163,H164)+E164&lt;=(IF(H164="LFR",'Scenario Controls'!$F$10,IF(H164="Sustain Engineering",'Scenario Controls'!$F$11,IF(H164="Hygiene",'Scenario Controls'!$F$12,1E+99))))*(1+'Scenario Controls'!$B$7),SUM($Q$5:Q163)+E164&lt;='Scenario Controls'!$B$6*(1+'Scenario Controls'!$B$7)),E164,0))</x:f>
        <x:v>0</x:v>
      </x:c>
      <x:c r="R164" s="24" t="str">
        <x:f>'EW Conference'!G112</x:f>
        <x:v>Automatic</x:v>
      </x:c>
      <x:c r="S164" s="24" t="str">
        <x:f>'EW Conference'!H112</x:f>
      </x:c>
      <x:c r="T164" s="19" t="n">
        <x:f>IF(R164="Exclude",0,IF(R164="Include",E164,Q164))</x:f>
        <x:v>0</x:v>
      </x:c>
      <x:c r="U164" s="15" t="str">
        <x:f>IF(T164&gt;0,"Funded",IF(P164="Eligible","Unfunded",P164))</x:f>
        <x:v>Unfunded</x:v>
      </x:c>
      <x:c r="V164" s="15" t="str">
        <x:f>IF(R164="Include","Conference inclusion: "&amp;S164,IF(R164="Exclude","Conference exclusion: "&amp;S164,IF(Q164&gt;0,H164&amp;" priority rank "&amp;I164&amp;"; whole initiative selected",P164)))</x:f>
        <x:v>Eligible</x:v>
      </x:c>
      <x:c r="W164" s="15" t="str">
        <x:v>EW!167</x:v>
      </x:c>
      <x:c r="X164" s="15" t="str">
        <x:v>HEALTHY</x:v>
      </x:c>
      <x:c r="Y164" s="15" t="str">
        <x:v>HEALTHY — Rank in priority matrix</x:v>
      </x:c>
      <x:c r="Z164" s="15" t="str">
        <x:v>Continuous Improvement</x:v>
      </x:c>
      <x:c r="AA164" s="15" t="str">
        <x:v>New Initiative</x:v>
      </x:c>
      <x:c r="AB164" s="15" t="str">
        <x:v>Group Functions &amp; Hyperautomation IT</x:v>
      </x:c>
      <x:c r="AC164" s="15" t="str">
        <x:v>Strategic priorities of PF will not be met.</x:v>
      </x:c>
      <x:c r="AD164" s="15" t="str">
        <x:v>Commercial, product, and service capabilities are inconsistent across businesses and regions.</x:v>
      </x:c>
      <x:c r="AE164" s="15" t="str">
        <x:v>Standardize development, leadership, role clarity, onboarding, and skills-based workforce planning.</x:v>
      </x:c>
      <x:c r="AF164" s="15" t="str">
        <x:v>Strategic priorities of PF will not be met. | Commercial, product, and service capabilities are inconsistent across businesses and regions. | Standardize development, leadership, role clarity, onboarding, and skills-based workforce planning.</x:v>
      </x:c>
      <x:c r="AG164" s="15" t="str">
        <x:v>Must Have</x:v>
      </x:c>
      <x:c r="AH164" s="15" t="n">
        <x:v>169</x:v>
      </x:c>
    </x:row>
    <x:row r="165">
      <x:c r="A165" s="15" t="str">
        <x:v>EW-172</x:v>
      </x:c>
      <x:c r="B165" s="15" t="str">
        <x:v>Learning architecture</x:v>
      </x:c>
      <x:c r="C165" s="15" t="str">
        <x:v>EW Led</x:v>
      </x:c>
      <x:c r="D165" s="15" t="str">
        <x:v>People function</x:v>
      </x:c>
      <x:c r="E165" s="19" t="n">
        <x:v>1.5</x:v>
      </x:c>
      <x:c r="F165" s="19" t="n">
        <x:v>0</x:v>
      </x:c>
      <x:c r="G165" s="22" t="n">
        <x:f>IF(AND(E165&gt;0,ISNUMBER(F165)),F165/E165,"")</x:f>
        <x:v>0</x:v>
      </x:c>
      <x:c r="H165" s="15" t="str">
        <x:v>Hygiene</x:v>
      </x:c>
      <x:c r="I165" s="15" t="n">
        <x:v>108</x:v>
      </x:c>
      <x:c r="J165" s="15" t="n">
        <x:v>5</x:v>
      </x:c>
      <x:c r="K165" s="23" t="n">
        <x:f>IF(G165="",0,IF(G165&lt;1,0,IF(G165&lt;2,20,IF(G165&lt;3,30,IF(G165&lt;5,40,50)))))*'Scenario Controls'!$B$22/50</x:f>
        <x:v>0</x:v>
      </x:c>
      <x:c r="L165" s="23" t="n">
        <x:f>IF(ISNUMBER(SEARCH("Must Do",AG165)),25,IF(ISNUMBER(SEARCH("Must Have",AG165)),18,IF(ISNUMBER(SEARCH("Deprior",AG165)),5,0)))*'Scenario Controls'!$B$23/25</x:f>
        <x:v>18</x:v>
      </x:c>
      <x:c r="M165" s="23" t="n">
        <x:f>J165*'Scenario Controls'!$B$24/15</x:f>
        <x:v>5</x:v>
      </x:c>
      <x:c r="N165" s="23" t="n">
        <x:f>IF(ISNUMBER(SEARCH("HEALTHY",X165)),10,IF(ISNUMBER(SEARCH("CONTAIN",X165)),6,0))*'Scenario Controls'!$B$25/10</x:f>
        <x:v>10</x:v>
      </x:c>
      <x:c r="O165" s="23" t="n">
        <x:f>SUM(K165:N165)</x:f>
        <x:v>33</x:v>
      </x:c>
      <x:c r="P165" s="15" t="str">
        <x:f>IF(OR(B165="",E165&lt;=0),"Evidence missing / not eligible",IF(ISNUMBER(SEARCH("priority TBD",Y165)),"Evidence missing / not eligible",IF(AND(H165="Carryover",NOT(ISNUMBER(F165))),"Evidence missing / not eligible",IF(AND(H165="Carryover",G165&lt;'Scenario Controls'!$B$16),"Evidence missing / not eligible",IF(AND(H165="ROI-Based Portfolio",NOT(ISNUMBER(F165))),"Evidence missing / not eligible",IF(AND(H165="ROI-Based Portfolio",O165&lt;'Scenario Controls'!$B$20),"Evidence missing / not eligible","Eligible"))))))</x:f>
        <x:v>Eligible</x:v>
      </x:c>
      <x:c r="Q165" s="19" t="n">
        <x:f>IF(P165&lt;&gt;"Eligible",0,IF(AND(SUMIFS($Q$5:Q164,$H$5:H164,H165)+E165&lt;=(IF(H165="LFR",'Scenario Controls'!$F$10,IF(H165="Sustain Engineering",'Scenario Controls'!$F$11,IF(H165="Hygiene",'Scenario Controls'!$F$12,1E+99))))*(1+'Scenario Controls'!$B$7),SUM($Q$5:Q164)+E165&lt;='Scenario Controls'!$B$6*(1+'Scenario Controls'!$B$7)),E165,0))</x:f>
        <x:v>0</x:v>
      </x:c>
      <x:c r="R165" s="24" t="str">
        <x:f>'EW Conference'!G113</x:f>
        <x:v>Automatic</x:v>
      </x:c>
      <x:c r="S165" s="24" t="str">
        <x:f>'EW Conference'!H113</x:f>
      </x:c>
      <x:c r="T165" s="19" t="n">
        <x:f>IF(R165="Exclude",0,IF(R165="Include",E165,Q165))</x:f>
        <x:v>0</x:v>
      </x:c>
      <x:c r="U165" s="15" t="str">
        <x:f>IF(T165&gt;0,"Funded",IF(P165="Eligible","Unfunded",P165))</x:f>
        <x:v>Unfunded</x:v>
      </x:c>
      <x:c r="V165" s="15" t="str">
        <x:f>IF(R165="Include","Conference inclusion: "&amp;S165,IF(R165="Exclude","Conference exclusion: "&amp;S165,IF(Q165&gt;0,H165&amp;" priority rank "&amp;I165&amp;"; whole initiative selected",P165)))</x:f>
        <x:v>Eligible</x:v>
      </x:c>
      <x:c r="W165" s="15" t="str">
        <x:v>EW!168</x:v>
      </x:c>
      <x:c r="X165" s="15" t="str">
        <x:v>HEALTHY</x:v>
      </x:c>
      <x:c r="Y165" s="15" t="str">
        <x:v>HEALTHY — Rank in priority matrix</x:v>
      </x:c>
      <x:c r="Z165" s="15" t="str">
        <x:v>Continuous Improvement</x:v>
      </x:c>
      <x:c r="AA165" s="15" t="str">
        <x:v>New Initiative</x:v>
      </x:c>
      <x:c r="AB165" s="15" t="str">
        <x:v>Group Functions &amp; Hyperautomation IT</x:v>
      </x:c>
      <x:c r="AC165" s="15" t="str">
        <x:v>Strategic priorities of PF will not be met.</x:v>
      </x:c>
      <x:c r="AD165" s="15" t="str">
        <x:v>A fragmented learning ecosystem limits personalization, efficiency, and skills-based development.</x:v>
      </x:c>
      <x:c r="AE165" s="15" t="str">
        <x:v>Consolidate platforms and build a trusted, AI-enabled learning experience and data foundation.</x:v>
      </x:c>
      <x:c r="AF165" s="15" t="str">
        <x:v>Strategic priorities of PF will not be met. | A fragmented learning ecosystem limits personalization, efficiency, and skills-based development. | Consolidate platforms and build a trusted, AI-enabled learning experience and data foundation.</x:v>
      </x:c>
      <x:c r="AG165" s="15" t="str">
        <x:v>Must Have</x:v>
      </x:c>
      <x:c r="AH165" s="15" t="n">
        <x:v>170</x:v>
      </x:c>
    </x:row>
    <x:row r="166">
      <x:c r="A166" s="15" t="str">
        <x:v>Bu-58</x:v>
      </x:c>
      <x:c r="B166" s="15" t="str">
        <x:v>MI&amp;A Workbench program</x:v>
      </x:c>
      <x:c r="C166" s="15" t="str">
        <x:v>BU Led</x:v>
      </x:c>
      <x:c r="D166" s="15" t="str">
        <x:v>CoE Marketing – HS (former DMEC)</x:v>
      </x:c>
      <x:c r="E166" s="19" t="n">
        <x:v>0.2</x:v>
      </x:c>
      <x:c r="F166" s="19" t="n">
        <x:v>0</x:v>
      </x:c>
      <x:c r="G166" s="22" t="n">
        <x:f>IF(AND(E166&gt;0,ISNUMBER(F166)),F166/E166,"")</x:f>
        <x:v>0</x:v>
      </x:c>
      <x:c r="H166" s="15" t="str">
        <x:v>Hygiene</x:v>
      </x:c>
      <x:c r="I166" s="15" t="n">
        <x:v>109</x:v>
      </x:c>
      <x:c r="J166" s="15" t="n">
        <x:v>5</x:v>
      </x:c>
      <x:c r="K166" s="23" t="n">
        <x:f>IF(G166="",0,IF(G166&lt;1,0,IF(G166&lt;2,20,IF(G166&lt;3,30,IF(G166&lt;5,40,50)))))*'Scenario Controls'!$B$22/50</x:f>
        <x:v>0</x:v>
      </x:c>
      <x:c r="L166" s="23" t="n">
        <x:f>IF(ISNUMBER(SEARCH("Must Do",AG166)),25,IF(ISNUMBER(SEARCH("Must Have",AG166)),18,IF(ISNUMBER(SEARCH("Deprior",AG166)),5,0)))*'Scenario Controls'!$B$23/25</x:f>
        <x:v>25</x:v>
      </x:c>
      <x:c r="M166" s="23" t="n">
        <x:f>J166*'Scenario Controls'!$B$24/15</x:f>
        <x:v>5</x:v>
      </x:c>
      <x:c r="N166" s="23" t="n">
        <x:f>IF(ISNUMBER(SEARCH("HEALTHY",X166)),10,IF(ISNUMBER(SEARCH("CONTAIN",X166)),6,0))*'Scenario Controls'!$B$25/10</x:f>
        <x:v>0</x:v>
      </x:c>
      <x:c r="O166" s="23" t="n">
        <x:f>SUM(K166:N166)</x:f>
        <x:v>30</x:v>
      </x:c>
      <x:c r="P166" s="15" t="str">
        <x:f>IF(OR(B166="",E166&lt;=0),"Evidence missing / not eligible",IF(ISNUMBER(SEARCH("priority TBD",Y166)),"Evidence missing / not eligible",IF(AND(H166="Carryover",NOT(ISNUMBER(F166))),"Evidence missing / not eligible",IF(AND(H166="Carryover",G166&lt;'Scenario Controls'!$B$16),"Evidence missing / not eligible",IF(AND(H166="ROI-Based Portfolio",NOT(ISNUMBER(F166))),"Evidence missing / not eligible",IF(AND(H166="ROI-Based Portfolio",O166&lt;'Scenario Controls'!$B$20),"Evidence missing / not eligible","Eligible"))))))</x:f>
        <x:v>Eligible</x:v>
      </x:c>
      <x:c r="Q166" s="19" t="n">
        <x:f>IF(P166&lt;&gt;"Eligible",0,IF(AND(SUMIFS($Q$5:Q165,$H$5:H165,H166)+E166&lt;=(IF(H166="LFR",'Scenario Controls'!$F$10,IF(H166="Sustain Engineering",'Scenario Controls'!$F$11,IF(H166="Hygiene",'Scenario Controls'!$F$12,1E+99))))*(1+'Scenario Controls'!$B$7),SUM($Q$5:Q165)+E166&lt;='Scenario Controls'!$B$6*(1+'Scenario Controls'!$B$7)),E166,0))</x:f>
        <x:v>0</x:v>
      </x:c>
      <x:c r="R166" s="24" t="str">
        <x:f>'BU Conference'!G58</x:f>
        <x:v>Automatic</x:v>
      </x:c>
      <x:c r="S166" s="24" t="str">
        <x:f>'BU Conference'!H58</x:f>
      </x:c>
      <x:c r="T166" s="19" t="n">
        <x:f>IF(R166="Exclude",0,IF(R166="Include",E166,Q166))</x:f>
        <x:v>0</x:v>
      </x:c>
      <x:c r="U166" s="15" t="str">
        <x:f>IF(T166&gt;0,"Funded",IF(P166="Eligible","Unfunded",P166))</x:f>
        <x:v>Unfunded</x:v>
      </x:c>
      <x:c r="V166" s="15" t="str">
        <x:f>IF(R166="Include","Conference inclusion: "&amp;S166,IF(R166="Exclude","Conference exclusion: "&amp;S166,IF(Q166&gt;0,H166&amp;" priority rank "&amp;I166&amp;"; whole initiative selected",P166)))</x:f>
        <x:v>Eligible</x:v>
      </x:c>
      <x:c r="W166" s="15" t="str">
        <x:v>Bu!127</x:v>
      </x:c>
      <x:c r="X166" s="15" t="str"/>
      <x:c r="Y166" s="15" t="str"/>
      <x:c r="Z166" s="15" t="str">
        <x:v>Continous Improvement</x:v>
      </x:c>
      <x:c r="AA166" s="15" t="str">
        <x:v>Carry Over</x:v>
      </x:c>
      <x:c r="AB166" s="15" t="str">
        <x:v>Enterprise Architecture, Data &amp; Integration</x:v>
      </x:c>
      <x:c r="AC166" s="15" t="str">
        <x:v>Without the marketing datalake,we lose all ability to support HS with insights and analytics, thereby leaving Business &amp; Regions blind, which will negatively impact overall HS business results</x:v>
      </x:c>
      <x:c r="AD166" s="15" t="str"/>
      <x:c r="AE166" s="15" t="str"/>
      <x:c r="AF166" s="15" t="str">
        <x:v>Without the marketing datalake,we lose all ability to support HS with insights and analytics, thereby leaving Business &amp; Regions blind, which will negatively impact overall HS business results</x:v>
      </x:c>
      <x:c r="AG166" s="15" t="str">
        <x:v>Must Do</x:v>
      </x:c>
      <x:c r="AH166" s="15" t="n">
        <x:v>235</x:v>
      </x:c>
    </x:row>
    <x:row r="167">
      <x:c r="A167" s="15" t="str">
        <x:v>Bu-93</x:v>
      </x:c>
      <x:c r="B167" s="15" t="str">
        <x:v>Salsify Integration</x:v>
      </x:c>
      <x:c r="C167" s="15" t="str">
        <x:v>BU Led</x:v>
      </x:c>
      <x:c r="D167" s="15" t="str">
        <x:v>Sleep &amp; Respiratory Care (SRC)</x:v>
      </x:c>
      <x:c r="E167" s="19" t="n">
        <x:v>0</x:v>
      </x:c>
      <x:c r="F167" s="19" t="n">
        <x:v>0</x:v>
      </x:c>
      <x:c r="G167" s="22" t="str">
        <x:f>IF(AND(E167&gt;0,ISNUMBER(F167)),F167/E167,"")</x:f>
      </x:c>
      <x:c r="H167" s="15" t="str">
        <x:v>Hygiene</x:v>
      </x:c>
      <x:c r="I167" s="15" t="n">
        <x:v>110</x:v>
      </x:c>
      <x:c r="J167" s="15" t="n">
        <x:v>5</x:v>
      </x:c>
      <x:c r="K167" s="23" t="n">
        <x:f>IF(G167="",0,IF(G167&lt;1,0,IF(G167&lt;2,20,IF(G167&lt;3,30,IF(G167&lt;5,40,50)))))*'Scenario Controls'!$B$22/50</x:f>
        <x:v>0</x:v>
      </x:c>
      <x:c r="L167" s="23" t="n">
        <x:f>IF(ISNUMBER(SEARCH("Must Do",AG167)),25,IF(ISNUMBER(SEARCH("Must Have",AG167)),18,IF(ISNUMBER(SEARCH("Deprior",AG167)),5,0)))*'Scenario Controls'!$B$23/25</x:f>
        <x:v>25</x:v>
      </x:c>
      <x:c r="M167" s="23" t="n">
        <x:f>J167*'Scenario Controls'!$B$24/15</x:f>
        <x:v>5</x:v>
      </x:c>
      <x:c r="N167" s="23" t="n">
        <x:f>IF(ISNUMBER(SEARCH("HEALTHY",X167)),10,IF(ISNUMBER(SEARCH("CONTAIN",X167)),6,0))*'Scenario Controls'!$B$25/10</x:f>
        <x:v>0</x:v>
      </x:c>
      <x:c r="O167" s="23" t="n">
        <x:f>SUM(K167:N167)</x:f>
        <x:v>30</x:v>
      </x:c>
      <x:c r="P167" s="15" t="str">
        <x:f>IF(OR(B167="",E167&lt;=0),"Evidence missing / not eligible",IF(ISNUMBER(SEARCH("priority TBD",Y167)),"Evidence missing / not eligible",IF(AND(H167="Carryover",NOT(ISNUMBER(F167))),"Evidence missing / not eligible",IF(AND(H167="Carryover",G167&lt;'Scenario Controls'!$B$16),"Evidence missing / not eligible",IF(AND(H167="ROI-Based Portfolio",NOT(ISNUMBER(F167))),"Evidence missing / not eligible",IF(AND(H167="ROI-Based Portfolio",O167&lt;'Scenario Controls'!$B$20),"Evidence missing / not eligible","Eligible"))))))</x:f>
        <x:v>Evidence missing / not eligible</x:v>
      </x:c>
      <x:c r="Q167" s="19" t="n">
        <x:f>IF(P167&lt;&gt;"Eligible",0,IF(AND(SUMIFS($Q$5:Q166,$H$5:H166,H167)+E167&lt;=(IF(H167="LFR",'Scenario Controls'!$F$10,IF(H167="Sustain Engineering",'Scenario Controls'!$F$11,IF(H167="Hygiene",'Scenario Controls'!$F$12,1E+99))))*(1+'Scenario Controls'!$B$7),SUM($Q$5:Q166)+E167&lt;='Scenario Controls'!$B$6*(1+'Scenario Controls'!$B$7)),E167,0))</x:f>
        <x:v>0</x:v>
      </x:c>
      <x:c r="R167" s="24" t="str">
        <x:f>'BU Conference'!G59</x:f>
        <x:v>Automatic</x:v>
      </x:c>
      <x:c r="S167" s="24" t="str">
        <x:f>'BU Conference'!H59</x:f>
      </x:c>
      <x:c r="T167" s="19" t="n">
        <x:f>IF(R167="Exclude",0,IF(R167="Include",E167,Q167))</x:f>
        <x:v>0</x:v>
      </x:c>
      <x:c r="U167" s="15" t="str">
        <x:f>IF(T167&gt;0,"Funded",IF(P167="Eligible","Unfunded",P167))</x:f>
        <x:v>Evidence missing / not eligible</x:v>
      </x:c>
      <x:c r="V167" s="15" t="str">
        <x:f>IF(R167="Include","Conference inclusion: "&amp;S167,IF(R167="Exclude","Conference exclusion: "&amp;S167,IF(Q167&gt;0,H167&amp;" priority rank "&amp;I167&amp;"; whole initiative selected",P167)))</x:f>
        <x:v>Evidence missing / not eligible</x:v>
      </x:c>
      <x:c r="W167" s="15" t="str">
        <x:v>Bu!233</x:v>
      </x:c>
      <x:c r="X167" s="15" t="str"/>
      <x:c r="Y167" s="15" t="str"/>
      <x:c r="Z167" s="15" t="str">
        <x:v>Continous Improvement</x:v>
      </x:c>
      <x:c r="AA167" s="15" t="str">
        <x:v>New Initiative</x:v>
      </x:c>
      <x:c r="AB167" s="15" t="str">
        <x:v>Innovation and Digital IT</x:v>
      </x:c>
      <x:c r="AC167" s="15" t="str">
        <x:v>Impacts our eretailer sales and requires a lof of manual work for which we do not have resources</x:v>
      </x:c>
      <x:c r="AD167" s="15" t="str">
        <x:v>Lots of manual activities to send data to Salsify</x:v>
      </x:c>
      <x:c r="AE167" s="15" t="str">
        <x:v>Integrate Salsify to PPL to automate and save costs</x:v>
      </x:c>
      <x:c r="AF167" s="15" t="str">
        <x:v>Impacts our eretailer sales and requires a lof of manual work for which we do not have resources | Lots of manual activities to send data to Salsify | Integrate Salsify to PPL to automate and save costs</x:v>
      </x:c>
      <x:c r="AG167" s="15" t="str">
        <x:v>Must Do</x:v>
      </x:c>
      <x:c r="AH167" s="15" t="n">
        <x:v>270</x:v>
      </x:c>
    </x:row>
    <x:row r="168">
      <x:c r="A168" s="15" t="str">
        <x:v>Bu-131</x:v>
      </x:c>
      <x:c r="B168" s="15" t="str">
        <x:v>Commercial - Quoting, Revenue, Subscription Management non Sensei Systems</x:v>
      </x:c>
      <x:c r="C168" s="15" t="str">
        <x:v>BU Led</x:v>
      </x:c>
      <x:c r="D168" s="15" t="str">
        <x:v>Enterprise Informatics (EI)</x:v>
      </x:c>
      <x:c r="E168" s="19" t="n">
        <x:v>0.5</x:v>
      </x:c>
      <x:c r="F168" s="19" t="n">
        <x:v>0</x:v>
      </x:c>
      <x:c r="G168" s="22" t="n">
        <x:f>IF(AND(E168&gt;0,ISNUMBER(F168)),F168/E168,"")</x:f>
        <x:v>0</x:v>
      </x:c>
      <x:c r="H168" s="15" t="str">
        <x:v>Hygiene</x:v>
      </x:c>
      <x:c r="I168" s="15" t="n">
        <x:v>111</x:v>
      </x:c>
      <x:c r="J168" s="15" t="n">
        <x:v>5</x:v>
      </x:c>
      <x:c r="K168" s="23" t="n">
        <x:f>IF(G168="",0,IF(G168&lt;1,0,IF(G168&lt;2,20,IF(G168&lt;3,30,IF(G168&lt;5,40,50)))))*'Scenario Controls'!$B$22/50</x:f>
        <x:v>0</x:v>
      </x:c>
      <x:c r="L168" s="23" t="n">
        <x:f>IF(ISNUMBER(SEARCH("Must Do",AG168)),25,IF(ISNUMBER(SEARCH("Must Have",AG168)),18,IF(ISNUMBER(SEARCH("Deprior",AG168)),5,0)))*'Scenario Controls'!$B$23/25</x:f>
        <x:v>25</x:v>
      </x:c>
      <x:c r="M168" s="23" t="n">
        <x:f>J168*'Scenario Controls'!$B$24/15</x:f>
        <x:v>5</x:v>
      </x:c>
      <x:c r="N168" s="23" t="n">
        <x:f>IF(ISNUMBER(SEARCH("HEALTHY",X168)),10,IF(ISNUMBER(SEARCH("CONTAIN",X168)),6,0))*'Scenario Controls'!$B$25/10</x:f>
        <x:v>0</x:v>
      </x:c>
      <x:c r="O168" s="23" t="n">
        <x:f>SUM(K168:N168)</x:f>
        <x:v>30</x:v>
      </x:c>
      <x:c r="P168" s="15" t="str">
        <x:f>IF(OR(B168="",E168&lt;=0),"Evidence missing / not eligible",IF(ISNUMBER(SEARCH("priority TBD",Y168)),"Evidence missing / not eligible",IF(AND(H168="Carryover",NOT(ISNUMBER(F168))),"Evidence missing / not eligible",IF(AND(H168="Carryover",G168&lt;'Scenario Controls'!$B$16),"Evidence missing / not eligible",IF(AND(H168="ROI-Based Portfolio",NOT(ISNUMBER(F168))),"Evidence missing / not eligible",IF(AND(H168="ROI-Based Portfolio",O168&lt;'Scenario Controls'!$B$20),"Evidence missing / not eligible","Eligible"))))))</x:f>
        <x:v>Eligible</x:v>
      </x:c>
      <x:c r="Q168" s="19" t="n">
        <x:f>IF(P168&lt;&gt;"Eligible",0,IF(AND(SUMIFS($Q$5:Q167,$H$5:H167,H168)+E168&lt;=(IF(H168="LFR",'Scenario Controls'!$F$10,IF(H168="Sustain Engineering",'Scenario Controls'!$F$11,IF(H168="Hygiene",'Scenario Controls'!$F$12,1E+99))))*(1+'Scenario Controls'!$B$7),SUM($Q$5:Q167)+E168&lt;='Scenario Controls'!$B$6*(1+'Scenario Controls'!$B$7)),E168,0))</x:f>
        <x:v>0</x:v>
      </x:c>
      <x:c r="R168" s="24" t="str">
        <x:f>'BU Conference'!G60</x:f>
        <x:v>Automatic</x:v>
      </x:c>
      <x:c r="S168" s="24" t="str">
        <x:f>'BU Conference'!H60</x:f>
      </x:c>
      <x:c r="T168" s="19" t="n">
        <x:f>IF(R168="Exclude",0,IF(R168="Include",E168,Q168))</x:f>
        <x:v>0</x:v>
      </x:c>
      <x:c r="U168" s="15" t="str">
        <x:f>IF(T168&gt;0,"Funded",IF(P168="Eligible","Unfunded",P168))</x:f>
        <x:v>Unfunded</x:v>
      </x:c>
      <x:c r="V168" s="15" t="str">
        <x:f>IF(R168="Include","Conference inclusion: "&amp;S168,IF(R168="Exclude","Conference exclusion: "&amp;S168,IF(Q168&gt;0,H168&amp;" priority rank "&amp;I168&amp;"; whole initiative selected",P168)))</x:f>
        <x:v>Eligible</x:v>
      </x:c>
      <x:c r="W168" s="15" t="str">
        <x:v>Bu!321</x:v>
      </x:c>
      <x:c r="X168" s="15" t="str"/>
      <x:c r="Y168" s="15" t="str"/>
      <x:c r="Z168" s="15" t="str">
        <x:v>Continous Improvement</x:v>
      </x:c>
      <x:c r="AA168" s="15" t="str">
        <x:v>New Initiative</x:v>
      </x:c>
      <x:c r="AB168" s="15" t="str">
        <x:v>Commercial IT</x:v>
      </x:c>
      <x:c r="AC168" s="15" t="str"/>
      <x:c r="AD168" s="15" t="str">
        <x:v>Entaties that are on Sensei system need to be maintained till we completely move on to Sensei</x:v>
      </x:c>
      <x:c r="AE168" s="15" t="str">
        <x:v>Support IAH , AVW and other business that are running on non Sensei systems for Quote , Subscription and Order management</x:v>
      </x:c>
      <x:c r="AF168" s="15" t="str">
        <x:v>Entaties that are on Sensei system need to be maintained till we completely move on to Sensei | Support IAH , AVW and other business that are running on non Sensei systems for Quote , Subscription and Order management</x:v>
      </x:c>
      <x:c r="AG168" s="15" t="str">
        <x:v>Must Do</x:v>
      </x:c>
      <x:c r="AH168" s="15" t="n">
        <x:v>308</x:v>
      </x:c>
    </x:row>
    <x:row r="169">
      <x:c r="A169" s="15" t="str">
        <x:v>Bu-140</x:v>
      </x:c>
      <x:c r="B169" s="15" t="str">
        <x:v>EI-IS-AI TomTec OEM</x:v>
      </x:c>
      <x:c r="C169" s="15" t="str">
        <x:v>BU Led</x:v>
      </x:c>
      <x:c r="D169" s="15" t="str">
        <x:v>Enterprise Informatics (EI)</x:v>
      </x:c>
      <x:c r="E169" s="19" t="n">
        <x:v>0.1</x:v>
      </x:c>
      <x:c r="F169" s="19" t="n">
        <x:v>0</x:v>
      </x:c>
      <x:c r="G169" s="22" t="n">
        <x:f>IF(AND(E169&gt;0,ISNUMBER(F169)),F169/E169,"")</x:f>
        <x:v>0</x:v>
      </x:c>
      <x:c r="H169" s="15" t="str">
        <x:v>Hygiene</x:v>
      </x:c>
      <x:c r="I169" s="15" t="n">
        <x:v>112</x:v>
      </x:c>
      <x:c r="J169" s="15" t="n">
        <x:v>5</x:v>
      </x:c>
      <x:c r="K169" s="23" t="n">
        <x:f>IF(G169="",0,IF(G169&lt;1,0,IF(G169&lt;2,20,IF(G169&lt;3,30,IF(G169&lt;5,40,50)))))*'Scenario Controls'!$B$22/50</x:f>
        <x:v>0</x:v>
      </x:c>
      <x:c r="L169" s="23" t="n">
        <x:f>IF(ISNUMBER(SEARCH("Must Do",AG169)),25,IF(ISNUMBER(SEARCH("Must Have",AG169)),18,IF(ISNUMBER(SEARCH("Deprior",AG169)),5,0)))*'Scenario Controls'!$B$23/25</x:f>
        <x:v>25</x:v>
      </x:c>
      <x:c r="M169" s="23" t="n">
        <x:f>J169*'Scenario Controls'!$B$24/15</x:f>
        <x:v>5</x:v>
      </x:c>
      <x:c r="N169" s="23" t="n">
        <x:f>IF(ISNUMBER(SEARCH("HEALTHY",X169)),10,IF(ISNUMBER(SEARCH("CONTAIN",X169)),6,0))*'Scenario Controls'!$B$25/10</x:f>
        <x:v>0</x:v>
      </x:c>
      <x:c r="O169" s="23" t="n">
        <x:f>SUM(K169:N169)</x:f>
        <x:v>30</x:v>
      </x:c>
      <x:c r="P169" s="15" t="str">
        <x:f>IF(OR(B169="",E169&lt;=0),"Evidence missing / not eligible",IF(ISNUMBER(SEARCH("priority TBD",Y169)),"Evidence missing / not eligible",IF(AND(H169="Carryover",NOT(ISNUMBER(F169))),"Evidence missing / not eligible",IF(AND(H169="Carryover",G169&lt;'Scenario Controls'!$B$16),"Evidence missing / not eligible",IF(AND(H169="ROI-Based Portfolio",NOT(ISNUMBER(F169))),"Evidence missing / not eligible",IF(AND(H169="ROI-Based Portfolio",O169&lt;'Scenario Controls'!$B$20),"Evidence missing / not eligible","Eligible"))))))</x:f>
        <x:v>Eligible</x:v>
      </x:c>
      <x:c r="Q169" s="19" t="n">
        <x:f>IF(P169&lt;&gt;"Eligible",0,IF(AND(SUMIFS($Q$5:Q168,$H$5:H168,H169)+E169&lt;=(IF(H169="LFR",'Scenario Controls'!$F$10,IF(H169="Sustain Engineering",'Scenario Controls'!$F$11,IF(H169="Hygiene",'Scenario Controls'!$F$12,1E+99))))*(1+'Scenario Controls'!$B$7),SUM($Q$5:Q168)+E169&lt;='Scenario Controls'!$B$6*(1+'Scenario Controls'!$B$7)),E169,0))</x:f>
        <x:v>0</x:v>
      </x:c>
      <x:c r="R169" s="24" t="str">
        <x:f>'BU Conference'!G61</x:f>
        <x:v>Automatic</x:v>
      </x:c>
      <x:c r="S169" s="24" t="str">
        <x:f>'BU Conference'!H61</x:f>
      </x:c>
      <x:c r="T169" s="19" t="n">
        <x:f>IF(R169="Exclude",0,IF(R169="Include",E169,Q169))</x:f>
        <x:v>0</x:v>
      </x:c>
      <x:c r="U169" s="15" t="str">
        <x:f>IF(T169&gt;0,"Funded",IF(P169="Eligible","Unfunded",P169))</x:f>
        <x:v>Unfunded</x:v>
      </x:c>
      <x:c r="V169" s="15" t="str">
        <x:f>IF(R169="Include","Conference inclusion: "&amp;S169,IF(R169="Exclude","Conference exclusion: "&amp;S169,IF(Q169&gt;0,H169&amp;" priority rank "&amp;I169&amp;"; whole initiative selected",P169)))</x:f>
        <x:v>Eligible</x:v>
      </x:c>
      <x:c r="W169" s="15" t="str">
        <x:v>Bu!337</x:v>
      </x:c>
      <x:c r="X169" s="15" t="str"/>
      <x:c r="Y169" s="15" t="str"/>
      <x:c r="Z169" s="15" t="str">
        <x:v>Upgrades &amp; Enhancements</x:v>
      </x:c>
      <x:c r="AA169" s="15" t="str">
        <x:v>Carry Over</x:v>
      </x:c>
      <x:c r="AB169" s="15" t="str">
        <x:v>Commercial IT</x:v>
      </x:c>
      <x:c r="AC169" s="15" t="str"/>
      <x:c r="AD169" s="15" t="str">
        <x:v>Go Live for MS Dynamics is not completed</x:v>
      </x:c>
      <x:c r="AE169" s="15" t="str">
        <x:v>MS Dynamics Upgrade Go live and support</x:v>
      </x:c>
      <x:c r="AF169" s="15" t="str">
        <x:v>Go Live for MS Dynamics is not completed | MS Dynamics Upgrade Go live and support</x:v>
      </x:c>
      <x:c r="AG169" s="15" t="str">
        <x:v>Must Do</x:v>
      </x:c>
      <x:c r="AH169" s="15" t="n">
        <x:v>317</x:v>
      </x:c>
    </x:row>
    <x:row r="170">
      <x:c r="A170" s="15" t="str">
        <x:v>Bu-161</x:v>
      </x:c>
      <x:c r="B170" s="15" t="str">
        <x:v>Spaniel 13 | Mobile MRI Support</x:v>
      </x:c>
      <x:c r="C170" s="15" t="str">
        <x:v>BU Led</x:v>
      </x:c>
      <x:c r="D170" s="15" t="str">
        <x:v>Precision Diagnosis - Magnetic Resonance (MR)</x:v>
      </x:c>
      <x:c r="E170" s="19" t="n">
        <x:v>0.16</x:v>
      </x:c>
      <x:c r="F170" s="19" t="n">
        <x:v>0</x:v>
      </x:c>
      <x:c r="G170" s="22" t="n">
        <x:f>IF(AND(E170&gt;0,ISNUMBER(F170)),F170/E170,"")</x:f>
        <x:v>0</x:v>
      </x:c>
      <x:c r="H170" s="15" t="str">
        <x:v>Hygiene</x:v>
      </x:c>
      <x:c r="I170" s="15" t="n">
        <x:v>113</x:v>
      </x:c>
      <x:c r="J170" s="15" t="n">
        <x:v>5</x:v>
      </x:c>
      <x:c r="K170" s="23" t="n">
        <x:f>IF(G170="",0,IF(G170&lt;1,0,IF(G170&lt;2,20,IF(G170&lt;3,30,IF(G170&lt;5,40,50)))))*'Scenario Controls'!$B$22/50</x:f>
        <x:v>0</x:v>
      </x:c>
      <x:c r="L170" s="23" t="n">
        <x:f>IF(ISNUMBER(SEARCH("Must Do",AG170)),25,IF(ISNUMBER(SEARCH("Must Have",AG170)),18,IF(ISNUMBER(SEARCH("Deprior",AG170)),5,0)))*'Scenario Controls'!$B$23/25</x:f>
        <x:v>25</x:v>
      </x:c>
      <x:c r="M170" s="23" t="n">
        <x:f>J170*'Scenario Controls'!$B$24/15</x:f>
        <x:v>5</x:v>
      </x:c>
      <x:c r="N170" s="23" t="n">
        <x:f>IF(ISNUMBER(SEARCH("HEALTHY",X170)),10,IF(ISNUMBER(SEARCH("CONTAIN",X170)),6,0))*'Scenario Controls'!$B$25/10</x:f>
        <x:v>0</x:v>
      </x:c>
      <x:c r="O170" s="23" t="n">
        <x:f>SUM(K170:N170)</x:f>
        <x:v>30</x:v>
      </x:c>
      <x:c r="P170" s="15" t="str">
        <x:f>IF(OR(B170="",E170&lt;=0),"Evidence missing / not eligible",IF(ISNUMBER(SEARCH("priority TBD",Y170)),"Evidence missing / not eligible",IF(AND(H170="Carryover",NOT(ISNUMBER(F170))),"Evidence missing / not eligible",IF(AND(H170="Carryover",G170&lt;'Scenario Controls'!$B$16),"Evidence missing / not eligible",IF(AND(H170="ROI-Based Portfolio",NOT(ISNUMBER(F170))),"Evidence missing / not eligible",IF(AND(H170="ROI-Based Portfolio",O170&lt;'Scenario Controls'!$B$20),"Evidence missing / not eligible","Eligible"))))))</x:f>
        <x:v>Eligible</x:v>
      </x:c>
      <x:c r="Q170" s="19" t="n">
        <x:f>IF(P170&lt;&gt;"Eligible",0,IF(AND(SUMIFS($Q$5:Q169,$H$5:H169,H170)+E170&lt;=(IF(H170="LFR",'Scenario Controls'!$F$10,IF(H170="Sustain Engineering",'Scenario Controls'!$F$11,IF(H170="Hygiene",'Scenario Controls'!$F$12,1E+99))))*(1+'Scenario Controls'!$B$7),SUM($Q$5:Q169)+E170&lt;='Scenario Controls'!$B$6*(1+'Scenario Controls'!$B$7)),E170,0))</x:f>
        <x:v>0</x:v>
      </x:c>
      <x:c r="R170" s="24" t="str">
        <x:f>'BU Conference'!G62</x:f>
        <x:v>Automatic</x:v>
      </x:c>
      <x:c r="S170" s="24" t="str">
        <x:f>'BU Conference'!H62</x:f>
      </x:c>
      <x:c r="T170" s="19" t="n">
        <x:f>IF(R170="Exclude",0,IF(R170="Include",E170,Q170))</x:f>
        <x:v>0</x:v>
      </x:c>
      <x:c r="U170" s="15" t="str">
        <x:f>IF(T170&gt;0,"Funded",IF(P170="Eligible","Unfunded",P170))</x:f>
        <x:v>Unfunded</x:v>
      </x:c>
      <x:c r="V170" s="15" t="str">
        <x:f>IF(R170="Include","Conference inclusion: "&amp;S170,IF(R170="Exclude","Conference exclusion: "&amp;S170,IF(Q170&gt;0,H170&amp;" priority rank "&amp;I170&amp;"; whole initiative selected",P170)))</x:f>
        <x:v>Eligible</x:v>
      </x:c>
      <x:c r="W170" s="15" t="str">
        <x:v>Bu!382</x:v>
      </x:c>
      <x:c r="X170" s="15" t="str"/>
      <x:c r="Y170" s="15" t="str"/>
      <x:c r="Z170" s="15" t="str">
        <x:v>Continuous Improvement</x:v>
      </x:c>
      <x:c r="AA170" s="15" t="str">
        <x:v>New Initiative</x:v>
      </x:c>
      <x:c r="AB170" s="15" t="str">
        <x:v>Services &amp; Solutions IT</x:v>
      </x:c>
      <x:c r="AC170" s="15" t="str"/>
      <x:c r="AD170" s="15" t="str"/>
      <x:c r="AE170" s="15" t="str">
        <x:v>Support architype subscription for indirect markets</x:v>
      </x:c>
      <x:c r="AF170" s="15" t="str">
        <x:v>Support architype subscription for indirect markets</x:v>
      </x:c>
      <x:c r="AG170" s="15" t="str">
        <x:v>Must Do</x:v>
      </x:c>
      <x:c r="AH170" s="15" t="n">
        <x:v>338</x:v>
      </x:c>
    </x:row>
    <x:row r="171">
      <x:c r="A171" s="15" t="str">
        <x:v>Bu-172</x:v>
      </x:c>
      <x:c r="B171" s="15" t="str">
        <x:v>MR Req2Res Type 1</x:v>
      </x:c>
      <x:c r="C171" s="15" t="str">
        <x:v>BU Led</x:v>
      </x:c>
      <x:c r="D171" s="15" t="str">
        <x:v>Precision Diagnosis - Magnetic Resonance (MR)</x:v>
      </x:c>
      <x:c r="E171" s="19" t="n">
        <x:v>0.58</x:v>
      </x:c>
      <x:c r="F171" s="19" t="n">
        <x:v>0</x:v>
      </x:c>
      <x:c r="G171" s="22" t="n">
        <x:f>IF(AND(E171&gt;0,ISNUMBER(F171)),F171/E171,"")</x:f>
        <x:v>0</x:v>
      </x:c>
      <x:c r="H171" s="15" t="str">
        <x:v>Hygiene</x:v>
      </x:c>
      <x:c r="I171" s="15" t="n">
        <x:v>114</x:v>
      </x:c>
      <x:c r="J171" s="15" t="n">
        <x:v>5</x:v>
      </x:c>
      <x:c r="K171" s="23" t="n">
        <x:f>IF(G171="",0,IF(G171&lt;1,0,IF(G171&lt;2,20,IF(G171&lt;3,30,IF(G171&lt;5,40,50)))))*'Scenario Controls'!$B$22/50</x:f>
        <x:v>0</x:v>
      </x:c>
      <x:c r="L171" s="23" t="n">
        <x:f>IF(ISNUMBER(SEARCH("Must Do",AG171)),25,IF(ISNUMBER(SEARCH("Must Have",AG171)),18,IF(ISNUMBER(SEARCH("Deprior",AG171)),5,0)))*'Scenario Controls'!$B$23/25</x:f>
        <x:v>25</x:v>
      </x:c>
      <x:c r="M171" s="23" t="n">
        <x:f>J171*'Scenario Controls'!$B$24/15</x:f>
        <x:v>5</x:v>
      </x:c>
      <x:c r="N171" s="23" t="n">
        <x:f>IF(ISNUMBER(SEARCH("HEALTHY",X171)),10,IF(ISNUMBER(SEARCH("CONTAIN",X171)),6,0))*'Scenario Controls'!$B$25/10</x:f>
        <x:v>0</x:v>
      </x:c>
      <x:c r="O171" s="23" t="n">
        <x:f>SUM(K171:N171)</x:f>
        <x:v>30</x:v>
      </x:c>
      <x:c r="P171" s="15" t="str">
        <x:f>IF(OR(B171="",E171&lt;=0),"Evidence missing / not eligible",IF(ISNUMBER(SEARCH("priority TBD",Y171)),"Evidence missing / not eligible",IF(AND(H171="Carryover",NOT(ISNUMBER(F171))),"Evidence missing / not eligible",IF(AND(H171="Carryover",G171&lt;'Scenario Controls'!$B$16),"Evidence missing / not eligible",IF(AND(H171="ROI-Based Portfolio",NOT(ISNUMBER(F171))),"Evidence missing / not eligible",IF(AND(H171="ROI-Based Portfolio",O171&lt;'Scenario Controls'!$B$20),"Evidence missing / not eligible","Eligible"))))))</x:f>
        <x:v>Eligible</x:v>
      </x:c>
      <x:c r="Q171" s="19" t="n">
        <x:f>IF(P171&lt;&gt;"Eligible",0,IF(AND(SUMIFS($Q$5:Q170,$H$5:H170,H171)+E171&lt;=(IF(H171="LFR",'Scenario Controls'!$F$10,IF(H171="Sustain Engineering",'Scenario Controls'!$F$11,IF(H171="Hygiene",'Scenario Controls'!$F$12,1E+99))))*(1+'Scenario Controls'!$B$7),SUM($Q$5:Q170)+E171&lt;='Scenario Controls'!$B$6*(1+'Scenario Controls'!$B$7)),E171,0))</x:f>
        <x:v>0</x:v>
      </x:c>
      <x:c r="R171" s="24" t="str">
        <x:f>'BU Conference'!G63</x:f>
        <x:v>Automatic</x:v>
      </x:c>
      <x:c r="S171" s="24" t="str">
        <x:f>'BU Conference'!H63</x:f>
      </x:c>
      <x:c r="T171" s="19" t="n">
        <x:f>IF(R171="Exclude",0,IF(R171="Include",E171,Q171))</x:f>
        <x:v>0</x:v>
      </x:c>
      <x:c r="U171" s="15" t="str">
        <x:f>IF(T171&gt;0,"Funded",IF(P171="Eligible","Unfunded",P171))</x:f>
        <x:v>Unfunded</x:v>
      </x:c>
      <x:c r="V171" s="15" t="str">
        <x:f>IF(R171="Include","Conference inclusion: "&amp;S171,IF(R171="Exclude","Conference exclusion: "&amp;S171,IF(Q171&gt;0,H171&amp;" priority rank "&amp;I171&amp;"; whole initiative selected",P171)))</x:f>
        <x:v>Eligible</x:v>
      </x:c>
      <x:c r="W171" s="15" t="str">
        <x:v>Bu!422</x:v>
      </x:c>
      <x:c r="X171" s="15" t="str"/>
      <x:c r="Y171" s="15" t="str"/>
      <x:c r="Z171" s="15" t="str">
        <x:v>Continuous Improvement</x:v>
      </x:c>
      <x:c r="AA171" s="15" t="str">
        <x:v>New Initiative</x:v>
      </x:c>
      <x:c r="AB171" s="15" t="str">
        <x:v>Services &amp; Solutions IT</x:v>
      </x:c>
      <x:c r="AC171" s="15" t="str"/>
      <x:c r="AD171" s="15" t="str"/>
      <x:c r="AE171" s="15" t="str">
        <x:v>1. 3rd party coils licensing capability</x:v>
      </x:c>
      <x:c r="AF171" s="15" t="str">
        <x:v>1. 3rd party coils licensing capability</x:v>
      </x:c>
      <x:c r="AG171" s="15" t="str">
        <x:v>Must Do</x:v>
      </x:c>
      <x:c r="AH171" s="15" t="n">
        <x:v>349</x:v>
      </x:c>
    </x:row>
    <x:row r="172">
      <x:c r="A172" s="15" t="str">
        <x:v>Bu-176</x:v>
      </x:c>
      <x:c r="B172" s="15" t="str">
        <x:v>I2M Engineering Tooling CR's &amp; Licenses</x:v>
      </x:c>
      <x:c r="C172" s="15" t="str">
        <x:v>BU Led</x:v>
      </x:c>
      <x:c r="D172" s="15" t="str">
        <x:v>Precision Diagnosis - Magnetic Resonance (MR)</x:v>
      </x:c>
      <x:c r="E172" s="19" t="n">
        <x:v>0.736</x:v>
      </x:c>
      <x:c r="F172" s="19" t="n">
        <x:v>0</x:v>
      </x:c>
      <x:c r="G172" s="22" t="n">
        <x:f>IF(AND(E172&gt;0,ISNUMBER(F172)),F172/E172,"")</x:f>
        <x:v>0</x:v>
      </x:c>
      <x:c r="H172" s="15" t="str">
        <x:v>Hygiene</x:v>
      </x:c>
      <x:c r="I172" s="15" t="n">
        <x:v>115</x:v>
      </x:c>
      <x:c r="J172" s="15" t="n">
        <x:v>5</x:v>
      </x:c>
      <x:c r="K172" s="23" t="n">
        <x:f>IF(G172="",0,IF(G172&lt;1,0,IF(G172&lt;2,20,IF(G172&lt;3,30,IF(G172&lt;5,40,50)))))*'Scenario Controls'!$B$22/50</x:f>
        <x:v>0</x:v>
      </x:c>
      <x:c r="L172" s="23" t="n">
        <x:f>IF(ISNUMBER(SEARCH("Must Do",AG172)),25,IF(ISNUMBER(SEARCH("Must Have",AG172)),18,IF(ISNUMBER(SEARCH("Deprior",AG172)),5,0)))*'Scenario Controls'!$B$23/25</x:f>
        <x:v>25</x:v>
      </x:c>
      <x:c r="M172" s="23" t="n">
        <x:f>J172*'Scenario Controls'!$B$24/15</x:f>
        <x:v>5</x:v>
      </x:c>
      <x:c r="N172" s="23" t="n">
        <x:f>IF(ISNUMBER(SEARCH("HEALTHY",X172)),10,IF(ISNUMBER(SEARCH("CONTAIN",X172)),6,0))*'Scenario Controls'!$B$25/10</x:f>
        <x:v>0</x:v>
      </x:c>
      <x:c r="O172" s="23" t="n">
        <x:f>SUM(K172:N172)</x:f>
        <x:v>30</x:v>
      </x:c>
      <x:c r="P172" s="15" t="str">
        <x:f>IF(OR(B172="",E172&lt;=0),"Evidence missing / not eligible",IF(ISNUMBER(SEARCH("priority TBD",Y172)),"Evidence missing / not eligible",IF(AND(H172="Carryover",NOT(ISNUMBER(F172))),"Evidence missing / not eligible",IF(AND(H172="Carryover",G172&lt;'Scenario Controls'!$B$16),"Evidence missing / not eligible",IF(AND(H172="ROI-Based Portfolio",NOT(ISNUMBER(F172))),"Evidence missing / not eligible",IF(AND(H172="ROI-Based Portfolio",O172&lt;'Scenario Controls'!$B$20),"Evidence missing / not eligible","Eligible"))))))</x:f>
        <x:v>Eligible</x:v>
      </x:c>
      <x:c r="Q172" s="19" t="n">
        <x:f>IF(P172&lt;&gt;"Eligible",0,IF(AND(SUMIFS($Q$5:Q171,$H$5:H171,H172)+E172&lt;=(IF(H172="LFR",'Scenario Controls'!$F$10,IF(H172="Sustain Engineering",'Scenario Controls'!$F$11,IF(H172="Hygiene",'Scenario Controls'!$F$12,1E+99))))*(1+'Scenario Controls'!$B$7),SUM($Q$5:Q171)+E172&lt;='Scenario Controls'!$B$6*(1+'Scenario Controls'!$B$7)),E172,0))</x:f>
        <x:v>0</x:v>
      </x:c>
      <x:c r="R172" s="24" t="str">
        <x:f>'BU Conference'!G64</x:f>
        <x:v>Automatic</x:v>
      </x:c>
      <x:c r="S172" s="24" t="str">
        <x:f>'BU Conference'!H64</x:f>
      </x:c>
      <x:c r="T172" s="19" t="n">
        <x:f>IF(R172="Exclude",0,IF(R172="Include",E172,Q172))</x:f>
        <x:v>0</x:v>
      </x:c>
      <x:c r="U172" s="15" t="str">
        <x:f>IF(T172&gt;0,"Funded",IF(P172="Eligible","Unfunded",P172))</x:f>
        <x:v>Unfunded</x:v>
      </x:c>
      <x:c r="V172" s="15" t="str">
        <x:f>IF(R172="Include","Conference inclusion: "&amp;S172,IF(R172="Exclude","Conference exclusion: "&amp;S172,IF(Q172&gt;0,H172&amp;" priority rank "&amp;I172&amp;"; whole initiative selected",P172)))</x:f>
        <x:v>Eligible</x:v>
      </x:c>
      <x:c r="W172" s="15" t="str">
        <x:v>Bu!434</x:v>
      </x:c>
      <x:c r="X172" s="15" t="str"/>
      <x:c r="Y172" s="15" t="str"/>
      <x:c r="Z172" s="15" t="str">
        <x:v>Continous Improvement</x:v>
      </x:c>
      <x:c r="AA172" s="15" t="str">
        <x:v>New Initiative</x:v>
      </x:c>
      <x:c r="AB172" s="15" t="str">
        <x:v>Innovation and Digital IT</x:v>
      </x:c>
      <x:c r="AC172" s="15" t="str"/>
      <x:c r="AD172" s="15" t="str"/>
      <x:c r="AE172" s="15" t="str">
        <x:v>Deploy preparations for Maintenance logbook (e.g. anchor point / validation of as-installed ib vs as-granted ib, non-commercial order types in MP1, capture goods movement iso manual update)</x:v>
      </x:c>
      <x:c r="AF172" s="15" t="str">
        <x:v>Deploy preparations for Maintenance logbook (e.g. anchor point / validation of as-installed ib vs as-granted ib, non-commercial order types in MP1, capture goods movement iso manual update)</x:v>
      </x:c>
      <x:c r="AG172" s="15" t="str">
        <x:v>Must Do</x:v>
      </x:c>
      <x:c r="AH172" s="15" t="n">
        <x:v>353</x:v>
      </x:c>
    </x:row>
    <x:row r="173">
      <x:c r="A173" s="15" t="str">
        <x:v>Bu-182</x:v>
      </x:c>
      <x:c r="B173" s="15" t="str">
        <x:v>Imaging Small Investment - Unallocated</x:v>
      </x:c>
      <x:c r="C173" s="15" t="str">
        <x:v>BU Led</x:v>
      </x:c>
      <x:c r="D173" s="15" t="str">
        <x:v>Precision Diagnosis - Magnetic Resonance (MR)</x:v>
      </x:c>
      <x:c r="E173" s="19" t="n">
        <x:v>0.25</x:v>
      </x:c>
      <x:c r="F173" s="19" t="n">
        <x:v>0</x:v>
      </x:c>
      <x:c r="G173" s="22" t="n">
        <x:f>IF(AND(E173&gt;0,ISNUMBER(F173)),F173/E173,"")</x:f>
        <x:v>0</x:v>
      </x:c>
      <x:c r="H173" s="15" t="str">
        <x:v>Hygiene</x:v>
      </x:c>
      <x:c r="I173" s="15" t="n">
        <x:v>116</x:v>
      </x:c>
      <x:c r="J173" s="15" t="n">
        <x:v>5</x:v>
      </x:c>
      <x:c r="K173" s="23" t="n">
        <x:f>IF(G173="",0,IF(G173&lt;1,0,IF(G173&lt;2,20,IF(G173&lt;3,30,IF(G173&lt;5,40,50)))))*'Scenario Controls'!$B$22/50</x:f>
        <x:v>0</x:v>
      </x:c>
      <x:c r="L173" s="23" t="n">
        <x:f>IF(ISNUMBER(SEARCH("Must Do",AG173)),25,IF(ISNUMBER(SEARCH("Must Have",AG173)),18,IF(ISNUMBER(SEARCH("Deprior",AG173)),5,0)))*'Scenario Controls'!$B$23/25</x:f>
        <x:v>25</x:v>
      </x:c>
      <x:c r="M173" s="23" t="n">
        <x:f>J173*'Scenario Controls'!$B$24/15</x:f>
        <x:v>5</x:v>
      </x:c>
      <x:c r="N173" s="23" t="n">
        <x:f>IF(ISNUMBER(SEARCH("HEALTHY",X173)),10,IF(ISNUMBER(SEARCH("CONTAIN",X173)),6,0))*'Scenario Controls'!$B$25/10</x:f>
        <x:v>0</x:v>
      </x:c>
      <x:c r="O173" s="23" t="n">
        <x:f>SUM(K173:N173)</x:f>
        <x:v>30</x:v>
      </x:c>
      <x:c r="P173" s="15" t="str">
        <x:f>IF(OR(B173="",E173&lt;=0),"Evidence missing / not eligible",IF(ISNUMBER(SEARCH("priority TBD",Y173)),"Evidence missing / not eligible",IF(AND(H173="Carryover",NOT(ISNUMBER(F173))),"Evidence missing / not eligible",IF(AND(H173="Carryover",G173&lt;'Scenario Controls'!$B$16),"Evidence missing / not eligible",IF(AND(H173="ROI-Based Portfolio",NOT(ISNUMBER(F173))),"Evidence missing / not eligible",IF(AND(H173="ROI-Based Portfolio",O173&lt;'Scenario Controls'!$B$20),"Evidence missing / not eligible","Eligible"))))))</x:f>
        <x:v>Eligible</x:v>
      </x:c>
      <x:c r="Q173" s="19" t="n">
        <x:f>IF(P173&lt;&gt;"Eligible",0,IF(AND(SUMIFS($Q$5:Q172,$H$5:H172,H173)+E173&lt;=(IF(H173="LFR",'Scenario Controls'!$F$10,IF(H173="Sustain Engineering",'Scenario Controls'!$F$11,IF(H173="Hygiene",'Scenario Controls'!$F$12,1E+99))))*(1+'Scenario Controls'!$B$7),SUM($Q$5:Q172)+E173&lt;='Scenario Controls'!$B$6*(1+'Scenario Controls'!$B$7)),E173,0))</x:f>
        <x:v>0</x:v>
      </x:c>
      <x:c r="R173" s="24" t="str">
        <x:f>'BU Conference'!G65</x:f>
        <x:v>Automatic</x:v>
      </x:c>
      <x:c r="S173" s="24" t="str">
        <x:f>'BU Conference'!H65</x:f>
      </x:c>
      <x:c r="T173" s="19" t="n">
        <x:f>IF(R173="Exclude",0,IF(R173="Include",E173,Q173))</x:f>
        <x:v>0</x:v>
      </x:c>
      <x:c r="U173" s="15" t="str">
        <x:f>IF(T173&gt;0,"Funded",IF(P173="Eligible","Unfunded",P173))</x:f>
        <x:v>Unfunded</x:v>
      </x:c>
      <x:c r="V173" s="15" t="str">
        <x:f>IF(R173="Include","Conference inclusion: "&amp;S173,IF(R173="Exclude","Conference exclusion: "&amp;S173,IF(Q173&gt;0,H173&amp;" priority rank "&amp;I173&amp;"; whole initiative selected",P173)))</x:f>
        <x:v>Eligible</x:v>
      </x:c>
      <x:c r="W173" s="15" t="str">
        <x:v>Bu!440</x:v>
      </x:c>
      <x:c r="X173" s="15" t="str"/>
      <x:c r="Y173" s="15" t="str"/>
      <x:c r="Z173" s="15" t="str">
        <x:v>Upgrades &amp; Enhancements</x:v>
      </x:c>
      <x:c r="AA173" s="15" t="str">
        <x:v>New Initiative</x:v>
      </x:c>
      <x:c r="AB173" s="15" t="str">
        <x:v>Innovation and Digital IT</x:v>
      </x:c>
      <x:c r="AC173" s="15" t="str"/>
      <x:c r="AD173" s="15" t="str"/>
      <x:c r="AE173" s="15" t="str">
        <x:v>Customer Self Install: Support on device for artifacts based RSDI downloads from RSM portal</x:v>
      </x:c>
      <x:c r="AF173" s="15" t="str">
        <x:v>Customer Self Install: Support on device for artifacts based RSDI downloads from RSM portal</x:v>
      </x:c>
      <x:c r="AG173" s="15" t="str">
        <x:v>Must Do</x:v>
      </x:c>
      <x:c r="AH173" s="15" t="n">
        <x:v>359</x:v>
      </x:c>
    </x:row>
    <x:row r="174">
      <x:c r="A174" s="15" t="str">
        <x:v>Bu-251</x:v>
      </x:c>
      <x:c r="B174" s="15" t="str">
        <x:v>Defoa process improvement (400 PD, 200 IGTS)</x:v>
      </x:c>
      <x:c r="C174" s="15" t="str">
        <x:v>BU Led</x:v>
      </x:c>
      <x:c r="D174" s="15" t="str">
        <x:v>Precision Diagnosis - Magnetic Resonance (MR)</x:v>
      </x:c>
      <x:c r="E174" s="19" t="n">
        <x:v>0.4</x:v>
      </x:c>
      <x:c r="F174" s="19" t="n">
        <x:v>0</x:v>
      </x:c>
      <x:c r="G174" s="22" t="n">
        <x:f>IF(AND(E174&gt;0,ISNUMBER(F174)),F174/E174,"")</x:f>
        <x:v>0</x:v>
      </x:c>
      <x:c r="H174" s="15" t="str">
        <x:v>Hygiene</x:v>
      </x:c>
      <x:c r="I174" s="15" t="n">
        <x:v>117</x:v>
      </x:c>
      <x:c r="J174" s="15" t="n">
        <x:v>5</x:v>
      </x:c>
      <x:c r="K174" s="23" t="n">
        <x:f>IF(G174="",0,IF(G174&lt;1,0,IF(G174&lt;2,20,IF(G174&lt;3,30,IF(G174&lt;5,40,50)))))*'Scenario Controls'!$B$22/50</x:f>
        <x:v>0</x:v>
      </x:c>
      <x:c r="L174" s="23" t="n">
        <x:f>IF(ISNUMBER(SEARCH("Must Do",AG174)),25,IF(ISNUMBER(SEARCH("Must Have",AG174)),18,IF(ISNUMBER(SEARCH("Deprior",AG174)),5,0)))*'Scenario Controls'!$B$23/25</x:f>
        <x:v>25</x:v>
      </x:c>
      <x:c r="M174" s="23" t="n">
        <x:f>J174*'Scenario Controls'!$B$24/15</x:f>
        <x:v>5</x:v>
      </x:c>
      <x:c r="N174" s="23" t="n">
        <x:f>IF(ISNUMBER(SEARCH("HEALTHY",X174)),10,IF(ISNUMBER(SEARCH("CONTAIN",X174)),6,0))*'Scenario Controls'!$B$25/10</x:f>
        <x:v>0</x:v>
      </x:c>
      <x:c r="O174" s="23" t="n">
        <x:f>SUM(K174:N174)</x:f>
        <x:v>30</x:v>
      </x:c>
      <x:c r="P174" s="15" t="str">
        <x:f>IF(OR(B174="",E174&lt;=0),"Evidence missing / not eligible",IF(ISNUMBER(SEARCH("priority TBD",Y174)),"Evidence missing / not eligible",IF(AND(H174="Carryover",NOT(ISNUMBER(F174))),"Evidence missing / not eligible",IF(AND(H174="Carryover",G174&lt;'Scenario Controls'!$B$16),"Evidence missing / not eligible",IF(AND(H174="ROI-Based Portfolio",NOT(ISNUMBER(F174))),"Evidence missing / not eligible",IF(AND(H174="ROI-Based Portfolio",O174&lt;'Scenario Controls'!$B$20),"Evidence missing / not eligible","Eligible"))))))</x:f>
        <x:v>Eligible</x:v>
      </x:c>
      <x:c r="Q174" s="19" t="n">
        <x:f>IF(P174&lt;&gt;"Eligible",0,IF(AND(SUMIFS($Q$5:Q173,$H$5:H173,H174)+E174&lt;=(IF(H174="LFR",'Scenario Controls'!$F$10,IF(H174="Sustain Engineering",'Scenario Controls'!$F$11,IF(H174="Hygiene",'Scenario Controls'!$F$12,1E+99))))*(1+'Scenario Controls'!$B$7),SUM($Q$5:Q173)+E174&lt;='Scenario Controls'!$B$6*(1+'Scenario Controls'!$B$7)),E174,0))</x:f>
        <x:v>0</x:v>
      </x:c>
      <x:c r="R174" s="24" t="str">
        <x:f>'BU Conference'!G66</x:f>
        <x:v>Automatic</x:v>
      </x:c>
      <x:c r="S174" s="24" t="str">
        <x:f>'BU Conference'!H66</x:f>
      </x:c>
      <x:c r="T174" s="19" t="n">
        <x:f>IF(R174="Exclude",0,IF(R174="Include",E174,Q174))</x:f>
        <x:v>0</x:v>
      </x:c>
      <x:c r="U174" s="15" t="str">
        <x:f>IF(T174&gt;0,"Funded",IF(P174="Eligible","Unfunded",P174))</x:f>
        <x:v>Unfunded</x:v>
      </x:c>
      <x:c r="V174" s="15" t="str">
        <x:f>IF(R174="Include","Conference inclusion: "&amp;S174,IF(R174="Exclude","Conference exclusion: "&amp;S174,IF(Q174&gt;0,H174&amp;" priority rank "&amp;I174&amp;"; whole initiative selected",P174)))</x:f>
        <x:v>Eligible</x:v>
      </x:c>
      <x:c r="W174" s="15" t="str">
        <x:v>Bu!559</x:v>
      </x:c>
      <x:c r="X174" s="15" t="str"/>
      <x:c r="Y174" s="15" t="str"/>
      <x:c r="Z174" s="15" t="str">
        <x:v>Continous Improvement</x:v>
      </x:c>
      <x:c r="AA174" s="15" t="str">
        <x:v>New Initiative</x:v>
      </x:c>
      <x:c r="AB174" s="15" t="str">
        <x:v>Integrated Supply Chain &amp; Finance</x:v>
      </x:c>
      <x:c r="AC174" s="15" t="str"/>
      <x:c r="AD174" s="15" t="str"/>
      <x:c r="AE174" s="15" t="str">
        <x:v>New tool for DI &amp; IGTS, DEFOA tool has not been update for past couple of years, the new tool will address the limitations of the old tool. Addressing the DEFOA is a business priority.</x:v>
      </x:c>
      <x:c r="AF174" s="15" t="str">
        <x:v>New tool for DI &amp; IGTS, DEFOA tool has not been update for past couple of years, the new tool will address the limitations of the old tool. Addressing the DEFOA is a business priority.</x:v>
      </x:c>
      <x:c r="AG174" s="15" t="str">
        <x:v>Must Do</x:v>
      </x:c>
      <x:c r="AH174" s="15" t="n">
        <x:v>431</x:v>
      </x:c>
    </x:row>
    <x:row r="175">
      <x:c r="A175" s="15" t="str">
        <x:v>Bu-263</x:v>
      </x:c>
      <x:c r="B175" s="15" t="str">
        <x:v>Converting incoming inspection from Infinity to SAP/MBP in COS</x:v>
      </x:c>
      <x:c r="C175" s="15" t="str">
        <x:v>BU Led</x:v>
      </x:c>
      <x:c r="D175" s="15" t="str">
        <x:v>Image Guided Therapy - Devices (IGT-D)</x:v>
      </x:c>
      <x:c r="E175" s="19" t="n">
        <x:v>0.165</x:v>
      </x:c>
      <x:c r="F175" s="19" t="n">
        <x:v>0</x:v>
      </x:c>
      <x:c r="G175" s="22" t="n">
        <x:f>IF(AND(E175&gt;0,ISNUMBER(F175)),F175/E175,"")</x:f>
        <x:v>0</x:v>
      </x:c>
      <x:c r="H175" s="15" t="str">
        <x:v>Hygiene</x:v>
      </x:c>
      <x:c r="I175" s="15" t="n">
        <x:v>118</x:v>
      </x:c>
      <x:c r="J175" s="15" t="n">
        <x:v>5</x:v>
      </x:c>
      <x:c r="K175" s="23" t="n">
        <x:f>IF(G175="",0,IF(G175&lt;1,0,IF(G175&lt;2,20,IF(G175&lt;3,30,IF(G175&lt;5,40,50)))))*'Scenario Controls'!$B$22/50</x:f>
        <x:v>0</x:v>
      </x:c>
      <x:c r="L175" s="23" t="n">
        <x:f>IF(ISNUMBER(SEARCH("Must Do",AG175)),25,IF(ISNUMBER(SEARCH("Must Have",AG175)),18,IF(ISNUMBER(SEARCH("Deprior",AG175)),5,0)))*'Scenario Controls'!$B$23/25</x:f>
        <x:v>25</x:v>
      </x:c>
      <x:c r="M175" s="23" t="n">
        <x:f>J175*'Scenario Controls'!$B$24/15</x:f>
        <x:v>5</x:v>
      </x:c>
      <x:c r="N175" s="23" t="n">
        <x:f>IF(ISNUMBER(SEARCH("HEALTHY",X175)),10,IF(ISNUMBER(SEARCH("CONTAIN",X175)),6,0))*'Scenario Controls'!$B$25/10</x:f>
        <x:v>0</x:v>
      </x:c>
      <x:c r="O175" s="23" t="n">
        <x:f>SUM(K175:N175)</x:f>
        <x:v>30</x:v>
      </x:c>
      <x:c r="P175" s="15" t="str">
        <x:f>IF(OR(B175="",E175&lt;=0),"Evidence missing / not eligible",IF(ISNUMBER(SEARCH("priority TBD",Y175)),"Evidence missing / not eligible",IF(AND(H175="Carryover",NOT(ISNUMBER(F175))),"Evidence missing / not eligible",IF(AND(H175="Carryover",G175&lt;'Scenario Controls'!$B$16),"Evidence missing / not eligible",IF(AND(H175="ROI-Based Portfolio",NOT(ISNUMBER(F175))),"Evidence missing / not eligible",IF(AND(H175="ROI-Based Portfolio",O175&lt;'Scenario Controls'!$B$20),"Evidence missing / not eligible","Eligible"))))))</x:f>
        <x:v>Eligible</x:v>
      </x:c>
      <x:c r="Q175" s="19" t="n">
        <x:f>IF(P175&lt;&gt;"Eligible",0,IF(AND(SUMIFS($Q$5:Q174,$H$5:H174,H175)+E175&lt;=(IF(H175="LFR",'Scenario Controls'!$F$10,IF(H175="Sustain Engineering",'Scenario Controls'!$F$11,IF(H175="Hygiene",'Scenario Controls'!$F$12,1E+99))))*(1+'Scenario Controls'!$B$7),SUM($Q$5:Q174)+E175&lt;='Scenario Controls'!$B$6*(1+'Scenario Controls'!$B$7)),E175,0))</x:f>
        <x:v>0</x:v>
      </x:c>
      <x:c r="R175" s="24" t="str">
        <x:f>'BU Conference'!G67</x:f>
        <x:v>Automatic</x:v>
      </x:c>
      <x:c r="S175" s="24" t="str">
        <x:f>'BU Conference'!H67</x:f>
      </x:c>
      <x:c r="T175" s="19" t="n">
        <x:f>IF(R175="Exclude",0,IF(R175="Include",E175,Q175))</x:f>
        <x:v>0</x:v>
      </x:c>
      <x:c r="U175" s="15" t="str">
        <x:f>IF(T175&gt;0,"Funded",IF(P175="Eligible","Unfunded",P175))</x:f>
        <x:v>Unfunded</x:v>
      </x:c>
      <x:c r="V175" s="15" t="str">
        <x:f>IF(R175="Include","Conference inclusion: "&amp;S175,IF(R175="Exclude","Conference exclusion: "&amp;S175,IF(Q175&gt;0,H175&amp;" priority rank "&amp;I175&amp;"; whole initiative selected",P175)))</x:f>
        <x:v>Eligible</x:v>
      </x:c>
      <x:c r="W175" s="15" t="str">
        <x:v>Bu!571</x:v>
      </x:c>
      <x:c r="X175" s="15" t="str"/>
      <x:c r="Y175" s="15" t="str"/>
      <x:c r="Z175" s="15" t="str">
        <x:v>Decomm/Replatforming</x:v>
      </x:c>
      <x:c r="AA175" s="15" t="str">
        <x:v>New Initiative</x:v>
      </x:c>
      <x:c r="AB175" s="15" t="str">
        <x:v>Integrated Supply Chain &amp; Finance</x:v>
      </x:c>
      <x:c r="AC175" s="15" t="str"/>
      <x:c r="AD175" s="15" t="str"/>
      <x:c r="AE175" s="15" t="str">
        <x:v>Phase out Infinity for incoming inspection activities and transition to SAP MBP</x:v>
      </x:c>
      <x:c r="AF175" s="15" t="str">
        <x:v>Phase out Infinity for incoming inspection activities and transition to SAP MBP</x:v>
      </x:c>
      <x:c r="AG175" s="15" t="str">
        <x:v>Must Do</x:v>
      </x:c>
      <x:c r="AH175" s="15" t="n">
        <x:v>443</x:v>
      </x:c>
    </x:row>
    <x:row r="176">
      <x:c r="A176" s="15" t="str">
        <x:v>Bu-269</x:v>
      </x:c>
      <x:c r="B176" s="15" t="str">
        <x:v>CEC Nexus maintence</x:v>
      </x:c>
      <x:c r="C176" s="15" t="str">
        <x:v>BU Led</x:v>
      </x:c>
      <x:c r="D176" s="15" t="str">
        <x:v>CoE Marketing – HS (former DMEC)</x:v>
      </x:c>
      <x:c r="E176" s="19" t="n">
        <x:v>0.02</x:v>
      </x:c>
      <x:c r="F176" s="19" t="n">
        <x:v>0</x:v>
      </x:c>
      <x:c r="G176" s="22" t="n">
        <x:f>IF(AND(E176&gt;0,ISNUMBER(F176)),F176/E176,"")</x:f>
        <x:v>0</x:v>
      </x:c>
      <x:c r="H176" s="15" t="str">
        <x:v>Hygiene</x:v>
      </x:c>
      <x:c r="I176" s="15" t="n">
        <x:v>119</x:v>
      </x:c>
      <x:c r="J176" s="15" t="n">
        <x:v>5</x:v>
      </x:c>
      <x:c r="K176" s="23" t="n">
        <x:f>IF(G176="",0,IF(G176&lt;1,0,IF(G176&lt;2,20,IF(G176&lt;3,30,IF(G176&lt;5,40,50)))))*'Scenario Controls'!$B$22/50</x:f>
        <x:v>0</x:v>
      </x:c>
      <x:c r="L176" s="23" t="n">
        <x:f>IF(ISNUMBER(SEARCH("Must Do",AG176)),25,IF(ISNUMBER(SEARCH("Must Have",AG176)),18,IF(ISNUMBER(SEARCH("Deprior",AG176)),5,0)))*'Scenario Controls'!$B$23/25</x:f>
        <x:v>25</x:v>
      </x:c>
      <x:c r="M176" s="23" t="n">
        <x:f>J176*'Scenario Controls'!$B$24/15</x:f>
        <x:v>5</x:v>
      </x:c>
      <x:c r="N176" s="23" t="n">
        <x:f>IF(ISNUMBER(SEARCH("HEALTHY",X176)),10,IF(ISNUMBER(SEARCH("CONTAIN",X176)),6,0))*'Scenario Controls'!$B$25/10</x:f>
        <x:v>0</x:v>
      </x:c>
      <x:c r="O176" s="23" t="n">
        <x:f>SUM(K176:N176)</x:f>
        <x:v>30</x:v>
      </x:c>
      <x:c r="P176" s="15" t="str">
        <x:f>IF(OR(B176="",E176&lt;=0),"Evidence missing / not eligible",IF(ISNUMBER(SEARCH("priority TBD",Y176)),"Evidence missing / not eligible",IF(AND(H176="Carryover",NOT(ISNUMBER(F176))),"Evidence missing / not eligible",IF(AND(H176="Carryover",G176&lt;'Scenario Controls'!$B$16),"Evidence missing / not eligible",IF(AND(H176="ROI-Based Portfolio",NOT(ISNUMBER(F176))),"Evidence missing / not eligible",IF(AND(H176="ROI-Based Portfolio",O176&lt;'Scenario Controls'!$B$20),"Evidence missing / not eligible","Eligible"))))))</x:f>
        <x:v>Eligible</x:v>
      </x:c>
      <x:c r="Q176" s="19" t="n">
        <x:f>IF(P176&lt;&gt;"Eligible",0,IF(AND(SUMIFS($Q$5:Q175,$H$5:H175,H176)+E176&lt;=(IF(H176="LFR",'Scenario Controls'!$F$10,IF(H176="Sustain Engineering",'Scenario Controls'!$F$11,IF(H176="Hygiene",'Scenario Controls'!$F$12,1E+99))))*(1+'Scenario Controls'!$B$7),SUM($Q$5:Q175)+E176&lt;='Scenario Controls'!$B$6*(1+'Scenario Controls'!$B$7)),E176,0))</x:f>
        <x:v>0.02</x:v>
      </x:c>
      <x:c r="R176" s="24" t="str">
        <x:f>'BU Conference'!G68</x:f>
        <x:v>Automatic</x:v>
      </x:c>
      <x:c r="S176" s="24" t="str">
        <x:f>'BU Conference'!H68</x:f>
      </x:c>
      <x:c r="T176" s="19" t="n">
        <x:f>IF(R176="Exclude",0,IF(R176="Include",E176,Q176))</x:f>
        <x:v>0.02</x:v>
      </x:c>
      <x:c r="U176" s="15" t="str">
        <x:f>IF(T176&gt;0,"Funded",IF(P176="Eligible","Unfunded",P176))</x:f>
        <x:v>Funded</x:v>
      </x:c>
      <x:c r="V176" s="15" t="str">
        <x:f>IF(R176="Include","Conference inclusion: "&amp;S176,IF(R176="Exclude","Conference exclusion: "&amp;S176,IF(Q176&gt;0,H176&amp;" priority rank "&amp;I176&amp;"; whole initiative selected",P176)))</x:f>
        <x:v>Hygiene priority rank 119; whole initiative selected</x:v>
      </x:c>
      <x:c r="W176" s="15" t="str">
        <x:v>Bu!577</x:v>
      </x:c>
      <x:c r="X176" s="15" t="str"/>
      <x:c r="Y176" s="15" t="str"/>
      <x:c r="Z176" s="15" t="str">
        <x:v>Upgrades &amp; Enhancements</x:v>
      </x:c>
      <x:c r="AA176" s="15" t="str">
        <x:v>Carry Over</x:v>
      </x:c>
      <x:c r="AB176" s="15" t="str">
        <x:v>Innovation and Digital IT</x:v>
      </x:c>
      <x:c r="AC176" s="15" t="str"/>
      <x:c r="AD176" s="15" t="str"/>
      <x:c r="AE176" s="15" t="str">
        <x:v>No</x:v>
      </x:c>
      <x:c r="AF176" s="15" t="str">
        <x:v>No</x:v>
      </x:c>
      <x:c r="AG176" s="15" t="str">
        <x:v>Must Do</x:v>
      </x:c>
      <x:c r="AH176" s="15" t="n">
        <x:v>448</x:v>
      </x:c>
    </x:row>
    <x:row r="177">
      <x:c r="A177" s="15" t="str">
        <x:v>Bu-282</x:v>
      </x:c>
      <x:c r="B177" s="15" t="str">
        <x:v>Chat bot for sales support (Monigotchi)</x:v>
      </x:c>
      <x:c r="C177" s="15" t="str">
        <x:v>BU Led</x:v>
      </x:c>
      <x:c r="D177" s="15" t="str">
        <x:v>Monitoring - HPM (MCH)</x:v>
      </x:c>
      <x:c r="E177" s="19" t="n">
        <x:v>0.012</x:v>
      </x:c>
      <x:c r="F177" s="19" t="n">
        <x:v>0</x:v>
      </x:c>
      <x:c r="G177" s="22" t="n">
        <x:f>IF(AND(E177&gt;0,ISNUMBER(F177)),F177/E177,"")</x:f>
        <x:v>0</x:v>
      </x:c>
      <x:c r="H177" s="15" t="str">
        <x:v>Hygiene</x:v>
      </x:c>
      <x:c r="I177" s="15" t="n">
        <x:v>120</x:v>
      </x:c>
      <x:c r="J177" s="15" t="n">
        <x:v>5</x:v>
      </x:c>
      <x:c r="K177" s="23" t="n">
        <x:f>IF(G177="",0,IF(G177&lt;1,0,IF(G177&lt;2,20,IF(G177&lt;3,30,IF(G177&lt;5,40,50)))))*'Scenario Controls'!$B$22/50</x:f>
        <x:v>0</x:v>
      </x:c>
      <x:c r="L177" s="23" t="n">
        <x:f>IF(ISNUMBER(SEARCH("Must Do",AG177)),25,IF(ISNUMBER(SEARCH("Must Have",AG177)),18,IF(ISNUMBER(SEARCH("Deprior",AG177)),5,0)))*'Scenario Controls'!$B$23/25</x:f>
        <x:v>25</x:v>
      </x:c>
      <x:c r="M177" s="23" t="n">
        <x:f>J177*'Scenario Controls'!$B$24/15</x:f>
        <x:v>5</x:v>
      </x:c>
      <x:c r="N177" s="23" t="n">
        <x:f>IF(ISNUMBER(SEARCH("HEALTHY",X177)),10,IF(ISNUMBER(SEARCH("CONTAIN",X177)),6,0))*'Scenario Controls'!$B$25/10</x:f>
        <x:v>0</x:v>
      </x:c>
      <x:c r="O177" s="23" t="n">
        <x:f>SUM(K177:N177)</x:f>
        <x:v>30</x:v>
      </x:c>
      <x:c r="P177" s="15" t="str">
        <x:f>IF(OR(B177="",E177&lt;=0),"Evidence missing / not eligible",IF(ISNUMBER(SEARCH("priority TBD",Y177)),"Evidence missing / not eligible",IF(AND(H177="Carryover",NOT(ISNUMBER(F177))),"Evidence missing / not eligible",IF(AND(H177="Carryover",G177&lt;'Scenario Controls'!$B$16),"Evidence missing / not eligible",IF(AND(H177="ROI-Based Portfolio",NOT(ISNUMBER(F177))),"Evidence missing / not eligible",IF(AND(H177="ROI-Based Portfolio",O177&lt;'Scenario Controls'!$B$20),"Evidence missing / not eligible","Eligible"))))))</x:f>
        <x:v>Eligible</x:v>
      </x:c>
      <x:c r="Q177" s="19" t="n">
        <x:f>IF(P177&lt;&gt;"Eligible",0,IF(AND(SUMIFS($Q$5:Q176,$H$5:H176,H177)+E177&lt;=(IF(H177="LFR",'Scenario Controls'!$F$10,IF(H177="Sustain Engineering",'Scenario Controls'!$F$11,IF(H177="Hygiene",'Scenario Controls'!$F$12,1E+99))))*(1+'Scenario Controls'!$B$7),SUM($Q$5:Q176)+E177&lt;='Scenario Controls'!$B$6*(1+'Scenario Controls'!$B$7)),E177,0))</x:f>
        <x:v>0.012</x:v>
      </x:c>
      <x:c r="R177" s="24" t="str">
        <x:f>'BU Conference'!G69</x:f>
        <x:v>Automatic</x:v>
      </x:c>
      <x:c r="S177" s="24" t="str">
        <x:f>'BU Conference'!H69</x:f>
      </x:c>
      <x:c r="T177" s="19" t="n">
        <x:f>IF(R177="Exclude",0,IF(R177="Include",E177,Q177))</x:f>
        <x:v>0.012</x:v>
      </x:c>
      <x:c r="U177" s="15" t="str">
        <x:f>IF(T177&gt;0,"Funded",IF(P177="Eligible","Unfunded",P177))</x:f>
        <x:v>Funded</x:v>
      </x:c>
      <x:c r="V177" s="15" t="str">
        <x:f>IF(R177="Include","Conference inclusion: "&amp;S177,IF(R177="Exclude","Conference exclusion: "&amp;S177,IF(Q177&gt;0,H177&amp;" priority rank "&amp;I177&amp;"; whole initiative selected",P177)))</x:f>
        <x:v>Hygiene priority rank 120; whole initiative selected</x:v>
      </x:c>
      <x:c r="W177" s="15" t="str">
        <x:v>Bu!588</x:v>
      </x:c>
      <x:c r="X177" s="15" t="str"/>
      <x:c r="Y177" s="15" t="str"/>
      <x:c r="Z177" s="15" t="str">
        <x:v>Continous Improvement</x:v>
      </x:c>
      <x:c r="AA177" s="15" t="str">
        <x:v>Carry Over</x:v>
      </x:c>
      <x:c r="AB177" s="15" t="str">
        <x:v>Commercial IT</x:v>
      </x:c>
      <x:c r="AC177" s="15" t="str"/>
      <x:c r="AD177" s="15" t="str">
        <x:v>sales productivity</x:v>
      </x:c>
      <x:c r="AE177" s="15" t="str">
        <x:v>Migration of the locally-hosted Production environment build in 2026 to Philips IT Cloud Service.</x:v>
      </x:c>
      <x:c r="AF177" s="15" t="str">
        <x:v>sales productivity | Migration of the locally-hosted Production environment build in 2026 to Philips IT Cloud Service.</x:v>
      </x:c>
      <x:c r="AG177" s="15" t="str">
        <x:v>Must Do</x:v>
      </x:c>
      <x:c r="AH177" s="15" t="n">
        <x:v>459</x:v>
      </x:c>
    </x:row>
    <x:row r="178">
      <x:c r="A178" s="15" t="str">
        <x:v>EW-156</x:v>
      </x:c>
      <x:c r="B178" s="15" t="str">
        <x:v>Philips Skills Framework</x:v>
      </x:c>
      <x:c r="C178" s="15" t="str">
        <x:v>EW Led</x:v>
      </x:c>
      <x:c r="D178" s="15" t="str">
        <x:v>People function</x:v>
      </x:c>
      <x:c r="E178" s="19" t="n">
        <x:v>0.3</x:v>
      </x:c>
      <x:c r="F178" s="19" t="n">
        <x:v>0</x:v>
      </x:c>
      <x:c r="G178" s="22" t="n">
        <x:f>IF(AND(E178&gt;0,ISNUMBER(F178)),F178/E178,"")</x:f>
        <x:v>0</x:v>
      </x:c>
      <x:c r="H178" s="15" t="str">
        <x:v>Hygiene</x:v>
      </x:c>
      <x:c r="I178" s="15" t="n">
        <x:v>121</x:v>
      </x:c>
      <x:c r="J178" s="15" t="n">
        <x:v>5</x:v>
      </x:c>
      <x:c r="K178" s="23" t="n">
        <x:f>IF(G178="",0,IF(G178&lt;1,0,IF(G178&lt;2,20,IF(G178&lt;3,30,IF(G178&lt;5,40,50)))))*'Scenario Controls'!$B$22/50</x:f>
        <x:v>0</x:v>
      </x:c>
      <x:c r="L178" s="23" t="n">
        <x:f>IF(ISNUMBER(SEARCH("Must Do",AG178)),25,IF(ISNUMBER(SEARCH("Must Have",AG178)),18,IF(ISNUMBER(SEARCH("Deprior",AG178)),5,0)))*'Scenario Controls'!$B$23/25</x:f>
        <x:v>18</x:v>
      </x:c>
      <x:c r="M178" s="23" t="n">
        <x:f>J178*'Scenario Controls'!$B$24/15</x:f>
        <x:v>5</x:v>
      </x:c>
      <x:c r="N178" s="23" t="n">
        <x:f>IF(ISNUMBER(SEARCH("HEALTHY",X178)),10,IF(ISNUMBER(SEARCH("CONTAIN",X178)),6,0))*'Scenario Controls'!$B$25/10</x:f>
        <x:v>6</x:v>
      </x:c>
      <x:c r="O178" s="23" t="n">
        <x:f>SUM(K178:N178)</x:f>
        <x:v>29</x:v>
      </x:c>
      <x:c r="P178" s="15" t="str">
        <x:f>IF(OR(B178="",E178&lt;=0),"Evidence missing / not eligible",IF(ISNUMBER(SEARCH("priority TBD",Y178)),"Evidence missing / not eligible",IF(AND(H178="Carryover",NOT(ISNUMBER(F178))),"Evidence missing / not eligible",IF(AND(H178="Carryover",G178&lt;'Scenario Controls'!$B$16),"Evidence missing / not eligible",IF(AND(H178="ROI-Based Portfolio",NOT(ISNUMBER(F178))),"Evidence missing / not eligible",IF(AND(H178="ROI-Based Portfolio",O178&lt;'Scenario Controls'!$B$20),"Evidence missing / not eligible","Eligible"))))))</x:f>
        <x:v>Eligible</x:v>
      </x:c>
      <x:c r="Q178" s="19" t="n">
        <x:f>IF(P178&lt;&gt;"Eligible",0,IF(AND(SUMIFS($Q$5:Q177,$H$5:H177,H178)+E178&lt;=(IF(H178="LFR",'Scenario Controls'!$F$10,IF(H178="Sustain Engineering",'Scenario Controls'!$F$11,IF(H178="Hygiene",'Scenario Controls'!$F$12,1E+99))))*(1+'Scenario Controls'!$B$7),SUM($Q$5:Q177)+E178&lt;='Scenario Controls'!$B$6*(1+'Scenario Controls'!$B$7)),E178,0))</x:f>
        <x:v>0</x:v>
      </x:c>
      <x:c r="R178" s="24" t="str">
        <x:f>'EW Conference'!G114</x:f>
        <x:v>Automatic</x:v>
      </x:c>
      <x:c r="S178" s="24" t="str">
        <x:f>'EW Conference'!H114</x:f>
      </x:c>
      <x:c r="T178" s="19" t="n">
        <x:f>IF(R178="Exclude",0,IF(R178="Include",E178,Q178))</x:f>
        <x:v>0</x:v>
      </x:c>
      <x:c r="U178" s="15" t="str">
        <x:f>IF(T178&gt;0,"Funded",IF(P178="Eligible","Unfunded",P178))</x:f>
        <x:v>Unfunded</x:v>
      </x:c>
      <x:c r="V178" s="15" t="str">
        <x:f>IF(R178="Include","Conference inclusion: "&amp;S178,IF(R178="Exclude","Conference exclusion: "&amp;S178,IF(Q178&gt;0,H178&amp;" priority rank "&amp;I178&amp;"; whole initiative selected",P178)))</x:f>
        <x:v>Eligible</x:v>
      </x:c>
      <x:c r="W178" s="15" t="str">
        <x:v>EW!152</x:v>
      </x:c>
      <x:c r="X178" s="15" t="str">
        <x:v>CONTAIN</x:v>
      </x:c>
      <x:c r="Y178" s="15" t="str">
        <x:v>CONTAIN — Conditions</x:v>
      </x:c>
      <x:c r="Z178" s="15" t="str">
        <x:v>Continuous Improvement</x:v>
      </x:c>
      <x:c r="AA178" s="15" t="str">
        <x:v>New Initiative</x:v>
      </x:c>
      <x:c r="AB178" s="15" t="str">
        <x:v>Group Functions &amp; Hyperautomation IT</x:v>
      </x:c>
      <x:c r="AC178" s="15" t="str">
        <x:v>Strategic priorities of PF will not be met.</x:v>
      </x:c>
      <x:c r="AD178" s="15" t="str">
        <x:v>Create one skills framework across jobs, hiring, onboarding, learning, performance and possibly rewards. The cross-portfolio vision still needs definition; Antoine is interim owner.</x:v>
      </x:c>
      <x:c r="AE178" s="15" t="str">
        <x:v>Once defined, integrate the skills framework across systems and add new systems if needed.</x:v>
      </x:c>
      <x:c r="AF178" s="15" t="str">
        <x:v>Strategic priorities of PF will not be met. | Create one skills framework across jobs, hiring, onboarding, learning, performance and possibly rewards. The cross-portfolio vision still needs definition; Antoine is interim owner. | Once defined, integrate the skills framework across systems and add new systems if needed.</x:v>
      </x:c>
      <x:c r="AG178" s="15" t="str">
        <x:v>Must Have</x:v>
      </x:c>
      <x:c r="AH178" s="15" t="n">
        <x:v>154</x:v>
      </x:c>
    </x:row>
    <x:row r="179">
      <x:c r="A179" s="15" t="str">
        <x:v>EW-170</x:v>
      </x:c>
      <x:c r="B179" s="15" t="str">
        <x:v>Long term incentive</x:v>
      </x:c>
      <x:c r="C179" s="15" t="str">
        <x:v>EW Led</x:v>
      </x:c>
      <x:c r="D179" s="15" t="str">
        <x:v>People function</x:v>
      </x:c>
      <x:c r="E179" s="19" t="n">
        <x:v>0.05</x:v>
      </x:c>
      <x:c r="F179" s="19" t="n">
        <x:v>0</x:v>
      </x:c>
      <x:c r="G179" s="22" t="n">
        <x:f>IF(AND(E179&gt;0,ISNUMBER(F179)),F179/E179,"")</x:f>
        <x:v>0</x:v>
      </x:c>
      <x:c r="H179" s="15" t="str">
        <x:v>Hygiene</x:v>
      </x:c>
      <x:c r="I179" s="15" t="n">
        <x:v>122</x:v>
      </x:c>
      <x:c r="J179" s="15" t="n">
        <x:v>5</x:v>
      </x:c>
      <x:c r="K179" s="23" t="n">
        <x:f>IF(G179="",0,IF(G179&lt;1,0,IF(G179&lt;2,20,IF(G179&lt;3,30,IF(G179&lt;5,40,50)))))*'Scenario Controls'!$B$22/50</x:f>
        <x:v>0</x:v>
      </x:c>
      <x:c r="L179" s="23" t="n">
        <x:f>IF(ISNUMBER(SEARCH("Must Do",AG179)),25,IF(ISNUMBER(SEARCH("Must Have",AG179)),18,IF(ISNUMBER(SEARCH("Deprior",AG179)),5,0)))*'Scenario Controls'!$B$23/25</x:f>
        <x:v>18</x:v>
      </x:c>
      <x:c r="M179" s="23" t="n">
        <x:f>J179*'Scenario Controls'!$B$24/15</x:f>
        <x:v>5</x:v>
      </x:c>
      <x:c r="N179" s="23" t="n">
        <x:f>IF(ISNUMBER(SEARCH("HEALTHY",X179)),10,IF(ISNUMBER(SEARCH("CONTAIN",X179)),6,0))*'Scenario Controls'!$B$25/10</x:f>
        <x:v>6</x:v>
      </x:c>
      <x:c r="O179" s="23" t="n">
        <x:f>SUM(K179:N179)</x:f>
        <x:v>29</x:v>
      </x:c>
      <x:c r="P179" s="15" t="str">
        <x:f>IF(OR(B179="",E179&lt;=0),"Evidence missing / not eligible",IF(ISNUMBER(SEARCH("priority TBD",Y179)),"Evidence missing / not eligible",IF(AND(H179="Carryover",NOT(ISNUMBER(F179))),"Evidence missing / not eligible",IF(AND(H179="Carryover",G179&lt;'Scenario Controls'!$B$16),"Evidence missing / not eligible",IF(AND(H179="ROI-Based Portfolio",NOT(ISNUMBER(F179))),"Evidence missing / not eligible",IF(AND(H179="ROI-Based Portfolio",O179&lt;'Scenario Controls'!$B$20),"Evidence missing / not eligible","Eligible"))))))</x:f>
        <x:v>Eligible</x:v>
      </x:c>
      <x:c r="Q179" s="19" t="n">
        <x:f>IF(P179&lt;&gt;"Eligible",0,IF(AND(SUMIFS($Q$5:Q178,$H$5:H178,H179)+E179&lt;=(IF(H179="LFR",'Scenario Controls'!$F$10,IF(H179="Sustain Engineering",'Scenario Controls'!$F$11,IF(H179="Hygiene",'Scenario Controls'!$F$12,1E+99))))*(1+'Scenario Controls'!$B$7),SUM($Q$5:Q178)+E179&lt;='Scenario Controls'!$B$6*(1+'Scenario Controls'!$B$7)),E179,0))</x:f>
        <x:v>0</x:v>
      </x:c>
      <x:c r="R179" s="24" t="str">
        <x:f>'EW Conference'!G115</x:f>
        <x:v>Automatic</x:v>
      </x:c>
      <x:c r="S179" s="24" t="str">
        <x:f>'EW Conference'!H115</x:f>
      </x:c>
      <x:c r="T179" s="19" t="n">
        <x:f>IF(R179="Exclude",0,IF(R179="Include",E179,Q179))</x:f>
        <x:v>0</x:v>
      </x:c>
      <x:c r="U179" s="15" t="str">
        <x:f>IF(T179&gt;0,"Funded",IF(P179="Eligible","Unfunded",P179))</x:f>
        <x:v>Unfunded</x:v>
      </x:c>
      <x:c r="V179" s="15" t="str">
        <x:f>IF(R179="Include","Conference inclusion: "&amp;S179,IF(R179="Exclude","Conference exclusion: "&amp;S179,IF(Q179&gt;0,H179&amp;" priority rank "&amp;I179&amp;"; whole initiative selected",P179)))</x:f>
        <x:v>Eligible</x:v>
      </x:c>
      <x:c r="W179" s="15" t="str">
        <x:v>EW!166</x:v>
      </x:c>
      <x:c r="X179" s="15" t="str">
        <x:v>CONTAIN</x:v>
      </x:c>
      <x:c r="Y179" s="15" t="str">
        <x:v>CONTAIN — Conditions</x:v>
      </x:c>
      <x:c r="Z179" s="15" t="str">
        <x:v>Continuous Improvement</x:v>
      </x:c>
      <x:c r="AA179" s="15" t="str">
        <x:v>New Initiative</x:v>
      </x:c>
      <x:c r="AB179" s="15" t="str">
        <x:v>Group Functions &amp; Hyperautomation IT</x:v>
      </x:c>
      <x:c r="AC179" s="15" t="str">
        <x:v>Strategic priorities of PF will not be met.</x:v>
      </x:c>
      <x:c r="AD179" s="15" t="str">
        <x:v>LTI administration and allocation may not optimally support attraction, motivation, and retention.</x:v>
      </x:c>
      <x:c r="AE179" s="15" t="str">
        <x:v>Maintain LTI operations while reviewing the budget-versus-allocation approach.</x:v>
      </x:c>
      <x:c r="AF179" s="15" t="str">
        <x:v>Strategic priorities of PF will not be met. | LTI administration and allocation may not optimally support attraction, motivation, and retention. | Maintain LTI operations while reviewing the budget-versus-allocation approach.</x:v>
      </x:c>
      <x:c r="AG179" s="15" t="str">
        <x:v>Must Have</x:v>
      </x:c>
      <x:c r="AH179" s="15" t="n">
        <x:v>168</x:v>
      </x:c>
    </x:row>
    <x:row r="180">
      <x:c r="A180" s="15" t="str">
        <x:v>Bu-317</x:v>
      </x:c>
      <x:c r="B180" s="15" t="str">
        <x:v>Sales &amp; Margin Agent</x:v>
      </x:c>
      <x:c r="C180" s="15" t="str">
        <x:v>BU Led</x:v>
      </x:c>
      <x:c r="D180" s="15" t="str">
        <x:v>Personal Health (PH)</x:v>
      </x:c>
      <x:c r="E180" s="19" t="n">
        <x:v>0.05</x:v>
      </x:c>
      <x:c r="F180" s="19" t="n">
        <x:v>0</x:v>
      </x:c>
      <x:c r="G180" s="22" t="n">
        <x:f>IF(AND(E180&gt;0,ISNUMBER(F180)),F180/E180,"")</x:f>
        <x:v>0</x:v>
      </x:c>
      <x:c r="H180" s="15" t="str">
        <x:v>Hygiene</x:v>
      </x:c>
      <x:c r="I180" s="15" t="n">
        <x:v>123</x:v>
      </x:c>
      <x:c r="J180" s="15" t="n">
        <x:v>10</x:v>
      </x:c>
      <x:c r="K180" s="23" t="n">
        <x:f>IF(G180="",0,IF(G180&lt;1,0,IF(G180&lt;2,20,IF(G180&lt;3,30,IF(G180&lt;5,40,50)))))*'Scenario Controls'!$B$22/50</x:f>
        <x:v>0</x:v>
      </x:c>
      <x:c r="L180" s="23" t="n">
        <x:f>IF(ISNUMBER(SEARCH("Must Do",AG180)),25,IF(ISNUMBER(SEARCH("Must Have",AG180)),18,IF(ISNUMBER(SEARCH("Deprior",AG180)),5,0)))*'Scenario Controls'!$B$23/25</x:f>
        <x:v>18</x:v>
      </x:c>
      <x:c r="M180" s="23" t="n">
        <x:f>J180*'Scenario Controls'!$B$24/15</x:f>
        <x:v>10</x:v>
      </x:c>
      <x:c r="N180" s="23" t="n">
        <x:f>IF(ISNUMBER(SEARCH("HEALTHY",X180)),10,IF(ISNUMBER(SEARCH("CONTAIN",X180)),6,0))*'Scenario Controls'!$B$25/10</x:f>
        <x:v>0</x:v>
      </x:c>
      <x:c r="O180" s="23" t="n">
        <x:f>SUM(K180:N180)</x:f>
        <x:v>28</x:v>
      </x:c>
      <x:c r="P180" s="15" t="str">
        <x:f>IF(OR(B180="",E180&lt;=0),"Evidence missing / not eligible",IF(ISNUMBER(SEARCH("priority TBD",Y180)),"Evidence missing / not eligible",IF(AND(H180="Carryover",NOT(ISNUMBER(F180))),"Evidence missing / not eligible",IF(AND(H180="Carryover",G180&lt;'Scenario Controls'!$B$16),"Evidence missing / not eligible",IF(AND(H180="ROI-Based Portfolio",NOT(ISNUMBER(F180))),"Evidence missing / not eligible",IF(AND(H180="ROI-Based Portfolio",O180&lt;'Scenario Controls'!$B$20),"Evidence missing / not eligible","Eligible"))))))</x:f>
        <x:v>Eligible</x:v>
      </x:c>
      <x:c r="Q180" s="19" t="n">
        <x:f>IF(P180&lt;&gt;"Eligible",0,IF(AND(SUMIFS($Q$5:Q179,$H$5:H179,H180)+E180&lt;=(IF(H180="LFR",'Scenario Controls'!$F$10,IF(H180="Sustain Engineering",'Scenario Controls'!$F$11,IF(H180="Hygiene",'Scenario Controls'!$F$12,1E+99))))*(1+'Scenario Controls'!$B$7),SUM($Q$5:Q179)+E180&lt;='Scenario Controls'!$B$6*(1+'Scenario Controls'!$B$7)),E180,0))</x:f>
        <x:v>0</x:v>
      </x:c>
      <x:c r="R180" s="24" t="str">
        <x:f>'BU Conference'!G70</x:f>
        <x:v>Automatic</x:v>
      </x:c>
      <x:c r="S180" s="24" t="str">
        <x:f>'BU Conference'!H70</x:f>
      </x:c>
      <x:c r="T180" s="19" t="n">
        <x:f>IF(R180="Exclude",0,IF(R180="Include",E180,Q180))</x:f>
        <x:v>0</x:v>
      </x:c>
      <x:c r="U180" s="15" t="str">
        <x:f>IF(T180&gt;0,"Funded",IF(P180="Eligible","Unfunded",P180))</x:f>
        <x:v>Unfunded</x:v>
      </x:c>
      <x:c r="V180" s="15" t="str">
        <x:f>IF(R180="Include","Conference inclusion: "&amp;S180,IF(R180="Exclude","Conference exclusion: "&amp;S180,IF(Q180&gt;0,H180&amp;" priority rank "&amp;I180&amp;"; whole initiative selected",P180)))</x:f>
        <x:v>Eligible</x:v>
      </x:c>
      <x:c r="W180" s="15" t="str">
        <x:v>Bu!646</x:v>
      </x:c>
      <x:c r="X180" s="15" t="str"/>
      <x:c r="Y180" s="15" t="str"/>
      <x:c r="Z180" s="15" t="str">
        <x:v>Continous Improvement</x:v>
      </x:c>
      <x:c r="AA180" s="15" t="str">
        <x:v>New Initiative</x:v>
      </x:c>
      <x:c r="AB180" s="15" t="str">
        <x:v>Innovation and Digital IT</x:v>
      </x:c>
      <x:c r="AC180" s="15" t="str">
        <x:v>Productivity loss</x:v>
      </x:c>
      <x:c r="AD180" s="15" t="str">
        <x:v>To streamline the business decision-making process based on descriptive and prescriptive financials across PH. An AI agent that will support with instant answers to financial status and outlook of any product range and customer across PH.</x:v>
      </x:c>
      <x:c r="AE180" s="15" t="str">
        <x:v>Full implementation across BU’s and regions with clear RACI across PH</x:v>
      </x:c>
      <x:c r="AF180" s="15" t="str">
        <x:v>Productivity loss | To streamline the business decision-making process based on descriptive and prescriptive financials across PH. An AI agent that will support with instant answers to financial status and outlook of any product range and customer across PH. | Full implementation across BU’s and regions with clear RACI across PH</x:v>
      </x:c>
      <x:c r="AG180" s="15" t="str">
        <x:v>Must Have</x:v>
      </x:c>
      <x:c r="AH180" s="15" t="n">
        <x:v>494</x:v>
      </x:c>
    </x:row>
    <x:row r="181">
      <x:c r="A181" s="15" t="str">
        <x:v>Bu-322</x:v>
      </x:c>
      <x:c r="B181" s="15" t="str">
        <x:v>Codebeamer Onboarding</x:v>
      </x:c>
      <x:c r="C181" s="15" t="str">
        <x:v>BU Led</x:v>
      </x:c>
      <x:c r="D181" s="15" t="str">
        <x:v>Ambulatory Monitoring and Diagnostics (AM&amp;D)</x:v>
      </x:c>
      <x:c r="E181" s="19" t="n">
        <x:v>0.4</x:v>
      </x:c>
      <x:c r="F181" s="19" t="n">
        <x:v>0</x:v>
      </x:c>
      <x:c r="G181" s="22" t="n">
        <x:f>IF(AND(E181&gt;0,ISNUMBER(F181)),F181/E181,"")</x:f>
        <x:v>0</x:v>
      </x:c>
      <x:c r="H181" s="15" t="str">
        <x:v>Hygiene</x:v>
      </x:c>
      <x:c r="I181" s="15" t="n">
        <x:v>124</x:v>
      </x:c>
      <x:c r="J181" s="15" t="n">
        <x:v>10</x:v>
      </x:c>
      <x:c r="K181" s="23" t="n">
        <x:f>IF(G181="",0,IF(G181&lt;1,0,IF(G181&lt;2,20,IF(G181&lt;3,30,IF(G181&lt;5,40,50)))))*'Scenario Controls'!$B$22/50</x:f>
        <x:v>0</x:v>
      </x:c>
      <x:c r="L181" s="23" t="n">
        <x:f>IF(ISNUMBER(SEARCH("Must Do",AG181)),25,IF(ISNUMBER(SEARCH("Must Have",AG181)),18,IF(ISNUMBER(SEARCH("Deprior",AG181)),5,0)))*'Scenario Controls'!$B$23/25</x:f>
        <x:v>18</x:v>
      </x:c>
      <x:c r="M181" s="23" t="n">
        <x:f>J181*'Scenario Controls'!$B$24/15</x:f>
        <x:v>10</x:v>
      </x:c>
      <x:c r="N181" s="23" t="n">
        <x:f>IF(ISNUMBER(SEARCH("HEALTHY",X181)),10,IF(ISNUMBER(SEARCH("CONTAIN",X181)),6,0))*'Scenario Controls'!$B$25/10</x:f>
        <x:v>0</x:v>
      </x:c>
      <x:c r="O181" s="23" t="n">
        <x:f>SUM(K181:N181)</x:f>
        <x:v>28</x:v>
      </x:c>
      <x:c r="P181" s="15" t="str">
        <x:f>IF(OR(B181="",E181&lt;=0),"Evidence missing / not eligible",IF(ISNUMBER(SEARCH("priority TBD",Y181)),"Evidence missing / not eligible",IF(AND(H181="Carryover",NOT(ISNUMBER(F181))),"Evidence missing / not eligible",IF(AND(H181="Carryover",G181&lt;'Scenario Controls'!$B$16),"Evidence missing / not eligible",IF(AND(H181="ROI-Based Portfolio",NOT(ISNUMBER(F181))),"Evidence missing / not eligible",IF(AND(H181="ROI-Based Portfolio",O181&lt;'Scenario Controls'!$B$20),"Evidence missing / not eligible","Eligible"))))))</x:f>
        <x:v>Eligible</x:v>
      </x:c>
      <x:c r="Q181" s="19" t="n">
        <x:f>IF(P181&lt;&gt;"Eligible",0,IF(AND(SUMIFS($Q$5:Q180,$H$5:H180,H181)+E181&lt;=(IF(H181="LFR",'Scenario Controls'!$F$10,IF(H181="Sustain Engineering",'Scenario Controls'!$F$11,IF(H181="Hygiene",'Scenario Controls'!$F$12,1E+99))))*(1+'Scenario Controls'!$B$7),SUM($Q$5:Q180)+E181&lt;='Scenario Controls'!$B$6*(1+'Scenario Controls'!$B$7)),E181,0))</x:f>
        <x:v>0</x:v>
      </x:c>
      <x:c r="R181" s="24" t="str">
        <x:f>'BU Conference'!G71</x:f>
        <x:v>Automatic</x:v>
      </x:c>
      <x:c r="S181" s="24" t="str">
        <x:f>'BU Conference'!H71</x:f>
      </x:c>
      <x:c r="T181" s="19" t="n">
        <x:f>IF(R181="Exclude",0,IF(R181="Include",E181,Q181))</x:f>
        <x:v>0</x:v>
      </x:c>
      <x:c r="U181" s="15" t="str">
        <x:f>IF(T181&gt;0,"Funded",IF(P181="Eligible","Unfunded",P181))</x:f>
        <x:v>Unfunded</x:v>
      </x:c>
      <x:c r="V181" s="15" t="str">
        <x:f>IF(R181="Include","Conference inclusion: "&amp;S181,IF(R181="Exclude","Conference exclusion: "&amp;S181,IF(Q181&gt;0,H181&amp;" priority rank "&amp;I181&amp;"; whole initiative selected",P181)))</x:f>
        <x:v>Eligible</x:v>
      </x:c>
      <x:c r="W181" s="15" t="str">
        <x:v>Bu!659</x:v>
      </x:c>
      <x:c r="X181" s="15" t="str"/>
      <x:c r="Y181" s="15" t="str"/>
      <x:c r="Z181" s="15" t="str">
        <x:v>Continous Improvement</x:v>
      </x:c>
      <x:c r="AA181" s="15" t="str">
        <x:v>New Initiative</x:v>
      </x:c>
      <x:c r="AB181" s="15" t="str">
        <x:v>Innovation and Digital IT</x:v>
      </x:c>
      <x:c r="AC181" s="15" t="str">
        <x:v>A document-centric PLM solution will delay our transition to a data-driven PLM tool, limiting automation, traceability, and end-to-end digitalization.</x:v>
      </x:c>
      <x:c r="AD181" s="15" t="str">
        <x:v>Currently document based DDF and content is managed in various tools with significant manual effort. (One of the focus of Philips Elevate project.)</x:v>
      </x:c>
      <x:c r="AE181" s="15" t="str">
        <x: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x:v>
      </x:c>
      <x:c r="AF181" s="15" t="str">
        <x:v>A document-centric PLM solution will delay our transition to a data-driven PLM tool, limiting automation, traceability, and end-to-end digitalization. | Currently document based DDF and content is managed in various tools with significant manual effort. (One of the focus of Philips Elevate project.) |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x:v>
      </x:c>
      <x:c r="AG181" s="15" t="str">
        <x:v>Must Have</x:v>
      </x:c>
      <x:c r="AH181" s="15" t="n">
        <x:v>499</x:v>
      </x:c>
    </x:row>
    <x:row r="182">
      <x:c r="A182" s="15" t="str">
        <x:v>Bu-59</x:v>
      </x:c>
      <x:c r="B182" s="15" t="str">
        <x:v>Event CoE_Data Quality, Visibility &amp; Simplification Program</x:v>
      </x:c>
      <x:c r="C182" s="15" t="str">
        <x:v>BU Led</x:v>
      </x:c>
      <x:c r="D182" s="15" t="str">
        <x:v>CoE Marketing – HS (former DMEC)</x:v>
      </x:c>
      <x:c r="E182" s="19" t="n">
        <x:v>0.21</x:v>
      </x:c>
      <x:c r="F182" s="19" t="n">
        <x:v>0</x:v>
      </x:c>
      <x:c r="G182" s="22" t="n">
        <x:f>IF(AND(E182&gt;0,ISNUMBER(F182)),F182/E182,"")</x:f>
        <x:v>0</x:v>
      </x:c>
      <x:c r="H182" s="15" t="str">
        <x:v>Hygiene</x:v>
      </x:c>
      <x:c r="I182" s="15" t="n">
        <x:v>125</x:v>
      </x:c>
      <x:c r="J182" s="15" t="n">
        <x:v>0</x:v>
      </x:c>
      <x:c r="K182" s="23" t="n">
        <x:f>IF(G182="",0,IF(G182&lt;1,0,IF(G182&lt;2,20,IF(G182&lt;3,30,IF(G182&lt;5,40,50)))))*'Scenario Controls'!$B$22/50</x:f>
        <x:v>0</x:v>
      </x:c>
      <x:c r="L182" s="23" t="n">
        <x:f>IF(ISNUMBER(SEARCH("Must Do",AG182)),25,IF(ISNUMBER(SEARCH("Must Have",AG182)),18,IF(ISNUMBER(SEARCH("Deprior",AG182)),5,0)))*'Scenario Controls'!$B$23/25</x:f>
        <x:v>25</x:v>
      </x:c>
      <x:c r="M182" s="23" t="n">
        <x:f>J182*'Scenario Controls'!$B$24/15</x:f>
        <x:v>0</x:v>
      </x:c>
      <x:c r="N182" s="23" t="n">
        <x:f>IF(ISNUMBER(SEARCH("HEALTHY",X182)),10,IF(ISNUMBER(SEARCH("CONTAIN",X182)),6,0))*'Scenario Controls'!$B$25/10</x:f>
        <x:v>0</x:v>
      </x:c>
      <x:c r="O182" s="23" t="n">
        <x:f>SUM(K182:N182)</x:f>
        <x:v>25</x:v>
      </x:c>
      <x:c r="P182" s="15" t="str">
        <x:f>IF(OR(B182="",E182&lt;=0),"Evidence missing / not eligible",IF(ISNUMBER(SEARCH("priority TBD",Y182)),"Evidence missing / not eligible",IF(AND(H182="Carryover",NOT(ISNUMBER(F182))),"Evidence missing / not eligible",IF(AND(H182="Carryover",G182&lt;'Scenario Controls'!$B$16),"Evidence missing / not eligible",IF(AND(H182="ROI-Based Portfolio",NOT(ISNUMBER(F182))),"Evidence missing / not eligible",IF(AND(H182="ROI-Based Portfolio",O182&lt;'Scenario Controls'!$B$20),"Evidence missing / not eligible","Eligible"))))))</x:f>
        <x:v>Eligible</x:v>
      </x:c>
      <x:c r="Q182" s="19" t="n">
        <x:f>IF(P182&lt;&gt;"Eligible",0,IF(AND(SUMIFS($Q$5:Q181,$H$5:H181,H182)+E182&lt;=(IF(H182="LFR",'Scenario Controls'!$F$10,IF(H182="Sustain Engineering",'Scenario Controls'!$F$11,IF(H182="Hygiene",'Scenario Controls'!$F$12,1E+99))))*(1+'Scenario Controls'!$B$7),SUM($Q$5:Q181)+E182&lt;='Scenario Controls'!$B$6*(1+'Scenario Controls'!$B$7)),E182,0))</x:f>
        <x:v>0</x:v>
      </x:c>
      <x:c r="R182" s="24" t="str">
        <x:f>'BU Conference'!G72</x:f>
        <x:v>Automatic</x:v>
      </x:c>
      <x:c r="S182" s="24" t="str">
        <x:f>'BU Conference'!H72</x:f>
      </x:c>
      <x:c r="T182" s="19" t="n">
        <x:f>IF(R182="Exclude",0,IF(R182="Include",E182,Q182))</x:f>
        <x:v>0</x:v>
      </x:c>
      <x:c r="U182" s="15" t="str">
        <x:f>IF(T182&gt;0,"Funded",IF(P182="Eligible","Unfunded",P182))</x:f>
        <x:v>Unfunded</x:v>
      </x:c>
      <x:c r="V182" s="15" t="str">
        <x:f>IF(R182="Include","Conference inclusion: "&amp;S182,IF(R182="Exclude","Conference exclusion: "&amp;S182,IF(Q182&gt;0,H182&amp;" priority rank "&amp;I182&amp;"; whole initiative selected",P182)))</x:f>
        <x:v>Eligible</x:v>
      </x:c>
      <x:c r="W182" s="15" t="str">
        <x:v>Bu!128</x:v>
      </x:c>
      <x:c r="X182" s="15" t="str"/>
      <x:c r="Y182" s="15" t="str"/>
      <x:c r="Z182" s="15" t="str">
        <x:v>Continous Improvement</x:v>
      </x:c>
      <x:c r="AA182" s="15" t="str">
        <x:v>Carry Over</x:v>
      </x:c>
      <x:c r="AB182" s="15" t="str">
        <x:v>Innovation and Digital IT</x:v>
      </x:c>
      <x:c r="AC182" s="15" t="str"/>
      <x:c r="AD182" s="15" t="str"/>
      <x:c r="AE182" s="15" t="str"/>
      <x:c r="AF182" s="15" t="str"/>
      <x:c r="AG182" s="15" t="str">
        <x:v>Must Do</x:v>
      </x:c>
      <x:c r="AH182" s="15" t="n">
        <x:v>236</x:v>
      </x:c>
    </x:row>
    <x:row r="183">
      <x:c r="A183" s="15" t="str">
        <x:v>Bu-273</x:v>
      </x:c>
      <x:c r="B183" s="15" t="str">
        <x:v>Pricing maintence</x:v>
      </x:c>
      <x:c r="C183" s="15" t="str">
        <x:v>BU Led</x:v>
      </x:c>
      <x:c r="D183" s="15" t="str">
        <x:v>CoE Marketing – HS (former DMEC)</x:v>
      </x:c>
      <x:c r="E183" s="19" t="n">
        <x:v>0.1</x:v>
      </x:c>
      <x:c r="F183" s="19" t="n">
        <x:v>0</x:v>
      </x:c>
      <x:c r="G183" s="22" t="n">
        <x:f>IF(AND(E183&gt;0,ISNUMBER(F183)),F183/E183,"")</x:f>
        <x:v>0</x:v>
      </x:c>
      <x:c r="H183" s="15" t="str">
        <x:v>Hygiene</x:v>
      </x:c>
      <x:c r="I183" s="15" t="n">
        <x:v>126</x:v>
      </x:c>
      <x:c r="J183" s="15" t="n">
        <x:v>0</x:v>
      </x:c>
      <x:c r="K183" s="23" t="n">
        <x:f>IF(G183="",0,IF(G183&lt;1,0,IF(G183&lt;2,20,IF(G183&lt;3,30,IF(G183&lt;5,40,50)))))*'Scenario Controls'!$B$22/50</x:f>
        <x:v>0</x:v>
      </x:c>
      <x:c r="L183" s="23" t="n">
        <x:f>IF(ISNUMBER(SEARCH("Must Do",AG183)),25,IF(ISNUMBER(SEARCH("Must Have",AG183)),18,IF(ISNUMBER(SEARCH("Deprior",AG183)),5,0)))*'Scenario Controls'!$B$23/25</x:f>
        <x:v>25</x:v>
      </x:c>
      <x:c r="M183" s="23" t="n">
        <x:f>J183*'Scenario Controls'!$B$24/15</x:f>
        <x:v>0</x:v>
      </x:c>
      <x:c r="N183" s="23" t="n">
        <x:f>IF(ISNUMBER(SEARCH("HEALTHY",X183)),10,IF(ISNUMBER(SEARCH("CONTAIN",X183)),6,0))*'Scenario Controls'!$B$25/10</x:f>
        <x:v>0</x:v>
      </x:c>
      <x:c r="O183" s="23" t="n">
        <x:f>SUM(K183:N183)</x:f>
        <x:v>25</x:v>
      </x:c>
      <x:c r="P183" s="15" t="str">
        <x:f>IF(OR(B183="",E183&lt;=0),"Evidence missing / not eligible",IF(ISNUMBER(SEARCH("priority TBD",Y183)),"Evidence missing / not eligible",IF(AND(H183="Carryover",NOT(ISNUMBER(F183))),"Evidence missing / not eligible",IF(AND(H183="Carryover",G183&lt;'Scenario Controls'!$B$16),"Evidence missing / not eligible",IF(AND(H183="ROI-Based Portfolio",NOT(ISNUMBER(F183))),"Evidence missing / not eligible",IF(AND(H183="ROI-Based Portfolio",O183&lt;'Scenario Controls'!$B$20),"Evidence missing / not eligible","Eligible"))))))</x:f>
        <x:v>Eligible</x:v>
      </x:c>
      <x:c r="Q183" s="19" t="n">
        <x:f>IF(P183&lt;&gt;"Eligible",0,IF(AND(SUMIFS($Q$5:Q182,$H$5:H182,H183)+E183&lt;=(IF(H183="LFR",'Scenario Controls'!$F$10,IF(H183="Sustain Engineering",'Scenario Controls'!$F$11,IF(H183="Hygiene",'Scenario Controls'!$F$12,1E+99))))*(1+'Scenario Controls'!$B$7),SUM($Q$5:Q182)+E183&lt;='Scenario Controls'!$B$6*(1+'Scenario Controls'!$B$7)),E183,0))</x:f>
        <x:v>0</x:v>
      </x:c>
      <x:c r="R183" s="24" t="str">
        <x:f>'BU Conference'!G73</x:f>
        <x:v>Automatic</x:v>
      </x:c>
      <x:c r="S183" s="24" t="str">
        <x:f>'BU Conference'!H73</x:f>
      </x:c>
      <x:c r="T183" s="19" t="n">
        <x:f>IF(R183="Exclude",0,IF(R183="Include",E183,Q183))</x:f>
        <x:v>0</x:v>
      </x:c>
      <x:c r="U183" s="15" t="str">
        <x:f>IF(T183&gt;0,"Funded",IF(P183="Eligible","Unfunded",P183))</x:f>
        <x:v>Unfunded</x:v>
      </x:c>
      <x:c r="V183" s="15" t="str">
        <x:f>IF(R183="Include","Conference inclusion: "&amp;S183,IF(R183="Exclude","Conference exclusion: "&amp;S183,IF(Q183&gt;0,H183&amp;" priority rank "&amp;I183&amp;"; whole initiative selected",P183)))</x:f>
        <x:v>Eligible</x:v>
      </x:c>
      <x:c r="W183" s="15" t="str">
        <x:v>Bu!581</x:v>
      </x:c>
      <x:c r="X183" s="15" t="str"/>
      <x:c r="Y183" s="15" t="str"/>
      <x:c r="Z183" s="15" t="str">
        <x:v>Continous Improvement</x:v>
      </x:c>
      <x:c r="AA183" s="15" t="str">
        <x:v>New Initiative</x:v>
      </x:c>
      <x:c r="AB183" s="15" t="str">
        <x:v>Innovation and Digital IT</x:v>
      </x:c>
      <x:c r="AC183" s="15" t="str"/>
      <x:c r="AD183" s="15" t="str"/>
      <x:c r="AE183" s="15" t="str"/>
      <x:c r="AF183" s="15" t="str"/>
      <x:c r="AG183" s="15" t="str">
        <x:v>Must Do</x:v>
      </x:c>
      <x:c r="AH183" s="15" t="n">
        <x:v>452</x:v>
      </x:c>
    </x:row>
    <x:row r="184">
      <x:c r="A184" s="15" t="str">
        <x:v>Bu-139</x:v>
      </x:c>
      <x:c r="B184" s="15" t="str">
        <x:v>Small Changes</x:v>
      </x:c>
      <x:c r="C184" s="15" t="str">
        <x:v>BU Led</x:v>
      </x:c>
      <x:c r="D184" s="15" t="str">
        <x:v>Enterprise Informatics (EI)</x:v>
      </x:c>
      <x:c r="E184" s="19" t="n">
        <x:v>0.25</x:v>
      </x:c>
      <x:c r="F184" s="19" t="n">
        <x:v>0</x:v>
      </x:c>
      <x:c r="G184" s="22" t="n">
        <x:f>IF(AND(E184&gt;0,ISNUMBER(F184)),F184/E184,"")</x:f>
        <x:v>0</x:v>
      </x:c>
      <x:c r="H184" s="15" t="str">
        <x:v>Hygiene</x:v>
      </x:c>
      <x:c r="I184" s="15" t="n">
        <x:v>127</x:v>
      </x:c>
      <x:c r="J184" s="15" t="n">
        <x:v>5</x:v>
      </x:c>
      <x:c r="K184" s="23" t="n">
        <x:f>IF(G184="",0,IF(G184&lt;1,0,IF(G184&lt;2,20,IF(G184&lt;3,30,IF(G184&lt;5,40,50)))))*'Scenario Controls'!$B$22/50</x:f>
        <x:v>0</x:v>
      </x:c>
      <x:c r="L184" s="23" t="n">
        <x:f>IF(ISNUMBER(SEARCH("Must Do",AG184)),25,IF(ISNUMBER(SEARCH("Must Have",AG184)),18,IF(ISNUMBER(SEARCH("Deprior",AG184)),5,0)))*'Scenario Controls'!$B$23/25</x:f>
        <x:v>18</x:v>
      </x:c>
      <x:c r="M184" s="23" t="n">
        <x:f>J184*'Scenario Controls'!$B$24/15</x:f>
        <x:v>5</x:v>
      </x:c>
      <x:c r="N184" s="23" t="n">
        <x:f>IF(ISNUMBER(SEARCH("HEALTHY",X184)),10,IF(ISNUMBER(SEARCH("CONTAIN",X184)),6,0))*'Scenario Controls'!$B$25/10</x:f>
        <x:v>0</x:v>
      </x:c>
      <x:c r="O184" s="23" t="n">
        <x:f>SUM(K184:N184)</x:f>
        <x:v>23</x:v>
      </x:c>
      <x:c r="P184" s="15" t="str">
        <x:f>IF(OR(B184="",E184&lt;=0),"Evidence missing / not eligible",IF(ISNUMBER(SEARCH("priority TBD",Y184)),"Evidence missing / not eligible",IF(AND(H184="Carryover",NOT(ISNUMBER(F184))),"Evidence missing / not eligible",IF(AND(H184="Carryover",G184&lt;'Scenario Controls'!$B$16),"Evidence missing / not eligible",IF(AND(H184="ROI-Based Portfolio",NOT(ISNUMBER(F184))),"Evidence missing / not eligible",IF(AND(H184="ROI-Based Portfolio",O184&lt;'Scenario Controls'!$B$20),"Evidence missing / not eligible","Eligible"))))))</x:f>
        <x:v>Eligible</x:v>
      </x:c>
      <x:c r="Q184" s="19" t="n">
        <x:f>IF(P184&lt;&gt;"Eligible",0,IF(AND(SUMIFS($Q$5:Q183,$H$5:H183,H184)+E184&lt;=(IF(H184="LFR",'Scenario Controls'!$F$10,IF(H184="Sustain Engineering",'Scenario Controls'!$F$11,IF(H184="Hygiene",'Scenario Controls'!$F$12,1E+99))))*(1+'Scenario Controls'!$B$7),SUM($Q$5:Q183)+E184&lt;='Scenario Controls'!$B$6*(1+'Scenario Controls'!$B$7)),E184,0))</x:f>
        <x:v>0</x:v>
      </x:c>
      <x:c r="R184" s="24" t="str">
        <x:f>'BU Conference'!G74</x:f>
        <x:v>Automatic</x:v>
      </x:c>
      <x:c r="S184" s="24" t="str">
        <x:f>'BU Conference'!H74</x:f>
      </x:c>
      <x:c r="T184" s="19" t="n">
        <x:f>IF(R184="Exclude",0,IF(R184="Include",E184,Q184))</x:f>
        <x:v>0</x:v>
      </x:c>
      <x:c r="U184" s="15" t="str">
        <x:f>IF(T184&gt;0,"Funded",IF(P184="Eligible","Unfunded",P184))</x:f>
        <x:v>Unfunded</x:v>
      </x:c>
      <x:c r="V184" s="15" t="str">
        <x:f>IF(R184="Include","Conference inclusion: "&amp;S184,IF(R184="Exclude","Conference exclusion: "&amp;S184,IF(Q184&gt;0,H184&amp;" priority rank "&amp;I184&amp;"; whole initiative selected",P184)))</x:f>
        <x:v>Eligible</x:v>
      </x:c>
      <x:c r="W184" s="15" t="str">
        <x:v>Bu!336</x:v>
      </x:c>
      <x:c r="X184" s="15" t="str"/>
      <x:c r="Y184" s="15" t="str"/>
      <x:c r="Z184" s="15" t="str">
        <x:v>Continous Improvement</x:v>
      </x:c>
      <x:c r="AA184" s="15" t="str">
        <x:v>New Initiative</x:v>
      </x:c>
      <x:c r="AB184" s="15" t="str">
        <x:v>Commercial IT</x:v>
      </x:c>
      <x:c r="AC184" s="15" t="str"/>
      <x:c r="AD184" s="15" t="str">
        <x:v>Unforeseen Changes that are required for business continuity</x:v>
      </x:c>
      <x:c r="AE184" s="15" t="str">
        <x:v>Unforeseen Changes that are required for business continuity</x:v>
      </x:c>
      <x:c r="AF184" s="15" t="str">
        <x:v>Unforeseen Changes that are required for business continuity | Unforeseen Changes that are required for business continuity</x:v>
      </x:c>
      <x:c r="AG184" s="15" t="str">
        <x:v>Must Have</x:v>
      </x:c>
      <x:c r="AH184" s="15" t="n">
        <x:v>316</x:v>
      </x:c>
    </x:row>
    <x:row r="185">
      <x:c r="A185" s="15" t="str">
        <x:v>Bu-153</x:v>
      </x:c>
      <x:c r="B185" s="15" t="str">
        <x:v>Product Information Management</x:v>
      </x:c>
      <x:c r="C185" s="15" t="str">
        <x:v>BU Led</x:v>
      </x:c>
      <x:c r="D185" s="15" t="str">
        <x:v>Precision Diagnosis - Magnetic Resonance (MR)</x:v>
      </x:c>
      <x:c r="E185" s="19" t="n">
        <x:v>0.1</x:v>
      </x:c>
      <x:c r="F185" s="19" t="n">
        <x:v>0</x:v>
      </x:c>
      <x:c r="G185" s="22" t="n">
        <x:f>IF(AND(E185&gt;0,ISNUMBER(F185)),F185/E185,"")</x:f>
        <x:v>0</x:v>
      </x:c>
      <x:c r="H185" s="15" t="str">
        <x:v>Hygiene</x:v>
      </x:c>
      <x:c r="I185" s="15" t="n">
        <x:v>128</x:v>
      </x:c>
      <x:c r="J185" s="15" t="n">
        <x:v>5</x:v>
      </x:c>
      <x:c r="K185" s="23" t="n">
        <x:f>IF(G185="",0,IF(G185&lt;1,0,IF(G185&lt;2,20,IF(G185&lt;3,30,IF(G185&lt;5,40,50)))))*'Scenario Controls'!$B$22/50</x:f>
        <x:v>0</x:v>
      </x:c>
      <x:c r="L185" s="23" t="n">
        <x:f>IF(ISNUMBER(SEARCH("Must Do",AG185)),25,IF(ISNUMBER(SEARCH("Must Have",AG185)),18,IF(ISNUMBER(SEARCH("Deprior",AG185)),5,0)))*'Scenario Controls'!$B$23/25</x:f>
        <x:v>18</x:v>
      </x:c>
      <x:c r="M185" s="23" t="n">
        <x:f>J185*'Scenario Controls'!$B$24/15</x:f>
        <x:v>5</x:v>
      </x:c>
      <x:c r="N185" s="23" t="n">
        <x:f>IF(ISNUMBER(SEARCH("HEALTHY",X185)),10,IF(ISNUMBER(SEARCH("CONTAIN",X185)),6,0))*'Scenario Controls'!$B$25/10</x:f>
        <x:v>0</x:v>
      </x:c>
      <x:c r="O185" s="23" t="n">
        <x:f>SUM(K185:N185)</x:f>
        <x:v>23</x:v>
      </x:c>
      <x:c r="P185" s="15" t="str">
        <x:f>IF(OR(B185="",E185&lt;=0),"Evidence missing / not eligible",IF(ISNUMBER(SEARCH("priority TBD",Y185)),"Evidence missing / not eligible",IF(AND(H185="Carryover",NOT(ISNUMBER(F185))),"Evidence missing / not eligible",IF(AND(H185="Carryover",G185&lt;'Scenario Controls'!$B$16),"Evidence missing / not eligible",IF(AND(H185="ROI-Based Portfolio",NOT(ISNUMBER(F185))),"Evidence missing / not eligible",IF(AND(H185="ROI-Based Portfolio",O185&lt;'Scenario Controls'!$B$20),"Evidence missing / not eligible","Eligible"))))))</x:f>
        <x:v>Eligible</x:v>
      </x:c>
      <x:c r="Q185" s="19" t="n">
        <x:f>IF(P185&lt;&gt;"Eligible",0,IF(AND(SUMIFS($Q$5:Q184,$H$5:H184,H185)+E185&lt;=(IF(H185="LFR",'Scenario Controls'!$F$10,IF(H185="Sustain Engineering",'Scenario Controls'!$F$11,IF(H185="Hygiene",'Scenario Controls'!$F$12,1E+99))))*(1+'Scenario Controls'!$B$7),SUM($Q$5:Q184)+E185&lt;='Scenario Controls'!$B$6*(1+'Scenario Controls'!$B$7)),E185,0))</x:f>
        <x:v>0</x:v>
      </x:c>
      <x:c r="R185" s="24" t="str">
        <x:f>'BU Conference'!G75</x:f>
        <x:v>Automatic</x:v>
      </x:c>
      <x:c r="S185" s="24" t="str">
        <x:f>'BU Conference'!H75</x:f>
      </x:c>
      <x:c r="T185" s="19" t="n">
        <x:f>IF(R185="Exclude",0,IF(R185="Include",E185,Q185))</x:f>
        <x:v>0</x:v>
      </x:c>
      <x:c r="U185" s="15" t="str">
        <x:f>IF(T185&gt;0,"Funded",IF(P185="Eligible","Unfunded",P185))</x:f>
        <x:v>Unfunded</x:v>
      </x:c>
      <x:c r="V185" s="15" t="str">
        <x:f>IF(R185="Include","Conference inclusion: "&amp;S185,IF(R185="Exclude","Conference exclusion: "&amp;S185,IF(Q185&gt;0,H185&amp;" priority rank "&amp;I185&amp;"; whole initiative selected",P185)))</x:f>
        <x:v>Eligible</x:v>
      </x:c>
      <x:c r="W185" s="15" t="str">
        <x:v>Bu!359</x:v>
      </x:c>
      <x:c r="X185" s="15" t="str"/>
      <x:c r="Y185" s="15" t="str"/>
      <x:c r="Z185" s="15" t="str">
        <x:v>Upgrades &amp; Enhancements</x:v>
      </x:c>
      <x:c r="AA185" s="15" t="str">
        <x:v>Carry Over</x:v>
      </x:c>
      <x:c r="AB185" s="15" t="str">
        <x:v>Services &amp; Solutions IT</x:v>
      </x:c>
      <x:c r="AC185" s="15" t="str"/>
      <x:c r="AD185" s="15" t="str"/>
      <x:c r="AE185" s="15" t="str">
        <x:v>IT Capabilities needed to integrate LDK / switch to anyother licensing platform for Imaging BUs:</x:v>
      </x:c>
      <x:c r="AF185" s="15" t="str">
        <x:v>IT Capabilities needed to integrate LDK / switch to anyother licensing platform for Imaging BUs:</x:v>
      </x:c>
      <x:c r="AG185" s="15" t="str">
        <x:v>Must Have</x:v>
      </x:c>
      <x:c r="AH185" s="15" t="n">
        <x:v>330</x:v>
      </x:c>
    </x:row>
    <x:row r="186">
      <x:c r="A186" s="15" t="str">
        <x:v>Bu-154</x:v>
      </x:c>
      <x:c r="B186" s="15" t="str">
        <x:v>Sentinel LDK integration into BU SW</x:v>
      </x:c>
      <x:c r="C186" s="15" t="str">
        <x:v>BU Led</x:v>
      </x:c>
      <x:c r="D186" s="15" t="str">
        <x:v>Precision Diagnosis - Magnetic Resonance (MR)</x:v>
      </x:c>
      <x:c r="E186" s="19" t="n">
        <x:v>0.4</x:v>
      </x:c>
      <x:c r="F186" s="19" t="n">
        <x:v>0</x:v>
      </x:c>
      <x:c r="G186" s="22" t="n">
        <x:f>IF(AND(E186&gt;0,ISNUMBER(F186)),F186/E186,"")</x:f>
        <x:v>0</x:v>
      </x:c>
      <x:c r="H186" s="15" t="str">
        <x:v>Hygiene</x:v>
      </x:c>
      <x:c r="I186" s="15" t="n">
        <x:v>129</x:v>
      </x:c>
      <x:c r="J186" s="15" t="n">
        <x:v>5</x:v>
      </x:c>
      <x:c r="K186" s="23" t="n">
        <x:f>IF(G186="",0,IF(G186&lt;1,0,IF(G186&lt;2,20,IF(G186&lt;3,30,IF(G186&lt;5,40,50)))))*'Scenario Controls'!$B$22/50</x:f>
        <x:v>0</x:v>
      </x:c>
      <x:c r="L186" s="23" t="n">
        <x:f>IF(ISNUMBER(SEARCH("Must Do",AG186)),25,IF(ISNUMBER(SEARCH("Must Have",AG186)),18,IF(ISNUMBER(SEARCH("Deprior",AG186)),5,0)))*'Scenario Controls'!$B$23/25</x:f>
        <x:v>18</x:v>
      </x:c>
      <x:c r="M186" s="23" t="n">
        <x:f>J186*'Scenario Controls'!$B$24/15</x:f>
        <x:v>5</x:v>
      </x:c>
      <x:c r="N186" s="23" t="n">
        <x:f>IF(ISNUMBER(SEARCH("HEALTHY",X186)),10,IF(ISNUMBER(SEARCH("CONTAIN",X186)),6,0))*'Scenario Controls'!$B$25/10</x:f>
        <x:v>0</x:v>
      </x:c>
      <x:c r="O186" s="23" t="n">
        <x:f>SUM(K186:N186)</x:f>
        <x:v>23</x:v>
      </x:c>
      <x:c r="P186" s="15" t="str">
        <x:f>IF(OR(B186="",E186&lt;=0),"Evidence missing / not eligible",IF(ISNUMBER(SEARCH("priority TBD",Y186)),"Evidence missing / not eligible",IF(AND(H186="Carryover",NOT(ISNUMBER(F186))),"Evidence missing / not eligible",IF(AND(H186="Carryover",G186&lt;'Scenario Controls'!$B$16),"Evidence missing / not eligible",IF(AND(H186="ROI-Based Portfolio",NOT(ISNUMBER(F186))),"Evidence missing / not eligible",IF(AND(H186="ROI-Based Portfolio",O186&lt;'Scenario Controls'!$B$20),"Evidence missing / not eligible","Eligible"))))))</x:f>
        <x:v>Eligible</x:v>
      </x:c>
      <x:c r="Q186" s="19" t="n">
        <x:f>IF(P186&lt;&gt;"Eligible",0,IF(AND(SUMIFS($Q$5:Q185,$H$5:H185,H186)+E186&lt;=(IF(H186="LFR",'Scenario Controls'!$F$10,IF(H186="Sustain Engineering",'Scenario Controls'!$F$11,IF(H186="Hygiene",'Scenario Controls'!$F$12,1E+99))))*(1+'Scenario Controls'!$B$7),SUM($Q$5:Q185)+E186&lt;='Scenario Controls'!$B$6*(1+'Scenario Controls'!$B$7)),E186,0))</x:f>
        <x:v>0</x:v>
      </x:c>
      <x:c r="R186" s="24" t="str">
        <x:f>'BU Conference'!G76</x:f>
        <x:v>Automatic</x:v>
      </x:c>
      <x:c r="S186" s="24" t="str">
        <x:f>'BU Conference'!H76</x:f>
      </x:c>
      <x:c r="T186" s="19" t="n">
        <x:f>IF(R186="Exclude",0,IF(R186="Include",E186,Q186))</x:f>
        <x:v>0</x:v>
      </x:c>
      <x:c r="U186" s="15" t="str">
        <x:f>IF(T186&gt;0,"Funded",IF(P186="Eligible","Unfunded",P186))</x:f>
        <x:v>Unfunded</x:v>
      </x:c>
      <x:c r="V186" s="15" t="str">
        <x:f>IF(R186="Include","Conference inclusion: "&amp;S186,IF(R186="Exclude","Conference exclusion: "&amp;S186,IF(Q186&gt;0,H186&amp;" priority rank "&amp;I186&amp;"; whole initiative selected",P186)))</x:f>
        <x:v>Eligible</x:v>
      </x:c>
      <x:c r="W186" s="15" t="str">
        <x:v>Bu!366</x:v>
      </x:c>
      <x:c r="X186" s="15" t="str"/>
      <x:c r="Y186" s="15" t="str"/>
      <x:c r="Z186" s="15" t="str">
        <x:v>Upgrades &amp; Enhancements</x:v>
      </x:c>
      <x:c r="AA186" s="15" t="str">
        <x:v>Carry Over</x:v>
      </x:c>
      <x:c r="AB186" s="15" t="str">
        <x:v>Services &amp; Solutions IT</x:v>
      </x:c>
      <x:c r="AC186" s="15" t="str"/>
      <x:c r="AD186" s="15" t="str"/>
      <x:c r="AE186" s="15" t="str">
        <x:v>•MR Key Release Enhancements Adhoc recurring changes to Release key App and BI reporting Euro 10 K</x:v>
      </x:c>
      <x:c r="AF186" s="15" t="str">
        <x:v>•MR Key Release Enhancements Adhoc recurring changes to Release key App and BI reporting Euro 10 K</x:v>
      </x:c>
      <x:c r="AG186" s="15" t="str">
        <x:v>Must Have</x:v>
      </x:c>
      <x:c r="AH186" s="15" t="n">
        <x:v>331</x:v>
      </x:c>
    </x:row>
    <x:row r="187">
      <x:c r="A187" s="15" t="str">
        <x:v>Bu-155</x:v>
      </x:c>
      <x:c r="B187" s="15" t="str">
        <x:v>BU Existing Project CR's (ALM - Workpath, Viva goals)</x:v>
      </x:c>
      <x:c r="C187" s="15" t="str">
        <x:v>BU Led</x:v>
      </x:c>
      <x:c r="D187" s="15" t="str">
        <x:v>Precision Diagnosis - Magnetic Resonance (MR)</x:v>
      </x:c>
      <x:c r="E187" s="19" t="n">
        <x:v>0.335</x:v>
      </x:c>
      <x:c r="F187" s="19" t="n">
        <x:v>0</x:v>
      </x:c>
      <x:c r="G187" s="22" t="n">
        <x:f>IF(AND(E187&gt;0,ISNUMBER(F187)),F187/E187,"")</x:f>
        <x:v>0</x:v>
      </x:c>
      <x:c r="H187" s="15" t="str">
        <x:v>Hygiene</x:v>
      </x:c>
      <x:c r="I187" s="15" t="n">
        <x:v>130</x:v>
      </x:c>
      <x:c r="J187" s="15" t="n">
        <x:v>5</x:v>
      </x:c>
      <x:c r="K187" s="23" t="n">
        <x:f>IF(G187="",0,IF(G187&lt;1,0,IF(G187&lt;2,20,IF(G187&lt;3,30,IF(G187&lt;5,40,50)))))*'Scenario Controls'!$B$22/50</x:f>
        <x:v>0</x:v>
      </x:c>
      <x:c r="L187" s="23" t="n">
        <x:f>IF(ISNUMBER(SEARCH("Must Do",AG187)),25,IF(ISNUMBER(SEARCH("Must Have",AG187)),18,IF(ISNUMBER(SEARCH("Deprior",AG187)),5,0)))*'Scenario Controls'!$B$23/25</x:f>
        <x:v>18</x:v>
      </x:c>
      <x:c r="M187" s="23" t="n">
        <x:f>J187*'Scenario Controls'!$B$24/15</x:f>
        <x:v>5</x:v>
      </x:c>
      <x:c r="N187" s="23" t="n">
        <x:f>IF(ISNUMBER(SEARCH("HEALTHY",X187)),10,IF(ISNUMBER(SEARCH("CONTAIN",X187)),6,0))*'Scenario Controls'!$B$25/10</x:f>
        <x:v>0</x:v>
      </x:c>
      <x:c r="O187" s="23" t="n">
        <x:f>SUM(K187:N187)</x:f>
        <x:v>23</x:v>
      </x:c>
      <x:c r="P187" s="15" t="str">
        <x:f>IF(OR(B187="",E187&lt;=0),"Evidence missing / not eligible",IF(ISNUMBER(SEARCH("priority TBD",Y187)),"Evidence missing / not eligible",IF(AND(H187="Carryover",NOT(ISNUMBER(F187))),"Evidence missing / not eligible",IF(AND(H187="Carryover",G187&lt;'Scenario Controls'!$B$16),"Evidence missing / not eligible",IF(AND(H187="ROI-Based Portfolio",NOT(ISNUMBER(F187))),"Evidence missing / not eligible",IF(AND(H187="ROI-Based Portfolio",O187&lt;'Scenario Controls'!$B$20),"Evidence missing / not eligible","Eligible"))))))</x:f>
        <x:v>Eligible</x:v>
      </x:c>
      <x:c r="Q187" s="19" t="n">
        <x:f>IF(P187&lt;&gt;"Eligible",0,IF(AND(SUMIFS($Q$5:Q186,$H$5:H186,H187)+E187&lt;=(IF(H187="LFR",'Scenario Controls'!$F$10,IF(H187="Sustain Engineering",'Scenario Controls'!$F$11,IF(H187="Hygiene",'Scenario Controls'!$F$12,1E+99))))*(1+'Scenario Controls'!$B$7),SUM($Q$5:Q186)+E187&lt;='Scenario Controls'!$B$6*(1+'Scenario Controls'!$B$7)),E187,0))</x:f>
        <x:v>0</x:v>
      </x:c>
      <x:c r="R187" s="24" t="str">
        <x:f>'BU Conference'!G77</x:f>
        <x:v>Automatic</x:v>
      </x:c>
      <x:c r="S187" s="24" t="str">
        <x:f>'BU Conference'!H77</x:f>
      </x:c>
      <x:c r="T187" s="19" t="n">
        <x:f>IF(R187="Exclude",0,IF(R187="Include",E187,Q187))</x:f>
        <x:v>0</x:v>
      </x:c>
      <x:c r="U187" s="15" t="str">
        <x:f>IF(T187&gt;0,"Funded",IF(P187="Eligible","Unfunded",P187))</x:f>
        <x:v>Unfunded</x:v>
      </x:c>
      <x:c r="V187" s="15" t="str">
        <x:f>IF(R187="Include","Conference inclusion: "&amp;S187,IF(R187="Exclude","Conference exclusion: "&amp;S187,IF(Q187&gt;0,H187&amp;" priority rank "&amp;I187&amp;"; whole initiative selected",P187)))</x:f>
        <x:v>Eligible</x:v>
      </x:c>
      <x:c r="W187" s="15" t="str">
        <x:v>Bu!372</x:v>
      </x:c>
      <x:c r="X187" s="15" t="str"/>
      <x:c r="Y187" s="15" t="str"/>
      <x:c r="Z187" s="15" t="str">
        <x:v>Continous Improvement</x:v>
      </x:c>
      <x:c r="AA187" s="15" t="str">
        <x:v>Carry Over</x:v>
      </x:c>
      <x:c r="AB187" s="15" t="str">
        <x:v>Services &amp; Solutions IT</x:v>
      </x:c>
      <x:c r="AC187" s="15" t="str"/>
      <x:c r="AD187" s="15" t="str"/>
      <x:c r="AE187" s="15" t="str">
        <x:v>POCs for AI model line alternate / road-map for AI model line - SI 25K</x:v>
      </x:c>
      <x:c r="AF187" s="15" t="str">
        <x:v>POCs for AI model line alternate / road-map for AI model line - SI 25K</x:v>
      </x:c>
      <x:c r="AG187" s="15" t="str">
        <x:v>Must Have</x:v>
      </x:c>
      <x:c r="AH187" s="15" t="n">
        <x:v>332</x:v>
      </x:c>
    </x:row>
    <x:row r="188">
      <x:c r="A188" s="15" t="str">
        <x:v>Bu-156</x:v>
      </x:c>
      <x:c r="B188" s="15" t="str">
        <x:v>Agentic AI solutions for service (POCs)</x:v>
      </x:c>
      <x:c r="C188" s="15" t="str">
        <x:v>BU Led</x:v>
      </x:c>
      <x:c r="D188" s="15" t="str">
        <x:v>Precision Diagnosis - Magnetic Resonance (MR)</x:v>
      </x:c>
      <x:c r="E188" s="19" t="n">
        <x:v>0.2</x:v>
      </x:c>
      <x:c r="F188" s="19" t="n">
        <x:v>0</x:v>
      </x:c>
      <x:c r="G188" s="22" t="n">
        <x:f>IF(AND(E188&gt;0,ISNUMBER(F188)),F188/E188,"")</x:f>
        <x:v>0</x:v>
      </x:c>
      <x:c r="H188" s="15" t="str">
        <x:v>Hygiene</x:v>
      </x:c>
      <x:c r="I188" s="15" t="n">
        <x:v>131</x:v>
      </x:c>
      <x:c r="J188" s="15" t="n">
        <x:v>5</x:v>
      </x:c>
      <x:c r="K188" s="23" t="n">
        <x:f>IF(G188="",0,IF(G188&lt;1,0,IF(G188&lt;2,20,IF(G188&lt;3,30,IF(G188&lt;5,40,50)))))*'Scenario Controls'!$B$22/50</x:f>
        <x:v>0</x:v>
      </x:c>
      <x:c r="L188" s="23" t="n">
        <x:f>IF(ISNUMBER(SEARCH("Must Do",AG188)),25,IF(ISNUMBER(SEARCH("Must Have",AG188)),18,IF(ISNUMBER(SEARCH("Deprior",AG188)),5,0)))*'Scenario Controls'!$B$23/25</x:f>
        <x:v>18</x:v>
      </x:c>
      <x:c r="M188" s="23" t="n">
        <x:f>J188*'Scenario Controls'!$B$24/15</x:f>
        <x:v>5</x:v>
      </x:c>
      <x:c r="N188" s="23" t="n">
        <x:f>IF(ISNUMBER(SEARCH("HEALTHY",X188)),10,IF(ISNUMBER(SEARCH("CONTAIN",X188)),6,0))*'Scenario Controls'!$B$25/10</x:f>
        <x:v>0</x:v>
      </x:c>
      <x:c r="O188" s="23" t="n">
        <x:f>SUM(K188:N188)</x:f>
        <x:v>23</x:v>
      </x:c>
      <x:c r="P188" s="15" t="str">
        <x:f>IF(OR(B188="",E188&lt;=0),"Evidence missing / not eligible",IF(ISNUMBER(SEARCH("priority TBD",Y188)),"Evidence missing / not eligible",IF(AND(H188="Carryover",NOT(ISNUMBER(F188))),"Evidence missing / not eligible",IF(AND(H188="Carryover",G188&lt;'Scenario Controls'!$B$16),"Evidence missing / not eligible",IF(AND(H188="ROI-Based Portfolio",NOT(ISNUMBER(F188))),"Evidence missing / not eligible",IF(AND(H188="ROI-Based Portfolio",O188&lt;'Scenario Controls'!$B$20),"Evidence missing / not eligible","Eligible"))))))</x:f>
        <x:v>Eligible</x:v>
      </x:c>
      <x:c r="Q188" s="19" t="n">
        <x:f>IF(P188&lt;&gt;"Eligible",0,IF(AND(SUMIFS($Q$5:Q187,$H$5:H187,H188)+E188&lt;=(IF(H188="LFR",'Scenario Controls'!$F$10,IF(H188="Sustain Engineering",'Scenario Controls'!$F$11,IF(H188="Hygiene",'Scenario Controls'!$F$12,1E+99))))*(1+'Scenario Controls'!$B$7),SUM($Q$5:Q187)+E188&lt;='Scenario Controls'!$B$6*(1+'Scenario Controls'!$B$7)),E188,0))</x:f>
        <x:v>0</x:v>
      </x:c>
      <x:c r="R188" s="24" t="str">
        <x:f>'BU Conference'!G78</x:f>
        <x:v>Automatic</x:v>
      </x:c>
      <x:c r="S188" s="24" t="str">
        <x:f>'BU Conference'!H78</x:f>
      </x:c>
      <x:c r="T188" s="19" t="n">
        <x:f>IF(R188="Exclude",0,IF(R188="Include",E188,Q188))</x:f>
        <x:v>0</x:v>
      </x:c>
      <x:c r="U188" s="15" t="str">
        <x:f>IF(T188&gt;0,"Funded",IF(P188="Eligible","Unfunded",P188))</x:f>
        <x:v>Unfunded</x:v>
      </x:c>
      <x:c r="V188" s="15" t="str">
        <x:f>IF(R188="Include","Conference inclusion: "&amp;S188,IF(R188="Exclude","Conference exclusion: "&amp;S188,IF(Q188&gt;0,H188&amp;" priority rank "&amp;I188&amp;"; whole initiative selected",P188)))</x:f>
        <x:v>Eligible</x:v>
      </x:c>
      <x:c r="W188" s="15" t="str">
        <x:v>Bu!373</x:v>
      </x:c>
      <x:c r="X188" s="15" t="str"/>
      <x:c r="Y188" s="15" t="str"/>
      <x:c r="Z188" s="15" t="str">
        <x:v>Continous Improvement</x:v>
      </x:c>
      <x:c r="AA188" s="15" t="str">
        <x:v>Carry Over</x:v>
      </x:c>
      <x:c r="AB188" s="15" t="str">
        <x:v>Innovation and Digital IT</x:v>
      </x:c>
      <x:c r="AC188" s="15" t="str"/>
      <x:c r="AD188" s="15" t="str"/>
      <x:c r="AE188" s="15" t="str">
        <x:v>Reservation for MR specific ORION/Ensight change requests</x:v>
      </x:c>
      <x:c r="AF188" s="15" t="str">
        <x:v>Reservation for MR specific ORION/Ensight change requests</x:v>
      </x:c>
      <x:c r="AG188" s="15" t="str">
        <x:v>Must Have</x:v>
      </x:c>
      <x:c r="AH188" s="15" t="n">
        <x:v>333</x:v>
      </x:c>
    </x:row>
    <x:row r="189">
      <x:c r="A189" s="15" t="str">
        <x:v>Bu-157</x:v>
      </x:c>
      <x:c r="B189" s="15" t="str">
        <x:v>I2M Clinical Science Contracting (ORION/Ensight) CR's</x:v>
      </x:c>
      <x:c r="C189" s="15" t="str">
        <x:v>BU Led</x:v>
      </x:c>
      <x:c r="D189" s="15" t="str">
        <x:v>Precision Diagnosis - Magnetic Resonance (MR)</x:v>
      </x:c>
      <x:c r="E189" s="19" t="n">
        <x:v>0.075</x:v>
      </x:c>
      <x:c r="F189" s="19" t="n">
        <x:v>0</x:v>
      </x:c>
      <x:c r="G189" s="22" t="n">
        <x:f>IF(AND(E189&gt;0,ISNUMBER(F189)),F189/E189,"")</x:f>
        <x:v>0</x:v>
      </x:c>
      <x:c r="H189" s="15" t="str">
        <x:v>Hygiene</x:v>
      </x:c>
      <x:c r="I189" s="15" t="n">
        <x:v>132</x:v>
      </x:c>
      <x:c r="J189" s="15" t="n">
        <x:v>5</x:v>
      </x:c>
      <x:c r="K189" s="23" t="n">
        <x:f>IF(G189="",0,IF(G189&lt;1,0,IF(G189&lt;2,20,IF(G189&lt;3,30,IF(G189&lt;5,40,50)))))*'Scenario Controls'!$B$22/50</x:f>
        <x:v>0</x:v>
      </x:c>
      <x:c r="L189" s="23" t="n">
        <x:f>IF(ISNUMBER(SEARCH("Must Do",AG189)),25,IF(ISNUMBER(SEARCH("Must Have",AG189)),18,IF(ISNUMBER(SEARCH("Deprior",AG189)),5,0)))*'Scenario Controls'!$B$23/25</x:f>
        <x:v>18</x:v>
      </x:c>
      <x:c r="M189" s="23" t="n">
        <x:f>J189*'Scenario Controls'!$B$24/15</x:f>
        <x:v>5</x:v>
      </x:c>
      <x:c r="N189" s="23" t="n">
        <x:f>IF(ISNUMBER(SEARCH("HEALTHY",X189)),10,IF(ISNUMBER(SEARCH("CONTAIN",X189)),6,0))*'Scenario Controls'!$B$25/10</x:f>
        <x:v>0</x:v>
      </x:c>
      <x:c r="O189" s="23" t="n">
        <x:f>SUM(K189:N189)</x:f>
        <x:v>23</x:v>
      </x:c>
      <x:c r="P189" s="15" t="str">
        <x:f>IF(OR(B189="",E189&lt;=0),"Evidence missing / not eligible",IF(ISNUMBER(SEARCH("priority TBD",Y189)),"Evidence missing / not eligible",IF(AND(H189="Carryover",NOT(ISNUMBER(F189))),"Evidence missing / not eligible",IF(AND(H189="Carryover",G189&lt;'Scenario Controls'!$B$16),"Evidence missing / not eligible",IF(AND(H189="ROI-Based Portfolio",NOT(ISNUMBER(F189))),"Evidence missing / not eligible",IF(AND(H189="ROI-Based Portfolio",O189&lt;'Scenario Controls'!$B$20),"Evidence missing / not eligible","Eligible"))))))</x:f>
        <x:v>Eligible</x:v>
      </x:c>
      <x:c r="Q189" s="19" t="n">
        <x:f>IF(P189&lt;&gt;"Eligible",0,IF(AND(SUMIFS($Q$5:Q188,$H$5:H188,H189)+E189&lt;=(IF(H189="LFR",'Scenario Controls'!$F$10,IF(H189="Sustain Engineering",'Scenario Controls'!$F$11,IF(H189="Hygiene",'Scenario Controls'!$F$12,1E+99))))*(1+'Scenario Controls'!$B$7),SUM($Q$5:Q188)+E189&lt;='Scenario Controls'!$B$6*(1+'Scenario Controls'!$B$7)),E189,0))</x:f>
        <x:v>0</x:v>
      </x:c>
      <x:c r="R189" s="24" t="str">
        <x:f>'BU Conference'!G79</x:f>
        <x:v>Automatic</x:v>
      </x:c>
      <x:c r="S189" s="24" t="str">
        <x:f>'BU Conference'!H79</x:f>
      </x:c>
      <x:c r="T189" s="19" t="n">
        <x:f>IF(R189="Exclude",0,IF(R189="Include",E189,Q189))</x:f>
        <x:v>0</x:v>
      </x:c>
      <x:c r="U189" s="15" t="str">
        <x:f>IF(T189&gt;0,"Funded",IF(P189="Eligible","Unfunded",P189))</x:f>
        <x:v>Unfunded</x:v>
      </x:c>
      <x:c r="V189" s="15" t="str">
        <x:f>IF(R189="Include","Conference inclusion: "&amp;S189,IF(R189="Exclude","Conference exclusion: "&amp;S189,IF(Q189&gt;0,H189&amp;" priority rank "&amp;I189&amp;"; whole initiative selected",P189)))</x:f>
        <x:v>Eligible</x:v>
      </x:c>
      <x:c r="W189" s="15" t="str">
        <x:v>Bu!375</x:v>
      </x:c>
      <x:c r="X189" s="15" t="str"/>
      <x:c r="Y189" s="15" t="str"/>
      <x:c r="Z189" s="15" t="str">
        <x:v>Upgrades &amp; Enhancements</x:v>
      </x:c>
      <x:c r="AA189" s="15" t="str">
        <x:v>Carry Over</x:v>
      </x:c>
      <x:c r="AB189" s="15" t="str">
        <x:v>Innovation and Digital IT</x:v>
      </x:c>
      <x:c r="AC189" s="15" t="str"/>
      <x:c r="AD189" s="15" t="str"/>
      <x:c r="AE189" s="15" t="str">
        <x:v>Phase 1B Scope:</x:v>
      </x:c>
      <x:c r="AF189" s="15" t="str">
        <x:v>Phase 1B Scope:</x:v>
      </x:c>
      <x:c r="AG189" s="15" t="str">
        <x:v>Must Have</x:v>
      </x:c>
      <x:c r="AH189" s="15" t="n">
        <x:v>334</x:v>
      </x:c>
    </x:row>
    <x:row r="190">
      <x:c r="A190" s="15" t="str">
        <x:v>Bu-158</x:v>
      </x:c>
      <x:c r="B190" s="15" t="str">
        <x:v>Sentinel LEM deployment for CT/AMI (OKM – Order Key Manager) - STO 400K</x:v>
      </x:c>
      <x:c r="C190" s="15" t="str">
        <x:v>BU Led</x:v>
      </x:c>
      <x:c r="D190" s="15" t="str">
        <x:v>Precision Diagnosis - Computed Tomography (CT)</x:v>
      </x:c>
      <x:c r="E190" s="19" t="n">
        <x:v>0.25</x:v>
      </x:c>
      <x:c r="F190" s="19" t="n">
        <x:v>0</x:v>
      </x:c>
      <x:c r="G190" s="22" t="n">
        <x:f>IF(AND(E190&gt;0,ISNUMBER(F190)),F190/E190,"")</x:f>
        <x:v>0</x:v>
      </x:c>
      <x:c r="H190" s="15" t="str">
        <x:v>Hygiene</x:v>
      </x:c>
      <x:c r="I190" s="15" t="n">
        <x:v>133</x:v>
      </x:c>
      <x:c r="J190" s="15" t="n">
        <x:v>5</x:v>
      </x:c>
      <x:c r="K190" s="23" t="n">
        <x:f>IF(G190="",0,IF(G190&lt;1,0,IF(G190&lt;2,20,IF(G190&lt;3,30,IF(G190&lt;5,40,50)))))*'Scenario Controls'!$B$22/50</x:f>
        <x:v>0</x:v>
      </x:c>
      <x:c r="L190" s="23" t="n">
        <x:f>IF(ISNUMBER(SEARCH("Must Do",AG190)),25,IF(ISNUMBER(SEARCH("Must Have",AG190)),18,IF(ISNUMBER(SEARCH("Deprior",AG190)),5,0)))*'Scenario Controls'!$B$23/25</x:f>
        <x:v>18</x:v>
      </x:c>
      <x:c r="M190" s="23" t="n">
        <x:f>J190*'Scenario Controls'!$B$24/15</x:f>
        <x:v>5</x:v>
      </x:c>
      <x:c r="N190" s="23" t="n">
        <x:f>IF(ISNUMBER(SEARCH("HEALTHY",X190)),10,IF(ISNUMBER(SEARCH("CONTAIN",X190)),6,0))*'Scenario Controls'!$B$25/10</x:f>
        <x:v>0</x:v>
      </x:c>
      <x:c r="O190" s="23" t="n">
        <x:f>SUM(K190:N190)</x:f>
        <x:v>23</x:v>
      </x:c>
      <x:c r="P190" s="15" t="str">
        <x:f>IF(OR(B190="",E190&lt;=0),"Evidence missing / not eligible",IF(ISNUMBER(SEARCH("priority TBD",Y190)),"Evidence missing / not eligible",IF(AND(H190="Carryover",NOT(ISNUMBER(F190))),"Evidence missing / not eligible",IF(AND(H190="Carryover",G190&lt;'Scenario Controls'!$B$16),"Evidence missing / not eligible",IF(AND(H190="ROI-Based Portfolio",NOT(ISNUMBER(F190))),"Evidence missing / not eligible",IF(AND(H190="ROI-Based Portfolio",O190&lt;'Scenario Controls'!$B$20),"Evidence missing / not eligible","Eligible"))))))</x:f>
        <x:v>Eligible</x:v>
      </x:c>
      <x:c r="Q190" s="19" t="n">
        <x:f>IF(P190&lt;&gt;"Eligible",0,IF(AND(SUMIFS($Q$5:Q189,$H$5:H189,H190)+E190&lt;=(IF(H190="LFR",'Scenario Controls'!$F$10,IF(H190="Sustain Engineering",'Scenario Controls'!$F$11,IF(H190="Hygiene",'Scenario Controls'!$F$12,1E+99))))*(1+'Scenario Controls'!$B$7),SUM($Q$5:Q189)+E190&lt;='Scenario Controls'!$B$6*(1+'Scenario Controls'!$B$7)),E190,0))</x:f>
        <x:v>0</x:v>
      </x:c>
      <x:c r="R190" s="24" t="str">
        <x:f>'BU Conference'!G80</x:f>
        <x:v>Automatic</x:v>
      </x:c>
      <x:c r="S190" s="24" t="str">
        <x:f>'BU Conference'!H80</x:f>
      </x:c>
      <x:c r="T190" s="19" t="n">
        <x:f>IF(R190="Exclude",0,IF(R190="Include",E190,Q190))</x:f>
        <x:v>0</x:v>
      </x:c>
      <x:c r="U190" s="15" t="str">
        <x:f>IF(T190&gt;0,"Funded",IF(P190="Eligible","Unfunded",P190))</x:f>
        <x:v>Unfunded</x:v>
      </x:c>
      <x:c r="V190" s="15" t="str">
        <x:f>IF(R190="Include","Conference inclusion: "&amp;S190,IF(R190="Exclude","Conference exclusion: "&amp;S190,IF(Q190&gt;0,H190&amp;" priority rank "&amp;I190&amp;"; whole initiative selected",P190)))</x:f>
        <x:v>Eligible</x:v>
      </x:c>
      <x:c r="W190" s="15" t="str">
        <x:v>Bu!379</x:v>
      </x:c>
      <x:c r="X190" s="15" t="str"/>
      <x:c r="Y190" s="15" t="str"/>
      <x:c r="Z190" s="15" t="str">
        <x:v>Upgrades &amp; Enhancements</x:v>
      </x:c>
      <x:c r="AA190" s="15" t="str">
        <x:v>Carry Over</x:v>
      </x:c>
      <x:c r="AB190" s="15" t="str">
        <x:v>Services &amp; Solutions IT</x:v>
      </x:c>
      <x:c r="AC190" s="15" t="str"/>
      <x:c r="AD190" s="15" t="str"/>
      <x:c r="AE190" s="15" t="str">
        <x:v>Reservation for BU specific change requests for Windchill PLM - 100 CCB</x:v>
      </x:c>
      <x:c r="AF190" s="15" t="str">
        <x:v>Reservation for BU specific change requests for Windchill PLM - 100 CCB</x:v>
      </x:c>
      <x:c r="AG190" s="15" t="str">
        <x:v>Must Have</x:v>
      </x:c>
      <x:c r="AH190" s="15" t="n">
        <x:v>335</x:v>
      </x:c>
    </x:row>
    <x:row r="191">
      <x:c r="A191" s="15" t="str">
        <x:v>Bu-160</x:v>
      </x:c>
      <x:c r="B191" s="15" t="str">
        <x:v>MR Mobile Apps CR's (MR - Imaging app v2) SI</x:v>
      </x:c>
      <x:c r="C191" s="15" t="str">
        <x:v>BU Led</x:v>
      </x:c>
      <x:c r="D191" s="15" t="str">
        <x:v>Precision Diagnosis - Magnetic Resonance (MR)</x:v>
      </x:c>
      <x:c r="E191" s="19" t="n">
        <x:v>0.35</x:v>
      </x:c>
      <x:c r="F191" s="19" t="n">
        <x:v>0</x:v>
      </x:c>
      <x:c r="G191" s="22" t="n">
        <x:f>IF(AND(E191&gt;0,ISNUMBER(F191)),F191/E191,"")</x:f>
        <x:v>0</x:v>
      </x:c>
      <x:c r="H191" s="15" t="str">
        <x:v>Hygiene</x:v>
      </x:c>
      <x:c r="I191" s="15" t="n">
        <x:v>134</x:v>
      </x:c>
      <x:c r="J191" s="15" t="n">
        <x:v>5</x:v>
      </x:c>
      <x:c r="K191" s="23" t="n">
        <x:f>IF(G191="",0,IF(G191&lt;1,0,IF(G191&lt;2,20,IF(G191&lt;3,30,IF(G191&lt;5,40,50)))))*'Scenario Controls'!$B$22/50</x:f>
        <x:v>0</x:v>
      </x:c>
      <x:c r="L191" s="23" t="n">
        <x:f>IF(ISNUMBER(SEARCH("Must Do",AG191)),25,IF(ISNUMBER(SEARCH("Must Have",AG191)),18,IF(ISNUMBER(SEARCH("Deprior",AG191)),5,0)))*'Scenario Controls'!$B$23/25</x:f>
        <x:v>18</x:v>
      </x:c>
      <x:c r="M191" s="23" t="n">
        <x:f>J191*'Scenario Controls'!$B$24/15</x:f>
        <x:v>5</x:v>
      </x:c>
      <x:c r="N191" s="23" t="n">
        <x:f>IF(ISNUMBER(SEARCH("HEALTHY",X191)),10,IF(ISNUMBER(SEARCH("CONTAIN",X191)),6,0))*'Scenario Controls'!$B$25/10</x:f>
        <x:v>0</x:v>
      </x:c>
      <x:c r="O191" s="23" t="n">
        <x:f>SUM(K191:N191)</x:f>
        <x:v>23</x:v>
      </x:c>
      <x:c r="P191" s="15" t="str">
        <x:f>IF(OR(B191="",E191&lt;=0),"Evidence missing / not eligible",IF(ISNUMBER(SEARCH("priority TBD",Y191)),"Evidence missing / not eligible",IF(AND(H191="Carryover",NOT(ISNUMBER(F191))),"Evidence missing / not eligible",IF(AND(H191="Carryover",G191&lt;'Scenario Controls'!$B$16),"Evidence missing / not eligible",IF(AND(H191="ROI-Based Portfolio",NOT(ISNUMBER(F191))),"Evidence missing / not eligible",IF(AND(H191="ROI-Based Portfolio",O191&lt;'Scenario Controls'!$B$20),"Evidence missing / not eligible","Eligible"))))))</x:f>
        <x:v>Eligible</x:v>
      </x:c>
      <x:c r="Q191" s="19" t="n">
        <x:f>IF(P191&lt;&gt;"Eligible",0,IF(AND(SUMIFS($Q$5:Q190,$H$5:H190,H191)+E191&lt;=(IF(H191="LFR",'Scenario Controls'!$F$10,IF(H191="Sustain Engineering",'Scenario Controls'!$F$11,IF(H191="Hygiene",'Scenario Controls'!$F$12,1E+99))))*(1+'Scenario Controls'!$B$7),SUM($Q$5:Q190)+E191&lt;='Scenario Controls'!$B$6*(1+'Scenario Controls'!$B$7)),E191,0))</x:f>
        <x:v>0</x:v>
      </x:c>
      <x:c r="R191" s="24" t="str">
        <x:f>'BU Conference'!G81</x:f>
        <x:v>Automatic</x:v>
      </x:c>
      <x:c r="S191" s="24" t="str">
        <x:f>'BU Conference'!H81</x:f>
      </x:c>
      <x:c r="T191" s="19" t="n">
        <x:f>IF(R191="Exclude",0,IF(R191="Include",E191,Q191))</x:f>
        <x:v>0</x:v>
      </x:c>
      <x:c r="U191" s="15" t="str">
        <x:f>IF(T191&gt;0,"Funded",IF(P191="Eligible","Unfunded",P191))</x:f>
        <x:v>Unfunded</x:v>
      </x:c>
      <x:c r="V191" s="15" t="str">
        <x:f>IF(R191="Include","Conference inclusion: "&amp;S191,IF(R191="Exclude","Conference exclusion: "&amp;S191,IF(Q191&gt;0,H191&amp;" priority rank "&amp;I191&amp;"; whole initiative selected",P191)))</x:f>
        <x:v>Eligible</x:v>
      </x:c>
      <x:c r="W191" s="15" t="str">
        <x:v>Bu!381</x:v>
      </x:c>
      <x:c r="X191" s="15" t="str"/>
      <x:c r="Y191" s="15" t="str"/>
      <x:c r="Z191" s="15" t="str">
        <x:v>Continuous Improvement</x:v>
      </x:c>
      <x:c r="AA191" s="15" t="str">
        <x:v>Carry Over</x:v>
      </x:c>
      <x:c r="AB191" s="15" t="str">
        <x:v>Innovation and Digital IT</x:v>
      </x:c>
      <x:c r="AC191" s="15" t="str"/>
      <x:c r="AD191" s="15" t="str"/>
      <x:c r="AE191" s="15" t="str">
        <x:v>Establish the Req2Res foundation for efficient, scalable mobile MRI service operations across Europe.</x:v>
      </x:c>
      <x:c r="AF191" s="15" t="str">
        <x:v>Establish the Req2Res foundation for efficient, scalable mobile MRI service operations across Europe.</x:v>
      </x:c>
      <x:c r="AG191" s="15" t="str">
        <x:v>Must Have</x:v>
      </x:c>
      <x:c r="AH191" s="15" t="n">
        <x:v>337</x:v>
      </x:c>
    </x:row>
    <x:row r="192">
      <x:c r="A192" s="15" t="str">
        <x:v>Bu-163</x:v>
      </x:c>
      <x:c r="B192" s="15" t="str">
        <x:v>Sales Text | VSM &amp; PS | Sales text process E2E</x:v>
      </x:c>
      <x:c r="C192" s="15" t="str">
        <x:v>BU Led</x:v>
      </x:c>
      <x:c r="D192" s="15" t="str">
        <x:v>Precision Diagnosis - Magnetic Resonance (MR)</x:v>
      </x:c>
      <x:c r="E192" s="19" t="n">
        <x:v>0.15</x:v>
      </x:c>
      <x:c r="F192" s="19" t="n">
        <x:v>0</x:v>
      </x:c>
      <x:c r="G192" s="22" t="n">
        <x:f>IF(AND(E192&gt;0,ISNUMBER(F192)),F192/E192,"")</x:f>
        <x:v>0</x:v>
      </x:c>
      <x:c r="H192" s="15" t="str">
        <x:v>Hygiene</x:v>
      </x:c>
      <x:c r="I192" s="15" t="n">
        <x:v>135</x:v>
      </x:c>
      <x:c r="J192" s="15" t="n">
        <x:v>5</x:v>
      </x:c>
      <x:c r="K192" s="23" t="n">
        <x:f>IF(G192="",0,IF(G192&lt;1,0,IF(G192&lt;2,20,IF(G192&lt;3,30,IF(G192&lt;5,40,50)))))*'Scenario Controls'!$B$22/50</x:f>
        <x:v>0</x:v>
      </x:c>
      <x:c r="L192" s="23" t="n">
        <x:f>IF(ISNUMBER(SEARCH("Must Do",AG192)),25,IF(ISNUMBER(SEARCH("Must Have",AG192)),18,IF(ISNUMBER(SEARCH("Deprior",AG192)),5,0)))*'Scenario Controls'!$B$23/25</x:f>
        <x:v>18</x:v>
      </x:c>
      <x:c r="M192" s="23" t="n">
        <x:f>J192*'Scenario Controls'!$B$24/15</x:f>
        <x:v>5</x:v>
      </x:c>
      <x:c r="N192" s="23" t="n">
        <x:f>IF(ISNUMBER(SEARCH("HEALTHY",X192)),10,IF(ISNUMBER(SEARCH("CONTAIN",X192)),6,0))*'Scenario Controls'!$B$25/10</x:f>
        <x:v>0</x:v>
      </x:c>
      <x:c r="O192" s="23" t="n">
        <x:f>SUM(K192:N192)</x:f>
        <x:v>23</x:v>
      </x:c>
      <x:c r="P192" s="15" t="str">
        <x:f>IF(OR(B192="",E192&lt;=0),"Evidence missing / not eligible",IF(ISNUMBER(SEARCH("priority TBD",Y192)),"Evidence missing / not eligible",IF(AND(H192="Carryover",NOT(ISNUMBER(F192))),"Evidence missing / not eligible",IF(AND(H192="Carryover",G192&lt;'Scenario Controls'!$B$16),"Evidence missing / not eligible",IF(AND(H192="ROI-Based Portfolio",NOT(ISNUMBER(F192))),"Evidence missing / not eligible",IF(AND(H192="ROI-Based Portfolio",O192&lt;'Scenario Controls'!$B$20),"Evidence missing / not eligible","Eligible"))))))</x:f>
        <x:v>Eligible</x:v>
      </x:c>
      <x:c r="Q192" s="19" t="n">
        <x:f>IF(P192&lt;&gt;"Eligible",0,IF(AND(SUMIFS($Q$5:Q191,$H$5:H191,H192)+E192&lt;=(IF(H192="LFR",'Scenario Controls'!$F$10,IF(H192="Sustain Engineering",'Scenario Controls'!$F$11,IF(H192="Hygiene",'Scenario Controls'!$F$12,1E+99))))*(1+'Scenario Controls'!$B$7),SUM($Q$5:Q191)+E192&lt;='Scenario Controls'!$B$6*(1+'Scenario Controls'!$B$7)),E192,0))</x:f>
        <x:v>0</x:v>
      </x:c>
      <x:c r="R192" s="24" t="str">
        <x:f>'BU Conference'!G82</x:f>
        <x:v>Automatic</x:v>
      </x:c>
      <x:c r="S192" s="24" t="str">
        <x:f>'BU Conference'!H82</x:f>
      </x:c>
      <x:c r="T192" s="19" t="n">
        <x:f>IF(R192="Exclude",0,IF(R192="Include",E192,Q192))</x:f>
        <x:v>0</x:v>
      </x:c>
      <x:c r="U192" s="15" t="str">
        <x:f>IF(T192&gt;0,"Funded",IF(P192="Eligible","Unfunded",P192))</x:f>
        <x:v>Unfunded</x:v>
      </x:c>
      <x:c r="V192" s="15" t="str">
        <x:f>IF(R192="Include","Conference inclusion: "&amp;S192,IF(R192="Exclude","Conference exclusion: "&amp;S192,IF(Q192&gt;0,H192&amp;" priority rank "&amp;I192&amp;"; whole initiative selected",P192)))</x:f>
        <x:v>Eligible</x:v>
      </x:c>
      <x:c r="W192" s="15" t="str">
        <x:v>Bu!390</x:v>
      </x:c>
      <x:c r="X192" s="15" t="str"/>
      <x:c r="Y192" s="15" t="str"/>
      <x:c r="Z192" s="15" t="str">
        <x:v>Continuous Improvement</x:v>
      </x:c>
      <x:c r="AA192" s="15" t="str">
        <x:v>New Initiative</x:v>
      </x:c>
      <x:c r="AB192" s="15" t="str">
        <x:v>Commercial IT</x:v>
      </x:c>
      <x:c r="AC192" s="15" t="str"/>
      <x:c r="AD192" s="15" t="str"/>
      <x:c r="AE192" s="15" t="str">
        <x:v>1. Extend the existing GTIN solution enabled by ULS</x:v>
      </x:c>
      <x:c r="AF192" s="15" t="str">
        <x:v>1. Extend the existing GTIN solution enabled by ULS</x:v>
      </x:c>
      <x:c r="AG192" s="15" t="str">
        <x:v>Must Have</x:v>
      </x:c>
      <x:c r="AH192" s="15" t="n">
        <x:v>340</x:v>
      </x:c>
    </x:row>
    <x:row r="193">
      <x:c r="A193" s="15" t="str">
        <x:v>Bu-167</x:v>
      </x:c>
      <x:c r="B193" s="15" t="str">
        <x:v>Regulatory submissions simplification | Document creation &amp; management</x:v>
      </x:c>
      <x:c r="C193" s="15" t="str">
        <x:v>BU Led</x:v>
      </x:c>
      <x:c r="D193" s="15" t="str">
        <x:v>Precision Diagnosis - Magnetic Resonance (MR)</x:v>
      </x:c>
      <x:c r="E193" s="19" t="n">
        <x:v>0.03</x:v>
      </x:c>
      <x:c r="F193" s="19" t="n">
        <x:v>0</x:v>
      </x:c>
      <x:c r="G193" s="22" t="n">
        <x:f>IF(AND(E193&gt;0,ISNUMBER(F193)),F193/E193,"")</x:f>
        <x:v>0</x:v>
      </x:c>
      <x:c r="H193" s="15" t="str">
        <x:v>Hygiene</x:v>
      </x:c>
      <x:c r="I193" s="15" t="n">
        <x:v>136</x:v>
      </x:c>
      <x:c r="J193" s="15" t="n">
        <x:v>5</x:v>
      </x:c>
      <x:c r="K193" s="23" t="n">
        <x:f>IF(G193="",0,IF(G193&lt;1,0,IF(G193&lt;2,20,IF(G193&lt;3,30,IF(G193&lt;5,40,50)))))*'Scenario Controls'!$B$22/50</x:f>
        <x:v>0</x:v>
      </x:c>
      <x:c r="L193" s="23" t="n">
        <x:f>IF(ISNUMBER(SEARCH("Must Do",AG193)),25,IF(ISNUMBER(SEARCH("Must Have",AG193)),18,IF(ISNUMBER(SEARCH("Deprior",AG193)),5,0)))*'Scenario Controls'!$B$23/25</x:f>
        <x:v>18</x:v>
      </x:c>
      <x:c r="M193" s="23" t="n">
        <x:f>J193*'Scenario Controls'!$B$24/15</x:f>
        <x:v>5</x:v>
      </x:c>
      <x:c r="N193" s="23" t="n">
        <x:f>IF(ISNUMBER(SEARCH("HEALTHY",X193)),10,IF(ISNUMBER(SEARCH("CONTAIN",X193)),6,0))*'Scenario Controls'!$B$25/10</x:f>
        <x:v>0</x:v>
      </x:c>
      <x:c r="O193" s="23" t="n">
        <x:f>SUM(K193:N193)</x:f>
        <x:v>23</x:v>
      </x:c>
      <x:c r="P193" s="15" t="str">
        <x:f>IF(OR(B193="",E193&lt;=0),"Evidence missing / not eligible",IF(ISNUMBER(SEARCH("priority TBD",Y193)),"Evidence missing / not eligible",IF(AND(H193="Carryover",NOT(ISNUMBER(F193))),"Evidence missing / not eligible",IF(AND(H193="Carryover",G193&lt;'Scenario Controls'!$B$16),"Evidence missing / not eligible",IF(AND(H193="ROI-Based Portfolio",NOT(ISNUMBER(F193))),"Evidence missing / not eligible",IF(AND(H193="ROI-Based Portfolio",O193&lt;'Scenario Controls'!$B$20),"Evidence missing / not eligible","Eligible"))))))</x:f>
        <x:v>Eligible</x:v>
      </x:c>
      <x:c r="Q193" s="19" t="n">
        <x:f>IF(P193&lt;&gt;"Eligible",0,IF(AND(SUMIFS($Q$5:Q192,$H$5:H192,H193)+E193&lt;=(IF(H193="LFR",'Scenario Controls'!$F$10,IF(H193="Sustain Engineering",'Scenario Controls'!$F$11,IF(H193="Hygiene",'Scenario Controls'!$F$12,1E+99))))*(1+'Scenario Controls'!$B$7),SUM($Q$5:Q192)+E193&lt;='Scenario Controls'!$B$6*(1+'Scenario Controls'!$B$7)),E193,0))</x:f>
        <x:v>0</x:v>
      </x:c>
      <x:c r="R193" s="24" t="str">
        <x:f>'BU Conference'!G83</x:f>
        <x:v>Automatic</x:v>
      </x:c>
      <x:c r="S193" s="24" t="str">
        <x:f>'BU Conference'!H83</x:f>
      </x:c>
      <x:c r="T193" s="19" t="n">
        <x:f>IF(R193="Exclude",0,IF(R193="Include",E193,Q193))</x:f>
        <x:v>0</x:v>
      </x:c>
      <x:c r="U193" s="15" t="str">
        <x:f>IF(T193&gt;0,"Funded",IF(P193="Eligible","Unfunded",P193))</x:f>
        <x:v>Unfunded</x:v>
      </x:c>
      <x:c r="V193" s="15" t="str">
        <x:f>IF(R193="Include","Conference inclusion: "&amp;S193,IF(R193="Exclude","Conference exclusion: "&amp;S193,IF(Q193&gt;0,H193&amp;" priority rank "&amp;I193&amp;"; whole initiative selected",P193)))</x:f>
        <x:v>Eligible</x:v>
      </x:c>
      <x:c r="W193" s="15" t="str">
        <x:v>Bu!404</x:v>
      </x:c>
      <x:c r="X193" s="15" t="str"/>
      <x:c r="Y193" s="15" t="str"/>
      <x:c r="Z193" s="15" t="str">
        <x:v>Continuous Improvement</x:v>
      </x:c>
      <x:c r="AA193" s="15" t="str">
        <x:v>New Initiative</x:v>
      </x:c>
      <x:c r="AB193" s="15" t="str">
        <x:v>Innovation and Digital IT</x:v>
      </x:c>
      <x:c r="AC193" s="15" t="str"/>
      <x:c r="AD193" s="15" t="str"/>
      <x:c r="AE193" s="15" t="str">
        <x:v>Builds upon BOOST localized labelling to reduce number of labels by 90% by feeding label content from database</x:v>
      </x:c>
      <x:c r="AF193" s="15" t="str">
        <x:v>Builds upon BOOST localized labelling to reduce number of labels by 90% by feeding label content from database</x:v>
      </x:c>
      <x:c r="AG193" s="15" t="str">
        <x:v>Must Have</x:v>
      </x:c>
      <x:c r="AH193" s="15" t="n">
        <x:v>344</x:v>
      </x:c>
    </x:row>
    <x:row r="194">
      <x:c r="A194" s="15" t="str">
        <x:v>Bu-168</x:v>
      </x:c>
      <x:c r="B194" s="15" t="str">
        <x:v>Localised Label release</x:v>
      </x:c>
      <x:c r="C194" s="15" t="str">
        <x:v>BU Led</x:v>
      </x:c>
      <x:c r="D194" s="15" t="str">
        <x:v>Precision Diagnosis - Magnetic Resonance (MR)</x:v>
      </x:c>
      <x:c r="E194" s="19" t="n">
        <x:v>0.05</x:v>
      </x:c>
      <x:c r="F194" s="19" t="n">
        <x:v>0</x:v>
      </x:c>
      <x:c r="G194" s="22" t="n">
        <x:f>IF(AND(E194&gt;0,ISNUMBER(F194)),F194/E194,"")</x:f>
        <x:v>0</x:v>
      </x:c>
      <x:c r="H194" s="15" t="str">
        <x:v>Hygiene</x:v>
      </x:c>
      <x:c r="I194" s="15" t="n">
        <x:v>137</x:v>
      </x:c>
      <x:c r="J194" s="15" t="n">
        <x:v>5</x:v>
      </x:c>
      <x:c r="K194" s="23" t="n">
        <x:f>IF(G194="",0,IF(G194&lt;1,0,IF(G194&lt;2,20,IF(G194&lt;3,30,IF(G194&lt;5,40,50)))))*'Scenario Controls'!$B$22/50</x:f>
        <x:v>0</x:v>
      </x:c>
      <x:c r="L194" s="23" t="n">
        <x:f>IF(ISNUMBER(SEARCH("Must Do",AG194)),25,IF(ISNUMBER(SEARCH("Must Have",AG194)),18,IF(ISNUMBER(SEARCH("Deprior",AG194)),5,0)))*'Scenario Controls'!$B$23/25</x:f>
        <x:v>18</x:v>
      </x:c>
      <x:c r="M194" s="23" t="n">
        <x:f>J194*'Scenario Controls'!$B$24/15</x:f>
        <x:v>5</x:v>
      </x:c>
      <x:c r="N194" s="23" t="n">
        <x:f>IF(ISNUMBER(SEARCH("HEALTHY",X194)),10,IF(ISNUMBER(SEARCH("CONTAIN",X194)),6,0))*'Scenario Controls'!$B$25/10</x:f>
        <x:v>0</x:v>
      </x:c>
      <x:c r="O194" s="23" t="n">
        <x:f>SUM(K194:N194)</x:f>
        <x:v>23</x:v>
      </x:c>
      <x:c r="P194" s="15" t="str">
        <x:f>IF(OR(B194="",E194&lt;=0),"Evidence missing / not eligible",IF(ISNUMBER(SEARCH("priority TBD",Y194)),"Evidence missing / not eligible",IF(AND(H194="Carryover",NOT(ISNUMBER(F194))),"Evidence missing / not eligible",IF(AND(H194="Carryover",G194&lt;'Scenario Controls'!$B$16),"Evidence missing / not eligible",IF(AND(H194="ROI-Based Portfolio",NOT(ISNUMBER(F194))),"Evidence missing / not eligible",IF(AND(H194="ROI-Based Portfolio",O194&lt;'Scenario Controls'!$B$20),"Evidence missing / not eligible","Eligible"))))))</x:f>
        <x:v>Eligible</x:v>
      </x:c>
      <x:c r="Q194" s="19" t="n">
        <x:f>IF(P194&lt;&gt;"Eligible",0,IF(AND(SUMIFS($Q$5:Q193,$H$5:H193,H194)+E194&lt;=(IF(H194="LFR",'Scenario Controls'!$F$10,IF(H194="Sustain Engineering",'Scenario Controls'!$F$11,IF(H194="Hygiene",'Scenario Controls'!$F$12,1E+99))))*(1+'Scenario Controls'!$B$7),SUM($Q$5:Q193)+E194&lt;='Scenario Controls'!$B$6*(1+'Scenario Controls'!$B$7)),E194,0))</x:f>
        <x:v>0</x:v>
      </x:c>
      <x:c r="R194" s="24" t="str">
        <x:f>'BU Conference'!G84</x:f>
        <x:v>Automatic</x:v>
      </x:c>
      <x:c r="S194" s="24" t="str">
        <x:f>'BU Conference'!H84</x:f>
      </x:c>
      <x:c r="T194" s="19" t="n">
        <x:f>IF(R194="Exclude",0,IF(R194="Include",E194,Q194))</x:f>
        <x:v>0</x:v>
      </x:c>
      <x:c r="U194" s="15" t="str">
        <x:f>IF(T194&gt;0,"Funded",IF(P194="Eligible","Unfunded",P194))</x:f>
        <x:v>Unfunded</x:v>
      </x:c>
      <x:c r="V194" s="15" t="str">
        <x:f>IF(R194="Include","Conference inclusion: "&amp;S194,IF(R194="Exclude","Conference exclusion: "&amp;S194,IF(Q194&gt;0,H194&amp;" priority rank "&amp;I194&amp;"; whole initiative selected",P194)))</x:f>
        <x:v>Eligible</x:v>
      </x:c>
      <x:c r="W194" s="15" t="str">
        <x:v>Bu!407</x:v>
      </x:c>
      <x:c r="X194" s="15" t="str"/>
      <x:c r="Y194" s="15" t="str"/>
      <x:c r="Z194" s="15" t="str">
        <x:v>Continuous Improvement</x:v>
      </x:c>
      <x:c r="AA194" s="15" t="str">
        <x:v>New Initiative</x:v>
      </x:c>
      <x:c r="AB194" s="15" t="str">
        <x:v>Innovation and Digital IT</x:v>
      </x:c>
      <x:c r="AC194" s="15" t="str"/>
      <x:c r="AD194" s="15" t="str"/>
      <x:c r="AE194" s="15" t="str">
        <x:v>Reservation for implementation of AI solutions in the I2M domain in relation to applications like Windchill, Veeva, Codebeamer, Orion, Planisware, including but not limited to: Masterlist document status reporting, requirements definition quality checking, test definition quality checking, product claims harvesting and definition and evidence quality checking, QMS regulatory coverage checking</x:v>
      </x:c>
      <x:c r="AF194" s="15" t="str">
        <x:v>Reservation for implementation of AI solutions in the I2M domain in relation to applications like Windchill, Veeva, Codebeamer, Orion, Planisware, including but not limited to: Masterlist document status reporting, requirements definition quality checking, test definition quality checking, product claims harvesting and definition and evidence quality checking, QMS regulatory coverage checking</x:v>
      </x:c>
      <x:c r="AG194" s="15" t="str">
        <x:v>Must Have</x:v>
      </x:c>
      <x:c r="AH194" s="15" t="n">
        <x:v>345</x:v>
      </x:c>
    </x:row>
    <x:row r="195">
      <x:c r="A195" s="15" t="str">
        <x:v>Bu-170</x:v>
      </x:c>
      <x:c r="B195" s="15" t="str">
        <x:v>Insourcing Scanbuddy App.</x:v>
      </x:c>
      <x:c r="C195" s="15" t="str">
        <x:v>BU Led</x:v>
      </x:c>
      <x:c r="D195" s="15" t="str">
        <x:v>Precision Diagnosis - Magnetic Resonance (MR)</x:v>
      </x:c>
      <x:c r="E195" s="19" t="n">
        <x:v>0.2</x:v>
      </x:c>
      <x:c r="F195" s="19" t="n">
        <x:v>0</x:v>
      </x:c>
      <x:c r="G195" s="22" t="n">
        <x:f>IF(AND(E195&gt;0,ISNUMBER(F195)),F195/E195,"")</x:f>
        <x:v>0</x:v>
      </x:c>
      <x:c r="H195" s="15" t="str">
        <x:v>Hygiene</x:v>
      </x:c>
      <x:c r="I195" s="15" t="n">
        <x:v>138</x:v>
      </x:c>
      <x:c r="J195" s="15" t="n">
        <x:v>5</x:v>
      </x:c>
      <x:c r="K195" s="23" t="n">
        <x:f>IF(G195="",0,IF(G195&lt;1,0,IF(G195&lt;2,20,IF(G195&lt;3,30,IF(G195&lt;5,40,50)))))*'Scenario Controls'!$B$22/50</x:f>
        <x:v>0</x:v>
      </x:c>
      <x:c r="L195" s="23" t="n">
        <x:f>IF(ISNUMBER(SEARCH("Must Do",AG195)),25,IF(ISNUMBER(SEARCH("Must Have",AG195)),18,IF(ISNUMBER(SEARCH("Deprior",AG195)),5,0)))*'Scenario Controls'!$B$23/25</x:f>
        <x:v>18</x:v>
      </x:c>
      <x:c r="M195" s="23" t="n">
        <x:f>J195*'Scenario Controls'!$B$24/15</x:f>
        <x:v>5</x:v>
      </x:c>
      <x:c r="N195" s="23" t="n">
        <x:f>IF(ISNUMBER(SEARCH("HEALTHY",X195)),10,IF(ISNUMBER(SEARCH("CONTAIN",X195)),6,0))*'Scenario Controls'!$B$25/10</x:f>
        <x:v>0</x:v>
      </x:c>
      <x:c r="O195" s="23" t="n">
        <x:f>SUM(K195:N195)</x:f>
        <x:v>23</x:v>
      </x:c>
      <x:c r="P195" s="15" t="str">
        <x:f>IF(OR(B195="",E195&lt;=0),"Evidence missing / not eligible",IF(ISNUMBER(SEARCH("priority TBD",Y195)),"Evidence missing / not eligible",IF(AND(H195="Carryover",NOT(ISNUMBER(F195))),"Evidence missing / not eligible",IF(AND(H195="Carryover",G195&lt;'Scenario Controls'!$B$16),"Evidence missing / not eligible",IF(AND(H195="ROI-Based Portfolio",NOT(ISNUMBER(F195))),"Evidence missing / not eligible",IF(AND(H195="ROI-Based Portfolio",O195&lt;'Scenario Controls'!$B$20),"Evidence missing / not eligible","Eligible"))))))</x:f>
        <x:v>Eligible</x:v>
      </x:c>
      <x:c r="Q195" s="19" t="n">
        <x:f>IF(P195&lt;&gt;"Eligible",0,IF(AND(SUMIFS($Q$5:Q194,$H$5:H194,H195)+E195&lt;=(IF(H195="LFR",'Scenario Controls'!$F$10,IF(H195="Sustain Engineering",'Scenario Controls'!$F$11,IF(H195="Hygiene",'Scenario Controls'!$F$12,1E+99))))*(1+'Scenario Controls'!$B$7),SUM($Q$5:Q194)+E195&lt;='Scenario Controls'!$B$6*(1+'Scenario Controls'!$B$7)),E195,0))</x:f>
        <x:v>0</x:v>
      </x:c>
      <x:c r="R195" s="24" t="str">
        <x:f>'BU Conference'!G85</x:f>
        <x:v>Automatic</x:v>
      </x:c>
      <x:c r="S195" s="24" t="str">
        <x:f>'BU Conference'!H85</x:f>
      </x:c>
      <x:c r="T195" s="19" t="n">
        <x:f>IF(R195="Exclude",0,IF(R195="Include",E195,Q195))</x:f>
        <x:v>0</x:v>
      </x:c>
      <x:c r="U195" s="15" t="str">
        <x:f>IF(T195&gt;0,"Funded",IF(P195="Eligible","Unfunded",P195))</x:f>
        <x:v>Unfunded</x:v>
      </x:c>
      <x:c r="V195" s="15" t="str">
        <x:f>IF(R195="Include","Conference inclusion: "&amp;S195,IF(R195="Exclude","Conference exclusion: "&amp;S195,IF(Q195&gt;0,H195&amp;" priority rank "&amp;I195&amp;"; whole initiative selected",P195)))</x:f>
        <x:v>Eligible</x:v>
      </x:c>
      <x:c r="W195" s="15" t="str">
        <x:v>Bu!409</x:v>
      </x:c>
      <x:c r="X195" s="15" t="str"/>
      <x:c r="Y195" s="15" t="str"/>
      <x:c r="Z195" s="15" t="str">
        <x:v>Upgrades &amp; Enhancements</x:v>
      </x:c>
      <x:c r="AA195" s="15" t="str">
        <x:v>New Initiative</x:v>
      </x:c>
      <x:c r="AB195" s="15" t="str">
        <x:v>Innovation and Digital IT</x:v>
      </x:c>
      <x:c r="AC195" s="15" t="str"/>
      <x:c r="AD195" s="15" t="str"/>
      <x:c r="AE195" s="15" t="str">
        <x:v>Master data settings for EOL/EOS based on harmonized profiles</x:v>
      </x:c>
      <x:c r="AF195" s="15" t="str">
        <x:v>Master data settings for EOL/EOS based on harmonized profiles</x:v>
      </x:c>
      <x:c r="AG195" s="15" t="str">
        <x:v>Must Have</x:v>
      </x:c>
      <x:c r="AH195" s="15" t="n">
        <x:v>347</x:v>
      </x:c>
    </x:row>
    <x:row r="196">
      <x:c r="A196" s="15" t="str">
        <x:v>Bu-171</x:v>
      </x:c>
      <x:c r="B196" s="15" t="str">
        <x:v>PS: EOS/EOL management (IB)</x:v>
      </x:c>
      <x:c r="C196" s="15" t="str">
        <x:v>BU Led</x:v>
      </x:c>
      <x:c r="D196" s="15" t="str">
        <x:v>Precision Diagnosis - Magnetic Resonance (MR)</x:v>
      </x:c>
      <x:c r="E196" s="19" t="n">
        <x:v>0.1</x:v>
      </x:c>
      <x:c r="F196" s="19" t="n">
        <x:v>0</x:v>
      </x:c>
      <x:c r="G196" s="22" t="n">
        <x:f>IF(AND(E196&gt;0,ISNUMBER(F196)),F196/E196,"")</x:f>
        <x:v>0</x:v>
      </x:c>
      <x:c r="H196" s="15" t="str">
        <x:v>Hygiene</x:v>
      </x:c>
      <x:c r="I196" s="15" t="n">
        <x:v>139</x:v>
      </x:c>
      <x:c r="J196" s="15" t="n">
        <x:v>5</x:v>
      </x:c>
      <x:c r="K196" s="23" t="n">
        <x:f>IF(G196="",0,IF(G196&lt;1,0,IF(G196&lt;2,20,IF(G196&lt;3,30,IF(G196&lt;5,40,50)))))*'Scenario Controls'!$B$22/50</x:f>
        <x:v>0</x:v>
      </x:c>
      <x:c r="L196" s="23" t="n">
        <x:f>IF(ISNUMBER(SEARCH("Must Do",AG196)),25,IF(ISNUMBER(SEARCH("Must Have",AG196)),18,IF(ISNUMBER(SEARCH("Deprior",AG196)),5,0)))*'Scenario Controls'!$B$23/25</x:f>
        <x:v>18</x:v>
      </x:c>
      <x:c r="M196" s="23" t="n">
        <x:f>J196*'Scenario Controls'!$B$24/15</x:f>
        <x:v>5</x:v>
      </x:c>
      <x:c r="N196" s="23" t="n">
        <x:f>IF(ISNUMBER(SEARCH("HEALTHY",X196)),10,IF(ISNUMBER(SEARCH("CONTAIN",X196)),6,0))*'Scenario Controls'!$B$25/10</x:f>
        <x:v>0</x:v>
      </x:c>
      <x:c r="O196" s="23" t="n">
        <x:f>SUM(K196:N196)</x:f>
        <x:v>23</x:v>
      </x:c>
      <x:c r="P196" s="15" t="str">
        <x:f>IF(OR(B196="",E196&lt;=0),"Evidence missing / not eligible",IF(ISNUMBER(SEARCH("priority TBD",Y196)),"Evidence missing / not eligible",IF(AND(H196="Carryover",NOT(ISNUMBER(F196))),"Evidence missing / not eligible",IF(AND(H196="Carryover",G196&lt;'Scenario Controls'!$B$16),"Evidence missing / not eligible",IF(AND(H196="ROI-Based Portfolio",NOT(ISNUMBER(F196))),"Evidence missing / not eligible",IF(AND(H196="ROI-Based Portfolio",O196&lt;'Scenario Controls'!$B$20),"Evidence missing / not eligible","Eligible"))))))</x:f>
        <x:v>Eligible</x:v>
      </x:c>
      <x:c r="Q196" s="19" t="n">
        <x:f>IF(P196&lt;&gt;"Eligible",0,IF(AND(SUMIFS($Q$5:Q195,$H$5:H195,H196)+E196&lt;=(IF(H196="LFR",'Scenario Controls'!$F$10,IF(H196="Sustain Engineering",'Scenario Controls'!$F$11,IF(H196="Hygiene",'Scenario Controls'!$F$12,1E+99))))*(1+'Scenario Controls'!$B$7),SUM($Q$5:Q195)+E196&lt;='Scenario Controls'!$B$6*(1+'Scenario Controls'!$B$7)),E196,0))</x:f>
        <x:v>0</x:v>
      </x:c>
      <x:c r="R196" s="24" t="str">
        <x:f>'BU Conference'!G86</x:f>
        <x:v>Automatic</x:v>
      </x:c>
      <x:c r="S196" s="24" t="str">
        <x:f>'BU Conference'!H86</x:f>
      </x:c>
      <x:c r="T196" s="19" t="n">
        <x:f>IF(R196="Exclude",0,IF(R196="Include",E196,Q196))</x:f>
        <x:v>0</x:v>
      </x:c>
      <x:c r="U196" s="15" t="str">
        <x:f>IF(T196&gt;0,"Funded",IF(P196="Eligible","Unfunded",P196))</x:f>
        <x:v>Unfunded</x:v>
      </x:c>
      <x:c r="V196" s="15" t="str">
        <x:f>IF(R196="Include","Conference inclusion: "&amp;S196,IF(R196="Exclude","Conference exclusion: "&amp;S196,IF(Q196&gt;0,H196&amp;" priority rank "&amp;I196&amp;"; whole initiative selected",P196)))</x:f>
        <x:v>Eligible</x:v>
      </x:c>
      <x:c r="W196" s="15" t="str">
        <x:v>Bu!410</x:v>
      </x:c>
      <x:c r="X196" s="15" t="str"/>
      <x:c r="Y196" s="15" t="str"/>
      <x:c r="Z196" s="15" t="str">
        <x:v>Continuous Improvement</x:v>
      </x:c>
      <x:c r="AA196" s="15" t="str">
        <x:v>New Initiative</x:v>
      </x:c>
      <x:c r="AB196" s="15" t="str">
        <x:v>Services &amp; Solutions IT</x:v>
      </x:c>
      <x:c r="AC196" s="15" t="str"/>
      <x:c r="AD196" s="15" t="str"/>
      <x:c r="AE196" s="15" t="str">
        <x:v>Helium ordering in SMAX, (MR Req2Res Type 1) - 120</x:v>
      </x:c>
      <x:c r="AF196" s="15" t="str">
        <x:v>Helium ordering in SMAX, (MR Req2Res Type 1) - 120</x:v>
      </x:c>
      <x:c r="AG196" s="15" t="str">
        <x:v>Must Have</x:v>
      </x:c>
      <x:c r="AH196" s="15" t="n">
        <x:v>348</x:v>
      </x:c>
    </x:row>
    <x:row r="197">
      <x:c r="A197" s="15" t="str">
        <x:v>Bu-175</x:v>
      </x:c>
      <x:c r="B197" s="15" t="str">
        <x:v>I2M Program/Portfolio/Project Management (Planisware) CR's</x:v>
      </x:c>
      <x:c r="C197" s="15" t="str">
        <x:v>BU Led</x:v>
      </x:c>
      <x:c r="D197" s="15" t="str">
        <x:v>Precision Diagnosis - Magnetic Resonance (MR)</x:v>
      </x:c>
      <x:c r="E197" s="19" t="n">
        <x:v>0.075</x:v>
      </x:c>
      <x:c r="F197" s="19" t="n">
        <x:v>0</x:v>
      </x:c>
      <x:c r="G197" s="22" t="n">
        <x:f>IF(AND(E197&gt;0,ISNUMBER(F197)),F197/E197,"")</x:f>
        <x:v>0</x:v>
      </x:c>
      <x:c r="H197" s="15" t="str">
        <x:v>Hygiene</x:v>
      </x:c>
      <x:c r="I197" s="15" t="n">
        <x:v>140</x:v>
      </x:c>
      <x:c r="J197" s="15" t="n">
        <x:v>5</x:v>
      </x:c>
      <x:c r="K197" s="23" t="n">
        <x:f>IF(G197="",0,IF(G197&lt;1,0,IF(G197&lt;2,20,IF(G197&lt;3,30,IF(G197&lt;5,40,50)))))*'Scenario Controls'!$B$22/50</x:f>
        <x:v>0</x:v>
      </x:c>
      <x:c r="L197" s="23" t="n">
        <x:f>IF(ISNUMBER(SEARCH("Must Do",AG197)),25,IF(ISNUMBER(SEARCH("Must Have",AG197)),18,IF(ISNUMBER(SEARCH("Deprior",AG197)),5,0)))*'Scenario Controls'!$B$23/25</x:f>
        <x:v>18</x:v>
      </x:c>
      <x:c r="M197" s="23" t="n">
        <x:f>J197*'Scenario Controls'!$B$24/15</x:f>
        <x:v>5</x:v>
      </x:c>
      <x:c r="N197" s="23" t="n">
        <x:f>IF(ISNUMBER(SEARCH("HEALTHY",X197)),10,IF(ISNUMBER(SEARCH("CONTAIN",X197)),6,0))*'Scenario Controls'!$B$25/10</x:f>
        <x:v>0</x:v>
      </x:c>
      <x:c r="O197" s="23" t="n">
        <x:f>SUM(K197:N197)</x:f>
        <x:v>23</x:v>
      </x:c>
      <x:c r="P197" s="15" t="str">
        <x:f>IF(OR(B197="",E197&lt;=0),"Evidence missing / not eligible",IF(ISNUMBER(SEARCH("priority TBD",Y197)),"Evidence missing / not eligible",IF(AND(H197="Carryover",NOT(ISNUMBER(F197))),"Evidence missing / not eligible",IF(AND(H197="Carryover",G197&lt;'Scenario Controls'!$B$16),"Evidence missing / not eligible",IF(AND(H197="ROI-Based Portfolio",NOT(ISNUMBER(F197))),"Evidence missing / not eligible",IF(AND(H197="ROI-Based Portfolio",O197&lt;'Scenario Controls'!$B$20),"Evidence missing / not eligible","Eligible"))))))</x:f>
        <x:v>Eligible</x:v>
      </x:c>
      <x:c r="Q197" s="19" t="n">
        <x:f>IF(P197&lt;&gt;"Eligible",0,IF(AND(SUMIFS($Q$5:Q196,$H$5:H196,H197)+E197&lt;=(IF(H197="LFR",'Scenario Controls'!$F$10,IF(H197="Sustain Engineering",'Scenario Controls'!$F$11,IF(H197="Hygiene",'Scenario Controls'!$F$12,1E+99))))*(1+'Scenario Controls'!$B$7),SUM($Q$5:Q196)+E197&lt;='Scenario Controls'!$B$6*(1+'Scenario Controls'!$B$7)),E197,0))</x:f>
        <x:v>0</x:v>
      </x:c>
      <x:c r="R197" s="24" t="str">
        <x:f>'BU Conference'!G87</x:f>
        <x:v>Automatic</x:v>
      </x:c>
      <x:c r="S197" s="24" t="str">
        <x:f>'BU Conference'!H87</x:f>
      </x:c>
      <x:c r="T197" s="19" t="n">
        <x:f>IF(R197="Exclude",0,IF(R197="Include",E197,Q197))</x:f>
        <x:v>0</x:v>
      </x:c>
      <x:c r="U197" s="15" t="str">
        <x:f>IF(T197&gt;0,"Funded",IF(P197="Eligible","Unfunded",P197))</x:f>
        <x:v>Unfunded</x:v>
      </x:c>
      <x:c r="V197" s="15" t="str">
        <x:f>IF(R197="Include","Conference inclusion: "&amp;S197,IF(R197="Exclude","Conference exclusion: "&amp;S197,IF(Q197&gt;0,H197&amp;" priority rank "&amp;I197&amp;"; whole initiative selected",P197)))</x:f>
        <x:v>Eligible</x:v>
      </x:c>
      <x:c r="W197" s="15" t="str">
        <x:v>Bu!432</x:v>
      </x:c>
      <x:c r="X197" s="15" t="str"/>
      <x:c r="Y197" s="15" t="str"/>
      <x:c r="Z197" s="15" t="str">
        <x:v>Upgrades &amp; Enhancements</x:v>
      </x:c>
      <x:c r="AA197" s="15" t="str">
        <x:v>New Initiative</x:v>
      </x:c>
      <x:c r="AB197" s="15" t="str">
        <x:v>Innovation and Digital IT</x:v>
      </x:c>
      <x:c r="AC197" s="15" t="str"/>
      <x:c r="AD197" s="15" t="str"/>
      <x:c r="AE197" s="15" t="str">
        <x:v>Reservation for license cost being pushed back from IT to the business, because of single BU using the licenses.</x:v>
      </x:c>
      <x:c r="AF197" s="15" t="str">
        <x:v>Reservation for license cost being pushed back from IT to the business, because of single BU using the licenses.</x:v>
      </x:c>
      <x:c r="AG197" s="15" t="str">
        <x:v>Must Have</x:v>
      </x:c>
      <x:c r="AH197" s="15" t="n">
        <x:v>352</x:v>
      </x:c>
    </x:row>
    <x:row r="198">
      <x:c r="A198" s="15" t="str">
        <x:v>Bu-181</x:v>
      </x:c>
      <x:c r="B198" s="15" t="str">
        <x:v>CERA deployment</x:v>
      </x:c>
      <x:c r="C198" s="15" t="str">
        <x:v>BU Led</x:v>
      </x:c>
      <x:c r="D198" s="15" t="str">
        <x:v>Precision Diagnosis - Magnetic Resonance (MR)</x:v>
      </x:c>
      <x:c r="E198" s="19" t="n">
        <x:v>0.1</x:v>
      </x:c>
      <x:c r="F198" s="19" t="n">
        <x:v>0</x:v>
      </x:c>
      <x:c r="G198" s="22" t="n">
        <x:f>IF(AND(E198&gt;0,ISNUMBER(F198)),F198/E198,"")</x:f>
        <x:v>0</x:v>
      </x:c>
      <x:c r="H198" s="15" t="str">
        <x:v>Hygiene</x:v>
      </x:c>
      <x:c r="I198" s="15" t="n">
        <x:v>141</x:v>
      </x:c>
      <x:c r="J198" s="15" t="n">
        <x:v>5</x:v>
      </x:c>
      <x:c r="K198" s="23" t="n">
        <x:f>IF(G198="",0,IF(G198&lt;1,0,IF(G198&lt;2,20,IF(G198&lt;3,30,IF(G198&lt;5,40,50)))))*'Scenario Controls'!$B$22/50</x:f>
        <x:v>0</x:v>
      </x:c>
      <x:c r="L198" s="23" t="n">
        <x:f>IF(ISNUMBER(SEARCH("Must Do",AG198)),25,IF(ISNUMBER(SEARCH("Must Have",AG198)),18,IF(ISNUMBER(SEARCH("Deprior",AG198)),5,0)))*'Scenario Controls'!$B$23/25</x:f>
        <x:v>18</x:v>
      </x:c>
      <x:c r="M198" s="23" t="n">
        <x:f>J198*'Scenario Controls'!$B$24/15</x:f>
        <x:v>5</x:v>
      </x:c>
      <x:c r="N198" s="23" t="n">
        <x:f>IF(ISNUMBER(SEARCH("HEALTHY",X198)),10,IF(ISNUMBER(SEARCH("CONTAIN",X198)),6,0))*'Scenario Controls'!$B$25/10</x:f>
        <x:v>0</x:v>
      </x:c>
      <x:c r="O198" s="23" t="n">
        <x:f>SUM(K198:N198)</x:f>
        <x:v>23</x:v>
      </x:c>
      <x:c r="P198" s="15" t="str">
        <x:f>IF(OR(B198="",E198&lt;=0),"Evidence missing / not eligible",IF(ISNUMBER(SEARCH("priority TBD",Y198)),"Evidence missing / not eligible",IF(AND(H198="Carryover",NOT(ISNUMBER(F198))),"Evidence missing / not eligible",IF(AND(H198="Carryover",G198&lt;'Scenario Controls'!$B$16),"Evidence missing / not eligible",IF(AND(H198="ROI-Based Portfolio",NOT(ISNUMBER(F198))),"Evidence missing / not eligible",IF(AND(H198="ROI-Based Portfolio",O198&lt;'Scenario Controls'!$B$20),"Evidence missing / not eligible","Eligible"))))))</x:f>
        <x:v>Eligible</x:v>
      </x:c>
      <x:c r="Q198" s="19" t="n">
        <x:f>IF(P198&lt;&gt;"Eligible",0,IF(AND(SUMIFS($Q$5:Q197,$H$5:H197,H198)+E198&lt;=(IF(H198="LFR",'Scenario Controls'!$F$10,IF(H198="Sustain Engineering",'Scenario Controls'!$F$11,IF(H198="Hygiene",'Scenario Controls'!$F$12,1E+99))))*(1+'Scenario Controls'!$B$7),SUM($Q$5:Q197)+E198&lt;='Scenario Controls'!$B$6*(1+'Scenario Controls'!$B$7)),E198,0))</x:f>
        <x:v>0</x:v>
      </x:c>
      <x:c r="R198" s="24" t="str">
        <x:f>'BU Conference'!G88</x:f>
        <x:v>Automatic</x:v>
      </x:c>
      <x:c r="S198" s="24" t="str">
        <x:f>'BU Conference'!H88</x:f>
      </x:c>
      <x:c r="T198" s="19" t="n">
        <x:f>IF(R198="Exclude",0,IF(R198="Include",E198,Q198))</x:f>
        <x:v>0</x:v>
      </x:c>
      <x:c r="U198" s="15" t="str">
        <x:f>IF(T198&gt;0,"Funded",IF(P198="Eligible","Unfunded",P198))</x:f>
        <x:v>Unfunded</x:v>
      </x:c>
      <x:c r="V198" s="15" t="str">
        <x:f>IF(R198="Include","Conference inclusion: "&amp;S198,IF(R198="Exclude","Conference exclusion: "&amp;S198,IF(Q198&gt;0,H198&amp;" priority rank "&amp;I198&amp;"; whole initiative selected",P198)))</x:f>
        <x:v>Eligible</x:v>
      </x:c>
      <x:c r="W198" s="15" t="str">
        <x:v>Bu!439</x:v>
      </x:c>
      <x:c r="X198" s="15" t="str"/>
      <x:c r="Y198" s="15" t="str"/>
      <x:c r="Z198" s="15" t="str">
        <x:v>Continuous Improvement</x:v>
      </x:c>
      <x:c r="AA198" s="15" t="str">
        <x:v>New Initiative</x:v>
      </x:c>
      <x:c r="AB198" s="15" t="str">
        <x:v>Innovation and Digital IT</x:v>
      </x:c>
      <x:c r="AC198" s="15" t="str"/>
      <x:c r="AD198" s="15" t="str"/>
      <x:c r="AE198" s="15" t="str">
        <x:v>Support multiple projects under for MR, CT, DXR</x:v>
      </x:c>
      <x:c r="AF198" s="15" t="str">
        <x:v>Support multiple projects under for MR, CT, DXR</x:v>
      </x:c>
      <x:c r="AG198" s="15" t="str">
        <x:v>Must Have</x:v>
      </x:c>
      <x:c r="AH198" s="15" t="n">
        <x:v>358</x:v>
      </x:c>
    </x:row>
    <x:row r="199">
      <x:c r="A199" s="15" t="str">
        <x:v>Bu-186</x:v>
      </x:c>
      <x:c r="B199" s="15" t="str">
        <x:v>CT Mobile APP</x:v>
      </x:c>
      <x:c r="C199" s="15" t="str">
        <x:v>BU Led</x:v>
      </x:c>
      <x:c r="D199" s="15" t="str">
        <x:v>Precision Diagnosis - Computed Tomography (CT)</x:v>
      </x:c>
      <x:c r="E199" s="19" t="n">
        <x:v>0.321</x:v>
      </x:c>
      <x:c r="F199" s="19" t="n">
        <x:v>0</x:v>
      </x:c>
      <x:c r="G199" s="22" t="n">
        <x:f>IF(AND(E199&gt;0,ISNUMBER(F199)),F199/E199,"")</x:f>
        <x:v>0</x:v>
      </x:c>
      <x:c r="H199" s="15" t="str">
        <x:v>Hygiene</x:v>
      </x:c>
      <x:c r="I199" s="15" t="n">
        <x:v>142</x:v>
      </x:c>
      <x:c r="J199" s="15" t="n">
        <x:v>5</x:v>
      </x:c>
      <x:c r="K199" s="23" t="n">
        <x:f>IF(G199="",0,IF(G199&lt;1,0,IF(G199&lt;2,20,IF(G199&lt;3,30,IF(G199&lt;5,40,50)))))*'Scenario Controls'!$B$22/50</x:f>
        <x:v>0</x:v>
      </x:c>
      <x:c r="L199" s="23" t="n">
        <x:f>IF(ISNUMBER(SEARCH("Must Do",AG199)),25,IF(ISNUMBER(SEARCH("Must Have",AG199)),18,IF(ISNUMBER(SEARCH("Deprior",AG199)),5,0)))*'Scenario Controls'!$B$23/25</x:f>
        <x:v>18</x:v>
      </x:c>
      <x:c r="M199" s="23" t="n">
        <x:f>J199*'Scenario Controls'!$B$24/15</x:f>
        <x:v>5</x:v>
      </x:c>
      <x:c r="N199" s="23" t="n">
        <x:f>IF(ISNUMBER(SEARCH("HEALTHY",X199)),10,IF(ISNUMBER(SEARCH("CONTAIN",X199)),6,0))*'Scenario Controls'!$B$25/10</x:f>
        <x:v>0</x:v>
      </x:c>
      <x:c r="O199" s="23" t="n">
        <x:f>SUM(K199:N199)</x:f>
        <x:v>23</x:v>
      </x:c>
      <x:c r="P199" s="15" t="str">
        <x:f>IF(OR(B199="",E199&lt;=0),"Evidence missing / not eligible",IF(ISNUMBER(SEARCH("priority TBD",Y199)),"Evidence missing / not eligible",IF(AND(H199="Carryover",NOT(ISNUMBER(F199))),"Evidence missing / not eligible",IF(AND(H199="Carryover",G199&lt;'Scenario Controls'!$B$16),"Evidence missing / not eligible",IF(AND(H199="ROI-Based Portfolio",NOT(ISNUMBER(F199))),"Evidence missing / not eligible",IF(AND(H199="ROI-Based Portfolio",O199&lt;'Scenario Controls'!$B$20),"Evidence missing / not eligible","Eligible"))))))</x:f>
        <x:v>Eligible</x:v>
      </x:c>
      <x:c r="Q199" s="19" t="n">
        <x:f>IF(P199&lt;&gt;"Eligible",0,IF(AND(SUMIFS($Q$5:Q198,$H$5:H198,H199)+E199&lt;=(IF(H199="LFR",'Scenario Controls'!$F$10,IF(H199="Sustain Engineering",'Scenario Controls'!$F$11,IF(H199="Hygiene",'Scenario Controls'!$F$12,1E+99))))*(1+'Scenario Controls'!$B$7),SUM($Q$5:Q198)+E199&lt;='Scenario Controls'!$B$6*(1+'Scenario Controls'!$B$7)),E199,0))</x:f>
        <x:v>0</x:v>
      </x:c>
      <x:c r="R199" s="24" t="str">
        <x:f>'BU Conference'!G89</x:f>
        <x:v>Automatic</x:v>
      </x:c>
      <x:c r="S199" s="24" t="str">
        <x:f>'BU Conference'!H89</x:f>
      </x:c>
      <x:c r="T199" s="19" t="n">
        <x:f>IF(R199="Exclude",0,IF(R199="Include",E199,Q199))</x:f>
        <x:v>0</x:v>
      </x:c>
      <x:c r="U199" s="15" t="str">
        <x:f>IF(T199&gt;0,"Funded",IF(P199="Eligible","Unfunded",P199))</x:f>
        <x:v>Unfunded</x:v>
      </x:c>
      <x:c r="V199" s="15" t="str">
        <x:f>IF(R199="Include","Conference inclusion: "&amp;S199,IF(R199="Exclude","Conference exclusion: "&amp;S199,IF(Q199&gt;0,H199&amp;" priority rank "&amp;I199&amp;"; whole initiative selected",P199)))</x:f>
        <x:v>Eligible</x:v>
      </x:c>
      <x:c r="W199" s="15" t="str">
        <x:v>Bu!444</x:v>
      </x:c>
      <x:c r="X199" s="15" t="str"/>
      <x:c r="Y199" s="15" t="str"/>
      <x:c r="Z199" s="15" t="str">
        <x:v>Upgrades &amp; Enhancements</x:v>
      </x:c>
      <x:c r="AA199" s="15" t="str">
        <x:v>New Initiative</x:v>
      </x:c>
      <x:c r="AB199" s="15" t="str">
        <x:v>Innovation and Digital IT</x:v>
      </x:c>
      <x:c r="AC199" s="15" t="str"/>
      <x:c r="AD199" s="15" t="str"/>
      <x:c r="AE199" s="15" t="str">
        <x:v>Mandatory annual support activities include: OS compatibility updates, Certificate renewals, Approvals and release management And below are the new features</x:v>
      </x:c>
      <x:c r="AF199" s="15" t="str">
        <x:v>Mandatory annual support activities include: OS compatibility updates, Certificate renewals, Approvals and release management And below are the new features</x:v>
      </x:c>
      <x:c r="AG199" s="15" t="str">
        <x:v>Must Have</x:v>
      </x:c>
      <x:c r="AH199" s="15" t="n">
        <x:v>363</x:v>
      </x:c>
    </x:row>
    <x:row r="200">
      <x:c r="A200" s="15" t="str">
        <x:v>Bu-187</x:v>
      </x:c>
      <x:c r="B200" s="15" t="str">
        <x:v>DXR Mobile App</x:v>
      </x:c>
      <x:c r="C200" s="15" t="str">
        <x:v>BU Led</x:v>
      </x:c>
      <x:c r="D200" s="15" t="str">
        <x:v>Precision Diagnosis - Digital X-ray Radiogrammetry (DXR)</x:v>
      </x:c>
      <x:c r="E200" s="19" t="n">
        <x:v>0.314</x:v>
      </x:c>
      <x:c r="F200" s="19" t="n">
        <x:v>0</x:v>
      </x:c>
      <x:c r="G200" s="22" t="n">
        <x:f>IF(AND(E200&gt;0,ISNUMBER(F200)),F200/E200,"")</x:f>
        <x:v>0</x:v>
      </x:c>
      <x:c r="H200" s="15" t="str">
        <x:v>Hygiene</x:v>
      </x:c>
      <x:c r="I200" s="15" t="n">
        <x:v>143</x:v>
      </x:c>
      <x:c r="J200" s="15" t="n">
        <x:v>5</x:v>
      </x:c>
      <x:c r="K200" s="23" t="n">
        <x:f>IF(G200="",0,IF(G200&lt;1,0,IF(G200&lt;2,20,IF(G200&lt;3,30,IF(G200&lt;5,40,50)))))*'Scenario Controls'!$B$22/50</x:f>
        <x:v>0</x:v>
      </x:c>
      <x:c r="L200" s="23" t="n">
        <x:f>IF(ISNUMBER(SEARCH("Must Do",AG200)),25,IF(ISNUMBER(SEARCH("Must Have",AG200)),18,IF(ISNUMBER(SEARCH("Deprior",AG200)),5,0)))*'Scenario Controls'!$B$23/25</x:f>
        <x:v>18</x:v>
      </x:c>
      <x:c r="M200" s="23" t="n">
        <x:f>J200*'Scenario Controls'!$B$24/15</x:f>
        <x:v>5</x:v>
      </x:c>
      <x:c r="N200" s="23" t="n">
        <x:f>IF(ISNUMBER(SEARCH("HEALTHY",X200)),10,IF(ISNUMBER(SEARCH("CONTAIN",X200)),6,0))*'Scenario Controls'!$B$25/10</x:f>
        <x:v>0</x:v>
      </x:c>
      <x:c r="O200" s="23" t="n">
        <x:f>SUM(K200:N200)</x:f>
        <x:v>23</x:v>
      </x:c>
      <x:c r="P200" s="15" t="str">
        <x:f>IF(OR(B200="",E200&lt;=0),"Evidence missing / not eligible",IF(ISNUMBER(SEARCH("priority TBD",Y200)),"Evidence missing / not eligible",IF(AND(H200="Carryover",NOT(ISNUMBER(F200))),"Evidence missing / not eligible",IF(AND(H200="Carryover",G200&lt;'Scenario Controls'!$B$16),"Evidence missing / not eligible",IF(AND(H200="ROI-Based Portfolio",NOT(ISNUMBER(F200))),"Evidence missing / not eligible",IF(AND(H200="ROI-Based Portfolio",O200&lt;'Scenario Controls'!$B$20),"Evidence missing / not eligible","Eligible"))))))</x:f>
        <x:v>Eligible</x:v>
      </x:c>
      <x:c r="Q200" s="19" t="n">
        <x:f>IF(P200&lt;&gt;"Eligible",0,IF(AND(SUMIFS($Q$5:Q199,$H$5:H199,H200)+E200&lt;=(IF(H200="LFR",'Scenario Controls'!$F$10,IF(H200="Sustain Engineering",'Scenario Controls'!$F$11,IF(H200="Hygiene",'Scenario Controls'!$F$12,1E+99))))*(1+'Scenario Controls'!$B$7),SUM($Q$5:Q199)+E200&lt;='Scenario Controls'!$B$6*(1+'Scenario Controls'!$B$7)),E200,0))</x:f>
        <x:v>0</x:v>
      </x:c>
      <x:c r="R200" s="24" t="str">
        <x:f>'BU Conference'!G90</x:f>
        <x:v>Automatic</x:v>
      </x:c>
      <x:c r="S200" s="24" t="str">
        <x:f>'BU Conference'!H90</x:f>
      </x:c>
      <x:c r="T200" s="19" t="n">
        <x:f>IF(R200="Exclude",0,IF(R200="Include",E200,Q200))</x:f>
        <x:v>0</x:v>
      </x:c>
      <x:c r="U200" s="15" t="str">
        <x:f>IF(T200&gt;0,"Funded",IF(P200="Eligible","Unfunded",P200))</x:f>
        <x:v>Unfunded</x:v>
      </x:c>
      <x:c r="V200" s="15" t="str">
        <x:f>IF(R200="Include","Conference inclusion: "&amp;S200,IF(R200="Exclude","Conference exclusion: "&amp;S200,IF(Q200&gt;0,H200&amp;" priority rank "&amp;I200&amp;"; whole initiative selected",P200)))</x:f>
        <x:v>Eligible</x:v>
      </x:c>
      <x:c r="W200" s="15" t="str">
        <x:v>Bu!445</x:v>
      </x:c>
      <x:c r="X200" s="15" t="str"/>
      <x:c r="Y200" s="15" t="str"/>
      <x:c r="Z200" s="15" t="str">
        <x:v>Upgrades &amp; Enhancements</x:v>
      </x:c>
      <x:c r="AA200" s="15" t="str">
        <x:v>New Initiative</x:v>
      </x:c>
      <x:c r="AB200" s="15" t="str">
        <x:v>Innovation and Digital IT</x:v>
      </x:c>
      <x:c r="AC200" s="15" t="str"/>
      <x:c r="AD200" s="15" t="str"/>
      <x:c r="AE200" s="15" t="str">
        <x:v>CPL Bot – €20K</x:v>
      </x:c>
      <x:c r="AF200" s="15" t="str">
        <x:v>CPL Bot – €20K</x:v>
      </x:c>
      <x:c r="AG200" s="15" t="str">
        <x:v>Must Have</x:v>
      </x:c>
      <x:c r="AH200" s="15" t="n">
        <x:v>364</x:v>
      </x:c>
    </x:row>
    <x:row r="201">
      <x:c r="A201" s="15" t="str">
        <x:v>Bu-189</x:v>
      </x:c>
      <x:c r="B201" s="15" t="str">
        <x:v>1. GAIA - platform showing E2E product / customer quality status.</x:v>
      </x:c>
      <x:c r="C201" s="15" t="str">
        <x:v>BU Led</x:v>
      </x:c>
      <x:c r="D201" s="15" t="str">
        <x:v>Precision Diagnosis - Computed Tomography (CT)</x:v>
      </x:c>
      <x:c r="E201" s="19" t="n">
        <x:v>0.05</x:v>
      </x:c>
      <x:c r="F201" s="19" t="n">
        <x:v>0</x:v>
      </x:c>
      <x:c r="G201" s="22" t="n">
        <x:f>IF(AND(E201&gt;0,ISNUMBER(F201)),F201/E201,"")</x:f>
        <x:v>0</x:v>
      </x:c>
      <x:c r="H201" s="15" t="str">
        <x:v>Hygiene</x:v>
      </x:c>
      <x:c r="I201" s="15" t="n">
        <x:v>144</x:v>
      </x:c>
      <x:c r="J201" s="15" t="n">
        <x:v>5</x:v>
      </x:c>
      <x:c r="K201" s="23" t="n">
        <x:f>IF(G201="",0,IF(G201&lt;1,0,IF(G201&lt;2,20,IF(G201&lt;3,30,IF(G201&lt;5,40,50)))))*'Scenario Controls'!$B$22/50</x:f>
        <x:v>0</x:v>
      </x:c>
      <x:c r="L201" s="23" t="n">
        <x:f>IF(ISNUMBER(SEARCH("Must Do",AG201)),25,IF(ISNUMBER(SEARCH("Must Have",AG201)),18,IF(ISNUMBER(SEARCH("Deprior",AG201)),5,0)))*'Scenario Controls'!$B$23/25</x:f>
        <x:v>18</x:v>
      </x:c>
      <x:c r="M201" s="23" t="n">
        <x:f>J201*'Scenario Controls'!$B$24/15</x:f>
        <x:v>5</x:v>
      </x:c>
      <x:c r="N201" s="23" t="n">
        <x:f>IF(ISNUMBER(SEARCH("HEALTHY",X201)),10,IF(ISNUMBER(SEARCH("CONTAIN",X201)),6,0))*'Scenario Controls'!$B$25/10</x:f>
        <x:v>0</x:v>
      </x:c>
      <x:c r="O201" s="23" t="n">
        <x:f>SUM(K201:N201)</x:f>
        <x:v>23</x:v>
      </x:c>
      <x:c r="P201" s="15" t="str">
        <x:f>IF(OR(B201="",E201&lt;=0),"Evidence missing / not eligible",IF(ISNUMBER(SEARCH("priority TBD",Y201)),"Evidence missing / not eligible",IF(AND(H201="Carryover",NOT(ISNUMBER(F201))),"Evidence missing / not eligible",IF(AND(H201="Carryover",G201&lt;'Scenario Controls'!$B$16),"Evidence missing / not eligible",IF(AND(H201="ROI-Based Portfolio",NOT(ISNUMBER(F201))),"Evidence missing / not eligible",IF(AND(H201="ROI-Based Portfolio",O201&lt;'Scenario Controls'!$B$20),"Evidence missing / not eligible","Eligible"))))))</x:f>
        <x:v>Eligible</x:v>
      </x:c>
      <x:c r="Q201" s="19" t="n">
        <x:f>IF(P201&lt;&gt;"Eligible",0,IF(AND(SUMIFS($Q$5:Q200,$H$5:H200,H201)+E201&lt;=(IF(H201="LFR",'Scenario Controls'!$F$10,IF(H201="Sustain Engineering",'Scenario Controls'!$F$11,IF(H201="Hygiene",'Scenario Controls'!$F$12,1E+99))))*(1+'Scenario Controls'!$B$7),SUM($Q$5:Q200)+E201&lt;='Scenario Controls'!$B$6*(1+'Scenario Controls'!$B$7)),E201,0))</x:f>
        <x:v>0</x:v>
      </x:c>
      <x:c r="R201" s="24" t="str">
        <x:f>'BU Conference'!G91</x:f>
        <x:v>Automatic</x:v>
      </x:c>
      <x:c r="S201" s="24" t="str">
        <x:f>'BU Conference'!H91</x:f>
      </x:c>
      <x:c r="T201" s="19" t="n">
        <x:f>IF(R201="Exclude",0,IF(R201="Include",E201,Q201))</x:f>
        <x:v>0</x:v>
      </x:c>
      <x:c r="U201" s="15" t="str">
        <x:f>IF(T201&gt;0,"Funded",IF(P201="Eligible","Unfunded",P201))</x:f>
        <x:v>Unfunded</x:v>
      </x:c>
      <x:c r="V201" s="15" t="str">
        <x:f>IF(R201="Include","Conference inclusion: "&amp;S201,IF(R201="Exclude","Conference exclusion: "&amp;S201,IF(Q201&gt;0,H201&amp;" priority rank "&amp;I201&amp;"; whole initiative selected",P201)))</x:f>
        <x:v>Eligible</x:v>
      </x:c>
      <x:c r="W201" s="15" t="str">
        <x:v>Bu!453</x:v>
      </x:c>
      <x:c r="X201" s="15" t="str"/>
      <x:c r="Y201" s="15" t="str"/>
      <x:c r="Z201" s="15" t="str">
        <x:v>Continous Improvement</x:v>
      </x:c>
      <x:c r="AA201" s="15" t="str">
        <x:v>New Initiative</x:v>
      </x:c>
      <x:c r="AB201" s="15" t="str">
        <x:v>Group Functions &amp; Hyperautomation IT</x:v>
      </x:c>
      <x:c r="AC201" s="15" t="str"/>
      <x:c r="AD201" s="15" t="str"/>
      <x:c r="AE201" s="15" t="str">
        <x:v>E2E view for products / customer / part from quality metrix prespective. consolidatind data from Service , Design and manufacturing data systems , including AI capabilities to generate E2E view</x:v>
      </x:c>
      <x:c r="AF201" s="15" t="str">
        <x:v>E2E view for products / customer / part from quality metrix prespective. consolidatind data from Service , Design and manufacturing data systems , including AI capabilities to generate E2E view</x:v>
      </x:c>
      <x:c r="AG201" s="15" t="str">
        <x:v>Must Have</x:v>
      </x:c>
      <x:c r="AH201" s="15" t="n">
        <x:v>366</x:v>
      </x:c>
    </x:row>
    <x:row r="202">
      <x:c r="A202" s="15" t="str">
        <x:v>Bu-190</x:v>
      </x:c>
      <x:c r="B202" s="15" t="str">
        <x:v>2. Audit management tool</x:v>
      </x:c>
      <x:c r="C202" s="15" t="str">
        <x:v>BU Led</x:v>
      </x:c>
      <x:c r="D202" s="15" t="str">
        <x:v>Precision Diagnosis - Computed Tomography (CT)</x:v>
      </x:c>
      <x:c r="E202" s="19" t="n">
        <x:v>0.05</x:v>
      </x:c>
      <x:c r="F202" s="19" t="n">
        <x:v>0</x:v>
      </x:c>
      <x:c r="G202" s="22" t="n">
        <x:f>IF(AND(E202&gt;0,ISNUMBER(F202)),F202/E202,"")</x:f>
        <x:v>0</x:v>
      </x:c>
      <x:c r="H202" s="15" t="str">
        <x:v>Hygiene</x:v>
      </x:c>
      <x:c r="I202" s="15" t="n">
        <x:v>145</x:v>
      </x:c>
      <x:c r="J202" s="15" t="n">
        <x:v>5</x:v>
      </x:c>
      <x:c r="K202" s="23" t="n">
        <x:f>IF(G202="",0,IF(G202&lt;1,0,IF(G202&lt;2,20,IF(G202&lt;3,30,IF(G202&lt;5,40,50)))))*'Scenario Controls'!$B$22/50</x:f>
        <x:v>0</x:v>
      </x:c>
      <x:c r="L202" s="23" t="n">
        <x:f>IF(ISNUMBER(SEARCH("Must Do",AG202)),25,IF(ISNUMBER(SEARCH("Must Have",AG202)),18,IF(ISNUMBER(SEARCH("Deprior",AG202)),5,0)))*'Scenario Controls'!$B$23/25</x:f>
        <x:v>18</x:v>
      </x:c>
      <x:c r="M202" s="23" t="n">
        <x:f>J202*'Scenario Controls'!$B$24/15</x:f>
        <x:v>5</x:v>
      </x:c>
      <x:c r="N202" s="23" t="n">
        <x:f>IF(ISNUMBER(SEARCH("HEALTHY",X202)),10,IF(ISNUMBER(SEARCH("CONTAIN",X202)),6,0))*'Scenario Controls'!$B$25/10</x:f>
        <x:v>0</x:v>
      </x:c>
      <x:c r="O202" s="23" t="n">
        <x:f>SUM(K202:N202)</x:f>
        <x:v>23</x:v>
      </x:c>
      <x:c r="P202" s="15" t="str">
        <x:f>IF(OR(B202="",E202&lt;=0),"Evidence missing / not eligible",IF(ISNUMBER(SEARCH("priority TBD",Y202)),"Evidence missing / not eligible",IF(AND(H202="Carryover",NOT(ISNUMBER(F202))),"Evidence missing / not eligible",IF(AND(H202="Carryover",G202&lt;'Scenario Controls'!$B$16),"Evidence missing / not eligible",IF(AND(H202="ROI-Based Portfolio",NOT(ISNUMBER(F202))),"Evidence missing / not eligible",IF(AND(H202="ROI-Based Portfolio",O202&lt;'Scenario Controls'!$B$20),"Evidence missing / not eligible","Eligible"))))))</x:f>
        <x:v>Eligible</x:v>
      </x:c>
      <x:c r="Q202" s="19" t="n">
        <x:f>IF(P202&lt;&gt;"Eligible",0,IF(AND(SUMIFS($Q$5:Q201,$H$5:H201,H202)+E202&lt;=(IF(H202="LFR",'Scenario Controls'!$F$10,IF(H202="Sustain Engineering",'Scenario Controls'!$F$11,IF(H202="Hygiene",'Scenario Controls'!$F$12,1E+99))))*(1+'Scenario Controls'!$B$7),SUM($Q$5:Q201)+E202&lt;='Scenario Controls'!$B$6*(1+'Scenario Controls'!$B$7)),E202,0))</x:f>
        <x:v>0</x:v>
      </x:c>
      <x:c r="R202" s="24" t="str">
        <x:f>'BU Conference'!G92</x:f>
        <x:v>Automatic</x:v>
      </x:c>
      <x:c r="S202" s="24" t="str">
        <x:f>'BU Conference'!H92</x:f>
      </x:c>
      <x:c r="T202" s="19" t="n">
        <x:f>IF(R202="Exclude",0,IF(R202="Include",E202,Q202))</x:f>
        <x:v>0</x:v>
      </x:c>
      <x:c r="U202" s="15" t="str">
        <x:f>IF(T202&gt;0,"Funded",IF(P202="Eligible","Unfunded",P202))</x:f>
        <x:v>Unfunded</x:v>
      </x:c>
      <x:c r="V202" s="15" t="str">
        <x:f>IF(R202="Include","Conference inclusion: "&amp;S202,IF(R202="Exclude","Conference exclusion: "&amp;S202,IF(Q202&gt;0,H202&amp;" priority rank "&amp;I202&amp;"; whole initiative selected",P202)))</x:f>
        <x:v>Eligible</x:v>
      </x:c>
      <x:c r="W202" s="15" t="str">
        <x:v>Bu!454</x:v>
      </x:c>
      <x:c r="X202" s="15" t="str"/>
      <x:c r="Y202" s="15" t="str"/>
      <x:c r="Z202" s="15" t="str">
        <x:v>Continous Improvement</x:v>
      </x:c>
      <x:c r="AA202" s="15" t="str">
        <x:v>New Initiative</x:v>
      </x:c>
      <x:c r="AB202" s="15" t="str">
        <x:v>Portfolio IT</x:v>
      </x:c>
      <x:c r="AC202" s="15" t="str"/>
      <x:c r="AD202" s="15" t="str"/>
      <x:c r="AE202" s="15" t="str">
        <x:v>Audit management tool , better control, one stop shop, Improve audit preperations ,audit performace and post audit documentation . Toll operational. Focus on mass deployemnt, addint AI capabilities and storage / User capabilities</x:v>
      </x:c>
      <x:c r="AF202" s="15" t="str">
        <x:v>Audit management tool , better control, one stop shop, Improve audit preperations ,audit performace and post audit documentation . Toll operational. Focus on mass deployemnt, addint AI capabilities and storage / User capabilities</x:v>
      </x:c>
      <x:c r="AG202" s="15" t="str">
        <x:v>Must Have</x:v>
      </x:c>
      <x:c r="AH202" s="15" t="n">
        <x:v>367</x:v>
      </x:c>
    </x:row>
    <x:row r="203">
      <x:c r="A203" s="15" t="str">
        <x:v>Bu-249</x:v>
      </x:c>
      <x:c r="B203" s="15" t="str">
        <x:v>Placeholder</x:v>
      </x:c>
      <x:c r="C203" s="15" t="str">
        <x:v>BU Led</x:v>
      </x:c>
      <x:c r="D203" s="15" t="str">
        <x:v>Precision Diagnosis - Magnetic Resonance (MR)</x:v>
      </x:c>
      <x:c r="E203" s="19" t="n">
        <x:v>0.5</x:v>
      </x:c>
      <x:c r="F203" s="19" t="n">
        <x:v>0</x:v>
      </x:c>
      <x:c r="G203" s="22" t="n">
        <x:f>IF(AND(E203&gt;0,ISNUMBER(F203)),F203/E203,"")</x:f>
        <x:v>0</x:v>
      </x:c>
      <x:c r="H203" s="15" t="str">
        <x:v>Hygiene</x:v>
      </x:c>
      <x:c r="I203" s="15" t="n">
        <x:v>146</x:v>
      </x:c>
      <x:c r="J203" s="15" t="n">
        <x:v>5</x:v>
      </x:c>
      <x:c r="K203" s="23" t="n">
        <x:f>IF(G203="",0,IF(G203&lt;1,0,IF(G203&lt;2,20,IF(G203&lt;3,30,IF(G203&lt;5,40,50)))))*'Scenario Controls'!$B$22/50</x:f>
        <x:v>0</x:v>
      </x:c>
      <x:c r="L203" s="23" t="n">
        <x:f>IF(ISNUMBER(SEARCH("Must Do",AG203)),25,IF(ISNUMBER(SEARCH("Must Have",AG203)),18,IF(ISNUMBER(SEARCH("Deprior",AG203)),5,0)))*'Scenario Controls'!$B$23/25</x:f>
        <x:v>18</x:v>
      </x:c>
      <x:c r="M203" s="23" t="n">
        <x:f>J203*'Scenario Controls'!$B$24/15</x:f>
        <x:v>5</x:v>
      </x:c>
      <x:c r="N203" s="23" t="n">
        <x:f>IF(ISNUMBER(SEARCH("HEALTHY",X203)),10,IF(ISNUMBER(SEARCH("CONTAIN",X203)),6,0))*'Scenario Controls'!$B$25/10</x:f>
        <x:v>0</x:v>
      </x:c>
      <x:c r="O203" s="23" t="n">
        <x:f>SUM(K203:N203)</x:f>
        <x:v>23</x:v>
      </x:c>
      <x:c r="P203" s="15" t="str">
        <x:f>IF(OR(B203="",E203&lt;=0),"Evidence missing / not eligible",IF(ISNUMBER(SEARCH("priority TBD",Y203)),"Evidence missing / not eligible",IF(AND(H203="Carryover",NOT(ISNUMBER(F203))),"Evidence missing / not eligible",IF(AND(H203="Carryover",G203&lt;'Scenario Controls'!$B$16),"Evidence missing / not eligible",IF(AND(H203="ROI-Based Portfolio",NOT(ISNUMBER(F203))),"Evidence missing / not eligible",IF(AND(H203="ROI-Based Portfolio",O203&lt;'Scenario Controls'!$B$20),"Evidence missing / not eligible","Eligible"))))))</x:f>
        <x:v>Eligible</x:v>
      </x:c>
      <x:c r="Q203" s="19" t="n">
        <x:f>IF(P203&lt;&gt;"Eligible",0,IF(AND(SUMIFS($Q$5:Q202,$H$5:H202,H203)+E203&lt;=(IF(H203="LFR",'Scenario Controls'!$F$10,IF(H203="Sustain Engineering",'Scenario Controls'!$F$11,IF(H203="Hygiene",'Scenario Controls'!$F$12,1E+99))))*(1+'Scenario Controls'!$B$7),SUM($Q$5:Q202)+E203&lt;='Scenario Controls'!$B$6*(1+'Scenario Controls'!$B$7)),E203,0))</x:f>
        <x:v>0</x:v>
      </x:c>
      <x:c r="R203" s="24" t="str">
        <x:f>'BU Conference'!G93</x:f>
        <x:v>Automatic</x:v>
      </x:c>
      <x:c r="S203" s="24" t="str">
        <x:f>'BU Conference'!H93</x:f>
      </x:c>
      <x:c r="T203" s="19" t="n">
        <x:f>IF(R203="Exclude",0,IF(R203="Include",E203,Q203))</x:f>
        <x:v>0</x:v>
      </x:c>
      <x:c r="U203" s="15" t="str">
        <x:f>IF(T203&gt;0,"Funded",IF(P203="Eligible","Unfunded",P203))</x:f>
        <x:v>Unfunded</x:v>
      </x:c>
      <x:c r="V203" s="15" t="str">
        <x:f>IF(R203="Include","Conference inclusion: "&amp;S203,IF(R203="Exclude","Conference exclusion: "&amp;S203,IF(Q203&gt;0,H203&amp;" priority rank "&amp;I203&amp;"; whole initiative selected",P203)))</x:f>
        <x:v>Eligible</x:v>
      </x:c>
      <x:c r="W203" s="15" t="str">
        <x:v>Bu!557</x:v>
      </x:c>
      <x:c r="X203" s="15" t="str"/>
      <x:c r="Y203" s="15" t="str"/>
      <x:c r="Z203" s="15" t="str">
        <x:v>Continous Improvement</x:v>
      </x:c>
      <x:c r="AA203" s="15" t="str">
        <x:v>New Initiative</x:v>
      </x:c>
      <x:c r="AB203" s="15" t="str">
        <x:v>Integrated Supply Chain &amp; Finance</x:v>
      </x:c>
      <x:c r="AC203" s="15" t="str"/>
      <x:c r="AD203" s="15" t="str"/>
      <x:c r="AE203" s="15" t="str">
        <x:v>Reserve funding capacity for unforeseen critical IT initiatives in 2027, subject to defined scope, prioritization, business case, and governance approval.</x:v>
      </x:c>
      <x:c r="AF203" s="15" t="str">
        <x:v>Reserve funding capacity for unforeseen critical IT initiatives in 2027, subject to defined scope, prioritization, business case, and governance approval.</x:v>
      </x:c>
      <x:c r="AG203" s="15" t="str">
        <x:v>Must Have</x:v>
      </x:c>
      <x:c r="AH203" s="15" t="n">
        <x:v>429</x:v>
      </x:c>
    </x:row>
    <x:row r="204">
      <x:c r="A204" s="15" t="str">
        <x:v>Bu-250</x:v>
      </x:c>
      <x:c r="B204" s="15" t="str">
        <x:v>RFID for Outward Shipments</x:v>
      </x:c>
      <x:c r="C204" s="15" t="str">
        <x:v>BU Led</x:v>
      </x:c>
      <x:c r="D204" s="15" t="str">
        <x:v>Precision Diagnosis - Magnetic Resonance (MR)</x:v>
      </x:c>
      <x:c r="E204" s="19" t="n">
        <x:v>0.25</x:v>
      </x:c>
      <x:c r="F204" s="19" t="n">
        <x:v>0</x:v>
      </x:c>
      <x:c r="G204" s="22" t="n">
        <x:f>IF(AND(E204&gt;0,ISNUMBER(F204)),F204/E204,"")</x:f>
        <x:v>0</x:v>
      </x:c>
      <x:c r="H204" s="15" t="str">
        <x:v>Hygiene</x:v>
      </x:c>
      <x:c r="I204" s="15" t="n">
        <x:v>147</x:v>
      </x:c>
      <x:c r="J204" s="15" t="n">
        <x:v>5</x:v>
      </x:c>
      <x:c r="K204" s="23" t="n">
        <x:f>IF(G204="",0,IF(G204&lt;1,0,IF(G204&lt;2,20,IF(G204&lt;3,30,IF(G204&lt;5,40,50)))))*'Scenario Controls'!$B$22/50</x:f>
        <x:v>0</x:v>
      </x:c>
      <x:c r="L204" s="23" t="n">
        <x:f>IF(ISNUMBER(SEARCH("Must Do",AG204)),25,IF(ISNUMBER(SEARCH("Must Have",AG204)),18,IF(ISNUMBER(SEARCH("Deprior",AG204)),5,0)))*'Scenario Controls'!$B$23/25</x:f>
        <x:v>18</x:v>
      </x:c>
      <x:c r="M204" s="23" t="n">
        <x:f>J204*'Scenario Controls'!$B$24/15</x:f>
        <x:v>5</x:v>
      </x:c>
      <x:c r="N204" s="23" t="n">
        <x:f>IF(ISNUMBER(SEARCH("HEALTHY",X204)),10,IF(ISNUMBER(SEARCH("CONTAIN",X204)),6,0))*'Scenario Controls'!$B$25/10</x:f>
        <x:v>0</x:v>
      </x:c>
      <x:c r="O204" s="23" t="n">
        <x:f>SUM(K204:N204)</x:f>
        <x:v>23</x:v>
      </x:c>
      <x:c r="P204" s="15" t="str">
        <x:f>IF(OR(B204="",E204&lt;=0),"Evidence missing / not eligible",IF(ISNUMBER(SEARCH("priority TBD",Y204)),"Evidence missing / not eligible",IF(AND(H204="Carryover",NOT(ISNUMBER(F204))),"Evidence missing / not eligible",IF(AND(H204="Carryover",G204&lt;'Scenario Controls'!$B$16),"Evidence missing / not eligible",IF(AND(H204="ROI-Based Portfolio",NOT(ISNUMBER(F204))),"Evidence missing / not eligible",IF(AND(H204="ROI-Based Portfolio",O204&lt;'Scenario Controls'!$B$20),"Evidence missing / not eligible","Eligible"))))))</x:f>
        <x:v>Eligible</x:v>
      </x:c>
      <x:c r="Q204" s="19" t="n">
        <x:f>IF(P204&lt;&gt;"Eligible",0,IF(AND(SUMIFS($Q$5:Q203,$H$5:H203,H204)+E204&lt;=(IF(H204="LFR",'Scenario Controls'!$F$10,IF(H204="Sustain Engineering",'Scenario Controls'!$F$11,IF(H204="Hygiene",'Scenario Controls'!$F$12,1E+99))))*(1+'Scenario Controls'!$B$7),SUM($Q$5:Q203)+E204&lt;='Scenario Controls'!$B$6*(1+'Scenario Controls'!$B$7)),E204,0))</x:f>
        <x:v>0</x:v>
      </x:c>
      <x:c r="R204" s="24" t="str">
        <x:f>'BU Conference'!G94</x:f>
        <x:v>Automatic</x:v>
      </x:c>
      <x:c r="S204" s="24" t="str">
        <x:f>'BU Conference'!H94</x:f>
      </x:c>
      <x:c r="T204" s="19" t="n">
        <x:f>IF(R204="Exclude",0,IF(R204="Include",E204,Q204))</x:f>
        <x:v>0</x:v>
      </x:c>
      <x:c r="U204" s="15" t="str">
        <x:f>IF(T204&gt;0,"Funded",IF(P204="Eligible","Unfunded",P204))</x:f>
        <x:v>Unfunded</x:v>
      </x:c>
      <x:c r="V204" s="15" t="str">
        <x:f>IF(R204="Include","Conference inclusion: "&amp;S204,IF(R204="Exclude","Conference exclusion: "&amp;S204,IF(Q204&gt;0,H204&amp;" priority rank "&amp;I204&amp;"; whole initiative selected",P204)))</x:f>
        <x:v>Eligible</x:v>
      </x:c>
      <x:c r="W204" s="15" t="str">
        <x:v>Bu!558</x:v>
      </x:c>
      <x:c r="X204" s="15" t="str"/>
      <x:c r="Y204" s="15" t="str"/>
      <x:c r="Z204" s="15" t="str">
        <x:v>Continous Improvement</x:v>
      </x:c>
      <x:c r="AA204" s="15" t="str">
        <x:v>New Initiative</x:v>
      </x:c>
      <x:c r="AB204" s="15" t="str">
        <x:v>Integrated Supply Chain &amp; Finance</x:v>
      </x:c>
      <x:c r="AC204" s="15" t="str"/>
      <x:c r="AD204" s="15" t="str"/>
      <x:c r="AE204" s="15" t="str">
        <x:v>To have a real time tracking of the shipments crate/Packaging as its expensive, to also keep a track on the external tempretures,shock and humidity and ensure its safe from thefts</x:v>
      </x:c>
      <x:c r="AF204" s="15" t="str">
        <x:v>To have a real time tracking of the shipments crate/Packaging as its expensive, to also keep a track on the external tempretures,shock and humidity and ensure its safe from thefts</x:v>
      </x:c>
      <x:c r="AG204" s="15" t="str">
        <x:v>Must Have</x:v>
      </x:c>
      <x:c r="AH204" s="15" t="n">
        <x:v>430</x:v>
      </x:c>
    </x:row>
    <x:row r="205">
      <x:c r="A205" s="15" t="str">
        <x:v>Bu-281</x:v>
      </x:c>
      <x:c r="B205" s="15" t="str">
        <x:v>D3 Change Request</x:v>
      </x:c>
      <x:c r="C205" s="15" t="str">
        <x:v>BU Led</x:v>
      </x:c>
      <x:c r="D205" s="15" t="str">
        <x:v>Image Guided Therapy - Systems (IGT-S)</x:v>
      </x:c>
      <x:c r="E205" s="19" t="n">
        <x:v>0.1</x:v>
      </x:c>
      <x:c r="F205" s="19" t="n">
        <x:v>0</x:v>
      </x:c>
      <x:c r="G205" s="22" t="n">
        <x:f>IF(AND(E205&gt;0,ISNUMBER(F205)),F205/E205,"")</x:f>
        <x:v>0</x:v>
      </x:c>
      <x:c r="H205" s="15" t="str">
        <x:v>Hygiene</x:v>
      </x:c>
      <x:c r="I205" s="15" t="n">
        <x:v>148</x:v>
      </x:c>
      <x:c r="J205" s="15" t="n">
        <x:v>5</x:v>
      </x:c>
      <x:c r="K205" s="23" t="n">
        <x:f>IF(G205="",0,IF(G205&lt;1,0,IF(G205&lt;2,20,IF(G205&lt;3,30,IF(G205&lt;5,40,50)))))*'Scenario Controls'!$B$22/50</x:f>
        <x:v>0</x:v>
      </x:c>
      <x:c r="L205" s="23" t="n">
        <x:f>IF(ISNUMBER(SEARCH("Must Do",AG205)),25,IF(ISNUMBER(SEARCH("Must Have",AG205)),18,IF(ISNUMBER(SEARCH("Deprior",AG205)),5,0)))*'Scenario Controls'!$B$23/25</x:f>
        <x:v>18</x:v>
      </x:c>
      <x:c r="M205" s="23" t="n">
        <x:f>J205*'Scenario Controls'!$B$24/15</x:f>
        <x:v>5</x:v>
      </x:c>
      <x:c r="N205" s="23" t="n">
        <x:f>IF(ISNUMBER(SEARCH("HEALTHY",X205)),10,IF(ISNUMBER(SEARCH("CONTAIN",X205)),6,0))*'Scenario Controls'!$B$25/10</x:f>
        <x:v>0</x:v>
      </x:c>
      <x:c r="O205" s="23" t="n">
        <x:f>SUM(K205:N205)</x:f>
        <x:v>23</x:v>
      </x:c>
      <x:c r="P205" s="15" t="str">
        <x:f>IF(OR(B205="",E205&lt;=0),"Evidence missing / not eligible",IF(ISNUMBER(SEARCH("priority TBD",Y205)),"Evidence missing / not eligible",IF(AND(H205="Carryover",NOT(ISNUMBER(F205))),"Evidence missing / not eligible",IF(AND(H205="Carryover",G205&lt;'Scenario Controls'!$B$16),"Evidence missing / not eligible",IF(AND(H205="ROI-Based Portfolio",NOT(ISNUMBER(F205))),"Evidence missing / not eligible",IF(AND(H205="ROI-Based Portfolio",O205&lt;'Scenario Controls'!$B$20),"Evidence missing / not eligible","Eligible"))))))</x:f>
        <x:v>Eligible</x:v>
      </x:c>
      <x:c r="Q205" s="19" t="n">
        <x:f>IF(P205&lt;&gt;"Eligible",0,IF(AND(SUMIFS($Q$5:Q204,$H$5:H204,H205)+E205&lt;=(IF(H205="LFR",'Scenario Controls'!$F$10,IF(H205="Sustain Engineering",'Scenario Controls'!$F$11,IF(H205="Hygiene",'Scenario Controls'!$F$12,1E+99))))*(1+'Scenario Controls'!$B$7),SUM($Q$5:Q204)+E205&lt;='Scenario Controls'!$B$6*(1+'Scenario Controls'!$B$7)),E205,0))</x:f>
        <x:v>0</x:v>
      </x:c>
      <x:c r="R205" s="24" t="str">
        <x:f>'BU Conference'!G95</x:f>
        <x:v>Automatic</x:v>
      </x:c>
      <x:c r="S205" s="24" t="str">
        <x:f>'BU Conference'!H95</x:f>
      </x:c>
      <x:c r="T205" s="19" t="n">
        <x:f>IF(R205="Exclude",0,IF(R205="Include",E205,Q205))</x:f>
        <x:v>0</x:v>
      </x:c>
      <x:c r="U205" s="15" t="str">
        <x:f>IF(T205&gt;0,"Funded",IF(P205="Eligible","Unfunded",P205))</x:f>
        <x:v>Unfunded</x:v>
      </x:c>
      <x:c r="V205" s="15" t="str">
        <x:f>IF(R205="Include","Conference inclusion: "&amp;S205,IF(R205="Exclude","Conference exclusion: "&amp;S205,IF(Q205&gt;0,H205&amp;" priority rank "&amp;I205&amp;"; whole initiative selected",P205)))</x:f>
        <x:v>Eligible</x:v>
      </x:c>
      <x:c r="W205" s="15" t="str">
        <x:v>Bu!587</x:v>
      </x:c>
      <x:c r="X205" s="15" t="str"/>
      <x:c r="Y205" s="15" t="str"/>
      <x:c r="Z205" s="15" t="str">
        <x:v>Continous Improvement</x:v>
      </x:c>
      <x:c r="AA205" s="15" t="str">
        <x:v>New Initiative</x:v>
      </x:c>
      <x:c r="AB205" s="15" t="str">
        <x:v>Integrated Supply Chain &amp; Finance</x:v>
      </x:c>
      <x:c r="AC205" s="15" t="str">
        <x:v>N/A</x:v>
      </x:c>
      <x:c r="AD205" s="15" t="str">
        <x:v>Small budget to manage small change request</x:v>
      </x:c>
      <x:c r="AE205" s="15" t="str">
        <x:v>Small budget to manage small change request</x:v>
      </x:c>
      <x:c r="AF205" s="15" t="str">
        <x:v>N/A | Small budget to manage small change request | Small budget to manage small change request</x:v>
      </x:c>
      <x:c r="AG205" s="15" t="str">
        <x:v>Must Have</x:v>
      </x:c>
      <x:c r="AH205" s="15" t="n">
        <x:v>458</x:v>
      </x:c>
    </x:row>
    <x:row r="206">
      <x:c r="A206" s="15" t="str">
        <x:v>Bu-39</x:v>
      </x:c>
      <x:c r="B206" s="15" t="str">
        <x:v>09. Refurbishment: reverse set-up Supply Chain</x:v>
      </x:c>
      <x:c r="C206" s="15" t="str">
        <x:v>BU Led</x:v>
      </x:c>
      <x:c r="D206" s="15" t="str">
        <x:v>Personal Health (PH)</x:v>
      </x:c>
      <x:c r="E206" s="19" t="n">
        <x:v>0</x:v>
      </x:c>
      <x:c r="F206" s="19" t="n">
        <x:v>2.096</x:v>
      </x:c>
      <x:c r="G206" s="22" t="str">
        <x:f>IF(AND(E206&gt;0,ISNUMBER(F206)),F206/E206,"")</x:f>
      </x:c>
      <x:c r="H206" s="15" t="str">
        <x:v>Hygiene</x:v>
      </x:c>
      <x:c r="I206" s="15" t="n">
        <x:v>149</x:v>
      </x:c>
      <x:c r="J206" s="15" t="n">
        <x:v>0</x:v>
      </x:c>
      <x:c r="K206" s="23" t="n">
        <x:f>IF(G206="",0,IF(G206&lt;1,0,IF(G206&lt;2,20,IF(G206&lt;3,30,IF(G206&lt;5,40,50)))))*'Scenario Controls'!$B$22/50</x:f>
        <x:v>0</x:v>
      </x:c>
      <x:c r="L206" s="23" t="n">
        <x:f>IF(ISNUMBER(SEARCH("Must Do",AG206)),25,IF(ISNUMBER(SEARCH("Must Have",AG206)),18,IF(ISNUMBER(SEARCH("Deprior",AG206)),5,0)))*'Scenario Controls'!$B$23/25</x:f>
        <x:v>5</x:v>
      </x:c>
      <x:c r="M206" s="23" t="n">
        <x:f>J206*'Scenario Controls'!$B$24/15</x:f>
        <x:v>0</x:v>
      </x:c>
      <x:c r="N206" s="23" t="n">
        <x:f>IF(ISNUMBER(SEARCH("HEALTHY",X206)),10,IF(ISNUMBER(SEARCH("CONTAIN",X206)),6,0))*'Scenario Controls'!$B$25/10</x:f>
        <x:v>10</x:v>
      </x:c>
      <x:c r="O206" s="23" t="n">
        <x:f>SUM(K206:N206)</x:f>
        <x:v>15</x:v>
      </x:c>
      <x:c r="P206" s="15" t="str">
        <x:f>IF(OR(B206="",E206&lt;=0),"Evidence missing / not eligible",IF(ISNUMBER(SEARCH("priority TBD",Y206)),"Evidence missing / not eligible",IF(AND(H206="Carryover",NOT(ISNUMBER(F206))),"Evidence missing / not eligible",IF(AND(H206="Carryover",G206&lt;'Scenario Controls'!$B$16),"Evidence missing / not eligible",IF(AND(H206="ROI-Based Portfolio",NOT(ISNUMBER(F206))),"Evidence missing / not eligible",IF(AND(H206="ROI-Based Portfolio",O206&lt;'Scenario Controls'!$B$20),"Evidence missing / not eligible","Eligible"))))))</x:f>
        <x:v>Evidence missing / not eligible</x:v>
      </x:c>
      <x:c r="Q206" s="19" t="n">
        <x:f>IF(P206&lt;&gt;"Eligible",0,IF(AND(SUMIFS($Q$5:Q205,$H$5:H205,H206)+E206&lt;=(IF(H206="LFR",'Scenario Controls'!$F$10,IF(H206="Sustain Engineering",'Scenario Controls'!$F$11,IF(H206="Hygiene",'Scenario Controls'!$F$12,1E+99))))*(1+'Scenario Controls'!$B$7),SUM($Q$5:Q205)+E206&lt;='Scenario Controls'!$B$6*(1+'Scenario Controls'!$B$7)),E206,0))</x:f>
        <x:v>0</x:v>
      </x:c>
      <x:c r="R206" s="24" t="str">
        <x:f>'BU Conference'!G96</x:f>
        <x:v>Automatic</x:v>
      </x:c>
      <x:c r="S206" s="24" t="str">
        <x:f>'BU Conference'!H96</x:f>
      </x:c>
      <x:c r="T206" s="19" t="n">
        <x:f>IF(R206="Exclude",0,IF(R206="Include",E206,Q206))</x:f>
        <x:v>0</x:v>
      </x:c>
      <x:c r="U206" s="15" t="str">
        <x:f>IF(T206&gt;0,"Funded",IF(P206="Eligible","Unfunded",P206))</x:f>
        <x:v>Evidence missing / not eligible</x:v>
      </x:c>
      <x:c r="V206" s="15" t="str">
        <x:f>IF(R206="Include","Conference inclusion: "&amp;S206,IF(R206="Exclude","Conference exclusion: "&amp;S206,IF(Q206&gt;0,H206&amp;" priority rank "&amp;I206&amp;"; whole initiative selected",P206)))</x:f>
        <x:v>Evidence missing / not eligible</x:v>
      </x:c>
      <x:c r="W206" s="15" t="str">
        <x:v>Bu!108</x:v>
      </x:c>
      <x:c r="X206" s="15" t="str">
        <x:v>HEALTHY</x:v>
      </x:c>
      <x:c r="Y206" s="15" t="str">
        <x:v>HEALTHY — Rank in priority matrix</x:v>
      </x:c>
      <x:c r="Z206" s="15" t="str">
        <x:v>Continous Improvement</x:v>
      </x:c>
      <x:c r="AA206" s="15" t="str">
        <x:v>Carry Over</x:v>
      </x:c>
      <x:c r="AB206" s="15" t="str">
        <x:v>Integrated Supply Chain &amp; Finance</x:v>
      </x:c>
      <x:c r="AC206" s="15" t="str"/>
      <x:c r="AD206" s="15" t="str"/>
      <x:c r="AE206" s="15" t="str"/>
      <x:c r="AF206" s="15" t="str"/>
      <x:c r="AG206" s="15" t="str">
        <x:v>Deprioritised</x:v>
      </x:c>
      <x:c r="AH206" s="15" t="n">
        <x:v>224</x:v>
      </x:c>
    </x:row>
    <x:row r="207">
      <x:c r="A207" s="15" t="str">
        <x:v>Bu-220</x:v>
      </x:c>
      <x:c r="B207" s="15" t="str">
        <x:v>Education - TEDs - Docebo Migration</x:v>
      </x:c>
      <x:c r="C207" s="15" t="str">
        <x:v>BU Led</x:v>
      </x:c>
      <x:c r="D207" s="15" t="str">
        <x:v>Monitoring - HPM (MCH)</x:v>
      </x:c>
      <x:c r="E207" s="19" t="n">
        <x:v>0.396</x:v>
      </x:c>
      <x:c r="F207" s="19" t="n">
        <x:v>0</x:v>
      </x:c>
      <x:c r="G207" s="22" t="n">
        <x:f>IF(AND(E207&gt;0,ISNUMBER(F207)),F207/E207,"")</x:f>
        <x:v>0</x:v>
      </x:c>
      <x:c r="H207" s="15" t="str">
        <x:v>Hygiene</x:v>
      </x:c>
      <x:c r="I207" s="15" t="n">
        <x:v>150</x:v>
      </x:c>
      <x:c r="J207" s="15" t="n">
        <x:v>0</x:v>
      </x:c>
      <x:c r="K207" s="23" t="n">
        <x:f>IF(G207="",0,IF(G207&lt;1,0,IF(G207&lt;2,20,IF(G207&lt;3,30,IF(G207&lt;5,40,50)))))*'Scenario Controls'!$B$22/50</x:f>
        <x:v>0</x:v>
      </x:c>
      <x:c r="L207" s="23" t="n">
        <x:f>IF(ISNUMBER(SEARCH("Must Do",AG207)),25,IF(ISNUMBER(SEARCH("Must Have",AG207)),18,IF(ISNUMBER(SEARCH("Deprior",AG207)),5,0)))*'Scenario Controls'!$B$23/25</x:f>
        <x:v>0</x:v>
      </x:c>
      <x:c r="M207" s="23" t="n">
        <x:f>J207*'Scenario Controls'!$B$24/15</x:f>
        <x:v>0</x:v>
      </x:c>
      <x:c r="N207" s="23" t="n">
        <x:f>IF(ISNUMBER(SEARCH("HEALTHY",X207)),10,IF(ISNUMBER(SEARCH("CONTAIN",X207)),6,0))*'Scenario Controls'!$B$25/10</x:f>
        <x:v>10</x:v>
      </x:c>
      <x:c r="O207" s="23" t="n">
        <x:f>SUM(K207:N207)</x:f>
        <x:v>10</x:v>
      </x:c>
      <x:c r="P207" s="15" t="str">
        <x:f>IF(OR(B207="",E207&lt;=0),"Evidence missing / not eligible",IF(ISNUMBER(SEARCH("priority TBD",Y207)),"Evidence missing / not eligible",IF(AND(H207="Carryover",NOT(ISNUMBER(F207))),"Evidence missing / not eligible",IF(AND(H207="Carryover",G207&lt;'Scenario Controls'!$B$16),"Evidence missing / not eligible",IF(AND(H207="ROI-Based Portfolio",NOT(ISNUMBER(F207))),"Evidence missing / not eligible",IF(AND(H207="ROI-Based Portfolio",O207&lt;'Scenario Controls'!$B$20),"Evidence missing / not eligible","Eligible"))))))</x:f>
        <x:v>Eligible</x:v>
      </x:c>
      <x:c r="Q207" s="19" t="n">
        <x:f>IF(P207&lt;&gt;"Eligible",0,IF(AND(SUMIFS($Q$5:Q206,$H$5:H206,H207)+E207&lt;=(IF(H207="LFR",'Scenario Controls'!$F$10,IF(H207="Sustain Engineering",'Scenario Controls'!$F$11,IF(H207="Hygiene",'Scenario Controls'!$F$12,1E+99))))*(1+'Scenario Controls'!$B$7),SUM($Q$5:Q206)+E207&lt;='Scenario Controls'!$B$6*(1+'Scenario Controls'!$B$7)),E207,0))</x:f>
        <x:v>0</x:v>
      </x:c>
      <x:c r="R207" s="24" t="str">
        <x:f>'BU Conference'!G97</x:f>
        <x:v>Automatic</x:v>
      </x:c>
      <x:c r="S207" s="24" t="str">
        <x:f>'BU Conference'!H97</x:f>
      </x:c>
      <x:c r="T207" s="19" t="n">
        <x:f>IF(R207="Exclude",0,IF(R207="Include",E207,Q207))</x:f>
        <x:v>0</x:v>
      </x:c>
      <x:c r="U207" s="15" t="str">
        <x:f>IF(T207&gt;0,"Funded",IF(P207="Eligible","Unfunded",P207))</x:f>
        <x:v>Unfunded</x:v>
      </x:c>
      <x:c r="V207" s="15" t="str">
        <x:f>IF(R207="Include","Conference inclusion: "&amp;S207,IF(R207="Exclude","Conference exclusion: "&amp;S207,IF(Q207&gt;0,H207&amp;" priority rank "&amp;I207&amp;"; whole initiative selected",P207)))</x:f>
        <x:v>Eligible</x:v>
      </x:c>
      <x:c r="W207" s="15" t="str">
        <x:v>Bu!513</x:v>
      </x:c>
      <x:c r="X207" s="15" t="str">
        <x:v>HEALTHY</x:v>
      </x:c>
      <x:c r="Y207" s="15" t="str">
        <x:v>HEALTHY — Rank in priority matrix</x:v>
      </x:c>
      <x:c r="Z207" s="15" t="str">
        <x:v>Decomm/Replatforming</x:v>
      </x:c>
      <x:c r="AA207" s="15" t="str">
        <x:v>New Initiative</x:v>
      </x:c>
      <x:c r="AB207" s="15" t="str">
        <x:v>Services &amp; Solutions IT</x:v>
      </x:c>
      <x:c r="AC207" s="15" t="str"/>
      <x:c r="AD207" s="15" t="str"/>
      <x:c r="AE207" s="15" t="str"/>
      <x:c r="AF207" s="15" t="str"/>
      <x:c r="AG207" s="15" t="str"/>
      <x:c r="AH207" s="15" t="n">
        <x:v>397</x:v>
      </x:c>
    </x:row>
    <x:row r="208">
      <x:c r="A208" s="15" t="str">
        <x:v>EW-132</x:v>
      </x:c>
      <x:c r="B208" s="15" t="str">
        <x:v>SPC Data Re-platforming</x:v>
      </x:c>
      <x:c r="C208" s="15" t="str">
        <x:v>EW Led</x:v>
      </x:c>
      <x:c r="D208" s="15" t="str">
        <x:v>Information Technology</x:v>
      </x:c>
      <x:c r="E208" s="19" t="n">
        <x:v>0</x:v>
      </x:c>
      <x:c r="F208" s="19" t="n">
        <x:v>0</x:v>
      </x:c>
      <x:c r="G208" s="22" t="str">
        <x:f>IF(AND(E208&gt;0,ISNUMBER(F208)),F208/E208,"")</x:f>
      </x:c>
      <x:c r="H208" s="15" t="str">
        <x:v>Hygiene</x:v>
      </x:c>
      <x:c r="I208" s="15" t="n">
        <x:v>151</x:v>
      </x:c>
      <x:c r="J208" s="15" t="n">
        <x:v>0</x:v>
      </x:c>
      <x:c r="K208" s="23" t="n">
        <x:f>IF(G208="",0,IF(G208&lt;1,0,IF(G208&lt;2,20,IF(G208&lt;3,30,IF(G208&lt;5,40,50)))))*'Scenario Controls'!$B$22/50</x:f>
        <x:v>0</x:v>
      </x:c>
      <x:c r="L208" s="23" t="n">
        <x:f>IF(ISNUMBER(SEARCH("Must Do",AG208)),25,IF(ISNUMBER(SEARCH("Must Have",AG208)),18,IF(ISNUMBER(SEARCH("Deprior",AG208)),5,0)))*'Scenario Controls'!$B$23/25</x:f>
        <x:v>0</x:v>
      </x:c>
      <x:c r="M208" s="23" t="n">
        <x:f>J208*'Scenario Controls'!$B$24/15</x:f>
        <x:v>0</x:v>
      </x:c>
      <x:c r="N208" s="23" t="n">
        <x:f>IF(ISNUMBER(SEARCH("HEALTHY",X208)),10,IF(ISNUMBER(SEARCH("CONTAIN",X208)),6,0))*'Scenario Controls'!$B$25/10</x:f>
        <x:v>10</x:v>
      </x:c>
      <x:c r="O208" s="23" t="n">
        <x:f>SUM(K208:N208)</x:f>
        <x:v>10</x:v>
      </x:c>
      <x:c r="P208" s="15" t="str">
        <x:f>IF(OR(B208="",E208&lt;=0),"Evidence missing / not eligible",IF(ISNUMBER(SEARCH("priority TBD",Y208)),"Evidence missing / not eligible",IF(AND(H208="Carryover",NOT(ISNUMBER(F208))),"Evidence missing / not eligible",IF(AND(H208="Carryover",G208&lt;'Scenario Controls'!$B$16),"Evidence missing / not eligible",IF(AND(H208="ROI-Based Portfolio",NOT(ISNUMBER(F208))),"Evidence missing / not eligible",IF(AND(H208="ROI-Based Portfolio",O208&lt;'Scenario Controls'!$B$20),"Evidence missing / not eligible","Eligible"))))))</x:f>
        <x:v>Evidence missing / not eligible</x:v>
      </x:c>
      <x:c r="Q208" s="19" t="n">
        <x:f>IF(P208&lt;&gt;"Eligible",0,IF(AND(SUMIFS($Q$5:Q207,$H$5:H207,H208)+E208&lt;=(IF(H208="LFR",'Scenario Controls'!$F$10,IF(H208="Sustain Engineering",'Scenario Controls'!$F$11,IF(H208="Hygiene",'Scenario Controls'!$F$12,1E+99))))*(1+'Scenario Controls'!$B$7),SUM($Q$5:Q207)+E208&lt;='Scenario Controls'!$B$6*(1+'Scenario Controls'!$B$7)),E208,0))</x:f>
        <x:v>0</x:v>
      </x:c>
      <x:c r="R208" s="24" t="str">
        <x:f>'EW Conference'!G116</x:f>
        <x:v>Automatic</x:v>
      </x:c>
      <x:c r="S208" s="24" t="str">
        <x:f>'EW Conference'!H116</x:f>
      </x:c>
      <x:c r="T208" s="19" t="n">
        <x:f>IF(R208="Exclude",0,IF(R208="Include",E208,Q208))</x:f>
        <x:v>0</x:v>
      </x:c>
      <x:c r="U208" s="15" t="str">
        <x:f>IF(T208&gt;0,"Funded",IF(P208="Eligible","Unfunded",P208))</x:f>
        <x:v>Evidence missing / not eligible</x:v>
      </x:c>
      <x:c r="V208" s="15" t="str">
        <x:f>IF(R208="Include","Conference inclusion: "&amp;S208,IF(R208="Exclude","Conference exclusion: "&amp;S208,IF(Q208&gt;0,H208&amp;" priority rank "&amp;I208&amp;"; whole initiative selected",P208)))</x:f>
        <x:v>Evidence missing / not eligible</x:v>
      </x:c>
      <x:c r="W208" s="15" t="str">
        <x:v>EW!128</x:v>
      </x:c>
      <x:c r="X208" s="15" t="str">
        <x:v>HEALTHY</x:v>
      </x:c>
      <x:c r="Y208" s="15" t="str">
        <x:v>HEALTHY — Rank in priority matrix</x:v>
      </x:c>
      <x:c r="Z208" s="15" t="str">
        <x:v>Decomm/Replatforming</x:v>
      </x:c>
      <x:c r="AA208" s="15" t="str">
        <x:v>New Initiative</x:v>
      </x:c>
      <x:c r="AB208" s="15" t="str">
        <x:v>Services &amp; Solutions IT</x:v>
      </x:c>
      <x:c r="AC208" s="15" t="str"/>
      <x:c r="AD208" s="15" t="str"/>
      <x:c r="AE208" s="15" t="str"/>
      <x:c r="AF208" s="15" t="str"/>
      <x:c r="AG208" s="15" t="str"/>
      <x:c r="AH208" s="15" t="n">
        <x:v>130</x:v>
      </x:c>
    </x:row>
    <x:row r="209">
      <x:c r="A209" s="15" t="str">
        <x:v>Bu-219</x:v>
      </x:c>
      <x:c r="B209" s="15" t="str">
        <x:v>DUPLICATE - PSA/PS Cloud Migration(international)</x:v>
      </x:c>
      <x:c r="C209" s="15" t="str">
        <x:v>BU Led</x:v>
      </x:c>
      <x:c r="D209" s="15" t="str">
        <x:v>Monitoring - HPM (MCH)</x:v>
      </x:c>
      <x:c r="E209" s="19" t="n">
        <x:v>0</x:v>
      </x:c>
      <x:c r="F209" s="19" t="n">
        <x:v>0</x:v>
      </x:c>
      <x:c r="G209" s="22" t="str">
        <x:f>IF(AND(E209&gt;0,ISNUMBER(F209)),F209/E209,"")</x:f>
      </x:c>
      <x:c r="H209" s="15" t="str">
        <x:v>Hygiene</x:v>
      </x:c>
      <x:c r="I209" s="15" t="n">
        <x:v>152</x:v>
      </x:c>
      <x:c r="J209" s="15" t="n">
        <x:v>0</x:v>
      </x:c>
      <x:c r="K209" s="23" t="n">
        <x:f>IF(G209="",0,IF(G209&lt;1,0,IF(G209&lt;2,20,IF(G209&lt;3,30,IF(G209&lt;5,40,50)))))*'Scenario Controls'!$B$22/50</x:f>
        <x:v>0</x:v>
      </x:c>
      <x:c r="L209" s="23" t="n">
        <x:f>IF(ISNUMBER(SEARCH("Must Do",AG209)),25,IF(ISNUMBER(SEARCH("Must Have",AG209)),18,IF(ISNUMBER(SEARCH("Deprior",AG209)),5,0)))*'Scenario Controls'!$B$23/25</x:f>
        <x:v>5</x:v>
      </x:c>
      <x:c r="M209" s="23" t="n">
        <x:f>J209*'Scenario Controls'!$B$24/15</x:f>
        <x:v>0</x:v>
      </x:c>
      <x:c r="N209" s="23" t="n">
        <x:f>IF(ISNUMBER(SEARCH("HEALTHY",X209)),10,IF(ISNUMBER(SEARCH("CONTAIN",X209)),6,0))*'Scenario Controls'!$B$25/10</x:f>
        <x:v>0</x:v>
      </x:c>
      <x:c r="O209" s="23" t="n">
        <x:f>SUM(K209:N209)</x:f>
        <x:v>5</x:v>
      </x:c>
      <x:c r="P209" s="15" t="str">
        <x:f>IF(OR(B209="",E209&lt;=0),"Evidence missing / not eligible",IF(ISNUMBER(SEARCH("priority TBD",Y209)),"Evidence missing / not eligible",IF(AND(H209="Carryover",NOT(ISNUMBER(F209))),"Evidence missing / not eligible",IF(AND(H209="Carryover",G209&lt;'Scenario Controls'!$B$16),"Evidence missing / not eligible",IF(AND(H209="ROI-Based Portfolio",NOT(ISNUMBER(F209))),"Evidence missing / not eligible",IF(AND(H209="ROI-Based Portfolio",O209&lt;'Scenario Controls'!$B$20),"Evidence missing / not eligible","Eligible"))))))</x:f>
        <x:v>Evidence missing / not eligible</x:v>
      </x:c>
      <x:c r="Q209" s="19" t="n">
        <x:f>IF(P209&lt;&gt;"Eligible",0,IF(AND(SUMIFS($Q$5:Q208,$H$5:H208,H209)+E209&lt;=(IF(H209="LFR",'Scenario Controls'!$F$10,IF(H209="Sustain Engineering",'Scenario Controls'!$F$11,IF(H209="Hygiene",'Scenario Controls'!$F$12,1E+99))))*(1+'Scenario Controls'!$B$7),SUM($Q$5:Q208)+E209&lt;='Scenario Controls'!$B$6*(1+'Scenario Controls'!$B$7)),E209,0))</x:f>
        <x:v>0</x:v>
      </x:c>
      <x:c r="R209" s="24" t="str">
        <x:f>'BU Conference'!G98</x:f>
        <x:v>Automatic</x:v>
      </x:c>
      <x:c r="S209" s="24" t="str">
        <x:f>'BU Conference'!H98</x:f>
      </x:c>
      <x:c r="T209" s="19" t="n">
        <x:f>IF(R209="Exclude",0,IF(R209="Include",E209,Q209))</x:f>
        <x:v>0</x:v>
      </x:c>
      <x:c r="U209" s="15" t="str">
        <x:f>IF(T209&gt;0,"Funded",IF(P209="Eligible","Unfunded",P209))</x:f>
        <x:v>Evidence missing / not eligible</x:v>
      </x:c>
      <x:c r="V209" s="15" t="str">
        <x:f>IF(R209="Include","Conference inclusion: "&amp;S209,IF(R209="Exclude","Conference exclusion: "&amp;S209,IF(Q209&gt;0,H209&amp;" priority rank "&amp;I209&amp;"; whole initiative selected",P209)))</x:f>
        <x:v>Evidence missing / not eligible</x:v>
      </x:c>
      <x:c r="W209" s="15" t="str">
        <x:v>Bu!512</x:v>
      </x:c>
      <x:c r="X209" s="15" t="str"/>
      <x:c r="Y209" s="15" t="str"/>
      <x:c r="Z209" s="15" t="str">
        <x:v>Decomm/Replatforming</x:v>
      </x:c>
      <x:c r="AA209" s="15" t="str">
        <x:v>New Initiative</x:v>
      </x:c>
      <x:c r="AB209" s="15" t="str">
        <x:v>Services &amp; Solutions IT</x:v>
      </x:c>
      <x:c r="AC209" s="15" t="str"/>
      <x:c r="AD209" s="15" t="str"/>
      <x:c r="AE209" s="15" t="str"/>
      <x:c r="AF209" s="15" t="str"/>
      <x:c r="AG209" s="15" t="str">
        <x:v>Deprioritised</x:v>
      </x:c>
      <x:c r="AH209" s="15" t="n">
        <x:v>396</x:v>
      </x:c>
    </x:row>
    <x:row r="210">
      <x:c r="A210" s="15" t="str">
        <x:v>Bu-227</x:v>
      </x:c>
      <x:c r="B210" s="15" t="str">
        <x:v>DUPLICATE - Master Data and Data Quality</x:v>
      </x:c>
      <x:c r="C210" s="15" t="str">
        <x:v>BU Led</x:v>
      </x:c>
      <x:c r="D210" s="15" t="str">
        <x:v>Monitoring - HPM (MCH)</x:v>
      </x:c>
      <x:c r="E210" s="19" t="n">
        <x:v>0</x:v>
      </x:c>
      <x:c r="F210" s="19" t="n">
        <x:v>0</x:v>
      </x:c>
      <x:c r="G210" s="22" t="str">
        <x:f>IF(AND(E210&gt;0,ISNUMBER(F210)),F210/E210,"")</x:f>
      </x:c>
      <x:c r="H210" s="15" t="str">
        <x:v>Hygiene</x:v>
      </x:c>
      <x:c r="I210" s="15" t="n">
        <x:v>153</x:v>
      </x:c>
      <x:c r="J210" s="15" t="n">
        <x:v>0</x:v>
      </x:c>
      <x:c r="K210" s="23" t="n">
        <x:f>IF(G210="",0,IF(G210&lt;1,0,IF(G210&lt;2,20,IF(G210&lt;3,30,IF(G210&lt;5,40,50)))))*'Scenario Controls'!$B$22/50</x:f>
        <x:v>0</x:v>
      </x:c>
      <x:c r="L210" s="23" t="n">
        <x:f>IF(ISNUMBER(SEARCH("Must Do",AG210)),25,IF(ISNUMBER(SEARCH("Must Have",AG210)),18,IF(ISNUMBER(SEARCH("Deprior",AG210)),5,0)))*'Scenario Controls'!$B$23/25</x:f>
        <x:v>5</x:v>
      </x:c>
      <x:c r="M210" s="23" t="n">
        <x:f>J210*'Scenario Controls'!$B$24/15</x:f>
        <x:v>0</x:v>
      </x:c>
      <x:c r="N210" s="23" t="n">
        <x:f>IF(ISNUMBER(SEARCH("HEALTHY",X210)),10,IF(ISNUMBER(SEARCH("CONTAIN",X210)),6,0))*'Scenario Controls'!$B$25/10</x:f>
        <x:v>0</x:v>
      </x:c>
      <x:c r="O210" s="23" t="n">
        <x:f>SUM(K210:N210)</x:f>
        <x:v>5</x:v>
      </x:c>
      <x:c r="P210" s="15" t="str">
        <x:f>IF(OR(B210="",E210&lt;=0),"Evidence missing / not eligible",IF(ISNUMBER(SEARCH("priority TBD",Y210)),"Evidence missing / not eligible",IF(AND(H210="Carryover",NOT(ISNUMBER(F210))),"Evidence missing / not eligible",IF(AND(H210="Carryover",G210&lt;'Scenario Controls'!$B$16),"Evidence missing / not eligible",IF(AND(H210="ROI-Based Portfolio",NOT(ISNUMBER(F210))),"Evidence missing / not eligible",IF(AND(H210="ROI-Based Portfolio",O210&lt;'Scenario Controls'!$B$20),"Evidence missing / not eligible","Eligible"))))))</x:f>
        <x:v>Evidence missing / not eligible</x:v>
      </x:c>
      <x:c r="Q210" s="19" t="n">
        <x:f>IF(P210&lt;&gt;"Eligible",0,IF(AND(SUMIFS($Q$5:Q209,$H$5:H209,H210)+E210&lt;=(IF(H210="LFR",'Scenario Controls'!$F$10,IF(H210="Sustain Engineering",'Scenario Controls'!$F$11,IF(H210="Hygiene",'Scenario Controls'!$F$12,1E+99))))*(1+'Scenario Controls'!$B$7),SUM($Q$5:Q209)+E210&lt;='Scenario Controls'!$B$6*(1+'Scenario Controls'!$B$7)),E210,0))</x:f>
        <x:v>0</x:v>
      </x:c>
      <x:c r="R210" s="24" t="str">
        <x:f>'BU Conference'!G99</x:f>
        <x:v>Automatic</x:v>
      </x:c>
      <x:c r="S210" s="24" t="str">
        <x:f>'BU Conference'!H99</x:f>
      </x:c>
      <x:c r="T210" s="19" t="n">
        <x:f>IF(R210="Exclude",0,IF(R210="Include",E210,Q210))</x:f>
        <x:v>0</x:v>
      </x:c>
      <x:c r="U210" s="15" t="str">
        <x:f>IF(T210&gt;0,"Funded",IF(P210="Eligible","Unfunded",P210))</x:f>
        <x:v>Evidence missing / not eligible</x:v>
      </x:c>
      <x:c r="V210" s="15" t="str">
        <x:f>IF(R210="Include","Conference inclusion: "&amp;S210,IF(R210="Exclude","Conference exclusion: "&amp;S210,IF(Q210&gt;0,H210&amp;" priority rank "&amp;I210&amp;"; whole initiative selected",P210)))</x:f>
        <x:v>Evidence missing / not eligible</x:v>
      </x:c>
      <x:c r="W210" s="15" t="str">
        <x:v>Bu!522</x:v>
      </x:c>
      <x:c r="X210" s="15" t="str"/>
      <x:c r="Y210" s="15" t="str"/>
      <x:c r="Z210" s="15" t="str">
        <x:v>Continous Improvement</x:v>
      </x:c>
      <x:c r="AA210" s="15" t="str">
        <x:v>New Initiative</x:v>
      </x:c>
      <x:c r="AB210" s="15" t="str">
        <x:v>Enterprise Architecture, Data &amp; Integration</x:v>
      </x:c>
      <x:c r="AC210" s="15" t="str"/>
      <x:c r="AD210" s="15" t="str"/>
      <x:c r="AE210" s="15" t="str"/>
      <x:c r="AF210" s="15" t="str"/>
      <x:c r="AG210" s="15" t="str">
        <x:v>Deprioritised</x:v>
      </x:c>
      <x:c r="AH210" s="15" t="n">
        <x:v>406</x:v>
      </x:c>
    </x:row>
    <x:row r="211">
      <x:c r="A211" s="15" t="str">
        <x:v>Bu-296</x:v>
      </x:c>
      <x:c r="B211" s="15" t="str">
        <x:v>Direct Procurement – Digitalization &amp; Compliance (Horizontal)</x:v>
      </x:c>
      <x:c r="C211" s="15" t="str">
        <x:v>BU Led</x:v>
      </x:c>
      <x:c r="D211" s="15" t="str">
        <x:v>Personal Health (PH)</x:v>
      </x:c>
      <x:c r="E211" s="19" t="n">
        <x:v>0</x:v>
      </x:c>
      <x:c r="F211" s="19" t="n">
        <x:v>0</x:v>
      </x:c>
      <x:c r="G211" s="22" t="str">
        <x:f>IF(AND(E211&gt;0,ISNUMBER(F211)),F211/E211,"")</x:f>
      </x:c>
      <x:c r="H211" s="15" t="str">
        <x:v>Hygiene</x:v>
      </x:c>
      <x:c r="I211" s="15" t="n">
        <x:v>154</x:v>
      </x:c>
      <x:c r="J211" s="15" t="n">
        <x:v>0</x:v>
      </x:c>
      <x:c r="K211" s="23" t="n">
        <x:f>IF(G211="",0,IF(G211&lt;1,0,IF(G211&lt;2,20,IF(G211&lt;3,30,IF(G211&lt;5,40,50)))))*'Scenario Controls'!$B$22/50</x:f>
        <x:v>0</x:v>
      </x:c>
      <x:c r="L211" s="23" t="n">
        <x:f>IF(ISNUMBER(SEARCH("Must Do",AG211)),25,IF(ISNUMBER(SEARCH("Must Have",AG211)),18,IF(ISNUMBER(SEARCH("Deprior",AG211)),5,0)))*'Scenario Controls'!$B$23/25</x:f>
        <x:v>5</x:v>
      </x:c>
      <x:c r="M211" s="23" t="n">
        <x:f>J211*'Scenario Controls'!$B$24/15</x:f>
        <x:v>0</x:v>
      </x:c>
      <x:c r="N211" s="23" t="n">
        <x:f>IF(ISNUMBER(SEARCH("HEALTHY",X211)),10,IF(ISNUMBER(SEARCH("CONTAIN",X211)),6,0))*'Scenario Controls'!$B$25/10</x:f>
        <x:v>0</x:v>
      </x:c>
      <x:c r="O211" s="23" t="n">
        <x:f>SUM(K211:N211)</x:f>
        <x:v>5</x:v>
      </x:c>
      <x:c r="P211" s="15" t="str">
        <x:f>IF(OR(B211="",E211&lt;=0),"Evidence missing / not eligible",IF(ISNUMBER(SEARCH("priority TBD",Y211)),"Evidence missing / not eligible",IF(AND(H211="Carryover",NOT(ISNUMBER(F211))),"Evidence missing / not eligible",IF(AND(H211="Carryover",G211&lt;'Scenario Controls'!$B$16),"Evidence missing / not eligible",IF(AND(H211="ROI-Based Portfolio",NOT(ISNUMBER(F211))),"Evidence missing / not eligible",IF(AND(H211="ROI-Based Portfolio",O211&lt;'Scenario Controls'!$B$20),"Evidence missing / not eligible","Eligible"))))))</x:f>
        <x:v>Evidence missing / not eligible</x:v>
      </x:c>
      <x:c r="Q211" s="19" t="n">
        <x:f>IF(P211&lt;&gt;"Eligible",0,IF(AND(SUMIFS($Q$5:Q210,$H$5:H210,H211)+E211&lt;=(IF(H211="LFR",'Scenario Controls'!$F$10,IF(H211="Sustain Engineering",'Scenario Controls'!$F$11,IF(H211="Hygiene",'Scenario Controls'!$F$12,1E+99))))*(1+'Scenario Controls'!$B$7),SUM($Q$5:Q210)+E211&lt;='Scenario Controls'!$B$6*(1+'Scenario Controls'!$B$7)),E211,0))</x:f>
        <x:v>0</x:v>
      </x:c>
      <x:c r="R211" s="24" t="str">
        <x:f>'BU Conference'!G100</x:f>
        <x:v>Automatic</x:v>
      </x:c>
      <x:c r="S211" s="24" t="str">
        <x:f>'BU Conference'!H100</x:f>
      </x:c>
      <x:c r="T211" s="19" t="n">
        <x:f>IF(R211="Exclude",0,IF(R211="Include",E211,Q211))</x:f>
        <x:v>0</x:v>
      </x:c>
      <x:c r="U211" s="15" t="str">
        <x:f>IF(T211&gt;0,"Funded",IF(P211="Eligible","Unfunded",P211))</x:f>
        <x:v>Evidence missing / not eligible</x:v>
      </x:c>
      <x:c r="V211" s="15" t="str">
        <x:f>IF(R211="Include","Conference inclusion: "&amp;S211,IF(R211="Exclude","Conference exclusion: "&amp;S211,IF(Q211&gt;0,H211&amp;" priority rank "&amp;I211&amp;"; whole initiative selected",P211)))</x:f>
        <x:v>Evidence missing / not eligible</x:v>
      </x:c>
      <x:c r="W211" s="15" t="str">
        <x:v>Bu!619</x:v>
      </x:c>
      <x:c r="X211" s="15" t="str"/>
      <x:c r="Y211" s="15" t="str"/>
      <x:c r="Z211" s="15" t="str">
        <x:v>Decomm/Replatforming</x:v>
      </x:c>
      <x:c r="AA211" s="15" t="str">
        <x:v>New Initiative</x:v>
      </x:c>
      <x:c r="AB211" s="15" t="str"/>
      <x:c r="AC211" s="15" t="str"/>
      <x:c r="AD211" s="15" t="str"/>
      <x:c r="AE211" s="15" t="str"/>
      <x:c r="AF211" s="15" t="str"/>
      <x:c r="AG211" s="15" t="str">
        <x:v>Deprioritised</x:v>
      </x:c>
      <x:c r="AH211" s="15" t="n">
        <x:v>473</x:v>
      </x:c>
    </x:row>
    <x:row r="212">
      <x:c r="A212" s="15" t="str">
        <x:v>EW-94</x:v>
      </x:c>
      <x:c r="B212" s="15" t="str">
        <x:v>Automation of Certificate Lifecycle Management</x:v>
      </x:c>
      <x:c r="C212" s="15" t="str">
        <x:v>EW Led</x:v>
      </x:c>
      <x:c r="D212" s="15" t="str">
        <x:v>Information Technology</x:v>
      </x:c>
      <x:c r="E212" s="19" t="n">
        <x:v>0</x:v>
      </x:c>
      <x:c r="F212" s="19" t="n">
        <x:v>0</x:v>
      </x:c>
      <x:c r="G212" s="22" t="str">
        <x:f>IF(AND(E212&gt;0,ISNUMBER(F212)),F212/E212,"")</x:f>
      </x:c>
      <x:c r="H212" s="15" t="str">
        <x:v>Hygiene</x:v>
      </x:c>
      <x:c r="I212" s="15" t="n">
        <x:v>155</x:v>
      </x:c>
      <x:c r="J212" s="15" t="n">
        <x:v>0</x:v>
      </x:c>
      <x:c r="K212" s="23" t="n">
        <x:f>IF(G212="",0,IF(G212&lt;1,0,IF(G212&lt;2,20,IF(G212&lt;3,30,IF(G212&lt;5,40,50)))))*'Scenario Controls'!$B$22/50</x:f>
        <x:v>0</x:v>
      </x:c>
      <x:c r="L212" s="23" t="n">
        <x:f>IF(ISNUMBER(SEARCH("Must Do",AG212)),25,IF(ISNUMBER(SEARCH("Must Have",AG212)),18,IF(ISNUMBER(SEARCH("Deprior",AG212)),5,0)))*'Scenario Controls'!$B$23/25</x:f>
        <x:v>5</x:v>
      </x:c>
      <x:c r="M212" s="23" t="n">
        <x:f>J212*'Scenario Controls'!$B$24/15</x:f>
        <x:v>0</x:v>
      </x:c>
      <x:c r="N212" s="23" t="n">
        <x:f>IF(ISNUMBER(SEARCH("HEALTHY",X212)),10,IF(ISNUMBER(SEARCH("CONTAIN",X212)),6,0))*'Scenario Controls'!$B$25/10</x:f>
        <x:v>0</x:v>
      </x:c>
      <x:c r="O212" s="23" t="n">
        <x:f>SUM(K212:N212)</x:f>
        <x:v>5</x:v>
      </x:c>
      <x:c r="P212" s="15" t="str">
        <x:f>IF(OR(B212="",E212&lt;=0),"Evidence missing / not eligible",IF(ISNUMBER(SEARCH("priority TBD",Y212)),"Evidence missing / not eligible",IF(AND(H212="Carryover",NOT(ISNUMBER(F212))),"Evidence missing / not eligible",IF(AND(H212="Carryover",G212&lt;'Scenario Controls'!$B$16),"Evidence missing / not eligible",IF(AND(H212="ROI-Based Portfolio",NOT(ISNUMBER(F212))),"Evidence missing / not eligible",IF(AND(H212="ROI-Based Portfolio",O212&lt;'Scenario Controls'!$B$20),"Evidence missing / not eligible","Eligible"))))))</x:f>
        <x:v>Evidence missing / not eligible</x:v>
      </x:c>
      <x:c r="Q212" s="19" t="n">
        <x:f>IF(P212&lt;&gt;"Eligible",0,IF(AND(SUMIFS($Q$5:Q211,$H$5:H211,H212)+E212&lt;=(IF(H212="LFR",'Scenario Controls'!$F$10,IF(H212="Sustain Engineering",'Scenario Controls'!$F$11,IF(H212="Hygiene",'Scenario Controls'!$F$12,1E+99))))*(1+'Scenario Controls'!$B$7),SUM($Q$5:Q211)+E212&lt;='Scenario Controls'!$B$6*(1+'Scenario Controls'!$B$7)),E212,0))</x:f>
        <x:v>0</x:v>
      </x:c>
      <x:c r="R212" s="24" t="str">
        <x:f>'EW Conference'!G117</x:f>
        <x:v>Automatic</x:v>
      </x:c>
      <x:c r="S212" s="24" t="str">
        <x:f>'EW Conference'!H117</x:f>
      </x:c>
      <x:c r="T212" s="19" t="n">
        <x:f>IF(R212="Exclude",0,IF(R212="Include",E212,Q212))</x:f>
        <x:v>0</x:v>
      </x:c>
      <x:c r="U212" s="15" t="str">
        <x:f>IF(T212&gt;0,"Funded",IF(P212="Eligible","Unfunded",P212))</x:f>
        <x:v>Evidence missing / not eligible</x:v>
      </x:c>
      <x:c r="V212" s="15" t="str">
        <x:f>IF(R212="Include","Conference inclusion: "&amp;S212,IF(R212="Exclude","Conference exclusion: "&amp;S212,IF(Q212&gt;0,H212&amp;" priority rank "&amp;I212&amp;"; whole initiative selected",P212)))</x:f>
        <x:v>Evidence missing / not eligible</x:v>
      </x:c>
      <x:c r="W212" s="15" t="str">
        <x:v>EW!90</x:v>
      </x:c>
      <x:c r="X212" s="15" t="str"/>
      <x:c r="Y212" s="15" t="str"/>
      <x:c r="Z212" s="15" t="str">
        <x:v>Continuous Improvement</x:v>
      </x:c>
      <x:c r="AA212" s="15" t="str">
        <x:v>New Initiative</x:v>
      </x:c>
      <x:c r="AB212" s="15" t="str">
        <x:v>IT-Security,Risk&amp;Compliance</x:v>
      </x:c>
      <x:c r="AC212" s="15" t="str"/>
      <x:c r="AD212" s="15" t="str"/>
      <x:c r="AE212" s="15" t="str"/>
      <x:c r="AF212" s="15" t="str"/>
      <x:c r="AG212" s="15" t="str">
        <x:v>Deprioritised</x:v>
      </x:c>
      <x:c r="AH212" s="15" t="n">
        <x:v>92</x:v>
      </x:c>
    </x:row>
    <x:row r="213">
      <x:c r="A213" s="15" t="str">
        <x:v>EW-96</x:v>
      </x:c>
      <x:c r="B213" s="15" t="str"/>
      <x:c r="C213" s="15" t="str">
        <x:v>EW Led</x:v>
      </x:c>
      <x:c r="D213" s="15" t="str">
        <x:v>Information Technology</x:v>
      </x:c>
      <x:c r="E213" s="19" t="n">
        <x:v>0</x:v>
      </x:c>
      <x:c r="F213" s="19" t="n">
        <x:v>0</x:v>
      </x:c>
      <x:c r="G213" s="22" t="str">
        <x:f>IF(AND(E213&gt;0,ISNUMBER(F213)),F213/E213,"")</x:f>
      </x:c>
      <x:c r="H213" s="15" t="str">
        <x:v>Hygiene</x:v>
      </x:c>
      <x:c r="I213" s="15" t="n">
        <x:v>156</x:v>
      </x:c>
      <x:c r="J213" s="15" t="n">
        <x:v>5</x:v>
      </x:c>
      <x:c r="K213" s="23" t="n">
        <x:f>IF(G213="",0,IF(G213&lt;1,0,IF(G213&lt;2,20,IF(G213&lt;3,30,IF(G213&lt;5,40,50)))))*'Scenario Controls'!$B$22/50</x:f>
        <x:v>0</x:v>
      </x:c>
      <x:c r="L213" s="23" t="n">
        <x:f>IF(ISNUMBER(SEARCH("Must Do",AG213)),25,IF(ISNUMBER(SEARCH("Must Have",AG213)),18,IF(ISNUMBER(SEARCH("Deprior",AG213)),5,0)))*'Scenario Controls'!$B$23/25</x:f>
        <x:v>0</x:v>
      </x:c>
      <x:c r="M213" s="23" t="n">
        <x:f>J213*'Scenario Controls'!$B$24/15</x:f>
        <x:v>5</x:v>
      </x:c>
      <x:c r="N213" s="23" t="n">
        <x:f>IF(ISNUMBER(SEARCH("HEALTHY",X213)),10,IF(ISNUMBER(SEARCH("CONTAIN",X213)),6,0))*'Scenario Controls'!$B$25/10</x:f>
        <x:v>0</x:v>
      </x:c>
      <x:c r="O213" s="23" t="n">
        <x:f>SUM(K213:N213)</x:f>
        <x:v>5</x:v>
      </x:c>
      <x:c r="P213" s="15" t="str">
        <x:f>IF(OR(B213="",E213&lt;=0),"Evidence missing / not eligible",IF(ISNUMBER(SEARCH("priority TBD",Y213)),"Evidence missing / not eligible",IF(AND(H213="Carryover",NOT(ISNUMBER(F213))),"Evidence missing / not eligible",IF(AND(H213="Carryover",G213&lt;'Scenario Controls'!$B$16),"Evidence missing / not eligible",IF(AND(H213="ROI-Based Portfolio",NOT(ISNUMBER(F213))),"Evidence missing / not eligible",IF(AND(H213="ROI-Based Portfolio",O213&lt;'Scenario Controls'!$B$20),"Evidence missing / not eligible","Eligible"))))))</x:f>
        <x:v>Evidence missing / not eligible</x:v>
      </x:c>
      <x:c r="Q213" s="19" t="n">
        <x:f>IF(P213&lt;&gt;"Eligible",0,IF(AND(SUMIFS($Q$5:Q212,$H$5:H212,H213)+E213&lt;=(IF(H213="LFR",'Scenario Controls'!$F$10,IF(H213="Sustain Engineering",'Scenario Controls'!$F$11,IF(H213="Hygiene",'Scenario Controls'!$F$12,1E+99))))*(1+'Scenario Controls'!$B$7),SUM($Q$5:Q212)+E213&lt;='Scenario Controls'!$B$6*(1+'Scenario Controls'!$B$7)),E213,0))</x:f>
        <x:v>0</x:v>
      </x:c>
      <x:c r="R213" s="24" t="str">
        <x:f>'EW Conference'!G118</x:f>
        <x:v>Automatic</x:v>
      </x:c>
      <x:c r="S213" s="24" t="str">
        <x:f>'EW Conference'!H118</x:f>
      </x:c>
      <x:c r="T213" s="19" t="n">
        <x:f>IF(R213="Exclude",0,IF(R213="Include",E213,Q213))</x:f>
        <x:v>0</x:v>
      </x:c>
      <x:c r="U213" s="15" t="str">
        <x:f>IF(T213&gt;0,"Funded",IF(P213="Eligible","Unfunded",P213))</x:f>
        <x:v>Evidence missing / not eligible</x:v>
      </x:c>
      <x:c r="V213" s="15" t="str">
        <x:f>IF(R213="Include","Conference inclusion: "&amp;S213,IF(R213="Exclude","Conference exclusion: "&amp;S213,IF(Q213&gt;0,H213&amp;" priority rank "&amp;I213&amp;"; whole initiative selected",P213)))</x:f>
        <x:v>Evidence missing / not eligible</x:v>
      </x:c>
      <x:c r="W213" s="15" t="str">
        <x:v>EW!92</x:v>
      </x:c>
      <x:c r="X213" s="15" t="str"/>
      <x:c r="Y213" s="15" t="str"/>
      <x:c r="Z213" s="15" t="str">
        <x:v>Upgrades &amp; Enhancements</x:v>
      </x:c>
      <x:c r="AA213" s="15" t="str">
        <x:v>Carry Over</x:v>
      </x:c>
      <x:c r="AB213" s="15" t="str"/>
      <x:c r="AC213" s="15" t="str"/>
      <x:c r="AD213" s="15" t="str"/>
      <x:c r="AE213" s="15" t="str">
        <x:v>Global</x:v>
      </x:c>
      <x:c r="AF213" s="15" t="str">
        <x:v>Global</x:v>
      </x:c>
      <x:c r="AG213" s="15" t="str"/>
      <x:c r="AH213" s="15" t="n">
        <x:v>94</x:v>
      </x:c>
    </x:row>
    <x:row r="214">
      <x:c r="A214" s="15" t="str">
        <x:v>EW-130</x:v>
      </x:c>
      <x:c r="B214" s="15" t="str"/>
      <x:c r="C214" s="15" t="str">
        <x:v>EW Led</x:v>
      </x:c>
      <x:c r="D214" s="15" t="str">
        <x:v>Information Technology</x:v>
      </x:c>
      <x:c r="E214" s="19" t="n">
        <x:v>0</x:v>
      </x:c>
      <x:c r="F214" s="19" t="n">
        <x:v>0</x:v>
      </x:c>
      <x:c r="G214" s="22" t="str">
        <x:f>IF(AND(E214&gt;0,ISNUMBER(F214)),F214/E214,"")</x:f>
      </x:c>
      <x:c r="H214" s="15" t="str">
        <x:v>Hygiene</x:v>
      </x:c>
      <x:c r="I214" s="15" t="n">
        <x:v>157</x:v>
      </x:c>
      <x:c r="J214" s="15" t="n">
        <x:v>5</x:v>
      </x:c>
      <x:c r="K214" s="23" t="n">
        <x:f>IF(G214="",0,IF(G214&lt;1,0,IF(G214&lt;2,20,IF(G214&lt;3,30,IF(G214&lt;5,40,50)))))*'Scenario Controls'!$B$22/50</x:f>
        <x:v>0</x:v>
      </x:c>
      <x:c r="L214" s="23" t="n">
        <x:f>IF(ISNUMBER(SEARCH("Must Do",AG214)),25,IF(ISNUMBER(SEARCH("Must Have",AG214)),18,IF(ISNUMBER(SEARCH("Deprior",AG214)),5,0)))*'Scenario Controls'!$B$23/25</x:f>
        <x:v>0</x:v>
      </x:c>
      <x:c r="M214" s="23" t="n">
        <x:f>J214*'Scenario Controls'!$B$24/15</x:f>
        <x:v>5</x:v>
      </x:c>
      <x:c r="N214" s="23" t="n">
        <x:f>IF(ISNUMBER(SEARCH("HEALTHY",X214)),10,IF(ISNUMBER(SEARCH("CONTAIN",X214)),6,0))*'Scenario Controls'!$B$25/10</x:f>
        <x:v>0</x:v>
      </x:c>
      <x:c r="O214" s="23" t="n">
        <x:f>SUM(K214:N214)</x:f>
        <x:v>5</x:v>
      </x:c>
      <x:c r="P214" s="15" t="str">
        <x:f>IF(OR(B214="",E214&lt;=0),"Evidence missing / not eligible",IF(ISNUMBER(SEARCH("priority TBD",Y214)),"Evidence missing / not eligible",IF(AND(H214="Carryover",NOT(ISNUMBER(F214))),"Evidence missing / not eligible",IF(AND(H214="Carryover",G214&lt;'Scenario Controls'!$B$16),"Evidence missing / not eligible",IF(AND(H214="ROI-Based Portfolio",NOT(ISNUMBER(F214))),"Evidence missing / not eligible",IF(AND(H214="ROI-Based Portfolio",O214&lt;'Scenario Controls'!$B$20),"Evidence missing / not eligible","Eligible"))))))</x:f>
        <x:v>Evidence missing / not eligible</x:v>
      </x:c>
      <x:c r="Q214" s="19" t="n">
        <x:f>IF(P214&lt;&gt;"Eligible",0,IF(AND(SUMIFS($Q$5:Q213,$H$5:H213,H214)+E214&lt;=(IF(H214="LFR",'Scenario Controls'!$F$10,IF(H214="Sustain Engineering",'Scenario Controls'!$F$11,IF(H214="Hygiene",'Scenario Controls'!$F$12,1E+99))))*(1+'Scenario Controls'!$B$7),SUM($Q$5:Q213)+E214&lt;='Scenario Controls'!$B$6*(1+'Scenario Controls'!$B$7)),E214,0))</x:f>
        <x:v>0</x:v>
      </x:c>
      <x:c r="R214" s="24" t="str">
        <x:f>'EW Conference'!G119</x:f>
        <x:v>Automatic</x:v>
      </x:c>
      <x:c r="S214" s="24" t="str">
        <x:f>'EW Conference'!H119</x:f>
      </x:c>
      <x:c r="T214" s="19" t="n">
        <x:f>IF(R214="Exclude",0,IF(R214="Include",E214,Q214))</x:f>
        <x:v>0</x:v>
      </x:c>
      <x:c r="U214" s="15" t="str">
        <x:f>IF(T214&gt;0,"Funded",IF(P214="Eligible","Unfunded",P214))</x:f>
        <x:v>Evidence missing / not eligible</x:v>
      </x:c>
      <x:c r="V214" s="15" t="str">
        <x:f>IF(R214="Include","Conference inclusion: "&amp;S214,IF(R214="Exclude","Conference exclusion: "&amp;S214,IF(Q214&gt;0,H214&amp;" priority rank "&amp;I214&amp;"; whole initiative selected",P214)))</x:f>
        <x:v>Evidence missing / not eligible</x:v>
      </x:c>
      <x:c r="W214" s="15" t="str">
        <x:v>EW!126</x:v>
      </x:c>
      <x:c r="X214" s="15" t="str"/>
      <x:c r="Y214" s="15" t="str"/>
      <x:c r="Z214" s="15" t="str">
        <x:v>Upgrades &amp; Enhancements</x:v>
      </x:c>
      <x:c r="AA214" s="15" t="str"/>
      <x:c r="AB214" s="15" t="str"/>
      <x:c r="AC214" s="15" t="str"/>
      <x:c r="AD214" s="15" t="str">
        <x:v>Software vendors don’t provide support for older OS versions. Application testing is critical to perform OS upgrades without disrupting business</x:v>
      </x:c>
      <x:c r="AE214" s="15" t="str">
        <x:v>Global</x:v>
      </x:c>
      <x:c r="AF214" s="15" t="str">
        <x:v>Software vendors don’t provide support for older OS versions. Application testing is critical to perform OS upgrades without disrupting business | Global</x:v>
      </x:c>
      <x:c r="AG214" s="15" t="str"/>
      <x:c r="AH214" s="15" t="n">
        <x:v>128</x:v>
      </x:c>
    </x:row>
    <x:row r="215">
      <x:c r="A215" s="15" t="str">
        <x:v>EW-140</x:v>
      </x:c>
      <x:c r="B215" s="15" t="str"/>
      <x:c r="C215" s="15" t="str">
        <x:v>EW Led</x:v>
      </x:c>
      <x:c r="D215" s="15" t="str">
        <x:v>Information Technology</x:v>
      </x:c>
      <x:c r="E215" s="19" t="n">
        <x:v>0</x:v>
      </x:c>
      <x:c r="F215" s="19" t="n">
        <x:v>0</x:v>
      </x:c>
      <x:c r="G215" s="22" t="str">
        <x:f>IF(AND(E215&gt;0,ISNUMBER(F215)),F215/E215,"")</x:f>
      </x:c>
      <x:c r="H215" s="15" t="str">
        <x:v>Hygiene</x:v>
      </x:c>
      <x:c r="I215" s="15" t="n">
        <x:v>158</x:v>
      </x:c>
      <x:c r="J215" s="15" t="n">
        <x:v>5</x:v>
      </x:c>
      <x:c r="K215" s="23" t="n">
        <x:f>IF(G215="",0,IF(G215&lt;1,0,IF(G215&lt;2,20,IF(G215&lt;3,30,IF(G215&lt;5,40,50)))))*'Scenario Controls'!$B$22/50</x:f>
        <x:v>0</x:v>
      </x:c>
      <x:c r="L215" s="23" t="n">
        <x:f>IF(ISNUMBER(SEARCH("Must Do",AG215)),25,IF(ISNUMBER(SEARCH("Must Have",AG215)),18,IF(ISNUMBER(SEARCH("Deprior",AG215)),5,0)))*'Scenario Controls'!$B$23/25</x:f>
        <x:v>0</x:v>
      </x:c>
      <x:c r="M215" s="23" t="n">
        <x:f>J215*'Scenario Controls'!$B$24/15</x:f>
        <x:v>5</x:v>
      </x:c>
      <x:c r="N215" s="23" t="n">
        <x:f>IF(ISNUMBER(SEARCH("HEALTHY",X215)),10,IF(ISNUMBER(SEARCH("CONTAIN",X215)),6,0))*'Scenario Controls'!$B$25/10</x:f>
        <x:v>0</x:v>
      </x:c>
      <x:c r="O215" s="23" t="n">
        <x:f>SUM(K215:N215)</x:f>
        <x:v>5</x:v>
      </x:c>
      <x:c r="P215" s="15" t="str">
        <x:f>IF(OR(B215="",E215&lt;=0),"Evidence missing / not eligible",IF(ISNUMBER(SEARCH("priority TBD",Y215)),"Evidence missing / not eligible",IF(AND(H215="Carryover",NOT(ISNUMBER(F215))),"Evidence missing / not eligible",IF(AND(H215="Carryover",G215&lt;'Scenario Controls'!$B$16),"Evidence missing / not eligible",IF(AND(H215="ROI-Based Portfolio",NOT(ISNUMBER(F215))),"Evidence missing / not eligible",IF(AND(H215="ROI-Based Portfolio",O215&lt;'Scenario Controls'!$B$20),"Evidence missing / not eligible","Eligible"))))))</x:f>
        <x:v>Evidence missing / not eligible</x:v>
      </x:c>
      <x:c r="Q215" s="19" t="n">
        <x:f>IF(P215&lt;&gt;"Eligible",0,IF(AND(SUMIFS($Q$5:Q214,$H$5:H214,H215)+E215&lt;=(IF(H215="LFR",'Scenario Controls'!$F$10,IF(H215="Sustain Engineering",'Scenario Controls'!$F$11,IF(H215="Hygiene",'Scenario Controls'!$F$12,1E+99))))*(1+'Scenario Controls'!$B$7),SUM($Q$5:Q214)+E215&lt;='Scenario Controls'!$B$6*(1+'Scenario Controls'!$B$7)),E215,0))</x:f>
        <x:v>0</x:v>
      </x:c>
      <x:c r="R215" s="24" t="str">
        <x:f>'EW Conference'!G120</x:f>
        <x:v>Automatic</x:v>
      </x:c>
      <x:c r="S215" s="24" t="str">
        <x:f>'EW Conference'!H120</x:f>
      </x:c>
      <x:c r="T215" s="19" t="n">
        <x:f>IF(R215="Exclude",0,IF(R215="Include",E215,Q215))</x:f>
        <x:v>0</x:v>
      </x:c>
      <x:c r="U215" s="15" t="str">
        <x:f>IF(T215&gt;0,"Funded",IF(P215="Eligible","Unfunded",P215))</x:f>
        <x:v>Evidence missing / not eligible</x:v>
      </x:c>
      <x:c r="V215" s="15" t="str">
        <x:f>IF(R215="Include","Conference inclusion: "&amp;S215,IF(R215="Exclude","Conference exclusion: "&amp;S215,IF(Q215&gt;0,H215&amp;" priority rank "&amp;I215&amp;"; whole initiative selected",P215)))</x:f>
        <x:v>Evidence missing / not eligible</x:v>
      </x:c>
      <x:c r="W215" s="15" t="str">
        <x:v>EW!136</x:v>
      </x:c>
      <x:c r="X215" s="15" t="str"/>
      <x:c r="Y215" s="15" t="str"/>
      <x:c r="Z215" s="15" t="str">
        <x:v>Upgrades &amp; Enhancements</x:v>
      </x:c>
      <x:c r="AA215" s="15" t="str">
        <x:v>Carry Over</x:v>
      </x:c>
      <x:c r="AB215" s="15" t="str"/>
      <x:c r="AC215" s="15" t="str"/>
      <x:c r="AD215" s="15" t="str">
        <x:v>When Hardware goes out of support by OEM we need to refresh them with new lease contracts leading to lockin with vendors for another 5 years</x:v>
      </x:c>
      <x:c r="AE215" s="15" t="str">
        <x:v>Global</x:v>
      </x:c>
      <x:c r="AF215" s="15" t="str">
        <x:v>When Hardware goes out of support by OEM we need to refresh them with new lease contracts leading to lockin with vendors for another 5 years | Global</x:v>
      </x:c>
      <x:c r="AG215" s="15" t="str"/>
      <x:c r="AH215" s="15" t="n">
        <x:v>138</x:v>
      </x:c>
    </x:row>
    <x:row r="216">
      <x:c r="A216" s="15" t="str">
        <x:v>EW-141</x:v>
      </x:c>
      <x:c r="B216" s="15" t="str"/>
      <x:c r="C216" s="15" t="str">
        <x:v>EW Led</x:v>
      </x:c>
      <x:c r="D216" s="15" t="str">
        <x:v>Information Technology</x:v>
      </x:c>
      <x:c r="E216" s="19" t="n">
        <x:v>0</x:v>
      </x:c>
      <x:c r="F216" s="19" t="n">
        <x:v>0</x:v>
      </x:c>
      <x:c r="G216" s="22" t="str">
        <x:f>IF(AND(E216&gt;0,ISNUMBER(F216)),F216/E216,"")</x:f>
      </x:c>
      <x:c r="H216" s="15" t="str">
        <x:v>Hygiene</x:v>
      </x:c>
      <x:c r="I216" s="15" t="n">
        <x:v>159</x:v>
      </x:c>
      <x:c r="J216" s="15" t="n">
        <x:v>5</x:v>
      </x:c>
      <x:c r="K216" s="23" t="n">
        <x:f>IF(G216="",0,IF(G216&lt;1,0,IF(G216&lt;2,20,IF(G216&lt;3,30,IF(G216&lt;5,40,50)))))*'Scenario Controls'!$B$22/50</x:f>
        <x:v>0</x:v>
      </x:c>
      <x:c r="L216" s="23" t="n">
        <x:f>IF(ISNUMBER(SEARCH("Must Do",AG216)),25,IF(ISNUMBER(SEARCH("Must Have",AG216)),18,IF(ISNUMBER(SEARCH("Deprior",AG216)),5,0)))*'Scenario Controls'!$B$23/25</x:f>
        <x:v>0</x:v>
      </x:c>
      <x:c r="M216" s="23" t="n">
        <x:f>J216*'Scenario Controls'!$B$24/15</x:f>
        <x:v>5</x:v>
      </x:c>
      <x:c r="N216" s="23" t="n">
        <x:f>IF(ISNUMBER(SEARCH("HEALTHY",X216)),10,IF(ISNUMBER(SEARCH("CONTAIN",X216)),6,0))*'Scenario Controls'!$B$25/10</x:f>
        <x:v>0</x:v>
      </x:c>
      <x:c r="O216" s="23" t="n">
        <x:f>SUM(K216:N216)</x:f>
        <x:v>5</x:v>
      </x:c>
      <x:c r="P216" s="15" t="str">
        <x:f>IF(OR(B216="",E216&lt;=0),"Evidence missing / not eligible",IF(ISNUMBER(SEARCH("priority TBD",Y216)),"Evidence missing / not eligible",IF(AND(H216="Carryover",NOT(ISNUMBER(F216))),"Evidence missing / not eligible",IF(AND(H216="Carryover",G216&lt;'Scenario Controls'!$B$16),"Evidence missing / not eligible",IF(AND(H216="ROI-Based Portfolio",NOT(ISNUMBER(F216))),"Evidence missing / not eligible",IF(AND(H216="ROI-Based Portfolio",O216&lt;'Scenario Controls'!$B$20),"Evidence missing / not eligible","Eligible"))))))</x:f>
        <x:v>Evidence missing / not eligible</x:v>
      </x:c>
      <x:c r="Q216" s="19" t="n">
        <x:f>IF(P216&lt;&gt;"Eligible",0,IF(AND(SUMIFS($Q$5:Q215,$H$5:H215,H216)+E216&lt;=(IF(H216="LFR",'Scenario Controls'!$F$10,IF(H216="Sustain Engineering",'Scenario Controls'!$F$11,IF(H216="Hygiene",'Scenario Controls'!$F$12,1E+99))))*(1+'Scenario Controls'!$B$7),SUM($Q$5:Q215)+E216&lt;='Scenario Controls'!$B$6*(1+'Scenario Controls'!$B$7)),E216,0))</x:f>
        <x:v>0</x:v>
      </x:c>
      <x:c r="R216" s="24" t="str">
        <x:f>'EW Conference'!G121</x:f>
        <x:v>Automatic</x:v>
      </x:c>
      <x:c r="S216" s="24" t="str">
        <x:f>'EW Conference'!H121</x:f>
      </x:c>
      <x:c r="T216" s="19" t="n">
        <x:f>IF(R216="Exclude",0,IF(R216="Include",E216,Q216))</x:f>
        <x:v>0</x:v>
      </x:c>
      <x:c r="U216" s="15" t="str">
        <x:f>IF(T216&gt;0,"Funded",IF(P216="Eligible","Unfunded",P216))</x:f>
        <x:v>Evidence missing / not eligible</x:v>
      </x:c>
      <x:c r="V216" s="15" t="str">
        <x:f>IF(R216="Include","Conference inclusion: "&amp;S216,IF(R216="Exclude","Conference exclusion: "&amp;S216,IF(Q216&gt;0,H216&amp;" priority rank "&amp;I216&amp;"; whole initiative selected",P216)))</x:f>
        <x:v>Evidence missing / not eligible</x:v>
      </x:c>
      <x:c r="W216" s="15" t="str">
        <x:v>EW!137</x:v>
      </x:c>
      <x:c r="X216" s="15" t="str"/>
      <x:c r="Y216" s="15" t="str"/>
      <x:c r="Z216" s="15" t="str">
        <x:v>Upgrades &amp; Enhancements</x:v>
      </x:c>
      <x:c r="AA216" s="15" t="str">
        <x:v>Carry Over</x:v>
      </x:c>
      <x:c r="AB216" s="15" t="str"/>
      <x:c r="AC216" s="15" t="str"/>
      <x:c r="AD216" s="15" t="str">
        <x:v>When Hardware goes out of support by OEM we need to refresh them with new lease contracts leading to lockin with vendors for another 5 years</x:v>
      </x:c>
      <x:c r="AE216" s="15" t="str">
        <x:v>Global</x:v>
      </x:c>
      <x:c r="AF216" s="15" t="str">
        <x:v>When Hardware goes out of support by OEM we need to refresh them with new lease contracts leading to lockin with vendors for another 5 years | Global</x:v>
      </x:c>
      <x:c r="AG216" s="15" t="str"/>
      <x:c r="AH216" s="15" t="n">
        <x:v>139</x:v>
      </x:c>
    </x:row>
    <x:row r="217">
      <x:c r="A217" s="15" t="str">
        <x:v>Bu-123</x:v>
      </x:c>
      <x:c r="B217" s="15" t="str">
        <x:v>TrueContext replacement</x:v>
      </x:c>
      <x:c r="C217" s="15" t="str">
        <x:v>BU Led</x:v>
      </x:c>
      <x:c r="D217" s="15" t="str">
        <x:v>Service Transformation Office (STO)</x:v>
      </x:c>
      <x:c r="E217" s="19" t="n">
        <x:v>0.7</x:v>
      </x:c>
      <x:c r="F217" s="19" t="n">
        <x:v>0</x:v>
      </x:c>
      <x:c r="G217" s="22" t="n">
        <x:f>IF(AND(E217&gt;0,ISNUMBER(F217)),F217/E217,"")</x:f>
        <x:v>0</x:v>
      </x:c>
      <x:c r="H217" s="15" t="str">
        <x:v>Hygiene</x:v>
      </x:c>
      <x:c r="I217" s="15" t="n">
        <x:v>160</x:v>
      </x:c>
      <x:c r="J217" s="15" t="n">
        <x:v>0</x:v>
      </x:c>
      <x:c r="K217" s="23" t="n">
        <x:f>IF(G217="",0,IF(G217&lt;1,0,IF(G217&lt;2,20,IF(G217&lt;3,30,IF(G217&lt;5,40,50)))))*'Scenario Controls'!$B$22/50</x:f>
        <x:v>0</x:v>
      </x:c>
      <x:c r="L217" s="23" t="n">
        <x:f>IF(ISNUMBER(SEARCH("Must Do",AG217)),25,IF(ISNUMBER(SEARCH("Must Have",AG217)),18,IF(ISNUMBER(SEARCH("Deprior",AG217)),5,0)))*'Scenario Controls'!$B$23/25</x:f>
        <x:v>0</x:v>
      </x:c>
      <x:c r="M217" s="23" t="n">
        <x:f>J217*'Scenario Controls'!$B$24/15</x:f>
        <x:v>0</x:v>
      </x:c>
      <x:c r="N217" s="23" t="n">
        <x:f>IF(ISNUMBER(SEARCH("HEALTHY",X217)),10,IF(ISNUMBER(SEARCH("CONTAIN",X217)),6,0))*'Scenario Controls'!$B$25/10</x:f>
        <x:v>0</x:v>
      </x:c>
      <x:c r="O217" s="23" t="n">
        <x:f>SUM(K217:N217)</x:f>
        <x:v>0</x:v>
      </x:c>
      <x:c r="P217" s="15" t="str">
        <x:f>IF(OR(B217="",E217&lt;=0),"Evidence missing / not eligible",IF(ISNUMBER(SEARCH("priority TBD",Y217)),"Evidence missing / not eligible",IF(AND(H217="Carryover",NOT(ISNUMBER(F217))),"Evidence missing / not eligible",IF(AND(H217="Carryover",G217&lt;'Scenario Controls'!$B$16),"Evidence missing / not eligible",IF(AND(H217="ROI-Based Portfolio",NOT(ISNUMBER(F217))),"Evidence missing / not eligible",IF(AND(H217="ROI-Based Portfolio",O217&lt;'Scenario Controls'!$B$20),"Evidence missing / not eligible","Eligible"))))))</x:f>
        <x:v>Eligible</x:v>
      </x:c>
      <x:c r="Q217" s="19" t="n">
        <x:f>IF(P217&lt;&gt;"Eligible",0,IF(AND(SUMIFS($Q$5:Q216,$H$5:H216,H217)+E217&lt;=(IF(H217="LFR",'Scenario Controls'!$F$10,IF(H217="Sustain Engineering",'Scenario Controls'!$F$11,IF(H217="Hygiene",'Scenario Controls'!$F$12,1E+99))))*(1+'Scenario Controls'!$B$7),SUM($Q$5:Q216)+E217&lt;='Scenario Controls'!$B$6*(1+'Scenario Controls'!$B$7)),E217,0))</x:f>
        <x:v>0</x:v>
      </x:c>
      <x:c r="R217" s="24" t="str">
        <x:f>'BU Conference'!G101</x:f>
        <x:v>Automatic</x:v>
      </x:c>
      <x:c r="S217" s="24" t="str">
        <x:f>'BU Conference'!H101</x:f>
      </x:c>
      <x:c r="T217" s="19" t="n">
        <x:f>IF(R217="Exclude",0,IF(R217="Include",E217,Q217))</x:f>
        <x:v>0</x:v>
      </x:c>
      <x:c r="U217" s="15" t="str">
        <x:f>IF(T217&gt;0,"Funded",IF(P217="Eligible","Unfunded",P217))</x:f>
        <x:v>Unfunded</x:v>
      </x:c>
      <x:c r="V217" s="15" t="str">
        <x:f>IF(R217="Include","Conference inclusion: "&amp;S217,IF(R217="Exclude","Conference exclusion: "&amp;S217,IF(Q217&gt;0,H217&amp;" priority rank "&amp;I217&amp;"; whole initiative selected",P217)))</x:f>
        <x:v>Eligible</x:v>
      </x:c>
      <x:c r="W217" s="15" t="str">
        <x:v>Bu!300</x:v>
      </x:c>
      <x:c r="X217" s="15" t="str"/>
      <x:c r="Y217" s="15" t="str"/>
      <x:c r="Z217" s="15" t="str">
        <x:v>Decomm/Replatforming</x:v>
      </x:c>
      <x:c r="AA217" s="15" t="str">
        <x:v>New Initiative</x:v>
      </x:c>
      <x:c r="AB217" s="15" t="str">
        <x:v>Services &amp; Solutions IT</x:v>
      </x:c>
      <x:c r="AC217" s="15" t="str"/>
      <x:c r="AD217" s="15" t="str"/>
      <x:c r="AE217" s="15" t="str"/>
      <x:c r="AF217" s="15" t="str"/>
      <x:c r="AG217" s="15" t="str"/>
      <x:c r="AH217" s="15" t="n">
        <x:v>300</x:v>
      </x:c>
    </x:row>
    <x:row r="218">
      <x:c r="A218" s="15" t="str">
        <x:v>Bu-124</x:v>
      </x:c>
      <x:c r="B218" s="15" t="str">
        <x:v>Decisions replacement</x:v>
      </x:c>
      <x:c r="C218" s="15" t="str">
        <x:v>BU Led</x:v>
      </x:c>
      <x:c r="D218" s="15" t="str">
        <x:v>Service Transformation Office (STO)</x:v>
      </x:c>
      <x:c r="E218" s="19" t="n">
        <x:v>0.1</x:v>
      </x:c>
      <x:c r="F218" s="19" t="n">
        <x:v>0</x:v>
      </x:c>
      <x:c r="G218" s="22" t="n">
        <x:f>IF(AND(E218&gt;0,ISNUMBER(F218)),F218/E218,"")</x:f>
        <x:v>0</x:v>
      </x:c>
      <x:c r="H218" s="15" t="str">
        <x:v>Hygiene</x:v>
      </x:c>
      <x:c r="I218" s="15" t="n">
        <x:v>161</x:v>
      </x:c>
      <x:c r="J218" s="15" t="n">
        <x:v>0</x:v>
      </x:c>
      <x:c r="K218" s="23" t="n">
        <x:f>IF(G218="",0,IF(G218&lt;1,0,IF(G218&lt;2,20,IF(G218&lt;3,30,IF(G218&lt;5,40,50)))))*'Scenario Controls'!$B$22/50</x:f>
        <x:v>0</x:v>
      </x:c>
      <x:c r="L218" s="23" t="n">
        <x:f>IF(ISNUMBER(SEARCH("Must Do",AG218)),25,IF(ISNUMBER(SEARCH("Must Have",AG218)),18,IF(ISNUMBER(SEARCH("Deprior",AG218)),5,0)))*'Scenario Controls'!$B$23/25</x:f>
        <x:v>0</x:v>
      </x:c>
      <x:c r="M218" s="23" t="n">
        <x:f>J218*'Scenario Controls'!$B$24/15</x:f>
        <x:v>0</x:v>
      </x:c>
      <x:c r="N218" s="23" t="n">
        <x:f>IF(ISNUMBER(SEARCH("HEALTHY",X218)),10,IF(ISNUMBER(SEARCH("CONTAIN",X218)),6,0))*'Scenario Controls'!$B$25/10</x:f>
        <x:v>0</x:v>
      </x:c>
      <x:c r="O218" s="23" t="n">
        <x:f>SUM(K218:N218)</x:f>
        <x:v>0</x:v>
      </x:c>
      <x:c r="P218" s="15" t="str">
        <x:f>IF(OR(B218="",E218&lt;=0),"Evidence missing / not eligible",IF(ISNUMBER(SEARCH("priority TBD",Y218)),"Evidence missing / not eligible",IF(AND(H218="Carryover",NOT(ISNUMBER(F218))),"Evidence missing / not eligible",IF(AND(H218="Carryover",G218&lt;'Scenario Controls'!$B$16),"Evidence missing / not eligible",IF(AND(H218="ROI-Based Portfolio",NOT(ISNUMBER(F218))),"Evidence missing / not eligible",IF(AND(H218="ROI-Based Portfolio",O218&lt;'Scenario Controls'!$B$20),"Evidence missing / not eligible","Eligible"))))))</x:f>
        <x:v>Eligible</x:v>
      </x:c>
      <x:c r="Q218" s="19" t="n">
        <x:f>IF(P218&lt;&gt;"Eligible",0,IF(AND(SUMIFS($Q$5:Q217,$H$5:H217,H218)+E218&lt;=(IF(H218="LFR",'Scenario Controls'!$F$10,IF(H218="Sustain Engineering",'Scenario Controls'!$F$11,IF(H218="Hygiene",'Scenario Controls'!$F$12,1E+99))))*(1+'Scenario Controls'!$B$7),SUM($Q$5:Q217)+E218&lt;='Scenario Controls'!$B$6*(1+'Scenario Controls'!$B$7)),E218,0))</x:f>
        <x:v>0</x:v>
      </x:c>
      <x:c r="R218" s="24" t="str">
        <x:f>'BU Conference'!G102</x:f>
        <x:v>Automatic</x:v>
      </x:c>
      <x:c r="S218" s="24" t="str">
        <x:f>'BU Conference'!H102</x:f>
      </x:c>
      <x:c r="T218" s="19" t="n">
        <x:f>IF(R218="Exclude",0,IF(R218="Include",E218,Q218))</x:f>
        <x:v>0</x:v>
      </x:c>
      <x:c r="U218" s="15" t="str">
        <x:f>IF(T218&gt;0,"Funded",IF(P218="Eligible","Unfunded",P218))</x:f>
        <x:v>Unfunded</x:v>
      </x:c>
      <x:c r="V218" s="15" t="str">
        <x:f>IF(R218="Include","Conference inclusion: "&amp;S218,IF(R218="Exclude","Conference exclusion: "&amp;S218,IF(Q218&gt;0,H218&amp;" priority rank "&amp;I218&amp;"; whole initiative selected",P218)))</x:f>
        <x:v>Eligible</x:v>
      </x:c>
      <x:c r="W218" s="15" t="str">
        <x:v>Bu!301</x:v>
      </x:c>
      <x:c r="X218" s="15" t="str"/>
      <x:c r="Y218" s="15" t="str"/>
      <x:c r="Z218" s="15" t="str">
        <x:v>Decomm/Replatforming</x:v>
      </x:c>
      <x:c r="AA218" s="15" t="str">
        <x:v>New Initiative</x:v>
      </x:c>
      <x:c r="AB218" s="15" t="str">
        <x:v>Services &amp; Solutions IT</x:v>
      </x:c>
      <x:c r="AC218" s="15" t="str"/>
      <x:c r="AD218" s="15" t="str"/>
      <x:c r="AE218" s="15" t="str"/>
      <x:c r="AF218" s="15" t="str"/>
      <x:c r="AG218" s="15" t="str"/>
      <x:c r="AH218" s="15" t="n">
        <x:v>301</x:v>
      </x:c>
    </x:row>
    <x:row r="219">
      <x:c r="A219" s="15" t="str">
        <x:v>Bu-125</x:v>
      </x:c>
      <x:c r="B219" s="15" t="str">
        <x:v>PS Cloud replacement</x:v>
      </x:c>
      <x:c r="C219" s="15" t="str">
        <x:v>BU Led</x:v>
      </x:c>
      <x:c r="D219" s="15" t="str">
        <x:v>Service Transformation Office (STO)</x:v>
      </x:c>
      <x:c r="E219" s="19" t="n">
        <x:v>0.7</x:v>
      </x:c>
      <x:c r="F219" s="19" t="n">
        <x:v>0</x:v>
      </x:c>
      <x:c r="G219" s="22" t="n">
        <x:f>IF(AND(E219&gt;0,ISNUMBER(F219)),F219/E219,"")</x:f>
        <x:v>0</x:v>
      </x:c>
      <x:c r="H219" s="15" t="str">
        <x:v>Hygiene</x:v>
      </x:c>
      <x:c r="I219" s="15" t="n">
        <x:v>162</x:v>
      </x:c>
      <x:c r="J219" s="15" t="n">
        <x:v>0</x:v>
      </x:c>
      <x:c r="K219" s="23" t="n">
        <x:f>IF(G219="",0,IF(G219&lt;1,0,IF(G219&lt;2,20,IF(G219&lt;3,30,IF(G219&lt;5,40,50)))))*'Scenario Controls'!$B$22/50</x:f>
        <x:v>0</x:v>
      </x:c>
      <x:c r="L219" s="23" t="n">
        <x:f>IF(ISNUMBER(SEARCH("Must Do",AG219)),25,IF(ISNUMBER(SEARCH("Must Have",AG219)),18,IF(ISNUMBER(SEARCH("Deprior",AG219)),5,0)))*'Scenario Controls'!$B$23/25</x:f>
        <x:v>0</x:v>
      </x:c>
      <x:c r="M219" s="23" t="n">
        <x:f>J219*'Scenario Controls'!$B$24/15</x:f>
        <x:v>0</x:v>
      </x:c>
      <x:c r="N219" s="23" t="n">
        <x:f>IF(ISNUMBER(SEARCH("HEALTHY",X219)),10,IF(ISNUMBER(SEARCH("CONTAIN",X219)),6,0))*'Scenario Controls'!$B$25/10</x:f>
        <x:v>0</x:v>
      </x:c>
      <x:c r="O219" s="23" t="n">
        <x:f>SUM(K219:N219)</x:f>
        <x:v>0</x:v>
      </x:c>
      <x:c r="P219" s="15" t="str">
        <x:f>IF(OR(B219="",E219&lt;=0),"Evidence missing / not eligible",IF(ISNUMBER(SEARCH("priority TBD",Y219)),"Evidence missing / not eligible",IF(AND(H219="Carryover",NOT(ISNUMBER(F219))),"Evidence missing / not eligible",IF(AND(H219="Carryover",G219&lt;'Scenario Controls'!$B$16),"Evidence missing / not eligible",IF(AND(H219="ROI-Based Portfolio",NOT(ISNUMBER(F219))),"Evidence missing / not eligible",IF(AND(H219="ROI-Based Portfolio",O219&lt;'Scenario Controls'!$B$20),"Evidence missing / not eligible","Eligible"))))))</x:f>
        <x:v>Eligible</x:v>
      </x:c>
      <x:c r="Q219" s="19" t="n">
        <x:f>IF(P219&lt;&gt;"Eligible",0,IF(AND(SUMIFS($Q$5:Q218,$H$5:H218,H219)+E219&lt;=(IF(H219="LFR",'Scenario Controls'!$F$10,IF(H219="Sustain Engineering",'Scenario Controls'!$F$11,IF(H219="Hygiene",'Scenario Controls'!$F$12,1E+99))))*(1+'Scenario Controls'!$B$7),SUM($Q$5:Q218)+E219&lt;='Scenario Controls'!$B$6*(1+'Scenario Controls'!$B$7)),E219,0))</x:f>
        <x:v>0</x:v>
      </x:c>
      <x:c r="R219" s="24" t="str">
        <x:f>'BU Conference'!G103</x:f>
        <x:v>Automatic</x:v>
      </x:c>
      <x:c r="S219" s="24" t="str">
        <x:f>'BU Conference'!H103</x:f>
      </x:c>
      <x:c r="T219" s="19" t="n">
        <x:f>IF(R219="Exclude",0,IF(R219="Include",E219,Q219))</x:f>
        <x:v>0</x:v>
      </x:c>
      <x:c r="U219" s="15" t="str">
        <x:f>IF(T219&gt;0,"Funded",IF(P219="Eligible","Unfunded",P219))</x:f>
        <x:v>Unfunded</x:v>
      </x:c>
      <x:c r="V219" s="15" t="str">
        <x:f>IF(R219="Include","Conference inclusion: "&amp;S219,IF(R219="Exclude","Conference exclusion: "&amp;S219,IF(Q219&gt;0,H219&amp;" priority rank "&amp;I219&amp;"; whole initiative selected",P219)))</x:f>
        <x:v>Eligible</x:v>
      </x:c>
      <x:c r="W219" s="15" t="str">
        <x:v>Bu!302</x:v>
      </x:c>
      <x:c r="X219" s="15" t="str"/>
      <x:c r="Y219" s="15" t="str"/>
      <x:c r="Z219" s="15" t="str">
        <x:v>Decomm/Replatforming</x:v>
      </x:c>
      <x:c r="AA219" s="15" t="str">
        <x:v>New Initiative</x:v>
      </x:c>
      <x:c r="AB219" s="15" t="str">
        <x:v>Services &amp; Solutions IT</x:v>
      </x:c>
      <x:c r="AC219" s="15" t="str"/>
      <x:c r="AD219" s="15" t="str"/>
      <x:c r="AE219" s="15" t="str"/>
      <x:c r="AF219" s="15" t="str"/>
      <x:c r="AG219" s="15" t="str"/>
      <x:c r="AH219" s="15" t="n">
        <x:v>302</x:v>
      </x:c>
    </x:row>
    <x:row r="220">
      <x:c r="A220" s="15" t="str">
        <x:v>Bu-126</x:v>
      </x:c>
      <x:c r="B220" s="15" t="str">
        <x:v>Incenter replacement</x:v>
      </x:c>
      <x:c r="C220" s="15" t="str">
        <x:v>BU Led</x:v>
      </x:c>
      <x:c r="D220" s="15" t="str">
        <x:v>Service Transformation Office (STO)</x:v>
      </x:c>
      <x:c r="E220" s="19" t="n">
        <x:v>0.8</x:v>
      </x:c>
      <x:c r="F220" s="19" t="n">
        <x:v>0</x:v>
      </x:c>
      <x:c r="G220" s="22" t="n">
        <x:f>IF(AND(E220&gt;0,ISNUMBER(F220)),F220/E220,"")</x:f>
        <x:v>0</x:v>
      </x:c>
      <x:c r="H220" s="15" t="str">
        <x:v>Hygiene</x:v>
      </x:c>
      <x:c r="I220" s="15" t="n">
        <x:v>163</x:v>
      </x:c>
      <x:c r="J220" s="15" t="n">
        <x:v>0</x:v>
      </x:c>
      <x:c r="K220" s="23" t="n">
        <x:f>IF(G220="",0,IF(G220&lt;1,0,IF(G220&lt;2,20,IF(G220&lt;3,30,IF(G220&lt;5,40,50)))))*'Scenario Controls'!$B$22/50</x:f>
        <x:v>0</x:v>
      </x:c>
      <x:c r="L220" s="23" t="n">
        <x:f>IF(ISNUMBER(SEARCH("Must Do",AG220)),25,IF(ISNUMBER(SEARCH("Must Have",AG220)),18,IF(ISNUMBER(SEARCH("Deprior",AG220)),5,0)))*'Scenario Controls'!$B$23/25</x:f>
        <x:v>0</x:v>
      </x:c>
      <x:c r="M220" s="23" t="n">
        <x:f>J220*'Scenario Controls'!$B$24/15</x:f>
        <x:v>0</x:v>
      </x:c>
      <x:c r="N220" s="23" t="n">
        <x:f>IF(ISNUMBER(SEARCH("HEALTHY",X220)),10,IF(ISNUMBER(SEARCH("CONTAIN",X220)),6,0))*'Scenario Controls'!$B$25/10</x:f>
        <x:v>0</x:v>
      </x:c>
      <x:c r="O220" s="23" t="n">
        <x:f>SUM(K220:N220)</x:f>
        <x:v>0</x:v>
      </x:c>
      <x:c r="P220" s="15" t="str">
        <x:f>IF(OR(B220="",E220&lt;=0),"Evidence missing / not eligible",IF(ISNUMBER(SEARCH("priority TBD",Y220)),"Evidence missing / not eligible",IF(AND(H220="Carryover",NOT(ISNUMBER(F220))),"Evidence missing / not eligible",IF(AND(H220="Carryover",G220&lt;'Scenario Controls'!$B$16),"Evidence missing / not eligible",IF(AND(H220="ROI-Based Portfolio",NOT(ISNUMBER(F220))),"Evidence missing / not eligible",IF(AND(H220="ROI-Based Portfolio",O220&lt;'Scenario Controls'!$B$20),"Evidence missing / not eligible","Eligible"))))))</x:f>
        <x:v>Eligible</x:v>
      </x:c>
      <x:c r="Q220" s="19" t="n">
        <x:f>IF(P220&lt;&gt;"Eligible",0,IF(AND(SUMIFS($Q$5:Q219,$H$5:H219,H220)+E220&lt;=(IF(H220="LFR",'Scenario Controls'!$F$10,IF(H220="Sustain Engineering",'Scenario Controls'!$F$11,IF(H220="Hygiene",'Scenario Controls'!$F$12,1E+99))))*(1+'Scenario Controls'!$B$7),SUM($Q$5:Q219)+E220&lt;='Scenario Controls'!$B$6*(1+'Scenario Controls'!$B$7)),E220,0))</x:f>
        <x:v>0</x:v>
      </x:c>
      <x:c r="R220" s="24" t="str">
        <x:f>'BU Conference'!G104</x:f>
        <x:v>Automatic</x:v>
      </x:c>
      <x:c r="S220" s="24" t="str">
        <x:f>'BU Conference'!H104</x:f>
      </x:c>
      <x:c r="T220" s="19" t="n">
        <x:f>IF(R220="Exclude",0,IF(R220="Include",E220,Q220))</x:f>
        <x:v>0</x:v>
      </x:c>
      <x:c r="U220" s="15" t="str">
        <x:f>IF(T220&gt;0,"Funded",IF(P220="Eligible","Unfunded",P220))</x:f>
        <x:v>Unfunded</x:v>
      </x:c>
      <x:c r="V220" s="15" t="str">
        <x:f>IF(R220="Include","Conference inclusion: "&amp;S220,IF(R220="Exclude","Conference exclusion: "&amp;S220,IF(Q220&gt;0,H220&amp;" priority rank "&amp;I220&amp;"; whole initiative selected",P220)))</x:f>
        <x:v>Eligible</x:v>
      </x:c>
      <x:c r="W220" s="15" t="str">
        <x:v>Bu!303</x:v>
      </x:c>
      <x:c r="X220" s="15" t="str"/>
      <x:c r="Y220" s="15" t="str"/>
      <x:c r="Z220" s="15" t="str">
        <x:v>Decomm/Replatforming</x:v>
      </x:c>
      <x:c r="AA220" s="15" t="str">
        <x:v>New Initiative</x:v>
      </x:c>
      <x:c r="AB220" s="15" t="str">
        <x:v>Services &amp; Solutions IT</x:v>
      </x:c>
      <x:c r="AC220" s="15" t="str"/>
      <x:c r="AD220" s="15" t="str"/>
      <x:c r="AE220" s="15" t="str"/>
      <x:c r="AF220" s="15" t="str"/>
      <x:c r="AG220" s="15" t="str"/>
      <x:c r="AH220" s="15" t="n">
        <x:v>303</x:v>
      </x:c>
    </x:row>
    <x:row r="221">
      <x:c r="A221" s="15" t="str">
        <x:v>EW-134</x:v>
      </x:c>
      <x:c r="B221" s="15" t="str">
        <x:v>Every Angle for MP1, Decommissioning ( Included in ISCM IT)</x:v>
      </x:c>
      <x:c r="C221" s="15" t="str">
        <x:v>EW Led</x:v>
      </x:c>
      <x:c r="D221" s="15" t="str">
        <x:v>Information Technology</x:v>
      </x:c>
      <x:c r="E221" s="19" t="n">
        <x:v>0</x:v>
      </x:c>
      <x:c r="F221" s="19" t="n">
        <x:v>0</x:v>
      </x:c>
      <x:c r="G221" s="22" t="str">
        <x:f>IF(AND(E221&gt;0,ISNUMBER(F221)),F221/E221,"")</x:f>
      </x:c>
      <x:c r="H221" s="15" t="str">
        <x:v>Hygiene</x:v>
      </x:c>
      <x:c r="I221" s="15" t="n">
        <x:v>164</x:v>
      </x:c>
      <x:c r="J221" s="15" t="n">
        <x:v>0</x:v>
      </x:c>
      <x:c r="K221" s="23" t="n">
        <x:f>IF(G221="",0,IF(G221&lt;1,0,IF(G221&lt;2,20,IF(G221&lt;3,30,IF(G221&lt;5,40,50)))))*'Scenario Controls'!$B$22/50</x:f>
        <x:v>0</x:v>
      </x:c>
      <x:c r="L221" s="23" t="n">
        <x:f>IF(ISNUMBER(SEARCH("Must Do",AG221)),25,IF(ISNUMBER(SEARCH("Must Have",AG221)),18,IF(ISNUMBER(SEARCH("Deprior",AG221)),5,0)))*'Scenario Controls'!$B$23/25</x:f>
        <x:v>0</x:v>
      </x:c>
      <x:c r="M221" s="23" t="n">
        <x:f>J221*'Scenario Controls'!$B$24/15</x:f>
        <x:v>0</x:v>
      </x:c>
      <x:c r="N221" s="23" t="n">
        <x:f>IF(ISNUMBER(SEARCH("HEALTHY",X221)),10,IF(ISNUMBER(SEARCH("CONTAIN",X221)),6,0))*'Scenario Controls'!$B$25/10</x:f>
        <x:v>0</x:v>
      </x:c>
      <x:c r="O221" s="23" t="n">
        <x:f>SUM(K221:N221)</x:f>
        <x:v>0</x:v>
      </x:c>
      <x:c r="P221" s="15" t="str">
        <x:f>IF(OR(B221="",E221&lt;=0),"Evidence missing / not eligible",IF(ISNUMBER(SEARCH("priority TBD",Y221)),"Evidence missing / not eligible",IF(AND(H221="Carryover",NOT(ISNUMBER(F221))),"Evidence missing / not eligible",IF(AND(H221="Carryover",G221&lt;'Scenario Controls'!$B$16),"Evidence missing / not eligible",IF(AND(H221="ROI-Based Portfolio",NOT(ISNUMBER(F221))),"Evidence missing / not eligible",IF(AND(H221="ROI-Based Portfolio",O221&lt;'Scenario Controls'!$B$20),"Evidence missing / not eligible","Eligible"))))))</x:f>
        <x:v>Evidence missing / not eligible</x:v>
      </x:c>
      <x:c r="Q221" s="19" t="n">
        <x:f>IF(P221&lt;&gt;"Eligible",0,IF(AND(SUMIFS($Q$5:Q220,$H$5:H220,H221)+E221&lt;=(IF(H221="LFR",'Scenario Controls'!$F$10,IF(H221="Sustain Engineering",'Scenario Controls'!$F$11,IF(H221="Hygiene",'Scenario Controls'!$F$12,1E+99))))*(1+'Scenario Controls'!$B$7),SUM($Q$5:Q220)+E221&lt;='Scenario Controls'!$B$6*(1+'Scenario Controls'!$B$7)),E221,0))</x:f>
        <x:v>0</x:v>
      </x:c>
      <x:c r="R221" s="24" t="str">
        <x:f>'EW Conference'!G122</x:f>
        <x:v>Automatic</x:v>
      </x:c>
      <x:c r="S221" s="24" t="str">
        <x:f>'EW Conference'!H122</x:f>
      </x:c>
      <x:c r="T221" s="19" t="n">
        <x:f>IF(R221="Exclude",0,IF(R221="Include",E221,Q221))</x:f>
        <x:v>0</x:v>
      </x:c>
      <x:c r="U221" s="15" t="str">
        <x:f>IF(T221&gt;0,"Funded",IF(P221="Eligible","Unfunded",P221))</x:f>
        <x:v>Evidence missing / not eligible</x:v>
      </x:c>
      <x:c r="V221" s="15" t="str">
        <x:f>IF(R221="Include","Conference inclusion: "&amp;S221,IF(R221="Exclude","Conference exclusion: "&amp;S221,IF(Q221&gt;0,H221&amp;" priority rank "&amp;I221&amp;"; whole initiative selected",P221)))</x:f>
        <x:v>Evidence missing / not eligible</x:v>
      </x:c>
      <x:c r="W221" s="15" t="str">
        <x:v>EW!130</x:v>
      </x:c>
      <x:c r="X221" s="15" t="str"/>
      <x:c r="Y221" s="15" t="str"/>
      <x:c r="Z221" s="15" t="str">
        <x:v>Decomm/Replatforming</x:v>
      </x:c>
      <x:c r="AA221" s="15" t="str">
        <x:v>New Initiative</x:v>
      </x:c>
      <x:c r="AB221" s="15" t="str">
        <x:v>Enterprise Architecture, Data &amp; Integration</x:v>
      </x:c>
      <x:c r="AC221" s="15" t="str"/>
      <x:c r="AD221" s="15" t="str"/>
      <x:c r="AE221" s="15" t="str"/>
      <x:c r="AF221" s="15" t="str"/>
      <x:c r="AG221" s="15" t="str"/>
      <x:c r="AH221" s="15" t="n">
        <x:v>132</x:v>
      </x:c>
    </x:row>
    <x:row r="222">
      <x:c r="A222" s="15" t="str">
        <x:v>Bu-04</x:v>
      </x:c>
      <x:c r="B222" s="15" t="str">
        <x:v>2027 IGTD DATA and INSIGHTS</x:v>
      </x:c>
      <x:c r="C222" s="15" t="str">
        <x:v>BU Led</x:v>
      </x:c>
      <x:c r="D222" s="15" t="str">
        <x:v>Image Guided Therapy - Devices (IGT-D)</x:v>
      </x:c>
      <x:c r="E222" s="19" t="n">
        <x:v>0.345</x:v>
      </x:c>
      <x:c r="F222" s="19" t="n">
        <x:v>117</x:v>
      </x:c>
      <x:c r="G222" s="22" t="n">
        <x:f>IF(AND(E222&gt;0,ISNUMBER(F222)),F222/E222,"")</x:f>
        <x:v>339.13043478260875</x:v>
      </x:c>
      <x:c r="H222" s="15" t="str">
        <x:v>Carryover</x:v>
      </x:c>
      <x:c r="I222" s="15" t="n">
        <x:v>1</x:v>
      </x:c>
      <x:c r="J222" s="15" t="n">
        <x:v>5</x:v>
      </x:c>
      <x:c r="K222" s="23" t="n">
        <x:f>IF(G222="",0,IF(G222&lt;1,0,IF(G222&lt;2,20,IF(G222&lt;3,30,IF(G222&lt;5,40,50)))))*'Scenario Controls'!$B$22/50</x:f>
        <x:v>50</x:v>
      </x:c>
      <x:c r="L222" s="23" t="n">
        <x:f>IF(ISNUMBER(SEARCH("Must Do",AG222)),25,IF(ISNUMBER(SEARCH("Must Have",AG222)),18,IF(ISNUMBER(SEARCH("Deprior",AG222)),5,0)))*'Scenario Controls'!$B$23/25</x:f>
        <x:v>25</x:v>
      </x:c>
      <x:c r="M222" s="23" t="n">
        <x:f>J222*'Scenario Controls'!$B$24/15</x:f>
        <x:v>5</x:v>
      </x:c>
      <x:c r="N222" s="23" t="n">
        <x:f>IF(ISNUMBER(SEARCH("HEALTHY",X222)),10,IF(ISNUMBER(SEARCH("CONTAIN",X222)),6,0))*'Scenario Controls'!$B$25/10</x:f>
        <x:v>0</x:v>
      </x:c>
      <x:c r="O222" s="23" t="n">
        <x:f>SUM(K222:N222)</x:f>
        <x:v>80</x:v>
      </x:c>
      <x:c r="P222" s="15" t="str">
        <x:f>IF(OR(B222="",E222&lt;=0),"Evidence missing / not eligible",IF(ISNUMBER(SEARCH("priority TBD",Y222)),"Evidence missing / not eligible",IF(AND(H222="Carryover",NOT(ISNUMBER(F222))),"Evidence missing / not eligible",IF(AND(H222="Carryover",G222&lt;'Scenario Controls'!$B$16),"Evidence missing / not eligible",IF(AND(H222="ROI-Based Portfolio",NOT(ISNUMBER(F222))),"Evidence missing / not eligible",IF(AND(H222="ROI-Based Portfolio",O222&lt;'Scenario Controls'!$B$20),"Evidence missing / not eligible","Eligible"))))))</x:f>
        <x:v>Eligible</x:v>
      </x:c>
      <x:c r="Q222" s="19" t="n">
        <x:f>IF(P222&lt;&gt;"Eligible",0,IF(AND(SUMIFS($Q$5:Q221,$H$5:H221,H222)+E222&lt;=(IF(H222="LFR",'Scenario Controls'!$F$10,IF(H222="Sustain Engineering",'Scenario Controls'!$F$11,IF(H222="Hygiene",'Scenario Controls'!$F$12,1E+99))))*(1+'Scenario Controls'!$B$7),SUM($Q$5:Q221)+E222&lt;='Scenario Controls'!$B$6*(1+'Scenario Controls'!$B$7)),E222,0))</x:f>
        <x:v>0.345</x:v>
      </x:c>
      <x:c r="R222" s="24" t="str">
        <x:f>'BU Conference'!G105</x:f>
        <x:v>Automatic</x:v>
      </x:c>
      <x:c r="S222" s="24" t="str">
        <x:f>'BU Conference'!H105</x:f>
      </x:c>
      <x:c r="T222" s="19" t="n">
        <x:f>IF(R222="Exclude",0,IF(R222="Include",E222,Q222))</x:f>
        <x:v>0.345</x:v>
      </x:c>
      <x:c r="U222" s="15" t="str">
        <x:f>IF(T222&gt;0,"Funded",IF(P222="Eligible","Unfunded",P222))</x:f>
        <x:v>Funded</x:v>
      </x:c>
      <x:c r="V222" s="15" t="str">
        <x:f>IF(R222="Include","Conference inclusion: "&amp;S222,IF(R222="Exclude","Conference exclusion: "&amp;S222,IF(Q222&gt;0,H222&amp;" priority rank "&amp;I222&amp;"; whole initiative selected",P222)))</x:f>
        <x:v>Carryover priority rank 1; whole initiative selected</x:v>
      </x:c>
      <x:c r="W222" s="15" t="str">
        <x:v>Bu!8</x:v>
      </x:c>
      <x:c r="X222" s="15" t="str"/>
      <x:c r="Y222" s="15" t="str"/>
      <x:c r="Z222" s="15" t="str">
        <x:v>New Feature</x:v>
      </x:c>
      <x:c r="AA222" s="15" t="str">
        <x:v>Carry Over</x:v>
      </x:c>
      <x:c r="AB222" s="15" t="str">
        <x:v>Enterprise Architecture, Data &amp; Integration</x:v>
      </x:c>
      <x:c r="AC222" s="15" t="str">
        <x:v>Critical to support sales growth targets</x:v>
      </x:c>
      <x:c r="AD222" s="15" t="str"/>
      <x:c r="AE222" s="15" t="str">
        <x:v>Cross-domain analytics IGT-D (commercial; service; other); support &amp; enable strategic objectives</x:v>
      </x:c>
      <x:c r="AF222" s="15" t="str">
        <x:v>Critical to support sales growth targets | Cross-domain analytics IGT-D (commercial; service; other); support &amp; enable strategic objectives</x:v>
      </x:c>
      <x:c r="AG222" s="15" t="str">
        <x:v>Must Do</x:v>
      </x:c>
      <x:c r="AH222" s="15" t="n">
        <x:v>189</x:v>
      </x:c>
    </x:row>
    <x:row r="223">
      <x:c r="A223" s="15" t="str">
        <x:v>EW-13</x:v>
      </x:c>
      <x:c r="B223" s="15" t="str">
        <x:v>HA AI Enablement</x:v>
      </x:c>
      <x:c r="C223" s="15" t="str">
        <x:v>EW Led</x:v>
      </x:c>
      <x:c r="D223" s="15" t="str">
        <x:v>Information Technology</x:v>
      </x:c>
      <x:c r="E223" s="19" t="n">
        <x:v>0.5</x:v>
      </x:c>
      <x:c r="F223" s="19" t="n">
        <x:v>15</x:v>
      </x:c>
      <x:c r="G223" s="22" t="n">
        <x:f>IF(AND(E223&gt;0,ISNUMBER(F223)),F223/E223,"")</x:f>
        <x:v>30</x:v>
      </x:c>
      <x:c r="H223" s="15" t="str">
        <x:v>Carryover</x:v>
      </x:c>
      <x:c r="I223" s="15" t="n">
        <x:v>2</x:v>
      </x:c>
      <x:c r="J223" s="15" t="n">
        <x:v>5</x:v>
      </x:c>
      <x:c r="K223" s="23" t="n">
        <x:f>IF(G223="",0,IF(G223&lt;1,0,IF(G223&lt;2,20,IF(G223&lt;3,30,IF(G223&lt;5,40,50)))))*'Scenario Controls'!$B$22/50</x:f>
        <x:v>50</x:v>
      </x:c>
      <x:c r="L223" s="23" t="n">
        <x:f>IF(ISNUMBER(SEARCH("Must Do",AG223)),25,IF(ISNUMBER(SEARCH("Must Have",AG223)),18,IF(ISNUMBER(SEARCH("Deprior",AG223)),5,0)))*'Scenario Controls'!$B$23/25</x:f>
        <x:v>25</x:v>
      </x:c>
      <x:c r="M223" s="23" t="n">
        <x:f>J223*'Scenario Controls'!$B$24/15</x:f>
        <x:v>5</x:v>
      </x:c>
      <x:c r="N223" s="23" t="n">
        <x:f>IF(ISNUMBER(SEARCH("HEALTHY",X223)),10,IF(ISNUMBER(SEARCH("CONTAIN",X223)),6,0))*'Scenario Controls'!$B$25/10</x:f>
        <x:v>10</x:v>
      </x:c>
      <x:c r="O223" s="23" t="n">
        <x:f>SUM(K223:N223)</x:f>
        <x:v>90</x:v>
      </x:c>
      <x:c r="P223" s="15" t="str">
        <x:f>IF(OR(B223="",E223&lt;=0),"Evidence missing / not eligible",IF(ISNUMBER(SEARCH("priority TBD",Y223)),"Evidence missing / not eligible",IF(AND(H223="Carryover",NOT(ISNUMBER(F223))),"Evidence missing / not eligible",IF(AND(H223="Carryover",G223&lt;'Scenario Controls'!$B$16),"Evidence missing / not eligible",IF(AND(H223="ROI-Based Portfolio",NOT(ISNUMBER(F223))),"Evidence missing / not eligible",IF(AND(H223="ROI-Based Portfolio",O223&lt;'Scenario Controls'!$B$20),"Evidence missing / not eligible","Eligible"))))))</x:f>
        <x:v>Evidence missing / not eligible</x:v>
      </x:c>
      <x:c r="Q223" s="19" t="n">
        <x:f>IF(P223&lt;&gt;"Eligible",0,IF(AND(SUMIFS($Q$5:Q222,$H$5:H222,H223)+E223&lt;=(IF(H223="LFR",'Scenario Controls'!$F$10,IF(H223="Sustain Engineering",'Scenario Controls'!$F$11,IF(H223="Hygiene",'Scenario Controls'!$F$12,1E+99))))*(1+'Scenario Controls'!$B$7),SUM($Q$5:Q222)+E223&lt;='Scenario Controls'!$B$6*(1+'Scenario Controls'!$B$7)),E223,0))</x:f>
        <x:v>0</x:v>
      </x:c>
      <x:c r="R223" s="24" t="str">
        <x:f>'EW Conference'!G123</x:f>
        <x:v>Automatic</x:v>
      </x:c>
      <x:c r="S223" s="24" t="str">
        <x:f>'EW Conference'!H123</x:f>
      </x:c>
      <x:c r="T223" s="19" t="n">
        <x:f>IF(R223="Exclude",0,IF(R223="Include",E223,Q223))</x:f>
        <x:v>0</x:v>
      </x:c>
      <x:c r="U223" s="15" t="str">
        <x:f>IF(T223&gt;0,"Funded",IF(P223="Eligible","Unfunded",P223))</x:f>
        <x:v>Evidence missing / not eligible</x:v>
      </x:c>
      <x:c r="V223" s="15" t="str">
        <x:f>IF(R223="Include","Conference inclusion: "&amp;S223,IF(R223="Exclude","Conference exclusion: "&amp;S223,IF(Q223&gt;0,H223&amp;" priority rank "&amp;I223&amp;"; whole initiative selected",P223)))</x:f>
        <x:v>Evidence missing / not eligible</x:v>
      </x:c>
      <x:c r="W223" s="15" t="str">
        <x:v>EW!16</x:v>
      </x:c>
      <x:c r="X223" s="15" t="str">
        <x:v>HEALTHY</x:v>
      </x:c>
      <x:c r="Y223" s="15" t="str">
        <x:v>HEALTHY / MUST-DO — priority TBD</x:v>
      </x:c>
      <x:c r="Z223" s="15" t="str">
        <x:v>AI Enablement</x:v>
      </x:c>
      <x:c r="AA223" s="15" t="str">
        <x:v>Carry Over</x:v>
      </x:c>
      <x:c r="AB223" s="15" t="str">
        <x:v>Group Functions &amp; Hyperautomation IT</x:v>
      </x:c>
      <x:c r="AC223" s="15" t="str">
        <x:v>Time to capability for BU/Regions slows down; vendor IT resources onboarded by BU/Regions</x:v>
      </x:c>
      <x:c r="AD223" s="15" t="str">
        <x:v>AI and automation solution enhancements, governance and compliance efforts , platform governance and reporting</x:v>
      </x:c>
      <x:c r="AE223" s="15" t="str">
        <x:v>Power Platform, Copilot studio</x:v>
      </x:c>
      <x:c r="AF223" s="15" t="str">
        <x:v>Time to capability for BU/Regions slows down; vendor IT resources onboarded by BU/Regions | AI and automation solution enhancements, governance and compliance efforts , platform governance and reporting | Power Platform, Copilot studio</x:v>
      </x:c>
      <x:c r="AG223" s="15" t="str">
        <x:v>Must Do</x:v>
      </x:c>
      <x:c r="AH223" s="15" t="n">
        <x:v>18</x:v>
      </x:c>
    </x:row>
    <x:row r="224">
      <x:c r="A224" s="15" t="str">
        <x:v>Bu-50</x:v>
      </x:c>
      <x:c r="B224" s="15" t="str">
        <x:v>E2E NAM Re-entry Digital SRC</x:v>
      </x:c>
      <x:c r="C224" s="15" t="str">
        <x:v>BU Led</x:v>
      </x:c>
      <x:c r="D224" s="15" t="str">
        <x:v>Sleep &amp; Respiratory Care (SRC)</x:v>
      </x:c>
      <x:c r="E224" s="19" t="n">
        <x:v>1.95</x:v>
      </x:c>
      <x:c r="F224" s="19" t="n">
        <x:v>50</x:v>
      </x:c>
      <x:c r="G224" s="22" t="n">
        <x:f>IF(AND(E224&gt;0,ISNUMBER(F224)),F224/E224,"")</x:f>
        <x:v>25.641025641025642</x:v>
      </x:c>
      <x:c r="H224" s="15" t="str">
        <x:v>Carryover</x:v>
      </x:c>
      <x:c r="I224" s="15" t="n">
        <x:v>3</x:v>
      </x:c>
      <x:c r="J224" s="15" t="n">
        <x:v>15</x:v>
      </x:c>
      <x:c r="K224" s="23" t="n">
        <x:f>IF(G224="",0,IF(G224&lt;1,0,IF(G224&lt;2,20,IF(G224&lt;3,30,IF(G224&lt;5,40,50)))))*'Scenario Controls'!$B$22/50</x:f>
        <x:v>50</x:v>
      </x:c>
      <x:c r="L224" s="23" t="n">
        <x:f>IF(ISNUMBER(SEARCH("Must Do",AG224)),25,IF(ISNUMBER(SEARCH("Must Have",AG224)),18,IF(ISNUMBER(SEARCH("Deprior",AG224)),5,0)))*'Scenario Controls'!$B$23/25</x:f>
        <x:v>25</x:v>
      </x:c>
      <x:c r="M224" s="23" t="n">
        <x:f>J224*'Scenario Controls'!$B$24/15</x:f>
        <x:v>15</x:v>
      </x:c>
      <x:c r="N224" s="23" t="n">
        <x:f>IF(ISNUMBER(SEARCH("HEALTHY",X224)),10,IF(ISNUMBER(SEARCH("CONTAIN",X224)),6,0))*'Scenario Controls'!$B$25/10</x:f>
        <x:v>0</x:v>
      </x:c>
      <x:c r="O224" s="23" t="n">
        <x:f>SUM(K224:N224)</x:f>
        <x:v>90</x:v>
      </x:c>
      <x:c r="P224" s="15" t="str">
        <x:f>IF(OR(B224="",E224&lt;=0),"Evidence missing / not eligible",IF(ISNUMBER(SEARCH("priority TBD",Y224)),"Evidence missing / not eligible",IF(AND(H224="Carryover",NOT(ISNUMBER(F224))),"Evidence missing / not eligible",IF(AND(H224="Carryover",G224&lt;'Scenario Controls'!$B$16),"Evidence missing / not eligible",IF(AND(H224="ROI-Based Portfolio",NOT(ISNUMBER(F224))),"Evidence missing / not eligible",IF(AND(H224="ROI-Based Portfolio",O224&lt;'Scenario Controls'!$B$20),"Evidence missing / not eligible","Eligible"))))))</x:f>
        <x:v>Eligible</x:v>
      </x:c>
      <x:c r="Q224" s="19" t="n">
        <x:f>IF(P224&lt;&gt;"Eligible",0,IF(AND(SUMIFS($Q$5:Q223,$H$5:H223,H224)+E224&lt;=(IF(H224="LFR",'Scenario Controls'!$F$10,IF(H224="Sustain Engineering",'Scenario Controls'!$F$11,IF(H224="Hygiene",'Scenario Controls'!$F$12,1E+99))))*(1+'Scenario Controls'!$B$7),SUM($Q$5:Q223)+E224&lt;='Scenario Controls'!$B$6*(1+'Scenario Controls'!$B$7)),E224,0))</x:f>
        <x:v>1.95</x:v>
      </x:c>
      <x:c r="R224" s="24" t="str">
        <x:f>'BU Conference'!G106</x:f>
        <x:v>Automatic</x:v>
      </x:c>
      <x:c r="S224" s="24" t="str">
        <x:f>'BU Conference'!H106</x:f>
      </x:c>
      <x:c r="T224" s="19" t="n">
        <x:f>IF(R224="Exclude",0,IF(R224="Include",E224,Q224))</x:f>
        <x:v>1.95</x:v>
      </x:c>
      <x:c r="U224" s="15" t="str">
        <x:f>IF(T224&gt;0,"Funded",IF(P224="Eligible","Unfunded",P224))</x:f>
        <x:v>Funded</x:v>
      </x:c>
      <x:c r="V224" s="15" t="str">
        <x:f>IF(R224="Include","Conference inclusion: "&amp;S224,IF(R224="Exclude","Conference exclusion: "&amp;S224,IF(Q224&gt;0,H224&amp;" priority rank "&amp;I224&amp;"; whole initiative selected",P224)))</x:f>
        <x:v>Carryover priority rank 3; whole initiative selected</x:v>
      </x:c>
      <x:c r="W224" s="15" t="str">
        <x:v>Bu!111</x:v>
      </x:c>
      <x:c r="X224" s="15" t="str"/>
      <x:c r="Y224" s="15" t="str"/>
      <x:c r="Z224" s="15" t="str">
        <x:v>New Technology</x:v>
      </x:c>
      <x:c r="AA224" s="15" t="str">
        <x:v>Carry Over</x:v>
      </x:c>
      <x:c r="AB224" s="15" t="str">
        <x:v>Innovation and Digital IT</x:v>
      </x:c>
      <x:c r="AC224" s="15" t="str">
        <x:v>Direct impact on our NA Comeback program which targets revenue growth of 300-500 M over next 2 years</x:v>
      </x:c>
      <x:c r="AD224" s="15" t="str">
        <x:v>Enhanced user experience as both website and estore will be on same platform; madated project due to product discontinuation; store rollout 1.5M/yr benefit (based on CAN rollout)</x:v>
      </x:c>
      <x:c r="AE224" s="15" t="str">
        <x:v>This is a mandatory project due to IT requirement (app is getting unsupported by the vendor)</x:v>
      </x:c>
      <x:c r="AF224" s="15" t="str">
        <x:v>Direct impact on our NA Comeback program which targets revenue growth of 300-500 M over next 2 years | Enhanced user experience as both website and estore will be on same platform; madated project due to product discontinuation; store rollout 1.5M/yr benefit (based on CAN rollout) | This is a mandatory project due to IT requirement (app is getting unsupported by the vendor)</x:v>
      </x:c>
      <x:c r="AG224" s="15" t="str">
        <x:v>Must Do</x:v>
      </x:c>
      <x:c r="AH224" s="15" t="n">
        <x:v>227</x:v>
      </x:c>
    </x:row>
    <x:row r="225">
      <x:c r="A225" s="15" t="str">
        <x:v>EW-36</x:v>
      </x:c>
      <x:c r="B225" s="15" t="str">
        <x:v>EADI - Exploration AI capabilities for Supply Chain</x:v>
      </x:c>
      <x:c r="C225" s="15" t="str">
        <x:v>EW Led</x:v>
      </x:c>
      <x:c r="D225" s="15" t="str">
        <x:v>Information Technology</x:v>
      </x:c>
      <x:c r="E225" s="19" t="n">
        <x:v>0.1</x:v>
      </x:c>
      <x:c r="F225" s="19" t="n">
        <x:v>2</x:v>
      </x:c>
      <x:c r="G225" s="22" t="n">
        <x:f>IF(AND(E225&gt;0,ISNUMBER(F225)),F225/E225,"")</x:f>
        <x:v>20</x:v>
      </x:c>
      <x:c r="H225" s="15" t="str">
        <x:v>Carryover</x:v>
      </x:c>
      <x:c r="I225" s="15" t="n">
        <x:v>4</x:v>
      </x:c>
      <x:c r="J225" s="15" t="n">
        <x:v>5</x:v>
      </x:c>
      <x:c r="K225" s="23" t="n">
        <x:f>IF(G225="",0,IF(G225&lt;1,0,IF(G225&lt;2,20,IF(G225&lt;3,30,IF(G225&lt;5,40,50)))))*'Scenario Controls'!$B$22/50</x:f>
        <x:v>50</x:v>
      </x:c>
      <x:c r="L225" s="23" t="n">
        <x:f>IF(ISNUMBER(SEARCH("Must Do",AG225)),25,IF(ISNUMBER(SEARCH("Must Have",AG225)),18,IF(ISNUMBER(SEARCH("Deprior",AG225)),5,0)))*'Scenario Controls'!$B$23/25</x:f>
        <x:v>25</x:v>
      </x:c>
      <x:c r="M225" s="23" t="n">
        <x:f>J225*'Scenario Controls'!$B$24/15</x:f>
        <x:v>5</x:v>
      </x:c>
      <x:c r="N225" s="23" t="n">
        <x:f>IF(ISNUMBER(SEARCH("HEALTHY",X225)),10,IF(ISNUMBER(SEARCH("CONTAIN",X225)),6,0))*'Scenario Controls'!$B$25/10</x:f>
        <x:v>10</x:v>
      </x:c>
      <x:c r="O225" s="23" t="n">
        <x:f>SUM(K225:N225)</x:f>
        <x:v>90</x:v>
      </x:c>
      <x:c r="P225" s="15" t="str">
        <x:f>IF(OR(B225="",E225&lt;=0),"Evidence missing / not eligible",IF(ISNUMBER(SEARCH("priority TBD",Y225)),"Evidence missing / not eligible",IF(AND(H225="Carryover",NOT(ISNUMBER(F225))),"Evidence missing / not eligible",IF(AND(H225="Carryover",G225&lt;'Scenario Controls'!$B$16),"Evidence missing / not eligible",IF(AND(H225="ROI-Based Portfolio",NOT(ISNUMBER(F225))),"Evidence missing / not eligible",IF(AND(H225="ROI-Based Portfolio",O225&lt;'Scenario Controls'!$B$20),"Evidence missing / not eligible","Eligible"))))))</x:f>
        <x:v>Eligible</x:v>
      </x:c>
      <x:c r="Q225" s="19" t="n">
        <x:f>IF(P225&lt;&gt;"Eligible",0,IF(AND(SUMIFS($Q$5:Q224,$H$5:H224,H225)+E225&lt;=(IF(H225="LFR",'Scenario Controls'!$F$10,IF(H225="Sustain Engineering",'Scenario Controls'!$F$11,IF(H225="Hygiene",'Scenario Controls'!$F$12,1E+99))))*(1+'Scenario Controls'!$B$7),SUM($Q$5:Q224)+E225&lt;='Scenario Controls'!$B$6*(1+'Scenario Controls'!$B$7)),E225,0))</x:f>
        <x:v>0.1</x:v>
      </x:c>
      <x:c r="R225" s="24" t="str">
        <x:f>'EW Conference'!G124</x:f>
        <x:v>Automatic</x:v>
      </x:c>
      <x:c r="S225" s="24" t="str">
        <x:f>'EW Conference'!H124</x:f>
      </x:c>
      <x:c r="T225" s="19" t="n">
        <x:f>IF(R225="Exclude",0,IF(R225="Include",E225,Q225))</x:f>
        <x:v>0.1</x:v>
      </x:c>
      <x:c r="U225" s="15" t="str">
        <x:f>IF(T225&gt;0,"Funded",IF(P225="Eligible","Unfunded",P225))</x:f>
        <x:v>Funded</x:v>
      </x:c>
      <x:c r="V225" s="15" t="str">
        <x:f>IF(R225="Include","Conference inclusion: "&amp;S225,IF(R225="Exclude","Conference exclusion: "&amp;S225,IF(Q225&gt;0,H225&amp;" priority rank "&amp;I225&amp;"; whole initiative selected",P225)))</x:f>
        <x:v>Carryover priority rank 4; whole initiative selected</x:v>
      </x:c>
      <x:c r="W225" s="15" t="str">
        <x:v>EW!37</x:v>
      </x:c>
      <x:c r="X225" s="15" t="str">
        <x:v>HEALTHY</x:v>
      </x:c>
      <x:c r="Y225" s="15" t="str">
        <x:v>HEALTHY — Rank in priority matrix</x:v>
      </x:c>
      <x:c r="Z225" s="15" t="str">
        <x:v>AI Enablement</x:v>
      </x:c>
      <x:c r="AA225" s="15" t="str">
        <x:v>Carry Over</x:v>
      </x:c>
      <x:c r="AB225" s="15" t="str">
        <x:v>Enterprise Architecture, Data &amp; Integration</x:v>
      </x:c>
      <x:c r="AC225" s="15" t="str">
        <x:v>Slowl Supply chain teansformation for using agentic AI and delayed outcomes</x:v>
      </x:c>
      <x:c r="AD225" s="15" t="str">
        <x:v>Enable AI for Supply chain in Key processes for Supply Chain</x:v>
      </x:c>
      <x:c r="AE225" s="15" t="str">
        <x:v>Order Intake,GTC, SAL, MAKE, Inventory Domains</x:v>
      </x:c>
      <x:c r="AF225" s="15" t="str">
        <x:v>Slowl Supply chain teansformation for using agentic AI and delayed outcomes | Enable AI for Supply chain in Key processes for Supply Chain | Order Intake,GTC, SAL, MAKE, Inventory Domains</x:v>
      </x:c>
      <x:c r="AG225" s="15" t="str">
        <x:v>Must Do</x:v>
      </x:c>
      <x:c r="AH225" s="15" t="n">
        <x:v>39</x:v>
      </x:c>
    </x:row>
    <x:row r="226">
      <x:c r="A226" s="15" t="str">
        <x:v>Bu-49</x:v>
      </x:c>
      <x:c r="B226" s="15" t="str">
        <x:v>Demand &amp; Supply Planning SRC</x:v>
      </x:c>
      <x:c r="C226" s="15" t="str">
        <x:v>BU Led</x:v>
      </x:c>
      <x:c r="D226" s="15" t="str">
        <x:v>Sleep &amp; Respiratory Care (SRC)</x:v>
      </x:c>
      <x:c r="E226" s="19" t="n">
        <x:v>1.7</x:v>
      </x:c>
      <x:c r="F226" s="19" t="n">
        <x:v>29.3</x:v>
      </x:c>
      <x:c r="G226" s="22" t="n">
        <x:f>IF(AND(E226&gt;0,ISNUMBER(F226)),F226/E226,"")</x:f>
        <x:v>17.235294117647058</x:v>
      </x:c>
      <x:c r="H226" s="15" t="str">
        <x:v>Carryover</x:v>
      </x:c>
      <x:c r="I226" s="15" t="n">
        <x:v>5</x:v>
      </x:c>
      <x:c r="J226" s="15" t="n">
        <x:v>15</x:v>
      </x:c>
      <x:c r="K226" s="23" t="n">
        <x:f>IF(G226="",0,IF(G226&lt;1,0,IF(G226&lt;2,20,IF(G226&lt;3,30,IF(G226&lt;5,40,50)))))*'Scenario Controls'!$B$22/50</x:f>
        <x:v>50</x:v>
      </x:c>
      <x:c r="L226" s="23" t="n">
        <x:f>IF(ISNUMBER(SEARCH("Must Do",AG226)),25,IF(ISNUMBER(SEARCH("Must Have",AG226)),18,IF(ISNUMBER(SEARCH("Deprior",AG226)),5,0)))*'Scenario Controls'!$B$23/25</x:f>
        <x:v>25</x:v>
      </x:c>
      <x:c r="M226" s="23" t="n">
        <x:f>J226*'Scenario Controls'!$B$24/15</x:f>
        <x:v>15</x:v>
      </x:c>
      <x:c r="N226" s="23" t="n">
        <x:f>IF(ISNUMBER(SEARCH("HEALTHY",X226)),10,IF(ISNUMBER(SEARCH("CONTAIN",X226)),6,0))*'Scenario Controls'!$B$25/10</x:f>
        <x:v>10</x:v>
      </x:c>
      <x:c r="O226" s="23" t="n">
        <x:f>SUM(K226:N226)</x:f>
        <x:v>100</x:v>
      </x:c>
      <x:c r="P226" s="15" t="str">
        <x:f>IF(OR(B226="",E226&lt;=0),"Evidence missing / not eligible",IF(ISNUMBER(SEARCH("priority TBD",Y226)),"Evidence missing / not eligible",IF(AND(H226="Carryover",NOT(ISNUMBER(F226))),"Evidence missing / not eligible",IF(AND(H226="Carryover",G226&lt;'Scenario Controls'!$B$16),"Evidence missing / not eligible",IF(AND(H226="ROI-Based Portfolio",NOT(ISNUMBER(F226))),"Evidence missing / not eligible",IF(AND(H226="ROI-Based Portfolio",O226&lt;'Scenario Controls'!$B$20),"Evidence missing / not eligible","Eligible"))))))</x:f>
        <x:v>Eligible</x:v>
      </x:c>
      <x:c r="Q226" s="19" t="n">
        <x:f>IF(P226&lt;&gt;"Eligible",0,IF(AND(SUMIFS($Q$5:Q225,$H$5:H225,H226)+E226&lt;=(IF(H226="LFR",'Scenario Controls'!$F$10,IF(H226="Sustain Engineering",'Scenario Controls'!$F$11,IF(H226="Hygiene",'Scenario Controls'!$F$12,1E+99))))*(1+'Scenario Controls'!$B$7),SUM($Q$5:Q225)+E226&lt;='Scenario Controls'!$B$6*(1+'Scenario Controls'!$B$7)),E226,0))</x:f>
        <x:v>1.7</x:v>
      </x:c>
      <x:c r="R226" s="24" t="str">
        <x:f>'BU Conference'!G107</x:f>
        <x:v>Automatic</x:v>
      </x:c>
      <x:c r="S226" s="24" t="str">
        <x:f>'BU Conference'!H107</x:f>
      </x:c>
      <x:c r="T226" s="19" t="n">
        <x:f>IF(R226="Exclude",0,IF(R226="Include",E226,Q226))</x:f>
        <x:v>1.7</x:v>
      </x:c>
      <x:c r="U226" s="15" t="str">
        <x:f>IF(T226&gt;0,"Funded",IF(P226="Eligible","Unfunded",P226))</x:f>
        <x:v>Funded</x:v>
      </x:c>
      <x:c r="V226" s="15" t="str">
        <x:f>IF(R226="Include","Conference inclusion: "&amp;S226,IF(R226="Exclude","Conference exclusion: "&amp;S226,IF(Q226&gt;0,H226&amp;" priority rank "&amp;I226&amp;"; whole initiative selected",P226)))</x:f>
        <x:v>Carryover priority rank 5; whole initiative selected</x:v>
      </x:c>
      <x:c r="W226" s="15" t="str">
        <x:v>Bu!110</x:v>
      </x:c>
      <x:c r="X226" s="15" t="str">
        <x:v>HEALTHY</x:v>
      </x:c>
      <x:c r="Y226" s="15" t="str">
        <x:v>HEALTHY — Rank in priority matrix</x:v>
      </x:c>
      <x:c r="Z226" s="15" t="str">
        <x:v>New Technology</x:v>
      </x:c>
      <x:c r="AA226" s="15" t="str">
        <x:v>Carry Over</x:v>
      </x:c>
      <x:c r="AB226" s="15" t="str">
        <x:v>Integrated Supply Chain &amp; Finance</x:v>
      </x:c>
      <x:c r="AC226" s="15" t="str">
        <x:v>Direct impact on our NA Comeback program which targets revenue growth of 300-500 M over next 2 years</x:v>
      </x:c>
      <x:c r="AD226" s="15" t="str">
        <x: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x:v>
      </x:c>
      <x:c r="AE226" s="15" t="str">
        <x:v>create a globally standardized, AI-enabled, data-driven planning capability that allows Philips to make faster, more accurate and more synchronized supply chain decisions across the enterprise</x:v>
      </x:c>
      <x:c r="AF226" s="15" t="str">
        <x:v>Direct impact on our NA Comeback program which targets revenue growth of 300-500 M over next 2 years |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 create a globally standardized, AI-enabled, data-driven planning capability that allows Philips to make faster, more accurate and more synchronized supply chain decisions across the enterprise</x:v>
      </x:c>
      <x:c r="AG226" s="15" t="str">
        <x:v>Must Do</x:v>
      </x:c>
      <x:c r="AH226" s="15" t="n">
        <x:v>226</x:v>
      </x:c>
    </x:row>
    <x:row r="227">
      <x:c r="A227" s="15" t="str">
        <x:v>Bu-60</x:v>
      </x:c>
      <x:c r="B227" s="15" t="str">
        <x:v>Symphony - Azurion NextGen</x:v>
      </x:c>
      <x:c r="C227" s="15" t="str">
        <x:v>BU Led</x:v>
      </x:c>
      <x:c r="D227" s="15" t="str">
        <x:v>Image Guided Therapy - Systems (IGT-S)</x:v>
      </x:c>
      <x:c r="E227" s="19" t="n">
        <x:v>2.8</x:v>
      </x:c>
      <x:c r="F227" s="19" t="n">
        <x:v>48</x:v>
      </x:c>
      <x:c r="G227" s="22" t="n">
        <x:f>IF(AND(E227&gt;0,ISNUMBER(F227)),F227/E227,"")</x:f>
        <x:v>17.142857142857142</x:v>
      </x:c>
      <x:c r="H227" s="15" t="str">
        <x:v>Carryover</x:v>
      </x:c>
      <x:c r="I227" s="15" t="n">
        <x:v>6</x:v>
      </x:c>
      <x:c r="J227" s="15" t="n">
        <x:v>10</x:v>
      </x:c>
      <x:c r="K227" s="23" t="n">
        <x:f>IF(G227="",0,IF(G227&lt;1,0,IF(G227&lt;2,20,IF(G227&lt;3,30,IF(G227&lt;5,40,50)))))*'Scenario Controls'!$B$22/50</x:f>
        <x:v>50</x:v>
      </x:c>
      <x:c r="L227" s="23" t="n">
        <x:f>IF(ISNUMBER(SEARCH("Must Do",AG227)),25,IF(ISNUMBER(SEARCH("Must Have",AG227)),18,IF(ISNUMBER(SEARCH("Deprior",AG227)),5,0)))*'Scenario Controls'!$B$23/25</x:f>
        <x:v>25</x:v>
      </x:c>
      <x:c r="M227" s="23" t="n">
        <x:f>J227*'Scenario Controls'!$B$24/15</x:f>
        <x:v>10</x:v>
      </x:c>
      <x:c r="N227" s="23" t="n">
        <x:f>IF(ISNUMBER(SEARCH("HEALTHY",X227)),10,IF(ISNUMBER(SEARCH("CONTAIN",X227)),6,0))*'Scenario Controls'!$B$25/10</x:f>
        <x:v>10</x:v>
      </x:c>
      <x:c r="O227" s="23" t="n">
        <x:f>SUM(K227:N227)</x:f>
        <x:v>95</x:v>
      </x:c>
      <x:c r="P227" s="15" t="str">
        <x:f>IF(OR(B227="",E227&lt;=0),"Evidence missing / not eligible",IF(ISNUMBER(SEARCH("priority TBD",Y227)),"Evidence missing / not eligible",IF(AND(H227="Carryover",NOT(ISNUMBER(F227))),"Evidence missing / not eligible",IF(AND(H227="Carryover",G227&lt;'Scenario Controls'!$B$16),"Evidence missing / not eligible",IF(AND(H227="ROI-Based Portfolio",NOT(ISNUMBER(F227))),"Evidence missing / not eligible",IF(AND(H227="ROI-Based Portfolio",O227&lt;'Scenario Controls'!$B$20),"Evidence missing / not eligible","Eligible"))))))</x:f>
        <x:v>Eligible</x:v>
      </x:c>
      <x:c r="Q227" s="19" t="n">
        <x:f>IF(P227&lt;&gt;"Eligible",0,IF(AND(SUMIFS($Q$5:Q226,$H$5:H226,H227)+E227&lt;=(IF(H227="LFR",'Scenario Controls'!$F$10,IF(H227="Sustain Engineering",'Scenario Controls'!$F$11,IF(H227="Hygiene",'Scenario Controls'!$F$12,1E+99))))*(1+'Scenario Controls'!$B$7),SUM($Q$5:Q226)+E227&lt;='Scenario Controls'!$B$6*(1+'Scenario Controls'!$B$7)),E227,0))</x:f>
        <x:v>2.8</x:v>
      </x:c>
      <x:c r="R227" s="24" t="str">
        <x:f>'BU Conference'!G108</x:f>
        <x:v>Automatic</x:v>
      </x:c>
      <x:c r="S227" s="24" t="str">
        <x:f>'BU Conference'!H108</x:f>
      </x:c>
      <x:c r="T227" s="19" t="n">
        <x:f>IF(R227="Exclude",0,IF(R227="Include",E227,Q227))</x:f>
        <x:v>2.8</x:v>
      </x:c>
      <x:c r="U227" s="15" t="str">
        <x:f>IF(T227&gt;0,"Funded",IF(P227="Eligible","Unfunded",P227))</x:f>
        <x:v>Funded</x:v>
      </x:c>
      <x:c r="V227" s="15" t="str">
        <x:f>IF(R227="Include","Conference inclusion: "&amp;S227,IF(R227="Exclude","Conference exclusion: "&amp;S227,IF(Q227&gt;0,H227&amp;" priority rank "&amp;I227&amp;"; whole initiative selected",P227)))</x:f>
        <x:v>Carryover priority rank 6; whole initiative selected</x:v>
      </x:c>
      <x:c r="W227" s="15" t="str">
        <x:v>Bu!129</x:v>
      </x:c>
      <x:c r="X227" s="15" t="str">
        <x:v>HEALTHY</x:v>
      </x:c>
      <x:c r="Y227" s="15" t="str">
        <x:v>HEALTHY — Rank in priority matrix</x:v>
      </x:c>
      <x:c r="Z227" s="15" t="str">
        <x:v>New Feature</x:v>
      </x:c>
      <x:c r="AA227" s="15" t="str">
        <x:v>Carry Over</x:v>
      </x:c>
      <x:c r="AB227" s="15" t="str">
        <x:v>Integrated Supply Chain &amp; Finance</x:v>
      </x:c>
      <x:c r="AC227" s="15" t="str">
        <x:v>Inability to launch Azurion Next Gen with software subscription and 3rd party ecosystem offerings, delaying recurring revenue generation and IGT's ability to scale future business models.</x:v>
      </x:c>
      <x:c r="AD227" s="15" t="str">
        <x:v>The objective of this business case is to deliver the required capabilities to support Azurion Next Gen, ensuring continuity of the approved Azurion roadmap, of which Azurion Eye is a dependent next step from an end-2-end capability perspective.</x:v>
      </x:c>
      <x:c r="AE227" s="15" t="str">
        <x:v>1. Quote to delivery</x:v>
      </x:c>
      <x:c r="AF227" s="15" t="str">
        <x:v>Inability to launch Azurion Next Gen with software subscription and 3rd party ecosystem offerings, delaying recurring revenue generation and IGT's ability to scale future business models. | The objective of this business case is to deliver the required capabilities to support Azurion Next Gen, ensuring continuity of the approved Azurion roadmap, of which Azurion Eye is a dependent next step from an end-2-end capability perspective. | 1. Quote to delivery</x:v>
      </x:c>
      <x:c r="AG227" s="15" t="str">
        <x:v>Must Do</x:v>
      </x:c>
      <x:c r="AH227" s="15" t="n">
        <x:v>237</x:v>
      </x:c>
    </x:row>
    <x:row r="228">
      <x:c r="A228" s="15" t="str">
        <x:v>Bu-82</x:v>
      </x:c>
      <x:c r="B228" s="15" t="str">
        <x:v>IGTS AI 2027</x:v>
      </x:c>
      <x:c r="C228" s="15" t="str">
        <x:v>BU Led</x:v>
      </x:c>
      <x:c r="D228" s="15" t="str">
        <x:v>Image Guided Therapy - Systems (IGT-S)</x:v>
      </x:c>
      <x:c r="E228" s="19" t="n">
        <x:v>2.468</x:v>
      </x:c>
      <x:c r="F228" s="19" t="n">
        <x:v>42</x:v>
      </x:c>
      <x:c r="G228" s="22" t="n">
        <x:f>IF(AND(E228&gt;0,ISNUMBER(F228)),F228/E228,"")</x:f>
        <x:v>17.01782820097245</x:v>
      </x:c>
      <x:c r="H228" s="15" t="str">
        <x:v>Carryover</x:v>
      </x:c>
      <x:c r="I228" s="15" t="n">
        <x:v>7</x:v>
      </x:c>
      <x:c r="J228" s="15" t="n">
        <x:v>5</x:v>
      </x:c>
      <x:c r="K228" s="23" t="n">
        <x:f>IF(G228="",0,IF(G228&lt;1,0,IF(G228&lt;2,20,IF(G228&lt;3,30,IF(G228&lt;5,40,50)))))*'Scenario Controls'!$B$22/50</x:f>
        <x:v>50</x:v>
      </x:c>
      <x:c r="L228" s="23" t="n">
        <x:f>IF(ISNUMBER(SEARCH("Must Do",AG228)),25,IF(ISNUMBER(SEARCH("Must Have",AG228)),18,IF(ISNUMBER(SEARCH("Deprior",AG228)),5,0)))*'Scenario Controls'!$B$23/25</x:f>
        <x:v>25</x:v>
      </x:c>
      <x:c r="M228" s="23" t="n">
        <x:f>J228*'Scenario Controls'!$B$24/15</x:f>
        <x:v>5</x:v>
      </x:c>
      <x:c r="N228" s="23" t="n">
        <x:f>IF(ISNUMBER(SEARCH("HEALTHY",X228)),10,IF(ISNUMBER(SEARCH("CONTAIN",X228)),6,0))*'Scenario Controls'!$B$25/10</x:f>
        <x:v>10</x:v>
      </x:c>
      <x:c r="O228" s="23" t="n">
        <x:f>SUM(K228:N228)</x:f>
        <x:v>90</x:v>
      </x:c>
      <x:c r="P228" s="15" t="str">
        <x:f>IF(OR(B228="",E228&lt;=0),"Evidence missing / not eligible",IF(ISNUMBER(SEARCH("priority TBD",Y228)),"Evidence missing / not eligible",IF(AND(H228="Carryover",NOT(ISNUMBER(F228))),"Evidence missing / not eligible",IF(AND(H228="Carryover",G228&lt;'Scenario Controls'!$B$16),"Evidence missing / not eligible",IF(AND(H228="ROI-Based Portfolio",NOT(ISNUMBER(F228))),"Evidence missing / not eligible",IF(AND(H228="ROI-Based Portfolio",O228&lt;'Scenario Controls'!$B$20),"Evidence missing / not eligible","Eligible"))))))</x:f>
        <x:v>Eligible</x:v>
      </x:c>
      <x:c r="Q228" s="19" t="n">
        <x:f>IF(P228&lt;&gt;"Eligible",0,IF(AND(SUMIFS($Q$5:Q227,$H$5:H227,H228)+E228&lt;=(IF(H228="LFR",'Scenario Controls'!$F$10,IF(H228="Sustain Engineering",'Scenario Controls'!$F$11,IF(H228="Hygiene",'Scenario Controls'!$F$12,1E+99))))*(1+'Scenario Controls'!$B$7),SUM($Q$5:Q227)+E228&lt;='Scenario Controls'!$B$6*(1+'Scenario Controls'!$B$7)),E228,0))</x:f>
        <x:v>2.468</x:v>
      </x:c>
      <x:c r="R228" s="24" t="str">
        <x:f>'BU Conference'!G109</x:f>
        <x:v>Automatic</x:v>
      </x:c>
      <x:c r="S228" s="24" t="str">
        <x:f>'BU Conference'!H109</x:f>
      </x:c>
      <x:c r="T228" s="19" t="n">
        <x:f>IF(R228="Exclude",0,IF(R228="Include",E228,Q228))</x:f>
        <x:v>2.468</x:v>
      </x:c>
      <x:c r="U228" s="15" t="str">
        <x:f>IF(T228&gt;0,"Funded",IF(P228="Eligible","Unfunded",P228))</x:f>
        <x:v>Funded</x:v>
      </x:c>
      <x:c r="V228" s="15" t="str">
        <x:f>IF(R228="Include","Conference inclusion: "&amp;S228,IF(R228="Exclude","Conference exclusion: "&amp;S228,IF(Q228&gt;0,H228&amp;" priority rank "&amp;I228&amp;"; whole initiative selected",P228)))</x:f>
        <x:v>Carryover priority rank 7; whole initiative selected</x:v>
      </x:c>
      <x:c r="W228" s="15" t="str">
        <x:v>Bu!214</x:v>
      </x:c>
      <x:c r="X228" s="15" t="str">
        <x:v>HEALTHY</x:v>
      </x:c>
      <x:c r="Y228" s="15" t="str">
        <x:v>HEALTHY — Rank in priority matrix</x:v>
      </x:c>
      <x:c r="Z228" s="15" t="str">
        <x:v>New Feature</x:v>
      </x:c>
      <x:c r="AA228" s="15" t="str">
        <x:v>Carry Over</x:v>
      </x:c>
      <x:c r="AB228" s="15" t="str">
        <x:v>Enterprise Architecture, Data &amp; Integration</x:v>
      </x:c>
      <x:c r="AC228" s="15" t="str">
        <x:v>Without funding, AI transformation outcomes across IGTS will be delayed, slowing productivity gains, innovation, time-to-market improvements and operational reliability, while increasing future execution costs</x:v>
      </x:c>
      <x:c r="AD228" s="15" t="str">
        <x:v>AI and Analytics</x:v>
      </x:c>
      <x:c r="AE228" s="15" t="str">
        <x:v>Move Delphi to ATAAP, GenAI hosting, maintaining, new agents, Analytics - new reports, changes, MCP servers, IT architecture support, new data soruces, tables, NPSS</x:v>
      </x:c>
      <x:c r="AF228" s="15" t="str">
        <x:v>Without funding, AI transformation outcomes across IGTS will be delayed, slowing productivity gains, innovation, time-to-market improvements and operational reliability, while increasing future execution costs | AI and Analytics | Move Delphi to ATAAP, GenAI hosting, maintaining, new agents, Analytics - new reports, changes, MCP servers, IT architecture support, new data soruces, tables, NPSS</x:v>
      </x:c>
      <x:c r="AG228" s="15" t="str">
        <x:v>Must Do</x:v>
      </x:c>
      <x:c r="AH228" s="15" t="n">
        <x:v>259</x:v>
      </x:c>
    </x:row>
    <x:row r="229">
      <x:c r="A229" s="15" t="str">
        <x:v>Bu-81</x:v>
      </x:c>
      <x:c r="B229" s="15" t="str">
        <x:v>Data Analytics &amp; IB Fix2Perform</x:v>
      </x:c>
      <x:c r="C229" s="15" t="str">
        <x:v>BU Led</x:v>
      </x:c>
      <x:c r="D229" s="15" t="str">
        <x:v>Image Guided Therapy - Systems (IGT-S)</x:v>
      </x:c>
      <x:c r="E229" s="19" t="n">
        <x:v>0.85</x:v>
      </x:c>
      <x:c r="F229" s="19" t="n">
        <x:v>10.3</x:v>
      </x:c>
      <x:c r="G229" s="22" t="n">
        <x:f>IF(AND(E229&gt;0,ISNUMBER(F229)),F229/E229,"")</x:f>
        <x:v>12.11764705882353</x:v>
      </x:c>
      <x:c r="H229" s="15" t="str">
        <x:v>Carryover</x:v>
      </x:c>
      <x:c r="I229" s="15" t="n">
        <x:v>8</x:v>
      </x:c>
      <x:c r="J229" s="15" t="n">
        <x:v>15</x:v>
      </x:c>
      <x:c r="K229" s="23" t="n">
        <x:f>IF(G229="",0,IF(G229&lt;1,0,IF(G229&lt;2,20,IF(G229&lt;3,30,IF(G229&lt;5,40,50)))))*'Scenario Controls'!$B$22/50</x:f>
        <x:v>50</x:v>
      </x:c>
      <x:c r="L229" s="23" t="n">
        <x:f>IF(ISNUMBER(SEARCH("Must Do",AG229)),25,IF(ISNUMBER(SEARCH("Must Have",AG229)),18,IF(ISNUMBER(SEARCH("Deprior",AG229)),5,0)))*'Scenario Controls'!$B$23/25</x:f>
        <x:v>25</x:v>
      </x:c>
      <x:c r="M229" s="23" t="n">
        <x:f>J229*'Scenario Controls'!$B$24/15</x:f>
        <x:v>15</x:v>
      </x:c>
      <x:c r="N229" s="23" t="n">
        <x:f>IF(ISNUMBER(SEARCH("HEALTHY",X229)),10,IF(ISNUMBER(SEARCH("CONTAIN",X229)),6,0))*'Scenario Controls'!$B$25/10</x:f>
        <x:v>10</x:v>
      </x:c>
      <x:c r="O229" s="23" t="n">
        <x:f>SUM(K229:N229)</x:f>
        <x:v>100</x:v>
      </x:c>
      <x:c r="P229" s="15" t="str">
        <x:f>IF(OR(B229="",E229&lt;=0),"Evidence missing / not eligible",IF(ISNUMBER(SEARCH("priority TBD",Y229)),"Evidence missing / not eligible",IF(AND(H229="Carryover",NOT(ISNUMBER(F229))),"Evidence missing / not eligible",IF(AND(H229="Carryover",G229&lt;'Scenario Controls'!$B$16),"Evidence missing / not eligible",IF(AND(H229="ROI-Based Portfolio",NOT(ISNUMBER(F229))),"Evidence missing / not eligible",IF(AND(H229="ROI-Based Portfolio",O229&lt;'Scenario Controls'!$B$20),"Evidence missing / not eligible","Eligible"))))))</x:f>
        <x:v>Eligible</x:v>
      </x:c>
      <x:c r="Q229" s="19" t="n">
        <x:f>IF(P229&lt;&gt;"Eligible",0,IF(AND(SUMIFS($Q$5:Q228,$H$5:H228,H229)+E229&lt;=(IF(H229="LFR",'Scenario Controls'!$F$10,IF(H229="Sustain Engineering",'Scenario Controls'!$F$11,IF(H229="Hygiene",'Scenario Controls'!$F$12,1E+99))))*(1+'Scenario Controls'!$B$7),SUM($Q$5:Q228)+E229&lt;='Scenario Controls'!$B$6*(1+'Scenario Controls'!$B$7)),E229,0))</x:f>
        <x:v>0.85</x:v>
      </x:c>
      <x:c r="R229" s="24" t="str">
        <x:f>'BU Conference'!G110</x:f>
        <x:v>Automatic</x:v>
      </x:c>
      <x:c r="S229" s="24" t="str">
        <x:f>'BU Conference'!H110</x:f>
      </x:c>
      <x:c r="T229" s="19" t="n">
        <x:f>IF(R229="Exclude",0,IF(R229="Include",E229,Q229))</x:f>
        <x:v>0.85</x:v>
      </x:c>
      <x:c r="U229" s="15" t="str">
        <x:f>IF(T229&gt;0,"Funded",IF(P229="Eligible","Unfunded",P229))</x:f>
        <x:v>Funded</x:v>
      </x:c>
      <x:c r="V229" s="15" t="str">
        <x:f>IF(R229="Include","Conference inclusion: "&amp;S229,IF(R229="Exclude","Conference exclusion: "&amp;S229,IF(Q229&gt;0,H229&amp;" priority rank "&amp;I229&amp;"; whole initiative selected",P229)))</x:f>
        <x:v>Carryover priority rank 8; whole initiative selected</x:v>
      </x:c>
      <x:c r="W229" s="15" t="str">
        <x:v>Bu!205</x:v>
      </x:c>
      <x:c r="X229" s="15" t="str">
        <x:v>HEALTHY</x:v>
      </x:c>
      <x:c r="Y229" s="15" t="str">
        <x:v>HEALTHY — Rank in priority matrix</x:v>
      </x:c>
      <x:c r="Z229" s="15" t="str">
        <x:v>New Feature</x:v>
      </x:c>
      <x:c r="AA229" s="15" t="str">
        <x:v>Carry Over</x:v>
      </x:c>
      <x:c r="AB229" s="15" t="str">
        <x:v>Enterprise Architecture, Data &amp; Integration</x:v>
      </x:c>
      <x:c r="AC229" s="15" t="str">
        <x:v>Forego ~€8.5M annual quality and operational cost improvements and delay deployment of enabling quality analytics and Fix2Perform capabilities.Unnecessary FSE visits for FCO due to incorrect UAL (€1.8M reduction on ~€40M annual cost)</x:v>
      </x:c>
      <x:c r="AD229" s="15" t="str">
        <x:v>Updates to data analytics solutions &amp; workbench AI</x:v>
      </x:c>
      <x:c r="AE229" s="15" t="str">
        <x:v>1. New (mandatory) KPIs require new data elements. In 2026 we needed to start reporting on Defects and Customer Feedback. In 2027, integration of OneEMS, Taiwan and HK D365 in a single Service CDM</x:v>
      </x:c>
      <x:c r="AF229" s="15" t="str">
        <x:v>Forego ~€8.5M annual quality and operational cost improvements and delay deployment of enabling quality analytics and Fix2Perform capabilities.Unnecessary FSE visits for FCO due to incorrect UAL (€1.8M reduction on ~€40M annual cost) | Updates to data analytics solutions &amp; workbench AI | 1. New (mandatory) KPIs require new data elements. In 2026 we needed to start reporting on Defects and Customer Feedback. In 2027, integration of OneEMS, Taiwan and HK D365 in a single Service CDM</x:v>
      </x:c>
      <x:c r="AG229" s="15" t="str">
        <x:v>Must Do</x:v>
      </x:c>
      <x:c r="AH229" s="15" t="n">
        <x:v>258</x:v>
      </x:c>
    </x:row>
    <x:row r="230">
      <x:c r="A230" s="15" t="str">
        <x:v>EW-39</x:v>
      </x:c>
      <x:c r="B230" s="15" t="str">
        <x:v>EADI - MDM Strategic Positioning</x:v>
      </x:c>
      <x:c r="C230" s="15" t="str">
        <x:v>EW Led</x:v>
      </x:c>
      <x:c r="D230" s="15" t="str">
        <x:v>Information Technology</x:v>
      </x:c>
      <x:c r="E230" s="19" t="n">
        <x:v>0.1</x:v>
      </x:c>
      <x:c r="F230" s="19" t="n">
        <x:v>0.625</x:v>
      </x:c>
      <x:c r="G230" s="22" t="n">
        <x:f>IF(AND(E230&gt;0,ISNUMBER(F230)),F230/E230,"")</x:f>
        <x:v>6.25</x:v>
      </x:c>
      <x:c r="H230" s="15" t="str">
        <x:v>Carryover</x:v>
      </x:c>
      <x:c r="I230" s="15" t="n">
        <x:v>9</x:v>
      </x:c>
      <x:c r="J230" s="15" t="n">
        <x:v>10</x:v>
      </x:c>
      <x:c r="K230" s="23" t="n">
        <x:f>IF(G230="",0,IF(G230&lt;1,0,IF(G230&lt;2,20,IF(G230&lt;3,30,IF(G230&lt;5,40,50)))))*'Scenario Controls'!$B$22/50</x:f>
        <x:v>50</x:v>
      </x:c>
      <x:c r="L230" s="23" t="n">
        <x:f>IF(ISNUMBER(SEARCH("Must Do",AG230)),25,IF(ISNUMBER(SEARCH("Must Have",AG230)),18,IF(ISNUMBER(SEARCH("Deprior",AG230)),5,0)))*'Scenario Controls'!$B$23/25</x:f>
        <x:v>25</x:v>
      </x:c>
      <x:c r="M230" s="23" t="n">
        <x:f>J230*'Scenario Controls'!$B$24/15</x:f>
        <x:v>10</x:v>
      </x:c>
      <x:c r="N230" s="23" t="n">
        <x:f>IF(ISNUMBER(SEARCH("HEALTHY",X230)),10,IF(ISNUMBER(SEARCH("CONTAIN",X230)),6,0))*'Scenario Controls'!$B$25/10</x:f>
        <x:v>10</x:v>
      </x:c>
      <x:c r="O230" s="23" t="n">
        <x:f>SUM(K230:N230)</x:f>
        <x:v>95</x:v>
      </x:c>
      <x:c r="P230" s="15" t="str">
        <x:f>IF(OR(B230="",E230&lt;=0),"Evidence missing / not eligible",IF(ISNUMBER(SEARCH("priority TBD",Y230)),"Evidence missing / not eligible",IF(AND(H230="Carryover",NOT(ISNUMBER(F230))),"Evidence missing / not eligible",IF(AND(H230="Carryover",G230&lt;'Scenario Controls'!$B$16),"Evidence missing / not eligible",IF(AND(H230="ROI-Based Portfolio",NOT(ISNUMBER(F230))),"Evidence missing / not eligible",IF(AND(H230="ROI-Based Portfolio",O230&lt;'Scenario Controls'!$B$20),"Evidence missing / not eligible","Eligible"))))))</x:f>
        <x:v>Eligible</x:v>
      </x:c>
      <x:c r="Q230" s="19" t="n">
        <x:f>IF(P230&lt;&gt;"Eligible",0,IF(AND(SUMIFS($Q$5:Q229,$H$5:H229,H230)+E230&lt;=(IF(H230="LFR",'Scenario Controls'!$F$10,IF(H230="Sustain Engineering",'Scenario Controls'!$F$11,IF(H230="Hygiene",'Scenario Controls'!$F$12,1E+99))))*(1+'Scenario Controls'!$B$7),SUM($Q$5:Q229)+E230&lt;='Scenario Controls'!$B$6*(1+'Scenario Controls'!$B$7)),E230,0))</x:f>
        <x:v>0.1</x:v>
      </x:c>
      <x:c r="R230" s="24" t="str">
        <x:f>'EW Conference'!G125</x:f>
        <x:v>Automatic</x:v>
      </x:c>
      <x:c r="S230" s="24" t="str">
        <x:f>'EW Conference'!H125</x:f>
      </x:c>
      <x:c r="T230" s="19" t="n">
        <x:f>IF(R230="Exclude",0,IF(R230="Include",E230,Q230))</x:f>
        <x:v>0.1</x:v>
      </x:c>
      <x:c r="U230" s="15" t="str">
        <x:f>IF(T230&gt;0,"Funded",IF(P230="Eligible","Unfunded",P230))</x:f>
        <x:v>Funded</x:v>
      </x:c>
      <x:c r="V230" s="15" t="str">
        <x:f>IF(R230="Include","Conference inclusion: "&amp;S230,IF(R230="Exclude","Conference exclusion: "&amp;S230,IF(Q230&gt;0,H230&amp;" priority rank "&amp;I230&amp;"; whole initiative selected",P230)))</x:f>
        <x:v>Carryover priority rank 9; whole initiative selected</x:v>
      </x:c>
      <x:c r="W230" s="15" t="str">
        <x:v>EW!40</x:v>
      </x:c>
      <x:c r="X230" s="15" t="str">
        <x:v>HEALTHY</x:v>
      </x:c>
      <x:c r="Y230" s="15" t="str">
        <x:v>HEALTHY — Rank in priority matrix</x:v>
      </x:c>
      <x:c r="Z230" s="15" t="str">
        <x:v>New Features</x:v>
      </x:c>
      <x:c r="AA230" s="15" t="str">
        <x:v>Carry Over</x:v>
      </x:c>
      <x:c r="AB230" s="15" t="str">
        <x:v>Enterprise Architecture, Data &amp; Integration</x:v>
      </x:c>
      <x:c r="AC230" s="15" t="str">
        <x:v>Loss in Productivity &amp; Savings will not be realized</x:v>
      </x:c>
      <x:c r="AD230" s="15" t="str">
        <x:v>Reduce dependency on Informatica and High license costs</x:v>
      </x:c>
      <x:c r="AE230" s="15" t="str">
        <x:v>Moving PDH and FORDH out of Informatica and building it on Itaap Platform.</x:v>
      </x:c>
      <x:c r="AF230" s="15" t="str">
        <x:v>Loss in Productivity &amp; Savings will not be realized | Reduce dependency on Informatica and High license costs | Moving PDH and FORDH out of Informatica and building it on Itaap Platform.</x:v>
      </x:c>
      <x:c r="AG230" s="15" t="str">
        <x:v>Must Do</x:v>
      </x:c>
      <x:c r="AH230" s="15" t="n">
        <x:v>42</x:v>
      </x:c>
    </x:row>
    <x:row r="231">
      <x:c r="A231" s="15" t="str">
        <x:v>EW-32</x:v>
      </x:c>
      <x:c r="B231" s="15" t="str">
        <x:v>EADI - AI</x:v>
      </x:c>
      <x:c r="C231" s="15" t="str">
        <x:v>EW Led</x:v>
      </x:c>
      <x:c r="D231" s="15" t="str">
        <x:v>Information Technology</x:v>
      </x:c>
      <x:c r="E231" s="19" t="n">
        <x:v>0.2</x:v>
      </x:c>
      <x:c r="F231" s="19" t="n">
        <x:v>1</x:v>
      </x:c>
      <x:c r="G231" s="22" t="n">
        <x:f>IF(AND(E231&gt;0,ISNUMBER(F231)),F231/E231,"")</x:f>
        <x:v>5</x:v>
      </x:c>
      <x:c r="H231" s="15" t="str">
        <x:v>Carryover</x:v>
      </x:c>
      <x:c r="I231" s="15" t="n">
        <x:v>10</x:v>
      </x:c>
      <x:c r="J231" s="15" t="n">
        <x:v>10</x:v>
      </x:c>
      <x:c r="K231" s="23" t="n">
        <x:f>IF(G231="",0,IF(G231&lt;1,0,IF(G231&lt;2,20,IF(G231&lt;3,30,IF(G231&lt;5,40,50)))))*'Scenario Controls'!$B$22/50</x:f>
        <x:v>50</x:v>
      </x:c>
      <x:c r="L231" s="23" t="n">
        <x:f>IF(ISNUMBER(SEARCH("Must Do",AG231)),25,IF(ISNUMBER(SEARCH("Must Have",AG231)),18,IF(ISNUMBER(SEARCH("Deprior",AG231)),5,0)))*'Scenario Controls'!$B$23/25</x:f>
        <x:v>25</x:v>
      </x:c>
      <x:c r="M231" s="23" t="n">
        <x:f>J231*'Scenario Controls'!$B$24/15</x:f>
        <x:v>10</x:v>
      </x:c>
      <x:c r="N231" s="23" t="n">
        <x:f>IF(ISNUMBER(SEARCH("HEALTHY",X231)),10,IF(ISNUMBER(SEARCH("CONTAIN",X231)),6,0))*'Scenario Controls'!$B$25/10</x:f>
        <x:v>10</x:v>
      </x:c>
      <x:c r="O231" s="23" t="n">
        <x:f>SUM(K231:N231)</x:f>
        <x:v>95</x:v>
      </x:c>
      <x:c r="P231" s="15" t="str">
        <x:f>IF(OR(B231="",E231&lt;=0),"Evidence missing / not eligible",IF(ISNUMBER(SEARCH("priority TBD",Y231)),"Evidence missing / not eligible",IF(AND(H231="Carryover",NOT(ISNUMBER(F231))),"Evidence missing / not eligible",IF(AND(H231="Carryover",G231&lt;'Scenario Controls'!$B$16),"Evidence missing / not eligible",IF(AND(H231="ROI-Based Portfolio",NOT(ISNUMBER(F231))),"Evidence missing / not eligible",IF(AND(H231="ROI-Based Portfolio",O231&lt;'Scenario Controls'!$B$20),"Evidence missing / not eligible","Eligible"))))))</x:f>
        <x:v>Eligible</x:v>
      </x:c>
      <x:c r="Q231" s="19" t="n">
        <x:f>IF(P231&lt;&gt;"Eligible",0,IF(AND(SUMIFS($Q$5:Q230,$H$5:H230,H231)+E231&lt;=(IF(H231="LFR",'Scenario Controls'!$F$10,IF(H231="Sustain Engineering",'Scenario Controls'!$F$11,IF(H231="Hygiene",'Scenario Controls'!$F$12,1E+99))))*(1+'Scenario Controls'!$B$7),SUM($Q$5:Q230)+E231&lt;='Scenario Controls'!$B$6*(1+'Scenario Controls'!$B$7)),E231,0))</x:f>
        <x:v>0.2</x:v>
      </x:c>
      <x:c r="R231" s="24" t="str">
        <x:f>'EW Conference'!G126</x:f>
        <x:v>Automatic</x:v>
      </x:c>
      <x:c r="S231" s="24" t="str">
        <x:f>'EW Conference'!H126</x:f>
      </x:c>
      <x:c r="T231" s="19" t="n">
        <x:f>IF(R231="Exclude",0,IF(R231="Include",E231,Q231))</x:f>
        <x:v>0.2</x:v>
      </x:c>
      <x:c r="U231" s="15" t="str">
        <x:f>IF(T231&gt;0,"Funded",IF(P231="Eligible","Unfunded",P231))</x:f>
        <x:v>Funded</x:v>
      </x:c>
      <x:c r="V231" s="15" t="str">
        <x:f>IF(R231="Include","Conference inclusion: "&amp;S231,IF(R231="Exclude","Conference exclusion: "&amp;S231,IF(Q231&gt;0,H231&amp;" priority rank "&amp;I231&amp;"; whole initiative selected",P231)))</x:f>
        <x:v>Carryover priority rank 10; whole initiative selected</x:v>
      </x:c>
      <x:c r="W231" s="15" t="str">
        <x:v>EW!33</x:v>
      </x:c>
      <x:c r="X231" s="15" t="str">
        <x:v>HEALTHY</x:v>
      </x:c>
      <x:c r="Y231" s="15" t="str">
        <x:v>HEALTHY — Rank in priority matrix</x:v>
      </x:c>
      <x:c r="Z231" s="15" t="str">
        <x:v>AI Enablement</x:v>
      </x:c>
      <x:c r="AA231" s="15" t="str">
        <x:v>Carry Over</x:v>
      </x:c>
      <x:c r="AB231" s="15" t="str">
        <x:v>Enterprise Architecture, Data &amp; Integration</x:v>
      </x:c>
      <x:c r="AC231" s="15" t="str">
        <x:v>uncerternaity of adhereance to AI Governance and gaurdrails. Impact on spending due to probable inefficient used of models</x:v>
      </x:c>
      <x:c r="AD231" s="15" t="str">
        <x:v>Extension of AI Foundation capabilities for mdel serving and Oberserbility</x:v>
      </x:c>
      <x:c r="AE231" s="15" t="str">
        <x:v>AI Foundation service and AI landing zone</x:v>
      </x:c>
      <x:c r="AF231" s="15" t="str">
        <x:v>uncerternaity of adhereance to AI Governance and gaurdrails. Impact on spending due to probable inefficient used of models | Extension of AI Foundation capabilities for mdel serving and Oberserbility | AI Foundation service and AI landing zone</x:v>
      </x:c>
      <x:c r="AG231" s="15" t="str">
        <x:v>Must Do</x:v>
      </x:c>
      <x:c r="AH231" s="15" t="n">
        <x:v>35</x:v>
      </x:c>
    </x:row>
    <x:row r="232">
      <x:c r="A232" s="15" t="str">
        <x:v>EW-84</x:v>
      </x:c>
      <x:c r="B232" s="15" t="str">
        <x:v>FIN-FPA Digital -AI/GenAI implementation (FP&amp;A cases) (Big-Bets)</x:v>
      </x:c>
      <x:c r="C232" s="15" t="str">
        <x:v>EW Led</x:v>
      </x:c>
      <x:c r="D232" s="15" t="str">
        <x:v>Finance</x:v>
      </x:c>
      <x:c r="E232" s="19" t="n">
        <x:v>0.25</x:v>
      </x:c>
      <x:c r="F232" s="19" t="n">
        <x:v>1.2</x:v>
      </x:c>
      <x:c r="G232" s="22" t="n">
        <x:f>IF(AND(E232&gt;0,ISNUMBER(F232)),F232/E232,"")</x:f>
        <x:v>4.8</x:v>
      </x:c>
      <x:c r="H232" s="15" t="str">
        <x:v>Carryover</x:v>
      </x:c>
      <x:c r="I232" s="15" t="n">
        <x:v>11</x:v>
      </x:c>
      <x:c r="J232" s="15" t="n">
        <x:v>5</x:v>
      </x:c>
      <x:c r="K232" s="23" t="n">
        <x:f>IF(G232="",0,IF(G232&lt;1,0,IF(G232&lt;2,20,IF(G232&lt;3,30,IF(G232&lt;5,40,50)))))*'Scenario Controls'!$B$22/50</x:f>
        <x:v>40</x:v>
      </x:c>
      <x:c r="L232" s="23" t="n">
        <x:f>IF(ISNUMBER(SEARCH("Must Do",AG232)),25,IF(ISNUMBER(SEARCH("Must Have",AG232)),18,IF(ISNUMBER(SEARCH("Deprior",AG232)),5,0)))*'Scenario Controls'!$B$23/25</x:f>
        <x:v>25</x:v>
      </x:c>
      <x:c r="M232" s="23" t="n">
        <x:f>J232*'Scenario Controls'!$B$24/15</x:f>
        <x:v>5</x:v>
      </x:c>
      <x:c r="N232" s="23" t="n">
        <x:f>IF(ISNUMBER(SEARCH("HEALTHY",X232)),10,IF(ISNUMBER(SEARCH("CONTAIN",X232)),6,0))*'Scenario Controls'!$B$25/10</x:f>
        <x:v>10</x:v>
      </x:c>
      <x:c r="O232" s="23" t="n">
        <x:f>SUM(K232:N232)</x:f>
        <x:v>80</x:v>
      </x:c>
      <x:c r="P232" s="15" t="str">
        <x:f>IF(OR(B232="",E232&lt;=0),"Evidence missing / not eligible",IF(ISNUMBER(SEARCH("priority TBD",Y232)),"Evidence missing / not eligible",IF(AND(H232="Carryover",NOT(ISNUMBER(F232))),"Evidence missing / not eligible",IF(AND(H232="Carryover",G232&lt;'Scenario Controls'!$B$16),"Evidence missing / not eligible",IF(AND(H232="ROI-Based Portfolio",NOT(ISNUMBER(F232))),"Evidence missing / not eligible",IF(AND(H232="ROI-Based Portfolio",O232&lt;'Scenario Controls'!$B$20),"Evidence missing / not eligible","Eligible"))))))</x:f>
        <x:v>Eligible</x:v>
      </x:c>
      <x:c r="Q232" s="19" t="n">
        <x:f>IF(P232&lt;&gt;"Eligible",0,IF(AND(SUMIFS($Q$5:Q231,$H$5:H231,H232)+E232&lt;=(IF(H232="LFR",'Scenario Controls'!$F$10,IF(H232="Sustain Engineering",'Scenario Controls'!$F$11,IF(H232="Hygiene",'Scenario Controls'!$F$12,1E+99))))*(1+'Scenario Controls'!$B$7),SUM($Q$5:Q231)+E232&lt;='Scenario Controls'!$B$6*(1+'Scenario Controls'!$B$7)),E232,0))</x:f>
        <x:v>0.25</x:v>
      </x:c>
      <x:c r="R232" s="24" t="str">
        <x:f>'EW Conference'!G127</x:f>
        <x:v>Automatic</x:v>
      </x:c>
      <x:c r="S232" s="24" t="str">
        <x:f>'EW Conference'!H127</x:f>
      </x:c>
      <x:c r="T232" s="19" t="n">
        <x:f>IF(R232="Exclude",0,IF(R232="Include",E232,Q232))</x:f>
        <x:v>0.25</x:v>
      </x:c>
      <x:c r="U232" s="15" t="str">
        <x:f>IF(T232&gt;0,"Funded",IF(P232="Eligible","Unfunded",P232))</x:f>
        <x:v>Funded</x:v>
      </x:c>
      <x:c r="V232" s="15" t="str">
        <x:f>IF(R232="Include","Conference inclusion: "&amp;S232,IF(R232="Exclude","Conference exclusion: "&amp;S232,IF(Q232&gt;0,H232&amp;" priority rank "&amp;I232&amp;"; whole initiative selected",P232)))</x:f>
        <x:v>Carryover priority rank 11; whole initiative selected</x:v>
      </x:c>
      <x:c r="W232" s="15" t="str">
        <x:v>EW!80</x:v>
      </x:c>
      <x:c r="X232" s="15" t="str">
        <x:v>HEALTHY</x:v>
      </x:c>
      <x:c r="Y232" s="15" t="str">
        <x:v>HEALTHY — Rank in priority matrix</x:v>
      </x:c>
      <x:c r="Z232" s="15" t="str">
        <x:v>AI Enablement</x:v>
      </x:c>
      <x:c r="AA232" s="15" t="str">
        <x:v>Carry Over</x:v>
      </x:c>
      <x:c r="AB232" s="15" t="str">
        <x:v>Integrated Supply Chain &amp; Finance</x:v>
      </x:c>
      <x:c r="AC232" s="15" t="str">
        <x:v>Missed Gen AI scaling opportunity for scenario modeling and analytics; Continued manual effort; Finance function not future-proofed</x:v>
      </x:c>
      <x:c r="AD232" s="15" t="str"/>
      <x:c r="AE232" s="15" t="str"/>
      <x:c r="AF232" s="15" t="str">
        <x:v>Missed Gen AI scaling opportunity for scenario modeling and analytics; Continued manual effort; Finance function not future-proofed</x:v>
      </x:c>
      <x:c r="AG232" s="15" t="str">
        <x:v>Must Do</x:v>
      </x:c>
      <x:c r="AH232" s="15" t="n">
        <x:v>82</x:v>
      </x:c>
    </x:row>
    <x:row r="233">
      <x:c r="A233" s="15" t="str">
        <x:v>EW-37</x:v>
      </x:c>
      <x:c r="B233" s="15" t="str">
        <x:v>EADI - I&amp;A Business Intelligence Rationalisation ( New name : EADI -I&amp;A CDM and AI asset engineering )</x:v>
      </x:c>
      <x:c r="C233" s="15" t="str">
        <x:v>EW Led</x:v>
      </x:c>
      <x:c r="D233" s="15" t="str">
        <x:v>Information Technology</x:v>
      </x:c>
      <x:c r="E233" s="19" t="n">
        <x:v>0.493</x:v>
      </x:c>
      <x:c r="F233" s="19" t="n">
        <x:v>2</x:v>
      </x:c>
      <x:c r="G233" s="22" t="n">
        <x:f>IF(AND(E233&gt;0,ISNUMBER(F233)),F233/E233,"")</x:f>
        <x:v>4.056795131845842</x:v>
      </x:c>
      <x:c r="H233" s="15" t="str">
        <x:v>Carryover</x:v>
      </x:c>
      <x:c r="I233" s="15" t="n">
        <x:v>12</x:v>
      </x:c>
      <x:c r="J233" s="15" t="n">
        <x:v>5</x:v>
      </x:c>
      <x:c r="K233" s="23" t="n">
        <x:f>IF(G233="",0,IF(G233&lt;1,0,IF(G233&lt;2,20,IF(G233&lt;3,30,IF(G233&lt;5,40,50)))))*'Scenario Controls'!$B$22/50</x:f>
        <x:v>40</x:v>
      </x:c>
      <x:c r="L233" s="23" t="n">
        <x:f>IF(ISNUMBER(SEARCH("Must Do",AG233)),25,IF(ISNUMBER(SEARCH("Must Have",AG233)),18,IF(ISNUMBER(SEARCH("Deprior",AG233)),5,0)))*'Scenario Controls'!$B$23/25</x:f>
        <x:v>25</x:v>
      </x:c>
      <x:c r="M233" s="23" t="n">
        <x:f>J233*'Scenario Controls'!$B$24/15</x:f>
        <x:v>5</x:v>
      </x:c>
      <x:c r="N233" s="23" t="n">
        <x:f>IF(ISNUMBER(SEARCH("HEALTHY",X233)),10,IF(ISNUMBER(SEARCH("CONTAIN",X233)),6,0))*'Scenario Controls'!$B$25/10</x:f>
        <x:v>10</x:v>
      </x:c>
      <x:c r="O233" s="23" t="n">
        <x:f>SUM(K233:N233)</x:f>
        <x:v>80</x:v>
      </x:c>
      <x:c r="P233" s="15" t="str">
        <x:f>IF(OR(B233="",E233&lt;=0),"Evidence missing / not eligible",IF(ISNUMBER(SEARCH("priority TBD",Y233)),"Evidence missing / not eligible",IF(AND(H233="Carryover",NOT(ISNUMBER(F233))),"Evidence missing / not eligible",IF(AND(H233="Carryover",G233&lt;'Scenario Controls'!$B$16),"Evidence missing / not eligible",IF(AND(H233="ROI-Based Portfolio",NOT(ISNUMBER(F233))),"Evidence missing / not eligible",IF(AND(H233="ROI-Based Portfolio",O233&lt;'Scenario Controls'!$B$20),"Evidence missing / not eligible","Eligible"))))))</x:f>
        <x:v>Eligible</x:v>
      </x:c>
      <x:c r="Q233" s="19" t="n">
        <x:f>IF(P233&lt;&gt;"Eligible",0,IF(AND(SUMIFS($Q$5:Q232,$H$5:H232,H233)+E233&lt;=(IF(H233="LFR",'Scenario Controls'!$F$10,IF(H233="Sustain Engineering",'Scenario Controls'!$F$11,IF(H233="Hygiene",'Scenario Controls'!$F$12,1E+99))))*(1+'Scenario Controls'!$B$7),SUM($Q$5:Q232)+E233&lt;='Scenario Controls'!$B$6*(1+'Scenario Controls'!$B$7)),E233,0))</x:f>
        <x:v>0.493</x:v>
      </x:c>
      <x:c r="R233" s="24" t="str">
        <x:f>'EW Conference'!G128</x:f>
        <x:v>Automatic</x:v>
      </x:c>
      <x:c r="S233" s="24" t="str">
        <x:f>'EW Conference'!H128</x:f>
      </x:c>
      <x:c r="T233" s="19" t="n">
        <x:f>IF(R233="Exclude",0,IF(R233="Include",E233,Q233))</x:f>
        <x:v>0.493</x:v>
      </x:c>
      <x:c r="U233" s="15" t="str">
        <x:f>IF(T233&gt;0,"Funded",IF(P233="Eligible","Unfunded",P233))</x:f>
        <x:v>Funded</x:v>
      </x:c>
      <x:c r="V233" s="15" t="str">
        <x:f>IF(R233="Include","Conference inclusion: "&amp;S233,IF(R233="Exclude","Conference exclusion: "&amp;S233,IF(Q233&gt;0,H233&amp;" priority rank "&amp;I233&amp;"; whole initiative selected",P233)))</x:f>
        <x:v>Carryover priority rank 12; whole initiative selected</x:v>
      </x:c>
      <x:c r="W233" s="15" t="str">
        <x:v>EW!38</x:v>
      </x:c>
      <x:c r="X233" s="15" t="str">
        <x:v>HEALTHY</x:v>
      </x:c>
      <x:c r="Y233" s="15" t="str">
        <x:v>HEALTHY — Rank in priority matrix</x:v>
      </x:c>
      <x:c r="Z233" s="15" t="str">
        <x:v>AI Enablement</x:v>
      </x:c>
      <x:c r="AA233" s="15" t="str">
        <x:v>Carry Over</x:v>
      </x:c>
      <x:c r="AB233" s="15" t="str">
        <x:v>Enterprise Architecture, Data &amp; Integration</x:v>
      </x:c>
      <x:c r="AC233" s="15" t="str">
        <x:v>i. Speed to insight — Analysts spend 60–80% of their time wrangling data without a CDM; a CDM replaces that time for actual ii .Better decisions — Clean, consistent data can improve decision accuracy by 20–30%, directly impacting supply chain outcomes.</x:v>
      </x:c>
      <x:c r="AD233" s="15" t="str">
        <x:v>The investment here is needed so that the physical common data models can be engineered and built in the respective workbenches basis new feature requriements andexsiting feature improvements requested by respective markets/businesses / functions to build their AI solutions &amp; insights / release new features needed to improve their top line.</x:v>
      </x:c>
      <x:c r="AE233" s="15" t="str">
        <x:v>CDM Builds+Deployment , Release and Compliance for all the existing and new prodcuction releases across the 3 services Comm I&amp;A(225KE, 3 workbenches), SCM I&amp;A (250KE), Central I&amp;A (8 workbenches - 110KE) +MCP server +skills+Genies</x:v>
      </x:c>
      <x:c r="AF233" s="15" t="str">
        <x:v>i. Speed to insight — Analysts spend 60–80% of their time wrangling data without a CDM; a CDM replaces that time for actual ii .Better decisions — Clean, consistent data can improve decision accuracy by 20–30%, directly impacting supply chain outcomes. | The investment here is needed so that the physical common data models can be engineered and built in the respective workbenches basis new feature requriements andexsiting feature improvements requested by respective markets/businesses / functions to build their AI solutions &amp; insights / release new features needed to improve their top line. | CDM Builds+Deployment , Release and Compliance for all the existing and new prodcuction releases across the 3 services Comm I&amp;A(225KE, 3 workbenches), SCM I&amp;A (250KE), Central I&amp;A (8 workbenches - 110KE) +MCP server +skills+Genies</x:v>
      </x:c>
      <x:c r="AG233" s="15" t="str">
        <x:v>Must Do</x:v>
      </x:c>
      <x:c r="AH233" s="15" t="n">
        <x:v>40</x:v>
      </x:c>
    </x:row>
    <x:row r="234">
      <x:c r="A234" s="15" t="str">
        <x:v>Bu-38</x:v>
      </x:c>
      <x:c r="B234" s="15" t="str">
        <x:v>32. PH ISC Analytics</x:v>
      </x:c>
      <x:c r="C234" s="15" t="str">
        <x:v>BU Led</x:v>
      </x:c>
      <x:c r="D234" s="15" t="str">
        <x:v>Personal Health (PH)</x:v>
      </x:c>
      <x:c r="E234" s="19" t="n">
        <x:v>0.638</x:v>
      </x:c>
      <x:c r="F234" s="19" t="n">
        <x:v>2.297</x:v>
      </x:c>
      <x:c r="G234" s="22" t="n">
        <x:f>IF(AND(E234&gt;0,ISNUMBER(F234)),F234/E234,"")</x:f>
        <x:v>3.6003134796238245</x:v>
      </x:c>
      <x:c r="H234" s="15" t="str">
        <x:v>Carryover</x:v>
      </x:c>
      <x:c r="I234" s="15" t="n">
        <x:v>13</x:v>
      </x:c>
      <x:c r="J234" s="15" t="n">
        <x:v>5</x:v>
      </x:c>
      <x:c r="K234" s="23" t="n">
        <x:f>IF(G234="",0,IF(G234&lt;1,0,IF(G234&lt;2,20,IF(G234&lt;3,30,IF(G234&lt;5,40,50)))))*'Scenario Controls'!$B$22/50</x:f>
        <x:v>40</x:v>
      </x:c>
      <x:c r="L234" s="23" t="n">
        <x:f>IF(ISNUMBER(SEARCH("Must Do",AG234)),25,IF(ISNUMBER(SEARCH("Must Have",AG234)),18,IF(ISNUMBER(SEARCH("Deprior",AG234)),5,0)))*'Scenario Controls'!$B$23/25</x:f>
        <x:v>25</x:v>
      </x:c>
      <x:c r="M234" s="23" t="n">
        <x:f>J234*'Scenario Controls'!$B$24/15</x:f>
        <x:v>5</x:v>
      </x:c>
      <x:c r="N234" s="23" t="n">
        <x:f>IF(ISNUMBER(SEARCH("HEALTHY",X234)),10,IF(ISNUMBER(SEARCH("CONTAIN",X234)),6,0))*'Scenario Controls'!$B$25/10</x:f>
        <x:v>0</x:v>
      </x:c>
      <x:c r="O234" s="23" t="n">
        <x:f>SUM(K234:N234)</x:f>
        <x:v>70</x:v>
      </x:c>
      <x:c r="P234" s="15" t="str">
        <x:f>IF(OR(B234="",E234&lt;=0),"Evidence missing / not eligible",IF(ISNUMBER(SEARCH("priority TBD",Y234)),"Evidence missing / not eligible",IF(AND(H234="Carryover",NOT(ISNUMBER(F234))),"Evidence missing / not eligible",IF(AND(H234="Carryover",G234&lt;'Scenario Controls'!$B$16),"Evidence missing / not eligible",IF(AND(H234="ROI-Based Portfolio",NOT(ISNUMBER(F234))),"Evidence missing / not eligible",IF(AND(H234="ROI-Based Portfolio",O234&lt;'Scenario Controls'!$B$20),"Evidence missing / not eligible","Eligible"))))))</x:f>
        <x:v>Eligible</x:v>
      </x:c>
      <x:c r="Q234" s="19" t="n">
        <x:f>IF(P234&lt;&gt;"Eligible",0,IF(AND(SUMIFS($Q$5:Q233,$H$5:H233,H234)+E234&lt;=(IF(H234="LFR",'Scenario Controls'!$F$10,IF(H234="Sustain Engineering",'Scenario Controls'!$F$11,IF(H234="Hygiene",'Scenario Controls'!$F$12,1E+99))))*(1+'Scenario Controls'!$B$7),SUM($Q$5:Q233)+E234&lt;='Scenario Controls'!$B$6*(1+'Scenario Controls'!$B$7)),E234,0))</x:f>
        <x:v>0.638</x:v>
      </x:c>
      <x:c r="R234" s="24" t="str">
        <x:f>'BU Conference'!G111</x:f>
        <x:v>Automatic</x:v>
      </x:c>
      <x:c r="S234" s="24" t="str">
        <x:f>'BU Conference'!H111</x:f>
      </x:c>
      <x:c r="T234" s="19" t="n">
        <x:f>IF(R234="Exclude",0,IF(R234="Include",E234,Q234))</x:f>
        <x:v>0.638</x:v>
      </x:c>
      <x:c r="U234" s="15" t="str">
        <x:f>IF(T234&gt;0,"Funded",IF(P234="Eligible","Unfunded",P234))</x:f>
        <x:v>Funded</x:v>
      </x:c>
      <x:c r="V234" s="15" t="str">
        <x:f>IF(R234="Include","Conference inclusion: "&amp;S234,IF(R234="Exclude","Conference exclusion: "&amp;S234,IF(Q234&gt;0,H234&amp;" priority rank "&amp;I234&amp;"; whole initiative selected",P234)))</x:f>
        <x:v>Carryover priority rank 13; whole initiative selected</x:v>
      </x:c>
      <x:c r="W234" s="15" t="str">
        <x:v>Bu!107</x:v>
      </x:c>
      <x:c r="X234" s="15" t="str"/>
      <x:c r="Y234" s="15" t="str"/>
      <x:c r="Z234" s="15" t="str">
        <x:v>New Feature</x:v>
      </x:c>
      <x:c r="AA234" s="15" t="str">
        <x:v>Carry Over</x:v>
      </x:c>
      <x:c r="AB234" s="15" t="str">
        <x:v>Integrated Supply Chain &amp; Finance</x:v>
      </x:c>
      <x:c r="AC234" s="15" t="str">
        <x:v>Continue with legacy dashboards for PH ISC with incomplete information requiring lots of manual effort for teams</x:v>
      </x:c>
      <x:c r="AD234" s="15" t="str"/>
      <x:c r="AE234" s="15" t="str"/>
      <x:c r="AF234" s="15" t="str">
        <x:v>Continue with legacy dashboards for PH ISC with incomplete information requiring lots of manual effort for teams</x:v>
      </x:c>
      <x:c r="AG234" s="15" t="str">
        <x:v>Must Do</x:v>
      </x:c>
      <x:c r="AH234" s="15" t="n">
        <x:v>223</x:v>
      </x:c>
    </x:row>
    <x:row r="235">
      <x:c r="A235" s="15" t="str">
        <x:v>Bu-35</x:v>
      </x:c>
      <x:c r="B235" s="15" t="str">
        <x:v>54. AI in Consumer Insights and Innovation</x:v>
      </x:c>
      <x:c r="C235" s="15" t="str">
        <x:v>BU Led</x:v>
      </x:c>
      <x:c r="D235" s="15" t="str">
        <x:v>Personal Health (PH)</x:v>
      </x:c>
      <x:c r="E235" s="19" t="n">
        <x:v>1</x:v>
      </x:c>
      <x:c r="F235" s="19" t="n">
        <x:v>3.57</x:v>
      </x:c>
      <x:c r="G235" s="22" t="n">
        <x:f>IF(AND(E235&gt;0,ISNUMBER(F235)),F235/E235,"")</x:f>
        <x:v>3.57</x:v>
      </x:c>
      <x:c r="H235" s="15" t="str">
        <x:v>Carryover</x:v>
      </x:c>
      <x:c r="I235" s="15" t="n">
        <x:v>14</x:v>
      </x:c>
      <x:c r="J235" s="15" t="n">
        <x:v>10</x:v>
      </x:c>
      <x:c r="K235" s="23" t="n">
        <x:f>IF(G235="",0,IF(G235&lt;1,0,IF(G235&lt;2,20,IF(G235&lt;3,30,IF(G235&lt;5,40,50)))))*'Scenario Controls'!$B$22/50</x:f>
        <x:v>40</x:v>
      </x:c>
      <x:c r="L235" s="23" t="n">
        <x:f>IF(ISNUMBER(SEARCH("Must Do",AG235)),25,IF(ISNUMBER(SEARCH("Must Have",AG235)),18,IF(ISNUMBER(SEARCH("Deprior",AG235)),5,0)))*'Scenario Controls'!$B$23/25</x:f>
        <x:v>25</x:v>
      </x:c>
      <x:c r="M235" s="23" t="n">
        <x:f>J235*'Scenario Controls'!$B$24/15</x:f>
        <x:v>10</x:v>
      </x:c>
      <x:c r="N235" s="23" t="n">
        <x:f>IF(ISNUMBER(SEARCH("HEALTHY",X235)),10,IF(ISNUMBER(SEARCH("CONTAIN",X235)),6,0))*'Scenario Controls'!$B$25/10</x:f>
        <x:v>0</x:v>
      </x:c>
      <x:c r="O235" s="23" t="n">
        <x:f>SUM(K235:N235)</x:f>
        <x:v>75</x:v>
      </x:c>
      <x:c r="P235" s="15" t="str">
        <x:f>IF(OR(B235="",E235&lt;=0),"Evidence missing / not eligible",IF(ISNUMBER(SEARCH("priority TBD",Y235)),"Evidence missing / not eligible",IF(AND(H235="Carryover",NOT(ISNUMBER(F235))),"Evidence missing / not eligible",IF(AND(H235="Carryover",G235&lt;'Scenario Controls'!$B$16),"Evidence missing / not eligible",IF(AND(H235="ROI-Based Portfolio",NOT(ISNUMBER(F235))),"Evidence missing / not eligible",IF(AND(H235="ROI-Based Portfolio",O235&lt;'Scenario Controls'!$B$20),"Evidence missing / not eligible","Eligible"))))))</x:f>
        <x:v>Eligible</x:v>
      </x:c>
      <x:c r="Q235" s="19" t="n">
        <x:f>IF(P235&lt;&gt;"Eligible",0,IF(AND(SUMIFS($Q$5:Q234,$H$5:H234,H235)+E235&lt;=(IF(H235="LFR",'Scenario Controls'!$F$10,IF(H235="Sustain Engineering",'Scenario Controls'!$F$11,IF(H235="Hygiene",'Scenario Controls'!$F$12,1E+99))))*(1+'Scenario Controls'!$B$7),SUM($Q$5:Q234)+E235&lt;='Scenario Controls'!$B$6*(1+'Scenario Controls'!$B$7)),E235,0))</x:f>
        <x:v>1</x:v>
      </x:c>
      <x:c r="R235" s="24" t="str">
        <x:f>'BU Conference'!G112</x:f>
        <x:v>Automatic</x:v>
      </x:c>
      <x:c r="S235" s="24" t="str">
        <x:f>'BU Conference'!H112</x:f>
      </x:c>
      <x:c r="T235" s="19" t="n">
        <x:f>IF(R235="Exclude",0,IF(R235="Include",E235,Q235))</x:f>
        <x:v>1</x:v>
      </x:c>
      <x:c r="U235" s="15" t="str">
        <x:f>IF(T235&gt;0,"Funded",IF(P235="Eligible","Unfunded",P235))</x:f>
        <x:v>Funded</x:v>
      </x:c>
      <x:c r="V235" s="15" t="str">
        <x:f>IF(R235="Include","Conference inclusion: "&amp;S235,IF(R235="Exclude","Conference exclusion: "&amp;S235,IF(Q235&gt;0,H235&amp;" priority rank "&amp;I235&amp;"; whole initiative selected",P235)))</x:f>
        <x:v>Carryover priority rank 14; whole initiative selected</x:v>
      </x:c>
      <x:c r="W235" s="15" t="str">
        <x:v>Bu!89</x:v>
      </x:c>
      <x:c r="X235" s="15" t="str"/>
      <x:c r="Y235" s="15" t="str"/>
      <x:c r="Z235" s="15" t="str">
        <x:v>AI Enablement</x:v>
      </x:c>
      <x:c r="AA235" s="15" t="str">
        <x:v>Carry Over</x:v>
      </x:c>
      <x:c r="AB235" s="15" t="str">
        <x:v>Infrastructure Services – Projects</x:v>
      </x:c>
      <x:c r="AC235" s="15" t="str">
        <x:v>Derailing a key AI investment approved by PH LT</x:v>
      </x:c>
      <x:c r="AD235" s="15" t="str">
        <x:v>High-quality actionable insights and consumer-centric propositions, faster and at scale by using the power of AI, focusing on 4 specific areas:</x:v>
      </x:c>
      <x:c r="AE235" s="15" t="str">
        <x:v>Features:</x:v>
      </x:c>
      <x:c r="AF235" s="15" t="str">
        <x:v>Derailing a key AI investment approved by PH LT | High-quality actionable insights and consumer-centric propositions, faster and at scale by using the power of AI, focusing on 4 specific areas: | Features:</x:v>
      </x:c>
      <x:c r="AG235" s="15" t="str">
        <x:v>Must Do</x:v>
      </x:c>
      <x:c r="AH235" s="15" t="n">
        <x:v>220</x:v>
      </x:c>
    </x:row>
    <x:row r="236">
      <x:c r="A236" s="15" t="str">
        <x:v>Bu-118</x:v>
      </x:c>
      <x:c r="B236" s="15" t="str">
        <x:v>Planisware/PARP, QlikSense/ADL, cPLM (Windchill)</x:v>
      </x:c>
      <x:c r="C236" s="15" t="str">
        <x:v>BU Led</x:v>
      </x:c>
      <x:c r="D236" s="15" t="str">
        <x:v>Image Guided Therapy - Systems (IGT-S)</x:v>
      </x:c>
      <x:c r="E236" s="19" t="n">
        <x:v>0.515</x:v>
      </x:c>
      <x:c r="F236" s="19" t="n">
        <x:v>1.723</x:v>
      </x:c>
      <x:c r="G236" s="22" t="n">
        <x:f>IF(AND(E236&gt;0,ISNUMBER(F236)),F236/E236,"")</x:f>
        <x:v>3.345631067961165</x:v>
      </x:c>
      <x:c r="H236" s="15" t="str">
        <x:v>Carryover</x:v>
      </x:c>
      <x:c r="I236" s="15" t="n">
        <x:v>15</x:v>
      </x:c>
      <x:c r="J236" s="15" t="n">
        <x:v>10</x:v>
      </x:c>
      <x:c r="K236" s="23" t="n">
        <x:f>IF(G236="",0,IF(G236&lt;1,0,IF(G236&lt;2,20,IF(G236&lt;3,30,IF(G236&lt;5,40,50)))))*'Scenario Controls'!$B$22/50</x:f>
        <x:v>40</x:v>
      </x:c>
      <x:c r="L236" s="23" t="n">
        <x:f>IF(ISNUMBER(SEARCH("Must Do",AG236)),25,IF(ISNUMBER(SEARCH("Must Have",AG236)),18,IF(ISNUMBER(SEARCH("Deprior",AG236)),5,0)))*'Scenario Controls'!$B$23/25</x:f>
        <x:v>18</x:v>
      </x:c>
      <x:c r="M236" s="23" t="n">
        <x:f>J236*'Scenario Controls'!$B$24/15</x:f>
        <x:v>10</x:v>
      </x:c>
      <x:c r="N236" s="23" t="n">
        <x:f>IF(ISNUMBER(SEARCH("HEALTHY",X236)),10,IF(ISNUMBER(SEARCH("CONTAIN",X236)),6,0))*'Scenario Controls'!$B$25/10</x:f>
        <x:v>0</x:v>
      </x:c>
      <x:c r="O236" s="23" t="n">
        <x:f>SUM(K236:N236)</x:f>
        <x:v>68</x:v>
      </x:c>
      <x:c r="P236" s="15" t="str">
        <x:f>IF(OR(B236="",E236&lt;=0),"Evidence missing / not eligible",IF(ISNUMBER(SEARCH("priority TBD",Y236)),"Evidence missing / not eligible",IF(AND(H236="Carryover",NOT(ISNUMBER(F236))),"Evidence missing / not eligible",IF(AND(H236="Carryover",G236&lt;'Scenario Controls'!$B$16),"Evidence missing / not eligible",IF(AND(H236="ROI-Based Portfolio",NOT(ISNUMBER(F236))),"Evidence missing / not eligible",IF(AND(H236="ROI-Based Portfolio",O236&lt;'Scenario Controls'!$B$20),"Evidence missing / not eligible","Eligible"))))))</x:f>
        <x:v>Eligible</x:v>
      </x:c>
      <x:c r="Q236" s="19" t="n">
        <x:f>IF(P236&lt;&gt;"Eligible",0,IF(AND(SUMIFS($Q$5:Q235,$H$5:H235,H236)+E236&lt;=(IF(H236="LFR",'Scenario Controls'!$F$10,IF(H236="Sustain Engineering",'Scenario Controls'!$F$11,IF(H236="Hygiene",'Scenario Controls'!$F$12,1E+99))))*(1+'Scenario Controls'!$B$7),SUM($Q$5:Q235)+E236&lt;='Scenario Controls'!$B$6*(1+'Scenario Controls'!$B$7)),E236,0))</x:f>
        <x:v>0.515</x:v>
      </x:c>
      <x:c r="R236" s="24" t="str">
        <x:f>'BU Conference'!G113</x:f>
        <x:v>Automatic</x:v>
      </x:c>
      <x:c r="S236" s="24" t="str">
        <x:f>'BU Conference'!H113</x:f>
      </x:c>
      <x:c r="T236" s="19" t="n">
        <x:f>IF(R236="Exclude",0,IF(R236="Include",E236,Q236))</x:f>
        <x:v>0.515</x:v>
      </x:c>
      <x:c r="U236" s="15" t="str">
        <x:f>IF(T236&gt;0,"Funded",IF(P236="Eligible","Unfunded",P236))</x:f>
        <x:v>Funded</x:v>
      </x:c>
      <x:c r="V236" s="15" t="str">
        <x:f>IF(R236="Include","Conference inclusion: "&amp;S236,IF(R236="Exclude","Conference exclusion: "&amp;S236,IF(Q236&gt;0,H236&amp;" priority rank "&amp;I236&amp;"; whole initiative selected",P236)))</x:f>
        <x:v>Carryover priority rank 15; whole initiative selected</x:v>
      </x:c>
      <x:c r="W236" s="15" t="str">
        <x:v>Bu!293</x:v>
      </x:c>
      <x:c r="X236" s="15" t="str"/>
      <x:c r="Y236" s="15" t="str"/>
      <x:c r="Z236" s="15" t="str">
        <x:v>New Feature</x:v>
      </x:c>
      <x:c r="AA236" s="15" t="str">
        <x:v>Carry Over</x:v>
      </x:c>
      <x:c r="AB236" s="15" t="str">
        <x:v>Innovation and Digital IT</x:v>
      </x:c>
      <x:c r="AC236" s="15" t="str">
        <x:v>Delays improvements to R&amp;D planning, engineering collaboration, reporting and decision-making capabilities, resulting in continued manual workarounds, reduced productivity, lower data quality, and delayed execution of engineering and portfolio-management processes.</x:v>
      </x:c>
      <x:c r="AD236" s="15" t="str">
        <x:v>1. Continued enhancement to PLW/PARP will drive better planning, forecasting, and decision-making through improved data quality, transparency, operational efficiency, and integrated project and resource management.</x:v>
      </x:c>
      <x:c r="AE236" s="15" t="str">
        <x:v>1. continued enhancement to PLW/PARP will drive better planning, forecasting, and decision-making through improved data quality, transparency, operational efficiency, and integrated project and resource management.</x:v>
      </x:c>
      <x:c r="AF236" s="15" t="str">
        <x:v>Delays improvements to R&amp;D planning, engineering collaboration, reporting and decision-making capabilities, resulting in continued manual workarounds, reduced productivity, lower data quality, and delayed execution of engineering and portfolio-management processes. | 1. Continued enhancement to PLW/PARP will drive better planning, forecasting, and decision-making through improved data quality, transparency, operational efficiency, and integrated project and resource management. | 1. continued enhancement to PLW/PARP will drive better planning, forecasting, and decision-making through improved data quality, transparency, operational efficiency, and integrated project and resource management.</x:v>
      </x:c>
      <x:c r="AG236" s="15" t="str">
        <x:v>Must Have</x:v>
      </x:c>
      <x:c r="AH236" s="15" t="n">
        <x:v>295</x:v>
      </x:c>
    </x:row>
    <x:row r="237">
      <x:c r="A237" s="15" t="str">
        <x:v>Bu-51</x:v>
      </x:c>
      <x:c r="B237" s="15" t="str">
        <x:v>Customer Service Management SRC</x:v>
      </x:c>
      <x:c r="C237" s="15" t="str">
        <x:v>BU Led</x:v>
      </x:c>
      <x:c r="D237" s="15" t="str">
        <x:v>Sleep &amp; Respiratory Care (SRC)</x:v>
      </x:c>
      <x:c r="E237" s="19" t="n">
        <x:v>1.825</x:v>
      </x:c>
      <x:c r="F237" s="19" t="n">
        <x:v>5</x:v>
      </x:c>
      <x:c r="G237" s="22" t="n">
        <x:f>IF(AND(E237&gt;0,ISNUMBER(F237)),F237/E237,"")</x:f>
        <x:v>2.73972602739726</x:v>
      </x:c>
      <x:c r="H237" s="15" t="str">
        <x:v>Carryover</x:v>
      </x:c>
      <x:c r="I237" s="15" t="n">
        <x:v>16</x:v>
      </x:c>
      <x:c r="J237" s="15" t="n">
        <x:v>15</x:v>
      </x:c>
      <x:c r="K237" s="23" t="n">
        <x:f>IF(G237="",0,IF(G237&lt;1,0,IF(G237&lt;2,20,IF(G237&lt;3,30,IF(G237&lt;5,40,50)))))*'Scenario Controls'!$B$22/50</x:f>
        <x:v>30</x:v>
      </x:c>
      <x:c r="L237" s="23" t="n">
        <x:f>IF(ISNUMBER(SEARCH("Must Do",AG237)),25,IF(ISNUMBER(SEARCH("Must Have",AG237)),18,IF(ISNUMBER(SEARCH("Deprior",AG237)),5,0)))*'Scenario Controls'!$B$23/25</x:f>
        <x:v>25</x:v>
      </x:c>
      <x:c r="M237" s="23" t="n">
        <x:f>J237*'Scenario Controls'!$B$24/15</x:f>
        <x:v>15</x:v>
      </x:c>
      <x:c r="N237" s="23" t="n">
        <x:f>IF(ISNUMBER(SEARCH("HEALTHY",X237)),10,IF(ISNUMBER(SEARCH("CONTAIN",X237)),6,0))*'Scenario Controls'!$B$25/10</x:f>
        <x:v>0</x:v>
      </x:c>
      <x:c r="O237" s="23" t="n">
        <x:f>SUM(K237:N237)</x:f>
        <x:v>70</x:v>
      </x:c>
      <x:c r="P237" s="15" t="str">
        <x:f>IF(OR(B237="",E237&lt;=0),"Evidence missing / not eligible",IF(ISNUMBER(SEARCH("priority TBD",Y237)),"Evidence missing / not eligible",IF(AND(H237="Carryover",NOT(ISNUMBER(F237))),"Evidence missing / not eligible",IF(AND(H237="Carryover",G237&lt;'Scenario Controls'!$B$16),"Evidence missing / not eligible",IF(AND(H237="ROI-Based Portfolio",NOT(ISNUMBER(F237))),"Evidence missing / not eligible",IF(AND(H237="ROI-Based Portfolio",O237&lt;'Scenario Controls'!$B$20),"Evidence missing / not eligible","Eligible"))))))</x:f>
        <x:v>Eligible</x:v>
      </x:c>
      <x:c r="Q237" s="19" t="n">
        <x:f>IF(P237&lt;&gt;"Eligible",0,IF(AND(SUMIFS($Q$5:Q236,$H$5:H236,H237)+E237&lt;=(IF(H237="LFR",'Scenario Controls'!$F$10,IF(H237="Sustain Engineering",'Scenario Controls'!$F$11,IF(H237="Hygiene",'Scenario Controls'!$F$12,1E+99))))*(1+'Scenario Controls'!$B$7),SUM($Q$5:Q236)+E237&lt;='Scenario Controls'!$B$6*(1+'Scenario Controls'!$B$7)),E237,0))</x:f>
        <x:v>1.825</x:v>
      </x:c>
      <x:c r="R237" s="24" t="str">
        <x:f>'BU Conference'!G114</x:f>
        <x:v>Automatic</x:v>
      </x:c>
      <x:c r="S237" s="24" t="str">
        <x:f>'BU Conference'!H114</x:f>
      </x:c>
      <x:c r="T237" s="19" t="n">
        <x:f>IF(R237="Exclude",0,IF(R237="Include",E237,Q237))</x:f>
        <x:v>1.825</x:v>
      </x:c>
      <x:c r="U237" s="15" t="str">
        <x:f>IF(T237&gt;0,"Funded",IF(P237="Eligible","Unfunded",P237))</x:f>
        <x:v>Funded</x:v>
      </x:c>
      <x:c r="V237" s="15" t="str">
        <x:f>IF(R237="Include","Conference inclusion: "&amp;S237,IF(R237="Exclude","Conference exclusion: "&amp;S237,IF(Q237&gt;0,H237&amp;" priority rank "&amp;I237&amp;"; whole initiative selected",P237)))</x:f>
        <x:v>Carryover priority rank 16; whole initiative selected</x:v>
      </x:c>
      <x:c r="W237" s="15" t="str">
        <x:v>Bu!112</x:v>
      </x:c>
      <x:c r="X237" s="15" t="str"/>
      <x:c r="Y237" s="15" t="str"/>
      <x:c r="Z237" s="15" t="str">
        <x:v>Legal Fiscal, Regulatory &amp; Compliancy</x:v>
      </x:c>
      <x:c r="AA237" s="15" t="str">
        <x:v>Carry Over</x:v>
      </x:c>
      <x:c r="AB237" s="15" t="str">
        <x:v>Services &amp; Solutions IT</x:v>
      </x:c>
      <x:c r="AC237" s="15" t="str">
        <x:v>Direct impact on CD and injunction lift which prohibits us to sell in NA; overall revenue for that category was ~1000 M before injunction</x:v>
      </x:c>
      <x:c r="AD237" s="15" t="str">
        <x:v>We do not have any IT system to log and monitor customer repair requests and monitor the progress which is flagged as gap in CD</x:v>
      </x:c>
      <x:c r="AE237" s="15" t="str">
        <x:v>Improve SW Case processing; Deliver profile-based Customer page for Customer direct access</x:v>
      </x:c>
      <x:c r="AF237" s="15" t="str">
        <x:v>Direct impact on CD and injunction lift which prohibits us to sell in NA; overall revenue for that category was ~1000 M before injunction | We do not have any IT system to log and monitor customer repair requests and monitor the progress which is flagged as gap in CD | Improve SW Case processing; Deliver profile-based Customer page for Customer direct access</x:v>
      </x:c>
      <x:c r="AG237" s="15" t="str">
        <x:v>Must Do</x:v>
      </x:c>
      <x:c r="AH237" s="15" t="n">
        <x:v>228</x:v>
      </x:c>
    </x:row>
    <x:row r="238">
      <x:c r="A238" s="15" t="str">
        <x:v>EW-76</x:v>
      </x:c>
      <x:c r="B238" s="15" t="str">
        <x:v>FIN-ARIC Digital finance strategy-C&amp;C</x:v>
      </x:c>
      <x:c r="C238" s="15" t="str">
        <x:v>EW Led</x:v>
      </x:c>
      <x:c r="D238" s="15" t="str">
        <x:v>Finance</x:v>
      </x:c>
      <x:c r="E238" s="19" t="n">
        <x:v>0.3</x:v>
      </x:c>
      <x:c r="F238" s="19" t="n">
        <x:v>0.8</x:v>
      </x:c>
      <x:c r="G238" s="22" t="n">
        <x:f>IF(AND(E238&gt;0,ISNUMBER(F238)),F238/E238,"")</x:f>
        <x:v>2.666666666666667</x:v>
      </x:c>
      <x:c r="H238" s="15" t="str">
        <x:v>Carryover</x:v>
      </x:c>
      <x:c r="I238" s="15" t="n">
        <x:v>17</x:v>
      </x:c>
      <x:c r="J238" s="15" t="n">
        <x:v>5</x:v>
      </x:c>
      <x:c r="K238" s="23" t="n">
        <x:f>IF(G238="",0,IF(G238&lt;1,0,IF(G238&lt;2,20,IF(G238&lt;3,30,IF(G238&lt;5,40,50)))))*'Scenario Controls'!$B$22/50</x:f>
        <x:v>30</x:v>
      </x:c>
      <x:c r="L238" s="23" t="n">
        <x:f>IF(ISNUMBER(SEARCH("Must Do",AG238)),25,IF(ISNUMBER(SEARCH("Must Have",AG238)),18,IF(ISNUMBER(SEARCH("Deprior",AG238)),5,0)))*'Scenario Controls'!$B$23/25</x:f>
        <x:v>25</x:v>
      </x:c>
      <x:c r="M238" s="23" t="n">
        <x:f>J238*'Scenario Controls'!$B$24/15</x:f>
        <x:v>5</x:v>
      </x:c>
      <x:c r="N238" s="23" t="n">
        <x:f>IF(ISNUMBER(SEARCH("HEALTHY",X238)),10,IF(ISNUMBER(SEARCH("CONTAIN",X238)),6,0))*'Scenario Controls'!$B$25/10</x:f>
        <x:v>10</x:v>
      </x:c>
      <x:c r="O238" s="23" t="n">
        <x:f>SUM(K238:N238)</x:f>
        <x:v>70</x:v>
      </x:c>
      <x:c r="P238" s="15" t="str">
        <x:f>IF(OR(B238="",E238&lt;=0),"Evidence missing / not eligible",IF(ISNUMBER(SEARCH("priority TBD",Y238)),"Evidence missing / not eligible",IF(AND(H238="Carryover",NOT(ISNUMBER(F238))),"Evidence missing / not eligible",IF(AND(H238="Carryover",G238&lt;'Scenario Controls'!$B$16),"Evidence missing / not eligible",IF(AND(H238="ROI-Based Portfolio",NOT(ISNUMBER(F238))),"Evidence missing / not eligible",IF(AND(H238="ROI-Based Portfolio",O238&lt;'Scenario Controls'!$B$20),"Evidence missing / not eligible","Eligible"))))))</x:f>
        <x:v>Eligible</x:v>
      </x:c>
      <x:c r="Q238" s="19" t="n">
        <x:f>IF(P238&lt;&gt;"Eligible",0,IF(AND(SUMIFS($Q$5:Q237,$H$5:H237,H238)+E238&lt;=(IF(H238="LFR",'Scenario Controls'!$F$10,IF(H238="Sustain Engineering",'Scenario Controls'!$F$11,IF(H238="Hygiene",'Scenario Controls'!$F$12,1E+99))))*(1+'Scenario Controls'!$B$7),SUM($Q$5:Q237)+E238&lt;='Scenario Controls'!$B$6*(1+'Scenario Controls'!$B$7)),E238,0))</x:f>
        <x:v>0.3</x:v>
      </x:c>
      <x:c r="R238" s="24" t="str">
        <x:f>'EW Conference'!G129</x:f>
        <x:v>Automatic</x:v>
      </x:c>
      <x:c r="S238" s="24" t="str">
        <x:f>'EW Conference'!H129</x:f>
      </x:c>
      <x:c r="T238" s="19" t="n">
        <x:f>IF(R238="Exclude",0,IF(R238="Include",E238,Q238))</x:f>
        <x:v>0.3</x:v>
      </x:c>
      <x:c r="U238" s="15" t="str">
        <x:f>IF(T238&gt;0,"Funded",IF(P238="Eligible","Unfunded",P238))</x:f>
        <x:v>Funded</x:v>
      </x:c>
      <x:c r="V238" s="15" t="str">
        <x:f>IF(R238="Include","Conference inclusion: "&amp;S238,IF(R238="Exclude","Conference exclusion: "&amp;S238,IF(Q238&gt;0,H238&amp;" priority rank "&amp;I238&amp;"; whole initiative selected",P238)))</x:f>
        <x:v>Carryover priority rank 17; whole initiative selected</x:v>
      </x:c>
      <x:c r="W238" s="15" t="str">
        <x:v>EW!72</x:v>
      </x:c>
      <x:c r="X238" s="15" t="str">
        <x:v>HEALTHY</x:v>
      </x:c>
      <x:c r="Y238" s="15" t="str">
        <x:v>HEALTHY — Rank in priority matrix</x:v>
      </x:c>
      <x:c r="Z238" s="15" t="str">
        <x:v>AI Enablement</x:v>
      </x:c>
      <x:c r="AA238" s="15" t="str">
        <x:v>Carry Over</x:v>
      </x:c>
      <x:c r="AB238" s="15" t="str">
        <x:v>Integrated Supply Chain &amp; Finance</x:v>
      </x:c>
      <x:c r="AC238" s="15" t="str">
        <x:v>Without implementing GenAI across these building blocks, the organization will forgo an estimated 5% productivity improvement (equivalent to 20 FTEs), resulting in continued manual effort, higher operational costs, and reduced capacity to support business growth.</x:v>
      </x:c>
      <x:c r="AD238" s="15" t="str"/>
      <x:c r="AE238" s="15" t="str"/>
      <x:c r="AF238" s="15" t="str">
        <x:v>Without implementing GenAI across these building blocks, the organization will forgo an estimated 5% productivity improvement (equivalent to 20 FTEs), resulting in continued manual effort, higher operational costs, and reduced capacity to support business growth.</x:v>
      </x:c>
      <x:c r="AG238" s="15" t="str">
        <x:v>Must Do</x:v>
      </x:c>
      <x:c r="AH238" s="15" t="n">
        <x:v>74</x:v>
      </x:c>
    </x:row>
    <x:row r="239">
      <x:c r="A239" s="15" t="str">
        <x:v>Bu-24</x:v>
      </x:c>
      <x:c r="B239" s="15" t="str">
        <x:v>22. PH Digitalization Innovation Process - Development</x:v>
      </x:c>
      <x:c r="C239" s="15" t="str">
        <x:v>BU Led</x:v>
      </x:c>
      <x:c r="D239" s="15" t="str">
        <x:v>Personal Health (PH)</x:v>
      </x:c>
      <x:c r="E239" s="19" t="n">
        <x:v>2.95</x:v>
      </x:c>
      <x:c r="F239" s="19" t="n">
        <x:v>7.628</x:v>
      </x:c>
      <x:c r="G239" s="22" t="n">
        <x:f>IF(AND(E239&gt;0,ISNUMBER(F239)),F239/E239,"")</x:f>
        <x:v>2.585762711864407</x:v>
      </x:c>
      <x:c r="H239" s="15" t="str">
        <x:v>Carryover</x:v>
      </x:c>
      <x:c r="I239" s="15" t="n">
        <x:v>18</x:v>
      </x:c>
      <x:c r="J239" s="15" t="n">
        <x:v>15</x:v>
      </x:c>
      <x:c r="K239" s="23" t="n">
        <x:f>IF(G239="",0,IF(G239&lt;1,0,IF(G239&lt;2,20,IF(G239&lt;3,30,IF(G239&lt;5,40,50)))))*'Scenario Controls'!$B$22/50</x:f>
        <x:v>30</x:v>
      </x:c>
      <x:c r="L239" s="23" t="n">
        <x:f>IF(ISNUMBER(SEARCH("Must Do",AG239)),25,IF(ISNUMBER(SEARCH("Must Have",AG239)),18,IF(ISNUMBER(SEARCH("Deprior",AG239)),5,0)))*'Scenario Controls'!$B$23/25</x:f>
        <x:v>25</x:v>
      </x:c>
      <x:c r="M239" s="23" t="n">
        <x:f>J239*'Scenario Controls'!$B$24/15</x:f>
        <x:v>15</x:v>
      </x:c>
      <x:c r="N239" s="23" t="n">
        <x:f>IF(ISNUMBER(SEARCH("HEALTHY",X239)),10,IF(ISNUMBER(SEARCH("CONTAIN",X239)),6,0))*'Scenario Controls'!$B$25/10</x:f>
        <x:v>0</x:v>
      </x:c>
      <x:c r="O239" s="23" t="n">
        <x:f>SUM(K239:N239)</x:f>
        <x:v>70</x:v>
      </x:c>
      <x:c r="P239" s="15" t="str">
        <x:f>IF(OR(B239="",E239&lt;=0),"Evidence missing / not eligible",IF(ISNUMBER(SEARCH("priority TBD",Y239)),"Evidence missing / not eligible",IF(AND(H239="Carryover",NOT(ISNUMBER(F239))),"Evidence missing / not eligible",IF(AND(H239="Carryover",G239&lt;'Scenario Controls'!$B$16),"Evidence missing / not eligible",IF(AND(H239="ROI-Based Portfolio",NOT(ISNUMBER(F239))),"Evidence missing / not eligible",IF(AND(H239="ROI-Based Portfolio",O239&lt;'Scenario Controls'!$B$20),"Evidence missing / not eligible","Eligible"))))))</x:f>
        <x:v>Eligible</x:v>
      </x:c>
      <x:c r="Q239" s="19" t="n">
        <x:f>IF(P239&lt;&gt;"Eligible",0,IF(AND(SUMIFS($Q$5:Q238,$H$5:H238,H239)+E239&lt;=(IF(H239="LFR",'Scenario Controls'!$F$10,IF(H239="Sustain Engineering",'Scenario Controls'!$F$11,IF(H239="Hygiene",'Scenario Controls'!$F$12,1E+99))))*(1+'Scenario Controls'!$B$7),SUM($Q$5:Q238)+E239&lt;='Scenario Controls'!$B$6*(1+'Scenario Controls'!$B$7)),E239,0))</x:f>
        <x:v>2.95</x:v>
      </x:c>
      <x:c r="R239" s="24" t="str">
        <x:f>'BU Conference'!G115</x:f>
        <x:v>Automatic</x:v>
      </x:c>
      <x:c r="S239" s="24" t="str">
        <x:f>'BU Conference'!H115</x:f>
      </x:c>
      <x:c r="T239" s="19" t="n">
        <x:f>IF(R239="Exclude",0,IF(R239="Include",E239,Q239))</x:f>
        <x:v>2.95</x:v>
      </x:c>
      <x:c r="U239" s="15" t="str">
        <x:f>IF(T239&gt;0,"Funded",IF(P239="Eligible","Unfunded",P239))</x:f>
        <x:v>Funded</x:v>
      </x:c>
      <x:c r="V239" s="15" t="str">
        <x:f>IF(R239="Include","Conference inclusion: "&amp;S239,IF(R239="Exclude","Conference exclusion: "&amp;S239,IF(Q239&gt;0,H239&amp;" priority rank "&amp;I239&amp;"; whole initiative selected",P239)))</x:f>
        <x:v>Carryover priority rank 18; whole initiative selected</x:v>
      </x:c>
      <x:c r="W239" s="15" t="str">
        <x:v>Bu!42</x:v>
      </x:c>
      <x:c r="X239" s="15" t="str"/>
      <x:c r="Y239" s="15" t="str"/>
      <x:c r="Z239" s="15" t="str">
        <x:v>New Feature</x:v>
      </x:c>
      <x:c r="AA239" s="15" t="str">
        <x:v>Carry Over</x:v>
      </x:c>
      <x:c r="AB239" s="15" t="str">
        <x:v>Innovation and Digital IT</x:v>
      </x:c>
      <x:c r="AC239" s="15" t="str">
        <x:v>7-10% productivity loss, and 2.2 M of sunk cost if this project is not continued</x:v>
      </x:c>
      <x:c r="AD239" s="15" t="str">
        <x:v>The objective of the DI program is to digitize and integrate Innovation environment for PH, based on E2E information needs, data models and data flows, resulting in:</x:v>
      </x:c>
      <x:c r="AE239" s="15" t="str">
        <x:v>Scale Rotterdam (Risk, test, risk and defect management) capabilities, supporting the digital thread through the E2E PDLM process, enable automation of reporting/document generation</x:v>
      </x:c>
      <x:c r="AF239" s="15" t="str">
        <x:v>7-10% productivity loss, and 2.2 M of sunk cost if this project is not continued | The objective of the DI program is to digitize and integrate Innovation environment for PH, based on E2E information needs, data models and data flows, resulting in: | Scale Rotterdam (Risk, test, risk and defect management) capabilities, supporting the digital thread through the E2E PDLM process, enable automation of reporting/document generation</x:v>
      </x:c>
      <x:c r="AG239" s="15" t="str">
        <x:v>Must Do</x:v>
      </x:c>
      <x:c r="AH239" s="15" t="n">
        <x:v>209</x:v>
      </x:c>
    </x:row>
    <x:row r="240">
      <x:c r="A240" s="15" t="str">
        <x:v>EW-66</x:v>
      </x:c>
      <x:c r="B240" s="15" t="str">
        <x:v>CLARA - Clinical Partnerships (Site &amp; KOL Engagements)</x:v>
      </x:c>
      <x:c r="C240" s="15" t="str">
        <x:v>EW Led</x:v>
      </x:c>
      <x:c r="D240" s="15" t="str">
        <x:v>Medical Office</x:v>
      </x:c>
      <x:c r="E240" s="19" t="n">
        <x:v>0.4</x:v>
      </x:c>
      <x:c r="F240" s="19" t="n">
        <x:v>1</x:v>
      </x:c>
      <x:c r="G240" s="22" t="n">
        <x:f>IF(AND(E240&gt;0,ISNUMBER(F240)),F240/E240,"")</x:f>
        <x:v>2.5</x:v>
      </x:c>
      <x:c r="H240" s="15" t="str">
        <x:v>Carryover</x:v>
      </x:c>
      <x:c r="I240" s="15" t="n">
        <x:v>19</x:v>
      </x:c>
      <x:c r="J240" s="15" t="n">
        <x:v>15</x:v>
      </x:c>
      <x:c r="K240" s="23" t="n">
        <x:f>IF(G240="",0,IF(G240&lt;1,0,IF(G240&lt;2,20,IF(G240&lt;3,30,IF(G240&lt;5,40,50)))))*'Scenario Controls'!$B$22/50</x:f>
        <x:v>30</x:v>
      </x:c>
      <x:c r="L240" s="23" t="n">
        <x:f>IF(ISNUMBER(SEARCH("Must Do",AG240)),25,IF(ISNUMBER(SEARCH("Must Have",AG240)),18,IF(ISNUMBER(SEARCH("Deprior",AG240)),5,0)))*'Scenario Controls'!$B$23/25</x:f>
        <x:v>25</x:v>
      </x:c>
      <x:c r="M240" s="23" t="n">
        <x:f>J240*'Scenario Controls'!$B$24/15</x:f>
        <x:v>15</x:v>
      </x:c>
      <x:c r="N240" s="23" t="n">
        <x:f>IF(ISNUMBER(SEARCH("HEALTHY",X240)),10,IF(ISNUMBER(SEARCH("CONTAIN",X240)),6,0))*'Scenario Controls'!$B$25/10</x:f>
        <x:v>10</x:v>
      </x:c>
      <x:c r="O240" s="23" t="n">
        <x:f>SUM(K240:N240)</x:f>
        <x:v>80</x:v>
      </x:c>
      <x:c r="P240" s="15" t="str">
        <x:f>IF(OR(B240="",E240&lt;=0),"Evidence missing / not eligible",IF(ISNUMBER(SEARCH("priority TBD",Y240)),"Evidence missing / not eligible",IF(AND(H240="Carryover",NOT(ISNUMBER(F240))),"Evidence missing / not eligible",IF(AND(H240="Carryover",G240&lt;'Scenario Controls'!$B$16),"Evidence missing / not eligible",IF(AND(H240="ROI-Based Portfolio",NOT(ISNUMBER(F240))),"Evidence missing / not eligible",IF(AND(H240="ROI-Based Portfolio",O240&lt;'Scenario Controls'!$B$20),"Evidence missing / not eligible","Eligible"))))))</x:f>
        <x:v>Eligible</x:v>
      </x:c>
      <x:c r="Q240" s="19" t="n">
        <x:f>IF(P240&lt;&gt;"Eligible",0,IF(AND(SUMIFS($Q$5:Q239,$H$5:H239,H240)+E240&lt;=(IF(H240="LFR",'Scenario Controls'!$F$10,IF(H240="Sustain Engineering",'Scenario Controls'!$F$11,IF(H240="Hygiene",'Scenario Controls'!$F$12,1E+99))))*(1+'Scenario Controls'!$B$7),SUM($Q$5:Q239)+E240&lt;='Scenario Controls'!$B$6*(1+'Scenario Controls'!$B$7)),E240,0))</x:f>
        <x:v>0.4</x:v>
      </x:c>
      <x:c r="R240" s="24" t="str">
        <x:f>'EW Conference'!G130</x:f>
        <x:v>Automatic</x:v>
      </x:c>
      <x:c r="S240" s="24" t="str">
        <x:f>'EW Conference'!H130</x:f>
      </x:c>
      <x:c r="T240" s="19" t="n">
        <x:f>IF(R240="Exclude",0,IF(R240="Include",E240,Q240))</x:f>
        <x:v>0.4</x:v>
      </x:c>
      <x:c r="U240" s="15" t="str">
        <x:f>IF(T240&gt;0,"Funded",IF(P240="Eligible","Unfunded",P240))</x:f>
        <x:v>Funded</x:v>
      </x:c>
      <x:c r="V240" s="15" t="str">
        <x:f>IF(R240="Include","Conference inclusion: "&amp;S240,IF(R240="Exclude","Conference exclusion: "&amp;S240,IF(Q240&gt;0,H240&amp;" priority rank "&amp;I240&amp;"; whole initiative selected",P240)))</x:f>
        <x:v>Carryover priority rank 19; whole initiative selected</x:v>
      </x:c>
      <x:c r="W240" s="15" t="str">
        <x:v>EW!62</x:v>
      </x:c>
      <x:c r="X240" s="15" t="str">
        <x:v>HEALTHY</x:v>
      </x:c>
      <x:c r="Y240" s="15" t="str">
        <x:v>HEALTHY — Rank in priority matrix</x:v>
      </x:c>
      <x:c r="Z240" s="15" t="str">
        <x:v>New Features</x:v>
      </x:c>
      <x:c r="AA240" s="15" t="str">
        <x:v>Carry Over</x:v>
      </x:c>
      <x:c r="AB240" s="15" t="str">
        <x:v>Innovation and Digital IT</x:v>
      </x:c>
      <x:c r="AC240" s="15" t="str">
        <x:v>also compliance cost avoidance of 23M Eur, according to 2026 CLARA business case</x:v>
      </x:c>
      <x:c r="AD240" s="15" t="str">
        <x: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x:v>
      </x:c>
      <x:c r="AE240" s="15" t="str">
        <x:v>Delivery of the 2027 PO backlog across ORION modules: KOL, PPP, DC, and Site Contracts. Includes: new BU onboardings; KOL payment-tracking and compliance enhancements; integration w/ Medispend, Ensight reporting, etc.</x:v>
      </x:c>
      <x:c r="AF240" s="15" t="str">
        <x:v>also compliance cost avoidance of 23M Eur, according to 2026 CLARA business case |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 Delivery of the 2027 PO backlog across ORION modules: KOL, PPP, DC, and Site Contracts. Includes: new BU onboardings; KOL payment-tracking and compliance enhancements; integration w/ Medispend, Ensight reporting, etc.</x:v>
      </x:c>
      <x:c r="AG240" s="15" t="str">
        <x:v>Must Do</x:v>
      </x:c>
      <x:c r="AH240" s="15" t="n">
        <x:v>64</x:v>
      </x:c>
    </x:row>
    <x:row r="241">
      <x:c r="A241" s="15" t="str">
        <x:v>EW-08</x:v>
      </x:c>
      <x:c r="B241" s="15" t="str">
        <x:v>Mammoth</x:v>
      </x:c>
      <x:c r="C241" s="15" t="str">
        <x:v>EW Led</x:v>
      </x:c>
      <x:c r="D241" s="15" t="str">
        <x:v>Patient Safety &amp; Quality</x:v>
      </x:c>
      <x:c r="E241" s="19" t="n">
        <x:v>0.65</x:v>
      </x:c>
      <x:c r="F241" s="19" t="n">
        <x:v>1.2</x:v>
      </x:c>
      <x:c r="G241" s="22" t="n">
        <x:f>IF(AND(E241&gt;0,ISNUMBER(F241)),F241/E241,"")</x:f>
        <x:v>1.846153846153846</x:v>
      </x:c>
      <x:c r="H241" s="15" t="str">
        <x:v>Carryover</x:v>
      </x:c>
      <x:c r="I241" s="15" t="n">
        <x:v>20</x:v>
      </x:c>
      <x:c r="J241" s="15" t="n">
        <x:v>15</x:v>
      </x:c>
      <x:c r="K241" s="23" t="n">
        <x:f>IF(G241="",0,IF(G241&lt;1,0,IF(G241&lt;2,20,IF(G241&lt;3,30,IF(G241&lt;5,40,50)))))*'Scenario Controls'!$B$22/50</x:f>
        <x:v>20</x:v>
      </x:c>
      <x:c r="L241" s="23" t="n">
        <x:f>IF(ISNUMBER(SEARCH("Must Do",AG241)),25,IF(ISNUMBER(SEARCH("Must Have",AG241)),18,IF(ISNUMBER(SEARCH("Deprior",AG241)),5,0)))*'Scenario Controls'!$B$23/25</x:f>
        <x:v>25</x:v>
      </x:c>
      <x:c r="M241" s="23" t="n">
        <x:f>J241*'Scenario Controls'!$B$24/15</x:f>
        <x:v>15</x:v>
      </x:c>
      <x:c r="N241" s="23" t="n">
        <x:f>IF(ISNUMBER(SEARCH("HEALTHY",X241)),10,IF(ISNUMBER(SEARCH("CONTAIN",X241)),6,0))*'Scenario Controls'!$B$25/10</x:f>
        <x:v>10</x:v>
      </x:c>
      <x:c r="O241" s="23" t="n">
        <x:f>SUM(K241:N241)</x:f>
        <x:v>70</x:v>
      </x:c>
      <x:c r="P241" s="15" t="str">
        <x:f>IF(OR(B241="",E241&lt;=0),"Evidence missing / not eligible",IF(ISNUMBER(SEARCH("priority TBD",Y241)),"Evidence missing / not eligible",IF(AND(H241="Carryover",NOT(ISNUMBER(F241))),"Evidence missing / not eligible",IF(AND(H241="Carryover",G241&lt;'Scenario Controls'!$B$16),"Evidence missing / not eligible",IF(AND(H241="ROI-Based Portfolio",NOT(ISNUMBER(F241))),"Evidence missing / not eligible",IF(AND(H241="ROI-Based Portfolio",O241&lt;'Scenario Controls'!$B$20),"Evidence missing / not eligible","Eligible"))))))</x:f>
        <x:v>Evidence missing / not eligible</x:v>
      </x:c>
      <x:c r="Q241" s="19" t="n">
        <x:f>IF(P241&lt;&gt;"Eligible",0,IF(AND(SUMIFS($Q$5:Q240,$H$5:H240,H241)+E241&lt;=(IF(H241="LFR",'Scenario Controls'!$F$10,IF(H241="Sustain Engineering",'Scenario Controls'!$F$11,IF(H241="Hygiene",'Scenario Controls'!$F$12,1E+99))))*(1+'Scenario Controls'!$B$7),SUM($Q$5:Q240)+E241&lt;='Scenario Controls'!$B$6*(1+'Scenario Controls'!$B$7)),E241,0))</x:f>
        <x:v>0</x:v>
      </x:c>
      <x:c r="R241" s="24" t="str">
        <x:f>'EW Conference'!G131</x:f>
        <x:v>Automatic</x:v>
      </x:c>
      <x:c r="S241" s="24" t="str">
        <x:f>'EW Conference'!H131</x:f>
      </x:c>
      <x:c r="T241" s="19" t="n">
        <x:f>IF(R241="Exclude",0,IF(R241="Include",E241,Q241))</x:f>
        <x:v>0</x:v>
      </x:c>
      <x:c r="U241" s="15" t="str">
        <x:f>IF(T241&gt;0,"Funded",IF(P241="Eligible","Unfunded",P241))</x:f>
        <x:v>Evidence missing / not eligible</x:v>
      </x:c>
      <x:c r="V241" s="15" t="str">
        <x:f>IF(R241="Include","Conference inclusion: "&amp;S241,IF(R241="Exclude","Conference exclusion: "&amp;S241,IF(Q241&gt;0,H241&amp;" priority rank "&amp;I241&amp;"; whole initiative selected",P241)))</x:f>
        <x:v>Evidence missing / not eligible</x:v>
      </x:c>
      <x:c r="W241" s="15" t="str">
        <x:v>EW!11</x:v>
      </x:c>
      <x:c r="X241" s="15" t="str">
        <x:v>HEALTHY</x:v>
      </x:c>
      <x:c r="Y241" s="15" t="str">
        <x:v>HEALTHY — Rank in priority matrix</x:v>
      </x:c>
      <x:c r="Z241" s="15" t="str">
        <x:v>New Technology</x:v>
      </x:c>
      <x:c r="AA241" s="15" t="str">
        <x:v>Carry Over</x:v>
      </x:c>
      <x:c r="AB241" s="15" t="str">
        <x:v>Group Functions &amp; Hyperautomation IT</x:v>
      </x:c>
      <x:c r="AC241" s="15" t="str">
        <x:v>Lose 1.2M write-off + 1.6M/year</x:v>
      </x:c>
      <x:c r="AD241" s="15" t="str">
        <x:v>Transformation of Quality Compliance Learning organization and harmonization of tooling from TEDS to Cornerstone</x:v>
      </x:c>
      <x:c r="AE241" s="15" t="str">
        <x:v>All QMS learning from TEDS to Cornerstone</x:v>
      </x:c>
      <x:c r="AF241" s="15" t="str">
        <x:v>Lose 1.2M write-off + 1.6M/year | Transformation of Quality Compliance Learning organization and harmonization of tooling from TEDS to Cornerstone | All QMS learning from TEDS to Cornerstone</x:v>
      </x:c>
      <x:c r="AG241" s="15" t="str">
        <x:v>Must Do</x:v>
      </x:c>
      <x:c r="AH241" s="15" t="n">
        <x:v>13</x:v>
      </x:c>
    </x:row>
    <x:row r="242">
      <x:c r="A242" s="15" t="str">
        <x:v>EW-103</x:v>
      </x:c>
      <x:c r="B242" s="15" t="str">
        <x:v>AI &amp; Ops</x:v>
      </x:c>
      <x:c r="C242" s="15" t="str">
        <x:v>EW Led</x:v>
      </x:c>
      <x:c r="D242" s="15" t="str">
        <x:v>People function</x:v>
      </x:c>
      <x:c r="E242" s="19" t="n">
        <x:v>0.2</x:v>
      </x:c>
      <x:c r="F242" s="19" t="n">
        <x:v>0.3</x:v>
      </x:c>
      <x:c r="G242" s="22" t="n">
        <x:f>IF(AND(E242&gt;0,ISNUMBER(F242)),F242/E242,"")</x:f>
        <x:v>1.4999999999999998</x:v>
      </x:c>
      <x:c r="H242" s="15" t="str">
        <x:v>Carryover</x:v>
      </x:c>
      <x:c r="I242" s="15" t="n">
        <x:v>21</x:v>
      </x:c>
      <x:c r="J242" s="15" t="n">
        <x:v>5</x:v>
      </x:c>
      <x:c r="K242" s="23" t="n">
        <x:f>IF(G242="",0,IF(G242&lt;1,0,IF(G242&lt;2,20,IF(G242&lt;3,30,IF(G242&lt;5,40,50)))))*'Scenario Controls'!$B$22/50</x:f>
        <x:v>20</x:v>
      </x:c>
      <x:c r="L242" s="23" t="n">
        <x:f>IF(ISNUMBER(SEARCH("Must Do",AG242)),25,IF(ISNUMBER(SEARCH("Must Have",AG242)),18,IF(ISNUMBER(SEARCH("Deprior",AG242)),5,0)))*'Scenario Controls'!$B$23/25</x:f>
        <x:v>25</x:v>
      </x:c>
      <x:c r="M242" s="23" t="n">
        <x:f>J242*'Scenario Controls'!$B$24/15</x:f>
        <x:v>5</x:v>
      </x:c>
      <x:c r="N242" s="23" t="n">
        <x:f>IF(ISNUMBER(SEARCH("HEALTHY",X242)),10,IF(ISNUMBER(SEARCH("CONTAIN",X242)),6,0))*'Scenario Controls'!$B$25/10</x:f>
        <x:v>10</x:v>
      </x:c>
      <x:c r="O242" s="23" t="n">
        <x:f>SUM(K242:N242)</x:f>
        <x:v>60</x:v>
      </x:c>
      <x:c r="P242" s="15" t="str">
        <x:f>IF(OR(B242="",E242&lt;=0),"Evidence missing / not eligible",IF(ISNUMBER(SEARCH("priority TBD",Y242)),"Evidence missing / not eligible",IF(AND(H242="Carryover",NOT(ISNUMBER(F242))),"Evidence missing / not eligible",IF(AND(H242="Carryover",G242&lt;'Scenario Controls'!$B$16),"Evidence missing / not eligible",IF(AND(H242="ROI-Based Portfolio",NOT(ISNUMBER(F242))),"Evidence missing / not eligible",IF(AND(H242="ROI-Based Portfolio",O242&lt;'Scenario Controls'!$B$20),"Evidence missing / not eligible","Eligible"))))))</x:f>
        <x:v>Evidence missing / not eligible</x:v>
      </x:c>
      <x:c r="Q242" s="19" t="n">
        <x:f>IF(P242&lt;&gt;"Eligible",0,IF(AND(SUMIFS($Q$5:Q241,$H$5:H241,H242)+E242&lt;=(IF(H242="LFR",'Scenario Controls'!$F$10,IF(H242="Sustain Engineering",'Scenario Controls'!$F$11,IF(H242="Hygiene",'Scenario Controls'!$F$12,1E+99))))*(1+'Scenario Controls'!$B$7),SUM($Q$5:Q241)+E242&lt;='Scenario Controls'!$B$6*(1+'Scenario Controls'!$B$7)),E242,0))</x:f>
        <x:v>0</x:v>
      </x:c>
      <x:c r="R242" s="24" t="str">
        <x:f>'EW Conference'!G132</x:f>
        <x:v>Automatic</x:v>
      </x:c>
      <x:c r="S242" s="24" t="str">
        <x:f>'EW Conference'!H132</x:f>
      </x:c>
      <x:c r="T242" s="19" t="n">
        <x:f>IF(R242="Exclude",0,IF(R242="Include",E242,Q242))</x:f>
        <x:v>0</x:v>
      </x:c>
      <x:c r="U242" s="15" t="str">
        <x:f>IF(T242&gt;0,"Funded",IF(P242="Eligible","Unfunded",P242))</x:f>
        <x:v>Evidence missing / not eligible</x:v>
      </x:c>
      <x:c r="V242" s="15" t="str">
        <x:f>IF(R242="Include","Conference inclusion: "&amp;S242,IF(R242="Exclude","Conference exclusion: "&amp;S242,IF(Q242&gt;0,H242&amp;" priority rank "&amp;I242&amp;"; whole initiative selected",P242)))</x:f>
        <x:v>Evidence missing / not eligible</x:v>
      </x:c>
      <x:c r="W242" s="15" t="str">
        <x:v>EW!99</x:v>
      </x:c>
      <x:c r="X242" s="15" t="str">
        <x:v>HEALTHY</x:v>
      </x:c>
      <x:c r="Y242" s="15" t="str">
        <x:v>HEALTHY — Rank in priority matrix</x:v>
      </x:c>
      <x:c r="Z242" s="15" t="str">
        <x:v>AI Enablement</x:v>
      </x:c>
      <x:c r="AA242" s="15" t="str">
        <x:v>Carry Over</x:v>
      </x:c>
      <x:c r="AB242" s="15" t="str">
        <x:v>Group Functions &amp; Hyperautomation IT</x:v>
      </x:c>
      <x:c r="AC242" s="15" t="str">
        <x:v>Productivity targets will not be met and thereby forefeit Business case worth of 300K</x:v>
      </x:c>
      <x:c r="AD242" s="15" t="str">
        <x:v>Support will decline unless S2P capability is built in-house.</x:v>
      </x:c>
      <x:c r="AE242" s="15" t="str">
        <x:v>AI screening.</x:v>
      </x:c>
      <x:c r="AF242" s="15" t="str">
        <x:v>Productivity targets will not be met and thereby forefeit Business case worth of 300K | Support will decline unless S2P capability is built in-house. | AI screening.</x:v>
      </x:c>
      <x:c r="AG242" s="15" t="str">
        <x:v>Must Do</x:v>
      </x:c>
      <x:c r="AH242" s="15" t="n">
        <x:v>101</x:v>
      </x:c>
    </x:row>
    <x:row r="243">
      <x:c r="A243" s="15" t="str">
        <x:v>EW-06</x:v>
      </x:c>
      <x:c r="B243" s="15" t="str">
        <x:v>People Operations: service orchestration</x:v>
      </x:c>
      <x:c r="C243" s="15" t="str">
        <x:v>EW Led</x:v>
      </x:c>
      <x:c r="D243" s="15" t="str">
        <x:v>People function</x:v>
      </x:c>
      <x:c r="E243" s="19" t="n">
        <x:v>0.5</x:v>
      </x:c>
      <x:c r="F243" s="19" t="n">
        <x:v>0.7</x:v>
      </x:c>
      <x:c r="G243" s="22" t="n">
        <x:f>IF(AND(E243&gt;0,ISNUMBER(F243)),F243/E243,"")</x:f>
        <x:v>1.4</x:v>
      </x:c>
      <x:c r="H243" s="15" t="str">
        <x:v>Carryover</x:v>
      </x:c>
      <x:c r="I243" s="15" t="n">
        <x:v>22</x:v>
      </x:c>
      <x:c r="J243" s="15" t="n">
        <x:v>5</x:v>
      </x:c>
      <x:c r="K243" s="23" t="n">
        <x:f>IF(G243="",0,IF(G243&lt;1,0,IF(G243&lt;2,20,IF(G243&lt;3,30,IF(G243&lt;5,40,50)))))*'Scenario Controls'!$B$22/50</x:f>
        <x:v>20</x:v>
      </x:c>
      <x:c r="L243" s="23" t="n">
        <x:f>IF(ISNUMBER(SEARCH("Must Do",AG243)),25,IF(ISNUMBER(SEARCH("Must Have",AG243)),18,IF(ISNUMBER(SEARCH("Deprior",AG243)),5,0)))*'Scenario Controls'!$B$23/25</x:f>
        <x:v>25</x:v>
      </x:c>
      <x:c r="M243" s="23" t="n">
        <x:f>J243*'Scenario Controls'!$B$24/15</x:f>
        <x:v>5</x:v>
      </x:c>
      <x:c r="N243" s="23" t="n">
        <x:f>IF(ISNUMBER(SEARCH("HEALTHY",X243)),10,IF(ISNUMBER(SEARCH("CONTAIN",X243)),6,0))*'Scenario Controls'!$B$25/10</x:f>
        <x:v>10</x:v>
      </x:c>
      <x:c r="O243" s="23" t="n">
        <x:f>SUM(K243:N243)</x:f>
        <x:v>60</x:v>
      </x:c>
      <x:c r="P243" s="15" t="str">
        <x:f>IF(OR(B243="",E243&lt;=0),"Evidence missing / not eligible",IF(ISNUMBER(SEARCH("priority TBD",Y243)),"Evidence missing / not eligible",IF(AND(H243="Carryover",NOT(ISNUMBER(F243))),"Evidence missing / not eligible",IF(AND(H243="Carryover",G243&lt;'Scenario Controls'!$B$16),"Evidence missing / not eligible",IF(AND(H243="ROI-Based Portfolio",NOT(ISNUMBER(F243))),"Evidence missing / not eligible",IF(AND(H243="ROI-Based Portfolio",O243&lt;'Scenario Controls'!$B$20),"Evidence missing / not eligible","Eligible"))))))</x:f>
        <x:v>Evidence missing / not eligible</x:v>
      </x:c>
      <x:c r="Q243" s="19" t="n">
        <x:f>IF(P243&lt;&gt;"Eligible",0,IF(AND(SUMIFS($Q$5:Q242,$H$5:H242,H243)+E243&lt;=(IF(H243="LFR",'Scenario Controls'!$F$10,IF(H243="Sustain Engineering",'Scenario Controls'!$F$11,IF(H243="Hygiene",'Scenario Controls'!$F$12,1E+99))))*(1+'Scenario Controls'!$B$7),SUM($Q$5:Q242)+E243&lt;='Scenario Controls'!$B$6*(1+'Scenario Controls'!$B$7)),E243,0))</x:f>
        <x:v>0</x:v>
      </x:c>
      <x:c r="R243" s="24" t="str">
        <x:f>'EW Conference'!G133</x:f>
        <x:v>Automatic</x:v>
      </x:c>
      <x:c r="S243" s="24" t="str">
        <x:f>'EW Conference'!H133</x:f>
      </x:c>
      <x:c r="T243" s="19" t="n">
        <x:f>IF(R243="Exclude",0,IF(R243="Include",E243,Q243))</x:f>
        <x:v>0</x:v>
      </x:c>
      <x:c r="U243" s="15" t="str">
        <x:f>IF(T243&gt;0,"Funded",IF(P243="Eligible","Unfunded",P243))</x:f>
        <x:v>Evidence missing / not eligible</x:v>
      </x:c>
      <x:c r="V243" s="15" t="str">
        <x:f>IF(R243="Include","Conference inclusion: "&amp;S243,IF(R243="Exclude","Conference exclusion: "&amp;S243,IF(Q243&gt;0,H243&amp;" priority rank "&amp;I243&amp;"; whole initiative selected",P243)))</x:f>
        <x:v>Evidence missing / not eligible</x:v>
      </x:c>
      <x:c r="W243" s="15" t="str">
        <x:v>EW!9</x:v>
      </x:c>
      <x:c r="X243" s="15" t="str">
        <x:v>HEALTHY</x:v>
      </x:c>
      <x:c r="Y243" s="15" t="str">
        <x:v>HEALTHY — Rank in priority matrix</x:v>
      </x:c>
      <x:c r="Z243" s="15" t="str">
        <x:v>AI Enablement</x:v>
      </x:c>
      <x:c r="AA243" s="15" t="str">
        <x:v>Carry Over</x:v>
      </x:c>
      <x:c r="AB243" s="15" t="str">
        <x:v>Group Functions &amp; Hyperautomation IT</x:v>
      </x:c>
      <x:c r="AC243" s="15" t="str">
        <x:v>With a signed 3 year contract worth 350K annually, and foregone Business case of 700K, the overall impact is 1000K annually</x:v>
      </x:c>
      <x:c r="AD243" s="15" t="str"/>
      <x:c r="AE243" s="15" t="str"/>
      <x:c r="AF243" s="15" t="str">
        <x:v>With a signed 3 year contract worth 350K annually, and foregone Business case of 700K, the overall impact is 1000K annually</x:v>
      </x:c>
      <x:c r="AG243" s="15" t="str">
        <x:v>Must Do</x:v>
      </x:c>
      <x:c r="AH243" s="15" t="n">
        <x:v>11</x:v>
      </x:c>
    </x:row>
    <x:row r="244">
      <x:c r="A244" s="15" t="str">
        <x:v>Bu-25</x:v>
      </x:c>
      <x:c r="B244" s="15" t="str">
        <x:v>19 Consumer Care capabilities AI &amp; simplification &amp; Infotip replacement</x:v>
      </x:c>
      <x:c r="C244" s="15" t="str">
        <x:v>BU Led</x:v>
      </x:c>
      <x:c r="D244" s="15" t="str">
        <x:v>Personal Health (PH)</x:v>
      </x:c>
      <x:c r="E244" s="19" t="n">
        <x:v>1.68</x:v>
      </x:c>
      <x:c r="F244" s="19" t="n">
        <x:v>1.777</x:v>
      </x:c>
      <x:c r="G244" s="22" t="n">
        <x:f>IF(AND(E244&gt;0,ISNUMBER(F244)),F244/E244,"")</x:f>
        <x:v>1.0577380952380953</x:v>
      </x:c>
      <x:c r="H244" s="15" t="str">
        <x:v>Carryover</x:v>
      </x:c>
      <x:c r="I244" s="15" t="n">
        <x:v>23</x:v>
      </x:c>
      <x:c r="J244" s="15" t="n">
        <x:v>10</x:v>
      </x:c>
      <x:c r="K244" s="23" t="n">
        <x:f>IF(G244="",0,IF(G244&lt;1,0,IF(G244&lt;2,20,IF(G244&lt;3,30,IF(G244&lt;5,40,50)))))*'Scenario Controls'!$B$22/50</x:f>
        <x:v>20</x:v>
      </x:c>
      <x:c r="L244" s="23" t="n">
        <x:f>IF(ISNUMBER(SEARCH("Must Do",AG244)),25,IF(ISNUMBER(SEARCH("Must Have",AG244)),18,IF(ISNUMBER(SEARCH("Deprior",AG244)),5,0)))*'Scenario Controls'!$B$23/25</x:f>
        <x:v>25</x:v>
      </x:c>
      <x:c r="M244" s="23" t="n">
        <x:f>J244*'Scenario Controls'!$B$24/15</x:f>
        <x:v>10</x:v>
      </x:c>
      <x:c r="N244" s="23" t="n">
        <x:f>IF(ISNUMBER(SEARCH("HEALTHY",X244)),10,IF(ISNUMBER(SEARCH("CONTAIN",X244)),6,0))*'Scenario Controls'!$B$25/10</x:f>
        <x:v>0</x:v>
      </x:c>
      <x:c r="O244" s="23" t="n">
        <x:f>SUM(K244:N244)</x:f>
        <x:v>55</x:v>
      </x:c>
      <x:c r="P244" s="15" t="str">
        <x:f>IF(OR(B244="",E244&lt;=0),"Evidence missing / not eligible",IF(ISNUMBER(SEARCH("priority TBD",Y244)),"Evidence missing / not eligible",IF(AND(H244="Carryover",NOT(ISNUMBER(F244))),"Evidence missing / not eligible",IF(AND(H244="Carryover",G244&lt;'Scenario Controls'!$B$16),"Evidence missing / not eligible",IF(AND(H244="ROI-Based Portfolio",NOT(ISNUMBER(F244))),"Evidence missing / not eligible",IF(AND(H244="ROI-Based Portfolio",O244&lt;'Scenario Controls'!$B$20),"Evidence missing / not eligible","Eligible"))))))</x:f>
        <x:v>Evidence missing / not eligible</x:v>
      </x:c>
      <x:c r="Q244" s="19" t="n">
        <x:f>IF(P244&lt;&gt;"Eligible",0,IF(AND(SUMIFS($Q$5:Q243,$H$5:H243,H244)+E244&lt;=(IF(H244="LFR",'Scenario Controls'!$F$10,IF(H244="Sustain Engineering",'Scenario Controls'!$F$11,IF(H244="Hygiene",'Scenario Controls'!$F$12,1E+99))))*(1+'Scenario Controls'!$B$7),SUM($Q$5:Q243)+E244&lt;='Scenario Controls'!$B$6*(1+'Scenario Controls'!$B$7)),E244,0))</x:f>
        <x:v>0</x:v>
      </x:c>
      <x:c r="R244" s="24" t="str">
        <x:f>'BU Conference'!G116</x:f>
        <x:v>Automatic</x:v>
      </x:c>
      <x:c r="S244" s="24" t="str">
        <x:f>'BU Conference'!H116</x:f>
      </x:c>
      <x:c r="T244" s="19" t="n">
        <x:f>IF(R244="Exclude",0,IF(R244="Include",E244,Q244))</x:f>
        <x:v>0</x:v>
      </x:c>
      <x:c r="U244" s="15" t="str">
        <x:f>IF(T244&gt;0,"Funded",IF(P244="Eligible","Unfunded",P244))</x:f>
        <x:v>Evidence missing / not eligible</x:v>
      </x:c>
      <x:c r="V244" s="15" t="str">
        <x:f>IF(R244="Include","Conference inclusion: "&amp;S244,IF(R244="Exclude","Conference exclusion: "&amp;S244,IF(Q244&gt;0,H244&amp;" priority rank "&amp;I244&amp;"; whole initiative selected",P244)))</x:f>
        <x:v>Evidence missing / not eligible</x:v>
      </x:c>
      <x:c r="W244" s="15" t="str">
        <x:v>Bu!48</x:v>
      </x:c>
      <x:c r="X244" s="15" t="str"/>
      <x:c r="Y244" s="15" t="str"/>
      <x:c r="Z244" s="15" t="str">
        <x:v>New Feature</x:v>
      </x:c>
      <x:c r="AA244" s="15" t="str">
        <x:v>Carry Over</x:v>
      </x:c>
      <x:c r="AB244" s="15" t="str">
        <x:v>Innovation and Digital IT</x:v>
      </x:c>
      <x:c r="AC244" s="15" t="str">
        <x:v>If not approved, legacy dependency, vendor cost and fragmented country flows remain</x:v>
      </x:c>
      <x:c r="AD244" s="15" t="str">
        <x: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x:v>
      </x:c>
      <x:c r="AE244" s="15" t="str">
        <x:v>UC4: AI receptionist for intent capture, routing, data gathering and Salesforce / XcellentCare handover.</x:v>
      </x:c>
      <x:c r="AF244" s="15" t="str">
        <x:v>If not approved, legacy dependency, vendor cost and fragmented country flows remain |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 UC4: AI receptionist for intent capture, routing, data gathering and Salesforce / XcellentCare handover.</x:v>
      </x:c>
      <x:c r="AG244" s="15" t="str">
        <x:v>Must Do</x:v>
      </x:c>
      <x:c r="AH244" s="15" t="n">
        <x:v>210</x:v>
      </x:c>
    </x:row>
    <x:row r="245">
      <x:c r="A245" s="15" t="str">
        <x:v>Bu-02</x:v>
      </x:c>
      <x:c r="B245" s="15" t="str">
        <x:v>Sensei Usage-to-Cash: Contract, Billing &amp; Invoice Automation</x:v>
      </x:c>
      <x:c r="C245" s="15" t="str">
        <x:v>BU Led</x:v>
      </x:c>
      <x:c r="D245" s="15" t="str">
        <x:v>Enterprise Informatics (EI)</x:v>
      </x:c>
      <x:c r="E245" s="19" t="n">
        <x:v>0.75</x:v>
      </x:c>
      <x:c r="F245" s="19" t="n">
        <x:v>0.5</x:v>
      </x:c>
      <x:c r="G245" s="22" t="n">
        <x:f>IF(AND(E245&gt;0,ISNUMBER(F245)),F245/E245,"")</x:f>
        <x:v>0.6666666666666666</x:v>
      </x:c>
      <x:c r="H245" s="15" t="str">
        <x:v>Carryover</x:v>
      </x:c>
      <x:c r="I245" s="15" t="n">
        <x:v>24</x:v>
      </x:c>
      <x:c r="J245" s="15" t="n">
        <x:v>5</x:v>
      </x:c>
      <x:c r="K245" s="23" t="n">
        <x:f>IF(G245="",0,IF(G245&lt;1,0,IF(G245&lt;2,20,IF(G245&lt;3,30,IF(G245&lt;5,40,50)))))*'Scenario Controls'!$B$22/50</x:f>
        <x:v>0</x:v>
      </x:c>
      <x:c r="L245" s="23" t="n">
        <x:f>IF(ISNUMBER(SEARCH("Must Do",AG245)),25,IF(ISNUMBER(SEARCH("Must Have",AG245)),18,IF(ISNUMBER(SEARCH("Deprior",AG245)),5,0)))*'Scenario Controls'!$B$23/25</x:f>
        <x:v>25</x:v>
      </x:c>
      <x:c r="M245" s="23" t="n">
        <x:f>J245*'Scenario Controls'!$B$24/15</x:f>
        <x:v>5</x:v>
      </x:c>
      <x:c r="N245" s="23" t="n">
        <x:f>IF(ISNUMBER(SEARCH("HEALTHY",X245)),10,IF(ISNUMBER(SEARCH("CONTAIN",X245)),6,0))*'Scenario Controls'!$B$25/10</x:f>
        <x:v>0</x:v>
      </x:c>
      <x:c r="O245" s="23" t="n">
        <x:f>SUM(K245:N245)</x:f>
        <x:v>30</x:v>
      </x:c>
      <x:c r="P245" s="15" t="str">
        <x:f>IF(OR(B245="",E245&lt;=0),"Evidence missing / not eligible",IF(ISNUMBER(SEARCH("priority TBD",Y245)),"Evidence missing / not eligible",IF(AND(H245="Carryover",NOT(ISNUMBER(F245))),"Evidence missing / not eligible",IF(AND(H245="Carryover",G245&lt;'Scenario Controls'!$B$16),"Evidence missing / not eligible",IF(AND(H245="ROI-Based Portfolio",NOT(ISNUMBER(F245))),"Evidence missing / not eligible",IF(AND(H245="ROI-Based Portfolio",O245&lt;'Scenario Controls'!$B$20),"Evidence missing / not eligible","Eligible"))))))</x:f>
        <x:v>Evidence missing / not eligible</x:v>
      </x:c>
      <x:c r="Q245" s="19" t="n">
        <x:f>IF(P245&lt;&gt;"Eligible",0,IF(AND(SUMIFS($Q$5:Q244,$H$5:H244,H245)+E245&lt;=(IF(H245="LFR",'Scenario Controls'!$F$10,IF(H245="Sustain Engineering",'Scenario Controls'!$F$11,IF(H245="Hygiene",'Scenario Controls'!$F$12,1E+99))))*(1+'Scenario Controls'!$B$7),SUM($Q$5:Q244)+E245&lt;='Scenario Controls'!$B$6*(1+'Scenario Controls'!$B$7)),E245,0))</x:f>
        <x:v>0</x:v>
      </x:c>
      <x:c r="R245" s="24" t="str">
        <x:f>'BU Conference'!G117</x:f>
        <x:v>Automatic</x:v>
      </x:c>
      <x:c r="S245" s="24" t="str">
        <x:f>'BU Conference'!H117</x:f>
      </x:c>
      <x:c r="T245" s="19" t="n">
        <x:f>IF(R245="Exclude",0,IF(R245="Include",E245,Q245))</x:f>
        <x:v>0</x:v>
      </x:c>
      <x:c r="U245" s="15" t="str">
        <x:f>IF(T245&gt;0,"Funded",IF(P245="Eligible","Unfunded",P245))</x:f>
        <x:v>Evidence missing / not eligible</x:v>
      </x:c>
      <x:c r="V245" s="15" t="str">
        <x:f>IF(R245="Include","Conference inclusion: "&amp;S245,IF(R245="Exclude","Conference exclusion: "&amp;S245,IF(Q245&gt;0,H245&amp;" priority rank "&amp;I245&amp;"; whole initiative selected",P245)))</x:f>
        <x:v>Evidence missing / not eligible</x:v>
      </x:c>
      <x:c r="W245" s="15" t="str">
        <x:v>Bu!6</x:v>
      </x:c>
      <x:c r="X245" s="15" t="str"/>
      <x:c r="Y245" s="15" t="str"/>
      <x:c r="Z245" s="15" t="str">
        <x:v>New Technology</x:v>
      </x:c>
      <x:c r="AA245" s="15" t="str">
        <x:v>Carry Over</x:v>
      </x:c>
      <x:c r="AB245" s="15" t="str">
        <x:v>Commercial IT</x:v>
      </x:c>
      <x:c r="AC245" s="15" t="str"/>
      <x:c r="AD245" s="15" t="str">
        <x:v>Replace legacy Quoting and Subscription Management applications</x:v>
      </x:c>
      <x:c r="AE245" s="15" t="str">
        <x:v>Build Sensei into the operational layer from commercial agreement through usage capture, entitlement validation, billing trigger, SAP order/invoice creation, collections visibility and contract changes.</x:v>
      </x:c>
      <x:c r="AF245" s="15" t="str">
        <x:v>Replace legacy Quoting and Subscription Management applications | Build Sensei into the operational layer from commercial agreement through usage capture, entitlement validation, billing trigger, SAP order/invoice creation, collections visibility and contract changes.</x:v>
      </x:c>
      <x:c r="AG245" s="15" t="str">
        <x:v>Must Do</x:v>
      </x:c>
      <x:c r="AH245" s="15" t="n">
        <x:v>187</x:v>
      </x:c>
    </x:row>
    <x:row r="246">
      <x:c r="A246" s="15" t="str">
        <x:v>Bu-01</x:v>
      </x:c>
      <x:c r="B246" s="15" t="str">
        <x:v>EI-IS-AI Service Excellence program - SPM--&gt; Microsoft Project Operations</x:v>
      </x:c>
      <x:c r="C246" s="15" t="str">
        <x:v>BU Led</x:v>
      </x:c>
      <x:c r="D246" s="15" t="str">
        <x:v>Enterprise Informatics (EI)</x:v>
      </x:c>
      <x:c r="E246" s="19" t="n">
        <x:v>1.3</x:v>
      </x:c>
      <x:c r="F246" s="19" t="n">
        <x:v>0.8</x:v>
      </x:c>
      <x:c r="G246" s="22" t="n">
        <x:f>IF(AND(E246&gt;0,ISNUMBER(F246)),F246/E246,"")</x:f>
        <x:v>0.6153846153846154</x:v>
      </x:c>
      <x:c r="H246" s="15" t="str">
        <x:v>Carryover</x:v>
      </x:c>
      <x:c r="I246" s="15" t="n">
        <x:v>25</x:v>
      </x:c>
      <x:c r="J246" s="15" t="n">
        <x:v>5</x:v>
      </x:c>
      <x:c r="K246" s="23" t="n">
        <x:f>IF(G246="",0,IF(G246&lt;1,0,IF(G246&lt;2,20,IF(G246&lt;3,30,IF(G246&lt;5,40,50)))))*'Scenario Controls'!$B$22/50</x:f>
        <x:v>0</x:v>
      </x:c>
      <x:c r="L246" s="23" t="n">
        <x:f>IF(ISNUMBER(SEARCH("Must Do",AG246)),25,IF(ISNUMBER(SEARCH("Must Have",AG246)),18,IF(ISNUMBER(SEARCH("Deprior",AG246)),5,0)))*'Scenario Controls'!$B$23/25</x:f>
        <x:v>25</x:v>
      </x:c>
      <x:c r="M246" s="23" t="n">
        <x:f>J246*'Scenario Controls'!$B$24/15</x:f>
        <x:v>5</x:v>
      </x:c>
      <x:c r="N246" s="23" t="n">
        <x:f>IF(ISNUMBER(SEARCH("HEALTHY",X246)),10,IF(ISNUMBER(SEARCH("CONTAIN",X246)),6,0))*'Scenario Controls'!$B$25/10</x:f>
        <x:v>0</x:v>
      </x:c>
      <x:c r="O246" s="23" t="n">
        <x:f>SUM(K246:N246)</x:f>
        <x:v>30</x:v>
      </x:c>
      <x:c r="P246" s="15" t="str">
        <x:f>IF(OR(B246="",E246&lt;=0),"Evidence missing / not eligible",IF(ISNUMBER(SEARCH("priority TBD",Y246)),"Evidence missing / not eligible",IF(AND(H246="Carryover",NOT(ISNUMBER(F246))),"Evidence missing / not eligible",IF(AND(H246="Carryover",G246&lt;'Scenario Controls'!$B$16),"Evidence missing / not eligible",IF(AND(H246="ROI-Based Portfolio",NOT(ISNUMBER(F246))),"Evidence missing / not eligible",IF(AND(H246="ROI-Based Portfolio",O246&lt;'Scenario Controls'!$B$20),"Evidence missing / not eligible","Eligible"))))))</x:f>
        <x:v>Evidence missing / not eligible</x:v>
      </x:c>
      <x:c r="Q246" s="19" t="n">
        <x:f>IF(P246&lt;&gt;"Eligible",0,IF(AND(SUMIFS($Q$5:Q245,$H$5:H245,H246)+E246&lt;=(IF(H246="LFR",'Scenario Controls'!$F$10,IF(H246="Sustain Engineering",'Scenario Controls'!$F$11,IF(H246="Hygiene",'Scenario Controls'!$F$12,1E+99))))*(1+'Scenario Controls'!$B$7),SUM($Q$5:Q245)+E246&lt;='Scenario Controls'!$B$6*(1+'Scenario Controls'!$B$7)),E246,0))</x:f>
        <x:v>0</x:v>
      </x:c>
      <x:c r="R246" s="24" t="str">
        <x:f>'BU Conference'!G118</x:f>
        <x:v>Automatic</x:v>
      </x:c>
      <x:c r="S246" s="24" t="str">
        <x:f>'BU Conference'!H118</x:f>
      </x:c>
      <x:c r="T246" s="19" t="n">
        <x:f>IF(R246="Exclude",0,IF(R246="Include",E246,Q246))</x:f>
        <x:v>0</x:v>
      </x:c>
      <x:c r="U246" s="15" t="str">
        <x:f>IF(T246&gt;0,"Funded",IF(P246="Eligible","Unfunded",P246))</x:f>
        <x:v>Evidence missing / not eligible</x:v>
      </x:c>
      <x:c r="V246" s="15" t="str">
        <x:f>IF(R246="Include","Conference inclusion: "&amp;S246,IF(R246="Exclude","Conference exclusion: "&amp;S246,IF(Q246&gt;0,H246&amp;" priority rank "&amp;I246&amp;"; whole initiative selected",P246)))</x:f>
        <x:v>Evidence missing / not eligible</x:v>
      </x:c>
      <x:c r="W246" s="15" t="str">
        <x:v>Bu!4</x:v>
      </x:c>
      <x:c r="X246" s="15" t="str"/>
      <x:c r="Y246" s="15" t="str"/>
      <x:c r="Z246" s="15" t="str">
        <x:v>New Technology</x:v>
      </x:c>
      <x:c r="AA246" s="15" t="str">
        <x:v>Carry Over</x:v>
      </x:c>
      <x:c r="AB246" s="15" t="str">
        <x:v>Commercial IT</x:v>
      </x:c>
      <x:c r="AC246" s="15" t="str"/>
      <x:c r="AD246" s="15" t="str">
        <x:v>Existing PS Cloud system is having basic functionality and not connected with downstream / upstream systems that is required to complete the E2E Project Management activity for R&amp;D team</x:v>
      </x:c>
      <x:c r="AE246" s="15" t="str">
        <x:v>Introduce Pre-calc functionality, : Budget creation</x:v>
      </x:c>
      <x:c r="AF246" s="15" t="str">
        <x:v>Existing PS Cloud system is having basic functionality and not connected with downstream / upstream systems that is required to complete the E2E Project Management activity for R&amp;D team | Introduce Pre-calc functionality, : Budget creation</x:v>
      </x:c>
      <x:c r="AG246" s="15" t="str">
        <x:v>Must Do</x:v>
      </x:c>
      <x:c r="AH246" s="15" t="n">
        <x:v>186</x:v>
      </x:c>
    </x:row>
    <x:row r="247">
      <x:c r="A247" s="15" t="str">
        <x:v>Bu-37</x:v>
      </x:c>
      <x:c r="B247" s="15" t="str">
        <x:v>05. One AI-powered Translation Solution for PH</x:v>
      </x:c>
      <x:c r="C247" s="15" t="str">
        <x:v>BU Led</x:v>
      </x:c>
      <x:c r="D247" s="15" t="str">
        <x:v>Personal Health (PH)</x:v>
      </x:c>
      <x:c r="E247" s="19" t="n">
        <x:v>0.4</x:v>
      </x:c>
      <x:c r="F247" s="19" t="n">
        <x:v>0.15</x:v>
      </x:c>
      <x:c r="G247" s="22" t="n">
        <x:f>IF(AND(E247&gt;0,ISNUMBER(F247)),F247/E247,"")</x:f>
        <x:v>0.37499999999999994</x:v>
      </x:c>
      <x:c r="H247" s="15" t="str">
        <x:v>Carryover</x:v>
      </x:c>
      <x:c r="I247" s="15" t="n">
        <x:v>26</x:v>
      </x:c>
      <x:c r="J247" s="15" t="n">
        <x:v>10</x:v>
      </x:c>
      <x:c r="K247" s="23" t="n">
        <x:f>IF(G247="",0,IF(G247&lt;1,0,IF(G247&lt;2,20,IF(G247&lt;3,30,IF(G247&lt;5,40,50)))))*'Scenario Controls'!$B$22/50</x:f>
        <x:v>0</x:v>
      </x:c>
      <x:c r="L247" s="23" t="n">
        <x:f>IF(ISNUMBER(SEARCH("Must Do",AG247)),25,IF(ISNUMBER(SEARCH("Must Have",AG247)),18,IF(ISNUMBER(SEARCH("Deprior",AG247)),5,0)))*'Scenario Controls'!$B$23/25</x:f>
        <x:v>25</x:v>
      </x:c>
      <x:c r="M247" s="23" t="n">
        <x:f>J247*'Scenario Controls'!$B$24/15</x:f>
        <x:v>10</x:v>
      </x:c>
      <x:c r="N247" s="23" t="n">
        <x:f>IF(ISNUMBER(SEARCH("HEALTHY",X247)),10,IF(ISNUMBER(SEARCH("CONTAIN",X247)),6,0))*'Scenario Controls'!$B$25/10</x:f>
        <x:v>0</x:v>
      </x:c>
      <x:c r="O247" s="23" t="n">
        <x:f>SUM(K247:N247)</x:f>
        <x:v>35</x:v>
      </x:c>
      <x:c r="P247" s="15" t="str">
        <x:f>IF(OR(B247="",E247&lt;=0),"Evidence missing / not eligible",IF(ISNUMBER(SEARCH("priority TBD",Y247)),"Evidence missing / not eligible",IF(AND(H247="Carryover",NOT(ISNUMBER(F247))),"Evidence missing / not eligible",IF(AND(H247="Carryover",G247&lt;'Scenario Controls'!$B$16),"Evidence missing / not eligible",IF(AND(H247="ROI-Based Portfolio",NOT(ISNUMBER(F247))),"Evidence missing / not eligible",IF(AND(H247="ROI-Based Portfolio",O247&lt;'Scenario Controls'!$B$20),"Evidence missing / not eligible","Eligible"))))))</x:f>
        <x:v>Evidence missing / not eligible</x:v>
      </x:c>
      <x:c r="Q247" s="19" t="n">
        <x:f>IF(P247&lt;&gt;"Eligible",0,IF(AND(SUMIFS($Q$5:Q246,$H$5:H246,H247)+E247&lt;=(IF(H247="LFR",'Scenario Controls'!$F$10,IF(H247="Sustain Engineering",'Scenario Controls'!$F$11,IF(H247="Hygiene",'Scenario Controls'!$F$12,1E+99))))*(1+'Scenario Controls'!$B$7),SUM($Q$5:Q246)+E247&lt;='Scenario Controls'!$B$6*(1+'Scenario Controls'!$B$7)),E247,0))</x:f>
        <x:v>0</x:v>
      </x:c>
      <x:c r="R247" s="24" t="str">
        <x:f>'BU Conference'!G119</x:f>
        <x:v>Automatic</x:v>
      </x:c>
      <x:c r="S247" s="24" t="str">
        <x:f>'BU Conference'!H119</x:f>
      </x:c>
      <x:c r="T247" s="19" t="n">
        <x:f>IF(R247="Exclude",0,IF(R247="Include",E247,Q247))</x:f>
        <x:v>0</x:v>
      </x:c>
      <x:c r="U247" s="15" t="str">
        <x:f>IF(T247&gt;0,"Funded",IF(P247="Eligible","Unfunded",P247))</x:f>
        <x:v>Evidence missing / not eligible</x:v>
      </x:c>
      <x:c r="V247" s="15" t="str">
        <x:f>IF(R247="Include","Conference inclusion: "&amp;S247,IF(R247="Exclude","Conference exclusion: "&amp;S247,IF(Q247&gt;0,H247&amp;" priority rank "&amp;I247&amp;"; whole initiative selected",P247)))</x:f>
        <x:v>Evidence missing / not eligible</x:v>
      </x:c>
      <x:c r="W247" s="15" t="str">
        <x:v>Bu!104</x:v>
      </x:c>
      <x:c r="X247" s="15" t="str"/>
      <x:c r="Y247" s="15" t="str"/>
      <x:c r="Z247" s="15" t="str">
        <x:v>AI Enablement</x:v>
      </x:c>
      <x:c r="AA247" s="15" t="str">
        <x:v>Carry Over</x:v>
      </x:c>
      <x:c r="AB247" s="15" t="str">
        <x:v>Innovation and Digital IT</x:v>
      </x:c>
      <x:c r="AC247" s="15" t="str">
        <x:v>Investment in 2026 will be wasted and we will face inefficiencies and inconsistencies in consumer facing content dur to various local translators and language service partners</x:v>
      </x:c>
      <x:c r="AD247" s="15" t="str">
        <x: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x:v>
      </x:c>
      <x:c r="AE247" s="15" t="str">
        <x:v>In 2027 we will onboard and deploy the one AI powered TMS(including set up of workflows/Translation Memories etc) for the following content types</x:v>
      </x:c>
      <x:c r="AF247" s="15" t="str">
        <x:v>Investment in 2026 will be wasted and we will face inefficiencies and inconsistencies in consumer facing content dur to various local translators and language service partners |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 In 2027 we will onboard and deploy the one AI powered TMS(including set up of workflows/Translation Memories etc) for the following content types</x:v>
      </x:c>
      <x:c r="AG247" s="15" t="str">
        <x:v>Must Do</x:v>
      </x:c>
      <x:c r="AH247" s="15" t="n">
        <x:v>222</x:v>
      </x:c>
    </x:row>
    <x:row r="248">
      <x:c r="A248" s="15" t="str">
        <x:v>EW-52</x:v>
      </x:c>
      <x:c r="B248" s="15" t="str">
        <x:v>RM AI big bet</x:v>
      </x:c>
      <x:c r="C248" s="15" t="str">
        <x:v>EW Led</x:v>
      </x:c>
      <x:c r="D248" s="15" t="str">
        <x:v>Patient Safety &amp; Quality</x:v>
      </x:c>
      <x:c r="E248" s="19" t="n">
        <x:v>0.395</x:v>
      </x:c>
      <x:c r="F248" s="19" t="n">
        <x:v>0</x:v>
      </x:c>
      <x:c r="G248" s="22" t="n">
        <x:f>IF(AND(E248&gt;0,ISNUMBER(F248)),F248/E248,"")</x:f>
        <x:v>0</x:v>
      </x:c>
      <x:c r="H248" s="15" t="str">
        <x:v>Carryover</x:v>
      </x:c>
      <x:c r="I248" s="15" t="n">
        <x:v>27</x:v>
      </x:c>
      <x:c r="J248" s="15" t="n">
        <x:v>15</x:v>
      </x:c>
      <x:c r="K248" s="23" t="n">
        <x:f>IF(G248="",0,IF(G248&lt;1,0,IF(G248&lt;2,20,IF(G248&lt;3,30,IF(G248&lt;5,40,50)))))*'Scenario Controls'!$B$22/50</x:f>
        <x:v>0</x:v>
      </x:c>
      <x:c r="L248" s="23" t="n">
        <x:f>IF(ISNUMBER(SEARCH("Must Do",AG248)),25,IF(ISNUMBER(SEARCH("Must Have",AG248)),18,IF(ISNUMBER(SEARCH("Deprior",AG248)),5,0)))*'Scenario Controls'!$B$23/25</x:f>
        <x:v>25</x:v>
      </x:c>
      <x:c r="M248" s="23" t="n">
        <x:f>J248*'Scenario Controls'!$B$24/15</x:f>
        <x:v>15</x:v>
      </x:c>
      <x:c r="N248" s="23" t="n">
        <x:f>IF(ISNUMBER(SEARCH("HEALTHY",X248)),10,IF(ISNUMBER(SEARCH("CONTAIN",X248)),6,0))*'Scenario Controls'!$B$25/10</x:f>
        <x:v>10</x:v>
      </x:c>
      <x:c r="O248" s="23" t="n">
        <x:f>SUM(K248:N248)</x:f>
        <x:v>50</x:v>
      </x:c>
      <x:c r="P248" s="15" t="str">
        <x:f>IF(OR(B248="",E248&lt;=0),"Evidence missing / not eligible",IF(ISNUMBER(SEARCH("priority TBD",Y248)),"Evidence missing / not eligible",IF(AND(H248="Carryover",NOT(ISNUMBER(F248))),"Evidence missing / not eligible",IF(AND(H248="Carryover",G248&lt;'Scenario Controls'!$B$16),"Evidence missing / not eligible",IF(AND(H248="ROI-Based Portfolio",NOT(ISNUMBER(F248))),"Evidence missing / not eligible",IF(AND(H248="ROI-Based Portfolio",O248&lt;'Scenario Controls'!$B$20),"Evidence missing / not eligible","Eligible"))))))</x:f>
        <x:v>Evidence missing / not eligible</x:v>
      </x:c>
      <x:c r="Q248" s="19" t="n">
        <x:f>IF(P248&lt;&gt;"Eligible",0,IF(AND(SUMIFS($Q$5:Q247,$H$5:H247,H248)+E248&lt;=(IF(H248="LFR",'Scenario Controls'!$F$10,IF(H248="Sustain Engineering",'Scenario Controls'!$F$11,IF(H248="Hygiene",'Scenario Controls'!$F$12,1E+99))))*(1+'Scenario Controls'!$B$7),SUM($Q$5:Q247)+E248&lt;='Scenario Controls'!$B$6*(1+'Scenario Controls'!$B$7)),E248,0))</x:f>
        <x:v>0</x:v>
      </x:c>
      <x:c r="R248" s="24" t="str">
        <x:f>'EW Conference'!G134</x:f>
        <x:v>Automatic</x:v>
      </x:c>
      <x:c r="S248" s="24" t="str">
        <x:f>'EW Conference'!H134</x:f>
      </x:c>
      <x:c r="T248" s="19" t="n">
        <x:f>IF(R248="Exclude",0,IF(R248="Include",E248,Q248))</x:f>
        <x:v>0</x:v>
      </x:c>
      <x:c r="U248" s="15" t="str">
        <x:f>IF(T248&gt;0,"Funded",IF(P248="Eligible","Unfunded",P248))</x:f>
        <x:v>Evidence missing / not eligible</x:v>
      </x:c>
      <x:c r="V248" s="15" t="str">
        <x:f>IF(R248="Include","Conference inclusion: "&amp;S248,IF(R248="Exclude","Conference exclusion: "&amp;S248,IF(Q248&gt;0,H248&amp;" priority rank "&amp;I248&amp;"; whole initiative selected",P248)))</x:f>
        <x:v>Evidence missing / not eligible</x:v>
      </x:c>
      <x:c r="W248" s="15" t="str">
        <x:v>EW!50</x:v>
      </x:c>
      <x:c r="X248" s="15" t="str">
        <x:v>HEALTHY</x:v>
      </x:c>
      <x:c r="Y248" s="15" t="str">
        <x:v>HEALTHY — Rank in priority matrix</x:v>
      </x:c>
      <x:c r="Z248" s="15" t="str">
        <x:v>AI Enablement</x:v>
      </x:c>
      <x:c r="AA248" s="15" t="str">
        <x:v>Carry Over</x:v>
      </x:c>
      <x:c r="AB248" s="15" t="str">
        <x:v>Group Functions &amp; Hyperautomation IT</x:v>
      </x:c>
      <x:c r="AC248" s="15" t="str">
        <x:v>6M - 15M</x:v>
      </x:c>
      <x:c r="AD248" s="15" t="str">
        <x: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x:v>
      </x:c>
      <x:c r="AE248" s="15" t="str">
        <x:v>Enterprise wide RM process</x:v>
      </x:c>
      <x:c r="AF248" s="15" t="str">
        <x:v>6M - 15M |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 Enterprise wide RM process</x:v>
      </x:c>
      <x:c r="AG248" s="15" t="str">
        <x:v>Must Do</x:v>
      </x:c>
      <x:c r="AH248" s="15" t="n">
        <x:v>52</x:v>
      </x:c>
    </x:row>
    <x:row r="249">
      <x:c r="A249" s="15" t="str">
        <x:v>EW-53</x:v>
      </x:c>
      <x:c r="B249" s="15" t="str">
        <x:v>IT-Security - Global one Badge</x:v>
      </x:c>
      <x:c r="C249" s="15" t="str">
        <x:v>EW Led</x:v>
      </x:c>
      <x:c r="D249" s="15" t="str">
        <x:v>Group Security</x:v>
      </x:c>
      <x:c r="E249" s="19" t="n">
        <x:v>0.45</x:v>
      </x:c>
      <x:c r="F249" s="19" t="n">
        <x:v>0</x:v>
      </x:c>
      <x:c r="G249" s="22" t="n">
        <x:f>IF(AND(E249&gt;0,ISNUMBER(F249)),F249/E249,"")</x:f>
        <x:v>0</x:v>
      </x:c>
      <x:c r="H249" s="15" t="str">
        <x:v>Carryover</x:v>
      </x:c>
      <x:c r="I249" s="15" t="n">
        <x:v>28</x:v>
      </x:c>
      <x:c r="J249" s="15" t="n">
        <x:v>15</x:v>
      </x:c>
      <x:c r="K249" s="23" t="n">
        <x:f>IF(G249="",0,IF(G249&lt;1,0,IF(G249&lt;2,20,IF(G249&lt;3,30,IF(G249&lt;5,40,50)))))*'Scenario Controls'!$B$22/50</x:f>
        <x:v>0</x:v>
      </x:c>
      <x:c r="L249" s="23" t="n">
        <x:f>IF(ISNUMBER(SEARCH("Must Do",AG249)),25,IF(ISNUMBER(SEARCH("Must Have",AG249)),18,IF(ISNUMBER(SEARCH("Deprior",AG249)),5,0)))*'Scenario Controls'!$B$23/25</x:f>
        <x:v>25</x:v>
      </x:c>
      <x:c r="M249" s="23" t="n">
        <x:f>J249*'Scenario Controls'!$B$24/15</x:f>
        <x:v>15</x:v>
      </x:c>
      <x:c r="N249" s="23" t="n">
        <x:f>IF(ISNUMBER(SEARCH("HEALTHY",X249)),10,IF(ISNUMBER(SEARCH("CONTAIN",X249)),6,0))*'Scenario Controls'!$B$25/10</x:f>
        <x:v>10</x:v>
      </x:c>
      <x:c r="O249" s="23" t="n">
        <x:f>SUM(K249:N249)</x:f>
        <x:v>50</x:v>
      </x:c>
      <x:c r="P249" s="15" t="str">
        <x:f>IF(OR(B249="",E249&lt;=0),"Evidence missing / not eligible",IF(ISNUMBER(SEARCH("priority TBD",Y249)),"Evidence missing / not eligible",IF(AND(H249="Carryover",NOT(ISNUMBER(F249))),"Evidence missing / not eligible",IF(AND(H249="Carryover",G249&lt;'Scenario Controls'!$B$16),"Evidence missing / not eligible",IF(AND(H249="ROI-Based Portfolio",NOT(ISNUMBER(F249))),"Evidence missing / not eligible",IF(AND(H249="ROI-Based Portfolio",O249&lt;'Scenario Controls'!$B$20),"Evidence missing / not eligible","Eligible"))))))</x:f>
        <x:v>Evidence missing / not eligible</x:v>
      </x:c>
      <x:c r="Q249" s="19" t="n">
        <x:f>IF(P249&lt;&gt;"Eligible",0,IF(AND(SUMIFS($Q$5:Q248,$H$5:H248,H249)+E249&lt;=(IF(H249="LFR",'Scenario Controls'!$F$10,IF(H249="Sustain Engineering",'Scenario Controls'!$F$11,IF(H249="Hygiene",'Scenario Controls'!$F$12,1E+99))))*(1+'Scenario Controls'!$B$7),SUM($Q$5:Q248)+E249&lt;='Scenario Controls'!$B$6*(1+'Scenario Controls'!$B$7)),E249,0))</x:f>
        <x:v>0</x:v>
      </x:c>
      <x:c r="R249" s="24" t="str">
        <x:f>'EW Conference'!G135</x:f>
        <x:v>Automatic</x:v>
      </x:c>
      <x:c r="S249" s="24" t="str">
        <x:f>'EW Conference'!H135</x:f>
      </x:c>
      <x:c r="T249" s="19" t="n">
        <x:f>IF(R249="Exclude",0,IF(R249="Include",E249,Q249))</x:f>
        <x:v>0</x:v>
      </x:c>
      <x:c r="U249" s="15" t="str">
        <x:f>IF(T249&gt;0,"Funded",IF(P249="Eligible","Unfunded",P249))</x:f>
        <x:v>Evidence missing / not eligible</x:v>
      </x:c>
      <x:c r="V249" s="15" t="str">
        <x:f>IF(R249="Include","Conference inclusion: "&amp;S249,IF(R249="Exclude","Conference exclusion: "&amp;S249,IF(Q249&gt;0,H249&amp;" priority rank "&amp;I249&amp;"; whole initiative selected",P249)))</x:f>
        <x:v>Evidence missing / not eligible</x:v>
      </x:c>
      <x:c r="W249" s="15" t="str">
        <x:v>EW!51</x:v>
      </x:c>
      <x:c r="X249" s="15" t="str">
        <x:v>HEALTHY</x:v>
      </x:c>
      <x:c r="Y249" s="15" t="str">
        <x:v>HEALTHY — Rank in priority matrix</x:v>
      </x:c>
      <x:c r="Z249" s="15" t="str">
        <x:v>New Technology</x:v>
      </x:c>
      <x:c r="AA249" s="15" t="str">
        <x:v>Carry Over</x:v>
      </x:c>
      <x:c r="AB249" s="15" t="str">
        <x:v>Group Functions &amp; Hyperautomation IT</x:v>
      </x:c>
      <x:c r="AC249" s="15" t="str">
        <x:v>Without leveraging Global One Badge solution, Philips will have to continue with scattered landscape of local managed access controls systems and outdated badge technologies used posing serious Physical access threats and associated security risks</x:v>
      </x:c>
      <x:c r="AD249" s="15" t="str">
        <x:v>scattered landscape of local managed access controls systems and outdated badge technologies.</x:v>
      </x:c>
      <x:c r="AE249" s="15" t="str">
        <x:v>Deploy to NAR and selected global sites per program roadmap</x:v>
      </x:c>
      <x:c r="AF249" s="15" t="str">
        <x:v>Without leveraging Global One Badge solution, Philips will have to continue with scattered landscape of local managed access controls systems and outdated badge technologies used posing serious Physical access threats and associated security risks | scattered landscape of local managed access controls systems and outdated badge technologies. | Deploy to NAR and selected global sites per program roadmap</x:v>
      </x:c>
      <x:c r="AG249" s="15" t="str">
        <x:v>Must Do</x:v>
      </x:c>
      <x:c r="AH249" s="15" t="n">
        <x:v>53</x:v>
      </x:c>
    </x:row>
    <x:row r="250">
      <x:c r="A250" s="15" t="str">
        <x:v>EW-139</x:v>
      </x:c>
      <x:c r="B250" s="15" t="str">
        <x:v>Global AI Hub</x:v>
      </x:c>
      <x:c r="C250" s="15" t="str">
        <x:v>EW Led</x:v>
      </x:c>
      <x:c r="D250" s="15" t="str">
        <x:v>Information Technology</x:v>
      </x:c>
      <x:c r="E250" s="19" t="n">
        <x:v>1.5</x:v>
      </x:c>
      <x:c r="F250" s="19" t="n">
        <x:v>0</x:v>
      </x:c>
      <x:c r="G250" s="22" t="n">
        <x:f>IF(AND(E250&gt;0,ISNUMBER(F250)),F250/E250,"")</x:f>
        <x:v>0</x:v>
      </x:c>
      <x:c r="H250" s="15" t="str">
        <x:v>Carryover</x:v>
      </x:c>
      <x:c r="I250" s="15" t="n">
        <x:v>29</x:v>
      </x:c>
      <x:c r="J250" s="15" t="n">
        <x:v>15</x:v>
      </x:c>
      <x:c r="K250" s="23" t="n">
        <x:f>IF(G250="",0,IF(G250&lt;1,0,IF(G250&lt;2,20,IF(G250&lt;3,30,IF(G250&lt;5,40,50)))))*'Scenario Controls'!$B$22/50</x:f>
        <x:v>0</x:v>
      </x:c>
      <x:c r="L250" s="23" t="n">
        <x:f>IF(ISNUMBER(SEARCH("Must Do",AG250)),25,IF(ISNUMBER(SEARCH("Must Have",AG250)),18,IF(ISNUMBER(SEARCH("Deprior",AG250)),5,0)))*'Scenario Controls'!$B$23/25</x:f>
        <x:v>25</x:v>
      </x:c>
      <x:c r="M250" s="23" t="n">
        <x:f>J250*'Scenario Controls'!$B$24/15</x:f>
        <x:v>15</x:v>
      </x:c>
      <x:c r="N250" s="23" t="n">
        <x:f>IF(ISNUMBER(SEARCH("HEALTHY",X250)),10,IF(ISNUMBER(SEARCH("CONTAIN",X250)),6,0))*'Scenario Controls'!$B$25/10</x:f>
        <x:v>10</x:v>
      </x:c>
      <x:c r="O250" s="23" t="n">
        <x:f>SUM(K250:N250)</x:f>
        <x:v>50</x:v>
      </x:c>
      <x:c r="P250" s="15" t="str">
        <x:f>IF(OR(B250="",E250&lt;=0),"Evidence missing / not eligible",IF(ISNUMBER(SEARCH("priority TBD",Y250)),"Evidence missing / not eligible",IF(AND(H250="Carryover",NOT(ISNUMBER(F250))),"Evidence missing / not eligible",IF(AND(H250="Carryover",G250&lt;'Scenario Controls'!$B$16),"Evidence missing / not eligible",IF(AND(H250="ROI-Based Portfolio",NOT(ISNUMBER(F250))),"Evidence missing / not eligible",IF(AND(H250="ROI-Based Portfolio",O250&lt;'Scenario Controls'!$B$20),"Evidence missing / not eligible","Eligible"))))))</x:f>
        <x:v>Evidence missing / not eligible</x:v>
      </x:c>
      <x:c r="Q250" s="19" t="n">
        <x:f>IF(P250&lt;&gt;"Eligible",0,IF(AND(SUMIFS($Q$5:Q249,$H$5:H249,H250)+E250&lt;=(IF(H250="LFR",'Scenario Controls'!$F$10,IF(H250="Sustain Engineering",'Scenario Controls'!$F$11,IF(H250="Hygiene",'Scenario Controls'!$F$12,1E+99))))*(1+'Scenario Controls'!$B$7),SUM($Q$5:Q249)+E250&lt;='Scenario Controls'!$B$6*(1+'Scenario Controls'!$B$7)),E250,0))</x:f>
        <x:v>0</x:v>
      </x:c>
      <x:c r="R250" s="24" t="str">
        <x:f>'EW Conference'!G136</x:f>
        <x:v>Automatic</x:v>
      </x:c>
      <x:c r="S250" s="24" t="str">
        <x:f>'EW Conference'!H136</x:f>
      </x:c>
      <x:c r="T250" s="19" t="n">
        <x:f>IF(R250="Exclude",0,IF(R250="Include",E250,Q250))</x:f>
        <x:v>0</x:v>
      </x:c>
      <x:c r="U250" s="15" t="str">
        <x:f>IF(T250&gt;0,"Funded",IF(P250="Eligible","Unfunded",P250))</x:f>
        <x:v>Evidence missing / not eligible</x:v>
      </x:c>
      <x:c r="V250" s="15" t="str">
        <x:f>IF(R250="Include","Conference inclusion: "&amp;S250,IF(R250="Exclude","Conference exclusion: "&amp;S250,IF(Q250&gt;0,H250&amp;" priority rank "&amp;I250&amp;"; whole initiative selected",P250)))</x:f>
        <x:v>Evidence missing / not eligible</x:v>
      </x:c>
      <x:c r="W250" s="15" t="str">
        <x:v>EW!135</x:v>
      </x:c>
      <x:c r="X250" s="15" t="str">
        <x:v>HEALTHY</x:v>
      </x:c>
      <x:c r="Y250" s="15" t="str">
        <x:v>HEALTHY — Rank in priority matrix</x:v>
      </x:c>
      <x:c r="Z250" s="15" t="str">
        <x:v>AI Enablement</x:v>
      </x:c>
      <x:c r="AA250" s="15" t="str">
        <x:v>Carry Over</x:v>
      </x:c>
      <x:c r="AB250" s="15" t="str">
        <x:v>Infrastructure Services – Projects</x:v>
      </x:c>
      <x:c r="AC250" s="15" t="str">
        <x:v>As an oraganization, we will not be able to drive AI capabilities and adoption of AI in a cost effective, responsible and secure manner</x:v>
      </x:c>
      <x:c r="AD250" s="15" t="str">
        <x:v>There is an ask from the Philips leadership for the company to Adopt AI to bring tangible benefits and productivty improvement is all we do. This initiative is a step in that direction</x:v>
      </x:c>
      <x:c r="AE250" s="15" t="str">
        <x:v>Global</x:v>
      </x:c>
      <x:c r="AF250" s="15" t="str">
        <x:v>As an oraganization, we will not be able to drive AI capabilities and adoption of AI in a cost effective, responsible and secure manner | There is an ask from the Philips leadership for the company to Adopt AI to bring tangible benefits and productivty improvement is all we do. This initiative is a step in that direction | Global</x:v>
      </x:c>
      <x:c r="AG250" s="15" t="str">
        <x:v>Must Do</x:v>
      </x:c>
      <x:c r="AH250" s="15" t="n">
        <x:v>137</x:v>
      </x:c>
    </x:row>
    <x:row r="251">
      <x:c r="A251" s="15" t="str">
        <x:v>EW-09</x:v>
      </x:c>
      <x:c r="B251" s="15" t="str">
        <x:v>Kairos</x:v>
      </x:c>
      <x:c r="C251" s="15" t="str">
        <x:v>EW Led</x:v>
      </x:c>
      <x:c r="D251" s="15" t="str">
        <x:v>Patient Safety &amp; Quality</x:v>
      </x:c>
      <x:c r="E251" s="19" t="n">
        <x:v>0.25</x:v>
      </x:c>
      <x:c r="F251" s="19" t="n">
        <x:v>0</x:v>
      </x:c>
      <x:c r="G251" s="22" t="n">
        <x:f>IF(AND(E251&gt;0,ISNUMBER(F251)),F251/E251,"")</x:f>
        <x:v>0</x:v>
      </x:c>
      <x:c r="H251" s="15" t="str">
        <x:v>Carryover</x:v>
      </x:c>
      <x:c r="I251" s="15" t="n">
        <x:v>30</x:v>
      </x:c>
      <x:c r="J251" s="15" t="n">
        <x:v>10</x:v>
      </x:c>
      <x:c r="K251" s="23" t="n">
        <x:f>IF(G251="",0,IF(G251&lt;1,0,IF(G251&lt;2,20,IF(G251&lt;3,30,IF(G251&lt;5,40,50)))))*'Scenario Controls'!$B$22/50</x:f>
        <x:v>0</x:v>
      </x:c>
      <x:c r="L251" s="23" t="n">
        <x:f>IF(ISNUMBER(SEARCH("Must Do",AG251)),25,IF(ISNUMBER(SEARCH("Must Have",AG251)),18,IF(ISNUMBER(SEARCH("Deprior",AG251)),5,0)))*'Scenario Controls'!$B$23/25</x:f>
        <x:v>25</x:v>
      </x:c>
      <x:c r="M251" s="23" t="n">
        <x:f>J251*'Scenario Controls'!$B$24/15</x:f>
        <x:v>10</x:v>
      </x:c>
      <x:c r="N251" s="23" t="n">
        <x:f>IF(ISNUMBER(SEARCH("HEALTHY",X251)),10,IF(ISNUMBER(SEARCH("CONTAIN",X251)),6,0))*'Scenario Controls'!$B$25/10</x:f>
        <x:v>10</x:v>
      </x:c>
      <x:c r="O251" s="23" t="n">
        <x:f>SUM(K251:N251)</x:f>
        <x:v>45</x:v>
      </x:c>
      <x:c r="P251" s="15" t="str">
        <x:f>IF(OR(B251="",E251&lt;=0),"Evidence missing / not eligible",IF(ISNUMBER(SEARCH("priority TBD",Y251)),"Evidence missing / not eligible",IF(AND(H251="Carryover",NOT(ISNUMBER(F251))),"Evidence missing / not eligible",IF(AND(H251="Carryover",G251&lt;'Scenario Controls'!$B$16),"Evidence missing / not eligible",IF(AND(H251="ROI-Based Portfolio",NOT(ISNUMBER(F251))),"Evidence missing / not eligible",IF(AND(H251="ROI-Based Portfolio",O251&lt;'Scenario Controls'!$B$20),"Evidence missing / not eligible","Eligible"))))))</x:f>
        <x:v>Evidence missing / not eligible</x:v>
      </x:c>
      <x:c r="Q251" s="19" t="n">
        <x:f>IF(P251&lt;&gt;"Eligible",0,IF(AND(SUMIFS($Q$5:Q250,$H$5:H250,H251)+E251&lt;=(IF(H251="LFR",'Scenario Controls'!$F$10,IF(H251="Sustain Engineering",'Scenario Controls'!$F$11,IF(H251="Hygiene",'Scenario Controls'!$F$12,1E+99))))*(1+'Scenario Controls'!$B$7),SUM($Q$5:Q250)+E251&lt;='Scenario Controls'!$B$6*(1+'Scenario Controls'!$B$7)),E251,0))</x:f>
        <x:v>0</x:v>
      </x:c>
      <x:c r="R251" s="24" t="str">
        <x:f>'EW Conference'!G137</x:f>
        <x:v>Automatic</x:v>
      </x:c>
      <x:c r="S251" s="24" t="str">
        <x:f>'EW Conference'!H137</x:f>
      </x:c>
      <x:c r="T251" s="19" t="n">
        <x:f>IF(R251="Exclude",0,IF(R251="Include",E251,Q251))</x:f>
        <x:v>0</x:v>
      </x:c>
      <x:c r="U251" s="15" t="str">
        <x:f>IF(T251&gt;0,"Funded",IF(P251="Eligible","Unfunded",P251))</x:f>
        <x:v>Evidence missing / not eligible</x:v>
      </x:c>
      <x:c r="V251" s="15" t="str">
        <x:f>IF(R251="Include","Conference inclusion: "&amp;S251,IF(R251="Exclude","Conference exclusion: "&amp;S251,IF(Q251&gt;0,H251&amp;" priority rank "&amp;I251&amp;"; whole initiative selected",P251)))</x:f>
        <x:v>Evidence missing / not eligible</x:v>
      </x:c>
      <x:c r="W251" s="15" t="str">
        <x:v>EW!12</x:v>
      </x:c>
      <x:c r="X251" s="15" t="str">
        <x:v>HEALTHY</x:v>
      </x:c>
      <x:c r="Y251" s="15" t="str">
        <x:v>HEALTHY — Rank in priority matrix</x:v>
      </x:c>
      <x:c r="Z251" s="15" t="str">
        <x:v>AI Enablement</x:v>
      </x:c>
      <x:c r="AA251" s="15" t="str">
        <x:v>Carry Over</x:v>
      </x:c>
      <x:c r="AB251" s="15" t="str">
        <x:v>Group Functions &amp; Hyperautomation IT</x:v>
      </x:c>
      <x:c r="AC251" s="15" t="str">
        <x:v>TBD</x:v>
      </x:c>
      <x:c r="AD251" s="15" t="str">
        <x:v>Expand the capabilities of Kairos to enable PSQ and broader in self-enablement in AI use-cases around agentic quality activities (quality reviews, doc generation, etc)</x:v>
      </x:c>
      <x:c r="AE251" s="15" t="str">
        <x:v>Platform enhancements</x:v>
      </x:c>
      <x:c r="AF251" s="15" t="str">
        <x:v>TBD | Expand the capabilities of Kairos to enable PSQ and broader in self-enablement in AI use-cases around agentic quality activities (quality reviews, doc generation, etc) | Platform enhancements</x:v>
      </x:c>
      <x:c r="AG251" s="15" t="str">
        <x:v>Must Do</x:v>
      </x:c>
      <x:c r="AH251" s="15" t="n">
        <x:v>14</x:v>
      </x:c>
    </x:row>
    <x:row r="252">
      <x:c r="A252" s="15" t="str">
        <x:v>Bu-06</x:v>
      </x:c>
      <x:c r="B252" s="15" t="str">
        <x:v>Compliance - GTS</x:v>
      </x:c>
      <x:c r="C252" s="15" t="str">
        <x:v>BU Led</x:v>
      </x:c>
      <x:c r="D252" s="15" t="str">
        <x:v>Integrated Supply Chain (ISC)</x:v>
      </x:c>
      <x:c r="E252" s="19" t="n">
        <x:v>2.07</x:v>
      </x:c>
      <x:c r="F252" s="19" t="n">
        <x:v>0</x:v>
      </x:c>
      <x:c r="G252" s="22" t="n">
        <x:f>IF(AND(E252&gt;0,ISNUMBER(F252)),F252/E252,"")</x:f>
        <x:v>0</x:v>
      </x:c>
      <x:c r="H252" s="15" t="str">
        <x:v>Carryover</x:v>
      </x:c>
      <x:c r="I252" s="15" t="n">
        <x:v>31</x:v>
      </x:c>
      <x:c r="J252" s="15" t="n">
        <x:v>5</x:v>
      </x:c>
      <x:c r="K252" s="23" t="n">
        <x:f>IF(G252="",0,IF(G252&lt;1,0,IF(G252&lt;2,20,IF(G252&lt;3,30,IF(G252&lt;5,40,50)))))*'Scenario Controls'!$B$22/50</x:f>
        <x:v>0</x:v>
      </x:c>
      <x:c r="L252" s="23" t="n">
        <x:f>IF(ISNUMBER(SEARCH("Must Do",AG252)),25,IF(ISNUMBER(SEARCH("Must Have",AG252)),18,IF(ISNUMBER(SEARCH("Deprior",AG252)),5,0)))*'Scenario Controls'!$B$23/25</x:f>
        <x:v>25</x:v>
      </x:c>
      <x:c r="M252" s="23" t="n">
        <x:f>J252*'Scenario Controls'!$B$24/15</x:f>
        <x:v>5</x:v>
      </x:c>
      <x:c r="N252" s="23" t="n">
        <x:f>IF(ISNUMBER(SEARCH("HEALTHY",X252)),10,IF(ISNUMBER(SEARCH("CONTAIN",X252)),6,0))*'Scenario Controls'!$B$25/10</x:f>
        <x:v>10</x:v>
      </x:c>
      <x:c r="O252" s="23" t="n">
        <x:f>SUM(K252:N252)</x:f>
        <x:v>40</x:v>
      </x:c>
      <x:c r="P252" s="15" t="str">
        <x:f>IF(OR(B252="",E252&lt;=0),"Evidence missing / not eligible",IF(ISNUMBER(SEARCH("priority TBD",Y252)),"Evidence missing / not eligible",IF(AND(H252="Carryover",NOT(ISNUMBER(F252))),"Evidence missing / not eligible",IF(AND(H252="Carryover",G252&lt;'Scenario Controls'!$B$16),"Evidence missing / not eligible",IF(AND(H252="ROI-Based Portfolio",NOT(ISNUMBER(F252))),"Evidence missing / not eligible",IF(AND(H252="ROI-Based Portfolio",O252&lt;'Scenario Controls'!$B$20),"Evidence missing / not eligible","Eligible"))))))</x:f>
        <x:v>Evidence missing / not eligible</x:v>
      </x:c>
      <x:c r="Q252" s="19" t="n">
        <x:f>IF(P252&lt;&gt;"Eligible",0,IF(AND(SUMIFS($Q$5:Q251,$H$5:H251,H252)+E252&lt;=(IF(H252="LFR",'Scenario Controls'!$F$10,IF(H252="Sustain Engineering",'Scenario Controls'!$F$11,IF(H252="Hygiene",'Scenario Controls'!$F$12,1E+99))))*(1+'Scenario Controls'!$B$7),SUM($Q$5:Q251)+E252&lt;='Scenario Controls'!$B$6*(1+'Scenario Controls'!$B$7)),E252,0))</x:f>
        <x:v>0</x:v>
      </x:c>
      <x:c r="R252" s="24" t="str">
        <x:f>'BU Conference'!G120</x:f>
        <x:v>Automatic</x:v>
      </x:c>
      <x:c r="S252" s="24" t="str">
        <x:f>'BU Conference'!H120</x:f>
      </x:c>
      <x:c r="T252" s="19" t="n">
        <x:f>IF(R252="Exclude",0,IF(R252="Include",E252,Q252))</x:f>
        <x:v>0</x:v>
      </x:c>
      <x:c r="U252" s="15" t="str">
        <x:f>IF(T252&gt;0,"Funded",IF(P252="Eligible","Unfunded",P252))</x:f>
        <x:v>Evidence missing / not eligible</x:v>
      </x:c>
      <x:c r="V252" s="15" t="str">
        <x:f>IF(R252="Include","Conference inclusion: "&amp;S252,IF(R252="Exclude","Conference exclusion: "&amp;S252,IF(Q252&gt;0,H252&amp;" priority rank "&amp;I252&amp;"; whole initiative selected",P252)))</x:f>
        <x:v>Evidence missing / not eligible</x:v>
      </x:c>
      <x:c r="W252" s="15" t="str">
        <x:v>Bu!10</x:v>
      </x:c>
      <x:c r="X252" s="15" t="str">
        <x:v>HEALTHY</x:v>
      </x:c>
      <x:c r="Y252" s="15" t="str">
        <x:v>HEALTHY — Rank in priority matrix</x:v>
      </x:c>
      <x:c r="Z252" s="15" t="str">
        <x:v>Legal Fiscal, Regulatory &amp; Compliancy</x:v>
      </x:c>
      <x:c r="AA252" s="15" t="str">
        <x:v>Carry Over</x:v>
      </x:c>
      <x:c r="AB252" s="15" t="str">
        <x:v>Integrated Supply Chain &amp; Finance</x:v>
      </x:c>
      <x:c r="AC252" s="15" t="str">
        <x:v>Compliance must do activities on compliance. (e.g. Export controls &amp; sanction screening)</x:v>
      </x:c>
      <x:c r="AD252" s="15" t="str"/>
      <x:c r="AE252" s="15" t="str"/>
      <x:c r="AF252" s="15" t="str">
        <x:v>Compliance must do activities on compliance. (e.g. Export controls &amp; sanction screening)</x:v>
      </x:c>
      <x:c r="AG252" s="15" t="str">
        <x:v>Must Do</x:v>
      </x:c>
      <x:c r="AH252" s="15" t="n">
        <x:v>191</x:v>
      </x:c>
    </x:row>
    <x:row r="253">
      <x:c r="A253" s="15" t="str">
        <x:v>Bu-07</x:v>
      </x:c>
      <x:c r="B253" s="15" t="str">
        <x:v>Implement Tech Enabled Integrated Planning</x:v>
      </x:c>
      <x:c r="C253" s="15" t="str">
        <x:v>BU Led</x:v>
      </x:c>
      <x:c r="D253" s="15" t="str">
        <x:v>Integrated Supply Chain (ISC)</x:v>
      </x:c>
      <x:c r="E253" s="19" t="n">
        <x:v>5.74</x:v>
      </x:c>
      <x:c r="F253" s="19" t="n">
        <x:v>0</x:v>
      </x:c>
      <x:c r="G253" s="22" t="n">
        <x:f>IF(AND(E253&gt;0,ISNUMBER(F253)),F253/E253,"")</x:f>
        <x:v>0</x:v>
      </x:c>
      <x:c r="H253" s="15" t="str">
        <x:v>Carryover</x:v>
      </x:c>
      <x:c r="I253" s="15" t="n">
        <x:v>32</x:v>
      </x:c>
      <x:c r="J253" s="15" t="n">
        <x:v>5</x:v>
      </x:c>
      <x:c r="K253" s="23" t="n">
        <x:f>IF(G253="",0,IF(G253&lt;1,0,IF(G253&lt;2,20,IF(G253&lt;3,30,IF(G253&lt;5,40,50)))))*'Scenario Controls'!$B$22/50</x:f>
        <x:v>0</x:v>
      </x:c>
      <x:c r="L253" s="23" t="n">
        <x:f>IF(ISNUMBER(SEARCH("Must Do",AG253)),25,IF(ISNUMBER(SEARCH("Must Have",AG253)),18,IF(ISNUMBER(SEARCH("Deprior",AG253)),5,0)))*'Scenario Controls'!$B$23/25</x:f>
        <x:v>25</x:v>
      </x:c>
      <x:c r="M253" s="23" t="n">
        <x:f>J253*'Scenario Controls'!$B$24/15</x:f>
        <x:v>5</x:v>
      </x:c>
      <x:c r="N253" s="23" t="n">
        <x:f>IF(ISNUMBER(SEARCH("HEALTHY",X253)),10,IF(ISNUMBER(SEARCH("CONTAIN",X253)),6,0))*'Scenario Controls'!$B$25/10</x:f>
        <x:v>10</x:v>
      </x:c>
      <x:c r="O253" s="23" t="n">
        <x:f>SUM(K253:N253)</x:f>
        <x:v>40</x:v>
      </x:c>
      <x:c r="P253" s="15" t="str">
        <x:f>IF(OR(B253="",E253&lt;=0),"Evidence missing / not eligible",IF(ISNUMBER(SEARCH("priority TBD",Y253)),"Evidence missing / not eligible",IF(AND(H253="Carryover",NOT(ISNUMBER(F253))),"Evidence missing / not eligible",IF(AND(H253="Carryover",G253&lt;'Scenario Controls'!$B$16),"Evidence missing / not eligible",IF(AND(H253="ROI-Based Portfolio",NOT(ISNUMBER(F253))),"Evidence missing / not eligible",IF(AND(H253="ROI-Based Portfolio",O253&lt;'Scenario Controls'!$B$20),"Evidence missing / not eligible","Eligible"))))))</x:f>
        <x:v>Evidence missing / not eligible</x:v>
      </x:c>
      <x:c r="Q253" s="19" t="n">
        <x:f>IF(P253&lt;&gt;"Eligible",0,IF(AND(SUMIFS($Q$5:Q252,$H$5:H252,H253)+E253&lt;=(IF(H253="LFR",'Scenario Controls'!$F$10,IF(H253="Sustain Engineering",'Scenario Controls'!$F$11,IF(H253="Hygiene",'Scenario Controls'!$F$12,1E+99))))*(1+'Scenario Controls'!$B$7),SUM($Q$5:Q252)+E253&lt;='Scenario Controls'!$B$6*(1+'Scenario Controls'!$B$7)),E253,0))</x:f>
        <x:v>0</x:v>
      </x:c>
      <x:c r="R253" s="24" t="str">
        <x:f>'BU Conference'!G121</x:f>
        <x:v>Automatic</x:v>
      </x:c>
      <x:c r="S253" s="24" t="str">
        <x:f>'BU Conference'!H121</x:f>
      </x:c>
      <x:c r="T253" s="19" t="n">
        <x:f>IF(R253="Exclude",0,IF(R253="Include",E253,Q253))</x:f>
        <x:v>0</x:v>
      </x:c>
      <x:c r="U253" s="15" t="str">
        <x:f>IF(T253&gt;0,"Funded",IF(P253="Eligible","Unfunded",P253))</x:f>
        <x:v>Evidence missing / not eligible</x:v>
      </x:c>
      <x:c r="V253" s="15" t="str">
        <x:f>IF(R253="Include","Conference inclusion: "&amp;S253,IF(R253="Exclude","Conference exclusion: "&amp;S253,IF(Q253&gt;0,H253&amp;" priority rank "&amp;I253&amp;"; whole initiative selected",P253)))</x:f>
        <x:v>Evidence missing / not eligible</x:v>
      </x:c>
      <x:c r="W253" s="15" t="str">
        <x:v>Bu!11</x:v>
      </x:c>
      <x:c r="X253" s="15" t="str">
        <x:v>HEALTHY</x:v>
      </x:c>
      <x:c r="Y253" s="15" t="str">
        <x:v>HEALTHY — Rank in priority matrix</x:v>
      </x:c>
      <x:c r="Z253" s="15" t="str"/>
      <x:c r="AA253" s="15" t="str">
        <x:v>Carry Over</x:v>
      </x:c>
      <x:c r="AB253" s="15" t="str">
        <x:v>Integrated Supply Chain &amp; Finance</x:v>
      </x:c>
      <x:c r="AC253" s="15" t="str">
        <x:v>OTIF improvements imapcted</x:v>
      </x:c>
      <x:c r="AD253" s="15" t="str"/>
      <x:c r="AE253" s="15" t="str"/>
      <x:c r="AF253" s="15" t="str">
        <x:v>OTIF improvements imapcted</x:v>
      </x:c>
      <x:c r="AG253" s="15" t="str">
        <x:v>Must Do</x:v>
      </x:c>
      <x:c r="AH253" s="15" t="n">
        <x:v>192</x:v>
      </x:c>
    </x:row>
    <x:row r="254">
      <x:c r="A254" s="15" t="str">
        <x:v>Bu-09</x:v>
      </x:c>
      <x:c r="B254" s="15" t="str">
        <x:v>Circular Lifecycle Solutions and Spare parts delivery</x:v>
      </x:c>
      <x:c r="C254" s="15" t="str">
        <x:v>BU Led</x:v>
      </x:c>
      <x:c r="D254" s="15" t="str">
        <x:v>Integrated Supply Chain (ISC)</x:v>
      </x:c>
      <x:c r="E254" s="19" t="n">
        <x:v>1.18</x:v>
      </x:c>
      <x:c r="F254" s="19" t="n">
        <x:v>0</x:v>
      </x:c>
      <x:c r="G254" s="22" t="n">
        <x:f>IF(AND(E254&gt;0,ISNUMBER(F254)),F254/E254,"")</x:f>
        <x:v>0</x:v>
      </x:c>
      <x:c r="H254" s="15" t="str">
        <x:v>Carryover</x:v>
      </x:c>
      <x:c r="I254" s="15" t="n">
        <x:v>33</x:v>
      </x:c>
      <x:c r="J254" s="15" t="n">
        <x:v>5</x:v>
      </x:c>
      <x:c r="K254" s="23" t="n">
        <x:f>IF(G254="",0,IF(G254&lt;1,0,IF(G254&lt;2,20,IF(G254&lt;3,30,IF(G254&lt;5,40,50)))))*'Scenario Controls'!$B$22/50</x:f>
        <x:v>0</x:v>
      </x:c>
      <x:c r="L254" s="23" t="n">
        <x:f>IF(ISNUMBER(SEARCH("Must Do",AG254)),25,IF(ISNUMBER(SEARCH("Must Have",AG254)),18,IF(ISNUMBER(SEARCH("Deprior",AG254)),5,0)))*'Scenario Controls'!$B$23/25</x:f>
        <x:v>25</x:v>
      </x:c>
      <x:c r="M254" s="23" t="n">
        <x:f>J254*'Scenario Controls'!$B$24/15</x:f>
        <x:v>5</x:v>
      </x:c>
      <x:c r="N254" s="23" t="n">
        <x:f>IF(ISNUMBER(SEARCH("HEALTHY",X254)),10,IF(ISNUMBER(SEARCH("CONTAIN",X254)),6,0))*'Scenario Controls'!$B$25/10</x:f>
        <x:v>10</x:v>
      </x:c>
      <x:c r="O254" s="23" t="n">
        <x:f>SUM(K254:N254)</x:f>
        <x:v>40</x:v>
      </x:c>
      <x:c r="P254" s="15" t="str">
        <x:f>IF(OR(B254="",E254&lt;=0),"Evidence missing / not eligible",IF(ISNUMBER(SEARCH("priority TBD",Y254)),"Evidence missing / not eligible",IF(AND(H254="Carryover",NOT(ISNUMBER(F254))),"Evidence missing / not eligible",IF(AND(H254="Carryover",G254&lt;'Scenario Controls'!$B$16),"Evidence missing / not eligible",IF(AND(H254="ROI-Based Portfolio",NOT(ISNUMBER(F254))),"Evidence missing / not eligible",IF(AND(H254="ROI-Based Portfolio",O254&lt;'Scenario Controls'!$B$20),"Evidence missing / not eligible","Eligible"))))))</x:f>
        <x:v>Evidence missing / not eligible</x:v>
      </x:c>
      <x:c r="Q254" s="19" t="n">
        <x:f>IF(P254&lt;&gt;"Eligible",0,IF(AND(SUMIFS($Q$5:Q253,$H$5:H253,H254)+E254&lt;=(IF(H254="LFR",'Scenario Controls'!$F$10,IF(H254="Sustain Engineering",'Scenario Controls'!$F$11,IF(H254="Hygiene",'Scenario Controls'!$F$12,1E+99))))*(1+'Scenario Controls'!$B$7),SUM($Q$5:Q253)+E254&lt;='Scenario Controls'!$B$6*(1+'Scenario Controls'!$B$7)),E254,0))</x:f>
        <x:v>0</x:v>
      </x:c>
      <x:c r="R254" s="24" t="str">
        <x:f>'BU Conference'!G122</x:f>
        <x:v>Automatic</x:v>
      </x:c>
      <x:c r="S254" s="24" t="str">
        <x:f>'BU Conference'!H122</x:f>
      </x:c>
      <x:c r="T254" s="19" t="n">
        <x:f>IF(R254="Exclude",0,IF(R254="Include",E254,Q254))</x:f>
        <x:v>0</x:v>
      </x:c>
      <x:c r="U254" s="15" t="str">
        <x:f>IF(T254&gt;0,"Funded",IF(P254="Eligible","Unfunded",P254))</x:f>
        <x:v>Evidence missing / not eligible</x:v>
      </x:c>
      <x:c r="V254" s="15" t="str">
        <x:f>IF(R254="Include","Conference inclusion: "&amp;S254,IF(R254="Exclude","Conference exclusion: "&amp;S254,IF(Q254&gt;0,H254&amp;" priority rank "&amp;I254&amp;"; whole initiative selected",P254)))</x:f>
        <x:v>Evidence missing / not eligible</x:v>
      </x:c>
      <x:c r="W254" s="15" t="str">
        <x:v>Bu!14</x:v>
      </x:c>
      <x:c r="X254" s="15" t="str">
        <x:v>HEALTHY</x:v>
      </x:c>
      <x:c r="Y254" s="15" t="str">
        <x:v>HEALTHY — Rank in priority matrix</x:v>
      </x:c>
      <x:c r="Z254" s="15" t="str">
        <x:v>New Feature</x:v>
      </x:c>
      <x:c r="AA254" s="15" t="str">
        <x:v>Carry Over</x:v>
      </x:c>
      <x:c r="AB254" s="15" t="str">
        <x:v>Integrated Supply Chain &amp; Finance</x:v>
      </x:c>
      <x:c r="AC254" s="15" t="str">
        <x:v>Compliance: Uphold Legal, Fiscal and Regulatory requirements.</x:v>
      </x:c>
      <x:c r="AD254" s="15" t="str"/>
      <x:c r="AE254" s="15" t="str"/>
      <x:c r="AF254" s="15" t="str">
        <x:v>Compliance: Uphold Legal, Fiscal and Regulatory requirements.</x:v>
      </x:c>
      <x:c r="AG254" s="15" t="str">
        <x:v>Must Do</x:v>
      </x:c>
      <x:c r="AH254" s="15" t="n">
        <x:v>194</x:v>
      </x:c>
    </x:row>
    <x:row r="255">
      <x:c r="A255" s="15" t="str">
        <x:v>Bu-10</x:v>
      </x:c>
      <x:c r="B255" s="15" t="str">
        <x:v>Master Data and Data Quality</x:v>
      </x:c>
      <x:c r="C255" s="15" t="str">
        <x:v>BU Led</x:v>
      </x:c>
      <x:c r="D255" s="15" t="str">
        <x:v>Integrated Supply Chain (ISC)</x:v>
      </x:c>
      <x:c r="E255" s="19" t="n">
        <x:v>1.07</x:v>
      </x:c>
      <x:c r="F255" s="19" t="n">
        <x:v>0</x:v>
      </x:c>
      <x:c r="G255" s="22" t="n">
        <x:f>IF(AND(E255&gt;0,ISNUMBER(F255)),F255/E255,"")</x:f>
        <x:v>0</x:v>
      </x:c>
      <x:c r="H255" s="15" t="str">
        <x:v>Carryover</x:v>
      </x:c>
      <x:c r="I255" s="15" t="n">
        <x:v>34</x:v>
      </x:c>
      <x:c r="J255" s="15" t="n">
        <x:v>5</x:v>
      </x:c>
      <x:c r="K255" s="23" t="n">
        <x:f>IF(G255="",0,IF(G255&lt;1,0,IF(G255&lt;2,20,IF(G255&lt;3,30,IF(G255&lt;5,40,50)))))*'Scenario Controls'!$B$22/50</x:f>
        <x:v>0</x:v>
      </x:c>
      <x:c r="L255" s="23" t="n">
        <x:f>IF(ISNUMBER(SEARCH("Must Do",AG255)),25,IF(ISNUMBER(SEARCH("Must Have",AG255)),18,IF(ISNUMBER(SEARCH("Deprior",AG255)),5,0)))*'Scenario Controls'!$B$23/25</x:f>
        <x:v>25</x:v>
      </x:c>
      <x:c r="M255" s="23" t="n">
        <x:f>J255*'Scenario Controls'!$B$24/15</x:f>
        <x:v>5</x:v>
      </x:c>
      <x:c r="N255" s="23" t="n">
        <x:f>IF(ISNUMBER(SEARCH("HEALTHY",X255)),10,IF(ISNUMBER(SEARCH("CONTAIN",X255)),6,0))*'Scenario Controls'!$B$25/10</x:f>
        <x:v>10</x:v>
      </x:c>
      <x:c r="O255" s="23" t="n">
        <x:f>SUM(K255:N255)</x:f>
        <x:v>40</x:v>
      </x:c>
      <x:c r="P255" s="15" t="str">
        <x:f>IF(OR(B255="",E255&lt;=0),"Evidence missing / not eligible",IF(ISNUMBER(SEARCH("priority TBD",Y255)),"Evidence missing / not eligible",IF(AND(H255="Carryover",NOT(ISNUMBER(F255))),"Evidence missing / not eligible",IF(AND(H255="Carryover",G255&lt;'Scenario Controls'!$B$16),"Evidence missing / not eligible",IF(AND(H255="ROI-Based Portfolio",NOT(ISNUMBER(F255))),"Evidence missing / not eligible",IF(AND(H255="ROI-Based Portfolio",O255&lt;'Scenario Controls'!$B$20),"Evidence missing / not eligible","Eligible"))))))</x:f>
        <x:v>Evidence missing / not eligible</x:v>
      </x:c>
      <x:c r="Q255" s="19" t="n">
        <x:f>IF(P255&lt;&gt;"Eligible",0,IF(AND(SUMIFS($Q$5:Q254,$H$5:H254,H255)+E255&lt;=(IF(H255="LFR",'Scenario Controls'!$F$10,IF(H255="Sustain Engineering",'Scenario Controls'!$F$11,IF(H255="Hygiene",'Scenario Controls'!$F$12,1E+99))))*(1+'Scenario Controls'!$B$7),SUM($Q$5:Q254)+E255&lt;='Scenario Controls'!$B$6*(1+'Scenario Controls'!$B$7)),E255,0))</x:f>
        <x:v>0</x:v>
      </x:c>
      <x:c r="R255" s="24" t="str">
        <x:f>'BU Conference'!G123</x:f>
        <x:v>Automatic</x:v>
      </x:c>
      <x:c r="S255" s="24" t="str">
        <x:f>'BU Conference'!H123</x:f>
      </x:c>
      <x:c r="T255" s="19" t="n">
        <x:f>IF(R255="Exclude",0,IF(R255="Include",E255,Q255))</x:f>
        <x:v>0</x:v>
      </x:c>
      <x:c r="U255" s="15" t="str">
        <x:f>IF(T255&gt;0,"Funded",IF(P255="Eligible","Unfunded",P255))</x:f>
        <x:v>Evidence missing / not eligible</x:v>
      </x:c>
      <x:c r="V255" s="15" t="str">
        <x:f>IF(R255="Include","Conference inclusion: "&amp;S255,IF(R255="Exclude","Conference exclusion: "&amp;S255,IF(Q255&gt;0,H255&amp;" priority rank "&amp;I255&amp;"; whole initiative selected",P255)))</x:f>
        <x:v>Evidence missing / not eligible</x:v>
      </x:c>
      <x:c r="W255" s="15" t="str">
        <x:v>Bu!15</x:v>
      </x:c>
      <x:c r="X255" s="15" t="str">
        <x:v>HEALTHY</x:v>
      </x:c>
      <x:c r="Y255" s="15" t="str">
        <x:v>HEALTHY — Rank in priority matrix</x:v>
      </x:c>
      <x:c r="Z255" s="15" t="str">
        <x:v>New Feature</x:v>
      </x:c>
      <x:c r="AA255" s="15" t="str">
        <x:v>Carry Over</x:v>
      </x:c>
      <x:c r="AB255" s="15" t="str">
        <x:v>Integrated Supply Chain &amp; Finance</x:v>
      </x:c>
      <x:c r="AC255" s="15" t="str">
        <x:v>data quality gaps not addressed - increasing ‘Value At Risk’, the value of orders with operational risk</x:v>
      </x:c>
      <x:c r="AD255" s="15" t="str"/>
      <x:c r="AE255" s="15" t="str"/>
      <x:c r="AF255" s="15" t="str">
        <x:v>data quality gaps not addressed - increasing ‘Value At Risk’, the value of orders with operational risk</x:v>
      </x:c>
      <x:c r="AG255" s="15" t="str">
        <x:v>Must Do</x:v>
      </x:c>
      <x:c r="AH255" s="15" t="n">
        <x:v>195</x:v>
      </x:c>
    </x:row>
    <x:row r="256">
      <x:c r="A256" s="15" t="str">
        <x:v>Bu-11</x:v>
      </x:c>
      <x:c r="B256" s="15" t="str">
        <x:v>Direct Procurement Transformation</x:v>
      </x:c>
      <x:c r="C256" s="15" t="str">
        <x:v>BU Led</x:v>
      </x:c>
      <x:c r="D256" s="15" t="str">
        <x:v>Integrated Supply Chain (ISC)</x:v>
      </x:c>
      <x:c r="E256" s="19" t="n">
        <x:v>7.03</x:v>
      </x:c>
      <x:c r="F256" s="19" t="n">
        <x:v>0</x:v>
      </x:c>
      <x:c r="G256" s="22" t="n">
        <x:f>IF(AND(E256&gt;0,ISNUMBER(F256)),F256/E256,"")</x:f>
        <x:v>0</x:v>
      </x:c>
      <x:c r="H256" s="15" t="str">
        <x:v>Carryover</x:v>
      </x:c>
      <x:c r="I256" s="15" t="n">
        <x:v>35</x:v>
      </x:c>
      <x:c r="J256" s="15" t="n">
        <x:v>5</x:v>
      </x:c>
      <x:c r="K256" s="23" t="n">
        <x:f>IF(G256="",0,IF(G256&lt;1,0,IF(G256&lt;2,20,IF(G256&lt;3,30,IF(G256&lt;5,40,50)))))*'Scenario Controls'!$B$22/50</x:f>
        <x:v>0</x:v>
      </x:c>
      <x:c r="L256" s="23" t="n">
        <x:f>IF(ISNUMBER(SEARCH("Must Do",AG256)),25,IF(ISNUMBER(SEARCH("Must Have",AG256)),18,IF(ISNUMBER(SEARCH("Deprior",AG256)),5,0)))*'Scenario Controls'!$B$23/25</x:f>
        <x:v>25</x:v>
      </x:c>
      <x:c r="M256" s="23" t="n">
        <x:f>J256*'Scenario Controls'!$B$24/15</x:f>
        <x:v>5</x:v>
      </x:c>
      <x:c r="N256" s="23" t="n">
        <x:f>IF(ISNUMBER(SEARCH("HEALTHY",X256)),10,IF(ISNUMBER(SEARCH("CONTAIN",X256)),6,0))*'Scenario Controls'!$B$25/10</x:f>
        <x:v>10</x:v>
      </x:c>
      <x:c r="O256" s="23" t="n">
        <x:f>SUM(K256:N256)</x:f>
        <x:v>40</x:v>
      </x:c>
      <x:c r="P256" s="15" t="str">
        <x:f>IF(OR(B256="",E256&lt;=0),"Evidence missing / not eligible",IF(ISNUMBER(SEARCH("priority TBD",Y256)),"Evidence missing / not eligible",IF(AND(H256="Carryover",NOT(ISNUMBER(F256))),"Evidence missing / not eligible",IF(AND(H256="Carryover",G256&lt;'Scenario Controls'!$B$16),"Evidence missing / not eligible",IF(AND(H256="ROI-Based Portfolio",NOT(ISNUMBER(F256))),"Evidence missing / not eligible",IF(AND(H256="ROI-Based Portfolio",O256&lt;'Scenario Controls'!$B$20),"Evidence missing / not eligible","Eligible"))))))</x:f>
        <x:v>Evidence missing / not eligible</x:v>
      </x:c>
      <x:c r="Q256" s="19" t="n">
        <x:f>IF(P256&lt;&gt;"Eligible",0,IF(AND(SUMIFS($Q$5:Q255,$H$5:H255,H256)+E256&lt;=(IF(H256="LFR",'Scenario Controls'!$F$10,IF(H256="Sustain Engineering",'Scenario Controls'!$F$11,IF(H256="Hygiene",'Scenario Controls'!$F$12,1E+99))))*(1+'Scenario Controls'!$B$7),SUM($Q$5:Q255)+E256&lt;='Scenario Controls'!$B$6*(1+'Scenario Controls'!$B$7)),E256,0))</x:f>
        <x:v>0</x:v>
      </x:c>
      <x:c r="R256" s="24" t="str">
        <x:f>'BU Conference'!G124</x:f>
        <x:v>Automatic</x:v>
      </x:c>
      <x:c r="S256" s="24" t="str">
        <x:f>'BU Conference'!H124</x:f>
      </x:c>
      <x:c r="T256" s="19" t="n">
        <x:f>IF(R256="Exclude",0,IF(R256="Include",E256,Q256))</x:f>
        <x:v>0</x:v>
      </x:c>
      <x:c r="U256" s="15" t="str">
        <x:f>IF(T256&gt;0,"Funded",IF(P256="Eligible","Unfunded",P256))</x:f>
        <x:v>Evidence missing / not eligible</x:v>
      </x:c>
      <x:c r="V256" s="15" t="str">
        <x:f>IF(R256="Include","Conference inclusion: "&amp;S256,IF(R256="Exclude","Conference exclusion: "&amp;S256,IF(Q256&gt;0,H256&amp;" priority rank "&amp;I256&amp;"; whole initiative selected",P256)))</x:f>
        <x:v>Evidence missing / not eligible</x:v>
      </x:c>
      <x:c r="W256" s="15" t="str">
        <x:v>Bu!18</x:v>
      </x:c>
      <x:c r="X256" s="15" t="str">
        <x:v>HEALTHY</x:v>
      </x:c>
      <x:c r="Y256" s="15" t="str">
        <x:v>HEALTHY — Rank in priority matrix</x:v>
      </x:c>
      <x:c r="Z256" s="15" t="str">
        <x:v>New Feature</x:v>
      </x:c>
      <x:c r="AA256" s="15" t="str">
        <x:v>Carry Over</x:v>
      </x:c>
      <x:c r="AB256" s="15" t="str">
        <x:v>Integrated Supply Chain &amp; Finance</x:v>
      </x:c>
      <x:c r="AC256" s="15" t="str">
        <x:v>Affecting cost savings possible due to lean, standardized, simplified Software BOM ordering process (BUs, Markets)</x:v>
      </x:c>
      <x:c r="AD256" s="15" t="str"/>
      <x:c r="AE256" s="15" t="str"/>
      <x:c r="AF256" s="15" t="str">
        <x:v>Affecting cost savings possible due to lean, standardized, simplified Software BOM ordering process (BUs, Markets)</x:v>
      </x:c>
      <x:c r="AG256" s="15" t="str">
        <x:v>Must Do</x:v>
      </x:c>
      <x:c r="AH256" s="15" t="n">
        <x:v>196</x:v>
      </x:c>
    </x:row>
    <x:row r="257">
      <x:c r="A257" s="15" t="str">
        <x:v>Bu-12</x:v>
      </x:c>
      <x:c r="B257" s="15" t="str">
        <x:v>Implement Integrated Planning Basics</x:v>
      </x:c>
      <x:c r="C257" s="15" t="str">
        <x:v>BU Led</x:v>
      </x:c>
      <x:c r="D257" s="15" t="str">
        <x:v>Integrated Supply Chain (ISC)</x:v>
      </x:c>
      <x:c r="E257" s="19" t="n">
        <x:v>0.5</x:v>
      </x:c>
      <x:c r="F257" s="19" t="n">
        <x:v>0</x:v>
      </x:c>
      <x:c r="G257" s="22" t="n">
        <x:f>IF(AND(E257&gt;0,ISNUMBER(F257)),F257/E257,"")</x:f>
        <x:v>0</x:v>
      </x:c>
      <x:c r="H257" s="15" t="str">
        <x:v>Carryover</x:v>
      </x:c>
      <x:c r="I257" s="15" t="n">
        <x:v>36</x:v>
      </x:c>
      <x:c r="J257" s="15" t="n">
        <x:v>5</x:v>
      </x:c>
      <x:c r="K257" s="23" t="n">
        <x:f>IF(G257="",0,IF(G257&lt;1,0,IF(G257&lt;2,20,IF(G257&lt;3,30,IF(G257&lt;5,40,50)))))*'Scenario Controls'!$B$22/50</x:f>
        <x:v>0</x:v>
      </x:c>
      <x:c r="L257" s="23" t="n">
        <x:f>IF(ISNUMBER(SEARCH("Must Do",AG257)),25,IF(ISNUMBER(SEARCH("Must Have",AG257)),18,IF(ISNUMBER(SEARCH("Deprior",AG257)),5,0)))*'Scenario Controls'!$B$23/25</x:f>
        <x:v>25</x:v>
      </x:c>
      <x:c r="M257" s="23" t="n">
        <x:f>J257*'Scenario Controls'!$B$24/15</x:f>
        <x:v>5</x:v>
      </x:c>
      <x:c r="N257" s="23" t="n">
        <x:f>IF(ISNUMBER(SEARCH("HEALTHY",X257)),10,IF(ISNUMBER(SEARCH("CONTAIN",X257)),6,0))*'Scenario Controls'!$B$25/10</x:f>
        <x:v>10</x:v>
      </x:c>
      <x:c r="O257" s="23" t="n">
        <x:f>SUM(K257:N257)</x:f>
        <x:v>40</x:v>
      </x:c>
      <x:c r="P257" s="15" t="str">
        <x:f>IF(OR(B257="",E257&lt;=0),"Evidence missing / not eligible",IF(ISNUMBER(SEARCH("priority TBD",Y257)),"Evidence missing / not eligible",IF(AND(H257="Carryover",NOT(ISNUMBER(F257))),"Evidence missing / not eligible",IF(AND(H257="Carryover",G257&lt;'Scenario Controls'!$B$16),"Evidence missing / not eligible",IF(AND(H257="ROI-Based Portfolio",NOT(ISNUMBER(F257))),"Evidence missing / not eligible",IF(AND(H257="ROI-Based Portfolio",O257&lt;'Scenario Controls'!$B$20),"Evidence missing / not eligible","Eligible"))))))</x:f>
        <x:v>Evidence missing / not eligible</x:v>
      </x:c>
      <x:c r="Q257" s="19" t="n">
        <x:f>IF(P257&lt;&gt;"Eligible",0,IF(AND(SUMIFS($Q$5:Q256,$H$5:H256,H257)+E257&lt;=(IF(H257="LFR",'Scenario Controls'!$F$10,IF(H257="Sustain Engineering",'Scenario Controls'!$F$11,IF(H257="Hygiene",'Scenario Controls'!$F$12,1E+99))))*(1+'Scenario Controls'!$B$7),SUM($Q$5:Q256)+E257&lt;='Scenario Controls'!$B$6*(1+'Scenario Controls'!$B$7)),E257,0))</x:f>
        <x:v>0</x:v>
      </x:c>
      <x:c r="R257" s="24" t="str">
        <x:f>'BU Conference'!G125</x:f>
        <x:v>Automatic</x:v>
      </x:c>
      <x:c r="S257" s="24" t="str">
        <x:f>'BU Conference'!H125</x:f>
      </x:c>
      <x:c r="T257" s="19" t="n">
        <x:f>IF(R257="Exclude",0,IF(R257="Include",E257,Q257))</x:f>
        <x:v>0</x:v>
      </x:c>
      <x:c r="U257" s="15" t="str">
        <x:f>IF(T257&gt;0,"Funded",IF(P257="Eligible","Unfunded",P257))</x:f>
        <x:v>Evidence missing / not eligible</x:v>
      </x:c>
      <x:c r="V257" s="15" t="str">
        <x:f>IF(R257="Include","Conference inclusion: "&amp;S257,IF(R257="Exclude","Conference exclusion: "&amp;S257,IF(Q257&gt;0,H257&amp;" priority rank "&amp;I257&amp;"; whole initiative selected",P257)))</x:f>
        <x:v>Evidence missing / not eligible</x:v>
      </x:c>
      <x:c r="W257" s="15" t="str">
        <x:v>Bu!20</x:v>
      </x:c>
      <x:c r="X257" s="15" t="str">
        <x:v>HEALTHY</x:v>
      </x:c>
      <x:c r="Y257" s="15" t="str">
        <x:v>HEALTHY — Rank in priority matrix</x:v>
      </x:c>
      <x:c r="Z257" s="15" t="str">
        <x:v>New Feature</x:v>
      </x:c>
      <x:c r="AA257" s="15" t="str">
        <x:v>Carry Over</x:v>
      </x:c>
      <x:c r="AB257" s="15" t="str">
        <x:v>Integrated Supply Chain &amp; Finance</x:v>
      </x:c>
      <x:c r="AC257" s="15" t="str">
        <x:v>No Bill of material cost productivity enablement - annual recurring BOM cost reduction</x:v>
      </x:c>
      <x:c r="AD257" s="15" t="str"/>
      <x:c r="AE257" s="15" t="str"/>
      <x:c r="AF257" s="15" t="str">
        <x:v>No Bill of material cost productivity enablement - annual recurring BOM cost reduction</x:v>
      </x:c>
      <x:c r="AG257" s="15" t="str">
        <x:v>Must Do</x:v>
      </x:c>
      <x:c r="AH257" s="15" t="n">
        <x:v>197</x:v>
      </x:c>
    </x:row>
    <x:row r="258">
      <x:c r="A258" s="15" t="str">
        <x:v>Bu-13</x:v>
      </x:c>
      <x:c r="B258" s="15" t="str">
        <x:v>HPM - P3S - MaaS Capability Program: Scaling</x:v>
      </x:c>
      <x:c r="C258" s="15" t="str">
        <x:v>BU Led</x:v>
      </x:c>
      <x:c r="D258" s="15" t="str">
        <x:v>Monitoring - HPM (MCH)</x:v>
      </x:c>
      <x:c r="E258" s="19" t="n">
        <x:v>5</x:v>
      </x:c>
      <x:c r="F258" s="19" t="n">
        <x:v>0</x:v>
      </x:c>
      <x:c r="G258" s="22" t="n">
        <x:f>IF(AND(E258&gt;0,ISNUMBER(F258)),F258/E258,"")</x:f>
        <x:v>0</x:v>
      </x:c>
      <x:c r="H258" s="15" t="str">
        <x:v>Carryover</x:v>
      </x:c>
      <x:c r="I258" s="15" t="n">
        <x:v>37</x:v>
      </x:c>
      <x:c r="J258" s="15" t="n">
        <x:v>5</x:v>
      </x:c>
      <x:c r="K258" s="23" t="n">
        <x:f>IF(G258="",0,IF(G258&lt;1,0,IF(G258&lt;2,20,IF(G258&lt;3,30,IF(G258&lt;5,40,50)))))*'Scenario Controls'!$B$22/50</x:f>
        <x:v>0</x:v>
      </x:c>
      <x:c r="L258" s="23" t="n">
        <x:f>IF(ISNUMBER(SEARCH("Must Do",AG258)),25,IF(ISNUMBER(SEARCH("Must Have",AG258)),18,IF(ISNUMBER(SEARCH("Deprior",AG258)),5,0)))*'Scenario Controls'!$B$23/25</x:f>
        <x:v>25</x:v>
      </x:c>
      <x:c r="M258" s="23" t="n">
        <x:f>J258*'Scenario Controls'!$B$24/15</x:f>
        <x:v>5</x:v>
      </x:c>
      <x:c r="N258" s="23" t="n">
        <x:f>IF(ISNUMBER(SEARCH("HEALTHY",X258)),10,IF(ISNUMBER(SEARCH("CONTAIN",X258)),6,0))*'Scenario Controls'!$B$25/10</x:f>
        <x:v>10</x:v>
      </x:c>
      <x:c r="O258" s="23" t="n">
        <x:f>SUM(K258:N258)</x:f>
        <x:v>40</x:v>
      </x:c>
      <x:c r="P258" s="15" t="str">
        <x:f>IF(OR(B258="",E258&lt;=0),"Evidence missing / not eligible",IF(ISNUMBER(SEARCH("priority TBD",Y258)),"Evidence missing / not eligible",IF(AND(H258="Carryover",NOT(ISNUMBER(F258))),"Evidence missing / not eligible",IF(AND(H258="Carryover",G258&lt;'Scenario Controls'!$B$16),"Evidence missing / not eligible",IF(AND(H258="ROI-Based Portfolio",NOT(ISNUMBER(F258))),"Evidence missing / not eligible",IF(AND(H258="ROI-Based Portfolio",O258&lt;'Scenario Controls'!$B$20),"Evidence missing / not eligible","Eligible"))))))</x:f>
        <x:v>Evidence missing / not eligible</x:v>
      </x:c>
      <x:c r="Q258" s="19" t="n">
        <x:f>IF(P258&lt;&gt;"Eligible",0,IF(AND(SUMIFS($Q$5:Q257,$H$5:H257,H258)+E258&lt;=(IF(H258="LFR",'Scenario Controls'!$F$10,IF(H258="Sustain Engineering",'Scenario Controls'!$F$11,IF(H258="Hygiene",'Scenario Controls'!$F$12,1E+99))))*(1+'Scenario Controls'!$B$7),SUM($Q$5:Q257)+E258&lt;='Scenario Controls'!$B$6*(1+'Scenario Controls'!$B$7)),E258,0))</x:f>
        <x:v>0</x:v>
      </x:c>
      <x:c r="R258" s="24" t="str">
        <x:f>'BU Conference'!G126</x:f>
        <x:v>Automatic</x:v>
      </x:c>
      <x:c r="S258" s="24" t="str">
        <x:f>'BU Conference'!H126</x:f>
      </x:c>
      <x:c r="T258" s="19" t="n">
        <x:f>IF(R258="Exclude",0,IF(R258="Include",E258,Q258))</x:f>
        <x:v>0</x:v>
      </x:c>
      <x:c r="U258" s="15" t="str">
        <x:f>IF(T258&gt;0,"Funded",IF(P258="Eligible","Unfunded",P258))</x:f>
        <x:v>Evidence missing / not eligible</x:v>
      </x:c>
      <x:c r="V258" s="15" t="str">
        <x:f>IF(R258="Include","Conference inclusion: "&amp;S258,IF(R258="Exclude","Conference exclusion: "&amp;S258,IF(Q258&gt;0,H258&amp;" priority rank "&amp;I258&amp;"; whole initiative selected",P258)))</x:f>
        <x:v>Evidence missing / not eligible</x:v>
      </x:c>
      <x:c r="W258" s="15" t="str">
        <x:v>Bu!22</x:v>
      </x:c>
      <x:c r="X258" s="15" t="str">
        <x:v>HEALTHY</x:v>
      </x:c>
      <x:c r="Y258" s="15" t="str">
        <x:v>HEALTHY — Rank in priority matrix</x:v>
      </x:c>
      <x:c r="Z258" s="15" t="str">
        <x:v>New Feature</x:v>
      </x:c>
      <x:c r="AA258" s="15" t="str">
        <x:v>Carry Over</x:v>
      </x:c>
      <x:c r="AB258" s="15" t="str">
        <x:v>Commercial IT</x:v>
      </x:c>
      <x:c r="AC258" s="15" t="str">
        <x:v>Carry Over stops</x:v>
      </x:c>
      <x:c r="AD258" s="15" t="str"/>
      <x:c r="AE258" s="15" t="str"/>
      <x:c r="AF258" s="15" t="str">
        <x:v>Carry Over stops</x:v>
      </x:c>
      <x:c r="AG258" s="15" t="str">
        <x:v>Must Do</x:v>
      </x:c>
      <x:c r="AH258" s="15" t="n">
        <x:v>198</x:v>
      </x:c>
    </x:row>
    <x:row r="259">
      <x:c r="A259" s="15" t="str">
        <x:v>Bu-14</x:v>
      </x:c>
      <x:c r="B259" s="15" t="str">
        <x:v>HPM - Tariff Mitigation - long term (LTS-4 Late Customization)</x:v>
      </x:c>
      <x:c r="C259" s="15" t="str">
        <x:v>BU Led</x:v>
      </x:c>
      <x:c r="D259" s="15" t="str">
        <x:v>Monitoring - HPM (MCH)</x:v>
      </x:c>
      <x:c r="E259" s="19" t="n">
        <x:v>0.35</x:v>
      </x:c>
      <x:c r="F259" s="19" t="n">
        <x:v>0</x:v>
      </x:c>
      <x:c r="G259" s="22" t="n">
        <x:f>IF(AND(E259&gt;0,ISNUMBER(F259)),F259/E259,"")</x:f>
        <x:v>0</x:v>
      </x:c>
      <x:c r="H259" s="15" t="str">
        <x:v>Carryover</x:v>
      </x:c>
      <x:c r="I259" s="15" t="n">
        <x:v>38</x:v>
      </x:c>
      <x:c r="J259" s="15" t="n">
        <x:v>5</x:v>
      </x:c>
      <x:c r="K259" s="23" t="n">
        <x:f>IF(G259="",0,IF(G259&lt;1,0,IF(G259&lt;2,20,IF(G259&lt;3,30,IF(G259&lt;5,40,50)))))*'Scenario Controls'!$B$22/50</x:f>
        <x:v>0</x:v>
      </x:c>
      <x:c r="L259" s="23" t="n">
        <x:f>IF(ISNUMBER(SEARCH("Must Do",AG259)),25,IF(ISNUMBER(SEARCH("Must Have",AG259)),18,IF(ISNUMBER(SEARCH("Deprior",AG259)),5,0)))*'Scenario Controls'!$B$23/25</x:f>
        <x:v>25</x:v>
      </x:c>
      <x:c r="M259" s="23" t="n">
        <x:f>J259*'Scenario Controls'!$B$24/15</x:f>
        <x:v>5</x:v>
      </x:c>
      <x:c r="N259" s="23" t="n">
        <x:f>IF(ISNUMBER(SEARCH("HEALTHY",X259)),10,IF(ISNUMBER(SEARCH("CONTAIN",X259)),6,0))*'Scenario Controls'!$B$25/10</x:f>
        <x:v>10</x:v>
      </x:c>
      <x:c r="O259" s="23" t="n">
        <x:f>SUM(K259:N259)</x:f>
        <x:v>40</x:v>
      </x:c>
      <x:c r="P259" s="15" t="str">
        <x:f>IF(OR(B259="",E259&lt;=0),"Evidence missing / not eligible",IF(ISNUMBER(SEARCH("priority TBD",Y259)),"Evidence missing / not eligible",IF(AND(H259="Carryover",NOT(ISNUMBER(F259))),"Evidence missing / not eligible",IF(AND(H259="Carryover",G259&lt;'Scenario Controls'!$B$16),"Evidence missing / not eligible",IF(AND(H259="ROI-Based Portfolio",NOT(ISNUMBER(F259))),"Evidence missing / not eligible",IF(AND(H259="ROI-Based Portfolio",O259&lt;'Scenario Controls'!$B$20),"Evidence missing / not eligible","Eligible"))))))</x:f>
        <x:v>Evidence missing / not eligible</x:v>
      </x:c>
      <x:c r="Q259" s="19" t="n">
        <x:f>IF(P259&lt;&gt;"Eligible",0,IF(AND(SUMIFS($Q$5:Q258,$H$5:H258,H259)+E259&lt;=(IF(H259="LFR",'Scenario Controls'!$F$10,IF(H259="Sustain Engineering",'Scenario Controls'!$F$11,IF(H259="Hygiene",'Scenario Controls'!$F$12,1E+99))))*(1+'Scenario Controls'!$B$7),SUM($Q$5:Q258)+E259&lt;='Scenario Controls'!$B$6*(1+'Scenario Controls'!$B$7)),E259,0))</x:f>
        <x:v>0</x:v>
      </x:c>
      <x:c r="R259" s="24" t="str">
        <x:f>'BU Conference'!G127</x:f>
        <x:v>Automatic</x:v>
      </x:c>
      <x:c r="S259" s="24" t="str">
        <x:f>'BU Conference'!H127</x:f>
      </x:c>
      <x:c r="T259" s="19" t="n">
        <x:f>IF(R259="Exclude",0,IF(R259="Include",E259,Q259))</x:f>
        <x:v>0</x:v>
      </x:c>
      <x:c r="U259" s="15" t="str">
        <x:f>IF(T259&gt;0,"Funded",IF(P259="Eligible","Unfunded",P259))</x:f>
        <x:v>Evidence missing / not eligible</x:v>
      </x:c>
      <x:c r="V259" s="15" t="str">
        <x:f>IF(R259="Include","Conference inclusion: "&amp;S259,IF(R259="Exclude","Conference exclusion: "&amp;S259,IF(Q259&gt;0,H259&amp;" priority rank "&amp;I259&amp;"; whole initiative selected",P259)))</x:f>
        <x:v>Evidence missing / not eligible</x:v>
      </x:c>
      <x:c r="W259" s="15" t="str">
        <x:v>Bu!23</x:v>
      </x:c>
      <x:c r="X259" s="15" t="str">
        <x:v>HEALTHY</x:v>
      </x:c>
      <x:c r="Y259" s="15" t="str">
        <x:v>HEALTHY — Rank in priority matrix</x:v>
      </x:c>
      <x:c r="Z259" s="15" t="str">
        <x:v>Legal Fiscal, Regulatory &amp; Compliancy</x:v>
      </x:c>
      <x:c r="AA259" s="15" t="str">
        <x:v>Carry Over</x:v>
      </x:c>
      <x:c r="AB259" s="15" t="str">
        <x:v>Integrated Supply Chain &amp; Finance</x:v>
      </x:c>
      <x:c r="AC259" s="15" t="str">
        <x:v>Carry Over stops</x:v>
      </x:c>
      <x:c r="AD259" s="15" t="str"/>
      <x:c r="AE259" s="15" t="str"/>
      <x:c r="AF259" s="15" t="str">
        <x:v>Carry Over stops</x:v>
      </x:c>
      <x:c r="AG259" s="15" t="str">
        <x:v>Must Do</x:v>
      </x:c>
      <x:c r="AH259" s="15" t="n">
        <x:v>199</x:v>
      </x:c>
    </x:row>
    <x:row r="260">
      <x:c r="A260" s="15" t="str">
        <x:v>Bu-20</x:v>
      </x:c>
      <x:c r="B260" s="15" t="str">
        <x:v>17.2 GCS/WCMS replacement</x:v>
      </x:c>
      <x:c r="C260" s="15" t="str">
        <x:v>BU Led</x:v>
      </x:c>
      <x:c r="D260" s="15" t="str">
        <x:v>Personal Health (PH)</x:v>
      </x:c>
      <x:c r="E260" s="19" t="n">
        <x:v>0.25</x:v>
      </x:c>
      <x:c r="F260" s="19" t="n">
        <x:v>0</x:v>
      </x:c>
      <x:c r="G260" s="22" t="n">
        <x:f>IF(AND(E260&gt;0,ISNUMBER(F260)),F260/E260,"")</x:f>
        <x:v>0</x:v>
      </x:c>
      <x:c r="H260" s="15" t="str">
        <x:v>Carryover</x:v>
      </x:c>
      <x:c r="I260" s="15" t="n">
        <x:v>39</x:v>
      </x:c>
      <x:c r="J260" s="15" t="n">
        <x:v>15</x:v>
      </x:c>
      <x:c r="K260" s="23" t="n">
        <x:f>IF(G260="",0,IF(G260&lt;1,0,IF(G260&lt;2,20,IF(G260&lt;3,30,IF(G260&lt;5,40,50)))))*'Scenario Controls'!$B$22/50</x:f>
        <x:v>0</x:v>
      </x:c>
      <x:c r="L260" s="23" t="n">
        <x:f>IF(ISNUMBER(SEARCH("Must Do",AG260)),25,IF(ISNUMBER(SEARCH("Must Have",AG260)),18,IF(ISNUMBER(SEARCH("Deprior",AG260)),5,0)))*'Scenario Controls'!$B$23/25</x:f>
        <x:v>25</x:v>
      </x:c>
      <x:c r="M260" s="23" t="n">
        <x:f>J260*'Scenario Controls'!$B$24/15</x:f>
        <x:v>15</x:v>
      </x:c>
      <x:c r="N260" s="23" t="n">
        <x:f>IF(ISNUMBER(SEARCH("HEALTHY",X260)),10,IF(ISNUMBER(SEARCH("CONTAIN",X260)),6,0))*'Scenario Controls'!$B$25/10</x:f>
        <x:v>0</x:v>
      </x:c>
      <x:c r="O260" s="23" t="n">
        <x:f>SUM(K260:N260)</x:f>
        <x:v>40</x:v>
      </x:c>
      <x:c r="P260" s="15" t="str">
        <x:f>IF(OR(B260="",E260&lt;=0),"Evidence missing / not eligible",IF(ISNUMBER(SEARCH("priority TBD",Y260)),"Evidence missing / not eligible",IF(AND(H260="Carryover",NOT(ISNUMBER(F260))),"Evidence missing / not eligible",IF(AND(H260="Carryover",G260&lt;'Scenario Controls'!$B$16),"Evidence missing / not eligible",IF(AND(H260="ROI-Based Portfolio",NOT(ISNUMBER(F260))),"Evidence missing / not eligible",IF(AND(H260="ROI-Based Portfolio",O260&lt;'Scenario Controls'!$B$20),"Evidence missing / not eligible","Eligible"))))))</x:f>
        <x:v>Evidence missing / not eligible</x:v>
      </x:c>
      <x:c r="Q260" s="19" t="n">
        <x:f>IF(P260&lt;&gt;"Eligible",0,IF(AND(SUMIFS($Q$5:Q259,$H$5:H259,H260)+E260&lt;=(IF(H260="LFR",'Scenario Controls'!$F$10,IF(H260="Sustain Engineering",'Scenario Controls'!$F$11,IF(H260="Hygiene",'Scenario Controls'!$F$12,1E+99))))*(1+'Scenario Controls'!$B$7),SUM($Q$5:Q259)+E260&lt;='Scenario Controls'!$B$6*(1+'Scenario Controls'!$B$7)),E260,0))</x:f>
        <x:v>0</x:v>
      </x:c>
      <x:c r="R260" s="24" t="str">
        <x:f>'BU Conference'!G128</x:f>
        <x:v>Automatic</x:v>
      </x:c>
      <x:c r="S260" s="24" t="str">
        <x:f>'BU Conference'!H128</x:f>
      </x:c>
      <x:c r="T260" s="19" t="n">
        <x:f>IF(R260="Exclude",0,IF(R260="Include",E260,Q260))</x:f>
        <x:v>0</x:v>
      </x:c>
      <x:c r="U260" s="15" t="str">
        <x:f>IF(T260&gt;0,"Funded",IF(P260="Eligible","Unfunded",P260))</x:f>
        <x:v>Evidence missing / not eligible</x:v>
      </x:c>
      <x:c r="V260" s="15" t="str">
        <x:f>IF(R260="Include","Conference inclusion: "&amp;S260,IF(R260="Exclude","Conference exclusion: "&amp;S260,IF(Q260&gt;0,H260&amp;" priority rank "&amp;I260&amp;"; whole initiative selected",P260)))</x:f>
        <x:v>Evidence missing / not eligible</x:v>
      </x:c>
      <x:c r="W260" s="15" t="str">
        <x:v>Bu!29</x:v>
      </x:c>
      <x:c r="X260" s="15" t="str"/>
      <x:c r="Y260" s="15" t="str"/>
      <x:c r="Z260" s="15" t="str">
        <x:v>New Technology</x:v>
      </x:c>
      <x:c r="AA260" s="15" t="str">
        <x:v>Carry Over</x:v>
      </x:c>
      <x:c r="AB260" s="15" t="str">
        <x:v>Innovation and Digital IT</x:v>
      </x:c>
      <x:c r="AC260" s="15" t="str">
        <x:v>Regulatory Compliance fines regarding claims management</x:v>
      </x:c>
      <x:c r="AD260" s="15" t="str">
        <x:v>We submitted to Replace InfoTip (Self Service) from 15 existing countries to the new platform and extend to further 23 countries (in total 38 countries).two new LRF items need to be implemented: Enable repair product flow and refund flow as part of repairability directive within WCMS</x:v>
      </x:c>
      <x:c r="AE260" s="15" t="str">
        <x:v>Backlog and continuous improvement roadmap to be defined via the Quarterly planning</x:v>
      </x:c>
      <x:c r="AF260" s="15" t="str">
        <x:v>Regulatory Compliance fines regarding claims management |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 Backlog and continuous improvement roadmap to be defined via the Quarterly planning</x:v>
      </x:c>
      <x:c r="AG260" s="15" t="str">
        <x:v>Must Do</x:v>
      </x:c>
      <x:c r="AH260" s="15" t="n">
        <x:v>205</x:v>
      </x:c>
    </x:row>
    <x:row r="261">
      <x:c r="A261" s="15" t="str">
        <x:v>Bu-195</x:v>
      </x:c>
      <x:c r="B261" s="15" t="str">
        <x:v>MP1 improvement due to shelf life finding in audit.</x:v>
      </x:c>
      <x:c r="C261" s="15" t="str">
        <x:v>BU Led</x:v>
      </x:c>
      <x:c r="D261" s="15" t="str">
        <x:v>Monitoring - HPM (MCH)</x:v>
      </x:c>
      <x:c r="E261" s="19" t="n">
        <x:v>0.02</x:v>
      </x:c>
      <x:c r="F261" s="19" t="n">
        <x:v>0</x:v>
      </x:c>
      <x:c r="G261" s="22" t="n">
        <x:f>IF(AND(E261&gt;0,ISNUMBER(F261)),F261/E261,"")</x:f>
        <x:v>0</x:v>
      </x:c>
      <x:c r="H261" s="15" t="str">
        <x:v>Carryover</x:v>
      </x:c>
      <x:c r="I261" s="15" t="n">
        <x:v>40</x:v>
      </x:c>
      <x:c r="J261" s="15" t="n">
        <x:v>5</x:v>
      </x:c>
      <x:c r="K261" s="23" t="n">
        <x:f>IF(G261="",0,IF(G261&lt;1,0,IF(G261&lt;2,20,IF(G261&lt;3,30,IF(G261&lt;5,40,50)))))*'Scenario Controls'!$B$22/50</x:f>
        <x:v>0</x:v>
      </x:c>
      <x:c r="L261" s="23" t="n">
        <x:f>IF(ISNUMBER(SEARCH("Must Do",AG261)),25,IF(ISNUMBER(SEARCH("Must Have",AG261)),18,IF(ISNUMBER(SEARCH("Deprior",AG261)),5,0)))*'Scenario Controls'!$B$23/25</x:f>
        <x:v>25</x:v>
      </x:c>
      <x:c r="M261" s="23" t="n">
        <x:f>J261*'Scenario Controls'!$B$24/15</x:f>
        <x:v>5</x:v>
      </x:c>
      <x:c r="N261" s="23" t="n">
        <x:f>IF(ISNUMBER(SEARCH("HEALTHY",X261)),10,IF(ISNUMBER(SEARCH("CONTAIN",X261)),6,0))*'Scenario Controls'!$B$25/10</x:f>
        <x:v>10</x:v>
      </x:c>
      <x:c r="O261" s="23" t="n">
        <x:f>SUM(K261:N261)</x:f>
        <x:v>40</x:v>
      </x:c>
      <x:c r="P261" s="15" t="str">
        <x:f>IF(OR(B261="",E261&lt;=0),"Evidence missing / not eligible",IF(ISNUMBER(SEARCH("priority TBD",Y261)),"Evidence missing / not eligible",IF(AND(H261="Carryover",NOT(ISNUMBER(F261))),"Evidence missing / not eligible",IF(AND(H261="Carryover",G261&lt;'Scenario Controls'!$B$16),"Evidence missing / not eligible",IF(AND(H261="ROI-Based Portfolio",NOT(ISNUMBER(F261))),"Evidence missing / not eligible",IF(AND(H261="ROI-Based Portfolio",O261&lt;'Scenario Controls'!$B$20),"Evidence missing / not eligible","Eligible"))))))</x:f>
        <x:v>Evidence missing / not eligible</x:v>
      </x:c>
      <x:c r="Q261" s="19" t="n">
        <x:f>IF(P261&lt;&gt;"Eligible",0,IF(AND(SUMIFS($Q$5:Q260,$H$5:H260,H261)+E261&lt;=(IF(H261="LFR",'Scenario Controls'!$F$10,IF(H261="Sustain Engineering",'Scenario Controls'!$F$11,IF(H261="Hygiene",'Scenario Controls'!$F$12,1E+99))))*(1+'Scenario Controls'!$B$7),SUM($Q$5:Q260)+E261&lt;='Scenario Controls'!$B$6*(1+'Scenario Controls'!$B$7)),E261,0))</x:f>
        <x:v>0</x:v>
      </x:c>
      <x:c r="R261" s="24" t="str">
        <x:f>'BU Conference'!G129</x:f>
        <x:v>Automatic</x:v>
      </x:c>
      <x:c r="S261" s="24" t="str">
        <x:f>'BU Conference'!H129</x:f>
      </x:c>
      <x:c r="T261" s="19" t="n">
        <x:f>IF(R261="Exclude",0,IF(R261="Include",E261,Q261))</x:f>
        <x:v>0</x:v>
      </x:c>
      <x:c r="U261" s="15" t="str">
        <x:f>IF(T261&gt;0,"Funded",IF(P261="Eligible","Unfunded",P261))</x:f>
        <x:v>Evidence missing / not eligible</x:v>
      </x:c>
      <x:c r="V261" s="15" t="str">
        <x:f>IF(R261="Include","Conference inclusion: "&amp;S261,IF(R261="Exclude","Conference exclusion: "&amp;S261,IF(Q261&gt;0,H261&amp;" priority rank "&amp;I261&amp;"; whole initiative selected",P261)))</x:f>
        <x:v>Evidence missing / not eligible</x:v>
      </x:c>
      <x:c r="W261" s="15" t="str">
        <x:v>Bu!488</x:v>
      </x:c>
      <x:c r="X261" s="15" t="str">
        <x:v>HEALTHY</x:v>
      </x:c>
      <x:c r="Y261" s="15" t="str">
        <x:v>HEALTHY — Rank in priority matrix</x:v>
      </x:c>
      <x:c r="Z261" s="15" t="str">
        <x:v>Legal Fiscal, Regulatory &amp; Compliancy</x:v>
      </x:c>
      <x:c r="AA261" s="15" t="str">
        <x:v>Carry Over</x:v>
      </x:c>
      <x:c r="AB261" s="15" t="str">
        <x:v>Integrated Supply Chain &amp; Finance</x:v>
      </x:c>
      <x:c r="AC261" s="15" t="str">
        <x:v>Carry Over stops</x:v>
      </x:c>
      <x:c r="AD261" s="15" t="str"/>
      <x:c r="AE261" s="15" t="str"/>
      <x:c r="AF261" s="15" t="str">
        <x:v>Carry Over stops</x:v>
      </x:c>
      <x:c r="AG261" s="15" t="str">
        <x:v>Must Do</x:v>
      </x:c>
      <x:c r="AH261" s="15" t="n">
        <x:v>372</x:v>
      </x:c>
    </x:row>
    <x:row r="262">
      <x:c r="A262" s="15" t="str">
        <x:v>Bu-196</x:v>
      </x:c>
      <x:c r="B262" s="15" t="str">
        <x:v>SW Ops: Enabling HPM on Sentinel with new licensing models for NPIs -</x:v>
      </x:c>
      <x:c r="C262" s="15" t="str">
        <x:v>BU Led</x:v>
      </x:c>
      <x:c r="D262" s="15" t="str">
        <x:v>Monitoring - HPM (MCH)</x:v>
      </x:c>
      <x:c r="E262" s="19" t="n">
        <x:v>0.2</x:v>
      </x:c>
      <x:c r="F262" s="19" t="n">
        <x:v>0</x:v>
      </x:c>
      <x:c r="G262" s="22" t="n">
        <x:f>IF(AND(E262&gt;0,ISNUMBER(F262)),F262/E262,"")</x:f>
        <x:v>0</x:v>
      </x:c>
      <x:c r="H262" s="15" t="str">
        <x:v>Carryover</x:v>
      </x:c>
      <x:c r="I262" s="15" t="n">
        <x:v>41</x:v>
      </x:c>
      <x:c r="J262" s="15" t="n">
        <x:v>5</x:v>
      </x:c>
      <x:c r="K262" s="23" t="n">
        <x:f>IF(G262="",0,IF(G262&lt;1,0,IF(G262&lt;2,20,IF(G262&lt;3,30,IF(G262&lt;5,40,50)))))*'Scenario Controls'!$B$22/50</x:f>
        <x:v>0</x:v>
      </x:c>
      <x:c r="L262" s="23" t="n">
        <x:f>IF(ISNUMBER(SEARCH("Must Do",AG262)),25,IF(ISNUMBER(SEARCH("Must Have",AG262)),18,IF(ISNUMBER(SEARCH("Deprior",AG262)),5,0)))*'Scenario Controls'!$B$23/25</x:f>
        <x:v>25</x:v>
      </x:c>
      <x:c r="M262" s="23" t="n">
        <x:f>J262*'Scenario Controls'!$B$24/15</x:f>
        <x:v>5</x:v>
      </x:c>
      <x:c r="N262" s="23" t="n">
        <x:f>IF(ISNUMBER(SEARCH("HEALTHY",X262)),10,IF(ISNUMBER(SEARCH("CONTAIN",X262)),6,0))*'Scenario Controls'!$B$25/10</x:f>
        <x:v>10</x:v>
      </x:c>
      <x:c r="O262" s="23" t="n">
        <x:f>SUM(K262:N262)</x:f>
        <x:v>40</x:v>
      </x:c>
      <x:c r="P262" s="15" t="str">
        <x:f>IF(OR(B262="",E262&lt;=0),"Evidence missing / not eligible",IF(ISNUMBER(SEARCH("priority TBD",Y262)),"Evidence missing / not eligible",IF(AND(H262="Carryover",NOT(ISNUMBER(F262))),"Evidence missing / not eligible",IF(AND(H262="Carryover",G262&lt;'Scenario Controls'!$B$16),"Evidence missing / not eligible",IF(AND(H262="ROI-Based Portfolio",NOT(ISNUMBER(F262))),"Evidence missing / not eligible",IF(AND(H262="ROI-Based Portfolio",O262&lt;'Scenario Controls'!$B$20),"Evidence missing / not eligible","Eligible"))))))</x:f>
        <x:v>Evidence missing / not eligible</x:v>
      </x:c>
      <x:c r="Q262" s="19" t="n">
        <x:f>IF(P262&lt;&gt;"Eligible",0,IF(AND(SUMIFS($Q$5:Q261,$H$5:H261,H262)+E262&lt;=(IF(H262="LFR",'Scenario Controls'!$F$10,IF(H262="Sustain Engineering",'Scenario Controls'!$F$11,IF(H262="Hygiene",'Scenario Controls'!$F$12,1E+99))))*(1+'Scenario Controls'!$B$7),SUM($Q$5:Q261)+E262&lt;='Scenario Controls'!$B$6*(1+'Scenario Controls'!$B$7)),E262,0))</x:f>
        <x:v>0</x:v>
      </x:c>
      <x:c r="R262" s="24" t="str">
        <x:f>'BU Conference'!G130</x:f>
        <x:v>Automatic</x:v>
      </x:c>
      <x:c r="S262" s="24" t="str">
        <x:f>'BU Conference'!H130</x:f>
      </x:c>
      <x:c r="T262" s="19" t="n">
        <x:f>IF(R262="Exclude",0,IF(R262="Include",E262,Q262))</x:f>
        <x:v>0</x:v>
      </x:c>
      <x:c r="U262" s="15" t="str">
        <x:f>IF(T262&gt;0,"Funded",IF(P262="Eligible","Unfunded",P262))</x:f>
        <x:v>Evidence missing / not eligible</x:v>
      </x:c>
      <x:c r="V262" s="15" t="str">
        <x:f>IF(R262="Include","Conference inclusion: "&amp;S262,IF(R262="Exclude","Conference exclusion: "&amp;S262,IF(Q262&gt;0,H262&amp;" priority rank "&amp;I262&amp;"; whole initiative selected",P262)))</x:f>
        <x:v>Evidence missing / not eligible</x:v>
      </x:c>
      <x:c r="W262" s="15" t="str">
        <x:v>Bu!489</x:v>
      </x:c>
      <x:c r="X262" s="15" t="str">
        <x:v>HEALTHY</x:v>
      </x:c>
      <x:c r="Y262" s="15" t="str">
        <x:v>HEALTHY — Rank in priority matrix</x:v>
      </x:c>
      <x:c r="Z262" s="15" t="str">
        <x:v>New Technology</x:v>
      </x:c>
      <x:c r="AA262" s="15" t="str">
        <x:v>Carry Over</x:v>
      </x:c>
      <x:c r="AB262" s="15" t="str">
        <x:v>Services &amp; Solutions IT</x:v>
      </x:c>
      <x:c r="AC262" s="15" t="str">
        <x:v>Carry Over stops</x:v>
      </x:c>
      <x:c r="AD262" s="15" t="str"/>
      <x:c r="AE262" s="15" t="str"/>
      <x:c r="AF262" s="15" t="str">
        <x:v>Carry Over stops</x:v>
      </x:c>
      <x:c r="AG262" s="15" t="str">
        <x:v>Must Do</x:v>
      </x:c>
      <x:c r="AH262" s="15" t="n">
        <x:v>373</x:v>
      </x:c>
    </x:row>
    <x:row r="263">
      <x:c r="A263" s="15" t="str">
        <x:v>Bu-197</x:v>
      </x:c>
      <x:c r="B263" s="15" t="str">
        <x:v>Remote Operations Mgt for NAR (FocalPoint)</x:v>
      </x:c>
      <x:c r="C263" s="15" t="str">
        <x:v>BU Led</x:v>
      </x:c>
      <x:c r="D263" s="15" t="str">
        <x:v>Monitoring - HPM (MCH)</x:v>
      </x:c>
      <x:c r="E263" s="19" t="n">
        <x:v>1.17</x:v>
      </x:c>
      <x:c r="F263" s="19" t="n">
        <x:v>0</x:v>
      </x:c>
      <x:c r="G263" s="22" t="n">
        <x:f>IF(AND(E263&gt;0,ISNUMBER(F263)),F263/E263,"")</x:f>
        <x:v>0</x:v>
      </x:c>
      <x:c r="H263" s="15" t="str">
        <x:v>Carryover</x:v>
      </x:c>
      <x:c r="I263" s="15" t="n">
        <x:v>42</x:v>
      </x:c>
      <x:c r="J263" s="15" t="n">
        <x:v>5</x:v>
      </x:c>
      <x:c r="K263" s="23" t="n">
        <x:f>IF(G263="",0,IF(G263&lt;1,0,IF(G263&lt;2,20,IF(G263&lt;3,30,IF(G263&lt;5,40,50)))))*'Scenario Controls'!$B$22/50</x:f>
        <x:v>0</x:v>
      </x:c>
      <x:c r="L263" s="23" t="n">
        <x:f>IF(ISNUMBER(SEARCH("Must Do",AG263)),25,IF(ISNUMBER(SEARCH("Must Have",AG263)),18,IF(ISNUMBER(SEARCH("Deprior",AG263)),5,0)))*'Scenario Controls'!$B$23/25</x:f>
        <x:v>25</x:v>
      </x:c>
      <x:c r="M263" s="23" t="n">
        <x:f>J263*'Scenario Controls'!$B$24/15</x:f>
        <x:v>5</x:v>
      </x:c>
      <x:c r="N263" s="23" t="n">
        <x:f>IF(ISNUMBER(SEARCH("HEALTHY",X263)),10,IF(ISNUMBER(SEARCH("CONTAIN",X263)),6,0))*'Scenario Controls'!$B$25/10</x:f>
        <x:v>10</x:v>
      </x:c>
      <x:c r="O263" s="23" t="n">
        <x:f>SUM(K263:N263)</x:f>
        <x:v>40</x:v>
      </x:c>
      <x:c r="P263" s="15" t="str">
        <x:f>IF(OR(B263="",E263&lt;=0),"Evidence missing / not eligible",IF(ISNUMBER(SEARCH("priority TBD",Y263)),"Evidence missing / not eligible",IF(AND(H263="Carryover",NOT(ISNUMBER(F263))),"Evidence missing / not eligible",IF(AND(H263="Carryover",G263&lt;'Scenario Controls'!$B$16),"Evidence missing / not eligible",IF(AND(H263="ROI-Based Portfolio",NOT(ISNUMBER(F263))),"Evidence missing / not eligible",IF(AND(H263="ROI-Based Portfolio",O263&lt;'Scenario Controls'!$B$20),"Evidence missing / not eligible","Eligible"))))))</x:f>
        <x:v>Evidence missing / not eligible</x:v>
      </x:c>
      <x:c r="Q263" s="19" t="n">
        <x:f>IF(P263&lt;&gt;"Eligible",0,IF(AND(SUMIFS($Q$5:Q262,$H$5:H262,H263)+E263&lt;=(IF(H263="LFR",'Scenario Controls'!$F$10,IF(H263="Sustain Engineering",'Scenario Controls'!$F$11,IF(H263="Hygiene",'Scenario Controls'!$F$12,1E+99))))*(1+'Scenario Controls'!$B$7),SUM($Q$5:Q262)+E263&lt;='Scenario Controls'!$B$6*(1+'Scenario Controls'!$B$7)),E263,0))</x:f>
        <x:v>0</x:v>
      </x:c>
      <x:c r="R263" s="24" t="str">
        <x:f>'BU Conference'!G131</x:f>
        <x:v>Automatic</x:v>
      </x:c>
      <x:c r="S263" s="24" t="str">
        <x:f>'BU Conference'!H131</x:f>
      </x:c>
      <x:c r="T263" s="19" t="n">
        <x:f>IF(R263="Exclude",0,IF(R263="Include",E263,Q263))</x:f>
        <x:v>0</x:v>
      </x:c>
      <x:c r="U263" s="15" t="str">
        <x:f>IF(T263&gt;0,"Funded",IF(P263="Eligible","Unfunded",P263))</x:f>
        <x:v>Evidence missing / not eligible</x:v>
      </x:c>
      <x:c r="V263" s="15" t="str">
        <x:f>IF(R263="Include","Conference inclusion: "&amp;S263,IF(R263="Exclude","Conference exclusion: "&amp;S263,IF(Q263&gt;0,H263&amp;" priority rank "&amp;I263&amp;"; whole initiative selected",P263)))</x:f>
        <x:v>Evidence missing / not eligible</x:v>
      </x:c>
      <x:c r="W263" s="15" t="str">
        <x:v>Bu!490</x:v>
      </x:c>
      <x:c r="X263" s="15" t="str">
        <x:v>HEALTHY</x:v>
      </x:c>
      <x:c r="Y263" s="15" t="str">
        <x:v>HEALTHY — Rank in priority matrix</x:v>
      </x:c>
      <x:c r="Z263" s="15" t="str">
        <x:v>New Technology</x:v>
      </x:c>
      <x:c r="AA263" s="15" t="str">
        <x:v>Carry Over</x:v>
      </x:c>
      <x:c r="AB263" s="15" t="str">
        <x:v>Services &amp; Solutions IT</x:v>
      </x:c>
      <x:c r="AC263" s="15" t="str">
        <x:v>Carry Over stops</x:v>
      </x:c>
      <x:c r="AD263" s="15" t="str"/>
      <x:c r="AE263" s="15" t="str"/>
      <x:c r="AF263" s="15" t="str">
        <x:v>Carry Over stops</x:v>
      </x:c>
      <x:c r="AG263" s="15" t="str">
        <x:v>Must Do</x:v>
      </x:c>
      <x:c r="AH263" s="15" t="n">
        <x:v>374</x:v>
      </x:c>
    </x:row>
    <x:row r="264">
      <x:c r="A264" s="15" t="str">
        <x:v>Bu-198</x:v>
      </x:c>
      <x:c r="B264" s="15" t="str">
        <x:v>HSPMP - enable support flow for cloud platform</x:v>
      </x:c>
      <x:c r="C264" s="15" t="str">
        <x:v>BU Led</x:v>
      </x:c>
      <x:c r="D264" s="15" t="str">
        <x:v>Monitoring - HPM (MCH)</x:v>
      </x:c>
      <x:c r="E264" s="19" t="n">
        <x:v>0.36</x:v>
      </x:c>
      <x:c r="F264" s="19" t="n">
        <x:v>0</x:v>
      </x:c>
      <x:c r="G264" s="22" t="n">
        <x:f>IF(AND(E264&gt;0,ISNUMBER(F264)),F264/E264,"")</x:f>
        <x:v>0</x:v>
      </x:c>
      <x:c r="H264" s="15" t="str">
        <x:v>Carryover</x:v>
      </x:c>
      <x:c r="I264" s="15" t="n">
        <x:v>43</x:v>
      </x:c>
      <x:c r="J264" s="15" t="n">
        <x:v>5</x:v>
      </x:c>
      <x:c r="K264" s="23" t="n">
        <x:f>IF(G264="",0,IF(G264&lt;1,0,IF(G264&lt;2,20,IF(G264&lt;3,30,IF(G264&lt;5,40,50)))))*'Scenario Controls'!$B$22/50</x:f>
        <x:v>0</x:v>
      </x:c>
      <x:c r="L264" s="23" t="n">
        <x:f>IF(ISNUMBER(SEARCH("Must Do",AG264)),25,IF(ISNUMBER(SEARCH("Must Have",AG264)),18,IF(ISNUMBER(SEARCH("Deprior",AG264)),5,0)))*'Scenario Controls'!$B$23/25</x:f>
        <x:v>25</x:v>
      </x:c>
      <x:c r="M264" s="23" t="n">
        <x:f>J264*'Scenario Controls'!$B$24/15</x:f>
        <x:v>5</x:v>
      </x:c>
      <x:c r="N264" s="23" t="n">
        <x:f>IF(ISNUMBER(SEARCH("HEALTHY",X264)),10,IF(ISNUMBER(SEARCH("CONTAIN",X264)),6,0))*'Scenario Controls'!$B$25/10</x:f>
        <x:v>10</x:v>
      </x:c>
      <x:c r="O264" s="23" t="n">
        <x:f>SUM(K264:N264)</x:f>
        <x:v>40</x:v>
      </x:c>
      <x:c r="P264" s="15" t="str">
        <x:f>IF(OR(B264="",E264&lt;=0),"Evidence missing / not eligible",IF(ISNUMBER(SEARCH("priority TBD",Y264)),"Evidence missing / not eligible",IF(AND(H264="Carryover",NOT(ISNUMBER(F264))),"Evidence missing / not eligible",IF(AND(H264="Carryover",G264&lt;'Scenario Controls'!$B$16),"Evidence missing / not eligible",IF(AND(H264="ROI-Based Portfolio",NOT(ISNUMBER(F264))),"Evidence missing / not eligible",IF(AND(H264="ROI-Based Portfolio",O264&lt;'Scenario Controls'!$B$20),"Evidence missing / not eligible","Eligible"))))))</x:f>
        <x:v>Evidence missing / not eligible</x:v>
      </x:c>
      <x:c r="Q264" s="19" t="n">
        <x:f>IF(P264&lt;&gt;"Eligible",0,IF(AND(SUMIFS($Q$5:Q263,$H$5:H263,H264)+E264&lt;=(IF(H264="LFR",'Scenario Controls'!$F$10,IF(H264="Sustain Engineering",'Scenario Controls'!$F$11,IF(H264="Hygiene",'Scenario Controls'!$F$12,1E+99))))*(1+'Scenario Controls'!$B$7),SUM($Q$5:Q263)+E264&lt;='Scenario Controls'!$B$6*(1+'Scenario Controls'!$B$7)),E264,0))</x:f>
        <x:v>0</x:v>
      </x:c>
      <x:c r="R264" s="24" t="str">
        <x:f>'BU Conference'!G132</x:f>
        <x:v>Automatic</x:v>
      </x:c>
      <x:c r="S264" s="24" t="str">
        <x:f>'BU Conference'!H132</x:f>
      </x:c>
      <x:c r="T264" s="19" t="n">
        <x:f>IF(R264="Exclude",0,IF(R264="Include",E264,Q264))</x:f>
        <x:v>0</x:v>
      </x:c>
      <x:c r="U264" s="15" t="str">
        <x:f>IF(T264&gt;0,"Funded",IF(P264="Eligible","Unfunded",P264))</x:f>
        <x:v>Evidence missing / not eligible</x:v>
      </x:c>
      <x:c r="V264" s="15" t="str">
        <x:f>IF(R264="Include","Conference inclusion: "&amp;S264,IF(R264="Exclude","Conference exclusion: "&amp;S264,IF(Q264&gt;0,H264&amp;" priority rank "&amp;I264&amp;"; whole initiative selected",P264)))</x:f>
        <x:v>Evidence missing / not eligible</x:v>
      </x:c>
      <x:c r="W264" s="15" t="str">
        <x:v>Bu!491</x:v>
      </x:c>
      <x:c r="X264" s="15" t="str">
        <x:v>HEALTHY</x:v>
      </x:c>
      <x:c r="Y264" s="15" t="str">
        <x:v>HEALTHY — Rank in priority matrix</x:v>
      </x:c>
      <x:c r="Z264" s="15" t="str">
        <x:v>New Technology</x:v>
      </x:c>
      <x:c r="AA264" s="15" t="str">
        <x:v>Carry Over</x:v>
      </x:c>
      <x:c r="AB264" s="15" t="str">
        <x:v>Services &amp; Solutions IT</x:v>
      </x:c>
      <x:c r="AC264" s="15" t="str">
        <x:v>Carry Over stops</x:v>
      </x:c>
      <x:c r="AD264" s="15" t="str"/>
      <x:c r="AE264" s="15" t="str"/>
      <x:c r="AF264" s="15" t="str">
        <x:v>Carry Over stops</x:v>
      </x:c>
      <x:c r="AG264" s="15" t="str">
        <x:v>Must Do</x:v>
      </x:c>
      <x:c r="AH264" s="15" t="n">
        <x:v>375</x:v>
      </x:c>
    </x:row>
    <x:row r="265">
      <x:c r="A265" s="15" t="str">
        <x:v>Bu-199</x:v>
      </x:c>
      <x:c r="B265" s="15" t="str">
        <x:v>Timber and dual manufacturing (NAM footprint)</x:v>
      </x:c>
      <x:c r="C265" s="15" t="str">
        <x:v>BU Led</x:v>
      </x:c>
      <x:c r="D265" s="15" t="str">
        <x:v>Monitoring - HPM (MCH)</x:v>
      </x:c>
      <x:c r="E265" s="19" t="n">
        <x:v>0.8</x:v>
      </x:c>
      <x:c r="F265" s="19" t="n">
        <x:v>0</x:v>
      </x:c>
      <x:c r="G265" s="22" t="n">
        <x:f>IF(AND(E265&gt;0,ISNUMBER(F265)),F265/E265,"")</x:f>
        <x:v>0</x:v>
      </x:c>
      <x:c r="H265" s="15" t="str">
        <x:v>Carryover</x:v>
      </x:c>
      <x:c r="I265" s="15" t="n">
        <x:v>44</x:v>
      </x:c>
      <x:c r="J265" s="15" t="n">
        <x:v>5</x:v>
      </x:c>
      <x:c r="K265" s="23" t="n">
        <x:f>IF(G265="",0,IF(G265&lt;1,0,IF(G265&lt;2,20,IF(G265&lt;3,30,IF(G265&lt;5,40,50)))))*'Scenario Controls'!$B$22/50</x:f>
        <x:v>0</x:v>
      </x:c>
      <x:c r="L265" s="23" t="n">
        <x:f>IF(ISNUMBER(SEARCH("Must Do",AG265)),25,IF(ISNUMBER(SEARCH("Must Have",AG265)),18,IF(ISNUMBER(SEARCH("Deprior",AG265)),5,0)))*'Scenario Controls'!$B$23/25</x:f>
        <x:v>25</x:v>
      </x:c>
      <x:c r="M265" s="23" t="n">
        <x:f>J265*'Scenario Controls'!$B$24/15</x:f>
        <x:v>5</x:v>
      </x:c>
      <x:c r="N265" s="23" t="n">
        <x:f>IF(ISNUMBER(SEARCH("HEALTHY",X265)),10,IF(ISNUMBER(SEARCH("CONTAIN",X265)),6,0))*'Scenario Controls'!$B$25/10</x:f>
        <x:v>10</x:v>
      </x:c>
      <x:c r="O265" s="23" t="n">
        <x:f>SUM(K265:N265)</x:f>
        <x:v>40</x:v>
      </x:c>
      <x:c r="P265" s="15" t="str">
        <x:f>IF(OR(B265="",E265&lt;=0),"Evidence missing / not eligible",IF(ISNUMBER(SEARCH("priority TBD",Y265)),"Evidence missing / not eligible",IF(AND(H265="Carryover",NOT(ISNUMBER(F265))),"Evidence missing / not eligible",IF(AND(H265="Carryover",G265&lt;'Scenario Controls'!$B$16),"Evidence missing / not eligible",IF(AND(H265="ROI-Based Portfolio",NOT(ISNUMBER(F265))),"Evidence missing / not eligible",IF(AND(H265="ROI-Based Portfolio",O265&lt;'Scenario Controls'!$B$20),"Evidence missing / not eligible","Eligible"))))))</x:f>
        <x:v>Evidence missing / not eligible</x:v>
      </x:c>
      <x:c r="Q265" s="19" t="n">
        <x:f>IF(P265&lt;&gt;"Eligible",0,IF(AND(SUMIFS($Q$5:Q264,$H$5:H264,H265)+E265&lt;=(IF(H265="LFR",'Scenario Controls'!$F$10,IF(H265="Sustain Engineering",'Scenario Controls'!$F$11,IF(H265="Hygiene",'Scenario Controls'!$F$12,1E+99))))*(1+'Scenario Controls'!$B$7),SUM($Q$5:Q264)+E265&lt;='Scenario Controls'!$B$6*(1+'Scenario Controls'!$B$7)),E265,0))</x:f>
        <x:v>0</x:v>
      </x:c>
      <x:c r="R265" s="24" t="str">
        <x:f>'BU Conference'!G133</x:f>
        <x:v>Automatic</x:v>
      </x:c>
      <x:c r="S265" s="24" t="str">
        <x:f>'BU Conference'!H133</x:f>
      </x:c>
      <x:c r="T265" s="19" t="n">
        <x:f>IF(R265="Exclude",0,IF(R265="Include",E265,Q265))</x:f>
        <x:v>0</x:v>
      </x:c>
      <x:c r="U265" s="15" t="str">
        <x:f>IF(T265&gt;0,"Funded",IF(P265="Eligible","Unfunded",P265))</x:f>
        <x:v>Evidence missing / not eligible</x:v>
      </x:c>
      <x:c r="V265" s="15" t="str">
        <x:f>IF(R265="Include","Conference inclusion: "&amp;S265,IF(R265="Exclude","Conference exclusion: "&amp;S265,IF(Q265&gt;0,H265&amp;" priority rank "&amp;I265&amp;"; whole initiative selected",P265)))</x:f>
        <x:v>Evidence missing / not eligible</x:v>
      </x:c>
      <x:c r="W265" s="15" t="str">
        <x:v>Bu!492</x:v>
      </x:c>
      <x:c r="X265" s="15" t="str">
        <x:v>HEALTHY</x:v>
      </x:c>
      <x:c r="Y265" s="15" t="str">
        <x:v>HEALTHY — Rank in priority matrix</x:v>
      </x:c>
      <x:c r="Z265" s="15" t="str">
        <x:v>New Technology</x:v>
      </x:c>
      <x:c r="AA265" s="15" t="str">
        <x:v>Carry Over</x:v>
      </x:c>
      <x:c r="AB265" s="15" t="str">
        <x:v>Integrated Supply Chain &amp; Finance</x:v>
      </x:c>
      <x:c r="AC265" s="15" t="str">
        <x:v>Carry Over stops</x:v>
      </x:c>
      <x:c r="AD265" s="15" t="str"/>
      <x:c r="AE265" s="15" t="str"/>
      <x:c r="AF265" s="15" t="str">
        <x:v>Carry Over stops</x:v>
      </x:c>
      <x:c r="AG265" s="15" t="str">
        <x:v>Must Do</x:v>
      </x:c>
      <x:c r="AH265" s="15" t="n">
        <x:v>376</x:v>
      </x:c>
    </x:row>
    <x:row r="266">
      <x:c r="A266" s="15" t="str">
        <x:v>Bu-207</x:v>
      </x:c>
      <x:c r="B266" s="15" t="str">
        <x:v>Fidelity (Fulcrum/RDC NAM/RDC EU/FF)</x:v>
      </x:c>
      <x:c r="C266" s="15" t="str">
        <x:v>BU Led</x:v>
      </x:c>
      <x:c r="D266" s="15" t="str">
        <x:v>Monitoring - HPM (MCH)</x:v>
      </x:c>
      <x:c r="E266" s="19" t="n">
        <x:v>1</x:v>
      </x:c>
      <x:c r="F266" s="19" t="n">
        <x:v>0</x:v>
      </x:c>
      <x:c r="G266" s="22" t="n">
        <x:f>IF(AND(E266&gt;0,ISNUMBER(F266)),F266/E266,"")</x:f>
        <x:v>0</x:v>
      </x:c>
      <x:c r="H266" s="15" t="str">
        <x:v>Carryover</x:v>
      </x:c>
      <x:c r="I266" s="15" t="n">
        <x:v>45</x:v>
      </x:c>
      <x:c r="J266" s="15" t="n">
        <x:v>5</x:v>
      </x:c>
      <x:c r="K266" s="23" t="n">
        <x:f>IF(G266="",0,IF(G266&lt;1,0,IF(G266&lt;2,20,IF(G266&lt;3,30,IF(G266&lt;5,40,50)))))*'Scenario Controls'!$B$22/50</x:f>
        <x:v>0</x:v>
      </x:c>
      <x:c r="L266" s="23" t="n">
        <x:f>IF(ISNUMBER(SEARCH("Must Do",AG266)),25,IF(ISNUMBER(SEARCH("Must Have",AG266)),18,IF(ISNUMBER(SEARCH("Deprior",AG266)),5,0)))*'Scenario Controls'!$B$23/25</x:f>
        <x:v>25</x:v>
      </x:c>
      <x:c r="M266" s="23" t="n">
        <x:f>J266*'Scenario Controls'!$B$24/15</x:f>
        <x:v>5</x:v>
      </x:c>
      <x:c r="N266" s="23" t="n">
        <x:f>IF(ISNUMBER(SEARCH("HEALTHY",X266)),10,IF(ISNUMBER(SEARCH("CONTAIN",X266)),6,0))*'Scenario Controls'!$B$25/10</x:f>
        <x:v>10</x:v>
      </x:c>
      <x:c r="O266" s="23" t="n">
        <x:f>SUM(K266:N266)</x:f>
        <x:v>40</x:v>
      </x:c>
      <x:c r="P266" s="15" t="str">
        <x:f>IF(OR(B266="",E266&lt;=0),"Evidence missing / not eligible",IF(ISNUMBER(SEARCH("priority TBD",Y266)),"Evidence missing / not eligible",IF(AND(H266="Carryover",NOT(ISNUMBER(F266))),"Evidence missing / not eligible",IF(AND(H266="Carryover",G266&lt;'Scenario Controls'!$B$16),"Evidence missing / not eligible",IF(AND(H266="ROI-Based Portfolio",NOT(ISNUMBER(F266))),"Evidence missing / not eligible",IF(AND(H266="ROI-Based Portfolio",O266&lt;'Scenario Controls'!$B$20),"Evidence missing / not eligible","Eligible"))))))</x:f>
        <x:v>Evidence missing / not eligible</x:v>
      </x:c>
      <x:c r="Q266" s="19" t="n">
        <x:f>IF(P266&lt;&gt;"Eligible",0,IF(AND(SUMIFS($Q$5:Q265,$H$5:H265,H266)+E266&lt;=(IF(H266="LFR",'Scenario Controls'!$F$10,IF(H266="Sustain Engineering",'Scenario Controls'!$F$11,IF(H266="Hygiene",'Scenario Controls'!$F$12,1E+99))))*(1+'Scenario Controls'!$B$7),SUM($Q$5:Q265)+E266&lt;='Scenario Controls'!$B$6*(1+'Scenario Controls'!$B$7)),E266,0))</x:f>
        <x:v>0</x:v>
      </x:c>
      <x:c r="R266" s="24" t="str">
        <x:f>'BU Conference'!G134</x:f>
        <x:v>Automatic</x:v>
      </x:c>
      <x:c r="S266" s="24" t="str">
        <x:f>'BU Conference'!H134</x:f>
      </x:c>
      <x:c r="T266" s="19" t="n">
        <x:f>IF(R266="Exclude",0,IF(R266="Include",E266,Q266))</x:f>
        <x:v>0</x:v>
      </x:c>
      <x:c r="U266" s="15" t="str">
        <x:f>IF(T266&gt;0,"Funded",IF(P266="Eligible","Unfunded",P266))</x:f>
        <x:v>Evidence missing / not eligible</x:v>
      </x:c>
      <x:c r="V266" s="15" t="str">
        <x:f>IF(R266="Include","Conference inclusion: "&amp;S266,IF(R266="Exclude","Conference exclusion: "&amp;S266,IF(Q266&gt;0,H266&amp;" priority rank "&amp;I266&amp;"; whole initiative selected",P266)))</x:f>
        <x:v>Evidence missing / not eligible</x:v>
      </x:c>
      <x:c r="W266" s="15" t="str">
        <x:v>Bu!500</x:v>
      </x:c>
      <x:c r="X266" s="15" t="str">
        <x:v>HEALTHY</x:v>
      </x:c>
      <x:c r="Y266" s="15" t="str">
        <x:v>HEALTHY — Rank in priority matrix</x:v>
      </x:c>
      <x:c r="Z266" s="15" t="str">
        <x:v>New Feature</x:v>
      </x:c>
      <x:c r="AA266" s="15" t="str">
        <x:v>Carry Over</x:v>
      </x:c>
      <x:c r="AB266" s="15" t="str">
        <x:v>Integrated Supply Chain &amp; Finance</x:v>
      </x:c>
      <x:c r="AC266" s="15" t="str">
        <x:v>Carry Over stops</x:v>
      </x:c>
      <x:c r="AD266" s="15" t="str"/>
      <x:c r="AE266" s="15" t="str"/>
      <x:c r="AF266" s="15" t="str">
        <x:v>Carry Over stops</x:v>
      </x:c>
      <x:c r="AG266" s="15" t="str">
        <x:v>Must Do</x:v>
      </x:c>
      <x:c r="AH266" s="15" t="n">
        <x:v>384</x:v>
      </x:c>
    </x:row>
    <x:row r="267">
      <x:c r="A267" s="15" t="str">
        <x:v>EW-12</x:v>
      </x:c>
      <x:c r="B267" s="15" t="str">
        <x:v>Integrated C&amp;R</x:v>
      </x:c>
      <x:c r="C267" s="15" t="str">
        <x:v>EW Led</x:v>
      </x:c>
      <x:c r="D267" s="15" t="str">
        <x:v>Patient Safety &amp; Quality</x:v>
      </x:c>
      <x:c r="E267" s="19" t="n">
        <x:v>0.65</x:v>
      </x:c>
      <x:c r="F267" s="19" t="n">
        <x:v>0</x:v>
      </x:c>
      <x:c r="G267" s="22" t="n">
        <x:f>IF(AND(E267&gt;0,ISNUMBER(F267)),F267/E267,"")</x:f>
        <x:v>0</x:v>
      </x:c>
      <x:c r="H267" s="15" t="str">
        <x:v>Carryover</x:v>
      </x:c>
      <x:c r="I267" s="15" t="n">
        <x:v>46</x:v>
      </x:c>
      <x:c r="J267" s="15" t="n">
        <x:v>5</x:v>
      </x:c>
      <x:c r="K267" s="23" t="n">
        <x:f>IF(G267="",0,IF(G267&lt;1,0,IF(G267&lt;2,20,IF(G267&lt;3,30,IF(G267&lt;5,40,50)))))*'Scenario Controls'!$B$22/50</x:f>
        <x:v>0</x:v>
      </x:c>
      <x:c r="L267" s="23" t="n">
        <x:f>IF(ISNUMBER(SEARCH("Must Do",AG267)),25,IF(ISNUMBER(SEARCH("Must Have",AG267)),18,IF(ISNUMBER(SEARCH("Deprior",AG267)),5,0)))*'Scenario Controls'!$B$23/25</x:f>
        <x:v>25</x:v>
      </x:c>
      <x:c r="M267" s="23" t="n">
        <x:f>J267*'Scenario Controls'!$B$24/15</x:f>
        <x:v>5</x:v>
      </x:c>
      <x:c r="N267" s="23" t="n">
        <x:f>IF(ISNUMBER(SEARCH("HEALTHY",X267)),10,IF(ISNUMBER(SEARCH("CONTAIN",X267)),6,0))*'Scenario Controls'!$B$25/10</x:f>
        <x:v>10</x:v>
      </x:c>
      <x:c r="O267" s="23" t="n">
        <x:f>SUM(K267:N267)</x:f>
        <x:v>40</x:v>
      </x:c>
      <x:c r="P267" s="15" t="str">
        <x:f>IF(OR(B267="",E267&lt;=0),"Evidence missing / not eligible",IF(ISNUMBER(SEARCH("priority TBD",Y267)),"Evidence missing / not eligible",IF(AND(H267="Carryover",NOT(ISNUMBER(F267))),"Evidence missing / not eligible",IF(AND(H267="Carryover",G267&lt;'Scenario Controls'!$B$16),"Evidence missing / not eligible",IF(AND(H267="ROI-Based Portfolio",NOT(ISNUMBER(F267))),"Evidence missing / not eligible",IF(AND(H267="ROI-Based Portfolio",O267&lt;'Scenario Controls'!$B$20),"Evidence missing / not eligible","Eligible"))))))</x:f>
        <x:v>Evidence missing / not eligible</x:v>
      </x:c>
      <x:c r="Q267" s="19" t="n">
        <x:f>IF(P267&lt;&gt;"Eligible",0,IF(AND(SUMIFS($Q$5:Q266,$H$5:H266,H267)+E267&lt;=(IF(H267="LFR",'Scenario Controls'!$F$10,IF(H267="Sustain Engineering",'Scenario Controls'!$F$11,IF(H267="Hygiene",'Scenario Controls'!$F$12,1E+99))))*(1+'Scenario Controls'!$B$7),SUM($Q$5:Q266)+E267&lt;='Scenario Controls'!$B$6*(1+'Scenario Controls'!$B$7)),E267,0))</x:f>
        <x:v>0</x:v>
      </x:c>
      <x:c r="R267" s="24" t="str">
        <x:f>'EW Conference'!G138</x:f>
        <x:v>Automatic</x:v>
      </x:c>
      <x:c r="S267" s="24" t="str">
        <x:f>'EW Conference'!H138</x:f>
      </x:c>
      <x:c r="T267" s="19" t="n">
        <x:f>IF(R267="Exclude",0,IF(R267="Include",E267,Q267))</x:f>
        <x:v>0</x:v>
      </x:c>
      <x:c r="U267" s="15" t="str">
        <x:f>IF(T267&gt;0,"Funded",IF(P267="Eligible","Unfunded",P267))</x:f>
        <x:v>Evidence missing / not eligible</x:v>
      </x:c>
      <x:c r="V267" s="15" t="str">
        <x:f>IF(R267="Include","Conference inclusion: "&amp;S267,IF(R267="Exclude","Conference exclusion: "&amp;S267,IF(Q267&gt;0,H267&amp;" priority rank "&amp;I267&amp;"; whole initiative selected",P267)))</x:f>
        <x:v>Evidence missing / not eligible</x:v>
      </x:c>
      <x:c r="W267" s="15" t="str">
        <x:v>EW!15</x:v>
      </x:c>
      <x:c r="X267" s="15" t="str">
        <x:v>HEALTHY</x:v>
      </x:c>
      <x:c r="Y267" s="15" t="str">
        <x:v>HEALTHY — Rank in priority matrix</x:v>
      </x:c>
      <x:c r="Z267" s="15" t="str">
        <x:v>New Technology</x:v>
      </x:c>
      <x:c r="AA267" s="15" t="str">
        <x:v>Carry Over</x:v>
      </x:c>
      <x:c r="AB267" s="15" t="str">
        <x:v>Group Functions &amp; Hyperautomation IT</x:v>
      </x:c>
      <x:c r="AC267" s="15" t="str">
        <x:v>2.3M - 6.6M detailed underpinning available</x:v>
      </x:c>
      <x:c r="AD267" s="15" t="str">
        <x:v>Digitization of manual and fragment C&amp;R and HHED process flows</x:v>
      </x:c>
      <x:c r="AE267" s="15" t="str">
        <x:v>Central C&amp;R, HHE and HHED processes</x:v>
      </x:c>
      <x:c r="AF267" s="15" t="str">
        <x:v>2.3M - 6.6M detailed underpinning available | Digitization of manual and fragment C&amp;R and HHED process flows | Central C&amp;R, HHE and HHED processes</x:v>
      </x:c>
      <x:c r="AG267" s="15" t="str">
        <x:v>Must Do</x:v>
      </x:c>
      <x:c r="AH267" s="15" t="n">
        <x:v>17</x:v>
      </x:c>
    </x:row>
    <x:row r="268">
      <x:c r="A268" s="15" t="str">
        <x:v>EW-35</x:v>
      </x:c>
      <x:c r="B268" s="15" t="str">
        <x:v>EDI - AI Innovation - MCP, Voice, Automation, Business Inisights App</x:v>
      </x:c>
      <x:c r="C268" s="15" t="str">
        <x:v>EW Led</x:v>
      </x:c>
      <x:c r="D268" s="15" t="str">
        <x:v>Information Technology</x:v>
      </x:c>
      <x:c r="E268" s="19" t="n">
        <x:v>0.6</x:v>
      </x:c>
      <x:c r="F268" s="19" t="n">
        <x:v>0</x:v>
      </x:c>
      <x:c r="G268" s="22" t="n">
        <x:f>IF(AND(E268&gt;0,ISNUMBER(F268)),F268/E268,"")</x:f>
        <x:v>0</x:v>
      </x:c>
      <x:c r="H268" s="15" t="str">
        <x:v>Carryover</x:v>
      </x:c>
      <x:c r="I268" s="15" t="n">
        <x:v>47</x:v>
      </x:c>
      <x:c r="J268" s="15" t="n">
        <x:v>5</x:v>
      </x:c>
      <x:c r="K268" s="23" t="n">
        <x:f>IF(G268="",0,IF(G268&lt;1,0,IF(G268&lt;2,20,IF(G268&lt;3,30,IF(G268&lt;5,40,50)))))*'Scenario Controls'!$B$22/50</x:f>
        <x:v>0</x:v>
      </x:c>
      <x:c r="L268" s="23" t="n">
        <x:f>IF(ISNUMBER(SEARCH("Must Do",AG268)),25,IF(ISNUMBER(SEARCH("Must Have",AG268)),18,IF(ISNUMBER(SEARCH("Deprior",AG268)),5,0)))*'Scenario Controls'!$B$23/25</x:f>
        <x:v>25</x:v>
      </x:c>
      <x:c r="M268" s="23" t="n">
        <x:f>J268*'Scenario Controls'!$B$24/15</x:f>
        <x:v>5</x:v>
      </x:c>
      <x:c r="N268" s="23" t="n">
        <x:f>IF(ISNUMBER(SEARCH("HEALTHY",X268)),10,IF(ISNUMBER(SEARCH("CONTAIN",X268)),6,0))*'Scenario Controls'!$B$25/10</x:f>
        <x:v>10</x:v>
      </x:c>
      <x:c r="O268" s="23" t="n">
        <x:f>SUM(K268:N268)</x:f>
        <x:v>40</x:v>
      </x:c>
      <x:c r="P268" s="15" t="str">
        <x:f>IF(OR(B268="",E268&lt;=0),"Evidence missing / not eligible",IF(ISNUMBER(SEARCH("priority TBD",Y268)),"Evidence missing / not eligible",IF(AND(H268="Carryover",NOT(ISNUMBER(F268))),"Evidence missing / not eligible",IF(AND(H268="Carryover",G268&lt;'Scenario Controls'!$B$16),"Evidence missing / not eligible",IF(AND(H268="ROI-Based Portfolio",NOT(ISNUMBER(F268))),"Evidence missing / not eligible",IF(AND(H268="ROI-Based Portfolio",O268&lt;'Scenario Controls'!$B$20),"Evidence missing / not eligible","Eligible"))))))</x:f>
        <x:v>Evidence missing / not eligible</x:v>
      </x:c>
      <x:c r="Q268" s="19" t="n">
        <x:f>IF(P268&lt;&gt;"Eligible",0,IF(AND(SUMIFS($Q$5:Q267,$H$5:H267,H268)+E268&lt;=(IF(H268="LFR",'Scenario Controls'!$F$10,IF(H268="Sustain Engineering",'Scenario Controls'!$F$11,IF(H268="Hygiene",'Scenario Controls'!$F$12,1E+99))))*(1+'Scenario Controls'!$B$7),SUM($Q$5:Q267)+E268&lt;='Scenario Controls'!$B$6*(1+'Scenario Controls'!$B$7)),E268,0))</x:f>
        <x:v>0</x:v>
      </x:c>
      <x:c r="R268" s="24" t="str">
        <x:f>'EW Conference'!G139</x:f>
        <x:v>Automatic</x:v>
      </x:c>
      <x:c r="S268" s="24" t="str">
        <x:f>'EW Conference'!H139</x:f>
      </x:c>
      <x:c r="T268" s="19" t="n">
        <x:f>IF(R268="Exclude",0,IF(R268="Include",E268,Q268))</x:f>
        <x:v>0</x:v>
      </x:c>
      <x:c r="U268" s="15" t="str">
        <x:f>IF(T268&gt;0,"Funded",IF(P268="Eligible","Unfunded",P268))</x:f>
        <x:v>Evidence missing / not eligible</x:v>
      </x:c>
      <x:c r="V268" s="15" t="str">
        <x:f>IF(R268="Include","Conference inclusion: "&amp;S268,IF(R268="Exclude","Conference exclusion: "&amp;S268,IF(Q268&gt;0,H268&amp;" priority rank "&amp;I268&amp;"; whole initiative selected",P268)))</x:f>
        <x:v>Evidence missing / not eligible</x:v>
      </x:c>
      <x:c r="W268" s="15" t="str">
        <x:v>EW!36</x:v>
      </x:c>
      <x:c r="X268" s="15" t="str">
        <x:v>HEALTHY</x:v>
      </x:c>
      <x:c r="Y268" s="15" t="str">
        <x:v>HEALTHY — Rank in priority matrix</x:v>
      </x:c>
      <x:c r="Z268" s="15" t="str">
        <x:v>AI Enablement</x:v>
      </x:c>
      <x:c r="AA268" s="15" t="str">
        <x:v>Carry Over</x:v>
      </x:c>
      <x:c r="AB268" s="15" t="str">
        <x:v>Enterprise Architecture, Data &amp; Integration</x:v>
      </x:c>
      <x:c r="AC268" s="15" t="str">
        <x:v>Business will fall back alternate solution in proliferation of AI Tools</x:v>
      </x:c>
      <x:c r="AD268" s="15" t="str">
        <x:v>Enabling Voice in AI use cases, Enabling MCP for exisitng IT capapbilites</x:v>
      </x:c>
      <x:c r="AE268" s="15" t="str">
        <x:v>ITaaP, AI Foundation, PH use cases, Services IT, Innovation IT and Group Function IT use cases</x:v>
      </x:c>
      <x:c r="AF268" s="15" t="str">
        <x:v>Business will fall back alternate solution in proliferation of AI Tools | Enabling Voice in AI use cases, Enabling MCP for exisitng IT capapbilites | ITaaP, AI Foundation, PH use cases, Services IT, Innovation IT and Group Function IT use cases</x:v>
      </x:c>
      <x:c r="AG268" s="15" t="str">
        <x:v>Must Do</x:v>
      </x:c>
      <x:c r="AH268" s="15" t="n">
        <x:v>38</x:v>
      </x:c>
    </x:row>
    <x:row r="269">
      <x:c r="A269" s="15" t="str">
        <x:v>EW-50</x:v>
      </x:c>
      <x:c r="B269" s="15" t="str">
        <x:v>Global Hold program Improvement</x:v>
      </x:c>
      <x:c r="C269" s="15" t="str">
        <x:v>EW Led</x:v>
      </x:c>
      <x:c r="D269" s="15" t="str">
        <x:v>Patient Safety &amp; Quality</x:v>
      </x:c>
      <x:c r="E269" s="19" t="n">
        <x:v>0.5</x:v>
      </x:c>
      <x:c r="F269" s="19" t="n">
        <x:v>0</x:v>
      </x:c>
      <x:c r="G269" s="22" t="n">
        <x:f>IF(AND(E269&gt;0,ISNUMBER(F269)),F269/E269,"")</x:f>
        <x:v>0</x:v>
      </x:c>
      <x:c r="H269" s="15" t="str">
        <x:v>Carryover</x:v>
      </x:c>
      <x:c r="I269" s="15" t="n">
        <x:v>48</x:v>
      </x:c>
      <x:c r="J269" s="15" t="n">
        <x:v>5</x:v>
      </x:c>
      <x:c r="K269" s="23" t="n">
        <x:f>IF(G269="",0,IF(G269&lt;1,0,IF(G269&lt;2,20,IF(G269&lt;3,30,IF(G269&lt;5,40,50)))))*'Scenario Controls'!$B$22/50</x:f>
        <x:v>0</x:v>
      </x:c>
      <x:c r="L269" s="23" t="n">
        <x:f>IF(ISNUMBER(SEARCH("Must Do",AG269)),25,IF(ISNUMBER(SEARCH("Must Have",AG269)),18,IF(ISNUMBER(SEARCH("Deprior",AG269)),5,0)))*'Scenario Controls'!$B$23/25</x:f>
        <x:v>25</x:v>
      </x:c>
      <x:c r="M269" s="23" t="n">
        <x:f>J269*'Scenario Controls'!$B$24/15</x:f>
        <x:v>5</x:v>
      </x:c>
      <x:c r="N269" s="23" t="n">
        <x:f>IF(ISNUMBER(SEARCH("HEALTHY",X269)),10,IF(ISNUMBER(SEARCH("CONTAIN",X269)),6,0))*'Scenario Controls'!$B$25/10</x:f>
        <x:v>10</x:v>
      </x:c>
      <x:c r="O269" s="23" t="n">
        <x:f>SUM(K269:N269)</x:f>
        <x:v>40</x:v>
      </x:c>
      <x:c r="P269" s="15" t="str">
        <x:f>IF(OR(B269="",E269&lt;=0),"Evidence missing / not eligible",IF(ISNUMBER(SEARCH("priority TBD",Y269)),"Evidence missing / not eligible",IF(AND(H269="Carryover",NOT(ISNUMBER(F269))),"Evidence missing / not eligible",IF(AND(H269="Carryover",G269&lt;'Scenario Controls'!$B$16),"Evidence missing / not eligible",IF(AND(H269="ROI-Based Portfolio",NOT(ISNUMBER(F269))),"Evidence missing / not eligible",IF(AND(H269="ROI-Based Portfolio",O269&lt;'Scenario Controls'!$B$20),"Evidence missing / not eligible","Eligible"))))))</x:f>
        <x:v>Evidence missing / not eligible</x:v>
      </x:c>
      <x:c r="Q269" s="19" t="n">
        <x:f>IF(P269&lt;&gt;"Eligible",0,IF(AND(SUMIFS($Q$5:Q268,$H$5:H268,H269)+E269&lt;=(IF(H269="LFR",'Scenario Controls'!$F$10,IF(H269="Sustain Engineering",'Scenario Controls'!$F$11,IF(H269="Hygiene",'Scenario Controls'!$F$12,1E+99))))*(1+'Scenario Controls'!$B$7),SUM($Q$5:Q268)+E269&lt;='Scenario Controls'!$B$6*(1+'Scenario Controls'!$B$7)),E269,0))</x:f>
        <x:v>0</x:v>
      </x:c>
      <x:c r="R269" s="24" t="str">
        <x:f>'EW Conference'!G140</x:f>
        <x:v>Automatic</x:v>
      </x:c>
      <x:c r="S269" s="24" t="str">
        <x:f>'EW Conference'!H140</x:f>
      </x:c>
      <x:c r="T269" s="19" t="n">
        <x:f>IF(R269="Exclude",0,IF(R269="Include",E269,Q269))</x:f>
        <x:v>0</x:v>
      </x:c>
      <x:c r="U269" s="15" t="str">
        <x:f>IF(T269&gt;0,"Funded",IF(P269="Eligible","Unfunded",P269))</x:f>
        <x:v>Evidence missing / not eligible</x:v>
      </x:c>
      <x:c r="V269" s="15" t="str">
        <x:f>IF(R269="Include","Conference inclusion: "&amp;S269,IF(R269="Exclude","Conference exclusion: "&amp;S269,IF(Q269&gt;0,H269&amp;" priority rank "&amp;I269&amp;"; whole initiative selected",P269)))</x:f>
        <x:v>Evidence missing / not eligible</x:v>
      </x:c>
      <x:c r="W269" s="15" t="str">
        <x:v>EW!48</x:v>
      </x:c>
      <x:c r="X269" s="15" t="str">
        <x:v>HEALTHY</x:v>
      </x:c>
      <x:c r="Y269" s="15" t="str">
        <x:v>HEALTHY — Rank in priority matrix</x:v>
      </x:c>
      <x:c r="Z269" s="15" t="str">
        <x:v>Legal Fiscal, Regulatory &amp; Compliancy</x:v>
      </x:c>
      <x:c r="AA269" s="15" t="str">
        <x:v>Carry Over</x:v>
      </x:c>
      <x:c r="AB269" s="15" t="str">
        <x:v>Group Functions &amp; Hyperautomation IT</x:v>
      </x:c>
      <x:c r="AC269" s="15" t="str">
        <x:v>2.9m total</x:v>
      </x:c>
      <x:c r="AD269" s="15" t="str">
        <x:v>Release 2 R2 implements integration that prevents product/part escapes for installable systems.</x:v>
      </x:c>
      <x:c r="AE269" s="15" t="str">
        <x:v>Servicemax Integration, lead deployment feedback resolution</x:v>
      </x:c>
      <x:c r="AF269" s="15" t="str">
        <x:v>2.9m total | Release 2 R2 implements integration that prevents product/part escapes for installable systems. | Servicemax Integration, lead deployment feedback resolution</x:v>
      </x:c>
      <x:c r="AG269" s="15" t="str">
        <x:v>Must Do</x:v>
      </x:c>
      <x:c r="AH269" s="15" t="n">
        <x:v>50</x:v>
      </x:c>
    </x:row>
    <x:row r="270">
      <x:c r="A270" s="15" t="str">
        <x:v>EW-73</x:v>
      </x:c>
      <x:c r="B270" s="15" t="str">
        <x:v>SPINE24</x:v>
      </x:c>
      <x:c r="C270" s="15" t="str">
        <x:v>EW Led</x:v>
      </x:c>
      <x:c r="D270" s="15" t="str">
        <x:v>Information Technology</x:v>
      </x:c>
      <x:c r="E270" s="19" t="n">
        <x:v>0</x:v>
      </x:c>
      <x:c r="F270" s="19" t="n">
        <x:v>0</x:v>
      </x:c>
      <x:c r="G270" s="22" t="str">
        <x:f>IF(AND(E270&gt;0,ISNUMBER(F270)),F270/E270,"")</x:f>
      </x:c>
      <x:c r="H270" s="15" t="str">
        <x:v>Carryover</x:v>
      </x:c>
      <x:c r="I270" s="15" t="n">
        <x:v>49</x:v>
      </x:c>
      <x:c r="J270" s="15" t="n">
        <x:v>5</x:v>
      </x:c>
      <x:c r="K270" s="23" t="n">
        <x:f>IF(G270="",0,IF(G270&lt;1,0,IF(G270&lt;2,20,IF(G270&lt;3,30,IF(G270&lt;5,40,50)))))*'Scenario Controls'!$B$22/50</x:f>
        <x:v>0</x:v>
      </x:c>
      <x:c r="L270" s="23" t="n">
        <x:f>IF(ISNUMBER(SEARCH("Must Do",AG270)),25,IF(ISNUMBER(SEARCH("Must Have",AG270)),18,IF(ISNUMBER(SEARCH("Deprior",AG270)),5,0)))*'Scenario Controls'!$B$23/25</x:f>
        <x:v>25</x:v>
      </x:c>
      <x:c r="M270" s="23" t="n">
        <x:f>J270*'Scenario Controls'!$B$24/15</x:f>
        <x:v>5</x:v>
      </x:c>
      <x:c r="N270" s="23" t="n">
        <x:f>IF(ISNUMBER(SEARCH("HEALTHY",X270)),10,IF(ISNUMBER(SEARCH("CONTAIN",X270)),6,0))*'Scenario Controls'!$B$25/10</x:f>
        <x:v>10</x:v>
      </x:c>
      <x:c r="O270" s="23" t="n">
        <x:f>SUM(K270:N270)</x:f>
        <x:v>40</x:v>
      </x:c>
      <x:c r="P270" s="15" t="str">
        <x:f>IF(OR(B270="",E270&lt;=0),"Evidence missing / not eligible",IF(ISNUMBER(SEARCH("priority TBD",Y270)),"Evidence missing / not eligible",IF(AND(H270="Carryover",NOT(ISNUMBER(F270))),"Evidence missing / not eligible",IF(AND(H270="Carryover",G270&lt;'Scenario Controls'!$B$16),"Evidence missing / not eligible",IF(AND(H270="ROI-Based Portfolio",NOT(ISNUMBER(F270))),"Evidence missing / not eligible",IF(AND(H270="ROI-Based Portfolio",O270&lt;'Scenario Controls'!$B$20),"Evidence missing / not eligible","Eligible"))))))</x:f>
        <x:v>Evidence missing / not eligible</x:v>
      </x:c>
      <x:c r="Q270" s="19" t="n">
        <x:f>IF(P270&lt;&gt;"Eligible",0,IF(AND(SUMIFS($Q$5:Q269,$H$5:H269,H270)+E270&lt;=(IF(H270="LFR",'Scenario Controls'!$F$10,IF(H270="Sustain Engineering",'Scenario Controls'!$F$11,IF(H270="Hygiene",'Scenario Controls'!$F$12,1E+99))))*(1+'Scenario Controls'!$B$7),SUM($Q$5:Q269)+E270&lt;='Scenario Controls'!$B$6*(1+'Scenario Controls'!$B$7)),E270,0))</x:f>
        <x:v>0</x:v>
      </x:c>
      <x:c r="R270" s="24" t="str">
        <x:f>'EW Conference'!G141</x:f>
        <x:v>Automatic</x:v>
      </x:c>
      <x:c r="S270" s="24" t="str">
        <x:f>'EW Conference'!H141</x:f>
      </x:c>
      <x:c r="T270" s="19" t="n">
        <x:f>IF(R270="Exclude",0,IF(R270="Include",E270,Q270))</x:f>
        <x:v>0</x:v>
      </x:c>
      <x:c r="U270" s="15" t="str">
        <x:f>IF(T270&gt;0,"Funded",IF(P270="Eligible","Unfunded",P270))</x:f>
        <x:v>Evidence missing / not eligible</x:v>
      </x:c>
      <x:c r="V270" s="15" t="str">
        <x:f>IF(R270="Include","Conference inclusion: "&amp;S270,IF(R270="Exclude","Conference exclusion: "&amp;S270,IF(Q270&gt;0,H270&amp;" priority rank "&amp;I270&amp;"; whole initiative selected",P270)))</x:f>
        <x:v>Evidence missing / not eligible</x:v>
      </x:c>
      <x:c r="W270" s="15" t="str">
        <x:v>EW!69</x:v>
      </x:c>
      <x:c r="X270" s="15" t="str">
        <x:v>HEALTHY</x:v>
      </x:c>
      <x:c r="Y270" s="15" t="str">
        <x:v>HEALTHY — Rank in priority matrix</x:v>
      </x:c>
      <x:c r="Z270" s="15" t="str">
        <x:v>New Technology</x:v>
      </x:c>
      <x:c r="AA270" s="15" t="str">
        <x:v>Carry Over</x:v>
      </x:c>
      <x:c r="AB270" s="15" t="str">
        <x:v>Integrated Supply Chain &amp; Finance</x:v>
      </x:c>
      <x:c r="AC270" s="15" t="str">
        <x:v>Risk of business interruption for core Finance and ISC. Follows SAP strategy that is under finalization, - investment case being worked upon</x:v>
      </x:c>
      <x:c r="AD270" s="15" t="str"/>
      <x:c r="AE270" s="15" t="str"/>
      <x:c r="AF270" s="15" t="str">
        <x:v>Risk of business interruption for core Finance and ISC. Follows SAP strategy that is under finalization, - investment case being worked upon</x:v>
      </x:c>
      <x:c r="AG270" s="15" t="str">
        <x:v>Must Do</x:v>
      </x:c>
      <x:c r="AH270" s="15" t="n">
        <x:v>71</x:v>
      </x:c>
    </x:row>
    <x:row r="271">
      <x:c r="A271" s="15" t="str">
        <x:v>EW-74</x:v>
      </x:c>
      <x:c r="B271" s="15" t="str">
        <x:v>Future MES</x:v>
      </x:c>
      <x:c r="C271" s="15" t="str">
        <x:v>EW Led</x:v>
      </x:c>
      <x:c r="D271" s="15" t="str">
        <x:v>Information Technology</x:v>
      </x:c>
      <x:c r="E271" s="19" t="n">
        <x:v>3.2</x:v>
      </x:c>
      <x:c r="F271" s="19" t="n">
        <x:v>0</x:v>
      </x:c>
      <x:c r="G271" s="22" t="n">
        <x:f>IF(AND(E271&gt;0,ISNUMBER(F271)),F271/E271,"")</x:f>
        <x:v>0</x:v>
      </x:c>
      <x:c r="H271" s="15" t="str">
        <x:v>Carryover</x:v>
      </x:c>
      <x:c r="I271" s="15" t="n">
        <x:v>50</x:v>
      </x:c>
      <x:c r="J271" s="15" t="n">
        <x:v>5</x:v>
      </x:c>
      <x:c r="K271" s="23" t="n">
        <x:f>IF(G271="",0,IF(G271&lt;1,0,IF(G271&lt;2,20,IF(G271&lt;3,30,IF(G271&lt;5,40,50)))))*'Scenario Controls'!$B$22/50</x:f>
        <x:v>0</x:v>
      </x:c>
      <x:c r="L271" s="23" t="n">
        <x:f>IF(ISNUMBER(SEARCH("Must Do",AG271)),25,IF(ISNUMBER(SEARCH("Must Have",AG271)),18,IF(ISNUMBER(SEARCH("Deprior",AG271)),5,0)))*'Scenario Controls'!$B$23/25</x:f>
        <x:v>25</x:v>
      </x:c>
      <x:c r="M271" s="23" t="n">
        <x:f>J271*'Scenario Controls'!$B$24/15</x:f>
        <x:v>5</x:v>
      </x:c>
      <x:c r="N271" s="23" t="n">
        <x:f>IF(ISNUMBER(SEARCH("HEALTHY",X271)),10,IF(ISNUMBER(SEARCH("CONTAIN",X271)),6,0))*'Scenario Controls'!$B$25/10</x:f>
        <x:v>10</x:v>
      </x:c>
      <x:c r="O271" s="23" t="n">
        <x:f>SUM(K271:N271)</x:f>
        <x:v>40</x:v>
      </x:c>
      <x:c r="P271" s="15" t="str">
        <x:f>IF(OR(B271="",E271&lt;=0),"Evidence missing / not eligible",IF(ISNUMBER(SEARCH("priority TBD",Y271)),"Evidence missing / not eligible",IF(AND(H271="Carryover",NOT(ISNUMBER(F271))),"Evidence missing / not eligible",IF(AND(H271="Carryover",G271&lt;'Scenario Controls'!$B$16),"Evidence missing / not eligible",IF(AND(H271="ROI-Based Portfolio",NOT(ISNUMBER(F271))),"Evidence missing / not eligible",IF(AND(H271="ROI-Based Portfolio",O271&lt;'Scenario Controls'!$B$20),"Evidence missing / not eligible","Eligible"))))))</x:f>
        <x:v>Evidence missing / not eligible</x:v>
      </x:c>
      <x:c r="Q271" s="19" t="n">
        <x:f>IF(P271&lt;&gt;"Eligible",0,IF(AND(SUMIFS($Q$5:Q270,$H$5:H270,H271)+E271&lt;=(IF(H271="LFR",'Scenario Controls'!$F$10,IF(H271="Sustain Engineering",'Scenario Controls'!$F$11,IF(H271="Hygiene",'Scenario Controls'!$F$12,1E+99))))*(1+'Scenario Controls'!$B$7),SUM($Q$5:Q270)+E271&lt;='Scenario Controls'!$B$6*(1+'Scenario Controls'!$B$7)),E271,0))</x:f>
        <x:v>0</x:v>
      </x:c>
      <x:c r="R271" s="24" t="str">
        <x:f>'EW Conference'!G142</x:f>
        <x:v>Automatic</x:v>
      </x:c>
      <x:c r="S271" s="24" t="str">
        <x:f>'EW Conference'!H142</x:f>
      </x:c>
      <x:c r="T271" s="19" t="n">
        <x:f>IF(R271="Exclude",0,IF(R271="Include",E271,Q271))</x:f>
        <x:v>0</x:v>
      </x:c>
      <x:c r="U271" s="15" t="str">
        <x:f>IF(T271&gt;0,"Funded",IF(P271="Eligible","Unfunded",P271))</x:f>
        <x:v>Evidence missing / not eligible</x:v>
      </x:c>
      <x:c r="V271" s="15" t="str">
        <x:f>IF(R271="Include","Conference inclusion: "&amp;S271,IF(R271="Exclude","Conference exclusion: "&amp;S271,IF(Q271&gt;0,H271&amp;" priority rank "&amp;I271&amp;"; whole initiative selected",P271)))</x:f>
        <x:v>Evidence missing / not eligible</x:v>
      </x:c>
      <x:c r="W271" s="15" t="str">
        <x:v>EW!70</x:v>
      </x:c>
      <x:c r="X271" s="15" t="str">
        <x:v>HEALTHY</x:v>
      </x:c>
      <x:c r="Y271" s="15" t="str">
        <x:v>HEALTHY — Rank in priority matrix</x:v>
      </x:c>
      <x:c r="Z271" s="15" t="str">
        <x:v>New Technology</x:v>
      </x:c>
      <x:c r="AA271" s="15" t="str">
        <x:v>Carry Over</x:v>
      </x:c>
      <x:c r="AB271" s="15" t="str">
        <x:v>Integrated Supply Chain &amp; Finance</x:v>
      </x:c>
      <x:c r="AC271" s="15" t="str">
        <x:v>Current MES version will hit end of life soon and will be unsupported increasing risk exposure of business continuity for manufacturing sites</x:v>
      </x:c>
      <x:c r="AD271" s="15" t="str"/>
      <x:c r="AE271" s="15" t="str"/>
      <x:c r="AF271" s="15" t="str">
        <x:v>Current MES version will hit end of life soon and will be unsupported increasing risk exposure of business continuity for manufacturing sites</x:v>
      </x:c>
      <x:c r="AG271" s="15" t="str">
        <x:v>Must Do</x:v>
      </x:c>
      <x:c r="AH271" s="15" t="n">
        <x:v>72</x:v>
      </x:c>
    </x:row>
    <x:row r="272">
      <x:c r="A272" s="15" t="str">
        <x:v>EW-115</x:v>
      </x:c>
      <x:c r="B272" s="15" t="str">
        <x:v>RFP.ai</x:v>
      </x:c>
      <x:c r="C272" s="15" t="str">
        <x:v>EW Led</x:v>
      </x:c>
      <x:c r="D272" s="15" t="str">
        <x:v>Information Technology</x:v>
      </x:c>
      <x:c r="E272" s="19" t="n">
        <x:v>0.5</x:v>
      </x:c>
      <x:c r="F272" s="19" t="n">
        <x:v>0</x:v>
      </x:c>
      <x:c r="G272" s="22" t="n">
        <x:f>IF(AND(E272&gt;0,ISNUMBER(F272)),F272/E272,"")</x:f>
        <x:v>0</x:v>
      </x:c>
      <x:c r="H272" s="15" t="str">
        <x:v>Carryover</x:v>
      </x:c>
      <x:c r="I272" s="15" t="n">
        <x:v>51</x:v>
      </x:c>
      <x:c r="J272" s="15" t="n">
        <x:v>5</x:v>
      </x:c>
      <x:c r="K272" s="23" t="n">
        <x:f>IF(G272="",0,IF(G272&lt;1,0,IF(G272&lt;2,20,IF(G272&lt;3,30,IF(G272&lt;5,40,50)))))*'Scenario Controls'!$B$22/50</x:f>
        <x:v>0</x:v>
      </x:c>
      <x:c r="L272" s="23" t="n">
        <x:f>IF(ISNUMBER(SEARCH("Must Do",AG272)),25,IF(ISNUMBER(SEARCH("Must Have",AG272)),18,IF(ISNUMBER(SEARCH("Deprior",AG272)),5,0)))*'Scenario Controls'!$B$23/25</x:f>
        <x:v>25</x:v>
      </x:c>
      <x:c r="M272" s="23" t="n">
        <x:f>J272*'Scenario Controls'!$B$24/15</x:f>
        <x:v>5</x:v>
      </x:c>
      <x:c r="N272" s="23" t="n">
        <x:f>IF(ISNUMBER(SEARCH("HEALTHY",X272)),10,IF(ISNUMBER(SEARCH("CONTAIN",X272)),6,0))*'Scenario Controls'!$B$25/10</x:f>
        <x:v>10</x:v>
      </x:c>
      <x:c r="O272" s="23" t="n">
        <x:f>SUM(K272:N272)</x:f>
        <x:v>40</x:v>
      </x:c>
      <x:c r="P272" s="15" t="str">
        <x:f>IF(OR(B272="",E272&lt;=0),"Evidence missing / not eligible",IF(ISNUMBER(SEARCH("priority TBD",Y272)),"Evidence missing / not eligible",IF(AND(H272="Carryover",NOT(ISNUMBER(F272))),"Evidence missing / not eligible",IF(AND(H272="Carryover",G272&lt;'Scenario Controls'!$B$16),"Evidence missing / not eligible",IF(AND(H272="ROI-Based Portfolio",NOT(ISNUMBER(F272))),"Evidence missing / not eligible",IF(AND(H272="ROI-Based Portfolio",O272&lt;'Scenario Controls'!$B$20),"Evidence missing / not eligible","Eligible"))))))</x:f>
        <x:v>Evidence missing / not eligible</x:v>
      </x:c>
      <x:c r="Q272" s="19" t="n">
        <x:f>IF(P272&lt;&gt;"Eligible",0,IF(AND(SUMIFS($Q$5:Q271,$H$5:H271,H272)+E272&lt;=(IF(H272="LFR",'Scenario Controls'!$F$10,IF(H272="Sustain Engineering",'Scenario Controls'!$F$11,IF(H272="Hygiene",'Scenario Controls'!$F$12,1E+99))))*(1+'Scenario Controls'!$B$7),SUM($Q$5:Q271)+E272&lt;='Scenario Controls'!$B$6*(1+'Scenario Controls'!$B$7)),E272,0))</x:f>
        <x:v>0</x:v>
      </x:c>
      <x:c r="R272" s="24" t="str">
        <x:f>'EW Conference'!G143</x:f>
        <x:v>Automatic</x:v>
      </x:c>
      <x:c r="S272" s="24" t="str">
        <x:f>'EW Conference'!H143</x:f>
      </x:c>
      <x:c r="T272" s="19" t="n">
        <x:f>IF(R272="Exclude",0,IF(R272="Include",E272,Q272))</x:f>
        <x:v>0</x:v>
      </x:c>
      <x:c r="U272" s="15" t="str">
        <x:f>IF(T272&gt;0,"Funded",IF(P272="Eligible","Unfunded",P272))</x:f>
        <x:v>Evidence missing / not eligible</x:v>
      </x:c>
      <x:c r="V272" s="15" t="str">
        <x:f>IF(R272="Include","Conference inclusion: "&amp;S272,IF(R272="Exclude","Conference exclusion: "&amp;S272,IF(Q272&gt;0,H272&amp;" priority rank "&amp;I272&amp;"; whole initiative selected",P272)))</x:f>
        <x:v>Evidence missing / not eligible</x:v>
      </x:c>
      <x:c r="W272" s="15" t="str">
        <x:v>EW!111</x:v>
      </x:c>
      <x:c r="X272" s="15" t="str">
        <x:v>HEALTHY</x:v>
      </x:c>
      <x:c r="Y272" s="15" t="str">
        <x:v>HEALTHY — Rank in priority matrix</x:v>
      </x:c>
      <x:c r="Z272" s="15" t="str">
        <x:v>AI Enablement</x:v>
      </x:c>
      <x:c r="AA272" s="15" t="str">
        <x:v>Carry Over</x:v>
      </x:c>
      <x:c r="AB272" s="15" t="str">
        <x:v>Commercial IT</x:v>
      </x:c>
      <x:c r="AC272" s="15" t="str">
        <x:v>Sales productivity improvement</x:v>
      </x:c>
      <x:c r="AD272" s="15" t="str"/>
      <x:c r="AE272" s="15" t="str"/>
      <x:c r="AF272" s="15" t="str">
        <x:v>Sales productivity improvement</x:v>
      </x:c>
      <x:c r="AG272" s="15" t="str">
        <x:v>Must Do</x:v>
      </x:c>
      <x:c r="AH272" s="15" t="n">
        <x:v>113</x:v>
      </x:c>
    </x:row>
    <x:row r="273">
      <x:c r="A273" s="15" t="str">
        <x:v>EW-138</x:v>
      </x:c>
      <x:c r="B273" s="15" t="str">
        <x:v>FIN-RTR ChatBOT</x:v>
      </x:c>
      <x:c r="C273" s="15" t="str">
        <x:v>EW Led</x:v>
      </x:c>
      <x:c r="D273" s="15" t="str">
        <x:v>Information Technology</x:v>
      </x:c>
      <x:c r="E273" s="19" t="n">
        <x:v>0</x:v>
      </x:c>
      <x:c r="F273" s="19" t="n">
        <x:v>0</x:v>
      </x:c>
      <x:c r="G273" s="22" t="str">
        <x:f>IF(AND(E273&gt;0,ISNUMBER(F273)),F273/E273,"")</x:f>
      </x:c>
      <x:c r="H273" s="15" t="str">
        <x:v>Carryover</x:v>
      </x:c>
      <x:c r="I273" s="15" t="n">
        <x:v>52</x:v>
      </x:c>
      <x:c r="J273" s="15" t="n">
        <x:v>5</x:v>
      </x:c>
      <x:c r="K273" s="23" t="n">
        <x:f>IF(G273="",0,IF(G273&lt;1,0,IF(G273&lt;2,20,IF(G273&lt;3,30,IF(G273&lt;5,40,50)))))*'Scenario Controls'!$B$22/50</x:f>
        <x:v>0</x:v>
      </x:c>
      <x:c r="L273" s="23" t="n">
        <x:f>IF(ISNUMBER(SEARCH("Must Do",AG273)),25,IF(ISNUMBER(SEARCH("Must Have",AG273)),18,IF(ISNUMBER(SEARCH("Deprior",AG273)),5,0)))*'Scenario Controls'!$B$23/25</x:f>
        <x:v>25</x:v>
      </x:c>
      <x:c r="M273" s="23" t="n">
        <x:f>J273*'Scenario Controls'!$B$24/15</x:f>
        <x:v>5</x:v>
      </x:c>
      <x:c r="N273" s="23" t="n">
        <x:f>IF(ISNUMBER(SEARCH("HEALTHY",X273)),10,IF(ISNUMBER(SEARCH("CONTAIN",X273)),6,0))*'Scenario Controls'!$B$25/10</x:f>
        <x:v>10</x:v>
      </x:c>
      <x:c r="O273" s="23" t="n">
        <x:f>SUM(K273:N273)</x:f>
        <x:v>40</x:v>
      </x:c>
      <x:c r="P273" s="15" t="str">
        <x:f>IF(OR(B273="",E273&lt;=0),"Evidence missing / not eligible",IF(ISNUMBER(SEARCH("priority TBD",Y273)),"Evidence missing / not eligible",IF(AND(H273="Carryover",NOT(ISNUMBER(F273))),"Evidence missing / not eligible",IF(AND(H273="Carryover",G273&lt;'Scenario Controls'!$B$16),"Evidence missing / not eligible",IF(AND(H273="ROI-Based Portfolio",NOT(ISNUMBER(F273))),"Evidence missing / not eligible",IF(AND(H273="ROI-Based Portfolio",O273&lt;'Scenario Controls'!$B$20),"Evidence missing / not eligible","Eligible"))))))</x:f>
        <x:v>Evidence missing / not eligible</x:v>
      </x:c>
      <x:c r="Q273" s="19" t="n">
        <x:f>IF(P273&lt;&gt;"Eligible",0,IF(AND(SUMIFS($Q$5:Q272,$H$5:H272,H273)+E273&lt;=(IF(H273="LFR",'Scenario Controls'!$F$10,IF(H273="Sustain Engineering",'Scenario Controls'!$F$11,IF(H273="Hygiene",'Scenario Controls'!$F$12,1E+99))))*(1+'Scenario Controls'!$B$7),SUM($Q$5:Q272)+E273&lt;='Scenario Controls'!$B$6*(1+'Scenario Controls'!$B$7)),E273,0))</x:f>
        <x:v>0</x:v>
      </x:c>
      <x:c r="R273" s="24" t="str">
        <x:f>'EW Conference'!G144</x:f>
        <x:v>Automatic</x:v>
      </x:c>
      <x:c r="S273" s="24" t="str">
        <x:f>'EW Conference'!H144</x:f>
      </x:c>
      <x:c r="T273" s="19" t="n">
        <x:f>IF(R273="Exclude",0,IF(R273="Include",E273,Q273))</x:f>
        <x:v>0</x:v>
      </x:c>
      <x:c r="U273" s="15" t="str">
        <x:f>IF(T273&gt;0,"Funded",IF(P273="Eligible","Unfunded",P273))</x:f>
        <x:v>Evidence missing / not eligible</x:v>
      </x:c>
      <x:c r="V273" s="15" t="str">
        <x:f>IF(R273="Include","Conference inclusion: "&amp;S273,IF(R273="Exclude","Conference exclusion: "&amp;S273,IF(Q273&gt;0,H273&amp;" priority rank "&amp;I273&amp;"; whole initiative selected",P273)))</x:f>
        <x:v>Evidence missing / not eligible</x:v>
      </x:c>
      <x:c r="W273" s="15" t="str">
        <x:v>EW!134</x:v>
      </x:c>
      <x:c r="X273" s="15" t="str">
        <x:v>HEALTHY</x:v>
      </x:c>
      <x:c r="Y273" s="15" t="str">
        <x:v>HEALTHY — Rank in priority matrix</x:v>
      </x:c>
      <x:c r="Z273" s="15" t="str">
        <x:v>AI Enablement</x:v>
      </x:c>
      <x:c r="AA273" s="15" t="str">
        <x:v>Carry Over</x:v>
      </x:c>
      <x:c r="AB273" s="15" t="str">
        <x:v>Integrated Supply Chain &amp; Finance</x:v>
      </x:c>
      <x:c r="AC273" s="15" t="str">
        <x:v>MJV ChatBot automation not realized;</x:v>
      </x:c>
      <x:c r="AD273" s="15" t="str"/>
      <x:c r="AE273" s="15" t="str"/>
      <x:c r="AF273" s="15" t="str">
        <x:v>MJV ChatBot automation not realized;</x:v>
      </x:c>
      <x:c r="AG273" s="15" t="str">
        <x:v>Must Do</x:v>
      </x:c>
      <x:c r="AH273" s="15" t="n">
        <x:v>136</x:v>
      </x:c>
    </x:row>
    <x:row r="274">
      <x:c r="A274" s="15" t="str">
        <x:v>EW-05</x:v>
      </x:c>
      <x:c r="B274" s="15" t="str">
        <x:v>Boardroom Intelligence</x:v>
      </x:c>
      <x:c r="C274" s="15" t="str">
        <x:v>EW Led</x:v>
      </x:c>
      <x:c r="D274" s="15" t="str">
        <x:v>Group Security</x:v>
      </x:c>
      <x:c r="E274" s="19" t="n">
        <x:v>0.15</x:v>
      </x:c>
      <x:c r="F274" s="19" t="n">
        <x:v>0</x:v>
      </x:c>
      <x:c r="G274" s="22" t="n">
        <x:f>IF(AND(E274&gt;0,ISNUMBER(F274)),F274/E274,"")</x:f>
        <x:v>0</x:v>
      </x:c>
      <x:c r="H274" s="15" t="str">
        <x:v>Carryover</x:v>
      </x:c>
      <x:c r="I274" s="15" t="n">
        <x:v>53</x:v>
      </x:c>
      <x:c r="J274" s="15" t="n">
        <x:v>10</x:v>
      </x:c>
      <x:c r="K274" s="23" t="n">
        <x:f>IF(G274="",0,IF(G274&lt;1,0,IF(G274&lt;2,20,IF(G274&lt;3,30,IF(G274&lt;5,40,50)))))*'Scenario Controls'!$B$22/50</x:f>
        <x:v>0</x:v>
      </x:c>
      <x:c r="L274" s="23" t="n">
        <x:f>IF(ISNUMBER(SEARCH("Must Do",AG274)),25,IF(ISNUMBER(SEARCH("Must Have",AG274)),18,IF(ISNUMBER(SEARCH("Deprior",AG274)),5,0)))*'Scenario Controls'!$B$23/25</x:f>
        <x:v>18</x:v>
      </x:c>
      <x:c r="M274" s="23" t="n">
        <x:f>J274*'Scenario Controls'!$B$24/15</x:f>
        <x:v>10</x:v>
      </x:c>
      <x:c r="N274" s="23" t="n">
        <x:f>IF(ISNUMBER(SEARCH("HEALTHY",X274)),10,IF(ISNUMBER(SEARCH("CONTAIN",X274)),6,0))*'Scenario Controls'!$B$25/10</x:f>
        <x:v>10</x:v>
      </x:c>
      <x:c r="O274" s="23" t="n">
        <x:f>SUM(K274:N274)</x:f>
        <x:v>38</x:v>
      </x:c>
      <x:c r="P274" s="15" t="str">
        <x:f>IF(OR(B274="",E274&lt;=0),"Evidence missing / not eligible",IF(ISNUMBER(SEARCH("priority TBD",Y274)),"Evidence missing / not eligible",IF(AND(H274="Carryover",NOT(ISNUMBER(F274))),"Evidence missing / not eligible",IF(AND(H274="Carryover",G274&lt;'Scenario Controls'!$B$16),"Evidence missing / not eligible",IF(AND(H274="ROI-Based Portfolio",NOT(ISNUMBER(F274))),"Evidence missing / not eligible",IF(AND(H274="ROI-Based Portfolio",O274&lt;'Scenario Controls'!$B$20),"Evidence missing / not eligible","Eligible"))))))</x:f>
        <x:v>Evidence missing / not eligible</x:v>
      </x:c>
      <x:c r="Q274" s="19" t="n">
        <x:f>IF(P274&lt;&gt;"Eligible",0,IF(AND(SUMIFS($Q$5:Q273,$H$5:H273,H274)+E274&lt;=(IF(H274="LFR",'Scenario Controls'!$F$10,IF(H274="Sustain Engineering",'Scenario Controls'!$F$11,IF(H274="Hygiene",'Scenario Controls'!$F$12,1E+99))))*(1+'Scenario Controls'!$B$7),SUM($Q$5:Q273)+E274&lt;='Scenario Controls'!$B$6*(1+'Scenario Controls'!$B$7)),E274,0))</x:f>
        <x:v>0</x:v>
      </x:c>
      <x:c r="R274" s="24" t="str">
        <x:f>'EW Conference'!G145</x:f>
        <x:v>Automatic</x:v>
      </x:c>
      <x:c r="S274" s="24" t="str">
        <x:f>'EW Conference'!H145</x:f>
      </x:c>
      <x:c r="T274" s="19" t="n">
        <x:f>IF(R274="Exclude",0,IF(R274="Include",E274,Q274))</x:f>
        <x:v>0</x:v>
      </x:c>
      <x:c r="U274" s="15" t="str">
        <x:f>IF(T274&gt;0,"Funded",IF(P274="Eligible","Unfunded",P274))</x:f>
        <x:v>Evidence missing / not eligible</x:v>
      </x:c>
      <x:c r="V274" s="15" t="str">
        <x:f>IF(R274="Include","Conference inclusion: "&amp;S274,IF(R274="Exclude","Conference exclusion: "&amp;S274,IF(Q274&gt;0,H274&amp;" priority rank "&amp;I274&amp;"; whole initiative selected",P274)))</x:f>
        <x:v>Evidence missing / not eligible</x:v>
      </x:c>
      <x:c r="W274" s="15" t="str">
        <x:v>EW!8</x:v>
      </x:c>
      <x:c r="X274" s="15" t="str">
        <x:v>HEALTHY</x:v>
      </x:c>
      <x:c r="Y274" s="15" t="str">
        <x:v>HEALTHY — Rank in priority matrix</x:v>
      </x:c>
      <x:c r="Z274" s="15" t="str">
        <x:v>New Technology</x:v>
      </x:c>
      <x:c r="AA274" s="15" t="str">
        <x:v>Carry Over</x:v>
      </x:c>
      <x:c r="AB274" s="15" t="str">
        <x:v>Group Functions &amp; Hyperautomation IT</x:v>
      </x:c>
      <x:c r="AC274" s="15" t="str">
        <x:v>ExCo members would have to continue to use a legacy solution for collaborations (like sharing confidential files etc)</x:v>
      </x:c>
      <x:c r="AD274" s="15" t="str">
        <x:v>Currently ExCo and Supervisory Board uses SaaS called ""Brainloop"" for secured storing and sharing of meeting agendas, documents, minutes, decisions made etc.</x:v>
      </x:c>
      <x:c r="AE274" s="15" t="str">
        <x: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x:v>
      </x:c>
      <x:c r="AF274" s="15" t="str">
        <x:v>ExCo members would have to continue to use a legacy solution for collaborations (like sharing confidential files etc) | Currently ExCo and Supervisory Board uses SaaS called ""Brainloop"" for secured storing and sharing of meeting agendas, documents, minutes, decisions made etc. |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x:v>
      </x:c>
      <x:c r="AG274" s="15" t="str">
        <x:v>Must Have</x:v>
      </x:c>
      <x:c r="AH274" s="15" t="n">
        <x:v>10</x:v>
      </x:c>
    </x:row>
    <x:row r="275">
      <x:c r="A275" s="15" t="str">
        <x:v>Bu-15</x:v>
      </x:c>
      <x:c r="B275" s="15" t="str">
        <x:v>HPM - Sofon Q2O automation</x:v>
      </x:c>
      <x:c r="C275" s="15" t="str">
        <x:v>BU Led</x:v>
      </x:c>
      <x:c r="D275" s="15" t="str">
        <x:v>Monitoring - HPM (MCH)</x:v>
      </x:c>
      <x:c r="E275" s="19" t="n">
        <x:v>0.2</x:v>
      </x:c>
      <x:c r="F275" s="19" t="n">
        <x:v>0</x:v>
      </x:c>
      <x:c r="G275" s="22" t="n">
        <x:f>IF(AND(E275&gt;0,ISNUMBER(F275)),F275/E275,"")</x:f>
        <x:v>0</x:v>
      </x:c>
      <x:c r="H275" s="15" t="str">
        <x:v>Carryover</x:v>
      </x:c>
      <x:c r="I275" s="15" t="n">
        <x:v>54</x:v>
      </x:c>
      <x:c r="J275" s="15" t="n">
        <x:v>5</x:v>
      </x:c>
      <x:c r="K275" s="23" t="n">
        <x:f>IF(G275="",0,IF(G275&lt;1,0,IF(G275&lt;2,20,IF(G275&lt;3,30,IF(G275&lt;5,40,50)))))*'Scenario Controls'!$B$22/50</x:f>
        <x:v>0</x:v>
      </x:c>
      <x:c r="L275" s="23" t="n">
        <x:f>IF(ISNUMBER(SEARCH("Must Do",AG275)),25,IF(ISNUMBER(SEARCH("Must Have",AG275)),18,IF(ISNUMBER(SEARCH("Deprior",AG275)),5,0)))*'Scenario Controls'!$B$23/25</x:f>
        <x:v>25</x:v>
      </x:c>
      <x:c r="M275" s="23" t="n">
        <x:f>J275*'Scenario Controls'!$B$24/15</x:f>
        <x:v>5</x:v>
      </x:c>
      <x:c r="N275" s="23" t="n">
        <x:f>IF(ISNUMBER(SEARCH("HEALTHY",X275)),10,IF(ISNUMBER(SEARCH("CONTAIN",X275)),6,0))*'Scenario Controls'!$B$25/10</x:f>
        <x:v>6</x:v>
      </x:c>
      <x:c r="O275" s="23" t="n">
        <x:f>SUM(K275:N275)</x:f>
        <x:v>36</x:v>
      </x:c>
      <x:c r="P275" s="15" t="str">
        <x:f>IF(OR(B275="",E275&lt;=0),"Evidence missing / not eligible",IF(ISNUMBER(SEARCH("priority TBD",Y275)),"Evidence missing / not eligible",IF(AND(H275="Carryover",NOT(ISNUMBER(F275))),"Evidence missing / not eligible",IF(AND(H275="Carryover",G275&lt;'Scenario Controls'!$B$16),"Evidence missing / not eligible",IF(AND(H275="ROI-Based Portfolio",NOT(ISNUMBER(F275))),"Evidence missing / not eligible",IF(AND(H275="ROI-Based Portfolio",O275&lt;'Scenario Controls'!$B$20),"Evidence missing / not eligible","Eligible"))))))</x:f>
        <x:v>Evidence missing / not eligible</x:v>
      </x:c>
      <x:c r="Q275" s="19" t="n">
        <x:f>IF(P275&lt;&gt;"Eligible",0,IF(AND(SUMIFS($Q$5:Q274,$H$5:H274,H275)+E275&lt;=(IF(H275="LFR",'Scenario Controls'!$F$10,IF(H275="Sustain Engineering",'Scenario Controls'!$F$11,IF(H275="Hygiene",'Scenario Controls'!$F$12,1E+99))))*(1+'Scenario Controls'!$B$7),SUM($Q$5:Q274)+E275&lt;='Scenario Controls'!$B$6*(1+'Scenario Controls'!$B$7)),E275,0))</x:f>
        <x:v>0</x:v>
      </x:c>
      <x:c r="R275" s="24" t="str">
        <x:f>'BU Conference'!G135</x:f>
        <x:v>Automatic</x:v>
      </x:c>
      <x:c r="S275" s="24" t="str">
        <x:f>'BU Conference'!H135</x:f>
      </x:c>
      <x:c r="T275" s="19" t="n">
        <x:f>IF(R275="Exclude",0,IF(R275="Include",E275,Q275))</x:f>
        <x:v>0</x:v>
      </x:c>
      <x:c r="U275" s="15" t="str">
        <x:f>IF(T275&gt;0,"Funded",IF(P275="Eligible","Unfunded",P275))</x:f>
        <x:v>Evidence missing / not eligible</x:v>
      </x:c>
      <x:c r="V275" s="15" t="str">
        <x:f>IF(R275="Include","Conference inclusion: "&amp;S275,IF(R275="Exclude","Conference exclusion: "&amp;S275,IF(Q275&gt;0,H275&amp;" priority rank "&amp;I275&amp;"; whole initiative selected",P275)))</x:f>
        <x:v>Evidence missing / not eligible</x:v>
      </x:c>
      <x:c r="W275" s="15" t="str">
        <x:v>Bu!24</x:v>
      </x:c>
      <x:c r="X275" s="15" t="str">
        <x:v>CONTAIN</x:v>
      </x:c>
      <x:c r="Y275" s="15" t="str">
        <x:v>CONTAIN — Conditions</x:v>
      </x:c>
      <x:c r="Z275" s="15" t="str">
        <x:v>New Technology</x:v>
      </x:c>
      <x:c r="AA275" s="15" t="str">
        <x:v>Carry Over</x:v>
      </x:c>
      <x:c r="AB275" s="15" t="str">
        <x:v>Commercial IT</x:v>
      </x:c>
      <x:c r="AC275" s="15" t="str">
        <x:v>Carry Over stops</x:v>
      </x:c>
      <x:c r="AD275" s="15" t="str"/>
      <x:c r="AE275" s="15" t="str"/>
      <x:c r="AF275" s="15" t="str">
        <x:v>Carry Over stops</x:v>
      </x:c>
      <x:c r="AG275" s="15" t="str">
        <x:v>Must Do</x:v>
      </x:c>
      <x:c r="AH275" s="15" t="n">
        <x:v>200</x:v>
      </x:c>
    </x:row>
    <x:row r="276">
      <x:c r="A276" s="15" t="str">
        <x:v>Bu-16</x:v>
      </x:c>
      <x:c r="B276" s="15" t="str">
        <x:v>HPM - AI capabilities</x:v>
      </x:c>
      <x:c r="C276" s="15" t="str">
        <x:v>BU Led</x:v>
      </x:c>
      <x:c r="D276" s="15" t="str">
        <x:v>Monitoring - HPM (MCH)</x:v>
      </x:c>
      <x:c r="E276" s="19" t="n">
        <x:v>0.5</x:v>
      </x:c>
      <x:c r="F276" s="19" t="n">
        <x:v>0</x:v>
      </x:c>
      <x:c r="G276" s="22" t="n">
        <x:f>IF(AND(E276&gt;0,ISNUMBER(F276)),F276/E276,"")</x:f>
        <x:v>0</x:v>
      </x:c>
      <x:c r="H276" s="15" t="str">
        <x:v>Carryover</x:v>
      </x:c>
      <x:c r="I276" s="15" t="n">
        <x:v>55</x:v>
      </x:c>
      <x:c r="J276" s="15" t="n">
        <x:v>5</x:v>
      </x:c>
      <x:c r="K276" s="23" t="n">
        <x:f>IF(G276="",0,IF(G276&lt;1,0,IF(G276&lt;2,20,IF(G276&lt;3,30,IF(G276&lt;5,40,50)))))*'Scenario Controls'!$B$22/50</x:f>
        <x:v>0</x:v>
      </x:c>
      <x:c r="L276" s="23" t="n">
        <x:f>IF(ISNUMBER(SEARCH("Must Do",AG276)),25,IF(ISNUMBER(SEARCH("Must Have",AG276)),18,IF(ISNUMBER(SEARCH("Deprior",AG276)),5,0)))*'Scenario Controls'!$B$23/25</x:f>
        <x:v>25</x:v>
      </x:c>
      <x:c r="M276" s="23" t="n">
        <x:f>J276*'Scenario Controls'!$B$24/15</x:f>
        <x:v>5</x:v>
      </x:c>
      <x:c r="N276" s="23" t="n">
        <x:f>IF(ISNUMBER(SEARCH("HEALTHY",X276)),10,IF(ISNUMBER(SEARCH("CONTAIN",X276)),6,0))*'Scenario Controls'!$B$25/10</x:f>
        <x:v>6</x:v>
      </x:c>
      <x:c r="O276" s="23" t="n">
        <x:f>SUM(K276:N276)</x:f>
        <x:v>36</x:v>
      </x:c>
      <x:c r="P276" s="15" t="str">
        <x:f>IF(OR(B276="",E276&lt;=0),"Evidence missing / not eligible",IF(ISNUMBER(SEARCH("priority TBD",Y276)),"Evidence missing / not eligible",IF(AND(H276="Carryover",NOT(ISNUMBER(F276))),"Evidence missing / not eligible",IF(AND(H276="Carryover",G276&lt;'Scenario Controls'!$B$16),"Evidence missing / not eligible",IF(AND(H276="ROI-Based Portfolio",NOT(ISNUMBER(F276))),"Evidence missing / not eligible",IF(AND(H276="ROI-Based Portfolio",O276&lt;'Scenario Controls'!$B$20),"Evidence missing / not eligible","Eligible"))))))</x:f>
        <x:v>Evidence missing / not eligible</x:v>
      </x:c>
      <x:c r="Q276" s="19" t="n">
        <x:f>IF(P276&lt;&gt;"Eligible",0,IF(AND(SUMIFS($Q$5:Q275,$H$5:H275,H276)+E276&lt;=(IF(H276="LFR",'Scenario Controls'!$F$10,IF(H276="Sustain Engineering",'Scenario Controls'!$F$11,IF(H276="Hygiene",'Scenario Controls'!$F$12,1E+99))))*(1+'Scenario Controls'!$B$7),SUM($Q$5:Q275)+E276&lt;='Scenario Controls'!$B$6*(1+'Scenario Controls'!$B$7)),E276,0))</x:f>
        <x:v>0</x:v>
      </x:c>
      <x:c r="R276" s="24" t="str">
        <x:f>'BU Conference'!G136</x:f>
        <x:v>Automatic</x:v>
      </x:c>
      <x:c r="S276" s="24" t="str">
        <x:f>'BU Conference'!H136</x:f>
      </x:c>
      <x:c r="T276" s="19" t="n">
        <x:f>IF(R276="Exclude",0,IF(R276="Include",E276,Q276))</x:f>
        <x:v>0</x:v>
      </x:c>
      <x:c r="U276" s="15" t="str">
        <x:f>IF(T276&gt;0,"Funded",IF(P276="Eligible","Unfunded",P276))</x:f>
        <x:v>Evidence missing / not eligible</x:v>
      </x:c>
      <x:c r="V276" s="15" t="str">
        <x:f>IF(R276="Include","Conference inclusion: "&amp;S276,IF(R276="Exclude","Conference exclusion: "&amp;S276,IF(Q276&gt;0,H276&amp;" priority rank "&amp;I276&amp;"; whole initiative selected",P276)))</x:f>
        <x:v>Evidence missing / not eligible</x:v>
      </x:c>
      <x:c r="W276" s="15" t="str">
        <x:v>Bu!25</x:v>
      </x:c>
      <x:c r="X276" s="15" t="str">
        <x:v>CONTAIN</x:v>
      </x:c>
      <x:c r="Y276" s="15" t="str">
        <x:v>CONTAIN — Conditions</x:v>
      </x:c>
      <x:c r="Z276" s="15" t="str">
        <x:v>New Feature</x:v>
      </x:c>
      <x:c r="AA276" s="15" t="str">
        <x:v>Carry Over</x:v>
      </x:c>
      <x:c r="AB276" s="15" t="str">
        <x:v>Innovation and Digital IT</x:v>
      </x:c>
      <x:c r="AC276" s="15" t="str">
        <x:v>Carry Over stops</x:v>
      </x:c>
      <x:c r="AD276" s="15" t="str"/>
      <x:c r="AE276" s="15" t="str"/>
      <x:c r="AF276" s="15" t="str">
        <x:v>Carry Over stops</x:v>
      </x:c>
      <x:c r="AG276" s="15" t="str">
        <x:v>Must Do</x:v>
      </x:c>
      <x:c r="AH276" s="15" t="n">
        <x:v>201</x:v>
      </x:c>
    </x:row>
    <x:row r="277">
      <x:c r="A277" s="15" t="str">
        <x:v>Bu-36</x:v>
      </x:c>
      <x:c r="B277" s="15" t="str">
        <x:v>58. Akamai replatforming (Identify &amp; Access Management)</x:v>
      </x:c>
      <x:c r="C277" s="15" t="str">
        <x:v>BU Led</x:v>
      </x:c>
      <x:c r="D277" s="15" t="str">
        <x:v>Personal Health (PH)</x:v>
      </x:c>
      <x:c r="E277" s="19" t="n">
        <x:v>1.27</x:v>
      </x:c>
      <x:c r="F277" s="19" t="n">
        <x:v>0</x:v>
      </x:c>
      <x:c r="G277" s="22" t="n">
        <x:f>IF(AND(E277&gt;0,ISNUMBER(F277)),F277/E277,"")</x:f>
        <x:v>0</x:v>
      </x:c>
      <x:c r="H277" s="15" t="str">
        <x:v>Carryover</x:v>
      </x:c>
      <x:c r="I277" s="15" t="n">
        <x:v>56</x:v>
      </x:c>
      <x:c r="J277" s="15" t="n">
        <x:v>10</x:v>
      </x:c>
      <x:c r="K277" s="23" t="n">
        <x:f>IF(G277="",0,IF(G277&lt;1,0,IF(G277&lt;2,20,IF(G277&lt;3,30,IF(G277&lt;5,40,50)))))*'Scenario Controls'!$B$22/50</x:f>
        <x:v>0</x:v>
      </x:c>
      <x:c r="L277" s="23" t="n">
        <x:f>IF(ISNUMBER(SEARCH("Must Do",AG277)),25,IF(ISNUMBER(SEARCH("Must Have",AG277)),18,IF(ISNUMBER(SEARCH("Deprior",AG277)),5,0)))*'Scenario Controls'!$B$23/25</x:f>
        <x:v>25</x:v>
      </x:c>
      <x:c r="M277" s="23" t="n">
        <x:f>J277*'Scenario Controls'!$B$24/15</x:f>
        <x:v>10</x:v>
      </x:c>
      <x:c r="N277" s="23" t="n">
        <x:f>IF(ISNUMBER(SEARCH("HEALTHY",X277)),10,IF(ISNUMBER(SEARCH("CONTAIN",X277)),6,0))*'Scenario Controls'!$B$25/10</x:f>
        <x:v>0</x:v>
      </x:c>
      <x:c r="O277" s="23" t="n">
        <x:f>SUM(K277:N277)</x:f>
        <x:v>35</x:v>
      </x:c>
      <x:c r="P277" s="15" t="str">
        <x:f>IF(OR(B277="",E277&lt;=0),"Evidence missing / not eligible",IF(ISNUMBER(SEARCH("priority TBD",Y277)),"Evidence missing / not eligible",IF(AND(H277="Carryover",NOT(ISNUMBER(F277))),"Evidence missing / not eligible",IF(AND(H277="Carryover",G277&lt;'Scenario Controls'!$B$16),"Evidence missing / not eligible",IF(AND(H277="ROI-Based Portfolio",NOT(ISNUMBER(F277))),"Evidence missing / not eligible",IF(AND(H277="ROI-Based Portfolio",O277&lt;'Scenario Controls'!$B$20),"Evidence missing / not eligible","Eligible"))))))</x:f>
        <x:v>Evidence missing / not eligible</x:v>
      </x:c>
      <x:c r="Q277" s="19" t="n">
        <x:f>IF(P277&lt;&gt;"Eligible",0,IF(AND(SUMIFS($Q$5:Q276,$H$5:H276,H277)+E277&lt;=(IF(H277="LFR",'Scenario Controls'!$F$10,IF(H277="Sustain Engineering",'Scenario Controls'!$F$11,IF(H277="Hygiene",'Scenario Controls'!$F$12,1E+99))))*(1+'Scenario Controls'!$B$7),SUM($Q$5:Q276)+E277&lt;='Scenario Controls'!$B$6*(1+'Scenario Controls'!$B$7)),E277,0))</x:f>
        <x:v>0</x:v>
      </x:c>
      <x:c r="R277" s="24" t="str">
        <x:f>'BU Conference'!G137</x:f>
        <x:v>Automatic</x:v>
      </x:c>
      <x:c r="S277" s="24" t="str">
        <x:f>'BU Conference'!H137</x:f>
      </x:c>
      <x:c r="T277" s="19" t="n">
        <x:f>IF(R277="Exclude",0,IF(R277="Include",E277,Q277))</x:f>
        <x:v>0</x:v>
      </x:c>
      <x:c r="U277" s="15" t="str">
        <x:f>IF(T277&gt;0,"Funded",IF(P277="Eligible","Unfunded",P277))</x:f>
        <x:v>Evidence missing / not eligible</x:v>
      </x:c>
      <x:c r="V277" s="15" t="str">
        <x:f>IF(R277="Include","Conference inclusion: "&amp;S277,IF(R277="Exclude","Conference exclusion: "&amp;S277,IF(Q277&gt;0,H277&amp;" priority rank "&amp;I277&amp;"; whole initiative selected",P277)))</x:f>
        <x:v>Evidence missing / not eligible</x:v>
      </x:c>
      <x:c r="W277" s="15" t="str">
        <x:v>Bu!99</x:v>
      </x:c>
      <x:c r="X277" s="15" t="str"/>
      <x:c r="Y277" s="15" t="str"/>
      <x:c r="Z277" s="15" t="str">
        <x:v>New Technology</x:v>
      </x:c>
      <x:c r="AA277" s="15" t="str">
        <x:v>Carry Over</x:v>
      </x:c>
      <x:c r="AB277" s="15" t="str">
        <x:v>Innovation and Digital IT</x:v>
      </x:c>
      <x:c r="AC277" s="15" t="str">
        <x:v>No migration to Consumer identiy and Access management platforms, Risk of losing credibility with non-secure systems</x:v>
      </x:c>
      <x:c r="AD277" s="15" t="str">
        <x:v>Our objective is to continue the migration to the new Consumer Identity and Access Management (CIAM) platforms, building upon the work in 2026, ensuring completion by 2027.</x:v>
      </x:c>
      <x:c r="AE277" s="15" t="str">
        <x: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x:v>
      </x:c>
      <x:c r="AF277" s="15" t="str">
        <x:v>No migration to Consumer identiy and Access management platforms, Risk of losing credibility with non-secure systems | Our objective is to continue the migration to the new Consumer Identity and Access Management (CIAM) platforms, building upon the work in 2026, ensuring completion by 2027. |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x:v>
      </x:c>
      <x:c r="AG277" s="15" t="str">
        <x:v>Must Do</x:v>
      </x:c>
      <x:c r="AH277" s="15" t="n">
        <x:v>221</x:v>
      </x:c>
    </x:row>
    <x:row r="278">
      <x:c r="A278" s="15" t="str">
        <x:v>Bu-54</x:v>
      </x:c>
      <x:c r="B278" s="15" t="str">
        <x:v>Procurement</x:v>
      </x:c>
      <x:c r="C278" s="15" t="str">
        <x:v>BU Led</x:v>
      </x:c>
      <x:c r="D278" s="15" t="str">
        <x:v>Integrated Supply Chain (ISC)</x:v>
      </x:c>
      <x:c r="E278" s="19" t="n">
        <x:v>0.22</x:v>
      </x:c>
      <x:c r="F278" s="19" t="n">
        <x:v>0</x:v>
      </x:c>
      <x:c r="G278" s="22" t="n">
        <x:f>IF(AND(E278&gt;0,ISNUMBER(F278)),F278/E278,"")</x:f>
        <x:v>0</x:v>
      </x:c>
      <x:c r="H278" s="15" t="str">
        <x:v>Carryover</x:v>
      </x:c>
      <x:c r="I278" s="15" t="n">
        <x:v>57</x:v>
      </x:c>
      <x:c r="J278" s="15" t="n">
        <x:v>0</x:v>
      </x:c>
      <x:c r="K278" s="23" t="n">
        <x:f>IF(G278="",0,IF(G278&lt;1,0,IF(G278&lt;2,20,IF(G278&lt;3,30,IF(G278&lt;5,40,50)))))*'Scenario Controls'!$B$22/50</x:f>
        <x:v>0</x:v>
      </x:c>
      <x:c r="L278" s="23" t="n">
        <x:f>IF(ISNUMBER(SEARCH("Must Do",AG278)),25,IF(ISNUMBER(SEARCH("Must Have",AG278)),18,IF(ISNUMBER(SEARCH("Deprior",AG278)),5,0)))*'Scenario Controls'!$B$23/25</x:f>
        <x:v>25</x:v>
      </x:c>
      <x:c r="M278" s="23" t="n">
        <x:f>J278*'Scenario Controls'!$B$24/15</x:f>
        <x:v>0</x:v>
      </x:c>
      <x:c r="N278" s="23" t="n">
        <x:f>IF(ISNUMBER(SEARCH("HEALTHY",X278)),10,IF(ISNUMBER(SEARCH("CONTAIN",X278)),6,0))*'Scenario Controls'!$B$25/10</x:f>
        <x:v>10</x:v>
      </x:c>
      <x:c r="O278" s="23" t="n">
        <x:f>SUM(K278:N278)</x:f>
        <x:v>35</x:v>
      </x:c>
      <x:c r="P278" s="15" t="str">
        <x:f>IF(OR(B278="",E278&lt;=0),"Evidence missing / not eligible",IF(ISNUMBER(SEARCH("priority TBD",Y278)),"Evidence missing / not eligible",IF(AND(H278="Carryover",NOT(ISNUMBER(F278))),"Evidence missing / not eligible",IF(AND(H278="Carryover",G278&lt;'Scenario Controls'!$B$16),"Evidence missing / not eligible",IF(AND(H278="ROI-Based Portfolio",NOT(ISNUMBER(F278))),"Evidence missing / not eligible",IF(AND(H278="ROI-Based Portfolio",O278&lt;'Scenario Controls'!$B$20),"Evidence missing / not eligible","Eligible"))))))</x:f>
        <x:v>Evidence missing / not eligible</x:v>
      </x:c>
      <x:c r="Q278" s="19" t="n">
        <x:f>IF(P278&lt;&gt;"Eligible",0,IF(AND(SUMIFS($Q$5:Q277,$H$5:H277,H278)+E278&lt;=(IF(H278="LFR",'Scenario Controls'!$F$10,IF(H278="Sustain Engineering",'Scenario Controls'!$F$11,IF(H278="Hygiene",'Scenario Controls'!$F$12,1E+99))))*(1+'Scenario Controls'!$B$7),SUM($Q$5:Q277)+E278&lt;='Scenario Controls'!$B$6*(1+'Scenario Controls'!$B$7)),E278,0))</x:f>
        <x:v>0</x:v>
      </x:c>
      <x:c r="R278" s="24" t="str">
        <x:f>'BU Conference'!G138</x:f>
        <x:v>Automatic</x:v>
      </x:c>
      <x:c r="S278" s="24" t="str">
        <x:f>'BU Conference'!H138</x:f>
      </x:c>
      <x:c r="T278" s="19" t="n">
        <x:f>IF(R278="Exclude",0,IF(R278="Include",E278,Q278))</x:f>
        <x:v>0</x:v>
      </x:c>
      <x:c r="U278" s="15" t="str">
        <x:f>IF(T278&gt;0,"Funded",IF(P278="Eligible","Unfunded",P278))</x:f>
        <x:v>Evidence missing / not eligible</x:v>
      </x:c>
      <x:c r="V278" s="15" t="str">
        <x:f>IF(R278="Include","Conference inclusion: "&amp;S278,IF(R278="Exclude","Conference exclusion: "&amp;S278,IF(Q278&gt;0,H278&amp;" priority rank "&amp;I278&amp;"; whole initiative selected",P278)))</x:f>
        <x:v>Evidence missing / not eligible</x:v>
      </x:c>
      <x:c r="W278" s="15" t="str">
        <x:v>Bu!118</x:v>
      </x:c>
      <x:c r="X278" s="15" t="str">
        <x:v>HEALTHY</x:v>
      </x:c>
      <x:c r="Y278" s="15" t="str">
        <x:v>HEALTHY — Rank in priority matrix</x:v>
      </x:c>
      <x:c r="Z278" s="15" t="str"/>
      <x:c r="AA278" s="15" t="str">
        <x:v>Carry Over</x:v>
      </x:c>
      <x:c r="AB278" s="15" t="str">
        <x:v>Integrated Supply Chain &amp; Finance</x:v>
      </x:c>
      <x:c r="AC278" s="15" t="str"/>
      <x:c r="AD278" s="15" t="str"/>
      <x:c r="AE278" s="15" t="str"/>
      <x:c r="AF278" s="15" t="str"/>
      <x:c r="AG278" s="15" t="str">
        <x:v>Must Do</x:v>
      </x:c>
      <x:c r="AH278" s="15" t="n">
        <x:v>231</x:v>
      </x:c>
    </x:row>
    <x:row r="279">
      <x:c r="A279" s="15" t="str">
        <x:v>Bu-264</x:v>
      </x:c>
      <x:c r="B279" s="15" t="str">
        <x:v>Rotterdam - Codebeamer</x:v>
      </x:c>
      <x:c r="C279" s="15" t="str">
        <x:v>BU Led</x:v>
      </x:c>
      <x:c r="D279" s="15" t="str">
        <x:v>Image Guided Therapy - Devices (IGT-D)</x:v>
      </x:c>
      <x:c r="E279" s="19" t="n">
        <x:v>2.64</x:v>
      </x:c>
      <x:c r="F279" s="19" t="n">
        <x:v>0</x:v>
      </x:c>
      <x:c r="G279" s="22" t="n">
        <x:f>IF(AND(E279&gt;0,ISNUMBER(F279)),F279/E279,"")</x:f>
        <x:v>0</x:v>
      </x:c>
      <x:c r="H279" s="15" t="str">
        <x:v>Carryover</x:v>
      </x:c>
      <x:c r="I279" s="15" t="n">
        <x:v>58</x:v>
      </x:c>
      <x:c r="J279" s="15" t="n">
        <x:v>10</x:v>
      </x:c>
      <x:c r="K279" s="23" t="n">
        <x:f>IF(G279="",0,IF(G279&lt;1,0,IF(G279&lt;2,20,IF(G279&lt;3,30,IF(G279&lt;5,40,50)))))*'Scenario Controls'!$B$22/50</x:f>
        <x:v>0</x:v>
      </x:c>
      <x:c r="L279" s="23" t="n">
        <x:f>IF(ISNUMBER(SEARCH("Must Do",AG279)),25,IF(ISNUMBER(SEARCH("Must Have",AG279)),18,IF(ISNUMBER(SEARCH("Deprior",AG279)),5,0)))*'Scenario Controls'!$B$23/25</x:f>
        <x:v>25</x:v>
      </x:c>
      <x:c r="M279" s="23" t="n">
        <x:f>J279*'Scenario Controls'!$B$24/15</x:f>
        <x:v>10</x:v>
      </x:c>
      <x:c r="N279" s="23" t="n">
        <x:f>IF(ISNUMBER(SEARCH("HEALTHY",X279)),10,IF(ISNUMBER(SEARCH("CONTAIN",X279)),6,0))*'Scenario Controls'!$B$25/10</x:f>
        <x:v>0</x:v>
      </x:c>
      <x:c r="O279" s="23" t="n">
        <x:f>SUM(K279:N279)</x:f>
        <x:v>35</x:v>
      </x:c>
      <x:c r="P279" s="15" t="str">
        <x:f>IF(OR(B279="",E279&lt;=0),"Evidence missing / not eligible",IF(ISNUMBER(SEARCH("priority TBD",Y279)),"Evidence missing / not eligible",IF(AND(H279="Carryover",NOT(ISNUMBER(F279))),"Evidence missing / not eligible",IF(AND(H279="Carryover",G279&lt;'Scenario Controls'!$B$16),"Evidence missing / not eligible",IF(AND(H279="ROI-Based Portfolio",NOT(ISNUMBER(F279))),"Evidence missing / not eligible",IF(AND(H279="ROI-Based Portfolio",O279&lt;'Scenario Controls'!$B$20),"Evidence missing / not eligible","Eligible"))))))</x:f>
        <x:v>Evidence missing / not eligible</x:v>
      </x:c>
      <x:c r="Q279" s="19" t="n">
        <x:f>IF(P279&lt;&gt;"Eligible",0,IF(AND(SUMIFS($Q$5:Q278,$H$5:H278,H279)+E279&lt;=(IF(H279="LFR",'Scenario Controls'!$F$10,IF(H279="Sustain Engineering",'Scenario Controls'!$F$11,IF(H279="Hygiene",'Scenario Controls'!$F$12,1E+99))))*(1+'Scenario Controls'!$B$7),SUM($Q$5:Q278)+E279&lt;='Scenario Controls'!$B$6*(1+'Scenario Controls'!$B$7)),E279,0))</x:f>
        <x:v>0</x:v>
      </x:c>
      <x:c r="R279" s="24" t="str">
        <x:f>'BU Conference'!G139</x:f>
        <x:v>Automatic</x:v>
      </x:c>
      <x:c r="S279" s="24" t="str">
        <x:f>'BU Conference'!H139</x:f>
      </x:c>
      <x:c r="T279" s="19" t="n">
        <x:f>IF(R279="Exclude",0,IF(R279="Include",E279,Q279))</x:f>
        <x:v>0</x:v>
      </x:c>
      <x:c r="U279" s="15" t="str">
        <x:f>IF(T279&gt;0,"Funded",IF(P279="Eligible","Unfunded",P279))</x:f>
        <x:v>Evidence missing / not eligible</x:v>
      </x:c>
      <x:c r="V279" s="15" t="str">
        <x:f>IF(R279="Include","Conference inclusion: "&amp;S279,IF(R279="Exclude","Conference exclusion: "&amp;S279,IF(Q279&gt;0,H279&amp;" priority rank "&amp;I279&amp;"; whole initiative selected",P279)))</x:f>
        <x:v>Evidence missing / not eligible</x:v>
      </x:c>
      <x:c r="W279" s="15" t="str">
        <x:v>Bu!572</x:v>
      </x:c>
      <x:c r="X279" s="15" t="str"/>
      <x:c r="Y279" s="15" t="str"/>
      <x:c r="Z279" s="15" t="str">
        <x:v>New Technology</x:v>
      </x:c>
      <x:c r="AA279" s="15" t="str">
        <x:v>Carry Over</x:v>
      </x:c>
      <x:c r="AB279" s="15" t="str">
        <x:v>Innovation and Digital IT</x:v>
      </x:c>
      <x:c r="AC279" s="15" t="str">
        <x:v>Will not get out of document-based activities, which will delay our transition to data-driven (Digital Thread) towards E2E and automated Digitalization of Innovation. Delays in R&amp;D and impact on compliance and audit readiness.</x:v>
      </x:c>
      <x:c r="AD279" s="15" t="str">
        <x:v>Currently document based content is managed in various legacy tools (of which, most with no vendor support and potential security concerns) with significant manual effort.</x:v>
      </x:c>
      <x:c r="AE279" s="15" t="str">
        <x:v>Codebeamer ALM application lifecycle management (ALM) solution 2027: new feature development, first year or additional licenses, and implementation aligned to BU handshake priorities and funding agreed</x:v>
      </x:c>
      <x:c r="AF279" s="15" t="str">
        <x:v>Will not get out of document-based activities, which will delay our transition to data-driven (Digital Thread) towards E2E and automated Digitalization of Innovation. Delays in R&amp;D and impact on compliance and audit readiness. | Currently document based content is managed in various legacy tools (of which, most with no vendor support and potential security concerns) with significant manual effort. | Codebeamer ALM application lifecycle management (ALM) solution 2027: new feature development, first year or additional licenses, and implementation aligned to BU handshake priorities and funding agreed</x:v>
      </x:c>
      <x:c r="AG279" s="15" t="str">
        <x:v>Must Do</x:v>
      </x:c>
      <x:c r="AH279" s="15" t="n">
        <x:v>444</x:v>
      </x:c>
    </x:row>
    <x:row r="280">
      <x:c r="A280" s="15" t="str">
        <x:v>Bu-287</x:v>
      </x:c>
      <x:c r="B280" s="15" t="str">
        <x:v>72. O2C simplification: Smart Allocation &amp; Agentic AI</x:v>
      </x:c>
      <x:c r="C280" s="15" t="str">
        <x:v>BU Led</x:v>
      </x:c>
      <x:c r="D280" s="15" t="str">
        <x:v>Personal Health (PH)</x:v>
      </x:c>
      <x:c r="E280" s="19" t="n">
        <x:v>1.08</x:v>
      </x:c>
      <x:c r="F280" s="19" t="n">
        <x:v>0</x:v>
      </x:c>
      <x:c r="G280" s="22" t="n">
        <x:f>IF(AND(E280&gt;0,ISNUMBER(F280)),F280/E280,"")</x:f>
        <x:v>0</x:v>
      </x:c>
      <x:c r="H280" s="15" t="str">
        <x:v>Carryover</x:v>
      </x:c>
      <x:c r="I280" s="15" t="n">
        <x:v>59</x:v>
      </x:c>
      <x:c r="J280" s="15" t="n">
        <x:v>10</x:v>
      </x:c>
      <x:c r="K280" s="23" t="n">
        <x:f>IF(G280="",0,IF(G280&lt;1,0,IF(G280&lt;2,20,IF(G280&lt;3,30,IF(G280&lt;5,40,50)))))*'Scenario Controls'!$B$22/50</x:f>
        <x:v>0</x:v>
      </x:c>
      <x:c r="L280" s="23" t="n">
        <x:f>IF(ISNUMBER(SEARCH("Must Do",AG280)),25,IF(ISNUMBER(SEARCH("Must Have",AG280)),18,IF(ISNUMBER(SEARCH("Deprior",AG280)),5,0)))*'Scenario Controls'!$B$23/25</x:f>
        <x:v>25</x:v>
      </x:c>
      <x:c r="M280" s="23" t="n">
        <x:f>J280*'Scenario Controls'!$B$24/15</x:f>
        <x:v>10</x:v>
      </x:c>
      <x:c r="N280" s="23" t="n">
        <x:f>IF(ISNUMBER(SEARCH("HEALTHY",X280)),10,IF(ISNUMBER(SEARCH("CONTAIN",X280)),6,0))*'Scenario Controls'!$B$25/10</x:f>
        <x:v>0</x:v>
      </x:c>
      <x:c r="O280" s="23" t="n">
        <x:f>SUM(K280:N280)</x:f>
        <x:v>35</x:v>
      </x:c>
      <x:c r="P280" s="15" t="str">
        <x:f>IF(OR(B280="",E280&lt;=0),"Evidence missing / not eligible",IF(ISNUMBER(SEARCH("priority TBD",Y280)),"Evidence missing / not eligible",IF(AND(H280="Carryover",NOT(ISNUMBER(F280))),"Evidence missing / not eligible",IF(AND(H280="Carryover",G280&lt;'Scenario Controls'!$B$16),"Evidence missing / not eligible",IF(AND(H280="ROI-Based Portfolio",NOT(ISNUMBER(F280))),"Evidence missing / not eligible",IF(AND(H280="ROI-Based Portfolio",O280&lt;'Scenario Controls'!$B$20),"Evidence missing / not eligible","Eligible"))))))</x:f>
        <x:v>Evidence missing / not eligible</x:v>
      </x:c>
      <x:c r="Q280" s="19" t="n">
        <x:f>IF(P280&lt;&gt;"Eligible",0,IF(AND(SUMIFS($Q$5:Q279,$H$5:H279,H280)+E280&lt;=(IF(H280="LFR",'Scenario Controls'!$F$10,IF(H280="Sustain Engineering",'Scenario Controls'!$F$11,IF(H280="Hygiene",'Scenario Controls'!$F$12,1E+99))))*(1+'Scenario Controls'!$B$7),SUM($Q$5:Q279)+E280&lt;='Scenario Controls'!$B$6*(1+'Scenario Controls'!$B$7)),E280,0))</x:f>
        <x:v>0</x:v>
      </x:c>
      <x:c r="R280" s="24" t="str">
        <x:f>'BU Conference'!G140</x:f>
        <x:v>Automatic</x:v>
      </x:c>
      <x:c r="S280" s="24" t="str">
        <x:f>'BU Conference'!H140</x:f>
      </x:c>
      <x:c r="T280" s="19" t="n">
        <x:f>IF(R280="Exclude",0,IF(R280="Include",E280,Q280))</x:f>
        <x:v>0</x:v>
      </x:c>
      <x:c r="U280" s="15" t="str">
        <x:f>IF(T280&gt;0,"Funded",IF(P280="Eligible","Unfunded",P280))</x:f>
        <x:v>Evidence missing / not eligible</x:v>
      </x:c>
      <x:c r="V280" s="15" t="str">
        <x:f>IF(R280="Include","Conference inclusion: "&amp;S280,IF(R280="Exclude","Conference exclusion: "&amp;S280,IF(Q280&gt;0,H280&amp;" priority rank "&amp;I280&amp;"; whole initiative selected",P280)))</x:f>
        <x:v>Evidence missing / not eligible</x:v>
      </x:c>
      <x:c r="W280" s="15" t="str">
        <x:v>Bu!597</x:v>
      </x:c>
      <x:c r="X280" s="15" t="str"/>
      <x:c r="Y280" s="15" t="str"/>
      <x:c r="Z280" s="15" t="str">
        <x:v>AI Enablement</x:v>
      </x:c>
      <x:c r="AA280" s="15" t="str">
        <x:v>Carry Over</x:v>
      </x:c>
      <x:c r="AB280" s="15" t="str">
        <x:v>Integrated Supply Chain &amp; Finance</x:v>
      </x:c>
      <x:c r="AC280" s="15" t="str">
        <x:v>Order Management will remain highly manual and fragmented, limiting touchless processing, productivity gains, scalable execution, and customer experience.</x:v>
      </x:c>
      <x:c r="AD280" s="15" t="str">
        <x: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x:v>
      </x:c>
      <x:c r="AE280" s="15" t="str">
        <x:v>Key capabilities: 1) Smart Allocation MVP2 and scale up Smart Allocation model 2) Agentic AI MVP2 (mass order creation and change, enhanced resolution for incompletions) 3) Agentic AI MVP3 (dynamic correct., connecting with customer systems)</x:v>
      </x:c>
      <x:c r="AF280" s="15" t="str">
        <x:v>Order Management will remain highly manual and fragmented, limiting touchless processing, productivity gains, scalable execution, and customer experience. |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 Key capabilities: 1) Smart Allocation MVP2 and scale up Smart Allocation model 2) Agentic AI MVP2 (mass order creation and change, enhanced resolution for incompletions) 3) Agentic AI MVP3 (dynamic correct., connecting with customer systems)</x:v>
      </x:c>
      <x:c r="AG280" s="15" t="str">
        <x:v>Must Do</x:v>
      </x:c>
      <x:c r="AH280" s="15" t="n">
        <x:v>464</x:v>
      </x:c>
    </x:row>
    <x:row r="281">
      <x:c r="A281" s="15" t="str">
        <x:v>Bu-52</x:v>
      </x:c>
      <x:c r="B281" s="15" t="str">
        <x:v>Web Replatforming SRC - phase 2</x:v>
      </x:c>
      <x:c r="C281" s="15" t="str">
        <x:v>BU Led</x:v>
      </x:c>
      <x:c r="D281" s="15" t="str">
        <x:v>Sleep &amp; Respiratory Care (SRC)</x:v>
      </x:c>
      <x:c r="E281" s="19" t="n">
        <x:v>0.85</x:v>
      </x:c>
      <x:c r="F281" s="19" t="n">
        <x:v>0</x:v>
      </x:c>
      <x:c r="G281" s="22" t="n">
        <x:f>IF(AND(E281&gt;0,ISNUMBER(F281)),F281/E281,"")</x:f>
        <x:v>0</x:v>
      </x:c>
      <x:c r="H281" s="15" t="str">
        <x:v>Carryover</x:v>
      </x:c>
      <x:c r="I281" s="15" t="n">
        <x:v>60</x:v>
      </x:c>
      <x:c r="J281" s="15" t="n">
        <x:v>5</x:v>
      </x:c>
      <x:c r="K281" s="23" t="n">
        <x:f>IF(G281="",0,IF(G281&lt;1,0,IF(G281&lt;2,20,IF(G281&lt;3,30,IF(G281&lt;5,40,50)))))*'Scenario Controls'!$B$22/50</x:f>
        <x:v>0</x:v>
      </x:c>
      <x:c r="L281" s="23" t="n">
        <x:f>IF(ISNUMBER(SEARCH("Must Do",AG281)),25,IF(ISNUMBER(SEARCH("Must Have",AG281)),18,IF(ISNUMBER(SEARCH("Deprior",AG281)),5,0)))*'Scenario Controls'!$B$23/25</x:f>
        <x:v>25</x:v>
      </x:c>
      <x:c r="M281" s="23" t="n">
        <x:f>J281*'Scenario Controls'!$B$24/15</x:f>
        <x:v>5</x:v>
      </x:c>
      <x:c r="N281" s="23" t="n">
        <x:f>IF(ISNUMBER(SEARCH("HEALTHY",X281)),10,IF(ISNUMBER(SEARCH("CONTAIN",X281)),6,0))*'Scenario Controls'!$B$25/10</x:f>
        <x:v>0</x:v>
      </x:c>
      <x:c r="O281" s="23" t="n">
        <x:f>SUM(K281:N281)</x:f>
        <x:v>30</x:v>
      </x:c>
      <x:c r="P281" s="15" t="str">
        <x:f>IF(OR(B281="",E281&lt;=0),"Evidence missing / not eligible",IF(ISNUMBER(SEARCH("priority TBD",Y281)),"Evidence missing / not eligible",IF(AND(H281="Carryover",NOT(ISNUMBER(F281))),"Evidence missing / not eligible",IF(AND(H281="Carryover",G281&lt;'Scenario Controls'!$B$16),"Evidence missing / not eligible",IF(AND(H281="ROI-Based Portfolio",NOT(ISNUMBER(F281))),"Evidence missing / not eligible",IF(AND(H281="ROI-Based Portfolio",O281&lt;'Scenario Controls'!$B$20),"Evidence missing / not eligible","Eligible"))))))</x:f>
        <x:v>Evidence missing / not eligible</x:v>
      </x:c>
      <x:c r="Q281" s="19" t="n">
        <x:f>IF(P281&lt;&gt;"Eligible",0,IF(AND(SUMIFS($Q$5:Q280,$H$5:H280,H281)+E281&lt;=(IF(H281="LFR",'Scenario Controls'!$F$10,IF(H281="Sustain Engineering",'Scenario Controls'!$F$11,IF(H281="Hygiene",'Scenario Controls'!$F$12,1E+99))))*(1+'Scenario Controls'!$B$7),SUM($Q$5:Q280)+E281&lt;='Scenario Controls'!$B$6*(1+'Scenario Controls'!$B$7)),E281,0))</x:f>
        <x:v>0</x:v>
      </x:c>
      <x:c r="R281" s="24" t="str">
        <x:f>'BU Conference'!G141</x:f>
        <x:v>Automatic</x:v>
      </x:c>
      <x:c r="S281" s="24" t="str">
        <x:f>'BU Conference'!H141</x:f>
      </x:c>
      <x:c r="T281" s="19" t="n">
        <x:f>IF(R281="Exclude",0,IF(R281="Include",E281,Q281))</x:f>
        <x:v>0</x:v>
      </x:c>
      <x:c r="U281" s="15" t="str">
        <x:f>IF(T281&gt;0,"Funded",IF(P281="Eligible","Unfunded",P281))</x:f>
        <x:v>Evidence missing / not eligible</x:v>
      </x:c>
      <x:c r="V281" s="15" t="str">
        <x:f>IF(R281="Include","Conference inclusion: "&amp;S281,IF(R281="Exclude","Conference exclusion: "&amp;S281,IF(Q281&gt;0,H281&amp;" priority rank "&amp;I281&amp;"; whole initiative selected",P281)))</x:f>
        <x:v>Evidence missing / not eligible</x:v>
      </x:c>
      <x:c r="W281" s="15" t="str">
        <x:v>Bu!116</x:v>
      </x:c>
      <x:c r="X281" s="15" t="str"/>
      <x:c r="Y281" s="15" t="str"/>
      <x:c r="Z281" s="15" t="str">
        <x:v>New Technology</x:v>
      </x:c>
      <x:c r="AA281" s="15" t="str">
        <x:v>Carry Over</x:v>
      </x:c>
      <x:c r="AB281" s="15" t="str">
        <x:v>Innovation and Digital IT</x:v>
      </x:c>
      <x:c r="AC281" s="15" t="str">
        <x:v>3500</x:v>
      </x:c>
      <x:c r="AD281" s="15" t="str">
        <x:v>IT driven project due to platform migration</x:v>
      </x:c>
      <x:c r="AE281" s="15" t="str">
        <x:v>IT driven project due to platform migration</x:v>
      </x:c>
      <x:c r="AF281" s="15" t="str">
        <x:v>3500 | IT driven project due to platform migration | IT driven project due to platform migration</x:v>
      </x:c>
      <x:c r="AG281" s="15" t="str">
        <x:v>Must Do</x:v>
      </x:c>
      <x:c r="AH281" s="15" t="n">
        <x:v>229</x:v>
      </x:c>
    </x:row>
    <x:row r="282">
      <x:c r="A282" s="15" t="str">
        <x:v>Bu-83</x:v>
      </x:c>
      <x:c r="B282" s="15" t="str">
        <x:v>M&amp;A PMI Matrix</x:v>
      </x:c>
      <x:c r="C282" s="15" t="str">
        <x:v>BU Led</x:v>
      </x:c>
      <x:c r="D282" s="15" t="str">
        <x:v>Group Innovation &amp; Strategy</x:v>
      </x:c>
      <x:c r="E282" s="19" t="n">
        <x:v>0.01</x:v>
      </x:c>
      <x:c r="F282" s="19" t="n">
        <x:v>0</x:v>
      </x:c>
      <x:c r="G282" s="22" t="n">
        <x:f>IF(AND(E282&gt;0,ISNUMBER(F282)),F282/E282,"")</x:f>
        <x:v>0</x:v>
      </x:c>
      <x:c r="H282" s="15" t="str">
        <x:v>Carryover</x:v>
      </x:c>
      <x:c r="I282" s="15" t="n">
        <x:v>61</x:v>
      </x:c>
      <x:c r="J282" s="15" t="n">
        <x:v>5</x:v>
      </x:c>
      <x:c r="K282" s="23" t="n">
        <x:f>IF(G282="",0,IF(G282&lt;1,0,IF(G282&lt;2,20,IF(G282&lt;3,30,IF(G282&lt;5,40,50)))))*'Scenario Controls'!$B$22/50</x:f>
        <x:v>0</x:v>
      </x:c>
      <x:c r="L282" s="23" t="n">
        <x:f>IF(ISNUMBER(SEARCH("Must Do",AG282)),25,IF(ISNUMBER(SEARCH("Must Have",AG282)),18,IF(ISNUMBER(SEARCH("Deprior",AG282)),5,0)))*'Scenario Controls'!$B$23/25</x:f>
        <x:v>25</x:v>
      </x:c>
      <x:c r="M282" s="23" t="n">
        <x:f>J282*'Scenario Controls'!$B$24/15</x:f>
        <x:v>5</x:v>
      </x:c>
      <x:c r="N282" s="23" t="n">
        <x:f>IF(ISNUMBER(SEARCH("HEALTHY",X282)),10,IF(ISNUMBER(SEARCH("CONTAIN",X282)),6,0))*'Scenario Controls'!$B$25/10</x:f>
        <x:v>0</x:v>
      </x:c>
      <x:c r="O282" s="23" t="n">
        <x:f>SUM(K282:N282)</x:f>
        <x:v>30</x:v>
      </x:c>
      <x:c r="P282" s="15" t="str">
        <x:f>IF(OR(B282="",E282&lt;=0),"Evidence missing / not eligible",IF(ISNUMBER(SEARCH("priority TBD",Y282)),"Evidence missing / not eligible",IF(AND(H282="Carryover",NOT(ISNUMBER(F282))),"Evidence missing / not eligible",IF(AND(H282="Carryover",G282&lt;'Scenario Controls'!$B$16),"Evidence missing / not eligible",IF(AND(H282="ROI-Based Portfolio",NOT(ISNUMBER(F282))),"Evidence missing / not eligible",IF(AND(H282="ROI-Based Portfolio",O282&lt;'Scenario Controls'!$B$20),"Evidence missing / not eligible","Eligible"))))))</x:f>
        <x:v>Evidence missing / not eligible</x:v>
      </x:c>
      <x:c r="Q282" s="19" t="n">
        <x:f>IF(P282&lt;&gt;"Eligible",0,IF(AND(SUMIFS($Q$5:Q281,$H$5:H281,H282)+E282&lt;=(IF(H282="LFR",'Scenario Controls'!$F$10,IF(H282="Sustain Engineering",'Scenario Controls'!$F$11,IF(H282="Hygiene",'Scenario Controls'!$F$12,1E+99))))*(1+'Scenario Controls'!$B$7),SUM($Q$5:Q281)+E282&lt;='Scenario Controls'!$B$6*(1+'Scenario Controls'!$B$7)),E282,0))</x:f>
        <x:v>0</x:v>
      </x:c>
      <x:c r="R282" s="24" t="str">
        <x:f>'BU Conference'!G142</x:f>
        <x:v>Automatic</x:v>
      </x:c>
      <x:c r="S282" s="24" t="str">
        <x:f>'BU Conference'!H142</x:f>
      </x:c>
      <x:c r="T282" s="19" t="n">
        <x:f>IF(R282="Exclude",0,IF(R282="Include",E282,Q282))</x:f>
        <x:v>0</x:v>
      </x:c>
      <x:c r="U282" s="15" t="str">
        <x:f>IF(T282&gt;0,"Funded",IF(P282="Eligible","Unfunded",P282))</x:f>
        <x:v>Evidence missing / not eligible</x:v>
      </x:c>
      <x:c r="V282" s="15" t="str">
        <x:f>IF(R282="Include","Conference inclusion: "&amp;S282,IF(R282="Exclude","Conference exclusion: "&amp;S282,IF(Q282&gt;0,H282&amp;" priority rank "&amp;I282&amp;"; whole initiative selected",P282)))</x:f>
        <x:v>Evidence missing / not eligible</x:v>
      </x:c>
      <x:c r="W282" s="15" t="str">
        <x:v>Bu!215</x:v>
      </x:c>
      <x:c r="X282" s="15" t="str"/>
      <x:c r="Y282" s="15" t="str"/>
      <x:c r="Z282" s="15" t="str"/>
      <x:c r="AA282" s="15" t="str">
        <x:v>Carry Over</x:v>
      </x:c>
      <x:c r="AB282" s="15" t="str">
        <x:v>Mergers, Acquisitions &amp; Divestments</x:v>
      </x:c>
      <x:c r="AC282" s="15" t="str">
        <x:v>M&amp;A</x:v>
      </x:c>
      <x:c r="AD282" s="15" t="str"/>
      <x:c r="AE282" s="15" t="str"/>
      <x:c r="AF282" s="15" t="str">
        <x:v>M&amp;A</x:v>
      </x:c>
      <x:c r="AG282" s="15" t="str">
        <x:v>Must Do</x:v>
      </x:c>
      <x:c r="AH282" s="15" t="n">
        <x:v>260</x:v>
      </x:c>
    </x:row>
    <x:row r="283">
      <x:c r="A283" s="15" t="str">
        <x:v>Bu-84</x:v>
      </x:c>
      <x:c r="B283" s="15" t="str">
        <x:v>M&amp;A PMI Helios</x:v>
      </x:c>
      <x:c r="C283" s="15" t="str">
        <x:v>BU Led</x:v>
      </x:c>
      <x:c r="D283" s="15" t="str">
        <x:v>Image Guided Therapy - Devices (IGT-D)</x:v>
      </x:c>
      <x:c r="E283" s="19" t="n">
        <x:v>3.18</x:v>
      </x:c>
      <x:c r="F283" s="19" t="n">
        <x:v>0</x:v>
      </x:c>
      <x:c r="G283" s="22" t="n">
        <x:f>IF(AND(E283&gt;0,ISNUMBER(F283)),F283/E283,"")</x:f>
        <x:v>0</x:v>
      </x:c>
      <x:c r="H283" s="15" t="str">
        <x:v>Carryover</x:v>
      </x:c>
      <x:c r="I283" s="15" t="n">
        <x:v>62</x:v>
      </x:c>
      <x:c r="J283" s="15" t="n">
        <x:v>5</x:v>
      </x:c>
      <x:c r="K283" s="23" t="n">
        <x:f>IF(G283="",0,IF(G283&lt;1,0,IF(G283&lt;2,20,IF(G283&lt;3,30,IF(G283&lt;5,40,50)))))*'Scenario Controls'!$B$22/50</x:f>
        <x:v>0</x:v>
      </x:c>
      <x:c r="L283" s="23" t="n">
        <x:f>IF(ISNUMBER(SEARCH("Must Do",AG283)),25,IF(ISNUMBER(SEARCH("Must Have",AG283)),18,IF(ISNUMBER(SEARCH("Deprior",AG283)),5,0)))*'Scenario Controls'!$B$23/25</x:f>
        <x:v>25</x:v>
      </x:c>
      <x:c r="M283" s="23" t="n">
        <x:f>J283*'Scenario Controls'!$B$24/15</x:f>
        <x:v>5</x:v>
      </x:c>
      <x:c r="N283" s="23" t="n">
        <x:f>IF(ISNUMBER(SEARCH("HEALTHY",X283)),10,IF(ISNUMBER(SEARCH("CONTAIN",X283)),6,0))*'Scenario Controls'!$B$25/10</x:f>
        <x:v>0</x:v>
      </x:c>
      <x:c r="O283" s="23" t="n">
        <x:f>SUM(K283:N283)</x:f>
        <x:v>30</x:v>
      </x:c>
      <x:c r="P283" s="15" t="str">
        <x:f>IF(OR(B283="",E283&lt;=0),"Evidence missing / not eligible",IF(ISNUMBER(SEARCH("priority TBD",Y283)),"Evidence missing / not eligible",IF(AND(H283="Carryover",NOT(ISNUMBER(F283))),"Evidence missing / not eligible",IF(AND(H283="Carryover",G283&lt;'Scenario Controls'!$B$16),"Evidence missing / not eligible",IF(AND(H283="ROI-Based Portfolio",NOT(ISNUMBER(F283))),"Evidence missing / not eligible",IF(AND(H283="ROI-Based Portfolio",O283&lt;'Scenario Controls'!$B$20),"Evidence missing / not eligible","Eligible"))))))</x:f>
        <x:v>Evidence missing / not eligible</x:v>
      </x:c>
      <x:c r="Q283" s="19" t="n">
        <x:f>IF(P283&lt;&gt;"Eligible",0,IF(AND(SUMIFS($Q$5:Q282,$H$5:H282,H283)+E283&lt;=(IF(H283="LFR",'Scenario Controls'!$F$10,IF(H283="Sustain Engineering",'Scenario Controls'!$F$11,IF(H283="Hygiene",'Scenario Controls'!$F$12,1E+99))))*(1+'Scenario Controls'!$B$7),SUM($Q$5:Q282)+E283&lt;='Scenario Controls'!$B$6*(1+'Scenario Controls'!$B$7)),E283,0))</x:f>
        <x:v>0</x:v>
      </x:c>
      <x:c r="R283" s="24" t="str">
        <x:f>'BU Conference'!G143</x:f>
        <x:v>Automatic</x:v>
      </x:c>
      <x:c r="S283" s="24" t="str">
        <x:f>'BU Conference'!H143</x:f>
      </x:c>
      <x:c r="T283" s="19" t="n">
        <x:f>IF(R283="Exclude",0,IF(R283="Include",E283,Q283))</x:f>
        <x:v>0</x:v>
      </x:c>
      <x:c r="U283" s="15" t="str">
        <x:f>IF(T283&gt;0,"Funded",IF(P283="Eligible","Unfunded",P283))</x:f>
        <x:v>Evidence missing / not eligible</x:v>
      </x:c>
      <x:c r="V283" s="15" t="str">
        <x:f>IF(R283="Include","Conference inclusion: "&amp;S283,IF(R283="Exclude","Conference exclusion: "&amp;S283,IF(Q283&gt;0,H283&amp;" priority rank "&amp;I283&amp;"; whole initiative selected",P283)))</x:f>
        <x:v>Evidence missing / not eligible</x:v>
      </x:c>
      <x:c r="W283" s="15" t="str">
        <x:v>Bu!216</x:v>
      </x:c>
      <x:c r="X283" s="15" t="str"/>
      <x:c r="Y283" s="15" t="str"/>
      <x:c r="Z283" s="15" t="str"/>
      <x:c r="AA283" s="15" t="str">
        <x:v>Carry Over</x:v>
      </x:c>
      <x:c r="AB283" s="15" t="str">
        <x:v>Mergers, Acquisitions &amp; Divestments</x:v>
      </x:c>
      <x:c r="AC283" s="15" t="str">
        <x:v>M&amp;A</x:v>
      </x:c>
      <x:c r="AD283" s="15" t="str"/>
      <x:c r="AE283" s="15" t="str"/>
      <x:c r="AF283" s="15" t="str">
        <x:v>M&amp;A</x:v>
      </x:c>
      <x:c r="AG283" s="15" t="str">
        <x:v>Must Do</x:v>
      </x:c>
      <x:c r="AH283" s="15" t="n">
        <x:v>261</x:v>
      </x:c>
    </x:row>
    <x:row r="284">
      <x:c r="A284" s="15" t="str">
        <x:v>Bu-85</x:v>
      </x:c>
      <x:c r="B284" s="15" t="str">
        <x:v>M&amp;A PMI HeartStream</x:v>
      </x:c>
      <x:c r="C284" s="15" t="str">
        <x:v>BU Led</x:v>
      </x:c>
      <x:c r="D284" s="15" t="str">
        <x:v>Monitoring - HPM (MCH)</x:v>
      </x:c>
      <x:c r="E284" s="19" t="n">
        <x:v>1.5</x:v>
      </x:c>
      <x:c r="F284" s="19" t="n">
        <x:v>0</x:v>
      </x:c>
      <x:c r="G284" s="22" t="n">
        <x:f>IF(AND(E284&gt;0,ISNUMBER(F284)),F284/E284,"")</x:f>
        <x:v>0</x:v>
      </x:c>
      <x:c r="H284" s="15" t="str">
        <x:v>Carryover</x:v>
      </x:c>
      <x:c r="I284" s="15" t="n">
        <x:v>63</x:v>
      </x:c>
      <x:c r="J284" s="15" t="n">
        <x:v>5</x:v>
      </x:c>
      <x:c r="K284" s="23" t="n">
        <x:f>IF(G284="",0,IF(G284&lt;1,0,IF(G284&lt;2,20,IF(G284&lt;3,30,IF(G284&lt;5,40,50)))))*'Scenario Controls'!$B$22/50</x:f>
        <x:v>0</x:v>
      </x:c>
      <x:c r="L284" s="23" t="n">
        <x:f>IF(ISNUMBER(SEARCH("Must Do",AG284)),25,IF(ISNUMBER(SEARCH("Must Have",AG284)),18,IF(ISNUMBER(SEARCH("Deprior",AG284)),5,0)))*'Scenario Controls'!$B$23/25</x:f>
        <x:v>25</x:v>
      </x:c>
      <x:c r="M284" s="23" t="n">
        <x:f>J284*'Scenario Controls'!$B$24/15</x:f>
        <x:v>5</x:v>
      </x:c>
      <x:c r="N284" s="23" t="n">
        <x:f>IF(ISNUMBER(SEARCH("HEALTHY",X284)),10,IF(ISNUMBER(SEARCH("CONTAIN",X284)),6,0))*'Scenario Controls'!$B$25/10</x:f>
        <x:v>0</x:v>
      </x:c>
      <x:c r="O284" s="23" t="n">
        <x:f>SUM(K284:N284)</x:f>
        <x:v>30</x:v>
      </x:c>
      <x:c r="P284" s="15" t="str">
        <x:f>IF(OR(B284="",E284&lt;=0),"Evidence missing / not eligible",IF(ISNUMBER(SEARCH("priority TBD",Y284)),"Evidence missing / not eligible",IF(AND(H284="Carryover",NOT(ISNUMBER(F284))),"Evidence missing / not eligible",IF(AND(H284="Carryover",G284&lt;'Scenario Controls'!$B$16),"Evidence missing / not eligible",IF(AND(H284="ROI-Based Portfolio",NOT(ISNUMBER(F284))),"Evidence missing / not eligible",IF(AND(H284="ROI-Based Portfolio",O284&lt;'Scenario Controls'!$B$20),"Evidence missing / not eligible","Eligible"))))))</x:f>
        <x:v>Evidence missing / not eligible</x:v>
      </x:c>
      <x:c r="Q284" s="19" t="n">
        <x:f>IF(P284&lt;&gt;"Eligible",0,IF(AND(SUMIFS($Q$5:Q283,$H$5:H283,H284)+E284&lt;=(IF(H284="LFR",'Scenario Controls'!$F$10,IF(H284="Sustain Engineering",'Scenario Controls'!$F$11,IF(H284="Hygiene",'Scenario Controls'!$F$12,1E+99))))*(1+'Scenario Controls'!$B$7),SUM($Q$5:Q283)+E284&lt;='Scenario Controls'!$B$6*(1+'Scenario Controls'!$B$7)),E284,0))</x:f>
        <x:v>0</x:v>
      </x:c>
      <x:c r="R284" s="24" t="str">
        <x:f>'BU Conference'!G144</x:f>
        <x:v>Automatic</x:v>
      </x:c>
      <x:c r="S284" s="24" t="str">
        <x:f>'BU Conference'!H144</x:f>
      </x:c>
      <x:c r="T284" s="19" t="n">
        <x:f>IF(R284="Exclude",0,IF(R284="Include",E284,Q284))</x:f>
        <x:v>0</x:v>
      </x:c>
      <x:c r="U284" s="15" t="str">
        <x:f>IF(T284&gt;0,"Funded",IF(P284="Eligible","Unfunded",P284))</x:f>
        <x:v>Evidence missing / not eligible</x:v>
      </x:c>
      <x:c r="V284" s="15" t="str">
        <x:f>IF(R284="Include","Conference inclusion: "&amp;S284,IF(R284="Exclude","Conference exclusion: "&amp;S284,IF(Q284&gt;0,H284&amp;" priority rank "&amp;I284&amp;"; whole initiative selected",P284)))</x:f>
        <x:v>Evidence missing / not eligible</x:v>
      </x:c>
      <x:c r="W284" s="15" t="str">
        <x:v>Bu!217</x:v>
      </x:c>
      <x:c r="X284" s="15" t="str"/>
      <x:c r="Y284" s="15" t="str"/>
      <x:c r="Z284" s="15" t="str"/>
      <x:c r="AA284" s="15" t="str">
        <x:v>Carry Over</x:v>
      </x:c>
      <x:c r="AB284" s="15" t="str">
        <x:v>Mergers, Acquisitions &amp; Divestments</x:v>
      </x:c>
      <x:c r="AC284" s="15" t="str">
        <x:v>M&amp;A</x:v>
      </x:c>
      <x:c r="AD284" s="15" t="str"/>
      <x:c r="AE284" s="15" t="str"/>
      <x:c r="AF284" s="15" t="str">
        <x:v>M&amp;A</x:v>
      </x:c>
      <x:c r="AG284" s="15" t="str">
        <x:v>Must Do</x:v>
      </x:c>
      <x:c r="AH284" s="15" t="n">
        <x:v>262</x:v>
      </x:c>
    </x:row>
    <x:row r="285">
      <x:c r="A285" s="15" t="str">
        <x:v>Bu-86</x:v>
      </x:c>
      <x:c r="B285" s="15" t="str">
        <x:v>M&amp;A PMI Everest Change Request</x:v>
      </x:c>
      <x:c r="C285" s="15" t="str">
        <x:v>BU Led</x:v>
      </x:c>
      <x:c r="D285" s="15" t="str">
        <x:v>Monitoring - HPM (MCH)</x:v>
      </x:c>
      <x:c r="E285" s="19" t="n">
        <x:v>0.5</x:v>
      </x:c>
      <x:c r="F285" s="19" t="n">
        <x:v>0</x:v>
      </x:c>
      <x:c r="G285" s="22" t="n">
        <x:f>IF(AND(E285&gt;0,ISNUMBER(F285)),F285/E285,"")</x:f>
        <x:v>0</x:v>
      </x:c>
      <x:c r="H285" s="15" t="str">
        <x:v>Carryover</x:v>
      </x:c>
      <x:c r="I285" s="15" t="n">
        <x:v>64</x:v>
      </x:c>
      <x:c r="J285" s="15" t="n">
        <x:v>5</x:v>
      </x:c>
      <x:c r="K285" s="23" t="n">
        <x:f>IF(G285="",0,IF(G285&lt;1,0,IF(G285&lt;2,20,IF(G285&lt;3,30,IF(G285&lt;5,40,50)))))*'Scenario Controls'!$B$22/50</x:f>
        <x:v>0</x:v>
      </x:c>
      <x:c r="L285" s="23" t="n">
        <x:f>IF(ISNUMBER(SEARCH("Must Do",AG285)),25,IF(ISNUMBER(SEARCH("Must Have",AG285)),18,IF(ISNUMBER(SEARCH("Deprior",AG285)),5,0)))*'Scenario Controls'!$B$23/25</x:f>
        <x:v>25</x:v>
      </x:c>
      <x:c r="M285" s="23" t="n">
        <x:f>J285*'Scenario Controls'!$B$24/15</x:f>
        <x:v>5</x:v>
      </x:c>
      <x:c r="N285" s="23" t="n">
        <x:f>IF(ISNUMBER(SEARCH("HEALTHY",X285)),10,IF(ISNUMBER(SEARCH("CONTAIN",X285)),6,0))*'Scenario Controls'!$B$25/10</x:f>
        <x:v>0</x:v>
      </x:c>
      <x:c r="O285" s="23" t="n">
        <x:f>SUM(K285:N285)</x:f>
        <x:v>30</x:v>
      </x:c>
      <x:c r="P285" s="15" t="str">
        <x:f>IF(OR(B285="",E285&lt;=0),"Evidence missing / not eligible",IF(ISNUMBER(SEARCH("priority TBD",Y285)),"Evidence missing / not eligible",IF(AND(H285="Carryover",NOT(ISNUMBER(F285))),"Evidence missing / not eligible",IF(AND(H285="Carryover",G285&lt;'Scenario Controls'!$B$16),"Evidence missing / not eligible",IF(AND(H285="ROI-Based Portfolio",NOT(ISNUMBER(F285))),"Evidence missing / not eligible",IF(AND(H285="ROI-Based Portfolio",O285&lt;'Scenario Controls'!$B$20),"Evidence missing / not eligible","Eligible"))))))</x:f>
        <x:v>Evidence missing / not eligible</x:v>
      </x:c>
      <x:c r="Q285" s="19" t="n">
        <x:f>IF(P285&lt;&gt;"Eligible",0,IF(AND(SUMIFS($Q$5:Q284,$H$5:H284,H285)+E285&lt;=(IF(H285="LFR",'Scenario Controls'!$F$10,IF(H285="Sustain Engineering",'Scenario Controls'!$F$11,IF(H285="Hygiene",'Scenario Controls'!$F$12,1E+99))))*(1+'Scenario Controls'!$B$7),SUM($Q$5:Q284)+E285&lt;='Scenario Controls'!$B$6*(1+'Scenario Controls'!$B$7)),E285,0))</x:f>
        <x:v>0</x:v>
      </x:c>
      <x:c r="R285" s="24" t="str">
        <x:f>'BU Conference'!G145</x:f>
        <x:v>Automatic</x:v>
      </x:c>
      <x:c r="S285" s="24" t="str">
        <x:f>'BU Conference'!H145</x:f>
      </x:c>
      <x:c r="T285" s="19" t="n">
        <x:f>IF(R285="Exclude",0,IF(R285="Include",E285,Q285))</x:f>
        <x:v>0</x:v>
      </x:c>
      <x:c r="U285" s="15" t="str">
        <x:f>IF(T285&gt;0,"Funded",IF(P285="Eligible","Unfunded",P285))</x:f>
        <x:v>Evidence missing / not eligible</x:v>
      </x:c>
      <x:c r="V285" s="15" t="str">
        <x:f>IF(R285="Include","Conference inclusion: "&amp;S285,IF(R285="Exclude","Conference exclusion: "&amp;S285,IF(Q285&gt;0,H285&amp;" priority rank "&amp;I285&amp;"; whole initiative selected",P285)))</x:f>
        <x:v>Evidence missing / not eligible</x:v>
      </x:c>
      <x:c r="W285" s="15" t="str">
        <x:v>Bu!218</x:v>
      </x:c>
      <x:c r="X285" s="15" t="str"/>
      <x:c r="Y285" s="15" t="str"/>
      <x:c r="Z285" s="15" t="str"/>
      <x:c r="AA285" s="15" t="str">
        <x:v>Carry Over</x:v>
      </x:c>
      <x:c r="AB285" s="15" t="str">
        <x:v>Mergers, Acquisitions &amp; Divestments</x:v>
      </x:c>
      <x:c r="AC285" s="15" t="str">
        <x:v>M&amp;A</x:v>
      </x:c>
      <x:c r="AD285" s="15" t="str"/>
      <x:c r="AE285" s="15" t="str"/>
      <x:c r="AF285" s="15" t="str">
        <x:v>M&amp;A</x:v>
      </x:c>
      <x:c r="AG285" s="15" t="str">
        <x:v>Must Do</x:v>
      </x:c>
      <x:c r="AH285" s="15" t="n">
        <x:v>263</x:v>
      </x:c>
    </x:row>
    <x:row r="286">
      <x:c r="A286" s="15" t="str">
        <x:v>Bu-150</x:v>
      </x:c>
      <x:c r="B286" s="15" t="str">
        <x:v>COSAC Transition to PIL</x:v>
      </x:c>
      <x:c r="C286" s="15" t="str">
        <x:v>BU Led</x:v>
      </x:c>
      <x:c r="D286" s="15" t="str">
        <x:v>Precision Diagnosis - Magnetic Resonance (MR)</x:v>
      </x:c>
      <x:c r="E286" s="19" t="n">
        <x:v>0.7</x:v>
      </x:c>
      <x:c r="F286" s="19" t="n">
        <x:v>0</x:v>
      </x:c>
      <x:c r="G286" s="22" t="n">
        <x:f>IF(AND(E286&gt;0,ISNUMBER(F286)),F286/E286,"")</x:f>
        <x:v>0</x:v>
      </x:c>
      <x:c r="H286" s="15" t="str">
        <x:v>Carryover</x:v>
      </x:c>
      <x:c r="I286" s="15" t="n">
        <x:v>65</x:v>
      </x:c>
      <x:c r="J286" s="15" t="n">
        <x:v>5</x:v>
      </x:c>
      <x:c r="K286" s="23" t="n">
        <x:f>IF(G286="",0,IF(G286&lt;1,0,IF(G286&lt;2,20,IF(G286&lt;3,30,IF(G286&lt;5,40,50)))))*'Scenario Controls'!$B$22/50</x:f>
        <x:v>0</x:v>
      </x:c>
      <x:c r="L286" s="23" t="n">
        <x:f>IF(ISNUMBER(SEARCH("Must Do",AG286)),25,IF(ISNUMBER(SEARCH("Must Have",AG286)),18,IF(ISNUMBER(SEARCH("Deprior",AG286)),5,0)))*'Scenario Controls'!$B$23/25</x:f>
        <x:v>25</x:v>
      </x:c>
      <x:c r="M286" s="23" t="n">
        <x:f>J286*'Scenario Controls'!$B$24/15</x:f>
        <x:v>5</x:v>
      </x:c>
      <x:c r="N286" s="23" t="n">
        <x:f>IF(ISNUMBER(SEARCH("HEALTHY",X286)),10,IF(ISNUMBER(SEARCH("CONTAIN",X286)),6,0))*'Scenario Controls'!$B$25/10</x:f>
        <x:v>0</x:v>
      </x:c>
      <x:c r="O286" s="23" t="n">
        <x:f>SUM(K286:N286)</x:f>
        <x:v>30</x:v>
      </x:c>
      <x:c r="P286" s="15" t="str">
        <x:f>IF(OR(B286="",E286&lt;=0),"Evidence missing / not eligible",IF(ISNUMBER(SEARCH("priority TBD",Y286)),"Evidence missing / not eligible",IF(AND(H286="Carryover",NOT(ISNUMBER(F286))),"Evidence missing / not eligible",IF(AND(H286="Carryover",G286&lt;'Scenario Controls'!$B$16),"Evidence missing / not eligible",IF(AND(H286="ROI-Based Portfolio",NOT(ISNUMBER(F286))),"Evidence missing / not eligible",IF(AND(H286="ROI-Based Portfolio",O286&lt;'Scenario Controls'!$B$20),"Evidence missing / not eligible","Eligible"))))))</x:f>
        <x:v>Evidence missing / not eligible</x:v>
      </x:c>
      <x:c r="Q286" s="19" t="n">
        <x:f>IF(P286&lt;&gt;"Eligible",0,IF(AND(SUMIFS($Q$5:Q285,$H$5:H285,H286)+E286&lt;=(IF(H286="LFR",'Scenario Controls'!$F$10,IF(H286="Sustain Engineering",'Scenario Controls'!$F$11,IF(H286="Hygiene",'Scenario Controls'!$F$12,1E+99))))*(1+'Scenario Controls'!$B$7),SUM($Q$5:Q285)+E286&lt;='Scenario Controls'!$B$6*(1+'Scenario Controls'!$B$7)),E286,0))</x:f>
        <x:v>0</x:v>
      </x:c>
      <x:c r="R286" s="24" t="str">
        <x:f>'BU Conference'!G146</x:f>
        <x:v>Automatic</x:v>
      </x:c>
      <x:c r="S286" s="24" t="str">
        <x:f>'BU Conference'!H146</x:f>
      </x:c>
      <x:c r="T286" s="19" t="n">
        <x:f>IF(R286="Exclude",0,IF(R286="Include",E286,Q286))</x:f>
        <x:v>0</x:v>
      </x:c>
      <x:c r="U286" s="15" t="str">
        <x:f>IF(T286&gt;0,"Funded",IF(P286="Eligible","Unfunded",P286))</x:f>
        <x:v>Evidence missing / not eligible</x:v>
      </x:c>
      <x:c r="V286" s="15" t="str">
        <x:f>IF(R286="Include","Conference inclusion: "&amp;S286,IF(R286="Exclude","Conference exclusion: "&amp;S286,IF(Q286&gt;0,H286&amp;" priority rank "&amp;I286&amp;"; whole initiative selected",P286)))</x:f>
        <x:v>Evidence missing / not eligible</x:v>
      </x:c>
      <x:c r="W286" s="15" t="str">
        <x:v>Bu!350</x:v>
      </x:c>
      <x:c r="X286" s="15" t="str"/>
      <x:c r="Y286" s="15" t="str"/>
      <x:c r="Z286" s="15" t="str">
        <x:v>New Feature</x:v>
      </x:c>
      <x:c r="AA286" s="15" t="str">
        <x:v>Carry Over</x:v>
      </x:c>
      <x:c r="AB286" s="15" t="str">
        <x:v>Innovation and Digital IT</x:v>
      </x:c>
      <x:c r="AC286" s="15" t="str"/>
      <x:c r="AD286" s="15" t="str"/>
      <x:c r="AE286" s="15" t="str">
        <x:v>Phase 3 Scope:</x:v>
      </x:c>
      <x:c r="AF286" s="15" t="str">
        <x:v>Phase 3 Scope:</x:v>
      </x:c>
      <x:c r="AG286" s="15" t="str">
        <x:v>Must Do</x:v>
      </x:c>
      <x:c r="AH286" s="15" t="n">
        <x:v>327</x:v>
      </x:c>
    </x:row>
    <x:row r="287">
      <x:c r="A287" s="15" t="str">
        <x:v>Bu-240</x:v>
      </x:c>
      <x:c r="B287" s="15" t="str">
        <x:v>ConfigIT - Transforming our Configure to Deliver Landscape</x:v>
      </x:c>
      <x:c r="C287" s="15" t="str">
        <x:v>BU Led</x:v>
      </x:c>
      <x:c r="D287" s="15" t="str">
        <x:v>Precision Diagnosis - Magnetic Resonance (MR)</x:v>
      </x:c>
      <x:c r="E287" s="19" t="n">
        <x:v>0.99</x:v>
      </x:c>
      <x:c r="F287" s="19" t="n">
        <x:v>0</x:v>
      </x:c>
      <x:c r="G287" s="22" t="n">
        <x:f>IF(AND(E287&gt;0,ISNUMBER(F287)),F287/E287,"")</x:f>
        <x:v>0</x:v>
      </x:c>
      <x:c r="H287" s="15" t="str">
        <x:v>Carryover</x:v>
      </x:c>
      <x:c r="I287" s="15" t="n">
        <x:v>66</x:v>
      </x:c>
      <x:c r="J287" s="15" t="n">
        <x:v>5</x:v>
      </x:c>
      <x:c r="K287" s="23" t="n">
        <x:f>IF(G287="",0,IF(G287&lt;1,0,IF(G287&lt;2,20,IF(G287&lt;3,30,IF(G287&lt;5,40,50)))))*'Scenario Controls'!$B$22/50</x:f>
        <x:v>0</x:v>
      </x:c>
      <x:c r="L287" s="23" t="n">
        <x:f>IF(ISNUMBER(SEARCH("Must Do",AG287)),25,IF(ISNUMBER(SEARCH("Must Have",AG287)),18,IF(ISNUMBER(SEARCH("Deprior",AG287)),5,0)))*'Scenario Controls'!$B$23/25</x:f>
        <x:v>25</x:v>
      </x:c>
      <x:c r="M287" s="23" t="n">
        <x:f>J287*'Scenario Controls'!$B$24/15</x:f>
        <x:v>5</x:v>
      </x:c>
      <x:c r="N287" s="23" t="n">
        <x:f>IF(ISNUMBER(SEARCH("HEALTHY",X287)),10,IF(ISNUMBER(SEARCH("CONTAIN",X287)),6,0))*'Scenario Controls'!$B$25/10</x:f>
        <x:v>0</x:v>
      </x:c>
      <x:c r="O287" s="23" t="n">
        <x:f>SUM(K287:N287)</x:f>
        <x:v>30</x:v>
      </x:c>
      <x:c r="P287" s="15" t="str">
        <x:f>IF(OR(B287="",E287&lt;=0),"Evidence missing / not eligible",IF(ISNUMBER(SEARCH("priority TBD",Y287)),"Evidence missing / not eligible",IF(AND(H287="Carryover",NOT(ISNUMBER(F287))),"Evidence missing / not eligible",IF(AND(H287="Carryover",G287&lt;'Scenario Controls'!$B$16),"Evidence missing / not eligible",IF(AND(H287="ROI-Based Portfolio",NOT(ISNUMBER(F287))),"Evidence missing / not eligible",IF(AND(H287="ROI-Based Portfolio",O287&lt;'Scenario Controls'!$B$20),"Evidence missing / not eligible","Eligible"))))))</x:f>
        <x:v>Evidence missing / not eligible</x:v>
      </x:c>
      <x:c r="Q287" s="19" t="n">
        <x:f>IF(P287&lt;&gt;"Eligible",0,IF(AND(SUMIFS($Q$5:Q286,$H$5:H286,H287)+E287&lt;=(IF(H287="LFR",'Scenario Controls'!$F$10,IF(H287="Sustain Engineering",'Scenario Controls'!$F$11,IF(H287="Hygiene",'Scenario Controls'!$F$12,1E+99))))*(1+'Scenario Controls'!$B$7),SUM($Q$5:Q286)+E287&lt;='Scenario Controls'!$B$6*(1+'Scenario Controls'!$B$7)),E287,0))</x:f>
        <x:v>0</x:v>
      </x:c>
      <x:c r="R287" s="24" t="str">
        <x:f>'BU Conference'!G147</x:f>
        <x:v>Automatic</x:v>
      </x:c>
      <x:c r="S287" s="24" t="str">
        <x:f>'BU Conference'!H147</x:f>
      </x:c>
      <x:c r="T287" s="19" t="n">
        <x:f>IF(R287="Exclude",0,IF(R287="Include",E287,Q287))</x:f>
        <x:v>0</x:v>
      </x:c>
      <x:c r="U287" s="15" t="str">
        <x:f>IF(T287&gt;0,"Funded",IF(P287="Eligible","Unfunded",P287))</x:f>
        <x:v>Evidence missing / not eligible</x:v>
      </x:c>
      <x:c r="V287" s="15" t="str">
        <x:f>IF(R287="Include","Conference inclusion: "&amp;S287,IF(R287="Exclude","Conference exclusion: "&amp;S287,IF(Q287&gt;0,H287&amp;" priority rank "&amp;I287&amp;"; whole initiative selected",P287)))</x:f>
        <x:v>Evidence missing / not eligible</x:v>
      </x:c>
      <x:c r="W287" s="15" t="str">
        <x:v>Bu!542</x:v>
      </x:c>
      <x:c r="X287" s="15" t="str"/>
      <x:c r="Y287" s="15" t="str"/>
      <x:c r="Z287" s="15" t="str">
        <x:v>New Feature</x:v>
      </x:c>
      <x:c r="AA287" s="15" t="str">
        <x:v>Carry Over</x:v>
      </x:c>
      <x:c r="AB287" s="15" t="str">
        <x:v>Commercial IT</x:v>
      </x:c>
      <x:c r="AC287" s="15" t="str"/>
      <x:c r="AD287" s="15" t="str"/>
      <x:c r="AE287" s="15" t="str">
        <x:v>Phase 2 scope</x:v>
      </x:c>
      <x:c r="AF287" s="15" t="str">
        <x:v>Phase 2 scope</x:v>
      </x:c>
      <x:c r="AG287" s="15" t="str">
        <x:v>Must Do</x:v>
      </x:c>
      <x:c r="AH287" s="15" t="n">
        <x:v>420</x:v>
      </x:c>
    </x:row>
    <x:row r="288">
      <x:c r="A288" s="15" t="str">
        <x:v>Bu-283</x:v>
      </x:c>
      <x:c r="B288" s="15" t="str">
        <x:v>17.3 PH Digital Marketing Compliance</x:v>
      </x:c>
      <x:c r="C288" s="15" t="str">
        <x:v>BU Led</x:v>
      </x:c>
      <x:c r="D288" s="15" t="str">
        <x:v>Personal Health (PH)</x:v>
      </x:c>
      <x:c r="E288" s="19" t="n">
        <x:v>0.15</x:v>
      </x:c>
      <x:c r="F288" s="19" t="n">
        <x:v>0</x:v>
      </x:c>
      <x:c r="G288" s="22" t="n">
        <x:f>IF(AND(E288&gt;0,ISNUMBER(F288)),F288/E288,"")</x:f>
        <x:v>0</x:v>
      </x:c>
      <x:c r="H288" s="15" t="str">
        <x:v>Carryover</x:v>
      </x:c>
      <x:c r="I288" s="15" t="n">
        <x:v>67</x:v>
      </x:c>
      <x:c r="J288" s="15" t="n">
        <x:v>5</x:v>
      </x:c>
      <x:c r="K288" s="23" t="n">
        <x:f>IF(G288="",0,IF(G288&lt;1,0,IF(G288&lt;2,20,IF(G288&lt;3,30,IF(G288&lt;5,40,50)))))*'Scenario Controls'!$B$22/50</x:f>
        <x:v>0</x:v>
      </x:c>
      <x:c r="L288" s="23" t="n">
        <x:f>IF(ISNUMBER(SEARCH("Must Do",AG288)),25,IF(ISNUMBER(SEARCH("Must Have",AG288)),18,IF(ISNUMBER(SEARCH("Deprior",AG288)),5,0)))*'Scenario Controls'!$B$23/25</x:f>
        <x:v>25</x:v>
      </x:c>
      <x:c r="M288" s="23" t="n">
        <x:f>J288*'Scenario Controls'!$B$24/15</x:f>
        <x:v>5</x:v>
      </x:c>
      <x:c r="N288" s="23" t="n">
        <x:f>IF(ISNUMBER(SEARCH("HEALTHY",X288)),10,IF(ISNUMBER(SEARCH("CONTAIN",X288)),6,0))*'Scenario Controls'!$B$25/10</x:f>
        <x:v>0</x:v>
      </x:c>
      <x:c r="O288" s="23" t="n">
        <x:f>SUM(K288:N288)</x:f>
        <x:v>30</x:v>
      </x:c>
      <x:c r="P288" s="15" t="str">
        <x:f>IF(OR(B288="",E288&lt;=0),"Evidence missing / not eligible",IF(ISNUMBER(SEARCH("priority TBD",Y288)),"Evidence missing / not eligible",IF(AND(H288="Carryover",NOT(ISNUMBER(F288))),"Evidence missing / not eligible",IF(AND(H288="Carryover",G288&lt;'Scenario Controls'!$B$16),"Evidence missing / not eligible",IF(AND(H288="ROI-Based Portfolio",NOT(ISNUMBER(F288))),"Evidence missing / not eligible",IF(AND(H288="ROI-Based Portfolio",O288&lt;'Scenario Controls'!$B$20),"Evidence missing / not eligible","Eligible"))))))</x:f>
        <x:v>Evidence missing / not eligible</x:v>
      </x:c>
      <x:c r="Q288" s="19" t="n">
        <x:f>IF(P288&lt;&gt;"Eligible",0,IF(AND(SUMIFS($Q$5:Q287,$H$5:H287,H288)+E288&lt;=(IF(H288="LFR",'Scenario Controls'!$F$10,IF(H288="Sustain Engineering",'Scenario Controls'!$F$11,IF(H288="Hygiene",'Scenario Controls'!$F$12,1E+99))))*(1+'Scenario Controls'!$B$7),SUM($Q$5:Q287)+E288&lt;='Scenario Controls'!$B$6*(1+'Scenario Controls'!$B$7)),E288,0))</x:f>
        <x:v>0</x:v>
      </x:c>
      <x:c r="R288" s="24" t="str">
        <x:f>'BU Conference'!G148</x:f>
        <x:v>Automatic</x:v>
      </x:c>
      <x:c r="S288" s="24" t="str">
        <x:f>'BU Conference'!H148</x:f>
      </x:c>
      <x:c r="T288" s="19" t="n">
        <x:f>IF(R288="Exclude",0,IF(R288="Include",E288,Q288))</x:f>
        <x:v>0</x:v>
      </x:c>
      <x:c r="U288" s="15" t="str">
        <x:f>IF(T288&gt;0,"Funded",IF(P288="Eligible","Unfunded",P288))</x:f>
        <x:v>Evidence missing / not eligible</x:v>
      </x:c>
      <x:c r="V288" s="15" t="str">
        <x:f>IF(R288="Include","Conference inclusion: "&amp;S288,IF(R288="Exclude","Conference exclusion: "&amp;S288,IF(Q288&gt;0,H288&amp;" priority rank "&amp;I288&amp;"; whole initiative selected",P288)))</x:f>
        <x:v>Evidence missing / not eligible</x:v>
      </x:c>
      <x:c r="W288" s="15" t="str">
        <x:v>Bu!589</x:v>
      </x:c>
      <x:c r="X288" s="15" t="str"/>
      <x:c r="Y288" s="15" t="str"/>
      <x:c r="Z288" s="15" t="str">
        <x:v>Legal Fiscal, Regulatory &amp; Compliancy</x:v>
      </x:c>
      <x:c r="AA288" s="15" t="str">
        <x:v>Carry Over</x:v>
      </x:c>
      <x:c r="AB288" s="15" t="str">
        <x:v>Innovation and Digital IT</x:v>
      </x:c>
      <x:c r="AC288" s="15" t="str">
        <x:v>EU AI Act compliance Measures will not be met</x:v>
      </x:c>
      <x:c r="AD288" s="15" t="str"/>
      <x:c r="AE288" s="15" t="str"/>
      <x:c r="AF288" s="15" t="str">
        <x:v>EU AI Act compliance Measures will not be met</x:v>
      </x:c>
      <x:c r="AG288" s="15" t="str">
        <x:v>Must Do</x:v>
      </x:c>
      <x:c r="AH288" s="15" t="n">
        <x:v>460</x:v>
      </x:c>
    </x:row>
    <x:row r="289">
      <x:c r="A289" s="15" t="str">
        <x:v>Bu-284</x:v>
      </x:c>
      <x:c r="B289" s="15" t="str">
        <x:v>27.1 Customer Engagement | Unified Commercial Collaboration &amp; Claims Management</x:v>
      </x:c>
      <x:c r="C289" s="15" t="str">
        <x:v>BU Led</x:v>
      </x:c>
      <x:c r="D289" s="15" t="str">
        <x:v>Personal Health (PH)</x:v>
      </x:c>
      <x:c r="E289" s="19" t="n">
        <x:v>0.3</x:v>
      </x:c>
      <x:c r="F289" s="19" t="n">
        <x:v>0</x:v>
      </x:c>
      <x:c r="G289" s="22" t="n">
        <x:f>IF(AND(E289&gt;0,ISNUMBER(F289)),F289/E289,"")</x:f>
        <x:v>0</x:v>
      </x:c>
      <x:c r="H289" s="15" t="str">
        <x:v>Carryover</x:v>
      </x:c>
      <x:c r="I289" s="15" t="n">
        <x:v>68</x:v>
      </x:c>
      <x:c r="J289" s="15" t="n">
        <x:v>0</x:v>
      </x:c>
      <x:c r="K289" s="23" t="n">
        <x:f>IF(G289="",0,IF(G289&lt;1,0,IF(G289&lt;2,20,IF(G289&lt;3,30,IF(G289&lt;5,40,50)))))*'Scenario Controls'!$B$22/50</x:f>
        <x:v>0</x:v>
      </x:c>
      <x:c r="L289" s="23" t="n">
        <x:f>IF(ISNUMBER(SEARCH("Must Do",AG289)),25,IF(ISNUMBER(SEARCH("Must Have",AG289)),18,IF(ISNUMBER(SEARCH("Deprior",AG289)),5,0)))*'Scenario Controls'!$B$23/25</x:f>
        <x:v>25</x:v>
      </x:c>
      <x:c r="M289" s="23" t="n">
        <x:f>J289*'Scenario Controls'!$B$24/15</x:f>
        <x:v>0</x:v>
      </x:c>
      <x:c r="N289" s="23" t="n">
        <x:f>IF(ISNUMBER(SEARCH("HEALTHY",X289)),10,IF(ISNUMBER(SEARCH("CONTAIN",X289)),6,0))*'Scenario Controls'!$B$25/10</x:f>
        <x:v>0</x:v>
      </x:c>
      <x:c r="O289" s="23" t="n">
        <x:f>SUM(K289:N289)</x:f>
        <x:v>25</x:v>
      </x:c>
      <x:c r="P289" s="15" t="str">
        <x:f>IF(OR(B289="",E289&lt;=0),"Evidence missing / not eligible",IF(ISNUMBER(SEARCH("priority TBD",Y289)),"Evidence missing / not eligible",IF(AND(H289="Carryover",NOT(ISNUMBER(F289))),"Evidence missing / not eligible",IF(AND(H289="Carryover",G289&lt;'Scenario Controls'!$B$16),"Evidence missing / not eligible",IF(AND(H289="ROI-Based Portfolio",NOT(ISNUMBER(F289))),"Evidence missing / not eligible",IF(AND(H289="ROI-Based Portfolio",O289&lt;'Scenario Controls'!$B$20),"Evidence missing / not eligible","Eligible"))))))</x:f>
        <x:v>Evidence missing / not eligible</x:v>
      </x:c>
      <x:c r="Q289" s="19" t="n">
        <x:f>IF(P289&lt;&gt;"Eligible",0,IF(AND(SUMIFS($Q$5:Q288,$H$5:H288,H289)+E289&lt;=(IF(H289="LFR",'Scenario Controls'!$F$10,IF(H289="Sustain Engineering",'Scenario Controls'!$F$11,IF(H289="Hygiene",'Scenario Controls'!$F$12,1E+99))))*(1+'Scenario Controls'!$B$7),SUM($Q$5:Q288)+E289&lt;='Scenario Controls'!$B$6*(1+'Scenario Controls'!$B$7)),E289,0))</x:f>
        <x:v>0</x:v>
      </x:c>
      <x:c r="R289" s="24" t="str">
        <x:f>'BU Conference'!G149</x:f>
        <x:v>Automatic</x:v>
      </x:c>
      <x:c r="S289" s="24" t="str">
        <x:f>'BU Conference'!H149</x:f>
      </x:c>
      <x:c r="T289" s="19" t="n">
        <x:f>IF(R289="Exclude",0,IF(R289="Include",E289,Q289))</x:f>
        <x:v>0</x:v>
      </x:c>
      <x:c r="U289" s="15" t="str">
        <x:f>IF(T289&gt;0,"Funded",IF(P289="Eligible","Unfunded",P289))</x:f>
        <x:v>Evidence missing / not eligible</x:v>
      </x:c>
      <x:c r="V289" s="15" t="str">
        <x:f>IF(R289="Include","Conference inclusion: "&amp;S289,IF(R289="Exclude","Conference exclusion: "&amp;S289,IF(Q289&gt;0,H289&amp;" priority rank "&amp;I289&amp;"; whole initiative selected",P289)))</x:f>
        <x:v>Evidence missing / not eligible</x:v>
      </x:c>
      <x:c r="W289" s="15" t="str">
        <x:v>Bu!590</x:v>
      </x:c>
      <x:c r="X289" s="15" t="str"/>
      <x:c r="Y289" s="15" t="str"/>
      <x:c r="Z289" s="15" t="str">
        <x:v>New Feature</x:v>
      </x:c>
      <x:c r="AA289" s="15" t="str">
        <x:v>Carry Over</x:v>
      </x:c>
      <x:c r="AB289" s="15" t="str">
        <x:v>Commercial IT</x:v>
      </x:c>
      <x:c r="AC289" s="15" t="str"/>
      <x:c r="AD289" s="15" t="str"/>
      <x:c r="AE289" s="15" t="str"/>
      <x:c r="AF289" s="15" t="str"/>
      <x:c r="AG289" s="15" t="str">
        <x:v>Must Do</x:v>
      </x:c>
      <x:c r="AH289" s="15" t="n">
        <x:v>461</x:v>
      </x:c>
    </x:row>
    <x:row r="290">
      <x:c r="A290" s="15" t="str">
        <x:v>Bu-152</x:v>
      </x:c>
      <x:c r="B290" s="15" t="str">
        <x:v>PRISM - Product, Regulatory, Installed Base, Services Metrics unified</x:v>
      </x:c>
      <x:c r="C290" s="15" t="str">
        <x:v>BU Led</x:v>
      </x:c>
      <x:c r="D290" s="15" t="str">
        <x:v>Precision Diagnosis - Magnetic Resonance (MR)</x:v>
      </x:c>
      <x:c r="E290" s="19" t="n">
        <x:v>0.336</x:v>
      </x:c>
      <x:c r="F290" s="19" t="n">
        <x:v>0</x:v>
      </x:c>
      <x:c r="G290" s="22" t="n">
        <x:f>IF(AND(E290&gt;0,ISNUMBER(F290)),F290/E290,"")</x:f>
        <x:v>0</x:v>
      </x:c>
      <x:c r="H290" s="15" t="str">
        <x:v>Carryover</x:v>
      </x:c>
      <x:c r="I290" s="15" t="n">
        <x:v>69</x:v>
      </x:c>
      <x:c r="J290" s="15" t="n">
        <x:v>5</x:v>
      </x:c>
      <x:c r="K290" s="23" t="n">
        <x:f>IF(G290="",0,IF(G290&lt;1,0,IF(G290&lt;2,20,IF(G290&lt;3,30,IF(G290&lt;5,40,50)))))*'Scenario Controls'!$B$22/50</x:f>
        <x:v>0</x:v>
      </x:c>
      <x:c r="L290" s="23" t="n">
        <x:f>IF(ISNUMBER(SEARCH("Must Do",AG290)),25,IF(ISNUMBER(SEARCH("Must Have",AG290)),18,IF(ISNUMBER(SEARCH("Deprior",AG290)),5,0)))*'Scenario Controls'!$B$23/25</x:f>
        <x:v>18</x:v>
      </x:c>
      <x:c r="M290" s="23" t="n">
        <x:f>J290*'Scenario Controls'!$B$24/15</x:f>
        <x:v>5</x:v>
      </x:c>
      <x:c r="N290" s="23" t="n">
        <x:f>IF(ISNUMBER(SEARCH("HEALTHY",X290)),10,IF(ISNUMBER(SEARCH("CONTAIN",X290)),6,0))*'Scenario Controls'!$B$25/10</x:f>
        <x:v>0</x:v>
      </x:c>
      <x:c r="O290" s="23" t="n">
        <x:f>SUM(K290:N290)</x:f>
        <x:v>23</x:v>
      </x:c>
      <x:c r="P290" s="15" t="str">
        <x:f>IF(OR(B290="",E290&lt;=0),"Evidence missing / not eligible",IF(ISNUMBER(SEARCH("priority TBD",Y290)),"Evidence missing / not eligible",IF(AND(H290="Carryover",NOT(ISNUMBER(F290))),"Evidence missing / not eligible",IF(AND(H290="Carryover",G290&lt;'Scenario Controls'!$B$16),"Evidence missing / not eligible",IF(AND(H290="ROI-Based Portfolio",NOT(ISNUMBER(F290))),"Evidence missing / not eligible",IF(AND(H290="ROI-Based Portfolio",O290&lt;'Scenario Controls'!$B$20),"Evidence missing / not eligible","Eligible"))))))</x:f>
        <x:v>Evidence missing / not eligible</x:v>
      </x:c>
      <x:c r="Q290" s="19" t="n">
        <x:f>IF(P290&lt;&gt;"Eligible",0,IF(AND(SUMIFS($Q$5:Q289,$H$5:H289,H290)+E290&lt;=(IF(H290="LFR",'Scenario Controls'!$F$10,IF(H290="Sustain Engineering",'Scenario Controls'!$F$11,IF(H290="Hygiene",'Scenario Controls'!$F$12,1E+99))))*(1+'Scenario Controls'!$B$7),SUM($Q$5:Q289)+E290&lt;='Scenario Controls'!$B$6*(1+'Scenario Controls'!$B$7)),E290,0))</x:f>
        <x:v>0</x:v>
      </x:c>
      <x:c r="R290" s="24" t="str">
        <x:f>'BU Conference'!G150</x:f>
        <x:v>Automatic</x:v>
      </x:c>
      <x:c r="S290" s="24" t="str">
        <x:f>'BU Conference'!H150</x:f>
      </x:c>
      <x:c r="T290" s="19" t="n">
        <x:f>IF(R290="Exclude",0,IF(R290="Include",E290,Q290))</x:f>
        <x:v>0</x:v>
      </x:c>
      <x:c r="U290" s="15" t="str">
        <x:f>IF(T290&gt;0,"Funded",IF(P290="Eligible","Unfunded",P290))</x:f>
        <x:v>Evidence missing / not eligible</x:v>
      </x:c>
      <x:c r="V290" s="15" t="str">
        <x:f>IF(R290="Include","Conference inclusion: "&amp;S290,IF(R290="Exclude","Conference exclusion: "&amp;S290,IF(Q290&gt;0,H290&amp;" priority rank "&amp;I290&amp;"; whole initiative selected",P290)))</x:f>
        <x:v>Evidence missing / not eligible</x:v>
      </x:c>
      <x:c r="W290" s="15" t="str">
        <x:v>Bu!358</x:v>
      </x:c>
      <x:c r="X290" s="15" t="str"/>
      <x:c r="Y290" s="15" t="str"/>
      <x:c r="Z290" s="15" t="str">
        <x:v>Legal Fiscal, Regulatory &amp; Compliancy</x:v>
      </x:c>
      <x:c r="AA290" s="15" t="str">
        <x:v>Carry Over</x:v>
      </x:c>
      <x:c r="AB290" s="15" t="str">
        <x:v>Enterprise Architecture, Data &amp; Integration</x:v>
      </x:c>
      <x:c r="AC290" s="15" t="str"/>
      <x:c r="AD290" s="15" t="str"/>
      <x:c r="AE290" s="15" t="str">
        <x:v>Operations and Small CRs of Production Information Dashboard with 2 FTEs</x:v>
      </x:c>
      <x:c r="AF290" s="15" t="str">
        <x:v>Operations and Small CRs of Production Information Dashboard with 2 FTEs</x:v>
      </x:c>
      <x:c r="AG290" s="15" t="str">
        <x:v>Must Have</x:v>
      </x:c>
      <x:c r="AH290" s="15" t="n">
        <x:v>329</x:v>
      </x:c>
    </x:row>
    <x:row r="291">
      <x:c r="A291" s="15" t="str">
        <x:v>Bu-200</x:v>
      </x:c>
      <x:c r="B291" s="15" t="str">
        <x:v>Indonesia L4L</x:v>
      </x:c>
      <x:c r="C291" s="15" t="str">
        <x:v>BU Led</x:v>
      </x:c>
      <x:c r="D291" s="15" t="str">
        <x:v>Monitoring - HPM (MCH)</x:v>
      </x:c>
      <x:c r="E291" s="19" t="n">
        <x:v>0</x:v>
      </x:c>
      <x:c r="F291" s="19" t="n">
        <x:v>0</x:v>
      </x:c>
      <x:c r="G291" s="22" t="str">
        <x:f>IF(AND(E291&gt;0,ISNUMBER(F291)),F291/E291,"")</x:f>
      </x:c>
      <x:c r="H291" s="15" t="str">
        <x:v>Carryover</x:v>
      </x:c>
      <x:c r="I291" s="15" t="n">
        <x:v>70</x:v>
      </x:c>
      <x:c r="J291" s="15" t="n">
        <x:v>5</x:v>
      </x:c>
      <x:c r="K291" s="23" t="n">
        <x:f>IF(G291="",0,IF(G291&lt;1,0,IF(G291&lt;2,20,IF(G291&lt;3,30,IF(G291&lt;5,40,50)))))*'Scenario Controls'!$B$22/50</x:f>
        <x:v>0</x:v>
      </x:c>
      <x:c r="L291" s="23" t="n">
        <x:f>IF(ISNUMBER(SEARCH("Must Do",AG291)),25,IF(ISNUMBER(SEARCH("Must Have",AG291)),18,IF(ISNUMBER(SEARCH("Deprior",AG291)),5,0)))*'Scenario Controls'!$B$23/25</x:f>
        <x:v>5</x:v>
      </x:c>
      <x:c r="M291" s="23" t="n">
        <x:f>J291*'Scenario Controls'!$B$24/15</x:f>
        <x:v>5</x:v>
      </x:c>
      <x:c r="N291" s="23" t="n">
        <x:f>IF(ISNUMBER(SEARCH("HEALTHY",X291)),10,IF(ISNUMBER(SEARCH("CONTAIN",X291)),6,0))*'Scenario Controls'!$B$25/10</x:f>
        <x:v>10</x:v>
      </x:c>
      <x:c r="O291" s="23" t="n">
        <x:f>SUM(K291:N291)</x:f>
        <x:v>20</x:v>
      </x:c>
      <x:c r="P291" s="15" t="str">
        <x:f>IF(OR(B291="",E291&lt;=0),"Evidence missing / not eligible",IF(ISNUMBER(SEARCH("priority TBD",Y291)),"Evidence missing / not eligible",IF(AND(H291="Carryover",NOT(ISNUMBER(F291))),"Evidence missing / not eligible",IF(AND(H291="Carryover",G291&lt;'Scenario Controls'!$B$16),"Evidence missing / not eligible",IF(AND(H291="ROI-Based Portfolio",NOT(ISNUMBER(F291))),"Evidence missing / not eligible",IF(AND(H291="ROI-Based Portfolio",O291&lt;'Scenario Controls'!$B$20),"Evidence missing / not eligible","Eligible"))))))</x:f>
        <x:v>Evidence missing / not eligible</x:v>
      </x:c>
      <x:c r="Q291" s="19" t="n">
        <x:f>IF(P291&lt;&gt;"Eligible",0,IF(AND(SUMIFS($Q$5:Q290,$H$5:H290,H291)+E291&lt;=(IF(H291="LFR",'Scenario Controls'!$F$10,IF(H291="Sustain Engineering",'Scenario Controls'!$F$11,IF(H291="Hygiene",'Scenario Controls'!$F$12,1E+99))))*(1+'Scenario Controls'!$B$7),SUM($Q$5:Q290)+E291&lt;='Scenario Controls'!$B$6*(1+'Scenario Controls'!$B$7)),E291,0))</x:f>
        <x:v>0</x:v>
      </x:c>
      <x:c r="R291" s="24" t="str">
        <x:f>'BU Conference'!G151</x:f>
        <x:v>Automatic</x:v>
      </x:c>
      <x:c r="S291" s="24" t="str">
        <x:f>'BU Conference'!H151</x:f>
      </x:c>
      <x:c r="T291" s="19" t="n">
        <x:f>IF(R291="Exclude",0,IF(R291="Include",E291,Q291))</x:f>
        <x:v>0</x:v>
      </x:c>
      <x:c r="U291" s="15" t="str">
        <x:f>IF(T291&gt;0,"Funded",IF(P291="Eligible","Unfunded",P291))</x:f>
        <x:v>Evidence missing / not eligible</x:v>
      </x:c>
      <x:c r="V291" s="15" t="str">
        <x:f>IF(R291="Include","Conference inclusion: "&amp;S291,IF(R291="Exclude","Conference exclusion: "&amp;S291,IF(Q291&gt;0,H291&amp;" priority rank "&amp;I291&amp;"; whole initiative selected",P291)))</x:f>
        <x:v>Evidence missing / not eligible</x:v>
      </x:c>
      <x:c r="W291" s="15" t="str">
        <x:v>Bu!493</x:v>
      </x:c>
      <x:c r="X291" s="15" t="str">
        <x:v>HEALTHY</x:v>
      </x:c>
      <x:c r="Y291" s="15" t="str">
        <x:v>HEALTHY — Rank in priority matrix</x:v>
      </x:c>
      <x:c r="Z291" s="15" t="str">
        <x:v>New Technology</x:v>
      </x:c>
      <x:c r="AA291" s="15" t="str">
        <x:v>Carry Over</x:v>
      </x:c>
      <x:c r="AB291" s="15" t="str">
        <x:v>Integrated Supply Chain &amp; Finance</x:v>
      </x:c>
      <x:c r="AC291" s="15" t="str">
        <x:v>Carry Over stops</x:v>
      </x:c>
      <x:c r="AD291" s="15" t="str"/>
      <x:c r="AE291" s="15" t="str"/>
      <x:c r="AF291" s="15" t="str">
        <x:v>Carry Over stops</x:v>
      </x:c>
      <x:c r="AG291" s="15" t="str">
        <x:v>Deprioritised</x:v>
      </x:c>
      <x:c r="AH291" s="15" t="n">
        <x:v>377</x:v>
      </x:c>
    </x:row>
    <x:row r="292">
      <x:c r="A292" s="15" t="str">
        <x:v>Bu-206</x:v>
      </x:c>
      <x:c r="B292" s="15" t="str">
        <x:v>Manufacturing efficiency – I-care improvements</x:v>
      </x:c>
      <x:c r="C292" s="15" t="str">
        <x:v>BU Led</x:v>
      </x:c>
      <x:c r="D292" s="15" t="str">
        <x:v>Monitoring - HPM (MCH)</x:v>
      </x:c>
      <x:c r="E292" s="19" t="n">
        <x:v>0</x:v>
      </x:c>
      <x:c r="F292" s="19" t="n">
        <x:v>0</x:v>
      </x:c>
      <x:c r="G292" s="22" t="str">
        <x:f>IF(AND(E292&gt;0,ISNUMBER(F292)),F292/E292,"")</x:f>
      </x:c>
      <x:c r="H292" s="15" t="str">
        <x:v>Carryover</x:v>
      </x:c>
      <x:c r="I292" s="15" t="n">
        <x:v>71</x:v>
      </x:c>
      <x:c r="J292" s="15" t="n">
        <x:v>5</x:v>
      </x:c>
      <x:c r="K292" s="23" t="n">
        <x:f>IF(G292="",0,IF(G292&lt;1,0,IF(G292&lt;2,20,IF(G292&lt;3,30,IF(G292&lt;5,40,50)))))*'Scenario Controls'!$B$22/50</x:f>
        <x:v>0</x:v>
      </x:c>
      <x:c r="L292" s="23" t="n">
        <x:f>IF(ISNUMBER(SEARCH("Must Do",AG292)),25,IF(ISNUMBER(SEARCH("Must Have",AG292)),18,IF(ISNUMBER(SEARCH("Deprior",AG292)),5,0)))*'Scenario Controls'!$B$23/25</x:f>
        <x:v>5</x:v>
      </x:c>
      <x:c r="M292" s="23" t="n">
        <x:f>J292*'Scenario Controls'!$B$24/15</x:f>
        <x:v>5</x:v>
      </x:c>
      <x:c r="N292" s="23" t="n">
        <x:f>IF(ISNUMBER(SEARCH("HEALTHY",X292)),10,IF(ISNUMBER(SEARCH("CONTAIN",X292)),6,0))*'Scenario Controls'!$B$25/10</x:f>
        <x:v>10</x:v>
      </x:c>
      <x:c r="O292" s="23" t="n">
        <x:f>SUM(K292:N292)</x:f>
        <x:v>20</x:v>
      </x:c>
      <x:c r="P292" s="15" t="str">
        <x:f>IF(OR(B292="",E292&lt;=0),"Evidence missing / not eligible",IF(ISNUMBER(SEARCH("priority TBD",Y292)),"Evidence missing / not eligible",IF(AND(H292="Carryover",NOT(ISNUMBER(F292))),"Evidence missing / not eligible",IF(AND(H292="Carryover",G292&lt;'Scenario Controls'!$B$16),"Evidence missing / not eligible",IF(AND(H292="ROI-Based Portfolio",NOT(ISNUMBER(F292))),"Evidence missing / not eligible",IF(AND(H292="ROI-Based Portfolio",O292&lt;'Scenario Controls'!$B$20),"Evidence missing / not eligible","Eligible"))))))</x:f>
        <x:v>Evidence missing / not eligible</x:v>
      </x:c>
      <x:c r="Q292" s="19" t="n">
        <x:f>IF(P292&lt;&gt;"Eligible",0,IF(AND(SUMIFS($Q$5:Q291,$H$5:H291,H292)+E292&lt;=(IF(H292="LFR",'Scenario Controls'!$F$10,IF(H292="Sustain Engineering",'Scenario Controls'!$F$11,IF(H292="Hygiene",'Scenario Controls'!$F$12,1E+99))))*(1+'Scenario Controls'!$B$7),SUM($Q$5:Q291)+E292&lt;='Scenario Controls'!$B$6*(1+'Scenario Controls'!$B$7)),E292,0))</x:f>
        <x:v>0</x:v>
      </x:c>
      <x:c r="R292" s="24" t="str">
        <x:f>'BU Conference'!G152</x:f>
        <x:v>Automatic</x:v>
      </x:c>
      <x:c r="S292" s="24" t="str">
        <x:f>'BU Conference'!H152</x:f>
      </x:c>
      <x:c r="T292" s="19" t="n">
        <x:f>IF(R292="Exclude",0,IF(R292="Include",E292,Q292))</x:f>
        <x:v>0</x:v>
      </x:c>
      <x:c r="U292" s="15" t="str">
        <x:f>IF(T292&gt;0,"Funded",IF(P292="Eligible","Unfunded",P292))</x:f>
        <x:v>Evidence missing / not eligible</x:v>
      </x:c>
      <x:c r="V292" s="15" t="str">
        <x:f>IF(R292="Include","Conference inclusion: "&amp;S292,IF(R292="Exclude","Conference exclusion: "&amp;S292,IF(Q292&gt;0,H292&amp;" priority rank "&amp;I292&amp;"; whole initiative selected",P292)))</x:f>
        <x:v>Evidence missing / not eligible</x:v>
      </x:c>
      <x:c r="W292" s="15" t="str">
        <x:v>Bu!499</x:v>
      </x:c>
      <x:c r="X292" s="15" t="str">
        <x:v>HEALTHY</x:v>
      </x:c>
      <x:c r="Y292" s="15" t="str">
        <x:v>HEALTHY — Rank in priority matrix</x:v>
      </x:c>
      <x:c r="Z292" s="15" t="str">
        <x:v>New Feature</x:v>
      </x:c>
      <x:c r="AA292" s="15" t="str">
        <x:v>Carry Over</x:v>
      </x:c>
      <x:c r="AB292" s="15" t="str">
        <x:v>Integrated Supply Chain &amp; Finance</x:v>
      </x:c>
      <x:c r="AC292" s="15" t="str">
        <x:v>Carry Over stops</x:v>
      </x:c>
      <x:c r="AD292" s="15" t="str"/>
      <x:c r="AE292" s="15" t="str"/>
      <x:c r="AF292" s="15" t="str">
        <x:v>Carry Over stops</x:v>
      </x:c>
      <x:c r="AG292" s="15" t="str">
        <x:v>Deprioritised</x:v>
      </x:c>
      <x:c r="AH292" s="15" t="n">
        <x:v>383</x:v>
      </x:c>
    </x:row>
    <x:row r="293">
      <x:c r="A293" s="15" t="str">
        <x:v>Bu-211</x:v>
      </x:c>
      <x:c r="B293" s="15" t="str">
        <x:v>GBS Collaboration - Order Orchestration (Appian)</x:v>
      </x:c>
      <x:c r="C293" s="15" t="str">
        <x:v>BU Led</x:v>
      </x:c>
      <x:c r="D293" s="15" t="str">
        <x:v>Monitoring - HPM (MCH)</x:v>
      </x:c>
      <x:c r="E293" s="19" t="n">
        <x:v>0</x:v>
      </x:c>
      <x:c r="F293" s="19" t="n">
        <x:v>0</x:v>
      </x:c>
      <x:c r="G293" s="22" t="str">
        <x:f>IF(AND(E293&gt;0,ISNUMBER(F293)),F293/E293,"")</x:f>
      </x:c>
      <x:c r="H293" s="15" t="str">
        <x:v>Carryover</x:v>
      </x:c>
      <x:c r="I293" s="15" t="n">
        <x:v>72</x:v>
      </x:c>
      <x:c r="J293" s="15" t="n">
        <x:v>5</x:v>
      </x:c>
      <x:c r="K293" s="23" t="n">
        <x:f>IF(G293="",0,IF(G293&lt;1,0,IF(G293&lt;2,20,IF(G293&lt;3,30,IF(G293&lt;5,40,50)))))*'Scenario Controls'!$B$22/50</x:f>
        <x:v>0</x:v>
      </x:c>
      <x:c r="L293" s="23" t="n">
        <x:f>IF(ISNUMBER(SEARCH("Must Do",AG293)),25,IF(ISNUMBER(SEARCH("Must Have",AG293)),18,IF(ISNUMBER(SEARCH("Deprior",AG293)),5,0)))*'Scenario Controls'!$B$23/25</x:f>
        <x:v>5</x:v>
      </x:c>
      <x:c r="M293" s="23" t="n">
        <x:f>J293*'Scenario Controls'!$B$24/15</x:f>
        <x:v>5</x:v>
      </x:c>
      <x:c r="N293" s="23" t="n">
        <x:f>IF(ISNUMBER(SEARCH("HEALTHY",X293)),10,IF(ISNUMBER(SEARCH("CONTAIN",X293)),6,0))*'Scenario Controls'!$B$25/10</x:f>
        <x:v>6</x:v>
      </x:c>
      <x:c r="O293" s="23" t="n">
        <x:f>SUM(K293:N293)</x:f>
        <x:v>16</x:v>
      </x:c>
      <x:c r="P293" s="15" t="str">
        <x:f>IF(OR(B293="",E293&lt;=0),"Evidence missing / not eligible",IF(ISNUMBER(SEARCH("priority TBD",Y293)),"Evidence missing / not eligible",IF(AND(H293="Carryover",NOT(ISNUMBER(F293))),"Evidence missing / not eligible",IF(AND(H293="Carryover",G293&lt;'Scenario Controls'!$B$16),"Evidence missing / not eligible",IF(AND(H293="ROI-Based Portfolio",NOT(ISNUMBER(F293))),"Evidence missing / not eligible",IF(AND(H293="ROI-Based Portfolio",O293&lt;'Scenario Controls'!$B$20),"Evidence missing / not eligible","Eligible"))))))</x:f>
        <x:v>Evidence missing / not eligible</x:v>
      </x:c>
      <x:c r="Q293" s="19" t="n">
        <x:f>IF(P293&lt;&gt;"Eligible",0,IF(AND(SUMIFS($Q$5:Q292,$H$5:H292,H293)+E293&lt;=(IF(H293="LFR",'Scenario Controls'!$F$10,IF(H293="Sustain Engineering",'Scenario Controls'!$F$11,IF(H293="Hygiene",'Scenario Controls'!$F$12,1E+99))))*(1+'Scenario Controls'!$B$7),SUM($Q$5:Q292)+E293&lt;='Scenario Controls'!$B$6*(1+'Scenario Controls'!$B$7)),E293,0))</x:f>
        <x:v>0</x:v>
      </x:c>
      <x:c r="R293" s="24" t="str">
        <x:f>'BU Conference'!G153</x:f>
        <x:v>Automatic</x:v>
      </x:c>
      <x:c r="S293" s="24" t="str">
        <x:f>'BU Conference'!H153</x:f>
      </x:c>
      <x:c r="T293" s="19" t="n">
        <x:f>IF(R293="Exclude",0,IF(R293="Include",E293,Q293))</x:f>
        <x:v>0</x:v>
      </x:c>
      <x:c r="U293" s="15" t="str">
        <x:f>IF(T293&gt;0,"Funded",IF(P293="Eligible","Unfunded",P293))</x:f>
        <x:v>Evidence missing / not eligible</x:v>
      </x:c>
      <x:c r="V293" s="15" t="str">
        <x:f>IF(R293="Include","Conference inclusion: "&amp;S293,IF(R293="Exclude","Conference exclusion: "&amp;S293,IF(Q293&gt;0,H293&amp;" priority rank "&amp;I293&amp;"; whole initiative selected",P293)))</x:f>
        <x:v>Evidence missing / not eligible</x:v>
      </x:c>
      <x:c r="W293" s="15" t="str">
        <x:v>Bu!504</x:v>
      </x:c>
      <x:c r="X293" s="15" t="str">
        <x:v>CONTAIN</x:v>
      </x:c>
      <x:c r="Y293" s="15" t="str">
        <x:v>CONTAIN — Conditions</x:v>
      </x:c>
      <x:c r="Z293" s="15" t="str">
        <x:v>New Feature</x:v>
      </x:c>
      <x:c r="AA293" s="15" t="str">
        <x:v>Carry Over</x:v>
      </x:c>
      <x:c r="AB293" s="15" t="str">
        <x:v>Integrated Supply Chain &amp; Finance</x:v>
      </x:c>
      <x:c r="AC293" s="15" t="str">
        <x:v>Carry Over stops</x:v>
      </x:c>
      <x:c r="AD293" s="15" t="str"/>
      <x:c r="AE293" s="15" t="str"/>
      <x:c r="AF293" s="15" t="str">
        <x:v>Carry Over stops</x:v>
      </x:c>
      <x:c r="AG293" s="15" t="str">
        <x:v>Deprioritised</x:v>
      </x:c>
      <x:c r="AH293" s="15" t="n">
        <x:v>388</x:v>
      </x:c>
    </x:row>
    <x:row r="294">
      <x:c r="A294" s="15" t="str">
        <x:v>Bu-208</x:v>
      </x:c>
      <x:c r="B294" s="15" t="str">
        <x:v>DUPLICATE - IWD capabilities improvements and cost reductions</x:v>
      </x:c>
      <x:c r="C294" s="15" t="str">
        <x:v>BU Led</x:v>
      </x:c>
      <x:c r="D294" s="15" t="str">
        <x:v>Monitoring - HPM (MCH)</x:v>
      </x:c>
      <x:c r="E294" s="19" t="n">
        <x:v>0</x:v>
      </x:c>
      <x:c r="F294" s="19" t="n">
        <x:v>0</x:v>
      </x:c>
      <x:c r="G294" s="22" t="str">
        <x:f>IF(AND(E294&gt;0,ISNUMBER(F294)),F294/E294,"")</x:f>
      </x:c>
      <x:c r="H294" s="15" t="str">
        <x:v>Carryover</x:v>
      </x:c>
      <x:c r="I294" s="15" t="n">
        <x:v>73</x:v>
      </x:c>
      <x:c r="J294" s="15" t="n">
        <x:v>0</x:v>
      </x:c>
      <x:c r="K294" s="23" t="n">
        <x:f>IF(G294="",0,IF(G294&lt;1,0,IF(G294&lt;2,20,IF(G294&lt;3,30,IF(G294&lt;5,40,50)))))*'Scenario Controls'!$B$22/50</x:f>
        <x:v>0</x:v>
      </x:c>
      <x:c r="L294" s="23" t="n">
        <x:f>IF(ISNUMBER(SEARCH("Must Do",AG294)),25,IF(ISNUMBER(SEARCH("Must Have",AG294)),18,IF(ISNUMBER(SEARCH("Deprior",AG294)),5,0)))*'Scenario Controls'!$B$23/25</x:f>
        <x:v>5</x:v>
      </x:c>
      <x:c r="M294" s="23" t="n">
        <x:f>J294*'Scenario Controls'!$B$24/15</x:f>
        <x:v>0</x:v>
      </x:c>
      <x:c r="N294" s="23" t="n">
        <x:f>IF(ISNUMBER(SEARCH("HEALTHY",X294)),10,IF(ISNUMBER(SEARCH("CONTAIN",X294)),6,0))*'Scenario Controls'!$B$25/10</x:f>
        <x:v>10</x:v>
      </x:c>
      <x:c r="O294" s="23" t="n">
        <x:f>SUM(K294:N294)</x:f>
        <x:v>15</x:v>
      </x:c>
      <x:c r="P294" s="15" t="str">
        <x:f>IF(OR(B294="",E294&lt;=0),"Evidence missing / not eligible",IF(ISNUMBER(SEARCH("priority TBD",Y294)),"Evidence missing / not eligible",IF(AND(H294="Carryover",NOT(ISNUMBER(F294))),"Evidence missing / not eligible",IF(AND(H294="Carryover",G294&lt;'Scenario Controls'!$B$16),"Evidence missing / not eligible",IF(AND(H294="ROI-Based Portfolio",NOT(ISNUMBER(F294))),"Evidence missing / not eligible",IF(AND(H294="ROI-Based Portfolio",O294&lt;'Scenario Controls'!$B$20),"Evidence missing / not eligible","Eligible"))))))</x:f>
        <x:v>Evidence missing / not eligible</x:v>
      </x:c>
      <x:c r="Q294" s="19" t="n">
        <x:f>IF(P294&lt;&gt;"Eligible",0,IF(AND(SUMIFS($Q$5:Q293,$H$5:H293,H294)+E294&lt;=(IF(H294="LFR",'Scenario Controls'!$F$10,IF(H294="Sustain Engineering",'Scenario Controls'!$F$11,IF(H294="Hygiene",'Scenario Controls'!$F$12,1E+99))))*(1+'Scenario Controls'!$B$7),SUM($Q$5:Q293)+E294&lt;='Scenario Controls'!$B$6*(1+'Scenario Controls'!$B$7)),E294,0))</x:f>
        <x:v>0</x:v>
      </x:c>
      <x:c r="R294" s="24" t="str">
        <x:f>'BU Conference'!G154</x:f>
        <x:v>Automatic</x:v>
      </x:c>
      <x:c r="S294" s="24" t="str">
        <x:f>'BU Conference'!H154</x:f>
      </x:c>
      <x:c r="T294" s="19" t="n">
        <x:f>IF(R294="Exclude",0,IF(R294="Include",E294,Q294))</x:f>
        <x:v>0</x:v>
      </x:c>
      <x:c r="U294" s="15" t="str">
        <x:f>IF(T294&gt;0,"Funded",IF(P294="Eligible","Unfunded",P294))</x:f>
        <x:v>Evidence missing / not eligible</x:v>
      </x:c>
      <x:c r="V294" s="15" t="str">
        <x:f>IF(R294="Include","Conference inclusion: "&amp;S294,IF(R294="Exclude","Conference exclusion: "&amp;S294,IF(Q294&gt;0,H294&amp;" priority rank "&amp;I294&amp;"; whole initiative selected",P294)))</x:f>
        <x:v>Evidence missing / not eligible</x:v>
      </x:c>
      <x:c r="W294" s="15" t="str">
        <x:v>Bu!501</x:v>
      </x:c>
      <x:c r="X294" s="15" t="str">
        <x:v>HEALTHY</x:v>
      </x:c>
      <x:c r="Y294" s="15" t="str">
        <x:v>HEALTHY — Rank in priority matrix</x:v>
      </x:c>
      <x:c r="Z294" s="15" t="str">
        <x:v>New Feature</x:v>
      </x:c>
      <x:c r="AA294" s="15" t="str">
        <x:v>Carry Over</x:v>
      </x:c>
      <x:c r="AB294" s="15" t="str">
        <x:v>Integrated Supply Chain &amp; Finance</x:v>
      </x:c>
      <x:c r="AC294" s="15" t="str"/>
      <x:c r="AD294" s="15" t="str"/>
      <x:c r="AE294" s="15" t="str"/>
      <x:c r="AF294" s="15" t="str"/>
      <x:c r="AG294" s="15" t="str">
        <x:v>Deprioritised</x:v>
      </x:c>
      <x:c r="AH294" s="15" t="n">
        <x:v>385</x:v>
      </x:c>
    </x:row>
    <x:row r="295">
      <x:c r="A295" s="15" t="str">
        <x:v>Bu-209</x:v>
      </x:c>
      <x:c r="B295" s="15" t="str">
        <x:v>DUPLICATE - Circular Lifecycle Solutions and Spare parts delivery</x:v>
      </x:c>
      <x:c r="C295" s="15" t="str">
        <x:v>BU Led</x:v>
      </x:c>
      <x:c r="D295" s="15" t="str">
        <x:v>Monitoring - HPM (MCH)</x:v>
      </x:c>
      <x:c r="E295" s="19" t="n">
        <x:v>0</x:v>
      </x:c>
      <x:c r="F295" s="19" t="n">
        <x:v>0</x:v>
      </x:c>
      <x:c r="G295" s="22" t="str">
        <x:f>IF(AND(E295&gt;0,ISNUMBER(F295)),F295/E295,"")</x:f>
      </x:c>
      <x:c r="H295" s="15" t="str">
        <x:v>Carryover</x:v>
      </x:c>
      <x:c r="I295" s="15" t="n">
        <x:v>74</x:v>
      </x:c>
      <x:c r="J295" s="15" t="n">
        <x:v>0</x:v>
      </x:c>
      <x:c r="K295" s="23" t="n">
        <x:f>IF(G295="",0,IF(G295&lt;1,0,IF(G295&lt;2,20,IF(G295&lt;3,30,IF(G295&lt;5,40,50)))))*'Scenario Controls'!$B$22/50</x:f>
        <x:v>0</x:v>
      </x:c>
      <x:c r="L295" s="23" t="n">
        <x:f>IF(ISNUMBER(SEARCH("Must Do",AG295)),25,IF(ISNUMBER(SEARCH("Must Have",AG295)),18,IF(ISNUMBER(SEARCH("Deprior",AG295)),5,0)))*'Scenario Controls'!$B$23/25</x:f>
        <x:v>5</x:v>
      </x:c>
      <x:c r="M295" s="23" t="n">
        <x:f>J295*'Scenario Controls'!$B$24/15</x:f>
        <x:v>0</x:v>
      </x:c>
      <x:c r="N295" s="23" t="n">
        <x:f>IF(ISNUMBER(SEARCH("HEALTHY",X295)),10,IF(ISNUMBER(SEARCH("CONTAIN",X295)),6,0))*'Scenario Controls'!$B$25/10</x:f>
        <x:v>10</x:v>
      </x:c>
      <x:c r="O295" s="23" t="n">
        <x:f>SUM(K295:N295)</x:f>
        <x:v>15</x:v>
      </x:c>
      <x:c r="P295" s="15" t="str">
        <x:f>IF(OR(B295="",E295&lt;=0),"Evidence missing / not eligible",IF(ISNUMBER(SEARCH("priority TBD",Y295)),"Evidence missing / not eligible",IF(AND(H295="Carryover",NOT(ISNUMBER(F295))),"Evidence missing / not eligible",IF(AND(H295="Carryover",G295&lt;'Scenario Controls'!$B$16),"Evidence missing / not eligible",IF(AND(H295="ROI-Based Portfolio",NOT(ISNUMBER(F295))),"Evidence missing / not eligible",IF(AND(H295="ROI-Based Portfolio",O295&lt;'Scenario Controls'!$B$20),"Evidence missing / not eligible","Eligible"))))))</x:f>
        <x:v>Evidence missing / not eligible</x:v>
      </x:c>
      <x:c r="Q295" s="19" t="n">
        <x:f>IF(P295&lt;&gt;"Eligible",0,IF(AND(SUMIFS($Q$5:Q294,$H$5:H294,H295)+E295&lt;=(IF(H295="LFR",'Scenario Controls'!$F$10,IF(H295="Sustain Engineering",'Scenario Controls'!$F$11,IF(H295="Hygiene",'Scenario Controls'!$F$12,1E+99))))*(1+'Scenario Controls'!$B$7),SUM($Q$5:Q294)+E295&lt;='Scenario Controls'!$B$6*(1+'Scenario Controls'!$B$7)),E295,0))</x:f>
        <x:v>0</x:v>
      </x:c>
      <x:c r="R295" s="24" t="str">
        <x:f>'BU Conference'!G155</x:f>
        <x:v>Automatic</x:v>
      </x:c>
      <x:c r="S295" s="24" t="str">
        <x:f>'BU Conference'!H155</x:f>
      </x:c>
      <x:c r="T295" s="19" t="n">
        <x:f>IF(R295="Exclude",0,IF(R295="Include",E295,Q295))</x:f>
        <x:v>0</x:v>
      </x:c>
      <x:c r="U295" s="15" t="str">
        <x:f>IF(T295&gt;0,"Funded",IF(P295="Eligible","Unfunded",P295))</x:f>
        <x:v>Evidence missing / not eligible</x:v>
      </x:c>
      <x:c r="V295" s="15" t="str">
        <x:f>IF(R295="Include","Conference inclusion: "&amp;S295,IF(R295="Exclude","Conference exclusion: "&amp;S295,IF(Q295&gt;0,H295&amp;" priority rank "&amp;I295&amp;"; whole initiative selected",P295)))</x:f>
        <x:v>Evidence missing / not eligible</x:v>
      </x:c>
      <x:c r="W295" s="15" t="str">
        <x:v>Bu!502</x:v>
      </x:c>
      <x:c r="X295" s="15" t="str">
        <x:v>HEALTHY</x:v>
      </x:c>
      <x:c r="Y295" s="15" t="str">
        <x:v>HEALTHY — Rank in priority matrix</x:v>
      </x:c>
      <x:c r="Z295" s="15" t="str">
        <x:v>New Feature</x:v>
      </x:c>
      <x:c r="AA295" s="15" t="str">
        <x:v>Carry Over</x:v>
      </x:c>
      <x:c r="AB295" s="15" t="str">
        <x:v>Integrated Supply Chain &amp; Finance</x:v>
      </x:c>
      <x:c r="AC295" s="15" t="str"/>
      <x:c r="AD295" s="15" t="str"/>
      <x:c r="AE295" s="15" t="str"/>
      <x:c r="AF295" s="15" t="str"/>
      <x:c r="AG295" s="15" t="str">
        <x:v>Deprioritised</x:v>
      </x:c>
      <x:c r="AH295" s="15" t="n">
        <x:v>386</x:v>
      </x:c>
    </x:row>
    <x:row r="296">
      <x:c r="A296" s="15" t="str">
        <x:v>Bu-53</x:v>
      </x:c>
      <x:c r="B296" s="15" t="str">
        <x:v>E2E Trade Item Integration</x:v>
      </x:c>
      <x:c r="C296" s="15" t="str">
        <x:v>BU Led</x:v>
      </x:c>
      <x:c r="D296" s="15" t="str">
        <x:v>Sleep &amp; Respiratory Care (SRC)</x:v>
      </x:c>
      <x:c r="E296" s="19" t="n">
        <x:v>0</x:v>
      </x:c>
      <x:c r="F296" s="19" t="n">
        <x:v>0</x:v>
      </x:c>
      <x:c r="G296" s="22" t="str">
        <x:f>IF(AND(E296&gt;0,ISNUMBER(F296)),F296/E296,"")</x:f>
      </x:c>
      <x:c r="H296" s="15" t="str">
        <x:v>Carryover</x:v>
      </x:c>
      <x:c r="I296" s="15" t="n">
        <x:v>75</x:v>
      </x:c>
      <x:c r="J296" s="15" t="n">
        <x:v>5</x:v>
      </x:c>
      <x:c r="K296" s="23" t="n">
        <x:f>IF(G296="",0,IF(G296&lt;1,0,IF(G296&lt;2,20,IF(G296&lt;3,30,IF(G296&lt;5,40,50)))))*'Scenario Controls'!$B$22/50</x:f>
        <x:v>0</x:v>
      </x:c>
      <x:c r="L296" s="23" t="n">
        <x:f>IF(ISNUMBER(SEARCH("Must Do",AG296)),25,IF(ISNUMBER(SEARCH("Must Have",AG296)),18,IF(ISNUMBER(SEARCH("Deprior",AG296)),5,0)))*'Scenario Controls'!$B$23/25</x:f>
        <x:v>5</x:v>
      </x:c>
      <x:c r="M296" s="23" t="n">
        <x:f>J296*'Scenario Controls'!$B$24/15</x:f>
        <x:v>5</x:v>
      </x:c>
      <x:c r="N296" s="23" t="n">
        <x:f>IF(ISNUMBER(SEARCH("HEALTHY",X296)),10,IF(ISNUMBER(SEARCH("CONTAIN",X296)),6,0))*'Scenario Controls'!$B$25/10</x:f>
        <x:v>0</x:v>
      </x:c>
      <x:c r="O296" s="23" t="n">
        <x:f>SUM(K296:N296)</x:f>
        <x:v>10</x:v>
      </x:c>
      <x:c r="P296" s="15" t="str">
        <x:f>IF(OR(B296="",E296&lt;=0),"Evidence missing / not eligible",IF(ISNUMBER(SEARCH("priority TBD",Y296)),"Evidence missing / not eligible",IF(AND(H296="Carryover",NOT(ISNUMBER(F296))),"Evidence missing / not eligible",IF(AND(H296="Carryover",G296&lt;'Scenario Controls'!$B$16),"Evidence missing / not eligible",IF(AND(H296="ROI-Based Portfolio",NOT(ISNUMBER(F296))),"Evidence missing / not eligible",IF(AND(H296="ROI-Based Portfolio",O296&lt;'Scenario Controls'!$B$20),"Evidence missing / not eligible","Eligible"))))))</x:f>
        <x:v>Evidence missing / not eligible</x:v>
      </x:c>
      <x:c r="Q296" s="19" t="n">
        <x:f>IF(P296&lt;&gt;"Eligible",0,IF(AND(SUMIFS($Q$5:Q295,$H$5:H295,H296)+E296&lt;=(IF(H296="LFR",'Scenario Controls'!$F$10,IF(H296="Sustain Engineering",'Scenario Controls'!$F$11,IF(H296="Hygiene",'Scenario Controls'!$F$12,1E+99))))*(1+'Scenario Controls'!$B$7),SUM($Q$5:Q295)+E296&lt;='Scenario Controls'!$B$6*(1+'Scenario Controls'!$B$7)),E296,0))</x:f>
        <x:v>0</x:v>
      </x:c>
      <x:c r="R296" s="24" t="str">
        <x:f>'BU Conference'!G156</x:f>
        <x:v>Automatic</x:v>
      </x:c>
      <x:c r="S296" s="24" t="str">
        <x:f>'BU Conference'!H156</x:f>
      </x:c>
      <x:c r="T296" s="19" t="n">
        <x:f>IF(R296="Exclude",0,IF(R296="Include",E296,Q296))</x:f>
        <x:v>0</x:v>
      </x:c>
      <x:c r="U296" s="15" t="str">
        <x:f>IF(T296&gt;0,"Funded",IF(P296="Eligible","Unfunded",P296))</x:f>
        <x:v>Evidence missing / not eligible</x:v>
      </x:c>
      <x:c r="V296" s="15" t="str">
        <x:f>IF(R296="Include","Conference inclusion: "&amp;S296,IF(R296="Exclude","Conference exclusion: "&amp;S296,IF(Q296&gt;0,H296&amp;" priority rank "&amp;I296&amp;"; whole initiative selected",P296)))</x:f>
        <x:v>Evidence missing / not eligible</x:v>
      </x:c>
      <x:c r="W296" s="15" t="str">
        <x:v>Bu!117</x:v>
      </x:c>
      <x:c r="X296" s="15" t="str"/>
      <x:c r="Y296" s="15" t="str"/>
      <x:c r="Z296" s="15" t="str">
        <x:v>Legal Fiscal, Regulatory &amp; Compliancy</x:v>
      </x:c>
      <x:c r="AA296" s="15" t="str">
        <x:v>Carry Over</x:v>
      </x:c>
      <x:c r="AB296" s="15" t="str">
        <x:v>Innovation and Digital IT</x:v>
      </x:c>
      <x:c r="AC296" s="15" t="str">
        <x:v>NA</x:v>
      </x:c>
      <x:c r="AD296" s="15" t="str">
        <x:v>Deprioritized</x:v>
      </x:c>
      <x:c r="AE296" s="15" t="str">
        <x:v>Deprioritized</x:v>
      </x:c>
      <x:c r="AF296" s="15" t="str">
        <x:v>NA | Deprioritized | Deprioritized</x:v>
      </x:c>
      <x:c r="AG296" s="15" t="str">
        <x:v>Deprioritised</x:v>
      </x:c>
      <x:c r="AH296" s="15" t="n">
        <x:v>230</x:v>
      </x:c>
    </x:row>
    <x:row r="297">
      <x:c r="A297" s="15" t="str">
        <x:v>EW-29</x:v>
      </x:c>
      <x:c r="B297" s="15" t="str">
        <x:v>Technology Business Management and FinOps program</x:v>
      </x:c>
      <x:c r="C297" s="15" t="str">
        <x:v>EW Led</x:v>
      </x:c>
      <x:c r="D297" s="15" t="str">
        <x:v>Information Technology</x:v>
      </x:c>
      <x:c r="E297" s="19" t="n">
        <x:v>0.45</x:v>
      </x:c>
      <x:c r="F297" s="19" t="n">
        <x:v>0</x:v>
      </x:c>
      <x:c r="G297" s="22" t="n">
        <x:f>IF(AND(E297&gt;0,ISNUMBER(F297)),F297/E297,"")</x:f>
        <x:v>0</x:v>
      </x:c>
      <x:c r="H297" s="15" t="str">
        <x:v>Carryover</x:v>
      </x:c>
      <x:c r="I297" s="15" t="n">
        <x:v>76</x:v>
      </x:c>
      <x:c r="J297" s="15" t="n">
        <x:v>0</x:v>
      </x:c>
      <x:c r="K297" s="23" t="n">
        <x:f>IF(G297="",0,IF(G297&lt;1,0,IF(G297&lt;2,20,IF(G297&lt;3,30,IF(G297&lt;5,40,50)))))*'Scenario Controls'!$B$22/50</x:f>
        <x:v>0</x:v>
      </x:c>
      <x:c r="L297" s="23" t="n">
        <x:f>IF(ISNUMBER(SEARCH("Must Do",AG297)),25,IF(ISNUMBER(SEARCH("Must Have",AG297)),18,IF(ISNUMBER(SEARCH("Deprior",AG297)),5,0)))*'Scenario Controls'!$B$23/25</x:f>
        <x:v>0</x:v>
      </x:c>
      <x:c r="M297" s="23" t="n">
        <x:f>J297*'Scenario Controls'!$B$24/15</x:f>
        <x:v>0</x:v>
      </x:c>
      <x:c r="N297" s="23" t="n">
        <x:f>IF(ISNUMBER(SEARCH("HEALTHY",X297)),10,IF(ISNUMBER(SEARCH("CONTAIN",X297)),6,0))*'Scenario Controls'!$B$25/10</x:f>
        <x:v>10</x:v>
      </x:c>
      <x:c r="O297" s="23" t="n">
        <x:f>SUM(K297:N297)</x:f>
        <x:v>10</x:v>
      </x:c>
      <x:c r="P297" s="15" t="str">
        <x:f>IF(OR(B297="",E297&lt;=0),"Evidence missing / not eligible",IF(ISNUMBER(SEARCH("priority TBD",Y297)),"Evidence missing / not eligible",IF(AND(H297="Carryover",NOT(ISNUMBER(F297))),"Evidence missing / not eligible",IF(AND(H297="Carryover",G297&lt;'Scenario Controls'!$B$16),"Evidence missing / not eligible",IF(AND(H297="ROI-Based Portfolio",NOT(ISNUMBER(F297))),"Evidence missing / not eligible",IF(AND(H297="ROI-Based Portfolio",O297&lt;'Scenario Controls'!$B$20),"Evidence missing / not eligible","Eligible"))))))</x:f>
        <x:v>Evidence missing / not eligible</x:v>
      </x:c>
      <x:c r="Q297" s="19" t="n">
        <x:f>IF(P297&lt;&gt;"Eligible",0,IF(AND(SUMIFS($Q$5:Q296,$H$5:H296,H297)+E297&lt;=(IF(H297="LFR",'Scenario Controls'!$F$10,IF(H297="Sustain Engineering",'Scenario Controls'!$F$11,IF(H297="Hygiene",'Scenario Controls'!$F$12,1E+99))))*(1+'Scenario Controls'!$B$7),SUM($Q$5:Q296)+E297&lt;='Scenario Controls'!$B$6*(1+'Scenario Controls'!$B$7)),E297,0))</x:f>
        <x:v>0</x:v>
      </x:c>
      <x:c r="R297" s="24" t="str">
        <x:f>'EW Conference'!G146</x:f>
        <x:v>Automatic</x:v>
      </x:c>
      <x:c r="S297" s="24" t="str">
        <x:f>'EW Conference'!H146</x:f>
      </x:c>
      <x:c r="T297" s="19" t="n">
        <x:f>IF(R297="Exclude",0,IF(R297="Include",E297,Q297))</x:f>
        <x:v>0</x:v>
      </x:c>
      <x:c r="U297" s="15" t="str">
        <x:f>IF(T297&gt;0,"Funded",IF(P297="Eligible","Unfunded",P297))</x:f>
        <x:v>Evidence missing / not eligible</x:v>
      </x:c>
      <x:c r="V297" s="15" t="str">
        <x:f>IF(R297="Include","Conference inclusion: "&amp;S297,IF(R297="Exclude","Conference exclusion: "&amp;S297,IF(Q297&gt;0,H297&amp;" priority rank "&amp;I297&amp;"; whole initiative selected",P297)))</x:f>
        <x:v>Evidence missing / not eligible</x:v>
      </x:c>
      <x:c r="W297" s="15" t="str">
        <x:v>EW!32</x:v>
      </x:c>
      <x:c r="X297" s="15" t="str">
        <x:v>HEALTHY</x:v>
      </x:c>
      <x:c r="Y297" s="15" t="str">
        <x:v>HEALTHY — Rank in priority matrix</x:v>
      </x:c>
      <x:c r="Z297" s="15" t="str">
        <x:v>New Features</x:v>
      </x:c>
      <x:c r="AA297" s="15" t="str">
        <x:v>Carry Over</x:v>
      </x:c>
      <x:c r="AB297" s="15" t="str">
        <x:v>Portfolio IT</x:v>
      </x:c>
      <x:c r="AC297" s="15" t="str"/>
      <x:c r="AD297" s="15" t="str"/>
      <x:c r="AE297" s="15" t="str"/>
      <x:c r="AF297" s="15" t="str"/>
      <x:c r="AG297" s="15" t="str"/>
      <x:c r="AH297" s="15" t="n">
        <x:v>34</x:v>
      </x:c>
    </x:row>
    <x:row r="298">
      <x:c r="A298" s="15" t="str">
        <x:v>Bu-17</x:v>
      </x:c>
      <x:c r="B298" s="15" t="str">
        <x:v>NAR Contract Execution and Compliance</x:v>
      </x:c>
      <x:c r="C298" s="15" t="str">
        <x:v>BU Led</x:v>
      </x:c>
      <x:c r="D298" s="15" t="str">
        <x:v>North America (NAR)</x:v>
      </x:c>
      <x:c r="E298" s="19" t="n">
        <x:v>0</x:v>
      </x:c>
      <x:c r="F298" s="19" t="n">
        <x:v>0</x:v>
      </x:c>
      <x:c r="G298" s="22" t="str">
        <x:f>IF(AND(E298&gt;0,ISNUMBER(F298)),F298/E298,"")</x:f>
      </x:c>
      <x:c r="H298" s="15" t="str">
        <x:v>Carryover</x:v>
      </x:c>
      <x:c r="I298" s="15" t="n">
        <x:v>77</x:v>
      </x:c>
      <x:c r="J298" s="15" t="n">
        <x:v>0</x:v>
      </x:c>
      <x:c r="K298" s="23" t="n">
        <x:f>IF(G298="",0,IF(G298&lt;1,0,IF(G298&lt;2,20,IF(G298&lt;3,30,IF(G298&lt;5,40,50)))))*'Scenario Controls'!$B$22/50</x:f>
        <x:v>0</x:v>
      </x:c>
      <x:c r="L298" s="23" t="n">
        <x:f>IF(ISNUMBER(SEARCH("Must Do",AG298)),25,IF(ISNUMBER(SEARCH("Must Have",AG298)),18,IF(ISNUMBER(SEARCH("Deprior",AG298)),5,0)))*'Scenario Controls'!$B$23/25</x:f>
        <x:v>5</x:v>
      </x:c>
      <x:c r="M298" s="23" t="n">
        <x:f>J298*'Scenario Controls'!$B$24/15</x:f>
        <x:v>0</x:v>
      </x:c>
      <x:c r="N298" s="23" t="n">
        <x:f>IF(ISNUMBER(SEARCH("HEALTHY",X298)),10,IF(ISNUMBER(SEARCH("CONTAIN",X298)),6,0))*'Scenario Controls'!$B$25/10</x:f>
        <x:v>0</x:v>
      </x:c>
      <x:c r="O298" s="23" t="n">
        <x:f>SUM(K298:N298)</x:f>
        <x:v>5</x:v>
      </x:c>
      <x:c r="P298" s="15" t="str">
        <x:f>IF(OR(B298="",E298&lt;=0),"Evidence missing / not eligible",IF(ISNUMBER(SEARCH("priority TBD",Y298)),"Evidence missing / not eligible",IF(AND(H298="Carryover",NOT(ISNUMBER(F298))),"Evidence missing / not eligible",IF(AND(H298="Carryover",G298&lt;'Scenario Controls'!$B$16),"Evidence missing / not eligible",IF(AND(H298="ROI-Based Portfolio",NOT(ISNUMBER(F298))),"Evidence missing / not eligible",IF(AND(H298="ROI-Based Portfolio",O298&lt;'Scenario Controls'!$B$20),"Evidence missing / not eligible","Eligible"))))))</x:f>
        <x:v>Evidence missing / not eligible</x:v>
      </x:c>
      <x:c r="Q298" s="19" t="n">
        <x:f>IF(P298&lt;&gt;"Eligible",0,IF(AND(SUMIFS($Q$5:Q297,$H$5:H297,H298)+E298&lt;=(IF(H298="LFR",'Scenario Controls'!$F$10,IF(H298="Sustain Engineering",'Scenario Controls'!$F$11,IF(H298="Hygiene",'Scenario Controls'!$F$12,1E+99))))*(1+'Scenario Controls'!$B$7),SUM($Q$5:Q297)+E298&lt;='Scenario Controls'!$B$6*(1+'Scenario Controls'!$B$7)),E298,0))</x:f>
        <x:v>0</x:v>
      </x:c>
      <x:c r="R298" s="24" t="str">
        <x:f>'BU Conference'!G157</x:f>
        <x:v>Automatic</x:v>
      </x:c>
      <x:c r="S298" s="24" t="str">
        <x:f>'BU Conference'!H157</x:f>
      </x:c>
      <x:c r="T298" s="19" t="n">
        <x:f>IF(R298="Exclude",0,IF(R298="Include",E298,Q298))</x:f>
        <x:v>0</x:v>
      </x:c>
      <x:c r="U298" s="15" t="str">
        <x:f>IF(T298&gt;0,"Funded",IF(P298="Eligible","Unfunded",P298))</x:f>
        <x:v>Evidence missing / not eligible</x:v>
      </x:c>
      <x:c r="V298" s="15" t="str">
        <x:f>IF(R298="Include","Conference inclusion: "&amp;S298,IF(R298="Exclude","Conference exclusion: "&amp;S298,IF(Q298&gt;0,H298&amp;" priority rank "&amp;I298&amp;"; whole initiative selected",P298)))</x:f>
        <x:v>Evidence missing / not eligible</x:v>
      </x:c>
      <x:c r="W298" s="15" t="str">
        <x:v>Bu!26</x:v>
      </x:c>
      <x:c r="X298" s="15" t="str"/>
      <x:c r="Y298" s="15" t="str"/>
      <x:c r="Z298" s="15" t="str">
        <x:v>New Technology</x:v>
      </x:c>
      <x:c r="AA298" s="15" t="str">
        <x:v>Carry Over</x:v>
      </x:c>
      <x:c r="AB298" s="15" t="str">
        <x:v>Commercial IT</x:v>
      </x:c>
      <x:c r="AC298" s="15" t="str"/>
      <x:c r="AD298" s="15" t="str"/>
      <x:c r="AE298" s="15" t="str"/>
      <x:c r="AF298" s="15" t="str"/>
      <x:c r="AG298" s="15" t="str">
        <x:v>Deprioritised</x:v>
      </x:c>
      <x:c r="AH298" s="15" t="n">
        <x:v>202</x:v>
      </x:c>
    </x:row>
    <x:row r="299">
      <x:c r="A299" s="15" t="str">
        <x:v>Bu-210</x:v>
      </x:c>
      <x:c r="B299" s="15" t="str">
        <x:v>DUPLICATE - NAR Contract Execution &amp; Compliance</x:v>
      </x:c>
      <x:c r="C299" s="15" t="str">
        <x:v>BU Led</x:v>
      </x:c>
      <x:c r="D299" s="15" t="str">
        <x:v>Monitoring - HPM (MCH)</x:v>
      </x:c>
      <x:c r="E299" s="19" t="n">
        <x:v>0</x:v>
      </x:c>
      <x:c r="F299" s="19" t="n">
        <x:v>0</x:v>
      </x:c>
      <x:c r="G299" s="22" t="str">
        <x:f>IF(AND(E299&gt;0,ISNUMBER(F299)),F299/E299,"")</x:f>
      </x:c>
      <x:c r="H299" s="15" t="str">
        <x:v>Carryover</x:v>
      </x:c>
      <x:c r="I299" s="15" t="n">
        <x:v>78</x:v>
      </x:c>
      <x:c r="J299" s="15" t="n">
        <x:v>0</x:v>
      </x:c>
      <x:c r="K299" s="23" t="n">
        <x:f>IF(G299="",0,IF(G299&lt;1,0,IF(G299&lt;2,20,IF(G299&lt;3,30,IF(G299&lt;5,40,50)))))*'Scenario Controls'!$B$22/50</x:f>
        <x:v>0</x:v>
      </x:c>
      <x:c r="L299" s="23" t="n">
        <x:f>IF(ISNUMBER(SEARCH("Must Do",AG299)),25,IF(ISNUMBER(SEARCH("Must Have",AG299)),18,IF(ISNUMBER(SEARCH("Deprior",AG299)),5,0)))*'Scenario Controls'!$B$23/25</x:f>
        <x:v>5</x:v>
      </x:c>
      <x:c r="M299" s="23" t="n">
        <x:f>J299*'Scenario Controls'!$B$24/15</x:f>
        <x:v>0</x:v>
      </x:c>
      <x:c r="N299" s="23" t="n">
        <x:f>IF(ISNUMBER(SEARCH("HEALTHY",X299)),10,IF(ISNUMBER(SEARCH("CONTAIN",X299)),6,0))*'Scenario Controls'!$B$25/10</x:f>
        <x:v>0</x:v>
      </x:c>
      <x:c r="O299" s="23" t="n">
        <x:f>SUM(K299:N299)</x:f>
        <x:v>5</x:v>
      </x:c>
      <x:c r="P299" s="15" t="str">
        <x:f>IF(OR(B299="",E299&lt;=0),"Evidence missing / not eligible",IF(ISNUMBER(SEARCH("priority TBD",Y299)),"Evidence missing / not eligible",IF(AND(H299="Carryover",NOT(ISNUMBER(F299))),"Evidence missing / not eligible",IF(AND(H299="Carryover",G299&lt;'Scenario Controls'!$B$16),"Evidence missing / not eligible",IF(AND(H299="ROI-Based Portfolio",NOT(ISNUMBER(F299))),"Evidence missing / not eligible",IF(AND(H299="ROI-Based Portfolio",O299&lt;'Scenario Controls'!$B$20),"Evidence missing / not eligible","Eligible"))))))</x:f>
        <x:v>Evidence missing / not eligible</x:v>
      </x:c>
      <x:c r="Q299" s="19" t="n">
        <x:f>IF(P299&lt;&gt;"Eligible",0,IF(AND(SUMIFS($Q$5:Q298,$H$5:H298,H299)+E299&lt;=(IF(H299="LFR",'Scenario Controls'!$F$10,IF(H299="Sustain Engineering",'Scenario Controls'!$F$11,IF(H299="Hygiene",'Scenario Controls'!$F$12,1E+99))))*(1+'Scenario Controls'!$B$7),SUM($Q$5:Q298)+E299&lt;='Scenario Controls'!$B$6*(1+'Scenario Controls'!$B$7)),E299,0))</x:f>
        <x:v>0</x:v>
      </x:c>
      <x:c r="R299" s="24" t="str">
        <x:f>'BU Conference'!G158</x:f>
        <x:v>Automatic</x:v>
      </x:c>
      <x:c r="S299" s="24" t="str">
        <x:f>'BU Conference'!H158</x:f>
      </x:c>
      <x:c r="T299" s="19" t="n">
        <x:f>IF(R299="Exclude",0,IF(R299="Include",E299,Q299))</x:f>
        <x:v>0</x:v>
      </x:c>
      <x:c r="U299" s="15" t="str">
        <x:f>IF(T299&gt;0,"Funded",IF(P299="Eligible","Unfunded",P299))</x:f>
        <x:v>Evidence missing / not eligible</x:v>
      </x:c>
      <x:c r="V299" s="15" t="str">
        <x:f>IF(R299="Include","Conference inclusion: "&amp;S299,IF(R299="Exclude","Conference exclusion: "&amp;S299,IF(Q299&gt;0,H299&amp;" priority rank "&amp;I299&amp;"; whole initiative selected",P299)))</x:f>
        <x:v>Evidence missing / not eligible</x:v>
      </x:c>
      <x:c r="W299" s="15" t="str">
        <x:v>Bu!503</x:v>
      </x:c>
      <x:c r="X299" s="15" t="str"/>
      <x:c r="Y299" s="15" t="str"/>
      <x:c r="Z299" s="15" t="str">
        <x:v>New Feature</x:v>
      </x:c>
      <x:c r="AA299" s="15" t="str">
        <x:v>Carry Over</x:v>
      </x:c>
      <x:c r="AB299" s="15" t="str">
        <x:v>Commercial IT</x:v>
      </x:c>
      <x:c r="AC299" s="15" t="str"/>
      <x:c r="AD299" s="15" t="str"/>
      <x:c r="AE299" s="15" t="str"/>
      <x:c r="AF299" s="15" t="str"/>
      <x:c r="AG299" s="15" t="str">
        <x:v>Deprioritised</x:v>
      </x:c>
      <x:c r="AH299" s="15" t="n">
        <x:v>387</x:v>
      </x:c>
    </x:row>
    <x:row r="300">
      <x:c r="A300" s="15" t="str">
        <x:v>Bu-212</x:v>
      </x:c>
      <x:c r="B300" s="15" t="str">
        <x:v>DUPLICATE - OMM - Carry Over (Integr Planning Basics)</x:v>
      </x:c>
      <x:c r="C300" s="15" t="str">
        <x:v>BU Led</x:v>
      </x:c>
      <x:c r="D300" s="15" t="str">
        <x:v>Monitoring - HPM (MCH)</x:v>
      </x:c>
      <x:c r="E300" s="19" t="n">
        <x:v>0</x:v>
      </x:c>
      <x:c r="F300" s="19" t="n">
        <x:v>0</x:v>
      </x:c>
      <x:c r="G300" s="22" t="str">
        <x:f>IF(AND(E300&gt;0,ISNUMBER(F300)),F300/E300,"")</x:f>
      </x:c>
      <x:c r="H300" s="15" t="str">
        <x:v>Carryover</x:v>
      </x:c>
      <x:c r="I300" s="15" t="n">
        <x:v>79</x:v>
      </x:c>
      <x:c r="J300" s="15" t="n">
        <x:v>0</x:v>
      </x:c>
      <x:c r="K300" s="23" t="n">
        <x:f>IF(G300="",0,IF(G300&lt;1,0,IF(G300&lt;2,20,IF(G300&lt;3,30,IF(G300&lt;5,40,50)))))*'Scenario Controls'!$B$22/50</x:f>
        <x:v>0</x:v>
      </x:c>
      <x:c r="L300" s="23" t="n">
        <x:f>IF(ISNUMBER(SEARCH("Must Do",AG300)),25,IF(ISNUMBER(SEARCH("Must Have",AG300)),18,IF(ISNUMBER(SEARCH("Deprior",AG300)),5,0)))*'Scenario Controls'!$B$23/25</x:f>
        <x:v>5</x:v>
      </x:c>
      <x:c r="M300" s="23" t="n">
        <x:f>J300*'Scenario Controls'!$B$24/15</x:f>
        <x:v>0</x:v>
      </x:c>
      <x:c r="N300" s="23" t="n">
        <x:f>IF(ISNUMBER(SEARCH("HEALTHY",X300)),10,IF(ISNUMBER(SEARCH("CONTAIN",X300)),6,0))*'Scenario Controls'!$B$25/10</x:f>
        <x:v>0</x:v>
      </x:c>
      <x:c r="O300" s="23" t="n">
        <x:f>SUM(K300:N300)</x:f>
        <x:v>5</x:v>
      </x:c>
      <x:c r="P300" s="15" t="str">
        <x:f>IF(OR(B300="",E300&lt;=0),"Evidence missing / not eligible",IF(ISNUMBER(SEARCH("priority TBD",Y300)),"Evidence missing / not eligible",IF(AND(H300="Carryover",NOT(ISNUMBER(F300))),"Evidence missing / not eligible",IF(AND(H300="Carryover",G300&lt;'Scenario Controls'!$B$16),"Evidence missing / not eligible",IF(AND(H300="ROI-Based Portfolio",NOT(ISNUMBER(F300))),"Evidence missing / not eligible",IF(AND(H300="ROI-Based Portfolio",O300&lt;'Scenario Controls'!$B$20),"Evidence missing / not eligible","Eligible"))))))</x:f>
        <x:v>Evidence missing / not eligible</x:v>
      </x:c>
      <x:c r="Q300" s="19" t="n">
        <x:f>IF(P300&lt;&gt;"Eligible",0,IF(AND(SUMIFS($Q$5:Q299,$H$5:H299,H300)+E300&lt;=(IF(H300="LFR",'Scenario Controls'!$F$10,IF(H300="Sustain Engineering",'Scenario Controls'!$F$11,IF(H300="Hygiene",'Scenario Controls'!$F$12,1E+99))))*(1+'Scenario Controls'!$B$7),SUM($Q$5:Q299)+E300&lt;='Scenario Controls'!$B$6*(1+'Scenario Controls'!$B$7)),E300,0))</x:f>
        <x:v>0</x:v>
      </x:c>
      <x:c r="R300" s="24" t="str">
        <x:f>'BU Conference'!G159</x:f>
        <x:v>Automatic</x:v>
      </x:c>
      <x:c r="S300" s="24" t="str">
        <x:f>'BU Conference'!H159</x:f>
      </x:c>
      <x:c r="T300" s="19" t="n">
        <x:f>IF(R300="Exclude",0,IF(R300="Include",E300,Q300))</x:f>
        <x:v>0</x:v>
      </x:c>
      <x:c r="U300" s="15" t="str">
        <x:f>IF(T300&gt;0,"Funded",IF(P300="Eligible","Unfunded",P300))</x:f>
        <x:v>Evidence missing / not eligible</x:v>
      </x:c>
      <x:c r="V300" s="15" t="str">
        <x:f>IF(R300="Include","Conference inclusion: "&amp;S300,IF(R300="Exclude","Conference exclusion: "&amp;S300,IF(Q300&gt;0,H300&amp;" priority rank "&amp;I300&amp;"; whole initiative selected",P300)))</x:f>
        <x:v>Evidence missing / not eligible</x:v>
      </x:c>
      <x:c r="W300" s="15" t="str">
        <x:v>Bu!505</x:v>
      </x:c>
      <x:c r="X300" s="15" t="str"/>
      <x:c r="Y300" s="15" t="str"/>
      <x:c r="Z300" s="15" t="str">
        <x:v>New Feature</x:v>
      </x:c>
      <x:c r="AA300" s="15" t="str">
        <x:v>Carry Over</x:v>
      </x:c>
      <x:c r="AB300" s="15" t="str">
        <x:v>Integrated Supply Chain &amp; Finance</x:v>
      </x:c>
      <x:c r="AC300" s="15" t="str"/>
      <x:c r="AD300" s="15" t="str"/>
      <x:c r="AE300" s="15" t="str"/>
      <x:c r="AF300" s="15" t="str"/>
      <x:c r="AG300" s="15" t="str">
        <x:v>Deprioritised</x:v>
      </x:c>
      <x:c r="AH300" s="15" t="n">
        <x:v>389</x:v>
      </x:c>
    </x:row>
    <x:row r="301">
      <x:c r="A301" s="15" t="str">
        <x:v>Bu-48</x:v>
      </x:c>
      <x:c r="B301" s="15" t="str">
        <x:v>STO Carryover Demand</x:v>
      </x:c>
      <x:c r="C301" s="15" t="str">
        <x:v>BU Led</x:v>
      </x:c>
      <x:c r="D301" s="15" t="str">
        <x:v>Service Transformation Office (STO)</x:v>
      </x:c>
      <x:c r="E301" s="19" t="n">
        <x:v>22.7</x:v>
      </x:c>
      <x:c r="F301" s="19" t="n">
        <x:v>0</x:v>
      </x:c>
      <x:c r="G301" s="22" t="n">
        <x:f>IF(AND(E301&gt;0,ISNUMBER(F301)),F301/E301,"")</x:f>
        <x:v>0</x:v>
      </x:c>
      <x:c r="H301" s="15" t="str">
        <x:v>Carryover</x:v>
      </x:c>
      <x:c r="I301" s="15" t="n">
        <x:v>80</x:v>
      </x:c>
      <x:c r="J301" s="15" t="n">
        <x:v>0</x:v>
      </x:c>
      <x:c r="K301" s="23" t="n">
        <x:f>IF(G301="",0,IF(G301&lt;1,0,IF(G301&lt;2,20,IF(G301&lt;3,30,IF(G301&lt;5,40,50)))))*'Scenario Controls'!$B$22/50</x:f>
        <x:v>0</x:v>
      </x:c>
      <x:c r="L301" s="23" t="n">
        <x:f>IF(ISNUMBER(SEARCH("Must Do",AG301)),25,IF(ISNUMBER(SEARCH("Must Have",AG301)),18,IF(ISNUMBER(SEARCH("Deprior",AG301)),5,0)))*'Scenario Controls'!$B$23/25</x:f>
        <x:v>0</x:v>
      </x:c>
      <x:c r="M301" s="23" t="n">
        <x:f>J301*'Scenario Controls'!$B$24/15</x:f>
        <x:v>0</x:v>
      </x:c>
      <x:c r="N301" s="23" t="n">
        <x:f>IF(ISNUMBER(SEARCH("HEALTHY",X301)),10,IF(ISNUMBER(SEARCH("CONTAIN",X301)),6,0))*'Scenario Controls'!$B$25/10</x:f>
        <x:v>0</x:v>
      </x:c>
      <x:c r="O301" s="23" t="n">
        <x:f>SUM(K301:N301)</x:f>
        <x:v>0</x:v>
      </x:c>
      <x:c r="P301" s="15" t="str">
        <x:f>IF(OR(B301="",E301&lt;=0),"Evidence missing / not eligible",IF(ISNUMBER(SEARCH("priority TBD",Y301)),"Evidence missing / not eligible",IF(AND(H301="Carryover",NOT(ISNUMBER(F301))),"Evidence missing / not eligible",IF(AND(H301="Carryover",G301&lt;'Scenario Controls'!$B$16),"Evidence missing / not eligible",IF(AND(H301="ROI-Based Portfolio",NOT(ISNUMBER(F301))),"Evidence missing / not eligible",IF(AND(H301="ROI-Based Portfolio",O301&lt;'Scenario Controls'!$B$20),"Evidence missing / not eligible","Eligible"))))))</x:f>
        <x:v>Evidence missing / not eligible</x:v>
      </x:c>
      <x:c r="Q301" s="19" t="n">
        <x:f>IF(P301&lt;&gt;"Eligible",0,IF(AND(SUMIFS($Q$5:Q300,$H$5:H300,H301)+E301&lt;=(IF(H301="LFR",'Scenario Controls'!$F$10,IF(H301="Sustain Engineering",'Scenario Controls'!$F$11,IF(H301="Hygiene",'Scenario Controls'!$F$12,1E+99))))*(1+'Scenario Controls'!$B$7),SUM($Q$5:Q300)+E301&lt;='Scenario Controls'!$B$6*(1+'Scenario Controls'!$B$7)),E301,0))</x:f>
        <x:v>0</x:v>
      </x:c>
      <x:c r="R301" s="24" t="str">
        <x:f>'BU Conference'!G160</x:f>
        <x:v>Automatic</x:v>
      </x:c>
      <x:c r="S301" s="24" t="str">
        <x:f>'BU Conference'!H160</x:f>
      </x:c>
      <x:c r="T301" s="19" t="n">
        <x:f>IF(R301="Exclude",0,IF(R301="Include",E301,Q301))</x:f>
        <x:v>0</x:v>
      </x:c>
      <x:c r="U301" s="15" t="str">
        <x:f>IF(T301&gt;0,"Funded",IF(P301="Eligible","Unfunded",P301))</x:f>
        <x:v>Evidence missing / not eligible</x:v>
      </x:c>
      <x:c r="V301" s="15" t="str">
        <x:f>IF(R301="Include","Conference inclusion: "&amp;S301,IF(R301="Exclude","Conference exclusion: "&amp;S301,IF(Q301&gt;0,H301&amp;" priority rank "&amp;I301&amp;"; whole initiative selected",P301)))</x:f>
        <x:v>Evidence missing / not eligible</x:v>
      </x:c>
      <x:c r="W301" s="15" t="str">
        <x:v>Bu!109</x:v>
      </x:c>
      <x:c r="X301" s="15" t="str"/>
      <x:c r="Y301" s="15" t="str"/>
      <x:c r="Z301" s="15" t="str"/>
      <x:c r="AA301" s="15" t="str">
        <x:v>Carry Over</x:v>
      </x:c>
      <x:c r="AB301" s="15" t="str">
        <x:v>Services &amp; Solutions IT</x:v>
      </x:c>
      <x:c r="AC301" s="15" t="str"/>
      <x:c r="AD301" s="15" t="str"/>
      <x:c r="AE301" s="15" t="str"/>
      <x:c r="AF301" s="15" t="str"/>
      <x:c r="AG301" s="15" t="str"/>
      <x:c r="AH301" s="15" t="n">
        <x:v>225</x:v>
      </x:c>
    </x:row>
    <x:row r="302">
      <x:c r="A302" s="15" t="str">
        <x:v>Bu-213</x:v>
      </x:c>
      <x:c r="B302" s="15" t="str">
        <x:v>IR [C1/C2/C3] Channel Partner Program</x:v>
      </x:c>
      <x:c r="C302" s="15" t="str">
        <x:v>BU Led</x:v>
      </x:c>
      <x:c r="D302" s="15" t="str">
        <x:v>Monitoring - HPM (MCH)</x:v>
      </x:c>
      <x:c r="E302" s="19" t="n">
        <x:v>0</x:v>
      </x:c>
      <x:c r="F302" s="19" t="n">
        <x:v>0</x:v>
      </x:c>
      <x:c r="G302" s="22" t="str">
        <x:f>IF(AND(E302&gt;0,ISNUMBER(F302)),F302/E302,"")</x:f>
      </x:c>
      <x:c r="H302" s="15" t="str">
        <x:v>Carryover</x:v>
      </x:c>
      <x:c r="I302" s="15" t="n">
        <x:v>81</x:v>
      </x:c>
      <x:c r="J302" s="15" t="n">
        <x:v>0</x:v>
      </x:c>
      <x:c r="K302" s="23" t="n">
        <x:f>IF(G302="",0,IF(G302&lt;1,0,IF(G302&lt;2,20,IF(G302&lt;3,30,IF(G302&lt;5,40,50)))))*'Scenario Controls'!$B$22/50</x:f>
        <x:v>0</x:v>
      </x:c>
      <x:c r="L302" s="23" t="n">
        <x:f>IF(ISNUMBER(SEARCH("Must Do",AG302)),25,IF(ISNUMBER(SEARCH("Must Have",AG302)),18,IF(ISNUMBER(SEARCH("Deprior",AG302)),5,0)))*'Scenario Controls'!$B$23/25</x:f>
        <x:v>0</x:v>
      </x:c>
      <x:c r="M302" s="23" t="n">
        <x:f>J302*'Scenario Controls'!$B$24/15</x:f>
        <x:v>0</x:v>
      </x:c>
      <x:c r="N302" s="23" t="n">
        <x:f>IF(ISNUMBER(SEARCH("HEALTHY",X302)),10,IF(ISNUMBER(SEARCH("CONTAIN",X302)),6,0))*'Scenario Controls'!$B$25/10</x:f>
        <x:v>0</x:v>
      </x:c>
      <x:c r="O302" s="23" t="n">
        <x:f>SUM(K302:N302)</x:f>
        <x:v>0</x:v>
      </x:c>
      <x:c r="P302" s="15" t="str">
        <x:f>IF(OR(B302="",E302&lt;=0),"Evidence missing / not eligible",IF(ISNUMBER(SEARCH("priority TBD",Y302)),"Evidence missing / not eligible",IF(AND(H302="Carryover",NOT(ISNUMBER(F302))),"Evidence missing / not eligible",IF(AND(H302="Carryover",G302&lt;'Scenario Controls'!$B$16),"Evidence missing / not eligible",IF(AND(H302="ROI-Based Portfolio",NOT(ISNUMBER(F302))),"Evidence missing / not eligible",IF(AND(H302="ROI-Based Portfolio",O302&lt;'Scenario Controls'!$B$20),"Evidence missing / not eligible","Eligible"))))))</x:f>
        <x:v>Evidence missing / not eligible</x:v>
      </x:c>
      <x:c r="Q302" s="19" t="n">
        <x:f>IF(P302&lt;&gt;"Eligible",0,IF(AND(SUMIFS($Q$5:Q301,$H$5:H301,H302)+E302&lt;=(IF(H302="LFR",'Scenario Controls'!$F$10,IF(H302="Sustain Engineering",'Scenario Controls'!$F$11,IF(H302="Hygiene",'Scenario Controls'!$F$12,1E+99))))*(1+'Scenario Controls'!$B$7),SUM($Q$5:Q301)+E302&lt;='Scenario Controls'!$B$6*(1+'Scenario Controls'!$B$7)),E302,0))</x:f>
        <x:v>0</x:v>
      </x:c>
      <x:c r="R302" s="24" t="str">
        <x:f>'BU Conference'!G161</x:f>
        <x:v>Automatic</x:v>
      </x:c>
      <x:c r="S302" s="24" t="str">
        <x:f>'BU Conference'!H161</x:f>
      </x:c>
      <x:c r="T302" s="19" t="n">
        <x:f>IF(R302="Exclude",0,IF(R302="Include",E302,Q302))</x:f>
        <x:v>0</x:v>
      </x:c>
      <x:c r="U302" s="15" t="str">
        <x:f>IF(T302&gt;0,"Funded",IF(P302="Eligible","Unfunded",P302))</x:f>
        <x:v>Evidence missing / not eligible</x:v>
      </x:c>
      <x:c r="V302" s="15" t="str">
        <x:f>IF(R302="Include","Conference inclusion: "&amp;S302,IF(R302="Exclude","Conference exclusion: "&amp;S302,IF(Q302&gt;0,H302&amp;" priority rank "&amp;I302&amp;"; whole initiative selected",P302)))</x:f>
        <x:v>Evidence missing / not eligible</x:v>
      </x:c>
      <x:c r="W302" s="15" t="str">
        <x:v>Bu!506</x:v>
      </x:c>
      <x:c r="X302" s="15" t="str"/>
      <x:c r="Y302" s="15" t="str"/>
      <x:c r="Z302" s="15" t="str">
        <x:v>New Feature</x:v>
      </x:c>
      <x:c r="AA302" s="15" t="str">
        <x:v>Carry Over</x:v>
      </x:c>
      <x:c r="AB302" s="15" t="str">
        <x:v>Commercial IT</x:v>
      </x:c>
      <x:c r="AC302" s="15" t="str"/>
      <x:c r="AD302" s="15" t="str"/>
      <x:c r="AE302" s="15" t="str"/>
      <x:c r="AF302" s="15" t="str"/>
      <x:c r="AG302" s="15" t="str"/>
      <x:c r="AH302" s="15" t="n">
        <x:v>390</x:v>
      </x:c>
    </x:row>
    <x:row r="303">
      <x:c r="A303" s="15" t="str">
        <x:v>Bu-66</x:v>
      </x:c>
      <x:c r="B303" s="15" t="str">
        <x:v>IR27#21 - AI in Commercial Excellence</x:v>
      </x:c>
      <x:c r="C303" s="15" t="str">
        <x:v>BU Led</x:v>
      </x:c>
      <x:c r="D303" s="15" t="str">
        <x:v>International Regions (IR)</x:v>
      </x:c>
      <x:c r="E303" s="19" t="n">
        <x:v>0.95</x:v>
      </x:c>
      <x:c r="F303" s="19" t="n">
        <x:v>735</x:v>
      </x:c>
      <x:c r="G303" s="22" t="n">
        <x:f>IF(AND(E303&gt;0,ISNUMBER(F303)),F303/E303,"")</x:f>
        <x:v>773.6842105263158</x:v>
      </x:c>
      <x:c r="H303" s="15" t="str">
        <x:v>ROI-Based Portfolio</x:v>
      </x:c>
      <x:c r="I303" s="15" t="n">
        <x:v>1</x:v>
      </x:c>
      <x:c r="J303" s="15" t="n">
        <x:v>10</x:v>
      </x:c>
      <x:c r="K303" s="23" t="n">
        <x:f>IF(G303="",0,IF(G303&lt;1,0,IF(G303&lt;2,20,IF(G303&lt;3,30,IF(G303&lt;5,40,50)))))*'Scenario Controls'!$B$22/50</x:f>
        <x:v>50</x:v>
      </x:c>
      <x:c r="L303" s="23" t="n">
        <x:f>IF(ISNUMBER(SEARCH("Must Do",AG303)),25,IF(ISNUMBER(SEARCH("Must Have",AG303)),18,IF(ISNUMBER(SEARCH("Deprior",AG303)),5,0)))*'Scenario Controls'!$B$23/25</x:f>
        <x:v>25</x:v>
      </x:c>
      <x:c r="M303" s="23" t="n">
        <x:f>J303*'Scenario Controls'!$B$24/15</x:f>
        <x:v>10</x:v>
      </x:c>
      <x:c r="N303" s="23" t="n">
        <x:f>IF(ISNUMBER(SEARCH("HEALTHY",X303)),10,IF(ISNUMBER(SEARCH("CONTAIN",X303)),6,0))*'Scenario Controls'!$B$25/10</x:f>
        <x:v>10</x:v>
      </x:c>
      <x:c r="O303" s="23" t="n">
        <x:f>SUM(K303:N303)</x:f>
        <x:v>95</x:v>
      </x:c>
      <x:c r="P303" s="15" t="str">
        <x:f>IF(OR(B303="",E303&lt;=0),"Evidence missing / not eligible",IF(ISNUMBER(SEARCH("priority TBD",Y303)),"Evidence missing / not eligible",IF(AND(H303="Carryover",NOT(ISNUMBER(F303))),"Evidence missing / not eligible",IF(AND(H303="Carryover",G303&lt;'Scenario Controls'!$B$16),"Evidence missing / not eligible",IF(AND(H303="ROI-Based Portfolio",NOT(ISNUMBER(F303))),"Evidence missing / not eligible",IF(AND(H303="ROI-Based Portfolio",O303&lt;'Scenario Controls'!$B$20),"Evidence missing / not eligible","Eligible"))))))</x:f>
        <x:v>Eligible</x:v>
      </x:c>
      <x:c r="Q303" s="19" t="n">
        <x:f>IF(P303&lt;&gt;"Eligible",0,IF(AND(SUMIFS($Q$5:Q302,$H$5:H302,H303)+E303&lt;=(IF(H303="LFR",'Scenario Controls'!$F$10,IF(H303="Sustain Engineering",'Scenario Controls'!$F$11,IF(H303="Hygiene",'Scenario Controls'!$F$12,1E+99))))*(1+'Scenario Controls'!$B$7),SUM($Q$5:Q302)+E303&lt;='Scenario Controls'!$B$6*(1+'Scenario Controls'!$B$7)),E303,0))</x:f>
        <x:v>0.95</x:v>
      </x:c>
      <x:c r="R303" s="24" t="str">
        <x:f>'BU Conference'!G162</x:f>
        <x:v>Automatic</x:v>
      </x:c>
      <x:c r="S303" s="24" t="str">
        <x:f>'BU Conference'!H162</x:f>
      </x:c>
      <x:c r="T303" s="19" t="n">
        <x:f>IF(R303="Exclude",0,IF(R303="Include",E303,Q303))</x:f>
        <x:v>0.95</x:v>
      </x:c>
      <x:c r="U303" s="15" t="str">
        <x:f>IF(T303&gt;0,"Funded",IF(P303="Eligible","Unfunded",P303))</x:f>
        <x:v>Funded</x:v>
      </x:c>
      <x:c r="V303" s="15" t="str">
        <x:f>IF(R303="Include","Conference inclusion: "&amp;S303,IF(R303="Exclude","Conference exclusion: "&amp;S303,IF(Q303&gt;0,H303&amp;" priority rank "&amp;I303&amp;"; whole initiative selected",P303)))</x:f>
        <x:v>ROI-Based Portfolio priority rank 1; whole initiative selected</x:v>
      </x:c>
      <x:c r="W303" s="15" t="str">
        <x:v>Bu!144</x:v>
      </x:c>
      <x:c r="X303" s="15" t="str">
        <x:v>HEALTHY</x:v>
      </x:c>
      <x:c r="Y303" s="15" t="str">
        <x:v>HEALTHY — Rank in priority matrix</x:v>
      </x:c>
      <x:c r="Z303" s="15" t="str">
        <x:v>New Feature</x:v>
      </x:c>
      <x:c r="AA303" s="15" t="str">
        <x:v>New Initiative</x:v>
      </x:c>
      <x:c r="AB303" s="15" t="str">
        <x:v>Commercial IT</x:v>
      </x:c>
      <x:c r="AC303" s="15" t="str">
        <x:v>Without funding: AI pilots remain local and non-scalable, leaving sellers with 3–5 disconnected tools, duplicated effort and inconsistent data.</x:v>
      </x:c>
      <x:c r="AD303" s="15" t="str">
        <x:v>Drive profitable growth by efficiency in sales team: faster execution, better information, more customer focus</x:v>
      </x:c>
      <x:c r="AE303" s="15" t="str">
        <x:v>All HS Bus, IT systems along the commercial process. Exploration, piloting and scaling of solutions with proven value creation, collaboration with IT platforms to achieve this.</x:v>
      </x:c>
      <x:c r="AF303" s="15" t="str">
        <x:v>Without funding: AI pilots remain local and non-scalable, leaving sellers with 3–5 disconnected tools, duplicated effort and inconsistent data. | Drive profitable growth by efficiency in sales team: faster execution, better information, more customer focus | All HS Bus, IT systems along the commercial process. Exploration, piloting and scaling of solutions with proven value creation, collaboration with IT platforms to achieve this.</x:v>
      </x:c>
      <x:c r="AG303" s="15" t="str">
        <x:v>Must Do</x:v>
      </x:c>
      <x:c r="AH303" s="15" t="n">
        <x:v>243</x:v>
      </x:c>
    </x:row>
    <x:row r="304">
      <x:c r="A304" s="15" t="str">
        <x:v>EW-135</x:v>
      </x:c>
      <x:c r="B304" s="15" t="str">
        <x:v>Knowledge Mgmt - InCenter 2.0 - CSIP Compliance</x:v>
      </x:c>
      <x:c r="C304" s="15" t="str">
        <x:v>EW Led</x:v>
      </x:c>
      <x:c r="D304" s="15" t="str">
        <x:v>Intellectual Property &amp; Standards (IP&amp;S)</x:v>
      </x:c>
      <x:c r="E304" s="19" t="n">
        <x:v>0.2</x:v>
      </x:c>
      <x:c r="F304" s="19" t="n">
        <x:v>30</x:v>
      </x:c>
      <x:c r="G304" s="22" t="n">
        <x:f>IF(AND(E304&gt;0,ISNUMBER(F304)),F304/E304,"")</x:f>
        <x:v>150</x:v>
      </x:c>
      <x:c r="H304" s="15" t="str">
        <x:v>ROI-Based Portfolio</x:v>
      </x:c>
      <x:c r="I304" s="15" t="n">
        <x:v>2</x:v>
      </x:c>
      <x:c r="J304" s="15" t="n">
        <x:v>10</x:v>
      </x:c>
      <x:c r="K304" s="23" t="n">
        <x:f>IF(G304="",0,IF(G304&lt;1,0,IF(G304&lt;2,20,IF(G304&lt;3,30,IF(G304&lt;5,40,50)))))*'Scenario Controls'!$B$22/50</x:f>
        <x:v>50</x:v>
      </x:c>
      <x:c r="L304" s="23" t="n">
        <x:f>IF(ISNUMBER(SEARCH("Must Do",AG304)),25,IF(ISNUMBER(SEARCH("Must Have",AG304)),18,IF(ISNUMBER(SEARCH("Deprior",AG304)),5,0)))*'Scenario Controls'!$B$23/25</x:f>
        <x:v>25</x:v>
      </x:c>
      <x:c r="M304" s="23" t="n">
        <x:f>J304*'Scenario Controls'!$B$24/15</x:f>
        <x:v>10</x:v>
      </x:c>
      <x:c r="N304" s="23" t="n">
        <x:f>IF(ISNUMBER(SEARCH("HEALTHY",X304)),10,IF(ISNUMBER(SEARCH("CONTAIN",X304)),6,0))*'Scenario Controls'!$B$25/10</x:f>
        <x:v>10</x:v>
      </x:c>
      <x:c r="O304" s="23" t="n">
        <x:f>SUM(K304:N304)</x:f>
        <x:v>95</x:v>
      </x:c>
      <x:c r="P304" s="15" t="str">
        <x:f>IF(OR(B304="",E304&lt;=0),"Evidence missing / not eligible",IF(ISNUMBER(SEARCH("priority TBD",Y304)),"Evidence missing / not eligible",IF(AND(H304="Carryover",NOT(ISNUMBER(F304))),"Evidence missing / not eligible",IF(AND(H304="Carryover",G304&lt;'Scenario Controls'!$B$16),"Evidence missing / not eligible",IF(AND(H304="ROI-Based Portfolio",NOT(ISNUMBER(F304))),"Evidence missing / not eligible",IF(AND(H304="ROI-Based Portfolio",O304&lt;'Scenario Controls'!$B$20),"Evidence missing / not eligible","Eligible"))))))</x:f>
        <x:v>Eligible</x:v>
      </x:c>
      <x:c r="Q304" s="19" t="n">
        <x:f>IF(P304&lt;&gt;"Eligible",0,IF(AND(SUMIFS($Q$5:Q303,$H$5:H303,H304)+E304&lt;=(IF(H304="LFR",'Scenario Controls'!$F$10,IF(H304="Sustain Engineering",'Scenario Controls'!$F$11,IF(H304="Hygiene",'Scenario Controls'!$F$12,1E+99))))*(1+'Scenario Controls'!$B$7),SUM($Q$5:Q303)+E304&lt;='Scenario Controls'!$B$6*(1+'Scenario Controls'!$B$7)),E304,0))</x:f>
        <x:v>0.2</x:v>
      </x:c>
      <x:c r="R304" s="24" t="str">
        <x:f>'EW Conference'!G147</x:f>
        <x:v>Automatic</x:v>
      </x:c>
      <x:c r="S304" s="24" t="str">
        <x:f>'EW Conference'!H147</x:f>
      </x:c>
      <x:c r="T304" s="19" t="n">
        <x:f>IF(R304="Exclude",0,IF(R304="Include",E304,Q304))</x:f>
        <x:v>0.2</x:v>
      </x:c>
      <x:c r="U304" s="15" t="str">
        <x:f>IF(T304&gt;0,"Funded",IF(P304="Eligible","Unfunded",P304))</x:f>
        <x:v>Funded</x:v>
      </x:c>
      <x:c r="V304" s="15" t="str">
        <x:f>IF(R304="Include","Conference inclusion: "&amp;S304,IF(R304="Exclude","Conference exclusion: "&amp;S304,IF(Q304&gt;0,H304&amp;" priority rank "&amp;I304&amp;"; whole initiative selected",P304)))</x:f>
        <x:v>ROI-Based Portfolio priority rank 2; whole initiative selected</x:v>
      </x:c>
      <x:c r="W304" s="15" t="str">
        <x:v>EW!131</x:v>
      </x:c>
      <x:c r="X304" s="15" t="str">
        <x:v>HEALTHY</x:v>
      </x:c>
      <x:c r="Y304" s="15" t="str">
        <x:v>HEALTHY — Rank in priority matrix</x:v>
      </x:c>
      <x:c r="Z304" s="15" t="str">
        <x:v>Legal Fiscal, Regulatory &amp; Compliancy</x:v>
      </x:c>
      <x:c r="AA304" s="15" t="str">
        <x:v>Delayed</x:v>
      </x:c>
      <x:c r="AB304" s="15" t="str">
        <x:v>Services &amp; Solutions IT</x:v>
      </x:c>
      <x:c r="AC304" s="15" t="str">
        <x:v>loss of IP, protection for our devices, compettor disadvantage, trouble in court to defend our IP</x:v>
      </x:c>
      <x:c r="AD304" s="15" t="str">
        <x: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x:v>
      </x:c>
      <x:c r="AE304" s="15" t="str">
        <x:v>Implement tools and process to comply with EU Data Act;</x:v>
      </x:c>
      <x:c r="AF304" s="15" t="str">
        <x:v>loss of IP, protection for our devices, compettor disadvantage, trouble in court to defend our IP |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 Implement tools and process to comply with EU Data Act;</x:v>
      </x:c>
      <x:c r="AG304" s="15" t="str">
        <x:v>Must Do</x:v>
      </x:c>
      <x:c r="AH304" s="15" t="n">
        <x:v>133</x:v>
      </x:c>
    </x:row>
    <x:row r="305">
      <x:c r="A305" s="15" t="str">
        <x:v>Bu-57</x:v>
      </x:c>
      <x:c r="B305" s="15" t="str">
        <x:v>Symphony Eye</x:v>
      </x:c>
      <x:c r="C305" s="15" t="str">
        <x:v>BU Led</x:v>
      </x:c>
      <x:c r="D305" s="15" t="str">
        <x:v>Image Guided Therapy - Systems (IGT-S)</x:v>
      </x:c>
      <x:c r="E305" s="19" t="n">
        <x:v>4</x:v>
      </x:c>
      <x:c r="F305" s="19" t="n">
        <x:v>202</x:v>
      </x:c>
      <x:c r="G305" s="22" t="n">
        <x:f>IF(AND(E305&gt;0,ISNUMBER(F305)),F305/E305,"")</x:f>
        <x:v>50.5</x:v>
      </x:c>
      <x:c r="H305" s="15" t="str">
        <x:v>ROI-Based Portfolio</x:v>
      </x:c>
      <x:c r="I305" s="15" t="n">
        <x:v>3</x:v>
      </x:c>
      <x:c r="J305" s="15" t="n">
        <x:v>10</x:v>
      </x:c>
      <x:c r="K305" s="23" t="n">
        <x:f>IF(G305="",0,IF(G305&lt;1,0,IF(G305&lt;2,20,IF(G305&lt;3,30,IF(G305&lt;5,40,50)))))*'Scenario Controls'!$B$22/50</x:f>
        <x:v>50</x:v>
      </x:c>
      <x:c r="L305" s="23" t="n">
        <x:f>IF(ISNUMBER(SEARCH("Must Do",AG305)),25,IF(ISNUMBER(SEARCH("Must Have",AG305)),18,IF(ISNUMBER(SEARCH("Deprior",AG305)),5,0)))*'Scenario Controls'!$B$23/25</x:f>
        <x:v>25</x:v>
      </x:c>
      <x:c r="M305" s="23" t="n">
        <x:f>J305*'Scenario Controls'!$B$24/15</x:f>
        <x:v>10</x:v>
      </x:c>
      <x:c r="N305" s="23" t="n">
        <x:f>IF(ISNUMBER(SEARCH("HEALTHY",X305)),10,IF(ISNUMBER(SEARCH("CONTAIN",X305)),6,0))*'Scenario Controls'!$B$25/10</x:f>
        <x:v>10</x:v>
      </x:c>
      <x:c r="O305" s="23" t="n">
        <x:f>SUM(K305:N305)</x:f>
        <x:v>95</x:v>
      </x:c>
      <x:c r="P305" s="15" t="str">
        <x:f>IF(OR(B305="",E305&lt;=0),"Evidence missing / not eligible",IF(ISNUMBER(SEARCH("priority TBD",Y305)),"Evidence missing / not eligible",IF(AND(H305="Carryover",NOT(ISNUMBER(F305))),"Evidence missing / not eligible",IF(AND(H305="Carryover",G305&lt;'Scenario Controls'!$B$16),"Evidence missing / not eligible",IF(AND(H305="ROI-Based Portfolio",NOT(ISNUMBER(F305))),"Evidence missing / not eligible",IF(AND(H305="ROI-Based Portfolio",O305&lt;'Scenario Controls'!$B$20),"Evidence missing / not eligible","Eligible"))))))</x:f>
        <x:v>Eligible</x:v>
      </x:c>
      <x:c r="Q305" s="19" t="n">
        <x:f>IF(P305&lt;&gt;"Eligible",0,IF(AND(SUMIFS($Q$5:Q304,$H$5:H304,H305)+E305&lt;=(IF(H305="LFR",'Scenario Controls'!$F$10,IF(H305="Sustain Engineering",'Scenario Controls'!$F$11,IF(H305="Hygiene",'Scenario Controls'!$F$12,1E+99))))*(1+'Scenario Controls'!$B$7),SUM($Q$5:Q304)+E305&lt;='Scenario Controls'!$B$6*(1+'Scenario Controls'!$B$7)),E305,0))</x:f>
        <x:v>4</x:v>
      </x:c>
      <x:c r="R305" s="24" t="str">
        <x:f>'BU Conference'!G163</x:f>
        <x:v>Automatic</x:v>
      </x:c>
      <x:c r="S305" s="24" t="str">
        <x:f>'BU Conference'!H163</x:f>
      </x:c>
      <x:c r="T305" s="19" t="n">
        <x:f>IF(R305="Exclude",0,IF(R305="Include",E305,Q305))</x:f>
        <x:v>4</x:v>
      </x:c>
      <x:c r="U305" s="15" t="str">
        <x:f>IF(T305&gt;0,"Funded",IF(P305="Eligible","Unfunded",P305))</x:f>
        <x:v>Funded</x:v>
      </x:c>
      <x:c r="V305" s="15" t="str">
        <x:f>IF(R305="Include","Conference inclusion: "&amp;S305,IF(R305="Exclude","Conference exclusion: "&amp;S305,IF(Q305&gt;0,H305&amp;" priority rank "&amp;I305&amp;"; whole initiative selected",P305)))</x:f>
        <x:v>ROI-Based Portfolio priority rank 3; whole initiative selected</x:v>
      </x:c>
      <x:c r="W305" s="15" t="str">
        <x:v>Bu!121</x:v>
      </x:c>
      <x:c r="X305" s="15" t="str">
        <x:v>HEALTHY</x:v>
      </x:c>
      <x:c r="Y305" s="15" t="str">
        <x:v>HEALTHY — Rank in priority matrix</x:v>
      </x:c>
      <x:c r="Z305" s="15" t="str">
        <x:v>New Feature</x:v>
      </x:c>
      <x:c r="AA305" s="15" t="str">
        <x:v>New Initiative</x:v>
      </x:c>
      <x:c r="AB305" s="15" t="str">
        <x:v>Integrated Supply Chain &amp; Finance</x:v>
      </x:c>
      <x:c r="AC305" s="15" t="str">
        <x:v>Delays Azurion Eye commercialization, prevents adoption of software-enabled and recurring revenue business models, and postpones future digital service and data-driven revenue opportunities.</x:v>
      </x:c>
      <x:c r="AD305" s="15" t="str">
        <x:v>Enable Azurion Eye product launch by extending NextGen with AI/data, cloud and 3rd‑party ecosystem capabilities. Objective: scale a subscription model. Benefits: new revenue streams, AI‑driven value and improved outcomes.Also include ReqRes capabilities such as Remote distribution flows, increased device flexibility, Installation tracking across devices</x:v>
      </x:c>
      <x:c r="AE305" s="15" t="str">
        <x:v>1. Cloud Operations,</x:v>
      </x:c>
      <x:c r="AF305" s="15" t="str">
        <x:v>Delays Azurion Eye commercialization, prevents adoption of software-enabled and recurring revenue business models, and postpones future digital service and data-driven revenue opportunities. | Enable Azurion Eye product launch by extending NextGen with AI/data, cloud and 3rd‑party ecosystem capabilities. Objective: scale a subscription model. Benefits: new revenue streams, AI‑driven value and improved outcomes.Also include ReqRes capabilities such as Remote distribution flows, increased device flexibility, Installation tracking across devices | 1. Cloud Operations,</x:v>
      </x:c>
      <x:c r="AG305" s="15" t="str">
        <x:v>Must Do</x:v>
      </x:c>
      <x:c r="AH305" s="15" t="n">
        <x:v>234</x:v>
      </x:c>
    </x:row>
    <x:row r="306">
      <x:c r="A306" s="15" t="str">
        <x:v>EW-01</x:v>
      </x:c>
      <x:c r="B306" s="15" t="str">
        <x:v>RSL Automation</x:v>
      </x:c>
      <x:c r="C306" s="15" t="str">
        <x:v>EW Led</x:v>
      </x:c>
      <x:c r="D306" s="15" t="str">
        <x:v>SusTaining Engg. Team (STET - ISC)</x:v>
      </x:c>
      <x:c r="E306" s="19" t="n">
        <x:v>0.06</x:v>
      </x:c>
      <x:c r="F306" s="19" t="n">
        <x:v>0.3</x:v>
      </x:c>
      <x:c r="G306" s="22" t="n">
        <x:f>IF(AND(E306&gt;0,ISNUMBER(F306)),F306/E306,"")</x:f>
        <x:v>5</x:v>
      </x:c>
      <x:c r="H306" s="15" t="str">
        <x:v>ROI-Based Portfolio</x:v>
      </x:c>
      <x:c r="I306" s="15" t="n">
        <x:v>4</x:v>
      </x:c>
      <x:c r="J306" s="15" t="n">
        <x:v>10</x:v>
      </x:c>
      <x:c r="K306" s="23" t="n">
        <x:f>IF(G306="",0,IF(G306&lt;1,0,IF(G306&lt;2,20,IF(G306&lt;3,30,IF(G306&lt;5,40,50)))))*'Scenario Controls'!$B$22/50</x:f>
        <x:v>50</x:v>
      </x:c>
      <x:c r="L306" s="23" t="n">
        <x:f>IF(ISNUMBER(SEARCH("Must Do",AG306)),25,IF(ISNUMBER(SEARCH("Must Have",AG306)),18,IF(ISNUMBER(SEARCH("Deprior",AG306)),5,0)))*'Scenario Controls'!$B$23/25</x:f>
        <x:v>25</x:v>
      </x:c>
      <x:c r="M306" s="23" t="n">
        <x:f>J306*'Scenario Controls'!$B$24/15</x:f>
        <x:v>10</x:v>
      </x:c>
      <x:c r="N306" s="23" t="n">
        <x:f>IF(ISNUMBER(SEARCH("HEALTHY",X306)),10,IF(ISNUMBER(SEARCH("CONTAIN",X306)),6,0))*'Scenario Controls'!$B$25/10</x:f>
        <x:v>10</x:v>
      </x:c>
      <x:c r="O306" s="23" t="n">
        <x:f>SUM(K306:N306)</x:f>
        <x:v>95</x:v>
      </x:c>
      <x:c r="P306" s="15" t="str">
        <x:f>IF(OR(B306="",E306&lt;=0),"Evidence missing / not eligible",IF(ISNUMBER(SEARCH("priority TBD",Y306)),"Evidence missing / not eligible",IF(AND(H306="Carryover",NOT(ISNUMBER(F306))),"Evidence missing / not eligible",IF(AND(H306="Carryover",G306&lt;'Scenario Controls'!$B$16),"Evidence missing / not eligible",IF(AND(H306="ROI-Based Portfolio",NOT(ISNUMBER(F306))),"Evidence missing / not eligible",IF(AND(H306="ROI-Based Portfolio",O306&lt;'Scenario Controls'!$B$20),"Evidence missing / not eligible","Eligible"))))))</x:f>
        <x:v>Eligible</x:v>
      </x:c>
      <x:c r="Q306" s="19" t="n">
        <x:f>IF(P306&lt;&gt;"Eligible",0,IF(AND(SUMIFS($Q$5:Q305,$H$5:H305,H306)+E306&lt;=(IF(H306="LFR",'Scenario Controls'!$F$10,IF(H306="Sustain Engineering",'Scenario Controls'!$F$11,IF(H306="Hygiene",'Scenario Controls'!$F$12,1E+99))))*(1+'Scenario Controls'!$B$7),SUM($Q$5:Q305)+E306&lt;='Scenario Controls'!$B$6*(1+'Scenario Controls'!$B$7)),E306,0))</x:f>
        <x:v>0.06</x:v>
      </x:c>
      <x:c r="R306" s="24" t="str">
        <x:f>'EW Conference'!G148</x:f>
        <x:v>Automatic</x:v>
      </x:c>
      <x:c r="S306" s="24" t="str">
        <x:f>'EW Conference'!H148</x:f>
      </x:c>
      <x:c r="T306" s="19" t="n">
        <x:f>IF(R306="Exclude",0,IF(R306="Include",E306,Q306))</x:f>
        <x:v>0.06</x:v>
      </x:c>
      <x:c r="U306" s="15" t="str">
        <x:f>IF(T306&gt;0,"Funded",IF(P306="Eligible","Unfunded",P306))</x:f>
        <x:v>Funded</x:v>
      </x:c>
      <x:c r="V306" s="15" t="str">
        <x:f>IF(R306="Include","Conference inclusion: "&amp;S306,IF(R306="Exclude","Conference exclusion: "&amp;S306,IF(Q306&gt;0,H306&amp;" priority rank "&amp;I306&amp;"; whole initiative selected",P306)))</x:f>
        <x:v>ROI-Based Portfolio priority rank 4; whole initiative selected</x:v>
      </x:c>
      <x:c r="W306" s="15" t="str">
        <x:v>EW!4</x:v>
      </x:c>
      <x:c r="X306" s="15" t="str">
        <x:v>HEALTHY</x:v>
      </x:c>
      <x:c r="Y306" s="15" t="str">
        <x:v>HEALTHY — Rank in priority matrix</x:v>
      </x:c>
      <x:c r="Z306" s="15" t="str">
        <x:v>AI Enablement</x:v>
      </x:c>
      <x:c r="AA306" s="15" t="str">
        <x:v>New Initiative</x:v>
      </x:c>
      <x:c r="AB306" s="15" t="str">
        <x:v>Group Functions &amp; Hyperautomation IT</x:v>
      </x:c>
      <x:c r="AC306" s="15" t="str">
        <x:v>Manual activities supported by workforce</x:v>
      </x:c>
      <x:c r="AD306" s="15" t="str">
        <x: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x:v>
      </x:c>
      <x:c r="AE306" s="15" t="str">
        <x:v>automate the process and apply GenAI to replicate the required human intelligence</x:v>
      </x:c>
      <x:c r="AF306" s="15" t="str">
        <x:v>Manual activities supported by workforce |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 automate the process and apply GenAI to replicate the required human intelligence</x:v>
      </x:c>
      <x:c r="AG306" s="15" t="str">
        <x:v>Must Do</x:v>
      </x:c>
      <x:c r="AH306" s="15" t="n">
        <x:v>6</x:v>
      </x:c>
    </x:row>
    <x:row r="307">
      <x:c r="A307" s="15" t="str">
        <x:v>EW-70</x:v>
      </x:c>
      <x:c r="B307" s="15" t="str">
        <x:v>AI Big Bets - Clinical &amp; Medical Affairs, Medical Safety, and HEMAR</x:v>
      </x:c>
      <x:c r="C307" s="15" t="str">
        <x:v>EW Led</x:v>
      </x:c>
      <x:c r="D307" s="15" t="str">
        <x:v>Medical Office</x:v>
      </x:c>
      <x:c r="E307" s="19" t="n">
        <x:v>0.3</x:v>
      </x:c>
      <x:c r="F307" s="19" t="n">
        <x:v>1.5</x:v>
      </x:c>
      <x:c r="G307" s="22" t="n">
        <x:f>IF(AND(E307&gt;0,ISNUMBER(F307)),F307/E307,"")</x:f>
        <x:v>5</x:v>
      </x:c>
      <x:c r="H307" s="15" t="str">
        <x:v>ROI-Based Portfolio</x:v>
      </x:c>
      <x:c r="I307" s="15" t="n">
        <x:v>5</x:v>
      </x:c>
      <x:c r="J307" s="15" t="n">
        <x:v>10</x:v>
      </x:c>
      <x:c r="K307" s="23" t="n">
        <x:f>IF(G307="",0,IF(G307&lt;1,0,IF(G307&lt;2,20,IF(G307&lt;3,30,IF(G307&lt;5,40,50)))))*'Scenario Controls'!$B$22/50</x:f>
        <x:v>50</x:v>
      </x:c>
      <x:c r="L307" s="23" t="n">
        <x:f>IF(ISNUMBER(SEARCH("Must Do",AG307)),25,IF(ISNUMBER(SEARCH("Must Have",AG307)),18,IF(ISNUMBER(SEARCH("Deprior",AG307)),5,0)))*'Scenario Controls'!$B$23/25</x:f>
        <x:v>25</x:v>
      </x:c>
      <x:c r="M307" s="23" t="n">
        <x:f>J307*'Scenario Controls'!$B$24/15</x:f>
        <x:v>10</x:v>
      </x:c>
      <x:c r="N307" s="23" t="n">
        <x:f>IF(ISNUMBER(SEARCH("HEALTHY",X307)),10,IF(ISNUMBER(SEARCH("CONTAIN",X307)),6,0))*'Scenario Controls'!$B$25/10</x:f>
        <x:v>10</x:v>
      </x:c>
      <x:c r="O307" s="23" t="n">
        <x:f>SUM(K307:N307)</x:f>
        <x:v>95</x:v>
      </x:c>
      <x:c r="P307" s="15" t="str">
        <x:f>IF(OR(B307="",E307&lt;=0),"Evidence missing / not eligible",IF(ISNUMBER(SEARCH("priority TBD",Y307)),"Evidence missing / not eligible",IF(AND(H307="Carryover",NOT(ISNUMBER(F307))),"Evidence missing / not eligible",IF(AND(H307="Carryover",G307&lt;'Scenario Controls'!$B$16),"Evidence missing / not eligible",IF(AND(H307="ROI-Based Portfolio",NOT(ISNUMBER(F307))),"Evidence missing / not eligible",IF(AND(H307="ROI-Based Portfolio",O307&lt;'Scenario Controls'!$B$20),"Evidence missing / not eligible","Eligible"))))))</x:f>
        <x:v>Eligible</x:v>
      </x:c>
      <x:c r="Q307" s="19" t="n">
        <x:f>IF(P307&lt;&gt;"Eligible",0,IF(AND(SUMIFS($Q$5:Q306,$H$5:H306,H307)+E307&lt;=(IF(H307="LFR",'Scenario Controls'!$F$10,IF(H307="Sustain Engineering",'Scenario Controls'!$F$11,IF(H307="Hygiene",'Scenario Controls'!$F$12,1E+99))))*(1+'Scenario Controls'!$B$7),SUM($Q$5:Q306)+E307&lt;='Scenario Controls'!$B$6*(1+'Scenario Controls'!$B$7)),E307,0))</x:f>
        <x:v>0.3</x:v>
      </x:c>
      <x:c r="R307" s="24" t="str">
        <x:f>'EW Conference'!G149</x:f>
        <x:v>Automatic</x:v>
      </x:c>
      <x:c r="S307" s="24" t="str">
        <x:f>'EW Conference'!H149</x:f>
      </x:c>
      <x:c r="T307" s="19" t="n">
        <x:f>IF(R307="Exclude",0,IF(R307="Include",E307,Q307))</x:f>
        <x:v>0.3</x:v>
      </x:c>
      <x:c r="U307" s="15" t="str">
        <x:f>IF(T307&gt;0,"Funded",IF(P307="Eligible","Unfunded",P307))</x:f>
        <x:v>Funded</x:v>
      </x:c>
      <x:c r="V307" s="15" t="str">
        <x:f>IF(R307="Include","Conference inclusion: "&amp;S307,IF(R307="Exclude","Conference exclusion: "&amp;S307,IF(Q307&gt;0,H307&amp;" priority rank "&amp;I307&amp;"; whole initiative selected",P307)))</x:f>
        <x:v>ROI-Based Portfolio priority rank 5; whole initiative selected</x:v>
      </x:c>
      <x:c r="W307" s="15" t="str">
        <x:v>EW!66</x:v>
      </x:c>
      <x:c r="X307" s="15" t="str">
        <x:v>HEALTHY</x:v>
      </x:c>
      <x:c r="Y307" s="15" t="str">
        <x:v>HEALTHY — Rank in priority matrix</x:v>
      </x:c>
      <x:c r="Z307" s="15" t="str">
        <x:v>AI Enablement</x:v>
      </x:c>
      <x:c r="AA307" s="15" t="str">
        <x:v>New Initiative</x:v>
      </x:c>
      <x:c r="AB307" s="15" t="str">
        <x:v>Innovation and Digital IT</x:v>
      </x:c>
      <x:c r="AC307" s="15" t="str">
        <x:v>Huge efficiency gains. E.g. CERA, lterature review</x:v>
      </x:c>
      <x:c r="AD307" s="15" t="str">
        <x: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x:v>
      </x:c>
      <x:c r="AE307" s="15" t="str">
        <x: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x:v>
      </x:c>
      <x:c r="AF307" s="15" t="str">
        <x:v>Huge efficiency gains. E.g. CERA, lterature review |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x:v>
      </x:c>
      <x:c r="AG307" s="15" t="str">
        <x:v>Must Do</x:v>
      </x:c>
      <x:c r="AH307" s="15" t="n">
        <x:v>68</x:v>
      </x:c>
    </x:row>
    <x:row r="308">
      <x:c r="A308" s="15" t="str">
        <x:v>EW-99</x:v>
      </x:c>
      <x:c r="B308" s="15" t="str">
        <x:v>Implementing Zero Trust NEtwork Architecture</x:v>
      </x:c>
      <x:c r="C308" s="15" t="str">
        <x:v>EW Led</x:v>
      </x:c>
      <x:c r="D308" s="15" t="str">
        <x:v>Information Technology</x:v>
      </x:c>
      <x:c r="E308" s="19" t="n">
        <x:v>0.17</x:v>
      </x:c>
      <x:c r="F308" s="19" t="n">
        <x:v>5</x:v>
      </x:c>
      <x:c r="G308" s="22" t="n">
        <x:f>IF(AND(E308&gt;0,ISNUMBER(F308)),F308/E308,"")</x:f>
        <x:v>29.41176470588235</x:v>
      </x:c>
      <x:c r="H308" s="15" t="str">
        <x:v>ROI-Based Portfolio</x:v>
      </x:c>
      <x:c r="I308" s="15" t="n">
        <x:v>6</x:v>
      </x:c>
      <x:c r="J308" s="15" t="n">
        <x:v>15</x:v>
      </x:c>
      <x:c r="K308" s="23" t="n">
        <x:f>IF(G308="",0,IF(G308&lt;1,0,IF(G308&lt;2,20,IF(G308&lt;3,30,IF(G308&lt;5,40,50)))))*'Scenario Controls'!$B$22/50</x:f>
        <x:v>50</x:v>
      </x:c>
      <x:c r="L308" s="23" t="n">
        <x:f>IF(ISNUMBER(SEARCH("Must Do",AG308)),25,IF(ISNUMBER(SEARCH("Must Have",AG308)),18,IF(ISNUMBER(SEARCH("Deprior",AG308)),5,0)))*'Scenario Controls'!$B$23/25</x:f>
        <x:v>18</x:v>
      </x:c>
      <x:c r="M308" s="23" t="n">
        <x:f>J308*'Scenario Controls'!$B$24/15</x:f>
        <x:v>15</x:v>
      </x:c>
      <x:c r="N308" s="23" t="n">
        <x:f>IF(ISNUMBER(SEARCH("HEALTHY",X308)),10,IF(ISNUMBER(SEARCH("CONTAIN",X308)),6,0))*'Scenario Controls'!$B$25/10</x:f>
        <x:v>10</x:v>
      </x:c>
      <x:c r="O308" s="23" t="n">
        <x:f>SUM(K308:N308)</x:f>
        <x:v>93</x:v>
      </x:c>
      <x:c r="P308" s="15" t="str">
        <x:f>IF(OR(B308="",E308&lt;=0),"Evidence missing / not eligible",IF(ISNUMBER(SEARCH("priority TBD",Y308)),"Evidence missing / not eligible",IF(AND(H308="Carryover",NOT(ISNUMBER(F308))),"Evidence missing / not eligible",IF(AND(H308="Carryover",G308&lt;'Scenario Controls'!$B$16),"Evidence missing / not eligible",IF(AND(H308="ROI-Based Portfolio",NOT(ISNUMBER(F308))),"Evidence missing / not eligible",IF(AND(H308="ROI-Based Portfolio",O308&lt;'Scenario Controls'!$B$20),"Evidence missing / not eligible","Eligible"))))))</x:f>
        <x:v>Eligible</x:v>
      </x:c>
      <x:c r="Q308" s="19" t="n">
        <x:f>IF(P308&lt;&gt;"Eligible",0,IF(AND(SUMIFS($Q$5:Q307,$H$5:H307,H308)+E308&lt;=(IF(H308="LFR",'Scenario Controls'!$F$10,IF(H308="Sustain Engineering",'Scenario Controls'!$F$11,IF(H308="Hygiene",'Scenario Controls'!$F$12,1E+99))))*(1+'Scenario Controls'!$B$7),SUM($Q$5:Q307)+E308&lt;='Scenario Controls'!$B$6*(1+'Scenario Controls'!$B$7)),E308,0))</x:f>
        <x:v>0.17</x:v>
      </x:c>
      <x:c r="R308" s="24" t="str">
        <x:f>'EW Conference'!G150</x:f>
        <x:v>Automatic</x:v>
      </x:c>
      <x:c r="S308" s="24" t="str">
        <x:f>'EW Conference'!H150</x:f>
      </x:c>
      <x:c r="T308" s="19" t="n">
        <x:f>IF(R308="Exclude",0,IF(R308="Include",E308,Q308))</x:f>
        <x:v>0.17</x:v>
      </x:c>
      <x:c r="U308" s="15" t="str">
        <x:f>IF(T308&gt;0,"Funded",IF(P308="Eligible","Unfunded",P308))</x:f>
        <x:v>Funded</x:v>
      </x:c>
      <x:c r="V308" s="15" t="str">
        <x:f>IF(R308="Include","Conference inclusion: "&amp;S308,IF(R308="Exclude","Conference exclusion: "&amp;S308,IF(Q308&gt;0,H308&amp;" priority rank "&amp;I308&amp;"; whole initiative selected",P308)))</x:f>
        <x:v>ROI-Based Portfolio priority rank 6; whole initiative selected</x:v>
      </x:c>
      <x:c r="W308" s="15" t="str">
        <x:v>EW!95</x:v>
      </x:c>
      <x:c r="X308" s="15" t="str">
        <x:v>HEALTHY</x:v>
      </x:c>
      <x:c r="Y308" s="15" t="str">
        <x:v>HEALTHY — Rank in priority matrix</x:v>
      </x:c>
      <x:c r="Z308" s="15" t="str">
        <x:v>New Technology</x:v>
      </x:c>
      <x:c r="AA308" s="15" t="str">
        <x:v>New Initiative</x:v>
      </x:c>
      <x:c r="AB308" s="15" t="str">
        <x:v>Infrastructure Services – Projects</x:v>
      </x:c>
      <x:c r="AC308" s="15" t="str">
        <x:v>mpact of Not Executing</x:v>
      </x:c>
      <x:c r="AD308" s="15" t="str">
        <x: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x:v>
      </x:c>
      <x:c r="AE308" s="15" t="str">
        <x:v>Global</x:v>
      </x:c>
      <x:c r="AF308" s="15" t="str">
        <x:v>mpact of Not Executing |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 Global</x:v>
      </x:c>
      <x:c r="AG308" s="15" t="str">
        <x:v>Must Have</x:v>
      </x:c>
      <x:c r="AH308" s="15" t="n">
        <x:v>97</x:v>
      </x:c>
    </x:row>
    <x:row r="309">
      <x:c r="A309" s="15" t="str">
        <x:v>Bu-68</x:v>
      </x:c>
      <x:c r="B309" s="15" t="str">
        <x:v>IR27#23 - Sales Deals compliance</x:v>
      </x:c>
      <x:c r="C309" s="15" t="str">
        <x:v>BU Led</x:v>
      </x:c>
      <x:c r="D309" s="15" t="str">
        <x:v>International Regions (IR)</x:v>
      </x:c>
      <x:c r="E309" s="19" t="n">
        <x:v>0.1</x:v>
      </x:c>
      <x:c r="F309" s="19" t="n">
        <x:v>2500</x:v>
      </x:c>
      <x:c r="G309" s="22" t="n">
        <x:f>IF(AND(E309&gt;0,ISNUMBER(F309)),F309/E309,"")</x:f>
        <x:v>25000</x:v>
      </x:c>
      <x:c r="H309" s="15" t="str">
        <x:v>ROI-Based Portfolio</x:v>
      </x:c>
      <x:c r="I309" s="15" t="n">
        <x:v>7</x:v>
      </x:c>
      <x:c r="J309" s="15" t="n">
        <x:v>5</x:v>
      </x:c>
      <x:c r="K309" s="23" t="n">
        <x:f>IF(G309="",0,IF(G309&lt;1,0,IF(G309&lt;2,20,IF(G309&lt;3,30,IF(G309&lt;5,40,50)))))*'Scenario Controls'!$B$22/50</x:f>
        <x:v>50</x:v>
      </x:c>
      <x:c r="L309" s="23" t="n">
        <x:f>IF(ISNUMBER(SEARCH("Must Do",AG309)),25,IF(ISNUMBER(SEARCH("Must Have",AG309)),18,IF(ISNUMBER(SEARCH("Deprior",AG309)),5,0)))*'Scenario Controls'!$B$23/25</x:f>
        <x:v>25</x:v>
      </x:c>
      <x:c r="M309" s="23" t="n">
        <x:f>J309*'Scenario Controls'!$B$24/15</x:f>
        <x:v>5</x:v>
      </x:c>
      <x:c r="N309" s="23" t="n">
        <x:f>IF(ISNUMBER(SEARCH("HEALTHY",X309)),10,IF(ISNUMBER(SEARCH("CONTAIN",X309)),6,0))*'Scenario Controls'!$B$25/10</x:f>
        <x:v>10</x:v>
      </x:c>
      <x:c r="O309" s="23" t="n">
        <x:f>SUM(K309:N309)</x:f>
        <x:v>90</x:v>
      </x:c>
      <x:c r="P309" s="15" t="str">
        <x:f>IF(OR(B309="",E309&lt;=0),"Evidence missing / not eligible",IF(ISNUMBER(SEARCH("priority TBD",Y309)),"Evidence missing / not eligible",IF(AND(H309="Carryover",NOT(ISNUMBER(F309))),"Evidence missing / not eligible",IF(AND(H309="Carryover",G309&lt;'Scenario Controls'!$B$16),"Evidence missing / not eligible",IF(AND(H309="ROI-Based Portfolio",NOT(ISNUMBER(F309))),"Evidence missing / not eligible",IF(AND(H309="ROI-Based Portfolio",O309&lt;'Scenario Controls'!$B$20),"Evidence missing / not eligible","Eligible"))))))</x:f>
        <x:v>Eligible</x:v>
      </x:c>
      <x:c r="Q309" s="19" t="n">
        <x:f>IF(P309&lt;&gt;"Eligible",0,IF(AND(SUMIFS($Q$5:Q308,$H$5:H308,H309)+E309&lt;=(IF(H309="LFR",'Scenario Controls'!$F$10,IF(H309="Sustain Engineering",'Scenario Controls'!$F$11,IF(H309="Hygiene",'Scenario Controls'!$F$12,1E+99))))*(1+'Scenario Controls'!$B$7),SUM($Q$5:Q308)+E309&lt;='Scenario Controls'!$B$6*(1+'Scenario Controls'!$B$7)),E309,0))</x:f>
        <x:v>0.1</x:v>
      </x:c>
      <x:c r="R309" s="24" t="str">
        <x:f>'BU Conference'!G164</x:f>
        <x:v>Automatic</x:v>
      </x:c>
      <x:c r="S309" s="24" t="str">
        <x:f>'BU Conference'!H164</x:f>
      </x:c>
      <x:c r="T309" s="19" t="n">
        <x:f>IF(R309="Exclude",0,IF(R309="Include",E309,Q309))</x:f>
        <x:v>0.1</x:v>
      </x:c>
      <x:c r="U309" s="15" t="str">
        <x:f>IF(T309&gt;0,"Funded",IF(P309="Eligible","Unfunded",P309))</x:f>
        <x:v>Funded</x:v>
      </x:c>
      <x:c r="V309" s="15" t="str">
        <x:f>IF(R309="Include","Conference inclusion: "&amp;S309,IF(R309="Exclude","Conference exclusion: "&amp;S309,IF(Q309&gt;0,H309&amp;" priority rank "&amp;I309&amp;"; whole initiative selected",P309)))</x:f>
        <x:v>ROI-Based Portfolio priority rank 7; whole initiative selected</x:v>
      </x:c>
      <x:c r="W309" s="15" t="str">
        <x:v>Bu!156</x:v>
      </x:c>
      <x:c r="X309" s="15" t="str">
        <x:v>HEALTHY</x:v>
      </x:c>
      <x:c r="Y309" s="15" t="str">
        <x:v>HEALTHY — Rank in priority matrix</x:v>
      </x:c>
      <x:c r="Z309" s="15" t="str">
        <x:v>Legal Fiscal, Regulatory &amp; Compliancy</x:v>
      </x:c>
      <x:c r="AA309" s="15" t="str">
        <x:v>New Initiative</x:v>
      </x:c>
      <x:c r="AB309" s="15" t="str">
        <x:v>Commercial IT</x:v>
      </x:c>
      <x:c r="AC309" s="15" t="str">
        <x:v>[ANTICIPATED EXTERNAL AUDIT ISSUE]</x:v>
      </x:c>
      <x:c r="AD309" s="15" t="str">
        <x:v>Sales deals are not well controlable manually and we would expect external audit to raise this as a concern on next occasion (rather not wait for it).</x:v>
      </x:c>
      <x:c r="AE309" s="15" t="str">
        <x:v>all HS BUss for Sales Deals, all IR</x:v>
      </x:c>
      <x:c r="AF309" s="15" t="str">
        <x:v>[ANTICIPATED EXTERNAL AUDIT ISSUE] | Sales deals are not well controlable manually and we would expect external audit to raise this as a concern on next occasion (rather not wait for it). | all HS BUss for Sales Deals, all IR</x:v>
      </x:c>
      <x:c r="AG309" s="15" t="str">
        <x:v>Must Do</x:v>
      </x:c>
      <x:c r="AH309" s="15" t="n">
        <x:v>245</x:v>
      </x:c>
    </x:row>
    <x:row r="310">
      <x:c r="A310" s="15" t="str">
        <x:v>Bu-79</x:v>
      </x:c>
      <x:c r="B310" s="15" t="str">
        <x:v>IR27#14 - ORU KSA APM 'Kafu'</x:v>
      </x:c>
      <x:c r="C310" s="15" t="str">
        <x:v>BU Led</x:v>
      </x:c>
      <x:c r="D310" s="15" t="str">
        <x:v>International Regions (IR)</x:v>
      </x:c>
      <x:c r="E310" s="19" t="n">
        <x:v>0.15</x:v>
      </x:c>
      <x:c r="F310" s="19" t="n">
        <x:v>60</x:v>
      </x:c>
      <x:c r="G310" s="22" t="n">
        <x:f>IF(AND(E310&gt;0,ISNUMBER(F310)),F310/E310,"")</x:f>
        <x:v>400</x:v>
      </x:c>
      <x:c r="H310" s="15" t="str">
        <x:v>ROI-Based Portfolio</x:v>
      </x:c>
      <x:c r="I310" s="15" t="n">
        <x:v>8</x:v>
      </x:c>
      <x:c r="J310" s="15" t="n">
        <x:v>5</x:v>
      </x:c>
      <x:c r="K310" s="23" t="n">
        <x:f>IF(G310="",0,IF(G310&lt;1,0,IF(G310&lt;2,20,IF(G310&lt;3,30,IF(G310&lt;5,40,50)))))*'Scenario Controls'!$B$22/50</x:f>
        <x:v>50</x:v>
      </x:c>
      <x:c r="L310" s="23" t="n">
        <x:f>IF(ISNUMBER(SEARCH("Must Do",AG310)),25,IF(ISNUMBER(SEARCH("Must Have",AG310)),18,IF(ISNUMBER(SEARCH("Deprior",AG310)),5,0)))*'Scenario Controls'!$B$23/25</x:f>
        <x:v>25</x:v>
      </x:c>
      <x:c r="M310" s="23" t="n">
        <x:f>J310*'Scenario Controls'!$B$24/15</x:f>
        <x:v>5</x:v>
      </x:c>
      <x:c r="N310" s="23" t="n">
        <x:f>IF(ISNUMBER(SEARCH("HEALTHY",X310)),10,IF(ISNUMBER(SEARCH("CONTAIN",X310)),6,0))*'Scenario Controls'!$B$25/10</x:f>
        <x:v>10</x:v>
      </x:c>
      <x:c r="O310" s="23" t="n">
        <x:f>SUM(K310:N310)</x:f>
        <x:v>90</x:v>
      </x:c>
      <x:c r="P310" s="15" t="str">
        <x:f>IF(OR(B310="",E310&lt;=0),"Evidence missing / not eligible",IF(ISNUMBER(SEARCH("priority TBD",Y310)),"Evidence missing / not eligible",IF(AND(H310="Carryover",NOT(ISNUMBER(F310))),"Evidence missing / not eligible",IF(AND(H310="Carryover",G310&lt;'Scenario Controls'!$B$16),"Evidence missing / not eligible",IF(AND(H310="ROI-Based Portfolio",NOT(ISNUMBER(F310))),"Evidence missing / not eligible",IF(AND(H310="ROI-Based Portfolio",O310&lt;'Scenario Controls'!$B$20),"Evidence missing / not eligible","Eligible"))))))</x:f>
        <x:v>Eligible</x:v>
      </x:c>
      <x:c r="Q310" s="19" t="n">
        <x:f>IF(P310&lt;&gt;"Eligible",0,IF(AND(SUMIFS($Q$5:Q309,$H$5:H309,H310)+E310&lt;=(IF(H310="LFR",'Scenario Controls'!$F$10,IF(H310="Sustain Engineering",'Scenario Controls'!$F$11,IF(H310="Hygiene",'Scenario Controls'!$F$12,1E+99))))*(1+'Scenario Controls'!$B$7),SUM($Q$5:Q309)+E310&lt;='Scenario Controls'!$B$6*(1+'Scenario Controls'!$B$7)),E310,0))</x:f>
        <x:v>0.15</x:v>
      </x:c>
      <x:c r="R310" s="24" t="str">
        <x:f>'BU Conference'!G165</x:f>
        <x:v>Automatic</x:v>
      </x:c>
      <x:c r="S310" s="24" t="str">
        <x:f>'BU Conference'!H165</x:f>
      </x:c>
      <x:c r="T310" s="19" t="n">
        <x:f>IF(R310="Exclude",0,IF(R310="Include",E310,Q310))</x:f>
        <x:v>0.15</x:v>
      </x:c>
      <x:c r="U310" s="15" t="str">
        <x:f>IF(T310&gt;0,"Funded",IF(P310="Eligible","Unfunded",P310))</x:f>
        <x:v>Funded</x:v>
      </x:c>
      <x:c r="V310" s="15" t="str">
        <x:f>IF(R310="Include","Conference inclusion: "&amp;S310,IF(R310="Exclude","Conference exclusion: "&amp;S310,IF(Q310&gt;0,H310&amp;" priority rank "&amp;I310&amp;"; whole initiative selected",P310)))</x:f>
        <x:v>ROI-Based Portfolio priority rank 8; whole initiative selected</x:v>
      </x:c>
      <x:c r="W310" s="15" t="str">
        <x:v>Bu!200</x:v>
      </x:c>
      <x:c r="X310" s="15" t="str">
        <x:v>HEALTHY</x:v>
      </x:c>
      <x:c r="Y310" s="15" t="str">
        <x:v>HEALTHY — Rank in priority matrix</x:v>
      </x:c>
      <x:c r="Z310" s="15" t="str">
        <x:v>New Feature</x:v>
      </x:c>
      <x:c r="AA310" s="15" t="str">
        <x:v>New Initiative</x:v>
      </x:c>
      <x:c r="AB310" s="15" t="str">
        <x:v>Integrated Supply Chain &amp; Finance</x:v>
      </x:c>
      <x:c r="AC310" s="15" t="str">
        <x:v>IT system is need to fully utilize the value of the new initiative.</x:v>
      </x:c>
      <x:c r="AD310" s="15" t="str">
        <x:v>KSA market with strong growth opportunity ('big bet'), precondition for govt attention is local engagement and most suitable is spare parts based presence, possibly also covering competition parts. Opportunity window is closing (competition).</x:v>
      </x:c>
      <x:c r="AE310" s="15" t="str">
        <x:v>Imaging, IGTS, ULS; for KSA &amp; potenbtially the closer region</x:v>
      </x:c>
      <x:c r="AF310" s="15" t="str">
        <x:v>IT system is need to fully utilize the value of the new initiative. | KSA market with strong growth opportunity ('big bet'), precondition for govt attention is local engagement and most suitable is spare parts based presence, possibly also covering competition parts. Opportunity window is closing (competition). | Imaging, IGTS, ULS; for KSA &amp; potenbtially the closer region</x:v>
      </x:c>
      <x:c r="AG310" s="15" t="str">
        <x:v>Must Do</x:v>
      </x:c>
      <x:c r="AH310" s="15" t="n">
        <x:v>256</x:v>
      </x:c>
    </x:row>
    <x:row r="311">
      <x:c r="A311" s="15" t="str">
        <x:v>Bu-63</x:v>
      </x:c>
      <x:c r="B311" s="15" t="str">
        <x:v>Commercial Intelligence &amp; CRM KOL Management tool</x:v>
      </x:c>
      <x:c r="C311" s="15" t="str">
        <x:v>BU Led</x:v>
      </x:c>
      <x:c r="D311" s="15" t="str">
        <x:v>Image Guided Therapy - Systems (IGT-S)</x:v>
      </x:c>
      <x:c r="E311" s="19" t="n">
        <x:v>0.55</x:v>
      </x:c>
      <x:c r="F311" s="19" t="n">
        <x:v>9.6</x:v>
      </x:c>
      <x:c r="G311" s="22" t="n">
        <x:f>IF(AND(E311&gt;0,ISNUMBER(F311)),F311/E311,"")</x:f>
        <x:v>17.454545454545453</x:v>
      </x:c>
      <x:c r="H311" s="15" t="str">
        <x:v>ROI-Based Portfolio</x:v>
      </x:c>
      <x:c r="I311" s="15" t="n">
        <x:v>9</x:v>
      </x:c>
      <x:c r="J311" s="15" t="n">
        <x:v>15</x:v>
      </x:c>
      <x:c r="K311" s="23" t="n">
        <x:f>IF(G311="",0,IF(G311&lt;1,0,IF(G311&lt;2,20,IF(G311&lt;3,30,IF(G311&lt;5,40,50)))))*'Scenario Controls'!$B$22/50</x:f>
        <x:v>50</x:v>
      </x:c>
      <x:c r="L311" s="23" t="n">
        <x:f>IF(ISNUMBER(SEARCH("Must Do",AG311)),25,IF(ISNUMBER(SEARCH("Must Have",AG311)),18,IF(ISNUMBER(SEARCH("Deprior",AG311)),5,0)))*'Scenario Controls'!$B$23/25</x:f>
        <x:v>25</x:v>
      </x:c>
      <x:c r="M311" s="23" t="n">
        <x:f>J311*'Scenario Controls'!$B$24/15</x:f>
        <x:v>15</x:v>
      </x:c>
      <x:c r="N311" s="23" t="n">
        <x:f>IF(ISNUMBER(SEARCH("HEALTHY",X311)),10,IF(ISNUMBER(SEARCH("CONTAIN",X311)),6,0))*'Scenario Controls'!$B$25/10</x:f>
        <x:v>0</x:v>
      </x:c>
      <x:c r="O311" s="23" t="n">
        <x:f>SUM(K311:N311)</x:f>
        <x:v>90</x:v>
      </x:c>
      <x:c r="P311" s="15" t="str">
        <x:f>IF(OR(B311="",E311&lt;=0),"Evidence missing / not eligible",IF(ISNUMBER(SEARCH("priority TBD",Y311)),"Evidence missing / not eligible",IF(AND(H311="Carryover",NOT(ISNUMBER(F311))),"Evidence missing / not eligible",IF(AND(H311="Carryover",G311&lt;'Scenario Controls'!$B$16),"Evidence missing / not eligible",IF(AND(H311="ROI-Based Portfolio",NOT(ISNUMBER(F311))),"Evidence missing / not eligible",IF(AND(H311="ROI-Based Portfolio",O311&lt;'Scenario Controls'!$B$20),"Evidence missing / not eligible","Eligible"))))))</x:f>
        <x:v>Eligible</x:v>
      </x:c>
      <x:c r="Q311" s="19" t="n">
        <x:f>IF(P311&lt;&gt;"Eligible",0,IF(AND(SUMIFS($Q$5:Q310,$H$5:H310,H311)+E311&lt;=(IF(H311="LFR",'Scenario Controls'!$F$10,IF(H311="Sustain Engineering",'Scenario Controls'!$F$11,IF(H311="Hygiene",'Scenario Controls'!$F$12,1E+99))))*(1+'Scenario Controls'!$B$7),SUM($Q$5:Q310)+E311&lt;='Scenario Controls'!$B$6*(1+'Scenario Controls'!$B$7)),E311,0))</x:f>
        <x:v>0.55</x:v>
      </x:c>
      <x:c r="R311" s="24" t="str">
        <x:f>'BU Conference'!G166</x:f>
        <x:v>Automatic</x:v>
      </x:c>
      <x:c r="S311" s="24" t="str">
        <x:f>'BU Conference'!H166</x:f>
      </x:c>
      <x:c r="T311" s="19" t="n">
        <x:f>IF(R311="Exclude",0,IF(R311="Include",E311,Q311))</x:f>
        <x:v>0.55</x:v>
      </x:c>
      <x:c r="U311" s="15" t="str">
        <x:f>IF(T311&gt;0,"Funded",IF(P311="Eligible","Unfunded",P311))</x:f>
        <x:v>Funded</x:v>
      </x:c>
      <x:c r="V311" s="15" t="str">
        <x:f>IF(R311="Include","Conference inclusion: "&amp;S311,IF(R311="Exclude","Conference exclusion: "&amp;S311,IF(Q311&gt;0,H311&amp;" priority rank "&amp;I311&amp;"; whole initiative selected",P311)))</x:f>
        <x:v>ROI-Based Portfolio priority rank 9; whole initiative selected</x:v>
      </x:c>
      <x:c r="W311" s="15" t="str">
        <x:v>Bu!136</x:v>
      </x:c>
      <x:c r="X311" s="15" t="str"/>
      <x:c r="Y311" s="15" t="str"/>
      <x:c r="Z311" s="15" t="str">
        <x:v>New Feature</x:v>
      </x:c>
      <x:c r="AA311" s="15" t="str">
        <x:v>New Initiative</x:v>
      </x:c>
      <x:c r="AB311" s="15" t="str">
        <x:v>Commercial IT</x:v>
      </x:c>
      <x:c r="AC311" s="15" t="str">
        <x:v>Reduced visibility of growth opportunities, deterioration in forecasting accuracy and commercial decision-making, leading to slower productivity improvements and delayed realization of growth ambitions.</x:v>
      </x:c>
      <x:c r="AD311" s="15" t="str">
        <x:v>1) Improve win rate in competition IB sockets and new sockets</x:v>
      </x:c>
      <x:c r="AE311" s="15" t="str">
        <x:v>CRM KOL Management Tool integrated with SFDC and 1. SFDC ACE evolution, 2. Continuous improvements of Learning App, 3. KLUE Tool, integrated with SFDC, 4. Customer visit meeting notes to structured data, 5. LMS integration - customer and sales education (Docebo - new LMS, replacing Totara for all eduction)</x:v>
      </x:c>
      <x:c r="AF311" s="15" t="str">
        <x:v>Reduced visibility of growth opportunities, deterioration in forecasting accuracy and commercial decision-making, leading to slower productivity improvements and delayed realization of growth ambitions. | 1) Improve win rate in competition IB sockets and new sockets | CRM KOL Management Tool integrated with SFDC and 1. SFDC ACE evolution, 2. Continuous improvements of Learning App, 3. KLUE Tool, integrated with SFDC, 4. Customer visit meeting notes to structured data, 5. LMS integration - customer and sales education (Docebo - new LMS, replacing Totara for all eduction)</x:v>
      </x:c>
      <x:c r="AG311" s="15" t="str">
        <x:v>Must Do</x:v>
      </x:c>
      <x:c r="AH311" s="15" t="n">
        <x:v>240</x:v>
      </x:c>
    </x:row>
    <x:row r="312">
      <x:c r="A312" s="15" t="str">
        <x:v>Bu-69</x:v>
      </x:c>
      <x:c r="B312" s="15" t="str">
        <x:v>IR27#31 - Partner Central: Democratize Action to Allow Scale</x:v>
      </x:c>
      <x:c r="C312" s="15" t="str">
        <x:v>BU Led</x:v>
      </x:c>
      <x:c r="D312" s="15" t="str">
        <x:v>International Regions (IR)</x:v>
      </x:c>
      <x:c r="E312" s="19" t="n">
        <x:v>0.39</x:v>
      </x:c>
      <x:c r="F312" s="19" t="n">
        <x:v>5.6</x:v>
      </x:c>
      <x:c r="G312" s="22" t="n">
        <x:f>IF(AND(E312&gt;0,ISNUMBER(F312)),F312/E312,"")</x:f>
        <x:v>14.358974358974358</x:v>
      </x:c>
      <x:c r="H312" s="15" t="str">
        <x:v>ROI-Based Portfolio</x:v>
      </x:c>
      <x:c r="I312" s="15" t="n">
        <x:v>10</x:v>
      </x:c>
      <x:c r="J312" s="15" t="n">
        <x:v>15</x:v>
      </x:c>
      <x:c r="K312" s="23" t="n">
        <x:f>IF(G312="",0,IF(G312&lt;1,0,IF(G312&lt;2,20,IF(G312&lt;3,30,IF(G312&lt;5,40,50)))))*'Scenario Controls'!$B$22/50</x:f>
        <x:v>50</x:v>
      </x:c>
      <x:c r="L312" s="23" t="n">
        <x:f>IF(ISNUMBER(SEARCH("Must Do",AG312)),25,IF(ISNUMBER(SEARCH("Must Have",AG312)),18,IF(ISNUMBER(SEARCH("Deprior",AG312)),5,0)))*'Scenario Controls'!$B$23/25</x:f>
        <x:v>25</x:v>
      </x:c>
      <x:c r="M312" s="23" t="n">
        <x:f>J312*'Scenario Controls'!$B$24/15</x:f>
        <x:v>15</x:v>
      </x:c>
      <x:c r="N312" s="23" t="n">
        <x:f>IF(ISNUMBER(SEARCH("HEALTHY",X312)),10,IF(ISNUMBER(SEARCH("CONTAIN",X312)),6,0))*'Scenario Controls'!$B$25/10</x:f>
        <x:v>0</x:v>
      </x:c>
      <x:c r="O312" s="23" t="n">
        <x:f>SUM(K312:N312)</x:f>
        <x:v>90</x:v>
      </x:c>
      <x:c r="P312" s="15" t="str">
        <x:f>IF(OR(B312="",E312&lt;=0),"Evidence missing / not eligible",IF(ISNUMBER(SEARCH("priority TBD",Y312)),"Evidence missing / not eligible",IF(AND(H312="Carryover",NOT(ISNUMBER(F312))),"Evidence missing / not eligible",IF(AND(H312="Carryover",G312&lt;'Scenario Controls'!$B$16),"Evidence missing / not eligible",IF(AND(H312="ROI-Based Portfolio",NOT(ISNUMBER(F312))),"Evidence missing / not eligible",IF(AND(H312="ROI-Based Portfolio",O312&lt;'Scenario Controls'!$B$20),"Evidence missing / not eligible","Eligible"))))))</x:f>
        <x:v>Eligible</x:v>
      </x:c>
      <x:c r="Q312" s="19" t="n">
        <x:f>IF(P312&lt;&gt;"Eligible",0,IF(AND(SUMIFS($Q$5:Q311,$H$5:H311,H312)+E312&lt;=(IF(H312="LFR",'Scenario Controls'!$F$10,IF(H312="Sustain Engineering",'Scenario Controls'!$F$11,IF(H312="Hygiene",'Scenario Controls'!$F$12,1E+99))))*(1+'Scenario Controls'!$B$7),SUM($Q$5:Q311)+E312&lt;='Scenario Controls'!$B$6*(1+'Scenario Controls'!$B$7)),E312,0))</x:f>
        <x:v>0.39</x:v>
      </x:c>
      <x:c r="R312" s="24" t="str">
        <x:f>'BU Conference'!G167</x:f>
        <x:v>Automatic</x:v>
      </x:c>
      <x:c r="S312" s="24" t="str">
        <x:f>'BU Conference'!H167</x:f>
      </x:c>
      <x:c r="T312" s="19" t="n">
        <x:f>IF(R312="Exclude",0,IF(R312="Include",E312,Q312))</x:f>
        <x:v>0.39</x:v>
      </x:c>
      <x:c r="U312" s="15" t="str">
        <x:f>IF(T312&gt;0,"Funded",IF(P312="Eligible","Unfunded",P312))</x:f>
        <x:v>Funded</x:v>
      </x:c>
      <x:c r="V312" s="15" t="str">
        <x:f>IF(R312="Include","Conference inclusion: "&amp;S312,IF(R312="Exclude","Conference exclusion: "&amp;S312,IF(Q312&gt;0,H312&amp;" priority rank "&amp;I312&amp;"; whole initiative selected",P312)))</x:f>
        <x:v>ROI-Based Portfolio priority rank 10; whole initiative selected</x:v>
      </x:c>
      <x:c r="W312" s="15" t="str">
        <x:v>Bu!162</x:v>
      </x:c>
      <x:c r="X312" s="15" t="str"/>
      <x:c r="Y312" s="15" t="str"/>
      <x:c r="Z312" s="15" t="str">
        <x:v>New Feature</x:v>
      </x:c>
      <x:c r="AA312" s="15" t="str">
        <x:v>New Initiative</x:v>
      </x:c>
      <x:c r="AB312" s="15" t="str">
        <x:v>Innovation and Digital IT</x:v>
      </x:c>
      <x:c r="AC312" s="15" t="str">
        <x:v>• €5.6M opportunity remains dependent on manual, centralized execution</x:v>
      </x:c>
      <x:c r="AD312" s="15" t="str">
        <x:v>Partner team is at limit with central management of all BU / Partner context, cannot scale Partner Business further and need to organize for more shared actions.</x:v>
      </x:c>
      <x:c r="AE312" s="15" t="str">
        <x:v>Channel Partner business IR / all HS BUs</x:v>
      </x:c>
      <x:c r="AF312" s="15" t="str">
        <x:v>• €5.6M opportunity remains dependent on manual, centralized execution | Partner team is at limit with central management of all BU / Partner context, cannot scale Partner Business further and need to organize for more shared actions. | Channel Partner business IR / all HS BUs</x:v>
      </x:c>
      <x:c r="AG312" s="15" t="str">
        <x:v>Must Do</x:v>
      </x:c>
      <x:c r="AH312" s="15" t="n">
        <x:v>246</x:v>
      </x:c>
    </x:row>
    <x:row r="313">
      <x:c r="A313" s="15" t="str">
        <x:v>Bu-97</x:v>
      </x:c>
      <x:c r="B313" s="15" t="str">
        <x:v>Contract Lifecycle Management</x:v>
      </x:c>
      <x:c r="C313" s="15" t="str">
        <x:v>BU Led</x:v>
      </x:c>
      <x:c r="D313" s="15" t="str">
        <x:v>Sleep &amp; Respiratory Care (SRC)</x:v>
      </x:c>
      <x:c r="E313" s="19" t="n">
        <x:v>0.27</x:v>
      </x:c>
      <x:c r="F313" s="19" t="n">
        <x:v>2.5</x:v>
      </x:c>
      <x:c r="G313" s="22" t="n">
        <x:f>IF(AND(E313&gt;0,ISNUMBER(F313)),F313/E313,"")</x:f>
        <x:v>9.25925925925926</x:v>
      </x:c>
      <x:c r="H313" s="15" t="str">
        <x:v>ROI-Based Portfolio</x:v>
      </x:c>
      <x:c r="I313" s="15" t="n">
        <x:v>11</x:v>
      </x:c>
      <x:c r="J313" s="15" t="n">
        <x:v>15</x:v>
      </x:c>
      <x:c r="K313" s="23" t="n">
        <x:f>IF(G313="",0,IF(G313&lt;1,0,IF(G313&lt;2,20,IF(G313&lt;3,30,IF(G313&lt;5,40,50)))))*'Scenario Controls'!$B$22/50</x:f>
        <x:v>50</x:v>
      </x:c>
      <x:c r="L313" s="23" t="n">
        <x:f>IF(ISNUMBER(SEARCH("Must Do",AG313)),25,IF(ISNUMBER(SEARCH("Must Have",AG313)),18,IF(ISNUMBER(SEARCH("Deprior",AG313)),5,0)))*'Scenario Controls'!$B$23/25</x:f>
        <x:v>25</x:v>
      </x:c>
      <x:c r="M313" s="23" t="n">
        <x:f>J313*'Scenario Controls'!$B$24/15</x:f>
        <x:v>15</x:v>
      </x:c>
      <x:c r="N313" s="23" t="n">
        <x:f>IF(ISNUMBER(SEARCH("HEALTHY",X313)),10,IF(ISNUMBER(SEARCH("CONTAIN",X313)),6,0))*'Scenario Controls'!$B$25/10</x:f>
        <x:v>0</x:v>
      </x:c>
      <x:c r="O313" s="23" t="n">
        <x:f>SUM(K313:N313)</x:f>
        <x:v>90</x:v>
      </x:c>
      <x:c r="P313" s="15" t="str">
        <x:f>IF(OR(B313="",E313&lt;=0),"Evidence missing / not eligible",IF(ISNUMBER(SEARCH("priority TBD",Y313)),"Evidence missing / not eligible",IF(AND(H313="Carryover",NOT(ISNUMBER(F313))),"Evidence missing / not eligible",IF(AND(H313="Carryover",G313&lt;'Scenario Controls'!$B$16),"Evidence missing / not eligible",IF(AND(H313="ROI-Based Portfolio",NOT(ISNUMBER(F313))),"Evidence missing / not eligible",IF(AND(H313="ROI-Based Portfolio",O313&lt;'Scenario Controls'!$B$20),"Evidence missing / not eligible","Eligible"))))))</x:f>
        <x:v>Eligible</x:v>
      </x:c>
      <x:c r="Q313" s="19" t="n">
        <x:f>IF(P313&lt;&gt;"Eligible",0,IF(AND(SUMIFS($Q$5:Q312,$H$5:H312,H313)+E313&lt;=(IF(H313="LFR",'Scenario Controls'!$F$10,IF(H313="Sustain Engineering",'Scenario Controls'!$F$11,IF(H313="Hygiene",'Scenario Controls'!$F$12,1E+99))))*(1+'Scenario Controls'!$B$7),SUM($Q$5:Q312)+E313&lt;='Scenario Controls'!$B$6*(1+'Scenario Controls'!$B$7)),E313,0))</x:f>
        <x:v>0.27</x:v>
      </x:c>
      <x:c r="R313" s="24" t="str">
        <x:f>'BU Conference'!G168</x:f>
        <x:v>Automatic</x:v>
      </x:c>
      <x:c r="S313" s="24" t="str">
        <x:f>'BU Conference'!H168</x:f>
      </x:c>
      <x:c r="T313" s="19" t="n">
        <x:f>IF(R313="Exclude",0,IF(R313="Include",E313,Q313))</x:f>
        <x:v>0.27</x:v>
      </x:c>
      <x:c r="U313" s="15" t="str">
        <x:f>IF(T313&gt;0,"Funded",IF(P313="Eligible","Unfunded",P313))</x:f>
        <x:v>Funded</x:v>
      </x:c>
      <x:c r="V313" s="15" t="str">
        <x:f>IF(R313="Include","Conference inclusion: "&amp;S313,IF(R313="Exclude","Conference exclusion: "&amp;S313,IF(Q313&gt;0,H313&amp;" priority rank "&amp;I313&amp;"; whole initiative selected",P313)))</x:f>
        <x:v>ROI-Based Portfolio priority rank 11; whole initiative selected</x:v>
      </x:c>
      <x:c r="W313" s="15" t="str">
        <x:v>Bu!238</x:v>
      </x:c>
      <x:c r="X313" s="15" t="str"/>
      <x:c r="Y313" s="15" t="str"/>
      <x:c r="Z313" s="15" t="str">
        <x:v>Legal Fiscal, Regulatory &amp; Compliancy</x:v>
      </x:c>
      <x:c r="AA313" s="15" t="str">
        <x:v>New Initiative</x:v>
      </x:c>
      <x:c r="AB313" s="15" t="str">
        <x:v>Commercial IT</x:v>
      </x:c>
      <x:c r="AC313" s="15" t="str">
        <x:v>Direct impact on CD and injunction lift which prohibits us to sell in NA; overall revenue for that category was ~1000 M before injunction</x:v>
      </x:c>
      <x:c r="AD313" s="15" t="str">
        <x:v>Continue the CLM implementation in 2027; it will be 50% done in 2026</x:v>
      </x:c>
      <x:c r="AE313" s="15" t="str">
        <x:v>Continue deployment of Contract Hub &amp; Contract Intelligence in NAM for contract management which is flagged as audit gap in CD</x:v>
      </x:c>
      <x:c r="AF313" s="15" t="str">
        <x:v>Direct impact on CD and injunction lift which prohibits us to sell in NA; overall revenue for that category was ~1000 M before injunction | Continue the CLM implementation in 2027; it will be 50% done in 2026 | Continue deployment of Contract Hub &amp; Contract Intelligence in NAM for contract management which is flagged as audit gap in CD</x:v>
      </x:c>
      <x:c r="AG313" s="15" t="str">
        <x:v>Must Do</x:v>
      </x:c>
      <x:c r="AH313" s="15" t="n">
        <x:v>274</x:v>
      </x:c>
    </x:row>
    <x:row r="314">
      <x:c r="A314" s="15" t="str">
        <x:v>EW-43</x:v>
      </x:c>
      <x:c r="B314" s="15" t="str">
        <x:v>EADI- Enabling GAIT</x:v>
      </x:c>
      <x:c r="C314" s="15" t="str">
        <x:v>EW Led</x:v>
      </x:c>
      <x:c r="D314" s="15" t="str">
        <x:v>Information Technology</x:v>
      </x:c>
      <x:c r="E314" s="19" t="n">
        <x:v>2</x:v>
      </x:c>
      <x:c r="F314" s="19" t="n">
        <x:v>10</x:v>
      </x:c>
      <x:c r="G314" s="22" t="n">
        <x:f>IF(AND(E314&gt;0,ISNUMBER(F314)),F314/E314,"")</x:f>
        <x:v>5</x:v>
      </x:c>
      <x:c r="H314" s="15" t="str">
        <x:v>ROI-Based Portfolio</x:v>
      </x:c>
      <x:c r="I314" s="15" t="n">
        <x:v>12</x:v>
      </x:c>
      <x:c r="J314" s="15" t="n">
        <x:v>5</x:v>
      </x:c>
      <x:c r="K314" s="23" t="n">
        <x:f>IF(G314="",0,IF(G314&lt;1,0,IF(G314&lt;2,20,IF(G314&lt;3,30,IF(G314&lt;5,40,50)))))*'Scenario Controls'!$B$22/50</x:f>
        <x:v>50</x:v>
      </x:c>
      <x:c r="L314" s="23" t="n">
        <x:f>IF(ISNUMBER(SEARCH("Must Do",AG314)),25,IF(ISNUMBER(SEARCH("Must Have",AG314)),18,IF(ISNUMBER(SEARCH("Deprior",AG314)),5,0)))*'Scenario Controls'!$B$23/25</x:f>
        <x:v>25</x:v>
      </x:c>
      <x:c r="M314" s="23" t="n">
        <x:f>J314*'Scenario Controls'!$B$24/15</x:f>
        <x:v>5</x:v>
      </x:c>
      <x:c r="N314" s="23" t="n">
        <x:f>IF(ISNUMBER(SEARCH("HEALTHY",X314)),10,IF(ISNUMBER(SEARCH("CONTAIN",X314)),6,0))*'Scenario Controls'!$B$25/10</x:f>
        <x:v>10</x:v>
      </x:c>
      <x:c r="O314" s="23" t="n">
        <x:f>SUM(K314:N314)</x:f>
        <x:v>90</x:v>
      </x:c>
      <x:c r="P314" s="15" t="str">
        <x:f>IF(OR(B314="",E314&lt;=0),"Evidence missing / not eligible",IF(ISNUMBER(SEARCH("priority TBD",Y314)),"Evidence missing / not eligible",IF(AND(H314="Carryover",NOT(ISNUMBER(F314))),"Evidence missing / not eligible",IF(AND(H314="Carryover",G314&lt;'Scenario Controls'!$B$16),"Evidence missing / not eligible",IF(AND(H314="ROI-Based Portfolio",NOT(ISNUMBER(F314))),"Evidence missing / not eligible",IF(AND(H314="ROI-Based Portfolio",O314&lt;'Scenario Controls'!$B$20),"Evidence missing / not eligible","Eligible"))))))</x:f>
        <x:v>Eligible</x:v>
      </x:c>
      <x:c r="Q314" s="19" t="n">
        <x:f>IF(P314&lt;&gt;"Eligible",0,IF(AND(SUMIFS($Q$5:Q313,$H$5:H313,H314)+E314&lt;=(IF(H314="LFR",'Scenario Controls'!$F$10,IF(H314="Sustain Engineering",'Scenario Controls'!$F$11,IF(H314="Hygiene",'Scenario Controls'!$F$12,1E+99))))*(1+'Scenario Controls'!$B$7),SUM($Q$5:Q313)+E314&lt;='Scenario Controls'!$B$6*(1+'Scenario Controls'!$B$7)),E314,0))</x:f>
        <x:v>2</x:v>
      </x:c>
      <x:c r="R314" s="24" t="str">
        <x:f>'EW Conference'!G151</x:f>
        <x:v>Automatic</x:v>
      </x:c>
      <x:c r="S314" s="24" t="str">
        <x:f>'EW Conference'!H151</x:f>
      </x:c>
      <x:c r="T314" s="19" t="n">
        <x:f>IF(R314="Exclude",0,IF(R314="Include",E314,Q314))</x:f>
        <x:v>2</x:v>
      </x:c>
      <x:c r="U314" s="15" t="str">
        <x:f>IF(T314&gt;0,"Funded",IF(P314="Eligible","Unfunded",P314))</x:f>
        <x:v>Funded</x:v>
      </x:c>
      <x:c r="V314" s="15" t="str">
        <x:f>IF(R314="Include","Conference inclusion: "&amp;S314,IF(R314="Exclude","Conference exclusion: "&amp;S314,IF(Q314&gt;0,H314&amp;" priority rank "&amp;I314&amp;"; whole initiative selected",P314)))</x:f>
        <x:v>ROI-Based Portfolio priority rank 12; whole initiative selected</x:v>
      </x:c>
      <x:c r="W314" s="15" t="str">
        <x:v>EW!43</x:v>
      </x:c>
      <x:c r="X314" s="15" t="str">
        <x:v>HEALTHY</x:v>
      </x:c>
      <x:c r="Y314" s="15" t="str">
        <x:v>HEALTHY — Rank in priority matrix</x:v>
      </x:c>
      <x:c r="Z314" s="15" t="str">
        <x:v>AI Enablement</x:v>
      </x:c>
      <x:c r="AA314" s="15" t="str">
        <x:v>New Initiative</x:v>
      </x:c>
      <x:c r="AB314" s="15" t="str">
        <x:v>Enterprise Architecture, Data &amp; Integration</x:v>
      </x:c>
      <x:c r="AC314" s="15" t="str">
        <x:v>Savings Expected from AI for 2027-2028 will be impacted</x:v>
      </x:c>
      <x:c r="AD314" s="15" t="str">
        <x:v>As IT we need to enable the adding of intelligence to our existing systems and the use of AI from the start</x:v>
      </x:c>
      <x:c r="AE314" s="15" t="str">
        <x:v>Enabling the establishment of AI tools, working of AI agents across the Org with reference Archtitecture/ designs/guardrails</x:v>
      </x:c>
      <x:c r="AF314" s="15" t="str">
        <x:v>Savings Expected from AI for 2027-2028 will be impacted | As IT we need to enable the adding of intelligence to our existing systems and the use of AI from the start | Enabling the establishment of AI tools, working of AI agents across the Org with reference Archtitecture/ designs/guardrails</x:v>
      </x:c>
      <x:c r="AG314" s="15" t="str">
        <x:v>Must Do</x:v>
      </x:c>
      <x:c r="AH314" s="15" t="n">
        <x:v>45</x:v>
      </x:c>
    </x:row>
    <x:row r="315">
      <x:c r="A315" s="15" t="str">
        <x:v>Bu-96</x:v>
      </x:c>
      <x:c r="B315" s="15" t="str">
        <x:v>ISC Lanscape Transformation</x:v>
      </x:c>
      <x:c r="C315" s="15" t="str">
        <x:v>BU Led</x:v>
      </x:c>
      <x:c r="D315" s="15" t="str">
        <x:v>Sleep &amp; Respiratory Care (SRC)</x:v>
      </x:c>
      <x:c r="E315" s="19" t="n">
        <x:v>0.6</x:v>
      </x:c>
      <x:c r="F315" s="19" t="n">
        <x:v>2.5</x:v>
      </x:c>
      <x:c r="G315" s="22" t="n">
        <x:f>IF(AND(E315&gt;0,ISNUMBER(F315)),F315/E315,"")</x:f>
        <x:v>4.166666666666667</x:v>
      </x:c>
      <x:c r="H315" s="15" t="str">
        <x:v>ROI-Based Portfolio</x:v>
      </x:c>
      <x:c r="I315" s="15" t="n">
        <x:v>13</x:v>
      </x:c>
      <x:c r="J315" s="15" t="n">
        <x:v>15</x:v>
      </x:c>
      <x:c r="K315" s="23" t="n">
        <x:f>IF(G315="",0,IF(G315&lt;1,0,IF(G315&lt;2,20,IF(G315&lt;3,30,IF(G315&lt;5,40,50)))))*'Scenario Controls'!$B$22/50</x:f>
        <x:v>40</x:v>
      </x:c>
      <x:c r="L315" s="23" t="n">
        <x:f>IF(ISNUMBER(SEARCH("Must Do",AG315)),25,IF(ISNUMBER(SEARCH("Must Have",AG315)),18,IF(ISNUMBER(SEARCH("Deprior",AG315)),5,0)))*'Scenario Controls'!$B$23/25</x:f>
        <x:v>25</x:v>
      </x:c>
      <x:c r="M315" s="23" t="n">
        <x:f>J315*'Scenario Controls'!$B$24/15</x:f>
        <x:v>15</x:v>
      </x:c>
      <x:c r="N315" s="23" t="n">
        <x:f>IF(ISNUMBER(SEARCH("HEALTHY",X315)),10,IF(ISNUMBER(SEARCH("CONTAIN",X315)),6,0))*'Scenario Controls'!$B$25/10</x:f>
        <x:v>10</x:v>
      </x:c>
      <x:c r="O315" s="23" t="n">
        <x:f>SUM(K315:N315)</x:f>
        <x:v>90</x:v>
      </x:c>
      <x:c r="P315" s="15" t="str">
        <x:f>IF(OR(B315="",E315&lt;=0),"Evidence missing / not eligible",IF(ISNUMBER(SEARCH("priority TBD",Y315)),"Evidence missing / not eligible",IF(AND(H315="Carryover",NOT(ISNUMBER(F315))),"Evidence missing / not eligible",IF(AND(H315="Carryover",G315&lt;'Scenario Controls'!$B$16),"Evidence missing / not eligible",IF(AND(H315="ROI-Based Portfolio",NOT(ISNUMBER(F315))),"Evidence missing / not eligible",IF(AND(H315="ROI-Based Portfolio",O315&lt;'Scenario Controls'!$B$20),"Evidence missing / not eligible","Eligible"))))))</x:f>
        <x:v>Eligible</x:v>
      </x:c>
      <x:c r="Q315" s="19" t="n">
        <x:f>IF(P315&lt;&gt;"Eligible",0,IF(AND(SUMIFS($Q$5:Q314,$H$5:H314,H315)+E315&lt;=(IF(H315="LFR",'Scenario Controls'!$F$10,IF(H315="Sustain Engineering",'Scenario Controls'!$F$11,IF(H315="Hygiene",'Scenario Controls'!$F$12,1E+99))))*(1+'Scenario Controls'!$B$7),SUM($Q$5:Q314)+E315&lt;='Scenario Controls'!$B$6*(1+'Scenario Controls'!$B$7)),E315,0))</x:f>
        <x:v>0.6</x:v>
      </x:c>
      <x:c r="R315" s="24" t="str">
        <x:f>'BU Conference'!G169</x:f>
        <x:v>Automatic</x:v>
      </x:c>
      <x:c r="S315" s="24" t="str">
        <x:f>'BU Conference'!H169</x:f>
      </x:c>
      <x:c r="T315" s="19" t="n">
        <x:f>IF(R315="Exclude",0,IF(R315="Include",E315,Q315))</x:f>
        <x:v>0.6</x:v>
      </x:c>
      <x:c r="U315" s="15" t="str">
        <x:f>IF(T315&gt;0,"Funded",IF(P315="Eligible","Unfunded",P315))</x:f>
        <x:v>Funded</x:v>
      </x:c>
      <x:c r="V315" s="15" t="str">
        <x:f>IF(R315="Include","Conference inclusion: "&amp;S315,IF(R315="Exclude","Conference exclusion: "&amp;S315,IF(Q315&gt;0,H315&amp;" priority rank "&amp;I315&amp;"; whole initiative selected",P315)))</x:f>
        <x:v>ROI-Based Portfolio priority rank 13; whole initiative selected</x:v>
      </x:c>
      <x:c r="W315" s="15" t="str">
        <x:v>Bu!236</x:v>
      </x:c>
      <x:c r="X315" s="15" t="str">
        <x:v>HEALTHY</x:v>
      </x:c>
      <x:c r="Y315" s="15" t="str">
        <x:v>HEALTHY — Rank in priority matrix</x:v>
      </x:c>
      <x:c r="Z315" s="15" t="str">
        <x:v>Legal Fiscal, Regulatory &amp; Compliancy</x:v>
      </x:c>
      <x:c r="AA315" s="15" t="str">
        <x:v>New Initiative</x:v>
      </x:c>
      <x:c r="AB315" s="15" t="str">
        <x:v>Integrated Supply Chain &amp; Finance</x:v>
      </x:c>
      <x:c r="AC315" s="15" t="str">
        <x:v>Direct impact on our NA Comeback program which targets revenue growth of 300-500 M over next 2 years</x:v>
      </x:c>
      <x:c r="AD315" s="15" t="str">
        <x:v>Multiple SBO instances across regions that need to be moved to PRD; current setup leads to additional costs and high inefficiencies</x:v>
      </x:c>
      <x:c r="AE315" s="15" t="str">
        <x:v>All SBO instances to be moved to PRD and later decomed; FASC to be deployed to 3 regions leading to significant savings</x:v>
      </x:c>
      <x:c r="AF315" s="15" t="str">
        <x:v>Direct impact on our NA Comeback program which targets revenue growth of 300-500 M over next 2 years | Multiple SBO instances across regions that need to be moved to PRD; current setup leads to additional costs and high inefficiencies | All SBO instances to be moved to PRD and later decomed; FASC to be deployed to 3 regions leading to significant savings</x:v>
      </x:c>
      <x:c r="AG315" s="15" t="str">
        <x:v>Must Do</x:v>
      </x:c>
      <x:c r="AH315" s="15" t="n">
        <x:v>273</x:v>
      </x:c>
    </x:row>
    <x:row r="316">
      <x:c r="A316" s="15" t="str">
        <x:v>Bu-67</x:v>
      </x:c>
      <x:c r="B316" s="15" t="str">
        <x:v>IR27#22 - Sales Incentives Auto-Credit</x:v>
      </x:c>
      <x:c r="C316" s="15" t="str">
        <x:v>BU Led</x:v>
      </x:c>
      <x:c r="D316" s="15" t="str">
        <x:v>International Regions (IR)</x:v>
      </x:c>
      <x:c r="E316" s="19" t="n">
        <x:v>0.25</x:v>
      </x:c>
      <x:c r="F316" s="19" t="n">
        <x:v>9</x:v>
      </x:c>
      <x:c r="G316" s="22" t="n">
        <x:f>IF(AND(E316&gt;0,ISNUMBER(F316)),F316/E316,"")</x:f>
        <x:v>36</x:v>
      </x:c>
      <x:c r="H316" s="15" t="str">
        <x:v>ROI-Based Portfolio</x:v>
      </x:c>
      <x:c r="I316" s="15" t="n">
        <x:v>14</x:v>
      </x:c>
      <x:c r="J316" s="15" t="n">
        <x:v>10</x:v>
      </x:c>
      <x:c r="K316" s="23" t="n">
        <x:f>IF(G316="",0,IF(G316&lt;1,0,IF(G316&lt;2,20,IF(G316&lt;3,30,IF(G316&lt;5,40,50)))))*'Scenario Controls'!$B$22/50</x:f>
        <x:v>50</x:v>
      </x:c>
      <x:c r="L316" s="23" t="n">
        <x:f>IF(ISNUMBER(SEARCH("Must Do",AG316)),25,IF(ISNUMBER(SEARCH("Must Have",AG316)),18,IF(ISNUMBER(SEARCH("Deprior",AG316)),5,0)))*'Scenario Controls'!$B$23/25</x:f>
        <x:v>18</x:v>
      </x:c>
      <x:c r="M316" s="23" t="n">
        <x:f>J316*'Scenario Controls'!$B$24/15</x:f>
        <x:v>10</x:v>
      </x:c>
      <x:c r="N316" s="23" t="n">
        <x:f>IF(ISNUMBER(SEARCH("HEALTHY",X316)),10,IF(ISNUMBER(SEARCH("CONTAIN",X316)),6,0))*'Scenario Controls'!$B$25/10</x:f>
        <x:v>10</x:v>
      </x:c>
      <x:c r="O316" s="23" t="n">
        <x:f>SUM(K316:N316)</x:f>
        <x:v>88</x:v>
      </x:c>
      <x:c r="P316" s="15" t="str">
        <x:f>IF(OR(B316="",E316&lt;=0),"Evidence missing / not eligible",IF(ISNUMBER(SEARCH("priority TBD",Y316)),"Evidence missing / not eligible",IF(AND(H316="Carryover",NOT(ISNUMBER(F316))),"Evidence missing / not eligible",IF(AND(H316="Carryover",G316&lt;'Scenario Controls'!$B$16),"Evidence missing / not eligible",IF(AND(H316="ROI-Based Portfolio",NOT(ISNUMBER(F316))),"Evidence missing / not eligible",IF(AND(H316="ROI-Based Portfolio",O316&lt;'Scenario Controls'!$B$20),"Evidence missing / not eligible","Eligible"))))))</x:f>
        <x:v>Eligible</x:v>
      </x:c>
      <x:c r="Q316" s="19" t="n">
        <x:f>IF(P316&lt;&gt;"Eligible",0,IF(AND(SUMIFS($Q$5:Q315,$H$5:H315,H316)+E316&lt;=(IF(H316="LFR",'Scenario Controls'!$F$10,IF(H316="Sustain Engineering",'Scenario Controls'!$F$11,IF(H316="Hygiene",'Scenario Controls'!$F$12,1E+99))))*(1+'Scenario Controls'!$B$7),SUM($Q$5:Q315)+E316&lt;='Scenario Controls'!$B$6*(1+'Scenario Controls'!$B$7)),E316,0))</x:f>
        <x:v>0.25</x:v>
      </x:c>
      <x:c r="R316" s="24" t="str">
        <x:f>'BU Conference'!G170</x:f>
        <x:v>Automatic</x:v>
      </x:c>
      <x:c r="S316" s="24" t="str">
        <x:f>'BU Conference'!H170</x:f>
      </x:c>
      <x:c r="T316" s="19" t="n">
        <x:f>IF(R316="Exclude",0,IF(R316="Include",E316,Q316))</x:f>
        <x:v>0.25</x:v>
      </x:c>
      <x:c r="U316" s="15" t="str">
        <x:f>IF(T316&gt;0,"Funded",IF(P316="Eligible","Unfunded",P316))</x:f>
        <x:v>Funded</x:v>
      </x:c>
      <x:c r="V316" s="15" t="str">
        <x:f>IF(R316="Include","Conference inclusion: "&amp;S316,IF(R316="Exclude","Conference exclusion: "&amp;S316,IF(Q316&gt;0,H316&amp;" priority rank "&amp;I316&amp;"; whole initiative selected",P316)))</x:f>
        <x:v>ROI-Based Portfolio priority rank 14; whole initiative selected</x:v>
      </x:c>
      <x:c r="W316" s="15" t="str">
        <x:v>Bu!151</x:v>
      </x:c>
      <x:c r="X316" s="15" t="str">
        <x:v>HEALTHY</x:v>
      </x:c>
      <x:c r="Y316" s="15" t="str">
        <x:v>HEALTHY — Rank in priority matrix</x:v>
      </x:c>
      <x:c r="Z316" s="15" t="str">
        <x:v>New Feature</x:v>
      </x:c>
      <x:c r="AA316" s="15" t="str">
        <x:v>New Initiative</x:v>
      </x:c>
      <x:c r="AB316" s="15" t="str">
        <x:v>Commercial IT</x:v>
      </x:c>
      <x:c r="AC316" s="15" t="str">
        <x:v>Without funding, crediting stays manual in every zone. Workaround: continue spreadsheet crediting with added Sales Excellence/HR effort – capacity that cannot be redeployed to growth work.</x:v>
      </x:c>
      <x:c r="AD316" s="15" t="str">
        <x:v>Sales Incentives remains a heavily manual (error prone) process. Anaplan is a foundation but not leveraged to automate main workload yet.</x:v>
      </x:c>
      <x:c r="AE316" s="15" t="str">
        <x:v>Sales incentives process and involved executing roles across IR, possible leverage for NAR/GCR depending on how they utilize the system. All BUs involved, while focus on HS.</x:v>
      </x:c>
      <x:c r="AF316" s="15" t="str">
        <x:v>Without funding, crediting stays manual in every zone. Workaround: continue spreadsheet crediting with added Sales Excellence/HR effort – capacity that cannot be redeployed to growth work. | Sales Incentives remains a heavily manual (error prone) process. Anaplan is a foundation but not leveraged to automate main workload yet. | Sales incentives process and involved executing roles across IR, possible leverage for NAR/GCR depending on how they utilize the system. All BUs involved, while focus on HS.</x:v>
      </x:c>
      <x:c r="AG316" s="15" t="str">
        <x:v>Must Have</x:v>
      </x:c>
      <x:c r="AH316" s="15" t="n">
        <x:v>244</x:v>
      </x:c>
    </x:row>
    <x:row r="317">
      <x:c r="A317" s="15" t="str">
        <x:v>Bu-87</x:v>
      </x:c>
      <x:c r="B317" s="15" t="str">
        <x:v>NAR Commercial Excellence</x:v>
      </x:c>
      <x:c r="C317" s="15" t="str">
        <x:v>BU Led</x:v>
      </x:c>
      <x:c r="D317" s="15" t="str">
        <x:v>North America (NAR)</x:v>
      </x:c>
      <x:c r="E317" s="19" t="n">
        <x:v>3.5</x:v>
      </x:c>
      <x:c r="F317" s="19" t="n">
        <x:v>14</x:v>
      </x:c>
      <x:c r="G317" s="22" t="n">
        <x:f>IF(AND(E317&gt;0,ISNUMBER(F317)),F317/E317,"")</x:f>
        <x:v>4</x:v>
      </x:c>
      <x:c r="H317" s="15" t="str">
        <x:v>ROI-Based Portfolio</x:v>
      </x:c>
      <x:c r="I317" s="15" t="n">
        <x:v>15</x:v>
      </x:c>
      <x:c r="J317" s="15" t="n">
        <x:v>10</x:v>
      </x:c>
      <x:c r="K317" s="23" t="n">
        <x:f>IF(G317="",0,IF(G317&lt;1,0,IF(G317&lt;2,20,IF(G317&lt;3,30,IF(G317&lt;5,40,50)))))*'Scenario Controls'!$B$22/50</x:f>
        <x:v>40</x:v>
      </x:c>
      <x:c r="L317" s="23" t="n">
        <x:f>IF(ISNUMBER(SEARCH("Must Do",AG317)),25,IF(ISNUMBER(SEARCH("Must Have",AG317)),18,IF(ISNUMBER(SEARCH("Deprior",AG317)),5,0)))*'Scenario Controls'!$B$23/25</x:f>
        <x:v>25</x:v>
      </x:c>
      <x:c r="M317" s="23" t="n">
        <x:f>J317*'Scenario Controls'!$B$24/15</x:f>
        <x:v>10</x:v>
      </x:c>
      <x:c r="N317" s="23" t="n">
        <x:f>IF(ISNUMBER(SEARCH("HEALTHY",X317)),10,IF(ISNUMBER(SEARCH("CONTAIN",X317)),6,0))*'Scenario Controls'!$B$25/10</x:f>
        <x:v>10</x:v>
      </x:c>
      <x:c r="O317" s="23" t="n">
        <x:f>SUM(K317:N317)</x:f>
        <x:v>85</x:v>
      </x:c>
      <x:c r="P317" s="15" t="str">
        <x:f>IF(OR(B317="",E317&lt;=0),"Evidence missing / not eligible",IF(ISNUMBER(SEARCH("priority TBD",Y317)),"Evidence missing / not eligible",IF(AND(H317="Carryover",NOT(ISNUMBER(F317))),"Evidence missing / not eligible",IF(AND(H317="Carryover",G317&lt;'Scenario Controls'!$B$16),"Evidence missing / not eligible",IF(AND(H317="ROI-Based Portfolio",NOT(ISNUMBER(F317))),"Evidence missing / not eligible",IF(AND(H317="ROI-Based Portfolio",O317&lt;'Scenario Controls'!$B$20),"Evidence missing / not eligible","Eligible"))))))</x:f>
        <x:v>Eligible</x:v>
      </x:c>
      <x:c r="Q317" s="19" t="n">
        <x:f>IF(P317&lt;&gt;"Eligible",0,IF(AND(SUMIFS($Q$5:Q316,$H$5:H316,H317)+E317&lt;=(IF(H317="LFR",'Scenario Controls'!$F$10,IF(H317="Sustain Engineering",'Scenario Controls'!$F$11,IF(H317="Hygiene",'Scenario Controls'!$F$12,1E+99))))*(1+'Scenario Controls'!$B$7),SUM($Q$5:Q316)+E317&lt;='Scenario Controls'!$B$6*(1+'Scenario Controls'!$B$7)),E317,0))</x:f>
        <x:v>3.5</x:v>
      </x:c>
      <x:c r="R317" s="24" t="str">
        <x:f>'BU Conference'!G171</x:f>
        <x:v>Automatic</x:v>
      </x:c>
      <x:c r="S317" s="24" t="str">
        <x:f>'BU Conference'!H171</x:f>
      </x:c>
      <x:c r="T317" s="19" t="n">
        <x:f>IF(R317="Exclude",0,IF(R317="Include",E317,Q317))</x:f>
        <x:v>3.5</x:v>
      </x:c>
      <x:c r="U317" s="15" t="str">
        <x:f>IF(T317&gt;0,"Funded",IF(P317="Eligible","Unfunded",P317))</x:f>
        <x:v>Funded</x:v>
      </x:c>
      <x:c r="V317" s="15" t="str">
        <x:f>IF(R317="Include","Conference inclusion: "&amp;S317,IF(R317="Exclude","Conference exclusion: "&amp;S317,IF(Q317&gt;0,H317&amp;" priority rank "&amp;I317&amp;"; whole initiative selected",P317)))</x:f>
        <x:v>ROI-Based Portfolio priority rank 15; whole initiative selected</x:v>
      </x:c>
      <x:c r="W317" s="15" t="str">
        <x:v>Bu!219</x:v>
      </x:c>
      <x:c r="X317" s="15" t="str">
        <x:v>HEALTHY</x:v>
      </x:c>
      <x:c r="Y317" s="15" t="str">
        <x:v>HEALTHY — Rank in priority matrix</x:v>
      </x:c>
      <x:c r="Z317" s="15" t="str">
        <x:v>New Technology</x:v>
      </x:c>
      <x:c r="AA317" s="15" t="str">
        <x:v>New Initiative</x:v>
      </x:c>
      <x:c r="AB317" s="15" t="str">
        <x:v>Commercial IT</x:v>
      </x:c>
      <x:c r="AC317" s="15" t="str">
        <x:v>Revenue, margin, audit risk</x:v>
      </x:c>
      <x:c r="AD317" s="15" t="str">
        <x:v>Contract documentation and data management are fragmented across multiple teams and systems. GPO fee data and calculation rules vary across Commercial, Service, and Subscription channels. Inadequate</x:v>
      </x:c>
      <x:c r="AE317" s="15" t="str">
        <x:v>CLM Hub</x:v>
      </x:c>
      <x:c r="AF317" s="15" t="str">
        <x:v>Revenue, margin, audit risk | Contract documentation and data management are fragmented across multiple teams and systems. GPO fee data and calculation rules vary across Commercial, Service, and Subscription channels. Inadequate | CLM Hub</x:v>
      </x:c>
      <x:c r="AG317" s="15" t="str">
        <x:v>Must Do</x:v>
      </x:c>
      <x:c r="AH317" s="15" t="n">
        <x:v>264</x:v>
      </x:c>
    </x:row>
    <x:row r="318">
      <x:c r="A318" s="15" t="str">
        <x:v>Bu-231</x:v>
      </x:c>
      <x:c r="B318" s="15" t="str">
        <x:v>GBS Collaboration - Order Orchestration (Appian) - Phase 2</x:v>
      </x:c>
      <x:c r="C318" s="15" t="str">
        <x:v>BU Led</x:v>
      </x:c>
      <x:c r="D318" s="15" t="str">
        <x:v>Monitoring - HPM (MCH)</x:v>
      </x:c>
      <x:c r="E318" s="19" t="n">
        <x:v>0.9</x:v>
      </x:c>
      <x:c r="F318" s="19" t="n">
        <x:v>9.162</x:v>
      </x:c>
      <x:c r="G318" s="22" t="n">
        <x:f>IF(AND(E318&gt;0,ISNUMBER(F318)),F318/E318,"")</x:f>
        <x:v>10.180000000000001</x:v>
      </x:c>
      <x:c r="H318" s="15" t="str">
        <x:v>ROI-Based Portfolio</x:v>
      </x:c>
      <x:c r="I318" s="15" t="n">
        <x:v>16</x:v>
      </x:c>
      <x:c r="J318" s="15" t="n">
        <x:v>10</x:v>
      </x:c>
      <x:c r="K318" s="23" t="n">
        <x:f>IF(G318="",0,IF(G318&lt;1,0,IF(G318&lt;2,20,IF(G318&lt;3,30,IF(G318&lt;5,40,50)))))*'Scenario Controls'!$B$22/50</x:f>
        <x:v>50</x:v>
      </x:c>
      <x:c r="L318" s="23" t="n">
        <x:f>IF(ISNUMBER(SEARCH("Must Do",AG318)),25,IF(ISNUMBER(SEARCH("Must Have",AG318)),18,IF(ISNUMBER(SEARCH("Deprior",AG318)),5,0)))*'Scenario Controls'!$B$23/25</x:f>
        <x:v>18</x:v>
      </x:c>
      <x:c r="M318" s="23" t="n">
        <x:f>J318*'Scenario Controls'!$B$24/15</x:f>
        <x:v>10</x:v>
      </x:c>
      <x:c r="N318" s="23" t="n">
        <x:f>IF(ISNUMBER(SEARCH("HEALTHY",X318)),10,IF(ISNUMBER(SEARCH("CONTAIN",X318)),6,0))*'Scenario Controls'!$B$25/10</x:f>
        <x:v>6</x:v>
      </x:c>
      <x:c r="O318" s="23" t="n">
        <x:f>SUM(K318:N318)</x:f>
        <x:v>84</x:v>
      </x:c>
      <x:c r="P318" s="15" t="str">
        <x:f>IF(OR(B318="",E318&lt;=0),"Evidence missing / not eligible",IF(ISNUMBER(SEARCH("priority TBD",Y318)),"Evidence missing / not eligible",IF(AND(H318="Carryover",NOT(ISNUMBER(F318))),"Evidence missing / not eligible",IF(AND(H318="Carryover",G318&lt;'Scenario Controls'!$B$16),"Evidence missing / not eligible",IF(AND(H318="ROI-Based Portfolio",NOT(ISNUMBER(F318))),"Evidence missing / not eligible",IF(AND(H318="ROI-Based Portfolio",O318&lt;'Scenario Controls'!$B$20),"Evidence missing / not eligible","Eligible"))))))</x:f>
        <x:v>Eligible</x:v>
      </x:c>
      <x:c r="Q318" s="19" t="n">
        <x:f>IF(P318&lt;&gt;"Eligible",0,IF(AND(SUMIFS($Q$5:Q317,$H$5:H317,H318)+E318&lt;=(IF(H318="LFR",'Scenario Controls'!$F$10,IF(H318="Sustain Engineering",'Scenario Controls'!$F$11,IF(H318="Hygiene",'Scenario Controls'!$F$12,1E+99))))*(1+'Scenario Controls'!$B$7),SUM($Q$5:Q317)+E318&lt;='Scenario Controls'!$B$6*(1+'Scenario Controls'!$B$7)),E318,0))</x:f>
        <x:v>0.9</x:v>
      </x:c>
      <x:c r="R318" s="24" t="str">
        <x:f>'BU Conference'!G172</x:f>
        <x:v>Automatic</x:v>
      </x:c>
      <x:c r="S318" s="24" t="str">
        <x:f>'BU Conference'!H172</x:f>
      </x:c>
      <x:c r="T318" s="19" t="n">
        <x:f>IF(R318="Exclude",0,IF(R318="Include",E318,Q318))</x:f>
        <x:v>0.9</x:v>
      </x:c>
      <x:c r="U318" s="15" t="str">
        <x:f>IF(T318&gt;0,"Funded",IF(P318="Eligible","Unfunded",P318))</x:f>
        <x:v>Funded</x:v>
      </x:c>
      <x:c r="V318" s="15" t="str">
        <x:f>IF(R318="Include","Conference inclusion: "&amp;S318,IF(R318="Exclude","Conference exclusion: "&amp;S318,IF(Q318&gt;0,H318&amp;" priority rank "&amp;I318&amp;"; whole initiative selected",P318)))</x:f>
        <x:v>ROI-Based Portfolio priority rank 16; whole initiative selected</x:v>
      </x:c>
      <x:c r="W318" s="15" t="str">
        <x:v>Bu!529</x:v>
      </x:c>
      <x:c r="X318" s="15" t="str">
        <x:v>CONTAIN</x:v>
      </x:c>
      <x:c r="Y318" s="15" t="str">
        <x:v>CONTAIN — Conditions</x:v>
      </x:c>
      <x:c r="Z318" s="15" t="str">
        <x:v>New Feature</x:v>
      </x:c>
      <x:c r="AA318" s="15" t="str">
        <x:v>New Initiative</x:v>
      </x:c>
      <x:c r="AB318" s="15" t="str">
        <x:v>Integrated Supply Chain &amp; Finance</x:v>
      </x:c>
      <x:c r="AC318" s="15" t="str">
        <x:v>reduced ROI</x:v>
      </x:c>
      <x:c r="AD318" s="15" t="str">
        <x:v>OTIF Impact: Better compliance</x:v>
      </x:c>
      <x:c r="AE318" s="15" t="str">
        <x:v>extend Appian</x:v>
      </x:c>
      <x:c r="AF318" s="15" t="str">
        <x:v>reduced ROI | OTIF Impact: Better compliance | extend Appian</x:v>
      </x:c>
      <x:c r="AG318" s="15" t="str">
        <x:v>Must Have</x:v>
      </x:c>
      <x:c r="AH318" s="15" t="n">
        <x:v>411</x:v>
      </x:c>
    </x:row>
    <x:row r="319">
      <x:c r="A319" s="15" t="str">
        <x:v>Bu-229</x:v>
      </x:c>
      <x:c r="B319" s="15" t="str">
        <x:v>Fidelity (Fulcrum/RDC NAM/RDC EU/FF)</x:v>
      </x:c>
      <x:c r="C319" s="15" t="str">
        <x:v>BU Led</x:v>
      </x:c>
      <x:c r="D319" s="15" t="str">
        <x:v>Monitoring - HPM (MCH)</x:v>
      </x:c>
      <x:c r="E319" s="19" t="n">
        <x:v>1</x:v>
      </x:c>
      <x:c r="F319" s="19" t="n">
        <x:v>66.648</x:v>
      </x:c>
      <x:c r="G319" s="22" t="n">
        <x:f>IF(AND(E319&gt;0,ISNUMBER(F319)),F319/E319,"")</x:f>
        <x:v>66.648</x:v>
      </x:c>
      <x:c r="H319" s="15" t="str">
        <x:v>ROI-Based Portfolio</x:v>
      </x:c>
      <x:c r="I319" s="15" t="n">
        <x:v>17</x:v>
      </x:c>
      <x:c r="J319" s="15" t="n">
        <x:v>5</x:v>
      </x:c>
      <x:c r="K319" s="23" t="n">
        <x:f>IF(G319="",0,IF(G319&lt;1,0,IF(G319&lt;2,20,IF(G319&lt;3,30,IF(G319&lt;5,40,50)))))*'Scenario Controls'!$B$22/50</x:f>
        <x:v>50</x:v>
      </x:c>
      <x:c r="L319" s="23" t="n">
        <x:f>IF(ISNUMBER(SEARCH("Must Do",AG319)),25,IF(ISNUMBER(SEARCH("Must Have",AG319)),18,IF(ISNUMBER(SEARCH("Deprior",AG319)),5,0)))*'Scenario Controls'!$B$23/25</x:f>
        <x:v>18</x:v>
      </x:c>
      <x:c r="M319" s="23" t="n">
        <x:f>J319*'Scenario Controls'!$B$24/15</x:f>
        <x:v>5</x:v>
      </x:c>
      <x:c r="N319" s="23" t="n">
        <x:f>IF(ISNUMBER(SEARCH("HEALTHY",X319)),10,IF(ISNUMBER(SEARCH("CONTAIN",X319)),6,0))*'Scenario Controls'!$B$25/10</x:f>
        <x:v>10</x:v>
      </x:c>
      <x:c r="O319" s="23" t="n">
        <x:f>SUM(K319:N319)</x:f>
        <x:v>83</x:v>
      </x:c>
      <x:c r="P319" s="15" t="str">
        <x:f>IF(OR(B319="",E319&lt;=0),"Evidence missing / not eligible",IF(ISNUMBER(SEARCH("priority TBD",Y319)),"Evidence missing / not eligible",IF(AND(H319="Carryover",NOT(ISNUMBER(F319))),"Evidence missing / not eligible",IF(AND(H319="Carryover",G319&lt;'Scenario Controls'!$B$16),"Evidence missing / not eligible",IF(AND(H319="ROI-Based Portfolio",NOT(ISNUMBER(F319))),"Evidence missing / not eligible",IF(AND(H319="ROI-Based Portfolio",O319&lt;'Scenario Controls'!$B$20),"Evidence missing / not eligible","Eligible"))))))</x:f>
        <x:v>Eligible</x:v>
      </x:c>
      <x:c r="Q319" s="19" t="n">
        <x:f>IF(P319&lt;&gt;"Eligible",0,IF(AND(SUMIFS($Q$5:Q318,$H$5:H318,H319)+E319&lt;=(IF(H319="LFR",'Scenario Controls'!$F$10,IF(H319="Sustain Engineering",'Scenario Controls'!$F$11,IF(H319="Hygiene",'Scenario Controls'!$F$12,1E+99))))*(1+'Scenario Controls'!$B$7),SUM($Q$5:Q318)+E319&lt;='Scenario Controls'!$B$6*(1+'Scenario Controls'!$B$7)),E319,0))</x:f>
        <x:v>1</x:v>
      </x:c>
      <x:c r="R319" s="24" t="str">
        <x:f>'BU Conference'!G173</x:f>
        <x:v>Automatic</x:v>
      </x:c>
      <x:c r="S319" s="24" t="str">
        <x:f>'BU Conference'!H173</x:f>
      </x:c>
      <x:c r="T319" s="19" t="n">
        <x:f>IF(R319="Exclude",0,IF(R319="Include",E319,Q319))</x:f>
        <x:v>1</x:v>
      </x:c>
      <x:c r="U319" s="15" t="str">
        <x:f>IF(T319&gt;0,"Funded",IF(P319="Eligible","Unfunded",P319))</x:f>
        <x:v>Funded</x:v>
      </x:c>
      <x:c r="V319" s="15" t="str">
        <x:f>IF(R319="Include","Conference inclusion: "&amp;S319,IF(R319="Exclude","Conference exclusion: "&amp;S319,IF(Q319&gt;0,H319&amp;" priority rank "&amp;I319&amp;"; whole initiative selected",P319)))</x:f>
        <x:v>ROI-Based Portfolio priority rank 17; whole initiative selected</x:v>
      </x:c>
      <x:c r="W319" s="15" t="str">
        <x:v>Bu!524</x:v>
      </x:c>
      <x:c r="X319" s="15" t="str">
        <x:v>HEALTHY</x:v>
      </x:c>
      <x:c r="Y319" s="15" t="str">
        <x:v>HEALTHY — Rank in priority matrix</x:v>
      </x:c>
      <x:c r="Z319" s="15" t="str">
        <x:v>New Feature</x:v>
      </x:c>
      <x:c r="AA319" s="15" t="str">
        <x:v>New Initiative</x:v>
      </x:c>
      <x:c r="AB319" s="15" t="str">
        <x:v>Integrated Supply Chain &amp; Finance</x:v>
      </x:c>
      <x:c r="AC319" s="15" t="str">
        <x:v>reduced ROI</x:v>
      </x:c>
      <x:c r="AD319" s="15" t="str">
        <x:v>improve consumable supply chain</x:v>
      </x:c>
      <x:c r="AE319" s="15" t="str">
        <x:v>o Power++ ZSO Order Intake Automation expansion</x:v>
      </x:c>
      <x:c r="AF319" s="15" t="str">
        <x:v>reduced ROI | improve consumable supply chain | o Power++ ZSO Order Intake Automation expansion</x:v>
      </x:c>
      <x:c r="AG319" s="15" t="str">
        <x:v>Must Have</x:v>
      </x:c>
      <x:c r="AH319" s="15" t="n">
        <x:v>408</x:v>
      </x:c>
    </x:row>
    <x:row r="320">
      <x:c r="A320" s="15" t="str">
        <x:v>Bu-230</x:v>
      </x:c>
      <x:c r="B320" s="15" t="str">
        <x:v>NAM late customization improvements (100K)</x:v>
      </x:c>
      <x:c r="C320" s="15" t="str">
        <x:v>BU Led</x:v>
      </x:c>
      <x:c r="D320" s="15" t="str">
        <x:v>Monitoring - HPM (MCH)</x:v>
      </x:c>
      <x:c r="E320" s="19" t="n">
        <x:v>0.25</x:v>
      </x:c>
      <x:c r="F320" s="19" t="n">
        <x:v>1.5</x:v>
      </x:c>
      <x:c r="G320" s="22" t="n">
        <x:f>IF(AND(E320&gt;0,ISNUMBER(F320)),F320/E320,"")</x:f>
        <x:v>6</x:v>
      </x:c>
      <x:c r="H320" s="15" t="str">
        <x:v>ROI-Based Portfolio</x:v>
      </x:c>
      <x:c r="I320" s="15" t="n">
        <x:v>18</x:v>
      </x:c>
      <x:c r="J320" s="15" t="n">
        <x:v>5</x:v>
      </x:c>
      <x:c r="K320" s="23" t="n">
        <x:f>IF(G320="",0,IF(G320&lt;1,0,IF(G320&lt;2,20,IF(G320&lt;3,30,IF(G320&lt;5,40,50)))))*'Scenario Controls'!$B$22/50</x:f>
        <x:v>50</x:v>
      </x:c>
      <x:c r="L320" s="23" t="n">
        <x:f>IF(ISNUMBER(SEARCH("Must Do",AG320)),25,IF(ISNUMBER(SEARCH("Must Have",AG320)),18,IF(ISNUMBER(SEARCH("Deprior",AG320)),5,0)))*'Scenario Controls'!$B$23/25</x:f>
        <x:v>18</x:v>
      </x:c>
      <x:c r="M320" s="23" t="n">
        <x:f>J320*'Scenario Controls'!$B$24/15</x:f>
        <x:v>5</x:v>
      </x:c>
      <x:c r="N320" s="23" t="n">
        <x:f>IF(ISNUMBER(SEARCH("HEALTHY",X320)),10,IF(ISNUMBER(SEARCH("CONTAIN",X320)),6,0))*'Scenario Controls'!$B$25/10</x:f>
        <x:v>10</x:v>
      </x:c>
      <x:c r="O320" s="23" t="n">
        <x:f>SUM(K320:N320)</x:f>
        <x:v>83</x:v>
      </x:c>
      <x:c r="P320" s="15" t="str">
        <x:f>IF(OR(B320="",E320&lt;=0),"Evidence missing / not eligible",IF(ISNUMBER(SEARCH("priority TBD",Y320)),"Evidence missing / not eligible",IF(AND(H320="Carryover",NOT(ISNUMBER(F320))),"Evidence missing / not eligible",IF(AND(H320="Carryover",G320&lt;'Scenario Controls'!$B$16),"Evidence missing / not eligible",IF(AND(H320="ROI-Based Portfolio",NOT(ISNUMBER(F320))),"Evidence missing / not eligible",IF(AND(H320="ROI-Based Portfolio",O320&lt;'Scenario Controls'!$B$20),"Evidence missing / not eligible","Eligible"))))))</x:f>
        <x:v>Eligible</x:v>
      </x:c>
      <x:c r="Q320" s="19" t="n">
        <x:f>IF(P320&lt;&gt;"Eligible",0,IF(AND(SUMIFS($Q$5:Q319,$H$5:H319,H320)+E320&lt;=(IF(H320="LFR",'Scenario Controls'!$F$10,IF(H320="Sustain Engineering",'Scenario Controls'!$F$11,IF(H320="Hygiene",'Scenario Controls'!$F$12,1E+99))))*(1+'Scenario Controls'!$B$7),SUM($Q$5:Q319)+E320&lt;='Scenario Controls'!$B$6*(1+'Scenario Controls'!$B$7)),E320,0))</x:f>
        <x:v>0.25</x:v>
      </x:c>
      <x:c r="R320" s="24" t="str">
        <x:f>'BU Conference'!G174</x:f>
        <x:v>Automatic</x:v>
      </x:c>
      <x:c r="S320" s="24" t="str">
        <x:f>'BU Conference'!H174</x:f>
      </x:c>
      <x:c r="T320" s="19" t="n">
        <x:f>IF(R320="Exclude",0,IF(R320="Include",E320,Q320))</x:f>
        <x:v>0.25</x:v>
      </x:c>
      <x:c r="U320" s="15" t="str">
        <x:f>IF(T320&gt;0,"Funded",IF(P320="Eligible","Unfunded",P320))</x:f>
        <x:v>Funded</x:v>
      </x:c>
      <x:c r="V320" s="15" t="str">
        <x:f>IF(R320="Include","Conference inclusion: "&amp;S320,IF(R320="Exclude","Conference exclusion: "&amp;S320,IF(Q320&gt;0,H320&amp;" priority rank "&amp;I320&amp;"; whole initiative selected",P320)))</x:f>
        <x:v>ROI-Based Portfolio priority rank 18; whole initiative selected</x:v>
      </x:c>
      <x:c r="W320" s="15" t="str">
        <x:v>Bu!527</x:v>
      </x:c>
      <x:c r="X320" s="15" t="str">
        <x:v>HEALTHY</x:v>
      </x:c>
      <x:c r="Y320" s="15" t="str">
        <x:v>HEALTHY — Rank in priority matrix</x:v>
      </x:c>
      <x:c r="Z320" s="15" t="str">
        <x:v>New Feature</x:v>
      </x:c>
      <x:c r="AA320" s="15" t="str">
        <x:v>New Initiative</x:v>
      </x:c>
      <x:c r="AB320" s="15" t="str">
        <x:v>Integrated Supply Chain &amp; Finance</x:v>
      </x:c>
      <x:c r="AC320" s="15" t="str">
        <x:v>reduced ROI</x:v>
      </x:c>
      <x:c r="AD320" s="15" t="str">
        <x:v>improve consumable supply chain</x:v>
      </x:c>
      <x:c r="AE320" s="15" t="str"/>
      <x:c r="AF320" s="15" t="str">
        <x:v>reduced ROI | improve consumable supply chain</x:v>
      </x:c>
      <x:c r="AG320" s="15" t="str">
        <x:v>Must Have</x:v>
      </x:c>
      <x:c r="AH320" s="15" t="n">
        <x:v>409</x:v>
      </x:c>
    </x:row>
    <x:row r="321">
      <x:c r="A321" s="15" t="str">
        <x:v>Bu-237</x:v>
      </x:c>
      <x:c r="B321" s="15" t="str">
        <x:v>3PP</x:v>
      </x:c>
      <x:c r="C321" s="15" t="str">
        <x:v>BU Led</x:v>
      </x:c>
      <x:c r="D321" s="15" t="str">
        <x:v>Monitoring - HPM (MCH)</x:v>
      </x:c>
      <x:c r="E321" s="19" t="n">
        <x:v>0.5</x:v>
      </x:c>
      <x:c r="F321" s="19" t="n">
        <x:v>2.5</x:v>
      </x:c>
      <x:c r="G321" s="22" t="n">
        <x:f>IF(AND(E321&gt;0,ISNUMBER(F321)),F321/E321,"")</x:f>
        <x:v>5</x:v>
      </x:c>
      <x:c r="H321" s="15" t="str">
        <x:v>ROI-Based Portfolio</x:v>
      </x:c>
      <x:c r="I321" s="15" t="n">
        <x:v>19</x:v>
      </x:c>
      <x:c r="J321" s="15" t="n">
        <x:v>5</x:v>
      </x:c>
      <x:c r="K321" s="23" t="n">
        <x:f>IF(G321="",0,IF(G321&lt;1,0,IF(G321&lt;2,20,IF(G321&lt;3,30,IF(G321&lt;5,40,50)))))*'Scenario Controls'!$B$22/50</x:f>
        <x:v>50</x:v>
      </x:c>
      <x:c r="L321" s="23" t="n">
        <x:f>IF(ISNUMBER(SEARCH("Must Do",AG321)),25,IF(ISNUMBER(SEARCH("Must Have",AG321)),18,IF(ISNUMBER(SEARCH("Deprior",AG321)),5,0)))*'Scenario Controls'!$B$23/25</x:f>
        <x:v>18</x:v>
      </x:c>
      <x:c r="M321" s="23" t="n">
        <x:f>J321*'Scenario Controls'!$B$24/15</x:f>
        <x:v>5</x:v>
      </x:c>
      <x:c r="N321" s="23" t="n">
        <x:f>IF(ISNUMBER(SEARCH("HEALTHY",X321)),10,IF(ISNUMBER(SEARCH("CONTAIN",X321)),6,0))*'Scenario Controls'!$B$25/10</x:f>
        <x:v>10</x:v>
      </x:c>
      <x:c r="O321" s="23" t="n">
        <x:f>SUM(K321:N321)</x:f>
        <x:v>83</x:v>
      </x:c>
      <x:c r="P321" s="15" t="str">
        <x:f>IF(OR(B321="",E321&lt;=0),"Evidence missing / not eligible",IF(ISNUMBER(SEARCH("priority TBD",Y321)),"Evidence missing / not eligible",IF(AND(H321="Carryover",NOT(ISNUMBER(F321))),"Evidence missing / not eligible",IF(AND(H321="Carryover",G321&lt;'Scenario Controls'!$B$16),"Evidence missing / not eligible",IF(AND(H321="ROI-Based Portfolio",NOT(ISNUMBER(F321))),"Evidence missing / not eligible",IF(AND(H321="ROI-Based Portfolio",O321&lt;'Scenario Controls'!$B$20),"Evidence missing / not eligible","Eligible"))))))</x:f>
        <x:v>Eligible</x:v>
      </x:c>
      <x:c r="Q321" s="19" t="n">
        <x:f>IF(P321&lt;&gt;"Eligible",0,IF(AND(SUMIFS($Q$5:Q320,$H$5:H320,H321)+E321&lt;=(IF(H321="LFR",'Scenario Controls'!$F$10,IF(H321="Sustain Engineering",'Scenario Controls'!$F$11,IF(H321="Hygiene",'Scenario Controls'!$F$12,1E+99))))*(1+'Scenario Controls'!$B$7),SUM($Q$5:Q320)+E321&lt;='Scenario Controls'!$B$6*(1+'Scenario Controls'!$B$7)),E321,0))</x:f>
        <x:v>0.5</x:v>
      </x:c>
      <x:c r="R321" s="24" t="str">
        <x:f>'BU Conference'!G175</x:f>
        <x:v>Automatic</x:v>
      </x:c>
      <x:c r="S321" s="24" t="str">
        <x:f>'BU Conference'!H175</x:f>
      </x:c>
      <x:c r="T321" s="19" t="n">
        <x:f>IF(R321="Exclude",0,IF(R321="Include",E321,Q321))</x:f>
        <x:v>0.5</x:v>
      </x:c>
      <x:c r="U321" s="15" t="str">
        <x:f>IF(T321&gt;0,"Funded",IF(P321="Eligible","Unfunded",P321))</x:f>
        <x:v>Funded</x:v>
      </x:c>
      <x:c r="V321" s="15" t="str">
        <x:f>IF(R321="Include","Conference inclusion: "&amp;S321,IF(R321="Exclude","Conference exclusion: "&amp;S321,IF(Q321&gt;0,H321&amp;" priority rank "&amp;I321&amp;"; whole initiative selected",P321)))</x:f>
        <x:v>ROI-Based Portfolio priority rank 19; whole initiative selected</x:v>
      </x:c>
      <x:c r="W321" s="15" t="str">
        <x:v>Bu!539</x:v>
      </x:c>
      <x:c r="X321" s="15" t="str">
        <x:v>HEALTHY</x:v>
      </x:c>
      <x:c r="Y321" s="15" t="str">
        <x:v>HEALTHY — Rank in priority matrix</x:v>
      </x:c>
      <x:c r="Z321" s="15" t="str">
        <x:v>New Feature</x:v>
      </x:c>
      <x:c r="AA321" s="15" t="str">
        <x:v>New Initiative</x:v>
      </x:c>
      <x:c r="AB321" s="15" t="str">
        <x:v>Integrated Supply Chain &amp; Finance</x:v>
      </x:c>
      <x:c r="AC321" s="15" t="str">
        <x:v>reduced ROI</x:v>
      </x:c>
      <x:c r="AD321" s="15" t="str">
        <x:v>3rd party products productivity</x:v>
      </x:c>
      <x:c r="AE321" s="15" t="str">
        <x:v>automate HPM specific 3rd party products creation in MP2</x:v>
      </x:c>
      <x:c r="AF321" s="15" t="str">
        <x:v>reduced ROI | 3rd party products productivity | automate HPM specific 3rd party products creation in MP2</x:v>
      </x:c>
      <x:c r="AG321" s="15" t="str">
        <x:v>Must Have</x:v>
      </x:c>
      <x:c r="AH321" s="15" t="n">
        <x:v>417</x:v>
      </x:c>
    </x:row>
    <x:row r="322">
      <x:c r="A322" s="15" t="str">
        <x:v>Bu-254</x:v>
      </x:c>
      <x:c r="B322" s="15" t="str">
        <x:v>Small Investments 2027</x:v>
      </x:c>
      <x:c r="C322" s="15" t="str">
        <x:v>BU Led</x:v>
      </x:c>
      <x:c r="D322" s="15" t="str">
        <x:v>Image Guided Therapy - Devices (IGT-D)</x:v>
      </x:c>
      <x:c r="E322" s="19" t="n">
        <x:v>0.15</x:v>
      </x:c>
      <x:c r="F322" s="19" t="n">
        <x:v>117</x:v>
      </x:c>
      <x:c r="G322" s="22" t="n">
        <x:f>IF(AND(E322&gt;0,ISNUMBER(F322)),F322/E322,"")</x:f>
        <x:v>780</x:v>
      </x:c>
      <x:c r="H322" s="15" t="str">
        <x:v>ROI-Based Portfolio</x:v>
      </x:c>
      <x:c r="I322" s="15" t="n">
        <x:v>20</x:v>
      </x:c>
      <x:c r="J322" s="15" t="n">
        <x:v>5</x:v>
      </x:c>
      <x:c r="K322" s="23" t="n">
        <x:f>IF(G322="",0,IF(G322&lt;1,0,IF(G322&lt;2,20,IF(G322&lt;3,30,IF(G322&lt;5,40,50)))))*'Scenario Controls'!$B$22/50</x:f>
        <x:v>50</x:v>
      </x:c>
      <x:c r="L322" s="23" t="n">
        <x:f>IF(ISNUMBER(SEARCH("Must Do",AG322)),25,IF(ISNUMBER(SEARCH("Must Have",AG322)),18,IF(ISNUMBER(SEARCH("Deprior",AG322)),5,0)))*'Scenario Controls'!$B$23/25</x:f>
        <x:v>25</x:v>
      </x:c>
      <x:c r="M322" s="23" t="n">
        <x:f>J322*'Scenario Controls'!$B$24/15</x:f>
        <x:v>5</x:v>
      </x:c>
      <x:c r="N322" s="23" t="n">
        <x:f>IF(ISNUMBER(SEARCH("HEALTHY",X322)),10,IF(ISNUMBER(SEARCH("CONTAIN",X322)),6,0))*'Scenario Controls'!$B$25/10</x:f>
        <x:v>0</x:v>
      </x:c>
      <x:c r="O322" s="23" t="n">
        <x:f>SUM(K322:N322)</x:f>
        <x:v>80</x:v>
      </x:c>
      <x:c r="P322" s="15" t="str">
        <x:f>IF(OR(B322="",E322&lt;=0),"Evidence missing / not eligible",IF(ISNUMBER(SEARCH("priority TBD",Y322)),"Evidence missing / not eligible",IF(AND(H322="Carryover",NOT(ISNUMBER(F322))),"Evidence missing / not eligible",IF(AND(H322="Carryover",G322&lt;'Scenario Controls'!$B$16),"Evidence missing / not eligible",IF(AND(H322="ROI-Based Portfolio",NOT(ISNUMBER(F322))),"Evidence missing / not eligible",IF(AND(H322="ROI-Based Portfolio",O322&lt;'Scenario Controls'!$B$20),"Evidence missing / not eligible","Eligible"))))))</x:f>
        <x:v>Eligible</x:v>
      </x:c>
      <x:c r="Q322" s="19" t="n">
        <x:f>IF(P322&lt;&gt;"Eligible",0,IF(AND(SUMIFS($Q$5:Q321,$H$5:H321,H322)+E322&lt;=(IF(H322="LFR",'Scenario Controls'!$F$10,IF(H322="Sustain Engineering",'Scenario Controls'!$F$11,IF(H322="Hygiene",'Scenario Controls'!$F$12,1E+99))))*(1+'Scenario Controls'!$B$7),SUM($Q$5:Q321)+E322&lt;='Scenario Controls'!$B$6*(1+'Scenario Controls'!$B$7)),E322,0))</x:f>
        <x:v>0.15</x:v>
      </x:c>
      <x:c r="R322" s="24" t="str">
        <x:f>'BU Conference'!G176</x:f>
        <x:v>Automatic</x:v>
      </x:c>
      <x:c r="S322" s="24" t="str">
        <x:f>'BU Conference'!H176</x:f>
      </x:c>
      <x:c r="T322" s="19" t="n">
        <x:f>IF(R322="Exclude",0,IF(R322="Include",E322,Q322))</x:f>
        <x:v>0.15</x:v>
      </x:c>
      <x:c r="U322" s="15" t="str">
        <x:f>IF(T322&gt;0,"Funded",IF(P322="Eligible","Unfunded",P322))</x:f>
        <x:v>Funded</x:v>
      </x:c>
      <x:c r="V322" s="15" t="str">
        <x:f>IF(R322="Include","Conference inclusion: "&amp;S322,IF(R322="Exclude","Conference exclusion: "&amp;S322,IF(Q322&gt;0,H322&amp;" priority rank "&amp;I322&amp;"; whole initiative selected",P322)))</x:f>
        <x:v>ROI-Based Portfolio priority rank 20; whole initiative selected</x:v>
      </x:c>
      <x:c r="W322" s="15" t="str">
        <x:v>Bu!562</x:v>
      </x:c>
      <x:c r="X322" s="15" t="str"/>
      <x:c r="Y322" s="15" t="str"/>
      <x:c r="Z322" s="15" t="str">
        <x:v>New Feature</x:v>
      </x:c>
      <x:c r="AA322" s="15" t="str">
        <x:v>New initiative</x:v>
      </x:c>
      <x:c r="AB322" s="15" t="str">
        <x:v>Commercial IT</x:v>
      </x:c>
      <x:c r="AC322" s="15" t="str">
        <x:v>Critical to support sales growth targets</x:v>
      </x:c>
      <x:c r="AD322" s="15" t="str"/>
      <x:c r="AE322" s="15" t="str"/>
      <x:c r="AF322" s="15" t="str">
        <x:v>Critical to support sales growth targets</x:v>
      </x:c>
      <x:c r="AG322" s="15" t="str">
        <x:v>Must Do</x:v>
      </x:c>
      <x:c r="AH322" s="15" t="n">
        <x:v>434</x:v>
      </x:c>
    </x:row>
    <x:row r="323">
      <x:c r="A323" s="15" t="str">
        <x:v>Bu-73</x:v>
      </x:c>
      <x:c r="B323" s="15" t="str">
        <x:v>IR27#35 - Partner: Scale Impact with Agile Publishing</x:v>
      </x:c>
      <x:c r="C323" s="15" t="str">
        <x:v>BU Led</x:v>
      </x:c>
      <x:c r="D323" s="15" t="str">
        <x:v>International Regions (IR)</x:v>
      </x:c>
      <x:c r="E323" s="19" t="n">
        <x:v>0.05</x:v>
      </x:c>
      <x:c r="F323" s="19" t="n">
        <x:v>5.6</x:v>
      </x:c>
      <x:c r="G323" s="22" t="n">
        <x:f>IF(AND(E323&gt;0,ISNUMBER(F323)),F323/E323,"")</x:f>
        <x:v>111.99999999999999</x:v>
      </x:c>
      <x:c r="H323" s="15" t="str">
        <x:v>ROI-Based Portfolio</x:v>
      </x:c>
      <x:c r="I323" s="15" t="n">
        <x:v>21</x:v>
      </x:c>
      <x:c r="J323" s="15" t="n">
        <x:v>5</x:v>
      </x:c>
      <x:c r="K323" s="23" t="n">
        <x:f>IF(G323="",0,IF(G323&lt;1,0,IF(G323&lt;2,20,IF(G323&lt;3,30,IF(G323&lt;5,40,50)))))*'Scenario Controls'!$B$22/50</x:f>
        <x:v>50</x:v>
      </x:c>
      <x:c r="L323" s="23" t="n">
        <x:f>IF(ISNUMBER(SEARCH("Must Do",AG323)),25,IF(ISNUMBER(SEARCH("Must Have",AG323)),18,IF(ISNUMBER(SEARCH("Deprior",AG323)),5,0)))*'Scenario Controls'!$B$23/25</x:f>
        <x:v>25</x:v>
      </x:c>
      <x:c r="M323" s="23" t="n">
        <x:f>J323*'Scenario Controls'!$B$24/15</x:f>
        <x:v>5</x:v>
      </x:c>
      <x:c r="N323" s="23" t="n">
        <x:f>IF(ISNUMBER(SEARCH("HEALTHY",X323)),10,IF(ISNUMBER(SEARCH("CONTAIN",X323)),6,0))*'Scenario Controls'!$B$25/10</x:f>
        <x:v>0</x:v>
      </x:c>
      <x:c r="O323" s="23" t="n">
        <x:f>SUM(K323:N323)</x:f>
        <x:v>80</x:v>
      </x:c>
      <x:c r="P323" s="15" t="str">
        <x:f>IF(OR(B323="",E323&lt;=0),"Evidence missing / not eligible",IF(ISNUMBER(SEARCH("priority TBD",Y323)),"Evidence missing / not eligible",IF(AND(H323="Carryover",NOT(ISNUMBER(F323))),"Evidence missing / not eligible",IF(AND(H323="Carryover",G323&lt;'Scenario Controls'!$B$16),"Evidence missing / not eligible",IF(AND(H323="ROI-Based Portfolio",NOT(ISNUMBER(F323))),"Evidence missing / not eligible",IF(AND(H323="ROI-Based Portfolio",O323&lt;'Scenario Controls'!$B$20),"Evidence missing / not eligible","Eligible"))))))</x:f>
        <x:v>Eligible</x:v>
      </x:c>
      <x:c r="Q323" s="19" t="n">
        <x:f>IF(P323&lt;&gt;"Eligible",0,IF(AND(SUMIFS($Q$5:Q322,$H$5:H322,H323)+E323&lt;=(IF(H323="LFR",'Scenario Controls'!$F$10,IF(H323="Sustain Engineering",'Scenario Controls'!$F$11,IF(H323="Hygiene",'Scenario Controls'!$F$12,1E+99))))*(1+'Scenario Controls'!$B$7),SUM($Q$5:Q322)+E323&lt;='Scenario Controls'!$B$6*(1+'Scenario Controls'!$B$7)),E323,0))</x:f>
        <x:v>0.05</x:v>
      </x:c>
      <x:c r="R323" s="24" t="str">
        <x:f>'BU Conference'!G177</x:f>
        <x:v>Automatic</x:v>
      </x:c>
      <x:c r="S323" s="24" t="str">
        <x:f>'BU Conference'!H177</x:f>
      </x:c>
      <x:c r="T323" s="19" t="n">
        <x:f>IF(R323="Exclude",0,IF(R323="Include",E323,Q323))</x:f>
        <x:v>0.05</x:v>
      </x:c>
      <x:c r="U323" s="15" t="str">
        <x:f>IF(T323&gt;0,"Funded",IF(P323="Eligible","Unfunded",P323))</x:f>
        <x:v>Funded</x:v>
      </x:c>
      <x:c r="V323" s="15" t="str">
        <x:f>IF(R323="Include","Conference inclusion: "&amp;S323,IF(R323="Exclude","Conference exclusion: "&amp;S323,IF(Q323&gt;0,H323&amp;" priority rank "&amp;I323&amp;"; whole initiative selected",P323)))</x:f>
        <x:v>ROI-Based Portfolio priority rank 21; whole initiative selected</x:v>
      </x:c>
      <x:c r="W323" s="15" t="str">
        <x:v>Bu!179</x:v>
      </x:c>
      <x:c r="X323" s="15" t="str"/>
      <x:c r="Y323" s="15" t="str"/>
      <x:c r="Z323" s="15" t="str">
        <x:v>New Feature</x:v>
      </x:c>
      <x:c r="AA323" s="15" t="str">
        <x:v>New Initiative</x:v>
      </x:c>
      <x:c r="AB323" s="15" t="str">
        <x:v>Innovation and Digital IT</x:v>
      </x:c>
      <x:c r="AC323" s="15" t="str">
        <x:v>Existing content and campaigns continue without new IT investment</x:v>
      </x:c>
      <x:c r="AD323" s="15" t="str">
        <x:v>Marketing content from BUs currently routed via Partner team (congests pipeline of work), delayed execution and more interfaces.</x:v>
      </x:c>
      <x:c r="AE323" s="15" t="str">
        <x:v>Channel Partner business IR / all HS BUs</x:v>
      </x:c>
      <x:c r="AF323" s="15" t="str">
        <x:v>Existing content and campaigns continue without new IT investment | Marketing content from BUs currently routed via Partner team (congests pipeline of work), delayed execution and more interfaces. | Channel Partner business IR / all HS BUs</x:v>
      </x:c>
      <x:c r="AG323" s="15" t="str">
        <x:v>Must Do</x:v>
      </x:c>
      <x:c r="AH323" s="15" t="n">
        <x:v>250</x:v>
      </x:c>
    </x:row>
    <x:row r="324">
      <x:c r="A324" s="15" t="str">
        <x:v>Bu-71</x:v>
      </x:c>
      <x:c r="B324" s="15" t="str">
        <x:v>IR27#33 - Partner Data towards Commercial Action</x:v>
      </x:c>
      <x:c r="C324" s="15" t="str">
        <x:v>BU Led</x:v>
      </x:c>
      <x:c r="D324" s="15" t="str">
        <x:v>International Regions (IR)</x:v>
      </x:c>
      <x:c r="E324" s="19" t="n">
        <x:v>0.14</x:v>
      </x:c>
      <x:c r="F324" s="19" t="n">
        <x:v>11.9</x:v>
      </x:c>
      <x:c r="G324" s="22" t="n">
        <x:f>IF(AND(E324&gt;0,ISNUMBER(F324)),F324/E324,"")</x:f>
        <x:v>85</x:v>
      </x:c>
      <x:c r="H324" s="15" t="str">
        <x:v>ROI-Based Portfolio</x:v>
      </x:c>
      <x:c r="I324" s="15" t="n">
        <x:v>22</x:v>
      </x:c>
      <x:c r="J324" s="15" t="n">
        <x:v>5</x:v>
      </x:c>
      <x:c r="K324" s="23" t="n">
        <x:f>IF(G324="",0,IF(G324&lt;1,0,IF(G324&lt;2,20,IF(G324&lt;3,30,IF(G324&lt;5,40,50)))))*'Scenario Controls'!$B$22/50</x:f>
        <x:v>50</x:v>
      </x:c>
      <x:c r="L324" s="23" t="n">
        <x:f>IF(ISNUMBER(SEARCH("Must Do",AG324)),25,IF(ISNUMBER(SEARCH("Must Have",AG324)),18,IF(ISNUMBER(SEARCH("Deprior",AG324)),5,0)))*'Scenario Controls'!$B$23/25</x:f>
        <x:v>25</x:v>
      </x:c>
      <x:c r="M324" s="23" t="n">
        <x:f>J324*'Scenario Controls'!$B$24/15</x:f>
        <x:v>5</x:v>
      </x:c>
      <x:c r="N324" s="23" t="n">
        <x:f>IF(ISNUMBER(SEARCH("HEALTHY",X324)),10,IF(ISNUMBER(SEARCH("CONTAIN",X324)),6,0))*'Scenario Controls'!$B$25/10</x:f>
        <x:v>0</x:v>
      </x:c>
      <x:c r="O324" s="23" t="n">
        <x:f>SUM(K324:N324)</x:f>
        <x:v>80</x:v>
      </x:c>
      <x:c r="P324" s="15" t="str">
        <x:f>IF(OR(B324="",E324&lt;=0),"Evidence missing / not eligible",IF(ISNUMBER(SEARCH("priority TBD",Y324)),"Evidence missing / not eligible",IF(AND(H324="Carryover",NOT(ISNUMBER(F324))),"Evidence missing / not eligible",IF(AND(H324="Carryover",G324&lt;'Scenario Controls'!$B$16),"Evidence missing / not eligible",IF(AND(H324="ROI-Based Portfolio",NOT(ISNUMBER(F324))),"Evidence missing / not eligible",IF(AND(H324="ROI-Based Portfolio",O324&lt;'Scenario Controls'!$B$20),"Evidence missing / not eligible","Eligible"))))))</x:f>
        <x:v>Eligible</x:v>
      </x:c>
      <x:c r="Q324" s="19" t="n">
        <x:f>IF(P324&lt;&gt;"Eligible",0,IF(AND(SUMIFS($Q$5:Q323,$H$5:H323,H324)+E324&lt;=(IF(H324="LFR",'Scenario Controls'!$F$10,IF(H324="Sustain Engineering",'Scenario Controls'!$F$11,IF(H324="Hygiene",'Scenario Controls'!$F$12,1E+99))))*(1+'Scenario Controls'!$B$7),SUM($Q$5:Q323)+E324&lt;='Scenario Controls'!$B$6*(1+'Scenario Controls'!$B$7)),E324,0))</x:f>
        <x:v>0.14</x:v>
      </x:c>
      <x:c r="R324" s="24" t="str">
        <x:f>'BU Conference'!G178</x:f>
        <x:v>Automatic</x:v>
      </x:c>
      <x:c r="S324" s="24" t="str">
        <x:f>'BU Conference'!H178</x:f>
      </x:c>
      <x:c r="T324" s="19" t="n">
        <x:f>IF(R324="Exclude",0,IF(R324="Include",E324,Q324))</x:f>
        <x:v>0.14</x:v>
      </x:c>
      <x:c r="U324" s="15" t="str">
        <x:f>IF(T324&gt;0,"Funded",IF(P324="Eligible","Unfunded",P324))</x:f>
        <x:v>Funded</x:v>
      </x:c>
      <x:c r="V324" s="15" t="str">
        <x:f>IF(R324="Include","Conference inclusion: "&amp;S324,IF(R324="Exclude","Conference exclusion: "&amp;S324,IF(Q324&gt;0,H324&amp;" priority rank "&amp;I324&amp;"; whole initiative selected",P324)))</x:f>
        <x:v>ROI-Based Portfolio priority rank 22; whole initiative selected</x:v>
      </x:c>
      <x:c r="W324" s="15" t="str">
        <x:v>Bu!171</x:v>
      </x:c>
      <x:c r="X324" s="15" t="str"/>
      <x:c r="Y324" s="15" t="str"/>
      <x:c r="Z324" s="15" t="str">
        <x:v>New Feature</x:v>
      </x:c>
      <x:c r="AA324" s="15" t="str">
        <x:v>New Initiative</x:v>
      </x:c>
      <x:c r="AB324" s="15" t="str">
        <x:v>Innovation and Digital IT</x:v>
      </x:c>
      <x:c r="AC324" s="15" t="str">
        <x:v>Existing reports and local analysis continue without new IT</x:v>
      </x:c>
      <x:c r="AD324" s="15" t="str">
        <x:v>Leverage of data as information for commercial decision making allows further growth, also tuned towards Channel Partner needs</x:v>
      </x:c>
      <x:c r="AE324" s="15" t="str">
        <x:v>Channel Partner business IR / all HS BUs</x:v>
      </x:c>
      <x:c r="AF324" s="15" t="str">
        <x:v>Existing reports and local analysis continue without new IT | Leverage of data as information for commercial decision making allows further growth, also tuned towards Channel Partner needs | Channel Partner business IR / all HS BUs</x:v>
      </x:c>
      <x:c r="AG324" s="15" t="str">
        <x:v>Must Do</x:v>
      </x:c>
      <x:c r="AH324" s="15" t="n">
        <x:v>248</x:v>
      </x:c>
    </x:row>
    <x:row r="325">
      <x:c r="A325" s="15" t="str">
        <x:v>Bu-70</x:v>
      </x:c>
      <x:c r="B325" s="15" t="str">
        <x:v>IR27#32 - Partner Journeys to Drive Value Extraction</x:v>
      </x:c>
      <x:c r="C325" s="15" t="str">
        <x:v>BU Led</x:v>
      </x:c>
      <x:c r="D325" s="15" t="str">
        <x:v>International Regions (IR)</x:v>
      </x:c>
      <x:c r="E325" s="19" t="n">
        <x:v>0.27</x:v>
      </x:c>
      <x:c r="F325" s="19" t="n">
        <x:v>11.3</x:v>
      </x:c>
      <x:c r="G325" s="22" t="n">
        <x:f>IF(AND(E325&gt;0,ISNUMBER(F325)),F325/E325,"")</x:f>
        <x:v>41.851851851851855</x:v>
      </x:c>
      <x:c r="H325" s="15" t="str">
        <x:v>ROI-Based Portfolio</x:v>
      </x:c>
      <x:c r="I325" s="15" t="n">
        <x:v>23</x:v>
      </x:c>
      <x:c r="J325" s="15" t="n">
        <x:v>5</x:v>
      </x:c>
      <x:c r="K325" s="23" t="n">
        <x:f>IF(G325="",0,IF(G325&lt;1,0,IF(G325&lt;2,20,IF(G325&lt;3,30,IF(G325&lt;5,40,50)))))*'Scenario Controls'!$B$22/50</x:f>
        <x:v>50</x:v>
      </x:c>
      <x:c r="L325" s="23" t="n">
        <x:f>IF(ISNUMBER(SEARCH("Must Do",AG325)),25,IF(ISNUMBER(SEARCH("Must Have",AG325)),18,IF(ISNUMBER(SEARCH("Deprior",AG325)),5,0)))*'Scenario Controls'!$B$23/25</x:f>
        <x:v>25</x:v>
      </x:c>
      <x:c r="M325" s="23" t="n">
        <x:f>J325*'Scenario Controls'!$B$24/15</x:f>
        <x:v>5</x:v>
      </x:c>
      <x:c r="N325" s="23" t="n">
        <x:f>IF(ISNUMBER(SEARCH("HEALTHY",X325)),10,IF(ISNUMBER(SEARCH("CONTAIN",X325)),6,0))*'Scenario Controls'!$B$25/10</x:f>
        <x:v>0</x:v>
      </x:c>
      <x:c r="O325" s="23" t="n">
        <x:f>SUM(K325:N325)</x:f>
        <x:v>80</x:v>
      </x:c>
      <x:c r="P325" s="15" t="str">
        <x:f>IF(OR(B325="",E325&lt;=0),"Evidence missing / not eligible",IF(ISNUMBER(SEARCH("priority TBD",Y325)),"Evidence missing / not eligible",IF(AND(H325="Carryover",NOT(ISNUMBER(F325))),"Evidence missing / not eligible",IF(AND(H325="Carryover",G325&lt;'Scenario Controls'!$B$16),"Evidence missing / not eligible",IF(AND(H325="ROI-Based Portfolio",NOT(ISNUMBER(F325))),"Evidence missing / not eligible",IF(AND(H325="ROI-Based Portfolio",O325&lt;'Scenario Controls'!$B$20),"Evidence missing / not eligible","Eligible"))))))</x:f>
        <x:v>Eligible</x:v>
      </x:c>
      <x:c r="Q325" s="19" t="n">
        <x:f>IF(P325&lt;&gt;"Eligible",0,IF(AND(SUMIFS($Q$5:Q324,$H$5:H324,H325)+E325&lt;=(IF(H325="LFR",'Scenario Controls'!$F$10,IF(H325="Sustain Engineering",'Scenario Controls'!$F$11,IF(H325="Hygiene",'Scenario Controls'!$F$12,1E+99))))*(1+'Scenario Controls'!$B$7),SUM($Q$5:Q324)+E325&lt;='Scenario Controls'!$B$6*(1+'Scenario Controls'!$B$7)),E325,0))</x:f>
        <x:v>0.27</x:v>
      </x:c>
      <x:c r="R325" s="24" t="str">
        <x:f>'BU Conference'!G179</x:f>
        <x:v>Automatic</x:v>
      </x:c>
      <x:c r="S325" s="24" t="str">
        <x:f>'BU Conference'!H179</x:f>
      </x:c>
      <x:c r="T325" s="19" t="n">
        <x:f>IF(R325="Exclude",0,IF(R325="Include",E325,Q325))</x:f>
        <x:v>0.27</x:v>
      </x:c>
      <x:c r="U325" s="15" t="str">
        <x:f>IF(T325&gt;0,"Funded",IF(P325="Eligible","Unfunded",P325))</x:f>
        <x:v>Funded</x:v>
      </x:c>
      <x:c r="V325" s="15" t="str">
        <x:f>IF(R325="Include","Conference inclusion: "&amp;S325,IF(R325="Exclude","Conference exclusion: "&amp;S325,IF(Q325&gt;0,H325&amp;" priority rank "&amp;I325&amp;"; whole initiative selected",P325)))</x:f>
        <x:v>ROI-Based Portfolio priority rank 23; whole initiative selected</x:v>
      </x:c>
      <x:c r="W325" s="15" t="str">
        <x:v>Bu!167</x:v>
      </x:c>
      <x:c r="X325" s="15" t="str"/>
      <x:c r="Y325" s="15" t="str"/>
      <x:c r="Z325" s="15" t="str">
        <x:v>New Feature</x:v>
      </x:c>
      <x:c r="AA325" s="15" t="str">
        <x:v>New Initiative</x:v>
      </x:c>
      <x:c r="AB325" s="15" t="str">
        <x:v>Innovation and Digital IT</x:v>
      </x:c>
      <x:c r="AC325" s="15" t="str">
        <x:v>Baseline traffic and existing campaigns continue without new IT</x:v>
      </x:c>
      <x:c r="AD325" s="15" t="str">
        <x:v>Ease of use and also proactive nudging of partners enables further business opportunities for them and hence Philips</x:v>
      </x:c>
      <x:c r="AE325" s="15" t="str">
        <x:v>Channel Partner business IR / all HS BUs</x:v>
      </x:c>
      <x:c r="AF325" s="15" t="str">
        <x:v>Baseline traffic and existing campaigns continue without new IT | Ease of use and also proactive nudging of partners enables further business opportunities for them and hence Philips | Channel Partner business IR / all HS BUs</x:v>
      </x:c>
      <x:c r="AG325" s="15" t="str">
        <x:v>Must Do</x:v>
      </x:c>
      <x:c r="AH325" s="15" t="n">
        <x:v>247</x:v>
      </x:c>
    </x:row>
    <x:row r="326">
      <x:c r="A326" s="15" t="str">
        <x:v>Bu-127</x:v>
      </x:c>
      <x:c r="B326" s="15" t="str">
        <x:v>Probe Repair</x:v>
      </x:c>
      <x:c r="C326" s="15" t="str">
        <x:v>BU Led</x:v>
      </x:c>
      <x:c r="D326" s="15" t="str">
        <x:v>Precision Diagnosis - Ultrasound (PDU)</x:v>
      </x:c>
      <x:c r="E326" s="19" t="n">
        <x:v>0.25</x:v>
      </x:c>
      <x:c r="F326" s="19" t="n">
        <x:v>8</x:v>
      </x:c>
      <x:c r="G326" s="22" t="n">
        <x:f>IF(AND(E326&gt;0,ISNUMBER(F326)),F326/E326,"")</x:f>
        <x:v>32</x:v>
      </x:c>
      <x:c r="H326" s="15" t="str">
        <x:v>ROI-Based Portfolio</x:v>
      </x:c>
      <x:c r="I326" s="15" t="n">
        <x:v>24</x:v>
      </x:c>
      <x:c r="J326" s="15" t="n">
        <x:v>5</x:v>
      </x:c>
      <x:c r="K326" s="23" t="n">
        <x:f>IF(G326="",0,IF(G326&lt;1,0,IF(G326&lt;2,20,IF(G326&lt;3,30,IF(G326&lt;5,40,50)))))*'Scenario Controls'!$B$22/50</x:f>
        <x:v>50</x:v>
      </x:c>
      <x:c r="L326" s="23" t="n">
        <x:f>IF(ISNUMBER(SEARCH("Must Do",AG326)),25,IF(ISNUMBER(SEARCH("Must Have",AG326)),18,IF(ISNUMBER(SEARCH("Deprior",AG326)),5,0)))*'Scenario Controls'!$B$23/25</x:f>
        <x:v>25</x:v>
      </x:c>
      <x:c r="M326" s="23" t="n">
        <x:f>J326*'Scenario Controls'!$B$24/15</x:f>
        <x:v>5</x:v>
      </x:c>
      <x:c r="N326" s="23" t="n">
        <x:f>IF(ISNUMBER(SEARCH("HEALTHY",X326)),10,IF(ISNUMBER(SEARCH("CONTAIN",X326)),6,0))*'Scenario Controls'!$B$25/10</x:f>
        <x:v>0</x:v>
      </x:c>
      <x:c r="O326" s="23" t="n">
        <x:f>SUM(K326:N326)</x:f>
        <x:v>80</x:v>
      </x:c>
      <x:c r="P326" s="15" t="str">
        <x:f>IF(OR(B326="",E326&lt;=0),"Evidence missing / not eligible",IF(ISNUMBER(SEARCH("priority TBD",Y326)),"Evidence missing / not eligible",IF(AND(H326="Carryover",NOT(ISNUMBER(F326))),"Evidence missing / not eligible",IF(AND(H326="Carryover",G326&lt;'Scenario Controls'!$B$16),"Evidence missing / not eligible",IF(AND(H326="ROI-Based Portfolio",NOT(ISNUMBER(F326))),"Evidence missing / not eligible",IF(AND(H326="ROI-Based Portfolio",O326&lt;'Scenario Controls'!$B$20),"Evidence missing / not eligible","Eligible"))))))</x:f>
        <x:v>Eligible</x:v>
      </x:c>
      <x:c r="Q326" s="19" t="n">
        <x:f>IF(P326&lt;&gt;"Eligible",0,IF(AND(SUMIFS($Q$5:Q325,$H$5:H325,H326)+E326&lt;=(IF(H326="LFR",'Scenario Controls'!$F$10,IF(H326="Sustain Engineering",'Scenario Controls'!$F$11,IF(H326="Hygiene",'Scenario Controls'!$F$12,1E+99))))*(1+'Scenario Controls'!$B$7),SUM($Q$5:Q325)+E326&lt;='Scenario Controls'!$B$6*(1+'Scenario Controls'!$B$7)),E326,0))</x:f>
        <x:v>0.25</x:v>
      </x:c>
      <x:c r="R326" s="24" t="str">
        <x:f>'BU Conference'!G180</x:f>
        <x:v>Automatic</x:v>
      </x:c>
      <x:c r="S326" s="24" t="str">
        <x:f>'BU Conference'!H180</x:f>
      </x:c>
      <x:c r="T326" s="19" t="n">
        <x:f>IF(R326="Exclude",0,IF(R326="Include",E326,Q326))</x:f>
        <x:v>0.25</x:v>
      </x:c>
      <x:c r="U326" s="15" t="str">
        <x:f>IF(T326&gt;0,"Funded",IF(P326="Eligible","Unfunded",P326))</x:f>
        <x:v>Funded</x:v>
      </x:c>
      <x:c r="V326" s="15" t="str">
        <x:f>IF(R326="Include","Conference inclusion: "&amp;S326,IF(R326="Exclude","Conference exclusion: "&amp;S326,IF(Q326&gt;0,H326&amp;" priority rank "&amp;I326&amp;"; whole initiative selected",P326)))</x:f>
        <x:v>ROI-Based Portfolio priority rank 24; whole initiative selected</x:v>
      </x:c>
      <x:c r="W326" s="15" t="str">
        <x:v>Bu!304</x:v>
      </x:c>
      <x:c r="X326" s="15" t="str"/>
      <x:c r="Y326" s="15" t="str"/>
      <x:c r="Z326" s="15" t="str">
        <x:v>New Feature</x:v>
      </x:c>
      <x:c r="AA326" s="15" t="str">
        <x:v>Delayed</x:v>
      </x:c>
      <x:c r="AB326" s="15" t="str">
        <x:v>Services &amp; Solutions IT</x:v>
      </x:c>
      <x:c r="AC326" s="15" t="str"/>
      <x:c r="AD326" s="15" t="str">
        <x:v>Objective of the program is to increase contract penetration by targeting Winback Customers that are utilizing 3rd-party repair services and/or Customers with little to no service spend.</x:v>
      </x:c>
      <x:c r="AE326" s="15" t="str">
        <x:v>3rd-party repair services and/or Customers with little to no service spend.</x:v>
      </x:c>
      <x:c r="AF326" s="15" t="str">
        <x:v>Objective of the program is to increase contract penetration by targeting Winback Customers that are utilizing 3rd-party repair services and/or Customers with little to no service spend. | 3rd-party repair services and/or Customers with little to no service spend.</x:v>
      </x:c>
      <x:c r="AG326" s="15" t="str">
        <x:v>Must Do</x:v>
      </x:c>
      <x:c r="AH326" s="15" t="n">
        <x:v>304</x:v>
      </x:c>
    </x:row>
    <x:row r="327">
      <x:c r="A327" s="15" t="str">
        <x:v>Bu-114</x:v>
      </x:c>
      <x:c r="B327" s="15" t="str">
        <x:v>Project Keystone 2027</x:v>
      </x:c>
      <x:c r="C327" s="15" t="str">
        <x:v>BU Led</x:v>
      </x:c>
      <x:c r="D327" s="15" t="str">
        <x:v>Sleep &amp; Respiratory Care (SRC)</x:v>
      </x:c>
      <x:c r="E327" s="19" t="n">
        <x:v>0.6</x:v>
      </x:c>
      <x:c r="F327" s="19" t="n">
        <x:v>1.8</x:v>
      </x:c>
      <x:c r="G327" s="22" t="n">
        <x:f>IF(AND(E327&gt;0,ISNUMBER(F327)),F327/E327,"")</x:f>
        <x:v>3</x:v>
      </x:c>
      <x:c r="H327" s="15" t="str">
        <x:v>ROI-Based Portfolio</x:v>
      </x:c>
      <x:c r="I327" s="15" t="n">
        <x:v>25</x:v>
      </x:c>
      <x:c r="J327" s="15" t="n">
        <x:v>15</x:v>
      </x:c>
      <x:c r="K327" s="23" t="n">
        <x:f>IF(G327="",0,IF(G327&lt;1,0,IF(G327&lt;2,20,IF(G327&lt;3,30,IF(G327&lt;5,40,50)))))*'Scenario Controls'!$B$22/50</x:f>
        <x:v>40</x:v>
      </x:c>
      <x:c r="L327" s="23" t="n">
        <x:f>IF(ISNUMBER(SEARCH("Must Do",AG327)),25,IF(ISNUMBER(SEARCH("Must Have",AG327)),18,IF(ISNUMBER(SEARCH("Deprior",AG327)),5,0)))*'Scenario Controls'!$B$23/25</x:f>
        <x:v>25</x:v>
      </x:c>
      <x:c r="M327" s="23" t="n">
        <x:f>J327*'Scenario Controls'!$B$24/15</x:f>
        <x:v>15</x:v>
      </x:c>
      <x:c r="N327" s="23" t="n">
        <x:f>IF(ISNUMBER(SEARCH("HEALTHY",X327)),10,IF(ISNUMBER(SEARCH("CONTAIN",X327)),6,0))*'Scenario Controls'!$B$25/10</x:f>
        <x:v>0</x:v>
      </x:c>
      <x:c r="O327" s="23" t="n">
        <x:f>SUM(K327:N327)</x:f>
        <x:v>80</x:v>
      </x:c>
      <x:c r="P327" s="15" t="str">
        <x:f>IF(OR(B327="",E327&lt;=0),"Evidence missing / not eligible",IF(ISNUMBER(SEARCH("priority TBD",Y327)),"Evidence missing / not eligible",IF(AND(H327="Carryover",NOT(ISNUMBER(F327))),"Evidence missing / not eligible",IF(AND(H327="Carryover",G327&lt;'Scenario Controls'!$B$16),"Evidence missing / not eligible",IF(AND(H327="ROI-Based Portfolio",NOT(ISNUMBER(F327))),"Evidence missing / not eligible",IF(AND(H327="ROI-Based Portfolio",O327&lt;'Scenario Controls'!$B$20),"Evidence missing / not eligible","Eligible"))))))</x:f>
        <x:v>Eligible</x:v>
      </x:c>
      <x:c r="Q327" s="19" t="n">
        <x:f>IF(P327&lt;&gt;"Eligible",0,IF(AND(SUMIFS($Q$5:Q326,$H$5:H326,H327)+E327&lt;=(IF(H327="LFR",'Scenario Controls'!$F$10,IF(H327="Sustain Engineering",'Scenario Controls'!$F$11,IF(H327="Hygiene",'Scenario Controls'!$F$12,1E+99))))*(1+'Scenario Controls'!$B$7),SUM($Q$5:Q326)+E327&lt;='Scenario Controls'!$B$6*(1+'Scenario Controls'!$B$7)),E327,0))</x:f>
        <x:v>0.6</x:v>
      </x:c>
      <x:c r="R327" s="24" t="str">
        <x:f>'BU Conference'!G181</x:f>
        <x:v>Automatic</x:v>
      </x:c>
      <x:c r="S327" s="24" t="str">
        <x:f>'BU Conference'!H181</x:f>
      </x:c>
      <x:c r="T327" s="19" t="n">
        <x:f>IF(R327="Exclude",0,IF(R327="Include",E327,Q327))</x:f>
        <x:v>0.6</x:v>
      </x:c>
      <x:c r="U327" s="15" t="str">
        <x:f>IF(T327&gt;0,"Funded",IF(P327="Eligible","Unfunded",P327))</x:f>
        <x:v>Funded</x:v>
      </x:c>
      <x:c r="V327" s="15" t="str">
        <x:f>IF(R327="Include","Conference inclusion: "&amp;S327,IF(R327="Exclude","Conference exclusion: "&amp;S327,IF(Q327&gt;0,H327&amp;" priority rank "&amp;I327&amp;"; whole initiative selected",P327)))</x:f>
        <x:v>ROI-Based Portfolio priority rank 25; whole initiative selected</x:v>
      </x:c>
      <x:c r="W327" s="15" t="str">
        <x:v>Bu!275</x:v>
      </x:c>
      <x:c r="X327" s="15" t="str"/>
      <x:c r="Y327" s="15" t="str"/>
      <x:c r="Z327" s="15" t="str">
        <x:v>New Feature</x:v>
      </x:c>
      <x:c r="AA327" s="15" t="str">
        <x:v>New Initiative</x:v>
      </x:c>
      <x:c r="AB327" s="15" t="str">
        <x:v>Enterprise Architecture, Data &amp; Integration</x:v>
      </x:c>
      <x:c r="AC327" s="15" t="str">
        <x:v>Direct impact on our NA Comeback program which targets revenue growth of 300-500 M over next 2 years</x:v>
      </x:c>
      <x:c r="AD327" s="15" t="str">
        <x:v>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x:v>
      </x:c>
      <x:c r="AE327" s="15" t="str">
        <x:v>. Agentic AI Platform Setup</x:v>
      </x:c>
      <x:c r="AF327" s="15" t="str">
        <x:v>Direct impact on our NA Comeback program which targets revenue growth of 300-500 M over next 2 years |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 . Agentic AI Platform Setup</x:v>
      </x:c>
      <x:c r="AG327" s="15" t="str">
        <x:v>Must Do</x:v>
      </x:c>
      <x:c r="AH327" s="15" t="n">
        <x:v>291</x:v>
      </x:c>
    </x:row>
    <x:row r="328">
      <x:c r="A328" s="15" t="str">
        <x:v>Bu-113</x:v>
      </x:c>
      <x:c r="B328" s="15" t="str">
        <x:v>Sales &amp; Marketing Transformation 2027</x:v>
      </x:c>
      <x:c r="C328" s="15" t="str">
        <x:v>BU Led</x:v>
      </x:c>
      <x:c r="D328" s="15" t="str">
        <x:v>Sleep &amp; Respiratory Care (SRC)</x:v>
      </x:c>
      <x:c r="E328" s="19" t="n">
        <x:v>0.501</x:v>
      </x:c>
      <x:c r="F328" s="19" t="n">
        <x:v>1.7</x:v>
      </x:c>
      <x:c r="G328" s="22" t="n">
        <x:f>IF(AND(E328&gt;0,ISNUMBER(F328)),F328/E328,"")</x:f>
        <x:v>3.3932135728542914</x:v>
      </x:c>
      <x:c r="H328" s="15" t="str">
        <x:v>ROI-Based Portfolio</x:v>
      </x:c>
      <x:c r="I328" s="15" t="n">
        <x:v>26</x:v>
      </x:c>
      <x:c r="J328" s="15" t="n">
        <x:v>10</x:v>
      </x:c>
      <x:c r="K328" s="23" t="n">
        <x:f>IF(G328="",0,IF(G328&lt;1,0,IF(G328&lt;2,20,IF(G328&lt;3,30,IF(G328&lt;5,40,50)))))*'Scenario Controls'!$B$22/50</x:f>
        <x:v>40</x:v>
      </x:c>
      <x:c r="L328" s="23" t="n">
        <x:f>IF(ISNUMBER(SEARCH("Must Do",AG328)),25,IF(ISNUMBER(SEARCH("Must Have",AG328)),18,IF(ISNUMBER(SEARCH("Deprior",AG328)),5,0)))*'Scenario Controls'!$B$23/25</x:f>
        <x:v>25</x:v>
      </x:c>
      <x:c r="M328" s="23" t="n">
        <x:f>J328*'Scenario Controls'!$B$24/15</x:f>
        <x:v>10</x:v>
      </x:c>
      <x:c r="N328" s="23" t="n">
        <x:f>IF(ISNUMBER(SEARCH("HEALTHY",X328)),10,IF(ISNUMBER(SEARCH("CONTAIN",X328)),6,0))*'Scenario Controls'!$B$25/10</x:f>
        <x:v>0</x:v>
      </x:c>
      <x:c r="O328" s="23" t="n">
        <x:f>SUM(K328:N328)</x:f>
        <x:v>75</x:v>
      </x:c>
      <x:c r="P328" s="15" t="str">
        <x:f>IF(OR(B328="",E328&lt;=0),"Evidence missing / not eligible",IF(ISNUMBER(SEARCH("priority TBD",Y328)),"Evidence missing / not eligible",IF(AND(H328="Carryover",NOT(ISNUMBER(F328))),"Evidence missing / not eligible",IF(AND(H328="Carryover",G328&lt;'Scenario Controls'!$B$16),"Evidence missing / not eligible",IF(AND(H328="ROI-Based Portfolio",NOT(ISNUMBER(F328))),"Evidence missing / not eligible",IF(AND(H328="ROI-Based Portfolio",O328&lt;'Scenario Controls'!$B$20),"Evidence missing / not eligible","Eligible"))))))</x:f>
        <x:v>Eligible</x:v>
      </x:c>
      <x:c r="Q328" s="19" t="n">
        <x:f>IF(P328&lt;&gt;"Eligible",0,IF(AND(SUMIFS($Q$5:Q327,$H$5:H327,H328)+E328&lt;=(IF(H328="LFR",'Scenario Controls'!$F$10,IF(H328="Sustain Engineering",'Scenario Controls'!$F$11,IF(H328="Hygiene",'Scenario Controls'!$F$12,1E+99))))*(1+'Scenario Controls'!$B$7),SUM($Q$5:Q327)+E328&lt;='Scenario Controls'!$B$6*(1+'Scenario Controls'!$B$7)),E328,0))</x:f>
        <x:v>0.501</x:v>
      </x:c>
      <x:c r="R328" s="24" t="str">
        <x:f>'BU Conference'!G182</x:f>
        <x:v>Automatic</x:v>
      </x:c>
      <x:c r="S328" s="24" t="str">
        <x:f>'BU Conference'!H182</x:f>
      </x:c>
      <x:c r="T328" s="19" t="n">
        <x:f>IF(R328="Exclude",0,IF(R328="Include",E328,Q328))</x:f>
        <x:v>0.501</x:v>
      </x:c>
      <x:c r="U328" s="15" t="str">
        <x:f>IF(T328&gt;0,"Funded",IF(P328="Eligible","Unfunded",P328))</x:f>
        <x:v>Funded</x:v>
      </x:c>
      <x:c r="V328" s="15" t="str">
        <x:f>IF(R328="Include","Conference inclusion: "&amp;S328,IF(R328="Exclude","Conference exclusion: "&amp;S328,IF(Q328&gt;0,H328&amp;" priority rank "&amp;I328&amp;"; whole initiative selected",P328)))</x:f>
        <x:v>ROI-Based Portfolio priority rank 26; whole initiative selected</x:v>
      </x:c>
      <x:c r="W328" s="15" t="str">
        <x:v>Bu!265</x:v>
      </x:c>
      <x:c r="X328" s="15" t="str"/>
      <x:c r="Y328" s="15" t="str"/>
      <x:c r="Z328" s="15" t="str">
        <x:v>New Feature</x:v>
      </x:c>
      <x:c r="AA328" s="15" t="str">
        <x:v>New Initiative</x:v>
      </x:c>
      <x:c r="AB328" s="15" t="str">
        <x:v>Enterprise Architecture, Data &amp; Integration</x:v>
      </x:c>
      <x:c r="AC328" s="15" t="str">
        <x:v>Critical for achieving our SPOR objective of driving margin (IR) improvement and revenue growth through AI-led, data-driven pricing decisions; we will miss our SPOR targets</x:v>
      </x:c>
      <x:c r="AD328" s="15" t="str">
        <x:v>Fundamental governed digital catalog with core product data and content</x:v>
      </x:c>
      <x:c r="AE328" s="15" t="str">
        <x:v>Competitive Intelligence Command Center</x:v>
      </x:c>
      <x:c r="AF328" s="15" t="str">
        <x:v>Critical for achieving our SPOR objective of driving margin (IR) improvement and revenue growth through AI-led, data-driven pricing decisions; we will miss our SPOR targets | Fundamental governed digital catalog with core product data and content | Competitive Intelligence Command Center</x:v>
      </x:c>
      <x:c r="AG328" s="15" t="str">
        <x:v>Must Do</x:v>
      </x:c>
      <x:c r="AH328" s="15" t="n">
        <x:v>290</x:v>
      </x:c>
    </x:row>
    <x:row r="329">
      <x:c r="A329" s="15" t="str">
        <x:v>Bu-03</x:v>
      </x:c>
      <x:c r="B329" s="15" t="str">
        <x:v>Service CLV (TechMax Enablement and eZCQ workflow with EMO integration, Rmeote Software Distribution Workflow), Complete NPSC requested by Service ISC</x:v>
      </x:c>
      <x:c r="C329" s="15" t="str">
        <x:v>BU Led</x:v>
      </x:c>
      <x:c r="D329" s="15" t="str">
        <x:v>Greater China (GRC)</x:v>
      </x:c>
      <x:c r="E329" s="19" t="n">
        <x:v>0.4</x:v>
      </x:c>
      <x:c r="F329" s="19" t="n">
        <x:v>2</x:v>
      </x:c>
      <x:c r="G329" s="22" t="n">
        <x:f>IF(AND(E329&gt;0,ISNUMBER(F329)),F329/E329,"")</x:f>
        <x:v>5</x:v>
      </x:c>
      <x:c r="H329" s="15" t="str">
        <x:v>ROI-Based Portfolio</x:v>
      </x:c>
      <x:c r="I329" s="15" t="n">
        <x:v>27</x:v>
      </x:c>
      <x:c r="J329" s="15" t="n">
        <x:v>5</x:v>
      </x:c>
      <x:c r="K329" s="23" t="n">
        <x:f>IF(G329="",0,IF(G329&lt;1,0,IF(G329&lt;2,20,IF(G329&lt;3,30,IF(G329&lt;5,40,50)))))*'Scenario Controls'!$B$22/50</x:f>
        <x:v>50</x:v>
      </x:c>
      <x:c r="L329" s="23" t="n">
        <x:f>IF(ISNUMBER(SEARCH("Must Do",AG329)),25,IF(ISNUMBER(SEARCH("Must Have",AG329)),18,IF(ISNUMBER(SEARCH("Deprior",AG329)),5,0)))*'Scenario Controls'!$B$23/25</x:f>
        <x:v>18</x:v>
      </x:c>
      <x:c r="M329" s="23" t="n">
        <x:f>J329*'Scenario Controls'!$B$24/15</x:f>
        <x:v>5</x:v>
      </x:c>
      <x:c r="N329" s="23" t="n">
        <x:f>IF(ISNUMBER(SEARCH("HEALTHY",X329)),10,IF(ISNUMBER(SEARCH("CONTAIN",X329)),6,0))*'Scenario Controls'!$B$25/10</x:f>
        <x:v>0</x:v>
      </x:c>
      <x:c r="O329" s="23" t="n">
        <x:f>SUM(K329:N329)</x:f>
        <x:v>73</x:v>
      </x:c>
      <x:c r="P329" s="15" t="str">
        <x:f>IF(OR(B329="",E329&lt;=0),"Evidence missing / not eligible",IF(ISNUMBER(SEARCH("priority TBD",Y329)),"Evidence missing / not eligible",IF(AND(H329="Carryover",NOT(ISNUMBER(F329))),"Evidence missing / not eligible",IF(AND(H329="Carryover",G329&lt;'Scenario Controls'!$B$16),"Evidence missing / not eligible",IF(AND(H329="ROI-Based Portfolio",NOT(ISNUMBER(F329))),"Evidence missing / not eligible",IF(AND(H329="ROI-Based Portfolio",O329&lt;'Scenario Controls'!$B$20),"Evidence missing / not eligible","Eligible"))))))</x:f>
        <x:v>Eligible</x:v>
      </x:c>
      <x:c r="Q329" s="19" t="n">
        <x:f>IF(P329&lt;&gt;"Eligible",0,IF(AND(SUMIFS($Q$5:Q328,$H$5:H328,H329)+E329&lt;=(IF(H329="LFR",'Scenario Controls'!$F$10,IF(H329="Sustain Engineering",'Scenario Controls'!$F$11,IF(H329="Hygiene",'Scenario Controls'!$F$12,1E+99))))*(1+'Scenario Controls'!$B$7),SUM($Q$5:Q328)+E329&lt;='Scenario Controls'!$B$6*(1+'Scenario Controls'!$B$7)),E329,0))</x:f>
        <x:v>0.4</x:v>
      </x:c>
      <x:c r="R329" s="24" t="str">
        <x:f>'BU Conference'!G183</x:f>
        <x:v>Automatic</x:v>
      </x:c>
      <x:c r="S329" s="24" t="str">
        <x:f>'BU Conference'!H183</x:f>
      </x:c>
      <x:c r="T329" s="19" t="n">
        <x:f>IF(R329="Exclude",0,IF(R329="Include",E329,Q329))</x:f>
        <x:v>0.4</x:v>
      </x:c>
      <x:c r="U329" s="15" t="str">
        <x:f>IF(T329&gt;0,"Funded",IF(P329="Eligible","Unfunded",P329))</x:f>
        <x:v>Funded</x:v>
      </x:c>
      <x:c r="V329" s="15" t="str">
        <x:f>IF(R329="Include","Conference inclusion: "&amp;S329,IF(R329="Exclude","Conference exclusion: "&amp;S329,IF(Q329&gt;0,H329&amp;" priority rank "&amp;I329&amp;"; whole initiative selected",P329)))</x:f>
        <x:v>ROI-Based Portfolio priority rank 27; whole initiative selected</x:v>
      </x:c>
      <x:c r="W329" s="15" t="str">
        <x:v>Bu!7</x:v>
      </x:c>
      <x:c r="X329" s="15" t="str"/>
      <x:c r="Y329" s="15" t="str"/>
      <x:c r="Z329" s="15" t="str">
        <x:v>New Feature</x:v>
      </x:c>
      <x:c r="AA329" s="15" t="str">
        <x:v>New Initiative</x:v>
      </x:c>
      <x:c r="AB329" s="15" t="str">
        <x:v>Greater China IT</x:v>
      </x:c>
      <x:c r="AC329" s="15" t="str">
        <x:v>Manual Techmax and other CLV services, not able to support business growth</x:v>
      </x:c>
      <x:c r="AD329" s="15" t="str"/>
      <x:c r="AE329" s="15" t="str"/>
      <x:c r="AF329" s="15" t="str">
        <x:v>Manual Techmax and other CLV services, not able to support business growth</x:v>
      </x:c>
      <x:c r="AG329" s="15" t="str">
        <x:v>Must Have</x:v>
      </x:c>
      <x:c r="AH329" s="15" t="n">
        <x:v>188</x:v>
      </x:c>
    </x:row>
    <x:row r="330">
      <x:c r="A330" s="15" t="str">
        <x:v>Bu-111</x:v>
      </x:c>
      <x:c r="B330" s="15" t="str">
        <x:v>Project Nexus 2027</x:v>
      </x:c>
      <x:c r="C330" s="15" t="str">
        <x:v>BU Led</x:v>
      </x:c>
      <x:c r="D330" s="15" t="str">
        <x:v>Sleep &amp; Respiratory Care (SRC)</x:v>
      </x:c>
      <x:c r="E330" s="19" t="n">
        <x:v>0.534</x:v>
      </x:c>
      <x:c r="F330" s="19" t="n">
        <x:v>1.5</x:v>
      </x:c>
      <x:c r="G330" s="22" t="n">
        <x:f>IF(AND(E330&gt;0,ISNUMBER(F330)),F330/E330,"")</x:f>
        <x:v>2.8089887640449436</x:v>
      </x:c>
      <x:c r="H330" s="15" t="str">
        <x:v>ROI-Based Portfolio</x:v>
      </x:c>
      <x:c r="I330" s="15" t="n">
        <x:v>28</x:v>
      </x:c>
      <x:c r="J330" s="15" t="n">
        <x:v>15</x:v>
      </x:c>
      <x:c r="K330" s="23" t="n">
        <x:f>IF(G330="",0,IF(G330&lt;1,0,IF(G330&lt;2,20,IF(G330&lt;3,30,IF(G330&lt;5,40,50)))))*'Scenario Controls'!$B$22/50</x:f>
        <x:v>30</x:v>
      </x:c>
      <x:c r="L330" s="23" t="n">
        <x:f>IF(ISNUMBER(SEARCH("Must Do",AG330)),25,IF(ISNUMBER(SEARCH("Must Have",AG330)),18,IF(ISNUMBER(SEARCH("Deprior",AG330)),5,0)))*'Scenario Controls'!$B$23/25</x:f>
        <x:v>25</x:v>
      </x:c>
      <x:c r="M330" s="23" t="n">
        <x:f>J330*'Scenario Controls'!$B$24/15</x:f>
        <x:v>15</x:v>
      </x:c>
      <x:c r="N330" s="23" t="n">
        <x:f>IF(ISNUMBER(SEARCH("HEALTHY",X330)),10,IF(ISNUMBER(SEARCH("CONTAIN",X330)),6,0))*'Scenario Controls'!$B$25/10</x:f>
        <x:v>0</x:v>
      </x:c>
      <x:c r="O330" s="23" t="n">
        <x:f>SUM(K330:N330)</x:f>
        <x:v>70</x:v>
      </x:c>
      <x:c r="P330" s="15" t="str">
        <x:f>IF(OR(B330="",E330&lt;=0),"Evidence missing / not eligible",IF(ISNUMBER(SEARCH("priority TBD",Y330)),"Evidence missing / not eligible",IF(AND(H330="Carryover",NOT(ISNUMBER(F330))),"Evidence missing / not eligible",IF(AND(H330="Carryover",G330&lt;'Scenario Controls'!$B$16),"Evidence missing / not eligible",IF(AND(H330="ROI-Based Portfolio",NOT(ISNUMBER(F330))),"Evidence missing / not eligible",IF(AND(H330="ROI-Based Portfolio",O330&lt;'Scenario Controls'!$B$20),"Evidence missing / not eligible","Eligible"))))))</x:f>
        <x:v>Eligible</x:v>
      </x:c>
      <x:c r="Q330" s="19" t="n">
        <x:f>IF(P330&lt;&gt;"Eligible",0,IF(AND(SUMIFS($Q$5:Q329,$H$5:H329,H330)+E330&lt;=(IF(H330="LFR",'Scenario Controls'!$F$10,IF(H330="Sustain Engineering",'Scenario Controls'!$F$11,IF(H330="Hygiene",'Scenario Controls'!$F$12,1E+99))))*(1+'Scenario Controls'!$B$7),SUM($Q$5:Q329)+E330&lt;='Scenario Controls'!$B$6*(1+'Scenario Controls'!$B$7)),E330,0))</x:f>
        <x:v>0.534</x:v>
      </x:c>
      <x:c r="R330" s="24" t="str">
        <x:f>'BU Conference'!G184</x:f>
        <x:v>Automatic</x:v>
      </x:c>
      <x:c r="S330" s="24" t="str">
        <x:f>'BU Conference'!H184</x:f>
      </x:c>
      <x:c r="T330" s="19" t="n">
        <x:f>IF(R330="Exclude",0,IF(R330="Include",E330,Q330))</x:f>
        <x:v>0.534</x:v>
      </x:c>
      <x:c r="U330" s="15" t="str">
        <x:f>IF(T330&gt;0,"Funded",IF(P330="Eligible","Unfunded",P330))</x:f>
        <x:v>Funded</x:v>
      </x:c>
      <x:c r="V330" s="15" t="str">
        <x:f>IF(R330="Include","Conference inclusion: "&amp;S330,IF(R330="Exclude","Conference exclusion: "&amp;S330,IF(Q330&gt;0,H330&amp;" priority rank "&amp;I330&amp;"; whole initiative selected",P330)))</x:f>
        <x:v>ROI-Based Portfolio priority rank 28; whole initiative selected</x:v>
      </x:c>
      <x:c r="W330" s="15" t="str">
        <x:v>Bu!258</x:v>
      </x:c>
      <x:c r="X330" s="15" t="str"/>
      <x:c r="Y330" s="15" t="str"/>
      <x:c r="Z330" s="15" t="str">
        <x:v>New Feature</x:v>
      </x:c>
      <x:c r="AA330" s="15" t="str">
        <x:v>New Initiative</x:v>
      </x:c>
      <x:c r="AB330" s="15" t="str">
        <x:v>Enterprise Architecture, Data &amp; Integration</x:v>
      </x:c>
      <x:c r="AC330" s="15" t="str">
        <x:v>Direct impact on our NA Comeback program which targets revenue growth of 300-500 M over next 2 years</x:v>
      </x:c>
      <x:c r="AD330" s="15" t="str">
        <x:v>Across communication and transparency questions, a majority of respondents expressed concerns:</x:v>
      </x:c>
      <x:c r="AE330" s="15" t="str">
        <x:v>Executive Product Health with portfolio, revenue, margin, and lifecycle visibility.</x:v>
      </x:c>
      <x:c r="AF330" s="15" t="str">
        <x:v>Direct impact on our NA Comeback program which targets revenue growth of 300-500 M over next 2 years | Across communication and transparency questions, a majority of respondents expressed concerns: | Executive Product Health with portfolio, revenue, margin, and lifecycle visibility.</x:v>
      </x:c>
      <x:c r="AG330" s="15" t="str">
        <x:v>Must Do</x:v>
      </x:c>
      <x:c r="AH330" s="15" t="n">
        <x:v>288</x:v>
      </x:c>
    </x:row>
    <x:row r="331">
      <x:c r="A331" s="15" t="str">
        <x:v>EW-106</x:v>
      </x:c>
      <x:c r="B331" s="15" t="str">
        <x:v>Personalized learning</x:v>
      </x:c>
      <x:c r="C331" s="15" t="str">
        <x:v>EW Led</x:v>
      </x:c>
      <x:c r="D331" s="15" t="str">
        <x:v>People function</x:v>
      </x:c>
      <x:c r="E331" s="19" t="n">
        <x:v>0.1</x:v>
      </x:c>
      <x:c r="F331" s="19" t="n">
        <x:v>0.25</x:v>
      </x:c>
      <x:c r="G331" s="22" t="n">
        <x:f>IF(AND(E331&gt;0,ISNUMBER(F331)),F331/E331,"")</x:f>
        <x:v>2.5</x:v>
      </x:c>
      <x:c r="H331" s="15" t="str">
        <x:v>ROI-Based Portfolio</x:v>
      </x:c>
      <x:c r="I331" s="15" t="n">
        <x:v>29</x:v>
      </x:c>
      <x:c r="J331" s="15" t="n">
        <x:v>5</x:v>
      </x:c>
      <x:c r="K331" s="23" t="n">
        <x:f>IF(G331="",0,IF(G331&lt;1,0,IF(G331&lt;2,20,IF(G331&lt;3,30,IF(G331&lt;5,40,50)))))*'Scenario Controls'!$B$22/50</x:f>
        <x:v>30</x:v>
      </x:c>
      <x:c r="L331" s="23" t="n">
        <x:f>IF(ISNUMBER(SEARCH("Must Do",AG331)),25,IF(ISNUMBER(SEARCH("Must Have",AG331)),18,IF(ISNUMBER(SEARCH("Deprior",AG331)),5,0)))*'Scenario Controls'!$B$23/25</x:f>
        <x:v>25</x:v>
      </x:c>
      <x:c r="M331" s="23" t="n">
        <x:f>J331*'Scenario Controls'!$B$24/15</x:f>
        <x:v>5</x:v>
      </x:c>
      <x:c r="N331" s="23" t="n">
        <x:f>IF(ISNUMBER(SEARCH("HEALTHY",X331)),10,IF(ISNUMBER(SEARCH("CONTAIN",X331)),6,0))*'Scenario Controls'!$B$25/10</x:f>
        <x:v>10</x:v>
      </x:c>
      <x:c r="O331" s="23" t="n">
        <x:f>SUM(K331:N331)</x:f>
        <x:v>70</x:v>
      </x:c>
      <x:c r="P331" s="15" t="str">
        <x:f>IF(OR(B331="",E331&lt;=0),"Evidence missing / not eligible",IF(ISNUMBER(SEARCH("priority TBD",Y331)),"Evidence missing / not eligible",IF(AND(H331="Carryover",NOT(ISNUMBER(F331))),"Evidence missing / not eligible",IF(AND(H331="Carryover",G331&lt;'Scenario Controls'!$B$16),"Evidence missing / not eligible",IF(AND(H331="ROI-Based Portfolio",NOT(ISNUMBER(F331))),"Evidence missing / not eligible",IF(AND(H331="ROI-Based Portfolio",O331&lt;'Scenario Controls'!$B$20),"Evidence missing / not eligible","Eligible"))))))</x:f>
        <x:v>Eligible</x:v>
      </x:c>
      <x:c r="Q331" s="19" t="n">
        <x:f>IF(P331&lt;&gt;"Eligible",0,IF(AND(SUMIFS($Q$5:Q330,$H$5:H330,H331)+E331&lt;=(IF(H331="LFR",'Scenario Controls'!$F$10,IF(H331="Sustain Engineering",'Scenario Controls'!$F$11,IF(H331="Hygiene",'Scenario Controls'!$F$12,1E+99))))*(1+'Scenario Controls'!$B$7),SUM($Q$5:Q330)+E331&lt;='Scenario Controls'!$B$6*(1+'Scenario Controls'!$B$7)),E331,0))</x:f>
        <x:v>0.1</x:v>
      </x:c>
      <x:c r="R331" s="24" t="str">
        <x:f>'EW Conference'!G152</x:f>
        <x:v>Automatic</x:v>
      </x:c>
      <x:c r="S331" s="24" t="str">
        <x:f>'EW Conference'!H152</x:f>
      </x:c>
      <x:c r="T331" s="19" t="n">
        <x:f>IF(R331="Exclude",0,IF(R331="Include",E331,Q331))</x:f>
        <x:v>0.1</x:v>
      </x:c>
      <x:c r="U331" s="15" t="str">
        <x:f>IF(T331&gt;0,"Funded",IF(P331="Eligible","Unfunded",P331))</x:f>
        <x:v>Funded</x:v>
      </x:c>
      <x:c r="V331" s="15" t="str">
        <x:f>IF(R331="Include","Conference inclusion: "&amp;S331,IF(R331="Exclude","Conference exclusion: "&amp;S331,IF(Q331&gt;0,H331&amp;" priority rank "&amp;I331&amp;"; whole initiative selected",P331)))</x:f>
        <x:v>ROI-Based Portfolio priority rank 29; whole initiative selected</x:v>
      </x:c>
      <x:c r="W331" s="15" t="str">
        <x:v>EW!102</x:v>
      </x:c>
      <x:c r="X331" s="15" t="str">
        <x:v>HEALTHY</x:v>
      </x:c>
      <x:c r="Y331" s="15" t="str">
        <x:v>HEALTHY — Rank in priority matrix</x:v>
      </x:c>
      <x:c r="Z331" s="15" t="str">
        <x:v>New Technology</x:v>
      </x:c>
      <x:c r="AA331" s="15" t="str">
        <x:v>New Initiative</x:v>
      </x:c>
      <x:c r="AB331" s="15" t="str">
        <x:v>Group Functions &amp; Hyperautomation IT</x:v>
      </x:c>
      <x:c r="AC331" s="15" t="str">
        <x:v>Productivity targets will not be met and thereby forfeit Business case worth of 250K</x:v>
      </x:c>
      <x:c r="AD331" s="15" t="str">
        <x:v>Link skill-based learning to business needs and job profiles.</x:v>
      </x:c>
      <x:c r="AE331" s="15" t="str">
        <x:v>Use an LXP for contextual, skill-based, embedded learning.</x:v>
      </x:c>
      <x:c r="AF331" s="15" t="str">
        <x:v>Productivity targets will not be met and thereby forfeit Business case worth of 250K | Link skill-based learning to business needs and job profiles. | Use an LXP for contextual, skill-based, embedded learning.</x:v>
      </x:c>
      <x:c r="AG331" s="15" t="str">
        <x:v>Must Do</x:v>
      </x:c>
      <x:c r="AH331" s="15" t="n">
        <x:v>104</x:v>
      </x:c>
    </x:row>
    <x:row r="332">
      <x:c r="A332" s="15" t="str">
        <x:v>Bu-112</x:v>
      </x:c>
      <x:c r="B332" s="15" t="str">
        <x:v>ISC and CS Transformation 2027</x:v>
      </x:c>
      <x:c r="C332" s="15" t="str">
        <x:v>BU Led</x:v>
      </x:c>
      <x:c r="D332" s="15" t="str">
        <x:v>Sleep &amp; Respiratory Care (SRC)</x:v>
      </x:c>
      <x:c r="E332" s="19" t="n">
        <x:v>0.513</x:v>
      </x:c>
      <x:c r="F332" s="19" t="n">
        <x:v>1.25</x:v>
      </x:c>
      <x:c r="G332" s="22" t="n">
        <x:f>IF(AND(E332&gt;0,ISNUMBER(F332)),F332/E332,"")</x:f>
        <x:v>2.4366471734892787</x:v>
      </x:c>
      <x:c r="H332" s="15" t="str">
        <x:v>ROI-Based Portfolio</x:v>
      </x:c>
      <x:c r="I332" s="15" t="n">
        <x:v>30</x:v>
      </x:c>
      <x:c r="J332" s="15" t="n">
        <x:v>15</x:v>
      </x:c>
      <x:c r="K332" s="23" t="n">
        <x:f>IF(G332="",0,IF(G332&lt;1,0,IF(G332&lt;2,20,IF(G332&lt;3,30,IF(G332&lt;5,40,50)))))*'Scenario Controls'!$B$22/50</x:f>
        <x:v>30</x:v>
      </x:c>
      <x:c r="L332" s="23" t="n">
        <x:f>IF(ISNUMBER(SEARCH("Must Do",AG332)),25,IF(ISNUMBER(SEARCH("Must Have",AG332)),18,IF(ISNUMBER(SEARCH("Deprior",AG332)),5,0)))*'Scenario Controls'!$B$23/25</x:f>
        <x:v>25</x:v>
      </x:c>
      <x:c r="M332" s="23" t="n">
        <x:f>J332*'Scenario Controls'!$B$24/15</x:f>
        <x:v>15</x:v>
      </x:c>
      <x:c r="N332" s="23" t="n">
        <x:f>IF(ISNUMBER(SEARCH("HEALTHY",X332)),10,IF(ISNUMBER(SEARCH("CONTAIN",X332)),6,0))*'Scenario Controls'!$B$25/10</x:f>
        <x:v>0</x:v>
      </x:c>
      <x:c r="O332" s="23" t="n">
        <x:f>SUM(K332:N332)</x:f>
        <x:v>70</x:v>
      </x:c>
      <x:c r="P332" s="15" t="str">
        <x:f>IF(OR(B332="",E332&lt;=0),"Evidence missing / not eligible",IF(ISNUMBER(SEARCH("priority TBD",Y332)),"Evidence missing / not eligible",IF(AND(H332="Carryover",NOT(ISNUMBER(F332))),"Evidence missing / not eligible",IF(AND(H332="Carryover",G332&lt;'Scenario Controls'!$B$16),"Evidence missing / not eligible",IF(AND(H332="ROI-Based Portfolio",NOT(ISNUMBER(F332))),"Evidence missing / not eligible",IF(AND(H332="ROI-Based Portfolio",O332&lt;'Scenario Controls'!$B$20),"Evidence missing / not eligible","Eligible"))))))</x:f>
        <x:v>Eligible</x:v>
      </x:c>
      <x:c r="Q332" s="19" t="n">
        <x:f>IF(P332&lt;&gt;"Eligible",0,IF(AND(SUMIFS($Q$5:Q331,$H$5:H331,H332)+E332&lt;=(IF(H332="LFR",'Scenario Controls'!$F$10,IF(H332="Sustain Engineering",'Scenario Controls'!$F$11,IF(H332="Hygiene",'Scenario Controls'!$F$12,1E+99))))*(1+'Scenario Controls'!$B$7),SUM($Q$5:Q331)+E332&lt;='Scenario Controls'!$B$6*(1+'Scenario Controls'!$B$7)),E332,0))</x:f>
        <x:v>0.513</x:v>
      </x:c>
      <x:c r="R332" s="24" t="str">
        <x:f>'BU Conference'!G185</x:f>
        <x:v>Automatic</x:v>
      </x:c>
      <x:c r="S332" s="24" t="str">
        <x:f>'BU Conference'!H185</x:f>
      </x:c>
      <x:c r="T332" s="19" t="n">
        <x:f>IF(R332="Exclude",0,IF(R332="Include",E332,Q332))</x:f>
        <x:v>0.513</x:v>
      </x:c>
      <x:c r="U332" s="15" t="str">
        <x:f>IF(T332&gt;0,"Funded",IF(P332="Eligible","Unfunded",P332))</x:f>
        <x:v>Funded</x:v>
      </x:c>
      <x:c r="V332" s="15" t="str">
        <x:f>IF(R332="Include","Conference inclusion: "&amp;S332,IF(R332="Exclude","Conference exclusion: "&amp;S332,IF(Q332&gt;0,H332&amp;" priority rank "&amp;I332&amp;"; whole initiative selected",P332)))</x:f>
        <x:v>ROI-Based Portfolio priority rank 30; whole initiative selected</x:v>
      </x:c>
      <x:c r="W332" s="15" t="str">
        <x:v>Bu!262</x:v>
      </x:c>
      <x:c r="X332" s="15" t="str"/>
      <x:c r="Y332" s="15" t="str"/>
      <x:c r="Z332" s="15" t="str">
        <x:v>New Feature</x:v>
      </x:c>
      <x:c r="AA332" s="15" t="str">
        <x:v>New Initiative</x:v>
      </x:c>
      <x:c r="AB332" s="15" t="str">
        <x:v>Enterprise Architecture, Data &amp; Integration</x:v>
      </x:c>
      <x:c r="AC332" s="15" t="str">
        <x:v>Impact of 2M on productivity savings and revenue growth</x:v>
      </x:c>
      <x:c r="AD332" s="15" t="str">
        <x:v>Assessment gate, architecture/resource plan, Inventory CDM-to-Pricing CDM join, MVP: gross/on-hand inventory, WoW/MoM trends, SKU-location drilldown, first health view (Blocked &amp; Quality), refresh/data-quality controls.</x:v>
      </x:c>
      <x:c r="AE332" s="15" t="str">
        <x:v>NAM and IR customer price lists to consume APL as a backend to populate / manage pricing by customer.</x:v>
      </x:c>
      <x:c r="AF332" s="15" t="str">
        <x:v>Impact of 2M on productivity savings and revenue growth | Assessment gate, architecture/resource plan, Inventory CDM-to-Pricing CDM join, MVP: gross/on-hand inventory, WoW/MoM trends, SKU-location drilldown, first health view (Blocked &amp; Quality), refresh/data-quality controls. | NAM and IR customer price lists to consume APL as a backend to populate / manage pricing by customer.</x:v>
      </x:c>
      <x:c r="AG332" s="15" t="str">
        <x:v>Must Do</x:v>
      </x:c>
      <x:c r="AH332" s="15" t="n">
        <x:v>289</x:v>
      </x:c>
    </x:row>
    <x:row r="333">
      <x:c r="A333" s="15" t="str">
        <x:v>EW-93</x:v>
      </x:c>
      <x:c r="B333" s="15" t="str">
        <x:v>FIN-C&amp;C: Credit Management</x:v>
      </x:c>
      <x:c r="C333" s="15" t="str">
        <x:v>EW Led</x:v>
      </x:c>
      <x:c r="D333" s="15" t="str">
        <x:v>Finance</x:v>
      </x:c>
      <x:c r="E333" s="19" t="n">
        <x:v>0.15</x:v>
      </x:c>
      <x:c r="F333" s="19" t="n">
        <x:v>0.3</x:v>
      </x:c>
      <x:c r="G333" s="22" t="n">
        <x:f>IF(AND(E333&gt;0,ISNUMBER(F333)),F333/E333,"")</x:f>
        <x:v>2</x:v>
      </x:c>
      <x:c r="H333" s="15" t="str">
        <x:v>ROI-Based Portfolio</x:v>
      </x:c>
      <x:c r="I333" s="15" t="n">
        <x:v>31</x:v>
      </x:c>
      <x:c r="J333" s="15" t="n">
        <x:v>5</x:v>
      </x:c>
      <x:c r="K333" s="23" t="n">
        <x:f>IF(G333="",0,IF(G333&lt;1,0,IF(G333&lt;2,20,IF(G333&lt;3,30,IF(G333&lt;5,40,50)))))*'Scenario Controls'!$B$22/50</x:f>
        <x:v>30</x:v>
      </x:c>
      <x:c r="L333" s="23" t="n">
        <x:f>IF(ISNUMBER(SEARCH("Must Do",AG333)),25,IF(ISNUMBER(SEARCH("Must Have",AG333)),18,IF(ISNUMBER(SEARCH("Deprior",AG333)),5,0)))*'Scenario Controls'!$B$23/25</x:f>
        <x:v>25</x:v>
      </x:c>
      <x:c r="M333" s="23" t="n">
        <x:f>J333*'Scenario Controls'!$B$24/15</x:f>
        <x:v>5</x:v>
      </x:c>
      <x:c r="N333" s="23" t="n">
        <x:f>IF(ISNUMBER(SEARCH("HEALTHY",X333)),10,IF(ISNUMBER(SEARCH("CONTAIN",X333)),6,0))*'Scenario Controls'!$B$25/10</x:f>
        <x:v>10</x:v>
      </x:c>
      <x:c r="O333" s="23" t="n">
        <x:f>SUM(K333:N333)</x:f>
        <x:v>70</x:v>
      </x:c>
      <x:c r="P333" s="15" t="str">
        <x:f>IF(OR(B333="",E333&lt;=0),"Evidence missing / not eligible",IF(ISNUMBER(SEARCH("priority TBD",Y333)),"Evidence missing / not eligible",IF(AND(H333="Carryover",NOT(ISNUMBER(F333))),"Evidence missing / not eligible",IF(AND(H333="Carryover",G333&lt;'Scenario Controls'!$B$16),"Evidence missing / not eligible",IF(AND(H333="ROI-Based Portfolio",NOT(ISNUMBER(F333))),"Evidence missing / not eligible",IF(AND(H333="ROI-Based Portfolio",O333&lt;'Scenario Controls'!$B$20),"Evidence missing / not eligible","Eligible"))))))</x:f>
        <x:v>Eligible</x:v>
      </x:c>
      <x:c r="Q333" s="19" t="n">
        <x:f>IF(P333&lt;&gt;"Eligible",0,IF(AND(SUMIFS($Q$5:Q332,$H$5:H332,H333)+E333&lt;=(IF(H333="LFR",'Scenario Controls'!$F$10,IF(H333="Sustain Engineering",'Scenario Controls'!$F$11,IF(H333="Hygiene",'Scenario Controls'!$F$12,1E+99))))*(1+'Scenario Controls'!$B$7),SUM($Q$5:Q332)+E333&lt;='Scenario Controls'!$B$6*(1+'Scenario Controls'!$B$7)),E333,0))</x:f>
        <x:v>0.15</x:v>
      </x:c>
      <x:c r="R333" s="24" t="str">
        <x:f>'EW Conference'!G153</x:f>
        <x:v>Automatic</x:v>
      </x:c>
      <x:c r="S333" s="24" t="str">
        <x:f>'EW Conference'!H153</x:f>
      </x:c>
      <x:c r="T333" s="19" t="n">
        <x:f>IF(R333="Exclude",0,IF(R333="Include",E333,Q333))</x:f>
        <x:v>0.15</x:v>
      </x:c>
      <x:c r="U333" s="15" t="str">
        <x:f>IF(T333&gt;0,"Funded",IF(P333="Eligible","Unfunded",P333))</x:f>
        <x:v>Funded</x:v>
      </x:c>
      <x:c r="V333" s="15" t="str">
        <x:f>IF(R333="Include","Conference inclusion: "&amp;S333,IF(R333="Exclude","Conference exclusion: "&amp;S333,IF(Q333&gt;0,H333&amp;" priority rank "&amp;I333&amp;"; whole initiative selected",P333)))</x:f>
        <x:v>ROI-Based Portfolio priority rank 31; whole initiative selected</x:v>
      </x:c>
      <x:c r="W333" s="15" t="str">
        <x:v>EW!89</x:v>
      </x:c>
      <x:c r="X333" s="15" t="str">
        <x:v>HEALTHY</x:v>
      </x:c>
      <x:c r="Y333" s="15" t="str">
        <x:v>HEALTHY — Rank in priority matrix</x:v>
      </x:c>
      <x:c r="Z333" s="15" t="str">
        <x:v>AI Enablement</x:v>
      </x:c>
      <x:c r="AA333" s="15" t="str">
        <x:v>New Initiative</x:v>
      </x:c>
      <x:c r="AB333" s="15" t="str">
        <x:v>Integrated Supply Chain &amp; Finance</x:v>
      </x:c>
      <x:c r="AC333" s="15" t="str">
        <x:v>Credit management process improvements unrealized</x:v>
      </x:c>
      <x:c r="AD333" s="15" t="str"/>
      <x:c r="AE333" s="15" t="str"/>
      <x:c r="AF333" s="15" t="str">
        <x:v>Credit management process improvements unrealized</x:v>
      </x:c>
      <x:c r="AG333" s="15" t="str">
        <x:v>Must Do</x:v>
      </x:c>
      <x:c r="AH333" s="15" t="n">
        <x:v>91</x:v>
      </x:c>
    </x:row>
    <x:row r="334">
      <x:c r="A334" s="15" t="str">
        <x:v>EW-63</x:v>
      </x:c>
      <x:c r="B334" s="15" t="str">
        <x:v>Internal Audit - AI and Innovation</x:v>
      </x:c>
      <x:c r="C334" s="15" t="str">
        <x:v>EW Led</x:v>
      </x:c>
      <x:c r="D334" s="15" t="str">
        <x:v>Internal Audit</x:v>
      </x:c>
      <x:c r="E334" s="19" t="n">
        <x:v>0.1</x:v>
      </x:c>
      <x:c r="F334" s="19" t="n">
        <x:v>0.1</x:v>
      </x:c>
      <x:c r="G334" s="22" t="n">
        <x:f>IF(AND(E334&gt;0,ISNUMBER(F334)),F334/E334,"")</x:f>
        <x:v>1</x:v>
      </x:c>
      <x:c r="H334" s="15" t="str">
        <x:v>ROI-Based Portfolio</x:v>
      </x:c>
      <x:c r="I334" s="15" t="n">
        <x:v>32</x:v>
      </x:c>
      <x:c r="J334" s="15" t="n">
        <x:v>15</x:v>
      </x:c>
      <x:c r="K334" s="23" t="n">
        <x:f>IF(G334="",0,IF(G334&lt;1,0,IF(G334&lt;2,20,IF(G334&lt;3,30,IF(G334&lt;5,40,50)))))*'Scenario Controls'!$B$22/50</x:f>
        <x:v>20</x:v>
      </x:c>
      <x:c r="L334" s="23" t="n">
        <x:f>IF(ISNUMBER(SEARCH("Must Do",AG334)),25,IF(ISNUMBER(SEARCH("Must Have",AG334)),18,IF(ISNUMBER(SEARCH("Deprior",AG334)),5,0)))*'Scenario Controls'!$B$23/25</x:f>
        <x:v>25</x:v>
      </x:c>
      <x:c r="M334" s="23" t="n">
        <x:f>J334*'Scenario Controls'!$B$24/15</x:f>
        <x:v>15</x:v>
      </x:c>
      <x:c r="N334" s="23" t="n">
        <x:f>IF(ISNUMBER(SEARCH("HEALTHY",X334)),10,IF(ISNUMBER(SEARCH("CONTAIN",X334)),6,0))*'Scenario Controls'!$B$25/10</x:f>
        <x:v>10</x:v>
      </x:c>
      <x:c r="O334" s="23" t="n">
        <x:f>SUM(K334:N334)</x:f>
        <x:v>70</x:v>
      </x:c>
      <x:c r="P334" s="15" t="str">
        <x:f>IF(OR(B334="",E334&lt;=0),"Evidence missing / not eligible",IF(ISNUMBER(SEARCH("priority TBD",Y334)),"Evidence missing / not eligible",IF(AND(H334="Carryover",NOT(ISNUMBER(F334))),"Evidence missing / not eligible",IF(AND(H334="Carryover",G334&lt;'Scenario Controls'!$B$16),"Evidence missing / not eligible",IF(AND(H334="ROI-Based Portfolio",NOT(ISNUMBER(F334))),"Evidence missing / not eligible",IF(AND(H334="ROI-Based Portfolio",O334&lt;'Scenario Controls'!$B$20),"Evidence missing / not eligible","Eligible"))))))</x:f>
        <x:v>Eligible</x:v>
      </x:c>
      <x:c r="Q334" s="19" t="n">
        <x:f>IF(P334&lt;&gt;"Eligible",0,IF(AND(SUMIFS($Q$5:Q333,$H$5:H333,H334)+E334&lt;=(IF(H334="LFR",'Scenario Controls'!$F$10,IF(H334="Sustain Engineering",'Scenario Controls'!$F$11,IF(H334="Hygiene",'Scenario Controls'!$F$12,1E+99))))*(1+'Scenario Controls'!$B$7),SUM($Q$5:Q333)+E334&lt;='Scenario Controls'!$B$6*(1+'Scenario Controls'!$B$7)),E334,0))</x:f>
        <x:v>0.1</x:v>
      </x:c>
      <x:c r="R334" s="24" t="str">
        <x:f>'EW Conference'!G154</x:f>
        <x:v>Automatic</x:v>
      </x:c>
      <x:c r="S334" s="24" t="str">
        <x:f>'EW Conference'!H154</x:f>
      </x:c>
      <x:c r="T334" s="19" t="n">
        <x:f>IF(R334="Exclude",0,IF(R334="Include",E334,Q334))</x:f>
        <x:v>0.1</x:v>
      </x:c>
      <x:c r="U334" s="15" t="str">
        <x:f>IF(T334&gt;0,"Funded",IF(P334="Eligible","Unfunded",P334))</x:f>
        <x:v>Funded</x:v>
      </x:c>
      <x:c r="V334" s="15" t="str">
        <x:f>IF(R334="Include","Conference inclusion: "&amp;S334,IF(R334="Exclude","Conference exclusion: "&amp;S334,IF(Q334&gt;0,H334&amp;" priority rank "&amp;I334&amp;"; whole initiative selected",P334)))</x:f>
        <x:v>ROI-Based Portfolio priority rank 32; whole initiative selected</x:v>
      </x:c>
      <x:c r="W334" s="15" t="str">
        <x:v>EW!59</x:v>
      </x:c>
      <x:c r="X334" s="15" t="str">
        <x:v>HEALTHY</x:v>
      </x:c>
      <x:c r="Y334" s="15" t="str">
        <x:v>HEALTHY — Rank in priority matrix</x:v>
      </x:c>
      <x:c r="Z334" s="15" t="str">
        <x:v>Legal Fiscal, Regulatory &amp; Compliancy</x:v>
      </x:c>
      <x:c r="AA334" s="15" t="str">
        <x:v>New Initiative</x:v>
      </x:c>
      <x:c r="AB334" s="15" t="str">
        <x:v>Group Functions &amp; Hyperautomation IT</x:v>
      </x:c>
      <x:c r="AC334" s="15" t="str">
        <x:v>1) The drive in ICoFR and PIA to develop control and audit capabilities in support of LFR, People led AI powered Philips, ICoFR Roadmap will not be delivered</x:v>
      </x:c>
      <x:c r="AD334" s="15" t="str">
        <x: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x:v>
      </x:c>
      <x:c r="AE334" s="15" t="str">
        <x:v>As part of people led, AI powered Philips - this is to support the AI initiatives of PIA Audit and R&amp;C COE teams</x:v>
      </x:c>
      <x:c r="AF334" s="15" t="str">
        <x:v>1) The drive in ICoFR and PIA to develop control and audit capabilities in support of LFR, People led AI powered Philips, ICoFR Roadmap will not be delivered |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 As part of people led, AI powered Philips - this is to support the AI initiatives of PIA Audit and R&amp;C COE teams</x:v>
      </x:c>
      <x:c r="AG334" s="15" t="str">
        <x:v>Must Do</x:v>
      </x:c>
      <x:c r="AH334" s="15" t="n">
        <x:v>61</x:v>
      </x:c>
    </x:row>
    <x:row r="335">
      <x:c r="A335" s="15" t="str">
        <x:v>EW-64</x:v>
      </x:c>
      <x:c r="B335" s="15" t="str">
        <x:v>Legal - AI and Innovation</x:v>
      </x:c>
      <x:c r="C335" s="15" t="str">
        <x:v>EW Led</x:v>
      </x:c>
      <x:c r="D335" s="15" t="str">
        <x:v>Legal</x:v>
      </x:c>
      <x:c r="E335" s="19" t="n">
        <x:v>0.1</x:v>
      </x:c>
      <x:c r="F335" s="19" t="n">
        <x:v>0.1</x:v>
      </x:c>
      <x:c r="G335" s="22" t="n">
        <x:f>IF(AND(E335&gt;0,ISNUMBER(F335)),F335/E335,"")</x:f>
        <x:v>1</x:v>
      </x:c>
      <x:c r="H335" s="15" t="str">
        <x:v>ROI-Based Portfolio</x:v>
      </x:c>
      <x:c r="I335" s="15" t="n">
        <x:v>33</x:v>
      </x:c>
      <x:c r="J335" s="15" t="n">
        <x:v>15</x:v>
      </x:c>
      <x:c r="K335" s="23" t="n">
        <x:f>IF(G335="",0,IF(G335&lt;1,0,IF(G335&lt;2,20,IF(G335&lt;3,30,IF(G335&lt;5,40,50)))))*'Scenario Controls'!$B$22/50</x:f>
        <x:v>20</x:v>
      </x:c>
      <x:c r="L335" s="23" t="n">
        <x:f>IF(ISNUMBER(SEARCH("Must Do",AG335)),25,IF(ISNUMBER(SEARCH("Must Have",AG335)),18,IF(ISNUMBER(SEARCH("Deprior",AG335)),5,0)))*'Scenario Controls'!$B$23/25</x:f>
        <x:v>25</x:v>
      </x:c>
      <x:c r="M335" s="23" t="n">
        <x:f>J335*'Scenario Controls'!$B$24/15</x:f>
        <x:v>15</x:v>
      </x:c>
      <x:c r="N335" s="23" t="n">
        <x:f>IF(ISNUMBER(SEARCH("HEALTHY",X335)),10,IF(ISNUMBER(SEARCH("CONTAIN",X335)),6,0))*'Scenario Controls'!$B$25/10</x:f>
        <x:v>10</x:v>
      </x:c>
      <x:c r="O335" s="23" t="n">
        <x:f>SUM(K335:N335)</x:f>
        <x:v>70</x:v>
      </x:c>
      <x:c r="P335" s="15" t="str">
        <x:f>IF(OR(B335="",E335&lt;=0),"Evidence missing / not eligible",IF(ISNUMBER(SEARCH("priority TBD",Y335)),"Evidence missing / not eligible",IF(AND(H335="Carryover",NOT(ISNUMBER(F335))),"Evidence missing / not eligible",IF(AND(H335="Carryover",G335&lt;'Scenario Controls'!$B$16),"Evidence missing / not eligible",IF(AND(H335="ROI-Based Portfolio",NOT(ISNUMBER(F335))),"Evidence missing / not eligible",IF(AND(H335="ROI-Based Portfolio",O335&lt;'Scenario Controls'!$B$20),"Evidence missing / not eligible","Eligible"))))))</x:f>
        <x:v>Eligible</x:v>
      </x:c>
      <x:c r="Q335" s="19" t="n">
        <x:f>IF(P335&lt;&gt;"Eligible",0,IF(AND(SUMIFS($Q$5:Q334,$H$5:H334,H335)+E335&lt;=(IF(H335="LFR",'Scenario Controls'!$F$10,IF(H335="Sustain Engineering",'Scenario Controls'!$F$11,IF(H335="Hygiene",'Scenario Controls'!$F$12,1E+99))))*(1+'Scenario Controls'!$B$7),SUM($Q$5:Q334)+E335&lt;='Scenario Controls'!$B$6*(1+'Scenario Controls'!$B$7)),E335,0))</x:f>
        <x:v>0.1</x:v>
      </x:c>
      <x:c r="R335" s="24" t="str">
        <x:f>'EW Conference'!G155</x:f>
        <x:v>Automatic</x:v>
      </x:c>
      <x:c r="S335" s="24" t="str">
        <x:f>'EW Conference'!H155</x:f>
      </x:c>
      <x:c r="T335" s="19" t="n">
        <x:f>IF(R335="Exclude",0,IF(R335="Include",E335,Q335))</x:f>
        <x:v>0.1</x:v>
      </x:c>
      <x:c r="U335" s="15" t="str">
        <x:f>IF(T335&gt;0,"Funded",IF(P335="Eligible","Unfunded",P335))</x:f>
        <x:v>Funded</x:v>
      </x:c>
      <x:c r="V335" s="15" t="str">
        <x:f>IF(R335="Include","Conference inclusion: "&amp;S335,IF(R335="Exclude","Conference exclusion: "&amp;S335,IF(Q335&gt;0,H335&amp;" priority rank "&amp;I335&amp;"; whole initiative selected",P335)))</x:f>
        <x:v>ROI-Based Portfolio priority rank 33; whole initiative selected</x:v>
      </x:c>
      <x:c r="W335" s="15" t="str">
        <x:v>EW!60</x:v>
      </x:c>
      <x:c r="X335" s="15" t="str">
        <x:v>HEALTHY</x:v>
      </x:c>
      <x:c r="Y335" s="15" t="str">
        <x:v>HEALTHY — Rank in priority matrix</x:v>
      </x:c>
      <x:c r="Z335" s="15" t="str">
        <x:v>Legal Fiscal, Regulatory &amp; Compliancy</x:v>
      </x:c>
      <x:c r="AA335" s="15" t="str">
        <x:v>New Initiative</x:v>
      </x:c>
      <x:c r="AB335" s="15" t="str">
        <x:v>Group Functions &amp; Hyperautomation IT</x:v>
      </x:c>
      <x:c r="AC335" s="15" t="str">
        <x:v>1) The drive in Legal is to develop AI capabilities in support of LFR, People led AI powered Philips, Legal Roadmap will not be delivered (Ex: Legal for Legal capabilities, EC&amp;S, Gifts Compliance etc)</x:v>
      </x:c>
      <x:c r="AD335" s="15" t="str">
        <x: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x:v>
      </x:c>
      <x:c r="AE335" s="15" t="str">
        <x:v>As part of people led, AI powered Philips - this is to support the AI initiatives ofLegal Teams</x:v>
      </x:c>
      <x:c r="AF335" s="15" t="str">
        <x:v>1) The drive in Legal is to develop AI capabilities in support of LFR, People led AI powered Philips, Legal Roadmap will not be delivered (Ex: Legal for Legal capabilities, EC&amp;S, Gifts Compliance etc) |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 As part of people led, AI powered Philips - this is to support the AI initiatives ofLegal Teams</x:v>
      </x:c>
      <x:c r="AG335" s="15" t="str">
        <x:v>Must Do</x:v>
      </x:c>
      <x:c r="AH335" s="15" t="n">
        <x:v>62</x:v>
      </x:c>
    </x:row>
    <x:row r="336">
      <x:c r="A336" s="15" t="str">
        <x:v>Bu-110</x:v>
      </x:c>
      <x:c r="B336" s="15" t="str">
        <x:v>Commercial Transformation 2027</x:v>
      </x:c>
      <x:c r="C336" s="15" t="str">
        <x:v>BU Led</x:v>
      </x:c>
      <x:c r="D336" s="15" t="str">
        <x:v>Sleep &amp; Respiratory Care (SRC)</x:v>
      </x:c>
      <x:c r="E336" s="19" t="n">
        <x:v>0.502</x:v>
      </x:c>
      <x:c r="F336" s="19" t="n">
        <x:v>1.25</x:v>
      </x:c>
      <x:c r="G336" s="22" t="n">
        <x:f>IF(AND(E336&gt;0,ISNUMBER(F336)),F336/E336,"")</x:f>
        <x:v>2.49003984063745</x:v>
      </x:c>
      <x:c r="H336" s="15" t="str">
        <x:v>ROI-Based Portfolio</x:v>
      </x:c>
      <x:c r="I336" s="15" t="n">
        <x:v>34</x:v>
      </x:c>
      <x:c r="J336" s="15" t="n">
        <x:v>10</x:v>
      </x:c>
      <x:c r="K336" s="23" t="n">
        <x:f>IF(G336="",0,IF(G336&lt;1,0,IF(G336&lt;2,20,IF(G336&lt;3,30,IF(G336&lt;5,40,50)))))*'Scenario Controls'!$B$22/50</x:f>
        <x:v>30</x:v>
      </x:c>
      <x:c r="L336" s="23" t="n">
        <x:f>IF(ISNUMBER(SEARCH("Must Do",AG336)),25,IF(ISNUMBER(SEARCH("Must Have",AG336)),18,IF(ISNUMBER(SEARCH("Deprior",AG336)),5,0)))*'Scenario Controls'!$B$23/25</x:f>
        <x:v>25</x:v>
      </x:c>
      <x:c r="M336" s="23" t="n">
        <x:f>J336*'Scenario Controls'!$B$24/15</x:f>
        <x:v>10</x:v>
      </x:c>
      <x:c r="N336" s="23" t="n">
        <x:f>IF(ISNUMBER(SEARCH("HEALTHY",X336)),10,IF(ISNUMBER(SEARCH("CONTAIN",X336)),6,0))*'Scenario Controls'!$B$25/10</x:f>
        <x:v>0</x:v>
      </x:c>
      <x:c r="O336" s="23" t="n">
        <x:f>SUM(K336:N336)</x:f>
        <x:v>65</x:v>
      </x:c>
      <x:c r="P336" s="15" t="str">
        <x:f>IF(OR(B336="",E336&lt;=0),"Evidence missing / not eligible",IF(ISNUMBER(SEARCH("priority TBD",Y336)),"Evidence missing / not eligible",IF(AND(H336="Carryover",NOT(ISNUMBER(F336))),"Evidence missing / not eligible",IF(AND(H336="Carryover",G336&lt;'Scenario Controls'!$B$16),"Evidence missing / not eligible",IF(AND(H336="ROI-Based Portfolio",NOT(ISNUMBER(F336))),"Evidence missing / not eligible",IF(AND(H336="ROI-Based Portfolio",O336&lt;'Scenario Controls'!$B$20),"Evidence missing / not eligible","Eligible"))))))</x:f>
        <x:v>Eligible</x:v>
      </x:c>
      <x:c r="Q336" s="19" t="n">
        <x:f>IF(P336&lt;&gt;"Eligible",0,IF(AND(SUMIFS($Q$5:Q335,$H$5:H335,H336)+E336&lt;=(IF(H336="LFR",'Scenario Controls'!$F$10,IF(H336="Sustain Engineering",'Scenario Controls'!$F$11,IF(H336="Hygiene",'Scenario Controls'!$F$12,1E+99))))*(1+'Scenario Controls'!$B$7),SUM($Q$5:Q335)+E336&lt;='Scenario Controls'!$B$6*(1+'Scenario Controls'!$B$7)),E336,0))</x:f>
        <x:v>0.502</x:v>
      </x:c>
      <x:c r="R336" s="24" t="str">
        <x:f>'BU Conference'!G186</x:f>
        <x:v>Automatic</x:v>
      </x:c>
      <x:c r="S336" s="24" t="str">
        <x:f>'BU Conference'!H186</x:f>
      </x:c>
      <x:c r="T336" s="19" t="n">
        <x:f>IF(R336="Exclude",0,IF(R336="Include",E336,Q336))</x:f>
        <x:v>0.502</x:v>
      </x:c>
      <x:c r="U336" s="15" t="str">
        <x:f>IF(T336&gt;0,"Funded",IF(P336="Eligible","Unfunded",P336))</x:f>
        <x:v>Funded</x:v>
      </x:c>
      <x:c r="V336" s="15" t="str">
        <x:f>IF(R336="Include","Conference inclusion: "&amp;S336,IF(R336="Exclude","Conference exclusion: "&amp;S336,IF(Q336&gt;0,H336&amp;" priority rank "&amp;I336&amp;"; whole initiative selected",P336)))</x:f>
        <x:v>ROI-Based Portfolio priority rank 34; whole initiative selected</x:v>
      </x:c>
      <x:c r="W336" s="15" t="str">
        <x:v>Bu!251</x:v>
      </x:c>
      <x:c r="X336" s="15" t="str"/>
      <x:c r="Y336" s="15" t="str"/>
      <x:c r="Z336" s="15" t="str">
        <x:v>New Feature</x:v>
      </x:c>
      <x:c r="AA336" s="15" t="str">
        <x:v>New Initiative</x:v>
      </x:c>
      <x:c r="AB336" s="15" t="str">
        <x:v>Enterprise Architecture, Data &amp; Integration</x:v>
      </x:c>
      <x:c r="AC336" s="15" t="str">
        <x:v>Critical for achieving our SPOR objective of driving margin (IR) improvement and revenue growth through AI-led, data-driven pricing decisions; we will miss our SPOR targets</x:v>
      </x:c>
      <x:c r="AD336" s="15" t="str">
        <x:v>AI enabled agentic real-time asset tracking through the repair process</x:v>
      </x:c>
      <x:c r="AE336" s="15" t="str">
        <x:v>• Baseline creation for win rate, close ratio, activity quality, and field execution.</x:v>
      </x:c>
      <x:c r="AF336" s="15" t="str">
        <x:v>Critical for achieving our SPOR objective of driving margin (IR) improvement and revenue growth through AI-led, data-driven pricing decisions; we will miss our SPOR targets | AI enabled agentic real-time asset tracking through the repair process | • Baseline creation for win rate, close ratio, activity quality, and field execution.</x:v>
      </x:c>
      <x:c r="AG336" s="15" t="str">
        <x:v>Must Do</x:v>
      </x:c>
      <x:c r="AH336" s="15" t="n">
        <x:v>287</x:v>
      </x:c>
    </x:row>
    <x:row r="337">
      <x:c r="A337" s="15" t="str">
        <x:v>EW-62</x:v>
      </x:c>
      <x:c r="B337" s="15" t="str">
        <x:v>Optro Accelerate Module</x:v>
      </x:c>
      <x:c r="C337" s="15" t="str">
        <x:v>EW Led</x:v>
      </x:c>
      <x:c r="D337" s="15" t="str">
        <x:v>Internal Audit</x:v>
      </x:c>
      <x:c r="E337" s="19" t="n">
        <x:v>0.171</x:v>
      </x:c>
      <x:c r="F337" s="19" t="n">
        <x:v>0.171</x:v>
      </x:c>
      <x:c r="G337" s="22" t="n">
        <x:f>IF(AND(E337&gt;0,ISNUMBER(F337)),F337/E337,"")</x:f>
        <x:v>1</x:v>
      </x:c>
      <x:c r="H337" s="15" t="str">
        <x:v>ROI-Based Portfolio</x:v>
      </x:c>
      <x:c r="I337" s="15" t="n">
        <x:v>35</x:v>
      </x:c>
      <x:c r="J337" s="15" t="n">
        <x:v>10</x:v>
      </x:c>
      <x:c r="K337" s="23" t="n">
        <x:f>IF(G337="",0,IF(G337&lt;1,0,IF(G337&lt;2,20,IF(G337&lt;3,30,IF(G337&lt;5,40,50)))))*'Scenario Controls'!$B$22/50</x:f>
        <x:v>20</x:v>
      </x:c>
      <x:c r="L337" s="23" t="n">
        <x:f>IF(ISNUMBER(SEARCH("Must Do",AG337)),25,IF(ISNUMBER(SEARCH("Must Have",AG337)),18,IF(ISNUMBER(SEARCH("Deprior",AG337)),5,0)))*'Scenario Controls'!$B$23/25</x:f>
        <x:v>25</x:v>
      </x:c>
      <x:c r="M337" s="23" t="n">
        <x:f>J337*'Scenario Controls'!$B$24/15</x:f>
        <x:v>10</x:v>
      </x:c>
      <x:c r="N337" s="23" t="n">
        <x:f>IF(ISNUMBER(SEARCH("HEALTHY",X337)),10,IF(ISNUMBER(SEARCH("CONTAIN",X337)),6,0))*'Scenario Controls'!$B$25/10</x:f>
        <x:v>10</x:v>
      </x:c>
      <x:c r="O337" s="23" t="n">
        <x:f>SUM(K337:N337)</x:f>
        <x:v>65</x:v>
      </x:c>
      <x:c r="P337" s="15" t="str">
        <x:f>IF(OR(B337="",E337&lt;=0),"Evidence missing / not eligible",IF(ISNUMBER(SEARCH("priority TBD",Y337)),"Evidence missing / not eligible",IF(AND(H337="Carryover",NOT(ISNUMBER(F337))),"Evidence missing / not eligible",IF(AND(H337="Carryover",G337&lt;'Scenario Controls'!$B$16),"Evidence missing / not eligible",IF(AND(H337="ROI-Based Portfolio",NOT(ISNUMBER(F337))),"Evidence missing / not eligible",IF(AND(H337="ROI-Based Portfolio",O337&lt;'Scenario Controls'!$B$20),"Evidence missing / not eligible","Eligible"))))))</x:f>
        <x:v>Eligible</x:v>
      </x:c>
      <x:c r="Q337" s="19" t="n">
        <x:f>IF(P337&lt;&gt;"Eligible",0,IF(AND(SUMIFS($Q$5:Q336,$H$5:H336,H337)+E337&lt;=(IF(H337="LFR",'Scenario Controls'!$F$10,IF(H337="Sustain Engineering",'Scenario Controls'!$F$11,IF(H337="Hygiene",'Scenario Controls'!$F$12,1E+99))))*(1+'Scenario Controls'!$B$7),SUM($Q$5:Q336)+E337&lt;='Scenario Controls'!$B$6*(1+'Scenario Controls'!$B$7)),E337,0))</x:f>
        <x:v>0.171</x:v>
      </x:c>
      <x:c r="R337" s="24" t="str">
        <x:f>'EW Conference'!G156</x:f>
        <x:v>Automatic</x:v>
      </x:c>
      <x:c r="S337" s="24" t="str">
        <x:f>'EW Conference'!H156</x:f>
      </x:c>
      <x:c r="T337" s="19" t="n">
        <x:f>IF(R337="Exclude",0,IF(R337="Include",E337,Q337))</x:f>
        <x:v>0.171</x:v>
      </x:c>
      <x:c r="U337" s="15" t="str">
        <x:f>IF(T337&gt;0,"Funded",IF(P337="Eligible","Unfunded",P337))</x:f>
        <x:v>Funded</x:v>
      </x:c>
      <x:c r="V337" s="15" t="str">
        <x:f>IF(R337="Include","Conference inclusion: "&amp;S337,IF(R337="Exclude","Conference exclusion: "&amp;S337,IF(Q337&gt;0,H337&amp;" priority rank "&amp;I337&amp;"; whole initiative selected",P337)))</x:f>
        <x:v>ROI-Based Portfolio priority rank 35; whole initiative selected</x:v>
      </x:c>
      <x:c r="W337" s="15" t="str">
        <x:v>EW!58</x:v>
      </x:c>
      <x:c r="X337" s="15" t="str">
        <x:v>HEALTHY</x:v>
      </x:c>
      <x:c r="Y337" s="15" t="str">
        <x:v>HEALTHY — Rank in priority matrix</x:v>
      </x:c>
      <x:c r="Z337" s="15" t="str">
        <x:v>Legal Fiscal, Regulatory &amp; Compliancy</x:v>
      </x:c>
      <x:c r="AA337" s="15" t="str">
        <x:v>New Initiative</x:v>
      </x:c>
      <x:c r="AB337" s="15" t="str">
        <x:v>Group Functions &amp; Hyperautomation IT</x:v>
      </x:c>
      <x:c r="AC337" s="15" t="str">
        <x:v>1) The drive in ICoFR and PIA to develop control and audit capabilities in support of LFR, People led AI powered Philips, ICoFR Roadmap will not be delivered</x:v>
      </x:c>
      <x:c r="AD337" s="15" t="str">
        <x:v>MCP servers - Allows IC, RISk and Audit teams to seamlessly interface with Optro via LLM and provides signifcant opportunities for teams' quality and efficiency improvements. Fieldwork Automation: Includes Population Verification,</x:v>
      </x:c>
      <x:c r="AE337" s="15" t="str">
        <x:v>All existing modules of Optro but especially the OpsAudit, ControlsMngmt and RiskOversight will benefit from Optro Accelerate.</x:v>
      </x:c>
      <x:c r="AF337" s="15" t="str">
        <x:v>1) The drive in ICoFR and PIA to develop control and audit capabilities in support of LFR, People led AI powered Philips, ICoFR Roadmap will not be delivered | MCP servers - Allows IC, RISk and Audit teams to seamlessly interface with Optro via LLM and provides signifcant opportunities for teams' quality and efficiency improvements. Fieldwork Automation: Includes Population Verification, | All existing modules of Optro but especially the OpsAudit, ControlsMngmt and RiskOversight will benefit from Optro Accelerate.</x:v>
      </x:c>
      <x:c r="AG337" s="15" t="str">
        <x:v>Must Do</x:v>
      </x:c>
      <x:c r="AH337" s="15" t="n">
        <x:v>60</x:v>
      </x:c>
    </x:row>
    <x:row r="338">
      <x:c r="A338" s="15" t="str">
        <x:v>EW-81</x:v>
      </x:c>
      <x:c r="B338" s="15" t="str">
        <x:v>FIN-Digital Accounting Operation</x:v>
      </x:c>
      <x:c r="C338" s="15" t="str">
        <x:v>EW Led</x:v>
      </x:c>
      <x:c r="D338" s="15" t="str">
        <x:v>Finance</x:v>
      </x:c>
      <x:c r="E338" s="19" t="n">
        <x:v>0.3</x:v>
      </x:c>
      <x:c r="F338" s="19" t="n">
        <x:v>0.56</x:v>
      </x:c>
      <x:c r="G338" s="22" t="n">
        <x:f>IF(AND(E338&gt;0,ISNUMBER(F338)),F338/E338,"")</x:f>
        <x:v>1.866666666666667</x:v>
      </x:c>
      <x:c r="H338" s="15" t="str">
        <x:v>ROI-Based Portfolio</x:v>
      </x:c>
      <x:c r="I338" s="15" t="n">
        <x:v>36</x:v>
      </x:c>
      <x:c r="J338" s="15" t="n">
        <x:v>5</x:v>
      </x:c>
      <x:c r="K338" s="23" t="n">
        <x:f>IF(G338="",0,IF(G338&lt;1,0,IF(G338&lt;2,20,IF(G338&lt;3,30,IF(G338&lt;5,40,50)))))*'Scenario Controls'!$B$22/50</x:f>
        <x:v>20</x:v>
      </x:c>
      <x:c r="L338" s="23" t="n">
        <x:f>IF(ISNUMBER(SEARCH("Must Do",AG338)),25,IF(ISNUMBER(SEARCH("Must Have",AG338)),18,IF(ISNUMBER(SEARCH("Deprior",AG338)),5,0)))*'Scenario Controls'!$B$23/25</x:f>
        <x:v>25</x:v>
      </x:c>
      <x:c r="M338" s="23" t="n">
        <x:f>J338*'Scenario Controls'!$B$24/15</x:f>
        <x:v>5</x:v>
      </x:c>
      <x:c r="N338" s="23" t="n">
        <x:f>IF(ISNUMBER(SEARCH("HEALTHY",X338)),10,IF(ISNUMBER(SEARCH("CONTAIN",X338)),6,0))*'Scenario Controls'!$B$25/10</x:f>
        <x:v>10</x:v>
      </x:c>
      <x:c r="O338" s="23" t="n">
        <x:f>SUM(K338:N338)</x:f>
        <x:v>60</x:v>
      </x:c>
      <x:c r="P338" s="15" t="str">
        <x:f>IF(OR(B338="",E338&lt;=0),"Evidence missing / not eligible",IF(ISNUMBER(SEARCH("priority TBD",Y338)),"Evidence missing / not eligible",IF(AND(H338="Carryover",NOT(ISNUMBER(F338))),"Evidence missing / not eligible",IF(AND(H338="Carryover",G338&lt;'Scenario Controls'!$B$16),"Evidence missing / not eligible",IF(AND(H338="ROI-Based Portfolio",NOT(ISNUMBER(F338))),"Evidence missing / not eligible",IF(AND(H338="ROI-Based Portfolio",O338&lt;'Scenario Controls'!$B$20),"Evidence missing / not eligible","Eligible"))))))</x:f>
        <x:v>Eligible</x:v>
      </x:c>
      <x:c r="Q338" s="19" t="n">
        <x:f>IF(P338&lt;&gt;"Eligible",0,IF(AND(SUMIFS($Q$5:Q337,$H$5:H337,H338)+E338&lt;=(IF(H338="LFR",'Scenario Controls'!$F$10,IF(H338="Sustain Engineering",'Scenario Controls'!$F$11,IF(H338="Hygiene",'Scenario Controls'!$F$12,1E+99))))*(1+'Scenario Controls'!$B$7),SUM($Q$5:Q337)+E338&lt;='Scenario Controls'!$B$6*(1+'Scenario Controls'!$B$7)),E338,0))</x:f>
        <x:v>0.3</x:v>
      </x:c>
      <x:c r="R338" s="24" t="str">
        <x:f>'EW Conference'!G157</x:f>
        <x:v>Automatic</x:v>
      </x:c>
      <x:c r="S338" s="24" t="str">
        <x:f>'EW Conference'!H157</x:f>
      </x:c>
      <x:c r="T338" s="19" t="n">
        <x:f>IF(R338="Exclude",0,IF(R338="Include",E338,Q338))</x:f>
        <x:v>0.3</x:v>
      </x:c>
      <x:c r="U338" s="15" t="str">
        <x:f>IF(T338&gt;0,"Funded",IF(P338="Eligible","Unfunded",P338))</x:f>
        <x:v>Funded</x:v>
      </x:c>
      <x:c r="V338" s="15" t="str">
        <x:f>IF(R338="Include","Conference inclusion: "&amp;S338,IF(R338="Exclude","Conference exclusion: "&amp;S338,IF(Q338&gt;0,H338&amp;" priority rank "&amp;I338&amp;"; whole initiative selected",P338)))</x:f>
        <x:v>ROI-Based Portfolio priority rank 36; whole initiative selected</x:v>
      </x:c>
      <x:c r="W338" s="15" t="str">
        <x:v>EW!77</x:v>
      </x:c>
      <x:c r="X338" s="15" t="str">
        <x:v>HEALTHY</x:v>
      </x:c>
      <x:c r="Y338" s="15" t="str">
        <x:v>HEALTHY — Rank in priority matrix</x:v>
      </x:c>
      <x:c r="Z338" s="15" t="str">
        <x:v>AI Enablement</x:v>
      </x:c>
      <x:c r="AA338" s="15" t="str">
        <x:v>New Initiative</x:v>
      </x:c>
      <x:c r="AB338" s="15" t="str">
        <x:v>Integrated Supply Chain &amp; Finance</x:v>
      </x:c>
      <x:c r="AC338" s="15" t="str">
        <x:v>Zero Touch Close benefits unrealized; Continued manual accounting operations; AI Big Bets initiative delayed (7 FTEs Saving)</x:v>
      </x:c>
      <x:c r="AD338" s="15" t="str"/>
      <x:c r="AE338" s="15" t="str"/>
      <x:c r="AF338" s="15" t="str">
        <x:v>Zero Touch Close benefits unrealized; Continued manual accounting operations; AI Big Bets initiative delayed (7 FTEs Saving)</x:v>
      </x:c>
      <x:c r="AG338" s="15" t="str">
        <x:v>Must Do</x:v>
      </x:c>
      <x:c r="AH338" s="15" t="n">
        <x:v>79</x:v>
      </x:c>
    </x:row>
    <x:row r="339">
      <x:c r="A339" s="15" t="str">
        <x:v>EW-89</x:v>
      </x:c>
      <x:c r="B339" s="15" t="str">
        <x:v>FIN-Digitalized Financial Insight</x:v>
      </x:c>
      <x:c r="C339" s="15" t="str">
        <x:v>EW Led</x:v>
      </x:c>
      <x:c r="D339" s="15" t="str">
        <x:v>Finance</x:v>
      </x:c>
      <x:c r="E339" s="19" t="n">
        <x:v>0.25</x:v>
      </x:c>
      <x:c r="F339" s="19" t="n">
        <x:v>0.4</x:v>
      </x:c>
      <x:c r="G339" s="22" t="n">
        <x:f>IF(AND(E339&gt;0,ISNUMBER(F339)),F339/E339,"")</x:f>
        <x:v>1.6</x:v>
      </x:c>
      <x:c r="H339" s="15" t="str">
        <x:v>ROI-Based Portfolio</x:v>
      </x:c>
      <x:c r="I339" s="15" t="n">
        <x:v>37</x:v>
      </x:c>
      <x:c r="J339" s="15" t="n">
        <x:v>5</x:v>
      </x:c>
      <x:c r="K339" s="23" t="n">
        <x:f>IF(G339="",0,IF(G339&lt;1,0,IF(G339&lt;2,20,IF(G339&lt;3,30,IF(G339&lt;5,40,50)))))*'Scenario Controls'!$B$22/50</x:f>
        <x:v>20</x:v>
      </x:c>
      <x:c r="L339" s="23" t="n">
        <x:f>IF(ISNUMBER(SEARCH("Must Do",AG339)),25,IF(ISNUMBER(SEARCH("Must Have",AG339)),18,IF(ISNUMBER(SEARCH("Deprior",AG339)),5,0)))*'Scenario Controls'!$B$23/25</x:f>
        <x:v>25</x:v>
      </x:c>
      <x:c r="M339" s="23" t="n">
        <x:f>J339*'Scenario Controls'!$B$24/15</x:f>
        <x:v>5</x:v>
      </x:c>
      <x:c r="N339" s="23" t="n">
        <x:f>IF(ISNUMBER(SEARCH("HEALTHY",X339)),10,IF(ISNUMBER(SEARCH("CONTAIN",X339)),6,0))*'Scenario Controls'!$B$25/10</x:f>
        <x:v>10</x:v>
      </x:c>
      <x:c r="O339" s="23" t="n">
        <x:f>SUM(K339:N339)</x:f>
        <x:v>60</x:v>
      </x:c>
      <x:c r="P339" s="15" t="str">
        <x:f>IF(OR(B339="",E339&lt;=0),"Evidence missing / not eligible",IF(ISNUMBER(SEARCH("priority TBD",Y339)),"Evidence missing / not eligible",IF(AND(H339="Carryover",NOT(ISNUMBER(F339))),"Evidence missing / not eligible",IF(AND(H339="Carryover",G339&lt;'Scenario Controls'!$B$16),"Evidence missing / not eligible",IF(AND(H339="ROI-Based Portfolio",NOT(ISNUMBER(F339))),"Evidence missing / not eligible",IF(AND(H339="ROI-Based Portfolio",O339&lt;'Scenario Controls'!$B$20),"Evidence missing / not eligible","Eligible"))))))</x:f>
        <x:v>Eligible</x:v>
      </x:c>
      <x:c r="Q339" s="19" t="n">
        <x:f>IF(P339&lt;&gt;"Eligible",0,IF(AND(SUMIFS($Q$5:Q338,$H$5:H338,H339)+E339&lt;=(IF(H339="LFR",'Scenario Controls'!$F$10,IF(H339="Sustain Engineering",'Scenario Controls'!$F$11,IF(H339="Hygiene",'Scenario Controls'!$F$12,1E+99))))*(1+'Scenario Controls'!$B$7),SUM($Q$5:Q338)+E339&lt;='Scenario Controls'!$B$6*(1+'Scenario Controls'!$B$7)),E339,0))</x:f>
        <x:v>0.25</x:v>
      </x:c>
      <x:c r="R339" s="24" t="str">
        <x:f>'EW Conference'!G158</x:f>
        <x:v>Automatic</x:v>
      </x:c>
      <x:c r="S339" s="24" t="str">
        <x:f>'EW Conference'!H158</x:f>
      </x:c>
      <x:c r="T339" s="19" t="n">
        <x:f>IF(R339="Exclude",0,IF(R339="Include",E339,Q339))</x:f>
        <x:v>0.25</x:v>
      </x:c>
      <x:c r="U339" s="15" t="str">
        <x:f>IF(T339&gt;0,"Funded",IF(P339="Eligible","Unfunded",P339))</x:f>
        <x:v>Funded</x:v>
      </x:c>
      <x:c r="V339" s="15" t="str">
        <x:f>IF(R339="Include","Conference inclusion: "&amp;S339,IF(R339="Exclude","Conference exclusion: "&amp;S339,IF(Q339&gt;0,H339&amp;" priority rank "&amp;I339&amp;"; whole initiative selected",P339)))</x:f>
        <x:v>ROI-Based Portfolio priority rank 37; whole initiative selected</x:v>
      </x:c>
      <x:c r="W339" s="15" t="str">
        <x:v>EW!85</x:v>
      </x:c>
      <x:c r="X339" s="15" t="str">
        <x:v>HEALTHY</x:v>
      </x:c>
      <x:c r="Y339" s="15" t="str">
        <x:v>HEALTHY — Rank in priority matrix</x:v>
      </x:c>
      <x:c r="Z339" s="15" t="str">
        <x:v>AI Enablement</x:v>
      </x:c>
      <x:c r="AA339" s="15" t="str">
        <x:v>New Initiative</x:v>
      </x:c>
      <x:c r="AB339" s="15" t="str">
        <x:v>Integrated Supply Chain &amp; Finance</x:v>
      </x:c>
      <x:c r="AC339" s="15" t="str">
        <x:v>TSR Dashboard enhancements not delivered; Limited financial insights; (5 FTEs)</x:v>
      </x:c>
      <x:c r="AD339" s="15" t="str"/>
      <x:c r="AE339" s="15" t="str"/>
      <x:c r="AF339" s="15" t="str">
        <x:v>TSR Dashboard enhancements not delivered; Limited financial insights; (5 FTEs)</x:v>
      </x:c>
      <x:c r="AG339" s="15" t="str">
        <x:v>Must Do</x:v>
      </x:c>
      <x:c r="AH339" s="15" t="n">
        <x:v>87</x:v>
      </x:c>
    </x:row>
    <x:row r="340">
      <x:c r="A340" s="15" t="str">
        <x:v>EW-87</x:v>
      </x:c>
      <x:c r="B340" s="15" t="str">
        <x:v>FIN-P2P vendor inquiry chat bot automation &amp; other AI iniciatives</x:v>
      </x:c>
      <x:c r="C340" s="15" t="str">
        <x:v>EW Led</x:v>
      </x:c>
      <x:c r="D340" s="15" t="str">
        <x:v>Finance</x:v>
      </x:c>
      <x:c r="E340" s="19" t="n">
        <x:v>0.15</x:v>
      </x:c>
      <x:c r="F340" s="19" t="n">
        <x:v>0.18</x:v>
      </x:c>
      <x:c r="G340" s="22" t="n">
        <x:f>IF(AND(E340&gt;0,ISNUMBER(F340)),F340/E340,"")</x:f>
        <x:v>1.2</x:v>
      </x:c>
      <x:c r="H340" s="15" t="str">
        <x:v>ROI-Based Portfolio</x:v>
      </x:c>
      <x:c r="I340" s="15" t="n">
        <x:v>38</x:v>
      </x:c>
      <x:c r="J340" s="15" t="n">
        <x:v>5</x:v>
      </x:c>
      <x:c r="K340" s="23" t="n">
        <x:f>IF(G340="",0,IF(G340&lt;1,0,IF(G340&lt;2,20,IF(G340&lt;3,30,IF(G340&lt;5,40,50)))))*'Scenario Controls'!$B$22/50</x:f>
        <x:v>20</x:v>
      </x:c>
      <x:c r="L340" s="23" t="n">
        <x:f>IF(ISNUMBER(SEARCH("Must Do",AG340)),25,IF(ISNUMBER(SEARCH("Must Have",AG340)),18,IF(ISNUMBER(SEARCH("Deprior",AG340)),5,0)))*'Scenario Controls'!$B$23/25</x:f>
        <x:v>25</x:v>
      </x:c>
      <x:c r="M340" s="23" t="n">
        <x:f>J340*'Scenario Controls'!$B$24/15</x:f>
        <x:v>5</x:v>
      </x:c>
      <x:c r="N340" s="23" t="n">
        <x:f>IF(ISNUMBER(SEARCH("HEALTHY",X340)),10,IF(ISNUMBER(SEARCH("CONTAIN",X340)),6,0))*'Scenario Controls'!$B$25/10</x:f>
        <x:v>10</x:v>
      </x:c>
      <x:c r="O340" s="23" t="n">
        <x:f>SUM(K340:N340)</x:f>
        <x:v>60</x:v>
      </x:c>
      <x:c r="P340" s="15" t="str">
        <x:f>IF(OR(B340="",E340&lt;=0),"Evidence missing / not eligible",IF(ISNUMBER(SEARCH("priority TBD",Y340)),"Evidence missing / not eligible",IF(AND(H340="Carryover",NOT(ISNUMBER(F340))),"Evidence missing / not eligible",IF(AND(H340="Carryover",G340&lt;'Scenario Controls'!$B$16),"Evidence missing / not eligible",IF(AND(H340="ROI-Based Portfolio",NOT(ISNUMBER(F340))),"Evidence missing / not eligible",IF(AND(H340="ROI-Based Portfolio",O340&lt;'Scenario Controls'!$B$20),"Evidence missing / not eligible","Eligible"))))))</x:f>
        <x:v>Eligible</x:v>
      </x:c>
      <x:c r="Q340" s="19" t="n">
        <x:f>IF(P340&lt;&gt;"Eligible",0,IF(AND(SUMIFS($Q$5:Q339,$H$5:H339,H340)+E340&lt;=(IF(H340="LFR",'Scenario Controls'!$F$10,IF(H340="Sustain Engineering",'Scenario Controls'!$F$11,IF(H340="Hygiene",'Scenario Controls'!$F$12,1E+99))))*(1+'Scenario Controls'!$B$7),SUM($Q$5:Q339)+E340&lt;='Scenario Controls'!$B$6*(1+'Scenario Controls'!$B$7)),E340,0))</x:f>
        <x:v>0.15</x:v>
      </x:c>
      <x:c r="R340" s="24" t="str">
        <x:f>'EW Conference'!G159</x:f>
        <x:v>Automatic</x:v>
      </x:c>
      <x:c r="S340" s="24" t="str">
        <x:f>'EW Conference'!H159</x:f>
      </x:c>
      <x:c r="T340" s="19" t="n">
        <x:f>IF(R340="Exclude",0,IF(R340="Include",E340,Q340))</x:f>
        <x:v>0.15</x:v>
      </x:c>
      <x:c r="U340" s="15" t="str">
        <x:f>IF(T340&gt;0,"Funded",IF(P340="Eligible","Unfunded",P340))</x:f>
        <x:v>Funded</x:v>
      </x:c>
      <x:c r="V340" s="15" t="str">
        <x:f>IF(R340="Include","Conference inclusion: "&amp;S340,IF(R340="Exclude","Conference exclusion: "&amp;S340,IF(Q340&gt;0,H340&amp;" priority rank "&amp;I340&amp;"; whole initiative selected",P340)))</x:f>
        <x:v>ROI-Based Portfolio priority rank 38; whole initiative selected</x:v>
      </x:c>
      <x:c r="W340" s="15" t="str">
        <x:v>EW!83</x:v>
      </x:c>
      <x:c r="X340" s="15" t="str">
        <x:v>HEALTHY</x:v>
      </x:c>
      <x:c r="Y340" s="15" t="str">
        <x:v>HEALTHY — Rank in priority matrix</x:v>
      </x:c>
      <x:c r="Z340" s="15" t="str">
        <x:v>AI Enablement</x:v>
      </x:c>
      <x:c r="AA340" s="15" t="str">
        <x:v>New Initiative</x:v>
      </x:c>
      <x:c r="AB340" s="15" t="str">
        <x:v>Integrated Supply Chain &amp; Finance</x:v>
      </x:c>
      <x:c r="AC340" s="15" t="str">
        <x:v>Loss of €180K annual savings; No SNOW integration; Vendor reconciliation manual; PO copy download unavailable (9FTE)</x:v>
      </x:c>
      <x:c r="AD340" s="15" t="str"/>
      <x:c r="AE340" s="15" t="str"/>
      <x:c r="AF340" s="15" t="str">
        <x:v>Loss of €180K annual savings; No SNOW integration; Vendor reconciliation manual; PO copy download unavailable (9FTE)</x:v>
      </x:c>
      <x:c r="AG340" s="15" t="str">
        <x:v>Must Do</x:v>
      </x:c>
      <x:c r="AH340" s="15" t="n">
        <x:v>85</x:v>
      </x:c>
    </x:row>
    <x:row r="341">
      <x:c r="A341" s="15" t="str">
        <x:v>EW-79</x:v>
      </x:c>
      <x:c r="B341" s="15" t="str">
        <x:v>FIN-Communication mining for P2P queries</x:v>
      </x:c>
      <x:c r="C341" s="15" t="str">
        <x:v>EW Led</x:v>
      </x:c>
      <x:c r="D341" s="15" t="str">
        <x:v>Finance</x:v>
      </x:c>
      <x:c r="E341" s="19" t="n">
        <x:v>0.1</x:v>
      </x:c>
      <x:c r="F341" s="19" t="n">
        <x:v>0.1</x:v>
      </x:c>
      <x:c r="G341" s="22" t="n">
        <x:f>IF(AND(E341&gt;0,ISNUMBER(F341)),F341/E341,"")</x:f>
        <x:v>1</x:v>
      </x:c>
      <x:c r="H341" s="15" t="str">
        <x:v>ROI-Based Portfolio</x:v>
      </x:c>
      <x:c r="I341" s="15" t="n">
        <x:v>39</x:v>
      </x:c>
      <x:c r="J341" s="15" t="n">
        <x:v>5</x:v>
      </x:c>
      <x:c r="K341" s="23" t="n">
        <x:f>IF(G341="",0,IF(G341&lt;1,0,IF(G341&lt;2,20,IF(G341&lt;3,30,IF(G341&lt;5,40,50)))))*'Scenario Controls'!$B$22/50</x:f>
        <x:v>20</x:v>
      </x:c>
      <x:c r="L341" s="23" t="n">
        <x:f>IF(ISNUMBER(SEARCH("Must Do",AG341)),25,IF(ISNUMBER(SEARCH("Must Have",AG341)),18,IF(ISNUMBER(SEARCH("Deprior",AG341)),5,0)))*'Scenario Controls'!$B$23/25</x:f>
        <x:v>25</x:v>
      </x:c>
      <x:c r="M341" s="23" t="n">
        <x:f>J341*'Scenario Controls'!$B$24/15</x:f>
        <x:v>5</x:v>
      </x:c>
      <x:c r="N341" s="23" t="n">
        <x:f>IF(ISNUMBER(SEARCH("HEALTHY",X341)),10,IF(ISNUMBER(SEARCH("CONTAIN",X341)),6,0))*'Scenario Controls'!$B$25/10</x:f>
        <x:v>10</x:v>
      </x:c>
      <x:c r="O341" s="23" t="n">
        <x:f>SUM(K341:N341)</x:f>
        <x:v>60</x:v>
      </x:c>
      <x:c r="P341" s="15" t="str">
        <x:f>IF(OR(B341="",E341&lt;=0),"Evidence missing / not eligible",IF(ISNUMBER(SEARCH("priority TBD",Y341)),"Evidence missing / not eligible",IF(AND(H341="Carryover",NOT(ISNUMBER(F341))),"Evidence missing / not eligible",IF(AND(H341="Carryover",G341&lt;'Scenario Controls'!$B$16),"Evidence missing / not eligible",IF(AND(H341="ROI-Based Portfolio",NOT(ISNUMBER(F341))),"Evidence missing / not eligible",IF(AND(H341="ROI-Based Portfolio",O341&lt;'Scenario Controls'!$B$20),"Evidence missing / not eligible","Eligible"))))))</x:f>
        <x:v>Eligible</x:v>
      </x:c>
      <x:c r="Q341" s="19" t="n">
        <x:f>IF(P341&lt;&gt;"Eligible",0,IF(AND(SUMIFS($Q$5:Q340,$H$5:H340,H341)+E341&lt;=(IF(H341="LFR",'Scenario Controls'!$F$10,IF(H341="Sustain Engineering",'Scenario Controls'!$F$11,IF(H341="Hygiene",'Scenario Controls'!$F$12,1E+99))))*(1+'Scenario Controls'!$B$7),SUM($Q$5:Q340)+E341&lt;='Scenario Controls'!$B$6*(1+'Scenario Controls'!$B$7)),E341,0))</x:f>
        <x:v>0.1</x:v>
      </x:c>
      <x:c r="R341" s="24" t="str">
        <x:f>'EW Conference'!G160</x:f>
        <x:v>Automatic</x:v>
      </x:c>
      <x:c r="S341" s="24" t="str">
        <x:f>'EW Conference'!H160</x:f>
      </x:c>
      <x:c r="T341" s="19" t="n">
        <x:f>IF(R341="Exclude",0,IF(R341="Include",E341,Q341))</x:f>
        <x:v>0.1</x:v>
      </x:c>
      <x:c r="U341" s="15" t="str">
        <x:f>IF(T341&gt;0,"Funded",IF(P341="Eligible","Unfunded",P341))</x:f>
        <x:v>Funded</x:v>
      </x:c>
      <x:c r="V341" s="15" t="str">
        <x:f>IF(R341="Include","Conference inclusion: "&amp;S341,IF(R341="Exclude","Conference exclusion: "&amp;S341,IF(Q341&gt;0,H341&amp;" priority rank "&amp;I341&amp;"; whole initiative selected",P341)))</x:f>
        <x:v>ROI-Based Portfolio priority rank 39; whole initiative selected</x:v>
      </x:c>
      <x:c r="W341" s="15" t="str">
        <x:v>EW!75</x:v>
      </x:c>
      <x:c r="X341" s="15" t="str">
        <x:v>HEALTHY</x:v>
      </x:c>
      <x:c r="Y341" s="15" t="str">
        <x:v>HEALTHY — Rank in priority matrix</x:v>
      </x:c>
      <x:c r="Z341" s="15" t="str">
        <x:v>AI Enablement</x:v>
      </x:c>
      <x:c r="AA341" s="15" t="str">
        <x:v>New Initiative</x:v>
      </x:c>
      <x:c r="AB341" s="15" t="str">
        <x:v>Integrated Supply Chain &amp; Finance</x:v>
      </x:c>
      <x:c r="AC341" s="15" t="str">
        <x:v>Manual email classification and allocation; Inefficient query handling (5FTEs)</x:v>
      </x:c>
      <x:c r="AD341" s="15" t="str"/>
      <x:c r="AE341" s="15" t="str"/>
      <x:c r="AF341" s="15" t="str">
        <x:v>Manual email classification and allocation; Inefficient query handling (5FTEs)</x:v>
      </x:c>
      <x:c r="AG341" s="15" t="str">
        <x:v>Must Do</x:v>
      </x:c>
      <x:c r="AH341" s="15" t="n">
        <x:v>77</x:v>
      </x:c>
    </x:row>
    <x:row r="342">
      <x:c r="A342" s="15" t="str">
        <x:v>EW-80</x:v>
      </x:c>
      <x:c r="B342" s="15" t="str">
        <x:v>FIN-Concur Request integration with Travel &amp; Joule implementation &amp; AI Audit tool</x:v>
      </x:c>
      <x:c r="C342" s="15" t="str">
        <x:v>EW Led</x:v>
      </x:c>
      <x:c r="D342" s="15" t="str">
        <x:v>Finance</x:v>
      </x:c>
      <x:c r="E342" s="19" t="n">
        <x:v>0.15</x:v>
      </x:c>
      <x:c r="F342" s="19" t="n">
        <x:v>0.15</x:v>
      </x:c>
      <x:c r="G342" s="22" t="n">
        <x:f>IF(AND(E342&gt;0,ISNUMBER(F342)),F342/E342,"")</x:f>
        <x:v>1</x:v>
      </x:c>
      <x:c r="H342" s="15" t="str">
        <x:v>ROI-Based Portfolio</x:v>
      </x:c>
      <x:c r="I342" s="15" t="n">
        <x:v>40</x:v>
      </x:c>
      <x:c r="J342" s="15" t="n">
        <x:v>5</x:v>
      </x:c>
      <x:c r="K342" s="23" t="n">
        <x:f>IF(G342="",0,IF(G342&lt;1,0,IF(G342&lt;2,20,IF(G342&lt;3,30,IF(G342&lt;5,40,50)))))*'Scenario Controls'!$B$22/50</x:f>
        <x:v>20</x:v>
      </x:c>
      <x:c r="L342" s="23" t="n">
        <x:f>IF(ISNUMBER(SEARCH("Must Do",AG342)),25,IF(ISNUMBER(SEARCH("Must Have",AG342)),18,IF(ISNUMBER(SEARCH("Deprior",AG342)),5,0)))*'Scenario Controls'!$B$23/25</x:f>
        <x:v>25</x:v>
      </x:c>
      <x:c r="M342" s="23" t="n">
        <x:f>J342*'Scenario Controls'!$B$24/15</x:f>
        <x:v>5</x:v>
      </x:c>
      <x:c r="N342" s="23" t="n">
        <x:f>IF(ISNUMBER(SEARCH("HEALTHY",X342)),10,IF(ISNUMBER(SEARCH("CONTAIN",X342)),6,0))*'Scenario Controls'!$B$25/10</x:f>
        <x:v>10</x:v>
      </x:c>
      <x:c r="O342" s="23" t="n">
        <x:f>SUM(K342:N342)</x:f>
        <x:v>60</x:v>
      </x:c>
      <x:c r="P342" s="15" t="str">
        <x:f>IF(OR(B342="",E342&lt;=0),"Evidence missing / not eligible",IF(ISNUMBER(SEARCH("priority TBD",Y342)),"Evidence missing / not eligible",IF(AND(H342="Carryover",NOT(ISNUMBER(F342))),"Evidence missing / not eligible",IF(AND(H342="Carryover",G342&lt;'Scenario Controls'!$B$16),"Evidence missing / not eligible",IF(AND(H342="ROI-Based Portfolio",NOT(ISNUMBER(F342))),"Evidence missing / not eligible",IF(AND(H342="ROI-Based Portfolio",O342&lt;'Scenario Controls'!$B$20),"Evidence missing / not eligible","Eligible"))))))</x:f>
        <x:v>Eligible</x:v>
      </x:c>
      <x:c r="Q342" s="19" t="n">
        <x:f>IF(P342&lt;&gt;"Eligible",0,IF(AND(SUMIFS($Q$5:Q341,$H$5:H341,H342)+E342&lt;=(IF(H342="LFR",'Scenario Controls'!$F$10,IF(H342="Sustain Engineering",'Scenario Controls'!$F$11,IF(H342="Hygiene",'Scenario Controls'!$F$12,1E+99))))*(1+'Scenario Controls'!$B$7),SUM($Q$5:Q341)+E342&lt;='Scenario Controls'!$B$6*(1+'Scenario Controls'!$B$7)),E342,0))</x:f>
        <x:v>0.15</x:v>
      </x:c>
      <x:c r="R342" s="24" t="str">
        <x:f>'EW Conference'!G161</x:f>
        <x:v>Automatic</x:v>
      </x:c>
      <x:c r="S342" s="24" t="str">
        <x:f>'EW Conference'!H161</x:f>
      </x:c>
      <x:c r="T342" s="19" t="n">
        <x:f>IF(R342="Exclude",0,IF(R342="Include",E342,Q342))</x:f>
        <x:v>0.15</x:v>
      </x:c>
      <x:c r="U342" s="15" t="str">
        <x:f>IF(T342&gt;0,"Funded",IF(P342="Eligible","Unfunded",P342))</x:f>
        <x:v>Funded</x:v>
      </x:c>
      <x:c r="V342" s="15" t="str">
        <x:f>IF(R342="Include","Conference inclusion: "&amp;S342,IF(R342="Exclude","Conference exclusion: "&amp;S342,IF(Q342&gt;0,H342&amp;" priority rank "&amp;I342&amp;"; whole initiative selected",P342)))</x:f>
        <x:v>ROI-Based Portfolio priority rank 40; whole initiative selected</x:v>
      </x:c>
      <x:c r="W342" s="15" t="str">
        <x:v>EW!76</x:v>
      </x:c>
      <x:c r="X342" s="15" t="str">
        <x:v>HEALTHY</x:v>
      </x:c>
      <x:c r="Y342" s="15" t="str">
        <x:v>HEALTHY — Rank in priority matrix</x:v>
      </x:c>
      <x:c r="Z342" s="15" t="str">
        <x:v>AI Enablement</x:v>
      </x:c>
      <x:c r="AA342" s="15" t="str">
        <x:v>New Initiative</x:v>
      </x:c>
      <x:c r="AB342" s="15" t="str">
        <x:v>Integrated Supply Chain &amp; Finance</x:v>
      </x:c>
      <x:c r="AC342" s="15" t="str">
        <x:v>Gap between travel request approval and actual booking remains; BTA spend approval not evidenced; aRBAM approval cannot be removed</x:v>
      </x:c>
      <x:c r="AD342" s="15" t="str"/>
      <x:c r="AE342" s="15" t="str"/>
      <x:c r="AF342" s="15" t="str">
        <x:v>Gap between travel request approval and actual booking remains; BTA spend approval not evidenced; aRBAM approval cannot be removed</x:v>
      </x:c>
      <x:c r="AG342" s="15" t="str">
        <x:v>Must Do</x:v>
      </x:c>
      <x:c r="AH342" s="15" t="n">
        <x:v>78</x:v>
      </x:c>
    </x:row>
    <x:row r="343">
      <x:c r="A343" s="15" t="str">
        <x:v>EW-83</x:v>
      </x:c>
      <x:c r="B343" s="15" t="str">
        <x:v>FIN-Form 1099/1042 withholding tax process improvements</x:v>
      </x:c>
      <x:c r="C343" s="15" t="str">
        <x:v>EW Led</x:v>
      </x:c>
      <x:c r="D343" s="15" t="str">
        <x:v>Finance</x:v>
      </x:c>
      <x:c r="E343" s="19" t="n">
        <x:v>0.05</x:v>
      </x:c>
      <x:c r="F343" s="19" t="n">
        <x:v>0.05</x:v>
      </x:c>
      <x:c r="G343" s="22" t="n">
        <x:f>IF(AND(E343&gt;0,ISNUMBER(F343)),F343/E343,"")</x:f>
        <x:v>1</x:v>
      </x:c>
      <x:c r="H343" s="15" t="str">
        <x:v>ROI-Based Portfolio</x:v>
      </x:c>
      <x:c r="I343" s="15" t="n">
        <x:v>41</x:v>
      </x:c>
      <x:c r="J343" s="15" t="n">
        <x:v>5</x:v>
      </x:c>
      <x:c r="K343" s="23" t="n">
        <x:f>IF(G343="",0,IF(G343&lt;1,0,IF(G343&lt;2,20,IF(G343&lt;3,30,IF(G343&lt;5,40,50)))))*'Scenario Controls'!$B$22/50</x:f>
        <x:v>20</x:v>
      </x:c>
      <x:c r="L343" s="23" t="n">
        <x:f>IF(ISNUMBER(SEARCH("Must Do",AG343)),25,IF(ISNUMBER(SEARCH("Must Have",AG343)),18,IF(ISNUMBER(SEARCH("Deprior",AG343)),5,0)))*'Scenario Controls'!$B$23/25</x:f>
        <x:v>25</x:v>
      </x:c>
      <x:c r="M343" s="23" t="n">
        <x:f>J343*'Scenario Controls'!$B$24/15</x:f>
        <x:v>5</x:v>
      </x:c>
      <x:c r="N343" s="23" t="n">
        <x:f>IF(ISNUMBER(SEARCH("HEALTHY",X343)),10,IF(ISNUMBER(SEARCH("CONTAIN",X343)),6,0))*'Scenario Controls'!$B$25/10</x:f>
        <x:v>10</x:v>
      </x:c>
      <x:c r="O343" s="23" t="n">
        <x:f>SUM(K343:N343)</x:f>
        <x:v>60</x:v>
      </x:c>
      <x:c r="P343" s="15" t="str">
        <x:f>IF(OR(B343="",E343&lt;=0),"Evidence missing / not eligible",IF(ISNUMBER(SEARCH("priority TBD",Y343)),"Evidence missing / not eligible",IF(AND(H343="Carryover",NOT(ISNUMBER(F343))),"Evidence missing / not eligible",IF(AND(H343="Carryover",G343&lt;'Scenario Controls'!$B$16),"Evidence missing / not eligible",IF(AND(H343="ROI-Based Portfolio",NOT(ISNUMBER(F343))),"Evidence missing / not eligible",IF(AND(H343="ROI-Based Portfolio",O343&lt;'Scenario Controls'!$B$20),"Evidence missing / not eligible","Eligible"))))))</x:f>
        <x:v>Eligible</x:v>
      </x:c>
      <x:c r="Q343" s="19" t="n">
        <x:f>IF(P343&lt;&gt;"Eligible",0,IF(AND(SUMIFS($Q$5:Q342,$H$5:H342,H343)+E343&lt;=(IF(H343="LFR",'Scenario Controls'!$F$10,IF(H343="Sustain Engineering",'Scenario Controls'!$F$11,IF(H343="Hygiene",'Scenario Controls'!$F$12,1E+99))))*(1+'Scenario Controls'!$B$7),SUM($Q$5:Q342)+E343&lt;='Scenario Controls'!$B$6*(1+'Scenario Controls'!$B$7)),E343,0))</x:f>
        <x:v>0.05</x:v>
      </x:c>
      <x:c r="R343" s="24" t="str">
        <x:f>'EW Conference'!G162</x:f>
        <x:v>Automatic</x:v>
      </x:c>
      <x:c r="S343" s="24" t="str">
        <x:f>'EW Conference'!H162</x:f>
      </x:c>
      <x:c r="T343" s="19" t="n">
        <x:f>IF(R343="Exclude",0,IF(R343="Include",E343,Q343))</x:f>
        <x:v>0.05</x:v>
      </x:c>
      <x:c r="U343" s="15" t="str">
        <x:f>IF(T343&gt;0,"Funded",IF(P343="Eligible","Unfunded",P343))</x:f>
        <x:v>Funded</x:v>
      </x:c>
      <x:c r="V343" s="15" t="str">
        <x:f>IF(R343="Include","Conference inclusion: "&amp;S343,IF(R343="Exclude","Conference exclusion: "&amp;S343,IF(Q343&gt;0,H343&amp;" priority rank "&amp;I343&amp;"; whole initiative selected",P343)))</x:f>
        <x:v>ROI-Based Portfolio priority rank 41; whole initiative selected</x:v>
      </x:c>
      <x:c r="W343" s="15" t="str">
        <x:v>EW!79</x:v>
      </x:c>
      <x:c r="X343" s="15" t="str">
        <x:v>HEALTHY</x:v>
      </x:c>
      <x:c r="Y343" s="15" t="str">
        <x:v>HEALTHY — Rank in priority matrix</x:v>
      </x:c>
      <x:c r="Z343" s="15" t="str">
        <x:v>Legal Fiscal, Regulatory &amp; Compliancy</x:v>
      </x:c>
      <x:c r="AA343" s="15" t="str">
        <x:v>New Initiative</x:v>
      </x:c>
      <x:c r="AB343" s="15" t="str">
        <x:v>Integrated Supply Chain &amp; Finance</x:v>
      </x:c>
      <x:c r="AC343" s="15" t="str">
        <x:v>Withholding tax process deficiencies in NA; Risk of non-compliance with domestic and foreign third-party payment rules</x:v>
      </x:c>
      <x:c r="AD343" s="15" t="str"/>
      <x:c r="AE343" s="15" t="str"/>
      <x:c r="AF343" s="15" t="str">
        <x:v>Withholding tax process deficiencies in NA; Risk of non-compliance with domestic and foreign third-party payment rules</x:v>
      </x:c>
      <x:c r="AG343" s="15" t="str">
        <x:v>Must Do</x:v>
      </x:c>
      <x:c r="AH343" s="15" t="n">
        <x:v>81</x:v>
      </x:c>
    </x:row>
    <x:row r="344">
      <x:c r="A344" s="15" t="str">
        <x:v>EW-85</x:v>
      </x:c>
      <x:c r="B344" s="15" t="str">
        <x:v>FIN-GenAI use cases</x:v>
      </x:c>
      <x:c r="C344" s="15" t="str">
        <x:v>EW Led</x:v>
      </x:c>
      <x:c r="D344" s="15" t="str">
        <x:v>Finance</x:v>
      </x:c>
      <x:c r="E344" s="19" t="n">
        <x:v>0.25</x:v>
      </x:c>
      <x:c r="F344" s="19" t="n">
        <x:v>0.25</x:v>
      </x:c>
      <x:c r="G344" s="22" t="n">
        <x:f>IF(AND(E344&gt;0,ISNUMBER(F344)),F344/E344,"")</x:f>
        <x:v>1</x:v>
      </x:c>
      <x:c r="H344" s="15" t="str">
        <x:v>ROI-Based Portfolio</x:v>
      </x:c>
      <x:c r="I344" s="15" t="n">
        <x:v>42</x:v>
      </x:c>
      <x:c r="J344" s="15" t="n">
        <x:v>5</x:v>
      </x:c>
      <x:c r="K344" s="23" t="n">
        <x:f>IF(G344="",0,IF(G344&lt;1,0,IF(G344&lt;2,20,IF(G344&lt;3,30,IF(G344&lt;5,40,50)))))*'Scenario Controls'!$B$22/50</x:f>
        <x:v>20</x:v>
      </x:c>
      <x:c r="L344" s="23" t="n">
        <x:f>IF(ISNUMBER(SEARCH("Must Do",AG344)),25,IF(ISNUMBER(SEARCH("Must Have",AG344)),18,IF(ISNUMBER(SEARCH("Deprior",AG344)),5,0)))*'Scenario Controls'!$B$23/25</x:f>
        <x:v>25</x:v>
      </x:c>
      <x:c r="M344" s="23" t="n">
        <x:f>J344*'Scenario Controls'!$B$24/15</x:f>
        <x:v>5</x:v>
      </x:c>
      <x:c r="N344" s="23" t="n">
        <x:f>IF(ISNUMBER(SEARCH("HEALTHY",X344)),10,IF(ISNUMBER(SEARCH("CONTAIN",X344)),6,0))*'Scenario Controls'!$B$25/10</x:f>
        <x:v>10</x:v>
      </x:c>
      <x:c r="O344" s="23" t="n">
        <x:f>SUM(K344:N344)</x:f>
        <x:v>60</x:v>
      </x:c>
      <x:c r="P344" s="15" t="str">
        <x:f>IF(OR(B344="",E344&lt;=0),"Evidence missing / not eligible",IF(ISNUMBER(SEARCH("priority TBD",Y344)),"Evidence missing / not eligible",IF(AND(H344="Carryover",NOT(ISNUMBER(F344))),"Evidence missing / not eligible",IF(AND(H344="Carryover",G344&lt;'Scenario Controls'!$B$16),"Evidence missing / not eligible",IF(AND(H344="ROI-Based Portfolio",NOT(ISNUMBER(F344))),"Evidence missing / not eligible",IF(AND(H344="ROI-Based Portfolio",O344&lt;'Scenario Controls'!$B$20),"Evidence missing / not eligible","Eligible"))))))</x:f>
        <x:v>Eligible</x:v>
      </x:c>
      <x:c r="Q344" s="19" t="n">
        <x:f>IF(P344&lt;&gt;"Eligible",0,IF(AND(SUMIFS($Q$5:Q343,$H$5:H343,H344)+E344&lt;=(IF(H344="LFR",'Scenario Controls'!$F$10,IF(H344="Sustain Engineering",'Scenario Controls'!$F$11,IF(H344="Hygiene",'Scenario Controls'!$F$12,1E+99))))*(1+'Scenario Controls'!$B$7),SUM($Q$5:Q343)+E344&lt;='Scenario Controls'!$B$6*(1+'Scenario Controls'!$B$7)),E344,0))</x:f>
        <x:v>0.25</x:v>
      </x:c>
      <x:c r="R344" s="24" t="str">
        <x:f>'EW Conference'!G163</x:f>
        <x:v>Automatic</x:v>
      </x:c>
      <x:c r="S344" s="24" t="str">
        <x:f>'EW Conference'!H163</x:f>
      </x:c>
      <x:c r="T344" s="19" t="n">
        <x:f>IF(R344="Exclude",0,IF(R344="Include",E344,Q344))</x:f>
        <x:v>0.25</x:v>
      </x:c>
      <x:c r="U344" s="15" t="str">
        <x:f>IF(T344&gt;0,"Funded",IF(P344="Eligible","Unfunded",P344))</x:f>
        <x:v>Funded</x:v>
      </x:c>
      <x:c r="V344" s="15" t="str">
        <x:f>IF(R344="Include","Conference inclusion: "&amp;S344,IF(R344="Exclude","Conference exclusion: "&amp;S344,IF(Q344&gt;0,H344&amp;" priority rank "&amp;I344&amp;"; whole initiative selected",P344)))</x:f>
        <x:v>ROI-Based Portfolio priority rank 42; whole initiative selected</x:v>
      </x:c>
      <x:c r="W344" s="15" t="str">
        <x:v>EW!81</x:v>
      </x:c>
      <x:c r="X344" s="15" t="str">
        <x:v>HEALTHY</x:v>
      </x:c>
      <x:c r="Y344" s="15" t="str">
        <x:v>HEALTHY — Rank in priority matrix</x:v>
      </x:c>
      <x:c r="Z344" s="15" t="str">
        <x:v>AI Enablement</x:v>
      </x:c>
      <x:c r="AA344" s="15" t="str">
        <x:v>New Initiative</x:v>
      </x:c>
      <x:c r="AB344" s="15" t="str">
        <x:v>Integrated Supply Chain &amp; Finance</x:v>
      </x:c>
      <x:c r="AC344" s="15" t="str">
        <x:v>Tax automation opportunities missed; No AI-driven analytics on VAT/GST/SUT; Manual R&amp;D Tax Credit process continues; eInvoicing pre-steps not automated</x:v>
      </x:c>
      <x:c r="AD344" s="15" t="str"/>
      <x:c r="AE344" s="15" t="str"/>
      <x:c r="AF344" s="15" t="str">
        <x:v>Tax automation opportunities missed; No AI-driven analytics on VAT/GST/SUT; Manual R&amp;D Tax Credit process continues; eInvoicing pre-steps not automated</x:v>
      </x:c>
      <x:c r="AG344" s="15" t="str">
        <x:v>Must Do</x:v>
      </x:c>
      <x:c r="AH344" s="15" t="n">
        <x:v>83</x:v>
      </x:c>
    </x:row>
    <x:row r="345">
      <x:c r="A345" s="15" t="str">
        <x:v>EW-108</x:v>
      </x:c>
      <x:c r="B345" s="15" t="str">
        <x:v>Agentic Contact Center</x:v>
      </x:c>
      <x:c r="C345" s="15" t="str">
        <x:v>EW Led</x:v>
      </x:c>
      <x:c r="D345" s="15" t="str">
        <x:v>People function</x:v>
      </x:c>
      <x:c r="E345" s="19" t="n">
        <x:v>0.4</x:v>
      </x:c>
      <x:c r="F345" s="19" t="n">
        <x:v>0.4</x:v>
      </x:c>
      <x:c r="G345" s="22" t="n">
        <x:f>IF(AND(E345&gt;0,ISNUMBER(F345)),F345/E345,"")</x:f>
        <x:v>1</x:v>
      </x:c>
      <x:c r="H345" s="15" t="str">
        <x:v>ROI-Based Portfolio</x:v>
      </x:c>
      <x:c r="I345" s="15" t="n">
        <x:v>43</x:v>
      </x:c>
      <x:c r="J345" s="15" t="n">
        <x:v>5</x:v>
      </x:c>
      <x:c r="K345" s="23" t="n">
        <x:f>IF(G345="",0,IF(G345&lt;1,0,IF(G345&lt;2,20,IF(G345&lt;3,30,IF(G345&lt;5,40,50)))))*'Scenario Controls'!$B$22/50</x:f>
        <x:v>20</x:v>
      </x:c>
      <x:c r="L345" s="23" t="n">
        <x:f>IF(ISNUMBER(SEARCH("Must Do",AG345)),25,IF(ISNUMBER(SEARCH("Must Have",AG345)),18,IF(ISNUMBER(SEARCH("Deprior",AG345)),5,0)))*'Scenario Controls'!$B$23/25</x:f>
        <x:v>25</x:v>
      </x:c>
      <x:c r="M345" s="23" t="n">
        <x:f>J345*'Scenario Controls'!$B$24/15</x:f>
        <x:v>5</x:v>
      </x:c>
      <x:c r="N345" s="23" t="n">
        <x:f>IF(ISNUMBER(SEARCH("HEALTHY",X345)),10,IF(ISNUMBER(SEARCH("CONTAIN",X345)),6,0))*'Scenario Controls'!$B$25/10</x:f>
        <x:v>10</x:v>
      </x:c>
      <x:c r="O345" s="23" t="n">
        <x:f>SUM(K345:N345)</x:f>
        <x:v>60</x:v>
      </x:c>
      <x:c r="P345" s="15" t="str">
        <x:f>IF(OR(B345="",E345&lt;=0),"Evidence missing / not eligible",IF(ISNUMBER(SEARCH("priority TBD",Y345)),"Evidence missing / not eligible",IF(AND(H345="Carryover",NOT(ISNUMBER(F345))),"Evidence missing / not eligible",IF(AND(H345="Carryover",G345&lt;'Scenario Controls'!$B$16),"Evidence missing / not eligible",IF(AND(H345="ROI-Based Portfolio",NOT(ISNUMBER(F345))),"Evidence missing / not eligible",IF(AND(H345="ROI-Based Portfolio",O345&lt;'Scenario Controls'!$B$20),"Evidence missing / not eligible","Eligible"))))))</x:f>
        <x:v>Eligible</x:v>
      </x:c>
      <x:c r="Q345" s="19" t="n">
        <x:f>IF(P345&lt;&gt;"Eligible",0,IF(AND(SUMIFS($Q$5:Q344,$H$5:H344,H345)+E345&lt;=(IF(H345="LFR",'Scenario Controls'!$F$10,IF(H345="Sustain Engineering",'Scenario Controls'!$F$11,IF(H345="Hygiene",'Scenario Controls'!$F$12,1E+99))))*(1+'Scenario Controls'!$B$7),SUM($Q$5:Q344)+E345&lt;='Scenario Controls'!$B$6*(1+'Scenario Controls'!$B$7)),E345,0))</x:f>
        <x:v>0.4</x:v>
      </x:c>
      <x:c r="R345" s="24" t="str">
        <x:f>'EW Conference'!G164</x:f>
        <x:v>Automatic</x:v>
      </x:c>
      <x:c r="S345" s="24" t="str">
        <x:f>'EW Conference'!H164</x:f>
      </x:c>
      <x:c r="T345" s="19" t="n">
        <x:f>IF(R345="Exclude",0,IF(R345="Include",E345,Q345))</x:f>
        <x:v>0.4</x:v>
      </x:c>
      <x:c r="U345" s="15" t="str">
        <x:f>IF(T345&gt;0,"Funded",IF(P345="Eligible","Unfunded",P345))</x:f>
        <x:v>Funded</x:v>
      </x:c>
      <x:c r="V345" s="15" t="str">
        <x:f>IF(R345="Include","Conference inclusion: "&amp;S345,IF(R345="Exclude","Conference exclusion: "&amp;S345,IF(Q345&gt;0,H345&amp;" priority rank "&amp;I345&amp;"; whole initiative selected",P345)))</x:f>
        <x:v>ROI-Based Portfolio priority rank 43; whole initiative selected</x:v>
      </x:c>
      <x:c r="W345" s="15" t="str">
        <x:v>EW!104</x:v>
      </x:c>
      <x:c r="X345" s="15" t="str">
        <x:v>HEALTHY</x:v>
      </x:c>
      <x:c r="Y345" s="15" t="str">
        <x:v>HEALTHY — Rank in priority matrix</x:v>
      </x:c>
      <x:c r="Z345" s="15" t="str">
        <x:v>AI Enablement</x:v>
      </x:c>
      <x:c r="AA345" s="15" t="str">
        <x:v>New Initiative</x:v>
      </x:c>
      <x:c r="AB345" s="15" t="str">
        <x:v>Group Functions &amp; Hyperautomation IT</x:v>
      </x:c>
      <x:c r="AC345" s="15" t="str">
        <x:v>Productivity targets will not be met and thereby forfeit Business case worth of 400K</x:v>
      </x:c>
      <x:c r="AD345" s="15" t="str">
        <x:v>Support will decline unless S2P capability is built in-house.</x:v>
      </x:c>
      <x:c r="AE345" s="15" t="str">
        <x:v>Autonomous operations workflows.</x:v>
      </x:c>
      <x:c r="AF345" s="15" t="str">
        <x:v>Productivity targets will not be met and thereby forfeit Business case worth of 400K | Support will decline unless S2P capability is built in-house. | Autonomous operations workflows.</x:v>
      </x:c>
      <x:c r="AG345" s="15" t="str">
        <x:v>Must Do</x:v>
      </x:c>
      <x:c r="AH345" s="15" t="n">
        <x:v>106</x:v>
      </x:c>
    </x:row>
    <x:row r="346">
      <x:c r="A346" s="15" t="str">
        <x:v>Bu-334</x:v>
      </x:c>
      <x:c r="B346" s="15" t="str">
        <x:v>Logistics &amp; freight cost transparency (lane / mode / carrier level)</x:v>
      </x:c>
      <x:c r="C346" s="15" t="str">
        <x:v>BU Led</x:v>
      </x:c>
      <x:c r="D346" s="15" t="str">
        <x:v>Precision Diagnosis - Magnetic Resonance (MR)</x:v>
      </x:c>
      <x:c r="E346" s="19" t="n">
        <x:v>0.3</x:v>
      </x:c>
      <x:c r="F346" s="19" t="n">
        <x:v>2.5</x:v>
      </x:c>
      <x:c r="G346" s="22" t="n">
        <x:f>IF(AND(E346&gt;0,ISNUMBER(F346)),F346/E346,"")</x:f>
        <x:v>8.333333333333334</x:v>
      </x:c>
      <x:c r="H346" s="15" t="str">
        <x:v>ROI-Based Portfolio</x:v>
      </x:c>
      <x:c r="I346" s="15" t="n">
        <x:v>44</x:v>
      </x:c>
      <x:c r="J346" s="15" t="n">
        <x:v>5</x:v>
      </x:c>
      <x:c r="K346" s="23" t="n">
        <x:f>IF(G346="",0,IF(G346&lt;1,0,IF(G346&lt;2,20,IF(G346&lt;3,30,IF(G346&lt;5,40,50)))))*'Scenario Controls'!$B$22/50</x:f>
        <x:v>50</x:v>
      </x:c>
      <x:c r="L346" s="23" t="n">
        <x:f>IF(ISNUMBER(SEARCH("Must Do",AG346)),25,IF(ISNUMBER(SEARCH("Must Have",AG346)),18,IF(ISNUMBER(SEARCH("Deprior",AG346)),5,0)))*'Scenario Controls'!$B$23/25</x:f>
        <x:v>0</x:v>
      </x:c>
      <x:c r="M346" s="23" t="n">
        <x:f>J346*'Scenario Controls'!$B$24/15</x:f>
        <x:v>5</x:v>
      </x:c>
      <x:c r="N346" s="23" t="n">
        <x:f>IF(ISNUMBER(SEARCH("HEALTHY",X346)),10,IF(ISNUMBER(SEARCH("CONTAIN",X346)),6,0))*'Scenario Controls'!$B$25/10</x:f>
        <x:v>0</x:v>
      </x:c>
      <x:c r="O346" s="23" t="n">
        <x:f>SUM(K346:N346)</x:f>
        <x:v>55</x:v>
      </x:c>
      <x:c r="P346" s="15" t="str">
        <x:f>IF(OR(B346="",E346&lt;=0),"Evidence missing / not eligible",IF(ISNUMBER(SEARCH("priority TBD",Y346)),"Evidence missing / not eligible",IF(AND(H346="Carryover",NOT(ISNUMBER(F346))),"Evidence missing / not eligible",IF(AND(H346="Carryover",G346&lt;'Scenario Controls'!$B$16),"Evidence missing / not eligible",IF(AND(H346="ROI-Based Portfolio",NOT(ISNUMBER(F346))),"Evidence missing / not eligible",IF(AND(H346="ROI-Based Portfolio",O346&lt;'Scenario Controls'!$B$20),"Evidence missing / not eligible","Eligible"))))))</x:f>
        <x:v>Eligible</x:v>
      </x:c>
      <x:c r="Q346" s="19" t="n">
        <x:f>IF(P346&lt;&gt;"Eligible",0,IF(AND(SUMIFS($Q$5:Q345,$H$5:H345,H346)+E346&lt;=(IF(H346="LFR",'Scenario Controls'!$F$10,IF(H346="Sustain Engineering",'Scenario Controls'!$F$11,IF(H346="Hygiene",'Scenario Controls'!$F$12,1E+99))))*(1+'Scenario Controls'!$B$7),SUM($Q$5:Q345)+E346&lt;='Scenario Controls'!$B$6*(1+'Scenario Controls'!$B$7)),E346,0))</x:f>
        <x:v>0.3</x:v>
      </x:c>
      <x:c r="R346" s="24" t="str">
        <x:f>'BU Conference'!G187</x:f>
        <x:v>Automatic</x:v>
      </x:c>
      <x:c r="S346" s="24" t="str">
        <x:f>'BU Conference'!H187</x:f>
      </x:c>
      <x:c r="T346" s="19" t="n">
        <x:f>IF(R346="Exclude",0,IF(R346="Include",E346,Q346))</x:f>
        <x:v>0.3</x:v>
      </x:c>
      <x:c r="U346" s="15" t="str">
        <x:f>IF(T346&gt;0,"Funded",IF(P346="Eligible","Unfunded",P346))</x:f>
        <x:v>Funded</x:v>
      </x:c>
      <x:c r="V346" s="15" t="str">
        <x:f>IF(R346="Include","Conference inclusion: "&amp;S346,IF(R346="Exclude","Conference exclusion: "&amp;S346,IF(Q346&gt;0,H346&amp;" priority rank "&amp;I346&amp;"; whole initiative selected",P346)))</x:f>
        <x:v>ROI-Based Portfolio priority rank 44; whole initiative selected</x:v>
      </x:c>
      <x:c r="W346" s="15" t="str">
        <x:v>Bu!671</x:v>
      </x:c>
      <x:c r="X346" s="15" t="str"/>
      <x:c r="Y346" s="15" t="str"/>
      <x:c r="Z346" s="15" t="str"/>
      <x:c r="AA346" s="15" t="str">
        <x:v>New Initiative</x:v>
      </x:c>
      <x:c r="AB346" s="15" t="str"/>
      <x:c r="AC346" s="15" t="str"/>
      <x:c r="AD346" s="15" t="str"/>
      <x:c r="AE346" s="15" t="str">
        <x:v>During 2026 logistics savings could not be traced to lane or carrier level, so closure actions were hard to substantiate and to re-forecast. Cost transparency at that level turns logistics from a reported number into a managed productivity lever</x:v>
      </x:c>
      <x:c r="AF346" s="15" t="str">
        <x:v>During 2026 logistics savings could not be traced to lane or carrier level, so closure actions were hard to substantiate and to re-forecast. Cost transparency at that level turns logistics from a reported number into a managed productivity lever</x:v>
      </x:c>
      <x:c r="AG346" s="15" t="str"/>
      <x:c r="AH346" s="15" t="n">
        <x:v>511</x:v>
      </x:c>
    </x:row>
    <x:row r="347">
      <x:c r="A347" s="15" t="str">
        <x:v>Bu-335</x:v>
      </x:c>
      <x:c r="B347" s="15" t="str">
        <x:v>MCoS cost transparency at quotation (service material cost visibility)</x:v>
      </x:c>
      <x:c r="C347" s="15" t="str">
        <x:v>BU Led</x:v>
      </x:c>
      <x:c r="D347" s="15" t="str">
        <x:v>Precision Diagnosis - Magnetic Resonance (MR)</x:v>
      </x:c>
      <x:c r="E347" s="19" t="n">
        <x:v>0.2</x:v>
      </x:c>
      <x:c r="F347" s="19" t="n">
        <x:v>1.5</x:v>
      </x:c>
      <x:c r="G347" s="22" t="n">
        <x:f>IF(AND(E347&gt;0,ISNUMBER(F347)),F347/E347,"")</x:f>
        <x:v>7.5</x:v>
      </x:c>
      <x:c r="H347" s="15" t="str">
        <x:v>ROI-Based Portfolio</x:v>
      </x:c>
      <x:c r="I347" s="15" t="n">
        <x:v>45</x:v>
      </x:c>
      <x:c r="J347" s="15" t="n">
        <x:v>5</x:v>
      </x:c>
      <x:c r="K347" s="23" t="n">
        <x:f>IF(G347="",0,IF(G347&lt;1,0,IF(G347&lt;2,20,IF(G347&lt;3,30,IF(G347&lt;5,40,50)))))*'Scenario Controls'!$B$22/50</x:f>
        <x:v>50</x:v>
      </x:c>
      <x:c r="L347" s="23" t="n">
        <x:f>IF(ISNUMBER(SEARCH("Must Do",AG347)),25,IF(ISNUMBER(SEARCH("Must Have",AG347)),18,IF(ISNUMBER(SEARCH("Deprior",AG347)),5,0)))*'Scenario Controls'!$B$23/25</x:f>
        <x:v>0</x:v>
      </x:c>
      <x:c r="M347" s="23" t="n">
        <x:f>J347*'Scenario Controls'!$B$24/15</x:f>
        <x:v>5</x:v>
      </x:c>
      <x:c r="N347" s="23" t="n">
        <x:f>IF(ISNUMBER(SEARCH("HEALTHY",X347)),10,IF(ISNUMBER(SEARCH("CONTAIN",X347)),6,0))*'Scenario Controls'!$B$25/10</x:f>
        <x:v>0</x:v>
      </x:c>
      <x:c r="O347" s="23" t="n">
        <x:f>SUM(K347:N347)</x:f>
        <x:v>55</x:v>
      </x:c>
      <x:c r="P347" s="15" t="str">
        <x:f>IF(OR(B347="",E347&lt;=0),"Evidence missing / not eligible",IF(ISNUMBER(SEARCH("priority TBD",Y347)),"Evidence missing / not eligible",IF(AND(H347="Carryover",NOT(ISNUMBER(F347))),"Evidence missing / not eligible",IF(AND(H347="Carryover",G347&lt;'Scenario Controls'!$B$16),"Evidence missing / not eligible",IF(AND(H347="ROI-Based Portfolio",NOT(ISNUMBER(F347))),"Evidence missing / not eligible",IF(AND(H347="ROI-Based Portfolio",O347&lt;'Scenario Controls'!$B$20),"Evidence missing / not eligible","Eligible"))))))</x:f>
        <x:v>Eligible</x:v>
      </x:c>
      <x:c r="Q347" s="19" t="n">
        <x:f>IF(P347&lt;&gt;"Eligible",0,IF(AND(SUMIFS($Q$5:Q346,$H$5:H346,H347)+E347&lt;=(IF(H347="LFR",'Scenario Controls'!$F$10,IF(H347="Sustain Engineering",'Scenario Controls'!$F$11,IF(H347="Hygiene",'Scenario Controls'!$F$12,1E+99))))*(1+'Scenario Controls'!$B$7),SUM($Q$5:Q346)+E347&lt;='Scenario Controls'!$B$6*(1+'Scenario Controls'!$B$7)),E347,0))</x:f>
        <x:v>0.2</x:v>
      </x:c>
      <x:c r="R347" s="24" t="str">
        <x:f>'BU Conference'!G188</x:f>
        <x:v>Automatic</x:v>
      </x:c>
      <x:c r="S347" s="24" t="str">
        <x:f>'BU Conference'!H188</x:f>
      </x:c>
      <x:c r="T347" s="19" t="n">
        <x:f>IF(R347="Exclude",0,IF(R347="Include",E347,Q347))</x:f>
        <x:v>0.2</x:v>
      </x:c>
      <x:c r="U347" s="15" t="str">
        <x:f>IF(T347&gt;0,"Funded",IF(P347="Eligible","Unfunded",P347))</x:f>
        <x:v>Funded</x:v>
      </x:c>
      <x:c r="V347" s="15" t="str">
        <x:f>IF(R347="Include","Conference inclusion: "&amp;S347,IF(R347="Exclude","Conference exclusion: "&amp;S347,IF(Q347&gt;0,H347&amp;" priority rank "&amp;I347&amp;"; whole initiative selected",P347)))</x:f>
        <x:v>ROI-Based Portfolio priority rank 45; whole initiative selected</x:v>
      </x:c>
      <x:c r="W347" s="15" t="str">
        <x:v>Bu!672</x:v>
      </x:c>
      <x:c r="X347" s="15" t="str"/>
      <x:c r="Y347" s="15" t="str"/>
      <x:c r="Z347" s="15" t="str"/>
      <x:c r="AA347" s="15" t="str">
        <x:v>New Initiative</x:v>
      </x:c>
      <x:c r="AB347" s="15" t="str"/>
      <x:c r="AC347" s="15" t="str"/>
      <x:c r="AD347" s="15" t="str"/>
      <x:c r="AE347" s="15" t="str">
        <x:v>Quotations are today built on material cost data that is not current, so service deals are priced on an outdated MCoS view. Exposing the correct cost at the moment of request protects margin at the point of quoting and removes downstream rework</x:v>
      </x:c>
      <x:c r="AF347" s="15" t="str">
        <x:v>Quotations are today built on material cost data that is not current, so service deals are priced on an outdated MCoS view. Exposing the correct cost at the moment of request protects margin at the point of quoting and removes downstream rework</x:v>
      </x:c>
      <x:c r="AG347" s="15" t="str"/>
      <x:c r="AH347" s="15" t="n">
        <x:v>512</x:v>
      </x:c>
    </x:row>
    <x:row r="348">
      <x:c r="A348" s="15" t="str">
        <x:v>Bu-333</x:v>
      </x:c>
      <x:c r="B348" s="15" t="str">
        <x:v>ISC connection &amp; cost visibility from SPS</x:v>
      </x:c>
      <x:c r="C348" s="15" t="str">
        <x:v>BU Led</x:v>
      </x:c>
      <x:c r="D348" s="15" t="str">
        <x:v>Precision Diagnosis - Magnetic Resonance (MR)</x:v>
      </x:c>
      <x:c r="E348" s="19" t="n">
        <x:v>0.4</x:v>
      </x:c>
      <x:c r="F348" s="19" t="n">
        <x:v>2</x:v>
      </x:c>
      <x:c r="G348" s="22" t="n">
        <x:f>IF(AND(E348&gt;0,ISNUMBER(F348)),F348/E348,"")</x:f>
        <x:v>5</x:v>
      </x:c>
      <x:c r="H348" s="15" t="str">
        <x:v>ROI-Based Portfolio</x:v>
      </x:c>
      <x:c r="I348" s="15" t="n">
        <x:v>46</x:v>
      </x:c>
      <x:c r="J348" s="15" t="n">
        <x:v>5</x:v>
      </x:c>
      <x:c r="K348" s="23" t="n">
        <x:f>IF(G348="",0,IF(G348&lt;1,0,IF(G348&lt;2,20,IF(G348&lt;3,30,IF(G348&lt;5,40,50)))))*'Scenario Controls'!$B$22/50</x:f>
        <x:v>50</x:v>
      </x:c>
      <x:c r="L348" s="23" t="n">
        <x:f>IF(ISNUMBER(SEARCH("Must Do",AG348)),25,IF(ISNUMBER(SEARCH("Must Have",AG348)),18,IF(ISNUMBER(SEARCH("Deprior",AG348)),5,0)))*'Scenario Controls'!$B$23/25</x:f>
        <x:v>0</x:v>
      </x:c>
      <x:c r="M348" s="23" t="n">
        <x:f>J348*'Scenario Controls'!$B$24/15</x:f>
        <x:v>5</x:v>
      </x:c>
      <x:c r="N348" s="23" t="n">
        <x:f>IF(ISNUMBER(SEARCH("HEALTHY",X348)),10,IF(ISNUMBER(SEARCH("CONTAIN",X348)),6,0))*'Scenario Controls'!$B$25/10</x:f>
        <x:v>0</x:v>
      </x:c>
      <x:c r="O348" s="23" t="n">
        <x:f>SUM(K348:N348)</x:f>
        <x:v>55</x:v>
      </x:c>
      <x:c r="P348" s="15" t="str">
        <x:f>IF(OR(B348="",E348&lt;=0),"Evidence missing / not eligible",IF(ISNUMBER(SEARCH("priority TBD",Y348)),"Evidence missing / not eligible",IF(AND(H348="Carryover",NOT(ISNUMBER(F348))),"Evidence missing / not eligible",IF(AND(H348="Carryover",G348&lt;'Scenario Controls'!$B$16),"Evidence missing / not eligible",IF(AND(H348="ROI-Based Portfolio",NOT(ISNUMBER(F348))),"Evidence missing / not eligible",IF(AND(H348="ROI-Based Portfolio",O348&lt;'Scenario Controls'!$B$20),"Evidence missing / not eligible","Eligible"))))))</x:f>
        <x:v>Eligible</x:v>
      </x:c>
      <x:c r="Q348" s="19" t="n">
        <x:f>IF(P348&lt;&gt;"Eligible",0,IF(AND(SUMIFS($Q$5:Q347,$H$5:H347,H348)+E348&lt;=(IF(H348="LFR",'Scenario Controls'!$F$10,IF(H348="Sustain Engineering",'Scenario Controls'!$F$11,IF(H348="Hygiene",'Scenario Controls'!$F$12,1E+99))))*(1+'Scenario Controls'!$B$7),SUM($Q$5:Q347)+E348&lt;='Scenario Controls'!$B$6*(1+'Scenario Controls'!$B$7)),E348,0))</x:f>
        <x:v>0.4</x:v>
      </x:c>
      <x:c r="R348" s="24" t="str">
        <x:f>'BU Conference'!G189</x:f>
        <x:v>Automatic</x:v>
      </x:c>
      <x:c r="S348" s="24" t="str">
        <x:f>'BU Conference'!H189</x:f>
      </x:c>
      <x:c r="T348" s="19" t="n">
        <x:f>IF(R348="Exclude",0,IF(R348="Include",E348,Q348))</x:f>
        <x:v>0.4</x:v>
      </x:c>
      <x:c r="U348" s="15" t="str">
        <x:f>IF(T348&gt;0,"Funded",IF(P348="Eligible","Unfunded",P348))</x:f>
        <x:v>Funded</x:v>
      </x:c>
      <x:c r="V348" s="15" t="str">
        <x:f>IF(R348="Include","Conference inclusion: "&amp;S348,IF(R348="Exclude","Conference exclusion: "&amp;S348,IF(Q348&gt;0,H348&amp;" priority rank "&amp;I348&amp;"; whole initiative selected",P348)))</x:f>
        <x:v>ROI-Based Portfolio priority rank 46; whole initiative selected</x:v>
      </x:c>
      <x:c r="W348" s="15" t="str">
        <x:v>Bu!670</x:v>
      </x:c>
      <x:c r="X348" s="15" t="str"/>
      <x:c r="Y348" s="15" t="str"/>
      <x:c r="Z348" s="15" t="str"/>
      <x:c r="AA348" s="15" t="str">
        <x:v>New Initiative</x:v>
      </x:c>
      <x:c r="AB348" s="15" t="str"/>
      <x:c r="AC348" s="15" t="str"/>
      <x:c r="AD348" s="15" t="str"/>
      <x:c r="AE348" s="15" t="str">
        <x:v>There is no reliable line of sight from SPS and ISC cost data into O2C productivity, so savings have to be reconstructed manually every month and cannot be validated at source. Connecting the cost data is the structural enabler for every other O2C productivity commitment in 2027</x:v>
      </x:c>
      <x:c r="AF348" s="15" t="str">
        <x:v>There is no reliable line of sight from SPS and ISC cost data into O2C productivity, so savings have to be reconstructed manually every month and cannot be validated at source. Connecting the cost data is the structural enabler for every other O2C productivity commitment in 2027</x:v>
      </x:c>
      <x:c r="AG348" s="15" t="str"/>
      <x:c r="AH348" s="15" t="n">
        <x:v>510</x:v>
      </x:c>
    </x:row>
    <x:row r="349">
      <x:c r="A349" s="15" t="str">
        <x:v>Bu-337</x:v>
      </x:c>
      <x:c r="B349" s="15" t="str">
        <x:v>PD AI Use Case Factory (Hackathon Continuation Fund)</x:v>
      </x:c>
      <x:c r="C349" s="15" t="str">
        <x:v>BU Led</x:v>
      </x:c>
      <x:c r="D349" s="15" t="str">
        <x:v>Precision Diagnosis - Magnetic Resonance (MR)</x:v>
      </x:c>
      <x:c r="E349" s="19" t="n">
        <x:v>0.1</x:v>
      </x:c>
      <x:c r="F349" s="19" t="n">
        <x:v>0.5</x:v>
      </x:c>
      <x:c r="G349" s="22" t="n">
        <x:f>IF(AND(E349&gt;0,ISNUMBER(F349)),F349/E349,"")</x:f>
        <x:v>5</x:v>
      </x:c>
      <x:c r="H349" s="15" t="str">
        <x:v>ROI-Based Portfolio</x:v>
      </x:c>
      <x:c r="I349" s="15" t="n">
        <x:v>47</x:v>
      </x:c>
      <x:c r="J349" s="15" t="n">
        <x:v>5</x:v>
      </x:c>
      <x:c r="K349" s="23" t="n">
        <x:f>IF(G349="",0,IF(G349&lt;1,0,IF(G349&lt;2,20,IF(G349&lt;3,30,IF(G349&lt;5,40,50)))))*'Scenario Controls'!$B$22/50</x:f>
        <x:v>50</x:v>
      </x:c>
      <x:c r="L349" s="23" t="n">
        <x:f>IF(ISNUMBER(SEARCH("Must Do",AG349)),25,IF(ISNUMBER(SEARCH("Must Have",AG349)),18,IF(ISNUMBER(SEARCH("Deprior",AG349)),5,0)))*'Scenario Controls'!$B$23/25</x:f>
        <x:v>0</x:v>
      </x:c>
      <x:c r="M349" s="23" t="n">
        <x:f>J349*'Scenario Controls'!$B$24/15</x:f>
        <x:v>5</x:v>
      </x:c>
      <x:c r="N349" s="23" t="n">
        <x:f>IF(ISNUMBER(SEARCH("HEALTHY",X349)),10,IF(ISNUMBER(SEARCH("CONTAIN",X349)),6,0))*'Scenario Controls'!$B$25/10</x:f>
        <x:v>0</x:v>
      </x:c>
      <x:c r="O349" s="23" t="n">
        <x:f>SUM(K349:N349)</x:f>
        <x:v>55</x:v>
      </x:c>
      <x:c r="P349" s="15" t="str">
        <x:f>IF(OR(B349="",E349&lt;=0),"Evidence missing / not eligible",IF(ISNUMBER(SEARCH("priority TBD",Y349)),"Evidence missing / not eligible",IF(AND(H349="Carryover",NOT(ISNUMBER(F349))),"Evidence missing / not eligible",IF(AND(H349="Carryover",G349&lt;'Scenario Controls'!$B$16),"Evidence missing / not eligible",IF(AND(H349="ROI-Based Portfolio",NOT(ISNUMBER(F349))),"Evidence missing / not eligible",IF(AND(H349="ROI-Based Portfolio",O349&lt;'Scenario Controls'!$B$20),"Evidence missing / not eligible","Eligible"))))))</x:f>
        <x:v>Eligible</x:v>
      </x:c>
      <x:c r="Q349" s="19" t="n">
        <x:f>IF(P349&lt;&gt;"Eligible",0,IF(AND(SUMIFS($Q$5:Q348,$H$5:H348,H349)+E349&lt;=(IF(H349="LFR",'Scenario Controls'!$F$10,IF(H349="Sustain Engineering",'Scenario Controls'!$F$11,IF(H349="Hygiene",'Scenario Controls'!$F$12,1E+99))))*(1+'Scenario Controls'!$B$7),SUM($Q$5:Q348)+E349&lt;='Scenario Controls'!$B$6*(1+'Scenario Controls'!$B$7)),E349,0))</x:f>
        <x:v>0.1</x:v>
      </x:c>
      <x:c r="R349" s="24" t="str">
        <x:f>'BU Conference'!G190</x:f>
        <x:v>Automatic</x:v>
      </x:c>
      <x:c r="S349" s="24" t="str">
        <x:f>'BU Conference'!H190</x:f>
      </x:c>
      <x:c r="T349" s="19" t="n">
        <x:f>IF(R349="Exclude",0,IF(R349="Include",E349,Q349))</x:f>
        <x:v>0.1</x:v>
      </x:c>
      <x:c r="U349" s="15" t="str">
        <x:f>IF(T349&gt;0,"Funded",IF(P349="Eligible","Unfunded",P349))</x:f>
        <x:v>Funded</x:v>
      </x:c>
      <x:c r="V349" s="15" t="str">
        <x:f>IF(R349="Include","Conference inclusion: "&amp;S349,IF(R349="Exclude","Conference exclusion: "&amp;S349,IF(Q349&gt;0,H349&amp;" priority rank "&amp;I349&amp;"; whole initiative selected",P349)))</x:f>
        <x:v>ROI-Based Portfolio priority rank 47; whole initiative selected</x:v>
      </x:c>
      <x:c r="W349" s="15" t="str">
        <x:v>Bu!674</x:v>
      </x:c>
      <x:c r="X349" s="15" t="str"/>
      <x:c r="Y349" s="15" t="str"/>
      <x:c r="Z349" s="15" t="str"/>
      <x:c r="AA349" s="15" t="str">
        <x:v>New Initiative</x:v>
      </x:c>
      <x:c r="AB349" s="15" t="str"/>
      <x:c r="AC349" s="15" t="str"/>
      <x:c r="AD349" s="15" t="str"/>
      <x:c r="AE349" s="15" t="str">
        <x:v>Provide infrastructure to scale the strongest hackathon ideas into real business solutions rather than one-time pilots. Supports Empower Employees with AI Tools by enabling AI-based workflow automation, standardizing execution, driving productivity improvements, and reducing cycle times through practical adoption of AI solutions across PD.</x:v>
      </x:c>
      <x:c r="AF349" s="15" t="str">
        <x:v>Provide infrastructure to scale the strongest hackathon ideas into real business solutions rather than one-time pilots. Supports Empower Employees with AI Tools by enabling AI-based workflow automation, standardizing execution, driving productivity improvements, and reducing cycle times through practical adoption of AI solutions across PD.</x:v>
      </x:c>
      <x:c r="AG349" s="15" t="str"/>
      <x:c r="AH349" s="15" t="n">
        <x:v>514</x:v>
      </x:c>
    </x:row>
    <x:row r="350">
      <x:c r="A350" s="15" t="str">
        <x:v>Bu-137</x:v>
      </x:c>
      <x:c r="B350" s="15" t="str">
        <x:v>Innovation Excellence Team - R&amp;D Support</x:v>
      </x:c>
      <x:c r="C350" s="15" t="str">
        <x:v>BU Led</x:v>
      </x:c>
      <x:c r="D350" s="15" t="str">
        <x:v>Enterprise Informatics (EI)</x:v>
      </x:c>
      <x:c r="E350" s="19" t="n">
        <x:v>0.6</x:v>
      </x:c>
      <x:c r="F350" s="19" t="n">
        <x:v>1</x:v>
      </x:c>
      <x:c r="G350" s="22" t="n">
        <x:f>IF(AND(E350&gt;0,ISNUMBER(F350)),F350/E350,"")</x:f>
        <x:v>1.6666666666666667</x:v>
      </x:c>
      <x:c r="H350" s="15" t="str">
        <x:v>ROI-Based Portfolio</x:v>
      </x:c>
      <x:c r="I350" s="15" t="n">
        <x:v>48</x:v>
      </x:c>
      <x:c r="J350" s="15" t="n">
        <x:v>10</x:v>
      </x:c>
      <x:c r="K350" s="23" t="n">
        <x:f>IF(G350="",0,IF(G350&lt;1,0,IF(G350&lt;2,20,IF(G350&lt;3,30,IF(G350&lt;5,40,50)))))*'Scenario Controls'!$B$22/50</x:f>
        <x:v>20</x:v>
      </x:c>
      <x:c r="L350" s="23" t="n">
        <x:f>IF(ISNUMBER(SEARCH("Must Do",AG350)),25,IF(ISNUMBER(SEARCH("Must Have",AG350)),18,IF(ISNUMBER(SEARCH("Deprior",AG350)),5,0)))*'Scenario Controls'!$B$23/25</x:f>
        <x:v>25</x:v>
      </x:c>
      <x:c r="M350" s="23" t="n">
        <x:f>J350*'Scenario Controls'!$B$24/15</x:f>
        <x:v>10</x:v>
      </x:c>
      <x:c r="N350" s="23" t="n">
        <x:f>IF(ISNUMBER(SEARCH("HEALTHY",X350)),10,IF(ISNUMBER(SEARCH("CONTAIN",X350)),6,0))*'Scenario Controls'!$B$25/10</x:f>
        <x:v>0</x:v>
      </x:c>
      <x:c r="O350" s="23" t="n">
        <x:f>SUM(K350:N350)</x:f>
        <x:v>55</x:v>
      </x:c>
      <x:c r="P350" s="15" t="str">
        <x:f>IF(OR(B350="",E350&lt;=0),"Evidence missing / not eligible",IF(ISNUMBER(SEARCH("priority TBD",Y350)),"Evidence missing / not eligible",IF(AND(H350="Carryover",NOT(ISNUMBER(F350))),"Evidence missing / not eligible",IF(AND(H350="Carryover",G350&lt;'Scenario Controls'!$B$16),"Evidence missing / not eligible",IF(AND(H350="ROI-Based Portfolio",NOT(ISNUMBER(F350))),"Evidence missing / not eligible",IF(AND(H350="ROI-Based Portfolio",O350&lt;'Scenario Controls'!$B$20),"Evidence missing / not eligible","Eligible"))))))</x:f>
        <x:v>Eligible</x:v>
      </x:c>
      <x:c r="Q350" s="19" t="n">
        <x:f>IF(P350&lt;&gt;"Eligible",0,IF(AND(SUMIFS($Q$5:Q349,$H$5:H349,H350)+E350&lt;=(IF(H350="LFR",'Scenario Controls'!$F$10,IF(H350="Sustain Engineering",'Scenario Controls'!$F$11,IF(H350="Hygiene",'Scenario Controls'!$F$12,1E+99))))*(1+'Scenario Controls'!$B$7),SUM($Q$5:Q349)+E350&lt;='Scenario Controls'!$B$6*(1+'Scenario Controls'!$B$7)),E350,0))</x:f>
        <x:v>0.6</x:v>
      </x:c>
      <x:c r="R350" s="24" t="str">
        <x:f>'BU Conference'!G191</x:f>
        <x:v>Automatic</x:v>
      </x:c>
      <x:c r="S350" s="24" t="str">
        <x:f>'BU Conference'!H191</x:f>
      </x:c>
      <x:c r="T350" s="19" t="n">
        <x:f>IF(R350="Exclude",0,IF(R350="Include",E350,Q350))</x:f>
        <x:v>0.6</x:v>
      </x:c>
      <x:c r="U350" s="15" t="str">
        <x:f>IF(T350&gt;0,"Funded",IF(P350="Eligible","Unfunded",P350))</x:f>
        <x:v>Funded</x:v>
      </x:c>
      <x:c r="V350" s="15" t="str">
        <x:f>IF(R350="Include","Conference inclusion: "&amp;S350,IF(R350="Exclude","Conference exclusion: "&amp;S350,IF(Q350&gt;0,H350&amp;" priority rank "&amp;I350&amp;"; whole initiative selected",P350)))</x:f>
        <x:v>ROI-Based Portfolio priority rank 48; whole initiative selected</x:v>
      </x:c>
      <x:c r="W350" s="15" t="str">
        <x:v>Bu!332</x:v>
      </x:c>
      <x:c r="X350" s="15" t="str"/>
      <x:c r="Y350" s="15" t="str"/>
      <x:c r="Z350" s="15" t="str">
        <x:v>AI Enablement</x:v>
      </x:c>
      <x:c r="AA350" s="15" t="str">
        <x:v>New Initiative</x:v>
      </x:c>
      <x:c r="AB350" s="15" t="str">
        <x:v>Commercial IT</x:v>
      </x:c>
      <x:c r="AC350" s="15" t="str"/>
      <x:c r="AD350" s="15" t="str">
        <x: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x:v>
      </x:c>
      <x:c r="AE350" s="15" t="str">
        <x:v>Windchill MCP: Proactive Fleet Risk Intelligence</x:v>
      </x:c>
      <x:c r="AF350" s="15" t="str">
        <x: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 Windchill MCP: Proactive Fleet Risk Intelligence</x:v>
      </x:c>
      <x:c r="AG350" s="15" t="str">
        <x:v>Must Do</x:v>
      </x:c>
      <x:c r="AH350" s="15" t="n">
        <x:v>314</x:v>
      </x:c>
    </x:row>
    <x:row r="351">
      <x:c r="A351" s="15" t="str">
        <x:v>EW-104</x:v>
      </x:c>
      <x:c r="B351" s="15" t="str">
        <x:v>AI hiring (autonomous)</x:v>
      </x:c>
      <x:c r="C351" s="15" t="str">
        <x:v>EW Led</x:v>
      </x:c>
      <x:c r="D351" s="15" t="str">
        <x:v>People function</x:v>
      </x:c>
      <x:c r="E351" s="19" t="n">
        <x:v>0.3</x:v>
      </x:c>
      <x:c r="F351" s="19" t="n">
        <x:v>0.4</x:v>
      </x:c>
      <x:c r="G351" s="22" t="n">
        <x:f>IF(AND(E351&gt;0,ISNUMBER(F351)),F351/E351,"")</x:f>
        <x:v>1.3333333333333335</x:v>
      </x:c>
      <x:c r="H351" s="15" t="str">
        <x:v>ROI-Based Portfolio</x:v>
      </x:c>
      <x:c r="I351" s="15" t="n">
        <x:v>49</x:v>
      </x:c>
      <x:c r="J351" s="15" t="n">
        <x:v>5</x:v>
      </x:c>
      <x:c r="K351" s="23" t="n">
        <x:f>IF(G351="",0,IF(G351&lt;1,0,IF(G351&lt;2,20,IF(G351&lt;3,30,IF(G351&lt;5,40,50)))))*'Scenario Controls'!$B$22/50</x:f>
        <x:v>20</x:v>
      </x:c>
      <x:c r="L351" s="23" t="n">
        <x:f>IF(ISNUMBER(SEARCH("Must Do",AG351)),25,IF(ISNUMBER(SEARCH("Must Have",AG351)),18,IF(ISNUMBER(SEARCH("Deprior",AG351)),5,0)))*'Scenario Controls'!$B$23/25</x:f>
        <x:v>18</x:v>
      </x:c>
      <x:c r="M351" s="23" t="n">
        <x:f>J351*'Scenario Controls'!$B$24/15</x:f>
        <x:v>5</x:v>
      </x:c>
      <x:c r="N351" s="23" t="n">
        <x:f>IF(ISNUMBER(SEARCH("HEALTHY",X351)),10,IF(ISNUMBER(SEARCH("CONTAIN",X351)),6,0))*'Scenario Controls'!$B$25/10</x:f>
        <x:v>10</x:v>
      </x:c>
      <x:c r="O351" s="23" t="n">
        <x:f>SUM(K351:N351)</x:f>
        <x:v>53</x:v>
      </x:c>
      <x:c r="P351" s="15" t="str">
        <x:f>IF(OR(B351="",E351&lt;=0),"Evidence missing / not eligible",IF(ISNUMBER(SEARCH("priority TBD",Y351)),"Evidence missing / not eligible",IF(AND(H351="Carryover",NOT(ISNUMBER(F351))),"Evidence missing / not eligible",IF(AND(H351="Carryover",G351&lt;'Scenario Controls'!$B$16),"Evidence missing / not eligible",IF(AND(H351="ROI-Based Portfolio",NOT(ISNUMBER(F351))),"Evidence missing / not eligible",IF(AND(H351="ROI-Based Portfolio",O351&lt;'Scenario Controls'!$B$20),"Evidence missing / not eligible","Eligible"))))))</x:f>
        <x:v>Eligible</x:v>
      </x:c>
      <x:c r="Q351" s="19" t="n">
        <x:f>IF(P351&lt;&gt;"Eligible",0,IF(AND(SUMIFS($Q$5:Q350,$H$5:H350,H351)+E351&lt;=(IF(H351="LFR",'Scenario Controls'!$F$10,IF(H351="Sustain Engineering",'Scenario Controls'!$F$11,IF(H351="Hygiene",'Scenario Controls'!$F$12,1E+99))))*(1+'Scenario Controls'!$B$7),SUM($Q$5:Q350)+E351&lt;='Scenario Controls'!$B$6*(1+'Scenario Controls'!$B$7)),E351,0))</x:f>
        <x:v>0.3</x:v>
      </x:c>
      <x:c r="R351" s="24" t="str">
        <x:f>'EW Conference'!G165</x:f>
        <x:v>Automatic</x:v>
      </x:c>
      <x:c r="S351" s="24" t="str">
        <x:f>'EW Conference'!H165</x:f>
      </x:c>
      <x:c r="T351" s="19" t="n">
        <x:f>IF(R351="Exclude",0,IF(R351="Include",E351,Q351))</x:f>
        <x:v>0.3</x:v>
      </x:c>
      <x:c r="U351" s="15" t="str">
        <x:f>IF(T351&gt;0,"Funded",IF(P351="Eligible","Unfunded",P351))</x:f>
        <x:v>Funded</x:v>
      </x:c>
      <x:c r="V351" s="15" t="str">
        <x:f>IF(R351="Include","Conference inclusion: "&amp;S351,IF(R351="Exclude","Conference exclusion: "&amp;S351,IF(Q351&gt;0,H351&amp;" priority rank "&amp;I351&amp;"; whole initiative selected",P351)))</x:f>
        <x:v>ROI-Based Portfolio priority rank 49; whole initiative selected</x:v>
      </x:c>
      <x:c r="W351" s="15" t="str">
        <x:v>EW!100</x:v>
      </x:c>
      <x:c r="X351" s="15" t="str">
        <x:v>HEALTHY</x:v>
      </x:c>
      <x:c r="Y351" s="15" t="str">
        <x:v>HEALTHY — Rank in priority matrix</x:v>
      </x:c>
      <x:c r="Z351" s="15" t="str">
        <x:v>AI Enablement</x:v>
      </x:c>
      <x:c r="AA351" s="15" t="str">
        <x:v>New Initiative</x:v>
      </x:c>
      <x:c r="AB351" s="15" t="str">
        <x:v>Group Functions &amp; Hyperautomation IT</x:v>
      </x:c>
      <x:c r="AC351" s="15" t="str">
        <x:v>Productivity targets will not be met and thereby forfeit Business case worth of 400K</x:v>
      </x:c>
      <x:c r="AD351" s="15" t="str">
        <x:v>Support will decline unless S2P capability is built in-house.</x:v>
      </x:c>
      <x:c r="AE351" s="15" t="str">
        <x:v>Autonomous AI workflows for early-career hiring.</x:v>
      </x:c>
      <x:c r="AF351" s="15" t="str">
        <x:v>Productivity targets will not be met and thereby forfeit Business case worth of 400K | Support will decline unless S2P capability is built in-house. | Autonomous AI workflows for early-career hiring.</x:v>
      </x:c>
      <x:c r="AG351" s="15" t="str">
        <x:v>Must Have</x:v>
      </x:c>
      <x:c r="AH351" s="15" t="n">
        <x:v>102</x:v>
      </x:c>
    </x:row>
    <x:row r="352">
      <x:c r="A352" s="15" t="str">
        <x:v>EW-78</x:v>
      </x:c>
      <x:c r="B352" s="15" t="str">
        <x:v>FIN-Automated workflow for SLA preparation &amp; signing &amp; archiving</x:v>
      </x:c>
      <x:c r="C352" s="15" t="str">
        <x:v>EW Led</x:v>
      </x:c>
      <x:c r="D352" s="15" t="str">
        <x:v>Finance</x:v>
      </x:c>
      <x:c r="E352" s="19" t="n">
        <x:v>0.05</x:v>
      </x:c>
      <x:c r="F352" s="19" t="n">
        <x:v>0.05</x:v>
      </x:c>
      <x:c r="G352" s="22" t="n">
        <x:f>IF(AND(E352&gt;0,ISNUMBER(F352)),F352/E352,"")</x:f>
        <x:v>1</x:v>
      </x:c>
      <x:c r="H352" s="15" t="str">
        <x:v>ROI-Based Portfolio</x:v>
      </x:c>
      <x:c r="I352" s="15" t="n">
        <x:v>50</x:v>
      </x:c>
      <x:c r="J352" s="15" t="n">
        <x:v>5</x:v>
      </x:c>
      <x:c r="K352" s="23" t="n">
        <x:f>IF(G352="",0,IF(G352&lt;1,0,IF(G352&lt;2,20,IF(G352&lt;3,30,IF(G352&lt;5,40,50)))))*'Scenario Controls'!$B$22/50</x:f>
        <x:v>20</x:v>
      </x:c>
      <x:c r="L352" s="23" t="n">
        <x:f>IF(ISNUMBER(SEARCH("Must Do",AG352)),25,IF(ISNUMBER(SEARCH("Must Have",AG352)),18,IF(ISNUMBER(SEARCH("Deprior",AG352)),5,0)))*'Scenario Controls'!$B$23/25</x:f>
        <x:v>25</x:v>
      </x:c>
      <x:c r="M352" s="23" t="n">
        <x:f>J352*'Scenario Controls'!$B$24/15</x:f>
        <x:v>5</x:v>
      </x:c>
      <x:c r="N352" s="23" t="n">
        <x:f>IF(ISNUMBER(SEARCH("HEALTHY",X352)),10,IF(ISNUMBER(SEARCH("CONTAIN",X352)),6,0))*'Scenario Controls'!$B$25/10</x:f>
        <x:v>0</x:v>
      </x:c>
      <x:c r="O352" s="23" t="n">
        <x:f>SUM(K352:N352)</x:f>
        <x:v>50</x:v>
      </x:c>
      <x:c r="P352" s="15" t="str">
        <x:f>IF(OR(B352="",E352&lt;=0),"Evidence missing / not eligible",IF(ISNUMBER(SEARCH("priority TBD",Y352)),"Evidence missing / not eligible",IF(AND(H352="Carryover",NOT(ISNUMBER(F352))),"Evidence missing / not eligible",IF(AND(H352="Carryover",G352&lt;'Scenario Controls'!$B$16),"Evidence missing / not eligible",IF(AND(H352="ROI-Based Portfolio",NOT(ISNUMBER(F352))),"Evidence missing / not eligible",IF(AND(H352="ROI-Based Portfolio",O352&lt;'Scenario Controls'!$B$20),"Evidence missing / not eligible","Eligible"))))))</x:f>
        <x:v>Eligible</x:v>
      </x:c>
      <x:c r="Q352" s="19" t="n">
        <x:f>IF(P352&lt;&gt;"Eligible",0,IF(AND(SUMIFS($Q$5:Q351,$H$5:H351,H352)+E352&lt;=(IF(H352="LFR",'Scenario Controls'!$F$10,IF(H352="Sustain Engineering",'Scenario Controls'!$F$11,IF(H352="Hygiene",'Scenario Controls'!$F$12,1E+99))))*(1+'Scenario Controls'!$B$7),SUM($Q$5:Q351)+E352&lt;='Scenario Controls'!$B$6*(1+'Scenario Controls'!$B$7)),E352,0))</x:f>
        <x:v>0.05</x:v>
      </x:c>
      <x:c r="R352" s="24" t="str">
        <x:f>'EW Conference'!G166</x:f>
        <x:v>Automatic</x:v>
      </x:c>
      <x:c r="S352" s="24" t="str">
        <x:f>'EW Conference'!H166</x:f>
      </x:c>
      <x:c r="T352" s="19" t="n">
        <x:f>IF(R352="Exclude",0,IF(R352="Include",E352,Q352))</x:f>
        <x:v>0.05</x:v>
      </x:c>
      <x:c r="U352" s="15" t="str">
        <x:f>IF(T352&gt;0,"Funded",IF(P352="Eligible","Unfunded",P352))</x:f>
        <x:v>Funded</x:v>
      </x:c>
      <x:c r="V352" s="15" t="str">
        <x:f>IF(R352="Include","Conference inclusion: "&amp;S352,IF(R352="Exclude","Conference exclusion: "&amp;S352,IF(Q352&gt;0,H352&amp;" priority rank "&amp;I352&amp;"; whole initiative selected",P352)))</x:f>
        <x:v>ROI-Based Portfolio priority rank 50; whole initiative selected</x:v>
      </x:c>
      <x:c r="W352" s="15" t="str">
        <x:v>EW!74</x:v>
      </x:c>
      <x:c r="X352" s="15" t="str"/>
      <x:c r="Y352" s="15" t="str"/>
      <x:c r="Z352" s="15" t="str">
        <x:v>AI Enablement</x:v>
      </x:c>
      <x:c r="AA352" s="15" t="str">
        <x:v>New Initiative</x:v>
      </x:c>
      <x:c r="AB352" s="15" t="str">
        <x:v>Integrated Supply Chain &amp; Finance</x:v>
      </x:c>
      <x:c r="AC352" s="15" t="str">
        <x:v>Non Tax Compliance</x:v>
      </x:c>
      <x:c r="AD352" s="15" t="str"/>
      <x:c r="AE352" s="15" t="str"/>
      <x:c r="AF352" s="15" t="str">
        <x:v>Non Tax Compliance</x:v>
      </x:c>
      <x:c r="AG352" s="15" t="str">
        <x:v>Must Do</x:v>
      </x:c>
      <x:c r="AH352" s="15" t="n">
        <x:v>76</x:v>
      </x:c>
    </x:row>
    <x:row r="353">
      <x:c r="A353" s="15" t="str">
        <x:v>EW-14</x:v>
      </x:c>
      <x:c r="B353" s="15" t="str">
        <x:v>PSQ E2E Product Data Lineage Model</x:v>
      </x:c>
      <x:c r="C353" s="15" t="str">
        <x:v>EW Led</x:v>
      </x:c>
      <x:c r="D353" s="15" t="str">
        <x:v>Patient Safety &amp; Quality</x:v>
      </x:c>
      <x:c r="E353" s="19" t="n">
        <x:v>0.25</x:v>
      </x:c>
      <x:c r="F353" s="19" t="n">
        <x:v>0</x:v>
      </x:c>
      <x:c r="G353" s="22" t="n">
        <x:f>IF(AND(E353&gt;0,ISNUMBER(F353)),F353/E353,"")</x:f>
        <x:v>0</x:v>
      </x:c>
      <x:c r="H353" s="15" t="str">
        <x:v>ROI-Based Portfolio</x:v>
      </x:c>
      <x:c r="I353" s="15" t="n">
        <x:v>51</x:v>
      </x:c>
      <x:c r="J353" s="15" t="n">
        <x:v>15</x:v>
      </x:c>
      <x:c r="K353" s="23" t="n">
        <x:f>IF(G353="",0,IF(G353&lt;1,0,IF(G353&lt;2,20,IF(G353&lt;3,30,IF(G353&lt;5,40,50)))))*'Scenario Controls'!$B$22/50</x:f>
        <x:v>0</x:v>
      </x:c>
      <x:c r="L353" s="23" t="n">
        <x:f>IF(ISNUMBER(SEARCH("Must Do",AG353)),25,IF(ISNUMBER(SEARCH("Must Have",AG353)),18,IF(ISNUMBER(SEARCH("Deprior",AG353)),5,0)))*'Scenario Controls'!$B$23/25</x:f>
        <x:v>25</x:v>
      </x:c>
      <x:c r="M353" s="23" t="n">
        <x:f>J353*'Scenario Controls'!$B$24/15</x:f>
        <x:v>15</x:v>
      </x:c>
      <x:c r="N353" s="23" t="n">
        <x:f>IF(ISNUMBER(SEARCH("HEALTHY",X353)),10,IF(ISNUMBER(SEARCH("CONTAIN",X353)),6,0))*'Scenario Controls'!$B$25/10</x:f>
        <x:v>10</x:v>
      </x:c>
      <x:c r="O353" s="23" t="n">
        <x:f>SUM(K353:N353)</x:f>
        <x:v>50</x:v>
      </x:c>
      <x:c r="P353" s="15" t="str">
        <x:f>IF(OR(B353="",E353&lt;=0),"Evidence missing / not eligible",IF(ISNUMBER(SEARCH("priority TBD",Y353)),"Evidence missing / not eligible",IF(AND(H353="Carryover",NOT(ISNUMBER(F353))),"Evidence missing / not eligible",IF(AND(H353="Carryover",G353&lt;'Scenario Controls'!$B$16),"Evidence missing / not eligible",IF(AND(H353="ROI-Based Portfolio",NOT(ISNUMBER(F353))),"Evidence missing / not eligible",IF(AND(H353="ROI-Based Portfolio",O353&lt;'Scenario Controls'!$B$20),"Evidence missing / not eligible","Eligible"))))))</x:f>
        <x:v>Eligible</x:v>
      </x:c>
      <x:c r="Q353" s="19" t="n">
        <x:f>IF(P353&lt;&gt;"Eligible",0,IF(AND(SUMIFS($Q$5:Q352,$H$5:H352,H353)+E353&lt;=(IF(H353="LFR",'Scenario Controls'!$F$10,IF(H353="Sustain Engineering",'Scenario Controls'!$F$11,IF(H353="Hygiene",'Scenario Controls'!$F$12,1E+99))))*(1+'Scenario Controls'!$B$7),SUM($Q$5:Q352)+E353&lt;='Scenario Controls'!$B$6*(1+'Scenario Controls'!$B$7)),E353,0))</x:f>
        <x:v>0.25</x:v>
      </x:c>
      <x:c r="R353" s="24" t="str">
        <x:f>'EW Conference'!G167</x:f>
        <x:v>Automatic</x:v>
      </x:c>
      <x:c r="S353" s="24" t="str">
        <x:f>'EW Conference'!H167</x:f>
      </x:c>
      <x:c r="T353" s="19" t="n">
        <x:f>IF(R353="Exclude",0,IF(R353="Include",E353,Q353))</x:f>
        <x:v>0.25</x:v>
      </x:c>
      <x:c r="U353" s="15" t="str">
        <x:f>IF(T353&gt;0,"Funded",IF(P353="Eligible","Unfunded",P353))</x:f>
        <x:v>Funded</x:v>
      </x:c>
      <x:c r="V353" s="15" t="str">
        <x:f>IF(R353="Include","Conference inclusion: "&amp;S353,IF(R353="Exclude","Conference exclusion: "&amp;S353,IF(Q353&gt;0,H353&amp;" priority rank "&amp;I353&amp;"; whole initiative selected",P353)))</x:f>
        <x:v>ROI-Based Portfolio priority rank 51; whole initiative selected</x:v>
      </x:c>
      <x:c r="W353" s="15" t="str">
        <x:v>EW!17</x:v>
      </x:c>
      <x:c r="X353" s="15" t="str">
        <x:v>HEALTHY</x:v>
      </x:c>
      <x:c r="Y353" s="15" t="str">
        <x:v>HEALTHY — Rank in priority matrix</x:v>
      </x:c>
      <x:c r="Z353" s="15" t="str">
        <x:v>AI Enablement</x:v>
      </x:c>
      <x:c r="AA353" s="15" t="str">
        <x:v>New Initiative</x:v>
      </x:c>
      <x:c r="AB353" s="15" t="str">
        <x:v>Group Functions &amp; Hyperautomation IT</x:v>
      </x:c>
      <x:c r="AC353" s="15" t="str">
        <x: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x:v>
      </x:c>
      <x:c r="AD353" s="15" t="str">
        <x: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x:v>
      </x:c>
      <x:c r="AE353" s="15" t="str">
        <x:v>Data across various PSQ capabilities such as complaints, capa, scar, etc</x:v>
      </x:c>
      <x:c r="AF353" s="15" t="str">
        <x: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 Data across various PSQ capabilities such as complaints, capa, scar, etc</x:v>
      </x:c>
      <x:c r="AG353" s="15" t="str">
        <x:v>Must Do</x:v>
      </x:c>
      <x:c r="AH353" s="15" t="n">
        <x:v>19</x:v>
      </x:c>
    </x:row>
    <x:row r="354">
      <x:c r="A354" s="15" t="str">
        <x:v>Bu-244</x:v>
      </x:c>
      <x:c r="B354" s="15" t="str">
        <x:v>ORU split to separate Manufactruing to Entrepner activities</x:v>
      </x:c>
      <x:c r="C354" s="15" t="str">
        <x:v>BU Led</x:v>
      </x:c>
      <x:c r="D354" s="15" t="str">
        <x:v>Precision Diagnosis - Digital X-ray Radiogrammetry (DXR)</x:v>
      </x:c>
      <x:c r="E354" s="19" t="n">
        <x:v>0.9</x:v>
      </x:c>
      <x:c r="F354" s="19" t="n">
        <x:v>1</x:v>
      </x:c>
      <x:c r="G354" s="22" t="n">
        <x:f>IF(AND(E354&gt;0,ISNUMBER(F354)),F354/E354,"")</x:f>
        <x:v>1.1111111111111112</x:v>
      </x:c>
      <x:c r="H354" s="15" t="str">
        <x:v>ROI-Based Portfolio</x:v>
      </x:c>
      <x:c r="I354" s="15" t="n">
        <x:v>52</x:v>
      </x:c>
      <x:c r="J354" s="15" t="n">
        <x:v>10</x:v>
      </x:c>
      <x:c r="K354" s="23" t="n">
        <x:f>IF(G354="",0,IF(G354&lt;1,0,IF(G354&lt;2,20,IF(G354&lt;3,30,IF(G354&lt;5,40,50)))))*'Scenario Controls'!$B$22/50</x:f>
        <x:v>20</x:v>
      </x:c>
      <x:c r="L354" s="23" t="n">
        <x:f>IF(ISNUMBER(SEARCH("Must Do",AG354)),25,IF(ISNUMBER(SEARCH("Must Have",AG354)),18,IF(ISNUMBER(SEARCH("Deprior",AG354)),5,0)))*'Scenario Controls'!$B$23/25</x:f>
        <x:v>18</x:v>
      </x:c>
      <x:c r="M354" s="23" t="n">
        <x:f>J354*'Scenario Controls'!$B$24/15</x:f>
        <x:v>10</x:v>
      </x:c>
      <x:c r="N354" s="23" t="n">
        <x:f>IF(ISNUMBER(SEARCH("HEALTHY",X354)),10,IF(ISNUMBER(SEARCH("CONTAIN",X354)),6,0))*'Scenario Controls'!$B$25/10</x:f>
        <x:v>0</x:v>
      </x:c>
      <x:c r="O354" s="23" t="n">
        <x:f>SUM(K354:N354)</x:f>
        <x:v>48</x:v>
      </x:c>
      <x:c r="P354" s="15" t="str">
        <x:f>IF(OR(B354="",E354&lt;=0),"Evidence missing / not eligible",IF(ISNUMBER(SEARCH("priority TBD",Y354)),"Evidence missing / not eligible",IF(AND(H354="Carryover",NOT(ISNUMBER(F354))),"Evidence missing / not eligible",IF(AND(H354="Carryover",G354&lt;'Scenario Controls'!$B$16),"Evidence missing / not eligible",IF(AND(H354="ROI-Based Portfolio",NOT(ISNUMBER(F354))),"Evidence missing / not eligible",IF(AND(H354="ROI-Based Portfolio",O354&lt;'Scenario Controls'!$B$20),"Evidence missing / not eligible","Eligible"))))))</x:f>
        <x:v>Eligible</x:v>
      </x:c>
      <x:c r="Q354" s="19" t="n">
        <x:f>IF(P354&lt;&gt;"Eligible",0,IF(AND(SUMIFS($Q$5:Q353,$H$5:H353,H354)+E354&lt;=(IF(H354="LFR",'Scenario Controls'!$F$10,IF(H354="Sustain Engineering",'Scenario Controls'!$F$11,IF(H354="Hygiene",'Scenario Controls'!$F$12,1E+99))))*(1+'Scenario Controls'!$B$7),SUM($Q$5:Q353)+E354&lt;='Scenario Controls'!$B$6*(1+'Scenario Controls'!$B$7)),E354,0))</x:f>
        <x:v>0.9</x:v>
      </x:c>
      <x:c r="R354" s="24" t="str">
        <x:f>'BU Conference'!G192</x:f>
        <x:v>Automatic</x:v>
      </x:c>
      <x:c r="S354" s="24" t="str">
        <x:f>'BU Conference'!H192</x:f>
      </x:c>
      <x:c r="T354" s="19" t="n">
        <x:f>IF(R354="Exclude",0,IF(R354="Include",E354,Q354))</x:f>
        <x:v>0.9</x:v>
      </x:c>
      <x:c r="U354" s="15" t="str">
        <x:f>IF(T354&gt;0,"Funded",IF(P354="Eligible","Unfunded",P354))</x:f>
        <x:v>Funded</x:v>
      </x:c>
      <x:c r="V354" s="15" t="str">
        <x:f>IF(R354="Include","Conference inclusion: "&amp;S354,IF(R354="Exclude","Conference exclusion: "&amp;S354,IF(Q354&gt;0,H354&amp;" priority rank "&amp;I354&amp;"; whole initiative selected",P354)))</x:f>
        <x:v>ROI-Based Portfolio priority rank 52; whole initiative selected</x:v>
      </x:c>
      <x:c r="W354" s="15" t="str">
        <x:v>Bu!552</x:v>
      </x:c>
      <x:c r="X354" s="15" t="str"/>
      <x:c r="Y354" s="15" t="str"/>
      <x:c r="Z354" s="15" t="str">
        <x:v>Legal Fiscal, Regulatory &amp; Compliancy</x:v>
      </x:c>
      <x:c r="AA354" s="15" t="str">
        <x:v>New Initiative</x:v>
      </x:c>
      <x:c r="AB354" s="15" t="str">
        <x:v>Integrated Supply Chain &amp; Finance</x:v>
      </x:c>
      <x:c r="AC354" s="15" t="str">
        <x:v>Atlas BC supports this. Avoid custom, tax and audit impact between internal facotry and enterpreneur entity. Create a compliant system that alloud separate audithability of manufacturing and enterpreneur ORU</x:v>
      </x:c>
      <x:c r="AD354" s="15" t="str">
        <x:v>DXR is enaging in enterprenpreneur activities and to ensure separation between manufacturing and enterpreneur activities an ORU split is required to ensure custom to audit separately the two areas</x:v>
      </x:c>
      <x:c r="AE354" s="15" t="str">
        <x:v>Required for Regional Merge Center to ensure auditability by US custom Authorities</x:v>
      </x:c>
      <x:c r="AF354" s="15" t="str">
        <x:v>Atlas BC supports this. Avoid custom, tax and audit impact between internal facotry and enterpreneur entity. Create a compliant system that alloud separate audithability of manufacturing and enterpreneur ORU | DXR is enaging in enterprenpreneur activities and to ensure separation between manufacturing and enterpreneur activities an ORU split is required to ensure custom to audit separately the two areas | Required for Regional Merge Center to ensure auditability by US custom Authorities</x:v>
      </x:c>
      <x:c r="AG354" s="15" t="str">
        <x:v>Must Have</x:v>
      </x:c>
      <x:c r="AH354" s="15" t="n">
        <x:v>424</x:v>
      </x:c>
    </x:row>
    <x:row r="355">
      <x:c r="A355" s="15" t="str">
        <x:v>Bu-138</x:v>
      </x:c>
      <x:c r="B355" s="15" t="str">
        <x:v>Data &amp; Analytics Program</x:v>
      </x:c>
      <x:c r="C355" s="15" t="str">
        <x:v>BU Led</x:v>
      </x:c>
      <x:c r="D355" s="15" t="str">
        <x:v>Enterprise Informatics (EI)</x:v>
      </x:c>
      <x:c r="E355" s="19" t="n">
        <x:v>0.95</x:v>
      </x:c>
      <x:c r="F355" s="19" t="n">
        <x:v>1</x:v>
      </x:c>
      <x:c r="G355" s="22" t="n">
        <x:f>IF(AND(E355&gt;0,ISNUMBER(F355)),F355/E355,"")</x:f>
        <x:v>1.0526315789473684</x:v>
      </x:c>
      <x:c r="H355" s="15" t="str">
        <x:v>ROI-Based Portfolio</x:v>
      </x:c>
      <x:c r="I355" s="15" t="n">
        <x:v>53</x:v>
      </x:c>
      <x:c r="J355" s="15" t="n">
        <x:v>0</x:v>
      </x:c>
      <x:c r="K355" s="23" t="n">
        <x:f>IF(G355="",0,IF(G355&lt;1,0,IF(G355&lt;2,20,IF(G355&lt;3,30,IF(G355&lt;5,40,50)))))*'Scenario Controls'!$B$22/50</x:f>
        <x:v>20</x:v>
      </x:c>
      <x:c r="L355" s="23" t="n">
        <x:f>IF(ISNUMBER(SEARCH("Must Do",AG355)),25,IF(ISNUMBER(SEARCH("Must Have",AG355)),18,IF(ISNUMBER(SEARCH("Deprior",AG355)),5,0)))*'Scenario Controls'!$B$23/25</x:f>
        <x:v>25</x:v>
      </x:c>
      <x:c r="M355" s="23" t="n">
        <x:f>J355*'Scenario Controls'!$B$24/15</x:f>
        <x:v>0</x:v>
      </x:c>
      <x:c r="N355" s="23" t="n">
        <x:f>IF(ISNUMBER(SEARCH("HEALTHY",X355)),10,IF(ISNUMBER(SEARCH("CONTAIN",X355)),6,0))*'Scenario Controls'!$B$25/10</x:f>
        <x:v>0</x:v>
      </x:c>
      <x:c r="O355" s="23" t="n">
        <x:f>SUM(K355:N355)</x:f>
        <x:v>45</x:v>
      </x:c>
      <x:c r="P355" s="15" t="str">
        <x:f>IF(OR(B355="",E355&lt;=0),"Evidence missing / not eligible",IF(ISNUMBER(SEARCH("priority TBD",Y355)),"Evidence missing / not eligible",IF(AND(H355="Carryover",NOT(ISNUMBER(F355))),"Evidence missing / not eligible",IF(AND(H355="Carryover",G355&lt;'Scenario Controls'!$B$16),"Evidence missing / not eligible",IF(AND(H355="ROI-Based Portfolio",NOT(ISNUMBER(F355))),"Evidence missing / not eligible",IF(AND(H355="ROI-Based Portfolio",O355&lt;'Scenario Controls'!$B$20),"Evidence missing / not eligible","Eligible"))))))</x:f>
        <x:v>Eligible</x:v>
      </x:c>
      <x:c r="Q355" s="19" t="n">
        <x:f>IF(P355&lt;&gt;"Eligible",0,IF(AND(SUMIFS($Q$5:Q354,$H$5:H354,H355)+E355&lt;=(IF(H355="LFR",'Scenario Controls'!$F$10,IF(H355="Sustain Engineering",'Scenario Controls'!$F$11,IF(H355="Hygiene",'Scenario Controls'!$F$12,1E+99))))*(1+'Scenario Controls'!$B$7),SUM($Q$5:Q354)+E355&lt;='Scenario Controls'!$B$6*(1+'Scenario Controls'!$B$7)),E355,0))</x:f>
        <x:v>0.95</x:v>
      </x:c>
      <x:c r="R355" s="24" t="str">
        <x:f>'BU Conference'!G193</x:f>
        <x:v>Automatic</x:v>
      </x:c>
      <x:c r="S355" s="24" t="str">
        <x:f>'BU Conference'!H193</x:f>
      </x:c>
      <x:c r="T355" s="19" t="n">
        <x:f>IF(R355="Exclude",0,IF(R355="Include",E355,Q355))</x:f>
        <x:v>0.95</x:v>
      </x:c>
      <x:c r="U355" s="15" t="str">
        <x:f>IF(T355&gt;0,"Funded",IF(P355="Eligible","Unfunded",P355))</x:f>
        <x:v>Funded</x:v>
      </x:c>
      <x:c r="V355" s="15" t="str">
        <x:f>IF(R355="Include","Conference inclusion: "&amp;S355,IF(R355="Exclude","Conference exclusion: "&amp;S355,IF(Q355&gt;0,H355&amp;" priority rank "&amp;I355&amp;"; whole initiative selected",P355)))</x:f>
        <x:v>ROI-Based Portfolio priority rank 53; whole initiative selected</x:v>
      </x:c>
      <x:c r="W355" s="15" t="str">
        <x:v>Bu!335</x:v>
      </x:c>
      <x:c r="X355" s="15" t="str"/>
      <x:c r="Y355" s="15" t="str"/>
      <x:c r="Z355" s="15" t="str">
        <x:v>AI Enablement</x:v>
      </x:c>
      <x:c r="AA355" s="15" t="str">
        <x:v>New Initiative</x:v>
      </x:c>
      <x:c r="AB355" s="15" t="str">
        <x:v>Enterprise Architecture, Data &amp; Integration</x:v>
      </x:c>
      <x:c r="AC355" s="15" t="str"/>
      <x:c r="AD355" s="15" t="str"/>
      <x:c r="AE355" s="15" t="str"/>
      <x:c r="AF355" s="15" t="str"/>
      <x:c r="AG355" s="15" t="str">
        <x:v>Must Do</x:v>
      </x:c>
      <x:c r="AH355" s="15" t="n">
        <x:v>315</x:v>
      </x:c>
    </x:row>
    <x:row r="356">
      <x:c r="A356" s="15" t="str">
        <x:v>EW-91</x:v>
      </x:c>
      <x:c r="B356" s="15" t="str">
        <x:v>FIN-TESSA BOT phase 2 (use cases shared for 2027 effort estimation)</x:v>
      </x:c>
      <x:c r="C356" s="15" t="str">
        <x:v>EW Led</x:v>
      </x:c>
      <x:c r="D356" s="15" t="str">
        <x:v>Finance</x:v>
      </x:c>
      <x:c r="E356" s="19" t="n">
        <x:v>0.3</x:v>
      </x:c>
      <x:c r="F356" s="19" t="n">
        <x:v>0.1</x:v>
      </x:c>
      <x:c r="G356" s="22" t="n">
        <x:f>IF(AND(E356&gt;0,ISNUMBER(F356)),F356/E356,"")</x:f>
        <x:v>0.33333333333333337</x:v>
      </x:c>
      <x:c r="H356" s="15" t="str">
        <x:v>ROI-Based Portfolio</x:v>
      </x:c>
      <x:c r="I356" s="15" t="n">
        <x:v>54</x:v>
      </x:c>
      <x:c r="J356" s="15" t="n">
        <x:v>5</x:v>
      </x:c>
      <x:c r="K356" s="23" t="n">
        <x:f>IF(G356="",0,IF(G356&lt;1,0,IF(G356&lt;2,20,IF(G356&lt;3,30,IF(G356&lt;5,40,50)))))*'Scenario Controls'!$B$22/50</x:f>
        <x:v>0</x:v>
      </x:c>
      <x:c r="L356" s="23" t="n">
        <x:f>IF(ISNUMBER(SEARCH("Must Do",AG356)),25,IF(ISNUMBER(SEARCH("Must Have",AG356)),18,IF(ISNUMBER(SEARCH("Deprior",AG356)),5,0)))*'Scenario Controls'!$B$23/25</x:f>
        <x:v>25</x:v>
      </x:c>
      <x:c r="M356" s="23" t="n">
        <x:f>J356*'Scenario Controls'!$B$24/15</x:f>
        <x:v>5</x:v>
      </x:c>
      <x:c r="N356" s="23" t="n">
        <x:f>IF(ISNUMBER(SEARCH("HEALTHY",X356)),10,IF(ISNUMBER(SEARCH("CONTAIN",X356)),6,0))*'Scenario Controls'!$B$25/10</x:f>
        <x:v>10</x:v>
      </x:c>
      <x:c r="O356" s="23" t="n">
        <x:f>SUM(K356:N356)</x:f>
        <x:v>40</x:v>
      </x:c>
      <x:c r="P356" s="15" t="str">
        <x:f>IF(OR(B356="",E356&lt;=0),"Evidence missing / not eligible",IF(ISNUMBER(SEARCH("priority TBD",Y356)),"Evidence missing / not eligible",IF(AND(H356="Carryover",NOT(ISNUMBER(F356))),"Evidence missing / not eligible",IF(AND(H356="Carryover",G356&lt;'Scenario Controls'!$B$16),"Evidence missing / not eligible",IF(AND(H356="ROI-Based Portfolio",NOT(ISNUMBER(F356))),"Evidence missing / not eligible",IF(AND(H356="ROI-Based Portfolio",O356&lt;'Scenario Controls'!$B$20),"Evidence missing / not eligible","Eligible"))))))</x:f>
        <x:v>Evidence missing / not eligible</x:v>
      </x:c>
      <x:c r="Q356" s="19" t="n">
        <x:f>IF(P356&lt;&gt;"Eligible",0,IF(AND(SUMIFS($Q$5:Q355,$H$5:H355,H356)+E356&lt;=(IF(H356="LFR",'Scenario Controls'!$F$10,IF(H356="Sustain Engineering",'Scenario Controls'!$F$11,IF(H356="Hygiene",'Scenario Controls'!$F$12,1E+99))))*(1+'Scenario Controls'!$B$7),SUM($Q$5:Q355)+E356&lt;='Scenario Controls'!$B$6*(1+'Scenario Controls'!$B$7)),E356,0))</x:f>
        <x:v>0</x:v>
      </x:c>
      <x:c r="R356" s="24" t="str">
        <x:f>'EW Conference'!G168</x:f>
        <x:v>Automatic</x:v>
      </x:c>
      <x:c r="S356" s="24" t="str">
        <x:f>'EW Conference'!H168</x:f>
      </x:c>
      <x:c r="T356" s="19" t="n">
        <x:f>IF(R356="Exclude",0,IF(R356="Include",E356,Q356))</x:f>
        <x:v>0</x:v>
      </x:c>
      <x:c r="U356" s="15" t="str">
        <x:f>IF(T356&gt;0,"Funded",IF(P356="Eligible","Unfunded",P356))</x:f>
        <x:v>Evidence missing / not eligible</x:v>
      </x:c>
      <x:c r="V356" s="15" t="str">
        <x:f>IF(R356="Include","Conference inclusion: "&amp;S356,IF(R356="Exclude","Conference exclusion: "&amp;S356,IF(Q356&gt;0,H356&amp;" priority rank "&amp;I356&amp;"; whole initiative selected",P356)))</x:f>
        <x:v>Evidence missing / not eligible</x:v>
      </x:c>
      <x:c r="W356" s="15" t="str">
        <x:v>EW!87</x:v>
      </x:c>
      <x:c r="X356" s="15" t="str">
        <x:v>HEALTHY</x:v>
      </x:c>
      <x:c r="Y356" s="15" t="str">
        <x:v>HEALTHY — Rank in priority matrix</x:v>
      </x:c>
      <x:c r="Z356" s="15" t="str">
        <x:v>AI Enablement</x:v>
      </x:c>
      <x:c r="AA356" s="15" t="str">
        <x:v>New Initiative</x:v>
      </x:c>
      <x:c r="AB356" s="15" t="str">
        <x:v>Integrated Supply Chain &amp; Finance</x:v>
      </x:c>
      <x:c r="AC356" s="15" t="str">
        <x:v>Efficiency gains unrealized; Continued manual repetitive tasks; Treasury resource dependency persists; (1FTE)</x:v>
      </x:c>
      <x:c r="AD356" s="15" t="str"/>
      <x:c r="AE356" s="15" t="str"/>
      <x:c r="AF356" s="15" t="str">
        <x:v>Efficiency gains unrealized; Continued manual repetitive tasks; Treasury resource dependency persists; (1FTE)</x:v>
      </x:c>
      <x:c r="AG356" s="15" t="str">
        <x:v>Must Do</x:v>
      </x:c>
      <x:c r="AH356" s="15" t="n">
        <x:v>89</x:v>
      </x:c>
    </x:row>
    <x:row r="357">
      <x:c r="A357" s="15" t="str">
        <x:v>EW-82</x:v>
      </x:c>
      <x:c r="B357" s="15" t="str">
        <x:v>FIN-VAT/GST tool</x:v>
      </x:c>
      <x:c r="C357" s="15" t="str">
        <x:v>EW Led</x:v>
      </x:c>
      <x:c r="D357" s="15" t="str">
        <x:v>Finance</x:v>
      </x:c>
      <x:c r="E357" s="19" t="n">
        <x:v>0.6</x:v>
      </x:c>
      <x:c r="F357" s="19" t="n">
        <x:v>0.15</x:v>
      </x:c>
      <x:c r="G357" s="22" t="n">
        <x:f>IF(AND(E357&gt;0,ISNUMBER(F357)),F357/E357,"")</x:f>
        <x:v>0.25</x:v>
      </x:c>
      <x:c r="H357" s="15" t="str">
        <x:v>ROI-Based Portfolio</x:v>
      </x:c>
      <x:c r="I357" s="15" t="n">
        <x:v>55</x:v>
      </x:c>
      <x:c r="J357" s="15" t="n">
        <x:v>5</x:v>
      </x:c>
      <x:c r="K357" s="23" t="n">
        <x:f>IF(G357="",0,IF(G357&lt;1,0,IF(G357&lt;2,20,IF(G357&lt;3,30,IF(G357&lt;5,40,50)))))*'Scenario Controls'!$B$22/50</x:f>
        <x:v>0</x:v>
      </x:c>
      <x:c r="L357" s="23" t="n">
        <x:f>IF(ISNUMBER(SEARCH("Must Do",AG357)),25,IF(ISNUMBER(SEARCH("Must Have",AG357)),18,IF(ISNUMBER(SEARCH("Deprior",AG357)),5,0)))*'Scenario Controls'!$B$23/25</x:f>
        <x:v>25</x:v>
      </x:c>
      <x:c r="M357" s="23" t="n">
        <x:f>J357*'Scenario Controls'!$B$24/15</x:f>
        <x:v>5</x:v>
      </x:c>
      <x:c r="N357" s="23" t="n">
        <x:f>IF(ISNUMBER(SEARCH("HEALTHY",X357)),10,IF(ISNUMBER(SEARCH("CONTAIN",X357)),6,0))*'Scenario Controls'!$B$25/10</x:f>
        <x:v>10</x:v>
      </x:c>
      <x:c r="O357" s="23" t="n">
        <x:f>SUM(K357:N357)</x:f>
        <x:v>40</x:v>
      </x:c>
      <x:c r="P357" s="15" t="str">
        <x:f>IF(OR(B357="",E357&lt;=0),"Evidence missing / not eligible",IF(ISNUMBER(SEARCH("priority TBD",Y357)),"Evidence missing / not eligible",IF(AND(H357="Carryover",NOT(ISNUMBER(F357))),"Evidence missing / not eligible",IF(AND(H357="Carryover",G357&lt;'Scenario Controls'!$B$16),"Evidence missing / not eligible",IF(AND(H357="ROI-Based Portfolio",NOT(ISNUMBER(F357))),"Evidence missing / not eligible",IF(AND(H357="ROI-Based Portfolio",O357&lt;'Scenario Controls'!$B$20),"Evidence missing / not eligible","Eligible"))))))</x:f>
        <x:v>Evidence missing / not eligible</x:v>
      </x:c>
      <x:c r="Q357" s="19" t="n">
        <x:f>IF(P357&lt;&gt;"Eligible",0,IF(AND(SUMIFS($Q$5:Q356,$H$5:H356,H357)+E357&lt;=(IF(H357="LFR",'Scenario Controls'!$F$10,IF(H357="Sustain Engineering",'Scenario Controls'!$F$11,IF(H357="Hygiene",'Scenario Controls'!$F$12,1E+99))))*(1+'Scenario Controls'!$B$7),SUM($Q$5:Q356)+E357&lt;='Scenario Controls'!$B$6*(1+'Scenario Controls'!$B$7)),E357,0))</x:f>
        <x:v>0</x:v>
      </x:c>
      <x:c r="R357" s="24" t="str">
        <x:f>'EW Conference'!G169</x:f>
        <x:v>Automatic</x:v>
      </x:c>
      <x:c r="S357" s="24" t="str">
        <x:f>'EW Conference'!H169</x:f>
      </x:c>
      <x:c r="T357" s="19" t="n">
        <x:f>IF(R357="Exclude",0,IF(R357="Include",E357,Q357))</x:f>
        <x:v>0</x:v>
      </x:c>
      <x:c r="U357" s="15" t="str">
        <x:f>IF(T357&gt;0,"Funded",IF(P357="Eligible","Unfunded",P357))</x:f>
        <x:v>Evidence missing / not eligible</x:v>
      </x:c>
      <x:c r="V357" s="15" t="str">
        <x:f>IF(R357="Include","Conference inclusion: "&amp;S357,IF(R357="Exclude","Conference exclusion: "&amp;S357,IF(Q357&gt;0,H357&amp;" priority rank "&amp;I357&amp;"; whole initiative selected",P357)))</x:f>
        <x:v>Evidence missing / not eligible</x:v>
      </x:c>
      <x:c r="W357" s="15" t="str">
        <x:v>EW!78</x:v>
      </x:c>
      <x:c r="X357" s="15" t="str">
        <x:v>HEALTHY</x:v>
      </x:c>
      <x:c r="Y357" s="15" t="str">
        <x:v>HEALTHY — Rank in priority matrix</x:v>
      </x:c>
      <x:c r="Z357" s="15" t="str">
        <x:v>AI Enablement</x:v>
      </x:c>
      <x:c r="AA357" s="15" t="str">
        <x:v>New Initiative</x:v>
      </x:c>
      <x:c r="AB357" s="15" t="str">
        <x:v>Integrated Supply Chain &amp; Finance</x:v>
      </x:c>
      <x:c r="AC357" s="15" t="str">
        <x:v>Continued €150K annual license cost for external tool; IDTX Ops team work not automated; No AI capabilities for VAT/GST</x:v>
      </x:c>
      <x:c r="AD357" s="15" t="str"/>
      <x:c r="AE357" s="15" t="str"/>
      <x:c r="AF357" s="15" t="str">
        <x:v>Continued €150K annual license cost for external tool; IDTX Ops team work not automated; No AI capabilities for VAT/GST</x:v>
      </x:c>
      <x:c r="AG357" s="15" t="str">
        <x:v>Must Do</x:v>
      </x:c>
      <x:c r="AH357" s="15" t="n">
        <x:v>80</x:v>
      </x:c>
    </x:row>
    <x:row r="358">
      <x:c r="A358" s="15" t="str">
        <x:v>EW-184</x:v>
      </x:c>
      <x:c r="B358" s="15" t="str">
        <x:v>ISC - Hardware Refresh 3 Sites</x:v>
      </x:c>
      <x:c r="C358" s="15" t="str">
        <x:v>EW Led</x:v>
      </x:c>
      <x:c r="D358" s="15" t="str">
        <x:v>Information Technology</x:v>
      </x:c>
      <x:c r="E358" s="19" t="n">
        <x:v>4</x:v>
      </x:c>
      <x:c r="F358" s="19" t="n">
        <x:v>0.87</x:v>
      </x:c>
      <x:c r="G358" s="22" t="n">
        <x:f>IF(AND(E358&gt;0,ISNUMBER(F358)),F358/E358,"")</x:f>
        <x:v>0.2175</x:v>
      </x:c>
      <x:c r="H358" s="15" t="str">
        <x:v>ROI-Based Portfolio</x:v>
      </x:c>
      <x:c r="I358" s="15" t="n">
        <x:v>56</x:v>
      </x:c>
      <x:c r="J358" s="15" t="n">
        <x:v>5</x:v>
      </x:c>
      <x:c r="K358" s="23" t="n">
        <x:f>IF(G358="",0,IF(G358&lt;1,0,IF(G358&lt;2,20,IF(G358&lt;3,30,IF(G358&lt;5,40,50)))))*'Scenario Controls'!$B$22/50</x:f>
        <x:v>0</x:v>
      </x:c>
      <x:c r="L358" s="23" t="n">
        <x:f>IF(ISNUMBER(SEARCH("Must Do",AG358)),25,IF(ISNUMBER(SEARCH("Must Have",AG358)),18,IF(ISNUMBER(SEARCH("Deprior",AG358)),5,0)))*'Scenario Controls'!$B$23/25</x:f>
        <x:v>25</x:v>
      </x:c>
      <x:c r="M358" s="23" t="n">
        <x:f>J358*'Scenario Controls'!$B$24/15</x:f>
        <x:v>5</x:v>
      </x:c>
      <x:c r="N358" s="23" t="n">
        <x:f>IF(ISNUMBER(SEARCH("HEALTHY",X358)),10,IF(ISNUMBER(SEARCH("CONTAIN",X358)),6,0))*'Scenario Controls'!$B$25/10</x:f>
        <x:v>10</x:v>
      </x:c>
      <x:c r="O358" s="23" t="n">
        <x:f>SUM(K358:N358)</x:f>
        <x:v>40</x:v>
      </x:c>
      <x:c r="P358" s="15" t="str">
        <x:f>IF(OR(B358="",E358&lt;=0),"Evidence missing / not eligible",IF(ISNUMBER(SEARCH("priority TBD",Y358)),"Evidence missing / not eligible",IF(AND(H358="Carryover",NOT(ISNUMBER(F358))),"Evidence missing / not eligible",IF(AND(H358="Carryover",G358&lt;'Scenario Controls'!$B$16),"Evidence missing / not eligible",IF(AND(H358="ROI-Based Portfolio",NOT(ISNUMBER(F358))),"Evidence missing / not eligible",IF(AND(H358="ROI-Based Portfolio",O358&lt;'Scenario Controls'!$B$20),"Evidence missing / not eligible","Eligible"))))))</x:f>
        <x:v>Evidence missing / not eligible</x:v>
      </x:c>
      <x:c r="Q358" s="19" t="n">
        <x:f>IF(P358&lt;&gt;"Eligible",0,IF(AND(SUMIFS($Q$5:Q357,$H$5:H357,H358)+E358&lt;=(IF(H358="LFR",'Scenario Controls'!$F$10,IF(H358="Sustain Engineering",'Scenario Controls'!$F$11,IF(H358="Hygiene",'Scenario Controls'!$F$12,1E+99))))*(1+'Scenario Controls'!$B$7),SUM($Q$5:Q357)+E358&lt;='Scenario Controls'!$B$6*(1+'Scenario Controls'!$B$7)),E358,0))</x:f>
        <x:v>0</x:v>
      </x:c>
      <x:c r="R358" s="24" t="str">
        <x:f>'EW Conference'!G170</x:f>
        <x:v>Automatic</x:v>
      </x:c>
      <x:c r="S358" s="24" t="str">
        <x:f>'EW Conference'!H170</x:f>
      </x:c>
      <x:c r="T358" s="19" t="n">
        <x:f>IF(R358="Exclude",0,IF(R358="Include",E358,Q358))</x:f>
        <x:v>0</x:v>
      </x:c>
      <x:c r="U358" s="15" t="str">
        <x:f>IF(T358&gt;0,"Funded",IF(P358="Eligible","Unfunded",P358))</x:f>
        <x:v>Evidence missing / not eligible</x:v>
      </x:c>
      <x:c r="V358" s="15" t="str">
        <x:f>IF(R358="Include","Conference inclusion: "&amp;S358,IF(R358="Exclude","Conference exclusion: "&amp;S358,IF(Q358&gt;0,H358&amp;" priority rank "&amp;I358&amp;"; whole initiative selected",P358)))</x:f>
        <x:v>Evidence missing / not eligible</x:v>
      </x:c>
      <x:c r="W358" s="15" t="str">
        <x:v>EW!180</x:v>
      </x:c>
      <x:c r="X358" s="15" t="str">
        <x:v>HEALTHY</x:v>
      </x:c>
      <x:c r="Y358" s="15" t="str">
        <x:v>HEALTHY — Rank in priority matrix</x:v>
      </x:c>
      <x:c r="Z358" s="15" t="str">
        <x:v>New Technology</x:v>
      </x:c>
      <x:c r="AA358" s="15" t="str">
        <x:v>New Initiative</x:v>
      </x:c>
      <x:c r="AB358" s="15" t="str">
        <x:v>Integrated Supply Chain &amp; Finance</x:v>
      </x:c>
      <x:c r="AC358" s="15" t="str">
        <x:v>0.87M impact per shift for all 3 sites; End of life and technical debt</x:v>
      </x:c>
      <x:c r="AD358" s="15" t="str"/>
      <x:c r="AE358" s="15" t="str"/>
      <x:c r="AF358" s="15" t="str">
        <x:v>0.87M impact per shift for all 3 sites; End of life and technical debt</x:v>
      </x:c>
      <x:c r="AG358" s="15" t="str">
        <x:v>Must Do</x:v>
      </x:c>
      <x:c r="AH358" s="15" t="n">
        <x:v>182</x:v>
      </x:c>
    </x:row>
    <x:row r="359">
      <x:c r="A359" s="15" t="str">
        <x:v>Bu-90</x:v>
      </x:c>
      <x:c r="B359" s="15" t="str">
        <x:v>SRC PPL Tree</x:v>
      </x:c>
      <x:c r="C359" s="15" t="str">
        <x:v>BU Led</x:v>
      </x:c>
      <x:c r="D359" s="15" t="str">
        <x:v>Sleep &amp; Respiratory Care (SRC)</x:v>
      </x:c>
      <x:c r="E359" s="19" t="n">
        <x:v>0</x:v>
      </x:c>
      <x:c r="F359" s="19" t="n">
        <x:v>50</x:v>
      </x:c>
      <x:c r="G359" s="22" t="str">
        <x:f>IF(AND(E359&gt;0,ISNUMBER(F359)),F359/E359,"")</x:f>
      </x:c>
      <x:c r="H359" s="15" t="str">
        <x:v>ROI-Based Portfolio</x:v>
      </x:c>
      <x:c r="I359" s="15" t="n">
        <x:v>57</x:v>
      </x:c>
      <x:c r="J359" s="15" t="n">
        <x:v>15</x:v>
      </x:c>
      <x:c r="K359" s="23" t="n">
        <x:f>IF(G359="",0,IF(G359&lt;1,0,IF(G359&lt;2,20,IF(G359&lt;3,30,IF(G359&lt;5,40,50)))))*'Scenario Controls'!$B$22/50</x:f>
        <x:v>0</x:v>
      </x:c>
      <x:c r="L359" s="23" t="n">
        <x:f>IF(ISNUMBER(SEARCH("Must Do",AG359)),25,IF(ISNUMBER(SEARCH("Must Have",AG359)),18,IF(ISNUMBER(SEARCH("Deprior",AG359)),5,0)))*'Scenario Controls'!$B$23/25</x:f>
        <x:v>25</x:v>
      </x:c>
      <x:c r="M359" s="23" t="n">
        <x:f>J359*'Scenario Controls'!$B$24/15</x:f>
        <x:v>15</x:v>
      </x:c>
      <x:c r="N359" s="23" t="n">
        <x:f>IF(ISNUMBER(SEARCH("HEALTHY",X359)),10,IF(ISNUMBER(SEARCH("CONTAIN",X359)),6,0))*'Scenario Controls'!$B$25/10</x:f>
        <x:v>0</x:v>
      </x:c>
      <x:c r="O359" s="23" t="n">
        <x:f>SUM(K359:N359)</x:f>
        <x:v>40</x:v>
      </x:c>
      <x:c r="P359" s="15" t="str">
        <x:f>IF(OR(B359="",E359&lt;=0),"Evidence missing / not eligible",IF(ISNUMBER(SEARCH("priority TBD",Y359)),"Evidence missing / not eligible",IF(AND(H359="Carryover",NOT(ISNUMBER(F359))),"Evidence missing / not eligible",IF(AND(H359="Carryover",G359&lt;'Scenario Controls'!$B$16),"Evidence missing / not eligible",IF(AND(H359="ROI-Based Portfolio",NOT(ISNUMBER(F359))),"Evidence missing / not eligible",IF(AND(H359="ROI-Based Portfolio",O359&lt;'Scenario Controls'!$B$20),"Evidence missing / not eligible","Eligible"))))))</x:f>
        <x:v>Evidence missing / not eligible</x:v>
      </x:c>
      <x:c r="Q359" s="19" t="n">
        <x:f>IF(P359&lt;&gt;"Eligible",0,IF(AND(SUMIFS($Q$5:Q358,$H$5:H358,H359)+E359&lt;=(IF(H359="LFR",'Scenario Controls'!$F$10,IF(H359="Sustain Engineering",'Scenario Controls'!$F$11,IF(H359="Hygiene",'Scenario Controls'!$F$12,1E+99))))*(1+'Scenario Controls'!$B$7),SUM($Q$5:Q358)+E359&lt;='Scenario Controls'!$B$6*(1+'Scenario Controls'!$B$7)),E359,0))</x:f>
        <x:v>0</x:v>
      </x:c>
      <x:c r="R359" s="24" t="str">
        <x:f>'BU Conference'!G194</x:f>
        <x:v>Automatic</x:v>
      </x:c>
      <x:c r="S359" s="24" t="str">
        <x:f>'BU Conference'!H194</x:f>
      </x:c>
      <x:c r="T359" s="19" t="n">
        <x:f>IF(R359="Exclude",0,IF(R359="Include",E359,Q359))</x:f>
        <x:v>0</x:v>
      </x:c>
      <x:c r="U359" s="15" t="str">
        <x:f>IF(T359&gt;0,"Funded",IF(P359="Eligible","Unfunded",P359))</x:f>
        <x:v>Evidence missing / not eligible</x:v>
      </x:c>
      <x:c r="V359" s="15" t="str">
        <x:f>IF(R359="Include","Conference inclusion: "&amp;S359,IF(R359="Exclude","Conference exclusion: "&amp;S359,IF(Q359&gt;0,H359&amp;" priority rank "&amp;I359&amp;"; whole initiative selected",P359)))</x:f>
        <x:v>Evidence missing / not eligible</x:v>
      </x:c>
      <x:c r="W359" s="15" t="str">
        <x:v>Bu!230</x:v>
      </x:c>
      <x:c r="X359" s="15" t="str"/>
      <x:c r="Y359" s="15" t="str"/>
      <x:c r="Z359" s="15" t="str">
        <x:v>New Feature</x:v>
      </x:c>
      <x:c r="AA359" s="15" t="str">
        <x:v>New Initiative</x:v>
      </x:c>
      <x:c r="AB359" s="15" t="str">
        <x:v>Innovation and Digital IT</x:v>
      </x:c>
      <x:c r="AC359" s="15" t="str">
        <x:v>Direct impact on our NA Comeback program which targets revenue growth of 300-500 M over next 2 years</x:v>
      </x:c>
      <x:c r="AD359" s="15" t="str">
        <x:v>SRC is struggling due to forced adoption of PPL structure of PH/HS leading to sub-optimal cutomer experience</x:v>
      </x:c>
      <x:c r="AE359" s="15" t="str">
        <x:v>Create a new PPL tree for SRC so that we can optimize our experience as per our business model</x:v>
      </x:c>
      <x:c r="AF359" s="15" t="str">
        <x:v>Direct impact on our NA Comeback program which targets revenue growth of 300-500 M over next 2 years | SRC is struggling due to forced adoption of PPL structure of PH/HS leading to sub-optimal cutomer experience | Create a new PPL tree for SRC so that we can optimize our experience as per our business model</x:v>
      </x:c>
      <x:c r="AG359" s="15" t="str">
        <x:v>Must Do</x:v>
      </x:c>
      <x:c r="AH359" s="15" t="n">
        <x:v>267</x:v>
      </x:c>
    </x:row>
    <x:row r="360">
      <x:c r="A360" s="15" t="str">
        <x:v>Bu-91</x:v>
      </x:c>
      <x:c r="B360" s="15" t="str">
        <x:v>SRC Integrated Portal</x:v>
      </x:c>
      <x:c r="C360" s="15" t="str">
        <x:v>BU Led</x:v>
      </x:c>
      <x:c r="D360" s="15" t="str">
        <x:v>Sleep &amp; Respiratory Care (SRC)</x:v>
      </x:c>
      <x:c r="E360" s="19" t="n">
        <x:v>0</x:v>
      </x:c>
      <x:c r="F360" s="19" t="n">
        <x:v>50</x:v>
      </x:c>
      <x:c r="G360" s="22" t="str">
        <x:f>IF(AND(E360&gt;0,ISNUMBER(F360)),F360/E360,"")</x:f>
      </x:c>
      <x:c r="H360" s="15" t="str">
        <x:v>ROI-Based Portfolio</x:v>
      </x:c>
      <x:c r="I360" s="15" t="n">
        <x:v>58</x:v>
      </x:c>
      <x:c r="J360" s="15" t="n">
        <x:v>15</x:v>
      </x:c>
      <x:c r="K360" s="23" t="n">
        <x:f>IF(G360="",0,IF(G360&lt;1,0,IF(G360&lt;2,20,IF(G360&lt;3,30,IF(G360&lt;5,40,50)))))*'Scenario Controls'!$B$22/50</x:f>
        <x:v>0</x:v>
      </x:c>
      <x:c r="L360" s="23" t="n">
        <x:f>IF(ISNUMBER(SEARCH("Must Do",AG360)),25,IF(ISNUMBER(SEARCH("Must Have",AG360)),18,IF(ISNUMBER(SEARCH("Deprior",AG360)),5,0)))*'Scenario Controls'!$B$23/25</x:f>
        <x:v>25</x:v>
      </x:c>
      <x:c r="M360" s="23" t="n">
        <x:f>J360*'Scenario Controls'!$B$24/15</x:f>
        <x:v>15</x:v>
      </x:c>
      <x:c r="N360" s="23" t="n">
        <x:f>IF(ISNUMBER(SEARCH("HEALTHY",X360)),10,IF(ISNUMBER(SEARCH("CONTAIN",X360)),6,0))*'Scenario Controls'!$B$25/10</x:f>
        <x:v>0</x:v>
      </x:c>
      <x:c r="O360" s="23" t="n">
        <x:f>SUM(K360:N360)</x:f>
        <x:v>40</x:v>
      </x:c>
      <x:c r="P360" s="15" t="str">
        <x:f>IF(OR(B360="",E360&lt;=0),"Evidence missing / not eligible",IF(ISNUMBER(SEARCH("priority TBD",Y360)),"Evidence missing / not eligible",IF(AND(H360="Carryover",NOT(ISNUMBER(F360))),"Evidence missing / not eligible",IF(AND(H360="Carryover",G360&lt;'Scenario Controls'!$B$16),"Evidence missing / not eligible",IF(AND(H360="ROI-Based Portfolio",NOT(ISNUMBER(F360))),"Evidence missing / not eligible",IF(AND(H360="ROI-Based Portfolio",O360&lt;'Scenario Controls'!$B$20),"Evidence missing / not eligible","Eligible"))))))</x:f>
        <x:v>Evidence missing / not eligible</x:v>
      </x:c>
      <x:c r="Q360" s="19" t="n">
        <x:f>IF(P360&lt;&gt;"Eligible",0,IF(AND(SUMIFS($Q$5:Q359,$H$5:H359,H360)+E360&lt;=(IF(H360="LFR",'Scenario Controls'!$F$10,IF(H360="Sustain Engineering",'Scenario Controls'!$F$11,IF(H360="Hygiene",'Scenario Controls'!$F$12,1E+99))))*(1+'Scenario Controls'!$B$7),SUM($Q$5:Q359)+E360&lt;='Scenario Controls'!$B$6*(1+'Scenario Controls'!$B$7)),E360,0))</x:f>
        <x:v>0</x:v>
      </x:c>
      <x:c r="R360" s="24" t="str">
        <x:f>'BU Conference'!G195</x:f>
        <x:v>Automatic</x:v>
      </x:c>
      <x:c r="S360" s="24" t="str">
        <x:f>'BU Conference'!H195</x:f>
      </x:c>
      <x:c r="T360" s="19" t="n">
        <x:f>IF(R360="Exclude",0,IF(R360="Include",E360,Q360))</x:f>
        <x:v>0</x:v>
      </x:c>
      <x:c r="U360" s="15" t="str">
        <x:f>IF(T360&gt;0,"Funded",IF(P360="Eligible","Unfunded",P360))</x:f>
        <x:v>Evidence missing / not eligible</x:v>
      </x:c>
      <x:c r="V360" s="15" t="str">
        <x:f>IF(R360="Include","Conference inclusion: "&amp;S360,IF(R360="Exclude","Conference exclusion: "&amp;S360,IF(Q360&gt;0,H360&amp;" priority rank "&amp;I360&amp;"; whole initiative selected",P360)))</x:f>
        <x:v>Evidence missing / not eligible</x:v>
      </x:c>
      <x:c r="W360" s="15" t="str">
        <x:v>Bu!231</x:v>
      </x:c>
      <x:c r="X360" s="15" t="str"/>
      <x:c r="Y360" s="15" t="str"/>
      <x:c r="Z360" s="15" t="str">
        <x:v>New Technology</x:v>
      </x:c>
      <x:c r="AA360" s="15" t="str">
        <x:v>New Initiative</x:v>
      </x:c>
      <x:c r="AB360" s="15" t="str">
        <x:v>Innovation and Digital IT</x:v>
      </x:c>
      <x:c r="AC360" s="15" t="str">
        <x:v>Direct impact on our NA Comeback program which targets revenue growth of 300-500 M over next 2 years</x:v>
      </x:c>
      <x:c r="AD360" s="15" t="str">
        <x:v>SRC does not have any integrated portal/landing page for the customers to navigate and they need to have separate links and login credentials for each App</x:v>
      </x:c>
      <x:c r="AE360" s="15" t="str">
        <x:v>Creating an integrated portal using PING authentication mechanism and onboard estore and MSD on this. This is critical for our NAM comeback program</x:v>
      </x:c>
      <x:c r="AF360" s="15" t="str">
        <x:v>Direct impact on our NA Comeback program which targets revenue growth of 300-500 M over next 2 years | SRC does not have any integrated portal/landing page for the customers to navigate and they need to have separate links and login credentials for each App | Creating an integrated portal using PING authentication mechanism and onboard estore and MSD on this. This is critical for our NAM comeback program</x:v>
      </x:c>
      <x:c r="AG360" s="15" t="str">
        <x:v>Must Do</x:v>
      </x:c>
      <x:c r="AH360" s="15" t="n">
        <x:v>268</x:v>
      </x:c>
    </x:row>
    <x:row r="361">
      <x:c r="A361" s="15" t="str">
        <x:v>Bu-92</x:v>
      </x:c>
      <x:c r="B361" s="15" t="str">
        <x:v>Website - New Functionality</x:v>
      </x:c>
      <x:c r="C361" s="15" t="str">
        <x:v>BU Led</x:v>
      </x:c>
      <x:c r="D361" s="15" t="str">
        <x:v>Sleep &amp; Respiratory Care (SRC)</x:v>
      </x:c>
      <x:c r="E361" s="19" t="n">
        <x:v>0</x:v>
      </x:c>
      <x:c r="F361" s="19" t="n">
        <x:v>50</x:v>
      </x:c>
      <x:c r="G361" s="22" t="str">
        <x:f>IF(AND(E361&gt;0,ISNUMBER(F361)),F361/E361,"")</x:f>
      </x:c>
      <x:c r="H361" s="15" t="str">
        <x:v>ROI-Based Portfolio</x:v>
      </x:c>
      <x:c r="I361" s="15" t="n">
        <x:v>59</x:v>
      </x:c>
      <x:c r="J361" s="15" t="n">
        <x:v>15</x:v>
      </x:c>
      <x:c r="K361" s="23" t="n">
        <x:f>IF(G361="",0,IF(G361&lt;1,0,IF(G361&lt;2,20,IF(G361&lt;3,30,IF(G361&lt;5,40,50)))))*'Scenario Controls'!$B$22/50</x:f>
        <x:v>0</x:v>
      </x:c>
      <x:c r="L361" s="23" t="n">
        <x:f>IF(ISNUMBER(SEARCH("Must Do",AG361)),25,IF(ISNUMBER(SEARCH("Must Have",AG361)),18,IF(ISNUMBER(SEARCH("Deprior",AG361)),5,0)))*'Scenario Controls'!$B$23/25</x:f>
        <x:v>25</x:v>
      </x:c>
      <x:c r="M361" s="23" t="n">
        <x:f>J361*'Scenario Controls'!$B$24/15</x:f>
        <x:v>15</x:v>
      </x:c>
      <x:c r="N361" s="23" t="n">
        <x:f>IF(ISNUMBER(SEARCH("HEALTHY",X361)),10,IF(ISNUMBER(SEARCH("CONTAIN",X361)),6,0))*'Scenario Controls'!$B$25/10</x:f>
        <x:v>0</x:v>
      </x:c>
      <x:c r="O361" s="23" t="n">
        <x:f>SUM(K361:N361)</x:f>
        <x:v>40</x:v>
      </x:c>
      <x:c r="P361" s="15" t="str">
        <x:f>IF(OR(B361="",E361&lt;=0),"Evidence missing / not eligible",IF(ISNUMBER(SEARCH("priority TBD",Y361)),"Evidence missing / not eligible",IF(AND(H361="Carryover",NOT(ISNUMBER(F361))),"Evidence missing / not eligible",IF(AND(H361="Carryover",G361&lt;'Scenario Controls'!$B$16),"Evidence missing / not eligible",IF(AND(H361="ROI-Based Portfolio",NOT(ISNUMBER(F361))),"Evidence missing / not eligible",IF(AND(H361="ROI-Based Portfolio",O361&lt;'Scenario Controls'!$B$20),"Evidence missing / not eligible","Eligible"))))))</x:f>
        <x:v>Evidence missing / not eligible</x:v>
      </x:c>
      <x:c r="Q361" s="19" t="n">
        <x:f>IF(P361&lt;&gt;"Eligible",0,IF(AND(SUMIFS($Q$5:Q360,$H$5:H360,H361)+E361&lt;=(IF(H361="LFR",'Scenario Controls'!$F$10,IF(H361="Sustain Engineering",'Scenario Controls'!$F$11,IF(H361="Hygiene",'Scenario Controls'!$F$12,1E+99))))*(1+'Scenario Controls'!$B$7),SUM($Q$5:Q360)+E361&lt;='Scenario Controls'!$B$6*(1+'Scenario Controls'!$B$7)),E361,0))</x:f>
        <x:v>0</x:v>
      </x:c>
      <x:c r="R361" s="24" t="str">
        <x:f>'BU Conference'!G196</x:f>
        <x:v>Automatic</x:v>
      </x:c>
      <x:c r="S361" s="24" t="str">
        <x:f>'BU Conference'!H196</x:f>
      </x:c>
      <x:c r="T361" s="19" t="n">
        <x:f>IF(R361="Exclude",0,IF(R361="Include",E361,Q361))</x:f>
        <x:v>0</x:v>
      </x:c>
      <x:c r="U361" s="15" t="str">
        <x:f>IF(T361&gt;0,"Funded",IF(P361="Eligible","Unfunded",P361))</x:f>
        <x:v>Evidence missing / not eligible</x:v>
      </x:c>
      <x:c r="V361" s="15" t="str">
        <x:f>IF(R361="Include","Conference inclusion: "&amp;S361,IF(R361="Exclude","Conference exclusion: "&amp;S361,IF(Q361&gt;0,H361&amp;" priority rank "&amp;I361&amp;"; whole initiative selected",P361)))</x:f>
        <x:v>Evidence missing / not eligible</x:v>
      </x:c>
      <x:c r="W361" s="15" t="str">
        <x:v>Bu!232</x:v>
      </x:c>
      <x:c r="X361" s="15" t="str"/>
      <x:c r="Y361" s="15" t="str"/>
      <x:c r="Z361" s="15" t="str">
        <x:v>New Feature</x:v>
      </x:c>
      <x:c r="AA361" s="15" t="str">
        <x:v>New Initiative</x:v>
      </x:c>
      <x:c r="AB361" s="15" t="str">
        <x:v>Innovation and Digital IT</x:v>
      </x:c>
      <x:c r="AC361" s="15" t="str">
        <x:v>Direct impact on our NA Comeback program which targets revenue growth of 300-500 M over next 2 years</x:v>
      </x:c>
      <x:c r="AD361" s="15" t="str">
        <x:v>During the migration of the platform, a lot of critical features were not migrated due to lack of time</x:v>
      </x:c>
      <x:c r="AE361" s="15" t="str">
        <x:v>Due to new platform that has been implemented, we had to move many critical features into 2027 due to hard deadline from IT, those features would be implemented now</x:v>
      </x:c>
      <x:c r="AF361" s="15" t="str">
        <x:v>Direct impact on our NA Comeback program which targets revenue growth of 300-500 M over next 2 years | During the migration of the platform, a lot of critical features were not migrated due to lack of time | Due to new platform that has been implemented, we had to move many critical features into 2027 due to hard deadline from IT, those features would be implemented now</x:v>
      </x:c>
      <x:c r="AG361" s="15" t="str">
        <x:v>Must Do</x:v>
      </x:c>
      <x:c r="AH361" s="15" t="n">
        <x:v>269</x:v>
      </x:c>
    </x:row>
    <x:row r="362">
      <x:c r="A362" s="15" t="str">
        <x:v>Bu-94</x:v>
      </x:c>
      <x:c r="B362" s="15" t="str">
        <x:v>Content Syndication - SRC</x:v>
      </x:c>
      <x:c r="C362" s="15" t="str">
        <x:v>BU Led</x:v>
      </x:c>
      <x:c r="D362" s="15" t="str">
        <x:v>Sleep &amp; Respiratory Care (SRC)</x:v>
      </x:c>
      <x:c r="E362" s="19" t="n">
        <x:v>0.15</x:v>
      </x:c>
      <x:c r="F362" s="19" t="n">
        <x:v>0</x:v>
      </x:c>
      <x:c r="G362" s="22" t="n">
        <x:f>IF(AND(E362&gt;0,ISNUMBER(F362)),F362/E362,"")</x:f>
        <x:v>0</x:v>
      </x:c>
      <x:c r="H362" s="15" t="str">
        <x:v>ROI-Based Portfolio</x:v>
      </x:c>
      <x:c r="I362" s="15" t="n">
        <x:v>60</x:v>
      </x:c>
      <x:c r="J362" s="15" t="n">
        <x:v>15</x:v>
      </x:c>
      <x:c r="K362" s="23" t="n">
        <x:f>IF(G362="",0,IF(G362&lt;1,0,IF(G362&lt;2,20,IF(G362&lt;3,30,IF(G362&lt;5,40,50)))))*'Scenario Controls'!$B$22/50</x:f>
        <x:v>0</x:v>
      </x:c>
      <x:c r="L362" s="23" t="n">
        <x:f>IF(ISNUMBER(SEARCH("Must Do",AG362)),25,IF(ISNUMBER(SEARCH("Must Have",AG362)),18,IF(ISNUMBER(SEARCH("Deprior",AG362)),5,0)))*'Scenario Controls'!$B$23/25</x:f>
        <x:v>25</x:v>
      </x:c>
      <x:c r="M362" s="23" t="n">
        <x:f>J362*'Scenario Controls'!$B$24/15</x:f>
        <x:v>15</x:v>
      </x:c>
      <x:c r="N362" s="23" t="n">
        <x:f>IF(ISNUMBER(SEARCH("HEALTHY",X362)),10,IF(ISNUMBER(SEARCH("CONTAIN",X362)),6,0))*'Scenario Controls'!$B$25/10</x:f>
        <x:v>0</x:v>
      </x:c>
      <x:c r="O362" s="23" t="n">
        <x:f>SUM(K362:N362)</x:f>
        <x:v>40</x:v>
      </x:c>
      <x:c r="P362" s="15" t="str">
        <x:f>IF(OR(B362="",E362&lt;=0),"Evidence missing / not eligible",IF(ISNUMBER(SEARCH("priority TBD",Y362)),"Evidence missing / not eligible",IF(AND(H362="Carryover",NOT(ISNUMBER(F362))),"Evidence missing / not eligible",IF(AND(H362="Carryover",G362&lt;'Scenario Controls'!$B$16),"Evidence missing / not eligible",IF(AND(H362="ROI-Based Portfolio",NOT(ISNUMBER(F362))),"Evidence missing / not eligible",IF(AND(H362="ROI-Based Portfolio",O362&lt;'Scenario Controls'!$B$20),"Evidence missing / not eligible","Eligible"))))))</x:f>
        <x:v>Evidence missing / not eligible</x:v>
      </x:c>
      <x:c r="Q362" s="19" t="n">
        <x:f>IF(P362&lt;&gt;"Eligible",0,IF(AND(SUMIFS($Q$5:Q361,$H$5:H361,H362)+E362&lt;=(IF(H362="LFR",'Scenario Controls'!$F$10,IF(H362="Sustain Engineering",'Scenario Controls'!$F$11,IF(H362="Hygiene",'Scenario Controls'!$F$12,1E+99))))*(1+'Scenario Controls'!$B$7),SUM($Q$5:Q361)+E362&lt;='Scenario Controls'!$B$6*(1+'Scenario Controls'!$B$7)),E362,0))</x:f>
        <x:v>0</x:v>
      </x:c>
      <x:c r="R362" s="24" t="str">
        <x:f>'BU Conference'!G197</x:f>
        <x:v>Automatic</x:v>
      </x:c>
      <x:c r="S362" s="24" t="str">
        <x:f>'BU Conference'!H197</x:f>
      </x:c>
      <x:c r="T362" s="19" t="n">
        <x:f>IF(R362="Exclude",0,IF(R362="Include",E362,Q362))</x:f>
        <x:v>0</x:v>
      </x:c>
      <x:c r="U362" s="15" t="str">
        <x:f>IF(T362&gt;0,"Funded",IF(P362="Eligible","Unfunded",P362))</x:f>
        <x:v>Evidence missing / not eligible</x:v>
      </x:c>
      <x:c r="V362" s="15" t="str">
        <x:f>IF(R362="Include","Conference inclusion: "&amp;S362,IF(R362="Exclude","Conference exclusion: "&amp;S362,IF(Q362&gt;0,H362&amp;" priority rank "&amp;I362&amp;"; whole initiative selected",P362)))</x:f>
        <x:v>Evidence missing / not eligible</x:v>
      </x:c>
      <x:c r="W362" s="15" t="str">
        <x:v>Bu!234</x:v>
      </x:c>
      <x:c r="X362" s="15" t="str"/>
      <x:c r="Y362" s="15" t="str"/>
      <x:c r="Z362" s="15" t="str">
        <x:v>New Technology</x:v>
      </x:c>
      <x:c r="AA362" s="15" t="str">
        <x:v>New Initiative</x:v>
      </x:c>
      <x:c r="AB362" s="15" t="str">
        <x:v>Innovation and Digital IT</x:v>
      </x:c>
      <x:c r="AC362" s="15" t="str">
        <x:v>Loss of revenue in IR &gt;10 M</x:v>
      </x:c>
      <x:c r="AD362" s="15" t="str">
        <x:v>SRC does not have any content syndication tool which severely impacts our ability to sell on third party eretailers and impacts revenue directly</x:v>
      </x:c>
      <x:c r="AE362" s="15" t="str">
        <x:v>We are working with PH to identify a content sydication tool and deploy that to few markets. It has a direct impact on our revenue and AOP for 2027</x:v>
      </x:c>
      <x:c r="AF362" s="15" t="str">
        <x:v>Loss of revenue in IR &gt;10 M | SRC does not have any content syndication tool which severely impacts our ability to sell on third party eretailers and impacts revenue directly | We are working with PH to identify a content sydication tool and deploy that to few markets. It has a direct impact on our revenue and AOP for 2027</x:v>
      </x:c>
      <x:c r="AG362" s="15" t="str">
        <x:v>Must Do</x:v>
      </x:c>
      <x:c r="AH362" s="15" t="n">
        <x:v>271</x:v>
      </x:c>
    </x:row>
    <x:row r="363">
      <x:c r="A363" s="15" t="str">
        <x:v>Bu-95</x:v>
      </x:c>
      <x:c r="B363" s="15" t="str">
        <x:v>Supply Planning and Demand Planning (BY)</x:v>
      </x:c>
      <x:c r="C363" s="15" t="str">
        <x:v>BU Led</x:v>
      </x:c>
      <x:c r="D363" s="15" t="str">
        <x:v>Sleep &amp; Respiratory Care (SRC)</x:v>
      </x:c>
      <x:c r="E363" s="19" t="n">
        <x:v>0</x:v>
      </x:c>
      <x:c r="F363" s="19" t="n">
        <x:v>29.3</x:v>
      </x:c>
      <x:c r="G363" s="22" t="str">
        <x:f>IF(AND(E363&gt;0,ISNUMBER(F363)),F363/E363,"")</x:f>
      </x:c>
      <x:c r="H363" s="15" t="str">
        <x:v>ROI-Based Portfolio</x:v>
      </x:c>
      <x:c r="I363" s="15" t="n">
        <x:v>61</x:v>
      </x:c>
      <x:c r="J363" s="15" t="n">
        <x:v>15</x:v>
      </x:c>
      <x:c r="K363" s="23" t="n">
        <x:f>IF(G363="",0,IF(G363&lt;1,0,IF(G363&lt;2,20,IF(G363&lt;3,30,IF(G363&lt;5,40,50)))))*'Scenario Controls'!$B$22/50</x:f>
        <x:v>0</x:v>
      </x:c>
      <x:c r="L363" s="23" t="n">
        <x:f>IF(ISNUMBER(SEARCH("Must Do",AG363)),25,IF(ISNUMBER(SEARCH("Must Have",AG363)),18,IF(ISNUMBER(SEARCH("Deprior",AG363)),5,0)))*'Scenario Controls'!$B$23/25</x:f>
        <x:v>25</x:v>
      </x:c>
      <x:c r="M363" s="23" t="n">
        <x:f>J363*'Scenario Controls'!$B$24/15</x:f>
        <x:v>15</x:v>
      </x:c>
      <x:c r="N363" s="23" t="n">
        <x:f>IF(ISNUMBER(SEARCH("HEALTHY",X363)),10,IF(ISNUMBER(SEARCH("CONTAIN",X363)),6,0))*'Scenario Controls'!$B$25/10</x:f>
        <x:v>0</x:v>
      </x:c>
      <x:c r="O363" s="23" t="n">
        <x:f>SUM(K363:N363)</x:f>
        <x:v>40</x:v>
      </x:c>
      <x:c r="P363" s="15" t="str">
        <x:f>IF(OR(B363="",E363&lt;=0),"Evidence missing / not eligible",IF(ISNUMBER(SEARCH("priority TBD",Y363)),"Evidence missing / not eligible",IF(AND(H363="Carryover",NOT(ISNUMBER(F363))),"Evidence missing / not eligible",IF(AND(H363="Carryover",G363&lt;'Scenario Controls'!$B$16),"Evidence missing / not eligible",IF(AND(H363="ROI-Based Portfolio",NOT(ISNUMBER(F363))),"Evidence missing / not eligible",IF(AND(H363="ROI-Based Portfolio",O363&lt;'Scenario Controls'!$B$20),"Evidence missing / not eligible","Eligible"))))))</x:f>
        <x:v>Evidence missing / not eligible</x:v>
      </x:c>
      <x:c r="Q363" s="19" t="n">
        <x:f>IF(P363&lt;&gt;"Eligible",0,IF(AND(SUMIFS($Q$5:Q362,$H$5:H362,H363)+E363&lt;=(IF(H363="LFR",'Scenario Controls'!$F$10,IF(H363="Sustain Engineering",'Scenario Controls'!$F$11,IF(H363="Hygiene",'Scenario Controls'!$F$12,1E+99))))*(1+'Scenario Controls'!$B$7),SUM($Q$5:Q362)+E363&lt;='Scenario Controls'!$B$6*(1+'Scenario Controls'!$B$7)),E363,0))</x:f>
        <x:v>0</x:v>
      </x:c>
      <x:c r="R363" s="24" t="str">
        <x:f>'BU Conference'!G198</x:f>
        <x:v>Automatic</x:v>
      </x:c>
      <x:c r="S363" s="24" t="str">
        <x:f>'BU Conference'!H198</x:f>
      </x:c>
      <x:c r="T363" s="19" t="n">
        <x:f>IF(R363="Exclude",0,IF(R363="Include",E363,Q363))</x:f>
        <x:v>0</x:v>
      </x:c>
      <x:c r="U363" s="15" t="str">
        <x:f>IF(T363&gt;0,"Funded",IF(P363="Eligible","Unfunded",P363))</x:f>
        <x:v>Evidence missing / not eligible</x:v>
      </x:c>
      <x:c r="V363" s="15" t="str">
        <x:f>IF(R363="Include","Conference inclusion: "&amp;S363,IF(R363="Exclude","Conference exclusion: "&amp;S363,IF(Q363&gt;0,H363&amp;" priority rank "&amp;I363&amp;"; whole initiative selected",P363)))</x:f>
        <x:v>Evidence missing / not eligible</x:v>
      </x:c>
      <x:c r="W363" s="15" t="str">
        <x:v>Bu!235</x:v>
      </x:c>
      <x:c r="X363" s="15" t="str"/>
      <x:c r="Y363" s="15" t="str"/>
      <x:c r="Z363" s="15" t="str">
        <x:v>New Technology</x:v>
      </x:c>
      <x:c r="AA363" s="15" t="str">
        <x:v>New Initiative</x:v>
      </x:c>
      <x:c r="AB363" s="15" t="str">
        <x:v>Integrated Supply Chain &amp; Finance</x:v>
      </x:c>
      <x:c r="AC363" s="15" t="str">
        <x:v>Direct impact on our NA Comeback program which targets revenue growth of 300-500 M over next 2 years</x:v>
      </x:c>
      <x:c r="AD363" s="15" t="str">
        <x:v>We do not have a Supply and demand planning tool and need to implement Blue Yonder for SRC</x:v>
      </x:c>
      <x:c r="AE363" s="15" t="str">
        <x:v>Implement BY for SRC with minimum scope as required; this is critical for our NA comeback</x:v>
      </x:c>
      <x:c r="AF363" s="15" t="str">
        <x:v>Direct impact on our NA Comeback program which targets revenue growth of 300-500 M over next 2 years | We do not have a Supply and demand planning tool and need to implement Blue Yonder for SRC | Implement BY for SRC with minimum scope as required; this is critical for our NA comeback</x:v>
      </x:c>
      <x:c r="AG363" s="15" t="str">
        <x:v>Must Do</x:v>
      </x:c>
      <x:c r="AH363" s="15" t="n">
        <x:v>272</x:v>
      </x:c>
    </x:row>
    <x:row r="364">
      <x:c r="A364" s="15" t="str">
        <x:v>Bu-100</x:v>
      </x:c>
      <x:c r="B364" s="15" t="str">
        <x:v>ATP Changes</x:v>
      </x:c>
      <x:c r="C364" s="15" t="str">
        <x:v>BU Led</x:v>
      </x:c>
      <x:c r="D364" s="15" t="str">
        <x:v>Sleep &amp; Respiratory Care (SRC)</x:v>
      </x:c>
      <x:c r="E364" s="19" t="n">
        <x:v>0</x:v>
      </x:c>
      <x:c r="F364" s="19" t="n">
        <x:v>1.5</x:v>
      </x:c>
      <x:c r="G364" s="22" t="str">
        <x:f>IF(AND(E364&gt;0,ISNUMBER(F364)),F364/E364,"")</x:f>
      </x:c>
      <x:c r="H364" s="15" t="str">
        <x:v>ROI-Based Portfolio</x:v>
      </x:c>
      <x:c r="I364" s="15" t="n">
        <x:v>62</x:v>
      </x:c>
      <x:c r="J364" s="15" t="n">
        <x:v>15</x:v>
      </x:c>
      <x:c r="K364" s="23" t="n">
        <x:f>IF(G364="",0,IF(G364&lt;1,0,IF(G364&lt;2,20,IF(G364&lt;3,30,IF(G364&lt;5,40,50)))))*'Scenario Controls'!$B$22/50</x:f>
        <x:v>0</x:v>
      </x:c>
      <x:c r="L364" s="23" t="n">
        <x:f>IF(ISNUMBER(SEARCH("Must Do",AG364)),25,IF(ISNUMBER(SEARCH("Must Have",AG364)),18,IF(ISNUMBER(SEARCH("Deprior",AG364)),5,0)))*'Scenario Controls'!$B$23/25</x:f>
        <x:v>25</x:v>
      </x:c>
      <x:c r="M364" s="23" t="n">
        <x:f>J364*'Scenario Controls'!$B$24/15</x:f>
        <x:v>15</x:v>
      </x:c>
      <x:c r="N364" s="23" t="n">
        <x:f>IF(ISNUMBER(SEARCH("HEALTHY",X364)),10,IF(ISNUMBER(SEARCH("CONTAIN",X364)),6,0))*'Scenario Controls'!$B$25/10</x:f>
        <x:v>0</x:v>
      </x:c>
      <x:c r="O364" s="23" t="n">
        <x:f>SUM(K364:N364)</x:f>
        <x:v>40</x:v>
      </x:c>
      <x:c r="P364" s="15" t="str">
        <x:f>IF(OR(B364="",E364&lt;=0),"Evidence missing / not eligible",IF(ISNUMBER(SEARCH("priority TBD",Y364)),"Evidence missing / not eligible",IF(AND(H364="Carryover",NOT(ISNUMBER(F364))),"Evidence missing / not eligible",IF(AND(H364="Carryover",G364&lt;'Scenario Controls'!$B$16),"Evidence missing / not eligible",IF(AND(H364="ROI-Based Portfolio",NOT(ISNUMBER(F364))),"Evidence missing / not eligible",IF(AND(H364="ROI-Based Portfolio",O364&lt;'Scenario Controls'!$B$20),"Evidence missing / not eligible","Eligible"))))))</x:f>
        <x:v>Evidence missing / not eligible</x:v>
      </x:c>
      <x:c r="Q364" s="19" t="n">
        <x:f>IF(P364&lt;&gt;"Eligible",0,IF(AND(SUMIFS($Q$5:Q363,$H$5:H363,H364)+E364&lt;=(IF(H364="LFR",'Scenario Controls'!$F$10,IF(H364="Sustain Engineering",'Scenario Controls'!$F$11,IF(H364="Hygiene",'Scenario Controls'!$F$12,1E+99))))*(1+'Scenario Controls'!$B$7),SUM($Q$5:Q363)+E364&lt;='Scenario Controls'!$B$6*(1+'Scenario Controls'!$B$7)),E364,0))</x:f>
        <x:v>0</x:v>
      </x:c>
      <x:c r="R364" s="24" t="str">
        <x:f>'BU Conference'!G199</x:f>
        <x:v>Automatic</x:v>
      </x:c>
      <x:c r="S364" s="24" t="str">
        <x:f>'BU Conference'!H199</x:f>
      </x:c>
      <x:c r="T364" s="19" t="n">
        <x:f>IF(R364="Exclude",0,IF(R364="Include",E364,Q364))</x:f>
        <x:v>0</x:v>
      </x:c>
      <x:c r="U364" s="15" t="str">
        <x:f>IF(T364&gt;0,"Funded",IF(P364="Eligible","Unfunded",P364))</x:f>
        <x:v>Evidence missing / not eligible</x:v>
      </x:c>
      <x:c r="V364" s="15" t="str">
        <x:f>IF(R364="Include","Conference inclusion: "&amp;S364,IF(R364="Exclude","Conference exclusion: "&amp;S364,IF(Q364&gt;0,H364&amp;" priority rank "&amp;I364&amp;"; whole initiative selected",P364)))</x:f>
        <x:v>Evidence missing / not eligible</x:v>
      </x:c>
      <x:c r="W364" s="15" t="str">
        <x:v>Bu!241</x:v>
      </x:c>
      <x:c r="X364" s="15" t="str"/>
      <x:c r="Y364" s="15" t="str"/>
      <x:c r="Z364" s="15" t="str">
        <x:v>New Feature</x:v>
      </x:c>
      <x:c r="AA364" s="15" t="str">
        <x:v>New Initiative</x:v>
      </x:c>
      <x:c r="AB364" s="15" t="str">
        <x:v>Innovation and Digital IT</x:v>
      </x:c>
      <x:c r="AC364" s="15" t="str">
        <x:v>Direct impact on our NA Comeback program which targets revenue growth of 300-500 M over next 2 years</x:v>
      </x:c>
      <x:c r="AD364" s="15" t="str">
        <x:v>We are not able to provide clear delivery dates to our customer which leads to order cancellations and revenue loss</x:v>
      </x:c>
      <x:c r="AE364" s="15" t="str">
        <x:v>Publish delivery dates to our customers after order is placed which requires changes in SAP and Hybris. Has direct business benefits and business case &gt; 1M</x:v>
      </x:c>
      <x:c r="AF364" s="15" t="str">
        <x:v>Direct impact on our NA Comeback program which targets revenue growth of 300-500 M over next 2 years | We are not able to provide clear delivery dates to our customer which leads to order cancellations and revenue loss | Publish delivery dates to our customers after order is placed which requires changes in SAP and Hybris. Has direct business benefits and business case &gt; 1M</x:v>
      </x:c>
      <x:c r="AG364" s="15" t="str">
        <x:v>Must Do</x:v>
      </x:c>
      <x:c r="AH364" s="15" t="n">
        <x:v>277</x:v>
      </x:c>
    </x:row>
    <x:row r="365">
      <x:c r="A365" s="15" t="str">
        <x:v>Bu-102</x:v>
      </x:c>
      <x:c r="B365" s="15" t="str">
        <x:v>CRM (MSD) Phase 2</x:v>
      </x:c>
      <x:c r="C365" s="15" t="str">
        <x:v>BU Led</x:v>
      </x:c>
      <x:c r="D365" s="15" t="str">
        <x:v>Sleep &amp; Respiratory Care (SRC)</x:v>
      </x:c>
      <x:c r="E365" s="19" t="n">
        <x:v>0</x:v>
      </x:c>
      <x:c r="F365" s="19" t="n">
        <x:v>5</x:v>
      </x:c>
      <x:c r="G365" s="22" t="str">
        <x:f>IF(AND(E365&gt;0,ISNUMBER(F365)),F365/E365,"")</x:f>
      </x:c>
      <x:c r="H365" s="15" t="str">
        <x:v>ROI-Based Portfolio</x:v>
      </x:c>
      <x:c r="I365" s="15" t="n">
        <x:v>63</x:v>
      </x:c>
      <x:c r="J365" s="15" t="n">
        <x:v>15</x:v>
      </x:c>
      <x:c r="K365" s="23" t="n">
        <x:f>IF(G365="",0,IF(G365&lt;1,0,IF(G365&lt;2,20,IF(G365&lt;3,30,IF(G365&lt;5,40,50)))))*'Scenario Controls'!$B$22/50</x:f>
        <x:v>0</x:v>
      </x:c>
      <x:c r="L365" s="23" t="n">
        <x:f>IF(ISNUMBER(SEARCH("Must Do",AG365)),25,IF(ISNUMBER(SEARCH("Must Have",AG365)),18,IF(ISNUMBER(SEARCH("Deprior",AG365)),5,0)))*'Scenario Controls'!$B$23/25</x:f>
        <x:v>25</x:v>
      </x:c>
      <x:c r="M365" s="23" t="n">
        <x:f>J365*'Scenario Controls'!$B$24/15</x:f>
        <x:v>15</x:v>
      </x:c>
      <x:c r="N365" s="23" t="n">
        <x:f>IF(ISNUMBER(SEARCH("HEALTHY",X365)),10,IF(ISNUMBER(SEARCH("CONTAIN",X365)),6,0))*'Scenario Controls'!$B$25/10</x:f>
        <x:v>0</x:v>
      </x:c>
      <x:c r="O365" s="23" t="n">
        <x:f>SUM(K365:N365)</x:f>
        <x:v>40</x:v>
      </x:c>
      <x:c r="P365" s="15" t="str">
        <x:f>IF(OR(B365="",E365&lt;=0),"Evidence missing / not eligible",IF(ISNUMBER(SEARCH("priority TBD",Y365)),"Evidence missing / not eligible",IF(AND(H365="Carryover",NOT(ISNUMBER(F365))),"Evidence missing / not eligible",IF(AND(H365="Carryover",G365&lt;'Scenario Controls'!$B$16),"Evidence missing / not eligible",IF(AND(H365="ROI-Based Portfolio",NOT(ISNUMBER(F365))),"Evidence missing / not eligible",IF(AND(H365="ROI-Based Portfolio",O365&lt;'Scenario Controls'!$B$20),"Evidence missing / not eligible","Eligible"))))))</x:f>
        <x:v>Evidence missing / not eligible</x:v>
      </x:c>
      <x:c r="Q365" s="19" t="n">
        <x:f>IF(P365&lt;&gt;"Eligible",0,IF(AND(SUMIFS($Q$5:Q364,$H$5:H364,H365)+E365&lt;=(IF(H365="LFR",'Scenario Controls'!$F$10,IF(H365="Sustain Engineering",'Scenario Controls'!$F$11,IF(H365="Hygiene",'Scenario Controls'!$F$12,1E+99))))*(1+'Scenario Controls'!$B$7),SUM($Q$5:Q364)+E365&lt;='Scenario Controls'!$B$6*(1+'Scenario Controls'!$B$7)),E365,0))</x:f>
        <x:v>0</x:v>
      </x:c>
      <x:c r="R365" s="24" t="str">
        <x:f>'BU Conference'!G200</x:f>
        <x:v>Automatic</x:v>
      </x:c>
      <x:c r="S365" s="24" t="str">
        <x:f>'BU Conference'!H200</x:f>
      </x:c>
      <x:c r="T365" s="19" t="n">
        <x:f>IF(R365="Exclude",0,IF(R365="Include",E365,Q365))</x:f>
        <x:v>0</x:v>
      </x:c>
      <x:c r="U365" s="15" t="str">
        <x:f>IF(T365&gt;0,"Funded",IF(P365="Eligible","Unfunded",P365))</x:f>
        <x:v>Evidence missing / not eligible</x:v>
      </x:c>
      <x:c r="V365" s="15" t="str">
        <x:f>IF(R365="Include","Conference inclusion: "&amp;S365,IF(R365="Exclude","Conference exclusion: "&amp;S365,IF(Q365&gt;0,H365&amp;" priority rank "&amp;I365&amp;"; whole initiative selected",P365)))</x:f>
        <x:v>Evidence missing / not eligible</x:v>
      </x:c>
      <x:c r="W365" s="15" t="str">
        <x:v>Bu!243</x:v>
      </x:c>
      <x:c r="X365" s="15" t="str"/>
      <x:c r="Y365" s="15" t="str"/>
      <x:c r="Z365" s="15" t="str">
        <x:v>Legal Fiscal, Regulatory &amp; Compliancy</x:v>
      </x:c>
      <x:c r="AA365" s="15" t="str">
        <x:v>New Initiative</x:v>
      </x:c>
      <x:c r="AB365" s="15" t="str">
        <x:v>Services &amp; Solutions IT</x:v>
      </x:c>
      <x:c r="AC365" s="15" t="str">
        <x:v>Direct impact on CD and injunction lift which prohibits us to sell in NA; overall revenue for that category was ~1000 M before injunction</x:v>
      </x:c>
      <x:c r="AD365" s="15" t="str">
        <x:v>We do not have any system which can be used for logging and monitoring customer returns and repairs.</x:v>
      </x:c>
      <x:c r="AE365" s="15" t="str">
        <x:v>Implement CRM solution which can log, track, monitor and report customer returns and repair requests</x:v>
      </x:c>
      <x:c r="AF365" s="15" t="str">
        <x:v>Direct impact on CD and injunction lift which prohibits us to sell in NA; overall revenue for that category was ~1000 M before injunction | We do not have any system which can be used for logging and monitoring customer returns and repairs. | Implement CRM solution which can log, track, monitor and report customer returns and repair requests</x:v>
      </x:c>
      <x:c r="AG365" s="15" t="str">
        <x:v>Must Do</x:v>
      </x:c>
      <x:c r="AH365" s="15" t="n">
        <x:v>279</x:v>
      </x:c>
    </x:row>
    <x:row r="366">
      <x:c r="A366" s="15" t="str">
        <x:v>Bu-104</x:v>
      </x:c>
      <x:c r="B366" s="15" t="str">
        <x:v>Windchil C&amp;CM</x:v>
      </x:c>
      <x:c r="C366" s="15" t="str">
        <x:v>BU Led</x:v>
      </x:c>
      <x:c r="D366" s="15" t="str">
        <x:v>Sleep &amp; Respiratory Care (SRC)</x:v>
      </x:c>
      <x:c r="E366" s="19" t="n">
        <x:v>1.655</x:v>
      </x:c>
      <x:c r="F366" s="19" t="n">
        <x:v>0</x:v>
      </x:c>
      <x:c r="G366" s="22" t="n">
        <x:f>IF(AND(E366&gt;0,ISNUMBER(F366)),F366/E366,"")</x:f>
        <x:v>0</x:v>
      </x:c>
      <x:c r="H366" s="15" t="str">
        <x:v>ROI-Based Portfolio</x:v>
      </x:c>
      <x:c r="I366" s="15" t="n">
        <x:v>64</x:v>
      </x:c>
      <x:c r="J366" s="15" t="n">
        <x:v>15</x:v>
      </x:c>
      <x:c r="K366" s="23" t="n">
        <x:f>IF(G366="",0,IF(G366&lt;1,0,IF(G366&lt;2,20,IF(G366&lt;3,30,IF(G366&lt;5,40,50)))))*'Scenario Controls'!$B$22/50</x:f>
        <x:v>0</x:v>
      </x:c>
      <x:c r="L366" s="23" t="n">
        <x:f>IF(ISNUMBER(SEARCH("Must Do",AG366)),25,IF(ISNUMBER(SEARCH("Must Have",AG366)),18,IF(ISNUMBER(SEARCH("Deprior",AG366)),5,0)))*'Scenario Controls'!$B$23/25</x:f>
        <x:v>25</x:v>
      </x:c>
      <x:c r="M366" s="23" t="n">
        <x:f>J366*'Scenario Controls'!$B$24/15</x:f>
        <x:v>15</x:v>
      </x:c>
      <x:c r="N366" s="23" t="n">
        <x:f>IF(ISNUMBER(SEARCH("HEALTHY",X366)),10,IF(ISNUMBER(SEARCH("CONTAIN",X366)),6,0))*'Scenario Controls'!$B$25/10</x:f>
        <x:v>0</x:v>
      </x:c>
      <x:c r="O366" s="23" t="n">
        <x:f>SUM(K366:N366)</x:f>
        <x:v>40</x:v>
      </x:c>
      <x:c r="P366" s="15" t="str">
        <x:f>IF(OR(B366="",E366&lt;=0),"Evidence missing / not eligible",IF(ISNUMBER(SEARCH("priority TBD",Y366)),"Evidence missing / not eligible",IF(AND(H366="Carryover",NOT(ISNUMBER(F366))),"Evidence missing / not eligible",IF(AND(H366="Carryover",G366&lt;'Scenario Controls'!$B$16),"Evidence missing / not eligible",IF(AND(H366="ROI-Based Portfolio",NOT(ISNUMBER(F366))),"Evidence missing / not eligible",IF(AND(H366="ROI-Based Portfolio",O366&lt;'Scenario Controls'!$B$20),"Evidence missing / not eligible","Eligible"))))))</x:f>
        <x:v>Evidence missing / not eligible</x:v>
      </x:c>
      <x:c r="Q366" s="19" t="n">
        <x:f>IF(P366&lt;&gt;"Eligible",0,IF(AND(SUMIFS($Q$5:Q365,$H$5:H365,H366)+E366&lt;=(IF(H366="LFR",'Scenario Controls'!$F$10,IF(H366="Sustain Engineering",'Scenario Controls'!$F$11,IF(H366="Hygiene",'Scenario Controls'!$F$12,1E+99))))*(1+'Scenario Controls'!$B$7),SUM($Q$5:Q365)+E366&lt;='Scenario Controls'!$B$6*(1+'Scenario Controls'!$B$7)),E366,0))</x:f>
        <x:v>0</x:v>
      </x:c>
      <x:c r="R366" s="24" t="str">
        <x:f>'BU Conference'!G201</x:f>
        <x:v>Automatic</x:v>
      </x:c>
      <x:c r="S366" s="24" t="str">
        <x:f>'BU Conference'!H201</x:f>
      </x:c>
      <x:c r="T366" s="19" t="n">
        <x:f>IF(R366="Exclude",0,IF(R366="Include",E366,Q366))</x:f>
        <x:v>0</x:v>
      </x:c>
      <x:c r="U366" s="15" t="str">
        <x:f>IF(T366&gt;0,"Funded",IF(P366="Eligible","Unfunded",P366))</x:f>
        <x:v>Evidence missing / not eligible</x:v>
      </x:c>
      <x:c r="V366" s="15" t="str">
        <x:f>IF(R366="Include","Conference inclusion: "&amp;S366,IF(R366="Exclude","Conference exclusion: "&amp;S366,IF(Q366&gt;0,H366&amp;" priority rank "&amp;I366&amp;"; whole initiative selected",P366)))</x:f>
        <x:v>Evidence missing / not eligible</x:v>
      </x:c>
      <x:c r="W366" s="15" t="str">
        <x:v>Bu!245</x:v>
      </x:c>
      <x:c r="X366" s="15" t="str"/>
      <x:c r="Y366" s="15" t="str"/>
      <x:c r="Z366" s="15" t="str">
        <x:v>Legal Fiscal, Regulatory &amp; Compliancy</x:v>
      </x:c>
      <x:c r="AA366" s="15" t="str">
        <x:v>New Initiative</x:v>
      </x:c>
      <x:c r="AB366" s="15" t="str">
        <x:v>Innovation and Digital IT</x:v>
      </x:c>
      <x:c r="AC366" s="15" t="str">
        <x:v>Direct impact on CD and injunction lift which prohibits us to sell in NA; overall revenue for that category was ~1000 M before injunction</x:v>
      </x:c>
      <x:c r="AD366" s="15" t="str">
        <x:v>We do not have any system implemented to store DHF and other files required for audit with complete trace and version history; this was also flagged as defeciency in audits</x:v>
      </x:c>
      <x:c r="AE366" s="15" t="str">
        <x:v>Implement Windchill C&amp;CM system for SRC to ensure compliance and avoid any potential fines</x:v>
      </x:c>
      <x:c r="AF366" s="15" t="str">
        <x:v>Direct impact on CD and injunction lift which prohibits us to sell in NA; overall revenue for that category was ~1000 M before injunction | We do not have any system implemented to store DHF and other files required for audit with complete trace and version history; this was also flagged as defeciency in audits | Implement Windchill C&amp;CM system for SRC to ensure compliance and avoid any potential fines</x:v>
      </x:c>
      <x:c r="AG366" s="15" t="str">
        <x:v>Must Do</x:v>
      </x:c>
      <x:c r="AH366" s="15" t="n">
        <x:v>281</x:v>
      </x:c>
    </x:row>
    <x:row r="367">
      <x:c r="A367" s="15" t="str">
        <x:v>Bu-107</x:v>
      </x:c>
      <x:c r="B367" s="15" t="str">
        <x:v>Catalogue Phase 2</x:v>
      </x:c>
      <x:c r="C367" s="15" t="str">
        <x:v>BU Led</x:v>
      </x:c>
      <x:c r="D367" s="15" t="str">
        <x:v>Sleep &amp; Respiratory Care (SRC)</x:v>
      </x:c>
      <x:c r="E367" s="19" t="n">
        <x:v>0</x:v>
      </x:c>
      <x:c r="F367" s="19" t="n">
        <x:v>50</x:v>
      </x:c>
      <x:c r="G367" s="22" t="str">
        <x:f>IF(AND(E367&gt;0,ISNUMBER(F367)),F367/E367,"")</x:f>
      </x:c>
      <x:c r="H367" s="15" t="str">
        <x:v>ROI-Based Portfolio</x:v>
      </x:c>
      <x:c r="I367" s="15" t="n">
        <x:v>65</x:v>
      </x:c>
      <x:c r="J367" s="15" t="n">
        <x:v>15</x:v>
      </x:c>
      <x:c r="K367" s="23" t="n">
        <x:f>IF(G367="",0,IF(G367&lt;1,0,IF(G367&lt;2,20,IF(G367&lt;3,30,IF(G367&lt;5,40,50)))))*'Scenario Controls'!$B$22/50</x:f>
        <x:v>0</x:v>
      </x:c>
      <x:c r="L367" s="23" t="n">
        <x:f>IF(ISNUMBER(SEARCH("Must Do",AG367)),25,IF(ISNUMBER(SEARCH("Must Have",AG367)),18,IF(ISNUMBER(SEARCH("Deprior",AG367)),5,0)))*'Scenario Controls'!$B$23/25</x:f>
        <x:v>25</x:v>
      </x:c>
      <x:c r="M367" s="23" t="n">
        <x:f>J367*'Scenario Controls'!$B$24/15</x:f>
        <x:v>15</x:v>
      </x:c>
      <x:c r="N367" s="23" t="n">
        <x:f>IF(ISNUMBER(SEARCH("HEALTHY",X367)),10,IF(ISNUMBER(SEARCH("CONTAIN",X367)),6,0))*'Scenario Controls'!$B$25/10</x:f>
        <x:v>0</x:v>
      </x:c>
      <x:c r="O367" s="23" t="n">
        <x:f>SUM(K367:N367)</x:f>
        <x:v>40</x:v>
      </x:c>
      <x:c r="P367" s="15" t="str">
        <x:f>IF(OR(B367="",E367&lt;=0),"Evidence missing / not eligible",IF(ISNUMBER(SEARCH("priority TBD",Y367)),"Evidence missing / not eligible",IF(AND(H367="Carryover",NOT(ISNUMBER(F367))),"Evidence missing / not eligible",IF(AND(H367="Carryover",G367&lt;'Scenario Controls'!$B$16),"Evidence missing / not eligible",IF(AND(H367="ROI-Based Portfolio",NOT(ISNUMBER(F367))),"Evidence missing / not eligible",IF(AND(H367="ROI-Based Portfolio",O367&lt;'Scenario Controls'!$B$20),"Evidence missing / not eligible","Eligible"))))))</x:f>
        <x:v>Evidence missing / not eligible</x:v>
      </x:c>
      <x:c r="Q367" s="19" t="n">
        <x:f>IF(P367&lt;&gt;"Eligible",0,IF(AND(SUMIFS($Q$5:Q366,$H$5:H366,H367)+E367&lt;=(IF(H367="LFR",'Scenario Controls'!$F$10,IF(H367="Sustain Engineering",'Scenario Controls'!$F$11,IF(H367="Hygiene",'Scenario Controls'!$F$12,1E+99))))*(1+'Scenario Controls'!$B$7),SUM($Q$5:Q366)+E367&lt;='Scenario Controls'!$B$6*(1+'Scenario Controls'!$B$7)),E367,0))</x:f>
        <x:v>0</x:v>
      </x:c>
      <x:c r="R367" s="24" t="str">
        <x:f>'BU Conference'!G202</x:f>
        <x:v>Automatic</x:v>
      </x:c>
      <x:c r="S367" s="24" t="str">
        <x:f>'BU Conference'!H202</x:f>
      </x:c>
      <x:c r="T367" s="19" t="n">
        <x:f>IF(R367="Exclude",0,IF(R367="Include",E367,Q367))</x:f>
        <x:v>0</x:v>
      </x:c>
      <x:c r="U367" s="15" t="str">
        <x:f>IF(T367&gt;0,"Funded",IF(P367="Eligible","Unfunded",P367))</x:f>
        <x:v>Evidence missing / not eligible</x:v>
      </x:c>
      <x:c r="V367" s="15" t="str">
        <x:f>IF(R367="Include","Conference inclusion: "&amp;S367,IF(R367="Exclude","Conference exclusion: "&amp;S367,IF(Q367&gt;0,H367&amp;" priority rank "&amp;I367&amp;"; whole initiative selected",P367)))</x:f>
        <x:v>Evidence missing / not eligible</x:v>
      </x:c>
      <x:c r="W367" s="15" t="str">
        <x:v>Bu!248</x:v>
      </x:c>
      <x:c r="X367" s="15" t="str"/>
      <x:c r="Y367" s="15" t="str"/>
      <x:c r="Z367" s="15" t="str">
        <x:v>New Feature</x:v>
      </x:c>
      <x:c r="AA367" s="15" t="str">
        <x:v>New Initiative</x:v>
      </x:c>
      <x:c r="AB367" s="15" t="str">
        <x:v>Innovation and Digital IT</x:v>
      </x:c>
      <x:c r="AC367" s="15" t="str">
        <x:v>Direct impact on our NA Comeback program which targets revenue growth of 300-500 M over next 2 years</x:v>
      </x:c>
      <x:c r="AD367" s="15" t="str">
        <x:v>We do not have a full fledged product catalogue for our customers and need that urgently for our NA Comeback program. We cannot go to the market without an accurate catalogue</x:v>
      </x:c>
      <x:c r="AE367" s="15" t="str">
        <x:v>Complete the catalogue project and ensure catalogue is available to our end customers for proper order management</x:v>
      </x:c>
      <x:c r="AF367" s="15" t="str">
        <x:v>Direct impact on our NA Comeback program which targets revenue growth of 300-500 M over next 2 years | We do not have a full fledged product catalogue for our customers and need that urgently for our NA Comeback program. We cannot go to the market without an accurate catalogue | Complete the catalogue project and ensure catalogue is available to our end customers for proper order management</x:v>
      </x:c>
      <x:c r="AG367" s="15" t="str">
        <x:v>Must Do</x:v>
      </x:c>
      <x:c r="AH367" s="15" t="n">
        <x:v>284</x:v>
      </x:c>
    </x:row>
    <x:row r="368">
      <x:c r="A368" s="15" t="str">
        <x:v>Bu-109</x:v>
      </x:c>
      <x:c r="B368" s="15" t="str">
        <x:v>SAP changes CD related</x:v>
      </x:c>
      <x:c r="C368" s="15" t="str">
        <x:v>BU Led</x:v>
      </x:c>
      <x:c r="D368" s="15" t="str">
        <x:v>Sleep &amp; Respiratory Care (SRC)</x:v>
      </x:c>
      <x:c r="E368" s="19" t="n">
        <x:v>0.3</x:v>
      </x:c>
      <x:c r="F368" s="19" t="n">
        <x:v>0</x:v>
      </x:c>
      <x:c r="G368" s="22" t="n">
        <x:f>IF(AND(E368&gt;0,ISNUMBER(F368)),F368/E368,"")</x:f>
        <x:v>0</x:v>
      </x:c>
      <x:c r="H368" s="15" t="str">
        <x:v>ROI-Based Portfolio</x:v>
      </x:c>
      <x:c r="I368" s="15" t="n">
        <x:v>66</x:v>
      </x:c>
      <x:c r="J368" s="15" t="n">
        <x:v>15</x:v>
      </x:c>
      <x:c r="K368" s="23" t="n">
        <x:f>IF(G368="",0,IF(G368&lt;1,0,IF(G368&lt;2,20,IF(G368&lt;3,30,IF(G368&lt;5,40,50)))))*'Scenario Controls'!$B$22/50</x:f>
        <x:v>0</x:v>
      </x:c>
      <x:c r="L368" s="23" t="n">
        <x:f>IF(ISNUMBER(SEARCH("Must Do",AG368)),25,IF(ISNUMBER(SEARCH("Must Have",AG368)),18,IF(ISNUMBER(SEARCH("Deprior",AG368)),5,0)))*'Scenario Controls'!$B$23/25</x:f>
        <x:v>25</x:v>
      </x:c>
      <x:c r="M368" s="23" t="n">
        <x:f>J368*'Scenario Controls'!$B$24/15</x:f>
        <x:v>15</x:v>
      </x:c>
      <x:c r="N368" s="23" t="n">
        <x:f>IF(ISNUMBER(SEARCH("HEALTHY",X368)),10,IF(ISNUMBER(SEARCH("CONTAIN",X368)),6,0))*'Scenario Controls'!$B$25/10</x:f>
        <x:v>0</x:v>
      </x:c>
      <x:c r="O368" s="23" t="n">
        <x:f>SUM(K368:N368)</x:f>
        <x:v>40</x:v>
      </x:c>
      <x:c r="P368" s="15" t="str">
        <x:f>IF(OR(B368="",E368&lt;=0),"Evidence missing / not eligible",IF(ISNUMBER(SEARCH("priority TBD",Y368)),"Evidence missing / not eligible",IF(AND(H368="Carryover",NOT(ISNUMBER(F368))),"Evidence missing / not eligible",IF(AND(H368="Carryover",G368&lt;'Scenario Controls'!$B$16),"Evidence missing / not eligible",IF(AND(H368="ROI-Based Portfolio",NOT(ISNUMBER(F368))),"Evidence missing / not eligible",IF(AND(H368="ROI-Based Portfolio",O368&lt;'Scenario Controls'!$B$20),"Evidence missing / not eligible","Eligible"))))))</x:f>
        <x:v>Evidence missing / not eligible</x:v>
      </x:c>
      <x:c r="Q368" s="19" t="n">
        <x:f>IF(P368&lt;&gt;"Eligible",0,IF(AND(SUMIFS($Q$5:Q367,$H$5:H367,H368)+E368&lt;=(IF(H368="LFR",'Scenario Controls'!$F$10,IF(H368="Sustain Engineering",'Scenario Controls'!$F$11,IF(H368="Hygiene",'Scenario Controls'!$F$12,1E+99))))*(1+'Scenario Controls'!$B$7),SUM($Q$5:Q367)+E368&lt;='Scenario Controls'!$B$6*(1+'Scenario Controls'!$B$7)),E368,0))</x:f>
        <x:v>0</x:v>
      </x:c>
      <x:c r="R368" s="24" t="str">
        <x:f>'BU Conference'!G203</x:f>
        <x:v>Automatic</x:v>
      </x:c>
      <x:c r="S368" s="24" t="str">
        <x:f>'BU Conference'!H203</x:f>
      </x:c>
      <x:c r="T368" s="19" t="n">
        <x:f>IF(R368="Exclude",0,IF(R368="Include",E368,Q368))</x:f>
        <x:v>0</x:v>
      </x:c>
      <x:c r="U368" s="15" t="str">
        <x:f>IF(T368&gt;0,"Funded",IF(P368="Eligible","Unfunded",P368))</x:f>
        <x:v>Evidence missing / not eligible</x:v>
      </x:c>
      <x:c r="V368" s="15" t="str">
        <x:f>IF(R368="Include","Conference inclusion: "&amp;S368,IF(R368="Exclude","Conference exclusion: "&amp;S368,IF(Q368&gt;0,H368&amp;" priority rank "&amp;I368&amp;"; whole initiative selected",P368)))</x:f>
        <x:v>Evidence missing / not eligible</x:v>
      </x:c>
      <x:c r="W368" s="15" t="str">
        <x:v>Bu!250</x:v>
      </x:c>
      <x:c r="X368" s="15" t="str"/>
      <x:c r="Y368" s="15" t="str"/>
      <x:c r="Z368" s="15" t="str">
        <x:v>Legal Fiscal, Regulatory &amp; Compliancy</x:v>
      </x:c>
      <x:c r="AA368" s="15" t="str">
        <x:v>New Initiative</x:v>
      </x:c>
      <x:c r="AB368" s="15" t="str">
        <x:v>Integrated Supply Chain &amp; Finance</x:v>
      </x:c>
      <x:c r="AC368" s="15" t="str">
        <x:v>Direct impact on CD and injunction lift which prohibits us to sell in NA; overall revenue for that category was ~1000 M before injunction</x:v>
      </x:c>
      <x:c r="AD368" s="15" t="str">
        <x:v>CD related SAP changes</x:v>
      </x:c>
      <x:c r="AE368" s="15" t="str">
        <x:v>CD related SAP changes</x:v>
      </x:c>
      <x:c r="AF368" s="15" t="str">
        <x:v>Direct impact on CD and injunction lift which prohibits us to sell in NA; overall revenue for that category was ~1000 M before injunction | CD related SAP changes | CD related SAP changes</x:v>
      </x:c>
      <x:c r="AG368" s="15" t="str">
        <x:v>Must Do</x:v>
      </x:c>
      <x:c r="AH368" s="15" t="n">
        <x:v>286</x:v>
      </x:c>
    </x:row>
    <x:row r="369">
      <x:c r="A369" s="15" t="str">
        <x:v>Bu-116</x:v>
      </x:c>
      <x:c r="B369" s="15" t="str">
        <x:v>SRC Uno Analytics</x:v>
      </x:c>
      <x:c r="C369" s="15" t="str">
        <x:v>BU Led</x:v>
      </x:c>
      <x:c r="D369" s="15" t="str">
        <x:v>Sleep &amp; Respiratory Care (SRC)</x:v>
      </x:c>
      <x:c r="E369" s="19" t="n">
        <x:v>0.08</x:v>
      </x:c>
      <x:c r="F369" s="19" t="n">
        <x:v>0</x:v>
      </x:c>
      <x:c r="G369" s="22" t="n">
        <x:f>IF(AND(E369&gt;0,ISNUMBER(F369)),F369/E369,"")</x:f>
        <x:v>0</x:v>
      </x:c>
      <x:c r="H369" s="15" t="str">
        <x:v>ROI-Based Portfolio</x:v>
      </x:c>
      <x:c r="I369" s="15" t="n">
        <x:v>67</x:v>
      </x:c>
      <x:c r="J369" s="15" t="n">
        <x:v>15</x:v>
      </x:c>
      <x:c r="K369" s="23" t="n">
        <x:f>IF(G369="",0,IF(G369&lt;1,0,IF(G369&lt;2,20,IF(G369&lt;3,30,IF(G369&lt;5,40,50)))))*'Scenario Controls'!$B$22/50</x:f>
        <x:v>0</x:v>
      </x:c>
      <x:c r="L369" s="23" t="n">
        <x:f>IF(ISNUMBER(SEARCH("Must Do",AG369)),25,IF(ISNUMBER(SEARCH("Must Have",AG369)),18,IF(ISNUMBER(SEARCH("Deprior",AG369)),5,0)))*'Scenario Controls'!$B$23/25</x:f>
        <x:v>25</x:v>
      </x:c>
      <x:c r="M369" s="23" t="n">
        <x:f>J369*'Scenario Controls'!$B$24/15</x:f>
        <x:v>15</x:v>
      </x:c>
      <x:c r="N369" s="23" t="n">
        <x:f>IF(ISNUMBER(SEARCH("HEALTHY",X369)),10,IF(ISNUMBER(SEARCH("CONTAIN",X369)),6,0))*'Scenario Controls'!$B$25/10</x:f>
        <x:v>0</x:v>
      </x:c>
      <x:c r="O369" s="23" t="n">
        <x:f>SUM(K369:N369)</x:f>
        <x:v>40</x:v>
      </x:c>
      <x:c r="P369" s="15" t="str">
        <x:f>IF(OR(B369="",E369&lt;=0),"Evidence missing / not eligible",IF(ISNUMBER(SEARCH("priority TBD",Y369)),"Evidence missing / not eligible",IF(AND(H369="Carryover",NOT(ISNUMBER(F369))),"Evidence missing / not eligible",IF(AND(H369="Carryover",G369&lt;'Scenario Controls'!$B$16),"Evidence missing / not eligible",IF(AND(H369="ROI-Based Portfolio",NOT(ISNUMBER(F369))),"Evidence missing / not eligible",IF(AND(H369="ROI-Based Portfolio",O369&lt;'Scenario Controls'!$B$20),"Evidence missing / not eligible","Eligible"))))))</x:f>
        <x:v>Evidence missing / not eligible</x:v>
      </x:c>
      <x:c r="Q369" s="19" t="n">
        <x:f>IF(P369&lt;&gt;"Eligible",0,IF(AND(SUMIFS($Q$5:Q368,$H$5:H368,H369)+E369&lt;=(IF(H369="LFR",'Scenario Controls'!$F$10,IF(H369="Sustain Engineering",'Scenario Controls'!$F$11,IF(H369="Hygiene",'Scenario Controls'!$F$12,1E+99))))*(1+'Scenario Controls'!$B$7),SUM($Q$5:Q368)+E369&lt;='Scenario Controls'!$B$6*(1+'Scenario Controls'!$B$7)),E369,0))</x:f>
        <x:v>0</x:v>
      </x:c>
      <x:c r="R369" s="24" t="str">
        <x:f>'BU Conference'!G204</x:f>
        <x:v>Automatic</x:v>
      </x:c>
      <x:c r="S369" s="24" t="str">
        <x:f>'BU Conference'!H204</x:f>
      </x:c>
      <x:c r="T369" s="19" t="n">
        <x:f>IF(R369="Exclude",0,IF(R369="Include",E369,Q369))</x:f>
        <x:v>0</x:v>
      </x:c>
      <x:c r="U369" s="15" t="str">
        <x:f>IF(T369&gt;0,"Funded",IF(P369="Eligible","Unfunded",P369))</x:f>
        <x:v>Evidence missing / not eligible</x:v>
      </x:c>
      <x:c r="V369" s="15" t="str">
        <x:f>IF(R369="Include","Conference inclusion: "&amp;S369,IF(R369="Exclude","Conference exclusion: "&amp;S369,IF(Q369&gt;0,H369&amp;" priority rank "&amp;I369&amp;"; whole initiative selected",P369)))</x:f>
        <x:v>Evidence missing / not eligible</x:v>
      </x:c>
      <x:c r="W369" s="15" t="str">
        <x:v>Bu!291</x:v>
      </x:c>
      <x:c r="X369" s="15" t="str"/>
      <x:c r="Y369" s="15" t="str"/>
      <x:c r="Z369" s="15" t="str">
        <x:v>Legal Fiscal, Regulatory &amp; Compliancy</x:v>
      </x:c>
      <x:c r="AA369" s="15" t="str">
        <x:v>New Initiative</x:v>
      </x:c>
      <x:c r="AB369" s="15" t="str">
        <x:v>Services &amp; Solutions IT</x:v>
      </x:c>
      <x:c r="AC369" s="15" t="str">
        <x:v>Direct impact on CD and injunction lift which prohibits us to sell in NA; overall revenue for that category was ~1000 M before injunction</x:v>
      </x:c>
      <x:c r="AD369" s="15" t="str">
        <x:v>Lack visibility into recall related metrics and information</x:v>
      </x:c>
      <x:c r="AE369" s="15" t="str">
        <x:v>Recall related reports as requested by PS&amp;Q team</x:v>
      </x:c>
      <x:c r="AF369" s="15" t="str">
        <x:v>Direct impact on CD and injunction lift which prohibits us to sell in NA; overall revenue for that category was ~1000 M before injunction | Lack visibility into recall related metrics and information | Recall related reports as requested by PS&amp;Q team</x:v>
      </x:c>
      <x:c r="AG369" s="15" t="str">
        <x:v>Must Do</x:v>
      </x:c>
      <x:c r="AH369" s="15" t="n">
        <x:v>293</x:v>
      </x:c>
    </x:row>
    <x:row r="370">
      <x:c r="A370" s="15" t="str">
        <x:v>Bu-117</x:v>
      </x:c>
      <x:c r="B370" s="15" t="str">
        <x:v>SRC Uno Data Lake</x:v>
      </x:c>
      <x:c r="C370" s="15" t="str">
        <x:v>BU Led</x:v>
      </x:c>
      <x:c r="D370" s="15" t="str">
        <x:v>Sleep &amp; Respiratory Care (SRC)</x:v>
      </x:c>
      <x:c r="E370" s="19" t="n">
        <x:v>0.13</x:v>
      </x:c>
      <x:c r="F370" s="19" t="n">
        <x:v>0</x:v>
      </x:c>
      <x:c r="G370" s="22" t="n">
        <x:f>IF(AND(E370&gt;0,ISNUMBER(F370)),F370/E370,"")</x:f>
        <x:v>0</x:v>
      </x:c>
      <x:c r="H370" s="15" t="str">
        <x:v>ROI-Based Portfolio</x:v>
      </x:c>
      <x:c r="I370" s="15" t="n">
        <x:v>68</x:v>
      </x:c>
      <x:c r="J370" s="15" t="n">
        <x:v>15</x:v>
      </x:c>
      <x:c r="K370" s="23" t="n">
        <x:f>IF(G370="",0,IF(G370&lt;1,0,IF(G370&lt;2,20,IF(G370&lt;3,30,IF(G370&lt;5,40,50)))))*'Scenario Controls'!$B$22/50</x:f>
        <x:v>0</x:v>
      </x:c>
      <x:c r="L370" s="23" t="n">
        <x:f>IF(ISNUMBER(SEARCH("Must Do",AG370)),25,IF(ISNUMBER(SEARCH("Must Have",AG370)),18,IF(ISNUMBER(SEARCH("Deprior",AG370)),5,0)))*'Scenario Controls'!$B$23/25</x:f>
        <x:v>25</x:v>
      </x:c>
      <x:c r="M370" s="23" t="n">
        <x:f>J370*'Scenario Controls'!$B$24/15</x:f>
        <x:v>15</x:v>
      </x:c>
      <x:c r="N370" s="23" t="n">
        <x:f>IF(ISNUMBER(SEARCH("HEALTHY",X370)),10,IF(ISNUMBER(SEARCH("CONTAIN",X370)),6,0))*'Scenario Controls'!$B$25/10</x:f>
        <x:v>0</x:v>
      </x:c>
      <x:c r="O370" s="23" t="n">
        <x:f>SUM(K370:N370)</x:f>
        <x:v>40</x:v>
      </x:c>
      <x:c r="P370" s="15" t="str">
        <x:f>IF(OR(B370="",E370&lt;=0),"Evidence missing / not eligible",IF(ISNUMBER(SEARCH("priority TBD",Y370)),"Evidence missing / not eligible",IF(AND(H370="Carryover",NOT(ISNUMBER(F370))),"Evidence missing / not eligible",IF(AND(H370="Carryover",G370&lt;'Scenario Controls'!$B$16),"Evidence missing / not eligible",IF(AND(H370="ROI-Based Portfolio",NOT(ISNUMBER(F370))),"Evidence missing / not eligible",IF(AND(H370="ROI-Based Portfolio",O370&lt;'Scenario Controls'!$B$20),"Evidence missing / not eligible","Eligible"))))))</x:f>
        <x:v>Evidence missing / not eligible</x:v>
      </x:c>
      <x:c r="Q370" s="19" t="n">
        <x:f>IF(P370&lt;&gt;"Eligible",0,IF(AND(SUMIFS($Q$5:Q369,$H$5:H369,H370)+E370&lt;=(IF(H370="LFR",'Scenario Controls'!$F$10,IF(H370="Sustain Engineering",'Scenario Controls'!$F$11,IF(H370="Hygiene",'Scenario Controls'!$F$12,1E+99))))*(1+'Scenario Controls'!$B$7),SUM($Q$5:Q369)+E370&lt;='Scenario Controls'!$B$6*(1+'Scenario Controls'!$B$7)),E370,0))</x:f>
        <x:v>0</x:v>
      </x:c>
      <x:c r="R370" s="24" t="str">
        <x:f>'BU Conference'!G205</x:f>
        <x:v>Automatic</x:v>
      </x:c>
      <x:c r="S370" s="24" t="str">
        <x:f>'BU Conference'!H205</x:f>
      </x:c>
      <x:c r="T370" s="19" t="n">
        <x:f>IF(R370="Exclude",0,IF(R370="Include",E370,Q370))</x:f>
        <x:v>0</x:v>
      </x:c>
      <x:c r="U370" s="15" t="str">
        <x:f>IF(T370&gt;0,"Funded",IF(P370="Eligible","Unfunded",P370))</x:f>
        <x:v>Evidence missing / not eligible</x:v>
      </x:c>
      <x:c r="V370" s="15" t="str">
        <x:f>IF(R370="Include","Conference inclusion: "&amp;S370,IF(R370="Exclude","Conference exclusion: "&amp;S370,IF(Q370&gt;0,H370&amp;" priority rank "&amp;I370&amp;"; whole initiative selected",P370)))</x:f>
        <x:v>Evidence missing / not eligible</x:v>
      </x:c>
      <x:c r="W370" s="15" t="str">
        <x:v>Bu!292</x:v>
      </x:c>
      <x:c r="X370" s="15" t="str"/>
      <x:c r="Y370" s="15" t="str"/>
      <x:c r="Z370" s="15" t="str">
        <x:v>Legal Fiscal, Regulatory &amp; Compliancy</x:v>
      </x:c>
      <x:c r="AA370" s="15" t="str">
        <x:v>New Initiative</x:v>
      </x:c>
      <x:c r="AB370" s="15" t="str">
        <x:v>Services &amp; Solutions IT</x:v>
      </x:c>
      <x:c r="AC370" s="15" t="str">
        <x:v>Direct impact on CD and injunction lift which prohibits us to sell in NA; overall revenue for that category was ~1000 M before injunction</x:v>
      </x:c>
      <x:c r="AD370" s="15" t="str">
        <x:v>Data Lake costs to supports recall related analytics</x:v>
      </x:c>
      <x:c r="AE370" s="15" t="str">
        <x:v>Data Lake costs to supports recall related analytics</x:v>
      </x:c>
      <x:c r="AF370" s="15" t="str">
        <x:v>Direct impact on CD and injunction lift which prohibits us to sell in NA; overall revenue for that category was ~1000 M before injunction | Data Lake costs to supports recall related analytics | Data Lake costs to supports recall related analytics</x:v>
      </x:c>
      <x:c r="AG370" s="15" t="str">
        <x:v>Must Do</x:v>
      </x:c>
      <x:c r="AH370" s="15" t="n">
        <x:v>294</x:v>
      </x:c>
    </x:row>
    <x:row r="371">
      <x:c r="A371" s="15" t="str">
        <x:v>Bu-129</x:v>
      </x:c>
      <x:c r="B371" s="15" t="str">
        <x:v>Ultrasound Data &amp; AI</x:v>
      </x:c>
      <x:c r="C371" s="15" t="str">
        <x:v>BU Led</x:v>
      </x:c>
      <x:c r="D371" s="15" t="str">
        <x:v>Precision Diagnosis - Ultrasound (PDU)</x:v>
      </x:c>
      <x:c r="E371" s="19" t="n">
        <x:v>0.3</x:v>
      </x:c>
      <x:c r="F371" s="19" t="n">
        <x:v>0</x:v>
      </x:c>
      <x:c r="G371" s="22" t="n">
        <x:f>IF(AND(E371&gt;0,ISNUMBER(F371)),F371/E371,"")</x:f>
        <x:v>0</x:v>
      </x:c>
      <x:c r="H371" s="15" t="str">
        <x:v>ROI-Based Portfolio</x:v>
      </x:c>
      <x:c r="I371" s="15" t="n">
        <x:v>69</x:v>
      </x:c>
      <x:c r="J371" s="15" t="n">
        <x:v>5</x:v>
      </x:c>
      <x:c r="K371" s="23" t="n">
        <x:f>IF(G371="",0,IF(G371&lt;1,0,IF(G371&lt;2,20,IF(G371&lt;3,30,IF(G371&lt;5,40,50)))))*'Scenario Controls'!$B$22/50</x:f>
        <x:v>0</x:v>
      </x:c>
      <x:c r="L371" s="23" t="n">
        <x:f>IF(ISNUMBER(SEARCH("Must Do",AG371)),25,IF(ISNUMBER(SEARCH("Must Have",AG371)),18,IF(ISNUMBER(SEARCH("Deprior",AG371)),5,0)))*'Scenario Controls'!$B$23/25</x:f>
        <x:v>25</x:v>
      </x:c>
      <x:c r="M371" s="23" t="n">
        <x:f>J371*'Scenario Controls'!$B$24/15</x:f>
        <x:v>5</x:v>
      </x:c>
      <x:c r="N371" s="23" t="n">
        <x:f>IF(ISNUMBER(SEARCH("HEALTHY",X371)),10,IF(ISNUMBER(SEARCH("CONTAIN",X371)),6,0))*'Scenario Controls'!$B$25/10</x:f>
        <x:v>10</x:v>
      </x:c>
      <x:c r="O371" s="23" t="n">
        <x:f>SUM(K371:N371)</x:f>
        <x:v>40</x:v>
      </x:c>
      <x:c r="P371" s="15" t="str">
        <x:f>IF(OR(B371="",E371&lt;=0),"Evidence missing / not eligible",IF(ISNUMBER(SEARCH("priority TBD",Y371)),"Evidence missing / not eligible",IF(AND(H371="Carryover",NOT(ISNUMBER(F371))),"Evidence missing / not eligible",IF(AND(H371="Carryover",G371&lt;'Scenario Controls'!$B$16),"Evidence missing / not eligible",IF(AND(H371="ROI-Based Portfolio",NOT(ISNUMBER(F371))),"Evidence missing / not eligible",IF(AND(H371="ROI-Based Portfolio",O371&lt;'Scenario Controls'!$B$20),"Evidence missing / not eligible","Eligible"))))))</x:f>
        <x:v>Evidence missing / not eligible</x:v>
      </x:c>
      <x:c r="Q371" s="19" t="n">
        <x:f>IF(P371&lt;&gt;"Eligible",0,IF(AND(SUMIFS($Q$5:Q370,$H$5:H370,H371)+E371&lt;=(IF(H371="LFR",'Scenario Controls'!$F$10,IF(H371="Sustain Engineering",'Scenario Controls'!$F$11,IF(H371="Hygiene",'Scenario Controls'!$F$12,1E+99))))*(1+'Scenario Controls'!$B$7),SUM($Q$5:Q370)+E371&lt;='Scenario Controls'!$B$6*(1+'Scenario Controls'!$B$7)),E371,0))</x:f>
        <x:v>0</x:v>
      </x:c>
      <x:c r="R371" s="24" t="str">
        <x:f>'BU Conference'!G206</x:f>
        <x:v>Automatic</x:v>
      </x:c>
      <x:c r="S371" s="24" t="str">
        <x:f>'BU Conference'!H206</x:f>
      </x:c>
      <x:c r="T371" s="19" t="n">
        <x:f>IF(R371="Exclude",0,IF(R371="Include",E371,Q371))</x:f>
        <x:v>0</x:v>
      </x:c>
      <x:c r="U371" s="15" t="str">
        <x:f>IF(T371&gt;0,"Funded",IF(P371="Eligible","Unfunded",P371))</x:f>
        <x:v>Evidence missing / not eligible</x:v>
      </x:c>
      <x:c r="V371" s="15" t="str">
        <x:f>IF(R371="Include","Conference inclusion: "&amp;S371,IF(R371="Exclude","Conference exclusion: "&amp;S371,IF(Q371&gt;0,H371&amp;" priority rank "&amp;I371&amp;"; whole initiative selected",P371)))</x:f>
        <x:v>Evidence missing / not eligible</x:v>
      </x:c>
      <x:c r="W371" s="15" t="str">
        <x:v>Bu!313</x:v>
      </x:c>
      <x:c r="X371" s="15" t="str">
        <x:v>HEALTHY</x:v>
      </x:c>
      <x:c r="Y371" s="15" t="str">
        <x:v>HEALTHY — Rank in priority matrix</x:v>
      </x:c>
      <x:c r="Z371" s="15" t="str">
        <x:v>AI Enablement</x:v>
      </x:c>
      <x:c r="AA371" s="15" t="str">
        <x:v>New Initiative</x:v>
      </x:c>
      <x:c r="AB371" s="15" t="str">
        <x:v>Enterprise Architecture, Data &amp; Integration</x:v>
      </x:c>
      <x:c r="AC371" s="15" t="str"/>
      <x:c r="AD371" s="15" t="str">
        <x:v>Data and AI intiatives</x:v>
      </x:c>
      <x:c r="AE371" s="15" t="str">
        <x:v>Scope may include, but not limited to:</x:v>
      </x:c>
      <x:c r="AF371" s="15" t="str">
        <x:v>Data and AI intiatives | Scope may include, but not limited to:</x:v>
      </x:c>
      <x:c r="AG371" s="15" t="str">
        <x:v>Must Do</x:v>
      </x:c>
      <x:c r="AH371" s="15" t="n">
        <x:v>306</x:v>
      </x:c>
    </x:row>
    <x:row r="372">
      <x:c r="A372" s="15" t="str">
        <x:v>Bu-215</x:v>
      </x:c>
      <x:c r="B372" s="15" t="str">
        <x:v>eDMR ready for CSRD</x:v>
      </x:c>
      <x:c r="C372" s="15" t="str">
        <x:v>BU Led</x:v>
      </x:c>
      <x:c r="D372" s="15" t="str">
        <x:v>Monitoring - HPM (MCH)</x:v>
      </x:c>
      <x:c r="E372" s="19" t="n">
        <x:v>0.2</x:v>
      </x:c>
      <x:c r="F372" s="19" t="n">
        <x:v>0</x:v>
      </x:c>
      <x:c r="G372" s="22" t="n">
        <x:f>IF(AND(E372&gt;0,ISNUMBER(F372)),F372/E372,"")</x:f>
        <x:v>0</x:v>
      </x:c>
      <x:c r="H372" s="15" t="str">
        <x:v>ROI-Based Portfolio</x:v>
      </x:c>
      <x:c r="I372" s="15" t="n">
        <x:v>70</x:v>
      </x:c>
      <x:c r="J372" s="15" t="n">
        <x:v>5</x:v>
      </x:c>
      <x:c r="K372" s="23" t="n">
        <x:f>IF(G372="",0,IF(G372&lt;1,0,IF(G372&lt;2,20,IF(G372&lt;3,30,IF(G372&lt;5,40,50)))))*'Scenario Controls'!$B$22/50</x:f>
        <x:v>0</x:v>
      </x:c>
      <x:c r="L372" s="23" t="n">
        <x:f>IF(ISNUMBER(SEARCH("Must Do",AG372)),25,IF(ISNUMBER(SEARCH("Must Have",AG372)),18,IF(ISNUMBER(SEARCH("Deprior",AG372)),5,0)))*'Scenario Controls'!$B$23/25</x:f>
        <x:v>25</x:v>
      </x:c>
      <x:c r="M372" s="23" t="n">
        <x:f>J372*'Scenario Controls'!$B$24/15</x:f>
        <x:v>5</x:v>
      </x:c>
      <x:c r="N372" s="23" t="n">
        <x:f>IF(ISNUMBER(SEARCH("HEALTHY",X372)),10,IF(ISNUMBER(SEARCH("CONTAIN",X372)),6,0))*'Scenario Controls'!$B$25/10</x:f>
        <x:v>10</x:v>
      </x:c>
      <x:c r="O372" s="23" t="n">
        <x:f>SUM(K372:N372)</x:f>
        <x:v>40</x:v>
      </x:c>
      <x:c r="P372" s="15" t="str">
        <x:f>IF(OR(B372="",E372&lt;=0),"Evidence missing / not eligible",IF(ISNUMBER(SEARCH("priority TBD",Y372)),"Evidence missing / not eligible",IF(AND(H372="Carryover",NOT(ISNUMBER(F372))),"Evidence missing / not eligible",IF(AND(H372="Carryover",G372&lt;'Scenario Controls'!$B$16),"Evidence missing / not eligible",IF(AND(H372="ROI-Based Portfolio",NOT(ISNUMBER(F372))),"Evidence missing / not eligible",IF(AND(H372="ROI-Based Portfolio",O372&lt;'Scenario Controls'!$B$20),"Evidence missing / not eligible","Eligible"))))))</x:f>
        <x:v>Evidence missing / not eligible</x:v>
      </x:c>
      <x:c r="Q372" s="19" t="n">
        <x:f>IF(P372&lt;&gt;"Eligible",0,IF(AND(SUMIFS($Q$5:Q371,$H$5:H371,H372)+E372&lt;=(IF(H372="LFR",'Scenario Controls'!$F$10,IF(H372="Sustain Engineering",'Scenario Controls'!$F$11,IF(H372="Hygiene",'Scenario Controls'!$F$12,1E+99))))*(1+'Scenario Controls'!$B$7),SUM($Q$5:Q371)+E372&lt;='Scenario Controls'!$B$6*(1+'Scenario Controls'!$B$7)),E372,0))</x:f>
        <x:v>0</x:v>
      </x:c>
      <x:c r="R372" s="24" t="str">
        <x:f>'BU Conference'!G207</x:f>
        <x:v>Automatic</x:v>
      </x:c>
      <x:c r="S372" s="24" t="str">
        <x:f>'BU Conference'!H207</x:f>
      </x:c>
      <x:c r="T372" s="19" t="n">
        <x:f>IF(R372="Exclude",0,IF(R372="Include",E372,Q372))</x:f>
        <x:v>0</x:v>
      </x:c>
      <x:c r="U372" s="15" t="str">
        <x:f>IF(T372&gt;0,"Funded",IF(P372="Eligible","Unfunded",P372))</x:f>
        <x:v>Evidence missing / not eligible</x:v>
      </x:c>
      <x:c r="V372" s="15" t="str">
        <x:f>IF(R372="Include","Conference inclusion: "&amp;S372,IF(R372="Exclude","Conference exclusion: "&amp;S372,IF(Q372&gt;0,H372&amp;" priority rank "&amp;I372&amp;"; whole initiative selected",P372)))</x:f>
        <x:v>Evidence missing / not eligible</x:v>
      </x:c>
      <x:c r="W372" s="15" t="str">
        <x:v>Bu!508</x:v>
      </x:c>
      <x:c r="X372" s="15" t="str">
        <x:v>HEALTHY</x:v>
      </x:c>
      <x:c r="Y372" s="15" t="str">
        <x:v>HEALTHY — Rank in priority matrix</x:v>
      </x:c>
      <x:c r="Z372" s="15" t="str">
        <x:v>Legal Fiscal, Regulatory &amp; Compliancy</x:v>
      </x:c>
      <x:c r="AA372" s="15" t="str">
        <x:v>New Initiative</x:v>
      </x:c>
      <x:c r="AB372" s="15" t="str">
        <x:v>Integrated Supply Chain &amp; Finance</x:v>
      </x:c>
      <x:c r="AC372" s="15" t="str">
        <x:v>NPI delayed</x:v>
      </x:c>
      <x:c r="AD372" s="15" t="str"/>
      <x:c r="AE372" s="15" t="str"/>
      <x:c r="AF372" s="15" t="str">
        <x:v>NPI delayed</x:v>
      </x:c>
      <x:c r="AG372" s="15" t="str">
        <x:v>Must Do</x:v>
      </x:c>
      <x:c r="AH372" s="15" t="n">
        <x:v>392</x:v>
      </x:c>
    </x:row>
    <x:row r="373">
      <x:c r="A373" s="15" t="str">
        <x:v>Bu-218</x:v>
      </x:c>
      <x:c r="B373" s="15" t="str">
        <x:v>Digital Delivery - Print on Demand for OEM</x:v>
      </x:c>
      <x:c r="C373" s="15" t="str">
        <x:v>BU Led</x:v>
      </x:c>
      <x:c r="D373" s="15" t="str">
        <x:v>Monitoring - HPM (MCH)</x:v>
      </x:c>
      <x:c r="E373" s="19" t="n">
        <x:v>0.3</x:v>
      </x:c>
      <x:c r="F373" s="19" t="n">
        <x:v>0</x:v>
      </x:c>
      <x:c r="G373" s="22" t="n">
        <x:f>IF(AND(E373&gt;0,ISNUMBER(F373)),F373/E373,"")</x:f>
        <x:v>0</x:v>
      </x:c>
      <x:c r="H373" s="15" t="str">
        <x:v>ROI-Based Portfolio</x:v>
      </x:c>
      <x:c r="I373" s="15" t="n">
        <x:v>71</x:v>
      </x:c>
      <x:c r="J373" s="15" t="n">
        <x:v>5</x:v>
      </x:c>
      <x:c r="K373" s="23" t="n">
        <x:f>IF(G373="",0,IF(G373&lt;1,0,IF(G373&lt;2,20,IF(G373&lt;3,30,IF(G373&lt;5,40,50)))))*'Scenario Controls'!$B$22/50</x:f>
        <x:v>0</x:v>
      </x:c>
      <x:c r="L373" s="23" t="n">
        <x:f>IF(ISNUMBER(SEARCH("Must Do",AG373)),25,IF(ISNUMBER(SEARCH("Must Have",AG373)),18,IF(ISNUMBER(SEARCH("Deprior",AG373)),5,0)))*'Scenario Controls'!$B$23/25</x:f>
        <x:v>25</x:v>
      </x:c>
      <x:c r="M373" s="23" t="n">
        <x:f>J373*'Scenario Controls'!$B$24/15</x:f>
        <x:v>5</x:v>
      </x:c>
      <x:c r="N373" s="23" t="n">
        <x:f>IF(ISNUMBER(SEARCH("HEALTHY",X373)),10,IF(ISNUMBER(SEARCH("CONTAIN",X373)),6,0))*'Scenario Controls'!$B$25/10</x:f>
        <x:v>10</x:v>
      </x:c>
      <x:c r="O373" s="23" t="n">
        <x:f>SUM(K373:N373)</x:f>
        <x:v>40</x:v>
      </x:c>
      <x:c r="P373" s="15" t="str">
        <x:f>IF(OR(B373="",E373&lt;=0),"Evidence missing / not eligible",IF(ISNUMBER(SEARCH("priority TBD",Y373)),"Evidence missing / not eligible",IF(AND(H373="Carryover",NOT(ISNUMBER(F373))),"Evidence missing / not eligible",IF(AND(H373="Carryover",G373&lt;'Scenario Controls'!$B$16),"Evidence missing / not eligible",IF(AND(H373="ROI-Based Portfolio",NOT(ISNUMBER(F373))),"Evidence missing / not eligible",IF(AND(H373="ROI-Based Portfolio",O373&lt;'Scenario Controls'!$B$20),"Evidence missing / not eligible","Eligible"))))))</x:f>
        <x:v>Evidence missing / not eligible</x:v>
      </x:c>
      <x:c r="Q373" s="19" t="n">
        <x:f>IF(P373&lt;&gt;"Eligible",0,IF(AND(SUMIFS($Q$5:Q372,$H$5:H372,H373)+E373&lt;=(IF(H373="LFR",'Scenario Controls'!$F$10,IF(H373="Sustain Engineering",'Scenario Controls'!$F$11,IF(H373="Hygiene",'Scenario Controls'!$F$12,1E+99))))*(1+'Scenario Controls'!$B$7),SUM($Q$5:Q372)+E373&lt;='Scenario Controls'!$B$6*(1+'Scenario Controls'!$B$7)),E373,0))</x:f>
        <x:v>0</x:v>
      </x:c>
      <x:c r="R373" s="24" t="str">
        <x:f>'BU Conference'!G208</x:f>
        <x:v>Automatic</x:v>
      </x:c>
      <x:c r="S373" s="24" t="str">
        <x:f>'BU Conference'!H208</x:f>
      </x:c>
      <x:c r="T373" s="19" t="n">
        <x:f>IF(R373="Exclude",0,IF(R373="Include",E373,Q373))</x:f>
        <x:v>0</x:v>
      </x:c>
      <x:c r="U373" s="15" t="str">
        <x:f>IF(T373&gt;0,"Funded",IF(P373="Eligible","Unfunded",P373))</x:f>
        <x:v>Evidence missing / not eligible</x:v>
      </x:c>
      <x:c r="V373" s="15" t="str">
        <x:f>IF(R373="Include","Conference inclusion: "&amp;S373,IF(R373="Exclude","Conference exclusion: "&amp;S373,IF(Q373&gt;0,H373&amp;" priority rank "&amp;I373&amp;"; whole initiative selected",P373)))</x:f>
        <x:v>Evidence missing / not eligible</x:v>
      </x:c>
      <x:c r="W373" s="15" t="str">
        <x:v>Bu!511</x:v>
      </x:c>
      <x:c r="X373" s="15" t="str">
        <x:v>HEALTHY</x:v>
      </x:c>
      <x:c r="Y373" s="15" t="str">
        <x:v>HEALTHY — Rank in priority matrix</x:v>
      </x:c>
      <x:c r="Z373" s="15" t="str">
        <x:v>New Technology</x:v>
      </x:c>
      <x:c r="AA373" s="15" t="str">
        <x:v>New Initiative</x:v>
      </x:c>
      <x:c r="AB373" s="15" t="str">
        <x:v>Innovation and Digital IT</x:v>
      </x:c>
      <x:c r="AC373" s="15" t="str">
        <x:v>NPI delayed</x:v>
      </x:c>
      <x:c r="AD373" s="15" t="str"/>
      <x:c r="AE373" s="15" t="str"/>
      <x:c r="AF373" s="15" t="str">
        <x:v>NPI delayed</x:v>
      </x:c>
      <x:c r="AG373" s="15" t="str">
        <x:v>Must Do</x:v>
      </x:c>
      <x:c r="AH373" s="15" t="n">
        <x:v>395</x:v>
      </x:c>
    </x:row>
    <x:row r="374">
      <x:c r="A374" s="15" t="str">
        <x:v>Bu-221</x:v>
      </x:c>
      <x:c r="B374" s="15" t="str">
        <x:v>Cross business value proposition enablement - (e.g.CCS Stage 2)</x:v>
      </x:c>
      <x:c r="C374" s="15" t="str">
        <x:v>BU Led</x:v>
      </x:c>
      <x:c r="D374" s="15" t="str">
        <x:v>Monitoring - HPM (MCH)</x:v>
      </x:c>
      <x:c r="E374" s="19" t="n">
        <x:v>0.25</x:v>
      </x:c>
      <x:c r="F374" s="19" t="n">
        <x:v>0</x:v>
      </x:c>
      <x:c r="G374" s="22" t="n">
        <x:f>IF(AND(E374&gt;0,ISNUMBER(F374)),F374/E374,"")</x:f>
        <x:v>0</x:v>
      </x:c>
      <x:c r="H374" s="15" t="str">
        <x:v>ROI-Based Portfolio</x:v>
      </x:c>
      <x:c r="I374" s="15" t="n">
        <x:v>72</x:v>
      </x:c>
      <x:c r="J374" s="15" t="n">
        <x:v>5</x:v>
      </x:c>
      <x:c r="K374" s="23" t="n">
        <x:f>IF(G374="",0,IF(G374&lt;1,0,IF(G374&lt;2,20,IF(G374&lt;3,30,IF(G374&lt;5,40,50)))))*'Scenario Controls'!$B$22/50</x:f>
        <x:v>0</x:v>
      </x:c>
      <x:c r="L374" s="23" t="n">
        <x:f>IF(ISNUMBER(SEARCH("Must Do",AG374)),25,IF(ISNUMBER(SEARCH("Must Have",AG374)),18,IF(ISNUMBER(SEARCH("Deprior",AG374)),5,0)))*'Scenario Controls'!$B$23/25</x:f>
        <x:v>25</x:v>
      </x:c>
      <x:c r="M374" s="23" t="n">
        <x:f>J374*'Scenario Controls'!$B$24/15</x:f>
        <x:v>5</x:v>
      </x:c>
      <x:c r="N374" s="23" t="n">
        <x:f>IF(ISNUMBER(SEARCH("HEALTHY",X374)),10,IF(ISNUMBER(SEARCH("CONTAIN",X374)),6,0))*'Scenario Controls'!$B$25/10</x:f>
        <x:v>10</x:v>
      </x:c>
      <x:c r="O374" s="23" t="n">
        <x:f>SUM(K374:N374)</x:f>
        <x:v>40</x:v>
      </x:c>
      <x:c r="P374" s="15" t="str">
        <x:f>IF(OR(B374="",E374&lt;=0),"Evidence missing / not eligible",IF(ISNUMBER(SEARCH("priority TBD",Y374)),"Evidence missing / not eligible",IF(AND(H374="Carryover",NOT(ISNUMBER(F374))),"Evidence missing / not eligible",IF(AND(H374="Carryover",G374&lt;'Scenario Controls'!$B$16),"Evidence missing / not eligible",IF(AND(H374="ROI-Based Portfolio",NOT(ISNUMBER(F374))),"Evidence missing / not eligible",IF(AND(H374="ROI-Based Portfolio",O374&lt;'Scenario Controls'!$B$20),"Evidence missing / not eligible","Eligible"))))))</x:f>
        <x:v>Evidence missing / not eligible</x:v>
      </x:c>
      <x:c r="Q374" s="19" t="n">
        <x:f>IF(P374&lt;&gt;"Eligible",0,IF(AND(SUMIFS($Q$5:Q373,$H$5:H373,H374)+E374&lt;=(IF(H374="LFR",'Scenario Controls'!$F$10,IF(H374="Sustain Engineering",'Scenario Controls'!$F$11,IF(H374="Hygiene",'Scenario Controls'!$F$12,1E+99))))*(1+'Scenario Controls'!$B$7),SUM($Q$5:Q373)+E374&lt;='Scenario Controls'!$B$6*(1+'Scenario Controls'!$B$7)),E374,0))</x:f>
        <x:v>0</x:v>
      </x:c>
      <x:c r="R374" s="24" t="str">
        <x:f>'BU Conference'!G209</x:f>
        <x:v>Automatic</x:v>
      </x:c>
      <x:c r="S374" s="24" t="str">
        <x:f>'BU Conference'!H209</x:f>
      </x:c>
      <x:c r="T374" s="19" t="n">
        <x:f>IF(R374="Exclude",0,IF(R374="Include",E374,Q374))</x:f>
        <x:v>0</x:v>
      </x:c>
      <x:c r="U374" s="15" t="str">
        <x:f>IF(T374&gt;0,"Funded",IF(P374="Eligible","Unfunded",P374))</x:f>
        <x:v>Evidence missing / not eligible</x:v>
      </x:c>
      <x:c r="V374" s="15" t="str">
        <x:f>IF(R374="Include","Conference inclusion: "&amp;S374,IF(R374="Exclude","Conference exclusion: "&amp;S374,IF(Q374&gt;0,H374&amp;" priority rank "&amp;I374&amp;"; whole initiative selected",P374)))</x:f>
        <x:v>Evidence missing / not eligible</x:v>
      </x:c>
      <x:c r="W374" s="15" t="str">
        <x:v>Bu!514</x:v>
      </x:c>
      <x:c r="X374" s="15" t="str">
        <x:v>HEALTHY</x:v>
      </x:c>
      <x:c r="Y374" s="15" t="str">
        <x:v>HEALTHY — Rank in priority matrix</x:v>
      </x:c>
      <x:c r="Z374" s="15" t="str">
        <x:v>New Technology</x:v>
      </x:c>
      <x:c r="AA374" s="15" t="str">
        <x:v>New Initiative</x:v>
      </x:c>
      <x:c r="AB374" s="15" t="str">
        <x:v>Integrated Supply Chain &amp; Finance</x:v>
      </x:c>
      <x:c r="AC374" s="15" t="str">
        <x:v>NPI delayed</x:v>
      </x:c>
      <x:c r="AD374" s="15" t="str"/>
      <x:c r="AE374" s="15" t="str"/>
      <x:c r="AF374" s="15" t="str">
        <x:v>NPI delayed</x:v>
      </x:c>
      <x:c r="AG374" s="15" t="str">
        <x:v>Must Do</x:v>
      </x:c>
      <x:c r="AH374" s="15" t="n">
        <x:v>398</x:v>
      </x:c>
    </x:row>
    <x:row r="375">
      <x:c r="A375" s="15" t="str">
        <x:v>Bu-222</x:v>
      </x:c>
      <x:c r="B375" s="15" t="str">
        <x:v>Mediana - low end monitoring via OEM (South Korea) (200K)</x:v>
      </x:c>
      <x:c r="C375" s="15" t="str">
        <x:v>BU Led</x:v>
      </x:c>
      <x:c r="D375" s="15" t="str">
        <x:v>Monitoring - HPM (MCH)</x:v>
      </x:c>
      <x:c r="E375" s="19" t="n">
        <x:v>0.46</x:v>
      </x:c>
      <x:c r="F375" s="19" t="n">
        <x:v>0</x:v>
      </x:c>
      <x:c r="G375" s="22" t="n">
        <x:f>IF(AND(E375&gt;0,ISNUMBER(F375)),F375/E375,"")</x:f>
        <x:v>0</x:v>
      </x:c>
      <x:c r="H375" s="15" t="str">
        <x:v>ROI-Based Portfolio</x:v>
      </x:c>
      <x:c r="I375" s="15" t="n">
        <x:v>73</x:v>
      </x:c>
      <x:c r="J375" s="15" t="n">
        <x:v>5</x:v>
      </x:c>
      <x:c r="K375" s="23" t="n">
        <x:f>IF(G375="",0,IF(G375&lt;1,0,IF(G375&lt;2,20,IF(G375&lt;3,30,IF(G375&lt;5,40,50)))))*'Scenario Controls'!$B$22/50</x:f>
        <x:v>0</x:v>
      </x:c>
      <x:c r="L375" s="23" t="n">
        <x:f>IF(ISNUMBER(SEARCH("Must Do",AG375)),25,IF(ISNUMBER(SEARCH("Must Have",AG375)),18,IF(ISNUMBER(SEARCH("Deprior",AG375)),5,0)))*'Scenario Controls'!$B$23/25</x:f>
        <x:v>25</x:v>
      </x:c>
      <x:c r="M375" s="23" t="n">
        <x:f>J375*'Scenario Controls'!$B$24/15</x:f>
        <x:v>5</x:v>
      </x:c>
      <x:c r="N375" s="23" t="n">
        <x:f>IF(ISNUMBER(SEARCH("HEALTHY",X375)),10,IF(ISNUMBER(SEARCH("CONTAIN",X375)),6,0))*'Scenario Controls'!$B$25/10</x:f>
        <x:v>10</x:v>
      </x:c>
      <x:c r="O375" s="23" t="n">
        <x:f>SUM(K375:N375)</x:f>
        <x:v>40</x:v>
      </x:c>
      <x:c r="P375" s="15" t="str">
        <x:f>IF(OR(B375="",E375&lt;=0),"Evidence missing / not eligible",IF(ISNUMBER(SEARCH("priority TBD",Y375)),"Evidence missing / not eligible",IF(AND(H375="Carryover",NOT(ISNUMBER(F375))),"Evidence missing / not eligible",IF(AND(H375="Carryover",G375&lt;'Scenario Controls'!$B$16),"Evidence missing / not eligible",IF(AND(H375="ROI-Based Portfolio",NOT(ISNUMBER(F375))),"Evidence missing / not eligible",IF(AND(H375="ROI-Based Portfolio",O375&lt;'Scenario Controls'!$B$20),"Evidence missing / not eligible","Eligible"))))))</x:f>
        <x:v>Evidence missing / not eligible</x:v>
      </x:c>
      <x:c r="Q375" s="19" t="n">
        <x:f>IF(P375&lt;&gt;"Eligible",0,IF(AND(SUMIFS($Q$5:Q374,$H$5:H374,H375)+E375&lt;=(IF(H375="LFR",'Scenario Controls'!$F$10,IF(H375="Sustain Engineering",'Scenario Controls'!$F$11,IF(H375="Hygiene",'Scenario Controls'!$F$12,1E+99))))*(1+'Scenario Controls'!$B$7),SUM($Q$5:Q374)+E375&lt;='Scenario Controls'!$B$6*(1+'Scenario Controls'!$B$7)),E375,0))</x:f>
        <x:v>0</x:v>
      </x:c>
      <x:c r="R375" s="24" t="str">
        <x:f>'BU Conference'!G210</x:f>
        <x:v>Automatic</x:v>
      </x:c>
      <x:c r="S375" s="24" t="str">
        <x:f>'BU Conference'!H210</x:f>
      </x:c>
      <x:c r="T375" s="19" t="n">
        <x:f>IF(R375="Exclude",0,IF(R375="Include",E375,Q375))</x:f>
        <x:v>0</x:v>
      </x:c>
      <x:c r="U375" s="15" t="str">
        <x:f>IF(T375&gt;0,"Funded",IF(P375="Eligible","Unfunded",P375))</x:f>
        <x:v>Evidence missing / not eligible</x:v>
      </x:c>
      <x:c r="V375" s="15" t="str">
        <x:f>IF(R375="Include","Conference inclusion: "&amp;S375,IF(R375="Exclude","Conference exclusion: "&amp;S375,IF(Q375&gt;0,H375&amp;" priority rank "&amp;I375&amp;"; whole initiative selected",P375)))</x:f>
        <x:v>Evidence missing / not eligible</x:v>
      </x:c>
      <x:c r="W375" s="15" t="str">
        <x:v>Bu!515</x:v>
      </x:c>
      <x:c r="X375" s="15" t="str">
        <x:v>HEALTHY</x:v>
      </x:c>
      <x:c r="Y375" s="15" t="str">
        <x:v>HEALTHY — Rank in priority matrix</x:v>
      </x:c>
      <x:c r="Z375" s="15" t="str">
        <x:v>New Technology</x:v>
      </x:c>
      <x:c r="AA375" s="15" t="str">
        <x:v>New Initiative</x:v>
      </x:c>
      <x:c r="AB375" s="15" t="str">
        <x:v>Integrated Supply Chain &amp; Finance</x:v>
      </x:c>
      <x:c r="AC375" s="15" t="str">
        <x:v>NPI delayed</x:v>
      </x:c>
      <x:c r="AD375" s="15" t="str"/>
      <x:c r="AE375" s="15" t="str"/>
      <x:c r="AF375" s="15" t="str">
        <x:v>NPI delayed</x:v>
      </x:c>
      <x:c r="AG375" s="15" t="str">
        <x:v>Must Do</x:v>
      </x:c>
      <x:c r="AH375" s="15" t="n">
        <x:v>399</x:v>
      </x:c>
    </x:row>
    <x:row r="376">
      <x:c r="A376" s="15" t="str">
        <x:v>Bu-224</x:v>
      </x:c>
      <x:c r="B376" s="15" t="str">
        <x:v>SaaS capabilities (incl.Lifecycle mgmt for contracts )</x:v>
      </x:c>
      <x:c r="C376" s="15" t="str">
        <x:v>BU Led</x:v>
      </x:c>
      <x:c r="D376" s="15" t="str">
        <x:v>Monitoring - HPM (MCH)</x:v>
      </x:c>
      <x:c r="E376" s="19" t="n">
        <x:v>1.1</x:v>
      </x:c>
      <x:c r="F376" s="19" t="n">
        <x:v>0</x:v>
      </x:c>
      <x:c r="G376" s="22" t="n">
        <x:f>IF(AND(E376&gt;0,ISNUMBER(F376)),F376/E376,"")</x:f>
        <x:v>0</x:v>
      </x:c>
      <x:c r="H376" s="15" t="str">
        <x:v>ROI-Based Portfolio</x:v>
      </x:c>
      <x:c r="I376" s="15" t="n">
        <x:v>74</x:v>
      </x:c>
      <x:c r="J376" s="15" t="n">
        <x:v>5</x:v>
      </x:c>
      <x:c r="K376" s="23" t="n">
        <x:f>IF(G376="",0,IF(G376&lt;1,0,IF(G376&lt;2,20,IF(G376&lt;3,30,IF(G376&lt;5,40,50)))))*'Scenario Controls'!$B$22/50</x:f>
        <x:v>0</x:v>
      </x:c>
      <x:c r="L376" s="23" t="n">
        <x:f>IF(ISNUMBER(SEARCH("Must Do",AG376)),25,IF(ISNUMBER(SEARCH("Must Have",AG376)),18,IF(ISNUMBER(SEARCH("Deprior",AG376)),5,0)))*'Scenario Controls'!$B$23/25</x:f>
        <x:v>25</x:v>
      </x:c>
      <x:c r="M376" s="23" t="n">
        <x:f>J376*'Scenario Controls'!$B$24/15</x:f>
        <x:v>5</x:v>
      </x:c>
      <x:c r="N376" s="23" t="n">
        <x:f>IF(ISNUMBER(SEARCH("HEALTHY",X376)),10,IF(ISNUMBER(SEARCH("CONTAIN",X376)),6,0))*'Scenario Controls'!$B$25/10</x:f>
        <x:v>10</x:v>
      </x:c>
      <x:c r="O376" s="23" t="n">
        <x:f>SUM(K376:N376)</x:f>
        <x:v>40</x:v>
      </x:c>
      <x:c r="P376" s="15" t="str">
        <x:f>IF(OR(B376="",E376&lt;=0),"Evidence missing / not eligible",IF(ISNUMBER(SEARCH("priority TBD",Y376)),"Evidence missing / not eligible",IF(AND(H376="Carryover",NOT(ISNUMBER(F376))),"Evidence missing / not eligible",IF(AND(H376="Carryover",G376&lt;'Scenario Controls'!$B$16),"Evidence missing / not eligible",IF(AND(H376="ROI-Based Portfolio",NOT(ISNUMBER(F376))),"Evidence missing / not eligible",IF(AND(H376="ROI-Based Portfolio",O376&lt;'Scenario Controls'!$B$20),"Evidence missing / not eligible","Eligible"))))))</x:f>
        <x:v>Evidence missing / not eligible</x:v>
      </x:c>
      <x:c r="Q376" s="19" t="n">
        <x:f>IF(P376&lt;&gt;"Eligible",0,IF(AND(SUMIFS($Q$5:Q375,$H$5:H375,H376)+E376&lt;=(IF(H376="LFR",'Scenario Controls'!$F$10,IF(H376="Sustain Engineering",'Scenario Controls'!$F$11,IF(H376="Hygiene",'Scenario Controls'!$F$12,1E+99))))*(1+'Scenario Controls'!$B$7),SUM($Q$5:Q375)+E376&lt;='Scenario Controls'!$B$6*(1+'Scenario Controls'!$B$7)),E376,0))</x:f>
        <x:v>0</x:v>
      </x:c>
      <x:c r="R376" s="24" t="str">
        <x:f>'BU Conference'!G211</x:f>
        <x:v>Automatic</x:v>
      </x:c>
      <x:c r="S376" s="24" t="str">
        <x:f>'BU Conference'!H211</x:f>
      </x:c>
      <x:c r="T376" s="19" t="n">
        <x:f>IF(R376="Exclude",0,IF(R376="Include",E376,Q376))</x:f>
        <x:v>0</x:v>
      </x:c>
      <x:c r="U376" s="15" t="str">
        <x:f>IF(T376&gt;0,"Funded",IF(P376="Eligible","Unfunded",P376))</x:f>
        <x:v>Evidence missing / not eligible</x:v>
      </x:c>
      <x:c r="V376" s="15" t="str">
        <x:f>IF(R376="Include","Conference inclusion: "&amp;S376,IF(R376="Exclude","Conference exclusion: "&amp;S376,IF(Q376&gt;0,H376&amp;" priority rank "&amp;I376&amp;"; whole initiative selected",P376)))</x:f>
        <x:v>Evidence missing / not eligible</x:v>
      </x:c>
      <x:c r="W376" s="15" t="str">
        <x:v>Bu!519</x:v>
      </x:c>
      <x:c r="X376" s="15" t="str">
        <x:v>HEALTHY</x:v>
      </x:c>
      <x:c r="Y376" s="15" t="str">
        <x:v>HEALTHY — Rank in priority matrix</x:v>
      </x:c>
      <x:c r="Z376" s="15" t="str">
        <x:v>New Technology</x:v>
      </x:c>
      <x:c r="AA376" s="15" t="str">
        <x:v>New Initiative</x:v>
      </x:c>
      <x:c r="AB376" s="15" t="str">
        <x:v>Commercial IT</x:v>
      </x:c>
      <x:c r="AC376" s="15" t="str">
        <x:v>NPI delayed</x:v>
      </x:c>
      <x:c r="AD376" s="15" t="str"/>
      <x:c r="AE376" s="15" t="str"/>
      <x:c r="AF376" s="15" t="str">
        <x:v>NPI delayed</x:v>
      </x:c>
      <x:c r="AG376" s="15" t="str">
        <x:v>Must Do</x:v>
      </x:c>
      <x:c r="AH376" s="15" t="n">
        <x:v>403</x:v>
      </x:c>
    </x:row>
    <x:row r="377">
      <x:c r="A377" s="15" t="str">
        <x:v>Bu-225</x:v>
      </x:c>
      <x:c r="B377" s="15" t="str">
        <x:v>Bangalore Test Lab extension</x:v>
      </x:c>
      <x:c r="C377" s="15" t="str">
        <x:v>BU Led</x:v>
      </x:c>
      <x:c r="D377" s="15" t="str">
        <x:v>Monitoring - HPM (MCH)</x:v>
      </x:c>
      <x:c r="E377" s="19" t="n">
        <x:v>0.5</x:v>
      </x:c>
      <x:c r="F377" s="19" t="n">
        <x:v>0</x:v>
      </x:c>
      <x:c r="G377" s="22" t="n">
        <x:f>IF(AND(E377&gt;0,ISNUMBER(F377)),F377/E377,"")</x:f>
        <x:v>0</x:v>
      </x:c>
      <x:c r="H377" s="15" t="str">
        <x:v>ROI-Based Portfolio</x:v>
      </x:c>
      <x:c r="I377" s="15" t="n">
        <x:v>75</x:v>
      </x:c>
      <x:c r="J377" s="15" t="n">
        <x:v>5</x:v>
      </x:c>
      <x:c r="K377" s="23" t="n">
        <x:f>IF(G377="",0,IF(G377&lt;1,0,IF(G377&lt;2,20,IF(G377&lt;3,30,IF(G377&lt;5,40,50)))))*'Scenario Controls'!$B$22/50</x:f>
        <x:v>0</x:v>
      </x:c>
      <x:c r="L377" s="23" t="n">
        <x:f>IF(ISNUMBER(SEARCH("Must Do",AG377)),25,IF(ISNUMBER(SEARCH("Must Have",AG377)),18,IF(ISNUMBER(SEARCH("Deprior",AG377)),5,0)))*'Scenario Controls'!$B$23/25</x:f>
        <x:v>25</x:v>
      </x:c>
      <x:c r="M377" s="23" t="n">
        <x:f>J377*'Scenario Controls'!$B$24/15</x:f>
        <x:v>5</x:v>
      </x:c>
      <x:c r="N377" s="23" t="n">
        <x:f>IF(ISNUMBER(SEARCH("HEALTHY",X377)),10,IF(ISNUMBER(SEARCH("CONTAIN",X377)),6,0))*'Scenario Controls'!$B$25/10</x:f>
        <x:v>10</x:v>
      </x:c>
      <x:c r="O377" s="23" t="n">
        <x:f>SUM(K377:N377)</x:f>
        <x:v>40</x:v>
      </x:c>
      <x:c r="P377" s="15" t="str">
        <x:f>IF(OR(B377="",E377&lt;=0),"Evidence missing / not eligible",IF(ISNUMBER(SEARCH("priority TBD",Y377)),"Evidence missing / not eligible",IF(AND(H377="Carryover",NOT(ISNUMBER(F377))),"Evidence missing / not eligible",IF(AND(H377="Carryover",G377&lt;'Scenario Controls'!$B$16),"Evidence missing / not eligible",IF(AND(H377="ROI-Based Portfolio",NOT(ISNUMBER(F377))),"Evidence missing / not eligible",IF(AND(H377="ROI-Based Portfolio",O377&lt;'Scenario Controls'!$B$20),"Evidence missing / not eligible","Eligible"))))))</x:f>
        <x:v>Evidence missing / not eligible</x:v>
      </x:c>
      <x:c r="Q377" s="19" t="n">
        <x:f>IF(P377&lt;&gt;"Eligible",0,IF(AND(SUMIFS($Q$5:Q376,$H$5:H376,H377)+E377&lt;=(IF(H377="LFR",'Scenario Controls'!$F$10,IF(H377="Sustain Engineering",'Scenario Controls'!$F$11,IF(H377="Hygiene",'Scenario Controls'!$F$12,1E+99))))*(1+'Scenario Controls'!$B$7),SUM($Q$5:Q376)+E377&lt;='Scenario Controls'!$B$6*(1+'Scenario Controls'!$B$7)),E377,0))</x:f>
        <x:v>0</x:v>
      </x:c>
      <x:c r="R377" s="24" t="str">
        <x:f>'BU Conference'!G212</x:f>
        <x:v>Automatic</x:v>
      </x:c>
      <x:c r="S377" s="24" t="str">
        <x:f>'BU Conference'!H212</x:f>
      </x:c>
      <x:c r="T377" s="19" t="n">
        <x:f>IF(R377="Exclude",0,IF(R377="Include",E377,Q377))</x:f>
        <x:v>0</x:v>
      </x:c>
      <x:c r="U377" s="15" t="str">
        <x:f>IF(T377&gt;0,"Funded",IF(P377="Eligible","Unfunded",P377))</x:f>
        <x:v>Evidence missing / not eligible</x:v>
      </x:c>
      <x:c r="V377" s="15" t="str">
        <x:f>IF(R377="Include","Conference inclusion: "&amp;S377,IF(R377="Exclude","Conference exclusion: "&amp;S377,IF(Q377&gt;0,H377&amp;" priority rank "&amp;I377&amp;"; whole initiative selected",P377)))</x:f>
        <x:v>Evidence missing / not eligible</x:v>
      </x:c>
      <x:c r="W377" s="15" t="str">
        <x:v>Bu!520</x:v>
      </x:c>
      <x:c r="X377" s="15" t="str">
        <x:v>HEALTHY</x:v>
      </x:c>
      <x:c r="Y377" s="15" t="str">
        <x:v>HEALTHY — Rank in priority matrix</x:v>
      </x:c>
      <x:c r="Z377" s="15" t="str">
        <x:v>New Technology</x:v>
      </x:c>
      <x:c r="AA377" s="15" t="str">
        <x:v>New Initiative</x:v>
      </x:c>
      <x:c r="AB377" s="15" t="str">
        <x:v>Infrastructure Services – Projects</x:v>
      </x:c>
      <x:c r="AC377" s="15" t="str">
        <x:v>NPI delayed</x:v>
      </x:c>
      <x:c r="AD377" s="15" t="str"/>
      <x:c r="AE377" s="15" t="str"/>
      <x:c r="AF377" s="15" t="str">
        <x:v>NPI delayed</x:v>
      </x:c>
      <x:c r="AG377" s="15" t="str">
        <x:v>Must Do</x:v>
      </x:c>
      <x:c r="AH377" s="15" t="n">
        <x:v>404</x:v>
      </x:c>
    </x:row>
    <x:row r="378">
      <x:c r="A378" s="15" t="str">
        <x:v>EW-03</x:v>
      </x:c>
      <x:c r="B378" s="15" t="str">
        <x:v>LCA Automation</x:v>
      </x:c>
      <x:c r="C378" s="15" t="str">
        <x:v>EW Led</x:v>
      </x:c>
      <x:c r="D378" s="15" t="str">
        <x:v>SusTaining Engg. Team (STET - ISC)</x:v>
      </x:c>
      <x:c r="E378" s="19" t="n">
        <x:v>0.02</x:v>
      </x:c>
      <x:c r="F378" s="19" t="n">
        <x:v>0</x:v>
      </x:c>
      <x:c r="G378" s="22" t="n">
        <x:f>IF(AND(E378&gt;0,ISNUMBER(F378)),F378/E378,"")</x:f>
        <x:v>0</x:v>
      </x:c>
      <x:c r="H378" s="15" t="str">
        <x:v>ROI-Based Portfolio</x:v>
      </x:c>
      <x:c r="I378" s="15" t="n">
        <x:v>76</x:v>
      </x:c>
      <x:c r="J378" s="15" t="n">
        <x:v>5</x:v>
      </x:c>
      <x:c r="K378" s="23" t="n">
        <x:f>IF(G378="",0,IF(G378&lt;1,0,IF(G378&lt;2,20,IF(G378&lt;3,30,IF(G378&lt;5,40,50)))))*'Scenario Controls'!$B$22/50</x:f>
        <x:v>0</x:v>
      </x:c>
      <x:c r="L378" s="23" t="n">
        <x:f>IF(ISNUMBER(SEARCH("Must Do",AG378)),25,IF(ISNUMBER(SEARCH("Must Have",AG378)),18,IF(ISNUMBER(SEARCH("Deprior",AG378)),5,0)))*'Scenario Controls'!$B$23/25</x:f>
        <x:v>25</x:v>
      </x:c>
      <x:c r="M378" s="23" t="n">
        <x:f>J378*'Scenario Controls'!$B$24/15</x:f>
        <x:v>5</x:v>
      </x:c>
      <x:c r="N378" s="23" t="n">
        <x:f>IF(ISNUMBER(SEARCH("HEALTHY",X378)),10,IF(ISNUMBER(SEARCH("CONTAIN",X378)),6,0))*'Scenario Controls'!$B$25/10</x:f>
        <x:v>10</x:v>
      </x:c>
      <x:c r="O378" s="23" t="n">
        <x:f>SUM(K378:N378)</x:f>
        <x:v>40</x:v>
      </x:c>
      <x:c r="P378" s="15" t="str">
        <x:f>IF(OR(B378="",E378&lt;=0),"Evidence missing / not eligible",IF(ISNUMBER(SEARCH("priority TBD",Y378)),"Evidence missing / not eligible",IF(AND(H378="Carryover",NOT(ISNUMBER(F378))),"Evidence missing / not eligible",IF(AND(H378="Carryover",G378&lt;'Scenario Controls'!$B$16),"Evidence missing / not eligible",IF(AND(H378="ROI-Based Portfolio",NOT(ISNUMBER(F378))),"Evidence missing / not eligible",IF(AND(H378="ROI-Based Portfolio",O378&lt;'Scenario Controls'!$B$20),"Evidence missing / not eligible","Eligible"))))))</x:f>
        <x:v>Evidence missing / not eligible</x:v>
      </x:c>
      <x:c r="Q378" s="19" t="n">
        <x:f>IF(P378&lt;&gt;"Eligible",0,IF(AND(SUMIFS($Q$5:Q377,$H$5:H377,H378)+E378&lt;=(IF(H378="LFR",'Scenario Controls'!$F$10,IF(H378="Sustain Engineering",'Scenario Controls'!$F$11,IF(H378="Hygiene",'Scenario Controls'!$F$12,1E+99))))*(1+'Scenario Controls'!$B$7),SUM($Q$5:Q377)+E378&lt;='Scenario Controls'!$B$6*(1+'Scenario Controls'!$B$7)),E378,0))</x:f>
        <x:v>0</x:v>
      </x:c>
      <x:c r="R378" s="24" t="str">
        <x:f>'EW Conference'!G171</x:f>
        <x:v>Automatic</x:v>
      </x:c>
      <x:c r="S378" s="24" t="str">
        <x:f>'EW Conference'!H171</x:f>
      </x:c>
      <x:c r="T378" s="19" t="n">
        <x:f>IF(R378="Exclude",0,IF(R378="Include",E378,Q378))</x:f>
        <x:v>0</x:v>
      </x:c>
      <x:c r="U378" s="15" t="str">
        <x:f>IF(T378&gt;0,"Funded",IF(P378="Eligible","Unfunded",P378))</x:f>
        <x:v>Evidence missing / not eligible</x:v>
      </x:c>
      <x:c r="V378" s="15" t="str">
        <x:f>IF(R378="Include","Conference inclusion: "&amp;S378,IF(R378="Exclude","Conference exclusion: "&amp;S378,IF(Q378&gt;0,H378&amp;" priority rank "&amp;I378&amp;"; whole initiative selected",P378)))</x:f>
        <x:v>Evidence missing / not eligible</x:v>
      </x:c>
      <x:c r="W378" s="15" t="str">
        <x:v>EW!6</x:v>
      </x:c>
      <x:c r="X378" s="15" t="str">
        <x:v>HEALTHY</x:v>
      </x:c>
      <x:c r="Y378" s="15" t="str">
        <x:v>HEALTHY — Rank in priority matrix</x:v>
      </x:c>
      <x:c r="Z378" s="15" t="str">
        <x:v>AI Enablement</x:v>
      </x:c>
      <x:c r="AA378" s="15" t="str">
        <x:v>New Initiative</x:v>
      </x:c>
      <x:c r="AB378" s="15" t="str">
        <x:v>Group Functions &amp; Hyperautomation IT</x:v>
      </x:c>
      <x:c r="AC378" s="15" t="str">
        <x:v>Manual activities supported by workforce</x:v>
      </x:c>
      <x:c r="AD378" s="15" t="str"/>
      <x:c r="AE378" s="15" t="str"/>
      <x:c r="AF378" s="15" t="str">
        <x:v>Manual activities supported by workforce</x:v>
      </x:c>
      <x:c r="AG378" s="15" t="str">
        <x:v>Must Do</x:v>
      </x:c>
      <x:c r="AH378" s="15" t="n">
        <x:v>8</x:v>
      </x:c>
    </x:row>
    <x:row r="379">
      <x:c r="A379" s="15" t="str">
        <x:v>EW-17</x:v>
      </x:c>
      <x:c r="B379" s="15" t="str">
        <x:v>AI Prioritization Funnel budget</x:v>
      </x:c>
      <x:c r="C379" s="15" t="str">
        <x:v>EW Led</x:v>
      </x:c>
      <x:c r="D379" s="15" t="str">
        <x:v>Patient Safety &amp; Quality</x:v>
      </x:c>
      <x:c r="E379" s="19" t="n">
        <x:v>0.5</x:v>
      </x:c>
      <x:c r="F379" s="19" t="n">
        <x:v>0</x:v>
      </x:c>
      <x:c r="G379" s="22" t="n">
        <x:f>IF(AND(E379&gt;0,ISNUMBER(F379)),F379/E379,"")</x:f>
        <x:v>0</x:v>
      </x:c>
      <x:c r="H379" s="15" t="str">
        <x:v>ROI-Based Portfolio</x:v>
      </x:c>
      <x:c r="I379" s="15" t="n">
        <x:v>77</x:v>
      </x:c>
      <x:c r="J379" s="15" t="n">
        <x:v>5</x:v>
      </x:c>
      <x:c r="K379" s="23" t="n">
        <x:f>IF(G379="",0,IF(G379&lt;1,0,IF(G379&lt;2,20,IF(G379&lt;3,30,IF(G379&lt;5,40,50)))))*'Scenario Controls'!$B$22/50</x:f>
        <x:v>0</x:v>
      </x:c>
      <x:c r="L379" s="23" t="n">
        <x:f>IF(ISNUMBER(SEARCH("Must Do",AG379)),25,IF(ISNUMBER(SEARCH("Must Have",AG379)),18,IF(ISNUMBER(SEARCH("Deprior",AG379)),5,0)))*'Scenario Controls'!$B$23/25</x:f>
        <x:v>25</x:v>
      </x:c>
      <x:c r="M379" s="23" t="n">
        <x:f>J379*'Scenario Controls'!$B$24/15</x:f>
        <x:v>5</x:v>
      </x:c>
      <x:c r="N379" s="23" t="n">
        <x:f>IF(ISNUMBER(SEARCH("HEALTHY",X379)),10,IF(ISNUMBER(SEARCH("CONTAIN",X379)),6,0))*'Scenario Controls'!$B$25/10</x:f>
        <x:v>10</x:v>
      </x:c>
      <x:c r="O379" s="23" t="n">
        <x:f>SUM(K379:N379)</x:f>
        <x:v>40</x:v>
      </x:c>
      <x:c r="P379" s="15" t="str">
        <x:f>IF(OR(B379="",E379&lt;=0),"Evidence missing / not eligible",IF(ISNUMBER(SEARCH("priority TBD",Y379)),"Evidence missing / not eligible",IF(AND(H379="Carryover",NOT(ISNUMBER(F379))),"Evidence missing / not eligible",IF(AND(H379="Carryover",G379&lt;'Scenario Controls'!$B$16),"Evidence missing / not eligible",IF(AND(H379="ROI-Based Portfolio",NOT(ISNUMBER(F379))),"Evidence missing / not eligible",IF(AND(H379="ROI-Based Portfolio",O379&lt;'Scenario Controls'!$B$20),"Evidence missing / not eligible","Eligible"))))))</x:f>
        <x:v>Evidence missing / not eligible</x:v>
      </x:c>
      <x:c r="Q379" s="19" t="n">
        <x:f>IF(P379&lt;&gt;"Eligible",0,IF(AND(SUMIFS($Q$5:Q378,$H$5:H378,H379)+E379&lt;=(IF(H379="LFR",'Scenario Controls'!$F$10,IF(H379="Sustain Engineering",'Scenario Controls'!$F$11,IF(H379="Hygiene",'Scenario Controls'!$F$12,1E+99))))*(1+'Scenario Controls'!$B$7),SUM($Q$5:Q378)+E379&lt;='Scenario Controls'!$B$6*(1+'Scenario Controls'!$B$7)),E379,0))</x:f>
        <x:v>0</x:v>
      </x:c>
      <x:c r="R379" s="24" t="str">
        <x:f>'EW Conference'!G172</x:f>
        <x:v>Automatic</x:v>
      </x:c>
      <x:c r="S379" s="24" t="str">
        <x:f>'EW Conference'!H172</x:f>
      </x:c>
      <x:c r="T379" s="19" t="n">
        <x:f>IF(R379="Exclude",0,IF(R379="Include",E379,Q379))</x:f>
        <x:v>0</x:v>
      </x:c>
      <x:c r="U379" s="15" t="str">
        <x:f>IF(T379&gt;0,"Funded",IF(P379="Eligible","Unfunded",P379))</x:f>
        <x:v>Evidence missing / not eligible</x:v>
      </x:c>
      <x:c r="V379" s="15" t="str">
        <x:f>IF(R379="Include","Conference inclusion: "&amp;S379,IF(R379="Exclude","Conference exclusion: "&amp;S379,IF(Q379&gt;0,H379&amp;" priority rank "&amp;I379&amp;"; whole initiative selected",P379)))</x:f>
        <x:v>Evidence missing / not eligible</x:v>
      </x:c>
      <x:c r="W379" s="15" t="str">
        <x:v>EW!20</x:v>
      </x:c>
      <x:c r="X379" s="15" t="str">
        <x:v>HEALTHY</x:v>
      </x:c>
      <x:c r="Y379" s="15" t="str">
        <x:v>HEALTHY — Rank in priority matrix</x:v>
      </x:c>
      <x:c r="Z379" s="15" t="str">
        <x:v>AI Enablement</x:v>
      </x:c>
      <x:c r="AA379" s="15" t="str">
        <x:v>New Initiative</x:v>
      </x:c>
      <x:c r="AB379" s="15" t="str">
        <x:v>Group Functions &amp; Hyperautomation IT</x:v>
      </x:c>
      <x:c r="AC379" s="15" t="str">
        <x:v>TBD</x:v>
      </x:c>
      <x:c r="AD379" s="15" t="str">
        <x:v>Supporting budget to fund centrally collected demand on AI use-cases for PSQ</x:v>
      </x:c>
      <x:c r="AE379" s="15" t="str">
        <x:v>TBD based on funneling</x:v>
      </x:c>
      <x:c r="AF379" s="15" t="str">
        <x:v>TBD | Supporting budget to fund centrally collected demand on AI use-cases for PSQ | TBD based on funneling</x:v>
      </x:c>
      <x:c r="AG379" s="15" t="str">
        <x:v>Must Do</x:v>
      </x:c>
      <x:c r="AH379" s="15" t="n">
        <x:v>22</x:v>
      </x:c>
    </x:row>
    <x:row r="380">
      <x:c r="A380" s="15" t="str">
        <x:v>EW-88</x:v>
      </x:c>
      <x:c r="B380" s="15" t="str">
        <x:v>FIN-Predictive Planning Tooling via SAC (Cost Center, Industry, Other)</x:v>
      </x:c>
      <x:c r="C380" s="15" t="str">
        <x:v>EW Led</x:v>
      </x:c>
      <x:c r="D380" s="15" t="str">
        <x:v>Information Technology</x:v>
      </x:c>
      <x:c r="E380" s="19" t="n">
        <x:v>0</x:v>
      </x:c>
      <x:c r="F380" s="19" t="n">
        <x:v>0</x:v>
      </x:c>
      <x:c r="G380" s="22" t="str">
        <x:f>IF(AND(E380&gt;0,ISNUMBER(F380)),F380/E380,"")</x:f>
      </x:c>
      <x:c r="H380" s="15" t="str">
        <x:v>ROI-Based Portfolio</x:v>
      </x:c>
      <x:c r="I380" s="15" t="n">
        <x:v>78</x:v>
      </x:c>
      <x:c r="J380" s="15" t="n">
        <x:v>5</x:v>
      </x:c>
      <x:c r="K380" s="23" t="n">
        <x:f>IF(G380="",0,IF(G380&lt;1,0,IF(G380&lt;2,20,IF(G380&lt;3,30,IF(G380&lt;5,40,50)))))*'Scenario Controls'!$B$22/50</x:f>
        <x:v>0</x:v>
      </x:c>
      <x:c r="L380" s="23" t="n">
        <x:f>IF(ISNUMBER(SEARCH("Must Do",AG380)),25,IF(ISNUMBER(SEARCH("Must Have",AG380)),18,IF(ISNUMBER(SEARCH("Deprior",AG380)),5,0)))*'Scenario Controls'!$B$23/25</x:f>
        <x:v>25</x:v>
      </x:c>
      <x:c r="M380" s="23" t="n">
        <x:f>J380*'Scenario Controls'!$B$24/15</x:f>
        <x:v>5</x:v>
      </x:c>
      <x:c r="N380" s="23" t="n">
        <x:f>IF(ISNUMBER(SEARCH("HEALTHY",X380)),10,IF(ISNUMBER(SEARCH("CONTAIN",X380)),6,0))*'Scenario Controls'!$B$25/10</x:f>
        <x:v>10</x:v>
      </x:c>
      <x:c r="O380" s="23" t="n">
        <x:f>SUM(K380:N380)</x:f>
        <x:v>40</x:v>
      </x:c>
      <x:c r="P380" s="15" t="str">
        <x:f>IF(OR(B380="",E380&lt;=0),"Evidence missing / not eligible",IF(ISNUMBER(SEARCH("priority TBD",Y380)),"Evidence missing / not eligible",IF(AND(H380="Carryover",NOT(ISNUMBER(F380))),"Evidence missing / not eligible",IF(AND(H380="Carryover",G380&lt;'Scenario Controls'!$B$16),"Evidence missing / not eligible",IF(AND(H380="ROI-Based Portfolio",NOT(ISNUMBER(F380))),"Evidence missing / not eligible",IF(AND(H380="ROI-Based Portfolio",O380&lt;'Scenario Controls'!$B$20),"Evidence missing / not eligible","Eligible"))))))</x:f>
        <x:v>Evidence missing / not eligible</x:v>
      </x:c>
      <x:c r="Q380" s="19" t="n">
        <x:f>IF(P380&lt;&gt;"Eligible",0,IF(AND(SUMIFS($Q$5:Q379,$H$5:H379,H380)+E380&lt;=(IF(H380="LFR",'Scenario Controls'!$F$10,IF(H380="Sustain Engineering",'Scenario Controls'!$F$11,IF(H380="Hygiene",'Scenario Controls'!$F$12,1E+99))))*(1+'Scenario Controls'!$B$7),SUM($Q$5:Q379)+E380&lt;='Scenario Controls'!$B$6*(1+'Scenario Controls'!$B$7)),E380,0))</x:f>
        <x:v>0</x:v>
      </x:c>
      <x:c r="R380" s="24" t="str">
        <x:f>'EW Conference'!G173</x:f>
        <x:v>Automatic</x:v>
      </x:c>
      <x:c r="S380" s="24" t="str">
        <x:f>'EW Conference'!H173</x:f>
      </x:c>
      <x:c r="T380" s="19" t="n">
        <x:f>IF(R380="Exclude",0,IF(R380="Include",E380,Q380))</x:f>
        <x:v>0</x:v>
      </x:c>
      <x:c r="U380" s="15" t="str">
        <x:f>IF(T380&gt;0,"Funded",IF(P380="Eligible","Unfunded",P380))</x:f>
        <x:v>Evidence missing / not eligible</x:v>
      </x:c>
      <x:c r="V380" s="15" t="str">
        <x:f>IF(R380="Include","Conference inclusion: "&amp;S380,IF(R380="Exclude","Conference exclusion: "&amp;S380,IF(Q380&gt;0,H380&amp;" priority rank "&amp;I380&amp;"; whole initiative selected",P380)))</x:f>
        <x:v>Evidence missing / not eligible</x:v>
      </x:c>
      <x:c r="W380" s="15" t="str">
        <x:v>EW!84</x:v>
      </x:c>
      <x:c r="X380" s="15" t="str">
        <x:v>HEALTHY</x:v>
      </x:c>
      <x:c r="Y380" s="15" t="str">
        <x:v>HEALTHY — Rank in priority matrix</x:v>
      </x:c>
      <x:c r="Z380" s="15" t="str">
        <x:v>AI Enablement</x:v>
      </x:c>
      <x:c r="AA380" s="15" t="str">
        <x:v>New Initiative</x:v>
      </x:c>
      <x:c r="AB380" s="15" t="str">
        <x:v>Integrated Supply Chain &amp; Finance</x:v>
      </x:c>
      <x:c r="AC380" s="15" t="str">
        <x:v>This is part of SPINE we can remove from here.</x:v>
      </x:c>
      <x:c r="AD380" s="15" t="str"/>
      <x:c r="AE380" s="15" t="str"/>
      <x:c r="AF380" s="15" t="str">
        <x:v>This is part of SPINE we can remove from here.</x:v>
      </x:c>
      <x:c r="AG380" s="15" t="str">
        <x:v>Must Do</x:v>
      </x:c>
      <x:c r="AH380" s="15" t="n">
        <x:v>86</x:v>
      </x:c>
    </x:row>
    <x:row r="381">
      <x:c r="A381" s="15" t="str">
        <x:v>EW-97</x:v>
      </x:c>
      <x:c r="B381" s="15" t="str">
        <x:v>AI Infrastrcture Foundation</x:v>
      </x:c>
      <x:c r="C381" s="15" t="str">
        <x:v>EW Led</x:v>
      </x:c>
      <x:c r="D381" s="15" t="str">
        <x:v>Information Technology</x:v>
      </x:c>
      <x:c r="E381" s="19" t="n">
        <x:v>0.4</x:v>
      </x:c>
      <x:c r="F381" s="19" t="n">
        <x:v>0</x:v>
      </x:c>
      <x:c r="G381" s="22" t="n">
        <x:f>IF(AND(E381&gt;0,ISNUMBER(F381)),F381/E381,"")</x:f>
        <x:v>0</x:v>
      </x:c>
      <x:c r="H381" s="15" t="str">
        <x:v>ROI-Based Portfolio</x:v>
      </x:c>
      <x:c r="I381" s="15" t="n">
        <x:v>79</x:v>
      </x:c>
      <x:c r="J381" s="15" t="n">
        <x:v>15</x:v>
      </x:c>
      <x:c r="K381" s="23" t="n">
        <x:f>IF(G381="",0,IF(G381&lt;1,0,IF(G381&lt;2,20,IF(G381&lt;3,30,IF(G381&lt;5,40,50)))))*'Scenario Controls'!$B$22/50</x:f>
        <x:v>0</x:v>
      </x:c>
      <x:c r="L381" s="23" t="n">
        <x:f>IF(ISNUMBER(SEARCH("Must Do",AG381)),25,IF(ISNUMBER(SEARCH("Must Have",AG381)),18,IF(ISNUMBER(SEARCH("Deprior",AG381)),5,0)))*'Scenario Controls'!$B$23/25</x:f>
        <x:v>25</x:v>
      </x:c>
      <x:c r="M381" s="23" t="n">
        <x:f>J381*'Scenario Controls'!$B$24/15</x:f>
        <x:v>15</x:v>
      </x:c>
      <x:c r="N381" s="23" t="n">
        <x:f>IF(ISNUMBER(SEARCH("HEALTHY",X381)),10,IF(ISNUMBER(SEARCH("CONTAIN",X381)),6,0))*'Scenario Controls'!$B$25/10</x:f>
        <x:v>0</x:v>
      </x:c>
      <x:c r="O381" s="23" t="n">
        <x:f>SUM(K381:N381)</x:f>
        <x:v>40</x:v>
      </x:c>
      <x:c r="P381" s="15" t="str">
        <x:f>IF(OR(B381="",E381&lt;=0),"Evidence missing / not eligible",IF(ISNUMBER(SEARCH("priority TBD",Y381)),"Evidence missing / not eligible",IF(AND(H381="Carryover",NOT(ISNUMBER(F381))),"Evidence missing / not eligible",IF(AND(H381="Carryover",G381&lt;'Scenario Controls'!$B$16),"Evidence missing / not eligible",IF(AND(H381="ROI-Based Portfolio",NOT(ISNUMBER(F381))),"Evidence missing / not eligible",IF(AND(H381="ROI-Based Portfolio",O381&lt;'Scenario Controls'!$B$20),"Evidence missing / not eligible","Eligible"))))))</x:f>
        <x:v>Evidence missing / not eligible</x:v>
      </x:c>
      <x:c r="Q381" s="19" t="n">
        <x:f>IF(P381&lt;&gt;"Eligible",0,IF(AND(SUMIFS($Q$5:Q380,$H$5:H380,H381)+E381&lt;=(IF(H381="LFR",'Scenario Controls'!$F$10,IF(H381="Sustain Engineering",'Scenario Controls'!$F$11,IF(H381="Hygiene",'Scenario Controls'!$F$12,1E+99))))*(1+'Scenario Controls'!$B$7),SUM($Q$5:Q380)+E381&lt;='Scenario Controls'!$B$6*(1+'Scenario Controls'!$B$7)),E381,0))</x:f>
        <x:v>0</x:v>
      </x:c>
      <x:c r="R381" s="24" t="str">
        <x:f>'EW Conference'!G174</x:f>
        <x:v>Automatic</x:v>
      </x:c>
      <x:c r="S381" s="24" t="str">
        <x:f>'EW Conference'!H174</x:f>
      </x:c>
      <x:c r="T381" s="19" t="n">
        <x:f>IF(R381="Exclude",0,IF(R381="Include",E381,Q381))</x:f>
        <x:v>0</x:v>
      </x:c>
      <x:c r="U381" s="15" t="str">
        <x:f>IF(T381&gt;0,"Funded",IF(P381="Eligible","Unfunded",P381))</x:f>
        <x:v>Evidence missing / not eligible</x:v>
      </x:c>
      <x:c r="V381" s="15" t="str">
        <x:f>IF(R381="Include","Conference inclusion: "&amp;S381,IF(R381="Exclude","Conference exclusion: "&amp;S381,IF(Q381&gt;0,H381&amp;" priority rank "&amp;I381&amp;"; whole initiative selected",P381)))</x:f>
        <x:v>Evidence missing / not eligible</x:v>
      </x:c>
      <x:c r="W381" s="15" t="str">
        <x:v>EW!93</x:v>
      </x:c>
      <x:c r="X381" s="15" t="str"/>
      <x:c r="Y381" s="15" t="str"/>
      <x:c r="Z381" s="15" t="str">
        <x:v>AI Enablement</x:v>
      </x:c>
      <x:c r="AA381" s="15" t="str">
        <x:v>New Initiative</x:v>
      </x:c>
      <x:c r="AB381" s="15" t="str">
        <x:v>Infrastructure Services – Projects</x:v>
      </x:c>
      <x:c r="AC381" s="15" t="str">
        <x:v>Power failures result in network devices going down and site not accessible</x:v>
      </x:c>
      <x:c r="AD381" s="15" t="str">
        <x:v>On prem capability to reduce AI cost inclurred in cloud</x:v>
      </x:c>
      <x:c r="AE381" s="15" t="str">
        <x:v>Global</x:v>
      </x:c>
      <x:c r="AF381" s="15" t="str">
        <x:v>Power failures result in network devices going down and site not accessible | On prem capability to reduce AI cost inclurred in cloud | Global</x:v>
      </x:c>
      <x:c r="AG381" s="15" t="str">
        <x:v>Must Do</x:v>
      </x:c>
      <x:c r="AH381" s="15" t="n">
        <x:v>95</x:v>
      </x:c>
    </x:row>
    <x:row r="382">
      <x:c r="A382" s="15" t="str">
        <x:v>EW-107</x:v>
      </x:c>
      <x:c r="B382" s="15" t="str">
        <x:v>Leadership development</x:v>
      </x:c>
      <x:c r="C382" s="15" t="str">
        <x:v>EW Led</x:v>
      </x:c>
      <x:c r="D382" s="15" t="str">
        <x:v>People function</x:v>
      </x:c>
      <x:c r="E382" s="19" t="n">
        <x:v>0.435</x:v>
      </x:c>
      <x:c r="F382" s="19" t="n">
        <x:v>0</x:v>
      </x:c>
      <x:c r="G382" s="22" t="n">
        <x:f>IF(AND(E382&gt;0,ISNUMBER(F382)),F382/E382,"")</x:f>
        <x:v>0</x:v>
      </x:c>
      <x:c r="H382" s="15" t="str">
        <x:v>ROI-Based Portfolio</x:v>
      </x:c>
      <x:c r="I382" s="15" t="n">
        <x:v>80</x:v>
      </x:c>
      <x:c r="J382" s="15" t="n">
        <x:v>5</x:v>
      </x:c>
      <x:c r="K382" s="23" t="n">
        <x:f>IF(G382="",0,IF(G382&lt;1,0,IF(G382&lt;2,20,IF(G382&lt;3,30,IF(G382&lt;5,40,50)))))*'Scenario Controls'!$B$22/50</x:f>
        <x:v>0</x:v>
      </x:c>
      <x:c r="L382" s="23" t="n">
        <x:f>IF(ISNUMBER(SEARCH("Must Do",AG382)),25,IF(ISNUMBER(SEARCH("Must Have",AG382)),18,IF(ISNUMBER(SEARCH("Deprior",AG382)),5,0)))*'Scenario Controls'!$B$23/25</x:f>
        <x:v>25</x:v>
      </x:c>
      <x:c r="M382" s="23" t="n">
        <x:f>J382*'Scenario Controls'!$B$24/15</x:f>
        <x:v>5</x:v>
      </x:c>
      <x:c r="N382" s="23" t="n">
        <x:f>IF(ISNUMBER(SEARCH("HEALTHY",X382)),10,IF(ISNUMBER(SEARCH("CONTAIN",X382)),6,0))*'Scenario Controls'!$B$25/10</x:f>
        <x:v>10</x:v>
      </x:c>
      <x:c r="O382" s="23" t="n">
        <x:f>SUM(K382:N382)</x:f>
        <x:v>40</x:v>
      </x:c>
      <x:c r="P382" s="15" t="str">
        <x:f>IF(OR(B382="",E382&lt;=0),"Evidence missing / not eligible",IF(ISNUMBER(SEARCH("priority TBD",Y382)),"Evidence missing / not eligible",IF(AND(H382="Carryover",NOT(ISNUMBER(F382))),"Evidence missing / not eligible",IF(AND(H382="Carryover",G382&lt;'Scenario Controls'!$B$16),"Evidence missing / not eligible",IF(AND(H382="ROI-Based Portfolio",NOT(ISNUMBER(F382))),"Evidence missing / not eligible",IF(AND(H382="ROI-Based Portfolio",O382&lt;'Scenario Controls'!$B$20),"Evidence missing / not eligible","Eligible"))))))</x:f>
        <x:v>Evidence missing / not eligible</x:v>
      </x:c>
      <x:c r="Q382" s="19" t="n">
        <x:f>IF(P382&lt;&gt;"Eligible",0,IF(AND(SUMIFS($Q$5:Q381,$H$5:H381,H382)+E382&lt;=(IF(H382="LFR",'Scenario Controls'!$F$10,IF(H382="Sustain Engineering",'Scenario Controls'!$F$11,IF(H382="Hygiene",'Scenario Controls'!$F$12,1E+99))))*(1+'Scenario Controls'!$B$7),SUM($Q$5:Q381)+E382&lt;='Scenario Controls'!$B$6*(1+'Scenario Controls'!$B$7)),E382,0))</x:f>
        <x:v>0</x:v>
      </x:c>
      <x:c r="R382" s="24" t="str">
        <x:f>'EW Conference'!G175</x:f>
        <x:v>Automatic</x:v>
      </x:c>
      <x:c r="S382" s="24" t="str">
        <x:f>'EW Conference'!H175</x:f>
      </x:c>
      <x:c r="T382" s="19" t="n">
        <x:f>IF(R382="Exclude",0,IF(R382="Include",E382,Q382))</x:f>
        <x:v>0</x:v>
      </x:c>
      <x:c r="U382" s="15" t="str">
        <x:f>IF(T382&gt;0,"Funded",IF(P382="Eligible","Unfunded",P382))</x:f>
        <x:v>Evidence missing / not eligible</x:v>
      </x:c>
      <x:c r="V382" s="15" t="str">
        <x:f>IF(R382="Include","Conference inclusion: "&amp;S382,IF(R382="Exclude","Conference exclusion: "&amp;S382,IF(Q382&gt;0,H382&amp;" priority rank "&amp;I382&amp;"; whole initiative selected",P382)))</x:f>
        <x:v>Evidence missing / not eligible</x:v>
      </x:c>
      <x:c r="W382" s="15" t="str">
        <x:v>EW!103</x:v>
      </x:c>
      <x:c r="X382" s="15" t="str">
        <x:v>HEALTHY</x:v>
      </x:c>
      <x:c r="Y382" s="15" t="str">
        <x:v>HEALTHY — Rank in priority matrix</x:v>
      </x:c>
      <x:c r="Z382" s="15" t="str">
        <x:v>AI Enablement</x:v>
      </x:c>
      <x:c r="AA382" s="15" t="str">
        <x:v>New Initiative</x:v>
      </x:c>
      <x:c r="AB382" s="15" t="str">
        <x:v>Group Functions &amp; Hyperautomation IT</x:v>
      </x:c>
      <x:c r="AC382" s="15" t="str">
        <x:v>Strategic priorities of PF will not be met.</x:v>
      </x:c>
      <x:c r="AD382" s="15" t="str">
        <x:v>Strengthen people leaders through the Leadership Compass.</x:v>
      </x:c>
      <x:c r="AE382" s="15" t="str">
        <x:v>AI coaching, leadership assessments and effectiveness.</x:v>
      </x:c>
      <x:c r="AF382" s="15" t="str">
        <x:v>Strategic priorities of PF will not be met. | Strengthen people leaders through the Leadership Compass. | AI coaching, leadership assessments and effectiveness.</x:v>
      </x:c>
      <x:c r="AG382" s="15" t="str">
        <x:v>Must Do</x:v>
      </x:c>
      <x:c r="AH382" s="15" t="n">
        <x:v>105</x:v>
      </x:c>
    </x:row>
    <x:row r="383">
      <x:c r="A383" s="15" t="str">
        <x:v>EW-114</x:v>
      </x:c>
      <x:c r="B383" s="15" t="str">
        <x:v>CPQ/CLM Replatforming Capability Development</x:v>
      </x:c>
      <x:c r="C383" s="15" t="str">
        <x:v>EW Led</x:v>
      </x:c>
      <x:c r="D383" s="15" t="str">
        <x:v>Information Technology</x:v>
      </x:c>
      <x:c r="E383" s="19" t="n">
        <x:v>1.8</x:v>
      </x:c>
      <x:c r="F383" s="19" t="n">
        <x:v>0</x:v>
      </x:c>
      <x:c r="G383" s="22" t="n">
        <x:f>IF(AND(E383&gt;0,ISNUMBER(F383)),F383/E383,"")</x:f>
        <x:v>0</x:v>
      </x:c>
      <x:c r="H383" s="15" t="str">
        <x:v>ROI-Based Portfolio</x:v>
      </x:c>
      <x:c r="I383" s="15" t="n">
        <x:v>81</x:v>
      </x:c>
      <x:c r="J383" s="15" t="n">
        <x:v>5</x:v>
      </x:c>
      <x:c r="K383" s="23" t="n">
        <x:f>IF(G383="",0,IF(G383&lt;1,0,IF(G383&lt;2,20,IF(G383&lt;3,30,IF(G383&lt;5,40,50)))))*'Scenario Controls'!$B$22/50</x:f>
        <x:v>0</x:v>
      </x:c>
      <x:c r="L383" s="23" t="n">
        <x:f>IF(ISNUMBER(SEARCH("Must Do",AG383)),25,IF(ISNUMBER(SEARCH("Must Have",AG383)),18,IF(ISNUMBER(SEARCH("Deprior",AG383)),5,0)))*'Scenario Controls'!$B$23/25</x:f>
        <x:v>25</x:v>
      </x:c>
      <x:c r="M383" s="23" t="n">
        <x:f>J383*'Scenario Controls'!$B$24/15</x:f>
        <x:v>5</x:v>
      </x:c>
      <x:c r="N383" s="23" t="n">
        <x:f>IF(ISNUMBER(SEARCH("HEALTHY",X383)),10,IF(ISNUMBER(SEARCH("CONTAIN",X383)),6,0))*'Scenario Controls'!$B$25/10</x:f>
        <x:v>10</x:v>
      </x:c>
      <x:c r="O383" s="23" t="n">
        <x:f>SUM(K383:N383)</x:f>
        <x:v>40</x:v>
      </x:c>
      <x:c r="P383" s="15" t="str">
        <x:f>IF(OR(B383="",E383&lt;=0),"Evidence missing / not eligible",IF(ISNUMBER(SEARCH("priority TBD",Y383)),"Evidence missing / not eligible",IF(AND(H383="Carryover",NOT(ISNUMBER(F383))),"Evidence missing / not eligible",IF(AND(H383="Carryover",G383&lt;'Scenario Controls'!$B$16),"Evidence missing / not eligible",IF(AND(H383="ROI-Based Portfolio",NOT(ISNUMBER(F383))),"Evidence missing / not eligible",IF(AND(H383="ROI-Based Portfolio",O383&lt;'Scenario Controls'!$B$20),"Evidence missing / not eligible","Eligible"))))))</x:f>
        <x:v>Evidence missing / not eligible</x:v>
      </x:c>
      <x:c r="Q383" s="19" t="n">
        <x:f>IF(P383&lt;&gt;"Eligible",0,IF(AND(SUMIFS($Q$5:Q382,$H$5:H382,H383)+E383&lt;=(IF(H383="LFR",'Scenario Controls'!$F$10,IF(H383="Sustain Engineering",'Scenario Controls'!$F$11,IF(H383="Hygiene",'Scenario Controls'!$F$12,1E+99))))*(1+'Scenario Controls'!$B$7),SUM($Q$5:Q382)+E383&lt;='Scenario Controls'!$B$6*(1+'Scenario Controls'!$B$7)),E383,0))</x:f>
        <x:v>0</x:v>
      </x:c>
      <x:c r="R383" s="24" t="str">
        <x:f>'EW Conference'!G176</x:f>
        <x:v>Automatic</x:v>
      </x:c>
      <x:c r="S383" s="24" t="str">
        <x:f>'EW Conference'!H176</x:f>
      </x:c>
      <x:c r="T383" s="19" t="n">
        <x:f>IF(R383="Exclude",0,IF(R383="Include",E383,Q383))</x:f>
        <x:v>0</x:v>
      </x:c>
      <x:c r="U383" s="15" t="str">
        <x:f>IF(T383&gt;0,"Funded",IF(P383="Eligible","Unfunded",P383))</x:f>
        <x:v>Evidence missing / not eligible</x:v>
      </x:c>
      <x:c r="V383" s="15" t="str">
        <x:f>IF(R383="Include","Conference inclusion: "&amp;S383,IF(R383="Exclude","Conference exclusion: "&amp;S383,IF(Q383&gt;0,H383&amp;" priority rank "&amp;I383&amp;"; whole initiative selected",P383)))</x:f>
        <x:v>Evidence missing / not eligible</x:v>
      </x:c>
      <x:c r="W383" s="15" t="str">
        <x:v>EW!110</x:v>
      </x:c>
      <x:c r="X383" s="15" t="str">
        <x:v>HEALTHY</x:v>
      </x:c>
      <x:c r="Y383" s="15" t="str">
        <x:v>HEALTHY — Rank in priority matrix</x:v>
      </x:c>
      <x:c r="Z383" s="15" t="str">
        <x:v>New Technology</x:v>
      </x:c>
      <x:c r="AA383" s="15" t="str">
        <x:v>New Initiative</x:v>
      </x:c>
      <x:c r="AB383" s="15" t="str">
        <x:v>Commercial IT</x:v>
      </x:c>
      <x:c r="AC383" s="15" t="str">
        <x:v>License and maintenance cost reduction in line with our Ops spend reduction</x:v>
      </x:c>
      <x:c r="AD383" s="15" t="str"/>
      <x:c r="AE383" s="15" t="str"/>
      <x:c r="AF383" s="15" t="str">
        <x:v>License and maintenance cost reduction in line with our Ops spend reduction</x:v>
      </x:c>
      <x:c r="AG383" s="15" t="str">
        <x:v>Must Do</x:v>
      </x:c>
      <x:c r="AH383" s="15" t="n">
        <x:v>112</x:v>
      </x:c>
    </x:row>
    <x:row r="384">
      <x:c r="A384" s="15" t="str">
        <x:v>Bu-132</x:v>
      </x:c>
      <x:c r="B384" s="15" t="str">
        <x:v>Install Base : Commercial Install-Base Intelligence</x:v>
      </x:c>
      <x:c r="C384" s="15" t="str">
        <x:v>BU Led</x:v>
      </x:c>
      <x:c r="D384" s="15" t="str">
        <x:v>Enterprise Informatics (EI)</x:v>
      </x:c>
      <x:c r="E384" s="19" t="n">
        <x:v>0.6</x:v>
      </x:c>
      <x:c r="F384" s="19" t="n">
        <x:v>0.5</x:v>
      </x:c>
      <x:c r="G384" s="22" t="n">
        <x:f>IF(AND(E384&gt;0,ISNUMBER(F384)),F384/E384,"")</x:f>
        <x:v>0.8333333333333334</x:v>
      </x:c>
      <x:c r="H384" s="15" t="str">
        <x:v>ROI-Based Portfolio</x:v>
      </x:c>
      <x:c r="I384" s="15" t="n">
        <x:v>82</x:v>
      </x:c>
      <x:c r="J384" s="15" t="n">
        <x:v>10</x:v>
      </x:c>
      <x:c r="K384" s="23" t="n">
        <x:f>IF(G384="",0,IF(G384&lt;1,0,IF(G384&lt;2,20,IF(G384&lt;3,30,IF(G384&lt;5,40,50)))))*'Scenario Controls'!$B$22/50</x:f>
        <x:v>0</x:v>
      </x:c>
      <x:c r="L384" s="23" t="n">
        <x:f>IF(ISNUMBER(SEARCH("Must Do",AG384)),25,IF(ISNUMBER(SEARCH("Must Have",AG384)),18,IF(ISNUMBER(SEARCH("Deprior",AG384)),5,0)))*'Scenario Controls'!$B$23/25</x:f>
        <x:v>25</x:v>
      </x:c>
      <x:c r="M384" s="23" t="n">
        <x:f>J384*'Scenario Controls'!$B$24/15</x:f>
        <x:v>10</x:v>
      </x:c>
      <x:c r="N384" s="23" t="n">
        <x:f>IF(ISNUMBER(SEARCH("HEALTHY",X384)),10,IF(ISNUMBER(SEARCH("CONTAIN",X384)),6,0))*'Scenario Controls'!$B$25/10</x:f>
        <x:v>0</x:v>
      </x:c>
      <x:c r="O384" s="23" t="n">
        <x:f>SUM(K384:N384)</x:f>
        <x:v>35</x:v>
      </x:c>
      <x:c r="P384" s="15" t="str">
        <x:f>IF(OR(B384="",E384&lt;=0),"Evidence missing / not eligible",IF(ISNUMBER(SEARCH("priority TBD",Y384)),"Evidence missing / not eligible",IF(AND(H384="Carryover",NOT(ISNUMBER(F384))),"Evidence missing / not eligible",IF(AND(H384="Carryover",G384&lt;'Scenario Controls'!$B$16),"Evidence missing / not eligible",IF(AND(H384="ROI-Based Portfolio",NOT(ISNUMBER(F384))),"Evidence missing / not eligible",IF(AND(H384="ROI-Based Portfolio",O384&lt;'Scenario Controls'!$B$20),"Evidence missing / not eligible","Eligible"))))))</x:f>
        <x:v>Evidence missing / not eligible</x:v>
      </x:c>
      <x:c r="Q384" s="19" t="n">
        <x:f>IF(P384&lt;&gt;"Eligible",0,IF(AND(SUMIFS($Q$5:Q383,$H$5:H383,H384)+E384&lt;=(IF(H384="LFR",'Scenario Controls'!$F$10,IF(H384="Sustain Engineering",'Scenario Controls'!$F$11,IF(H384="Hygiene",'Scenario Controls'!$F$12,1E+99))))*(1+'Scenario Controls'!$B$7),SUM($Q$5:Q383)+E384&lt;='Scenario Controls'!$B$6*(1+'Scenario Controls'!$B$7)),E384,0))</x:f>
        <x:v>0</x:v>
      </x:c>
      <x:c r="R384" s="24" t="str">
        <x:f>'BU Conference'!G213</x:f>
        <x:v>Automatic</x:v>
      </x:c>
      <x:c r="S384" s="24" t="str">
        <x:f>'BU Conference'!H213</x:f>
      </x:c>
      <x:c r="T384" s="19" t="n">
        <x:f>IF(R384="Exclude",0,IF(R384="Include",E384,Q384))</x:f>
        <x:v>0</x:v>
      </x:c>
      <x:c r="U384" s="15" t="str">
        <x:f>IF(T384&gt;0,"Funded",IF(P384="Eligible","Unfunded",P384))</x:f>
        <x:v>Evidence missing / not eligible</x:v>
      </x:c>
      <x:c r="V384" s="15" t="str">
        <x:f>IF(R384="Include","Conference inclusion: "&amp;S384,IF(R384="Exclude","Conference exclusion: "&amp;S384,IF(Q384&gt;0,H384&amp;" priority rank "&amp;I384&amp;"; whole initiative selected",P384)))</x:f>
        <x:v>Evidence missing / not eligible</x:v>
      </x:c>
      <x:c r="W384" s="15" t="str">
        <x:v>Bu!322</x:v>
      </x:c>
      <x:c r="X384" s="15" t="str"/>
      <x:c r="Y384" s="15" t="str"/>
      <x:c r="Z384" s="15" t="str">
        <x:v>AI Enablement</x:v>
      </x:c>
      <x:c r="AA384" s="15" t="str">
        <x:v>New Initiative</x:v>
      </x:c>
      <x:c r="AB384" s="15" t="str">
        <x:v>Commercial IT</x:v>
      </x:c>
      <x:c r="AC384" s="15" t="str"/>
      <x:c r="AD384" s="15" t="str">
        <x:v>Install-base data is not consistently converted into actionable insights, leaving renewal risks unidentified and upgrade or expansion opportunities discovered too late. This limits the ability to protect recurring revenue and build a high-quality, proactive growth pipeline.</x:v>
      </x:c>
      <x:c r="AE384" s="15" t="str">
        <x:v>Ignite provides the trusted relationship between customer, site, modality, configuration, software version, entitlement, contract and usage history so Sensei can execute IB quoting, upgrades, expansions, CPI/indexation, renewals, clawbacks and proactive opportunity creation</x:v>
      </x:c>
      <x:c r="AF384" s="15" t="str">
        <x:v>Install-base data is not consistently converted into actionable insights, leaving renewal risks unidentified and upgrade or expansion opportunities discovered too late. This limits the ability to protect recurring revenue and build a high-quality, proactive growth pipeline. | Ignite provides the trusted relationship between customer, site, modality, configuration, software version, entitlement, contract and usage history so Sensei can execute IB quoting, upgrades, expansions, CPI/indexation, renewals, clawbacks and proactive opportunity creation</x:v>
      </x:c>
      <x:c r="AG384" s="15" t="str">
        <x:v>Must Do</x:v>
      </x:c>
      <x:c r="AH384" s="15" t="n">
        <x:v>309</x:v>
      </x:c>
    </x:row>
    <x:row r="385">
      <x:c r="A385" s="15" t="str">
        <x:v>Bu-134</x:v>
      </x:c>
      <x:c r="B385" s="15" t="str">
        <x:v>Install Base : Technical foundation</x:v>
      </x:c>
      <x:c r="C385" s="15" t="str">
        <x:v>BU Led</x:v>
      </x:c>
      <x:c r="D385" s="15" t="str">
        <x:v>Enterprise Informatics (EI)</x:v>
      </x:c>
      <x:c r="E385" s="19" t="n">
        <x:v>0.3</x:v>
      </x:c>
      <x:c r="F385" s="19" t="n">
        <x:v>0.25</x:v>
      </x:c>
      <x:c r="G385" s="22" t="n">
        <x:f>IF(AND(E385&gt;0,ISNUMBER(F385)),F385/E385,"")</x:f>
        <x:v>0.8333333333333334</x:v>
      </x:c>
      <x:c r="H385" s="15" t="str">
        <x:v>ROI-Based Portfolio</x:v>
      </x:c>
      <x:c r="I385" s="15" t="n">
        <x:v>83</x:v>
      </x:c>
      <x:c r="J385" s="15" t="n">
        <x:v>10</x:v>
      </x:c>
      <x:c r="K385" s="23" t="n">
        <x:f>IF(G385="",0,IF(G385&lt;1,0,IF(G385&lt;2,20,IF(G385&lt;3,30,IF(G385&lt;5,40,50)))))*'Scenario Controls'!$B$22/50</x:f>
        <x:v>0</x:v>
      </x:c>
      <x:c r="L385" s="23" t="n">
        <x:f>IF(ISNUMBER(SEARCH("Must Do",AG385)),25,IF(ISNUMBER(SEARCH("Must Have",AG385)),18,IF(ISNUMBER(SEARCH("Deprior",AG385)),5,0)))*'Scenario Controls'!$B$23/25</x:f>
        <x:v>25</x:v>
      </x:c>
      <x:c r="M385" s="23" t="n">
        <x:f>J385*'Scenario Controls'!$B$24/15</x:f>
        <x:v>10</x:v>
      </x:c>
      <x:c r="N385" s="23" t="n">
        <x:f>IF(ISNUMBER(SEARCH("HEALTHY",X385)),10,IF(ISNUMBER(SEARCH("CONTAIN",X385)),6,0))*'Scenario Controls'!$B$25/10</x:f>
        <x:v>0</x:v>
      </x:c>
      <x:c r="O385" s="23" t="n">
        <x:f>SUM(K385:N385)</x:f>
        <x:v>35</x:v>
      </x:c>
      <x:c r="P385" s="15" t="str">
        <x:f>IF(OR(B385="",E385&lt;=0),"Evidence missing / not eligible",IF(ISNUMBER(SEARCH("priority TBD",Y385)),"Evidence missing / not eligible",IF(AND(H385="Carryover",NOT(ISNUMBER(F385))),"Evidence missing / not eligible",IF(AND(H385="Carryover",G385&lt;'Scenario Controls'!$B$16),"Evidence missing / not eligible",IF(AND(H385="ROI-Based Portfolio",NOT(ISNUMBER(F385))),"Evidence missing / not eligible",IF(AND(H385="ROI-Based Portfolio",O385&lt;'Scenario Controls'!$B$20),"Evidence missing / not eligible","Eligible"))))))</x:f>
        <x:v>Evidence missing / not eligible</x:v>
      </x:c>
      <x:c r="Q385" s="19" t="n">
        <x:f>IF(P385&lt;&gt;"Eligible",0,IF(AND(SUMIFS($Q$5:Q384,$H$5:H384,H385)+E385&lt;=(IF(H385="LFR",'Scenario Controls'!$F$10,IF(H385="Sustain Engineering",'Scenario Controls'!$F$11,IF(H385="Hygiene",'Scenario Controls'!$F$12,1E+99))))*(1+'Scenario Controls'!$B$7),SUM($Q$5:Q384)+E385&lt;='Scenario Controls'!$B$6*(1+'Scenario Controls'!$B$7)),E385,0))</x:f>
        <x:v>0</x:v>
      </x:c>
      <x:c r="R385" s="24" t="str">
        <x:f>'BU Conference'!G214</x:f>
        <x:v>Automatic</x:v>
      </x:c>
      <x:c r="S385" s="24" t="str">
        <x:f>'BU Conference'!H214</x:f>
      </x:c>
      <x:c r="T385" s="19" t="n">
        <x:f>IF(R385="Exclude",0,IF(R385="Include",E385,Q385))</x:f>
        <x:v>0</x:v>
      </x:c>
      <x:c r="U385" s="15" t="str">
        <x:f>IF(T385&gt;0,"Funded",IF(P385="Eligible","Unfunded",P385))</x:f>
        <x:v>Evidence missing / not eligible</x:v>
      </x:c>
      <x:c r="V385" s="15" t="str">
        <x:f>IF(R385="Include","Conference inclusion: "&amp;S385,IF(R385="Exclude","Conference exclusion: "&amp;S385,IF(Q385&gt;0,H385&amp;" priority rank "&amp;I385&amp;"; whole initiative selected",P385)))</x:f>
        <x:v>Evidence missing / not eligible</x:v>
      </x:c>
      <x:c r="W385" s="15" t="str">
        <x:v>Bu!325</x:v>
      </x:c>
      <x:c r="X385" s="15" t="str"/>
      <x:c r="Y385" s="15" t="str"/>
      <x:c r="Z385" s="15" t="str">
        <x:v>AI Enablement</x:v>
      </x:c>
      <x:c r="AA385" s="15" t="str">
        <x:v>New Initiative</x:v>
      </x:c>
      <x:c r="AB385" s="15" t="str">
        <x:v>Commercial IT</x:v>
      </x:c>
      <x:c r="AC385" s="15" t="str"/>
      <x:c r="AD385" s="15" t="str">
        <x: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x:v>
      </x:c>
      <x:c r="AE385" s="15" t="str">
        <x:v>IB User Interface, Agent Orchestration, MCP Server</x:v>
      </x:c>
      <x:c r="AF385" s="15" t="str">
        <x: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 IB User Interface, Agent Orchestration, MCP Server</x:v>
      </x:c>
      <x:c r="AG385" s="15" t="str">
        <x:v>Must Do</x:v>
      </x:c>
      <x:c r="AH385" s="15" t="n">
        <x:v>311</x:v>
      </x:c>
    </x:row>
    <x:row r="386">
      <x:c r="A386" s="15" t="str">
        <x:v>Bu-142</x:v>
      </x:c>
      <x:c r="B386" s="15" t="str">
        <x:v>Service Now : Proactive Service Operations &amp; Digital Self-Service at the Edge</x:v>
      </x:c>
      <x:c r="C386" s="15" t="str">
        <x:v>BU Led</x:v>
      </x:c>
      <x:c r="D386" s="15" t="str">
        <x:v>Enterprise Informatics (EI)</x:v>
      </x:c>
      <x:c r="E386" s="19" t="n">
        <x:v>0.8</x:v>
      </x:c>
      <x:c r="F386" s="19" t="n">
        <x:v>0.5</x:v>
      </x:c>
      <x:c r="G386" s="22" t="n">
        <x:f>IF(AND(E386&gt;0,ISNUMBER(F386)),F386/E386,"")</x:f>
        <x:v>0.625</x:v>
      </x:c>
      <x:c r="H386" s="15" t="str">
        <x:v>ROI-Based Portfolio</x:v>
      </x:c>
      <x:c r="I386" s="15" t="n">
        <x:v>84</x:v>
      </x:c>
      <x:c r="J386" s="15" t="n">
        <x:v>10</x:v>
      </x:c>
      <x:c r="K386" s="23" t="n">
        <x:f>IF(G386="",0,IF(G386&lt;1,0,IF(G386&lt;2,20,IF(G386&lt;3,30,IF(G386&lt;5,40,50)))))*'Scenario Controls'!$B$22/50</x:f>
        <x:v>0</x:v>
      </x:c>
      <x:c r="L386" s="23" t="n">
        <x:f>IF(ISNUMBER(SEARCH("Must Do",AG386)),25,IF(ISNUMBER(SEARCH("Must Have",AG386)),18,IF(ISNUMBER(SEARCH("Deprior",AG386)),5,0)))*'Scenario Controls'!$B$23/25</x:f>
        <x:v>25</x:v>
      </x:c>
      <x:c r="M386" s="23" t="n">
        <x:f>J386*'Scenario Controls'!$B$24/15</x:f>
        <x:v>10</x:v>
      </x:c>
      <x:c r="N386" s="23" t="n">
        <x:f>IF(ISNUMBER(SEARCH("HEALTHY",X386)),10,IF(ISNUMBER(SEARCH("CONTAIN",X386)),6,0))*'Scenario Controls'!$B$25/10</x:f>
        <x:v>0</x:v>
      </x:c>
      <x:c r="O386" s="23" t="n">
        <x:f>SUM(K386:N386)</x:f>
        <x:v>35</x:v>
      </x:c>
      <x:c r="P386" s="15" t="str">
        <x:f>IF(OR(B386="",E386&lt;=0),"Evidence missing / not eligible",IF(ISNUMBER(SEARCH("priority TBD",Y386)),"Evidence missing / not eligible",IF(AND(H386="Carryover",NOT(ISNUMBER(F386))),"Evidence missing / not eligible",IF(AND(H386="Carryover",G386&lt;'Scenario Controls'!$B$16),"Evidence missing / not eligible",IF(AND(H386="ROI-Based Portfolio",NOT(ISNUMBER(F386))),"Evidence missing / not eligible",IF(AND(H386="ROI-Based Portfolio",O386&lt;'Scenario Controls'!$B$20),"Evidence missing / not eligible","Eligible"))))))</x:f>
        <x:v>Evidence missing / not eligible</x:v>
      </x:c>
      <x:c r="Q386" s="19" t="n">
        <x:f>IF(P386&lt;&gt;"Eligible",0,IF(AND(SUMIFS($Q$5:Q385,$H$5:H385,H386)+E386&lt;=(IF(H386="LFR",'Scenario Controls'!$F$10,IF(H386="Sustain Engineering",'Scenario Controls'!$F$11,IF(H386="Hygiene",'Scenario Controls'!$F$12,1E+99))))*(1+'Scenario Controls'!$B$7),SUM($Q$5:Q385)+E386&lt;='Scenario Controls'!$B$6*(1+'Scenario Controls'!$B$7)),E386,0))</x:f>
        <x:v>0</x:v>
      </x:c>
      <x:c r="R386" s="24" t="str">
        <x:f>'BU Conference'!G215</x:f>
        <x:v>Automatic</x:v>
      </x:c>
      <x:c r="S386" s="24" t="str">
        <x:f>'BU Conference'!H215</x:f>
      </x:c>
      <x:c r="T386" s="19" t="n">
        <x:f>IF(R386="Exclude",0,IF(R386="Include",E386,Q386))</x:f>
        <x:v>0</x:v>
      </x:c>
      <x:c r="U386" s="15" t="str">
        <x:f>IF(T386&gt;0,"Funded",IF(P386="Eligible","Unfunded",P386))</x:f>
        <x:v>Evidence missing / not eligible</x:v>
      </x:c>
      <x:c r="V386" s="15" t="str">
        <x:f>IF(R386="Include","Conference inclusion: "&amp;S386,IF(R386="Exclude","Conference exclusion: "&amp;S386,IF(Q386&gt;0,H386&amp;" priority rank "&amp;I386&amp;"; whole initiative selected",P386)))</x:f>
        <x:v>Evidence missing / not eligible</x:v>
      </x:c>
      <x:c r="W386" s="15" t="str">
        <x:v>Bu!339</x:v>
      </x:c>
      <x:c r="X386" s="15" t="str"/>
      <x:c r="Y386" s="15" t="str"/>
      <x:c r="Z386" s="15" t="str">
        <x:v>AI Enablement</x:v>
      </x:c>
      <x:c r="AA386" s="15" t="str">
        <x:v>New Initiative</x:v>
      </x:c>
      <x:c r="AB386" s="15" t="str">
        <x:v>Commercial IT</x:v>
      </x:c>
      <x:c r="AC386" s="15" t="str"/>
      <x:c r="AD386" s="15" t="str">
        <x:v>Customer-impacting issues are often detected only after an outage occurs, creating avoidable disruption and potential patient-safety risks. Service teams need earlier, platform-led and fleet-aware detection to respond before customers are affected.</x:v>
      </x:c>
      <x:c r="AE386" s="15" t="str">
        <x: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x:v>
      </x:c>
      <x:c r="AF386" s="15" t="str">
        <x:v>Customer-impacting issues are often detected only after an outage occurs, creating avoidable disruption and potential patient-safety risks. Service teams need earlier, platform-led and fleet-aware detection to respond before customers are affected. |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x:v>
      </x:c>
      <x:c r="AG386" s="15" t="str">
        <x:v>Must Do</x:v>
      </x:c>
      <x:c r="AH386" s="15" t="n">
        <x:v>319</x:v>
      </x:c>
    </x:row>
    <x:row r="387">
      <x:c r="A387" s="15" t="str">
        <x:v>Bu-144</x:v>
      </x:c>
      <x:c r="B387" s="15" t="str">
        <x:v>Sercie Now AI Initiatives :Intelligent Contact Centre &amp; Intelligent Omnichannel Service</x:v>
      </x:c>
      <x:c r="C387" s="15" t="str">
        <x:v>BU Led</x:v>
      </x:c>
      <x:c r="D387" s="15" t="str">
        <x:v>Enterprise Informatics (EI)</x:v>
      </x:c>
      <x:c r="E387" s="19" t="n">
        <x:v>0.8</x:v>
      </x:c>
      <x:c r="F387" s="19" t="n">
        <x:v>0.5</x:v>
      </x:c>
      <x:c r="G387" s="22" t="n">
        <x:f>IF(AND(E387&gt;0,ISNUMBER(F387)),F387/E387,"")</x:f>
        <x:v>0.625</x:v>
      </x:c>
      <x:c r="H387" s="15" t="str">
        <x:v>ROI-Based Portfolio</x:v>
      </x:c>
      <x:c r="I387" s="15" t="n">
        <x:v>85</x:v>
      </x:c>
      <x:c r="J387" s="15" t="n">
        <x:v>10</x:v>
      </x:c>
      <x:c r="K387" s="23" t="n">
        <x:f>IF(G387="",0,IF(G387&lt;1,0,IF(G387&lt;2,20,IF(G387&lt;3,30,IF(G387&lt;5,40,50)))))*'Scenario Controls'!$B$22/50</x:f>
        <x:v>0</x:v>
      </x:c>
      <x:c r="L387" s="23" t="n">
        <x:f>IF(ISNUMBER(SEARCH("Must Do",AG387)),25,IF(ISNUMBER(SEARCH("Must Have",AG387)),18,IF(ISNUMBER(SEARCH("Deprior",AG387)),5,0)))*'Scenario Controls'!$B$23/25</x:f>
        <x:v>25</x:v>
      </x:c>
      <x:c r="M387" s="23" t="n">
        <x:f>J387*'Scenario Controls'!$B$24/15</x:f>
        <x:v>10</x:v>
      </x:c>
      <x:c r="N387" s="23" t="n">
        <x:f>IF(ISNUMBER(SEARCH("HEALTHY",X387)),10,IF(ISNUMBER(SEARCH("CONTAIN",X387)),6,0))*'Scenario Controls'!$B$25/10</x:f>
        <x:v>0</x:v>
      </x:c>
      <x:c r="O387" s="23" t="n">
        <x:f>SUM(K387:N387)</x:f>
        <x:v>35</x:v>
      </x:c>
      <x:c r="P387" s="15" t="str">
        <x:f>IF(OR(B387="",E387&lt;=0),"Evidence missing / not eligible",IF(ISNUMBER(SEARCH("priority TBD",Y387)),"Evidence missing / not eligible",IF(AND(H387="Carryover",NOT(ISNUMBER(F387))),"Evidence missing / not eligible",IF(AND(H387="Carryover",G387&lt;'Scenario Controls'!$B$16),"Evidence missing / not eligible",IF(AND(H387="ROI-Based Portfolio",NOT(ISNUMBER(F387))),"Evidence missing / not eligible",IF(AND(H387="ROI-Based Portfolio",O387&lt;'Scenario Controls'!$B$20),"Evidence missing / not eligible","Eligible"))))))</x:f>
        <x:v>Evidence missing / not eligible</x:v>
      </x:c>
      <x:c r="Q387" s="19" t="n">
        <x:f>IF(P387&lt;&gt;"Eligible",0,IF(AND(SUMIFS($Q$5:Q386,$H$5:H386,H387)+E387&lt;=(IF(H387="LFR",'Scenario Controls'!$F$10,IF(H387="Sustain Engineering",'Scenario Controls'!$F$11,IF(H387="Hygiene",'Scenario Controls'!$F$12,1E+99))))*(1+'Scenario Controls'!$B$7),SUM($Q$5:Q386)+E387&lt;='Scenario Controls'!$B$6*(1+'Scenario Controls'!$B$7)),E387,0))</x:f>
        <x:v>0</x:v>
      </x:c>
      <x:c r="R387" s="24" t="str">
        <x:f>'BU Conference'!G216</x:f>
        <x:v>Automatic</x:v>
      </x:c>
      <x:c r="S387" s="24" t="str">
        <x:f>'BU Conference'!H216</x:f>
      </x:c>
      <x:c r="T387" s="19" t="n">
        <x:f>IF(R387="Exclude",0,IF(R387="Include",E387,Q387))</x:f>
        <x:v>0</x:v>
      </x:c>
      <x:c r="U387" s="15" t="str">
        <x:f>IF(T387&gt;0,"Funded",IF(P387="Eligible","Unfunded",P387))</x:f>
        <x:v>Evidence missing / not eligible</x:v>
      </x:c>
      <x:c r="V387" s="15" t="str">
        <x:f>IF(R387="Include","Conference inclusion: "&amp;S387,IF(R387="Exclude","Conference exclusion: "&amp;S387,IF(Q387&gt;0,H387&amp;" priority rank "&amp;I387&amp;"; whole initiative selected",P387)))</x:f>
        <x:v>Evidence missing / not eligible</x:v>
      </x:c>
      <x:c r="W387" s="15" t="str">
        <x:v>Bu!342</x:v>
      </x:c>
      <x:c r="X387" s="15" t="str"/>
      <x:c r="Y387" s="15" t="str"/>
      <x:c r="Z387" s="15" t="str">
        <x:v>AI Enablement</x:v>
      </x:c>
      <x:c r="AA387" s="15" t="str">
        <x:v>New Initiative</x:v>
      </x:c>
      <x:c r="AB387" s="15" t="str">
        <x:v>Commercial IT</x:v>
      </x:c>
      <x:c r="AC387" s="15" t="str"/>
      <x:c r="AD387" s="15" t="str">
        <x:v>Customer service agents must switch between Genesys and ServiceNow, causing fragmented call context, slower handling, and misrouting to the wrong resource. Customers also experience inconsistent journeys across phone, chat, and self-service.</x:v>
      </x:c>
      <x:c r="AE387" s="15" t="str">
        <x: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x:v>
      </x:c>
      <x:c r="AF387" s="15" t="str">
        <x:v>Customer service agents must switch between Genesys and ServiceNow, causing fragmented call context, slower handling, and misrouting to the wrong resource. Customers also experience inconsistent journeys across phone, chat, and self-service. |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x:v>
      </x:c>
      <x:c r="AG387" s="15" t="str">
        <x:v>Must Do</x:v>
      </x:c>
      <x:c r="AH387" s="15" t="n">
        <x:v>321</x:v>
      </x:c>
    </x:row>
    <x:row r="388">
      <x:c r="A388" s="15" t="str">
        <x:v>Bu-133</x:v>
      </x:c>
      <x:c r="B388" s="15" t="str">
        <x:v>Install Base : Data Foundation and Service Updates</x:v>
      </x:c>
      <x:c r="C388" s="15" t="str">
        <x:v>BU Led</x:v>
      </x:c>
      <x:c r="D388" s="15" t="str">
        <x:v>Enterprise Informatics (EI)</x:v>
      </x:c>
      <x:c r="E388" s="19" t="n">
        <x:v>0.6</x:v>
      </x:c>
      <x:c r="F388" s="19" t="n">
        <x:v>0.25</x:v>
      </x:c>
      <x:c r="G388" s="22" t="n">
        <x:f>IF(AND(E388&gt;0,ISNUMBER(F388)),F388/E388,"")</x:f>
        <x:v>0.4166666666666667</x:v>
      </x:c>
      <x:c r="H388" s="15" t="str">
        <x:v>ROI-Based Portfolio</x:v>
      </x:c>
      <x:c r="I388" s="15" t="n">
        <x:v>86</x:v>
      </x:c>
      <x:c r="J388" s="15" t="n">
        <x:v>10</x:v>
      </x:c>
      <x:c r="K388" s="23" t="n">
        <x:f>IF(G388="",0,IF(G388&lt;1,0,IF(G388&lt;2,20,IF(G388&lt;3,30,IF(G388&lt;5,40,50)))))*'Scenario Controls'!$B$22/50</x:f>
        <x:v>0</x:v>
      </x:c>
      <x:c r="L388" s="23" t="n">
        <x:f>IF(ISNUMBER(SEARCH("Must Do",AG388)),25,IF(ISNUMBER(SEARCH("Must Have",AG388)),18,IF(ISNUMBER(SEARCH("Deprior",AG388)),5,0)))*'Scenario Controls'!$B$23/25</x:f>
        <x:v>25</x:v>
      </x:c>
      <x:c r="M388" s="23" t="n">
        <x:f>J388*'Scenario Controls'!$B$24/15</x:f>
        <x:v>10</x:v>
      </x:c>
      <x:c r="N388" s="23" t="n">
        <x:f>IF(ISNUMBER(SEARCH("HEALTHY",X388)),10,IF(ISNUMBER(SEARCH("CONTAIN",X388)),6,0))*'Scenario Controls'!$B$25/10</x:f>
        <x:v>0</x:v>
      </x:c>
      <x:c r="O388" s="23" t="n">
        <x:f>SUM(K388:N388)</x:f>
        <x:v>35</x:v>
      </x:c>
      <x:c r="P388" s="15" t="str">
        <x:f>IF(OR(B388="",E388&lt;=0),"Evidence missing / not eligible",IF(ISNUMBER(SEARCH("priority TBD",Y388)),"Evidence missing / not eligible",IF(AND(H388="Carryover",NOT(ISNUMBER(F388))),"Evidence missing / not eligible",IF(AND(H388="Carryover",G388&lt;'Scenario Controls'!$B$16),"Evidence missing / not eligible",IF(AND(H388="ROI-Based Portfolio",NOT(ISNUMBER(F388))),"Evidence missing / not eligible",IF(AND(H388="ROI-Based Portfolio",O388&lt;'Scenario Controls'!$B$20),"Evidence missing / not eligible","Eligible"))))))</x:f>
        <x:v>Evidence missing / not eligible</x:v>
      </x:c>
      <x:c r="Q388" s="19" t="n">
        <x:f>IF(P388&lt;&gt;"Eligible",0,IF(AND(SUMIFS($Q$5:Q387,$H$5:H387,H388)+E388&lt;=(IF(H388="LFR",'Scenario Controls'!$F$10,IF(H388="Sustain Engineering",'Scenario Controls'!$F$11,IF(H388="Hygiene",'Scenario Controls'!$F$12,1E+99))))*(1+'Scenario Controls'!$B$7),SUM($Q$5:Q387)+E388&lt;='Scenario Controls'!$B$6*(1+'Scenario Controls'!$B$7)),E388,0))</x:f>
        <x:v>0</x:v>
      </x:c>
      <x:c r="R388" s="24" t="str">
        <x:f>'BU Conference'!G217</x:f>
        <x:v>Automatic</x:v>
      </x:c>
      <x:c r="S388" s="24" t="str">
        <x:f>'BU Conference'!H217</x:f>
      </x:c>
      <x:c r="T388" s="19" t="n">
        <x:f>IF(R388="Exclude",0,IF(R388="Include",E388,Q388))</x:f>
        <x:v>0</x:v>
      </x:c>
      <x:c r="U388" s="15" t="str">
        <x:f>IF(T388&gt;0,"Funded",IF(P388="Eligible","Unfunded",P388))</x:f>
        <x:v>Evidence missing / not eligible</x:v>
      </x:c>
      <x:c r="V388" s="15" t="str">
        <x:f>IF(R388="Include","Conference inclusion: "&amp;S388,IF(R388="Exclude","Conference exclusion: "&amp;S388,IF(Q388&gt;0,H388&amp;" priority rank "&amp;I388&amp;"; whole initiative selected",P388)))</x:f>
        <x:v>Evidence missing / not eligible</x:v>
      </x:c>
      <x:c r="W388" s="15" t="str">
        <x:v>Bu!324</x:v>
      </x:c>
      <x:c r="X388" s="15" t="str"/>
      <x:c r="Y388" s="15" t="str"/>
      <x:c r="Z388" s="15" t="str">
        <x:v>AI Enablement</x:v>
      </x:c>
      <x:c r="AA388" s="15" t="str">
        <x:v>New Initiative</x:v>
      </x:c>
      <x:c r="AB388" s="15" t="str">
        <x:v>Commercial IT</x:v>
      </x:c>
      <x:c r="AC388" s="15" t="str"/>
      <x:c r="AD388" s="15" t="str">
        <x: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x:v>
      </x:c>
      <x:c r="AE388" s="15" t="str">
        <x:v>IB Data Foundation: Microsoft Fabric canonical IDs reconciliation semantic model, Service update includes Proactive upgrade &amp; Patch management, Service led growth recommendations, Telemetry powered IB discovery &amp; real time deployed footprint</x:v>
      </x:c>
      <x:c r="AF388" s="15" t="str">
        <x: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 IB Data Foundation: Microsoft Fabric canonical IDs reconciliation semantic model, Service update includes Proactive upgrade &amp; Patch management, Service led growth recommendations, Telemetry powered IB discovery &amp; real time deployed footprint</x:v>
      </x:c>
      <x:c r="AG388" s="15" t="str">
        <x:v>Must Do</x:v>
      </x:c>
      <x:c r="AH388" s="15" t="n">
        <x:v>310</x:v>
      </x:c>
    </x:row>
    <x:row r="389">
      <x:c r="A389" s="15" t="str">
        <x:v>Bu-259</x:v>
      </x:c>
      <x:c r="B389" s="15" t="str">
        <x:v>12NC Configuration Management Project</x:v>
      </x:c>
      <x:c r="C389" s="15" t="str">
        <x:v>BU Led</x:v>
      </x:c>
      <x:c r="D389" s="15" t="str">
        <x:v>Image Guided Therapy - Devices (IGT-D)</x:v>
      </x:c>
      <x:c r="E389" s="19" t="n">
        <x:v>0.5</x:v>
      </x:c>
      <x:c r="F389" s="19" t="n">
        <x:v>0.004</x:v>
      </x:c>
      <x:c r="G389" s="22" t="n">
        <x:f>IF(AND(E389&gt;0,ISNUMBER(F389)),F389/E389,"")</x:f>
        <x:v>0.008</x:v>
      </x:c>
      <x:c r="H389" s="15" t="str">
        <x:v>ROI-Based Portfolio</x:v>
      </x:c>
      <x:c r="I389" s="15" t="n">
        <x:v>87</x:v>
      </x:c>
      <x:c r="J389" s="15" t="n">
        <x:v>10</x:v>
      </x:c>
      <x:c r="K389" s="23" t="n">
        <x:f>IF(G389="",0,IF(G389&lt;1,0,IF(G389&lt;2,20,IF(G389&lt;3,30,IF(G389&lt;5,40,50)))))*'Scenario Controls'!$B$22/50</x:f>
        <x:v>0</x:v>
      </x:c>
      <x:c r="L389" s="23" t="n">
        <x:f>IF(ISNUMBER(SEARCH("Must Do",AG389)),25,IF(ISNUMBER(SEARCH("Must Have",AG389)),18,IF(ISNUMBER(SEARCH("Deprior",AG389)),5,0)))*'Scenario Controls'!$B$23/25</x:f>
        <x:v>25</x:v>
      </x:c>
      <x:c r="M389" s="23" t="n">
        <x:f>J389*'Scenario Controls'!$B$24/15</x:f>
        <x:v>10</x:v>
      </x:c>
      <x:c r="N389" s="23" t="n">
        <x:f>IF(ISNUMBER(SEARCH("HEALTHY",X389)),10,IF(ISNUMBER(SEARCH("CONTAIN",X389)),6,0))*'Scenario Controls'!$B$25/10</x:f>
        <x:v>0</x:v>
      </x:c>
      <x:c r="O389" s="23" t="n">
        <x:f>SUM(K389:N389)</x:f>
        <x:v>35</x:v>
      </x:c>
      <x:c r="P389" s="15" t="str">
        <x:f>IF(OR(B389="",E389&lt;=0),"Evidence missing / not eligible",IF(ISNUMBER(SEARCH("priority TBD",Y389)),"Evidence missing / not eligible",IF(AND(H389="Carryover",NOT(ISNUMBER(F389))),"Evidence missing / not eligible",IF(AND(H389="Carryover",G389&lt;'Scenario Controls'!$B$16),"Evidence missing / not eligible",IF(AND(H389="ROI-Based Portfolio",NOT(ISNUMBER(F389))),"Evidence missing / not eligible",IF(AND(H389="ROI-Based Portfolio",O389&lt;'Scenario Controls'!$B$20),"Evidence missing / not eligible","Eligible"))))))</x:f>
        <x:v>Evidence missing / not eligible</x:v>
      </x:c>
      <x:c r="Q389" s="19" t="n">
        <x:f>IF(P389&lt;&gt;"Eligible",0,IF(AND(SUMIFS($Q$5:Q388,$H$5:H388,H389)+E389&lt;=(IF(H389="LFR",'Scenario Controls'!$F$10,IF(H389="Sustain Engineering",'Scenario Controls'!$F$11,IF(H389="Hygiene",'Scenario Controls'!$F$12,1E+99))))*(1+'Scenario Controls'!$B$7),SUM($Q$5:Q388)+E389&lt;='Scenario Controls'!$B$6*(1+'Scenario Controls'!$B$7)),E389,0))</x:f>
        <x:v>0</x:v>
      </x:c>
      <x:c r="R389" s="24" t="str">
        <x:f>'BU Conference'!G218</x:f>
        <x:v>Automatic</x:v>
      </x:c>
      <x:c r="S389" s="24" t="str">
        <x:f>'BU Conference'!H218</x:f>
      </x:c>
      <x:c r="T389" s="19" t="n">
        <x:f>IF(R389="Exclude",0,IF(R389="Include",E389,Q389))</x:f>
        <x:v>0</x:v>
      </x:c>
      <x:c r="U389" s="15" t="str">
        <x:f>IF(T389&gt;0,"Funded",IF(P389="Eligible","Unfunded",P389))</x:f>
        <x:v>Evidence missing / not eligible</x:v>
      </x:c>
      <x:c r="V389" s="15" t="str">
        <x:f>IF(R389="Include","Conference inclusion: "&amp;S389,IF(R389="Exclude","Conference exclusion: "&amp;S389,IF(Q389&gt;0,H389&amp;" priority rank "&amp;I389&amp;"; whole initiative selected",P389)))</x:f>
        <x:v>Evidence missing / not eligible</x:v>
      </x:c>
      <x:c r="W389" s="15" t="str">
        <x:v>Bu!567</x:v>
      </x:c>
      <x:c r="X389" s="15" t="str"/>
      <x:c r="Y389" s="15" t="str"/>
      <x:c r="Z389" s="15" t="str">
        <x:v>New Feature</x:v>
      </x:c>
      <x:c r="AA389" s="15" t="str">
        <x:v>New Initiative</x:v>
      </x:c>
      <x:c r="AB389" s="15" t="str">
        <x:v>Integrated Supply Chain &amp; Finance</x:v>
      </x:c>
      <x:c r="AC389" s="15" t="str"/>
      <x:c r="AD389" s="15" t="str">
        <x:v>IGTD’s current supply chain locks products into market-specific configurations too early, creating SKU proliferation, fragmented inventory, planning complexity, and reduced flexibility to respond to demand.</x:v>
      </x:c>
      <x:c r="AE389" s="15" t="str">
        <x:v>Change 12NC configuration management approach (enabling planning simplification and scrap cost reduction)</x:v>
      </x:c>
      <x:c r="AF389" s="15" t="str">
        <x:v>IGTD’s current supply chain locks products into market-specific configurations too early, creating SKU proliferation, fragmented inventory, planning complexity, and reduced flexibility to respond to demand. | Change 12NC configuration management approach (enabling planning simplification and scrap cost reduction)</x:v>
      </x:c>
      <x:c r="AG389" s="15" t="str">
        <x:v>Must Do</x:v>
      </x:c>
      <x:c r="AH389" s="15" t="n">
        <x:v>439</x:v>
      </x:c>
    </x:row>
    <x:row r="390">
      <x:c r="A390" s="15" t="str">
        <x:v>Bu-260</x:v>
      </x:c>
      <x:c r="B390" s="15" t="str">
        <x:v>Advanced Planning Solution</x:v>
      </x:c>
      <x:c r="C390" s="15" t="str">
        <x:v>BU Led</x:v>
      </x:c>
      <x:c r="D390" s="15" t="str">
        <x:v>Image Guided Therapy - Devices (IGT-D)</x:v>
      </x:c>
      <x:c r="E390" s="19" t="n">
        <x:v>1.8</x:v>
      </x:c>
      <x:c r="F390" s="19" t="n">
        <x:v>0.01112</x:v>
      </x:c>
      <x:c r="G390" s="22" t="n">
        <x:f>IF(AND(E390&gt;0,ISNUMBER(F390)),F390/E390,"")</x:f>
        <x:v>0.006177777777777778</x:v>
      </x:c>
      <x:c r="H390" s="15" t="str">
        <x:v>ROI-Based Portfolio</x:v>
      </x:c>
      <x:c r="I390" s="15" t="n">
        <x:v>88</x:v>
      </x:c>
      <x:c r="J390" s="15" t="n">
        <x:v>10</x:v>
      </x:c>
      <x:c r="K390" s="23" t="n">
        <x:f>IF(G390="",0,IF(G390&lt;1,0,IF(G390&lt;2,20,IF(G390&lt;3,30,IF(G390&lt;5,40,50)))))*'Scenario Controls'!$B$22/50</x:f>
        <x:v>0</x:v>
      </x:c>
      <x:c r="L390" s="23" t="n">
        <x:f>IF(ISNUMBER(SEARCH("Must Do",AG390)),25,IF(ISNUMBER(SEARCH("Must Have",AG390)),18,IF(ISNUMBER(SEARCH("Deprior",AG390)),5,0)))*'Scenario Controls'!$B$23/25</x:f>
        <x:v>25</x:v>
      </x:c>
      <x:c r="M390" s="23" t="n">
        <x:f>J390*'Scenario Controls'!$B$24/15</x:f>
        <x:v>10</x:v>
      </x:c>
      <x:c r="N390" s="23" t="n">
        <x:f>IF(ISNUMBER(SEARCH("HEALTHY",X390)),10,IF(ISNUMBER(SEARCH("CONTAIN",X390)),6,0))*'Scenario Controls'!$B$25/10</x:f>
        <x:v>0</x:v>
      </x:c>
      <x:c r="O390" s="23" t="n">
        <x:f>SUM(K390:N390)</x:f>
        <x:v>35</x:v>
      </x:c>
      <x:c r="P390" s="15" t="str">
        <x:f>IF(OR(B390="",E390&lt;=0),"Evidence missing / not eligible",IF(ISNUMBER(SEARCH("priority TBD",Y390)),"Evidence missing / not eligible",IF(AND(H390="Carryover",NOT(ISNUMBER(F390))),"Evidence missing / not eligible",IF(AND(H390="Carryover",G390&lt;'Scenario Controls'!$B$16),"Evidence missing / not eligible",IF(AND(H390="ROI-Based Portfolio",NOT(ISNUMBER(F390))),"Evidence missing / not eligible",IF(AND(H390="ROI-Based Portfolio",O390&lt;'Scenario Controls'!$B$20),"Evidence missing / not eligible","Eligible"))))))</x:f>
        <x:v>Evidence missing / not eligible</x:v>
      </x:c>
      <x:c r="Q390" s="19" t="n">
        <x:f>IF(P390&lt;&gt;"Eligible",0,IF(AND(SUMIFS($Q$5:Q389,$H$5:H389,H390)+E390&lt;=(IF(H390="LFR",'Scenario Controls'!$F$10,IF(H390="Sustain Engineering",'Scenario Controls'!$F$11,IF(H390="Hygiene",'Scenario Controls'!$F$12,1E+99))))*(1+'Scenario Controls'!$B$7),SUM($Q$5:Q389)+E390&lt;='Scenario Controls'!$B$6*(1+'Scenario Controls'!$B$7)),E390,0))</x:f>
        <x:v>0</x:v>
      </x:c>
      <x:c r="R390" s="24" t="str">
        <x:f>'BU Conference'!G219</x:f>
        <x:v>Automatic</x:v>
      </x:c>
      <x:c r="S390" s="24" t="str">
        <x:f>'BU Conference'!H219</x:f>
      </x:c>
      <x:c r="T390" s="19" t="n">
        <x:f>IF(R390="Exclude",0,IF(R390="Include",E390,Q390))</x:f>
        <x:v>0</x:v>
      </x:c>
      <x:c r="U390" s="15" t="str">
        <x:f>IF(T390&gt;0,"Funded",IF(P390="Eligible","Unfunded",P390))</x:f>
        <x:v>Evidence missing / not eligible</x:v>
      </x:c>
      <x:c r="V390" s="15" t="str">
        <x:f>IF(R390="Include","Conference inclusion: "&amp;S390,IF(R390="Exclude","Conference exclusion: "&amp;S390,IF(Q390&gt;0,H390&amp;" priority rank "&amp;I390&amp;"; whole initiative selected",P390)))</x:f>
        <x:v>Evidence missing / not eligible</x:v>
      </x:c>
      <x:c r="W390" s="15" t="str">
        <x:v>Bu!568</x:v>
      </x:c>
      <x:c r="X390" s="15" t="str"/>
      <x:c r="Y390" s="15" t="str"/>
      <x:c r="Z390" s="15" t="str">
        <x:v>New Technology</x:v>
      </x:c>
      <x:c r="AA390" s="15" t="str">
        <x:v>New Initiative</x:v>
      </x:c>
      <x:c r="AB390" s="15" t="str">
        <x:v>Integrated Supply Chain &amp; Finance</x:v>
      </x:c>
      <x:c r="AC390" s="15" t="str"/>
      <x:c r="AD390" s="15" t="str">
        <x:v>IGTD’s current Excel-based planning processes are fragmented, manual, and resource-intensive, limiting scenario planning, cross-functional integration, and timely decision-making needed to optimize supply chain performance.</x:v>
      </x:c>
      <x:c r="AE390" s="15" t="str">
        <x:v>Connect demand, supply, inventory, scheduling and capacity planning in one platform, enabling faster decisions, improved resilience, optimized inventory, and stronger service performance. (avoid revenue loss / support growth)</x:v>
      </x:c>
      <x:c r="AF390" s="15" t="str">
        <x:v>IGTD’s current Excel-based planning processes are fragmented, manual, and resource-intensive, limiting scenario planning, cross-functional integration, and timely decision-making needed to optimize supply chain performance. | Connect demand, supply, inventory, scheduling and capacity planning in one platform, enabling faster decisions, improved resilience, optimized inventory, and stronger service performance. (avoid revenue loss / support growth)</x:v>
      </x:c>
      <x:c r="AG390" s="15" t="str">
        <x:v>Must Do</x:v>
      </x:c>
      <x:c r="AH390" s="15" t="n">
        <x:v>440</x:v>
      </x:c>
    </x:row>
    <x:row r="391">
      <x:c r="A391" s="15" t="str">
        <x:v>Bu-285</x:v>
      </x:c>
      <x:c r="B391" s="15" t="str">
        <x:v>27.2 RGM Decision Engine | Promo Effectiveness &amp; Trade Spend Mix Simulator</x:v>
      </x:c>
      <x:c r="C391" s="15" t="str">
        <x:v>BU Led</x:v>
      </x:c>
      <x:c r="D391" s="15" t="str">
        <x:v>Personal Health (PH)</x:v>
      </x:c>
      <x:c r="E391" s="19" t="n">
        <x:v>0.9</x:v>
      </x:c>
      <x:c r="F391" s="19" t="n">
        <x:v>0</x:v>
      </x:c>
      <x:c r="G391" s="22" t="n">
        <x:f>IF(AND(E391&gt;0,ISNUMBER(F391)),F391/E391,"")</x:f>
        <x:v>0</x:v>
      </x:c>
      <x:c r="H391" s="15" t="str">
        <x:v>ROI-Based Portfolio</x:v>
      </x:c>
      <x:c r="I391" s="15" t="n">
        <x:v>89</x:v>
      </x:c>
      <x:c r="J391" s="15" t="n">
        <x:v>10</x:v>
      </x:c>
      <x:c r="K391" s="23" t="n">
        <x:f>IF(G391="",0,IF(G391&lt;1,0,IF(G391&lt;2,20,IF(G391&lt;3,30,IF(G391&lt;5,40,50)))))*'Scenario Controls'!$B$22/50</x:f>
        <x:v>0</x:v>
      </x:c>
      <x:c r="L391" s="23" t="n">
        <x:f>IF(ISNUMBER(SEARCH("Must Do",AG391)),25,IF(ISNUMBER(SEARCH("Must Have",AG391)),18,IF(ISNUMBER(SEARCH("Deprior",AG391)),5,0)))*'Scenario Controls'!$B$23/25</x:f>
        <x:v>25</x:v>
      </x:c>
      <x:c r="M391" s="23" t="n">
        <x:f>J391*'Scenario Controls'!$B$24/15</x:f>
        <x:v>10</x:v>
      </x:c>
      <x:c r="N391" s="23" t="n">
        <x:f>IF(ISNUMBER(SEARCH("HEALTHY",X391)),10,IF(ISNUMBER(SEARCH("CONTAIN",X391)),6,0))*'Scenario Controls'!$B$25/10</x:f>
        <x:v>0</x:v>
      </x:c>
      <x:c r="O391" s="23" t="n">
        <x:f>SUM(K391:N391)</x:f>
        <x:v>35</x:v>
      </x:c>
      <x:c r="P391" s="15" t="str">
        <x:f>IF(OR(B391="",E391&lt;=0),"Evidence missing / not eligible",IF(ISNUMBER(SEARCH("priority TBD",Y391)),"Evidence missing / not eligible",IF(AND(H391="Carryover",NOT(ISNUMBER(F391))),"Evidence missing / not eligible",IF(AND(H391="Carryover",G391&lt;'Scenario Controls'!$B$16),"Evidence missing / not eligible",IF(AND(H391="ROI-Based Portfolio",NOT(ISNUMBER(F391))),"Evidence missing / not eligible",IF(AND(H391="ROI-Based Portfolio",O391&lt;'Scenario Controls'!$B$20),"Evidence missing / not eligible","Eligible"))))))</x:f>
        <x:v>Evidence missing / not eligible</x:v>
      </x:c>
      <x:c r="Q391" s="19" t="n">
        <x:f>IF(P391&lt;&gt;"Eligible",0,IF(AND(SUMIFS($Q$5:Q390,$H$5:H390,H391)+E391&lt;=(IF(H391="LFR",'Scenario Controls'!$F$10,IF(H391="Sustain Engineering",'Scenario Controls'!$F$11,IF(H391="Hygiene",'Scenario Controls'!$F$12,1E+99))))*(1+'Scenario Controls'!$B$7),SUM($Q$5:Q390)+E391&lt;='Scenario Controls'!$B$6*(1+'Scenario Controls'!$B$7)),E391,0))</x:f>
        <x:v>0</x:v>
      </x:c>
      <x:c r="R391" s="24" t="str">
        <x:f>'BU Conference'!G220</x:f>
        <x:v>Automatic</x:v>
      </x:c>
      <x:c r="S391" s="24" t="str">
        <x:f>'BU Conference'!H220</x:f>
      </x:c>
      <x:c r="T391" s="19" t="n">
        <x:f>IF(R391="Exclude",0,IF(R391="Include",E391,Q391))</x:f>
        <x:v>0</x:v>
      </x:c>
      <x:c r="U391" s="15" t="str">
        <x:f>IF(T391&gt;0,"Funded",IF(P391="Eligible","Unfunded",P391))</x:f>
        <x:v>Evidence missing / not eligible</x:v>
      </x:c>
      <x:c r="V391" s="15" t="str">
        <x:f>IF(R391="Include","Conference inclusion: "&amp;S391,IF(R391="Exclude","Conference exclusion: "&amp;S391,IF(Q391&gt;0,H391&amp;" priority rank "&amp;I391&amp;"; whole initiative selected",P391)))</x:f>
        <x:v>Evidence missing / not eligible</x:v>
      </x:c>
      <x:c r="W391" s="15" t="str">
        <x:v>Bu!591</x:v>
      </x:c>
      <x:c r="X391" s="15" t="str"/>
      <x:c r="Y391" s="15" t="str"/>
      <x:c r="Z391" s="15" t="str">
        <x:v>New Feature</x:v>
      </x:c>
      <x:c r="AA391" s="15" t="str">
        <x:v>New Initiative</x:v>
      </x:c>
      <x:c r="AB391" s="15" t="str"/>
      <x:c r="AC391" s="15" t="str">
        <x:v>Teams will continue making manual, backward-looking decisions, resulting in sub-optimal promotional ROI, inefficient trade-spend allocation, delayed overspend visibility, and missed growth and margin opportunities.</x:v>
      </x:c>
      <x:c r="AD391" s="15" t="str">
        <x: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x:v>
      </x:c>
      <x:c r="AE391" s="15" t="str">
        <x:v>Unified RGM data layer integrating Vistex, RGM, GfK, RSD, and commercial data sources.</x:v>
      </x:c>
      <x:c r="AF391" s="15" t="str">
        <x:v>Teams will continue making manual, backward-looking decisions, resulting in sub-optimal promotional ROI, inefficient trade-spend allocation, delayed overspend visibility, and missed growth and margin opportunities. |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 Unified RGM data layer integrating Vistex, RGM, GfK, RSD, and commercial data sources.</x:v>
      </x:c>
      <x:c r="AG391" s="15" t="str">
        <x:v>Must Do</x:v>
      </x:c>
      <x:c r="AH391" s="15" t="n">
        <x:v>462</x:v>
      </x:c>
    </x:row>
    <x:row r="392">
      <x:c r="A392" s="15" t="str">
        <x:v>Bu-290</x:v>
      </x:c>
      <x:c r="B392" s="15" t="str">
        <x:v>AI Ready Product Intelligence Foundation (aka Product Content data factory )</x:v>
      </x:c>
      <x:c r="C392" s="15" t="str">
        <x:v>BU Led</x:v>
      </x:c>
      <x:c r="D392" s="15" t="str">
        <x:v>Personal Health (PH)</x:v>
      </x:c>
      <x:c r="E392" s="19" t="n">
        <x:v>1</x:v>
      </x:c>
      <x:c r="F392" s="19" t="n">
        <x:v>0</x:v>
      </x:c>
      <x:c r="G392" s="22" t="n">
        <x:f>IF(AND(E392&gt;0,ISNUMBER(F392)),F392/E392,"")</x:f>
        <x:v>0</x:v>
      </x:c>
      <x:c r="H392" s="15" t="str">
        <x:v>ROI-Based Portfolio</x:v>
      </x:c>
      <x:c r="I392" s="15" t="n">
        <x:v>90</x:v>
      </x:c>
      <x:c r="J392" s="15" t="n">
        <x:v>10</x:v>
      </x:c>
      <x:c r="K392" s="23" t="n">
        <x:f>IF(G392="",0,IF(G392&lt;1,0,IF(G392&lt;2,20,IF(G392&lt;3,30,IF(G392&lt;5,40,50)))))*'Scenario Controls'!$B$22/50</x:f>
        <x:v>0</x:v>
      </x:c>
      <x:c r="L392" s="23" t="n">
        <x:f>IF(ISNUMBER(SEARCH("Must Do",AG392)),25,IF(ISNUMBER(SEARCH("Must Have",AG392)),18,IF(ISNUMBER(SEARCH("Deprior",AG392)),5,0)))*'Scenario Controls'!$B$23/25</x:f>
        <x:v>25</x:v>
      </x:c>
      <x:c r="M392" s="23" t="n">
        <x:f>J392*'Scenario Controls'!$B$24/15</x:f>
        <x:v>10</x:v>
      </x:c>
      <x:c r="N392" s="23" t="n">
        <x:f>IF(ISNUMBER(SEARCH("HEALTHY",X392)),10,IF(ISNUMBER(SEARCH("CONTAIN",X392)),6,0))*'Scenario Controls'!$B$25/10</x:f>
        <x:v>0</x:v>
      </x:c>
      <x:c r="O392" s="23" t="n">
        <x:f>SUM(K392:N392)</x:f>
        <x:v>35</x:v>
      </x:c>
      <x:c r="P392" s="15" t="str">
        <x:f>IF(OR(B392="",E392&lt;=0),"Evidence missing / not eligible",IF(ISNUMBER(SEARCH("priority TBD",Y392)),"Evidence missing / not eligible",IF(AND(H392="Carryover",NOT(ISNUMBER(F392))),"Evidence missing / not eligible",IF(AND(H392="Carryover",G392&lt;'Scenario Controls'!$B$16),"Evidence missing / not eligible",IF(AND(H392="ROI-Based Portfolio",NOT(ISNUMBER(F392))),"Evidence missing / not eligible",IF(AND(H392="ROI-Based Portfolio",O392&lt;'Scenario Controls'!$B$20),"Evidence missing / not eligible","Eligible"))))))</x:f>
        <x:v>Evidence missing / not eligible</x:v>
      </x:c>
      <x:c r="Q392" s="19" t="n">
        <x:f>IF(P392&lt;&gt;"Eligible",0,IF(AND(SUMIFS($Q$5:Q391,$H$5:H391,H392)+E392&lt;=(IF(H392="LFR",'Scenario Controls'!$F$10,IF(H392="Sustain Engineering",'Scenario Controls'!$F$11,IF(H392="Hygiene",'Scenario Controls'!$F$12,1E+99))))*(1+'Scenario Controls'!$B$7),SUM($Q$5:Q391)+E392&lt;='Scenario Controls'!$B$6*(1+'Scenario Controls'!$B$7)),E392,0))</x:f>
        <x:v>0</x:v>
      </x:c>
      <x:c r="R392" s="24" t="str">
        <x:f>'BU Conference'!G221</x:f>
        <x:v>Automatic</x:v>
      </x:c>
      <x:c r="S392" s="24" t="str">
        <x:f>'BU Conference'!H221</x:f>
      </x:c>
      <x:c r="T392" s="19" t="n">
        <x:f>IF(R392="Exclude",0,IF(R392="Include",E392,Q392))</x:f>
        <x:v>0</x:v>
      </x:c>
      <x:c r="U392" s="15" t="str">
        <x:f>IF(T392&gt;0,"Funded",IF(P392="Eligible","Unfunded",P392))</x:f>
        <x:v>Evidence missing / not eligible</x:v>
      </x:c>
      <x:c r="V392" s="15" t="str">
        <x:f>IF(R392="Include","Conference inclusion: "&amp;S392,IF(R392="Exclude","Conference exclusion: "&amp;S392,IF(Q392&gt;0,H392&amp;" priority rank "&amp;I392&amp;"; whole initiative selected",P392)))</x:f>
        <x:v>Evidence missing / not eligible</x:v>
      </x:c>
      <x:c r="W392" s="15" t="str">
        <x:v>Bu!604</x:v>
      </x:c>
      <x:c r="X392" s="15" t="str"/>
      <x:c r="Y392" s="15" t="str"/>
      <x:c r="Z392" s="15" t="str">
        <x:v>AI Enablement</x:v>
      </x:c>
      <x:c r="AA392" s="15" t="str">
        <x:v>New Initiative</x:v>
      </x:c>
      <x:c r="AB392" s="15" t="str">
        <x:v>Innovation and Digital IT</x:v>
      </x:c>
      <x:c r="AC392" s="15" t="str">
        <x:v>Delay in priority use cases, including ecommerce sales and conversion uplift through improved PDP content, faster deployment of AI use cases, and improved visibility in AI-led discovery. Critical element of PH AI Game Plan</x:v>
      </x:c>
      <x:c r="AD392" s="15" t="str">
        <x:v>Build and scale the AI-ready Product Intelligence Foundation for Personal Health: a governed, reusable product knowledge layer that connects structured product, category, marketing, commercial, claims content into machine-readable assets.</x:v>
      </x:c>
      <x:c r="AE392" s="15" t="str">
        <x:v>Build and scale the AI-ready Product Intelligence Foundation as the first scaled implementation for multiple AI use cases.</x:v>
      </x:c>
      <x:c r="AF392" s="15" t="str">
        <x:v>Delay in priority use cases, including ecommerce sales and conversion uplift through improved PDP content, faster deployment of AI use cases, and improved visibility in AI-led discovery. Critical element of PH AI Game Plan | Build and scale the AI-ready Product Intelligence Foundation for Personal Health: a governed, reusable product knowledge layer that connects structured product, category, marketing, commercial, claims content into machine-readable assets. | Build and scale the AI-ready Product Intelligence Foundation as the first scaled implementation for multiple AI use cases.</x:v>
      </x:c>
      <x:c r="AG392" s="15" t="str">
        <x:v>Must Do</x:v>
      </x:c>
      <x:c r="AH392" s="15" t="n">
        <x:v>467</x:v>
      </x:c>
    </x:row>
    <x:row r="393">
      <x:c r="A393" s="15" t="str">
        <x:v>Bu-304</x:v>
      </x:c>
      <x:c r="B393" s="15" t="str">
        <x:v>Global Retail Content Accelerator (PXM)</x:v>
      </x:c>
      <x:c r="C393" s="15" t="str">
        <x:v>BU Led</x:v>
      </x:c>
      <x:c r="D393" s="15" t="str">
        <x:v>Personal Health (PH)</x:v>
      </x:c>
      <x:c r="E393" s="19" t="n">
        <x:v>0.58</x:v>
      </x:c>
      <x:c r="F393" s="19" t="n">
        <x:v>0</x:v>
      </x:c>
      <x:c r="G393" s="22" t="n">
        <x:f>IF(AND(E393&gt;0,ISNUMBER(F393)),F393/E393,"")</x:f>
        <x:v>0</x:v>
      </x:c>
      <x:c r="H393" s="15" t="str">
        <x:v>ROI-Based Portfolio</x:v>
      </x:c>
      <x:c r="I393" s="15" t="n">
        <x:v>91</x:v>
      </x:c>
      <x:c r="J393" s="15" t="n">
        <x:v>10</x:v>
      </x:c>
      <x:c r="K393" s="23" t="n">
        <x:f>IF(G393="",0,IF(G393&lt;1,0,IF(G393&lt;2,20,IF(G393&lt;3,30,IF(G393&lt;5,40,50)))))*'Scenario Controls'!$B$22/50</x:f>
        <x:v>0</x:v>
      </x:c>
      <x:c r="L393" s="23" t="n">
        <x:f>IF(ISNUMBER(SEARCH("Must Do",AG393)),25,IF(ISNUMBER(SEARCH("Must Have",AG393)),18,IF(ISNUMBER(SEARCH("Deprior",AG393)),5,0)))*'Scenario Controls'!$B$23/25</x:f>
        <x:v>25</x:v>
      </x:c>
      <x:c r="M393" s="23" t="n">
        <x:f>J393*'Scenario Controls'!$B$24/15</x:f>
        <x:v>10</x:v>
      </x:c>
      <x:c r="N393" s="23" t="n">
        <x:f>IF(ISNUMBER(SEARCH("HEALTHY",X393)),10,IF(ISNUMBER(SEARCH("CONTAIN",X393)),6,0))*'Scenario Controls'!$B$25/10</x:f>
        <x:v>0</x:v>
      </x:c>
      <x:c r="O393" s="23" t="n">
        <x:f>SUM(K393:N393)</x:f>
        <x:v>35</x:v>
      </x:c>
      <x:c r="P393" s="15" t="str">
        <x:f>IF(OR(B393="",E393&lt;=0),"Evidence missing / not eligible",IF(ISNUMBER(SEARCH("priority TBD",Y393)),"Evidence missing / not eligible",IF(AND(H393="Carryover",NOT(ISNUMBER(F393))),"Evidence missing / not eligible",IF(AND(H393="Carryover",G393&lt;'Scenario Controls'!$B$16),"Evidence missing / not eligible",IF(AND(H393="ROI-Based Portfolio",NOT(ISNUMBER(F393))),"Evidence missing / not eligible",IF(AND(H393="ROI-Based Portfolio",O393&lt;'Scenario Controls'!$B$20),"Evidence missing / not eligible","Eligible"))))))</x:f>
        <x:v>Evidence missing / not eligible</x:v>
      </x:c>
      <x:c r="Q393" s="19" t="n">
        <x:f>IF(P393&lt;&gt;"Eligible",0,IF(AND(SUMIFS($Q$5:Q392,$H$5:H392,H393)+E393&lt;=(IF(H393="LFR",'Scenario Controls'!$F$10,IF(H393="Sustain Engineering",'Scenario Controls'!$F$11,IF(H393="Hygiene",'Scenario Controls'!$F$12,1E+99))))*(1+'Scenario Controls'!$B$7),SUM($Q$5:Q392)+E393&lt;='Scenario Controls'!$B$6*(1+'Scenario Controls'!$B$7)),E393,0))</x:f>
        <x:v>0</x:v>
      </x:c>
      <x:c r="R393" s="24" t="str">
        <x:f>'BU Conference'!G222</x:f>
        <x:v>Automatic</x:v>
      </x:c>
      <x:c r="S393" s="24" t="str">
        <x:f>'BU Conference'!H222</x:f>
      </x:c>
      <x:c r="T393" s="19" t="n">
        <x:f>IF(R393="Exclude",0,IF(R393="Include",E393,Q393))</x:f>
        <x:v>0</x:v>
      </x:c>
      <x:c r="U393" s="15" t="str">
        <x:f>IF(T393&gt;0,"Funded",IF(P393="Eligible","Unfunded",P393))</x:f>
        <x:v>Evidence missing / not eligible</x:v>
      </x:c>
      <x:c r="V393" s="15" t="str">
        <x:f>IF(R393="Include","Conference inclusion: "&amp;S393,IF(R393="Exclude","Conference exclusion: "&amp;S393,IF(Q393&gt;0,H393&amp;" priority rank "&amp;I393&amp;"; whole initiative selected",P393)))</x:f>
        <x:v>Evidence missing / not eligible</x:v>
      </x:c>
      <x:c r="W393" s="15" t="str">
        <x:v>Bu!627</x:v>
      </x:c>
      <x:c r="X393" s="15" t="str"/>
      <x:c r="Y393" s="15" t="str"/>
      <x:c r="Z393" s="15" t="str">
        <x:v>New Technology</x:v>
      </x:c>
      <x:c r="AA393" s="15" t="str">
        <x:v>New Initiative</x:v>
      </x:c>
      <x:c r="AB393" s="15" t="str">
        <x:v>Innovation and Digital IT</x:v>
      </x:c>
      <x:c r="AC393" s="15" t="str">
        <x: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x:v>
      </x:c>
      <x:c r="AD393" s="15" t="str">
        <x: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x:v>
      </x:c>
      <x:c r="AE393" s="15" t="str">
        <x:v>Set-up and deployment PXM tool across our top 15* customers and relevant markets.</x:v>
      </x:c>
      <x:c r="AF393" s="15" t="str">
        <x: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 Set-up and deployment PXM tool across our top 15* customers and relevant markets.</x:v>
      </x:c>
      <x:c r="AG393" s="15" t="str">
        <x:v>Must Do</x:v>
      </x:c>
      <x:c r="AH393" s="15" t="n">
        <x:v>481</x:v>
      </x:c>
    </x:row>
    <x:row r="394">
      <x:c r="A394" s="15" t="str">
        <x:v>Bu-318</x:v>
      </x:c>
      <x:c r="B394" s="15" t="str">
        <x:v>Salsify to data lake integration</x:v>
      </x:c>
      <x:c r="C394" s="15" t="str">
        <x:v>BU Led</x:v>
      </x:c>
      <x:c r="D394" s="15" t="str">
        <x:v>Personal Health (PH)</x:v>
      </x:c>
      <x:c r="E394" s="19" t="n">
        <x:v>0.12</x:v>
      </x:c>
      <x:c r="F394" s="19" t="n">
        <x:v>0</x:v>
      </x:c>
      <x:c r="G394" s="22" t="n">
        <x:f>IF(AND(E394&gt;0,ISNUMBER(F394)),F394/E394,"")</x:f>
        <x:v>0</x:v>
      </x:c>
      <x:c r="H394" s="15" t="str">
        <x:v>ROI-Based Portfolio</x:v>
      </x:c>
      <x:c r="I394" s="15" t="n">
        <x:v>92</x:v>
      </x:c>
      <x:c r="J394" s="15" t="n">
        <x:v>10</x:v>
      </x:c>
      <x:c r="K394" s="23" t="n">
        <x:f>IF(G394="",0,IF(G394&lt;1,0,IF(G394&lt;2,20,IF(G394&lt;3,30,IF(G394&lt;5,40,50)))))*'Scenario Controls'!$B$22/50</x:f>
        <x:v>0</x:v>
      </x:c>
      <x:c r="L394" s="23" t="n">
        <x:f>IF(ISNUMBER(SEARCH("Must Do",AG394)),25,IF(ISNUMBER(SEARCH("Must Have",AG394)),18,IF(ISNUMBER(SEARCH("Deprior",AG394)),5,0)))*'Scenario Controls'!$B$23/25</x:f>
        <x:v>25</x:v>
      </x:c>
      <x:c r="M394" s="23" t="n">
        <x:f>J394*'Scenario Controls'!$B$24/15</x:f>
        <x:v>10</x:v>
      </x:c>
      <x:c r="N394" s="23" t="n">
        <x:f>IF(ISNUMBER(SEARCH("HEALTHY",X394)),10,IF(ISNUMBER(SEARCH("CONTAIN",X394)),6,0))*'Scenario Controls'!$B$25/10</x:f>
        <x:v>0</x:v>
      </x:c>
      <x:c r="O394" s="23" t="n">
        <x:f>SUM(K394:N394)</x:f>
        <x:v>35</x:v>
      </x:c>
      <x:c r="P394" s="15" t="str">
        <x:f>IF(OR(B394="",E394&lt;=0),"Evidence missing / not eligible",IF(ISNUMBER(SEARCH("priority TBD",Y394)),"Evidence missing / not eligible",IF(AND(H394="Carryover",NOT(ISNUMBER(F394))),"Evidence missing / not eligible",IF(AND(H394="Carryover",G394&lt;'Scenario Controls'!$B$16),"Evidence missing / not eligible",IF(AND(H394="ROI-Based Portfolio",NOT(ISNUMBER(F394))),"Evidence missing / not eligible",IF(AND(H394="ROI-Based Portfolio",O394&lt;'Scenario Controls'!$B$20),"Evidence missing / not eligible","Eligible"))))))</x:f>
        <x:v>Evidence missing / not eligible</x:v>
      </x:c>
      <x:c r="Q394" s="19" t="n">
        <x:f>IF(P394&lt;&gt;"Eligible",0,IF(AND(SUMIFS($Q$5:Q393,$H$5:H393,H394)+E394&lt;=(IF(H394="LFR",'Scenario Controls'!$F$10,IF(H394="Sustain Engineering",'Scenario Controls'!$F$11,IF(H394="Hygiene",'Scenario Controls'!$F$12,1E+99))))*(1+'Scenario Controls'!$B$7),SUM($Q$5:Q393)+E394&lt;='Scenario Controls'!$B$6*(1+'Scenario Controls'!$B$7)),E394,0))</x:f>
        <x:v>0</x:v>
      </x:c>
      <x:c r="R394" s="24" t="str">
        <x:f>'BU Conference'!G223</x:f>
        <x:v>Automatic</x:v>
      </x:c>
      <x:c r="S394" s="24" t="str">
        <x:f>'BU Conference'!H223</x:f>
      </x:c>
      <x:c r="T394" s="19" t="n">
        <x:f>IF(R394="Exclude",0,IF(R394="Include",E394,Q394))</x:f>
        <x:v>0</x:v>
      </x:c>
      <x:c r="U394" s="15" t="str">
        <x:f>IF(T394&gt;0,"Funded",IF(P394="Eligible","Unfunded",P394))</x:f>
        <x:v>Evidence missing / not eligible</x:v>
      </x:c>
      <x:c r="V394" s="15" t="str">
        <x:f>IF(R394="Include","Conference inclusion: "&amp;S394,IF(R394="Exclude","Conference exclusion: "&amp;S394,IF(Q394&gt;0,H394&amp;" priority rank "&amp;I394&amp;"; whole initiative selected",P394)))</x:f>
        <x:v>Evidence missing / not eligible</x:v>
      </x:c>
      <x:c r="W394" s="15" t="str">
        <x:v>Bu!647</x:v>
      </x:c>
      <x:c r="X394" s="15" t="str"/>
      <x:c r="Y394" s="15" t="str"/>
      <x:c r="Z394" s="15" t="str">
        <x:v>New Feature</x:v>
      </x:c>
      <x:c r="AA394" s="15" t="str">
        <x:v>New Initiative</x:v>
      </x:c>
      <x:c r="AB394" s="15" t="str">
        <x:v>Innovation and Digital IT</x:v>
      </x:c>
      <x:c r="AC394" s="15" t="str">
        <x:v>Risk Reduction</x:v>
      </x:c>
      <x:c r="AD394" s="15" t="str">
        <x:v>Support regional GEO initiatives by resolving gaps in product data completeness.</x:v>
      </x:c>
      <x:c r="AE394" s="15" t="str">
        <x:v>Highlight Key capabilities required, any new licenses required? / any new contract required? Need to capture in Salsify logistical data, safety and compliance data, battery information, feature callouts, quality of product life attributes, product compatibility, etc.</x:v>
      </x:c>
      <x:c r="AF394" s="15" t="str">
        <x:v>Risk Reduction | Support regional GEO initiatives by resolving gaps in product data completeness. | Highlight Key capabilities required, any new licenses required? / any new contract required? Need to capture in Salsify logistical data, safety and compliance data, battery information, feature callouts, quality of product life attributes, product compatibility, etc.</x:v>
      </x:c>
      <x:c r="AG394" s="15" t="str">
        <x:v>Must Do</x:v>
      </x:c>
      <x:c r="AH394" s="15" t="n">
        <x:v>495</x:v>
      </x:c>
    </x:row>
    <x:row r="395">
      <x:c r="A395" s="15" t="str">
        <x:v>Bu-325</x:v>
      </x:c>
      <x:c r="B395" s="15" t="str">
        <x:v>Hybris Feature Enhancements (Service Parts Capabilities, AI powered commerce, etc)</x:v>
      </x:c>
      <x:c r="C395" s="15" t="str">
        <x:v>BU Led</x:v>
      </x:c>
      <x:c r="D395" s="15" t="str">
        <x:v>CoE Marketing – HS (former DMEC)</x:v>
      </x:c>
      <x:c r="E395" s="19" t="n">
        <x:v>0.5</x:v>
      </x:c>
      <x:c r="F395" s="19" t="n">
        <x:v>0</x:v>
      </x:c>
      <x:c r="G395" s="22" t="n">
        <x:f>IF(AND(E395&gt;0,ISNUMBER(F395)),F395/E395,"")</x:f>
        <x:v>0</x:v>
      </x:c>
      <x:c r="H395" s="15" t="str">
        <x:v>ROI-Based Portfolio</x:v>
      </x:c>
      <x:c r="I395" s="15" t="n">
        <x:v>93</x:v>
      </x:c>
      <x:c r="J395" s="15" t="n">
        <x:v>10</x:v>
      </x:c>
      <x:c r="K395" s="23" t="n">
        <x:f>IF(G395="",0,IF(G395&lt;1,0,IF(G395&lt;2,20,IF(G395&lt;3,30,IF(G395&lt;5,40,50)))))*'Scenario Controls'!$B$22/50</x:f>
        <x:v>0</x:v>
      </x:c>
      <x:c r="L395" s="23" t="n">
        <x:f>IF(ISNUMBER(SEARCH("Must Do",AG395)),25,IF(ISNUMBER(SEARCH("Must Have",AG395)),18,IF(ISNUMBER(SEARCH("Deprior",AG395)),5,0)))*'Scenario Controls'!$B$23/25</x:f>
        <x:v>25</x:v>
      </x:c>
      <x:c r="M395" s="23" t="n">
        <x:f>J395*'Scenario Controls'!$B$24/15</x:f>
        <x:v>10</x:v>
      </x:c>
      <x:c r="N395" s="23" t="n">
        <x:f>IF(ISNUMBER(SEARCH("HEALTHY",X395)),10,IF(ISNUMBER(SEARCH("CONTAIN",X395)),6,0))*'Scenario Controls'!$B$25/10</x:f>
        <x:v>0</x:v>
      </x:c>
      <x:c r="O395" s="23" t="n">
        <x:f>SUM(K395:N395)</x:f>
        <x:v>35</x:v>
      </x:c>
      <x:c r="P395" s="15" t="str">
        <x:f>IF(OR(B395="",E395&lt;=0),"Evidence missing / not eligible",IF(ISNUMBER(SEARCH("priority TBD",Y395)),"Evidence missing / not eligible",IF(AND(H395="Carryover",NOT(ISNUMBER(F395))),"Evidence missing / not eligible",IF(AND(H395="Carryover",G395&lt;'Scenario Controls'!$B$16),"Evidence missing / not eligible",IF(AND(H395="ROI-Based Portfolio",NOT(ISNUMBER(F395))),"Evidence missing / not eligible",IF(AND(H395="ROI-Based Portfolio",O395&lt;'Scenario Controls'!$B$20),"Evidence missing / not eligible","Eligible"))))))</x:f>
        <x:v>Evidence missing / not eligible</x:v>
      </x:c>
      <x:c r="Q395" s="19" t="n">
        <x:f>IF(P395&lt;&gt;"Eligible",0,IF(AND(SUMIFS($Q$5:Q394,$H$5:H394,H395)+E395&lt;=(IF(H395="LFR",'Scenario Controls'!$F$10,IF(H395="Sustain Engineering",'Scenario Controls'!$F$11,IF(H395="Hygiene",'Scenario Controls'!$F$12,1E+99))))*(1+'Scenario Controls'!$B$7),SUM($Q$5:Q394)+E395&lt;='Scenario Controls'!$B$6*(1+'Scenario Controls'!$B$7)),E395,0))</x:f>
        <x:v>0</x:v>
      </x:c>
      <x:c r="R395" s="24" t="str">
        <x:f>'BU Conference'!G224</x:f>
        <x:v>Automatic</x:v>
      </x:c>
      <x:c r="S395" s="24" t="str">
        <x:f>'BU Conference'!H224</x:f>
      </x:c>
      <x:c r="T395" s="19" t="n">
        <x:f>IF(R395="Exclude",0,IF(R395="Include",E395,Q395))</x:f>
        <x:v>0</x:v>
      </x:c>
      <x:c r="U395" s="15" t="str">
        <x:f>IF(T395&gt;0,"Funded",IF(P395="Eligible","Unfunded",P395))</x:f>
        <x:v>Evidence missing / not eligible</x:v>
      </x:c>
      <x:c r="V395" s="15" t="str">
        <x:f>IF(R395="Include","Conference inclusion: "&amp;S395,IF(R395="Exclude","Conference exclusion: "&amp;S395,IF(Q395&gt;0,H395&amp;" priority rank "&amp;I395&amp;"; whole initiative selected",P395)))</x:f>
        <x:v>Evidence missing / not eligible</x:v>
      </x:c>
      <x:c r="W395" s="15" t="str">
        <x:v>Bu!662</x:v>
      </x:c>
      <x:c r="X395" s="15" t="str"/>
      <x:c r="Y395" s="15" t="str"/>
      <x:c r="Z395" s="15" t="str"/>
      <x:c r="AA395" s="15" t="str"/>
      <x:c r="AB395" s="15" t="str">
        <x:v>Innovation and Digital IT</x:v>
      </x:c>
      <x:c r="AC395" s="15" t="str">
        <x:v>Drive better customer purchase experience (OIT) - Revenue at risk without innovative solutions</x:v>
      </x:c>
      <x:c r="AD395" s="15" t="str">
        <x:v>Headless eComm now offers the opportunity to deploy innovative solutions and new features, like product bundling with promotions and services and personalized commerce experience. Without these features we continue to lose available OIT</x:v>
      </x:c>
      <x:c r="AE395" s="15" t="str">
        <x:v>Development and expansion of existing tools (COVEO) to support enhanced search, personalization, service part check-out, and other eCommerce features to drive increased order value and OIT</x:v>
      </x:c>
      <x:c r="AF395" s="15" t="str">
        <x:v>Drive better customer purchase experience (OIT) - Revenue at risk without innovative solutions | Headless eComm now offers the opportunity to deploy innovative solutions and new features, like product bundling with promotions and services and personalized commerce experience. Without these features we continue to lose available OIT | Development and expansion of existing tools (COVEO) to support enhanced search, personalization, service part check-out, and other eCommerce features to drive increased order value and OIT</x:v>
      </x:c>
      <x:c r="AG395" s="15" t="str">
        <x:v>Must Do</x:v>
      </x:c>
      <x:c r="AH395" s="15" t="n">
        <x:v>502</x:v>
      </x:c>
    </x:row>
    <x:row r="396">
      <x:c r="A396" s="15" t="str">
        <x:v>Bu-105</x:v>
      </x:c>
      <x:c r="B396" s="15" t="str">
        <x:v>QMS Roles Standardization (Lumen) and Job Catalog alignment</x:v>
      </x:c>
      <x:c r="C396" s="15" t="str">
        <x:v>BU Led</x:v>
      </x:c>
      <x:c r="D396" s="15" t="str">
        <x:v>Sleep &amp; Respiratory Care (SRC)</x:v>
      </x:c>
      <x:c r="E396" s="19" t="n">
        <x:v>0.04</x:v>
      </x:c>
      <x:c r="F396" s="19" t="n">
        <x:v>0</x:v>
      </x:c>
      <x:c r="G396" s="22" t="n">
        <x:f>IF(AND(E396&gt;0,ISNUMBER(F396)),F396/E396,"")</x:f>
        <x:v>0</x:v>
      </x:c>
      <x:c r="H396" s="15" t="str">
        <x:v>ROI-Based Portfolio</x:v>
      </x:c>
      <x:c r="I396" s="15" t="n">
        <x:v>94</x:v>
      </x:c>
      <x:c r="J396" s="15" t="n">
        <x:v>15</x:v>
      </x:c>
      <x:c r="K396" s="23" t="n">
        <x:f>IF(G396="",0,IF(G396&lt;1,0,IF(G396&lt;2,20,IF(G396&lt;3,30,IF(G396&lt;5,40,50)))))*'Scenario Controls'!$B$22/50</x:f>
        <x:v>0</x:v>
      </x:c>
      <x:c r="L396" s="23" t="n">
        <x:f>IF(ISNUMBER(SEARCH("Must Do",AG396)),25,IF(ISNUMBER(SEARCH("Must Have",AG396)),18,IF(ISNUMBER(SEARCH("Deprior",AG396)),5,0)))*'Scenario Controls'!$B$23/25</x:f>
        <x:v>18</x:v>
      </x:c>
      <x:c r="M396" s="23" t="n">
        <x:f>J396*'Scenario Controls'!$B$24/15</x:f>
        <x:v>15</x:v>
      </x:c>
      <x:c r="N396" s="23" t="n">
        <x:f>IF(ISNUMBER(SEARCH("HEALTHY",X396)),10,IF(ISNUMBER(SEARCH("CONTAIN",X396)),6,0))*'Scenario Controls'!$B$25/10</x:f>
        <x:v>0</x:v>
      </x:c>
      <x:c r="O396" s="23" t="n">
        <x:f>SUM(K396:N396)</x:f>
        <x:v>33</x:v>
      </x:c>
      <x:c r="P396" s="15" t="str">
        <x:f>IF(OR(B396="",E396&lt;=0),"Evidence missing / not eligible",IF(ISNUMBER(SEARCH("priority TBD",Y396)),"Evidence missing / not eligible",IF(AND(H396="Carryover",NOT(ISNUMBER(F396))),"Evidence missing / not eligible",IF(AND(H396="Carryover",G396&lt;'Scenario Controls'!$B$16),"Evidence missing / not eligible",IF(AND(H396="ROI-Based Portfolio",NOT(ISNUMBER(F396))),"Evidence missing / not eligible",IF(AND(H396="ROI-Based Portfolio",O396&lt;'Scenario Controls'!$B$20),"Evidence missing / not eligible","Eligible"))))))</x:f>
        <x:v>Evidence missing / not eligible</x:v>
      </x:c>
      <x:c r="Q396" s="19" t="n">
        <x:f>IF(P396&lt;&gt;"Eligible",0,IF(AND(SUMIFS($Q$5:Q395,$H$5:H395,H396)+E396&lt;=(IF(H396="LFR",'Scenario Controls'!$F$10,IF(H396="Sustain Engineering",'Scenario Controls'!$F$11,IF(H396="Hygiene",'Scenario Controls'!$F$12,1E+99))))*(1+'Scenario Controls'!$B$7),SUM($Q$5:Q395)+E396&lt;='Scenario Controls'!$B$6*(1+'Scenario Controls'!$B$7)),E396,0))</x:f>
        <x:v>0</x:v>
      </x:c>
      <x:c r="R396" s="24" t="str">
        <x:f>'BU Conference'!G225</x:f>
        <x:v>Automatic</x:v>
      </x:c>
      <x:c r="S396" s="24" t="str">
        <x:f>'BU Conference'!H225</x:f>
      </x:c>
      <x:c r="T396" s="19" t="n">
        <x:f>IF(R396="Exclude",0,IF(R396="Include",E396,Q396))</x:f>
        <x:v>0</x:v>
      </x:c>
      <x:c r="U396" s="15" t="str">
        <x:f>IF(T396&gt;0,"Funded",IF(P396="Eligible","Unfunded",P396))</x:f>
        <x:v>Evidence missing / not eligible</x:v>
      </x:c>
      <x:c r="V396" s="15" t="str">
        <x:f>IF(R396="Include","Conference inclusion: "&amp;S396,IF(R396="Exclude","Conference exclusion: "&amp;S396,IF(Q396&gt;0,H396&amp;" priority rank "&amp;I396&amp;"; whole initiative selected",P396)))</x:f>
        <x:v>Evidence missing / not eligible</x:v>
      </x:c>
      <x:c r="W396" s="15" t="str">
        <x:v>Bu!246</x:v>
      </x:c>
      <x:c r="X396" s="15" t="str"/>
      <x:c r="Y396" s="15" t="str"/>
      <x:c r="Z396" s="15" t="str">
        <x:v>Legal Fiscal, Regulatory &amp; Compliancy</x:v>
      </x:c>
      <x:c r="AA396" s="15" t="str">
        <x:v>New Initiative</x:v>
      </x:c>
      <x:c r="AB396" s="15" t="str"/>
      <x:c r="AC396" s="15" t="str">
        <x:v>Compliance impact</x:v>
      </x:c>
      <x:c r="AD396" s="15" t="str">
        <x:v>We need to participate in a global program</x:v>
      </x:c>
      <x:c r="AE396" s="15" t="str">
        <x:v>We need to participate in a global program</x:v>
      </x:c>
      <x:c r="AF396" s="15" t="str">
        <x:v>Compliance impact | We need to participate in a global program | We need to participate in a global program</x:v>
      </x:c>
      <x:c r="AG396" s="15" t="str">
        <x:v>Must Have</x:v>
      </x:c>
      <x:c r="AH396" s="15" t="n">
        <x:v>282</x:v>
      </x:c>
    </x:row>
    <x:row r="397">
      <x:c r="A397" s="15" t="str">
        <x:v>Bu-106</x:v>
      </x:c>
      <x:c r="B397" s="15" t="str">
        <x:v>Mammoth migration TEDS to Cornerstone (Wave 5)</x:v>
      </x:c>
      <x:c r="C397" s="15" t="str">
        <x:v>BU Led</x:v>
      </x:c>
      <x:c r="D397" s="15" t="str">
        <x:v>Sleep &amp; Respiratory Care (SRC)</x:v>
      </x:c>
      <x:c r="E397" s="19" t="n">
        <x:v>0.01</x:v>
      </x:c>
      <x:c r="F397" s="19" t="n">
        <x:v>0</x:v>
      </x:c>
      <x:c r="G397" s="22" t="n">
        <x:f>IF(AND(E397&gt;0,ISNUMBER(F397)),F397/E397,"")</x:f>
        <x:v>0</x:v>
      </x:c>
      <x:c r="H397" s="15" t="str">
        <x:v>ROI-Based Portfolio</x:v>
      </x:c>
      <x:c r="I397" s="15" t="n">
        <x:v>95</x:v>
      </x:c>
      <x:c r="J397" s="15" t="n">
        <x:v>15</x:v>
      </x:c>
      <x:c r="K397" s="23" t="n">
        <x:f>IF(G397="",0,IF(G397&lt;1,0,IF(G397&lt;2,20,IF(G397&lt;3,30,IF(G397&lt;5,40,50)))))*'Scenario Controls'!$B$22/50</x:f>
        <x:v>0</x:v>
      </x:c>
      <x:c r="L397" s="23" t="n">
        <x:f>IF(ISNUMBER(SEARCH("Must Do",AG397)),25,IF(ISNUMBER(SEARCH("Must Have",AG397)),18,IF(ISNUMBER(SEARCH("Deprior",AG397)),5,0)))*'Scenario Controls'!$B$23/25</x:f>
        <x:v>18</x:v>
      </x:c>
      <x:c r="M397" s="23" t="n">
        <x:f>J397*'Scenario Controls'!$B$24/15</x:f>
        <x:v>15</x:v>
      </x:c>
      <x:c r="N397" s="23" t="n">
        <x:f>IF(ISNUMBER(SEARCH("HEALTHY",X397)),10,IF(ISNUMBER(SEARCH("CONTAIN",X397)),6,0))*'Scenario Controls'!$B$25/10</x:f>
        <x:v>0</x:v>
      </x:c>
      <x:c r="O397" s="23" t="n">
        <x:f>SUM(K397:N397)</x:f>
        <x:v>33</x:v>
      </x:c>
      <x:c r="P397" s="15" t="str">
        <x:f>IF(OR(B397="",E397&lt;=0),"Evidence missing / not eligible",IF(ISNUMBER(SEARCH("priority TBD",Y397)),"Evidence missing / not eligible",IF(AND(H397="Carryover",NOT(ISNUMBER(F397))),"Evidence missing / not eligible",IF(AND(H397="Carryover",G397&lt;'Scenario Controls'!$B$16),"Evidence missing / not eligible",IF(AND(H397="ROI-Based Portfolio",NOT(ISNUMBER(F397))),"Evidence missing / not eligible",IF(AND(H397="ROI-Based Portfolio",O397&lt;'Scenario Controls'!$B$20),"Evidence missing / not eligible","Eligible"))))))</x:f>
        <x:v>Evidence missing / not eligible</x:v>
      </x:c>
      <x:c r="Q397" s="19" t="n">
        <x:f>IF(P397&lt;&gt;"Eligible",0,IF(AND(SUMIFS($Q$5:Q396,$H$5:H396,H397)+E397&lt;=(IF(H397="LFR",'Scenario Controls'!$F$10,IF(H397="Sustain Engineering",'Scenario Controls'!$F$11,IF(H397="Hygiene",'Scenario Controls'!$F$12,1E+99))))*(1+'Scenario Controls'!$B$7),SUM($Q$5:Q396)+E397&lt;='Scenario Controls'!$B$6*(1+'Scenario Controls'!$B$7)),E397,0))</x:f>
        <x:v>0</x:v>
      </x:c>
      <x:c r="R397" s="24" t="str">
        <x:f>'BU Conference'!G226</x:f>
        <x:v>Automatic</x:v>
      </x:c>
      <x:c r="S397" s="24" t="str">
        <x:f>'BU Conference'!H226</x:f>
      </x:c>
      <x:c r="T397" s="19" t="n">
        <x:f>IF(R397="Exclude",0,IF(R397="Include",E397,Q397))</x:f>
        <x:v>0</x:v>
      </x:c>
      <x:c r="U397" s="15" t="str">
        <x:f>IF(T397&gt;0,"Funded",IF(P397="Eligible","Unfunded",P397))</x:f>
        <x:v>Evidence missing / not eligible</x:v>
      </x:c>
      <x:c r="V397" s="15" t="str">
        <x:f>IF(R397="Include","Conference inclusion: "&amp;S397,IF(R397="Exclude","Conference exclusion: "&amp;S397,IF(Q397&gt;0,H397&amp;" priority rank "&amp;I397&amp;"; whole initiative selected",P397)))</x:f>
        <x:v>Evidence missing / not eligible</x:v>
      </x:c>
      <x:c r="W397" s="15" t="str">
        <x:v>Bu!247</x:v>
      </x:c>
      <x:c r="X397" s="15" t="str"/>
      <x:c r="Y397" s="15" t="str"/>
      <x:c r="Z397" s="15" t="str">
        <x:v>Legal Fiscal, Regulatory &amp; Compliancy</x:v>
      </x:c>
      <x:c r="AA397" s="15" t="str">
        <x:v>New Initiative</x:v>
      </x:c>
      <x:c r="AB397" s="15" t="str"/>
      <x:c r="AC397" s="15" t="str">
        <x:v>Compliance impact</x:v>
      </x:c>
      <x:c r="AD397" s="15" t="str">
        <x:v>We need to participate in a global program</x:v>
      </x:c>
      <x:c r="AE397" s="15" t="str">
        <x:v>We need to participate in a global program</x:v>
      </x:c>
      <x:c r="AF397" s="15" t="str">
        <x:v>Compliance impact | We need to participate in a global program | We need to participate in a global program</x:v>
      </x:c>
      <x:c r="AG397" s="15" t="str">
        <x:v>Must Have</x:v>
      </x:c>
      <x:c r="AH397" s="15" t="n">
        <x:v>283</x:v>
      </x:c>
    </x:row>
    <x:row r="398">
      <x:c r="A398" s="15" t="str">
        <x:v>Bu-247</x:v>
      </x:c>
      <x:c r="B398" s="15" t="str">
        <x:v>MES features in factories</x:v>
      </x:c>
      <x:c r="C398" s="15" t="str">
        <x:v>BU Led</x:v>
      </x:c>
      <x:c r="D398" s="15" t="str">
        <x:v>Precision Diagnosis - Magnetic Resonance (MR)</x:v>
      </x:c>
      <x:c r="E398" s="19" t="n">
        <x:v>0.2</x:v>
      </x:c>
      <x:c r="F398" s="19" t="n">
        <x:v>0</x:v>
      </x:c>
      <x:c r="G398" s="22" t="n">
        <x:f>IF(AND(E398&gt;0,ISNUMBER(F398)),F398/E398,"")</x:f>
        <x:v>0</x:v>
      </x:c>
      <x:c r="H398" s="15" t="str">
        <x:v>ROI-Based Portfolio</x:v>
      </x:c>
      <x:c r="I398" s="15" t="n">
        <x:v>96</x:v>
      </x:c>
      <x:c r="J398" s="15" t="n">
        <x:v>5</x:v>
      </x:c>
      <x:c r="K398" s="23" t="n">
        <x:f>IF(G398="",0,IF(G398&lt;1,0,IF(G398&lt;2,20,IF(G398&lt;3,30,IF(G398&lt;5,40,50)))))*'Scenario Controls'!$B$22/50</x:f>
        <x:v>0</x:v>
      </x:c>
      <x:c r="L398" s="23" t="n">
        <x:f>IF(ISNUMBER(SEARCH("Must Do",AG398)),25,IF(ISNUMBER(SEARCH("Must Have",AG398)),18,IF(ISNUMBER(SEARCH("Deprior",AG398)),5,0)))*'Scenario Controls'!$B$23/25</x:f>
        <x:v>18</x:v>
      </x:c>
      <x:c r="M398" s="23" t="n">
        <x:f>J398*'Scenario Controls'!$B$24/15</x:f>
        <x:v>5</x:v>
      </x:c>
      <x:c r="N398" s="23" t="n">
        <x:f>IF(ISNUMBER(SEARCH("HEALTHY",X398)),10,IF(ISNUMBER(SEARCH("CONTAIN",X398)),6,0))*'Scenario Controls'!$B$25/10</x:f>
        <x:v>10</x:v>
      </x:c>
      <x:c r="O398" s="23" t="n">
        <x:f>SUM(K398:N398)</x:f>
        <x:v>33</x:v>
      </x:c>
      <x:c r="P398" s="15" t="str">
        <x:f>IF(OR(B398="",E398&lt;=0),"Evidence missing / not eligible",IF(ISNUMBER(SEARCH("priority TBD",Y398)),"Evidence missing / not eligible",IF(AND(H398="Carryover",NOT(ISNUMBER(F398))),"Evidence missing / not eligible",IF(AND(H398="Carryover",G398&lt;'Scenario Controls'!$B$16),"Evidence missing / not eligible",IF(AND(H398="ROI-Based Portfolio",NOT(ISNUMBER(F398))),"Evidence missing / not eligible",IF(AND(H398="ROI-Based Portfolio",O398&lt;'Scenario Controls'!$B$20),"Evidence missing / not eligible","Eligible"))))))</x:f>
        <x:v>Evidence missing / not eligible</x:v>
      </x:c>
      <x:c r="Q398" s="19" t="n">
        <x:f>IF(P398&lt;&gt;"Eligible",0,IF(AND(SUMIFS($Q$5:Q397,$H$5:H397,H398)+E398&lt;=(IF(H398="LFR",'Scenario Controls'!$F$10,IF(H398="Sustain Engineering",'Scenario Controls'!$F$11,IF(H398="Hygiene",'Scenario Controls'!$F$12,1E+99))))*(1+'Scenario Controls'!$B$7),SUM($Q$5:Q397)+E398&lt;='Scenario Controls'!$B$6*(1+'Scenario Controls'!$B$7)),E398,0))</x:f>
        <x:v>0</x:v>
      </x:c>
      <x:c r="R398" s="24" t="str">
        <x:f>'BU Conference'!G227</x:f>
        <x:v>Automatic</x:v>
      </x:c>
      <x:c r="S398" s="24" t="str">
        <x:f>'BU Conference'!H227</x:f>
      </x:c>
      <x:c r="T398" s="19" t="n">
        <x:f>IF(R398="Exclude",0,IF(R398="Include",E398,Q398))</x:f>
        <x:v>0</x:v>
      </x:c>
      <x:c r="U398" s="15" t="str">
        <x:f>IF(T398&gt;0,"Funded",IF(P398="Eligible","Unfunded",P398))</x:f>
        <x:v>Evidence missing / not eligible</x:v>
      </x:c>
      <x:c r="V398" s="15" t="str">
        <x:f>IF(R398="Include","Conference inclusion: "&amp;S398,IF(R398="Exclude","Conference exclusion: "&amp;S398,IF(Q398&gt;0,H398&amp;" priority rank "&amp;I398&amp;"; whole initiative selected",P398)))</x:f>
        <x:v>Evidence missing / not eligible</x:v>
      </x:c>
      <x:c r="W398" s="15" t="str">
        <x:v>Bu!555</x:v>
      </x:c>
      <x:c r="X398" s="15" t="str">
        <x:v>HEALTHY</x:v>
      </x:c>
      <x:c r="Y398" s="15" t="str">
        <x:v>HEALTHY — Rank in priority matrix</x:v>
      </x:c>
      <x:c r="Z398" s="15" t="str">
        <x:v>New Feature</x:v>
      </x:c>
      <x:c r="AA398" s="15" t="str">
        <x:v>New Initiative</x:v>
      </x:c>
      <x:c r="AB398" s="15" t="str">
        <x:v>Integrated Supply Chain &amp; Finance</x:v>
      </x:c>
      <x:c r="AC398" s="15" t="str"/>
      <x:c r="AD398" s="15" t="str"/>
      <x:c r="AE398" s="15" t="str">
        <x:v>Upgrade hasn’t happened over last couple of years, and new features are available for manufacturing capabilitis</x:v>
      </x:c>
      <x:c r="AF398" s="15" t="str">
        <x:v>Upgrade hasn’t happened over last couple of years, and new features are available for manufacturing capabilitis</x:v>
      </x:c>
      <x:c r="AG398" s="15" t="str">
        <x:v>Must Have</x:v>
      </x:c>
      <x:c r="AH398" s="15" t="n">
        <x:v>427</x:v>
      </x:c>
    </x:row>
    <x:row r="399">
      <x:c r="A399" s="15" t="str">
        <x:v>EW-02</x:v>
      </x:c>
      <x:c r="B399" s="15" t="str">
        <x:v>D-Lit Automation</x:v>
      </x:c>
      <x:c r="C399" s="15" t="str">
        <x:v>EW Led</x:v>
      </x:c>
      <x:c r="D399" s="15" t="str">
        <x:v>SusTaining Engg. Team (STET - ISC)</x:v>
      </x:c>
      <x:c r="E399" s="19" t="n">
        <x:v>0.04</x:v>
      </x:c>
      <x:c r="F399" s="19" t="n">
        <x:v>0</x:v>
      </x:c>
      <x:c r="G399" s="22" t="n">
        <x:f>IF(AND(E399&gt;0,ISNUMBER(F399)),F399/E399,"")</x:f>
        <x:v>0</x:v>
      </x:c>
      <x:c r="H399" s="15" t="str">
        <x:v>ROI-Based Portfolio</x:v>
      </x:c>
      <x:c r="I399" s="15" t="n">
        <x:v>97</x:v>
      </x:c>
      <x:c r="J399" s="15" t="n">
        <x:v>5</x:v>
      </x:c>
      <x:c r="K399" s="23" t="n">
        <x:f>IF(G399="",0,IF(G399&lt;1,0,IF(G399&lt;2,20,IF(G399&lt;3,30,IF(G399&lt;5,40,50)))))*'Scenario Controls'!$B$22/50</x:f>
        <x:v>0</x:v>
      </x:c>
      <x:c r="L399" s="23" t="n">
        <x:f>IF(ISNUMBER(SEARCH("Must Do",AG399)),25,IF(ISNUMBER(SEARCH("Must Have",AG399)),18,IF(ISNUMBER(SEARCH("Deprior",AG399)),5,0)))*'Scenario Controls'!$B$23/25</x:f>
        <x:v>18</x:v>
      </x:c>
      <x:c r="M399" s="23" t="n">
        <x:f>J399*'Scenario Controls'!$B$24/15</x:f>
        <x:v>5</x:v>
      </x:c>
      <x:c r="N399" s="23" t="n">
        <x:f>IF(ISNUMBER(SEARCH("HEALTHY",X399)),10,IF(ISNUMBER(SEARCH("CONTAIN",X399)),6,0))*'Scenario Controls'!$B$25/10</x:f>
        <x:v>10</x:v>
      </x:c>
      <x:c r="O399" s="23" t="n">
        <x:f>SUM(K399:N399)</x:f>
        <x:v>33</x:v>
      </x:c>
      <x:c r="P399" s="15" t="str">
        <x:f>IF(OR(B399="",E399&lt;=0),"Evidence missing / not eligible",IF(ISNUMBER(SEARCH("priority TBD",Y399)),"Evidence missing / not eligible",IF(AND(H399="Carryover",NOT(ISNUMBER(F399))),"Evidence missing / not eligible",IF(AND(H399="Carryover",G399&lt;'Scenario Controls'!$B$16),"Evidence missing / not eligible",IF(AND(H399="ROI-Based Portfolio",NOT(ISNUMBER(F399))),"Evidence missing / not eligible",IF(AND(H399="ROI-Based Portfolio",O399&lt;'Scenario Controls'!$B$20),"Evidence missing / not eligible","Eligible"))))))</x:f>
        <x:v>Evidence missing / not eligible</x:v>
      </x:c>
      <x:c r="Q399" s="19" t="n">
        <x:f>IF(P399&lt;&gt;"Eligible",0,IF(AND(SUMIFS($Q$5:Q398,$H$5:H398,H399)+E399&lt;=(IF(H399="LFR",'Scenario Controls'!$F$10,IF(H399="Sustain Engineering",'Scenario Controls'!$F$11,IF(H399="Hygiene",'Scenario Controls'!$F$12,1E+99))))*(1+'Scenario Controls'!$B$7),SUM($Q$5:Q398)+E399&lt;='Scenario Controls'!$B$6*(1+'Scenario Controls'!$B$7)),E399,0))</x:f>
        <x:v>0</x:v>
      </x:c>
      <x:c r="R399" s="24" t="str">
        <x:f>'EW Conference'!G177</x:f>
        <x:v>Automatic</x:v>
      </x:c>
      <x:c r="S399" s="24" t="str">
        <x:f>'EW Conference'!H177</x:f>
      </x:c>
      <x:c r="T399" s="19" t="n">
        <x:f>IF(R399="Exclude",0,IF(R399="Include",E399,Q399))</x:f>
        <x:v>0</x:v>
      </x:c>
      <x:c r="U399" s="15" t="str">
        <x:f>IF(T399&gt;0,"Funded",IF(P399="Eligible","Unfunded",P399))</x:f>
        <x:v>Evidence missing / not eligible</x:v>
      </x:c>
      <x:c r="V399" s="15" t="str">
        <x:f>IF(R399="Include","Conference inclusion: "&amp;S399,IF(R399="Exclude","Conference exclusion: "&amp;S399,IF(Q399&gt;0,H399&amp;" priority rank "&amp;I399&amp;"; whole initiative selected",P399)))</x:f>
        <x:v>Evidence missing / not eligible</x:v>
      </x:c>
      <x:c r="W399" s="15" t="str">
        <x:v>EW!5</x:v>
      </x:c>
      <x:c r="X399" s="15" t="str">
        <x:v>HEALTHY</x:v>
      </x:c>
      <x:c r="Y399" s="15" t="str">
        <x:v>HEALTHY — Rank in priority matrix</x:v>
      </x:c>
      <x:c r="Z399" s="15" t="str">
        <x:v>AI Enablement</x:v>
      </x:c>
      <x:c r="AA399" s="15" t="str">
        <x:v>New Initiative</x:v>
      </x:c>
      <x:c r="AB399" s="15" t="str">
        <x:v>Innovation and Digital IT</x:v>
      </x:c>
      <x:c r="AC399" s="15" t="str">
        <x:v>ensure controlled, traceable compliance reporting</x:v>
      </x:c>
      <x:c r="AD399" s="15" t="str">
        <x:v>D-Lit Automation tool, which consolidates data from systems such as Windchill, SAP, and SPS Dashboard to answer key engineering and business queries. To support compliance and Global Trade requirements, the tool needs access to approved DMR data.</x:v>
      </x:c>
      <x:c r="AE399" s="15" t="str">
        <x:v>We are developing the D-Lit Automation tool, which consolidates data from systems such as Windchill, SAP, and SPS Dashboard to answer key engineering and business queries. To support compliance and Global Trade requirements, the tool needs access to approved DMR data.</x:v>
      </x:c>
      <x:c r="AF399" s="15" t="str">
        <x:v>ensure controlled, traceable compliance reporting | D-Lit Automation tool, which consolidates data from systems such as Windchill, SAP, and SPS Dashboard to answer key engineering and business queries. To support compliance and Global Trade requirements, the tool needs access to approved DMR data. | We are developing the D-Lit Automation tool, which consolidates data from systems such as Windchill, SAP, and SPS Dashboard to answer key engineering and business queries. To support compliance and Global Trade requirements, the tool needs access to approved DMR data.</x:v>
      </x:c>
      <x:c r="AG399" s="15" t="str">
        <x:v>Must Have</x:v>
      </x:c>
      <x:c r="AH399" s="15" t="n">
        <x:v>7</x:v>
      </x:c>
    </x:row>
    <x:row r="400">
      <x:c r="A400" s="15" t="str">
        <x:v>EW-18</x:v>
      </x:c>
      <x:c r="B400" s="15" t="str">
        <x:v>Establish a future-ready AI powered foundation for Compliance Learning Ecosystem</x:v>
      </x:c>
      <x:c r="C400" s="15" t="str">
        <x:v>EW Led</x:v>
      </x:c>
      <x:c r="D400" s="15" t="str">
        <x:v>Patient Safety &amp; Quality</x:v>
      </x:c>
      <x:c r="E400" s="19" t="n">
        <x:v>0.25</x:v>
      </x:c>
      <x:c r="F400" s="19" t="n">
        <x:v>0</x:v>
      </x:c>
      <x:c r="G400" s="22" t="n">
        <x:f>IF(AND(E400&gt;0,ISNUMBER(F400)),F400/E400,"")</x:f>
        <x:v>0</x:v>
      </x:c>
      <x:c r="H400" s="15" t="str">
        <x:v>ROI-Based Portfolio</x:v>
      </x:c>
      <x:c r="I400" s="15" t="n">
        <x:v>98</x:v>
      </x:c>
      <x:c r="J400" s="15" t="n">
        <x:v>5</x:v>
      </x:c>
      <x:c r="K400" s="23" t="n">
        <x:f>IF(G400="",0,IF(G400&lt;1,0,IF(G400&lt;2,20,IF(G400&lt;3,30,IF(G400&lt;5,40,50)))))*'Scenario Controls'!$B$22/50</x:f>
        <x:v>0</x:v>
      </x:c>
      <x:c r="L400" s="23" t="n">
        <x:f>IF(ISNUMBER(SEARCH("Must Do",AG400)),25,IF(ISNUMBER(SEARCH("Must Have",AG400)),18,IF(ISNUMBER(SEARCH("Deprior",AG400)),5,0)))*'Scenario Controls'!$B$23/25</x:f>
        <x:v>18</x:v>
      </x:c>
      <x:c r="M400" s="23" t="n">
        <x:f>J400*'Scenario Controls'!$B$24/15</x:f>
        <x:v>5</x:v>
      </x:c>
      <x:c r="N400" s="23" t="n">
        <x:f>IF(ISNUMBER(SEARCH("HEALTHY",X400)),10,IF(ISNUMBER(SEARCH("CONTAIN",X400)),6,0))*'Scenario Controls'!$B$25/10</x:f>
        <x:v>10</x:v>
      </x:c>
      <x:c r="O400" s="23" t="n">
        <x:f>SUM(K400:N400)</x:f>
        <x:v>33</x:v>
      </x:c>
      <x:c r="P400" s="15" t="str">
        <x:f>IF(OR(B400="",E400&lt;=0),"Evidence missing / not eligible",IF(ISNUMBER(SEARCH("priority TBD",Y400)),"Evidence missing / not eligible",IF(AND(H400="Carryover",NOT(ISNUMBER(F400))),"Evidence missing / not eligible",IF(AND(H400="Carryover",G400&lt;'Scenario Controls'!$B$16),"Evidence missing / not eligible",IF(AND(H400="ROI-Based Portfolio",NOT(ISNUMBER(F400))),"Evidence missing / not eligible",IF(AND(H400="ROI-Based Portfolio",O400&lt;'Scenario Controls'!$B$20),"Evidence missing / not eligible","Eligible"))))))</x:f>
        <x:v>Evidence missing / not eligible</x:v>
      </x:c>
      <x:c r="Q400" s="19" t="n">
        <x:f>IF(P400&lt;&gt;"Eligible",0,IF(AND(SUMIFS($Q$5:Q399,$H$5:H399,H400)+E400&lt;=(IF(H400="LFR",'Scenario Controls'!$F$10,IF(H400="Sustain Engineering",'Scenario Controls'!$F$11,IF(H400="Hygiene",'Scenario Controls'!$F$12,1E+99))))*(1+'Scenario Controls'!$B$7),SUM($Q$5:Q399)+E400&lt;='Scenario Controls'!$B$6*(1+'Scenario Controls'!$B$7)),E400,0))</x:f>
        <x:v>0</x:v>
      </x:c>
      <x:c r="R400" s="24" t="str">
        <x:f>'EW Conference'!G178</x:f>
        <x:v>Automatic</x:v>
      </x:c>
      <x:c r="S400" s="24" t="str">
        <x:f>'EW Conference'!H178</x:f>
      </x:c>
      <x:c r="T400" s="19" t="n">
        <x:f>IF(R400="Exclude",0,IF(R400="Include",E400,Q400))</x:f>
        <x:v>0</x:v>
      </x:c>
      <x:c r="U400" s="15" t="str">
        <x:f>IF(T400&gt;0,"Funded",IF(P400="Eligible","Unfunded",P400))</x:f>
        <x:v>Evidence missing / not eligible</x:v>
      </x:c>
      <x:c r="V400" s="15" t="str">
        <x:f>IF(R400="Include","Conference inclusion: "&amp;S400,IF(R400="Exclude","Conference exclusion: "&amp;S400,IF(Q400&gt;0,H400&amp;" priority rank "&amp;I400&amp;"; whole initiative selected",P400)))</x:f>
        <x:v>Evidence missing / not eligible</x:v>
      </x:c>
      <x:c r="W400" s="15" t="str">
        <x:v>EW!21</x:v>
      </x:c>
      <x:c r="X400" s="15" t="str">
        <x:v>HEALTHY</x:v>
      </x:c>
      <x:c r="Y400" s="15" t="str">
        <x:v>HEALTHY — Rank in priority matrix</x:v>
      </x:c>
      <x:c r="Z400" s="15" t="str">
        <x:v>AI Enablement</x:v>
      </x:c>
      <x:c r="AA400" s="15" t="str">
        <x:v>New Initiative</x:v>
      </x:c>
      <x:c r="AB400" s="15" t="str">
        <x:v>Group Functions &amp; Hyperautomation IT</x:v>
      </x:c>
      <x:c r="AC400" s="15" t="str">
        <x:v>potential operational efficiency..No known #s</x:v>
      </x:c>
      <x:c r="AD400" s="15" t="str">
        <x:v>AI can be leveraged to enhance learning experience</x:v>
      </x:c>
      <x:c r="AE400" s="15" t="str">
        <x:v>Complete learning architectural landscape supported through MCP connections to improve learning experience</x:v>
      </x:c>
      <x:c r="AF400" s="15" t="str">
        <x:v>potential operational efficiency..No known #s | AI can be leveraged to enhance learning experience | Complete learning architectural landscape supported through MCP connections to improve learning experience</x:v>
      </x:c>
      <x:c r="AG400" s="15" t="str">
        <x:v>Must Have</x:v>
      </x:c>
      <x:c r="AH400" s="15" t="n">
        <x:v>23</x:v>
      </x:c>
    </x:row>
    <x:row r="401">
      <x:c r="A401" s="15" t="str">
        <x:v>EW-105</x:v>
      </x:c>
      <x:c r="B401" s="15" t="str">
        <x:v>Listening</x:v>
      </x:c>
      <x:c r="C401" s="15" t="str">
        <x:v>EW Led</x:v>
      </x:c>
      <x:c r="D401" s="15" t="str">
        <x:v>People function</x:v>
      </x:c>
      <x:c r="E401" s="19" t="n">
        <x:v>0.3</x:v>
      </x:c>
      <x:c r="F401" s="19" t="n">
        <x:v>0</x:v>
      </x:c>
      <x:c r="G401" s="22" t="n">
        <x:f>IF(AND(E401&gt;0,ISNUMBER(F401)),F401/E401,"")</x:f>
        <x:v>0</x:v>
      </x:c>
      <x:c r="H401" s="15" t="str">
        <x:v>ROI-Based Portfolio</x:v>
      </x:c>
      <x:c r="I401" s="15" t="n">
        <x:v>99</x:v>
      </x:c>
      <x:c r="J401" s="15" t="n">
        <x:v>5</x:v>
      </x:c>
      <x:c r="K401" s="23" t="n">
        <x:f>IF(G401="",0,IF(G401&lt;1,0,IF(G401&lt;2,20,IF(G401&lt;3,30,IF(G401&lt;5,40,50)))))*'Scenario Controls'!$B$22/50</x:f>
        <x:v>0</x:v>
      </x:c>
      <x:c r="L401" s="23" t="n">
        <x:f>IF(ISNUMBER(SEARCH("Must Do",AG401)),25,IF(ISNUMBER(SEARCH("Must Have",AG401)),18,IF(ISNUMBER(SEARCH("Deprior",AG401)),5,0)))*'Scenario Controls'!$B$23/25</x:f>
        <x:v>18</x:v>
      </x:c>
      <x:c r="M401" s="23" t="n">
        <x:f>J401*'Scenario Controls'!$B$24/15</x:f>
        <x:v>5</x:v>
      </x:c>
      <x:c r="N401" s="23" t="n">
        <x:f>IF(ISNUMBER(SEARCH("HEALTHY",X401)),10,IF(ISNUMBER(SEARCH("CONTAIN",X401)),6,0))*'Scenario Controls'!$B$25/10</x:f>
        <x:v>10</x:v>
      </x:c>
      <x:c r="O401" s="23" t="n">
        <x:f>SUM(K401:N401)</x:f>
        <x:v>33</x:v>
      </x:c>
      <x:c r="P401" s="15" t="str">
        <x:f>IF(OR(B401="",E401&lt;=0),"Evidence missing / not eligible",IF(ISNUMBER(SEARCH("priority TBD",Y401)),"Evidence missing / not eligible",IF(AND(H401="Carryover",NOT(ISNUMBER(F401))),"Evidence missing / not eligible",IF(AND(H401="Carryover",G401&lt;'Scenario Controls'!$B$16),"Evidence missing / not eligible",IF(AND(H401="ROI-Based Portfolio",NOT(ISNUMBER(F401))),"Evidence missing / not eligible",IF(AND(H401="ROI-Based Portfolio",O401&lt;'Scenario Controls'!$B$20),"Evidence missing / not eligible","Eligible"))))))</x:f>
        <x:v>Evidence missing / not eligible</x:v>
      </x:c>
      <x:c r="Q401" s="19" t="n">
        <x:f>IF(P401&lt;&gt;"Eligible",0,IF(AND(SUMIFS($Q$5:Q400,$H$5:H400,H401)+E401&lt;=(IF(H401="LFR",'Scenario Controls'!$F$10,IF(H401="Sustain Engineering",'Scenario Controls'!$F$11,IF(H401="Hygiene",'Scenario Controls'!$F$12,1E+99))))*(1+'Scenario Controls'!$B$7),SUM($Q$5:Q400)+E401&lt;='Scenario Controls'!$B$6*(1+'Scenario Controls'!$B$7)),E401,0))</x:f>
        <x:v>0</x:v>
      </x:c>
      <x:c r="R401" s="24" t="str">
        <x:f>'EW Conference'!G179</x:f>
        <x:v>Automatic</x:v>
      </x:c>
      <x:c r="S401" s="24" t="str">
        <x:f>'EW Conference'!H179</x:f>
      </x:c>
      <x:c r="T401" s="19" t="n">
        <x:f>IF(R401="Exclude",0,IF(R401="Include",E401,Q401))</x:f>
        <x:v>0</x:v>
      </x:c>
      <x:c r="U401" s="15" t="str">
        <x:f>IF(T401&gt;0,"Funded",IF(P401="Eligible","Unfunded",P401))</x:f>
        <x:v>Evidence missing / not eligible</x:v>
      </x:c>
      <x:c r="V401" s="15" t="str">
        <x:f>IF(R401="Include","Conference inclusion: "&amp;S401,IF(R401="Exclude","Conference exclusion: "&amp;S401,IF(Q401&gt;0,H401&amp;" priority rank "&amp;I401&amp;"; whole initiative selected",P401)))</x:f>
        <x:v>Evidence missing / not eligible</x:v>
      </x:c>
      <x:c r="W401" s="15" t="str">
        <x:v>EW!101</x:v>
      </x:c>
      <x:c r="X401" s="15" t="str">
        <x:v>HEALTHY</x:v>
      </x:c>
      <x:c r="Y401" s="15" t="str">
        <x:v>HEALTHY — Rank in priority matrix</x:v>
      </x:c>
      <x:c r="Z401" s="15" t="str">
        <x:v>New Technology</x:v>
      </x:c>
      <x:c r="AA401" s="15" t="str">
        <x:v>New Initiative</x:v>
      </x:c>
      <x:c r="AB401" s="15" t="str">
        <x:v>Group Functions &amp; Hyperautomation IT</x:v>
      </x:c>
      <x:c r="AC401" s="15" t="str">
        <x:v>Strategic priorities of PF will not be met.</x:v>
      </x:c>
      <x:c r="AD401" s="15" t="str">
        <x:v>Unify listening insights, potentially with the Engagement Survey.</x:v>
      </x:c>
      <x:c r="AE401" s="15" t="str">
        <x:v>Combine all listening data and roll out Philips Voice globally.</x:v>
      </x:c>
      <x:c r="AF401" s="15" t="str">
        <x:v>Strategic priorities of PF will not be met. | Unify listening insights, potentially with the Engagement Survey. | Combine all listening data and roll out Philips Voice globally.</x:v>
      </x:c>
      <x:c r="AG401" s="15" t="str">
        <x:v>Must Have</x:v>
      </x:c>
      <x:c r="AH401" s="15" t="n">
        <x:v>103</x:v>
      </x:c>
    </x:row>
    <x:row r="402">
      <x:c r="A402" s="15" t="str">
        <x:v>EW-116</x:v>
      </x:c>
      <x:c r="B402" s="15" t="str">
        <x:v>Installbase and Quoting AI Productivity - NAM</x:v>
      </x:c>
      <x:c r="C402" s="15" t="str">
        <x:v>EW Led</x:v>
      </x:c>
      <x:c r="D402" s="15" t="str">
        <x:v>Information Technology</x:v>
      </x:c>
      <x:c r="E402" s="19" t="n">
        <x:v>0.5</x:v>
      </x:c>
      <x:c r="F402" s="19" t="n">
        <x:v>0</x:v>
      </x:c>
      <x:c r="G402" s="22" t="n">
        <x:f>IF(AND(E402&gt;0,ISNUMBER(F402)),F402/E402,"")</x:f>
        <x:v>0</x:v>
      </x:c>
      <x:c r="H402" s="15" t="str">
        <x:v>ROI-Based Portfolio</x:v>
      </x:c>
      <x:c r="I402" s="15" t="n">
        <x:v>100</x:v>
      </x:c>
      <x:c r="J402" s="15" t="n">
        <x:v>5</x:v>
      </x:c>
      <x:c r="K402" s="23" t="n">
        <x:f>IF(G402="",0,IF(G402&lt;1,0,IF(G402&lt;2,20,IF(G402&lt;3,30,IF(G402&lt;5,40,50)))))*'Scenario Controls'!$B$22/50</x:f>
        <x:v>0</x:v>
      </x:c>
      <x:c r="L402" s="23" t="n">
        <x:f>IF(ISNUMBER(SEARCH("Must Do",AG402)),25,IF(ISNUMBER(SEARCH("Must Have",AG402)),18,IF(ISNUMBER(SEARCH("Deprior",AG402)),5,0)))*'Scenario Controls'!$B$23/25</x:f>
        <x:v>18</x:v>
      </x:c>
      <x:c r="M402" s="23" t="n">
        <x:f>J402*'Scenario Controls'!$B$24/15</x:f>
        <x:v>5</x:v>
      </x:c>
      <x:c r="N402" s="23" t="n">
        <x:f>IF(ISNUMBER(SEARCH("HEALTHY",X402)),10,IF(ISNUMBER(SEARCH("CONTAIN",X402)),6,0))*'Scenario Controls'!$B$25/10</x:f>
        <x:v>10</x:v>
      </x:c>
      <x:c r="O402" s="23" t="n">
        <x:f>SUM(K402:N402)</x:f>
        <x:v>33</x:v>
      </x:c>
      <x:c r="P402" s="15" t="str">
        <x:f>IF(OR(B402="",E402&lt;=0),"Evidence missing / not eligible",IF(ISNUMBER(SEARCH("priority TBD",Y402)),"Evidence missing / not eligible",IF(AND(H402="Carryover",NOT(ISNUMBER(F402))),"Evidence missing / not eligible",IF(AND(H402="Carryover",G402&lt;'Scenario Controls'!$B$16),"Evidence missing / not eligible",IF(AND(H402="ROI-Based Portfolio",NOT(ISNUMBER(F402))),"Evidence missing / not eligible",IF(AND(H402="ROI-Based Portfolio",O402&lt;'Scenario Controls'!$B$20),"Evidence missing / not eligible","Eligible"))))))</x:f>
        <x:v>Evidence missing / not eligible</x:v>
      </x:c>
      <x:c r="Q402" s="19" t="n">
        <x:f>IF(P402&lt;&gt;"Eligible",0,IF(AND(SUMIFS($Q$5:Q401,$H$5:H401,H402)+E402&lt;=(IF(H402="LFR",'Scenario Controls'!$F$10,IF(H402="Sustain Engineering",'Scenario Controls'!$F$11,IF(H402="Hygiene",'Scenario Controls'!$F$12,1E+99))))*(1+'Scenario Controls'!$B$7),SUM($Q$5:Q401)+E402&lt;='Scenario Controls'!$B$6*(1+'Scenario Controls'!$B$7)),E402,0))</x:f>
        <x:v>0</x:v>
      </x:c>
      <x:c r="R402" s="24" t="str">
        <x:f>'EW Conference'!G180</x:f>
        <x:v>Automatic</x:v>
      </x:c>
      <x:c r="S402" s="24" t="str">
        <x:f>'EW Conference'!H180</x:f>
      </x:c>
      <x:c r="T402" s="19" t="n">
        <x:f>IF(R402="Exclude",0,IF(R402="Include",E402,Q402))</x:f>
        <x:v>0</x:v>
      </x:c>
      <x:c r="U402" s="15" t="str">
        <x:f>IF(T402&gt;0,"Funded",IF(P402="Eligible","Unfunded",P402))</x:f>
        <x:v>Evidence missing / not eligible</x:v>
      </x:c>
      <x:c r="V402" s="15" t="str">
        <x:f>IF(R402="Include","Conference inclusion: "&amp;S402,IF(R402="Exclude","Conference exclusion: "&amp;S402,IF(Q402&gt;0,H402&amp;" priority rank "&amp;I402&amp;"; whole initiative selected",P402)))</x:f>
        <x:v>Evidence missing / not eligible</x:v>
      </x:c>
      <x:c r="W402" s="15" t="str">
        <x:v>EW!112</x:v>
      </x:c>
      <x:c r="X402" s="15" t="str">
        <x:v>HEALTHY</x:v>
      </x:c>
      <x:c r="Y402" s="15" t="str">
        <x:v>HEALTHY — Rank in priority matrix</x:v>
      </x:c>
      <x:c r="Z402" s="15" t="str">
        <x:v>AI Enablement</x:v>
      </x:c>
      <x:c r="AA402" s="15" t="str">
        <x:v>New Initiative</x:v>
      </x:c>
      <x:c r="AB402" s="15" t="str">
        <x:v>Commercial IT</x:v>
      </x:c>
      <x:c r="AC402" s="15" t="str">
        <x:v>Sales productivity improvement</x:v>
      </x:c>
      <x:c r="AD402" s="15" t="str"/>
      <x:c r="AE402" s="15" t="str"/>
      <x:c r="AF402" s="15" t="str">
        <x:v>Sales productivity improvement</x:v>
      </x:c>
      <x:c r="AG402" s="15" t="str">
        <x:v>Must Have</x:v>
      </x:c>
      <x:c r="AH402" s="15" t="n">
        <x:v>114</x:v>
      </x:c>
    </x:row>
    <x:row r="403">
      <x:c r="A403" s="15" t="str">
        <x:v>Bu-135</x:v>
      </x:c>
      <x:c r="B403" s="15" t="str">
        <x:v>Sensei Onboarding Regions and Products</x:v>
      </x:c>
      <x:c r="C403" s="15" t="str">
        <x:v>BU Led</x:v>
      </x:c>
      <x:c r="D403" s="15" t="str">
        <x:v>Enterprise Informatics (EI)</x:v>
      </x:c>
      <x:c r="E403" s="19" t="n">
        <x:v>0.75</x:v>
      </x:c>
      <x:c r="F403" s="19" t="n">
        <x:v>0.5</x:v>
      </x:c>
      <x:c r="G403" s="22" t="n">
        <x:f>IF(AND(E403&gt;0,ISNUMBER(F403)),F403/E403,"")</x:f>
        <x:v>0.6666666666666666</x:v>
      </x:c>
      <x:c r="H403" s="15" t="str">
        <x:v>ROI-Based Portfolio</x:v>
      </x:c>
      <x:c r="I403" s="15" t="n">
        <x:v>101</x:v>
      </x:c>
      <x:c r="J403" s="15" t="n">
        <x:v>5</x:v>
      </x:c>
      <x:c r="K403" s="23" t="n">
        <x:f>IF(G403="",0,IF(G403&lt;1,0,IF(G403&lt;2,20,IF(G403&lt;3,30,IF(G403&lt;5,40,50)))))*'Scenario Controls'!$B$22/50</x:f>
        <x:v>0</x:v>
      </x:c>
      <x:c r="L403" s="23" t="n">
        <x:f>IF(ISNUMBER(SEARCH("Must Do",AG403)),25,IF(ISNUMBER(SEARCH("Must Have",AG403)),18,IF(ISNUMBER(SEARCH("Deprior",AG403)),5,0)))*'Scenario Controls'!$B$23/25</x:f>
        <x:v>25</x:v>
      </x:c>
      <x:c r="M403" s="23" t="n">
        <x:f>J403*'Scenario Controls'!$B$24/15</x:f>
        <x:v>5</x:v>
      </x:c>
      <x:c r="N403" s="23" t="n">
        <x:f>IF(ISNUMBER(SEARCH("HEALTHY",X403)),10,IF(ISNUMBER(SEARCH("CONTAIN",X403)),6,0))*'Scenario Controls'!$B$25/10</x:f>
        <x:v>0</x:v>
      </x:c>
      <x:c r="O403" s="23" t="n">
        <x:f>SUM(K403:N403)</x:f>
        <x:v>30</x:v>
      </x:c>
      <x:c r="P403" s="15" t="str">
        <x:f>IF(OR(B403="",E403&lt;=0),"Evidence missing / not eligible",IF(ISNUMBER(SEARCH("priority TBD",Y403)),"Evidence missing / not eligible",IF(AND(H403="Carryover",NOT(ISNUMBER(F403))),"Evidence missing / not eligible",IF(AND(H403="Carryover",G403&lt;'Scenario Controls'!$B$16),"Evidence missing / not eligible",IF(AND(H403="ROI-Based Portfolio",NOT(ISNUMBER(F403))),"Evidence missing / not eligible",IF(AND(H403="ROI-Based Portfolio",O403&lt;'Scenario Controls'!$B$20),"Evidence missing / not eligible","Eligible"))))))</x:f>
        <x:v>Evidence missing / not eligible</x:v>
      </x:c>
      <x:c r="Q403" s="19" t="n">
        <x:f>IF(P403&lt;&gt;"Eligible",0,IF(AND(SUMIFS($Q$5:Q402,$H$5:H402,H403)+E403&lt;=(IF(H403="LFR",'Scenario Controls'!$F$10,IF(H403="Sustain Engineering",'Scenario Controls'!$F$11,IF(H403="Hygiene",'Scenario Controls'!$F$12,1E+99))))*(1+'Scenario Controls'!$B$7),SUM($Q$5:Q402)+E403&lt;='Scenario Controls'!$B$6*(1+'Scenario Controls'!$B$7)),E403,0))</x:f>
        <x:v>0</x:v>
      </x:c>
      <x:c r="R403" s="24" t="str">
        <x:f>'BU Conference'!G228</x:f>
        <x:v>Automatic</x:v>
      </x:c>
      <x:c r="S403" s="24" t="str">
        <x:f>'BU Conference'!H228</x:f>
      </x:c>
      <x:c r="T403" s="19" t="n">
        <x:f>IF(R403="Exclude",0,IF(R403="Include",E403,Q403))</x:f>
        <x:v>0</x:v>
      </x:c>
      <x:c r="U403" s="15" t="str">
        <x:f>IF(T403&gt;0,"Funded",IF(P403="Eligible","Unfunded",P403))</x:f>
        <x:v>Evidence missing / not eligible</x:v>
      </x:c>
      <x:c r="V403" s="15" t="str">
        <x:f>IF(R403="Include","Conference inclusion: "&amp;S403,IF(R403="Exclude","Conference exclusion: "&amp;S403,IF(Q403&gt;0,H403&amp;" priority rank "&amp;I403&amp;"; whole initiative selected",P403)))</x:f>
        <x:v>Evidence missing / not eligible</x:v>
      </x:c>
      <x:c r="W403" s="15" t="str">
        <x:v>Bu!327</x:v>
      </x:c>
      <x:c r="X403" s="15" t="str"/>
      <x:c r="Y403" s="15" t="str"/>
      <x:c r="Z403" s="15" t="str">
        <x:v>AI Enablement</x:v>
      </x:c>
      <x:c r="AA403" s="15" t="str">
        <x:v>New Initiative</x:v>
      </x:c>
      <x:c r="AB403" s="15" t="str">
        <x:v>Commercial IT</x:v>
      </x:c>
      <x:c r="AC403" s="15" t="str"/>
      <x:c r="AD403" s="15" t="str">
        <x:v>Onboard II &amp; CI on from legacy systems on to AI enabled Quoting and order management system</x:v>
      </x:c>
      <x:c r="AE403" s="15" t="str">
        <x:v>NAR RI CPI and CVI Renewals</x:v>
      </x:c>
      <x:c r="AF403" s="15" t="str">
        <x:v>Onboard II &amp; CI on from legacy systems on to AI enabled Quoting and order management system | NAR RI CPI and CVI Renewals</x:v>
      </x:c>
      <x:c r="AG403" s="15" t="str">
        <x:v>Must Do</x:v>
      </x:c>
      <x:c r="AH403" s="15" t="n">
        <x:v>312</x:v>
      </x:c>
    </x:row>
    <x:row r="404">
      <x:c r="A404" s="15" t="str">
        <x:v>Bu-145</x:v>
      </x:c>
      <x:c r="B404" s="15" t="str">
        <x:v>Service Now: Agentic Workspace for Service &amp; Demand- and Skills-Based Workforce Orchestration</x:v>
      </x:c>
      <x:c r="C404" s="15" t="str">
        <x:v>BU Led</x:v>
      </x:c>
      <x:c r="D404" s="15" t="str">
        <x:v>Enterprise Informatics (EI)</x:v>
      </x:c>
      <x:c r="E404" s="19" t="n">
        <x:v>0.75</x:v>
      </x:c>
      <x:c r="F404" s="19" t="n">
        <x:v>0.5</x:v>
      </x:c>
      <x:c r="G404" s="22" t="n">
        <x:f>IF(AND(E404&gt;0,ISNUMBER(F404)),F404/E404,"")</x:f>
        <x:v>0.6666666666666666</x:v>
      </x:c>
      <x:c r="H404" s="15" t="str">
        <x:v>ROI-Based Portfolio</x:v>
      </x:c>
      <x:c r="I404" s="15" t="n">
        <x:v>102</x:v>
      </x:c>
      <x:c r="J404" s="15" t="n">
        <x:v>5</x:v>
      </x:c>
      <x:c r="K404" s="23" t="n">
        <x:f>IF(G404="",0,IF(G404&lt;1,0,IF(G404&lt;2,20,IF(G404&lt;3,30,IF(G404&lt;5,40,50)))))*'Scenario Controls'!$B$22/50</x:f>
        <x:v>0</x:v>
      </x:c>
      <x:c r="L404" s="23" t="n">
        <x:f>IF(ISNUMBER(SEARCH("Must Do",AG404)),25,IF(ISNUMBER(SEARCH("Must Have",AG404)),18,IF(ISNUMBER(SEARCH("Deprior",AG404)),5,0)))*'Scenario Controls'!$B$23/25</x:f>
        <x:v>25</x:v>
      </x:c>
      <x:c r="M404" s="23" t="n">
        <x:f>J404*'Scenario Controls'!$B$24/15</x:f>
        <x:v>5</x:v>
      </x:c>
      <x:c r="N404" s="23" t="n">
        <x:f>IF(ISNUMBER(SEARCH("HEALTHY",X404)),10,IF(ISNUMBER(SEARCH("CONTAIN",X404)),6,0))*'Scenario Controls'!$B$25/10</x:f>
        <x:v>0</x:v>
      </x:c>
      <x:c r="O404" s="23" t="n">
        <x:f>SUM(K404:N404)</x:f>
        <x:v>30</x:v>
      </x:c>
      <x:c r="P404" s="15" t="str">
        <x:f>IF(OR(B404="",E404&lt;=0),"Evidence missing / not eligible",IF(ISNUMBER(SEARCH("priority TBD",Y404)),"Evidence missing / not eligible",IF(AND(H404="Carryover",NOT(ISNUMBER(F404))),"Evidence missing / not eligible",IF(AND(H404="Carryover",G404&lt;'Scenario Controls'!$B$16),"Evidence missing / not eligible",IF(AND(H404="ROI-Based Portfolio",NOT(ISNUMBER(F404))),"Evidence missing / not eligible",IF(AND(H404="ROI-Based Portfolio",O404&lt;'Scenario Controls'!$B$20),"Evidence missing / not eligible","Eligible"))))))</x:f>
        <x:v>Evidence missing / not eligible</x:v>
      </x:c>
      <x:c r="Q404" s="19" t="n">
        <x:f>IF(P404&lt;&gt;"Eligible",0,IF(AND(SUMIFS($Q$5:Q403,$H$5:H403,H404)+E404&lt;=(IF(H404="LFR",'Scenario Controls'!$F$10,IF(H404="Sustain Engineering",'Scenario Controls'!$F$11,IF(H404="Hygiene",'Scenario Controls'!$F$12,1E+99))))*(1+'Scenario Controls'!$B$7),SUM($Q$5:Q403)+E404&lt;='Scenario Controls'!$B$6*(1+'Scenario Controls'!$B$7)),E404,0))</x:f>
        <x:v>0</x:v>
      </x:c>
      <x:c r="R404" s="24" t="str">
        <x:f>'BU Conference'!G229</x:f>
        <x:v>Automatic</x:v>
      </x:c>
      <x:c r="S404" s="24" t="str">
        <x:f>'BU Conference'!H229</x:f>
      </x:c>
      <x:c r="T404" s="19" t="n">
        <x:f>IF(R404="Exclude",0,IF(R404="Include",E404,Q404))</x:f>
        <x:v>0</x:v>
      </x:c>
      <x:c r="U404" s="15" t="str">
        <x:f>IF(T404&gt;0,"Funded",IF(P404="Eligible","Unfunded",P404))</x:f>
        <x:v>Evidence missing / not eligible</x:v>
      </x:c>
      <x:c r="V404" s="15" t="str">
        <x:f>IF(R404="Include","Conference inclusion: "&amp;S404,IF(R404="Exclude","Conference exclusion: "&amp;S404,IF(Q404&gt;0,H404&amp;" priority rank "&amp;I404&amp;"; whole initiative selected",P404)))</x:f>
        <x:v>Evidence missing / not eligible</x:v>
      </x:c>
      <x:c r="W404" s="15" t="str">
        <x:v>Bu!345</x:v>
      </x:c>
      <x:c r="X404" s="15" t="str"/>
      <x:c r="Y404" s="15" t="str"/>
      <x:c r="Z404" s="15" t="str">
        <x:v>AI Enablement</x:v>
      </x:c>
      <x:c r="AA404" s="15" t="str">
        <x:v>New Initiative</x:v>
      </x:c>
      <x:c r="AB404" s="15" t="str">
        <x:v>Commercial IT</x:v>
      </x:c>
      <x:c r="AC404" s="15" t="str"/>
      <x:c r="AD404" s="15" t="str"/>
      <x:c r="AE404" s="15" t="str">
        <x: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x:v>
      </x:c>
      <x:c r="AF404" s="15" t="str">
        <x: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x:v>
      </x:c>
      <x:c r="AG404" s="15" t="str">
        <x:v>Must Do</x:v>
      </x:c>
      <x:c r="AH404" s="15" t="n">
        <x:v>322</x:v>
      </x:c>
    </x:row>
    <x:row r="405">
      <x:c r="A405" s="15" t="str">
        <x:v>Bu-261</x:v>
      </x:c>
      <x:c r="B405" s="15" t="str">
        <x:v>WMS for (Factory) Warehouses</x:v>
      </x:c>
      <x:c r="C405" s="15" t="str">
        <x:v>BU Led</x:v>
      </x:c>
      <x:c r="D405" s="15" t="str">
        <x:v>Image Guided Therapy - Devices (IGT-D)</x:v>
      </x:c>
      <x:c r="E405" s="19" t="n">
        <x:v>0.8</x:v>
      </x:c>
      <x:c r="F405" s="19" t="n">
        <x:v>0.0022</x:v>
      </x:c>
      <x:c r="G405" s="22" t="n">
        <x:f>IF(AND(E405&gt;0,ISNUMBER(F405)),F405/E405,"")</x:f>
        <x:v>0.00275</x:v>
      </x:c>
      <x:c r="H405" s="15" t="str">
        <x:v>ROI-Based Portfolio</x:v>
      </x:c>
      <x:c r="I405" s="15" t="n">
        <x:v>103</x:v>
      </x:c>
      <x:c r="J405" s="15" t="n">
        <x:v>5</x:v>
      </x:c>
      <x:c r="K405" s="23" t="n">
        <x:f>IF(G405="",0,IF(G405&lt;1,0,IF(G405&lt;2,20,IF(G405&lt;3,30,IF(G405&lt;5,40,50)))))*'Scenario Controls'!$B$22/50</x:f>
        <x:v>0</x:v>
      </x:c>
      <x:c r="L405" s="23" t="n">
        <x:f>IF(ISNUMBER(SEARCH("Must Do",AG405)),25,IF(ISNUMBER(SEARCH("Must Have",AG405)),18,IF(ISNUMBER(SEARCH("Deprior",AG405)),5,0)))*'Scenario Controls'!$B$23/25</x:f>
        <x:v>25</x:v>
      </x:c>
      <x:c r="M405" s="23" t="n">
        <x:f>J405*'Scenario Controls'!$B$24/15</x:f>
        <x:v>5</x:v>
      </x:c>
      <x:c r="N405" s="23" t="n">
        <x:f>IF(ISNUMBER(SEARCH("HEALTHY",X405)),10,IF(ISNUMBER(SEARCH("CONTAIN",X405)),6,0))*'Scenario Controls'!$B$25/10</x:f>
        <x:v>0</x:v>
      </x:c>
      <x:c r="O405" s="23" t="n">
        <x:f>SUM(K405:N405)</x:f>
        <x:v>30</x:v>
      </x:c>
      <x:c r="P405" s="15" t="str">
        <x:f>IF(OR(B405="",E405&lt;=0),"Evidence missing / not eligible",IF(ISNUMBER(SEARCH("priority TBD",Y405)),"Evidence missing / not eligible",IF(AND(H405="Carryover",NOT(ISNUMBER(F405))),"Evidence missing / not eligible",IF(AND(H405="Carryover",G405&lt;'Scenario Controls'!$B$16),"Evidence missing / not eligible",IF(AND(H405="ROI-Based Portfolio",NOT(ISNUMBER(F405))),"Evidence missing / not eligible",IF(AND(H405="ROI-Based Portfolio",O405&lt;'Scenario Controls'!$B$20),"Evidence missing / not eligible","Eligible"))))))</x:f>
        <x:v>Evidence missing / not eligible</x:v>
      </x:c>
      <x:c r="Q405" s="19" t="n">
        <x:f>IF(P405&lt;&gt;"Eligible",0,IF(AND(SUMIFS($Q$5:Q404,$H$5:H404,H405)+E405&lt;=(IF(H405="LFR",'Scenario Controls'!$F$10,IF(H405="Sustain Engineering",'Scenario Controls'!$F$11,IF(H405="Hygiene",'Scenario Controls'!$F$12,1E+99))))*(1+'Scenario Controls'!$B$7),SUM($Q$5:Q404)+E405&lt;='Scenario Controls'!$B$6*(1+'Scenario Controls'!$B$7)),E405,0))</x:f>
        <x:v>0</x:v>
      </x:c>
      <x:c r="R405" s="24" t="str">
        <x:f>'BU Conference'!G230</x:f>
        <x:v>Automatic</x:v>
      </x:c>
      <x:c r="S405" s="24" t="str">
        <x:f>'BU Conference'!H230</x:f>
      </x:c>
      <x:c r="T405" s="19" t="n">
        <x:f>IF(R405="Exclude",0,IF(R405="Include",E405,Q405))</x:f>
        <x:v>0</x:v>
      </x:c>
      <x:c r="U405" s="15" t="str">
        <x:f>IF(T405&gt;0,"Funded",IF(P405="Eligible","Unfunded",P405))</x:f>
        <x:v>Evidence missing / not eligible</x:v>
      </x:c>
      <x:c r="V405" s="15" t="str">
        <x:f>IF(R405="Include","Conference inclusion: "&amp;S405,IF(R405="Exclude","Conference exclusion: "&amp;S405,IF(Q405&gt;0,H405&amp;" priority rank "&amp;I405&amp;"; whole initiative selected",P405)))</x:f>
        <x:v>Evidence missing / not eligible</x:v>
      </x:c>
      <x:c r="W405" s="15" t="str">
        <x:v>Bu!569</x:v>
      </x:c>
      <x:c r="X405" s="15" t="str"/>
      <x:c r="Y405" s="15" t="str"/>
      <x:c r="Z405" s="15" t="str">
        <x:v>New Technology</x:v>
      </x:c>
      <x:c r="AA405" s="15" t="str">
        <x:v>New Initiative</x:v>
      </x:c>
      <x:c r="AB405" s="15" t="str">
        <x:v>Integrated Supply Chain &amp; Finance</x:v>
      </x:c>
      <x:c r="AC405" s="15" t="str"/>
      <x:c r="AD405" s="15" t="str">
        <x:v>A modern WMS unlocks real-time inventory visibility, stronger traceability, optimized material flow, greater automation, and scalable warehouse capabilities to support IGTD’s future factory and digital supply chain strategy.</x:v>
      </x:c>
      <x:c r="AE405" s="15" t="str">
        <x:v>Supporting improved efficiency, raw materials availability, scrap avoidance</x:v>
      </x:c>
      <x:c r="AF405" s="15" t="str">
        <x:v>A modern WMS unlocks real-time inventory visibility, stronger traceability, optimized material flow, greater automation, and scalable warehouse capabilities to support IGTD’s future factory and digital supply chain strategy. | Supporting improved efficiency, raw materials availability, scrap avoidance</x:v>
      </x:c>
      <x:c r="AG405" s="15" t="str">
        <x:v>Must Do</x:v>
      </x:c>
      <x:c r="AH405" s="15" t="n">
        <x:v>441</x:v>
      </x:c>
    </x:row>
    <x:row r="406">
      <x:c r="A406" s="15" t="str">
        <x:v>Bu-130</x:v>
      </x:c>
      <x:c r="B406" s="15" t="str">
        <x:v>LEM: LEM Onboarding and Change Requests</x:v>
      </x:c>
      <x:c r="C406" s="15" t="str">
        <x:v>BU Led</x:v>
      </x:c>
      <x:c r="D406" s="15" t="str">
        <x:v>Enterprise Informatics (EI)</x:v>
      </x:c>
      <x:c r="E406" s="19" t="n">
        <x:v>0.35</x:v>
      </x:c>
      <x:c r="F406" s="19" t="n">
        <x:v>0</x:v>
      </x:c>
      <x:c r="G406" s="22" t="n">
        <x:f>IF(AND(E406&gt;0,ISNUMBER(F406)),F406/E406,"")</x:f>
        <x:v>0</x:v>
      </x:c>
      <x:c r="H406" s="15" t="str">
        <x:v>ROI-Based Portfolio</x:v>
      </x:c>
      <x:c r="I406" s="15" t="n">
        <x:v>104</x:v>
      </x:c>
      <x:c r="J406" s="15" t="n">
        <x:v>5</x:v>
      </x:c>
      <x:c r="K406" s="23" t="n">
        <x:f>IF(G406="",0,IF(G406&lt;1,0,IF(G406&lt;2,20,IF(G406&lt;3,30,IF(G406&lt;5,40,50)))))*'Scenario Controls'!$B$22/50</x:f>
        <x:v>0</x:v>
      </x:c>
      <x:c r="L406" s="23" t="n">
        <x:f>IF(ISNUMBER(SEARCH("Must Do",AG406)),25,IF(ISNUMBER(SEARCH("Must Have",AG406)),18,IF(ISNUMBER(SEARCH("Deprior",AG406)),5,0)))*'Scenario Controls'!$B$23/25</x:f>
        <x:v>25</x:v>
      </x:c>
      <x:c r="M406" s="23" t="n">
        <x:f>J406*'Scenario Controls'!$B$24/15</x:f>
        <x:v>5</x:v>
      </x:c>
      <x:c r="N406" s="23" t="n">
        <x:f>IF(ISNUMBER(SEARCH("HEALTHY",X406)),10,IF(ISNUMBER(SEARCH("CONTAIN",X406)),6,0))*'Scenario Controls'!$B$25/10</x:f>
        <x:v>0</x:v>
      </x:c>
      <x:c r="O406" s="23" t="n">
        <x:f>SUM(K406:N406)</x:f>
        <x:v>30</x:v>
      </x:c>
      <x:c r="P406" s="15" t="str">
        <x:f>IF(OR(B406="",E406&lt;=0),"Evidence missing / not eligible",IF(ISNUMBER(SEARCH("priority TBD",Y406)),"Evidence missing / not eligible",IF(AND(H406="Carryover",NOT(ISNUMBER(F406))),"Evidence missing / not eligible",IF(AND(H406="Carryover",G406&lt;'Scenario Controls'!$B$16),"Evidence missing / not eligible",IF(AND(H406="ROI-Based Portfolio",NOT(ISNUMBER(F406))),"Evidence missing / not eligible",IF(AND(H406="ROI-Based Portfolio",O406&lt;'Scenario Controls'!$B$20),"Evidence missing / not eligible","Eligible"))))))</x:f>
        <x:v>Evidence missing / not eligible</x:v>
      </x:c>
      <x:c r="Q406" s="19" t="n">
        <x:f>IF(P406&lt;&gt;"Eligible",0,IF(AND(SUMIFS($Q$5:Q405,$H$5:H405,H406)+E406&lt;=(IF(H406="LFR",'Scenario Controls'!$F$10,IF(H406="Sustain Engineering",'Scenario Controls'!$F$11,IF(H406="Hygiene",'Scenario Controls'!$F$12,1E+99))))*(1+'Scenario Controls'!$B$7),SUM($Q$5:Q405)+E406&lt;='Scenario Controls'!$B$6*(1+'Scenario Controls'!$B$7)),E406,0))</x:f>
        <x:v>0</x:v>
      </x:c>
      <x:c r="R406" s="24" t="str">
        <x:f>'BU Conference'!G231</x:f>
        <x:v>Automatic</x:v>
      </x:c>
      <x:c r="S406" s="24" t="str">
        <x:f>'BU Conference'!H231</x:f>
      </x:c>
      <x:c r="T406" s="19" t="n">
        <x:f>IF(R406="Exclude",0,IF(R406="Include",E406,Q406))</x:f>
        <x:v>0</x:v>
      </x:c>
      <x:c r="U406" s="15" t="str">
        <x:f>IF(T406&gt;0,"Funded",IF(P406="Eligible","Unfunded",P406))</x:f>
        <x:v>Evidence missing / not eligible</x:v>
      </x:c>
      <x:c r="V406" s="15" t="str">
        <x:f>IF(R406="Include","Conference inclusion: "&amp;S406,IF(R406="Exclude","Conference exclusion: "&amp;S406,IF(Q406&gt;0,H406&amp;" priority rank "&amp;I406&amp;"; whole initiative selected",P406)))</x:f>
        <x:v>Evidence missing / not eligible</x:v>
      </x:c>
      <x:c r="W406" s="15" t="str">
        <x:v>Bu!320</x:v>
      </x:c>
      <x:c r="X406" s="15" t="str"/>
      <x:c r="Y406" s="15" t="str"/>
      <x:c r="Z406" s="15" t="str">
        <x:v>New Technology</x:v>
      </x:c>
      <x:c r="AA406" s="15" t="str">
        <x:v>New Initiative</x:v>
      </x:c>
      <x:c r="AB406" s="15" t="str">
        <x:v>Services &amp; Solutions IT</x:v>
      </x:c>
      <x:c r="AC406" s="15" t="str"/>
      <x:c r="AD406" s="15" t="str">
        <x:v>Replace WisKey and Enhance Sentinal with funcitonalities that are required for EI</x:v>
      </x:c>
      <x:c r="AE406" s="15" t="str">
        <x:v>SNOW to Sentinel integration, Auto activation and related functionalities. CVI Auto Activation process, CardioNow - ICR Onboarding, Service Now - SAM for entitlement management and PNL for license operations.</x:v>
      </x:c>
      <x:c r="AF406" s="15" t="str">
        <x:v>Replace WisKey and Enhance Sentinal with funcitonalities that are required for EI | SNOW to Sentinel integration, Auto activation and related functionalities. CVI Auto Activation process, CardioNow - ICR Onboarding, Service Now - SAM for entitlement management and PNL for license operations.</x:v>
      </x:c>
      <x:c r="AG406" s="15" t="str">
        <x:v>Must Do</x:v>
      </x:c>
      <x:c r="AH406" s="15" t="n">
        <x:v>307</x:v>
      </x:c>
    </x:row>
    <x:row r="407">
      <x:c r="A407" s="15" t="str">
        <x:v>Bu-141</x:v>
      </x:c>
      <x:c r="B407" s="15" t="str">
        <x:v>AI License + Cloud Enablement projects</x:v>
      </x:c>
      <x:c r="C407" s="15" t="str">
        <x:v>BU Led</x:v>
      </x:c>
      <x:c r="D407" s="15" t="str">
        <x:v>Enterprise Informatics (EI)</x:v>
      </x:c>
      <x:c r="E407" s="19" t="n">
        <x:v>0.7</x:v>
      </x:c>
      <x:c r="F407" s="19" t="n">
        <x:v>0</x:v>
      </x:c>
      <x:c r="G407" s="22" t="n">
        <x:f>IF(AND(E407&gt;0,ISNUMBER(F407)),F407/E407,"")</x:f>
        <x:v>0</x:v>
      </x:c>
      <x:c r="H407" s="15" t="str">
        <x:v>ROI-Based Portfolio</x:v>
      </x:c>
      <x:c r="I407" s="15" t="n">
        <x:v>105</x:v>
      </x:c>
      <x:c r="J407" s="15" t="n">
        <x:v>5</x:v>
      </x:c>
      <x:c r="K407" s="23" t="n">
        <x:f>IF(G407="",0,IF(G407&lt;1,0,IF(G407&lt;2,20,IF(G407&lt;3,30,IF(G407&lt;5,40,50)))))*'Scenario Controls'!$B$22/50</x:f>
        <x:v>0</x:v>
      </x:c>
      <x:c r="L407" s="23" t="n">
        <x:f>IF(ISNUMBER(SEARCH("Must Do",AG407)),25,IF(ISNUMBER(SEARCH("Must Have",AG407)),18,IF(ISNUMBER(SEARCH("Deprior",AG407)),5,0)))*'Scenario Controls'!$B$23/25</x:f>
        <x:v>25</x:v>
      </x:c>
      <x:c r="M407" s="23" t="n">
        <x:f>J407*'Scenario Controls'!$B$24/15</x:f>
        <x:v>5</x:v>
      </x:c>
      <x:c r="N407" s="23" t="n">
        <x:f>IF(ISNUMBER(SEARCH("HEALTHY",X407)),10,IF(ISNUMBER(SEARCH("CONTAIN",X407)),6,0))*'Scenario Controls'!$B$25/10</x:f>
        <x:v>0</x:v>
      </x:c>
      <x:c r="O407" s="23" t="n">
        <x:f>SUM(K407:N407)</x:f>
        <x:v>30</x:v>
      </x:c>
      <x:c r="P407" s="15" t="str">
        <x:f>IF(OR(B407="",E407&lt;=0),"Evidence missing / not eligible",IF(ISNUMBER(SEARCH("priority TBD",Y407)),"Evidence missing / not eligible",IF(AND(H407="Carryover",NOT(ISNUMBER(F407))),"Evidence missing / not eligible",IF(AND(H407="Carryover",G407&lt;'Scenario Controls'!$B$16),"Evidence missing / not eligible",IF(AND(H407="ROI-Based Portfolio",NOT(ISNUMBER(F407))),"Evidence missing / not eligible",IF(AND(H407="ROI-Based Portfolio",O407&lt;'Scenario Controls'!$B$20),"Evidence missing / not eligible","Eligible"))))))</x:f>
        <x:v>Evidence missing / not eligible</x:v>
      </x:c>
      <x:c r="Q407" s="19" t="n">
        <x:f>IF(P407&lt;&gt;"Eligible",0,IF(AND(SUMIFS($Q$5:Q406,$H$5:H406,H407)+E407&lt;=(IF(H407="LFR",'Scenario Controls'!$F$10,IF(H407="Sustain Engineering",'Scenario Controls'!$F$11,IF(H407="Hygiene",'Scenario Controls'!$F$12,1E+99))))*(1+'Scenario Controls'!$B$7),SUM($Q$5:Q406)+E407&lt;='Scenario Controls'!$B$6*(1+'Scenario Controls'!$B$7)),E407,0))</x:f>
        <x:v>0</x:v>
      </x:c>
      <x:c r="R407" s="24" t="str">
        <x:f>'BU Conference'!G232</x:f>
        <x:v>Automatic</x:v>
      </x:c>
      <x:c r="S407" s="24" t="str">
        <x:f>'BU Conference'!H232</x:f>
      </x:c>
      <x:c r="T407" s="19" t="n">
        <x:f>IF(R407="Exclude",0,IF(R407="Include",E407,Q407))</x:f>
        <x:v>0</x:v>
      </x:c>
      <x:c r="U407" s="15" t="str">
        <x:f>IF(T407&gt;0,"Funded",IF(P407="Eligible","Unfunded",P407))</x:f>
        <x:v>Evidence missing / not eligible</x:v>
      </x:c>
      <x:c r="V407" s="15" t="str">
        <x:f>IF(R407="Include","Conference inclusion: "&amp;S407,IF(R407="Exclude","Conference exclusion: "&amp;S407,IF(Q407&gt;0,H407&amp;" priority rank "&amp;I407&amp;"; whole initiative selected",P407)))</x:f>
        <x:v>Evidence missing / not eligible</x:v>
      </x:c>
      <x:c r="W407" s="15" t="str">
        <x:v>Bu!338</x:v>
      </x:c>
      <x:c r="X407" s="15" t="str"/>
      <x:c r="Y407" s="15" t="str"/>
      <x:c r="Z407" s="15" t="str">
        <x:v>AI Enablement</x:v>
      </x:c>
      <x:c r="AA407" s="15" t="str">
        <x:v>New Initiative</x:v>
      </x:c>
      <x:c r="AB407" s="15" t="str">
        <x:v>Commercial IT</x:v>
      </x:c>
      <x:c r="AC407" s="15" t="str"/>
      <x:c r="AD407" s="15" t="str">
        <x:v>Increase AI Adoptoin in R&amp;D teams and move away from monolith legacy applications</x:v>
      </x:c>
      <x:c r="AE407" s="15" t="str">
        <x:v>Upgrade legacy R&amp;D applications to support and build autonomous agents that help in generating DHF files , connect upstream and downstream systems using Agentic flows</x:v>
      </x:c>
      <x:c r="AF407" s="15" t="str">
        <x:v>Increase AI Adoptoin in R&amp;D teams and move away from monolith legacy applications | Upgrade legacy R&amp;D applications to support and build autonomous agents that help in generating DHF files , connect upstream and downstream systems using Agentic flows</x:v>
      </x:c>
      <x:c r="AG407" s="15" t="str">
        <x:v>Must Do</x:v>
      </x:c>
      <x:c r="AH407" s="15" t="n">
        <x:v>318</x:v>
      </x:c>
    </x:row>
    <x:row r="408">
      <x:c r="A408" s="15" t="str">
        <x:v>Bu-143</x:v>
      </x:c>
      <x:c r="B408" s="15" t="str">
        <x:v>Service Now : Fundamentals and Change Requests</x:v>
      </x:c>
      <x:c r="C408" s="15" t="str">
        <x:v>BU Led</x:v>
      </x:c>
      <x:c r="D408" s="15" t="str">
        <x:v>Enterprise Informatics (EI)</x:v>
      </x:c>
      <x:c r="E408" s="19" t="n">
        <x:v>0.65</x:v>
      </x:c>
      <x:c r="F408" s="19" t="n">
        <x:v>0</x:v>
      </x:c>
      <x:c r="G408" s="22" t="n">
        <x:f>IF(AND(E408&gt;0,ISNUMBER(F408)),F408/E408,"")</x:f>
        <x:v>0</x:v>
      </x:c>
      <x:c r="H408" s="15" t="str">
        <x:v>ROI-Based Portfolio</x:v>
      </x:c>
      <x:c r="I408" s="15" t="n">
        <x:v>106</x:v>
      </x:c>
      <x:c r="J408" s="15" t="n">
        <x:v>5</x:v>
      </x:c>
      <x:c r="K408" s="23" t="n">
        <x:f>IF(G408="",0,IF(G408&lt;1,0,IF(G408&lt;2,20,IF(G408&lt;3,30,IF(G408&lt;5,40,50)))))*'Scenario Controls'!$B$22/50</x:f>
        <x:v>0</x:v>
      </x:c>
      <x:c r="L408" s="23" t="n">
        <x:f>IF(ISNUMBER(SEARCH("Must Do",AG408)),25,IF(ISNUMBER(SEARCH("Must Have",AG408)),18,IF(ISNUMBER(SEARCH("Deprior",AG408)),5,0)))*'Scenario Controls'!$B$23/25</x:f>
        <x:v>25</x:v>
      </x:c>
      <x:c r="M408" s="23" t="n">
        <x:f>J408*'Scenario Controls'!$B$24/15</x:f>
        <x:v>5</x:v>
      </x:c>
      <x:c r="N408" s="23" t="n">
        <x:f>IF(ISNUMBER(SEARCH("HEALTHY",X408)),10,IF(ISNUMBER(SEARCH("CONTAIN",X408)),6,0))*'Scenario Controls'!$B$25/10</x:f>
        <x:v>0</x:v>
      </x:c>
      <x:c r="O408" s="23" t="n">
        <x:f>SUM(K408:N408)</x:f>
        <x:v>30</x:v>
      </x:c>
      <x:c r="P408" s="15" t="str">
        <x:f>IF(OR(B408="",E408&lt;=0),"Evidence missing / not eligible",IF(ISNUMBER(SEARCH("priority TBD",Y408)),"Evidence missing / not eligible",IF(AND(H408="Carryover",NOT(ISNUMBER(F408))),"Evidence missing / not eligible",IF(AND(H408="Carryover",G408&lt;'Scenario Controls'!$B$16),"Evidence missing / not eligible",IF(AND(H408="ROI-Based Portfolio",NOT(ISNUMBER(F408))),"Evidence missing / not eligible",IF(AND(H408="ROI-Based Portfolio",O408&lt;'Scenario Controls'!$B$20),"Evidence missing / not eligible","Eligible"))))))</x:f>
        <x:v>Evidence missing / not eligible</x:v>
      </x:c>
      <x:c r="Q408" s="19" t="n">
        <x:f>IF(P408&lt;&gt;"Eligible",0,IF(AND(SUMIFS($Q$5:Q407,$H$5:H407,H408)+E408&lt;=(IF(H408="LFR",'Scenario Controls'!$F$10,IF(H408="Sustain Engineering",'Scenario Controls'!$F$11,IF(H408="Hygiene",'Scenario Controls'!$F$12,1E+99))))*(1+'Scenario Controls'!$B$7),SUM($Q$5:Q407)+E408&lt;='Scenario Controls'!$B$6*(1+'Scenario Controls'!$B$7)),E408,0))</x:f>
        <x:v>0</x:v>
      </x:c>
      <x:c r="R408" s="24" t="str">
        <x:f>'BU Conference'!G233</x:f>
        <x:v>Automatic</x:v>
      </x:c>
      <x:c r="S408" s="24" t="str">
        <x:f>'BU Conference'!H233</x:f>
      </x:c>
      <x:c r="T408" s="19" t="n">
        <x:f>IF(R408="Exclude",0,IF(R408="Include",E408,Q408))</x:f>
        <x:v>0</x:v>
      </x:c>
      <x:c r="U408" s="15" t="str">
        <x:f>IF(T408&gt;0,"Funded",IF(P408="Eligible","Unfunded",P408))</x:f>
        <x:v>Evidence missing / not eligible</x:v>
      </x:c>
      <x:c r="V408" s="15" t="str">
        <x:f>IF(R408="Include","Conference inclusion: "&amp;S408,IF(R408="Exclude","Conference exclusion: "&amp;S408,IF(Q408&gt;0,H408&amp;" priority rank "&amp;I408&amp;"; whole initiative selected",P408)))</x:f>
        <x:v>Evidence missing / not eligible</x:v>
      </x:c>
      <x:c r="W408" s="15" t="str">
        <x:v>Bu!341</x:v>
      </x:c>
      <x:c r="X408" s="15" t="str"/>
      <x:c r="Y408" s="15" t="str"/>
      <x:c r="Z408" s="15" t="str">
        <x:v>New Feature</x:v>
      </x:c>
      <x:c r="AA408" s="15" t="str">
        <x:v>New Initiative</x:v>
      </x:c>
      <x:c r="AB408" s="15" t="str">
        <x:v>Commercial IT</x:v>
      </x:c>
      <x:c r="AC408" s="15" t="str"/>
      <x:c r="AD408" s="15" t="str"/>
      <x:c r="AE408" s="15" t="str">
        <x:v>Change Requests and Foundational input</x:v>
      </x:c>
      <x:c r="AF408" s="15" t="str">
        <x:v>Change Requests and Foundational input</x:v>
      </x:c>
      <x:c r="AG408" s="15" t="str">
        <x:v>Must Do</x:v>
      </x:c>
      <x:c r="AH408" s="15" t="n">
        <x:v>320</x:v>
      </x:c>
    </x:row>
    <x:row r="409">
      <x:c r="A409" s="15" t="str">
        <x:v>Bu-146</x:v>
      </x:c>
      <x:c r="B409" s="15" t="str">
        <x:v>Service Operations : Sensei</x:v>
      </x:c>
      <x:c r="C409" s="15" t="str">
        <x:v>BU Led</x:v>
      </x:c>
      <x:c r="D409" s="15" t="str">
        <x:v>Enterprise Informatics (EI)</x:v>
      </x:c>
      <x:c r="E409" s="19" t="n">
        <x:v>0.5</x:v>
      </x:c>
      <x:c r="F409" s="19" t="n">
        <x:v>0</x:v>
      </x:c>
      <x:c r="G409" s="22" t="n">
        <x:f>IF(AND(E409&gt;0,ISNUMBER(F409)),F409/E409,"")</x:f>
        <x:v>0</x:v>
      </x:c>
      <x:c r="H409" s="15" t="str">
        <x:v>ROI-Based Portfolio</x:v>
      </x:c>
      <x:c r="I409" s="15" t="n">
        <x:v>107</x:v>
      </x:c>
      <x:c r="J409" s="15" t="n">
        <x:v>5</x:v>
      </x:c>
      <x:c r="K409" s="23" t="n">
        <x:f>IF(G409="",0,IF(G409&lt;1,0,IF(G409&lt;2,20,IF(G409&lt;3,30,IF(G409&lt;5,40,50)))))*'Scenario Controls'!$B$22/50</x:f>
        <x:v>0</x:v>
      </x:c>
      <x:c r="L409" s="23" t="n">
        <x:f>IF(ISNUMBER(SEARCH("Must Do",AG409)),25,IF(ISNUMBER(SEARCH("Must Have",AG409)),18,IF(ISNUMBER(SEARCH("Deprior",AG409)),5,0)))*'Scenario Controls'!$B$23/25</x:f>
        <x:v>25</x:v>
      </x:c>
      <x:c r="M409" s="23" t="n">
        <x:f>J409*'Scenario Controls'!$B$24/15</x:f>
        <x:v>5</x:v>
      </x:c>
      <x:c r="N409" s="23" t="n">
        <x:f>IF(ISNUMBER(SEARCH("HEALTHY",X409)),10,IF(ISNUMBER(SEARCH("CONTAIN",X409)),6,0))*'Scenario Controls'!$B$25/10</x:f>
        <x:v>0</x:v>
      </x:c>
      <x:c r="O409" s="23" t="n">
        <x:f>SUM(K409:N409)</x:f>
        <x:v>30</x:v>
      </x:c>
      <x:c r="P409" s="15" t="str">
        <x:f>IF(OR(B409="",E409&lt;=0),"Evidence missing / not eligible",IF(ISNUMBER(SEARCH("priority TBD",Y409)),"Evidence missing / not eligible",IF(AND(H409="Carryover",NOT(ISNUMBER(F409))),"Evidence missing / not eligible",IF(AND(H409="Carryover",G409&lt;'Scenario Controls'!$B$16),"Evidence missing / not eligible",IF(AND(H409="ROI-Based Portfolio",NOT(ISNUMBER(F409))),"Evidence missing / not eligible",IF(AND(H409="ROI-Based Portfolio",O409&lt;'Scenario Controls'!$B$20),"Evidence missing / not eligible","Eligible"))))))</x:f>
        <x:v>Evidence missing / not eligible</x:v>
      </x:c>
      <x:c r="Q409" s="19" t="n">
        <x:f>IF(P409&lt;&gt;"Eligible",0,IF(AND(SUMIFS($Q$5:Q408,$H$5:H408,H409)+E409&lt;=(IF(H409="LFR",'Scenario Controls'!$F$10,IF(H409="Sustain Engineering",'Scenario Controls'!$F$11,IF(H409="Hygiene",'Scenario Controls'!$F$12,1E+99))))*(1+'Scenario Controls'!$B$7),SUM($Q$5:Q408)+E409&lt;='Scenario Controls'!$B$6*(1+'Scenario Controls'!$B$7)),E409,0))</x:f>
        <x:v>0</x:v>
      </x:c>
      <x:c r="R409" s="24" t="str">
        <x:f>'BU Conference'!G234</x:f>
        <x:v>Automatic</x:v>
      </x:c>
      <x:c r="S409" s="24" t="str">
        <x:f>'BU Conference'!H234</x:f>
      </x:c>
      <x:c r="T409" s="19" t="n">
        <x:f>IF(R409="Exclude",0,IF(R409="Include",E409,Q409))</x:f>
        <x:v>0</x:v>
      </x:c>
      <x:c r="U409" s="15" t="str">
        <x:f>IF(T409&gt;0,"Funded",IF(P409="Eligible","Unfunded",P409))</x:f>
        <x:v>Evidence missing / not eligible</x:v>
      </x:c>
      <x:c r="V409" s="15" t="str">
        <x:f>IF(R409="Include","Conference inclusion: "&amp;S409,IF(R409="Exclude","Conference exclusion: "&amp;S409,IF(Q409&gt;0,H409&amp;" priority rank "&amp;I409&amp;"; whole initiative selected",P409)))</x:f>
        <x:v>Evidence missing / not eligible</x:v>
      </x:c>
      <x:c r="W409" s="15" t="str">
        <x:v>Bu!346</x:v>
      </x:c>
      <x:c r="X409" s="15" t="str"/>
      <x:c r="Y409" s="15" t="str"/>
      <x:c r="Z409" s="15" t="str"/>
      <x:c r="AA409" s="15" t="str"/>
      <x:c r="AB409" s="15" t="str"/>
      <x:c r="AC409" s="15" t="str"/>
      <x:c r="AD409" s="15" t="str">
        <x:v>Setup EI owned Support team for Sensei</x:v>
      </x:c>
      <x:c r="AE409" s="15" t="str">
        <x:v>Infra and Operations owned by EI</x:v>
      </x:c>
      <x:c r="AF409" s="15" t="str">
        <x:v>Setup EI owned Support team for Sensei | Infra and Operations owned by EI</x:v>
      </x:c>
      <x:c r="AG409" s="15" t="str">
        <x:v>Must Do</x:v>
      </x:c>
      <x:c r="AH409" s="15" t="n">
        <x:v>323</x:v>
      </x:c>
    </x:row>
    <x:row r="410">
      <x:c r="A410" s="15" t="str">
        <x:v>Bu-147</x:v>
      </x:c>
      <x:c r="B410" s="15" t="str">
        <x:v>Service Operations : Microsoft Project Operations</x:v>
      </x:c>
      <x:c r="C410" s="15" t="str">
        <x:v>BU Led</x:v>
      </x:c>
      <x:c r="D410" s="15" t="str">
        <x:v>Enterprise Informatics (EI)</x:v>
      </x:c>
      <x:c r="E410" s="19" t="n">
        <x:v>0.3</x:v>
      </x:c>
      <x:c r="F410" s="19" t="n">
        <x:v>0</x:v>
      </x:c>
      <x:c r="G410" s="22" t="n">
        <x:f>IF(AND(E410&gt;0,ISNUMBER(F410)),F410/E410,"")</x:f>
        <x:v>0</x:v>
      </x:c>
      <x:c r="H410" s="15" t="str">
        <x:v>ROI-Based Portfolio</x:v>
      </x:c>
      <x:c r="I410" s="15" t="n">
        <x:v>108</x:v>
      </x:c>
      <x:c r="J410" s="15" t="n">
        <x:v>5</x:v>
      </x:c>
      <x:c r="K410" s="23" t="n">
        <x:f>IF(G410="",0,IF(G410&lt;1,0,IF(G410&lt;2,20,IF(G410&lt;3,30,IF(G410&lt;5,40,50)))))*'Scenario Controls'!$B$22/50</x:f>
        <x:v>0</x:v>
      </x:c>
      <x:c r="L410" s="23" t="n">
        <x:f>IF(ISNUMBER(SEARCH("Must Do",AG410)),25,IF(ISNUMBER(SEARCH("Must Have",AG410)),18,IF(ISNUMBER(SEARCH("Deprior",AG410)),5,0)))*'Scenario Controls'!$B$23/25</x:f>
        <x:v>25</x:v>
      </x:c>
      <x:c r="M410" s="23" t="n">
        <x:f>J410*'Scenario Controls'!$B$24/15</x:f>
        <x:v>5</x:v>
      </x:c>
      <x:c r="N410" s="23" t="n">
        <x:f>IF(ISNUMBER(SEARCH("HEALTHY",X410)),10,IF(ISNUMBER(SEARCH("CONTAIN",X410)),6,0))*'Scenario Controls'!$B$25/10</x:f>
        <x:v>0</x:v>
      </x:c>
      <x:c r="O410" s="23" t="n">
        <x:f>SUM(K410:N410)</x:f>
        <x:v>30</x:v>
      </x:c>
      <x:c r="P410" s="15" t="str">
        <x:f>IF(OR(B410="",E410&lt;=0),"Evidence missing / not eligible",IF(ISNUMBER(SEARCH("priority TBD",Y410)),"Evidence missing / not eligible",IF(AND(H410="Carryover",NOT(ISNUMBER(F410))),"Evidence missing / not eligible",IF(AND(H410="Carryover",G410&lt;'Scenario Controls'!$B$16),"Evidence missing / not eligible",IF(AND(H410="ROI-Based Portfolio",NOT(ISNUMBER(F410))),"Evidence missing / not eligible",IF(AND(H410="ROI-Based Portfolio",O410&lt;'Scenario Controls'!$B$20),"Evidence missing / not eligible","Eligible"))))))</x:f>
        <x:v>Evidence missing / not eligible</x:v>
      </x:c>
      <x:c r="Q410" s="19" t="n">
        <x:f>IF(P410&lt;&gt;"Eligible",0,IF(AND(SUMIFS($Q$5:Q409,$H$5:H409,H410)+E410&lt;=(IF(H410="LFR",'Scenario Controls'!$F$10,IF(H410="Sustain Engineering",'Scenario Controls'!$F$11,IF(H410="Hygiene",'Scenario Controls'!$F$12,1E+99))))*(1+'Scenario Controls'!$B$7),SUM($Q$5:Q409)+E410&lt;='Scenario Controls'!$B$6*(1+'Scenario Controls'!$B$7)),E410,0))</x:f>
        <x:v>0</x:v>
      </x:c>
      <x:c r="R410" s="24" t="str">
        <x:f>'BU Conference'!G235</x:f>
        <x:v>Automatic</x:v>
      </x:c>
      <x:c r="S410" s="24" t="str">
        <x:f>'BU Conference'!H235</x:f>
      </x:c>
      <x:c r="T410" s="19" t="n">
        <x:f>IF(R410="Exclude",0,IF(R410="Include",E410,Q410))</x:f>
        <x:v>0</x:v>
      </x:c>
      <x:c r="U410" s="15" t="str">
        <x:f>IF(T410&gt;0,"Funded",IF(P410="Eligible","Unfunded",P410))</x:f>
        <x:v>Evidence missing / not eligible</x:v>
      </x:c>
      <x:c r="V410" s="15" t="str">
        <x:f>IF(R410="Include","Conference inclusion: "&amp;S410,IF(R410="Exclude","Conference exclusion: "&amp;S410,IF(Q410&gt;0,H410&amp;" priority rank "&amp;I410&amp;"; whole initiative selected",P410)))</x:f>
        <x:v>Evidence missing / not eligible</x:v>
      </x:c>
      <x:c r="W410" s="15" t="str">
        <x:v>Bu!347</x:v>
      </x:c>
      <x:c r="X410" s="15" t="str"/>
      <x:c r="Y410" s="15" t="str"/>
      <x:c r="Z410" s="15" t="str"/>
      <x:c r="AA410" s="15" t="str"/>
      <x:c r="AB410" s="15" t="str"/>
      <x:c r="AC410" s="15" t="str"/>
      <x:c r="AD410" s="15" t="str">
        <x:v>Setup EI owned support team for MS PO</x:v>
      </x:c>
      <x:c r="AE410" s="15" t="str">
        <x:v>Infra and Operations owned by EI</x:v>
      </x:c>
      <x:c r="AF410" s="15" t="str">
        <x:v>Setup EI owned support team for MS PO | Infra and Operations owned by EI</x:v>
      </x:c>
      <x:c r="AG410" s="15" t="str">
        <x:v>Must Do</x:v>
      </x:c>
      <x:c r="AH410" s="15" t="n">
        <x:v>324</x:v>
      </x:c>
    </x:row>
    <x:row r="411">
      <x:c r="A411" s="15" t="str">
        <x:v>Bu-148</x:v>
      </x:c>
      <x:c r="B411" s="15" t="str">
        <x:v>Service Operations : Ignite</x:v>
      </x:c>
      <x:c r="C411" s="15" t="str">
        <x:v>BU Led</x:v>
      </x:c>
      <x:c r="D411" s="15" t="str">
        <x:v>Enterprise Informatics (EI)</x:v>
      </x:c>
      <x:c r="E411" s="19" t="n">
        <x:v>0.25</x:v>
      </x:c>
      <x:c r="F411" s="19" t="n">
        <x:v>0</x:v>
      </x:c>
      <x:c r="G411" s="22" t="n">
        <x:f>IF(AND(E411&gt;0,ISNUMBER(F411)),F411/E411,"")</x:f>
        <x:v>0</x:v>
      </x:c>
      <x:c r="H411" s="15" t="str">
        <x:v>ROI-Based Portfolio</x:v>
      </x:c>
      <x:c r="I411" s="15" t="n">
        <x:v>109</x:v>
      </x:c>
      <x:c r="J411" s="15" t="n">
        <x:v>5</x:v>
      </x:c>
      <x:c r="K411" s="23" t="n">
        <x:f>IF(G411="",0,IF(G411&lt;1,0,IF(G411&lt;2,20,IF(G411&lt;3,30,IF(G411&lt;5,40,50)))))*'Scenario Controls'!$B$22/50</x:f>
        <x:v>0</x:v>
      </x:c>
      <x:c r="L411" s="23" t="n">
        <x:f>IF(ISNUMBER(SEARCH("Must Do",AG411)),25,IF(ISNUMBER(SEARCH("Must Have",AG411)),18,IF(ISNUMBER(SEARCH("Deprior",AG411)),5,0)))*'Scenario Controls'!$B$23/25</x:f>
        <x:v>25</x:v>
      </x:c>
      <x:c r="M411" s="23" t="n">
        <x:f>J411*'Scenario Controls'!$B$24/15</x:f>
        <x:v>5</x:v>
      </x:c>
      <x:c r="N411" s="23" t="n">
        <x:f>IF(ISNUMBER(SEARCH("HEALTHY",X411)),10,IF(ISNUMBER(SEARCH("CONTAIN",X411)),6,0))*'Scenario Controls'!$B$25/10</x:f>
        <x:v>0</x:v>
      </x:c>
      <x:c r="O411" s="23" t="n">
        <x:f>SUM(K411:N411)</x:f>
        <x:v>30</x:v>
      </x:c>
      <x:c r="P411" s="15" t="str">
        <x:f>IF(OR(B411="",E411&lt;=0),"Evidence missing / not eligible",IF(ISNUMBER(SEARCH("priority TBD",Y411)),"Evidence missing / not eligible",IF(AND(H411="Carryover",NOT(ISNUMBER(F411))),"Evidence missing / not eligible",IF(AND(H411="Carryover",G411&lt;'Scenario Controls'!$B$16),"Evidence missing / not eligible",IF(AND(H411="ROI-Based Portfolio",NOT(ISNUMBER(F411))),"Evidence missing / not eligible",IF(AND(H411="ROI-Based Portfolio",O411&lt;'Scenario Controls'!$B$20),"Evidence missing / not eligible","Eligible"))))))</x:f>
        <x:v>Evidence missing / not eligible</x:v>
      </x:c>
      <x:c r="Q411" s="19" t="n">
        <x:f>IF(P411&lt;&gt;"Eligible",0,IF(AND(SUMIFS($Q$5:Q410,$H$5:H410,H411)+E411&lt;=(IF(H411="LFR",'Scenario Controls'!$F$10,IF(H411="Sustain Engineering",'Scenario Controls'!$F$11,IF(H411="Hygiene",'Scenario Controls'!$F$12,1E+99))))*(1+'Scenario Controls'!$B$7),SUM($Q$5:Q410)+E411&lt;='Scenario Controls'!$B$6*(1+'Scenario Controls'!$B$7)),E411,0))</x:f>
        <x:v>0</x:v>
      </x:c>
      <x:c r="R411" s="24" t="str">
        <x:f>'BU Conference'!G236</x:f>
        <x:v>Automatic</x:v>
      </x:c>
      <x:c r="S411" s="24" t="str">
        <x:f>'BU Conference'!H236</x:f>
      </x:c>
      <x:c r="T411" s="19" t="n">
        <x:f>IF(R411="Exclude",0,IF(R411="Include",E411,Q411))</x:f>
        <x:v>0</x:v>
      </x:c>
      <x:c r="U411" s="15" t="str">
        <x:f>IF(T411&gt;0,"Funded",IF(P411="Eligible","Unfunded",P411))</x:f>
        <x:v>Evidence missing / not eligible</x:v>
      </x:c>
      <x:c r="V411" s="15" t="str">
        <x:f>IF(R411="Include","Conference inclusion: "&amp;S411,IF(R411="Exclude","Conference exclusion: "&amp;S411,IF(Q411&gt;0,H411&amp;" priority rank "&amp;I411&amp;"; whole initiative selected",P411)))</x:f>
        <x:v>Evidence missing / not eligible</x:v>
      </x:c>
      <x:c r="W411" s="15" t="str">
        <x:v>Bu!348</x:v>
      </x:c>
      <x:c r="X411" s="15" t="str"/>
      <x:c r="Y411" s="15" t="str"/>
      <x:c r="Z411" s="15" t="str"/>
      <x:c r="AA411" s="15" t="str"/>
      <x:c r="AB411" s="15" t="str"/>
      <x:c r="AC411" s="15" t="str"/>
      <x:c r="AD411" s="15" t="str">
        <x:v>Setup EI Owned support team for Ignite</x:v>
      </x:c>
      <x:c r="AE411" s="15" t="str">
        <x:v>Infra and Operations owned by EI</x:v>
      </x:c>
      <x:c r="AF411" s="15" t="str">
        <x:v>Setup EI Owned support team for Ignite | Infra and Operations owned by EI</x:v>
      </x:c>
      <x:c r="AG411" s="15" t="str">
        <x:v>Must Do</x:v>
      </x:c>
      <x:c r="AH411" s="15" t="n">
        <x:v>325</x:v>
      </x:c>
    </x:row>
    <x:row r="412">
      <x:c r="A412" s="15" t="str">
        <x:v>Bu-149</x:v>
      </x:c>
      <x:c r="B412" s="15" t="str">
        <x:v>LEM Factory Less Process for software provisioning</x:v>
      </x:c>
      <x:c r="C412" s="15" t="str">
        <x:v>BU Led</x:v>
      </x:c>
      <x:c r="D412" s="15" t="str">
        <x:v>Enterprise Informatics (EI)</x:v>
      </x:c>
      <x:c r="E412" s="19" t="n">
        <x:v>0.45</x:v>
      </x:c>
      <x:c r="F412" s="19" t="n">
        <x:v>0</x:v>
      </x:c>
      <x:c r="G412" s="22" t="n">
        <x:f>IF(AND(E412&gt;0,ISNUMBER(F412)),F412/E412,"")</x:f>
        <x:v>0</x:v>
      </x:c>
      <x:c r="H412" s="15" t="str">
        <x:v>ROI-Based Portfolio</x:v>
      </x:c>
      <x:c r="I412" s="15" t="n">
        <x:v>110</x:v>
      </x:c>
      <x:c r="J412" s="15" t="n">
        <x:v>5</x:v>
      </x:c>
      <x:c r="K412" s="23" t="n">
        <x:f>IF(G412="",0,IF(G412&lt;1,0,IF(G412&lt;2,20,IF(G412&lt;3,30,IF(G412&lt;5,40,50)))))*'Scenario Controls'!$B$22/50</x:f>
        <x:v>0</x:v>
      </x:c>
      <x:c r="L412" s="23" t="n">
        <x:f>IF(ISNUMBER(SEARCH("Must Do",AG412)),25,IF(ISNUMBER(SEARCH("Must Have",AG412)),18,IF(ISNUMBER(SEARCH("Deprior",AG412)),5,0)))*'Scenario Controls'!$B$23/25</x:f>
        <x:v>25</x:v>
      </x:c>
      <x:c r="M412" s="23" t="n">
        <x:f>J412*'Scenario Controls'!$B$24/15</x:f>
        <x:v>5</x:v>
      </x:c>
      <x:c r="N412" s="23" t="n">
        <x:f>IF(ISNUMBER(SEARCH("HEALTHY",X412)),10,IF(ISNUMBER(SEARCH("CONTAIN",X412)),6,0))*'Scenario Controls'!$B$25/10</x:f>
        <x:v>0</x:v>
      </x:c>
      <x:c r="O412" s="23" t="n">
        <x:f>SUM(K412:N412)</x:f>
        <x:v>30</x:v>
      </x:c>
      <x:c r="P412" s="15" t="str">
        <x:f>IF(OR(B412="",E412&lt;=0),"Evidence missing / not eligible",IF(ISNUMBER(SEARCH("priority TBD",Y412)),"Evidence missing / not eligible",IF(AND(H412="Carryover",NOT(ISNUMBER(F412))),"Evidence missing / not eligible",IF(AND(H412="Carryover",G412&lt;'Scenario Controls'!$B$16),"Evidence missing / not eligible",IF(AND(H412="ROI-Based Portfolio",NOT(ISNUMBER(F412))),"Evidence missing / not eligible",IF(AND(H412="ROI-Based Portfolio",O412&lt;'Scenario Controls'!$B$20),"Evidence missing / not eligible","Eligible"))))))</x:f>
        <x:v>Evidence missing / not eligible</x:v>
      </x:c>
      <x:c r="Q412" s="19" t="n">
        <x:f>IF(P412&lt;&gt;"Eligible",0,IF(AND(SUMIFS($Q$5:Q411,$H$5:H411,H412)+E412&lt;=(IF(H412="LFR",'Scenario Controls'!$F$10,IF(H412="Sustain Engineering",'Scenario Controls'!$F$11,IF(H412="Hygiene",'Scenario Controls'!$F$12,1E+99))))*(1+'Scenario Controls'!$B$7),SUM($Q$5:Q411)+E412&lt;='Scenario Controls'!$B$6*(1+'Scenario Controls'!$B$7)),E412,0))</x:f>
        <x:v>0</x:v>
      </x:c>
      <x:c r="R412" s="24" t="str">
        <x:f>'BU Conference'!G237</x:f>
        <x:v>Automatic</x:v>
      </x:c>
      <x:c r="S412" s="24" t="str">
        <x:f>'BU Conference'!H237</x:f>
      </x:c>
      <x:c r="T412" s="19" t="n">
        <x:f>IF(R412="Exclude",0,IF(R412="Include",E412,Q412))</x:f>
        <x:v>0</x:v>
      </x:c>
      <x:c r="U412" s="15" t="str">
        <x:f>IF(T412&gt;0,"Funded",IF(P412="Eligible","Unfunded",P412))</x:f>
        <x:v>Evidence missing / not eligible</x:v>
      </x:c>
      <x:c r="V412" s="15" t="str">
        <x:f>IF(R412="Include","Conference inclusion: "&amp;S412,IF(R412="Exclude","Conference exclusion: "&amp;S412,IF(Q412&gt;0,H412&amp;" priority rank "&amp;I412&amp;"; whole initiative selected",P412)))</x:f>
        <x:v>Evidence missing / not eligible</x:v>
      </x:c>
      <x:c r="W412" s="15" t="str">
        <x:v>Bu!349</x:v>
      </x:c>
      <x:c r="X412" s="15" t="str"/>
      <x:c r="Y412" s="15" t="str"/>
      <x:c r="Z412" s="15" t="str">
        <x:v>AI Enablement</x:v>
      </x:c>
      <x:c r="AA412" s="15" t="str">
        <x:v>New Initiative</x:v>
      </x:c>
      <x:c r="AB412" s="15" t="str">
        <x:v>Commercial IT</x:v>
      </x:c>
      <x:c r="AC412" s="15" t="str"/>
      <x:c r="AD412" s="15" t="str">
        <x:v>Move out of MBP - factory system, which is mainly used for eqipment business.</x:v>
      </x:c>
      <x:c r="AE412" s="15" t="str">
        <x:v>Automate software-only fulfilment, cloud activation, trials, upgrades and entitlement changes — removing factory/MBP dependencies from the order-to-activate journey.</x:v>
      </x:c>
      <x:c r="AF412" s="15" t="str">
        <x:v>Move out of MBP - factory system, which is mainly used for eqipment business. | Automate software-only fulfilment, cloud activation, trials, upgrades and entitlement changes — removing factory/MBP dependencies from the order-to-activate journey.</x:v>
      </x:c>
      <x:c r="AG412" s="15" t="str">
        <x:v>Must Do</x:v>
      </x:c>
      <x:c r="AH412" s="15" t="n">
        <x:v>326</x:v>
      </x:c>
    </x:row>
    <x:row r="413">
      <x:c r="A413" s="15" t="str">
        <x:v>Bu-162</x:v>
      </x:c>
      <x:c r="B413" s="15" t="str">
        <x:v>Spaniel 12 | MR subscription for Indirect channel</x:v>
      </x:c>
      <x:c r="C413" s="15" t="str">
        <x:v>BU Led</x:v>
      </x:c>
      <x:c r="D413" s="15" t="str">
        <x:v>Precision Diagnosis - Magnetic Resonance (MR)</x:v>
      </x:c>
      <x:c r="E413" s="19" t="n">
        <x:v>0.05</x:v>
      </x:c>
      <x:c r="F413" s="19" t="n">
        <x:v>0</x:v>
      </x:c>
      <x:c r="G413" s="22" t="n">
        <x:f>IF(AND(E413&gt;0,ISNUMBER(F413)),F413/E413,"")</x:f>
        <x:v>0</x:v>
      </x:c>
      <x:c r="H413" s="15" t="str">
        <x:v>ROI-Based Portfolio</x:v>
      </x:c>
      <x:c r="I413" s="15" t="n">
        <x:v>111</x:v>
      </x:c>
      <x:c r="J413" s="15" t="n">
        <x:v>5</x:v>
      </x:c>
      <x:c r="K413" s="23" t="n">
        <x:f>IF(G413="",0,IF(G413&lt;1,0,IF(G413&lt;2,20,IF(G413&lt;3,30,IF(G413&lt;5,40,50)))))*'Scenario Controls'!$B$22/50</x:f>
        <x:v>0</x:v>
      </x:c>
      <x:c r="L413" s="23" t="n">
        <x:f>IF(ISNUMBER(SEARCH("Must Do",AG413)),25,IF(ISNUMBER(SEARCH("Must Have",AG413)),18,IF(ISNUMBER(SEARCH("Deprior",AG413)),5,0)))*'Scenario Controls'!$B$23/25</x:f>
        <x:v>25</x:v>
      </x:c>
      <x:c r="M413" s="23" t="n">
        <x:f>J413*'Scenario Controls'!$B$24/15</x:f>
        <x:v>5</x:v>
      </x:c>
      <x:c r="N413" s="23" t="n">
        <x:f>IF(ISNUMBER(SEARCH("HEALTHY",X413)),10,IF(ISNUMBER(SEARCH("CONTAIN",X413)),6,0))*'Scenario Controls'!$B$25/10</x:f>
        <x:v>0</x:v>
      </x:c>
      <x:c r="O413" s="23" t="n">
        <x:f>SUM(K413:N413)</x:f>
        <x:v>30</x:v>
      </x:c>
      <x:c r="P413" s="15" t="str">
        <x:f>IF(OR(B413="",E413&lt;=0),"Evidence missing / not eligible",IF(ISNUMBER(SEARCH("priority TBD",Y413)),"Evidence missing / not eligible",IF(AND(H413="Carryover",NOT(ISNUMBER(F413))),"Evidence missing / not eligible",IF(AND(H413="Carryover",G413&lt;'Scenario Controls'!$B$16),"Evidence missing / not eligible",IF(AND(H413="ROI-Based Portfolio",NOT(ISNUMBER(F413))),"Evidence missing / not eligible",IF(AND(H413="ROI-Based Portfolio",O413&lt;'Scenario Controls'!$B$20),"Evidence missing / not eligible","Eligible"))))))</x:f>
        <x:v>Evidence missing / not eligible</x:v>
      </x:c>
      <x:c r="Q413" s="19" t="n">
        <x:f>IF(P413&lt;&gt;"Eligible",0,IF(AND(SUMIFS($Q$5:Q412,$H$5:H412,H413)+E413&lt;=(IF(H413="LFR",'Scenario Controls'!$F$10,IF(H413="Sustain Engineering",'Scenario Controls'!$F$11,IF(H413="Hygiene",'Scenario Controls'!$F$12,1E+99))))*(1+'Scenario Controls'!$B$7),SUM($Q$5:Q412)+E413&lt;='Scenario Controls'!$B$6*(1+'Scenario Controls'!$B$7)),E413,0))</x:f>
        <x:v>0</x:v>
      </x:c>
      <x:c r="R413" s="24" t="str">
        <x:f>'BU Conference'!G238</x:f>
        <x:v>Automatic</x:v>
      </x:c>
      <x:c r="S413" s="24" t="str">
        <x:f>'BU Conference'!H238</x:f>
      </x:c>
      <x:c r="T413" s="19" t="n">
        <x:f>IF(R413="Exclude",0,IF(R413="Include",E413,Q413))</x:f>
        <x:v>0</x:v>
      </x:c>
      <x:c r="U413" s="15" t="str">
        <x:f>IF(T413&gt;0,"Funded",IF(P413="Eligible","Unfunded",P413))</x:f>
        <x:v>Evidence missing / not eligible</x:v>
      </x:c>
      <x:c r="V413" s="15" t="str">
        <x:f>IF(R413="Include","Conference inclusion: "&amp;S413,IF(R413="Exclude","Conference exclusion: "&amp;S413,IF(Q413&gt;0,H413&amp;" priority rank "&amp;I413&amp;"; whole initiative selected",P413)))</x:f>
        <x:v>Evidence missing / not eligible</x:v>
      </x:c>
      <x:c r="W413" s="15" t="str">
        <x:v>Bu!383</x:v>
      </x:c>
      <x:c r="X413" s="15" t="str"/>
      <x:c r="Y413" s="15" t="str"/>
      <x:c r="Z413" s="15" t="str">
        <x:v>New Feature</x:v>
      </x:c>
      <x:c r="AA413" s="15" t="str">
        <x:v>New Initiative</x:v>
      </x:c>
      <x:c r="AB413" s="15" t="str">
        <x:v>Commercial IT</x:v>
      </x:c>
      <x:c r="AC413" s="15" t="str"/>
      <x:c r="AD413" s="15" t="str"/>
      <x:c r="AE413" s="15" t="str">
        <x:v>Assessment to decide the direction for having one pricing source of truth which enables Cat on Demand</x:v>
      </x:c>
      <x:c r="AF413" s="15" t="str">
        <x:v>Assessment to decide the direction for having one pricing source of truth which enables Cat on Demand</x:v>
      </x:c>
      <x:c r="AG413" s="15" t="str">
        <x:v>Must Do</x:v>
      </x:c>
      <x:c r="AH413" s="15" t="n">
        <x:v>339</x:v>
      </x:c>
    </x:row>
    <x:row r="414">
      <x:c r="A414" s="15" t="str">
        <x:v>Bu-164</x:v>
      </x:c>
      <x:c r="B414" s="15" t="str">
        <x:v>Commercial Catalogue | 6NCs optimization | Solution for GTIN</x:v>
      </x:c>
      <x:c r="C414" s="15" t="str">
        <x:v>BU Led</x:v>
      </x:c>
      <x:c r="D414" s="15" t="str">
        <x:v>Precision Diagnosis - Magnetic Resonance (MR)</x:v>
      </x:c>
      <x:c r="E414" s="19" t="n">
        <x:v>0.2</x:v>
      </x:c>
      <x:c r="F414" s="19" t="n">
        <x:v>0</x:v>
      </x:c>
      <x:c r="G414" s="22" t="n">
        <x:f>IF(AND(E414&gt;0,ISNUMBER(F414)),F414/E414,"")</x:f>
        <x:v>0</x:v>
      </x:c>
      <x:c r="H414" s="15" t="str">
        <x:v>ROI-Based Portfolio</x:v>
      </x:c>
      <x:c r="I414" s="15" t="n">
        <x:v>112</x:v>
      </x:c>
      <x:c r="J414" s="15" t="n">
        <x:v>5</x:v>
      </x:c>
      <x:c r="K414" s="23" t="n">
        <x:f>IF(G414="",0,IF(G414&lt;1,0,IF(G414&lt;2,20,IF(G414&lt;3,30,IF(G414&lt;5,40,50)))))*'Scenario Controls'!$B$22/50</x:f>
        <x:v>0</x:v>
      </x:c>
      <x:c r="L414" s="23" t="n">
        <x:f>IF(ISNUMBER(SEARCH("Must Do",AG414)),25,IF(ISNUMBER(SEARCH("Must Have",AG414)),18,IF(ISNUMBER(SEARCH("Deprior",AG414)),5,0)))*'Scenario Controls'!$B$23/25</x:f>
        <x:v>25</x:v>
      </x:c>
      <x:c r="M414" s="23" t="n">
        <x:f>J414*'Scenario Controls'!$B$24/15</x:f>
        <x:v>5</x:v>
      </x:c>
      <x:c r="N414" s="23" t="n">
        <x:f>IF(ISNUMBER(SEARCH("HEALTHY",X414)),10,IF(ISNUMBER(SEARCH("CONTAIN",X414)),6,0))*'Scenario Controls'!$B$25/10</x:f>
        <x:v>0</x:v>
      </x:c>
      <x:c r="O414" s="23" t="n">
        <x:f>SUM(K414:N414)</x:f>
        <x:v>30</x:v>
      </x:c>
      <x:c r="P414" s="15" t="str">
        <x:f>IF(OR(B414="",E414&lt;=0),"Evidence missing / not eligible",IF(ISNUMBER(SEARCH("priority TBD",Y414)),"Evidence missing / not eligible",IF(AND(H414="Carryover",NOT(ISNUMBER(F414))),"Evidence missing / not eligible",IF(AND(H414="Carryover",G414&lt;'Scenario Controls'!$B$16),"Evidence missing / not eligible",IF(AND(H414="ROI-Based Portfolio",NOT(ISNUMBER(F414))),"Evidence missing / not eligible",IF(AND(H414="ROI-Based Portfolio",O414&lt;'Scenario Controls'!$B$20),"Evidence missing / not eligible","Eligible"))))))</x:f>
        <x:v>Evidence missing / not eligible</x:v>
      </x:c>
      <x:c r="Q414" s="19" t="n">
        <x:f>IF(P414&lt;&gt;"Eligible",0,IF(AND(SUMIFS($Q$5:Q413,$H$5:H413,H414)+E414&lt;=(IF(H414="LFR",'Scenario Controls'!$F$10,IF(H414="Sustain Engineering",'Scenario Controls'!$F$11,IF(H414="Hygiene",'Scenario Controls'!$F$12,1E+99))))*(1+'Scenario Controls'!$B$7),SUM($Q$5:Q413)+E414&lt;='Scenario Controls'!$B$6*(1+'Scenario Controls'!$B$7)),E414,0))</x:f>
        <x:v>0</x:v>
      </x:c>
      <x:c r="R414" s="24" t="str">
        <x:f>'BU Conference'!G239</x:f>
        <x:v>Automatic</x:v>
      </x:c>
      <x:c r="S414" s="24" t="str">
        <x:f>'BU Conference'!H239</x:f>
      </x:c>
      <x:c r="T414" s="19" t="n">
        <x:f>IF(R414="Exclude",0,IF(R414="Include",E414,Q414))</x:f>
        <x:v>0</x:v>
      </x:c>
      <x:c r="U414" s="15" t="str">
        <x:f>IF(T414&gt;0,"Funded",IF(P414="Eligible","Unfunded",P414))</x:f>
        <x:v>Evidence missing / not eligible</x:v>
      </x:c>
      <x:c r="V414" s="15" t="str">
        <x:f>IF(R414="Include","Conference inclusion: "&amp;S414,IF(R414="Exclude","Conference exclusion: "&amp;S414,IF(Q414&gt;0,H414&amp;" priority rank "&amp;I414&amp;"; whole initiative selected",P414)))</x:f>
        <x:v>Evidence missing / not eligible</x:v>
      </x:c>
      <x:c r="W414" s="15" t="str">
        <x:v>Bu!392</x:v>
      </x:c>
      <x:c r="X414" s="15" t="str"/>
      <x:c r="Y414" s="15" t="str"/>
      <x:c r="Z414" s="15" t="str">
        <x:v>New Feature</x:v>
      </x:c>
      <x:c r="AA414" s="15" t="str">
        <x:v>New Initiative</x:v>
      </x:c>
      <x:c r="AB414" s="15" t="str">
        <x:v>Integrated Supply Chain &amp; Finance</x:v>
      </x:c>
      <x:c r="AC414" s="15" t="str"/>
      <x:c r="AD414" s="15" t="str"/>
      <x:c r="AE414" s="15" t="str">
        <x:v>3rd party SW Ordering &amp; Fulfilment:</x:v>
      </x:c>
      <x:c r="AF414" s="15" t="str">
        <x:v>3rd party SW Ordering &amp; Fulfilment:</x:v>
      </x:c>
      <x:c r="AG414" s="15" t="str">
        <x:v>Must Do</x:v>
      </x:c>
      <x:c r="AH414" s="15" t="n">
        <x:v>341</x:v>
      </x:c>
    </x:row>
    <x:row r="415">
      <x:c r="A415" s="15" t="str">
        <x:v>Bu-165</x:v>
      </x:c>
      <x:c r="B415" s="15" t="str">
        <x:v>Spaniel 4 &amp; 5 | 3P SW PPP Business Model Archetype MVP</x:v>
      </x:c>
      <x:c r="C415" s="15" t="str">
        <x:v>BU Led</x:v>
      </x:c>
      <x:c r="D415" s="15" t="str">
        <x:v>Precision Diagnosis - Magnetic Resonance (MR)</x:v>
      </x:c>
      <x:c r="E415" s="19" t="n">
        <x:v>0.25</x:v>
      </x:c>
      <x:c r="F415" s="19" t="n">
        <x:v>0</x:v>
      </x:c>
      <x:c r="G415" s="22" t="n">
        <x:f>IF(AND(E415&gt;0,ISNUMBER(F415)),F415/E415,"")</x:f>
        <x:v>0</x:v>
      </x:c>
      <x:c r="H415" s="15" t="str">
        <x:v>ROI-Based Portfolio</x:v>
      </x:c>
      <x:c r="I415" s="15" t="n">
        <x:v>113</x:v>
      </x:c>
      <x:c r="J415" s="15" t="n">
        <x:v>5</x:v>
      </x:c>
      <x:c r="K415" s="23" t="n">
        <x:f>IF(G415="",0,IF(G415&lt;1,0,IF(G415&lt;2,20,IF(G415&lt;3,30,IF(G415&lt;5,40,50)))))*'Scenario Controls'!$B$22/50</x:f>
        <x:v>0</x:v>
      </x:c>
      <x:c r="L415" s="23" t="n">
        <x:f>IF(ISNUMBER(SEARCH("Must Do",AG415)),25,IF(ISNUMBER(SEARCH("Must Have",AG415)),18,IF(ISNUMBER(SEARCH("Deprior",AG415)),5,0)))*'Scenario Controls'!$B$23/25</x:f>
        <x:v>25</x:v>
      </x:c>
      <x:c r="M415" s="23" t="n">
        <x:f>J415*'Scenario Controls'!$B$24/15</x:f>
        <x:v>5</x:v>
      </x:c>
      <x:c r="N415" s="23" t="n">
        <x:f>IF(ISNUMBER(SEARCH("HEALTHY",X415)),10,IF(ISNUMBER(SEARCH("CONTAIN",X415)),6,0))*'Scenario Controls'!$B$25/10</x:f>
        <x:v>0</x:v>
      </x:c>
      <x:c r="O415" s="23" t="n">
        <x:f>SUM(K415:N415)</x:f>
        <x:v>30</x:v>
      </x:c>
      <x:c r="P415" s="15" t="str">
        <x:f>IF(OR(B415="",E415&lt;=0),"Evidence missing / not eligible",IF(ISNUMBER(SEARCH("priority TBD",Y415)),"Evidence missing / not eligible",IF(AND(H415="Carryover",NOT(ISNUMBER(F415))),"Evidence missing / not eligible",IF(AND(H415="Carryover",G415&lt;'Scenario Controls'!$B$16),"Evidence missing / not eligible",IF(AND(H415="ROI-Based Portfolio",NOT(ISNUMBER(F415))),"Evidence missing / not eligible",IF(AND(H415="ROI-Based Portfolio",O415&lt;'Scenario Controls'!$B$20),"Evidence missing / not eligible","Eligible"))))))</x:f>
        <x:v>Evidence missing / not eligible</x:v>
      </x:c>
      <x:c r="Q415" s="19" t="n">
        <x:f>IF(P415&lt;&gt;"Eligible",0,IF(AND(SUMIFS($Q$5:Q414,$H$5:H414,H415)+E415&lt;=(IF(H415="LFR",'Scenario Controls'!$F$10,IF(H415="Sustain Engineering",'Scenario Controls'!$F$11,IF(H415="Hygiene",'Scenario Controls'!$F$12,1E+99))))*(1+'Scenario Controls'!$B$7),SUM($Q$5:Q414)+E415&lt;='Scenario Controls'!$B$6*(1+'Scenario Controls'!$B$7)),E415,0))</x:f>
        <x:v>0</x:v>
      </x:c>
      <x:c r="R415" s="24" t="str">
        <x:f>'BU Conference'!G240</x:f>
        <x:v>Automatic</x:v>
      </x:c>
      <x:c r="S415" s="24" t="str">
        <x:f>'BU Conference'!H240</x:f>
      </x:c>
      <x:c r="T415" s="19" t="n">
        <x:f>IF(R415="Exclude",0,IF(R415="Include",E415,Q415))</x:f>
        <x:v>0</x:v>
      </x:c>
      <x:c r="U415" s="15" t="str">
        <x:f>IF(T415&gt;0,"Funded",IF(P415="Eligible","Unfunded",P415))</x:f>
        <x:v>Evidence missing / not eligible</x:v>
      </x:c>
      <x:c r="V415" s="15" t="str">
        <x:f>IF(R415="Include","Conference inclusion: "&amp;S415,IF(R415="Exclude","Conference exclusion: "&amp;S415,IF(Q415&gt;0,H415&amp;" priority rank "&amp;I415&amp;"; whole initiative selected",P415)))</x:f>
        <x:v>Evidence missing / not eligible</x:v>
      </x:c>
      <x:c r="W415" s="15" t="str">
        <x:v>Bu!399</x:v>
      </x:c>
      <x:c r="X415" s="15" t="str"/>
      <x:c r="Y415" s="15" t="str"/>
      <x:c r="Z415" s="15" t="str">
        <x:v>New Feature</x:v>
      </x:c>
      <x:c r="AA415" s="15" t="str">
        <x:v>New Initiative</x:v>
      </x:c>
      <x:c r="AB415" s="15" t="str">
        <x:v>Services &amp; Solutions IT</x:v>
      </x:c>
      <x:c r="AC415" s="15" t="str"/>
      <x:c r="AD415" s="15" t="str"/>
      <x:c r="AE415" s="15" t="str">
        <x:v>2027 Scope : Decide the direction for having one pricing source of truth which enables Cat on Demand</x:v>
      </x:c>
      <x:c r="AF415" s="15" t="str">
        <x:v>2027 Scope : Decide the direction for having one pricing source of truth which enables Cat on Demand</x:v>
      </x:c>
      <x:c r="AG415" s="15" t="str">
        <x:v>Must Do</x:v>
      </x:c>
      <x:c r="AH415" s="15" t="n">
        <x:v>342</x:v>
      </x:c>
    </x:row>
    <x:row r="416">
      <x:c r="A416" s="15" t="str">
        <x:v>Bu-173</x:v>
      </x:c>
      <x:c r="B416" s="15" t="str">
        <x:v>3PP | 3rd party partners program</x:v>
      </x:c>
      <x:c r="C416" s="15" t="str">
        <x:v>BU Led</x:v>
      </x:c>
      <x:c r="D416" s="15" t="str">
        <x:v>Precision Diagnosis - Magnetic Resonance (MR)</x:v>
      </x:c>
      <x:c r="E416" s="19" t="n">
        <x:v>0.85</x:v>
      </x:c>
      <x:c r="F416" s="19" t="n">
        <x:v>0</x:v>
      </x:c>
      <x:c r="G416" s="22" t="n">
        <x:f>IF(AND(E416&gt;0,ISNUMBER(F416)),F416/E416,"")</x:f>
        <x:v>0</x:v>
      </x:c>
      <x:c r="H416" s="15" t="str">
        <x:v>ROI-Based Portfolio</x:v>
      </x:c>
      <x:c r="I416" s="15" t="n">
        <x:v>114</x:v>
      </x:c>
      <x:c r="J416" s="15" t="n">
        <x:v>5</x:v>
      </x:c>
      <x:c r="K416" s="23" t="n">
        <x:f>IF(G416="",0,IF(G416&lt;1,0,IF(G416&lt;2,20,IF(G416&lt;3,30,IF(G416&lt;5,40,50)))))*'Scenario Controls'!$B$22/50</x:f>
        <x:v>0</x:v>
      </x:c>
      <x:c r="L416" s="23" t="n">
        <x:f>IF(ISNUMBER(SEARCH("Must Do",AG416)),25,IF(ISNUMBER(SEARCH("Must Have",AG416)),18,IF(ISNUMBER(SEARCH("Deprior",AG416)),5,0)))*'Scenario Controls'!$B$23/25</x:f>
        <x:v>25</x:v>
      </x:c>
      <x:c r="M416" s="23" t="n">
        <x:f>J416*'Scenario Controls'!$B$24/15</x:f>
        <x:v>5</x:v>
      </x:c>
      <x:c r="N416" s="23" t="n">
        <x:f>IF(ISNUMBER(SEARCH("HEALTHY",X416)),10,IF(ISNUMBER(SEARCH("CONTAIN",X416)),6,0))*'Scenario Controls'!$B$25/10</x:f>
        <x:v>0</x:v>
      </x:c>
      <x:c r="O416" s="23" t="n">
        <x:f>SUM(K416:N416)</x:f>
        <x:v>30</x:v>
      </x:c>
      <x:c r="P416" s="15" t="str">
        <x:f>IF(OR(B416="",E416&lt;=0),"Evidence missing / not eligible",IF(ISNUMBER(SEARCH("priority TBD",Y416)),"Evidence missing / not eligible",IF(AND(H416="Carryover",NOT(ISNUMBER(F416))),"Evidence missing / not eligible",IF(AND(H416="Carryover",G416&lt;'Scenario Controls'!$B$16),"Evidence missing / not eligible",IF(AND(H416="ROI-Based Portfolio",NOT(ISNUMBER(F416))),"Evidence missing / not eligible",IF(AND(H416="ROI-Based Portfolio",O416&lt;'Scenario Controls'!$B$20),"Evidence missing / not eligible","Eligible"))))))</x:f>
        <x:v>Evidence missing / not eligible</x:v>
      </x:c>
      <x:c r="Q416" s="19" t="n">
        <x:f>IF(P416&lt;&gt;"Eligible",0,IF(AND(SUMIFS($Q$5:Q415,$H$5:H415,H416)+E416&lt;=(IF(H416="LFR",'Scenario Controls'!$F$10,IF(H416="Sustain Engineering",'Scenario Controls'!$F$11,IF(H416="Hygiene",'Scenario Controls'!$F$12,1E+99))))*(1+'Scenario Controls'!$B$7),SUM($Q$5:Q415)+E416&lt;='Scenario Controls'!$B$6*(1+'Scenario Controls'!$B$7)),E416,0))</x:f>
        <x:v>0</x:v>
      </x:c>
      <x:c r="R416" s="24" t="str">
        <x:f>'BU Conference'!G241</x:f>
        <x:v>Automatic</x:v>
      </x:c>
      <x:c r="S416" s="24" t="str">
        <x:f>'BU Conference'!H241</x:f>
      </x:c>
      <x:c r="T416" s="19" t="n">
        <x:f>IF(R416="Exclude",0,IF(R416="Include",E416,Q416))</x:f>
        <x:v>0</x:v>
      </x:c>
      <x:c r="U416" s="15" t="str">
        <x:f>IF(T416&gt;0,"Funded",IF(P416="Eligible","Unfunded",P416))</x:f>
        <x:v>Evidence missing / not eligible</x:v>
      </x:c>
      <x:c r="V416" s="15" t="str">
        <x:f>IF(R416="Include","Conference inclusion: "&amp;S416,IF(R416="Exclude","Conference exclusion: "&amp;S416,IF(Q416&gt;0,H416&amp;" priority rank "&amp;I416&amp;"; whole initiative selected",P416)))</x:f>
        <x:v>Evidence missing / not eligible</x:v>
      </x:c>
      <x:c r="W416" s="15" t="str">
        <x:v>Bu!428</x:v>
      </x:c>
      <x:c r="X416" s="15" t="str"/>
      <x:c r="Y416" s="15" t="str"/>
      <x:c r="Z416" s="15" t="str">
        <x:v>New Feature</x:v>
      </x:c>
      <x:c r="AA416" s="15" t="str">
        <x:v>New Initiative</x:v>
      </x:c>
      <x:c r="AB416" s="15" t="str">
        <x:v>Commercial IT</x:v>
      </x:c>
      <x:c r="AC416" s="15" t="str"/>
      <x:c r="AD416" s="15" t="str"/>
      <x:c r="AE416" s="15" t="str">
        <x:v>Scope 1: Deliver AI driven quoting tool for MR which will replace enable Conga decom</x:v>
      </x:c>
      <x:c r="AF416" s="15" t="str">
        <x:v>Scope 1: Deliver AI driven quoting tool for MR which will replace enable Conga decom</x:v>
      </x:c>
      <x:c r="AG416" s="15" t="str">
        <x:v>Must Do</x:v>
      </x:c>
      <x:c r="AH416" s="15" t="n">
        <x:v>350</x:v>
      </x:c>
    </x:row>
    <x:row r="417">
      <x:c r="A417" s="15" t="str">
        <x:v>Bu-174</x:v>
      </x:c>
      <x:c r="B417" s="15" t="str">
        <x:v>Sensei for quoting (AI solution)</x:v>
      </x:c>
      <x:c r="C417" s="15" t="str">
        <x:v>BU Led</x:v>
      </x:c>
      <x:c r="D417" s="15" t="str">
        <x:v>Precision Diagnosis - Magnetic Resonance (MR)</x:v>
      </x:c>
      <x:c r="E417" s="19" t="n">
        <x:v>1</x:v>
      </x:c>
      <x:c r="F417" s="19" t="n">
        <x:v>0</x:v>
      </x:c>
      <x:c r="G417" s="22" t="n">
        <x:f>IF(AND(E417&gt;0,ISNUMBER(F417)),F417/E417,"")</x:f>
        <x:v>0</x:v>
      </x:c>
      <x:c r="H417" s="15" t="str">
        <x:v>ROI-Based Portfolio</x:v>
      </x:c>
      <x:c r="I417" s="15" t="n">
        <x:v>115</x:v>
      </x:c>
      <x:c r="J417" s="15" t="n">
        <x:v>5</x:v>
      </x:c>
      <x:c r="K417" s="23" t="n">
        <x:f>IF(G417="",0,IF(G417&lt;1,0,IF(G417&lt;2,20,IF(G417&lt;3,30,IF(G417&lt;5,40,50)))))*'Scenario Controls'!$B$22/50</x:f>
        <x:v>0</x:v>
      </x:c>
      <x:c r="L417" s="23" t="n">
        <x:f>IF(ISNUMBER(SEARCH("Must Do",AG417)),25,IF(ISNUMBER(SEARCH("Must Have",AG417)),18,IF(ISNUMBER(SEARCH("Deprior",AG417)),5,0)))*'Scenario Controls'!$B$23/25</x:f>
        <x:v>25</x:v>
      </x:c>
      <x:c r="M417" s="23" t="n">
        <x:f>J417*'Scenario Controls'!$B$24/15</x:f>
        <x:v>5</x:v>
      </x:c>
      <x:c r="N417" s="23" t="n">
        <x:f>IF(ISNUMBER(SEARCH("HEALTHY",X417)),10,IF(ISNUMBER(SEARCH("CONTAIN",X417)),6,0))*'Scenario Controls'!$B$25/10</x:f>
        <x:v>0</x:v>
      </x:c>
      <x:c r="O417" s="23" t="n">
        <x:f>SUM(K417:N417)</x:f>
        <x:v>30</x:v>
      </x:c>
      <x:c r="P417" s="15" t="str">
        <x:f>IF(OR(B417="",E417&lt;=0),"Evidence missing / not eligible",IF(ISNUMBER(SEARCH("priority TBD",Y417)),"Evidence missing / not eligible",IF(AND(H417="Carryover",NOT(ISNUMBER(F417))),"Evidence missing / not eligible",IF(AND(H417="Carryover",G417&lt;'Scenario Controls'!$B$16),"Evidence missing / not eligible",IF(AND(H417="ROI-Based Portfolio",NOT(ISNUMBER(F417))),"Evidence missing / not eligible",IF(AND(H417="ROI-Based Portfolio",O417&lt;'Scenario Controls'!$B$20),"Evidence missing / not eligible","Eligible"))))))</x:f>
        <x:v>Evidence missing / not eligible</x:v>
      </x:c>
      <x:c r="Q417" s="19" t="n">
        <x:f>IF(P417&lt;&gt;"Eligible",0,IF(AND(SUMIFS($Q$5:Q416,$H$5:H416,H417)+E417&lt;=(IF(H417="LFR",'Scenario Controls'!$F$10,IF(H417="Sustain Engineering",'Scenario Controls'!$F$11,IF(H417="Hygiene",'Scenario Controls'!$F$12,1E+99))))*(1+'Scenario Controls'!$B$7),SUM($Q$5:Q416)+E417&lt;='Scenario Controls'!$B$6*(1+'Scenario Controls'!$B$7)),E417,0))</x:f>
        <x:v>0</x:v>
      </x:c>
      <x:c r="R417" s="24" t="str">
        <x:f>'BU Conference'!G242</x:f>
        <x:v>Automatic</x:v>
      </x:c>
      <x:c r="S417" s="24" t="str">
        <x:f>'BU Conference'!H242</x:f>
      </x:c>
      <x:c r="T417" s="19" t="n">
        <x:f>IF(R417="Exclude",0,IF(R417="Include",E417,Q417))</x:f>
        <x:v>0</x:v>
      </x:c>
      <x:c r="U417" s="15" t="str">
        <x:f>IF(T417&gt;0,"Funded",IF(P417="Eligible","Unfunded",P417))</x:f>
        <x:v>Evidence missing / not eligible</x:v>
      </x:c>
      <x:c r="V417" s="15" t="str">
        <x:f>IF(R417="Include","Conference inclusion: "&amp;S417,IF(R417="Exclude","Conference exclusion: "&amp;S417,IF(Q417&gt;0,H417&amp;" priority rank "&amp;I417&amp;"; whole initiative selected",P417)))</x:f>
        <x:v>Evidence missing / not eligible</x:v>
      </x:c>
      <x:c r="W417" s="15" t="str">
        <x:v>Bu!431</x:v>
      </x:c>
      <x:c r="X417" s="15" t="str"/>
      <x:c r="Y417" s="15" t="str"/>
      <x:c r="Z417" s="15" t="str">
        <x:v>AI Enablement</x:v>
      </x:c>
      <x:c r="AA417" s="15" t="str">
        <x:v>New Initiative</x:v>
      </x:c>
      <x:c r="AB417" s="15" t="str">
        <x:v>Innovation and Digital IT</x:v>
      </x:c>
      <x:c r="AC417" s="15" t="str"/>
      <x:c r="AD417" s="15" t="str"/>
      <x:c r="AE417" s="15" t="str">
        <x:v>Reservation for BU specific change requests for Planisware</x:v>
      </x:c>
      <x:c r="AF417" s="15" t="str">
        <x:v>Reservation for BU specific change requests for Planisware</x:v>
      </x:c>
      <x:c r="AG417" s="15" t="str">
        <x:v>Must Do</x:v>
      </x:c>
      <x:c r="AH417" s="15" t="n">
        <x:v>351</x:v>
      </x:c>
    </x:row>
    <x:row r="418">
      <x:c r="A418" s="15" t="str">
        <x:v>Bu-188</x:v>
      </x:c>
      <x:c r="B418" s="15" t="str">
        <x:v>PD AI Solutions</x:v>
      </x:c>
      <x:c r="C418" s="15" t="str">
        <x:v>BU Led</x:v>
      </x:c>
      <x:c r="D418" s="15" t="str">
        <x:v>Precision Diagnosis - Magnetic Resonance (MR)</x:v>
      </x:c>
      <x:c r="E418" s="19" t="n">
        <x:v>0.18</x:v>
      </x:c>
      <x:c r="F418" s="19" t="n">
        <x:v>0</x:v>
      </x:c>
      <x:c r="G418" s="22" t="n">
        <x:f>IF(AND(E418&gt;0,ISNUMBER(F418)),F418/E418,"")</x:f>
        <x:v>0</x:v>
      </x:c>
      <x:c r="H418" s="15" t="str">
        <x:v>ROI-Based Portfolio</x:v>
      </x:c>
      <x:c r="I418" s="15" t="n">
        <x:v>116</x:v>
      </x:c>
      <x:c r="J418" s="15" t="n">
        <x:v>5</x:v>
      </x:c>
      <x:c r="K418" s="23" t="n">
        <x:f>IF(G418="",0,IF(G418&lt;1,0,IF(G418&lt;2,20,IF(G418&lt;3,30,IF(G418&lt;5,40,50)))))*'Scenario Controls'!$B$22/50</x:f>
        <x:v>0</x:v>
      </x:c>
      <x:c r="L418" s="23" t="n">
        <x:f>IF(ISNUMBER(SEARCH("Must Do",AG418)),25,IF(ISNUMBER(SEARCH("Must Have",AG418)),18,IF(ISNUMBER(SEARCH("Deprior",AG418)),5,0)))*'Scenario Controls'!$B$23/25</x:f>
        <x:v>25</x:v>
      </x:c>
      <x:c r="M418" s="23" t="n">
        <x:f>J418*'Scenario Controls'!$B$24/15</x:f>
        <x:v>5</x:v>
      </x:c>
      <x:c r="N418" s="23" t="n">
        <x:f>IF(ISNUMBER(SEARCH("HEALTHY",X418)),10,IF(ISNUMBER(SEARCH("CONTAIN",X418)),6,0))*'Scenario Controls'!$B$25/10</x:f>
        <x:v>0</x:v>
      </x:c>
      <x:c r="O418" s="23" t="n">
        <x:f>SUM(K418:N418)</x:f>
        <x:v>30</x:v>
      </x:c>
      <x:c r="P418" s="15" t="str">
        <x:f>IF(OR(B418="",E418&lt;=0),"Evidence missing / not eligible",IF(ISNUMBER(SEARCH("priority TBD",Y418)),"Evidence missing / not eligible",IF(AND(H418="Carryover",NOT(ISNUMBER(F418))),"Evidence missing / not eligible",IF(AND(H418="Carryover",G418&lt;'Scenario Controls'!$B$16),"Evidence missing / not eligible",IF(AND(H418="ROI-Based Portfolio",NOT(ISNUMBER(F418))),"Evidence missing / not eligible",IF(AND(H418="ROI-Based Portfolio",O418&lt;'Scenario Controls'!$B$20),"Evidence missing / not eligible","Eligible"))))))</x:f>
        <x:v>Evidence missing / not eligible</x:v>
      </x:c>
      <x:c r="Q418" s="19" t="n">
        <x:f>IF(P418&lt;&gt;"Eligible",0,IF(AND(SUMIFS($Q$5:Q417,$H$5:H417,H418)+E418&lt;=(IF(H418="LFR",'Scenario Controls'!$F$10,IF(H418="Sustain Engineering",'Scenario Controls'!$F$11,IF(H418="Hygiene",'Scenario Controls'!$F$12,1E+99))))*(1+'Scenario Controls'!$B$7),SUM($Q$5:Q417)+E418&lt;='Scenario Controls'!$B$6*(1+'Scenario Controls'!$B$7)),E418,0))</x:f>
        <x:v>0</x:v>
      </x:c>
      <x:c r="R418" s="24" t="str">
        <x:f>'BU Conference'!G243</x:f>
        <x:v>Automatic</x:v>
      </x:c>
      <x:c r="S418" s="24" t="str">
        <x:f>'BU Conference'!H243</x:f>
      </x:c>
      <x:c r="T418" s="19" t="n">
        <x:f>IF(R418="Exclude",0,IF(R418="Include",E418,Q418))</x:f>
        <x:v>0</x:v>
      </x:c>
      <x:c r="U418" s="15" t="str">
        <x:f>IF(T418&gt;0,"Funded",IF(P418="Eligible","Unfunded",P418))</x:f>
        <x:v>Evidence missing / not eligible</x:v>
      </x:c>
      <x:c r="V418" s="15" t="str">
        <x:f>IF(R418="Include","Conference inclusion: "&amp;S418,IF(R418="Exclude","Conference exclusion: "&amp;S418,IF(Q418&gt;0,H418&amp;" priority rank "&amp;I418&amp;"; whole initiative selected",P418)))</x:f>
        <x:v>Evidence missing / not eligible</x:v>
      </x:c>
      <x:c r="W418" s="15" t="str">
        <x:v>Bu!449</x:v>
      </x:c>
      <x:c r="X418" s="15" t="str"/>
      <x:c r="Y418" s="15" t="str"/>
      <x:c r="Z418" s="15" t="str">
        <x:v>New Technology</x:v>
      </x:c>
      <x:c r="AA418" s="15" t="str">
        <x:v>New Initiative</x:v>
      </x:c>
      <x:c r="AB418" s="15" t="str">
        <x:v>Enterprise Architecture, Data &amp; Integration</x:v>
      </x:c>
      <x:c r="AC418" s="15" t="str"/>
      <x:c r="AD418" s="15" t="str"/>
      <x:c r="AE418" s="15" t="str">
        <x:v>CPL Bot – €20K</x:v>
      </x:c>
      <x:c r="AF418" s="15" t="str">
        <x:v>CPL Bot – €20K</x:v>
      </x:c>
      <x:c r="AG418" s="15" t="str">
        <x:v>Must Do</x:v>
      </x:c>
      <x:c r="AH418" s="15" t="n">
        <x:v>365</x:v>
      </x:c>
    </x:row>
    <x:row r="419">
      <x:c r="A419" s="15" t="str">
        <x:v>Bu-241</x:v>
      </x:c>
      <x:c r="B419" s="15" t="str">
        <x:v>Atlas (Regional Merge Center) — IT sap System</x:v>
      </x:c>
      <x:c r="C419" s="15" t="str">
        <x:v>BU Led</x:v>
      </x:c>
      <x:c r="D419" s="15" t="str">
        <x:v>Precision Diagnosis - Magnetic Resonance (MR)</x:v>
      </x:c>
      <x:c r="E419" s="19" t="n">
        <x:v>0.05</x:v>
      </x:c>
      <x:c r="F419" s="19" t="n">
        <x:v>0</x:v>
      </x:c>
      <x:c r="G419" s="22" t="n">
        <x:f>IF(AND(E419&gt;0,ISNUMBER(F419)),F419/E419,"")</x:f>
        <x:v>0</x:v>
      </x:c>
      <x:c r="H419" s="15" t="str">
        <x:v>ROI-Based Portfolio</x:v>
      </x:c>
      <x:c r="I419" s="15" t="n">
        <x:v>117</x:v>
      </x:c>
      <x:c r="J419" s="15" t="n">
        <x:v>5</x:v>
      </x:c>
      <x:c r="K419" s="23" t="n">
        <x:f>IF(G419="",0,IF(G419&lt;1,0,IF(G419&lt;2,20,IF(G419&lt;3,30,IF(G419&lt;5,40,50)))))*'Scenario Controls'!$B$22/50</x:f>
        <x:v>0</x:v>
      </x:c>
      <x:c r="L419" s="23" t="n">
        <x:f>IF(ISNUMBER(SEARCH("Must Do",AG419)),25,IF(ISNUMBER(SEARCH("Must Have",AG419)),18,IF(ISNUMBER(SEARCH("Deprior",AG419)),5,0)))*'Scenario Controls'!$B$23/25</x:f>
        <x:v>25</x:v>
      </x:c>
      <x:c r="M419" s="23" t="n">
        <x:f>J419*'Scenario Controls'!$B$24/15</x:f>
        <x:v>5</x:v>
      </x:c>
      <x:c r="N419" s="23" t="n">
        <x:f>IF(ISNUMBER(SEARCH("HEALTHY",X419)),10,IF(ISNUMBER(SEARCH("CONTAIN",X419)),6,0))*'Scenario Controls'!$B$25/10</x:f>
        <x:v>0</x:v>
      </x:c>
      <x:c r="O419" s="23" t="n">
        <x:f>SUM(K419:N419)</x:f>
        <x:v>30</x:v>
      </x:c>
      <x:c r="P419" s="15" t="str">
        <x:f>IF(OR(B419="",E419&lt;=0),"Evidence missing / not eligible",IF(ISNUMBER(SEARCH("priority TBD",Y419)),"Evidence missing / not eligible",IF(AND(H419="Carryover",NOT(ISNUMBER(F419))),"Evidence missing / not eligible",IF(AND(H419="Carryover",G419&lt;'Scenario Controls'!$B$16),"Evidence missing / not eligible",IF(AND(H419="ROI-Based Portfolio",NOT(ISNUMBER(F419))),"Evidence missing / not eligible",IF(AND(H419="ROI-Based Portfolio",O419&lt;'Scenario Controls'!$B$20),"Evidence missing / not eligible","Eligible"))))))</x:f>
        <x:v>Evidence missing / not eligible</x:v>
      </x:c>
      <x:c r="Q419" s="19" t="n">
        <x:f>IF(P419&lt;&gt;"Eligible",0,IF(AND(SUMIFS($Q$5:Q418,$H$5:H418,H419)+E419&lt;=(IF(H419="LFR",'Scenario Controls'!$F$10,IF(H419="Sustain Engineering",'Scenario Controls'!$F$11,IF(H419="Hygiene",'Scenario Controls'!$F$12,1E+99))))*(1+'Scenario Controls'!$B$7),SUM($Q$5:Q418)+E419&lt;='Scenario Controls'!$B$6*(1+'Scenario Controls'!$B$7)),E419,0))</x:f>
        <x:v>0</x:v>
      </x:c>
      <x:c r="R419" s="24" t="str">
        <x:f>'BU Conference'!G244</x:f>
        <x:v>Automatic</x:v>
      </x:c>
      <x:c r="S419" s="24" t="str">
        <x:f>'BU Conference'!H244</x:f>
      </x:c>
      <x:c r="T419" s="19" t="n">
        <x:f>IF(R419="Exclude",0,IF(R419="Include",E419,Q419))</x:f>
        <x:v>0</x:v>
      </x:c>
      <x:c r="U419" s="15" t="str">
        <x:f>IF(T419&gt;0,"Funded",IF(P419="Eligible","Unfunded",P419))</x:f>
        <x:v>Evidence missing / not eligible</x:v>
      </x:c>
      <x:c r="V419" s="15" t="str">
        <x:f>IF(R419="Include","Conference inclusion: "&amp;S419,IF(R419="Exclude","Conference exclusion: "&amp;S419,IF(Q419&gt;0,H419&amp;" priority rank "&amp;I419&amp;"; whole initiative selected",P419)))</x:f>
        <x:v>Evidence missing / not eligible</x:v>
      </x:c>
      <x:c r="W419" s="15" t="str">
        <x:v>Bu!549</x:v>
      </x:c>
      <x:c r="X419" s="15" t="str"/>
      <x:c r="Y419" s="15" t="str"/>
      <x:c r="Z419" s="15" t="str">
        <x:v>New Technology</x:v>
      </x:c>
      <x:c r="AA419" s="15" t="str">
        <x:v>New Initiative</x:v>
      </x:c>
      <x:c r="AB419" s="15" t="str">
        <x:v>Integrated Supply Chain &amp; Finance</x:v>
      </x:c>
      <x:c r="AC419" s="15" t="str"/>
      <x:c r="AD419" s="15" t="str"/>
      <x:c r="AE419" s="15" t="str">
        <x:v>Regional Merge Center IT application to ensure operation and merge in the market</x:v>
      </x:c>
      <x:c r="AF419" s="15" t="str">
        <x:v>Regional Merge Center IT application to ensure operation and merge in the market</x:v>
      </x:c>
      <x:c r="AG419" s="15" t="str">
        <x:v>Must Do</x:v>
      </x:c>
      <x:c r="AH419" s="15" t="n">
        <x:v>421</x:v>
      </x:c>
    </x:row>
    <x:row r="420">
      <x:c r="A420" s="15" t="str">
        <x:v>Bu-246</x:v>
      </x:c>
      <x:c r="B420" s="15" t="str">
        <x:v>Mantan (NDA Project CT &amp; MR)</x:v>
      </x:c>
      <x:c r="C420" s="15" t="str">
        <x:v>BU Led</x:v>
      </x:c>
      <x:c r="D420" s="15" t="str">
        <x:v>Precision Diagnosis - Magnetic Resonance (MR)</x:v>
      </x:c>
      <x:c r="E420" s="19" t="n">
        <x:v>0.49</x:v>
      </x:c>
      <x:c r="F420" s="19" t="n">
        <x:v>0</x:v>
      </x:c>
      <x:c r="G420" s="22" t="n">
        <x:f>IF(AND(E420&gt;0,ISNUMBER(F420)),F420/E420,"")</x:f>
        <x:v>0</x:v>
      </x:c>
      <x:c r="H420" s="15" t="str">
        <x:v>ROI-Based Portfolio</x:v>
      </x:c>
      <x:c r="I420" s="15" t="n">
        <x:v>118</x:v>
      </x:c>
      <x:c r="J420" s="15" t="n">
        <x:v>5</x:v>
      </x:c>
      <x:c r="K420" s="23" t="n">
        <x:f>IF(G420="",0,IF(G420&lt;1,0,IF(G420&lt;2,20,IF(G420&lt;3,30,IF(G420&lt;5,40,50)))))*'Scenario Controls'!$B$22/50</x:f>
        <x:v>0</x:v>
      </x:c>
      <x:c r="L420" s="23" t="n">
        <x:f>IF(ISNUMBER(SEARCH("Must Do",AG420)),25,IF(ISNUMBER(SEARCH("Must Have",AG420)),18,IF(ISNUMBER(SEARCH("Deprior",AG420)),5,0)))*'Scenario Controls'!$B$23/25</x:f>
        <x:v>25</x:v>
      </x:c>
      <x:c r="M420" s="23" t="n">
        <x:f>J420*'Scenario Controls'!$B$24/15</x:f>
        <x:v>5</x:v>
      </x:c>
      <x:c r="N420" s="23" t="n">
        <x:f>IF(ISNUMBER(SEARCH("HEALTHY",X420)),10,IF(ISNUMBER(SEARCH("CONTAIN",X420)),6,0))*'Scenario Controls'!$B$25/10</x:f>
        <x:v>0</x:v>
      </x:c>
      <x:c r="O420" s="23" t="n">
        <x:f>SUM(K420:N420)</x:f>
        <x:v>30</x:v>
      </x:c>
      <x:c r="P420" s="15" t="str">
        <x:f>IF(OR(B420="",E420&lt;=0),"Evidence missing / not eligible",IF(ISNUMBER(SEARCH("priority TBD",Y420)),"Evidence missing / not eligible",IF(AND(H420="Carryover",NOT(ISNUMBER(F420))),"Evidence missing / not eligible",IF(AND(H420="Carryover",G420&lt;'Scenario Controls'!$B$16),"Evidence missing / not eligible",IF(AND(H420="ROI-Based Portfolio",NOT(ISNUMBER(F420))),"Evidence missing / not eligible",IF(AND(H420="ROI-Based Portfolio",O420&lt;'Scenario Controls'!$B$20),"Evidence missing / not eligible","Eligible"))))))</x:f>
        <x:v>Evidence missing / not eligible</x:v>
      </x:c>
      <x:c r="Q420" s="19" t="n">
        <x:f>IF(P420&lt;&gt;"Eligible",0,IF(AND(SUMIFS($Q$5:Q419,$H$5:H419,H420)+E420&lt;=(IF(H420="LFR",'Scenario Controls'!$F$10,IF(H420="Sustain Engineering",'Scenario Controls'!$F$11,IF(H420="Hygiene",'Scenario Controls'!$F$12,1E+99))))*(1+'Scenario Controls'!$B$7),SUM($Q$5:Q419)+E420&lt;='Scenario Controls'!$B$6*(1+'Scenario Controls'!$B$7)),E420,0))</x:f>
        <x:v>0</x:v>
      </x:c>
      <x:c r="R420" s="24" t="str">
        <x:f>'BU Conference'!G245</x:f>
        <x:v>Automatic</x:v>
      </x:c>
      <x:c r="S420" s="24" t="str">
        <x:f>'BU Conference'!H245</x:f>
      </x:c>
      <x:c r="T420" s="19" t="n">
        <x:f>IF(R420="Exclude",0,IF(R420="Include",E420,Q420))</x:f>
        <x:v>0</x:v>
      </x:c>
      <x:c r="U420" s="15" t="str">
        <x:f>IF(T420&gt;0,"Funded",IF(P420="Eligible","Unfunded",P420))</x:f>
        <x:v>Evidence missing / not eligible</x:v>
      </x:c>
      <x:c r="V420" s="15" t="str">
        <x:f>IF(R420="Include","Conference inclusion: "&amp;S420,IF(R420="Exclude","Conference exclusion: "&amp;S420,IF(Q420&gt;0,H420&amp;" priority rank "&amp;I420&amp;"; whole initiative selected",P420)))</x:f>
        <x:v>Evidence missing / not eligible</x:v>
      </x:c>
      <x:c r="W420" s="15" t="str">
        <x:v>Bu!554</x:v>
      </x:c>
      <x:c r="X420" s="15" t="str"/>
      <x:c r="Y420" s="15" t="str"/>
      <x:c r="Z420" s="15" t="str">
        <x:v>Legal Fiscal, Regulatory &amp; Compliancy</x:v>
      </x:c>
      <x:c r="AA420" s="15" t="str">
        <x:v>New Initiative</x:v>
      </x:c>
      <x:c r="AB420" s="15" t="str">
        <x:v>Integrated Supply Chain &amp; Finance</x:v>
      </x:c>
      <x:c r="AC420" s="15" t="str"/>
      <x:c r="AD420" s="15" t="str"/>
      <x:c r="AE420" s="15" t="str">
        <x:v>India Local for Local, to meet the requirement for minimal localization policy</x:v>
      </x:c>
      <x:c r="AF420" s="15" t="str">
        <x:v>India Local for Local, to meet the requirement for minimal localization policy</x:v>
      </x:c>
      <x:c r="AG420" s="15" t="str">
        <x:v>Must Do</x:v>
      </x:c>
      <x:c r="AH420" s="15" t="n">
        <x:v>426</x:v>
      </x:c>
    </x:row>
    <x:row r="421">
      <x:c r="A421" s="15" t="str">
        <x:v>Bu-289</x:v>
      </x:c>
      <x:c r="B421" s="15" t="str">
        <x:v>Agentic regulatory pipeline</x:v>
      </x:c>
      <x:c r="C421" s="15" t="str">
        <x:v>BU Led</x:v>
      </x:c>
      <x:c r="D421" s="15" t="str">
        <x:v>Personal Health (PH)</x:v>
      </x:c>
      <x:c r="E421" s="19" t="n">
        <x:v>0.1</x:v>
      </x:c>
      <x:c r="F421" s="19" t="n">
        <x:v>0</x:v>
      </x:c>
      <x:c r="G421" s="22" t="n">
        <x:f>IF(AND(E421&gt;0,ISNUMBER(F421)),F421/E421,"")</x:f>
        <x:v>0</x:v>
      </x:c>
      <x:c r="H421" s="15" t="str">
        <x:v>ROI-Based Portfolio</x:v>
      </x:c>
      <x:c r="I421" s="15" t="n">
        <x:v>119</x:v>
      </x:c>
      <x:c r="J421" s="15" t="n">
        <x:v>5</x:v>
      </x:c>
      <x:c r="K421" s="23" t="n">
        <x:f>IF(G421="",0,IF(G421&lt;1,0,IF(G421&lt;2,20,IF(G421&lt;3,30,IF(G421&lt;5,40,50)))))*'Scenario Controls'!$B$22/50</x:f>
        <x:v>0</x:v>
      </x:c>
      <x:c r="L421" s="23" t="n">
        <x:f>IF(ISNUMBER(SEARCH("Must Do",AG421)),25,IF(ISNUMBER(SEARCH("Must Have",AG421)),18,IF(ISNUMBER(SEARCH("Deprior",AG421)),5,0)))*'Scenario Controls'!$B$23/25</x:f>
        <x:v>25</x:v>
      </x:c>
      <x:c r="M421" s="23" t="n">
        <x:f>J421*'Scenario Controls'!$B$24/15</x:f>
        <x:v>5</x:v>
      </x:c>
      <x:c r="N421" s="23" t="n">
        <x:f>IF(ISNUMBER(SEARCH("HEALTHY",X421)),10,IF(ISNUMBER(SEARCH("CONTAIN",X421)),6,0))*'Scenario Controls'!$B$25/10</x:f>
        <x:v>0</x:v>
      </x:c>
      <x:c r="O421" s="23" t="n">
        <x:f>SUM(K421:N421)</x:f>
        <x:v>30</x:v>
      </x:c>
      <x:c r="P421" s="15" t="str">
        <x:f>IF(OR(B421="",E421&lt;=0),"Evidence missing / not eligible",IF(ISNUMBER(SEARCH("priority TBD",Y421)),"Evidence missing / not eligible",IF(AND(H421="Carryover",NOT(ISNUMBER(F421))),"Evidence missing / not eligible",IF(AND(H421="Carryover",G421&lt;'Scenario Controls'!$B$16),"Evidence missing / not eligible",IF(AND(H421="ROI-Based Portfolio",NOT(ISNUMBER(F421))),"Evidence missing / not eligible",IF(AND(H421="ROI-Based Portfolio",O421&lt;'Scenario Controls'!$B$20),"Evidence missing / not eligible","Eligible"))))))</x:f>
        <x:v>Evidence missing / not eligible</x:v>
      </x:c>
      <x:c r="Q421" s="19" t="n">
        <x:f>IF(P421&lt;&gt;"Eligible",0,IF(AND(SUMIFS($Q$5:Q420,$H$5:H420,H421)+E421&lt;=(IF(H421="LFR",'Scenario Controls'!$F$10,IF(H421="Sustain Engineering",'Scenario Controls'!$F$11,IF(H421="Hygiene",'Scenario Controls'!$F$12,1E+99))))*(1+'Scenario Controls'!$B$7),SUM($Q$5:Q420)+E421&lt;='Scenario Controls'!$B$6*(1+'Scenario Controls'!$B$7)),E421,0))</x:f>
        <x:v>0</x:v>
      </x:c>
      <x:c r="R421" s="24" t="str">
        <x:f>'BU Conference'!G246</x:f>
        <x:v>Automatic</x:v>
      </x:c>
      <x:c r="S421" s="24" t="str">
        <x:f>'BU Conference'!H246</x:f>
      </x:c>
      <x:c r="T421" s="19" t="n">
        <x:f>IF(R421="Exclude",0,IF(R421="Include",E421,Q421))</x:f>
        <x:v>0</x:v>
      </x:c>
      <x:c r="U421" s="15" t="str">
        <x:f>IF(T421&gt;0,"Funded",IF(P421="Eligible","Unfunded",P421))</x:f>
        <x:v>Evidence missing / not eligible</x:v>
      </x:c>
      <x:c r="V421" s="15" t="str">
        <x:f>IF(R421="Include","Conference inclusion: "&amp;S421,IF(R421="Exclude","Conference exclusion: "&amp;S421,IF(Q421&gt;0,H421&amp;" priority rank "&amp;I421&amp;"; whole initiative selected",P421)))</x:f>
        <x:v>Evidence missing / not eligible</x:v>
      </x:c>
      <x:c r="W421" s="15" t="str">
        <x:v>Bu!603</x:v>
      </x:c>
      <x:c r="X421" s="15" t="str"/>
      <x:c r="Y421" s="15" t="str"/>
      <x:c r="Z421" s="15" t="str">
        <x:v>AI Enablement</x:v>
      </x:c>
      <x:c r="AA421" s="15" t="str">
        <x:v>New Initiative</x:v>
      </x:c>
      <x:c r="AB421" s="15" t="str"/>
      <x:c r="AC421" s="15" t="str">
        <x:v>Compliance risk</x:v>
      </x:c>
      <x:c r="AD421" s="15" t="str"/>
      <x:c r="AE421" s="15" t="str"/>
      <x:c r="AF421" s="15" t="str">
        <x:v>Compliance risk</x:v>
      </x:c>
      <x:c r="AG421" s="15" t="str">
        <x:v>Must Do</x:v>
      </x:c>
      <x:c r="AH421" s="15" t="n">
        <x:v>466</x:v>
      </x:c>
    </x:row>
    <x:row r="422">
      <x:c r="A422" s="15" t="str">
        <x:v>Bu-294</x:v>
      </x:c>
      <x:c r="B422" s="15" t="str">
        <x:v>Business application validation</x:v>
      </x:c>
      <x:c r="C422" s="15" t="str">
        <x:v>BU Led</x:v>
      </x:c>
      <x:c r="D422" s="15" t="str">
        <x:v>Personal Health (PH)</x:v>
      </x:c>
      <x:c r="E422" s="19" t="n">
        <x:v>0.1</x:v>
      </x:c>
      <x:c r="F422" s="19" t="n">
        <x:v>0</x:v>
      </x:c>
      <x:c r="G422" s="22" t="n">
        <x:f>IF(AND(E422&gt;0,ISNUMBER(F422)),F422/E422,"")</x:f>
        <x:v>0</x:v>
      </x:c>
      <x:c r="H422" s="15" t="str">
        <x:v>ROI-Based Portfolio</x:v>
      </x:c>
      <x:c r="I422" s="15" t="n">
        <x:v>120</x:v>
      </x:c>
      <x:c r="J422" s="15" t="n">
        <x:v>5</x:v>
      </x:c>
      <x:c r="K422" s="23" t="n">
        <x:f>IF(G422="",0,IF(G422&lt;1,0,IF(G422&lt;2,20,IF(G422&lt;3,30,IF(G422&lt;5,40,50)))))*'Scenario Controls'!$B$22/50</x:f>
        <x:v>0</x:v>
      </x:c>
      <x:c r="L422" s="23" t="n">
        <x:f>IF(ISNUMBER(SEARCH("Must Do",AG422)),25,IF(ISNUMBER(SEARCH("Must Have",AG422)),18,IF(ISNUMBER(SEARCH("Deprior",AG422)),5,0)))*'Scenario Controls'!$B$23/25</x:f>
        <x:v>25</x:v>
      </x:c>
      <x:c r="M422" s="23" t="n">
        <x:f>J422*'Scenario Controls'!$B$24/15</x:f>
        <x:v>5</x:v>
      </x:c>
      <x:c r="N422" s="23" t="n">
        <x:f>IF(ISNUMBER(SEARCH("HEALTHY",X422)),10,IF(ISNUMBER(SEARCH("CONTAIN",X422)),6,0))*'Scenario Controls'!$B$25/10</x:f>
        <x:v>0</x:v>
      </x:c>
      <x:c r="O422" s="23" t="n">
        <x:f>SUM(K422:N422)</x:f>
        <x:v>30</x:v>
      </x:c>
      <x:c r="P422" s="15" t="str">
        <x:f>IF(OR(B422="",E422&lt;=0),"Evidence missing / not eligible",IF(ISNUMBER(SEARCH("priority TBD",Y422)),"Evidence missing / not eligible",IF(AND(H422="Carryover",NOT(ISNUMBER(F422))),"Evidence missing / not eligible",IF(AND(H422="Carryover",G422&lt;'Scenario Controls'!$B$16),"Evidence missing / not eligible",IF(AND(H422="ROI-Based Portfolio",NOT(ISNUMBER(F422))),"Evidence missing / not eligible",IF(AND(H422="ROI-Based Portfolio",O422&lt;'Scenario Controls'!$B$20),"Evidence missing / not eligible","Eligible"))))))</x:f>
        <x:v>Evidence missing / not eligible</x:v>
      </x:c>
      <x:c r="Q422" s="19" t="n">
        <x:f>IF(P422&lt;&gt;"Eligible",0,IF(AND(SUMIFS($Q$5:Q421,$H$5:H421,H422)+E422&lt;=(IF(H422="LFR",'Scenario Controls'!$F$10,IF(H422="Sustain Engineering",'Scenario Controls'!$F$11,IF(H422="Hygiene",'Scenario Controls'!$F$12,1E+99))))*(1+'Scenario Controls'!$B$7),SUM($Q$5:Q421)+E422&lt;='Scenario Controls'!$B$6*(1+'Scenario Controls'!$B$7)),E422,0))</x:f>
        <x:v>0</x:v>
      </x:c>
      <x:c r="R422" s="24" t="str">
        <x:f>'BU Conference'!G247</x:f>
        <x:v>Automatic</x:v>
      </x:c>
      <x:c r="S422" s="24" t="str">
        <x:f>'BU Conference'!H247</x:f>
      </x:c>
      <x:c r="T422" s="19" t="n">
        <x:f>IF(R422="Exclude",0,IF(R422="Include",E422,Q422))</x:f>
        <x:v>0</x:v>
      </x:c>
      <x:c r="U422" s="15" t="str">
        <x:f>IF(T422&gt;0,"Funded",IF(P422="Eligible","Unfunded",P422))</x:f>
        <x:v>Evidence missing / not eligible</x:v>
      </x:c>
      <x:c r="V422" s="15" t="str">
        <x:f>IF(R422="Include","Conference inclusion: "&amp;S422,IF(R422="Exclude","Conference exclusion: "&amp;S422,IF(Q422&gt;0,H422&amp;" priority rank "&amp;I422&amp;"; whole initiative selected",P422)))</x:f>
        <x:v>Evidence missing / not eligible</x:v>
      </x:c>
      <x:c r="W422" s="15" t="str">
        <x:v>Bu!616</x:v>
      </x:c>
      <x:c r="X422" s="15" t="str"/>
      <x:c r="Y422" s="15" t="str"/>
      <x:c r="Z422" s="15" t="str">
        <x:v>Legal Fiscal, Regulatory &amp; Compliancy</x:v>
      </x:c>
      <x:c r="AA422" s="15" t="str">
        <x:v>New Initiative</x:v>
      </x:c>
      <x:c r="AB422" s="15" t="str">
        <x:v>Innovation and Digital IT</x:v>
      </x:c>
      <x:c r="AC422" s="15" t="str">
        <x:v>Non-Validated consumer facing applications</x:v>
      </x:c>
      <x:c r="AD422" s="15" t="str"/>
      <x:c r="AE422" s="15" t="str"/>
      <x:c r="AF422" s="15" t="str">
        <x:v>Non-Validated consumer facing applications</x:v>
      </x:c>
      <x:c r="AG422" s="15" t="str">
        <x:v>Must Do</x:v>
      </x:c>
      <x:c r="AH422" s="15" t="n">
        <x:v>471</x:v>
      </x:c>
    </x:row>
    <x:row r="423">
      <x:c r="A423" s="15" t="str">
        <x:v>Bu-295</x:v>
      </x:c>
      <x:c r="B423" s="15" t="str">
        <x:v>DFU Form Automation: Digital Workflow &amp; Data Governance Enablement</x:v>
      </x:c>
      <x:c r="C423" s="15" t="str">
        <x:v>BU Led</x:v>
      </x:c>
      <x:c r="D423" s="15" t="str">
        <x:v>Personal Health (PH)</x:v>
      </x:c>
      <x:c r="E423" s="19" t="n">
        <x:v>0.175</x:v>
      </x:c>
      <x:c r="F423" s="19" t="n">
        <x:v>0</x:v>
      </x:c>
      <x:c r="G423" s="22" t="n">
        <x:f>IF(AND(E423&gt;0,ISNUMBER(F423)),F423/E423,"")</x:f>
        <x:v>0</x:v>
      </x:c>
      <x:c r="H423" s="15" t="str">
        <x:v>ROI-Based Portfolio</x:v>
      </x:c>
      <x:c r="I423" s="15" t="n">
        <x:v>121</x:v>
      </x:c>
      <x:c r="J423" s="15" t="n">
        <x:v>5</x:v>
      </x:c>
      <x:c r="K423" s="23" t="n">
        <x:f>IF(G423="",0,IF(G423&lt;1,0,IF(G423&lt;2,20,IF(G423&lt;3,30,IF(G423&lt;5,40,50)))))*'Scenario Controls'!$B$22/50</x:f>
        <x:v>0</x:v>
      </x:c>
      <x:c r="L423" s="23" t="n">
        <x:f>IF(ISNUMBER(SEARCH("Must Do",AG423)),25,IF(ISNUMBER(SEARCH("Must Have",AG423)),18,IF(ISNUMBER(SEARCH("Deprior",AG423)),5,0)))*'Scenario Controls'!$B$23/25</x:f>
        <x:v>25</x:v>
      </x:c>
      <x:c r="M423" s="23" t="n">
        <x:f>J423*'Scenario Controls'!$B$24/15</x:f>
        <x:v>5</x:v>
      </x:c>
      <x:c r="N423" s="23" t="n">
        <x:f>IF(ISNUMBER(SEARCH("HEALTHY",X423)),10,IF(ISNUMBER(SEARCH("CONTAIN",X423)),6,0))*'Scenario Controls'!$B$25/10</x:f>
        <x:v>0</x:v>
      </x:c>
      <x:c r="O423" s="23" t="n">
        <x:f>SUM(K423:N423)</x:f>
        <x:v>30</x:v>
      </x:c>
      <x:c r="P423" s="15" t="str">
        <x:f>IF(OR(B423="",E423&lt;=0),"Evidence missing / not eligible",IF(ISNUMBER(SEARCH("priority TBD",Y423)),"Evidence missing / not eligible",IF(AND(H423="Carryover",NOT(ISNUMBER(F423))),"Evidence missing / not eligible",IF(AND(H423="Carryover",G423&lt;'Scenario Controls'!$B$16),"Evidence missing / not eligible",IF(AND(H423="ROI-Based Portfolio",NOT(ISNUMBER(F423))),"Evidence missing / not eligible",IF(AND(H423="ROI-Based Portfolio",O423&lt;'Scenario Controls'!$B$20),"Evidence missing / not eligible","Eligible"))))))</x:f>
        <x:v>Evidence missing / not eligible</x:v>
      </x:c>
      <x:c r="Q423" s="19" t="n">
        <x:f>IF(P423&lt;&gt;"Eligible",0,IF(AND(SUMIFS($Q$5:Q422,$H$5:H422,H423)+E423&lt;=(IF(H423="LFR",'Scenario Controls'!$F$10,IF(H423="Sustain Engineering",'Scenario Controls'!$F$11,IF(H423="Hygiene",'Scenario Controls'!$F$12,1E+99))))*(1+'Scenario Controls'!$B$7),SUM($Q$5:Q422)+E423&lt;='Scenario Controls'!$B$6*(1+'Scenario Controls'!$B$7)),E423,0))</x:f>
        <x:v>0</x:v>
      </x:c>
      <x:c r="R423" s="24" t="str">
        <x:f>'BU Conference'!G248</x:f>
        <x:v>Automatic</x:v>
      </x:c>
      <x:c r="S423" s="24" t="str">
        <x:f>'BU Conference'!H248</x:f>
      </x:c>
      <x:c r="T423" s="19" t="n">
        <x:f>IF(R423="Exclude",0,IF(R423="Include",E423,Q423))</x:f>
        <x:v>0</x:v>
      </x:c>
      <x:c r="U423" s="15" t="str">
        <x:f>IF(T423&gt;0,"Funded",IF(P423="Eligible","Unfunded",P423))</x:f>
        <x:v>Evidence missing / not eligible</x:v>
      </x:c>
      <x:c r="V423" s="15" t="str">
        <x:f>IF(R423="Include","Conference inclusion: "&amp;S423,IF(R423="Exclude","Conference exclusion: "&amp;S423,IF(Q423&gt;0,H423&amp;" priority rank "&amp;I423&amp;"; whole initiative selected",P423)))</x:f>
        <x:v>Evidence missing / not eligible</x:v>
      </x:c>
      <x:c r="W423" s="15" t="str">
        <x:v>Bu!617</x:v>
      </x:c>
      <x:c r="X423" s="15" t="str"/>
      <x:c r="Y423" s="15" t="str"/>
      <x:c r="Z423" s="15" t="str">
        <x:v>New Feature</x:v>
      </x:c>
      <x:c r="AA423" s="15" t="str">
        <x:v>New Initiative</x:v>
      </x:c>
      <x:c r="AB423" s="15" t="str">
        <x:v>Innovation and Digital IT</x:v>
      </x:c>
      <x:c r="AC423" s="15" t="str">
        <x:v>Continued manual effort and inefficiencies in DFU management. No single governed system for DFU management</x:v>
      </x:c>
      <x:c r="AD423" s="15" t="str">
        <x: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x:v>
      </x:c>
      <x:c r="AE423" s="15" t="str">
        <x: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x:v>
      </x:c>
      <x:c r="AF423" s="15" t="str">
        <x:v>Continued manual effort and inefficiencies in DFU management. No single governed system for DFU management |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x:v>
      </x:c>
      <x:c r="AG423" s="15" t="str">
        <x:v>Must Do</x:v>
      </x:c>
      <x:c r="AH423" s="15" t="n">
        <x:v>472</x:v>
      </x:c>
    </x:row>
    <x:row r="424">
      <x:c r="A424" s="15" t="str">
        <x:v>Bu-297</x:v>
      </x:c>
      <x:c r="B424" s="15" t="str">
        <x:v>DPP - From Compliance to Growth, Trust &amp; Revenue Protection Platform</x:v>
      </x:c>
      <x:c r="C424" s="15" t="str">
        <x:v>BU Led</x:v>
      </x:c>
      <x:c r="D424" s="15" t="str">
        <x:v>Personal Health (PH)</x:v>
      </x:c>
      <x:c r="E424" s="19" t="n">
        <x:v>0.3</x:v>
      </x:c>
      <x:c r="F424" s="19" t="n">
        <x:v>0</x:v>
      </x:c>
      <x:c r="G424" s="22" t="n">
        <x:f>IF(AND(E424&gt;0,ISNUMBER(F424)),F424/E424,"")</x:f>
        <x:v>0</x:v>
      </x:c>
      <x:c r="H424" s="15" t="str">
        <x:v>ROI-Based Portfolio</x:v>
      </x:c>
      <x:c r="I424" s="15" t="n">
        <x:v>122</x:v>
      </x:c>
      <x:c r="J424" s="15" t="n">
        <x:v>5</x:v>
      </x:c>
      <x:c r="K424" s="23" t="n">
        <x:f>IF(G424="",0,IF(G424&lt;1,0,IF(G424&lt;2,20,IF(G424&lt;3,30,IF(G424&lt;5,40,50)))))*'Scenario Controls'!$B$22/50</x:f>
        <x:v>0</x:v>
      </x:c>
      <x:c r="L424" s="23" t="n">
        <x:f>IF(ISNUMBER(SEARCH("Must Do",AG424)),25,IF(ISNUMBER(SEARCH("Must Have",AG424)),18,IF(ISNUMBER(SEARCH("Deprior",AG424)),5,0)))*'Scenario Controls'!$B$23/25</x:f>
        <x:v>25</x:v>
      </x:c>
      <x:c r="M424" s="23" t="n">
        <x:f>J424*'Scenario Controls'!$B$24/15</x:f>
        <x:v>5</x:v>
      </x:c>
      <x:c r="N424" s="23" t="n">
        <x:f>IF(ISNUMBER(SEARCH("HEALTHY",X424)),10,IF(ISNUMBER(SEARCH("CONTAIN",X424)),6,0))*'Scenario Controls'!$B$25/10</x:f>
        <x:v>0</x:v>
      </x:c>
      <x:c r="O424" s="23" t="n">
        <x:f>SUM(K424:N424)</x:f>
        <x:v>30</x:v>
      </x:c>
      <x:c r="P424" s="15" t="str">
        <x:f>IF(OR(B424="",E424&lt;=0),"Evidence missing / not eligible",IF(ISNUMBER(SEARCH("priority TBD",Y424)),"Evidence missing / not eligible",IF(AND(H424="Carryover",NOT(ISNUMBER(F424))),"Evidence missing / not eligible",IF(AND(H424="Carryover",G424&lt;'Scenario Controls'!$B$16),"Evidence missing / not eligible",IF(AND(H424="ROI-Based Portfolio",NOT(ISNUMBER(F424))),"Evidence missing / not eligible",IF(AND(H424="ROI-Based Portfolio",O424&lt;'Scenario Controls'!$B$20),"Evidence missing / not eligible","Eligible"))))))</x:f>
        <x:v>Evidence missing / not eligible</x:v>
      </x:c>
      <x:c r="Q424" s="19" t="n">
        <x:f>IF(P424&lt;&gt;"Eligible",0,IF(AND(SUMIFS($Q$5:Q423,$H$5:H423,H424)+E424&lt;=(IF(H424="LFR",'Scenario Controls'!$F$10,IF(H424="Sustain Engineering",'Scenario Controls'!$F$11,IF(H424="Hygiene",'Scenario Controls'!$F$12,1E+99))))*(1+'Scenario Controls'!$B$7),SUM($Q$5:Q423)+E424&lt;='Scenario Controls'!$B$6*(1+'Scenario Controls'!$B$7)),E424,0))</x:f>
        <x:v>0</x:v>
      </x:c>
      <x:c r="R424" s="24" t="str">
        <x:f>'BU Conference'!G249</x:f>
        <x:v>Automatic</x:v>
      </x:c>
      <x:c r="S424" s="24" t="str">
        <x:f>'BU Conference'!H249</x:f>
      </x:c>
      <x:c r="T424" s="19" t="n">
        <x:f>IF(R424="Exclude",0,IF(R424="Include",E424,Q424))</x:f>
        <x:v>0</x:v>
      </x:c>
      <x:c r="U424" s="15" t="str">
        <x:f>IF(T424&gt;0,"Funded",IF(P424="Eligible","Unfunded",P424))</x:f>
        <x:v>Evidence missing / not eligible</x:v>
      </x:c>
      <x:c r="V424" s="15" t="str">
        <x:f>IF(R424="Include","Conference inclusion: "&amp;S424,IF(R424="Exclude","Conference exclusion: "&amp;S424,IF(Q424&gt;0,H424&amp;" priority rank "&amp;I424&amp;"; whole initiative selected",P424)))</x:f>
        <x:v>Evidence missing / not eligible</x:v>
      </x:c>
      <x:c r="W424" s="15" t="str">
        <x:v>Bu!620</x:v>
      </x:c>
      <x:c r="X424" s="15" t="str"/>
      <x:c r="Y424" s="15" t="str"/>
      <x:c r="Z424" s="15" t="str">
        <x:v>Legal Fiscal, Regulatory &amp; Compliancy</x:v>
      </x:c>
      <x:c r="AA424" s="15" t="str">
        <x:v>New Initiative</x:v>
      </x:c>
      <x:c r="AB424" s="15" t="str">
        <x:v>Innovation and Digital IT</x:v>
      </x:c>
      <x:c r="AC424" s="15" t="str">
        <x:v>Anti-Counterfeit measures will not be implemented loss of credibility for Philips</x:v>
      </x:c>
      <x:c r="AD424" s="15" t="str"/>
      <x:c r="AE424" s="15" t="str"/>
      <x:c r="AF424" s="15" t="str">
        <x:v>Anti-Counterfeit measures will not be implemented loss of credibility for Philips</x:v>
      </x:c>
      <x:c r="AG424" s="15" t="str">
        <x:v>Must Do</x:v>
      </x:c>
      <x:c r="AH424" s="15" t="n">
        <x:v>474</x:v>
      </x:c>
    </x:row>
    <x:row r="425">
      <x:c r="A425" s="15" t="str">
        <x:v>Bu-299</x:v>
      </x:c>
      <x:c r="B425" s="15" t="str">
        <x:v>E2E Product Portfolio Mgt (Pulse)</x:v>
      </x:c>
      <x:c r="C425" s="15" t="str">
        <x:v>BU Led</x:v>
      </x:c>
      <x:c r="D425" s="15" t="str">
        <x:v>Personal Health (PH)</x:v>
      </x:c>
      <x:c r="E425" s="19" t="n">
        <x:v>0.25</x:v>
      </x:c>
      <x:c r="F425" s="19" t="n">
        <x:v>0</x:v>
      </x:c>
      <x:c r="G425" s="22" t="n">
        <x:f>IF(AND(E425&gt;0,ISNUMBER(F425)),F425/E425,"")</x:f>
        <x:v>0</x:v>
      </x:c>
      <x:c r="H425" s="15" t="str">
        <x:v>ROI-Based Portfolio</x:v>
      </x:c>
      <x:c r="I425" s="15" t="n">
        <x:v>123</x:v>
      </x:c>
      <x:c r="J425" s="15" t="n">
        <x:v>5</x:v>
      </x:c>
      <x:c r="K425" s="23" t="n">
        <x:f>IF(G425="",0,IF(G425&lt;1,0,IF(G425&lt;2,20,IF(G425&lt;3,30,IF(G425&lt;5,40,50)))))*'Scenario Controls'!$B$22/50</x:f>
        <x:v>0</x:v>
      </x:c>
      <x:c r="L425" s="23" t="n">
        <x:f>IF(ISNUMBER(SEARCH("Must Do",AG425)),25,IF(ISNUMBER(SEARCH("Must Have",AG425)),18,IF(ISNUMBER(SEARCH("Deprior",AG425)),5,0)))*'Scenario Controls'!$B$23/25</x:f>
        <x:v>25</x:v>
      </x:c>
      <x:c r="M425" s="23" t="n">
        <x:f>J425*'Scenario Controls'!$B$24/15</x:f>
        <x:v>5</x:v>
      </x:c>
      <x:c r="N425" s="23" t="n">
        <x:f>IF(ISNUMBER(SEARCH("HEALTHY",X425)),10,IF(ISNUMBER(SEARCH("CONTAIN",X425)),6,0))*'Scenario Controls'!$B$25/10</x:f>
        <x:v>0</x:v>
      </x:c>
      <x:c r="O425" s="23" t="n">
        <x:f>SUM(K425:N425)</x:f>
        <x:v>30</x:v>
      </x:c>
      <x:c r="P425" s="15" t="str">
        <x:f>IF(OR(B425="",E425&lt;=0),"Evidence missing / not eligible",IF(ISNUMBER(SEARCH("priority TBD",Y425)),"Evidence missing / not eligible",IF(AND(H425="Carryover",NOT(ISNUMBER(F425))),"Evidence missing / not eligible",IF(AND(H425="Carryover",G425&lt;'Scenario Controls'!$B$16),"Evidence missing / not eligible",IF(AND(H425="ROI-Based Portfolio",NOT(ISNUMBER(F425))),"Evidence missing / not eligible",IF(AND(H425="ROI-Based Portfolio",O425&lt;'Scenario Controls'!$B$20),"Evidence missing / not eligible","Eligible"))))))</x:f>
        <x:v>Evidence missing / not eligible</x:v>
      </x:c>
      <x:c r="Q425" s="19" t="n">
        <x:f>IF(P425&lt;&gt;"Eligible",0,IF(AND(SUMIFS($Q$5:Q424,$H$5:H424,H425)+E425&lt;=(IF(H425="LFR",'Scenario Controls'!$F$10,IF(H425="Sustain Engineering",'Scenario Controls'!$F$11,IF(H425="Hygiene",'Scenario Controls'!$F$12,1E+99))))*(1+'Scenario Controls'!$B$7),SUM($Q$5:Q424)+E425&lt;='Scenario Controls'!$B$6*(1+'Scenario Controls'!$B$7)),E425,0))</x:f>
        <x:v>0</x:v>
      </x:c>
      <x:c r="R425" s="24" t="str">
        <x:f>'BU Conference'!G250</x:f>
        <x:v>Automatic</x:v>
      </x:c>
      <x:c r="S425" s="24" t="str">
        <x:f>'BU Conference'!H250</x:f>
      </x:c>
      <x:c r="T425" s="19" t="n">
        <x:f>IF(R425="Exclude",0,IF(R425="Include",E425,Q425))</x:f>
        <x:v>0</x:v>
      </x:c>
      <x:c r="U425" s="15" t="str">
        <x:f>IF(T425&gt;0,"Funded",IF(P425="Eligible","Unfunded",P425))</x:f>
        <x:v>Evidence missing / not eligible</x:v>
      </x:c>
      <x:c r="V425" s="15" t="str">
        <x:f>IF(R425="Include","Conference inclusion: "&amp;S425,IF(R425="Exclude","Conference exclusion: "&amp;S425,IF(Q425&gt;0,H425&amp;" priority rank "&amp;I425&amp;"; whole initiative selected",P425)))</x:f>
        <x:v>Evidence missing / not eligible</x:v>
      </x:c>
      <x:c r="W425" s="15" t="str">
        <x:v>Bu!622</x:v>
      </x:c>
      <x:c r="X425" s="15" t="str"/>
      <x:c r="Y425" s="15" t="str"/>
      <x:c r="Z425" s="15" t="str"/>
      <x:c r="AA425" s="15" t="str">
        <x:v>New Initiative</x:v>
      </x:c>
      <x:c r="AB425" s="15" t="str"/>
      <x:c r="AC425" s="15" t="str">
        <x:v>Loss of productivity and project scope already delivered</x:v>
      </x:c>
      <x:c r="AD425" s="15" t="str"/>
      <x:c r="AE425" s="15" t="str"/>
      <x:c r="AF425" s="15" t="str">
        <x:v>Loss of productivity and project scope already delivered</x:v>
      </x:c>
      <x:c r="AG425" s="15" t="str">
        <x:v>Must Do</x:v>
      </x:c>
      <x:c r="AH425" s="15" t="n">
        <x:v>476</x:v>
      </x:c>
    </x:row>
    <x:row r="426">
      <x:c r="A426" s="15" t="str">
        <x:v>Bu-311</x:v>
      </x:c>
      <x:c r="B426" s="15" t="str">
        <x:v>Performance Analytics</x:v>
      </x:c>
      <x:c r="C426" s="15" t="str">
        <x:v>BU Led</x:v>
      </x:c>
      <x:c r="D426" s="15" t="str">
        <x:v>Personal Health (PH)</x:v>
      </x:c>
      <x:c r="E426" s="19" t="n">
        <x:v>0.54</x:v>
      </x:c>
      <x:c r="F426" s="19" t="n">
        <x:v>0</x:v>
      </x:c>
      <x:c r="G426" s="22" t="n">
        <x:f>IF(AND(E426&gt;0,ISNUMBER(F426)),F426/E426,"")</x:f>
        <x:v>0</x:v>
      </x:c>
      <x:c r="H426" s="15" t="str">
        <x:v>ROI-Based Portfolio</x:v>
      </x:c>
      <x:c r="I426" s="15" t="n">
        <x:v>124</x:v>
      </x:c>
      <x:c r="J426" s="15" t="n">
        <x:v>5</x:v>
      </x:c>
      <x:c r="K426" s="23" t="n">
        <x:f>IF(G426="",0,IF(G426&lt;1,0,IF(G426&lt;2,20,IF(G426&lt;3,30,IF(G426&lt;5,40,50)))))*'Scenario Controls'!$B$22/50</x:f>
        <x:v>0</x:v>
      </x:c>
      <x:c r="L426" s="23" t="n">
        <x:f>IF(ISNUMBER(SEARCH("Must Do",AG426)),25,IF(ISNUMBER(SEARCH("Must Have",AG426)),18,IF(ISNUMBER(SEARCH("Deprior",AG426)),5,0)))*'Scenario Controls'!$B$23/25</x:f>
        <x:v>25</x:v>
      </x:c>
      <x:c r="M426" s="23" t="n">
        <x:f>J426*'Scenario Controls'!$B$24/15</x:f>
        <x:v>5</x:v>
      </x:c>
      <x:c r="N426" s="23" t="n">
        <x:f>IF(ISNUMBER(SEARCH("HEALTHY",X426)),10,IF(ISNUMBER(SEARCH("CONTAIN",X426)),6,0))*'Scenario Controls'!$B$25/10</x:f>
        <x:v>0</x:v>
      </x:c>
      <x:c r="O426" s="23" t="n">
        <x:f>SUM(K426:N426)</x:f>
        <x:v>30</x:v>
      </x:c>
      <x:c r="P426" s="15" t="str">
        <x:f>IF(OR(B426="",E426&lt;=0),"Evidence missing / not eligible",IF(ISNUMBER(SEARCH("priority TBD",Y426)),"Evidence missing / not eligible",IF(AND(H426="Carryover",NOT(ISNUMBER(F426))),"Evidence missing / not eligible",IF(AND(H426="Carryover",G426&lt;'Scenario Controls'!$B$16),"Evidence missing / not eligible",IF(AND(H426="ROI-Based Portfolio",NOT(ISNUMBER(F426))),"Evidence missing / not eligible",IF(AND(H426="ROI-Based Portfolio",O426&lt;'Scenario Controls'!$B$20),"Evidence missing / not eligible","Eligible"))))))</x:f>
        <x:v>Evidence missing / not eligible</x:v>
      </x:c>
      <x:c r="Q426" s="19" t="n">
        <x:f>IF(P426&lt;&gt;"Eligible",0,IF(AND(SUMIFS($Q$5:Q425,$H$5:H425,H426)+E426&lt;=(IF(H426="LFR",'Scenario Controls'!$F$10,IF(H426="Sustain Engineering",'Scenario Controls'!$F$11,IF(H426="Hygiene",'Scenario Controls'!$F$12,1E+99))))*(1+'Scenario Controls'!$B$7),SUM($Q$5:Q425)+E426&lt;='Scenario Controls'!$B$6*(1+'Scenario Controls'!$B$7)),E426,0))</x:f>
        <x:v>0</x:v>
      </x:c>
      <x:c r="R426" s="24" t="str">
        <x:f>'BU Conference'!G251</x:f>
        <x:v>Automatic</x:v>
      </x:c>
      <x:c r="S426" s="24" t="str">
        <x:f>'BU Conference'!H251</x:f>
      </x:c>
      <x:c r="T426" s="19" t="n">
        <x:f>IF(R426="Exclude",0,IF(R426="Include",E426,Q426))</x:f>
        <x:v>0</x:v>
      </x:c>
      <x:c r="U426" s="15" t="str">
        <x:f>IF(T426&gt;0,"Funded",IF(P426="Eligible","Unfunded",P426))</x:f>
        <x:v>Evidence missing / not eligible</x:v>
      </x:c>
      <x:c r="V426" s="15" t="str">
        <x:f>IF(R426="Include","Conference inclusion: "&amp;S426,IF(R426="Exclude","Conference exclusion: "&amp;S426,IF(Q426&gt;0,H426&amp;" priority rank "&amp;I426&amp;"; whole initiative selected",P426)))</x:f>
        <x:v>Evidence missing / not eligible</x:v>
      </x:c>
      <x:c r="W426" s="15" t="str">
        <x:v>Bu!637</x:v>
      </x:c>
      <x:c r="X426" s="15" t="str"/>
      <x:c r="Y426" s="15" t="str"/>
      <x:c r="Z426" s="15" t="str"/>
      <x:c r="AA426" s="15" t="str">
        <x:v>New Initiative</x:v>
      </x:c>
      <x:c r="AB426" s="15" t="str"/>
      <x:c r="AC426" s="15" t="str">
        <x:v>Usres continue across multiple dashbaords to track critical KPIs like sell out, pricing , distribution CMC &amp; Shopper insights</x:v>
      </x:c>
      <x:c r="AD426" s="15" t="str">
        <x: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x:v>
      </x:c>
      <x:c r="AE426" s="15" t="str">
        <x:v>Launch BU AI agents for G&amp;B, OHC, and M&amp;CC to enable conversational business insights.</x:v>
      </x:c>
      <x:c r="AF426" s="15" t="str">
        <x:v>Usres continue across multiple dashbaords to track critical KPIs like sell out, pricing , distribution CMC &amp; Shopper insights |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 Launch BU AI agents for G&amp;B, OHC, and M&amp;CC to enable conversational business insights.</x:v>
      </x:c>
      <x:c r="AG426" s="15" t="str">
        <x:v>Must Do</x:v>
      </x:c>
      <x:c r="AH426" s="15" t="n">
        <x:v>488</x:v>
      </x:c>
    </x:row>
    <x:row r="427">
      <x:c r="A427" s="15" t="str">
        <x:v>EW-98</x:v>
      </x:c>
      <x:c r="B427" s="15" t="str">
        <x:v>AI Finops</x:v>
      </x:c>
      <x:c r="C427" s="15" t="str">
        <x:v>EW Led</x:v>
      </x:c>
      <x:c r="D427" s="15" t="str">
        <x:v>Information Technology</x:v>
      </x:c>
      <x:c r="E427" s="19" t="n">
        <x:v>0.5</x:v>
      </x:c>
      <x:c r="F427" s="19" t="n">
        <x:v>0</x:v>
      </x:c>
      <x:c r="G427" s="22" t="n">
        <x:f>IF(AND(E427&gt;0,ISNUMBER(F427)),F427/E427,"")</x:f>
        <x:v>0</x:v>
      </x:c>
      <x:c r="H427" s="15" t="str">
        <x:v>ROI-Based Portfolio</x:v>
      </x:c>
      <x:c r="I427" s="15" t="n">
        <x:v>125</x:v>
      </x:c>
      <x:c r="J427" s="15" t="n">
        <x:v>5</x:v>
      </x:c>
      <x:c r="K427" s="23" t="n">
        <x:f>IF(G427="",0,IF(G427&lt;1,0,IF(G427&lt;2,20,IF(G427&lt;3,30,IF(G427&lt;5,40,50)))))*'Scenario Controls'!$B$22/50</x:f>
        <x:v>0</x:v>
      </x:c>
      <x:c r="L427" s="23" t="n">
        <x:f>IF(ISNUMBER(SEARCH("Must Do",AG427)),25,IF(ISNUMBER(SEARCH("Must Have",AG427)),18,IF(ISNUMBER(SEARCH("Deprior",AG427)),5,0)))*'Scenario Controls'!$B$23/25</x:f>
        <x:v>25</x:v>
      </x:c>
      <x:c r="M427" s="23" t="n">
        <x:f>J427*'Scenario Controls'!$B$24/15</x:f>
        <x:v>5</x:v>
      </x:c>
      <x:c r="N427" s="23" t="n">
        <x:f>IF(ISNUMBER(SEARCH("HEALTHY",X427)),10,IF(ISNUMBER(SEARCH("CONTAIN",X427)),6,0))*'Scenario Controls'!$B$25/10</x:f>
        <x:v>0</x:v>
      </x:c>
      <x:c r="O427" s="23" t="n">
        <x:f>SUM(K427:N427)</x:f>
        <x:v>30</x:v>
      </x:c>
      <x:c r="P427" s="15" t="str">
        <x:f>IF(OR(B427="",E427&lt;=0),"Evidence missing / not eligible",IF(ISNUMBER(SEARCH("priority TBD",Y427)),"Evidence missing / not eligible",IF(AND(H427="Carryover",NOT(ISNUMBER(F427))),"Evidence missing / not eligible",IF(AND(H427="Carryover",G427&lt;'Scenario Controls'!$B$16),"Evidence missing / not eligible",IF(AND(H427="ROI-Based Portfolio",NOT(ISNUMBER(F427))),"Evidence missing / not eligible",IF(AND(H427="ROI-Based Portfolio",O427&lt;'Scenario Controls'!$B$20),"Evidence missing / not eligible","Eligible"))))))</x:f>
        <x:v>Evidence missing / not eligible</x:v>
      </x:c>
      <x:c r="Q427" s="19" t="n">
        <x:f>IF(P427&lt;&gt;"Eligible",0,IF(AND(SUMIFS($Q$5:Q426,$H$5:H426,H427)+E427&lt;=(IF(H427="LFR",'Scenario Controls'!$F$10,IF(H427="Sustain Engineering",'Scenario Controls'!$F$11,IF(H427="Hygiene",'Scenario Controls'!$F$12,1E+99))))*(1+'Scenario Controls'!$B$7),SUM($Q$5:Q426)+E427&lt;='Scenario Controls'!$B$6*(1+'Scenario Controls'!$B$7)),E427,0))</x:f>
        <x:v>0</x:v>
      </x:c>
      <x:c r="R427" s="24" t="str">
        <x:f>'EW Conference'!G181</x:f>
        <x:v>Automatic</x:v>
      </x:c>
      <x:c r="S427" s="24" t="str">
        <x:f>'EW Conference'!H181</x:f>
      </x:c>
      <x:c r="T427" s="19" t="n">
        <x:f>IF(R427="Exclude",0,IF(R427="Include",E427,Q427))</x:f>
        <x:v>0</x:v>
      </x:c>
      <x:c r="U427" s="15" t="str">
        <x:f>IF(T427&gt;0,"Funded",IF(P427="Eligible","Unfunded",P427))</x:f>
        <x:v>Evidence missing / not eligible</x:v>
      </x:c>
      <x:c r="V427" s="15" t="str">
        <x:f>IF(R427="Include","Conference inclusion: "&amp;S427,IF(R427="Exclude","Conference exclusion: "&amp;S427,IF(Q427&gt;0,H427&amp;" priority rank "&amp;I427&amp;"; whole initiative selected",P427)))</x:f>
        <x:v>Evidence missing / not eligible</x:v>
      </x:c>
      <x:c r="W427" s="15" t="str">
        <x:v>EW!94</x:v>
      </x:c>
      <x:c r="X427" s="15" t="str"/>
      <x:c r="Y427" s="15" t="str"/>
      <x:c r="Z427" s="15" t="str">
        <x:v>AI Enablement</x:v>
      </x:c>
      <x:c r="AA427" s="15" t="str">
        <x:v>New Initiative</x:v>
      </x:c>
      <x:c r="AB427" s="15" t="str">
        <x:v>Infrastructure Services – Projects</x:v>
      </x:c>
      <x:c r="AC427" s="15" t="str"/>
      <x:c r="AD427" s="15" t="str">
        <x:v>establish a governed, scalable, and auditable platform for reporting enterprise AI adoption, usage, licensing, project costs, budgets, forecasts, and procurement reconciliation.</x:v>
      </x:c>
      <x:c r="AE427" s="15" t="str">
        <x:v>Global</x:v>
      </x:c>
      <x:c r="AF427" s="15" t="str">
        <x:v>establish a governed, scalable, and auditable platform for reporting enterprise AI adoption, usage, licensing, project costs, budgets, forecasts, and procurement reconciliation. | Global</x:v>
      </x:c>
      <x:c r="AG427" s="15" t="str">
        <x:v>Must Do</x:v>
      </x:c>
      <x:c r="AH427" s="15" t="n">
        <x:v>96</x:v>
      </x:c>
    </x:row>
    <x:row r="428">
      <x:c r="A428" s="15" t="str">
        <x:v>EW-185</x:v>
      </x:c>
      <x:c r="B428" s="15" t="str">
        <x:v>ISC - Stable MES</x:v>
      </x:c>
      <x:c r="C428" s="15" t="str">
        <x:v>EW Led</x:v>
      </x:c>
      <x:c r="D428" s="15" t="str">
        <x:v>Information Technology</x:v>
      </x:c>
      <x:c r="E428" s="19" t="n">
        <x:v>0.5</x:v>
      </x:c>
      <x:c r="F428" s="19" t="n">
        <x:v>0</x:v>
      </x:c>
      <x:c r="G428" s="22" t="n">
        <x:f>IF(AND(E428&gt;0,ISNUMBER(F428)),F428/E428,"")</x:f>
        <x:v>0</x:v>
      </x:c>
      <x:c r="H428" s="15" t="str">
        <x:v>ROI-Based Portfolio</x:v>
      </x:c>
      <x:c r="I428" s="15" t="n">
        <x:v>126</x:v>
      </x:c>
      <x:c r="J428" s="15" t="n">
        <x:v>5</x:v>
      </x:c>
      <x:c r="K428" s="23" t="n">
        <x:f>IF(G428="",0,IF(G428&lt;1,0,IF(G428&lt;2,20,IF(G428&lt;3,30,IF(G428&lt;5,40,50)))))*'Scenario Controls'!$B$22/50</x:f>
        <x:v>0</x:v>
      </x:c>
      <x:c r="L428" s="23" t="n">
        <x:f>IF(ISNUMBER(SEARCH("Must Do",AG428)),25,IF(ISNUMBER(SEARCH("Must Have",AG428)),18,IF(ISNUMBER(SEARCH("Deprior",AG428)),5,0)))*'Scenario Controls'!$B$23/25</x:f>
        <x:v>18</x:v>
      </x:c>
      <x:c r="M428" s="23" t="n">
        <x:f>J428*'Scenario Controls'!$B$24/15</x:f>
        <x:v>5</x:v>
      </x:c>
      <x:c r="N428" s="23" t="n">
        <x:f>IF(ISNUMBER(SEARCH("HEALTHY",X428)),10,IF(ISNUMBER(SEARCH("CONTAIN",X428)),6,0))*'Scenario Controls'!$B$25/10</x:f>
        <x:v>6</x:v>
      </x:c>
      <x:c r="O428" s="23" t="n">
        <x:f>SUM(K428:N428)</x:f>
        <x:v>29</x:v>
      </x:c>
      <x:c r="P428" s="15" t="str">
        <x:f>IF(OR(B428="",E428&lt;=0),"Evidence missing / not eligible",IF(ISNUMBER(SEARCH("priority TBD",Y428)),"Evidence missing / not eligible",IF(AND(H428="Carryover",NOT(ISNUMBER(F428))),"Evidence missing / not eligible",IF(AND(H428="Carryover",G428&lt;'Scenario Controls'!$B$16),"Evidence missing / not eligible",IF(AND(H428="ROI-Based Portfolio",NOT(ISNUMBER(F428))),"Evidence missing / not eligible",IF(AND(H428="ROI-Based Portfolio",O428&lt;'Scenario Controls'!$B$20),"Evidence missing / not eligible","Eligible"))))))</x:f>
        <x:v>Evidence missing / not eligible</x:v>
      </x:c>
      <x:c r="Q428" s="19" t="n">
        <x:f>IF(P428&lt;&gt;"Eligible",0,IF(AND(SUMIFS($Q$5:Q427,$H$5:H427,H428)+E428&lt;=(IF(H428="LFR",'Scenario Controls'!$F$10,IF(H428="Sustain Engineering",'Scenario Controls'!$F$11,IF(H428="Hygiene",'Scenario Controls'!$F$12,1E+99))))*(1+'Scenario Controls'!$B$7),SUM($Q$5:Q427)+E428&lt;='Scenario Controls'!$B$6*(1+'Scenario Controls'!$B$7)),E428,0))</x:f>
        <x:v>0</x:v>
      </x:c>
      <x:c r="R428" s="24" t="str">
        <x:f>'EW Conference'!G182</x:f>
        <x:v>Automatic</x:v>
      </x:c>
      <x:c r="S428" s="24" t="str">
        <x:f>'EW Conference'!H182</x:f>
      </x:c>
      <x:c r="T428" s="19" t="n">
        <x:f>IF(R428="Exclude",0,IF(R428="Include",E428,Q428))</x:f>
        <x:v>0</x:v>
      </x:c>
      <x:c r="U428" s="15" t="str">
        <x:f>IF(T428&gt;0,"Funded",IF(P428="Eligible","Unfunded",P428))</x:f>
        <x:v>Evidence missing / not eligible</x:v>
      </x:c>
      <x:c r="V428" s="15" t="str">
        <x:f>IF(R428="Include","Conference inclusion: "&amp;S428,IF(R428="Exclude","Conference exclusion: "&amp;S428,IF(Q428&gt;0,H428&amp;" priority rank "&amp;I428&amp;"; whole initiative selected",P428)))</x:f>
        <x:v>Evidence missing / not eligible</x:v>
      </x:c>
      <x:c r="W428" s="15" t="str">
        <x:v>EW!181</x:v>
      </x:c>
      <x:c r="X428" s="15" t="str">
        <x:v>CONTAIN</x:v>
      </x:c>
      <x:c r="Y428" s="15" t="str">
        <x:v>CONTAIN — Conditions</x:v>
      </x:c>
      <x:c r="Z428" s="15" t="str"/>
      <x:c r="AA428" s="15" t="str">
        <x:v>New Initiative</x:v>
      </x:c>
      <x:c r="AB428" s="15" t="str">
        <x:v>Integrated Supply Chain &amp; Finance</x:v>
      </x:c>
      <x:c r="AC428" s="15" t="str">
        <x:v>Non compliance with EOL system</x:v>
      </x:c>
      <x:c r="AD428" s="15" t="str"/>
      <x:c r="AE428" s="15" t="str"/>
      <x:c r="AF428" s="15" t="str">
        <x:v>Non compliance with EOL system</x:v>
      </x:c>
      <x:c r="AG428" s="15" t="str">
        <x:v>Must Have</x:v>
      </x:c>
      <x:c r="AH428" s="15" t="n">
        <x:v>183</x:v>
      </x:c>
    </x:row>
    <x:row r="429">
      <x:c r="A429" s="15" t="str">
        <x:v>Bu-271</x:v>
      </x:c>
      <x:c r="B429" s="15" t="str">
        <x:v>CDP connectors</x:v>
      </x:c>
      <x:c r="C429" s="15" t="str">
        <x:v>BU Led</x:v>
      </x:c>
      <x:c r="D429" s="15" t="str">
        <x:v>CoE Marketing – HS (former DMEC)</x:v>
      </x:c>
      <x:c r="E429" s="19" t="n">
        <x:v>0.05</x:v>
      </x:c>
      <x:c r="F429" s="19" t="n">
        <x:v>0</x:v>
      </x:c>
      <x:c r="G429" s="22" t="n">
        <x:f>IF(AND(E429&gt;0,ISNUMBER(F429)),F429/E429,"")</x:f>
        <x:v>0</x:v>
      </x:c>
      <x:c r="H429" s="15" t="str">
        <x:v>ROI-Based Portfolio</x:v>
      </x:c>
      <x:c r="I429" s="15" t="n">
        <x:v>127</x:v>
      </x:c>
      <x:c r="J429" s="15" t="n">
        <x:v>0</x:v>
      </x:c>
      <x:c r="K429" s="23" t="n">
        <x:f>IF(G429="",0,IF(G429&lt;1,0,IF(G429&lt;2,20,IF(G429&lt;3,30,IF(G429&lt;5,40,50)))))*'Scenario Controls'!$B$22/50</x:f>
        <x:v>0</x:v>
      </x:c>
      <x:c r="L429" s="23" t="n">
        <x:f>IF(ISNUMBER(SEARCH("Must Do",AG429)),25,IF(ISNUMBER(SEARCH("Must Have",AG429)),18,IF(ISNUMBER(SEARCH("Deprior",AG429)),5,0)))*'Scenario Controls'!$B$23/25</x:f>
        <x:v>25</x:v>
      </x:c>
      <x:c r="M429" s="23" t="n">
        <x:f>J429*'Scenario Controls'!$B$24/15</x:f>
        <x:v>0</x:v>
      </x:c>
      <x:c r="N429" s="23" t="n">
        <x:f>IF(ISNUMBER(SEARCH("HEALTHY",X429)),10,IF(ISNUMBER(SEARCH("CONTAIN",X429)),6,0))*'Scenario Controls'!$B$25/10</x:f>
        <x:v>0</x:v>
      </x:c>
      <x:c r="O429" s="23" t="n">
        <x:f>SUM(K429:N429)</x:f>
        <x:v>25</x:v>
      </x:c>
      <x:c r="P429" s="15" t="str">
        <x:f>IF(OR(B429="",E429&lt;=0),"Evidence missing / not eligible",IF(ISNUMBER(SEARCH("priority TBD",Y429)),"Evidence missing / not eligible",IF(AND(H429="Carryover",NOT(ISNUMBER(F429))),"Evidence missing / not eligible",IF(AND(H429="Carryover",G429&lt;'Scenario Controls'!$B$16),"Evidence missing / not eligible",IF(AND(H429="ROI-Based Portfolio",NOT(ISNUMBER(F429))),"Evidence missing / not eligible",IF(AND(H429="ROI-Based Portfolio",O429&lt;'Scenario Controls'!$B$20),"Evidence missing / not eligible","Eligible"))))))</x:f>
        <x:v>Evidence missing / not eligible</x:v>
      </x:c>
      <x:c r="Q429" s="19" t="n">
        <x:f>IF(P429&lt;&gt;"Eligible",0,IF(AND(SUMIFS($Q$5:Q428,$H$5:H428,H429)+E429&lt;=(IF(H429="LFR",'Scenario Controls'!$F$10,IF(H429="Sustain Engineering",'Scenario Controls'!$F$11,IF(H429="Hygiene",'Scenario Controls'!$F$12,1E+99))))*(1+'Scenario Controls'!$B$7),SUM($Q$5:Q428)+E429&lt;='Scenario Controls'!$B$6*(1+'Scenario Controls'!$B$7)),E429,0))</x:f>
        <x:v>0</x:v>
      </x:c>
      <x:c r="R429" s="24" t="str">
        <x:f>'BU Conference'!G252</x:f>
        <x:v>Automatic</x:v>
      </x:c>
      <x:c r="S429" s="24" t="str">
        <x:f>'BU Conference'!H252</x:f>
      </x:c>
      <x:c r="T429" s="19" t="n">
        <x:f>IF(R429="Exclude",0,IF(R429="Include",E429,Q429))</x:f>
        <x:v>0</x:v>
      </x:c>
      <x:c r="U429" s="15" t="str">
        <x:f>IF(T429&gt;0,"Funded",IF(P429="Eligible","Unfunded",P429))</x:f>
        <x:v>Evidence missing / not eligible</x:v>
      </x:c>
      <x:c r="V429" s="15" t="str">
        <x:f>IF(R429="Include","Conference inclusion: "&amp;S429,IF(R429="Exclude","Conference exclusion: "&amp;S429,IF(Q429&gt;0,H429&amp;" priority rank "&amp;I429&amp;"; whole initiative selected",P429)))</x:f>
        <x:v>Evidence missing / not eligible</x:v>
      </x:c>
      <x:c r="W429" s="15" t="str">
        <x:v>Bu!579</x:v>
      </x:c>
      <x:c r="X429" s="15" t="str"/>
      <x:c r="Y429" s="15" t="str"/>
      <x:c r="Z429" s="15" t="str">
        <x:v>New Feature</x:v>
      </x:c>
      <x:c r="AA429" s="15" t="str">
        <x:v>New Initiative</x:v>
      </x:c>
      <x:c r="AB429" s="15" t="str">
        <x:v>Innovation and Digital IT</x:v>
      </x:c>
      <x:c r="AC429" s="15" t="str"/>
      <x:c r="AD429" s="15" t="str"/>
      <x:c r="AE429" s="15" t="str"/>
      <x:c r="AF429" s="15" t="str"/>
      <x:c r="AG429" s="15" t="str">
        <x:v>Must Do</x:v>
      </x:c>
      <x:c r="AH429" s="15" t="n">
        <x:v>450</x:v>
      </x:c>
    </x:row>
    <x:row r="430">
      <x:c r="A430" s="15" t="str">
        <x:v>Bu-292</x:v>
      </x:c>
      <x:c r="B430" s="15" t="str">
        <x:v>AI-enabling learning RnD organization</x:v>
      </x:c>
      <x:c r="C430" s="15" t="str">
        <x:v>BU Led</x:v>
      </x:c>
      <x:c r="D430" s="15" t="str">
        <x:v>Personal Health (PH)</x:v>
      </x:c>
      <x:c r="E430" s="19" t="n">
        <x:v>0.065</x:v>
      </x:c>
      <x:c r="F430" s="19" t="n">
        <x:v>0</x:v>
      </x:c>
      <x:c r="G430" s="22" t="n">
        <x:f>IF(AND(E430&gt;0,ISNUMBER(F430)),F430/E430,"")</x:f>
        <x:v>0</x:v>
      </x:c>
      <x:c r="H430" s="15" t="str">
        <x:v>ROI-Based Portfolio</x:v>
      </x:c>
      <x:c r="I430" s="15" t="n">
        <x:v>128</x:v>
      </x:c>
      <x:c r="J430" s="15" t="n">
        <x:v>0</x:v>
      </x:c>
      <x:c r="K430" s="23" t="n">
        <x:f>IF(G430="",0,IF(G430&lt;1,0,IF(G430&lt;2,20,IF(G430&lt;3,30,IF(G430&lt;5,40,50)))))*'Scenario Controls'!$B$22/50</x:f>
        <x:v>0</x:v>
      </x:c>
      <x:c r="L430" s="23" t="n">
        <x:f>IF(ISNUMBER(SEARCH("Must Do",AG430)),25,IF(ISNUMBER(SEARCH("Must Have",AG430)),18,IF(ISNUMBER(SEARCH("Deprior",AG430)),5,0)))*'Scenario Controls'!$B$23/25</x:f>
        <x:v>25</x:v>
      </x:c>
      <x:c r="M430" s="23" t="n">
        <x:f>J430*'Scenario Controls'!$B$24/15</x:f>
        <x:v>0</x:v>
      </x:c>
      <x:c r="N430" s="23" t="n">
        <x:f>IF(ISNUMBER(SEARCH("HEALTHY",X430)),10,IF(ISNUMBER(SEARCH("CONTAIN",X430)),6,0))*'Scenario Controls'!$B$25/10</x:f>
        <x:v>0</x:v>
      </x:c>
      <x:c r="O430" s="23" t="n">
        <x:f>SUM(K430:N430)</x:f>
        <x:v>25</x:v>
      </x:c>
      <x:c r="P430" s="15" t="str">
        <x:f>IF(OR(B430="",E430&lt;=0),"Evidence missing / not eligible",IF(ISNUMBER(SEARCH("priority TBD",Y430)),"Evidence missing / not eligible",IF(AND(H430="Carryover",NOT(ISNUMBER(F430))),"Evidence missing / not eligible",IF(AND(H430="Carryover",G430&lt;'Scenario Controls'!$B$16),"Evidence missing / not eligible",IF(AND(H430="ROI-Based Portfolio",NOT(ISNUMBER(F430))),"Evidence missing / not eligible",IF(AND(H430="ROI-Based Portfolio",O430&lt;'Scenario Controls'!$B$20),"Evidence missing / not eligible","Eligible"))))))</x:f>
        <x:v>Evidence missing / not eligible</x:v>
      </x:c>
      <x:c r="Q430" s="19" t="n">
        <x:f>IF(P430&lt;&gt;"Eligible",0,IF(AND(SUMIFS($Q$5:Q429,$H$5:H429,H430)+E430&lt;=(IF(H430="LFR",'Scenario Controls'!$F$10,IF(H430="Sustain Engineering",'Scenario Controls'!$F$11,IF(H430="Hygiene",'Scenario Controls'!$F$12,1E+99))))*(1+'Scenario Controls'!$B$7),SUM($Q$5:Q429)+E430&lt;='Scenario Controls'!$B$6*(1+'Scenario Controls'!$B$7)),E430,0))</x:f>
        <x:v>0</x:v>
      </x:c>
      <x:c r="R430" s="24" t="str">
        <x:f>'BU Conference'!G253</x:f>
        <x:v>Automatic</x:v>
      </x:c>
      <x:c r="S430" s="24" t="str">
        <x:f>'BU Conference'!H253</x:f>
      </x:c>
      <x:c r="T430" s="19" t="n">
        <x:f>IF(R430="Exclude",0,IF(R430="Include",E430,Q430))</x:f>
        <x:v>0</x:v>
      </x:c>
      <x:c r="U430" s="15" t="str">
        <x:f>IF(T430&gt;0,"Funded",IF(P430="Eligible","Unfunded",P430))</x:f>
        <x:v>Evidence missing / not eligible</x:v>
      </x:c>
      <x:c r="V430" s="15" t="str">
        <x:f>IF(R430="Include","Conference inclusion: "&amp;S430,IF(R430="Exclude","Conference exclusion: "&amp;S430,IF(Q430&gt;0,H430&amp;" priority rank "&amp;I430&amp;"; whole initiative selected",P430)))</x:f>
        <x:v>Evidence missing / not eligible</x:v>
      </x:c>
      <x:c r="W430" s="15" t="str">
        <x:v>Bu!610</x:v>
      </x:c>
      <x:c r="X430" s="15" t="str"/>
      <x:c r="Y430" s="15" t="str"/>
      <x:c r="Z430" s="15" t="str">
        <x:v>AI Enablement</x:v>
      </x:c>
      <x:c r="AA430" s="15" t="str">
        <x:v>New Initiative</x:v>
      </x:c>
      <x:c r="AB430" s="15" t="str"/>
      <x:c r="AC430" s="15" t="str"/>
      <x:c r="AD430" s="15" t="str"/>
      <x:c r="AE430" s="15" t="str"/>
      <x:c r="AF430" s="15" t="str"/>
      <x:c r="AG430" s="15" t="str">
        <x:v>Must Do</x:v>
      </x:c>
      <x:c r="AH430" s="15" t="n">
        <x:v>469</x:v>
      </x:c>
    </x:row>
    <x:row r="431">
      <x:c r="A431" s="15" t="str">
        <x:v>Bu-303</x:v>
      </x:c>
      <x:c r="B431" s="15" t="str">
        <x:v>Getting ready for Agentic Commerce</x:v>
      </x:c>
      <x:c r="C431" s="15" t="str">
        <x:v>BU Led</x:v>
      </x:c>
      <x:c r="D431" s="15" t="str">
        <x:v>Personal Health (PH)</x:v>
      </x:c>
      <x:c r="E431" s="19" t="n">
        <x:v>0.1</x:v>
      </x:c>
      <x:c r="F431" s="19" t="n">
        <x:v>0</x:v>
      </x:c>
      <x:c r="G431" s="22" t="n">
        <x:f>IF(AND(E431&gt;0,ISNUMBER(F431)),F431/E431,"")</x:f>
        <x:v>0</x:v>
      </x:c>
      <x:c r="H431" s="15" t="str">
        <x:v>ROI-Based Portfolio</x:v>
      </x:c>
      <x:c r="I431" s="15" t="n">
        <x:v>129</x:v>
      </x:c>
      <x:c r="J431" s="15" t="n">
        <x:v>0</x:v>
      </x:c>
      <x:c r="K431" s="23" t="n">
        <x:f>IF(G431="",0,IF(G431&lt;1,0,IF(G431&lt;2,20,IF(G431&lt;3,30,IF(G431&lt;5,40,50)))))*'Scenario Controls'!$B$22/50</x:f>
        <x:v>0</x:v>
      </x:c>
      <x:c r="L431" s="23" t="n">
        <x:f>IF(ISNUMBER(SEARCH("Must Do",AG431)),25,IF(ISNUMBER(SEARCH("Must Have",AG431)),18,IF(ISNUMBER(SEARCH("Deprior",AG431)),5,0)))*'Scenario Controls'!$B$23/25</x:f>
        <x:v>25</x:v>
      </x:c>
      <x:c r="M431" s="23" t="n">
        <x:f>J431*'Scenario Controls'!$B$24/15</x:f>
        <x:v>0</x:v>
      </x:c>
      <x:c r="N431" s="23" t="n">
        <x:f>IF(ISNUMBER(SEARCH("HEALTHY",X431)),10,IF(ISNUMBER(SEARCH("CONTAIN",X431)),6,0))*'Scenario Controls'!$B$25/10</x:f>
        <x:v>0</x:v>
      </x:c>
      <x:c r="O431" s="23" t="n">
        <x:f>SUM(K431:N431)</x:f>
        <x:v>25</x:v>
      </x:c>
      <x:c r="P431" s="15" t="str">
        <x:f>IF(OR(B431="",E431&lt;=0),"Evidence missing / not eligible",IF(ISNUMBER(SEARCH("priority TBD",Y431)),"Evidence missing / not eligible",IF(AND(H431="Carryover",NOT(ISNUMBER(F431))),"Evidence missing / not eligible",IF(AND(H431="Carryover",G431&lt;'Scenario Controls'!$B$16),"Evidence missing / not eligible",IF(AND(H431="ROI-Based Portfolio",NOT(ISNUMBER(F431))),"Evidence missing / not eligible",IF(AND(H431="ROI-Based Portfolio",O431&lt;'Scenario Controls'!$B$20),"Evidence missing / not eligible","Eligible"))))))</x:f>
        <x:v>Evidence missing / not eligible</x:v>
      </x:c>
      <x:c r="Q431" s="19" t="n">
        <x:f>IF(P431&lt;&gt;"Eligible",0,IF(AND(SUMIFS($Q$5:Q430,$H$5:H430,H431)+E431&lt;=(IF(H431="LFR",'Scenario Controls'!$F$10,IF(H431="Sustain Engineering",'Scenario Controls'!$F$11,IF(H431="Hygiene",'Scenario Controls'!$F$12,1E+99))))*(1+'Scenario Controls'!$B$7),SUM($Q$5:Q430)+E431&lt;='Scenario Controls'!$B$6*(1+'Scenario Controls'!$B$7)),E431,0))</x:f>
        <x:v>0</x:v>
      </x:c>
      <x:c r="R431" s="24" t="str">
        <x:f>'BU Conference'!G254</x:f>
        <x:v>Automatic</x:v>
      </x:c>
      <x:c r="S431" s="24" t="str">
        <x:f>'BU Conference'!H254</x:f>
      </x:c>
      <x:c r="T431" s="19" t="n">
        <x:f>IF(R431="Exclude",0,IF(R431="Include",E431,Q431))</x:f>
        <x:v>0</x:v>
      </x:c>
      <x:c r="U431" s="15" t="str">
        <x:f>IF(T431&gt;0,"Funded",IF(P431="Eligible","Unfunded",P431))</x:f>
        <x:v>Evidence missing / not eligible</x:v>
      </x:c>
      <x:c r="V431" s="15" t="str">
        <x:f>IF(R431="Include","Conference inclusion: "&amp;S431,IF(R431="Exclude","Conference exclusion: "&amp;S431,IF(Q431&gt;0,H431&amp;" priority rank "&amp;I431&amp;"; whole initiative selected",P431)))</x:f>
        <x:v>Evidence missing / not eligible</x:v>
      </x:c>
      <x:c r="W431" s="15" t="str">
        <x:v>Bu!626</x:v>
      </x:c>
      <x:c r="X431" s="15" t="str"/>
      <x:c r="Y431" s="15" t="str"/>
      <x:c r="Z431" s="15" t="str"/>
      <x:c r="AA431" s="15" t="str">
        <x:v>New Initiative</x:v>
      </x:c>
      <x:c r="AB431" s="15" t="str"/>
      <x:c r="AC431" s="15" t="str"/>
      <x:c r="AD431" s="15" t="str"/>
      <x:c r="AE431" s="15" t="str"/>
      <x:c r="AF431" s="15" t="str"/>
      <x:c r="AG431" s="15" t="str">
        <x:v>Must Do</x:v>
      </x:c>
      <x:c r="AH431" s="15" t="n">
        <x:v>480</x:v>
      </x:c>
    </x:row>
    <x:row r="432">
      <x:c r="A432" s="15" t="str">
        <x:v>Bu-305</x:v>
      </x:c>
      <x:c r="B432" s="15" t="str">
        <x:v>Global Trade Compliance (Horizontal)</x:v>
      </x:c>
      <x:c r="C432" s="15" t="str">
        <x:v>BU Led</x:v>
      </x:c>
      <x:c r="D432" s="15" t="str">
        <x:v>Personal Health (PH)</x:v>
      </x:c>
      <x:c r="E432" s="19" t="n">
        <x:v>0</x:v>
      </x:c>
      <x:c r="F432" s="19" t="n">
        <x:v>0</x:v>
      </x:c>
      <x:c r="G432" s="22" t="str">
        <x:f>IF(AND(E432&gt;0,ISNUMBER(F432)),F432/E432,"")</x:f>
      </x:c>
      <x:c r="H432" s="15" t="str">
        <x:v>ROI-Based Portfolio</x:v>
      </x:c>
      <x:c r="I432" s="15" t="n">
        <x:v>130</x:v>
      </x:c>
      <x:c r="J432" s="15" t="n">
        <x:v>0</x:v>
      </x:c>
      <x:c r="K432" s="23" t="n">
        <x:f>IF(G432="",0,IF(G432&lt;1,0,IF(G432&lt;2,20,IF(G432&lt;3,30,IF(G432&lt;5,40,50)))))*'Scenario Controls'!$B$22/50</x:f>
        <x:v>0</x:v>
      </x:c>
      <x:c r="L432" s="23" t="n">
        <x:f>IF(ISNUMBER(SEARCH("Must Do",AG432)),25,IF(ISNUMBER(SEARCH("Must Have",AG432)),18,IF(ISNUMBER(SEARCH("Deprior",AG432)),5,0)))*'Scenario Controls'!$B$23/25</x:f>
        <x:v>25</x:v>
      </x:c>
      <x:c r="M432" s="23" t="n">
        <x:f>J432*'Scenario Controls'!$B$24/15</x:f>
        <x:v>0</x:v>
      </x:c>
      <x:c r="N432" s="23" t="n">
        <x:f>IF(ISNUMBER(SEARCH("HEALTHY",X432)),10,IF(ISNUMBER(SEARCH("CONTAIN",X432)),6,0))*'Scenario Controls'!$B$25/10</x:f>
        <x:v>0</x:v>
      </x:c>
      <x:c r="O432" s="23" t="n">
        <x:f>SUM(K432:N432)</x:f>
        <x:v>25</x:v>
      </x:c>
      <x:c r="P432" s="15" t="str">
        <x:f>IF(OR(B432="",E432&lt;=0),"Evidence missing / not eligible",IF(ISNUMBER(SEARCH("priority TBD",Y432)),"Evidence missing / not eligible",IF(AND(H432="Carryover",NOT(ISNUMBER(F432))),"Evidence missing / not eligible",IF(AND(H432="Carryover",G432&lt;'Scenario Controls'!$B$16),"Evidence missing / not eligible",IF(AND(H432="ROI-Based Portfolio",NOT(ISNUMBER(F432))),"Evidence missing / not eligible",IF(AND(H432="ROI-Based Portfolio",O432&lt;'Scenario Controls'!$B$20),"Evidence missing / not eligible","Eligible"))))))</x:f>
        <x:v>Evidence missing / not eligible</x:v>
      </x:c>
      <x:c r="Q432" s="19" t="n">
        <x:f>IF(P432&lt;&gt;"Eligible",0,IF(AND(SUMIFS($Q$5:Q431,$H$5:H431,H432)+E432&lt;=(IF(H432="LFR",'Scenario Controls'!$F$10,IF(H432="Sustain Engineering",'Scenario Controls'!$F$11,IF(H432="Hygiene",'Scenario Controls'!$F$12,1E+99))))*(1+'Scenario Controls'!$B$7),SUM($Q$5:Q431)+E432&lt;='Scenario Controls'!$B$6*(1+'Scenario Controls'!$B$7)),E432,0))</x:f>
        <x:v>0</x:v>
      </x:c>
      <x:c r="R432" s="24" t="str">
        <x:f>'BU Conference'!G255</x:f>
        <x:v>Automatic</x:v>
      </x:c>
      <x:c r="S432" s="24" t="str">
        <x:f>'BU Conference'!H255</x:f>
      </x:c>
      <x:c r="T432" s="19" t="n">
        <x:f>IF(R432="Exclude",0,IF(R432="Include",E432,Q432))</x:f>
        <x:v>0</x:v>
      </x:c>
      <x:c r="U432" s="15" t="str">
        <x:f>IF(T432&gt;0,"Funded",IF(P432="Eligible","Unfunded",P432))</x:f>
        <x:v>Evidence missing / not eligible</x:v>
      </x:c>
      <x:c r="V432" s="15" t="str">
        <x:f>IF(R432="Include","Conference inclusion: "&amp;S432,IF(R432="Exclude","Conference exclusion: "&amp;S432,IF(Q432&gt;0,H432&amp;" priority rank "&amp;I432&amp;"; whole initiative selected",P432)))</x:f>
        <x:v>Evidence missing / not eligible</x:v>
      </x:c>
      <x:c r="W432" s="15" t="str">
        <x:v>Bu!631</x:v>
      </x:c>
      <x:c r="X432" s="15" t="str"/>
      <x:c r="Y432" s="15" t="str"/>
      <x:c r="Z432" s="15" t="str"/>
      <x:c r="AA432" s="15" t="str">
        <x:v>New Initiative</x:v>
      </x:c>
      <x:c r="AB432" s="15" t="str"/>
      <x:c r="AC432" s="15" t="str"/>
      <x:c r="AD432" s="15" t="str"/>
      <x:c r="AE432" s="15" t="str"/>
      <x:c r="AF432" s="15" t="str"/>
      <x:c r="AG432" s="15" t="str">
        <x:v>Must Do</x:v>
      </x:c>
      <x:c r="AH432" s="15" t="n">
        <x:v>482</x:v>
      </x:c>
    </x:row>
    <x:row r="433">
      <x:c r="A433" s="15" t="str">
        <x:v>Bu-308</x:v>
      </x:c>
      <x:c r="B433" s="15" t="str">
        <x:v>ISC Data Quality (Horizontal) &amp; IWD</x:v>
      </x:c>
      <x:c r="C433" s="15" t="str">
        <x:v>BU Led</x:v>
      </x:c>
      <x:c r="D433" s="15" t="str">
        <x:v>Personal Health (PH)</x:v>
      </x:c>
      <x:c r="E433" s="19" t="n">
        <x:v>0</x:v>
      </x:c>
      <x:c r="F433" s="19" t="n">
        <x:v>0</x:v>
      </x:c>
      <x:c r="G433" s="22" t="str">
        <x:f>IF(AND(E433&gt;0,ISNUMBER(F433)),F433/E433,"")</x:f>
      </x:c>
      <x:c r="H433" s="15" t="str">
        <x:v>ROI-Based Portfolio</x:v>
      </x:c>
      <x:c r="I433" s="15" t="n">
        <x:v>131</x:v>
      </x:c>
      <x:c r="J433" s="15" t="n">
        <x:v>0</x:v>
      </x:c>
      <x:c r="K433" s="23" t="n">
        <x:f>IF(G433="",0,IF(G433&lt;1,0,IF(G433&lt;2,20,IF(G433&lt;3,30,IF(G433&lt;5,40,50)))))*'Scenario Controls'!$B$22/50</x:f>
        <x:v>0</x:v>
      </x:c>
      <x:c r="L433" s="23" t="n">
        <x:f>IF(ISNUMBER(SEARCH("Must Do",AG433)),25,IF(ISNUMBER(SEARCH("Must Have",AG433)),18,IF(ISNUMBER(SEARCH("Deprior",AG433)),5,0)))*'Scenario Controls'!$B$23/25</x:f>
        <x:v>25</x:v>
      </x:c>
      <x:c r="M433" s="23" t="n">
        <x:f>J433*'Scenario Controls'!$B$24/15</x:f>
        <x:v>0</x:v>
      </x:c>
      <x:c r="N433" s="23" t="n">
        <x:f>IF(ISNUMBER(SEARCH("HEALTHY",X433)),10,IF(ISNUMBER(SEARCH("CONTAIN",X433)),6,0))*'Scenario Controls'!$B$25/10</x:f>
        <x:v>0</x:v>
      </x:c>
      <x:c r="O433" s="23" t="n">
        <x:f>SUM(K433:N433)</x:f>
        <x:v>25</x:v>
      </x:c>
      <x:c r="P433" s="15" t="str">
        <x:f>IF(OR(B433="",E433&lt;=0),"Evidence missing / not eligible",IF(ISNUMBER(SEARCH("priority TBD",Y433)),"Evidence missing / not eligible",IF(AND(H433="Carryover",NOT(ISNUMBER(F433))),"Evidence missing / not eligible",IF(AND(H433="Carryover",G433&lt;'Scenario Controls'!$B$16),"Evidence missing / not eligible",IF(AND(H433="ROI-Based Portfolio",NOT(ISNUMBER(F433))),"Evidence missing / not eligible",IF(AND(H433="ROI-Based Portfolio",O433&lt;'Scenario Controls'!$B$20),"Evidence missing / not eligible","Eligible"))))))</x:f>
        <x:v>Evidence missing / not eligible</x:v>
      </x:c>
      <x:c r="Q433" s="19" t="n">
        <x:f>IF(P433&lt;&gt;"Eligible",0,IF(AND(SUMIFS($Q$5:Q432,$H$5:H432,H433)+E433&lt;=(IF(H433="LFR",'Scenario Controls'!$F$10,IF(H433="Sustain Engineering",'Scenario Controls'!$F$11,IF(H433="Hygiene",'Scenario Controls'!$F$12,1E+99))))*(1+'Scenario Controls'!$B$7),SUM($Q$5:Q432)+E433&lt;='Scenario Controls'!$B$6*(1+'Scenario Controls'!$B$7)),E433,0))</x:f>
        <x:v>0</x:v>
      </x:c>
      <x:c r="R433" s="24" t="str">
        <x:f>'BU Conference'!G256</x:f>
        <x:v>Automatic</x:v>
      </x:c>
      <x:c r="S433" s="24" t="str">
        <x:f>'BU Conference'!H256</x:f>
      </x:c>
      <x:c r="T433" s="19" t="n">
        <x:f>IF(R433="Exclude",0,IF(R433="Include",E433,Q433))</x:f>
        <x:v>0</x:v>
      </x:c>
      <x:c r="U433" s="15" t="str">
        <x:f>IF(T433&gt;0,"Funded",IF(P433="Eligible","Unfunded",P433))</x:f>
        <x:v>Evidence missing / not eligible</x:v>
      </x:c>
      <x:c r="V433" s="15" t="str">
        <x:f>IF(R433="Include","Conference inclusion: "&amp;S433,IF(R433="Exclude","Conference exclusion: "&amp;S433,IF(Q433&gt;0,H433&amp;" priority rank "&amp;I433&amp;"; whole initiative selected",P433)))</x:f>
        <x:v>Evidence missing / not eligible</x:v>
      </x:c>
      <x:c r="W433" s="15" t="str">
        <x:v>Bu!634</x:v>
      </x:c>
      <x:c r="X433" s="15" t="str"/>
      <x:c r="Y433" s="15" t="str"/>
      <x:c r="Z433" s="15" t="str"/>
      <x:c r="AA433" s="15" t="str">
        <x:v>New Initiative</x:v>
      </x:c>
      <x:c r="AB433" s="15" t="str"/>
      <x:c r="AC433" s="15" t="str"/>
      <x:c r="AD433" s="15" t="str"/>
      <x:c r="AE433" s="15" t="str"/>
      <x:c r="AF433" s="15" t="str"/>
      <x:c r="AG433" s="15" t="str">
        <x:v>Must Do</x:v>
      </x:c>
      <x:c r="AH433" s="15" t="n">
        <x:v>485</x:v>
      </x:c>
    </x:row>
    <x:row r="434">
      <x:c r="A434" s="15" t="str">
        <x:v>Bu-312</x:v>
      </x:c>
      <x:c r="B434" s="15" t="str">
        <x:v>PH Material Management (OMM) AI Program</x:v>
      </x:c>
      <x:c r="C434" s="15" t="str">
        <x:v>BU Led</x:v>
      </x:c>
      <x:c r="D434" s="15" t="str">
        <x:v>Personal Health (PH)</x:v>
      </x:c>
      <x:c r="E434" s="19" t="n">
        <x:v>0.19</x:v>
      </x:c>
      <x:c r="F434" s="19" t="n">
        <x:v>0</x:v>
      </x:c>
      <x:c r="G434" s="22" t="n">
        <x:f>IF(AND(E434&gt;0,ISNUMBER(F434)),F434/E434,"")</x:f>
        <x:v>0</x:v>
      </x:c>
      <x:c r="H434" s="15" t="str">
        <x:v>ROI-Based Portfolio</x:v>
      </x:c>
      <x:c r="I434" s="15" t="n">
        <x:v>132</x:v>
      </x:c>
      <x:c r="J434" s="15" t="n">
        <x:v>0</x:v>
      </x:c>
      <x:c r="K434" s="23" t="n">
        <x:f>IF(G434="",0,IF(G434&lt;1,0,IF(G434&lt;2,20,IF(G434&lt;3,30,IF(G434&lt;5,40,50)))))*'Scenario Controls'!$B$22/50</x:f>
        <x:v>0</x:v>
      </x:c>
      <x:c r="L434" s="23" t="n">
        <x:f>IF(ISNUMBER(SEARCH("Must Do",AG434)),25,IF(ISNUMBER(SEARCH("Must Have",AG434)),18,IF(ISNUMBER(SEARCH("Deprior",AG434)),5,0)))*'Scenario Controls'!$B$23/25</x:f>
        <x:v>25</x:v>
      </x:c>
      <x:c r="M434" s="23" t="n">
        <x:f>J434*'Scenario Controls'!$B$24/15</x:f>
        <x:v>0</x:v>
      </x:c>
      <x:c r="N434" s="23" t="n">
        <x:f>IF(ISNUMBER(SEARCH("HEALTHY",X434)),10,IF(ISNUMBER(SEARCH("CONTAIN",X434)),6,0))*'Scenario Controls'!$B$25/10</x:f>
        <x:v>0</x:v>
      </x:c>
      <x:c r="O434" s="23" t="n">
        <x:f>SUM(K434:N434)</x:f>
        <x:v>25</x:v>
      </x:c>
      <x:c r="P434" s="15" t="str">
        <x:f>IF(OR(B434="",E434&lt;=0),"Evidence missing / not eligible",IF(ISNUMBER(SEARCH("priority TBD",Y434)),"Evidence missing / not eligible",IF(AND(H434="Carryover",NOT(ISNUMBER(F434))),"Evidence missing / not eligible",IF(AND(H434="Carryover",G434&lt;'Scenario Controls'!$B$16),"Evidence missing / not eligible",IF(AND(H434="ROI-Based Portfolio",NOT(ISNUMBER(F434))),"Evidence missing / not eligible",IF(AND(H434="ROI-Based Portfolio",O434&lt;'Scenario Controls'!$B$20),"Evidence missing / not eligible","Eligible"))))))</x:f>
        <x:v>Evidence missing / not eligible</x:v>
      </x:c>
      <x:c r="Q434" s="19" t="n">
        <x:f>IF(P434&lt;&gt;"Eligible",0,IF(AND(SUMIFS($Q$5:Q433,$H$5:H433,H434)+E434&lt;=(IF(H434="LFR",'Scenario Controls'!$F$10,IF(H434="Sustain Engineering",'Scenario Controls'!$F$11,IF(H434="Hygiene",'Scenario Controls'!$F$12,1E+99))))*(1+'Scenario Controls'!$B$7),SUM($Q$5:Q433)+E434&lt;='Scenario Controls'!$B$6*(1+'Scenario Controls'!$B$7)),E434,0))</x:f>
        <x:v>0</x:v>
      </x:c>
      <x:c r="R434" s="24" t="str">
        <x:f>'BU Conference'!G257</x:f>
        <x:v>Automatic</x:v>
      </x:c>
      <x:c r="S434" s="24" t="str">
        <x:f>'BU Conference'!H257</x:f>
      </x:c>
      <x:c r="T434" s="19" t="n">
        <x:f>IF(R434="Exclude",0,IF(R434="Include",E434,Q434))</x:f>
        <x:v>0</x:v>
      </x:c>
      <x:c r="U434" s="15" t="str">
        <x:f>IF(T434&gt;0,"Funded",IF(P434="Eligible","Unfunded",P434))</x:f>
        <x:v>Evidence missing / not eligible</x:v>
      </x:c>
      <x:c r="V434" s="15" t="str">
        <x:f>IF(R434="Include","Conference inclusion: "&amp;S434,IF(R434="Exclude","Conference exclusion: "&amp;S434,IF(Q434&gt;0,H434&amp;" priority rank "&amp;I434&amp;"; whole initiative selected",P434)))</x:f>
        <x:v>Evidence missing / not eligible</x:v>
      </x:c>
      <x:c r="W434" s="15" t="str">
        <x:v>Bu!641</x:v>
      </x:c>
      <x:c r="X434" s="15" t="str"/>
      <x:c r="Y434" s="15" t="str"/>
      <x:c r="Z434" s="15" t="str"/>
      <x:c r="AA434" s="15" t="str">
        <x:v>New Initiative</x:v>
      </x:c>
      <x:c r="AB434" s="15" t="str">
        <x:v>Integrated Supply Chain &amp; Finance</x:v>
      </x:c>
      <x:c r="AC434" s="15" t="str"/>
      <x:c r="AD434" s="15" t="str"/>
      <x:c r="AE434" s="15" t="str"/>
      <x:c r="AF434" s="15" t="str"/>
      <x:c r="AG434" s="15" t="str">
        <x:v>Must Do</x:v>
      </x:c>
      <x:c r="AH434" s="15" t="n">
        <x:v>489</x:v>
      </x:c>
    </x:row>
    <x:row r="435">
      <x:c r="A435" s="15" t="str">
        <x:v>Bu-313</x:v>
      </x:c>
      <x:c r="B435" s="15" t="str">
        <x:v>Philips.com Growth Engine – Unlocking the value of our new platform</x:v>
      </x:c>
      <x:c r="C435" s="15" t="str">
        <x:v>BU Led</x:v>
      </x:c>
      <x:c r="D435" s="15" t="str">
        <x:v>Personal Health (PH)</x:v>
      </x:c>
      <x:c r="E435" s="19" t="n">
        <x:v>0.9</x:v>
      </x:c>
      <x:c r="F435" s="19" t="n">
        <x:v>0</x:v>
      </x:c>
      <x:c r="G435" s="22" t="n">
        <x:f>IF(AND(E435&gt;0,ISNUMBER(F435)),F435/E435,"")</x:f>
        <x:v>0</x:v>
      </x:c>
      <x:c r="H435" s="15" t="str">
        <x:v>ROI-Based Portfolio</x:v>
      </x:c>
      <x:c r="I435" s="15" t="n">
        <x:v>133</x:v>
      </x:c>
      <x:c r="J435" s="15" t="n">
        <x:v>0</x:v>
      </x:c>
      <x:c r="K435" s="23" t="n">
        <x:f>IF(G435="",0,IF(G435&lt;1,0,IF(G435&lt;2,20,IF(G435&lt;3,30,IF(G435&lt;5,40,50)))))*'Scenario Controls'!$B$22/50</x:f>
        <x:v>0</x:v>
      </x:c>
      <x:c r="L435" s="23" t="n">
        <x:f>IF(ISNUMBER(SEARCH("Must Do",AG435)),25,IF(ISNUMBER(SEARCH("Must Have",AG435)),18,IF(ISNUMBER(SEARCH("Deprior",AG435)),5,0)))*'Scenario Controls'!$B$23/25</x:f>
        <x:v>25</x:v>
      </x:c>
      <x:c r="M435" s="23" t="n">
        <x:f>J435*'Scenario Controls'!$B$24/15</x:f>
        <x:v>0</x:v>
      </x:c>
      <x:c r="N435" s="23" t="n">
        <x:f>IF(ISNUMBER(SEARCH("HEALTHY",X435)),10,IF(ISNUMBER(SEARCH("CONTAIN",X435)),6,0))*'Scenario Controls'!$B$25/10</x:f>
        <x:v>0</x:v>
      </x:c>
      <x:c r="O435" s="23" t="n">
        <x:f>SUM(K435:N435)</x:f>
        <x:v>25</x:v>
      </x:c>
      <x:c r="P435" s="15" t="str">
        <x:f>IF(OR(B435="",E435&lt;=0),"Evidence missing / not eligible",IF(ISNUMBER(SEARCH("priority TBD",Y435)),"Evidence missing / not eligible",IF(AND(H435="Carryover",NOT(ISNUMBER(F435))),"Evidence missing / not eligible",IF(AND(H435="Carryover",G435&lt;'Scenario Controls'!$B$16),"Evidence missing / not eligible",IF(AND(H435="ROI-Based Portfolio",NOT(ISNUMBER(F435))),"Evidence missing / not eligible",IF(AND(H435="ROI-Based Portfolio",O435&lt;'Scenario Controls'!$B$20),"Evidence missing / not eligible","Eligible"))))))</x:f>
        <x:v>Evidence missing / not eligible</x:v>
      </x:c>
      <x:c r="Q435" s="19" t="n">
        <x:f>IF(P435&lt;&gt;"Eligible",0,IF(AND(SUMIFS($Q$5:Q434,$H$5:H434,H435)+E435&lt;=(IF(H435="LFR",'Scenario Controls'!$F$10,IF(H435="Sustain Engineering",'Scenario Controls'!$F$11,IF(H435="Hygiene",'Scenario Controls'!$F$12,1E+99))))*(1+'Scenario Controls'!$B$7),SUM($Q$5:Q434)+E435&lt;='Scenario Controls'!$B$6*(1+'Scenario Controls'!$B$7)),E435,0))</x:f>
        <x:v>0</x:v>
      </x:c>
      <x:c r="R435" s="24" t="str">
        <x:f>'BU Conference'!G258</x:f>
        <x:v>Automatic</x:v>
      </x:c>
      <x:c r="S435" s="24" t="str">
        <x:f>'BU Conference'!H258</x:f>
      </x:c>
      <x:c r="T435" s="19" t="n">
        <x:f>IF(R435="Exclude",0,IF(R435="Include",E435,Q435))</x:f>
        <x:v>0</x:v>
      </x:c>
      <x:c r="U435" s="15" t="str">
        <x:f>IF(T435&gt;0,"Funded",IF(P435="Eligible","Unfunded",P435))</x:f>
        <x:v>Evidence missing / not eligible</x:v>
      </x:c>
      <x:c r="V435" s="15" t="str">
        <x:f>IF(R435="Include","Conference inclusion: "&amp;S435,IF(R435="Exclude","Conference exclusion: "&amp;S435,IF(Q435&gt;0,H435&amp;" priority rank "&amp;I435&amp;"; whole initiative selected",P435)))</x:f>
        <x:v>Evidence missing / not eligible</x:v>
      </x:c>
      <x:c r="W435" s="15" t="str">
        <x:v>Bu!642</x:v>
      </x:c>
      <x:c r="X435" s="15" t="str"/>
      <x:c r="Y435" s="15" t="str"/>
      <x:c r="Z435" s="15" t="str"/>
      <x:c r="AA435" s="15" t="str">
        <x:v>New Initiative</x:v>
      </x:c>
      <x:c r="AB435" s="15" t="str"/>
      <x:c r="AC435" s="15" t="str"/>
      <x:c r="AD435" s="15" t="str"/>
      <x:c r="AE435" s="15" t="str"/>
      <x:c r="AF435" s="15" t="str"/>
      <x:c r="AG435" s="15" t="str">
        <x:v>Must Do</x:v>
      </x:c>
      <x:c r="AH435" s="15" t="n">
        <x:v>490</x:v>
      </x:c>
    </x:row>
    <x:row r="436">
      <x:c r="A436" s="15" t="str">
        <x:v>Bu-315</x:v>
      </x:c>
      <x:c r="B436" s="15" t="str">
        <x:v>Product Tester Platform: audit, stabilization &amp; future direction</x:v>
      </x:c>
      <x:c r="C436" s="15" t="str">
        <x:v>BU Led</x:v>
      </x:c>
      <x:c r="D436" s="15" t="str">
        <x:v>Personal Health (PH)</x:v>
      </x:c>
      <x:c r="E436" s="19" t="n">
        <x:v>0.2</x:v>
      </x:c>
      <x:c r="F436" s="19" t="n">
        <x:v>0</x:v>
      </x:c>
      <x:c r="G436" s="22" t="n">
        <x:f>IF(AND(E436&gt;0,ISNUMBER(F436)),F436/E436,"")</x:f>
        <x:v>0</x:v>
      </x:c>
      <x:c r="H436" s="15" t="str">
        <x:v>ROI-Based Portfolio</x:v>
      </x:c>
      <x:c r="I436" s="15" t="n">
        <x:v>134</x:v>
      </x:c>
      <x:c r="J436" s="15" t="n">
        <x:v>0</x:v>
      </x:c>
      <x:c r="K436" s="23" t="n">
        <x:f>IF(G436="",0,IF(G436&lt;1,0,IF(G436&lt;2,20,IF(G436&lt;3,30,IF(G436&lt;5,40,50)))))*'Scenario Controls'!$B$22/50</x:f>
        <x:v>0</x:v>
      </x:c>
      <x:c r="L436" s="23" t="n">
        <x:f>IF(ISNUMBER(SEARCH("Must Do",AG436)),25,IF(ISNUMBER(SEARCH("Must Have",AG436)),18,IF(ISNUMBER(SEARCH("Deprior",AG436)),5,0)))*'Scenario Controls'!$B$23/25</x:f>
        <x:v>25</x:v>
      </x:c>
      <x:c r="M436" s="23" t="n">
        <x:f>J436*'Scenario Controls'!$B$24/15</x:f>
        <x:v>0</x:v>
      </x:c>
      <x:c r="N436" s="23" t="n">
        <x:f>IF(ISNUMBER(SEARCH("HEALTHY",X436)),10,IF(ISNUMBER(SEARCH("CONTAIN",X436)),6,0))*'Scenario Controls'!$B$25/10</x:f>
        <x:v>0</x:v>
      </x:c>
      <x:c r="O436" s="23" t="n">
        <x:f>SUM(K436:N436)</x:f>
        <x:v>25</x:v>
      </x:c>
      <x:c r="P436" s="15" t="str">
        <x:f>IF(OR(B436="",E436&lt;=0),"Evidence missing / not eligible",IF(ISNUMBER(SEARCH("priority TBD",Y436)),"Evidence missing / not eligible",IF(AND(H436="Carryover",NOT(ISNUMBER(F436))),"Evidence missing / not eligible",IF(AND(H436="Carryover",G436&lt;'Scenario Controls'!$B$16),"Evidence missing / not eligible",IF(AND(H436="ROI-Based Portfolio",NOT(ISNUMBER(F436))),"Evidence missing / not eligible",IF(AND(H436="ROI-Based Portfolio",O436&lt;'Scenario Controls'!$B$20),"Evidence missing / not eligible","Eligible"))))))</x:f>
        <x:v>Evidence missing / not eligible</x:v>
      </x:c>
      <x:c r="Q436" s="19" t="n">
        <x:f>IF(P436&lt;&gt;"Eligible",0,IF(AND(SUMIFS($Q$5:Q435,$H$5:H435,H436)+E436&lt;=(IF(H436="LFR",'Scenario Controls'!$F$10,IF(H436="Sustain Engineering",'Scenario Controls'!$F$11,IF(H436="Hygiene",'Scenario Controls'!$F$12,1E+99))))*(1+'Scenario Controls'!$B$7),SUM($Q$5:Q435)+E436&lt;='Scenario Controls'!$B$6*(1+'Scenario Controls'!$B$7)),E436,0))</x:f>
        <x:v>0</x:v>
      </x:c>
      <x:c r="R436" s="24" t="str">
        <x:f>'BU Conference'!G259</x:f>
        <x:v>Automatic</x:v>
      </x:c>
      <x:c r="S436" s="24" t="str">
        <x:f>'BU Conference'!H259</x:f>
      </x:c>
      <x:c r="T436" s="19" t="n">
        <x:f>IF(R436="Exclude",0,IF(R436="Include",E436,Q436))</x:f>
        <x:v>0</x:v>
      </x:c>
      <x:c r="U436" s="15" t="str">
        <x:f>IF(T436&gt;0,"Funded",IF(P436="Eligible","Unfunded",P436))</x:f>
        <x:v>Evidence missing / not eligible</x:v>
      </x:c>
      <x:c r="V436" s="15" t="str">
        <x:f>IF(R436="Include","Conference inclusion: "&amp;S436,IF(R436="Exclude","Conference exclusion: "&amp;S436,IF(Q436&gt;0,H436&amp;" priority rank "&amp;I436&amp;"; whole initiative selected",P436)))</x:f>
        <x:v>Evidence missing / not eligible</x:v>
      </x:c>
      <x:c r="W436" s="15" t="str">
        <x:v>Bu!644</x:v>
      </x:c>
      <x:c r="X436" s="15" t="str"/>
      <x:c r="Y436" s="15" t="str"/>
      <x:c r="Z436" s="15" t="str"/>
      <x:c r="AA436" s="15" t="str">
        <x:v>New Initiative</x:v>
      </x:c>
      <x:c r="AB436" s="15" t="str"/>
      <x:c r="AC436" s="15" t="str"/>
      <x:c r="AD436" s="15" t="str"/>
      <x:c r="AE436" s="15" t="str"/>
      <x:c r="AF436" s="15" t="str"/>
      <x:c r="AG436" s="15" t="str">
        <x:v>Must Do</x:v>
      </x:c>
      <x:c r="AH436" s="15" t="n">
        <x:v>492</x:v>
      </x:c>
    </x:row>
    <x:row r="437">
      <x:c r="A437" s="15" t="str">
        <x:v>Bu-316</x:v>
      </x:c>
      <x:c r="B437" s="15" t="str">
        <x:v>RegMem in a Day</x:v>
      </x:c>
      <x:c r="C437" s="15" t="str">
        <x:v>BU Led</x:v>
      </x:c>
      <x:c r="D437" s="15" t="str">
        <x:v>Personal Health (PH)</x:v>
      </x:c>
      <x:c r="E437" s="19" t="n">
        <x:v>0.15</x:v>
      </x:c>
      <x:c r="F437" s="19" t="n">
        <x:v>0</x:v>
      </x:c>
      <x:c r="G437" s="22" t="n">
        <x:f>IF(AND(E437&gt;0,ISNUMBER(F437)),F437/E437,"")</x:f>
        <x:v>0</x:v>
      </x:c>
      <x:c r="H437" s="15" t="str">
        <x:v>ROI-Based Portfolio</x:v>
      </x:c>
      <x:c r="I437" s="15" t="n">
        <x:v>135</x:v>
      </x:c>
      <x:c r="J437" s="15" t="n">
        <x:v>0</x:v>
      </x:c>
      <x:c r="K437" s="23" t="n">
        <x:f>IF(G437="",0,IF(G437&lt;1,0,IF(G437&lt;2,20,IF(G437&lt;3,30,IF(G437&lt;5,40,50)))))*'Scenario Controls'!$B$22/50</x:f>
        <x:v>0</x:v>
      </x:c>
      <x:c r="L437" s="23" t="n">
        <x:f>IF(ISNUMBER(SEARCH("Must Do",AG437)),25,IF(ISNUMBER(SEARCH("Must Have",AG437)),18,IF(ISNUMBER(SEARCH("Deprior",AG437)),5,0)))*'Scenario Controls'!$B$23/25</x:f>
        <x:v>25</x:v>
      </x:c>
      <x:c r="M437" s="23" t="n">
        <x:f>J437*'Scenario Controls'!$B$24/15</x:f>
        <x:v>0</x:v>
      </x:c>
      <x:c r="N437" s="23" t="n">
        <x:f>IF(ISNUMBER(SEARCH("HEALTHY",X437)),10,IF(ISNUMBER(SEARCH("CONTAIN",X437)),6,0))*'Scenario Controls'!$B$25/10</x:f>
        <x:v>0</x:v>
      </x:c>
      <x:c r="O437" s="23" t="n">
        <x:f>SUM(K437:N437)</x:f>
        <x:v>25</x:v>
      </x:c>
      <x:c r="P437" s="15" t="str">
        <x:f>IF(OR(B437="",E437&lt;=0),"Evidence missing / not eligible",IF(ISNUMBER(SEARCH("priority TBD",Y437)),"Evidence missing / not eligible",IF(AND(H437="Carryover",NOT(ISNUMBER(F437))),"Evidence missing / not eligible",IF(AND(H437="Carryover",G437&lt;'Scenario Controls'!$B$16),"Evidence missing / not eligible",IF(AND(H437="ROI-Based Portfolio",NOT(ISNUMBER(F437))),"Evidence missing / not eligible",IF(AND(H437="ROI-Based Portfolio",O437&lt;'Scenario Controls'!$B$20),"Evidence missing / not eligible","Eligible"))))))</x:f>
        <x:v>Evidence missing / not eligible</x:v>
      </x:c>
      <x:c r="Q437" s="19" t="n">
        <x:f>IF(P437&lt;&gt;"Eligible",0,IF(AND(SUMIFS($Q$5:Q436,$H$5:H436,H437)+E437&lt;=(IF(H437="LFR",'Scenario Controls'!$F$10,IF(H437="Sustain Engineering",'Scenario Controls'!$F$11,IF(H437="Hygiene",'Scenario Controls'!$F$12,1E+99))))*(1+'Scenario Controls'!$B$7),SUM($Q$5:Q436)+E437&lt;='Scenario Controls'!$B$6*(1+'Scenario Controls'!$B$7)),E437,0))</x:f>
        <x:v>0</x:v>
      </x:c>
      <x:c r="R437" s="24" t="str">
        <x:f>'BU Conference'!G260</x:f>
        <x:v>Automatic</x:v>
      </x:c>
      <x:c r="S437" s="24" t="str">
        <x:f>'BU Conference'!H260</x:f>
      </x:c>
      <x:c r="T437" s="19" t="n">
        <x:f>IF(R437="Exclude",0,IF(R437="Include",E437,Q437))</x:f>
        <x:v>0</x:v>
      </x:c>
      <x:c r="U437" s="15" t="str">
        <x:f>IF(T437&gt;0,"Funded",IF(P437="Eligible","Unfunded",P437))</x:f>
        <x:v>Evidence missing / not eligible</x:v>
      </x:c>
      <x:c r="V437" s="15" t="str">
        <x:f>IF(R437="Include","Conference inclusion: "&amp;S437,IF(R437="Exclude","Conference exclusion: "&amp;S437,IF(Q437&gt;0,H437&amp;" priority rank "&amp;I437&amp;"; whole initiative selected",P437)))</x:f>
        <x:v>Evidence missing / not eligible</x:v>
      </x:c>
      <x:c r="W437" s="15" t="str">
        <x:v>Bu!645</x:v>
      </x:c>
      <x:c r="X437" s="15" t="str"/>
      <x:c r="Y437" s="15" t="str"/>
      <x:c r="Z437" s="15" t="str"/>
      <x:c r="AA437" s="15" t="str">
        <x:v>New Initiative</x:v>
      </x:c>
      <x:c r="AB437" s="15" t="str">
        <x:v>Integrated Supply Chain &amp; Finance</x:v>
      </x:c>
      <x:c r="AC437" s="15" t="str"/>
      <x:c r="AD437" s="15" t="str"/>
      <x:c r="AE437" s="15" t="str"/>
      <x:c r="AF437" s="15" t="str"/>
      <x:c r="AG437" s="15" t="str">
        <x:v>Must Do</x:v>
      </x:c>
      <x:c r="AH437" s="15" t="n">
        <x:v>493</x:v>
      </x:c>
    </x:row>
    <x:row r="438">
      <x:c r="A438" s="15" t="str">
        <x:v>Bu-321</x:v>
      </x:c>
      <x:c r="B438" s="15" t="str">
        <x:v>Touchless Supply chain</x:v>
      </x:c>
      <x:c r="C438" s="15" t="str">
        <x:v>BU Led</x:v>
      </x:c>
      <x:c r="D438" s="15" t="str">
        <x:v>Personal Health (PH)</x:v>
      </x:c>
      <x:c r="E438" s="19" t="n">
        <x:v>0</x:v>
      </x:c>
      <x:c r="F438" s="19" t="n">
        <x:v>0</x:v>
      </x:c>
      <x:c r="G438" s="22" t="str">
        <x:f>IF(AND(E438&gt;0,ISNUMBER(F438)),F438/E438,"")</x:f>
      </x:c>
      <x:c r="H438" s="15" t="str">
        <x:v>ROI-Based Portfolio</x:v>
      </x:c>
      <x:c r="I438" s="15" t="n">
        <x:v>136</x:v>
      </x:c>
      <x:c r="J438" s="15" t="n">
        <x:v>0</x:v>
      </x:c>
      <x:c r="K438" s="23" t="n">
        <x:f>IF(G438="",0,IF(G438&lt;1,0,IF(G438&lt;2,20,IF(G438&lt;3,30,IF(G438&lt;5,40,50)))))*'Scenario Controls'!$B$22/50</x:f>
        <x:v>0</x:v>
      </x:c>
      <x:c r="L438" s="23" t="n">
        <x:f>IF(ISNUMBER(SEARCH("Must Do",AG438)),25,IF(ISNUMBER(SEARCH("Must Have",AG438)),18,IF(ISNUMBER(SEARCH("Deprior",AG438)),5,0)))*'Scenario Controls'!$B$23/25</x:f>
        <x:v>25</x:v>
      </x:c>
      <x:c r="M438" s="23" t="n">
        <x:f>J438*'Scenario Controls'!$B$24/15</x:f>
        <x:v>0</x:v>
      </x:c>
      <x:c r="N438" s="23" t="n">
        <x:f>IF(ISNUMBER(SEARCH("HEALTHY",X438)),10,IF(ISNUMBER(SEARCH("CONTAIN",X438)),6,0))*'Scenario Controls'!$B$25/10</x:f>
        <x:v>0</x:v>
      </x:c>
      <x:c r="O438" s="23" t="n">
        <x:f>SUM(K438:N438)</x:f>
        <x:v>25</x:v>
      </x:c>
      <x:c r="P438" s="15" t="str">
        <x:f>IF(OR(B438="",E438&lt;=0),"Evidence missing / not eligible",IF(ISNUMBER(SEARCH("priority TBD",Y438)),"Evidence missing / not eligible",IF(AND(H438="Carryover",NOT(ISNUMBER(F438))),"Evidence missing / not eligible",IF(AND(H438="Carryover",G438&lt;'Scenario Controls'!$B$16),"Evidence missing / not eligible",IF(AND(H438="ROI-Based Portfolio",NOT(ISNUMBER(F438))),"Evidence missing / not eligible",IF(AND(H438="ROI-Based Portfolio",O438&lt;'Scenario Controls'!$B$20),"Evidence missing / not eligible","Eligible"))))))</x:f>
        <x:v>Evidence missing / not eligible</x:v>
      </x:c>
      <x:c r="Q438" s="19" t="n">
        <x:f>IF(P438&lt;&gt;"Eligible",0,IF(AND(SUMIFS($Q$5:Q437,$H$5:H437,H438)+E438&lt;=(IF(H438="LFR",'Scenario Controls'!$F$10,IF(H438="Sustain Engineering",'Scenario Controls'!$F$11,IF(H438="Hygiene",'Scenario Controls'!$F$12,1E+99))))*(1+'Scenario Controls'!$B$7),SUM($Q$5:Q437)+E438&lt;='Scenario Controls'!$B$6*(1+'Scenario Controls'!$B$7)),E438,0))</x:f>
        <x:v>0</x:v>
      </x:c>
      <x:c r="R438" s="24" t="str">
        <x:f>'BU Conference'!G261</x:f>
        <x:v>Automatic</x:v>
      </x:c>
      <x:c r="S438" s="24" t="str">
        <x:f>'BU Conference'!H261</x:f>
      </x:c>
      <x:c r="T438" s="19" t="n">
        <x:f>IF(R438="Exclude",0,IF(R438="Include",E438,Q438))</x:f>
        <x:v>0</x:v>
      </x:c>
      <x:c r="U438" s="15" t="str">
        <x:f>IF(T438&gt;0,"Funded",IF(P438="Eligible","Unfunded",P438))</x:f>
        <x:v>Evidence missing / not eligible</x:v>
      </x:c>
      <x:c r="V438" s="15" t="str">
        <x:f>IF(R438="Include","Conference inclusion: "&amp;S438,IF(R438="Exclude","Conference exclusion: "&amp;S438,IF(Q438&gt;0,H438&amp;" priority rank "&amp;I438&amp;"; whole initiative selected",P438)))</x:f>
        <x:v>Evidence missing / not eligible</x:v>
      </x:c>
      <x:c r="W438" s="15" t="str">
        <x:v>Bu!658</x:v>
      </x:c>
      <x:c r="X438" s="15" t="str"/>
      <x:c r="Y438" s="15" t="str"/>
      <x:c r="Z438" s="15" t="str"/>
      <x:c r="AA438" s="15" t="str">
        <x:v>New Initiative</x:v>
      </x:c>
      <x:c r="AB438" s="15" t="str"/>
      <x:c r="AC438" s="15" t="str"/>
      <x:c r="AD438" s="15" t="str"/>
      <x:c r="AE438" s="15" t="str"/>
      <x:c r="AF438" s="15" t="str"/>
      <x:c r="AG438" s="15" t="str">
        <x:v>Must Do</x:v>
      </x:c>
      <x:c r="AH438" s="15" t="n">
        <x:v>498</x:v>
      </x:c>
    </x:row>
    <x:row r="439">
      <x:c r="A439" s="15" t="str">
        <x:v>EW-176</x:v>
      </x:c>
      <x:c r="B439" s="15" t="str">
        <x:v>Results hub replatforming (Quarterly and annual financial reporting)</x:v>
      </x:c>
      <x:c r="C439" s="15" t="str">
        <x:v>EW Led</x:v>
      </x:c>
      <x:c r="D439" s="15" t="str">
        <x:v>Communications &amp; Brand</x:v>
      </x:c>
      <x:c r="E439" s="19" t="n">
        <x:v>0</x:v>
      </x:c>
      <x:c r="F439" s="19" t="n">
        <x:v>0.178</x:v>
      </x:c>
      <x:c r="G439" s="22" t="str">
        <x:f>IF(AND(E439&gt;0,ISNUMBER(F439)),F439/E439,"")</x:f>
      </x:c>
      <x:c r="H439" s="15" t="str">
        <x:v>ROI-Based Portfolio</x:v>
      </x:c>
      <x:c r="I439" s="15" t="n">
        <x:v>137</x:v>
      </x:c>
      <x:c r="J439" s="15" t="n">
        <x:v>15</x:v>
      </x:c>
      <x:c r="K439" s="23" t="n">
        <x:f>IF(G439="",0,IF(G439&lt;1,0,IF(G439&lt;2,20,IF(G439&lt;3,30,IF(G439&lt;5,40,50)))))*'Scenario Controls'!$B$22/50</x:f>
        <x:v>0</x:v>
      </x:c>
      <x:c r="L439" s="23" t="n">
        <x:f>IF(ISNUMBER(SEARCH("Must Do",AG439)),25,IF(ISNUMBER(SEARCH("Must Have",AG439)),18,IF(ISNUMBER(SEARCH("Deprior",AG439)),5,0)))*'Scenario Controls'!$B$23/25</x:f>
        <x:v>0</x:v>
      </x:c>
      <x:c r="M439" s="23" t="n">
        <x:f>J439*'Scenario Controls'!$B$24/15</x:f>
        <x:v>15</x:v>
      </x:c>
      <x:c r="N439" s="23" t="n">
        <x:f>IF(ISNUMBER(SEARCH("HEALTHY",X439)),10,IF(ISNUMBER(SEARCH("CONTAIN",X439)),6,0))*'Scenario Controls'!$B$25/10</x:f>
        <x:v>10</x:v>
      </x:c>
      <x:c r="O439" s="23" t="n">
        <x:f>SUM(K439:N439)</x:f>
        <x:v>25</x:v>
      </x:c>
      <x:c r="P439" s="15" t="str">
        <x:f>IF(OR(B439="",E439&lt;=0),"Evidence missing / not eligible",IF(ISNUMBER(SEARCH("priority TBD",Y439)),"Evidence missing / not eligible",IF(AND(H439="Carryover",NOT(ISNUMBER(F439))),"Evidence missing / not eligible",IF(AND(H439="Carryover",G439&lt;'Scenario Controls'!$B$16),"Evidence missing / not eligible",IF(AND(H439="ROI-Based Portfolio",NOT(ISNUMBER(F439))),"Evidence missing / not eligible",IF(AND(H439="ROI-Based Portfolio",O439&lt;'Scenario Controls'!$B$20),"Evidence missing / not eligible","Eligible"))))))</x:f>
        <x:v>Evidence missing / not eligible</x:v>
      </x:c>
      <x:c r="Q439" s="19" t="n">
        <x:f>IF(P439&lt;&gt;"Eligible",0,IF(AND(SUMIFS($Q$5:Q438,$H$5:H438,H439)+E439&lt;=(IF(H439="LFR",'Scenario Controls'!$F$10,IF(H439="Sustain Engineering",'Scenario Controls'!$F$11,IF(H439="Hygiene",'Scenario Controls'!$F$12,1E+99))))*(1+'Scenario Controls'!$B$7),SUM($Q$5:Q438)+E439&lt;='Scenario Controls'!$B$6*(1+'Scenario Controls'!$B$7)),E439,0))</x:f>
        <x:v>0</x:v>
      </x:c>
      <x:c r="R439" s="24" t="str">
        <x:f>'EW Conference'!G183</x:f>
        <x:v>Automatic</x:v>
      </x:c>
      <x:c r="S439" s="24" t="str">
        <x:f>'EW Conference'!H183</x:f>
      </x:c>
      <x:c r="T439" s="19" t="n">
        <x:f>IF(R439="Exclude",0,IF(R439="Include",E439,Q439))</x:f>
        <x:v>0</x:v>
      </x:c>
      <x:c r="U439" s="15" t="str">
        <x:f>IF(T439&gt;0,"Funded",IF(P439="Eligible","Unfunded",P439))</x:f>
        <x:v>Evidence missing / not eligible</x:v>
      </x:c>
      <x:c r="V439" s="15" t="str">
        <x:f>IF(R439="Include","Conference inclusion: "&amp;S439,IF(R439="Exclude","Conference exclusion: "&amp;S439,IF(Q439&gt;0,H439&amp;" priority rank "&amp;I439&amp;"; whole initiative selected",P439)))</x:f>
        <x:v>Evidence missing / not eligible</x:v>
      </x:c>
      <x:c r="W439" s="15" t="str">
        <x:v>EW!172</x:v>
      </x:c>
      <x:c r="X439" s="15" t="str">
        <x:v>HEALTHY</x:v>
      </x:c>
      <x:c r="Y439" s="15" t="str">
        <x:v>HEALTHY — Rank in priority matrix</x:v>
      </x:c>
      <x:c r="Z439" s="15" t="str"/>
      <x:c r="AA439" s="15" t="str"/>
      <x:c r="AB439" s="15" t="str"/>
      <x:c r="AC439" s="15" t="str">
        <x:v>Without migration, Results Hub remains dependent on a single external vendor, outside the Philips IT Landscape, with limited internal ability to ensure uptime, compliance and release-day support. Philips would continue to carry fragmented investor and corporate content, vendor concentration, potential disclosure and reputation exposure, and EUR 178K of avoidable annual external platform and operating costs.</x:v>
      </x:c>
      <x:c r="AD439" s="15" t="str">
        <x:v>The present external web platform does not provide Philips with the ownership, resilience or integrated operating model appropriate for market-sensitive financial communication. It creates vendor concentration risk, operates outside PIL, fragments corporate and Investor Relations content, and prevents Philips IT from proactively assuring availability and compliance. Migration is required to bring Results Hub into the governed corporate digital landscape; release-control assurance remains a mandatory delivery gate, not an alternative to migration.</x:v>
      </x:c>
      <x:c r="AE439" s="15" t="str">
        <x:v>Migrate the Results Hub microsite, its public content-delivery layer and its operating model to Contentful within the Philips IT digital landscape. Contentful will provide the managed publishing experience for Results Hub, including protected preview and asset management, approval evidence, precise-time activation, rollback, cache and peak-load management, certificate ownership, monitoring and a Philips IT support runbook. The scope also includes integration with corporate and Investor Relations content, while retiring the external website/editor platform and its associated operating costs.</x:v>
      </x:c>
      <x:c r="AF439" s="15" t="str">
        <x:v>Without migration, Results Hub remains dependent on a single external vendor, outside the Philips IT Landscape, with limited internal ability to ensure uptime, compliance and release-day support. Philips would continue to carry fragmented investor and corporate content, vendor concentration, potential disclosure and reputation exposure, and EUR 178K of avoidable annual external platform and operating costs. | The present external web platform does not provide Philips with the ownership, resilience or integrated operating model appropriate for market-sensitive financial communication. It creates vendor concentration risk, operates outside PIL, fragments corporate and Investor Relations content, and prevents Philips IT from proactively assuring availability and compliance. Migration is required to bring Results Hub into the governed corporate digital landscape; release-control assurance remains a mandatory delivery gate, not an alternative to migration. | Migrate the Results Hub microsite, its public content-delivery layer and its operating model to Contentful within the Philips IT digital landscape. Contentful will provide the managed publishing experience for Results Hub, including protected preview and asset management, approval evidence, precise-time activation, rollback, cache and peak-load management, certificate ownership, monitoring and a Philips IT support runbook. The scope also includes integration with corporate and Investor Relations content, while retiring the external website/editor platform and its associated operating costs.</x:v>
      </x:c>
      <x:c r="AG439" s="15" t="str"/>
      <x:c r="AH439" s="15" t="n">
        <x:v>174</x:v>
      </x:c>
    </x:row>
    <x:row r="440">
      <x:c r="A440" s="15" t="str">
        <x:v>Bu-166</x:v>
      </x:c>
      <x:c r="B440" s="15" t="str">
        <x:v>Pricing | Pricing tooling maturity assessment - Road-map</x:v>
      </x:c>
      <x:c r="C440" s="15" t="str">
        <x:v>BU Led</x:v>
      </x:c>
      <x:c r="D440" s="15" t="str">
        <x:v>Precision Diagnosis - Magnetic Resonance (MR)</x:v>
      </x:c>
      <x:c r="E440" s="19" t="n">
        <x:v>0.05</x:v>
      </x:c>
      <x:c r="F440" s="19" t="n">
        <x:v>0</x:v>
      </x:c>
      <x:c r="G440" s="22" t="n">
        <x:f>IF(AND(E440&gt;0,ISNUMBER(F440)),F440/E440,"")</x:f>
        <x:v>0</x:v>
      </x:c>
      <x:c r="H440" s="15" t="str">
        <x:v>ROI-Based Portfolio</x:v>
      </x:c>
      <x:c r="I440" s="15" t="n">
        <x:v>138</x:v>
      </x:c>
      <x:c r="J440" s="15" t="n">
        <x:v>5</x:v>
      </x:c>
      <x:c r="K440" s="23" t="n">
        <x:f>IF(G440="",0,IF(G440&lt;1,0,IF(G440&lt;2,20,IF(G440&lt;3,30,IF(G440&lt;5,40,50)))))*'Scenario Controls'!$B$22/50</x:f>
        <x:v>0</x:v>
      </x:c>
      <x:c r="L440" s="23" t="n">
        <x:f>IF(ISNUMBER(SEARCH("Must Do",AG440)),25,IF(ISNUMBER(SEARCH("Must Have",AG440)),18,IF(ISNUMBER(SEARCH("Deprior",AG440)),5,0)))*'Scenario Controls'!$B$23/25</x:f>
        <x:v>18</x:v>
      </x:c>
      <x:c r="M440" s="23" t="n">
        <x:f>J440*'Scenario Controls'!$B$24/15</x:f>
        <x:v>5</x:v>
      </x:c>
      <x:c r="N440" s="23" t="n">
        <x:f>IF(ISNUMBER(SEARCH("HEALTHY",X440)),10,IF(ISNUMBER(SEARCH("CONTAIN",X440)),6,0))*'Scenario Controls'!$B$25/10</x:f>
        <x:v>0</x:v>
      </x:c>
      <x:c r="O440" s="23" t="n">
        <x:f>SUM(K440:N440)</x:f>
        <x:v>23</x:v>
      </x:c>
      <x:c r="P440" s="15" t="str">
        <x:f>IF(OR(B440="",E440&lt;=0),"Evidence missing / not eligible",IF(ISNUMBER(SEARCH("priority TBD",Y440)),"Evidence missing / not eligible",IF(AND(H440="Carryover",NOT(ISNUMBER(F440))),"Evidence missing / not eligible",IF(AND(H440="Carryover",G440&lt;'Scenario Controls'!$B$16),"Evidence missing / not eligible",IF(AND(H440="ROI-Based Portfolio",NOT(ISNUMBER(F440))),"Evidence missing / not eligible",IF(AND(H440="ROI-Based Portfolio",O440&lt;'Scenario Controls'!$B$20),"Evidence missing / not eligible","Eligible"))))))</x:f>
        <x:v>Evidence missing / not eligible</x:v>
      </x:c>
      <x:c r="Q440" s="19" t="n">
        <x:f>IF(P440&lt;&gt;"Eligible",0,IF(AND(SUMIFS($Q$5:Q439,$H$5:H439,H440)+E440&lt;=(IF(H440="LFR",'Scenario Controls'!$F$10,IF(H440="Sustain Engineering",'Scenario Controls'!$F$11,IF(H440="Hygiene",'Scenario Controls'!$F$12,1E+99))))*(1+'Scenario Controls'!$B$7),SUM($Q$5:Q439)+E440&lt;='Scenario Controls'!$B$6*(1+'Scenario Controls'!$B$7)),E440,0))</x:f>
        <x:v>0</x:v>
      </x:c>
      <x:c r="R440" s="24" t="str">
        <x:f>'BU Conference'!G262</x:f>
        <x:v>Automatic</x:v>
      </x:c>
      <x:c r="S440" s="24" t="str">
        <x:f>'BU Conference'!H262</x:f>
      </x:c>
      <x:c r="T440" s="19" t="n">
        <x:f>IF(R440="Exclude",0,IF(R440="Include",E440,Q440))</x:f>
        <x:v>0</x:v>
      </x:c>
      <x:c r="U440" s="15" t="str">
        <x:f>IF(T440&gt;0,"Funded",IF(P440="Eligible","Unfunded",P440))</x:f>
        <x:v>Evidence missing / not eligible</x:v>
      </x:c>
      <x:c r="V440" s="15" t="str">
        <x:f>IF(R440="Include","Conference inclusion: "&amp;S440,IF(R440="Exclude","Conference exclusion: "&amp;S440,IF(Q440&gt;0,H440&amp;" priority rank "&amp;I440&amp;"; whole initiative selected",P440)))</x:f>
        <x:v>Evidence missing / not eligible</x:v>
      </x:c>
      <x:c r="W440" s="15" t="str">
        <x:v>Bu!403</x:v>
      </x:c>
      <x:c r="X440" s="15" t="str"/>
      <x:c r="Y440" s="15" t="str"/>
      <x:c r="Z440" s="15" t="str">
        <x:v>New Technology</x:v>
      </x:c>
      <x:c r="AA440" s="15" t="str">
        <x:v>New Initiative</x:v>
      </x:c>
      <x:c r="AB440" s="15" t="str">
        <x:v>Commercial IT</x:v>
      </x:c>
      <x:c r="AC440" s="15" t="str"/>
      <x:c r="AD440" s="15" t="str"/>
      <x:c r="AE440" s="15" t="str">
        <x:v>Digitalizing regulatory processes and documentation could significantly improve efficiency for manufacturers and notified bodies by reducing manual copy-paste work, completeness checks, and frequent traceability updates, while also minimizing errors and improving consistency and documentation quality.</x:v>
      </x:c>
      <x:c r="AF440" s="15" t="str">
        <x:v>Digitalizing regulatory processes and documentation could significantly improve efficiency for manufacturers and notified bodies by reducing manual copy-paste work, completeness checks, and frequent traceability updates, while also minimizing errors and improving consistency and documentation quality.</x:v>
      </x:c>
      <x:c r="AG440" s="15" t="str">
        <x:v>Must Have</x:v>
      </x:c>
      <x:c r="AH440" s="15" t="n">
        <x:v>343</x:v>
      </x:c>
    </x:row>
    <x:row r="441">
      <x:c r="A441" s="15" t="str">
        <x:v>Bu-169</x:v>
      </x:c>
      <x:c r="B441" s="15" t="str">
        <x:v>I2M Planisware CT AI Solutions</x:v>
      </x:c>
      <x:c r="C441" s="15" t="str">
        <x:v>BU Led</x:v>
      </x:c>
      <x:c r="D441" s="15" t="str">
        <x:v>Precision Diagnosis - Computed Tomography (CT)</x:v>
      </x:c>
      <x:c r="E441" s="19" t="n">
        <x:v>0.65</x:v>
      </x:c>
      <x:c r="F441" s="19" t="n">
        <x:v>0</x:v>
      </x:c>
      <x:c r="G441" s="22" t="n">
        <x:f>IF(AND(E441&gt;0,ISNUMBER(F441)),F441/E441,"")</x:f>
        <x:v>0</x:v>
      </x:c>
      <x:c r="H441" s="15" t="str">
        <x:v>ROI-Based Portfolio</x:v>
      </x:c>
      <x:c r="I441" s="15" t="n">
        <x:v>139</x:v>
      </x:c>
      <x:c r="J441" s="15" t="n">
        <x:v>5</x:v>
      </x:c>
      <x:c r="K441" s="23" t="n">
        <x:f>IF(G441="",0,IF(G441&lt;1,0,IF(G441&lt;2,20,IF(G441&lt;3,30,IF(G441&lt;5,40,50)))))*'Scenario Controls'!$B$22/50</x:f>
        <x:v>0</x:v>
      </x:c>
      <x:c r="L441" s="23" t="n">
        <x:f>IF(ISNUMBER(SEARCH("Must Do",AG441)),25,IF(ISNUMBER(SEARCH("Must Have",AG441)),18,IF(ISNUMBER(SEARCH("Deprior",AG441)),5,0)))*'Scenario Controls'!$B$23/25</x:f>
        <x:v>18</x:v>
      </x:c>
      <x:c r="M441" s="23" t="n">
        <x:f>J441*'Scenario Controls'!$B$24/15</x:f>
        <x:v>5</x:v>
      </x:c>
      <x:c r="N441" s="23" t="n">
        <x:f>IF(ISNUMBER(SEARCH("HEALTHY",X441)),10,IF(ISNUMBER(SEARCH("CONTAIN",X441)),6,0))*'Scenario Controls'!$B$25/10</x:f>
        <x:v>0</x:v>
      </x:c>
      <x:c r="O441" s="23" t="n">
        <x:f>SUM(K441:N441)</x:f>
        <x:v>23</x:v>
      </x:c>
      <x:c r="P441" s="15" t="str">
        <x:f>IF(OR(B441="",E441&lt;=0),"Evidence missing / not eligible",IF(ISNUMBER(SEARCH("priority TBD",Y441)),"Evidence missing / not eligible",IF(AND(H441="Carryover",NOT(ISNUMBER(F441))),"Evidence missing / not eligible",IF(AND(H441="Carryover",G441&lt;'Scenario Controls'!$B$16),"Evidence missing / not eligible",IF(AND(H441="ROI-Based Portfolio",NOT(ISNUMBER(F441))),"Evidence missing / not eligible",IF(AND(H441="ROI-Based Portfolio",O441&lt;'Scenario Controls'!$B$20),"Evidence missing / not eligible","Eligible"))))))</x:f>
        <x:v>Evidence missing / not eligible</x:v>
      </x:c>
      <x:c r="Q441" s="19" t="n">
        <x:f>IF(P441&lt;&gt;"Eligible",0,IF(AND(SUMIFS($Q$5:Q440,$H$5:H440,H441)+E441&lt;=(IF(H441="LFR",'Scenario Controls'!$F$10,IF(H441="Sustain Engineering",'Scenario Controls'!$F$11,IF(H441="Hygiene",'Scenario Controls'!$F$12,1E+99))))*(1+'Scenario Controls'!$B$7),SUM($Q$5:Q440)+E441&lt;='Scenario Controls'!$B$6*(1+'Scenario Controls'!$B$7)),E441,0))</x:f>
        <x:v>0</x:v>
      </x:c>
      <x:c r="R441" s="24" t="str">
        <x:f>'BU Conference'!G263</x:f>
        <x:v>Automatic</x:v>
      </x:c>
      <x:c r="S441" s="24" t="str">
        <x:f>'BU Conference'!H263</x:f>
      </x:c>
      <x:c r="T441" s="19" t="n">
        <x:f>IF(R441="Exclude",0,IF(R441="Include",E441,Q441))</x:f>
        <x:v>0</x:v>
      </x:c>
      <x:c r="U441" s="15" t="str">
        <x:f>IF(T441&gt;0,"Funded",IF(P441="Eligible","Unfunded",P441))</x:f>
        <x:v>Evidence missing / not eligible</x:v>
      </x:c>
      <x:c r="V441" s="15" t="str">
        <x:f>IF(R441="Include","Conference inclusion: "&amp;S441,IF(R441="Exclude","Conference exclusion: "&amp;S441,IF(Q441&gt;0,H441&amp;" priority rank "&amp;I441&amp;"; whole initiative selected",P441)))</x:f>
        <x:v>Evidence missing / not eligible</x:v>
      </x:c>
      <x:c r="W441" s="15" t="str">
        <x:v>Bu!408</x:v>
      </x:c>
      <x:c r="X441" s="15" t="str"/>
      <x:c r="Y441" s="15" t="str"/>
      <x:c r="Z441" s="15" t="str">
        <x:v>AI Enablement</x:v>
      </x:c>
      <x:c r="AA441" s="15" t="str">
        <x:v>New Initiative</x:v>
      </x:c>
      <x:c r="AB441" s="15" t="str">
        <x:v>Innovation and Digital IT</x:v>
      </x:c>
      <x:c r="AC441" s="15" t="str"/>
      <x:c r="AD441" s="15" t="str"/>
      <x:c r="AE441" s="15" t="str">
        <x:v>The Scanbuddy app is currently maintained by a 3rd Party without a proper contract/terms &amp; conditions agreement. Exploration of insourcing to the Mobile apps team in Philips IT</x:v>
      </x:c>
      <x:c r="AF441" s="15" t="str">
        <x:v>The Scanbuddy app is currently maintained by a 3rd Party without a proper contract/terms &amp; conditions agreement. Exploration of insourcing to the Mobile apps team in Philips IT</x:v>
      </x:c>
      <x:c r="AG441" s="15" t="str">
        <x:v>Must Have</x:v>
      </x:c>
      <x:c r="AH441" s="15" t="n">
        <x:v>346</x:v>
      </x:c>
    </x:row>
    <x:row r="442">
      <x:c r="A442" s="15" t="str">
        <x:v>Bu-177</x:v>
      </x:c>
      <x:c r="B442" s="15" t="str">
        <x:v>Deploy maintenance logbook preparations (IB whitepaper)</x:v>
      </x:c>
      <x:c r="C442" s="15" t="str">
        <x:v>BU Led</x:v>
      </x:c>
      <x:c r="D442" s="15" t="str">
        <x:v>Precision Diagnosis - Magnetic Resonance (MR)</x:v>
      </x:c>
      <x:c r="E442" s="19" t="n">
        <x:v>0.15</x:v>
      </x:c>
      <x:c r="F442" s="19" t="n">
        <x:v>0</x:v>
      </x:c>
      <x:c r="G442" s="22" t="n">
        <x:f>IF(AND(E442&gt;0,ISNUMBER(F442)),F442/E442,"")</x:f>
        <x:v>0</x:v>
      </x:c>
      <x:c r="H442" s="15" t="str">
        <x:v>ROI-Based Portfolio</x:v>
      </x:c>
      <x:c r="I442" s="15" t="n">
        <x:v>140</x:v>
      </x:c>
      <x:c r="J442" s="15" t="n">
        <x:v>5</x:v>
      </x:c>
      <x:c r="K442" s="23" t="n">
        <x:f>IF(G442="",0,IF(G442&lt;1,0,IF(G442&lt;2,20,IF(G442&lt;3,30,IF(G442&lt;5,40,50)))))*'Scenario Controls'!$B$22/50</x:f>
        <x:v>0</x:v>
      </x:c>
      <x:c r="L442" s="23" t="n">
        <x:f>IF(ISNUMBER(SEARCH("Must Do",AG442)),25,IF(ISNUMBER(SEARCH("Must Have",AG442)),18,IF(ISNUMBER(SEARCH("Deprior",AG442)),5,0)))*'Scenario Controls'!$B$23/25</x:f>
        <x:v>18</x:v>
      </x:c>
      <x:c r="M442" s="23" t="n">
        <x:f>J442*'Scenario Controls'!$B$24/15</x:f>
        <x:v>5</x:v>
      </x:c>
      <x:c r="N442" s="23" t="n">
        <x:f>IF(ISNUMBER(SEARCH("HEALTHY",X442)),10,IF(ISNUMBER(SEARCH("CONTAIN",X442)),6,0))*'Scenario Controls'!$B$25/10</x:f>
        <x:v>0</x:v>
      </x:c>
      <x:c r="O442" s="23" t="n">
        <x:f>SUM(K442:N442)</x:f>
        <x:v>23</x:v>
      </x:c>
      <x:c r="P442" s="15" t="str">
        <x:f>IF(OR(B442="",E442&lt;=0),"Evidence missing / not eligible",IF(ISNUMBER(SEARCH("priority TBD",Y442)),"Evidence missing / not eligible",IF(AND(H442="Carryover",NOT(ISNUMBER(F442))),"Evidence missing / not eligible",IF(AND(H442="Carryover",G442&lt;'Scenario Controls'!$B$16),"Evidence missing / not eligible",IF(AND(H442="ROI-Based Portfolio",NOT(ISNUMBER(F442))),"Evidence missing / not eligible",IF(AND(H442="ROI-Based Portfolio",O442&lt;'Scenario Controls'!$B$20),"Evidence missing / not eligible","Eligible"))))))</x:f>
        <x:v>Evidence missing / not eligible</x:v>
      </x:c>
      <x:c r="Q442" s="19" t="n">
        <x:f>IF(P442&lt;&gt;"Eligible",0,IF(AND(SUMIFS($Q$5:Q441,$H$5:H441,H442)+E442&lt;=(IF(H442="LFR",'Scenario Controls'!$F$10,IF(H442="Sustain Engineering",'Scenario Controls'!$F$11,IF(H442="Hygiene",'Scenario Controls'!$F$12,1E+99))))*(1+'Scenario Controls'!$B$7),SUM($Q$5:Q441)+E442&lt;='Scenario Controls'!$B$6*(1+'Scenario Controls'!$B$7)),E442,0))</x:f>
        <x:v>0</x:v>
      </x:c>
      <x:c r="R442" s="24" t="str">
        <x:f>'BU Conference'!G264</x:f>
        <x:v>Automatic</x:v>
      </x:c>
      <x:c r="S442" s="24" t="str">
        <x:f>'BU Conference'!H264</x:f>
      </x:c>
      <x:c r="T442" s="19" t="n">
        <x:f>IF(R442="Exclude",0,IF(R442="Include",E442,Q442))</x:f>
        <x:v>0</x:v>
      </x:c>
      <x:c r="U442" s="15" t="str">
        <x:f>IF(T442&gt;0,"Funded",IF(P442="Eligible","Unfunded",P442))</x:f>
        <x:v>Evidence missing / not eligible</x:v>
      </x:c>
      <x:c r="V442" s="15" t="str">
        <x:f>IF(R442="Include","Conference inclusion: "&amp;S442,IF(R442="Exclude","Conference exclusion: "&amp;S442,IF(Q442&gt;0,H442&amp;" priority rank "&amp;I442&amp;"; whole initiative selected",P442)))</x:f>
        <x:v>Evidence missing / not eligible</x:v>
      </x:c>
      <x:c r="W442" s="15" t="str">
        <x:v>Bu!435</x:v>
      </x:c>
      <x:c r="X442" s="15" t="str"/>
      <x:c r="Y442" s="15" t="str"/>
      <x:c r="Z442" s="15" t="str">
        <x:v>New Feature</x:v>
      </x:c>
      <x:c r="AA442" s="15" t="str">
        <x:v>New Initiative</x:v>
      </x:c>
      <x:c r="AB442" s="15" t="str">
        <x:v>Services &amp; Solutions IT</x:v>
      </x:c>
      <x:c r="AC442" s="15" t="str"/>
      <x:c r="AD442" s="15" t="str"/>
      <x:c r="AE442" s="15" t="str">
        <x:v>Enhance as-granted ib with HW and Unlock the data for guided selling for both HW and SW</x:v>
      </x:c>
      <x:c r="AF442" s="15" t="str">
        <x:v>Enhance as-granted ib with HW and Unlock the data for guided selling for both HW and SW</x:v>
      </x:c>
      <x:c r="AG442" s="15" t="str">
        <x:v>Must Have</x:v>
      </x:c>
      <x:c r="AH442" s="15" t="n">
        <x:v>354</x:v>
      </x:c>
    </x:row>
    <x:row r="443">
      <x:c r="A443" s="15" t="str">
        <x:v>Bu-178</x:v>
      </x:c>
      <x:c r="B443" s="15" t="str">
        <x:v>Unlock as-granted ibase for HW to auto-populate guided selling</x:v>
      </x:c>
      <x:c r="C443" s="15" t="str">
        <x:v>BU Led</x:v>
      </x:c>
      <x:c r="D443" s="15" t="str">
        <x:v>Precision Diagnosis - Magnetic Resonance (MR)</x:v>
      </x:c>
      <x:c r="E443" s="19" t="n">
        <x:v>0.1</x:v>
      </x:c>
      <x:c r="F443" s="19" t="n">
        <x:v>0</x:v>
      </x:c>
      <x:c r="G443" s="22" t="n">
        <x:f>IF(AND(E443&gt;0,ISNUMBER(F443)),F443/E443,"")</x:f>
        <x:v>0</x:v>
      </x:c>
      <x:c r="H443" s="15" t="str">
        <x:v>ROI-Based Portfolio</x:v>
      </x:c>
      <x:c r="I443" s="15" t="n">
        <x:v>141</x:v>
      </x:c>
      <x:c r="J443" s="15" t="n">
        <x:v>5</x:v>
      </x:c>
      <x:c r="K443" s="23" t="n">
        <x:f>IF(G443="",0,IF(G443&lt;1,0,IF(G443&lt;2,20,IF(G443&lt;3,30,IF(G443&lt;5,40,50)))))*'Scenario Controls'!$B$22/50</x:f>
        <x:v>0</x:v>
      </x:c>
      <x:c r="L443" s="23" t="n">
        <x:f>IF(ISNUMBER(SEARCH("Must Do",AG443)),25,IF(ISNUMBER(SEARCH("Must Have",AG443)),18,IF(ISNUMBER(SEARCH("Deprior",AG443)),5,0)))*'Scenario Controls'!$B$23/25</x:f>
        <x:v>18</x:v>
      </x:c>
      <x:c r="M443" s="23" t="n">
        <x:f>J443*'Scenario Controls'!$B$24/15</x:f>
        <x:v>5</x:v>
      </x:c>
      <x:c r="N443" s="23" t="n">
        <x:f>IF(ISNUMBER(SEARCH("HEALTHY",X443)),10,IF(ISNUMBER(SEARCH("CONTAIN",X443)),6,0))*'Scenario Controls'!$B$25/10</x:f>
        <x:v>0</x:v>
      </x:c>
      <x:c r="O443" s="23" t="n">
        <x:f>SUM(K443:N443)</x:f>
        <x:v>23</x:v>
      </x:c>
      <x:c r="P443" s="15" t="str">
        <x:f>IF(OR(B443="",E443&lt;=0),"Evidence missing / not eligible",IF(ISNUMBER(SEARCH("priority TBD",Y443)),"Evidence missing / not eligible",IF(AND(H443="Carryover",NOT(ISNUMBER(F443))),"Evidence missing / not eligible",IF(AND(H443="Carryover",G443&lt;'Scenario Controls'!$B$16),"Evidence missing / not eligible",IF(AND(H443="ROI-Based Portfolio",NOT(ISNUMBER(F443))),"Evidence missing / not eligible",IF(AND(H443="ROI-Based Portfolio",O443&lt;'Scenario Controls'!$B$20),"Evidence missing / not eligible","Eligible"))))))</x:f>
        <x:v>Evidence missing / not eligible</x:v>
      </x:c>
      <x:c r="Q443" s="19" t="n">
        <x:f>IF(P443&lt;&gt;"Eligible",0,IF(AND(SUMIFS($Q$5:Q442,$H$5:H442,H443)+E443&lt;=(IF(H443="LFR",'Scenario Controls'!$F$10,IF(H443="Sustain Engineering",'Scenario Controls'!$F$11,IF(H443="Hygiene",'Scenario Controls'!$F$12,1E+99))))*(1+'Scenario Controls'!$B$7),SUM($Q$5:Q442)+E443&lt;='Scenario Controls'!$B$6*(1+'Scenario Controls'!$B$7)),E443,0))</x:f>
        <x:v>0</x:v>
      </x:c>
      <x:c r="R443" s="24" t="str">
        <x:f>'BU Conference'!G265</x:f>
        <x:v>Automatic</x:v>
      </x:c>
      <x:c r="S443" s="24" t="str">
        <x:f>'BU Conference'!H265</x:f>
      </x:c>
      <x:c r="T443" s="19" t="n">
        <x:f>IF(R443="Exclude",0,IF(R443="Include",E443,Q443))</x:f>
        <x:v>0</x:v>
      </x:c>
      <x:c r="U443" s="15" t="str">
        <x:f>IF(T443&gt;0,"Funded",IF(P443="Eligible","Unfunded",P443))</x:f>
        <x:v>Evidence missing / not eligible</x:v>
      </x:c>
      <x:c r="V443" s="15" t="str">
        <x:f>IF(R443="Include","Conference inclusion: "&amp;S443,IF(R443="Exclude","Conference exclusion: "&amp;S443,IF(Q443&gt;0,H443&amp;" priority rank "&amp;I443&amp;"; whole initiative selected",P443)))</x:f>
        <x:v>Evidence missing / not eligible</x:v>
      </x:c>
      <x:c r="W443" s="15" t="str">
        <x:v>Bu!436</x:v>
      </x:c>
      <x:c r="X443" s="15" t="str"/>
      <x:c r="Y443" s="15" t="str"/>
      <x:c r="Z443" s="15" t="str">
        <x:v>New Feature</x:v>
      </x:c>
      <x:c r="AA443" s="15" t="str">
        <x:v>New Initiative</x:v>
      </x:c>
      <x:c r="AB443" s="15" t="str">
        <x:v>Innovation and Digital IT</x:v>
      </x:c>
      <x:c r="AC443" s="15" t="str"/>
      <x:c r="AD443" s="15" t="str"/>
      <x:c r="AE443" s="15" t="str">
        <x:v>Identify quick wins, improve interface or build AI agent/RPA bot</x:v>
      </x:c>
      <x:c r="AF443" s="15" t="str">
        <x:v>Identify quick wins, improve interface or build AI agent/RPA bot</x:v>
      </x:c>
      <x:c r="AG443" s="15" t="str">
        <x:v>Must Have</x:v>
      </x:c>
      <x:c r="AH443" s="15" t="n">
        <x:v>355</x:v>
      </x:c>
    </x:row>
    <x:row r="444">
      <x:c r="A444" s="15" t="str">
        <x:v>Bu-179</x:v>
      </x:c>
      <x:c r="B444" s="15" t="str">
        <x:v>Digital thread, traceability applications (AI/RPA)</x:v>
      </x:c>
      <x:c r="C444" s="15" t="str">
        <x:v>BU Led</x:v>
      </x:c>
      <x:c r="D444" s="15" t="str">
        <x:v>Precision Diagnosis - Magnetic Resonance (MR)</x:v>
      </x:c>
      <x:c r="E444" s="19" t="n">
        <x:v>0.1</x:v>
      </x:c>
      <x:c r="F444" s="19" t="n">
        <x:v>0</x:v>
      </x:c>
      <x:c r="G444" s="22" t="n">
        <x:f>IF(AND(E444&gt;0,ISNUMBER(F444)),F444/E444,"")</x:f>
        <x:v>0</x:v>
      </x:c>
      <x:c r="H444" s="15" t="str">
        <x:v>ROI-Based Portfolio</x:v>
      </x:c>
      <x:c r="I444" s="15" t="n">
        <x:v>142</x:v>
      </x:c>
      <x:c r="J444" s="15" t="n">
        <x:v>5</x:v>
      </x:c>
      <x:c r="K444" s="23" t="n">
        <x:f>IF(G444="",0,IF(G444&lt;1,0,IF(G444&lt;2,20,IF(G444&lt;3,30,IF(G444&lt;5,40,50)))))*'Scenario Controls'!$B$22/50</x:f>
        <x:v>0</x:v>
      </x:c>
      <x:c r="L444" s="23" t="n">
        <x:f>IF(ISNUMBER(SEARCH("Must Do",AG444)),25,IF(ISNUMBER(SEARCH("Must Have",AG444)),18,IF(ISNUMBER(SEARCH("Deprior",AG444)),5,0)))*'Scenario Controls'!$B$23/25</x:f>
        <x:v>18</x:v>
      </x:c>
      <x:c r="M444" s="23" t="n">
        <x:f>J444*'Scenario Controls'!$B$24/15</x:f>
        <x:v>5</x:v>
      </x:c>
      <x:c r="N444" s="23" t="n">
        <x:f>IF(ISNUMBER(SEARCH("HEALTHY",X444)),10,IF(ISNUMBER(SEARCH("CONTAIN",X444)),6,0))*'Scenario Controls'!$B$25/10</x:f>
        <x:v>0</x:v>
      </x:c>
      <x:c r="O444" s="23" t="n">
        <x:f>SUM(K444:N444)</x:f>
        <x:v>23</x:v>
      </x:c>
      <x:c r="P444" s="15" t="str">
        <x:f>IF(OR(B444="",E444&lt;=0),"Evidence missing / not eligible",IF(ISNUMBER(SEARCH("priority TBD",Y444)),"Evidence missing / not eligible",IF(AND(H444="Carryover",NOT(ISNUMBER(F444))),"Evidence missing / not eligible",IF(AND(H444="Carryover",G444&lt;'Scenario Controls'!$B$16),"Evidence missing / not eligible",IF(AND(H444="ROI-Based Portfolio",NOT(ISNUMBER(F444))),"Evidence missing / not eligible",IF(AND(H444="ROI-Based Portfolio",O444&lt;'Scenario Controls'!$B$20),"Evidence missing / not eligible","Eligible"))))))</x:f>
        <x:v>Evidence missing / not eligible</x:v>
      </x:c>
      <x:c r="Q444" s="19" t="n">
        <x:f>IF(P444&lt;&gt;"Eligible",0,IF(AND(SUMIFS($Q$5:Q443,$H$5:H443,H444)+E444&lt;=(IF(H444="LFR",'Scenario Controls'!$F$10,IF(H444="Sustain Engineering",'Scenario Controls'!$F$11,IF(H444="Hygiene",'Scenario Controls'!$F$12,1E+99))))*(1+'Scenario Controls'!$B$7),SUM($Q$5:Q443)+E444&lt;='Scenario Controls'!$B$6*(1+'Scenario Controls'!$B$7)),E444,0))</x:f>
        <x:v>0</x:v>
      </x:c>
      <x:c r="R444" s="24" t="str">
        <x:f>'BU Conference'!G266</x:f>
        <x:v>Automatic</x:v>
      </x:c>
      <x:c r="S444" s="24" t="str">
        <x:f>'BU Conference'!H266</x:f>
      </x:c>
      <x:c r="T444" s="19" t="n">
        <x:f>IF(R444="Exclude",0,IF(R444="Include",E444,Q444))</x:f>
        <x:v>0</x:v>
      </x:c>
      <x:c r="U444" s="15" t="str">
        <x:f>IF(T444&gt;0,"Funded",IF(P444="Eligible","Unfunded",P444))</x:f>
        <x:v>Evidence missing / not eligible</x:v>
      </x:c>
      <x:c r="V444" s="15" t="str">
        <x:f>IF(R444="Include","Conference inclusion: "&amp;S444,IF(R444="Exclude","Conference exclusion: "&amp;S444,IF(Q444&gt;0,H444&amp;" priority rank "&amp;I444&amp;"; whole initiative selected",P444)))</x:f>
        <x:v>Evidence missing / not eligible</x:v>
      </x:c>
      <x:c r="W444" s="15" t="str">
        <x:v>Bu!437</x:v>
      </x:c>
      <x:c r="X444" s="15" t="str"/>
      <x:c r="Y444" s="15" t="str"/>
      <x:c r="Z444" s="15" t="str">
        <x:v>AI Enablement</x:v>
      </x:c>
      <x:c r="AA444" s="15" t="str">
        <x:v>New Initiative</x:v>
      </x:c>
      <x:c r="AB444" s="15" t="str">
        <x:v>Innovation and Digital IT</x:v>
      </x:c>
      <x:c r="AC444" s="15" t="str"/>
      <x:c r="AD444" s="15" t="str"/>
      <x:c r="AE444" s="15" t="str">
        <x:v>Reduce manual work in the current processes (Salestext, Catalog, Sales) within the M2O domain and enhance with AI.</x:v>
      </x:c>
      <x:c r="AF444" s="15" t="str">
        <x:v>Reduce manual work in the current processes (Salestext, Catalog, Sales) within the M2O domain and enhance with AI.</x:v>
      </x:c>
      <x:c r="AG444" s="15" t="str">
        <x:v>Must Have</x:v>
      </x:c>
      <x:c r="AH444" s="15" t="n">
        <x:v>356</x:v>
      </x:c>
    </x:row>
    <x:row r="445">
      <x:c r="A445" s="15" t="str">
        <x:v>Bu-180</x:v>
      </x:c>
      <x:c r="B445" s="15" t="str">
        <x:v>DI AI Solution Placeholder</x:v>
      </x:c>
      <x:c r="C445" s="15" t="str">
        <x:v>BU Led</x:v>
      </x:c>
      <x:c r="D445" s="15" t="str">
        <x:v>Precision Diagnosis - Magnetic Resonance (MR)</x:v>
      </x:c>
      <x:c r="E445" s="19" t="n">
        <x:v>0.3</x:v>
      </x:c>
      <x:c r="F445" s="19" t="n">
        <x:v>0</x:v>
      </x:c>
      <x:c r="G445" s="22" t="n">
        <x:f>IF(AND(E445&gt;0,ISNUMBER(F445)),F445/E445,"")</x:f>
        <x:v>0</x:v>
      </x:c>
      <x:c r="H445" s="15" t="str">
        <x:v>ROI-Based Portfolio</x:v>
      </x:c>
      <x:c r="I445" s="15" t="n">
        <x:v>143</x:v>
      </x:c>
      <x:c r="J445" s="15" t="n">
        <x:v>5</x:v>
      </x:c>
      <x:c r="K445" s="23" t="n">
        <x:f>IF(G445="",0,IF(G445&lt;1,0,IF(G445&lt;2,20,IF(G445&lt;3,30,IF(G445&lt;5,40,50)))))*'Scenario Controls'!$B$22/50</x:f>
        <x:v>0</x:v>
      </x:c>
      <x:c r="L445" s="23" t="n">
        <x:f>IF(ISNUMBER(SEARCH("Must Do",AG445)),25,IF(ISNUMBER(SEARCH("Must Have",AG445)),18,IF(ISNUMBER(SEARCH("Deprior",AG445)),5,0)))*'Scenario Controls'!$B$23/25</x:f>
        <x:v>18</x:v>
      </x:c>
      <x:c r="M445" s="23" t="n">
        <x:f>J445*'Scenario Controls'!$B$24/15</x:f>
        <x:v>5</x:v>
      </x:c>
      <x:c r="N445" s="23" t="n">
        <x:f>IF(ISNUMBER(SEARCH("HEALTHY",X445)),10,IF(ISNUMBER(SEARCH("CONTAIN",X445)),6,0))*'Scenario Controls'!$B$25/10</x:f>
        <x:v>0</x:v>
      </x:c>
      <x:c r="O445" s="23" t="n">
        <x:f>SUM(K445:N445)</x:f>
        <x:v>23</x:v>
      </x:c>
      <x:c r="P445" s="15" t="str">
        <x:f>IF(OR(B445="",E445&lt;=0),"Evidence missing / not eligible",IF(ISNUMBER(SEARCH("priority TBD",Y445)),"Evidence missing / not eligible",IF(AND(H445="Carryover",NOT(ISNUMBER(F445))),"Evidence missing / not eligible",IF(AND(H445="Carryover",G445&lt;'Scenario Controls'!$B$16),"Evidence missing / not eligible",IF(AND(H445="ROI-Based Portfolio",NOT(ISNUMBER(F445))),"Evidence missing / not eligible",IF(AND(H445="ROI-Based Portfolio",O445&lt;'Scenario Controls'!$B$20),"Evidence missing / not eligible","Eligible"))))))</x:f>
        <x:v>Evidence missing / not eligible</x:v>
      </x:c>
      <x:c r="Q445" s="19" t="n">
        <x:f>IF(P445&lt;&gt;"Eligible",0,IF(AND(SUMIFS($Q$5:Q444,$H$5:H444,H445)+E445&lt;=(IF(H445="LFR",'Scenario Controls'!$F$10,IF(H445="Sustain Engineering",'Scenario Controls'!$F$11,IF(H445="Hygiene",'Scenario Controls'!$F$12,1E+99))))*(1+'Scenario Controls'!$B$7),SUM($Q$5:Q444)+E445&lt;='Scenario Controls'!$B$6*(1+'Scenario Controls'!$B$7)),E445,0))</x:f>
        <x:v>0</x:v>
      </x:c>
      <x:c r="R445" s="24" t="str">
        <x:f>'BU Conference'!G267</x:f>
        <x:v>Automatic</x:v>
      </x:c>
      <x:c r="S445" s="24" t="str">
        <x:f>'BU Conference'!H267</x:f>
      </x:c>
      <x:c r="T445" s="19" t="n">
        <x:f>IF(R445="Exclude",0,IF(R445="Include",E445,Q445))</x:f>
        <x:v>0</x:v>
      </x:c>
      <x:c r="U445" s="15" t="str">
        <x:f>IF(T445&gt;0,"Funded",IF(P445="Eligible","Unfunded",P445))</x:f>
        <x:v>Evidence missing / not eligible</x:v>
      </x:c>
      <x:c r="V445" s="15" t="str">
        <x:f>IF(R445="Include","Conference inclusion: "&amp;S445,IF(R445="Exclude","Conference exclusion: "&amp;S445,IF(Q445&gt;0,H445&amp;" priority rank "&amp;I445&amp;"; whole initiative selected",P445)))</x:f>
        <x:v>Evidence missing / not eligible</x:v>
      </x:c>
      <x:c r="W445" s="15" t="str">
        <x:v>Bu!438</x:v>
      </x:c>
      <x:c r="X445" s="15" t="str"/>
      <x:c r="Y445" s="15" t="str"/>
      <x:c r="Z445" s="15" t="str">
        <x:v>AI Enablement</x:v>
      </x:c>
      <x:c r="AA445" s="15" t="str">
        <x:v>New Initiative</x:v>
      </x:c>
      <x:c r="AB445" s="15" t="str">
        <x:v>Innovation and Digital IT</x:v>
      </x:c>
      <x:c r="AC445" s="15" t="str"/>
      <x:c r="AD445" s="15" t="str"/>
      <x:c r="AE445" s="15" t="str">
        <x:v>CERA is an AI solution to generate Clinical Evidence Reports from documents in Windchill. Instead of manual creation of the CER, CERA can generate it based on templates. There is interest in MR to deploy in 2027. Estimated cost is 100K per BU, for BU specific configuration and template</x:v>
      </x:c>
      <x:c r="AF445" s="15" t="str">
        <x:v>CERA is an AI solution to generate Clinical Evidence Reports from documents in Windchill. Instead of manual creation of the CER, CERA can generate it based on templates. There is interest in MR to deploy in 2027. Estimated cost is 100K per BU, for BU specific configuration and template</x:v>
      </x:c>
      <x:c r="AG445" s="15" t="str">
        <x:v>Must Have</x:v>
      </x:c>
      <x:c r="AH445" s="15" t="n">
        <x:v>357</x:v>
      </x:c>
    </x:row>
    <x:row r="446">
      <x:c r="A446" s="15" t="str">
        <x:v>Bu-183</x:v>
      </x:c>
      <x:c r="B446" s="15" t="str">
        <x:v>RSDI (Type 1) | CSI: Support on device for artifacts based RSDI downloads from RSM portal : On-device support for artifact-based RSDI downloads.</x:v>
      </x:c>
      <x:c r="C446" s="15" t="str">
        <x:v>BU Led</x:v>
      </x:c>
      <x:c r="D446" s="15" t="str">
        <x:v>Precision Diagnosis - Magnetic Resonance (MR)</x:v>
      </x:c>
      <x:c r="E446" s="19" t="n">
        <x:v>0.06</x:v>
      </x:c>
      <x:c r="F446" s="19" t="n">
        <x:v>0</x:v>
      </x:c>
      <x:c r="G446" s="22" t="n">
        <x:f>IF(AND(E446&gt;0,ISNUMBER(F446)),F446/E446,"")</x:f>
        <x:v>0</x:v>
      </x:c>
      <x:c r="H446" s="15" t="str">
        <x:v>ROI-Based Portfolio</x:v>
      </x:c>
      <x:c r="I446" s="15" t="n">
        <x:v>144</x:v>
      </x:c>
      <x:c r="J446" s="15" t="n">
        <x:v>5</x:v>
      </x:c>
      <x:c r="K446" s="23" t="n">
        <x:f>IF(G446="",0,IF(G446&lt;1,0,IF(G446&lt;2,20,IF(G446&lt;3,30,IF(G446&lt;5,40,50)))))*'Scenario Controls'!$B$22/50</x:f>
        <x:v>0</x:v>
      </x:c>
      <x:c r="L446" s="23" t="n">
        <x:f>IF(ISNUMBER(SEARCH("Must Do",AG446)),25,IF(ISNUMBER(SEARCH("Must Have",AG446)),18,IF(ISNUMBER(SEARCH("Deprior",AG446)),5,0)))*'Scenario Controls'!$B$23/25</x:f>
        <x:v>18</x:v>
      </x:c>
      <x:c r="M446" s="23" t="n">
        <x:f>J446*'Scenario Controls'!$B$24/15</x:f>
        <x:v>5</x:v>
      </x:c>
      <x:c r="N446" s="23" t="n">
        <x:f>IF(ISNUMBER(SEARCH("HEALTHY",X446)),10,IF(ISNUMBER(SEARCH("CONTAIN",X446)),6,0))*'Scenario Controls'!$B$25/10</x:f>
        <x:v>0</x:v>
      </x:c>
      <x:c r="O446" s="23" t="n">
        <x:f>SUM(K446:N446)</x:f>
        <x:v>23</x:v>
      </x:c>
      <x:c r="P446" s="15" t="str">
        <x:f>IF(OR(B446="",E446&lt;=0),"Evidence missing / not eligible",IF(ISNUMBER(SEARCH("priority TBD",Y446)),"Evidence missing / not eligible",IF(AND(H446="Carryover",NOT(ISNUMBER(F446))),"Evidence missing / not eligible",IF(AND(H446="Carryover",G446&lt;'Scenario Controls'!$B$16),"Evidence missing / not eligible",IF(AND(H446="ROI-Based Portfolio",NOT(ISNUMBER(F446))),"Evidence missing / not eligible",IF(AND(H446="ROI-Based Portfolio",O446&lt;'Scenario Controls'!$B$20),"Evidence missing / not eligible","Eligible"))))))</x:f>
        <x:v>Evidence missing / not eligible</x:v>
      </x:c>
      <x:c r="Q446" s="19" t="n">
        <x:f>IF(P446&lt;&gt;"Eligible",0,IF(AND(SUMIFS($Q$5:Q445,$H$5:H445,H446)+E446&lt;=(IF(H446="LFR",'Scenario Controls'!$F$10,IF(H446="Sustain Engineering",'Scenario Controls'!$F$11,IF(H446="Hygiene",'Scenario Controls'!$F$12,1E+99))))*(1+'Scenario Controls'!$B$7),SUM($Q$5:Q445)+E446&lt;='Scenario Controls'!$B$6*(1+'Scenario Controls'!$B$7)),E446,0))</x:f>
        <x:v>0</x:v>
      </x:c>
      <x:c r="R446" s="24" t="str">
        <x:f>'BU Conference'!G268</x:f>
        <x:v>Automatic</x:v>
      </x:c>
      <x:c r="S446" s="24" t="str">
        <x:f>'BU Conference'!H268</x:f>
      </x:c>
      <x:c r="T446" s="19" t="n">
        <x:f>IF(R446="Exclude",0,IF(R446="Include",E446,Q446))</x:f>
        <x:v>0</x:v>
      </x:c>
      <x:c r="U446" s="15" t="str">
        <x:f>IF(T446&gt;0,"Funded",IF(P446="Eligible","Unfunded",P446))</x:f>
        <x:v>Evidence missing / not eligible</x:v>
      </x:c>
      <x:c r="V446" s="15" t="str">
        <x:f>IF(R446="Include","Conference inclusion: "&amp;S446,IF(R446="Exclude","Conference exclusion: "&amp;S446,IF(Q446&gt;0,H446&amp;" priority rank "&amp;I446&amp;"; whole initiative selected",P446)))</x:f>
        <x:v>Evidence missing / not eligible</x:v>
      </x:c>
      <x:c r="W446" s="15" t="str">
        <x:v>Bu!441</x:v>
      </x:c>
      <x:c r="X446" s="15" t="str"/>
      <x:c r="Y446" s="15" t="str"/>
      <x:c r="Z446" s="15" t="str">
        <x:v>New Feature</x:v>
      </x:c>
      <x:c r="AA446" s="15" t="str">
        <x:v>New Initiative</x:v>
      </x:c>
      <x:c r="AB446" s="15" t="str">
        <x:v>Services &amp; Solutions IT</x:v>
      </x:c>
      <x:c r="AC446" s="15" t="str"/>
      <x:c r="AD446" s="15" t="str"/>
      <x:c r="AE446" s="15" t="str">
        <x:v>RSM: Show menu tree based on SW Release and not Product Type: Align RSM package navigation with software release support for artifact-based RSDI downloads.</x:v>
      </x:c>
      <x:c r="AF446" s="15" t="str">
        <x:v>RSM: Show menu tree based on SW Release and not Product Type: Align RSM package navigation with software release support for artifact-based RSDI downloads.</x:v>
      </x:c>
      <x:c r="AG446" s="15" t="str">
        <x:v>Must Have</x:v>
      </x:c>
      <x:c r="AH446" s="15" t="n">
        <x:v>360</x:v>
      </x:c>
    </x:row>
    <x:row r="447">
      <x:c r="A447" s="15" t="str">
        <x:v>Bu-184</x:v>
      </x:c>
      <x:c r="B447" s="15" t="str">
        <x:v>RSDI (Type 1) | RSM: Show Menu Tree based on SW release and not product type</x:v>
      </x:c>
      <x:c r="C447" s="15" t="str">
        <x:v>BU Led</x:v>
      </x:c>
      <x:c r="D447" s="15" t="str">
        <x:v>Precision Diagnosis - Magnetic Resonance (MR)</x:v>
      </x:c>
      <x:c r="E447" s="19" t="n">
        <x:v>0.56</x:v>
      </x:c>
      <x:c r="F447" s="19" t="n">
        <x:v>0</x:v>
      </x:c>
      <x:c r="G447" s="22" t="n">
        <x:f>IF(AND(E447&gt;0,ISNUMBER(F447)),F447/E447,"")</x:f>
        <x:v>0</x:v>
      </x:c>
      <x:c r="H447" s="15" t="str">
        <x:v>ROI-Based Portfolio</x:v>
      </x:c>
      <x:c r="I447" s="15" t="n">
        <x:v>145</x:v>
      </x:c>
      <x:c r="J447" s="15" t="n">
        <x:v>5</x:v>
      </x:c>
      <x:c r="K447" s="23" t="n">
        <x:f>IF(G447="",0,IF(G447&lt;1,0,IF(G447&lt;2,20,IF(G447&lt;3,30,IF(G447&lt;5,40,50)))))*'Scenario Controls'!$B$22/50</x:f>
        <x:v>0</x:v>
      </x:c>
      <x:c r="L447" s="23" t="n">
        <x:f>IF(ISNUMBER(SEARCH("Must Do",AG447)),25,IF(ISNUMBER(SEARCH("Must Have",AG447)),18,IF(ISNUMBER(SEARCH("Deprior",AG447)),5,0)))*'Scenario Controls'!$B$23/25</x:f>
        <x:v>18</x:v>
      </x:c>
      <x:c r="M447" s="23" t="n">
        <x:f>J447*'Scenario Controls'!$B$24/15</x:f>
        <x:v>5</x:v>
      </x:c>
      <x:c r="N447" s="23" t="n">
        <x:f>IF(ISNUMBER(SEARCH("HEALTHY",X447)),10,IF(ISNUMBER(SEARCH("CONTAIN",X447)),6,0))*'Scenario Controls'!$B$25/10</x:f>
        <x:v>0</x:v>
      </x:c>
      <x:c r="O447" s="23" t="n">
        <x:f>SUM(K447:N447)</x:f>
        <x:v>23</x:v>
      </x:c>
      <x:c r="P447" s="15" t="str">
        <x:f>IF(OR(B447="",E447&lt;=0),"Evidence missing / not eligible",IF(ISNUMBER(SEARCH("priority TBD",Y447)),"Evidence missing / not eligible",IF(AND(H447="Carryover",NOT(ISNUMBER(F447))),"Evidence missing / not eligible",IF(AND(H447="Carryover",G447&lt;'Scenario Controls'!$B$16),"Evidence missing / not eligible",IF(AND(H447="ROI-Based Portfolio",NOT(ISNUMBER(F447))),"Evidence missing / not eligible",IF(AND(H447="ROI-Based Portfolio",O447&lt;'Scenario Controls'!$B$20),"Evidence missing / not eligible","Eligible"))))))</x:f>
        <x:v>Evidence missing / not eligible</x:v>
      </x:c>
      <x:c r="Q447" s="19" t="n">
        <x:f>IF(P447&lt;&gt;"Eligible",0,IF(AND(SUMIFS($Q$5:Q446,$H$5:H446,H447)+E447&lt;=(IF(H447="LFR",'Scenario Controls'!$F$10,IF(H447="Sustain Engineering",'Scenario Controls'!$F$11,IF(H447="Hygiene",'Scenario Controls'!$F$12,1E+99))))*(1+'Scenario Controls'!$B$7),SUM($Q$5:Q446)+E447&lt;='Scenario Controls'!$B$6*(1+'Scenario Controls'!$B$7)),E447,0))</x:f>
        <x:v>0</x:v>
      </x:c>
      <x:c r="R447" s="24" t="str">
        <x:f>'BU Conference'!G269</x:f>
        <x:v>Automatic</x:v>
      </x:c>
      <x:c r="S447" s="24" t="str">
        <x:f>'BU Conference'!H269</x:f>
      </x:c>
      <x:c r="T447" s="19" t="n">
        <x:f>IF(R447="Exclude",0,IF(R447="Include",E447,Q447))</x:f>
        <x:v>0</x:v>
      </x:c>
      <x:c r="U447" s="15" t="str">
        <x:f>IF(T447&gt;0,"Funded",IF(P447="Eligible","Unfunded",P447))</x:f>
        <x:v>Evidence missing / not eligible</x:v>
      </x:c>
      <x:c r="V447" s="15" t="str">
        <x:f>IF(R447="Include","Conference inclusion: "&amp;S447,IF(R447="Exclude","Conference exclusion: "&amp;S447,IF(Q447&gt;0,H447&amp;" priority rank "&amp;I447&amp;"; whole initiative selected",P447)))</x:f>
        <x:v>Evidence missing / not eligible</x:v>
      </x:c>
      <x:c r="W447" s="15" t="str">
        <x:v>Bu!442</x:v>
      </x:c>
      <x:c r="X447" s="15" t="str"/>
      <x:c r="Y447" s="15" t="str"/>
      <x:c r="Z447" s="15" t="str">
        <x:v>New Feature</x:v>
      </x:c>
      <x:c r="AA447" s="15" t="str">
        <x:v>New Initiative</x:v>
      </x:c>
      <x:c r="AB447" s="15" t="str">
        <x:v>Services &amp; Solutions IT</x:v>
      </x:c>
      <x:c r="AC447" s="15" t="str"/>
      <x:c r="AD447" s="15" t="str"/>
      <x:c r="AE447" s="15" t="str">
        <x:v>RSDI (Type 1) | FSE utility to create USB Media</x:v>
      </x:c>
      <x:c r="AF447" s="15" t="str">
        <x:v>RSDI (Type 1) | FSE utility to create USB Media</x:v>
      </x:c>
      <x:c r="AG447" s="15" t="str">
        <x:v>Must Have</x:v>
      </x:c>
      <x:c r="AH447" s="15" t="n">
        <x:v>361</x:v>
      </x:c>
    </x:row>
    <x:row r="448">
      <x:c r="A448" s="15" t="str">
        <x:v>Bu-185</x:v>
      </x:c>
      <x:c r="B448" s="15" t="str">
        <x:v>RSDI (Type 1) | FSE utility to create USB Media</x:v>
      </x:c>
      <x:c r="C448" s="15" t="str">
        <x:v>BU Led</x:v>
      </x:c>
      <x:c r="D448" s="15" t="str">
        <x:v>Precision Diagnosis - Magnetic Resonance (MR)</x:v>
      </x:c>
      <x:c r="E448" s="19" t="n">
        <x:v>0.25</x:v>
      </x:c>
      <x:c r="F448" s="19" t="n">
        <x:v>0</x:v>
      </x:c>
      <x:c r="G448" s="22" t="n">
        <x:f>IF(AND(E448&gt;0,ISNUMBER(F448)),F448/E448,"")</x:f>
        <x:v>0</x:v>
      </x:c>
      <x:c r="H448" s="15" t="str">
        <x:v>ROI-Based Portfolio</x:v>
      </x:c>
      <x:c r="I448" s="15" t="n">
        <x:v>146</x:v>
      </x:c>
      <x:c r="J448" s="15" t="n">
        <x:v>5</x:v>
      </x:c>
      <x:c r="K448" s="23" t="n">
        <x:f>IF(G448="",0,IF(G448&lt;1,0,IF(G448&lt;2,20,IF(G448&lt;3,30,IF(G448&lt;5,40,50)))))*'Scenario Controls'!$B$22/50</x:f>
        <x:v>0</x:v>
      </x:c>
      <x:c r="L448" s="23" t="n">
        <x:f>IF(ISNUMBER(SEARCH("Must Do",AG448)),25,IF(ISNUMBER(SEARCH("Must Have",AG448)),18,IF(ISNUMBER(SEARCH("Deprior",AG448)),5,0)))*'Scenario Controls'!$B$23/25</x:f>
        <x:v>18</x:v>
      </x:c>
      <x:c r="M448" s="23" t="n">
        <x:f>J448*'Scenario Controls'!$B$24/15</x:f>
        <x:v>5</x:v>
      </x:c>
      <x:c r="N448" s="23" t="n">
        <x:f>IF(ISNUMBER(SEARCH("HEALTHY",X448)),10,IF(ISNUMBER(SEARCH("CONTAIN",X448)),6,0))*'Scenario Controls'!$B$25/10</x:f>
        <x:v>0</x:v>
      </x:c>
      <x:c r="O448" s="23" t="n">
        <x:f>SUM(K448:N448)</x:f>
        <x:v>23</x:v>
      </x:c>
      <x:c r="P448" s="15" t="str">
        <x:f>IF(OR(B448="",E448&lt;=0),"Evidence missing / not eligible",IF(ISNUMBER(SEARCH("priority TBD",Y448)),"Evidence missing / not eligible",IF(AND(H448="Carryover",NOT(ISNUMBER(F448))),"Evidence missing / not eligible",IF(AND(H448="Carryover",G448&lt;'Scenario Controls'!$B$16),"Evidence missing / not eligible",IF(AND(H448="ROI-Based Portfolio",NOT(ISNUMBER(F448))),"Evidence missing / not eligible",IF(AND(H448="ROI-Based Portfolio",O448&lt;'Scenario Controls'!$B$20),"Evidence missing / not eligible","Eligible"))))))</x:f>
        <x:v>Evidence missing / not eligible</x:v>
      </x:c>
      <x:c r="Q448" s="19" t="n">
        <x:f>IF(P448&lt;&gt;"Eligible",0,IF(AND(SUMIFS($Q$5:Q447,$H$5:H447,H448)+E448&lt;=(IF(H448="LFR",'Scenario Controls'!$F$10,IF(H448="Sustain Engineering",'Scenario Controls'!$F$11,IF(H448="Hygiene",'Scenario Controls'!$F$12,1E+99))))*(1+'Scenario Controls'!$B$7),SUM($Q$5:Q447)+E448&lt;='Scenario Controls'!$B$6*(1+'Scenario Controls'!$B$7)),E448,0))</x:f>
        <x:v>0</x:v>
      </x:c>
      <x:c r="R448" s="24" t="str">
        <x:f>'BU Conference'!G270</x:f>
        <x:v>Automatic</x:v>
      </x:c>
      <x:c r="S448" s="24" t="str">
        <x:f>'BU Conference'!H270</x:f>
      </x:c>
      <x:c r="T448" s="19" t="n">
        <x:f>IF(R448="Exclude",0,IF(R448="Include",E448,Q448))</x:f>
        <x:v>0</x:v>
      </x:c>
      <x:c r="U448" s="15" t="str">
        <x:f>IF(T448&gt;0,"Funded",IF(P448="Eligible","Unfunded",P448))</x:f>
        <x:v>Evidence missing / not eligible</x:v>
      </x:c>
      <x:c r="V448" s="15" t="str">
        <x:f>IF(R448="Include","Conference inclusion: "&amp;S448,IF(R448="Exclude","Conference exclusion: "&amp;S448,IF(Q448&gt;0,H448&amp;" priority rank "&amp;I448&amp;"; whole initiative selected",P448)))</x:f>
        <x:v>Evidence missing / not eligible</x:v>
      </x:c>
      <x:c r="W448" s="15" t="str">
        <x:v>Bu!443</x:v>
      </x:c>
      <x:c r="X448" s="15" t="str"/>
      <x:c r="Y448" s="15" t="str"/>
      <x:c r="Z448" s="15" t="str">
        <x:v>New Feature</x:v>
      </x:c>
      <x:c r="AA448" s="15" t="str">
        <x:v>New Initiative</x:v>
      </x:c>
      <x:c r="AB448" s="15" t="str">
        <x:v>Services &amp; Solutions IT</x:v>
      </x:c>
      <x:c r="AC448" s="15" t="str"/>
      <x:c r="AD448" s="15" t="str"/>
      <x:c r="AE448" s="15" t="str">
        <x:v>Mandatory annual support activities include: OS compatibility updates, Certificate renewals, Approvals and release management And below are the new features</x:v>
      </x:c>
      <x:c r="AF448" s="15" t="str">
        <x:v>Mandatory annual support activities include: OS compatibility updates, Certificate renewals, Approvals and release management And below are the new features</x:v>
      </x:c>
      <x:c r="AG448" s="15" t="str">
        <x:v>Must Have</x:v>
      </x:c>
      <x:c r="AH448" s="15" t="n">
        <x:v>362</x:v>
      </x:c>
    </x:row>
    <x:row r="449">
      <x:c r="A449" s="15" t="str">
        <x:v>Bu-242</x:v>
      </x:c>
      <x:c r="B449" s="15" t="str">
        <x:v>Entreperner flow Iray -SPS</x:v>
      </x:c>
      <x:c r="C449" s="15" t="str">
        <x:v>BU Led</x:v>
      </x:c>
      <x:c r="D449" s="15" t="str">
        <x:v>Precision Diagnosis - Magnetic Resonance (MR)</x:v>
      </x:c>
      <x:c r="E449" s="19" t="n">
        <x:v>0.1</x:v>
      </x:c>
      <x:c r="F449" s="19" t="n">
        <x:v>0</x:v>
      </x:c>
      <x:c r="G449" s="22" t="n">
        <x:f>IF(AND(E449&gt;0,ISNUMBER(F449)),F449/E449,"")</x:f>
        <x:v>0</x:v>
      </x:c>
      <x:c r="H449" s="15" t="str">
        <x:v>ROI-Based Portfolio</x:v>
      </x:c>
      <x:c r="I449" s="15" t="n">
        <x:v>147</x:v>
      </x:c>
      <x:c r="J449" s="15" t="n">
        <x:v>5</x:v>
      </x:c>
      <x:c r="K449" s="23" t="n">
        <x:f>IF(G449="",0,IF(G449&lt;1,0,IF(G449&lt;2,20,IF(G449&lt;3,30,IF(G449&lt;5,40,50)))))*'Scenario Controls'!$B$22/50</x:f>
        <x:v>0</x:v>
      </x:c>
      <x:c r="L449" s="23" t="n">
        <x:f>IF(ISNUMBER(SEARCH("Must Do",AG449)),25,IF(ISNUMBER(SEARCH("Must Have",AG449)),18,IF(ISNUMBER(SEARCH("Deprior",AG449)),5,0)))*'Scenario Controls'!$B$23/25</x:f>
        <x:v>18</x:v>
      </x:c>
      <x:c r="M449" s="23" t="n">
        <x:f>J449*'Scenario Controls'!$B$24/15</x:f>
        <x:v>5</x:v>
      </x:c>
      <x:c r="N449" s="23" t="n">
        <x:f>IF(ISNUMBER(SEARCH("HEALTHY",X449)),10,IF(ISNUMBER(SEARCH("CONTAIN",X449)),6,0))*'Scenario Controls'!$B$25/10</x:f>
        <x:v>0</x:v>
      </x:c>
      <x:c r="O449" s="23" t="n">
        <x:f>SUM(K449:N449)</x:f>
        <x:v>23</x:v>
      </x:c>
      <x:c r="P449" s="15" t="str">
        <x:f>IF(OR(B449="",E449&lt;=0),"Evidence missing / not eligible",IF(ISNUMBER(SEARCH("priority TBD",Y449)),"Evidence missing / not eligible",IF(AND(H449="Carryover",NOT(ISNUMBER(F449))),"Evidence missing / not eligible",IF(AND(H449="Carryover",G449&lt;'Scenario Controls'!$B$16),"Evidence missing / not eligible",IF(AND(H449="ROI-Based Portfolio",NOT(ISNUMBER(F449))),"Evidence missing / not eligible",IF(AND(H449="ROI-Based Portfolio",O449&lt;'Scenario Controls'!$B$20),"Evidence missing / not eligible","Eligible"))))))</x:f>
        <x:v>Evidence missing / not eligible</x:v>
      </x:c>
      <x:c r="Q449" s="19" t="n">
        <x:f>IF(P449&lt;&gt;"Eligible",0,IF(AND(SUMIFS($Q$5:Q448,$H$5:H448,H449)+E449&lt;=(IF(H449="LFR",'Scenario Controls'!$F$10,IF(H449="Sustain Engineering",'Scenario Controls'!$F$11,IF(H449="Hygiene",'Scenario Controls'!$F$12,1E+99))))*(1+'Scenario Controls'!$B$7),SUM($Q$5:Q448)+E449&lt;='Scenario Controls'!$B$6*(1+'Scenario Controls'!$B$7)),E449,0))</x:f>
        <x:v>0</x:v>
      </x:c>
      <x:c r="R449" s="24" t="str">
        <x:f>'BU Conference'!G271</x:f>
        <x:v>Automatic</x:v>
      </x:c>
      <x:c r="S449" s="24" t="str">
        <x:f>'BU Conference'!H271</x:f>
      </x:c>
      <x:c r="T449" s="19" t="n">
        <x:f>IF(R449="Exclude",0,IF(R449="Include",E449,Q449))</x:f>
        <x:v>0</x:v>
      </x:c>
      <x:c r="U449" s="15" t="str">
        <x:f>IF(T449&gt;0,"Funded",IF(P449="Eligible","Unfunded",P449))</x:f>
        <x:v>Evidence missing / not eligible</x:v>
      </x:c>
      <x:c r="V449" s="15" t="str">
        <x:f>IF(R449="Include","Conference inclusion: "&amp;S449,IF(R449="Exclude","Conference exclusion: "&amp;S449,IF(Q449&gt;0,H449&amp;" priority rank "&amp;I449&amp;"; whole initiative selected",P449)))</x:f>
        <x:v>Evidence missing / not eligible</x:v>
      </x:c>
      <x:c r="W449" s="15" t="str">
        <x:v>Bu!550</x:v>
      </x:c>
      <x:c r="X449" s="15" t="str"/>
      <x:c r="Y449" s="15" t="str"/>
      <x:c r="Z449" s="15" t="str">
        <x:v>New Feature</x:v>
      </x:c>
      <x:c r="AA449" s="15" t="str">
        <x:v>New Initiative</x:v>
      </x:c>
      <x:c r="AB449" s="15" t="str">
        <x:v>Integrated Supply Chain &amp; Finance</x:v>
      </x:c>
      <x:c r="AC449" s="15" t="str"/>
      <x:c r="AD449" s="15" t="str"/>
      <x:c r="AE449" s="15" t="str">
        <x:v>New OEM Supplier introduction - SPS flow setting</x:v>
      </x:c>
      <x:c r="AF449" s="15" t="str">
        <x:v>New OEM Supplier introduction - SPS flow setting</x:v>
      </x:c>
      <x:c r="AG449" s="15" t="str">
        <x:v>Must Have</x:v>
      </x:c>
      <x:c r="AH449" s="15" t="n">
        <x:v>422</x:v>
      </x:c>
    </x:row>
    <x:row r="450">
      <x:c r="A450" s="15" t="str">
        <x:v>Bu-243</x:v>
      </x:c>
      <x:c r="B450" s="15" t="str">
        <x:v>DEFOA Iray OEM 1EMS IT structure</x:v>
      </x:c>
      <x:c r="C450" s="15" t="str">
        <x:v>BU Led</x:v>
      </x:c>
      <x:c r="D450" s="15" t="str">
        <x:v>Precision Diagnosis - Magnetic Resonance (MR)</x:v>
      </x:c>
      <x:c r="E450" s="19" t="n">
        <x:v>0.05</x:v>
      </x:c>
      <x:c r="F450" s="19" t="n">
        <x:v>0</x:v>
      </x:c>
      <x:c r="G450" s="22" t="n">
        <x:f>IF(AND(E450&gt;0,ISNUMBER(F450)),F450/E450,"")</x:f>
        <x:v>0</x:v>
      </x:c>
      <x:c r="H450" s="15" t="str">
        <x:v>ROI-Based Portfolio</x:v>
      </x:c>
      <x:c r="I450" s="15" t="n">
        <x:v>148</x:v>
      </x:c>
      <x:c r="J450" s="15" t="n">
        <x:v>5</x:v>
      </x:c>
      <x:c r="K450" s="23" t="n">
        <x:f>IF(G450="",0,IF(G450&lt;1,0,IF(G450&lt;2,20,IF(G450&lt;3,30,IF(G450&lt;5,40,50)))))*'Scenario Controls'!$B$22/50</x:f>
        <x:v>0</x:v>
      </x:c>
      <x:c r="L450" s="23" t="n">
        <x:f>IF(ISNUMBER(SEARCH("Must Do",AG450)),25,IF(ISNUMBER(SEARCH("Must Have",AG450)),18,IF(ISNUMBER(SEARCH("Deprior",AG450)),5,0)))*'Scenario Controls'!$B$23/25</x:f>
        <x:v>18</x:v>
      </x:c>
      <x:c r="M450" s="23" t="n">
        <x:f>J450*'Scenario Controls'!$B$24/15</x:f>
        <x:v>5</x:v>
      </x:c>
      <x:c r="N450" s="23" t="n">
        <x:f>IF(ISNUMBER(SEARCH("HEALTHY",X450)),10,IF(ISNUMBER(SEARCH("CONTAIN",X450)),6,0))*'Scenario Controls'!$B$25/10</x:f>
        <x:v>0</x:v>
      </x:c>
      <x:c r="O450" s="23" t="n">
        <x:f>SUM(K450:N450)</x:f>
        <x:v>23</x:v>
      </x:c>
      <x:c r="P450" s="15" t="str">
        <x:f>IF(OR(B450="",E450&lt;=0),"Evidence missing / not eligible",IF(ISNUMBER(SEARCH("priority TBD",Y450)),"Evidence missing / not eligible",IF(AND(H450="Carryover",NOT(ISNUMBER(F450))),"Evidence missing / not eligible",IF(AND(H450="Carryover",G450&lt;'Scenario Controls'!$B$16),"Evidence missing / not eligible",IF(AND(H450="ROI-Based Portfolio",NOT(ISNUMBER(F450))),"Evidence missing / not eligible",IF(AND(H450="ROI-Based Portfolio",O450&lt;'Scenario Controls'!$B$20),"Evidence missing / not eligible","Eligible"))))))</x:f>
        <x:v>Evidence missing / not eligible</x:v>
      </x:c>
      <x:c r="Q450" s="19" t="n">
        <x:f>IF(P450&lt;&gt;"Eligible",0,IF(AND(SUMIFS($Q$5:Q449,$H$5:H449,H450)+E450&lt;=(IF(H450="LFR",'Scenario Controls'!$F$10,IF(H450="Sustain Engineering",'Scenario Controls'!$F$11,IF(H450="Hygiene",'Scenario Controls'!$F$12,1E+99))))*(1+'Scenario Controls'!$B$7),SUM($Q$5:Q449)+E450&lt;='Scenario Controls'!$B$6*(1+'Scenario Controls'!$B$7)),E450,0))</x:f>
        <x:v>0</x:v>
      </x:c>
      <x:c r="R450" s="24" t="str">
        <x:f>'BU Conference'!G272</x:f>
        <x:v>Automatic</x:v>
      </x:c>
      <x:c r="S450" s="24" t="str">
        <x:f>'BU Conference'!H272</x:f>
      </x:c>
      <x:c r="T450" s="19" t="n">
        <x:f>IF(R450="Exclude",0,IF(R450="Include",E450,Q450))</x:f>
        <x:v>0</x:v>
      </x:c>
      <x:c r="U450" s="15" t="str">
        <x:f>IF(T450&gt;0,"Funded",IF(P450="Eligible","Unfunded",P450))</x:f>
        <x:v>Evidence missing / not eligible</x:v>
      </x:c>
      <x:c r="V450" s="15" t="str">
        <x:f>IF(R450="Include","Conference inclusion: "&amp;S450,IF(R450="Exclude","Conference exclusion: "&amp;S450,IF(Q450&gt;0,H450&amp;" priority rank "&amp;I450&amp;"; whole initiative selected",P450)))</x:f>
        <x:v>Evidence missing / not eligible</x:v>
      </x:c>
      <x:c r="W450" s="15" t="str">
        <x:v>Bu!551</x:v>
      </x:c>
      <x:c r="X450" s="15" t="str"/>
      <x:c r="Y450" s="15" t="str"/>
      <x:c r="Z450" s="15" t="str">
        <x:v>New Feature</x:v>
      </x:c>
      <x:c r="AA450" s="15" t="str">
        <x:v>New Initiative</x:v>
      </x:c>
      <x:c r="AB450" s="15" t="str">
        <x:v>Integrated Supply Chain &amp; Finance</x:v>
      </x:c>
      <x:c r="AC450" s="15" t="str"/>
      <x:c r="AD450" s="15" t="str"/>
      <x:c r="AE450" s="15" t="str">
        <x:v>New OEM Supplier introduction - Defoa Process flow setting</x:v>
      </x:c>
      <x:c r="AF450" s="15" t="str">
        <x:v>New OEM Supplier introduction - Defoa Process flow setting</x:v>
      </x:c>
      <x:c r="AG450" s="15" t="str">
        <x:v>Must Have</x:v>
      </x:c>
      <x:c r="AH450" s="15" t="n">
        <x:v>423</x:v>
      </x:c>
    </x:row>
    <x:row r="451">
      <x:c r="A451" s="15" t="str">
        <x:v>Bu-245</x:v>
      </x:c>
      <x:c r="B451" s="15" t="str">
        <x:v>DEFOA Brain AI program</x:v>
      </x:c>
      <x:c r="C451" s="15" t="str">
        <x:v>BU Led</x:v>
      </x:c>
      <x:c r="D451" s="15" t="str">
        <x:v>Precision Diagnosis - Magnetic Resonance (MR)</x:v>
      </x:c>
      <x:c r="E451" s="19" t="n">
        <x:v>0.08</x:v>
      </x:c>
      <x:c r="F451" s="19" t="n">
        <x:v>0</x:v>
      </x:c>
      <x:c r="G451" s="22" t="n">
        <x:f>IF(AND(E451&gt;0,ISNUMBER(F451)),F451/E451,"")</x:f>
        <x:v>0</x:v>
      </x:c>
      <x:c r="H451" s="15" t="str">
        <x:v>ROI-Based Portfolio</x:v>
      </x:c>
      <x:c r="I451" s="15" t="n">
        <x:v>149</x:v>
      </x:c>
      <x:c r="J451" s="15" t="n">
        <x:v>5</x:v>
      </x:c>
      <x:c r="K451" s="23" t="n">
        <x:f>IF(G451="",0,IF(G451&lt;1,0,IF(G451&lt;2,20,IF(G451&lt;3,30,IF(G451&lt;5,40,50)))))*'Scenario Controls'!$B$22/50</x:f>
        <x:v>0</x:v>
      </x:c>
      <x:c r="L451" s="23" t="n">
        <x:f>IF(ISNUMBER(SEARCH("Must Do",AG451)),25,IF(ISNUMBER(SEARCH("Must Have",AG451)),18,IF(ISNUMBER(SEARCH("Deprior",AG451)),5,0)))*'Scenario Controls'!$B$23/25</x:f>
        <x:v>18</x:v>
      </x:c>
      <x:c r="M451" s="23" t="n">
        <x:f>J451*'Scenario Controls'!$B$24/15</x:f>
        <x:v>5</x:v>
      </x:c>
      <x:c r="N451" s="23" t="n">
        <x:f>IF(ISNUMBER(SEARCH("HEALTHY",X451)),10,IF(ISNUMBER(SEARCH("CONTAIN",X451)),6,0))*'Scenario Controls'!$B$25/10</x:f>
        <x:v>0</x:v>
      </x:c>
      <x:c r="O451" s="23" t="n">
        <x:f>SUM(K451:N451)</x:f>
        <x:v>23</x:v>
      </x:c>
      <x:c r="P451" s="15" t="str">
        <x:f>IF(OR(B451="",E451&lt;=0),"Evidence missing / not eligible",IF(ISNUMBER(SEARCH("priority TBD",Y451)),"Evidence missing / not eligible",IF(AND(H451="Carryover",NOT(ISNUMBER(F451))),"Evidence missing / not eligible",IF(AND(H451="Carryover",G451&lt;'Scenario Controls'!$B$16),"Evidence missing / not eligible",IF(AND(H451="ROI-Based Portfolio",NOT(ISNUMBER(F451))),"Evidence missing / not eligible",IF(AND(H451="ROI-Based Portfolio",O451&lt;'Scenario Controls'!$B$20),"Evidence missing / not eligible","Eligible"))))))</x:f>
        <x:v>Evidence missing / not eligible</x:v>
      </x:c>
      <x:c r="Q451" s="19" t="n">
        <x:f>IF(P451&lt;&gt;"Eligible",0,IF(AND(SUMIFS($Q$5:Q450,$H$5:H450,H451)+E451&lt;=(IF(H451="LFR",'Scenario Controls'!$F$10,IF(H451="Sustain Engineering",'Scenario Controls'!$F$11,IF(H451="Hygiene",'Scenario Controls'!$F$12,1E+99))))*(1+'Scenario Controls'!$B$7),SUM($Q$5:Q450)+E451&lt;='Scenario Controls'!$B$6*(1+'Scenario Controls'!$B$7)),E451,0))</x:f>
        <x:v>0</x:v>
      </x:c>
      <x:c r="R451" s="24" t="str">
        <x:f>'BU Conference'!G273</x:f>
        <x:v>Automatic</x:v>
      </x:c>
      <x:c r="S451" s="24" t="str">
        <x:f>'BU Conference'!H273</x:f>
      </x:c>
      <x:c r="T451" s="19" t="n">
        <x:f>IF(R451="Exclude",0,IF(R451="Include",E451,Q451))</x:f>
        <x:v>0</x:v>
      </x:c>
      <x:c r="U451" s="15" t="str">
        <x:f>IF(T451&gt;0,"Funded",IF(P451="Eligible","Unfunded",P451))</x:f>
        <x:v>Evidence missing / not eligible</x:v>
      </x:c>
      <x:c r="V451" s="15" t="str">
        <x:f>IF(R451="Include","Conference inclusion: "&amp;S451,IF(R451="Exclude","Conference exclusion: "&amp;S451,IF(Q451&gt;0,H451&amp;" priority rank "&amp;I451&amp;"; whole initiative selected",P451)))</x:f>
        <x:v>Evidence missing / not eligible</x:v>
      </x:c>
      <x:c r="W451" s="15" t="str">
        <x:v>Bu!553</x:v>
      </x:c>
      <x:c r="X451" s="15" t="str"/>
      <x:c r="Y451" s="15" t="str"/>
      <x:c r="Z451" s="15" t="str">
        <x:v>AI Enablement</x:v>
      </x:c>
      <x:c r="AA451" s="15" t="str">
        <x:v>New Initiative</x:v>
      </x:c>
      <x:c r="AB451" s="15" t="str">
        <x:v>Integrated Supply Chain &amp; Finance</x:v>
      </x:c>
      <x:c r="AC451" s="15" t="str"/>
      <x:c r="AD451" s="15" t="str"/>
      <x:c r="AE451" s="15" t="str">
        <x:v>AI Agent that will aloud research all levels of BOM till part level. It is defined to support Market DEFOA in Installation (Missing and lost)</x:v>
      </x:c>
      <x:c r="AF451" s="15" t="str">
        <x:v>AI Agent that will aloud research all levels of BOM till part level. It is defined to support Market DEFOA in Installation (Missing and lost)</x:v>
      </x:c>
      <x:c r="AG451" s="15" t="str">
        <x:v>Must Have</x:v>
      </x:c>
      <x:c r="AH451" s="15" t="n">
        <x:v>425</x:v>
      </x:c>
    </x:row>
    <x:row r="452">
      <x:c r="A452" s="15" t="str">
        <x:v>Bu-248</x:v>
      </x:c>
      <x:c r="B452" s="15" t="str">
        <x:v>SAP Functionality expansion LMPC/LFP (Pune &amp; Latham)</x:v>
      </x:c>
      <x:c r="C452" s="15" t="str">
        <x:v>BU Led</x:v>
      </x:c>
      <x:c r="D452" s="15" t="str">
        <x:v>Precision Diagnosis - Magnetic Resonance (MR)</x:v>
      </x:c>
      <x:c r="E452" s="19" t="n">
        <x:v>0.08</x:v>
      </x:c>
      <x:c r="F452" s="19" t="n">
        <x:v>0</x:v>
      </x:c>
      <x:c r="G452" s="22" t="n">
        <x:f>IF(AND(E452&gt;0,ISNUMBER(F452)),F452/E452,"")</x:f>
        <x:v>0</x:v>
      </x:c>
      <x:c r="H452" s="15" t="str">
        <x:v>ROI-Based Portfolio</x:v>
      </x:c>
      <x:c r="I452" s="15" t="n">
        <x:v>150</x:v>
      </x:c>
      <x:c r="J452" s="15" t="n">
        <x:v>5</x:v>
      </x:c>
      <x:c r="K452" s="23" t="n">
        <x:f>IF(G452="",0,IF(G452&lt;1,0,IF(G452&lt;2,20,IF(G452&lt;3,30,IF(G452&lt;5,40,50)))))*'Scenario Controls'!$B$22/50</x:f>
        <x:v>0</x:v>
      </x:c>
      <x:c r="L452" s="23" t="n">
        <x:f>IF(ISNUMBER(SEARCH("Must Do",AG452)),25,IF(ISNUMBER(SEARCH("Must Have",AG452)),18,IF(ISNUMBER(SEARCH("Deprior",AG452)),5,0)))*'Scenario Controls'!$B$23/25</x:f>
        <x:v>18</x:v>
      </x:c>
      <x:c r="M452" s="23" t="n">
        <x:f>J452*'Scenario Controls'!$B$24/15</x:f>
        <x:v>5</x:v>
      </x:c>
      <x:c r="N452" s="23" t="n">
        <x:f>IF(ISNUMBER(SEARCH("HEALTHY",X452)),10,IF(ISNUMBER(SEARCH("CONTAIN",X452)),6,0))*'Scenario Controls'!$B$25/10</x:f>
        <x:v>0</x:v>
      </x:c>
      <x:c r="O452" s="23" t="n">
        <x:f>SUM(K452:N452)</x:f>
        <x:v>23</x:v>
      </x:c>
      <x:c r="P452" s="15" t="str">
        <x:f>IF(OR(B452="",E452&lt;=0),"Evidence missing / not eligible",IF(ISNUMBER(SEARCH("priority TBD",Y452)),"Evidence missing / not eligible",IF(AND(H452="Carryover",NOT(ISNUMBER(F452))),"Evidence missing / not eligible",IF(AND(H452="Carryover",G452&lt;'Scenario Controls'!$B$16),"Evidence missing / not eligible",IF(AND(H452="ROI-Based Portfolio",NOT(ISNUMBER(F452))),"Evidence missing / not eligible",IF(AND(H452="ROI-Based Portfolio",O452&lt;'Scenario Controls'!$B$20),"Evidence missing / not eligible","Eligible"))))))</x:f>
        <x:v>Evidence missing / not eligible</x:v>
      </x:c>
      <x:c r="Q452" s="19" t="n">
        <x:f>IF(P452&lt;&gt;"Eligible",0,IF(AND(SUMIFS($Q$5:Q451,$H$5:H451,H452)+E452&lt;=(IF(H452="LFR",'Scenario Controls'!$F$10,IF(H452="Sustain Engineering",'Scenario Controls'!$F$11,IF(H452="Hygiene",'Scenario Controls'!$F$12,1E+99))))*(1+'Scenario Controls'!$B$7),SUM($Q$5:Q451)+E452&lt;='Scenario Controls'!$B$6*(1+'Scenario Controls'!$B$7)),E452,0))</x:f>
        <x:v>0</x:v>
      </x:c>
      <x:c r="R452" s="24" t="str">
        <x:f>'BU Conference'!G274</x:f>
        <x:v>Automatic</x:v>
      </x:c>
      <x:c r="S452" s="24" t="str">
        <x:f>'BU Conference'!H274</x:f>
      </x:c>
      <x:c r="T452" s="19" t="n">
        <x:f>IF(R452="Exclude",0,IF(R452="Include",E452,Q452))</x:f>
        <x:v>0</x:v>
      </x:c>
      <x:c r="U452" s="15" t="str">
        <x:f>IF(T452&gt;0,"Funded",IF(P452="Eligible","Unfunded",P452))</x:f>
        <x:v>Evidence missing / not eligible</x:v>
      </x:c>
      <x:c r="V452" s="15" t="str">
        <x:f>IF(R452="Include","Conference inclusion: "&amp;S452,IF(R452="Exclude","Conference exclusion: "&amp;S452,IF(Q452&gt;0,H452&amp;" priority rank "&amp;I452&amp;"; whole initiative selected",P452)))</x:f>
        <x:v>Evidence missing / not eligible</x:v>
      </x:c>
      <x:c r="W452" s="15" t="str">
        <x:v>Bu!556</x:v>
      </x:c>
      <x:c r="X452" s="15" t="str"/>
      <x:c r="Y452" s="15" t="str"/>
      <x:c r="Z452" s="15" t="str">
        <x:v>AI Enablement</x:v>
      </x:c>
      <x:c r="AA452" s="15" t="str">
        <x:v>New Initiative</x:v>
      </x:c>
      <x:c r="AB452" s="15" t="str">
        <x:v>Integrated Supply Chain &amp; Finance</x:v>
      </x:c>
      <x:c r="AC452" s="15" t="str"/>
      <x:c r="AD452" s="15" t="str"/>
      <x:c r="AE452" s="15" t="str">
        <x:v>Embedding targeted AI solutions to automate processes, improve decision-making, and increase operational efficiency and scalability In Pune and Latam Factory</x:v>
      </x:c>
      <x:c r="AF452" s="15" t="str">
        <x:v>Embedding targeted AI solutions to automate processes, improve decision-making, and increase operational efficiency and scalability In Pune and Latam Factory</x:v>
      </x:c>
      <x:c r="AG452" s="15" t="str">
        <x:v>Must Have</x:v>
      </x:c>
      <x:c r="AH452" s="15" t="n">
        <x:v>428</x:v>
      </x:c>
    </x:row>
    <x:row r="453">
      <x:c r="A453" s="15" t="str">
        <x:v>Bu-272</x:v>
      </x:c>
      <x:c r="B453" s="15" t="str">
        <x:v>Pricing System new</x:v>
      </x:c>
      <x:c r="C453" s="15" t="str">
        <x:v>BU Led</x:v>
      </x:c>
      <x:c r="D453" s="15" t="str">
        <x:v>CoE Marketing – HS (former DMEC)</x:v>
      </x:c>
      <x:c r="E453" s="19" t="n">
        <x:v>0.2</x:v>
      </x:c>
      <x:c r="F453" s="19" t="n">
        <x:v>0</x:v>
      </x:c>
      <x:c r="G453" s="22" t="n">
        <x:f>IF(AND(E453&gt;0,ISNUMBER(F453)),F453/E453,"")</x:f>
        <x:v>0</x:v>
      </x:c>
      <x:c r="H453" s="15" t="str">
        <x:v>ROI-Based Portfolio</x:v>
      </x:c>
      <x:c r="I453" s="15" t="n">
        <x:v>151</x:v>
      </x:c>
      <x:c r="J453" s="15" t="n">
        <x:v>5</x:v>
      </x:c>
      <x:c r="K453" s="23" t="n">
        <x:f>IF(G453="",0,IF(G453&lt;1,0,IF(G453&lt;2,20,IF(G453&lt;3,30,IF(G453&lt;5,40,50)))))*'Scenario Controls'!$B$22/50</x:f>
        <x:v>0</x:v>
      </x:c>
      <x:c r="L453" s="23" t="n">
        <x:f>IF(ISNUMBER(SEARCH("Must Do",AG453)),25,IF(ISNUMBER(SEARCH("Must Have",AG453)),18,IF(ISNUMBER(SEARCH("Deprior",AG453)),5,0)))*'Scenario Controls'!$B$23/25</x:f>
        <x:v>18</x:v>
      </x:c>
      <x:c r="M453" s="23" t="n">
        <x:f>J453*'Scenario Controls'!$B$24/15</x:f>
        <x:v>5</x:v>
      </x:c>
      <x:c r="N453" s="23" t="n">
        <x:f>IF(ISNUMBER(SEARCH("HEALTHY",X453)),10,IF(ISNUMBER(SEARCH("CONTAIN",X453)),6,0))*'Scenario Controls'!$B$25/10</x:f>
        <x:v>0</x:v>
      </x:c>
      <x:c r="O453" s="23" t="n">
        <x:f>SUM(K453:N453)</x:f>
        <x:v>23</x:v>
      </x:c>
      <x:c r="P453" s="15" t="str">
        <x:f>IF(OR(B453="",E453&lt;=0),"Evidence missing / not eligible",IF(ISNUMBER(SEARCH("priority TBD",Y453)),"Evidence missing / not eligible",IF(AND(H453="Carryover",NOT(ISNUMBER(F453))),"Evidence missing / not eligible",IF(AND(H453="Carryover",G453&lt;'Scenario Controls'!$B$16),"Evidence missing / not eligible",IF(AND(H453="ROI-Based Portfolio",NOT(ISNUMBER(F453))),"Evidence missing / not eligible",IF(AND(H453="ROI-Based Portfolio",O453&lt;'Scenario Controls'!$B$20),"Evidence missing / not eligible","Eligible"))))))</x:f>
        <x:v>Evidence missing / not eligible</x:v>
      </x:c>
      <x:c r="Q453" s="19" t="n">
        <x:f>IF(P453&lt;&gt;"Eligible",0,IF(AND(SUMIFS($Q$5:Q452,$H$5:H452,H453)+E453&lt;=(IF(H453="LFR",'Scenario Controls'!$F$10,IF(H453="Sustain Engineering",'Scenario Controls'!$F$11,IF(H453="Hygiene",'Scenario Controls'!$F$12,1E+99))))*(1+'Scenario Controls'!$B$7),SUM($Q$5:Q452)+E453&lt;='Scenario Controls'!$B$6*(1+'Scenario Controls'!$B$7)),E453,0))</x:f>
        <x:v>0</x:v>
      </x:c>
      <x:c r="R453" s="24" t="str">
        <x:f>'BU Conference'!G275</x:f>
        <x:v>Automatic</x:v>
      </x:c>
      <x:c r="S453" s="24" t="str">
        <x:f>'BU Conference'!H275</x:f>
      </x:c>
      <x:c r="T453" s="19" t="n">
        <x:f>IF(R453="Exclude",0,IF(R453="Include",E453,Q453))</x:f>
        <x:v>0</x:v>
      </x:c>
      <x:c r="U453" s="15" t="str">
        <x:f>IF(T453&gt;0,"Funded",IF(P453="Eligible","Unfunded",P453))</x:f>
        <x:v>Evidence missing / not eligible</x:v>
      </x:c>
      <x:c r="V453" s="15" t="str">
        <x:f>IF(R453="Include","Conference inclusion: "&amp;S453,IF(R453="Exclude","Conference exclusion: "&amp;S453,IF(Q453&gt;0,H453&amp;" priority rank "&amp;I453&amp;"; whole initiative selected",P453)))</x:f>
        <x:v>Evidence missing / not eligible</x:v>
      </x:c>
      <x:c r="W453" s="15" t="str">
        <x:v>Bu!580</x:v>
      </x:c>
      <x:c r="X453" s="15" t="str"/>
      <x:c r="Y453" s="15" t="str"/>
      <x:c r="Z453" s="15" t="str">
        <x:v>New Feature</x:v>
      </x:c>
      <x:c r="AA453" s="15" t="str">
        <x:v>New Initiative</x:v>
      </x:c>
      <x:c r="AB453" s="15" t="str">
        <x:v>Innovation and Digital IT</x:v>
      </x:c>
      <x:c r="AC453" s="15" t="str"/>
      <x:c r="AD453" s="15" t="str"/>
      <x:c r="AE453" s="15" t="str">
        <x:v>Yes</x:v>
      </x:c>
      <x:c r="AF453" s="15" t="str">
        <x:v>Yes</x:v>
      </x:c>
      <x:c r="AG453" s="15" t="str">
        <x:v>Must Have</x:v>
      </x:c>
      <x:c r="AH453" s="15" t="n">
        <x:v>451</x:v>
      </x:c>
    </x:row>
    <x:row r="454">
      <x:c r="A454" s="15" t="str">
        <x:v>Bu-286</x:v>
      </x:c>
      <x:c r="B454" s="15" t="str">
        <x:v>3PL Transformation (Dual 3PL ) - India</x:v>
      </x:c>
      <x:c r="C454" s="15" t="str">
        <x:v>BU Led</x:v>
      </x:c>
      <x:c r="D454" s="15" t="str">
        <x:v>Personal Health (PH)</x:v>
      </x:c>
      <x:c r="E454" s="19" t="n">
        <x:v>0.175</x:v>
      </x:c>
      <x:c r="F454" s="19" t="n">
        <x:v>0</x:v>
      </x:c>
      <x:c r="G454" s="22" t="n">
        <x:f>IF(AND(E454&gt;0,ISNUMBER(F454)),F454/E454,"")</x:f>
        <x:v>0</x:v>
      </x:c>
      <x:c r="H454" s="15" t="str">
        <x:v>ROI-Based Portfolio</x:v>
      </x:c>
      <x:c r="I454" s="15" t="n">
        <x:v>152</x:v>
      </x:c>
      <x:c r="J454" s="15" t="n">
        <x:v>5</x:v>
      </x:c>
      <x:c r="K454" s="23" t="n">
        <x:f>IF(G454="",0,IF(G454&lt;1,0,IF(G454&lt;2,20,IF(G454&lt;3,30,IF(G454&lt;5,40,50)))))*'Scenario Controls'!$B$22/50</x:f>
        <x:v>0</x:v>
      </x:c>
      <x:c r="L454" s="23" t="n">
        <x:f>IF(ISNUMBER(SEARCH("Must Do",AG454)),25,IF(ISNUMBER(SEARCH("Must Have",AG454)),18,IF(ISNUMBER(SEARCH("Deprior",AG454)),5,0)))*'Scenario Controls'!$B$23/25</x:f>
        <x:v>18</x:v>
      </x:c>
      <x:c r="M454" s="23" t="n">
        <x:f>J454*'Scenario Controls'!$B$24/15</x:f>
        <x:v>5</x:v>
      </x:c>
      <x:c r="N454" s="23" t="n">
        <x:f>IF(ISNUMBER(SEARCH("HEALTHY",X454)),10,IF(ISNUMBER(SEARCH("CONTAIN",X454)),6,0))*'Scenario Controls'!$B$25/10</x:f>
        <x:v>0</x:v>
      </x:c>
      <x:c r="O454" s="23" t="n">
        <x:f>SUM(K454:N454)</x:f>
        <x:v>23</x:v>
      </x:c>
      <x:c r="P454" s="15" t="str">
        <x:f>IF(OR(B454="",E454&lt;=0),"Evidence missing / not eligible",IF(ISNUMBER(SEARCH("priority TBD",Y454)),"Evidence missing / not eligible",IF(AND(H454="Carryover",NOT(ISNUMBER(F454))),"Evidence missing / not eligible",IF(AND(H454="Carryover",G454&lt;'Scenario Controls'!$B$16),"Evidence missing / not eligible",IF(AND(H454="ROI-Based Portfolio",NOT(ISNUMBER(F454))),"Evidence missing / not eligible",IF(AND(H454="ROI-Based Portfolio",O454&lt;'Scenario Controls'!$B$20),"Evidence missing / not eligible","Eligible"))))))</x:f>
        <x:v>Evidence missing / not eligible</x:v>
      </x:c>
      <x:c r="Q454" s="19" t="n">
        <x:f>IF(P454&lt;&gt;"Eligible",0,IF(AND(SUMIFS($Q$5:Q453,$H$5:H453,H454)+E454&lt;=(IF(H454="LFR",'Scenario Controls'!$F$10,IF(H454="Sustain Engineering",'Scenario Controls'!$F$11,IF(H454="Hygiene",'Scenario Controls'!$F$12,1E+99))))*(1+'Scenario Controls'!$B$7),SUM($Q$5:Q453)+E454&lt;='Scenario Controls'!$B$6*(1+'Scenario Controls'!$B$7)),E454,0))</x:f>
        <x:v>0</x:v>
      </x:c>
      <x:c r="R454" s="24" t="str">
        <x:f>'BU Conference'!G276</x:f>
        <x:v>Automatic</x:v>
      </x:c>
      <x:c r="S454" s="24" t="str">
        <x:f>'BU Conference'!H276</x:f>
      </x:c>
      <x:c r="T454" s="19" t="n">
        <x:f>IF(R454="Exclude",0,IF(R454="Include",E454,Q454))</x:f>
        <x:v>0</x:v>
      </x:c>
      <x:c r="U454" s="15" t="str">
        <x:f>IF(T454&gt;0,"Funded",IF(P454="Eligible","Unfunded",P454))</x:f>
        <x:v>Evidence missing / not eligible</x:v>
      </x:c>
      <x:c r="V454" s="15" t="str">
        <x:f>IF(R454="Include","Conference inclusion: "&amp;S454,IF(R454="Exclude","Conference exclusion: "&amp;S454,IF(Q454&gt;0,H454&amp;" priority rank "&amp;I454&amp;"; whole initiative selected",P454)))</x:f>
        <x:v>Evidence missing / not eligible</x:v>
      </x:c>
      <x:c r="W454" s="15" t="str">
        <x:v>Bu!596</x:v>
      </x:c>
      <x:c r="X454" s="15" t="str"/>
      <x:c r="Y454" s="15" t="str"/>
      <x:c r="Z454" s="15" t="str">
        <x:v>Legal Fiscal, Regulatory &amp; Compliancy</x:v>
      </x:c>
      <x:c r="AA454" s="15" t="str">
        <x:v>New Initiative</x:v>
      </x:c>
      <x:c r="AB454" s="15" t="str">
        <x:v>Integrated Supply Chain &amp; Finance</x:v>
      </x:c>
      <x:c r="AC454" s="15" t="str">
        <x:v>Strategic distribution capability</x:v>
      </x:c>
      <x:c r="AD454" s="15" t="str"/>
      <x:c r="AE454" s="15" t="str"/>
      <x:c r="AF454" s="15" t="str">
        <x:v>Strategic distribution capability</x:v>
      </x:c>
      <x:c r="AG454" s="15" t="str">
        <x:v>Must Have</x:v>
      </x:c>
      <x:c r="AH454" s="15" t="n">
        <x:v>463</x:v>
      </x:c>
    </x:row>
    <x:row r="455">
      <x:c r="A455" s="15" t="str">
        <x:v>Bu-293</x:v>
      </x:c>
      <x:c r="B455" s="15" t="str">
        <x:v>Amazon Agentic Planning &amp; Simulation Hub</x:v>
      </x:c>
      <x:c r="C455" s="15" t="str">
        <x:v>BU Led</x:v>
      </x:c>
      <x:c r="D455" s="15" t="str">
        <x:v>Personal Health (PH)</x:v>
      </x:c>
      <x:c r="E455" s="19" t="n">
        <x:v>0.35</x:v>
      </x:c>
      <x:c r="F455" s="19" t="n">
        <x:v>0</x:v>
      </x:c>
      <x:c r="G455" s="22" t="n">
        <x:f>IF(AND(E455&gt;0,ISNUMBER(F455)),F455/E455,"")</x:f>
        <x:v>0</x:v>
      </x:c>
      <x:c r="H455" s="15" t="str">
        <x:v>ROI-Based Portfolio</x:v>
      </x:c>
      <x:c r="I455" s="15" t="n">
        <x:v>153</x:v>
      </x:c>
      <x:c r="J455" s="15" t="n">
        <x:v>5</x:v>
      </x:c>
      <x:c r="K455" s="23" t="n">
        <x:f>IF(G455="",0,IF(G455&lt;1,0,IF(G455&lt;2,20,IF(G455&lt;3,30,IF(G455&lt;5,40,50)))))*'Scenario Controls'!$B$22/50</x:f>
        <x:v>0</x:v>
      </x:c>
      <x:c r="L455" s="23" t="n">
        <x:f>IF(ISNUMBER(SEARCH("Must Do",AG455)),25,IF(ISNUMBER(SEARCH("Must Have",AG455)),18,IF(ISNUMBER(SEARCH("Deprior",AG455)),5,0)))*'Scenario Controls'!$B$23/25</x:f>
        <x:v>18</x:v>
      </x:c>
      <x:c r="M455" s="23" t="n">
        <x:f>J455*'Scenario Controls'!$B$24/15</x:f>
        <x:v>5</x:v>
      </x:c>
      <x:c r="N455" s="23" t="n">
        <x:f>IF(ISNUMBER(SEARCH("HEALTHY",X455)),10,IF(ISNUMBER(SEARCH("CONTAIN",X455)),6,0))*'Scenario Controls'!$B$25/10</x:f>
        <x:v>0</x:v>
      </x:c>
      <x:c r="O455" s="23" t="n">
        <x:f>SUM(K455:N455)</x:f>
        <x:v>23</x:v>
      </x:c>
      <x:c r="P455" s="15" t="str">
        <x:f>IF(OR(B455="",E455&lt;=0),"Evidence missing / not eligible",IF(ISNUMBER(SEARCH("priority TBD",Y455)),"Evidence missing / not eligible",IF(AND(H455="Carryover",NOT(ISNUMBER(F455))),"Evidence missing / not eligible",IF(AND(H455="Carryover",G455&lt;'Scenario Controls'!$B$16),"Evidence missing / not eligible",IF(AND(H455="ROI-Based Portfolio",NOT(ISNUMBER(F455))),"Evidence missing / not eligible",IF(AND(H455="ROI-Based Portfolio",O455&lt;'Scenario Controls'!$B$20),"Evidence missing / not eligible","Eligible"))))))</x:f>
        <x:v>Evidence missing / not eligible</x:v>
      </x:c>
      <x:c r="Q455" s="19" t="n">
        <x:f>IF(P455&lt;&gt;"Eligible",0,IF(AND(SUMIFS($Q$5:Q454,$H$5:H454,H455)+E455&lt;=(IF(H455="LFR",'Scenario Controls'!$F$10,IF(H455="Sustain Engineering",'Scenario Controls'!$F$11,IF(H455="Hygiene",'Scenario Controls'!$F$12,1E+99))))*(1+'Scenario Controls'!$B$7),SUM($Q$5:Q454)+E455&lt;='Scenario Controls'!$B$6*(1+'Scenario Controls'!$B$7)),E455,0))</x:f>
        <x:v>0</x:v>
      </x:c>
      <x:c r="R455" s="24" t="str">
        <x:f>'BU Conference'!G277</x:f>
        <x:v>Automatic</x:v>
      </x:c>
      <x:c r="S455" s="24" t="str">
        <x:f>'BU Conference'!H277</x:f>
      </x:c>
      <x:c r="T455" s="19" t="n">
        <x:f>IF(R455="Exclude",0,IF(R455="Include",E455,Q455))</x:f>
        <x:v>0</x:v>
      </x:c>
      <x:c r="U455" s="15" t="str">
        <x:f>IF(T455&gt;0,"Funded",IF(P455="Eligible","Unfunded",P455))</x:f>
        <x:v>Evidence missing / not eligible</x:v>
      </x:c>
      <x:c r="V455" s="15" t="str">
        <x:f>IF(R455="Include","Conference inclusion: "&amp;S455,IF(R455="Exclude","Conference exclusion: "&amp;S455,IF(Q455&gt;0,H455&amp;" priority rank "&amp;I455&amp;"; whole initiative selected",P455)))</x:f>
        <x:v>Evidence missing / not eligible</x:v>
      </x:c>
      <x:c r="W455" s="15" t="str">
        <x:v>Bu!611</x:v>
      </x:c>
      <x:c r="X455" s="15" t="str"/>
      <x:c r="Y455" s="15" t="str"/>
      <x:c r="Z455" s="15" t="str">
        <x:v>AI Enablement</x:v>
      </x:c>
      <x:c r="AA455" s="15" t="str">
        <x:v>New Initiative</x:v>
      </x:c>
      <x:c r="AB455" s="15" t="str">
        <x:v>Innovation and Digital IT</x:v>
      </x:c>
      <x:c r="AC455" s="15" t="str">
        <x:v>Continue working with Distributed data across sell-out, sell-in, inventory, ITM, promotions, media, budgets, and IGM/NPPM metrics.</x:v>
      </x:c>
      <x:c r="AD455" s="15" t="str">
        <x:v>Transform Amazon planning from a manual, Excel-driven process into a centralized commercial planning and decision-support capability.</x:v>
      </x:c>
      <x:c r="AE455" s="15" t="str">
        <x:v>• Commercial Planning Foundation: centralize sell-out, sell-in, inventory, ITM, media, promotions, budgets, IGM/NPPM, and 3YA inputs into Qlik/SPT or a connected planning layer.</x:v>
      </x:c>
      <x:c r="AF455" s="15" t="str">
        <x:v>Continue working with Distributed data across sell-out, sell-in, inventory, ITM, promotions, media, budgets, and IGM/NPPM metrics. | Transform Amazon planning from a manual, Excel-driven process into a centralized commercial planning and decision-support capability. | • Commercial Planning Foundation: centralize sell-out, sell-in, inventory, ITM, media, promotions, budgets, IGM/NPPM, and 3YA inputs into Qlik/SPT or a connected planning layer.</x:v>
      </x:c>
      <x:c r="AG455" s="15" t="str">
        <x:v>Must Have</x:v>
      </x:c>
      <x:c r="AH455" s="15" t="n">
        <x:v>470</x:v>
      </x:c>
    </x:row>
    <x:row r="456">
      <x:c r="A456" s="15" t="str">
        <x:v>Bu-301</x:v>
      </x:c>
      <x:c r="B456" s="15" t="str">
        <x:v>Enabling marketing content automation: E2E Claims digitalization</x:v>
      </x:c>
      <x:c r="C456" s="15" t="str">
        <x:v>BU Led</x:v>
      </x:c>
      <x:c r="D456" s="15" t="str">
        <x:v>Personal Health (PH)</x:v>
      </x:c>
      <x:c r="E456" s="19" t="n">
        <x:v>0.2</x:v>
      </x:c>
      <x:c r="F456" s="19" t="n">
        <x:v>0</x:v>
      </x:c>
      <x:c r="G456" s="22" t="n">
        <x:f>IF(AND(E456&gt;0,ISNUMBER(F456)),F456/E456,"")</x:f>
        <x:v>0</x:v>
      </x:c>
      <x:c r="H456" s="15" t="str">
        <x:v>ROI-Based Portfolio</x:v>
      </x:c>
      <x:c r="I456" s="15" t="n">
        <x:v>154</x:v>
      </x:c>
      <x:c r="J456" s="15" t="n">
        <x:v>5</x:v>
      </x:c>
      <x:c r="K456" s="23" t="n">
        <x:f>IF(G456="",0,IF(G456&lt;1,0,IF(G456&lt;2,20,IF(G456&lt;3,30,IF(G456&lt;5,40,50)))))*'Scenario Controls'!$B$22/50</x:f>
        <x:v>0</x:v>
      </x:c>
      <x:c r="L456" s="23" t="n">
        <x:f>IF(ISNUMBER(SEARCH("Must Do",AG456)),25,IF(ISNUMBER(SEARCH("Must Have",AG456)),18,IF(ISNUMBER(SEARCH("Deprior",AG456)),5,0)))*'Scenario Controls'!$B$23/25</x:f>
        <x:v>18</x:v>
      </x:c>
      <x:c r="M456" s="23" t="n">
        <x:f>J456*'Scenario Controls'!$B$24/15</x:f>
        <x:v>5</x:v>
      </x:c>
      <x:c r="N456" s="23" t="n">
        <x:f>IF(ISNUMBER(SEARCH("HEALTHY",X456)),10,IF(ISNUMBER(SEARCH("CONTAIN",X456)),6,0))*'Scenario Controls'!$B$25/10</x:f>
        <x:v>0</x:v>
      </x:c>
      <x:c r="O456" s="23" t="n">
        <x:f>SUM(K456:N456)</x:f>
        <x:v>23</x:v>
      </x:c>
      <x:c r="P456" s="15" t="str">
        <x:f>IF(OR(B456="",E456&lt;=0),"Evidence missing / not eligible",IF(ISNUMBER(SEARCH("priority TBD",Y456)),"Evidence missing / not eligible",IF(AND(H456="Carryover",NOT(ISNUMBER(F456))),"Evidence missing / not eligible",IF(AND(H456="Carryover",G456&lt;'Scenario Controls'!$B$16),"Evidence missing / not eligible",IF(AND(H456="ROI-Based Portfolio",NOT(ISNUMBER(F456))),"Evidence missing / not eligible",IF(AND(H456="ROI-Based Portfolio",O456&lt;'Scenario Controls'!$B$20),"Evidence missing / not eligible","Eligible"))))))</x:f>
        <x:v>Evidence missing / not eligible</x:v>
      </x:c>
      <x:c r="Q456" s="19" t="n">
        <x:f>IF(P456&lt;&gt;"Eligible",0,IF(AND(SUMIFS($Q$5:Q455,$H$5:H455,H456)+E456&lt;=(IF(H456="LFR",'Scenario Controls'!$F$10,IF(H456="Sustain Engineering",'Scenario Controls'!$F$11,IF(H456="Hygiene",'Scenario Controls'!$F$12,1E+99))))*(1+'Scenario Controls'!$B$7),SUM($Q$5:Q455)+E456&lt;='Scenario Controls'!$B$6*(1+'Scenario Controls'!$B$7)),E456,0))</x:f>
        <x:v>0</x:v>
      </x:c>
      <x:c r="R456" s="24" t="str">
        <x:f>'BU Conference'!G278</x:f>
        <x:v>Automatic</x:v>
      </x:c>
      <x:c r="S456" s="24" t="str">
        <x:f>'BU Conference'!H278</x:f>
      </x:c>
      <x:c r="T456" s="19" t="n">
        <x:f>IF(R456="Exclude",0,IF(R456="Include",E456,Q456))</x:f>
        <x:v>0</x:v>
      </x:c>
      <x:c r="U456" s="15" t="str">
        <x:f>IF(T456&gt;0,"Funded",IF(P456="Eligible","Unfunded",P456))</x:f>
        <x:v>Evidence missing / not eligible</x:v>
      </x:c>
      <x:c r="V456" s="15" t="str">
        <x:f>IF(R456="Include","Conference inclusion: "&amp;S456,IF(R456="Exclude","Conference exclusion: "&amp;S456,IF(Q456&gt;0,H456&amp;" priority rank "&amp;I456&amp;"; whole initiative selected",P456)))</x:f>
        <x:v>Evidence missing / not eligible</x:v>
      </x:c>
      <x:c r="W456" s="15" t="str">
        <x:v>Bu!624</x:v>
      </x:c>
      <x:c r="X456" s="15" t="str"/>
      <x:c r="Y456" s="15" t="str"/>
      <x:c r="Z456" s="15" t="str"/>
      <x:c r="AA456" s="15" t="str">
        <x:v>New Initiative</x:v>
      </x:c>
      <x:c r="AB456" s="15" t="str"/>
      <x:c r="AC456" s="15" t="str">
        <x:v>90k in penalties and legal fees for using wrong claim per year (OneBlade example in Sweden) -&gt; Happens every 2 years, 45k per year</x:v>
      </x:c>
      <x:c r="AD456" s="15" t="str"/>
      <x:c r="AE456" s="15" t="str"/>
      <x:c r="AF456" s="15" t="str">
        <x:v>90k in penalties and legal fees for using wrong claim per year (OneBlade example in Sweden) -&gt; Happens every 2 years, 45k per year</x:v>
      </x:c>
      <x:c r="AG456" s="15" t="str">
        <x:v>Must Have</x:v>
      </x:c>
      <x:c r="AH456" s="15" t="n">
        <x:v>478</x:v>
      </x:c>
    </x:row>
    <x:row r="457">
      <x:c r="A457" s="15" t="str">
        <x:v>Bu-319</x:v>
      </x:c>
      <x:c r="B457" s="15" t="str">
        <x:v>Telephony Transformation - End-of-Life Replacement</x:v>
      </x:c>
      <x:c r="C457" s="15" t="str">
        <x:v>BU Led</x:v>
      </x:c>
      <x:c r="D457" s="15" t="str">
        <x:v>Personal Health (PH)</x:v>
      </x:c>
      <x:c r="E457" s="19" t="n">
        <x:v>0.3</x:v>
      </x:c>
      <x:c r="F457" s="19" t="n">
        <x:v>0</x:v>
      </x:c>
      <x:c r="G457" s="22" t="n">
        <x:f>IF(AND(E457&gt;0,ISNUMBER(F457)),F457/E457,"")</x:f>
        <x:v>0</x:v>
      </x:c>
      <x:c r="H457" s="15" t="str">
        <x:v>ROI-Based Portfolio</x:v>
      </x:c>
      <x:c r="I457" s="15" t="n">
        <x:v>155</x:v>
      </x:c>
      <x:c r="J457" s="15" t="n">
        <x:v>5</x:v>
      </x:c>
      <x:c r="K457" s="23" t="n">
        <x:f>IF(G457="",0,IF(G457&lt;1,0,IF(G457&lt;2,20,IF(G457&lt;3,30,IF(G457&lt;5,40,50)))))*'Scenario Controls'!$B$22/50</x:f>
        <x:v>0</x:v>
      </x:c>
      <x:c r="L457" s="23" t="n">
        <x:f>IF(ISNUMBER(SEARCH("Must Do",AG457)),25,IF(ISNUMBER(SEARCH("Must Have",AG457)),18,IF(ISNUMBER(SEARCH("Deprior",AG457)),5,0)))*'Scenario Controls'!$B$23/25</x:f>
        <x:v>18</x:v>
      </x:c>
      <x:c r="M457" s="23" t="n">
        <x:f>J457*'Scenario Controls'!$B$24/15</x:f>
        <x:v>5</x:v>
      </x:c>
      <x:c r="N457" s="23" t="n">
        <x:f>IF(ISNUMBER(SEARCH("HEALTHY",X457)),10,IF(ISNUMBER(SEARCH("CONTAIN",X457)),6,0))*'Scenario Controls'!$B$25/10</x:f>
        <x:v>0</x:v>
      </x:c>
      <x:c r="O457" s="23" t="n">
        <x:f>SUM(K457:N457)</x:f>
        <x:v>23</x:v>
      </x:c>
      <x:c r="P457" s="15" t="str">
        <x:f>IF(OR(B457="",E457&lt;=0),"Evidence missing / not eligible",IF(ISNUMBER(SEARCH("priority TBD",Y457)),"Evidence missing / not eligible",IF(AND(H457="Carryover",NOT(ISNUMBER(F457))),"Evidence missing / not eligible",IF(AND(H457="Carryover",G457&lt;'Scenario Controls'!$B$16),"Evidence missing / not eligible",IF(AND(H457="ROI-Based Portfolio",NOT(ISNUMBER(F457))),"Evidence missing / not eligible",IF(AND(H457="ROI-Based Portfolio",O457&lt;'Scenario Controls'!$B$20),"Evidence missing / not eligible","Eligible"))))))</x:f>
        <x:v>Evidence missing / not eligible</x:v>
      </x:c>
      <x:c r="Q457" s="19" t="n">
        <x:f>IF(P457&lt;&gt;"Eligible",0,IF(AND(SUMIFS($Q$5:Q456,$H$5:H456,H457)+E457&lt;=(IF(H457="LFR",'Scenario Controls'!$F$10,IF(H457="Sustain Engineering",'Scenario Controls'!$F$11,IF(H457="Hygiene",'Scenario Controls'!$F$12,1E+99))))*(1+'Scenario Controls'!$B$7),SUM($Q$5:Q456)+E457&lt;='Scenario Controls'!$B$6*(1+'Scenario Controls'!$B$7)),E457,0))</x:f>
        <x:v>0</x:v>
      </x:c>
      <x:c r="R457" s="24" t="str">
        <x:f>'BU Conference'!G279</x:f>
        <x:v>Automatic</x:v>
      </x:c>
      <x:c r="S457" s="24" t="str">
        <x:f>'BU Conference'!H279</x:f>
      </x:c>
      <x:c r="T457" s="19" t="n">
        <x:f>IF(R457="Exclude",0,IF(R457="Include",E457,Q457))</x:f>
        <x:v>0</x:v>
      </x:c>
      <x:c r="U457" s="15" t="str">
        <x:f>IF(T457&gt;0,"Funded",IF(P457="Eligible","Unfunded",P457))</x:f>
        <x:v>Evidence missing / not eligible</x:v>
      </x:c>
      <x:c r="V457" s="15" t="str">
        <x:f>IF(R457="Include","Conference inclusion: "&amp;S457,IF(R457="Exclude","Conference exclusion: "&amp;S457,IF(Q457&gt;0,H457&amp;" priority rank "&amp;I457&amp;"; whole initiative selected",P457)))</x:f>
        <x:v>Evidence missing / not eligible</x:v>
      </x:c>
      <x:c r="W457" s="15" t="str">
        <x:v>Bu!653</x:v>
      </x:c>
      <x:c r="X457" s="15" t="str"/>
      <x:c r="Y457" s="15" t="str"/>
      <x:c r="Z457" s="15" t="str"/>
      <x:c r="AA457" s="15" t="str">
        <x:v>New Initiative</x:v>
      </x:c>
      <x:c r="AB457" s="15" t="str"/>
      <x:c r="AC457" s="15" t="str">
        <x:v>Care risks an unsupported CTI path and delayed voice-data foundation.</x:v>
      </x:c>
      <x:c r="AD457" s="15" t="str">
        <x:v>Replace the current CTI path because support changes require a new telephony integration decision.</x:v>
      </x:c>
      <x:c r="AE457" s="15" t="str">
        <x:v>Validate and decide replacement option: AWS / Genesys / Salesforce Voice.</x:v>
      </x:c>
      <x:c r="AF457" s="15" t="str">
        <x:v>Care risks an unsupported CTI path and delayed voice-data foundation. | Replace the current CTI path because support changes require a new telephony integration decision. | Validate and decide replacement option: AWS / Genesys / Salesforce Voice.</x:v>
      </x:c>
      <x:c r="AG457" s="15" t="str">
        <x:v>Must Have</x:v>
      </x:c>
      <x:c r="AH457" s="15" t="n">
        <x:v>496</x:v>
      </x:c>
    </x:row>
    <x:row r="458">
      <x:c r="A458" s="15" t="str">
        <x:v>Bu-320</x:v>
      </x:c>
      <x:c r="B458" s="15" t="str">
        <x:v>TikTok Automated Consignment Flow</x:v>
      </x:c>
      <x:c r="C458" s="15" t="str">
        <x:v>BU Led</x:v>
      </x:c>
      <x:c r="D458" s="15" t="str">
        <x:v>Personal Health (PH)</x:v>
      </x:c>
      <x:c r="E458" s="19" t="n">
        <x:v>0.245</x:v>
      </x:c>
      <x:c r="F458" s="19" t="n">
        <x:v>0</x:v>
      </x:c>
      <x:c r="G458" s="22" t="n">
        <x:f>IF(AND(E458&gt;0,ISNUMBER(F458)),F458/E458,"")</x:f>
        <x:v>0</x:v>
      </x:c>
      <x:c r="H458" s="15" t="str">
        <x:v>ROI-Based Portfolio</x:v>
      </x:c>
      <x:c r="I458" s="15" t="n">
        <x:v>156</x:v>
      </x:c>
      <x:c r="J458" s="15" t="n">
        <x:v>5</x:v>
      </x:c>
      <x:c r="K458" s="23" t="n">
        <x:f>IF(G458="",0,IF(G458&lt;1,0,IF(G458&lt;2,20,IF(G458&lt;3,30,IF(G458&lt;5,40,50)))))*'Scenario Controls'!$B$22/50</x:f>
        <x:v>0</x:v>
      </x:c>
      <x:c r="L458" s="23" t="n">
        <x:f>IF(ISNUMBER(SEARCH("Must Do",AG458)),25,IF(ISNUMBER(SEARCH("Must Have",AG458)),18,IF(ISNUMBER(SEARCH("Deprior",AG458)),5,0)))*'Scenario Controls'!$B$23/25</x:f>
        <x:v>18</x:v>
      </x:c>
      <x:c r="M458" s="23" t="n">
        <x:f>J458*'Scenario Controls'!$B$24/15</x:f>
        <x:v>5</x:v>
      </x:c>
      <x:c r="N458" s="23" t="n">
        <x:f>IF(ISNUMBER(SEARCH("HEALTHY",X458)),10,IF(ISNUMBER(SEARCH("CONTAIN",X458)),6,0))*'Scenario Controls'!$B$25/10</x:f>
        <x:v>0</x:v>
      </x:c>
      <x:c r="O458" s="23" t="n">
        <x:f>SUM(K458:N458)</x:f>
        <x:v>23</x:v>
      </x:c>
      <x:c r="P458" s="15" t="str">
        <x:f>IF(OR(B458="",E458&lt;=0),"Evidence missing / not eligible",IF(ISNUMBER(SEARCH("priority TBD",Y458)),"Evidence missing / not eligible",IF(AND(H458="Carryover",NOT(ISNUMBER(F458))),"Evidence missing / not eligible",IF(AND(H458="Carryover",G458&lt;'Scenario Controls'!$B$16),"Evidence missing / not eligible",IF(AND(H458="ROI-Based Portfolio",NOT(ISNUMBER(F458))),"Evidence missing / not eligible",IF(AND(H458="ROI-Based Portfolio",O458&lt;'Scenario Controls'!$B$20),"Evidence missing / not eligible","Eligible"))))))</x:f>
        <x:v>Evidence missing / not eligible</x:v>
      </x:c>
      <x:c r="Q458" s="19" t="n">
        <x:f>IF(P458&lt;&gt;"Eligible",0,IF(AND(SUMIFS($Q$5:Q457,$H$5:H457,H458)+E458&lt;=(IF(H458="LFR",'Scenario Controls'!$F$10,IF(H458="Sustain Engineering",'Scenario Controls'!$F$11,IF(H458="Hygiene",'Scenario Controls'!$F$12,1E+99))))*(1+'Scenario Controls'!$B$7),SUM($Q$5:Q457)+E458&lt;='Scenario Controls'!$B$6*(1+'Scenario Controls'!$B$7)),E458,0))</x:f>
        <x:v>0</x:v>
      </x:c>
      <x:c r="R458" s="24" t="str">
        <x:f>'BU Conference'!G280</x:f>
        <x:v>Automatic</x:v>
      </x:c>
      <x:c r="S458" s="24" t="str">
        <x:f>'BU Conference'!H280</x:f>
      </x:c>
      <x:c r="T458" s="19" t="n">
        <x:f>IF(R458="Exclude",0,IF(R458="Include",E458,Q458))</x:f>
        <x:v>0</x:v>
      </x:c>
      <x:c r="U458" s="15" t="str">
        <x:f>IF(T458&gt;0,"Funded",IF(P458="Eligible","Unfunded",P458))</x:f>
        <x:v>Evidence missing / not eligible</x:v>
      </x:c>
      <x:c r="V458" s="15" t="str">
        <x:f>IF(R458="Include","Conference inclusion: "&amp;S458,IF(R458="Exclude","Conference exclusion: "&amp;S458,IF(Q458&gt;0,H458&amp;" priority rank "&amp;I458&amp;"; whole initiative selected",P458)))</x:f>
        <x:v>Evidence missing / not eligible</x:v>
      </x:c>
      <x:c r="W458" s="15" t="str">
        <x:v>Bu!657</x:v>
      </x:c>
      <x:c r="X458" s="15" t="str"/>
      <x:c r="Y458" s="15" t="str"/>
      <x:c r="Z458" s="15" t="str"/>
      <x:c r="AA458" s="15" t="str">
        <x:v>New Initiative</x:v>
      </x:c>
      <x:c r="AB458" s="15" t="str">
        <x:v>Integrated Supply Chain &amp; Finance</x:v>
      </x:c>
      <x:c r="AC458" s="15" t="str">
        <x:v>Missing out on selling opportunities via popular social platoform like tiktok</x:v>
      </x:c>
      <x:c r="AD458" s="15" t="str"/>
      <x:c r="AE458" s="15" t="str"/>
      <x:c r="AF458" s="15" t="str">
        <x:v>Missing out on selling opportunities via popular social platoform like tiktok</x:v>
      </x:c>
      <x:c r="AG458" s="15" t="str">
        <x:v>Must Have</x:v>
      </x:c>
      <x:c r="AH458" s="15" t="n">
        <x:v>497</x:v>
      </x:c>
    </x:row>
    <x:row r="459">
      <x:c r="A459" s="15" t="str">
        <x:v>Bu-80</x:v>
      </x:c>
      <x:c r="B459" s="15" t="str">
        <x:v>IR27#15 - ORU extension requirement (too early to submit/judge, ballpark 500K, Exco discussion proceeding)</x:v>
      </x:c>
      <x:c r="C459" s="15" t="str">
        <x:v>BU Led</x:v>
      </x:c>
      <x:c r="D459" s="15" t="str">
        <x:v>International Regions (IR)</x:v>
      </x:c>
      <x:c r="E459" s="19" t="n">
        <x:v>0</x:v>
      </x:c>
      <x:c r="F459" s="19" t="n">
        <x:v>0</x:v>
      </x:c>
      <x:c r="G459" s="22" t="str">
        <x:f>IF(AND(E459&gt;0,ISNUMBER(F459)),F459/E459,"")</x:f>
      </x:c>
      <x:c r="H459" s="15" t="str">
        <x:v>ROI-Based Portfolio</x:v>
      </x:c>
      <x:c r="I459" s="15" t="n">
        <x:v>157</x:v>
      </x:c>
      <x:c r="J459" s="15" t="n">
        <x:v>5</x:v>
      </x:c>
      <x:c r="K459" s="23" t="n">
        <x:f>IF(G459="",0,IF(G459&lt;1,0,IF(G459&lt;2,20,IF(G459&lt;3,30,IF(G459&lt;5,40,50)))))*'Scenario Controls'!$B$22/50</x:f>
        <x:v>0</x:v>
      </x:c>
      <x:c r="L459" s="23" t="n">
        <x:f>IF(ISNUMBER(SEARCH("Must Do",AG459)),25,IF(ISNUMBER(SEARCH("Must Have",AG459)),18,IF(ISNUMBER(SEARCH("Deprior",AG459)),5,0)))*'Scenario Controls'!$B$23/25</x:f>
        <x:v>5</x:v>
      </x:c>
      <x:c r="M459" s="23" t="n">
        <x:f>J459*'Scenario Controls'!$B$24/15</x:f>
        <x:v>5</x:v>
      </x:c>
      <x:c r="N459" s="23" t="n">
        <x:f>IF(ISNUMBER(SEARCH("HEALTHY",X459)),10,IF(ISNUMBER(SEARCH("CONTAIN",X459)),6,0))*'Scenario Controls'!$B$25/10</x:f>
        <x:v>10</x:v>
      </x:c>
      <x:c r="O459" s="23" t="n">
        <x:f>SUM(K459:N459)</x:f>
        <x:v>20</x:v>
      </x:c>
      <x:c r="P459" s="15" t="str">
        <x:f>IF(OR(B459="",E459&lt;=0),"Evidence missing / not eligible",IF(ISNUMBER(SEARCH("priority TBD",Y459)),"Evidence missing / not eligible",IF(AND(H459="Carryover",NOT(ISNUMBER(F459))),"Evidence missing / not eligible",IF(AND(H459="Carryover",G459&lt;'Scenario Controls'!$B$16),"Evidence missing / not eligible",IF(AND(H459="ROI-Based Portfolio",NOT(ISNUMBER(F459))),"Evidence missing / not eligible",IF(AND(H459="ROI-Based Portfolio",O459&lt;'Scenario Controls'!$B$20),"Evidence missing / not eligible","Eligible"))))))</x:f>
        <x:v>Evidence missing / not eligible</x:v>
      </x:c>
      <x:c r="Q459" s="19" t="n">
        <x:f>IF(P459&lt;&gt;"Eligible",0,IF(AND(SUMIFS($Q$5:Q458,$H$5:H458,H459)+E459&lt;=(IF(H459="LFR",'Scenario Controls'!$F$10,IF(H459="Sustain Engineering",'Scenario Controls'!$F$11,IF(H459="Hygiene",'Scenario Controls'!$F$12,1E+99))))*(1+'Scenario Controls'!$B$7),SUM($Q$5:Q458)+E459&lt;='Scenario Controls'!$B$6*(1+'Scenario Controls'!$B$7)),E459,0))</x:f>
        <x:v>0</x:v>
      </x:c>
      <x:c r="R459" s="24" t="str">
        <x:f>'BU Conference'!G281</x:f>
        <x:v>Automatic</x:v>
      </x:c>
      <x:c r="S459" s="24" t="str">
        <x:f>'BU Conference'!H281</x:f>
      </x:c>
      <x:c r="T459" s="19" t="n">
        <x:f>IF(R459="Exclude",0,IF(R459="Include",E459,Q459))</x:f>
        <x:v>0</x:v>
      </x:c>
      <x:c r="U459" s="15" t="str">
        <x:f>IF(T459&gt;0,"Funded",IF(P459="Eligible","Unfunded",P459))</x:f>
        <x:v>Evidence missing / not eligible</x:v>
      </x:c>
      <x:c r="V459" s="15" t="str">
        <x:f>IF(R459="Include","Conference inclusion: "&amp;S459,IF(R459="Exclude","Conference exclusion: "&amp;S459,IF(Q459&gt;0,H459&amp;" priority rank "&amp;I459&amp;"; whole initiative selected",P459)))</x:f>
        <x:v>Evidence missing / not eligible</x:v>
      </x:c>
      <x:c r="W459" s="15" t="str">
        <x:v>Bu!204</x:v>
      </x:c>
      <x:c r="X459" s="15" t="str">
        <x:v>HEALTHY</x:v>
      </x:c>
      <x:c r="Y459" s="15" t="str">
        <x:v>HEALTHY — Rank in priority matrix</x:v>
      </x:c>
      <x:c r="Z459" s="15" t="str">
        <x:v>New Feature</x:v>
      </x:c>
      <x:c r="AA459" s="15" t="str">
        <x:v>New Initiative</x:v>
      </x:c>
      <x:c r="AB459" s="15" t="str">
        <x:v>Integrated Supply Chain &amp; Finance</x:v>
      </x:c>
      <x:c r="AC459" s="15" t="str">
        <x:v>t.b.d</x:v>
      </x:c>
      <x:c r="AD459" s="15" t="str">
        <x:v>India market with steep growth opportunity ('big bet'), but partial mismatch with Philips portfolio (low pricing). Unlock with local upstream footprint (details tbd). Opportunity window is closing (competition).</x:v>
      </x:c>
      <x:c r="AE459" s="15" t="str">
        <x:v>India only; CT/MR, then IGTS, then possibly HPM</x:v>
      </x:c>
      <x:c r="AF459" s="15" t="str">
        <x:v>t.b.d | India market with steep growth opportunity ('big bet'), but partial mismatch with Philips portfolio (low pricing). Unlock with local upstream footprint (details tbd). Opportunity window is closing (competition). | India only; CT/MR, then IGTS, then possibly HPM</x:v>
      </x:c>
      <x:c r="AG459" s="15" t="str">
        <x:v>Deprioritised</x:v>
      </x:c>
      <x:c r="AH459" s="15" t="n">
        <x:v>257</x:v>
      </x:c>
    </x:row>
    <x:row r="460">
      <x:c r="A460" s="15" t="str">
        <x:v>Bu-223</x:v>
      </x:c>
      <x:c r="B460" s="15" t="str">
        <x:v>Two white label products: NiBP cuff and SPO2 sensor will be added to the portfolio.</x:v>
      </x:c>
      <x:c r="C460" s="15" t="str">
        <x:v>BU Led</x:v>
      </x:c>
      <x:c r="D460" s="15" t="str">
        <x:v>Monitoring - HPM (MCH)</x:v>
      </x:c>
      <x:c r="E460" s="19" t="n">
        <x:v>0</x:v>
      </x:c>
      <x:c r="F460" s="19" t="n">
        <x:v>0</x:v>
      </x:c>
      <x:c r="G460" s="22" t="str">
        <x:f>IF(AND(E460&gt;0,ISNUMBER(F460)),F460/E460,"")</x:f>
      </x:c>
      <x:c r="H460" s="15" t="str">
        <x:v>ROI-Based Portfolio</x:v>
      </x:c>
      <x:c r="I460" s="15" t="n">
        <x:v>158</x:v>
      </x:c>
      <x:c r="J460" s="15" t="n">
        <x:v>5</x:v>
      </x:c>
      <x:c r="K460" s="23" t="n">
        <x:f>IF(G460="",0,IF(G460&lt;1,0,IF(G460&lt;2,20,IF(G460&lt;3,30,IF(G460&lt;5,40,50)))))*'Scenario Controls'!$B$22/50</x:f>
        <x:v>0</x:v>
      </x:c>
      <x:c r="L460" s="23" t="n">
        <x:f>IF(ISNUMBER(SEARCH("Must Do",AG460)),25,IF(ISNUMBER(SEARCH("Must Have",AG460)),18,IF(ISNUMBER(SEARCH("Deprior",AG460)),5,0)))*'Scenario Controls'!$B$23/25</x:f>
        <x:v>5</x:v>
      </x:c>
      <x:c r="M460" s="23" t="n">
        <x:f>J460*'Scenario Controls'!$B$24/15</x:f>
        <x:v>5</x:v>
      </x:c>
      <x:c r="N460" s="23" t="n">
        <x:f>IF(ISNUMBER(SEARCH("HEALTHY",X460)),10,IF(ISNUMBER(SEARCH("CONTAIN",X460)),6,0))*'Scenario Controls'!$B$25/10</x:f>
        <x:v>10</x:v>
      </x:c>
      <x:c r="O460" s="23" t="n">
        <x:f>SUM(K460:N460)</x:f>
        <x:v>20</x:v>
      </x:c>
      <x:c r="P460" s="15" t="str">
        <x:f>IF(OR(B460="",E460&lt;=0),"Evidence missing / not eligible",IF(ISNUMBER(SEARCH("priority TBD",Y460)),"Evidence missing / not eligible",IF(AND(H460="Carryover",NOT(ISNUMBER(F460))),"Evidence missing / not eligible",IF(AND(H460="Carryover",G460&lt;'Scenario Controls'!$B$16),"Evidence missing / not eligible",IF(AND(H460="ROI-Based Portfolio",NOT(ISNUMBER(F460))),"Evidence missing / not eligible",IF(AND(H460="ROI-Based Portfolio",O460&lt;'Scenario Controls'!$B$20),"Evidence missing / not eligible","Eligible"))))))</x:f>
        <x:v>Evidence missing / not eligible</x:v>
      </x:c>
      <x:c r="Q460" s="19" t="n">
        <x:f>IF(P460&lt;&gt;"Eligible",0,IF(AND(SUMIFS($Q$5:Q459,$H$5:H459,H460)+E460&lt;=(IF(H460="LFR",'Scenario Controls'!$F$10,IF(H460="Sustain Engineering",'Scenario Controls'!$F$11,IF(H460="Hygiene",'Scenario Controls'!$F$12,1E+99))))*(1+'Scenario Controls'!$B$7),SUM($Q$5:Q459)+E460&lt;='Scenario Controls'!$B$6*(1+'Scenario Controls'!$B$7)),E460,0))</x:f>
        <x:v>0</x:v>
      </x:c>
      <x:c r="R460" s="24" t="str">
        <x:f>'BU Conference'!G282</x:f>
        <x:v>Automatic</x:v>
      </x:c>
      <x:c r="S460" s="24" t="str">
        <x:f>'BU Conference'!H282</x:f>
      </x:c>
      <x:c r="T460" s="19" t="n">
        <x:f>IF(R460="Exclude",0,IF(R460="Include",E460,Q460))</x:f>
        <x:v>0</x:v>
      </x:c>
      <x:c r="U460" s="15" t="str">
        <x:f>IF(T460&gt;0,"Funded",IF(P460="Eligible","Unfunded",P460))</x:f>
        <x:v>Evidence missing / not eligible</x:v>
      </x:c>
      <x:c r="V460" s="15" t="str">
        <x:f>IF(R460="Include","Conference inclusion: "&amp;S460,IF(R460="Exclude","Conference exclusion: "&amp;S460,IF(Q460&gt;0,H460&amp;" priority rank "&amp;I460&amp;"; whole initiative selected",P460)))</x:f>
        <x:v>Evidence missing / not eligible</x:v>
      </x:c>
      <x:c r="W460" s="15" t="str">
        <x:v>Bu!518</x:v>
      </x:c>
      <x:c r="X460" s="15" t="str">
        <x:v>HEALTHY</x:v>
      </x:c>
      <x:c r="Y460" s="15" t="str">
        <x:v>HEALTHY — Rank in priority matrix</x:v>
      </x:c>
      <x:c r="Z460" s="15" t="str">
        <x:v>New Technology</x:v>
      </x:c>
      <x:c r="AA460" s="15" t="str">
        <x:v>New Initiative</x:v>
      </x:c>
      <x:c r="AB460" s="15" t="str">
        <x:v>Integrated Supply Chain &amp; Finance</x:v>
      </x:c>
      <x:c r="AC460" s="15" t="str">
        <x:v>NPI delayed</x:v>
      </x:c>
      <x:c r="AD460" s="15" t="str"/>
      <x:c r="AE460" s="15" t="str"/>
      <x:c r="AF460" s="15" t="str">
        <x:v>NPI delayed</x:v>
      </x:c>
      <x:c r="AG460" s="15" t="str">
        <x:v>Deprioritised</x:v>
      </x:c>
      <x:c r="AH460" s="15" t="n">
        <x:v>402</x:v>
      </x:c>
    </x:row>
    <x:row r="461">
      <x:c r="A461" s="15" t="str">
        <x:v>Bu-226</x:v>
      </x:c>
      <x:c r="B461" s="15" t="str">
        <x:v>SpO2 Oem business setup</x:v>
      </x:c>
      <x:c r="C461" s="15" t="str">
        <x:v>BU Led</x:v>
      </x:c>
      <x:c r="D461" s="15" t="str">
        <x:v>Monitoring - HPM (MCH)</x:v>
      </x:c>
      <x:c r="E461" s="19" t="n">
        <x:v>0</x:v>
      </x:c>
      <x:c r="F461" s="19" t="n">
        <x:v>0</x:v>
      </x:c>
      <x:c r="G461" s="22" t="str">
        <x:f>IF(AND(E461&gt;0,ISNUMBER(F461)),F461/E461,"")</x:f>
      </x:c>
      <x:c r="H461" s="15" t="str">
        <x:v>ROI-Based Portfolio</x:v>
      </x:c>
      <x:c r="I461" s="15" t="n">
        <x:v>159</x:v>
      </x:c>
      <x:c r="J461" s="15" t="n">
        <x:v>5</x:v>
      </x:c>
      <x:c r="K461" s="23" t="n">
        <x:f>IF(G461="",0,IF(G461&lt;1,0,IF(G461&lt;2,20,IF(G461&lt;3,30,IF(G461&lt;5,40,50)))))*'Scenario Controls'!$B$22/50</x:f>
        <x:v>0</x:v>
      </x:c>
      <x:c r="L461" s="23" t="n">
        <x:f>IF(ISNUMBER(SEARCH("Must Do",AG461)),25,IF(ISNUMBER(SEARCH("Must Have",AG461)),18,IF(ISNUMBER(SEARCH("Deprior",AG461)),5,0)))*'Scenario Controls'!$B$23/25</x:f>
        <x:v>5</x:v>
      </x:c>
      <x:c r="M461" s="23" t="n">
        <x:f>J461*'Scenario Controls'!$B$24/15</x:f>
        <x:v>5</x:v>
      </x:c>
      <x:c r="N461" s="23" t="n">
        <x:f>IF(ISNUMBER(SEARCH("HEALTHY",X461)),10,IF(ISNUMBER(SEARCH("CONTAIN",X461)),6,0))*'Scenario Controls'!$B$25/10</x:f>
        <x:v>10</x:v>
      </x:c>
      <x:c r="O461" s="23" t="n">
        <x:f>SUM(K461:N461)</x:f>
        <x:v>20</x:v>
      </x:c>
      <x:c r="P461" s="15" t="str">
        <x:f>IF(OR(B461="",E461&lt;=0),"Evidence missing / not eligible",IF(ISNUMBER(SEARCH("priority TBD",Y461)),"Evidence missing / not eligible",IF(AND(H461="Carryover",NOT(ISNUMBER(F461))),"Evidence missing / not eligible",IF(AND(H461="Carryover",G461&lt;'Scenario Controls'!$B$16),"Evidence missing / not eligible",IF(AND(H461="ROI-Based Portfolio",NOT(ISNUMBER(F461))),"Evidence missing / not eligible",IF(AND(H461="ROI-Based Portfolio",O461&lt;'Scenario Controls'!$B$20),"Evidence missing / not eligible","Eligible"))))))</x:f>
        <x:v>Evidence missing / not eligible</x:v>
      </x:c>
      <x:c r="Q461" s="19" t="n">
        <x:f>IF(P461&lt;&gt;"Eligible",0,IF(AND(SUMIFS($Q$5:Q460,$H$5:H460,H461)+E461&lt;=(IF(H461="LFR",'Scenario Controls'!$F$10,IF(H461="Sustain Engineering",'Scenario Controls'!$F$11,IF(H461="Hygiene",'Scenario Controls'!$F$12,1E+99))))*(1+'Scenario Controls'!$B$7),SUM($Q$5:Q460)+E461&lt;='Scenario Controls'!$B$6*(1+'Scenario Controls'!$B$7)),E461,0))</x:f>
        <x:v>0</x:v>
      </x:c>
      <x:c r="R461" s="24" t="str">
        <x:f>'BU Conference'!G283</x:f>
        <x:v>Automatic</x:v>
      </x:c>
      <x:c r="S461" s="24" t="str">
        <x:f>'BU Conference'!H283</x:f>
      </x:c>
      <x:c r="T461" s="19" t="n">
        <x:f>IF(R461="Exclude",0,IF(R461="Include",E461,Q461))</x:f>
        <x:v>0</x:v>
      </x:c>
      <x:c r="U461" s="15" t="str">
        <x:f>IF(T461&gt;0,"Funded",IF(P461="Eligible","Unfunded",P461))</x:f>
        <x:v>Evidence missing / not eligible</x:v>
      </x:c>
      <x:c r="V461" s="15" t="str">
        <x:f>IF(R461="Include","Conference inclusion: "&amp;S461,IF(R461="Exclude","Conference exclusion: "&amp;S461,IF(Q461&gt;0,H461&amp;" priority rank "&amp;I461&amp;"; whole initiative selected",P461)))</x:f>
        <x:v>Evidence missing / not eligible</x:v>
      </x:c>
      <x:c r="W461" s="15" t="str">
        <x:v>Bu!521</x:v>
      </x:c>
      <x:c r="X461" s="15" t="str">
        <x:v>HEALTHY</x:v>
      </x:c>
      <x:c r="Y461" s="15" t="str">
        <x:v>HEALTHY — Rank in priority matrix</x:v>
      </x:c>
      <x:c r="Z461" s="15" t="str">
        <x:v>New Technology</x:v>
      </x:c>
      <x:c r="AA461" s="15" t="str">
        <x:v>New Initiative</x:v>
      </x:c>
      <x:c r="AB461" s="15" t="str">
        <x:v>Integrated Supply Chain &amp; Finance</x:v>
      </x:c>
      <x:c r="AC461" s="15" t="str">
        <x:v>NPI delayed</x:v>
      </x:c>
      <x:c r="AD461" s="15" t="str"/>
      <x:c r="AE461" s="15" t="str"/>
      <x:c r="AF461" s="15" t="str">
        <x:v>NPI delayed</x:v>
      </x:c>
      <x:c r="AG461" s="15" t="str">
        <x:v>Deprioritised</x:v>
      </x:c>
      <x:c r="AH461" s="15" t="n">
        <x:v>405</x:v>
      </x:c>
    </x:row>
    <x:row r="462">
      <x:c r="A462" s="15" t="str">
        <x:v>Bu-239</x:v>
      </x:c>
      <x:c r="B462" s="15" t="str">
        <x:v>Topkal</x:v>
      </x:c>
      <x:c r="C462" s="15" t="str">
        <x:v>BU Led</x:v>
      </x:c>
      <x:c r="D462" s="15" t="str">
        <x:v>Monitoring - HPM (MCH)</x:v>
      </x:c>
      <x:c r="E462" s="19" t="n">
        <x:v>0</x:v>
      </x:c>
      <x:c r="F462" s="19" t="n">
        <x:v>0</x:v>
      </x:c>
      <x:c r="G462" s="22" t="str">
        <x:f>IF(AND(E462&gt;0,ISNUMBER(F462)),F462/E462,"")</x:f>
      </x:c>
      <x:c r="H462" s="15" t="str">
        <x:v>ROI-Based Portfolio</x:v>
      </x:c>
      <x:c r="I462" s="15" t="n">
        <x:v>160</x:v>
      </x:c>
      <x:c r="J462" s="15" t="n">
        <x:v>5</x:v>
      </x:c>
      <x:c r="K462" s="23" t="n">
        <x:f>IF(G462="",0,IF(G462&lt;1,0,IF(G462&lt;2,20,IF(G462&lt;3,30,IF(G462&lt;5,40,50)))))*'Scenario Controls'!$B$22/50</x:f>
        <x:v>0</x:v>
      </x:c>
      <x:c r="L462" s="23" t="n">
        <x:f>IF(ISNUMBER(SEARCH("Must Do",AG462)),25,IF(ISNUMBER(SEARCH("Must Have",AG462)),18,IF(ISNUMBER(SEARCH("Deprior",AG462)),5,0)))*'Scenario Controls'!$B$23/25</x:f>
        <x:v>5</x:v>
      </x:c>
      <x:c r="M462" s="23" t="n">
        <x:f>J462*'Scenario Controls'!$B$24/15</x:f>
        <x:v>5</x:v>
      </x:c>
      <x:c r="N462" s="23" t="n">
        <x:f>IF(ISNUMBER(SEARCH("HEALTHY",X462)),10,IF(ISNUMBER(SEARCH("CONTAIN",X462)),6,0))*'Scenario Controls'!$B$25/10</x:f>
        <x:v>10</x:v>
      </x:c>
      <x:c r="O462" s="23" t="n">
        <x:f>SUM(K462:N462)</x:f>
        <x:v>20</x:v>
      </x:c>
      <x:c r="P462" s="15" t="str">
        <x:f>IF(OR(B462="",E462&lt;=0),"Evidence missing / not eligible",IF(ISNUMBER(SEARCH("priority TBD",Y462)),"Evidence missing / not eligible",IF(AND(H462="Carryover",NOT(ISNUMBER(F462))),"Evidence missing / not eligible",IF(AND(H462="Carryover",G462&lt;'Scenario Controls'!$B$16),"Evidence missing / not eligible",IF(AND(H462="ROI-Based Portfolio",NOT(ISNUMBER(F462))),"Evidence missing / not eligible",IF(AND(H462="ROI-Based Portfolio",O462&lt;'Scenario Controls'!$B$20),"Evidence missing / not eligible","Eligible"))))))</x:f>
        <x:v>Evidence missing / not eligible</x:v>
      </x:c>
      <x:c r="Q462" s="19" t="n">
        <x:f>IF(P462&lt;&gt;"Eligible",0,IF(AND(SUMIFS($Q$5:Q461,$H$5:H461,H462)+E462&lt;=(IF(H462="LFR",'Scenario Controls'!$F$10,IF(H462="Sustain Engineering",'Scenario Controls'!$F$11,IF(H462="Hygiene",'Scenario Controls'!$F$12,1E+99))))*(1+'Scenario Controls'!$B$7),SUM($Q$5:Q461)+E462&lt;='Scenario Controls'!$B$6*(1+'Scenario Controls'!$B$7)),E462,0))</x:f>
        <x:v>0</x:v>
      </x:c>
      <x:c r="R462" s="24" t="str">
        <x:f>'BU Conference'!G284</x:f>
        <x:v>Automatic</x:v>
      </x:c>
      <x:c r="S462" s="24" t="str">
        <x:f>'BU Conference'!H284</x:f>
      </x:c>
      <x:c r="T462" s="19" t="n">
        <x:f>IF(R462="Exclude",0,IF(R462="Include",E462,Q462))</x:f>
        <x:v>0</x:v>
      </x:c>
      <x:c r="U462" s="15" t="str">
        <x:f>IF(T462&gt;0,"Funded",IF(P462="Eligible","Unfunded",P462))</x:f>
        <x:v>Evidence missing / not eligible</x:v>
      </x:c>
      <x:c r="V462" s="15" t="str">
        <x:f>IF(R462="Include","Conference inclusion: "&amp;S462,IF(R462="Exclude","Conference exclusion: "&amp;S462,IF(Q462&gt;0,H462&amp;" priority rank "&amp;I462&amp;"; whole initiative selected",P462)))</x:f>
        <x:v>Evidence missing / not eligible</x:v>
      </x:c>
      <x:c r="W462" s="15" t="str">
        <x:v>Bu!541</x:v>
      </x:c>
      <x:c r="X462" s="15" t="str">
        <x:v>HEALTHY</x:v>
      </x:c>
      <x:c r="Y462" s="15" t="str">
        <x:v>HEALTHY — Rank in priority matrix</x:v>
      </x:c>
      <x:c r="Z462" s="15" t="str">
        <x:v>New Feature</x:v>
      </x:c>
      <x:c r="AA462" s="15" t="str">
        <x:v>New Initiative</x:v>
      </x:c>
      <x:c r="AB462" s="15" t="str">
        <x:v>Integrated Supply Chain &amp; Finance</x:v>
      </x:c>
      <x:c r="AC462" s="15" t="str"/>
      <x:c r="AD462" s="15" t="str">
        <x:v>sales of Commercial off the shelf productivity</x:v>
      </x:c>
      <x:c r="AE462" s="15" t="str">
        <x:v>introduce vitual factory / third-party-payer model</x:v>
      </x:c>
      <x:c r="AF462" s="15" t="str">
        <x:v>sales of Commercial off the shelf productivity | introduce vitual factory / third-party-payer model</x:v>
      </x:c>
      <x:c r="AG462" s="15" t="str">
        <x:v>Deprioritised</x:v>
      </x:c>
      <x:c r="AH462" s="15" t="n">
        <x:v>419</x:v>
      </x:c>
    </x:row>
    <x:row r="463">
      <x:c r="A463" s="15" t="str">
        <x:v>Bu-136</x:v>
      </x:c>
      <x:c r="B463" s="15" t="str">
        <x:v>Commercial Excellence Program - GtM and Channel CRM</x:v>
      </x:c>
      <x:c r="C463" s="15" t="str">
        <x:v>BU Led</x:v>
      </x:c>
      <x:c r="D463" s="15" t="str">
        <x:v>Enterprise Informatics (EI)</x:v>
      </x:c>
      <x:c r="E463" s="19" t="n">
        <x:v>0.2</x:v>
      </x:c>
      <x:c r="F463" s="19" t="n">
        <x:v>0</x:v>
      </x:c>
      <x:c r="G463" s="22" t="n">
        <x:f>IF(AND(E463&gt;0,ISNUMBER(F463)),F463/E463,"")</x:f>
        <x:v>0</x:v>
      </x:c>
      <x:c r="H463" s="15" t="str">
        <x:v>ROI-Based Portfolio</x:v>
      </x:c>
      <x:c r="I463" s="15" t="n">
        <x:v>161</x:v>
      </x:c>
      <x:c r="J463" s="15" t="n">
        <x:v>0</x:v>
      </x:c>
      <x:c r="K463" s="23" t="n">
        <x:f>IF(G463="",0,IF(G463&lt;1,0,IF(G463&lt;2,20,IF(G463&lt;3,30,IF(G463&lt;5,40,50)))))*'Scenario Controls'!$B$22/50</x:f>
        <x:v>0</x:v>
      </x:c>
      <x:c r="L463" s="23" t="n">
        <x:f>IF(ISNUMBER(SEARCH("Must Do",AG463)),25,IF(ISNUMBER(SEARCH("Must Have",AG463)),18,IF(ISNUMBER(SEARCH("Deprior",AG463)),5,0)))*'Scenario Controls'!$B$23/25</x:f>
        <x:v>18</x:v>
      </x:c>
      <x:c r="M463" s="23" t="n">
        <x:f>J463*'Scenario Controls'!$B$24/15</x:f>
        <x:v>0</x:v>
      </x:c>
      <x:c r="N463" s="23" t="n">
        <x:f>IF(ISNUMBER(SEARCH("HEALTHY",X463)),10,IF(ISNUMBER(SEARCH("CONTAIN",X463)),6,0))*'Scenario Controls'!$B$25/10</x:f>
        <x:v>0</x:v>
      </x:c>
      <x:c r="O463" s="23" t="n">
        <x:f>SUM(K463:N463)</x:f>
        <x:v>18</x:v>
      </x:c>
      <x:c r="P463" s="15" t="str">
        <x:f>IF(OR(B463="",E463&lt;=0),"Evidence missing / not eligible",IF(ISNUMBER(SEARCH("priority TBD",Y463)),"Evidence missing / not eligible",IF(AND(H463="Carryover",NOT(ISNUMBER(F463))),"Evidence missing / not eligible",IF(AND(H463="Carryover",G463&lt;'Scenario Controls'!$B$16),"Evidence missing / not eligible",IF(AND(H463="ROI-Based Portfolio",NOT(ISNUMBER(F463))),"Evidence missing / not eligible",IF(AND(H463="ROI-Based Portfolio",O463&lt;'Scenario Controls'!$B$20),"Evidence missing / not eligible","Eligible"))))))</x:f>
        <x:v>Evidence missing / not eligible</x:v>
      </x:c>
      <x:c r="Q463" s="19" t="n">
        <x:f>IF(P463&lt;&gt;"Eligible",0,IF(AND(SUMIFS($Q$5:Q462,$H$5:H462,H463)+E463&lt;=(IF(H463="LFR",'Scenario Controls'!$F$10,IF(H463="Sustain Engineering",'Scenario Controls'!$F$11,IF(H463="Hygiene",'Scenario Controls'!$F$12,1E+99))))*(1+'Scenario Controls'!$B$7),SUM($Q$5:Q462)+E463&lt;='Scenario Controls'!$B$6*(1+'Scenario Controls'!$B$7)),E463,0))</x:f>
        <x:v>0</x:v>
      </x:c>
      <x:c r="R463" s="24" t="str">
        <x:f>'BU Conference'!G285</x:f>
        <x:v>Automatic</x:v>
      </x:c>
      <x:c r="S463" s="24" t="str">
        <x:f>'BU Conference'!H285</x:f>
      </x:c>
      <x:c r="T463" s="19" t="n">
        <x:f>IF(R463="Exclude",0,IF(R463="Include",E463,Q463))</x:f>
        <x:v>0</x:v>
      </x:c>
      <x:c r="U463" s="15" t="str">
        <x:f>IF(T463&gt;0,"Funded",IF(P463="Eligible","Unfunded",P463))</x:f>
        <x:v>Evidence missing / not eligible</x:v>
      </x:c>
      <x:c r="V463" s="15" t="str">
        <x:f>IF(R463="Include","Conference inclusion: "&amp;S463,IF(R463="Exclude","Conference exclusion: "&amp;S463,IF(Q463&gt;0,H463&amp;" priority rank "&amp;I463&amp;"; whole initiative selected",P463)))</x:f>
        <x:v>Evidence missing / not eligible</x:v>
      </x:c>
      <x:c r="W463" s="15" t="str">
        <x:v>Bu!331</x:v>
      </x:c>
      <x:c r="X463" s="15" t="str"/>
      <x:c r="Y463" s="15" t="str"/>
      <x:c r="Z463" s="15" t="str">
        <x:v>New Feature</x:v>
      </x:c>
      <x:c r="AA463" s="15" t="str">
        <x:v>New Initiative</x:v>
      </x:c>
      <x:c r="AB463" s="15" t="str">
        <x:v>Commercial IT</x:v>
      </x:c>
      <x:c r="AC463" s="15" t="str"/>
      <x:c r="AD463" s="15" t="str"/>
      <x:c r="AE463" s="15" t="str"/>
      <x:c r="AF463" s="15" t="str"/>
      <x:c r="AG463" s="15" t="str">
        <x:v>Must Have</x:v>
      </x:c>
      <x:c r="AH463" s="15" t="n">
        <x:v>313</x:v>
      </x:c>
    </x:row>
    <x:row r="464">
      <x:c r="A464" s="15" t="str">
        <x:v>Bu-267</x:v>
      </x:c>
      <x:c r="B464" s="15" t="str">
        <x:v>HPM Impact Dashboard &amp; AI</x:v>
      </x:c>
      <x:c r="C464" s="15" t="str">
        <x:v>BU Led</x:v>
      </x:c>
      <x:c r="D464" s="15" t="str">
        <x:v>Monitoring - HPM (MCH)</x:v>
      </x:c>
      <x:c r="E464" s="19" t="n">
        <x:v>0.1</x:v>
      </x:c>
      <x:c r="F464" s="19" t="n">
        <x:v>0</x:v>
      </x:c>
      <x:c r="G464" s="22" t="n">
        <x:f>IF(AND(E464&gt;0,ISNUMBER(F464)),F464/E464,"")</x:f>
        <x:v>0</x:v>
      </x:c>
      <x:c r="H464" s="15" t="str">
        <x:v>ROI-Based Portfolio</x:v>
      </x:c>
      <x:c r="I464" s="15" t="n">
        <x:v>162</x:v>
      </x:c>
      <x:c r="J464" s="15" t="n">
        <x:v>0</x:v>
      </x:c>
      <x:c r="K464" s="23" t="n">
        <x:f>IF(G464="",0,IF(G464&lt;1,0,IF(G464&lt;2,20,IF(G464&lt;3,30,IF(G464&lt;5,40,50)))))*'Scenario Controls'!$B$22/50</x:f>
        <x:v>0</x:v>
      </x:c>
      <x:c r="L464" s="23" t="n">
        <x:f>IF(ISNUMBER(SEARCH("Must Do",AG464)),25,IF(ISNUMBER(SEARCH("Must Have",AG464)),18,IF(ISNUMBER(SEARCH("Deprior",AG464)),5,0)))*'Scenario Controls'!$B$23/25</x:f>
        <x:v>18</x:v>
      </x:c>
      <x:c r="M464" s="23" t="n">
        <x:f>J464*'Scenario Controls'!$B$24/15</x:f>
        <x:v>0</x:v>
      </x:c>
      <x:c r="N464" s="23" t="n">
        <x:f>IF(ISNUMBER(SEARCH("HEALTHY",X464)),10,IF(ISNUMBER(SEARCH("CONTAIN",X464)),6,0))*'Scenario Controls'!$B$25/10</x:f>
        <x:v>0</x:v>
      </x:c>
      <x:c r="O464" s="23" t="n">
        <x:f>SUM(K464:N464)</x:f>
        <x:v>18</x:v>
      </x:c>
      <x:c r="P464" s="15" t="str">
        <x:f>IF(OR(B464="",E464&lt;=0),"Evidence missing / not eligible",IF(ISNUMBER(SEARCH("priority TBD",Y464)),"Evidence missing / not eligible",IF(AND(H464="Carryover",NOT(ISNUMBER(F464))),"Evidence missing / not eligible",IF(AND(H464="Carryover",G464&lt;'Scenario Controls'!$B$16),"Evidence missing / not eligible",IF(AND(H464="ROI-Based Portfolio",NOT(ISNUMBER(F464))),"Evidence missing / not eligible",IF(AND(H464="ROI-Based Portfolio",O464&lt;'Scenario Controls'!$B$20),"Evidence missing / not eligible","Eligible"))))))</x:f>
        <x:v>Evidence missing / not eligible</x:v>
      </x:c>
      <x:c r="Q464" s="19" t="n">
        <x:f>IF(P464&lt;&gt;"Eligible",0,IF(AND(SUMIFS($Q$5:Q463,$H$5:H463,H464)+E464&lt;=(IF(H464="LFR",'Scenario Controls'!$F$10,IF(H464="Sustain Engineering",'Scenario Controls'!$F$11,IF(H464="Hygiene",'Scenario Controls'!$F$12,1E+99))))*(1+'Scenario Controls'!$B$7),SUM($Q$5:Q463)+E464&lt;='Scenario Controls'!$B$6*(1+'Scenario Controls'!$B$7)),E464,0))</x:f>
        <x:v>0</x:v>
      </x:c>
      <x:c r="R464" s="24" t="str">
        <x:f>'BU Conference'!G286</x:f>
        <x:v>Automatic</x:v>
      </x:c>
      <x:c r="S464" s="24" t="str">
        <x:f>'BU Conference'!H286</x:f>
      </x:c>
      <x:c r="T464" s="19" t="n">
        <x:f>IF(R464="Exclude",0,IF(R464="Include",E464,Q464))</x:f>
        <x:v>0</x:v>
      </x:c>
      <x:c r="U464" s="15" t="str">
        <x:f>IF(T464&gt;0,"Funded",IF(P464="Eligible","Unfunded",P464))</x:f>
        <x:v>Evidence missing / not eligible</x:v>
      </x:c>
      <x:c r="V464" s="15" t="str">
        <x:f>IF(R464="Include","Conference inclusion: "&amp;S464,IF(R464="Exclude","Conference exclusion: "&amp;S464,IF(Q464&gt;0,H464&amp;" priority rank "&amp;I464&amp;"; whole initiative selected",P464)))</x:f>
        <x:v>Evidence missing / not eligible</x:v>
      </x:c>
      <x:c r="W464" s="15" t="str">
        <x:v>Bu!575</x:v>
      </x:c>
      <x:c r="X464" s="15" t="str"/>
      <x:c r="Y464" s="15" t="str"/>
      <x:c r="Z464" s="15" t="str">
        <x:v>New Feature</x:v>
      </x:c>
      <x:c r="AA464" s="15" t="str">
        <x:v>New Initiative</x:v>
      </x:c>
      <x:c r="AB464" s="15" t="str">
        <x:v>Enterprise Architecture, Data &amp; Integration</x:v>
      </x:c>
      <x:c r="AC464" s="15" t="str"/>
      <x:c r="AD464" s="15" t="str"/>
      <x:c r="AE464" s="15" t="str"/>
      <x:c r="AF464" s="15" t="str"/>
      <x:c r="AG464" s="15" t="str">
        <x:v>Must Have</x:v>
      </x:c>
      <x:c r="AH464" s="15" t="n">
        <x:v>446</x:v>
      </x:c>
    </x:row>
    <x:row r="465">
      <x:c r="A465" s="15" t="str">
        <x:v>Bu-309</x:v>
      </x:c>
      <x:c r="B465" s="15" t="str">
        <x:v>KSA (SA11) New 3PL Partner Project</x:v>
      </x:c>
      <x:c r="C465" s="15" t="str">
        <x:v>BU Led</x:v>
      </x:c>
      <x:c r="D465" s="15" t="str">
        <x:v>Personal Health (PH)</x:v>
      </x:c>
      <x:c r="E465" s="19" t="n">
        <x:v>0.669</x:v>
      </x:c>
      <x:c r="F465" s="19" t="n">
        <x:v>0</x:v>
      </x:c>
      <x:c r="G465" s="22" t="n">
        <x:f>IF(AND(E465&gt;0,ISNUMBER(F465)),F465/E465,"")</x:f>
        <x:v>0</x:v>
      </x:c>
      <x:c r="H465" s="15" t="str">
        <x:v>ROI-Based Portfolio</x:v>
      </x:c>
      <x:c r="I465" s="15" t="n">
        <x:v>163</x:v>
      </x:c>
      <x:c r="J465" s="15" t="n">
        <x:v>0</x:v>
      </x:c>
      <x:c r="K465" s="23" t="n">
        <x:f>IF(G465="",0,IF(G465&lt;1,0,IF(G465&lt;2,20,IF(G465&lt;3,30,IF(G465&lt;5,40,50)))))*'Scenario Controls'!$B$22/50</x:f>
        <x:v>0</x:v>
      </x:c>
      <x:c r="L465" s="23" t="n">
        <x:f>IF(ISNUMBER(SEARCH("Must Do",AG465)),25,IF(ISNUMBER(SEARCH("Must Have",AG465)),18,IF(ISNUMBER(SEARCH("Deprior",AG465)),5,0)))*'Scenario Controls'!$B$23/25</x:f>
        <x:v>18</x:v>
      </x:c>
      <x:c r="M465" s="23" t="n">
        <x:f>J465*'Scenario Controls'!$B$24/15</x:f>
        <x:v>0</x:v>
      </x:c>
      <x:c r="N465" s="23" t="n">
        <x:f>IF(ISNUMBER(SEARCH("HEALTHY",X465)),10,IF(ISNUMBER(SEARCH("CONTAIN",X465)),6,0))*'Scenario Controls'!$B$25/10</x:f>
        <x:v>0</x:v>
      </x:c>
      <x:c r="O465" s="23" t="n">
        <x:f>SUM(K465:N465)</x:f>
        <x:v>18</x:v>
      </x:c>
      <x:c r="P465" s="15" t="str">
        <x:f>IF(OR(B465="",E465&lt;=0),"Evidence missing / not eligible",IF(ISNUMBER(SEARCH("priority TBD",Y465)),"Evidence missing / not eligible",IF(AND(H465="Carryover",NOT(ISNUMBER(F465))),"Evidence missing / not eligible",IF(AND(H465="Carryover",G465&lt;'Scenario Controls'!$B$16),"Evidence missing / not eligible",IF(AND(H465="ROI-Based Portfolio",NOT(ISNUMBER(F465))),"Evidence missing / not eligible",IF(AND(H465="ROI-Based Portfolio",O465&lt;'Scenario Controls'!$B$20),"Evidence missing / not eligible","Eligible"))))))</x:f>
        <x:v>Evidence missing / not eligible</x:v>
      </x:c>
      <x:c r="Q465" s="19" t="n">
        <x:f>IF(P465&lt;&gt;"Eligible",0,IF(AND(SUMIFS($Q$5:Q464,$H$5:H464,H465)+E465&lt;=(IF(H465="LFR",'Scenario Controls'!$F$10,IF(H465="Sustain Engineering",'Scenario Controls'!$F$11,IF(H465="Hygiene",'Scenario Controls'!$F$12,1E+99))))*(1+'Scenario Controls'!$B$7),SUM($Q$5:Q464)+E465&lt;='Scenario Controls'!$B$6*(1+'Scenario Controls'!$B$7)),E465,0))</x:f>
        <x:v>0</x:v>
      </x:c>
      <x:c r="R465" s="24" t="str">
        <x:f>'BU Conference'!G287</x:f>
        <x:v>Automatic</x:v>
      </x:c>
      <x:c r="S465" s="24" t="str">
        <x:f>'BU Conference'!H287</x:f>
      </x:c>
      <x:c r="T465" s="19" t="n">
        <x:f>IF(R465="Exclude",0,IF(R465="Include",E465,Q465))</x:f>
        <x:v>0</x:v>
      </x:c>
      <x:c r="U465" s="15" t="str">
        <x:f>IF(T465&gt;0,"Funded",IF(P465="Eligible","Unfunded",P465))</x:f>
        <x:v>Evidence missing / not eligible</x:v>
      </x:c>
      <x:c r="V465" s="15" t="str">
        <x:f>IF(R465="Include","Conference inclusion: "&amp;S465,IF(R465="Exclude","Conference exclusion: "&amp;S465,IF(Q465&gt;0,H465&amp;" priority rank "&amp;I465&amp;"; whole initiative selected",P465)))</x:f>
        <x:v>Evidence missing / not eligible</x:v>
      </x:c>
      <x:c r="W465" s="15" t="str">
        <x:v>Bu!635</x:v>
      </x:c>
      <x:c r="X465" s="15" t="str"/>
      <x:c r="Y465" s="15" t="str"/>
      <x:c r="Z465" s="15" t="str"/>
      <x:c r="AA465" s="15" t="str">
        <x:v>New Initiative</x:v>
      </x:c>
      <x:c r="AB465" s="15" t="str">
        <x:v>Integrated Supply Chain &amp; Finance</x:v>
      </x:c>
      <x:c r="AC465" s="15" t="str"/>
      <x:c r="AD465" s="15" t="str"/>
      <x:c r="AE465" s="15" t="str"/>
      <x:c r="AF465" s="15" t="str"/>
      <x:c r="AG465" s="15" t="str">
        <x:v>Must Have</x:v>
      </x:c>
      <x:c r="AH465" s="15" t="n">
        <x:v>486</x:v>
      </x:c>
    </x:row>
    <x:row r="466">
      <x:c r="A466" s="15" t="str">
        <x:v>EW-166</x:v>
      </x:c>
      <x:c r="B466" s="15" t="str">
        <x:v>WeComm implementation &amp; AI analysis (official wechat platform to derisk IP leakage and security violation) for GCR</x:v>
      </x:c>
      <x:c r="C466" s="15" t="str">
        <x:v>EW Led</x:v>
      </x:c>
      <x:c r="D466" s="15" t="str">
        <x:v>Group Security</x:v>
      </x:c>
      <x:c r="E466" s="19" t="n">
        <x:v>0.1</x:v>
      </x:c>
      <x:c r="F466" s="19" t="n">
        <x:v>0</x:v>
      </x:c>
      <x:c r="G466" s="22" t="n">
        <x:f>IF(AND(E466&gt;0,ISNUMBER(F466)),F466/E466,"")</x:f>
        <x:v>0</x:v>
      </x:c>
      <x:c r="H466" s="15" t="str">
        <x:v>ROI-Based Portfolio</x:v>
      </x:c>
      <x:c r="I466" s="15" t="n">
        <x:v>164</x:v>
      </x:c>
      <x:c r="J466" s="15" t="n">
        <x:v>15</x:v>
      </x:c>
      <x:c r="K466" s="23" t="n">
        <x:f>IF(G466="",0,IF(G466&lt;1,0,IF(G466&lt;2,20,IF(G466&lt;3,30,IF(G466&lt;5,40,50)))))*'Scenario Controls'!$B$22/50</x:f>
        <x:v>0</x:v>
      </x:c>
      <x:c r="L466" s="23" t="n">
        <x:f>IF(ISNUMBER(SEARCH("Must Do",AG466)),25,IF(ISNUMBER(SEARCH("Must Have",AG466)),18,IF(ISNUMBER(SEARCH("Deprior",AG466)),5,0)))*'Scenario Controls'!$B$23/25</x:f>
        <x:v>0</x:v>
      </x:c>
      <x:c r="M466" s="23" t="n">
        <x:f>J466*'Scenario Controls'!$B$24/15</x:f>
        <x:v>15</x:v>
      </x:c>
      <x:c r="N466" s="23" t="n">
        <x:f>IF(ISNUMBER(SEARCH("HEALTHY",X466)),10,IF(ISNUMBER(SEARCH("CONTAIN",X466)),6,0))*'Scenario Controls'!$B$25/10</x:f>
        <x:v>0</x:v>
      </x:c>
      <x:c r="O466" s="23" t="n">
        <x:f>SUM(K466:N466)</x:f>
        <x:v>15</x:v>
      </x:c>
      <x:c r="P466" s="15" t="str">
        <x:f>IF(OR(B466="",E466&lt;=0),"Evidence missing / not eligible",IF(ISNUMBER(SEARCH("priority TBD",Y466)),"Evidence missing / not eligible",IF(AND(H466="Carryover",NOT(ISNUMBER(F466))),"Evidence missing / not eligible",IF(AND(H466="Carryover",G466&lt;'Scenario Controls'!$B$16),"Evidence missing / not eligible",IF(AND(H466="ROI-Based Portfolio",NOT(ISNUMBER(F466))),"Evidence missing / not eligible",IF(AND(H466="ROI-Based Portfolio",O466&lt;'Scenario Controls'!$B$20),"Evidence missing / not eligible","Eligible"))))))</x:f>
        <x:v>Evidence missing / not eligible</x:v>
      </x:c>
      <x:c r="Q466" s="19" t="n">
        <x:f>IF(P466&lt;&gt;"Eligible",0,IF(AND(SUMIFS($Q$5:Q465,$H$5:H465,H466)+E466&lt;=(IF(H466="LFR",'Scenario Controls'!$F$10,IF(H466="Sustain Engineering",'Scenario Controls'!$F$11,IF(H466="Hygiene",'Scenario Controls'!$F$12,1E+99))))*(1+'Scenario Controls'!$B$7),SUM($Q$5:Q465)+E466&lt;='Scenario Controls'!$B$6*(1+'Scenario Controls'!$B$7)),E466,0))</x:f>
        <x:v>0</x:v>
      </x:c>
      <x:c r="R466" s="24" t="str">
        <x:f>'EW Conference'!G184</x:f>
        <x:v>Automatic</x:v>
      </x:c>
      <x:c r="S466" s="24" t="str">
        <x:f>'EW Conference'!H184</x:f>
      </x:c>
      <x:c r="T466" s="19" t="n">
        <x:f>IF(R466="Exclude",0,IF(R466="Include",E466,Q466))</x:f>
        <x:v>0</x:v>
      </x:c>
      <x:c r="U466" s="15" t="str">
        <x:f>IF(T466&gt;0,"Funded",IF(P466="Eligible","Unfunded",P466))</x:f>
        <x:v>Evidence missing / not eligible</x:v>
      </x:c>
      <x:c r="V466" s="15" t="str">
        <x:f>IF(R466="Include","Conference inclusion: "&amp;S466,IF(R466="Exclude","Conference exclusion: "&amp;S466,IF(Q466&gt;0,H466&amp;" priority rank "&amp;I466&amp;"; whole initiative selected",P466)))</x:f>
        <x:v>Evidence missing / not eligible</x:v>
      </x:c>
      <x:c r="W466" s="15" t="str">
        <x:v>EW!162</x:v>
      </x:c>
      <x:c r="X466" s="15" t="str"/>
      <x:c r="Y466" s="15" t="str"/>
      <x:c r="Z466" s="15" t="str">
        <x:v>Legal Fiscal, Regulatory &amp; Compliancy</x:v>
      </x:c>
      <x:c r="AA466" s="15" t="str">
        <x:v>New Initiative</x:v>
      </x:c>
      <x:c r="AB466" s="15" t="str">
        <x:v>IT-Security,Risk&amp;Compliance</x:v>
      </x:c>
      <x:c r="AC466" s="15" t="str">
        <x:v>Severe IP &amp; security risk associated with use of wechat, need an enterprise solution that provide better security guiderail</x:v>
      </x:c>
      <x:c r="AD466" s="15" t="str">
        <x:v>Usage of private/pesonal wechat in Sales and Field Service, PH and other functions exposed risk in Data &amp; IP</x:v>
      </x:c>
      <x:c r="AE466" s="15" t="str">
        <x:v>Using WeCom (enterprise Wechat provided by Tecent for better security monitoring, prevention and company data continuity), annual fee + operations reqruied post one time setup cost. Also combine this with effort for AI enabled security scan/analysis</x:v>
      </x:c>
      <x:c r="AF466" s="15" t="str">
        <x:v>Severe IP &amp; security risk associated with use of wechat, need an enterprise solution that provide better security guiderail | Usage of private/pesonal wechat in Sales and Field Service, PH and other functions exposed risk in Data &amp; IP | Using WeCom (enterprise Wechat provided by Tecent for better security monitoring, prevention and company data continuity), annual fee + operations reqruied post one time setup cost. Also combine this with effort for AI enabled security scan/analysis</x:v>
      </x:c>
      <x:c r="AG466" s="15" t="str"/>
      <x:c r="AH466" s="15" t="n">
        <x:v>164</x:v>
      </x:c>
    </x:row>
    <x:row r="467">
      <x:c r="A467" s="15" t="str">
        <x:v>Bu-276</x:v>
      </x:c>
      <x:c r="B467" s="15" t="str">
        <x:v>Web - Personalization &amp; orchestration to leverage CDP</x:v>
      </x:c>
      <x:c r="C467" s="15" t="str">
        <x:v>BU Led</x:v>
      </x:c>
      <x:c r="D467" s="15" t="str">
        <x:v>CoE Marketing – HS (former DMEC)</x:v>
      </x:c>
      <x:c r="E467" s="19" t="n">
        <x:v>0.25</x:v>
      </x:c>
      <x:c r="F467" s="19" t="n">
        <x:v>0</x:v>
      </x:c>
      <x:c r="G467" s="22" t="n">
        <x:f>IF(AND(E467&gt;0,ISNUMBER(F467)),F467/E467,"")</x:f>
        <x:v>0</x:v>
      </x:c>
      <x:c r="H467" s="15" t="str">
        <x:v>ROI-Based Portfolio</x:v>
      </x:c>
      <x:c r="I467" s="15" t="n">
        <x:v>165</x:v>
      </x:c>
      <x:c r="J467" s="15" t="n">
        <x:v>5</x:v>
      </x:c>
      <x:c r="K467" s="23" t="n">
        <x:f>IF(G467="",0,IF(G467&lt;1,0,IF(G467&lt;2,20,IF(G467&lt;3,30,IF(G467&lt;5,40,50)))))*'Scenario Controls'!$B$22/50</x:f>
        <x:v>0</x:v>
      </x:c>
      <x:c r="L467" s="23" t="n">
        <x:f>IF(ISNUMBER(SEARCH("Must Do",AG467)),25,IF(ISNUMBER(SEARCH("Must Have",AG467)),18,IF(ISNUMBER(SEARCH("Deprior",AG467)),5,0)))*'Scenario Controls'!$B$23/25</x:f>
        <x:v>5</x:v>
      </x:c>
      <x:c r="M467" s="23" t="n">
        <x:f>J467*'Scenario Controls'!$B$24/15</x:f>
        <x:v>5</x:v>
      </x:c>
      <x:c r="N467" s="23" t="n">
        <x:f>IF(ISNUMBER(SEARCH("HEALTHY",X467)),10,IF(ISNUMBER(SEARCH("CONTAIN",X467)),6,0))*'Scenario Controls'!$B$25/10</x:f>
        <x:v>0</x:v>
      </x:c>
      <x:c r="O467" s="23" t="n">
        <x:f>SUM(K467:N467)</x:f>
        <x:v>10</x:v>
      </x:c>
      <x:c r="P467" s="15" t="str">
        <x:f>IF(OR(B467="",E467&lt;=0),"Evidence missing / not eligible",IF(ISNUMBER(SEARCH("priority TBD",Y467)),"Evidence missing / not eligible",IF(AND(H467="Carryover",NOT(ISNUMBER(F467))),"Evidence missing / not eligible",IF(AND(H467="Carryover",G467&lt;'Scenario Controls'!$B$16),"Evidence missing / not eligible",IF(AND(H467="ROI-Based Portfolio",NOT(ISNUMBER(F467))),"Evidence missing / not eligible",IF(AND(H467="ROI-Based Portfolio",O467&lt;'Scenario Controls'!$B$20),"Evidence missing / not eligible","Eligible"))))))</x:f>
        <x:v>Evidence missing / not eligible</x:v>
      </x:c>
      <x:c r="Q467" s="19" t="n">
        <x:f>IF(P467&lt;&gt;"Eligible",0,IF(AND(SUMIFS($Q$5:Q466,$H$5:H466,H467)+E467&lt;=(IF(H467="LFR",'Scenario Controls'!$F$10,IF(H467="Sustain Engineering",'Scenario Controls'!$F$11,IF(H467="Hygiene",'Scenario Controls'!$F$12,1E+99))))*(1+'Scenario Controls'!$B$7),SUM($Q$5:Q466)+E467&lt;='Scenario Controls'!$B$6*(1+'Scenario Controls'!$B$7)),E467,0))</x:f>
        <x:v>0</x:v>
      </x:c>
      <x:c r="R467" s="24" t="str">
        <x:f>'BU Conference'!G288</x:f>
        <x:v>Automatic</x:v>
      </x:c>
      <x:c r="S467" s="24" t="str">
        <x:f>'BU Conference'!H288</x:f>
      </x:c>
      <x:c r="T467" s="19" t="n">
        <x:f>IF(R467="Exclude",0,IF(R467="Include",E467,Q467))</x:f>
        <x:v>0</x:v>
      </x:c>
      <x:c r="U467" s="15" t="str">
        <x:f>IF(T467&gt;0,"Funded",IF(P467="Eligible","Unfunded",P467))</x:f>
        <x:v>Evidence missing / not eligible</x:v>
      </x:c>
      <x:c r="V467" s="15" t="str">
        <x:f>IF(R467="Include","Conference inclusion: "&amp;S467,IF(R467="Exclude","Conference exclusion: "&amp;S467,IF(Q467&gt;0,H467&amp;" priority rank "&amp;I467&amp;"; whole initiative selected",P467)))</x:f>
        <x:v>Evidence missing / not eligible</x:v>
      </x:c>
      <x:c r="W467" s="15" t="str">
        <x:v>Bu!584</x:v>
      </x:c>
      <x:c r="X467" s="15" t="str"/>
      <x:c r="Y467" s="15" t="str"/>
      <x:c r="Z467" s="15" t="str">
        <x:v>New Feature</x:v>
      </x:c>
      <x:c r="AA467" s="15" t="str">
        <x:v>New Initiative</x:v>
      </x:c>
      <x:c r="AB467" s="15" t="str">
        <x:v>Innovation and Digital IT</x:v>
      </x:c>
      <x:c r="AC467" s="15" t="str">
        <x:v>Improved on-site experience and increase in MQLs and opp value - slow decline in web metrics without improvement</x:v>
      </x:c>
      <x:c r="AD467" s="15" t="str">
        <x:v>There are modern features available within the Contentful platform that sync with our upcoming CDP that should be activated to provide a bette user experience and deliver stronger web performance</x:v>
      </x:c>
      <x:c r="AE467" s="15" t="str">
        <x:v>Configuration of front-end to support personalized/templatized experiences based upon a needed integration with CDP</x:v>
      </x:c>
      <x:c r="AF467" s="15" t="str">
        <x:v>Improved on-site experience and increase in MQLs and opp value - slow decline in web metrics without improvement | There are modern features available within the Contentful platform that sync with our upcoming CDP that should be activated to provide a bette user experience and deliver stronger web performance | Configuration of front-end to support personalized/templatized experiences based upon a needed integration with CDP</x:v>
      </x:c>
      <x:c r="AG467" s="15" t="str">
        <x:v>Deprioritised</x:v>
      </x:c>
      <x:c r="AH467" s="15" t="n">
        <x:v>455</x:v>
      </x:c>
    </x:row>
    <x:row r="468">
      <x:c r="A468" s="15" t="str">
        <x:v>Bu-214</x:v>
      </x:c>
      <x:c r="B468" s="15" t="str">
        <x:v>Early Skills Validation in SMAX</x:v>
      </x:c>
      <x:c r="C468" s="15" t="str">
        <x:v>BU Led</x:v>
      </x:c>
      <x:c r="D468" s="15" t="str">
        <x:v>Monitoring - HPM (MCH)</x:v>
      </x:c>
      <x:c r="E468" s="19" t="n">
        <x:v>0.25</x:v>
      </x:c>
      <x:c r="F468" s="19" t="n">
        <x:v>0</x:v>
      </x:c>
      <x:c r="G468" s="22" t="n">
        <x:f>IF(AND(E468&gt;0,ISNUMBER(F468)),F468/E468,"")</x:f>
        <x:v>0</x:v>
      </x:c>
      <x:c r="H468" s="15" t="str">
        <x:v>ROI-Based Portfolio</x:v>
      </x:c>
      <x:c r="I468" s="15" t="n">
        <x:v>166</x:v>
      </x:c>
      <x:c r="J468" s="15" t="n">
        <x:v>0</x:v>
      </x:c>
      <x:c r="K468" s="23" t="n">
        <x:f>IF(G468="",0,IF(G468&lt;1,0,IF(G468&lt;2,20,IF(G468&lt;3,30,IF(G468&lt;5,40,50)))))*'Scenario Controls'!$B$22/50</x:f>
        <x:v>0</x:v>
      </x:c>
      <x:c r="L468" s="23" t="n">
        <x:f>IF(ISNUMBER(SEARCH("Must Do",AG468)),25,IF(ISNUMBER(SEARCH("Must Have",AG468)),18,IF(ISNUMBER(SEARCH("Deprior",AG468)),5,0)))*'Scenario Controls'!$B$23/25</x:f>
        <x:v>0</x:v>
      </x:c>
      <x:c r="M468" s="23" t="n">
        <x:f>J468*'Scenario Controls'!$B$24/15</x:f>
        <x:v>0</x:v>
      </x:c>
      <x:c r="N468" s="23" t="n">
        <x:f>IF(ISNUMBER(SEARCH("HEALTHY",X468)),10,IF(ISNUMBER(SEARCH("CONTAIN",X468)),6,0))*'Scenario Controls'!$B$25/10</x:f>
        <x:v>10</x:v>
      </x:c>
      <x:c r="O468" s="23" t="n">
        <x:f>SUM(K468:N468)</x:f>
        <x:v>10</x:v>
      </x:c>
      <x:c r="P468" s="15" t="str">
        <x:f>IF(OR(B468="",E468&lt;=0),"Evidence missing / not eligible",IF(ISNUMBER(SEARCH("priority TBD",Y468)),"Evidence missing / not eligible",IF(AND(H468="Carryover",NOT(ISNUMBER(F468))),"Evidence missing / not eligible",IF(AND(H468="Carryover",G468&lt;'Scenario Controls'!$B$16),"Evidence missing / not eligible",IF(AND(H468="ROI-Based Portfolio",NOT(ISNUMBER(F468))),"Evidence missing / not eligible",IF(AND(H468="ROI-Based Portfolio",O468&lt;'Scenario Controls'!$B$20),"Evidence missing / not eligible","Eligible"))))))</x:f>
        <x:v>Evidence missing / not eligible</x:v>
      </x:c>
      <x:c r="Q468" s="19" t="n">
        <x:f>IF(P468&lt;&gt;"Eligible",0,IF(AND(SUMIFS($Q$5:Q467,$H$5:H467,H468)+E468&lt;=(IF(H468="LFR",'Scenario Controls'!$F$10,IF(H468="Sustain Engineering",'Scenario Controls'!$F$11,IF(H468="Hygiene",'Scenario Controls'!$F$12,1E+99))))*(1+'Scenario Controls'!$B$7),SUM($Q$5:Q467)+E468&lt;='Scenario Controls'!$B$6*(1+'Scenario Controls'!$B$7)),E468,0))</x:f>
        <x:v>0</x:v>
      </x:c>
      <x:c r="R468" s="24" t="str">
        <x:f>'BU Conference'!G289</x:f>
        <x:v>Automatic</x:v>
      </x:c>
      <x:c r="S468" s="24" t="str">
        <x:f>'BU Conference'!H289</x:f>
      </x:c>
      <x:c r="T468" s="19" t="n">
        <x:f>IF(R468="Exclude",0,IF(R468="Include",E468,Q468))</x:f>
        <x:v>0</x:v>
      </x:c>
      <x:c r="U468" s="15" t="str">
        <x:f>IF(T468&gt;0,"Funded",IF(P468="Eligible","Unfunded",P468))</x:f>
        <x:v>Evidence missing / not eligible</x:v>
      </x:c>
      <x:c r="V468" s="15" t="str">
        <x:f>IF(R468="Include","Conference inclusion: "&amp;S468,IF(R468="Exclude","Conference exclusion: "&amp;S468,IF(Q468&gt;0,H468&amp;" priority rank "&amp;I468&amp;"; whole initiative selected",P468)))</x:f>
        <x:v>Evidence missing / not eligible</x:v>
      </x:c>
      <x:c r="W468" s="15" t="str">
        <x:v>Bu!507</x:v>
      </x:c>
      <x:c r="X468" s="15" t="str">
        <x:v>HEALTHY</x:v>
      </x:c>
      <x:c r="Y468" s="15" t="str">
        <x:v>HEALTHY — Rank in priority matrix</x:v>
      </x:c>
      <x:c r="Z468" s="15" t="str">
        <x:v>Legal Fiscal, Regulatory &amp; Compliancy</x:v>
      </x:c>
      <x:c r="AA468" s="15" t="str">
        <x:v>New Initiative</x:v>
      </x:c>
      <x:c r="AB468" s="15" t="str">
        <x:v>Services &amp; Solutions IT</x:v>
      </x:c>
      <x:c r="AC468" s="15" t="str"/>
      <x:c r="AD468" s="15" t="str"/>
      <x:c r="AE468" s="15" t="str"/>
      <x:c r="AF468" s="15" t="str"/>
      <x:c r="AG468" s="15" t="str"/>
      <x:c r="AH468" s="15" t="n">
        <x:v>391</x:v>
      </x:c>
    </x:row>
    <x:row r="469">
      <x:c r="A469" s="15" t="str">
        <x:v>Bu-217</x:v>
      </x:c>
      <x:c r="B469" s="15" t="str">
        <x:v>FCO Partner Portal Validations Req</x:v>
      </x:c>
      <x:c r="C469" s="15" t="str">
        <x:v>BU Led</x:v>
      </x:c>
      <x:c r="D469" s="15" t="str">
        <x:v>Monitoring - HPM (MCH)</x:v>
      </x:c>
      <x:c r="E469" s="19" t="n">
        <x:v>0.11</x:v>
      </x:c>
      <x:c r="F469" s="19" t="n">
        <x:v>0</x:v>
      </x:c>
      <x:c r="G469" s="22" t="n">
        <x:f>IF(AND(E469&gt;0,ISNUMBER(F469)),F469/E469,"")</x:f>
        <x:v>0</x:v>
      </x:c>
      <x:c r="H469" s="15" t="str">
        <x:v>ROI-Based Portfolio</x:v>
      </x:c>
      <x:c r="I469" s="15" t="n">
        <x:v>167</x:v>
      </x:c>
      <x:c r="J469" s="15" t="n">
        <x:v>0</x:v>
      </x:c>
      <x:c r="K469" s="23" t="n">
        <x:f>IF(G469="",0,IF(G469&lt;1,0,IF(G469&lt;2,20,IF(G469&lt;3,30,IF(G469&lt;5,40,50)))))*'Scenario Controls'!$B$22/50</x:f>
        <x:v>0</x:v>
      </x:c>
      <x:c r="L469" s="23" t="n">
        <x:f>IF(ISNUMBER(SEARCH("Must Do",AG469)),25,IF(ISNUMBER(SEARCH("Must Have",AG469)),18,IF(ISNUMBER(SEARCH("Deprior",AG469)),5,0)))*'Scenario Controls'!$B$23/25</x:f>
        <x:v>0</x:v>
      </x:c>
      <x:c r="M469" s="23" t="n">
        <x:f>J469*'Scenario Controls'!$B$24/15</x:f>
        <x:v>0</x:v>
      </x:c>
      <x:c r="N469" s="23" t="n">
        <x:f>IF(ISNUMBER(SEARCH("HEALTHY",X469)),10,IF(ISNUMBER(SEARCH("CONTAIN",X469)),6,0))*'Scenario Controls'!$B$25/10</x:f>
        <x:v>10</x:v>
      </x:c>
      <x:c r="O469" s="23" t="n">
        <x:f>SUM(K469:N469)</x:f>
        <x:v>10</x:v>
      </x:c>
      <x:c r="P469" s="15" t="str">
        <x:f>IF(OR(B469="",E469&lt;=0),"Evidence missing / not eligible",IF(ISNUMBER(SEARCH("priority TBD",Y469)),"Evidence missing / not eligible",IF(AND(H469="Carryover",NOT(ISNUMBER(F469))),"Evidence missing / not eligible",IF(AND(H469="Carryover",G469&lt;'Scenario Controls'!$B$16),"Evidence missing / not eligible",IF(AND(H469="ROI-Based Portfolio",NOT(ISNUMBER(F469))),"Evidence missing / not eligible",IF(AND(H469="ROI-Based Portfolio",O469&lt;'Scenario Controls'!$B$20),"Evidence missing / not eligible","Eligible"))))))</x:f>
        <x:v>Evidence missing / not eligible</x:v>
      </x:c>
      <x:c r="Q469" s="19" t="n">
        <x:f>IF(P469&lt;&gt;"Eligible",0,IF(AND(SUMIFS($Q$5:Q468,$H$5:H468,H469)+E469&lt;=(IF(H469="LFR",'Scenario Controls'!$F$10,IF(H469="Sustain Engineering",'Scenario Controls'!$F$11,IF(H469="Hygiene",'Scenario Controls'!$F$12,1E+99))))*(1+'Scenario Controls'!$B$7),SUM($Q$5:Q468)+E469&lt;='Scenario Controls'!$B$6*(1+'Scenario Controls'!$B$7)),E469,0))</x:f>
        <x:v>0</x:v>
      </x:c>
      <x:c r="R469" s="24" t="str">
        <x:f>'BU Conference'!G290</x:f>
        <x:v>Automatic</x:v>
      </x:c>
      <x:c r="S469" s="24" t="str">
        <x:f>'BU Conference'!H290</x:f>
      </x:c>
      <x:c r="T469" s="19" t="n">
        <x:f>IF(R469="Exclude",0,IF(R469="Include",E469,Q469))</x:f>
        <x:v>0</x:v>
      </x:c>
      <x:c r="U469" s="15" t="str">
        <x:f>IF(T469&gt;0,"Funded",IF(P469="Eligible","Unfunded",P469))</x:f>
        <x:v>Evidence missing / not eligible</x:v>
      </x:c>
      <x:c r="V469" s="15" t="str">
        <x:f>IF(R469="Include","Conference inclusion: "&amp;S469,IF(R469="Exclude","Conference exclusion: "&amp;S469,IF(Q469&gt;0,H469&amp;" priority rank "&amp;I469&amp;"; whole initiative selected",P469)))</x:f>
        <x:v>Evidence missing / not eligible</x:v>
      </x:c>
      <x:c r="W469" s="15" t="str">
        <x:v>Bu!510</x:v>
      </x:c>
      <x:c r="X469" s="15" t="str">
        <x:v>HEALTHY</x:v>
      </x:c>
      <x:c r="Y469" s="15" t="str">
        <x:v>HEALTHY — Rank in priority matrix</x:v>
      </x:c>
      <x:c r="Z469" s="15" t="str">
        <x:v>Legal Fiscal, Regulatory &amp; Compliancy</x:v>
      </x:c>
      <x:c r="AA469" s="15" t="str">
        <x:v>New Initiative</x:v>
      </x:c>
      <x:c r="AB469" s="15" t="str">
        <x:v>Services &amp; Solutions IT</x:v>
      </x:c>
      <x:c r="AC469" s="15" t="str"/>
      <x:c r="AD469" s="15" t="str"/>
      <x:c r="AE469" s="15" t="str"/>
      <x:c r="AF469" s="15" t="str"/>
      <x:c r="AG469" s="15" t="str"/>
      <x:c r="AH469" s="15" t="n">
        <x:v>394</x:v>
      </x:c>
    </x:row>
    <x:row r="470">
      <x:c r="A470" s="15" t="str">
        <x:v>Bu-232</x:v>
      </x:c>
      <x:c r="B470" s="15" t="str">
        <x:v>DUPLICATE - Circular Lifecycle Solutions and Spare parts delivery</x:v>
      </x:c>
      <x:c r="C470" s="15" t="str">
        <x:v>BU Led</x:v>
      </x:c>
      <x:c r="D470" s="15" t="str">
        <x:v>Monitoring - HPM (MCH)</x:v>
      </x:c>
      <x:c r="E470" s="19" t="n">
        <x:v>0</x:v>
      </x:c>
      <x:c r="F470" s="19" t="n">
        <x:v>0</x:v>
      </x:c>
      <x:c r="G470" s="22" t="str">
        <x:f>IF(AND(E470&gt;0,ISNUMBER(F470)),F470/E470,"")</x:f>
      </x:c>
      <x:c r="H470" s="15" t="str">
        <x:v>ROI-Based Portfolio</x:v>
      </x:c>
      <x:c r="I470" s="15" t="n">
        <x:v>168</x:v>
      </x:c>
      <x:c r="J470" s="15" t="n">
        <x:v>0</x:v>
      </x:c>
      <x:c r="K470" s="23" t="n">
        <x:f>IF(G470="",0,IF(G470&lt;1,0,IF(G470&lt;2,20,IF(G470&lt;3,30,IF(G470&lt;5,40,50)))))*'Scenario Controls'!$B$22/50</x:f>
        <x:v>0</x:v>
      </x:c>
      <x:c r="L470" s="23" t="n">
        <x:f>IF(ISNUMBER(SEARCH("Must Do",AG470)),25,IF(ISNUMBER(SEARCH("Must Have",AG470)),18,IF(ISNUMBER(SEARCH("Deprior",AG470)),5,0)))*'Scenario Controls'!$B$23/25</x:f>
        <x:v>0</x:v>
      </x:c>
      <x:c r="M470" s="23" t="n">
        <x:f>J470*'Scenario Controls'!$B$24/15</x:f>
        <x:v>0</x:v>
      </x:c>
      <x:c r="N470" s="23" t="n">
        <x:f>IF(ISNUMBER(SEARCH("HEALTHY",X470)),10,IF(ISNUMBER(SEARCH("CONTAIN",X470)),6,0))*'Scenario Controls'!$B$25/10</x:f>
        <x:v>10</x:v>
      </x:c>
      <x:c r="O470" s="23" t="n">
        <x:f>SUM(K470:N470)</x:f>
        <x:v>10</x:v>
      </x:c>
      <x:c r="P470" s="15" t="str">
        <x:f>IF(OR(B470="",E470&lt;=0),"Evidence missing / not eligible",IF(ISNUMBER(SEARCH("priority TBD",Y470)),"Evidence missing / not eligible",IF(AND(H470="Carryover",NOT(ISNUMBER(F470))),"Evidence missing / not eligible",IF(AND(H470="Carryover",G470&lt;'Scenario Controls'!$B$16),"Evidence missing / not eligible",IF(AND(H470="ROI-Based Portfolio",NOT(ISNUMBER(F470))),"Evidence missing / not eligible",IF(AND(H470="ROI-Based Portfolio",O470&lt;'Scenario Controls'!$B$20),"Evidence missing / not eligible","Eligible"))))))</x:f>
        <x:v>Evidence missing / not eligible</x:v>
      </x:c>
      <x:c r="Q470" s="19" t="n">
        <x:f>IF(P470&lt;&gt;"Eligible",0,IF(AND(SUMIFS($Q$5:Q469,$H$5:H469,H470)+E470&lt;=(IF(H470="LFR",'Scenario Controls'!$F$10,IF(H470="Sustain Engineering",'Scenario Controls'!$F$11,IF(H470="Hygiene",'Scenario Controls'!$F$12,1E+99))))*(1+'Scenario Controls'!$B$7),SUM($Q$5:Q469)+E470&lt;='Scenario Controls'!$B$6*(1+'Scenario Controls'!$B$7)),E470,0))</x:f>
        <x:v>0</x:v>
      </x:c>
      <x:c r="R470" s="24" t="str">
        <x:f>'BU Conference'!G291</x:f>
        <x:v>Automatic</x:v>
      </x:c>
      <x:c r="S470" s="24" t="str">
        <x:f>'BU Conference'!H291</x:f>
      </x:c>
      <x:c r="T470" s="19" t="n">
        <x:f>IF(R470="Exclude",0,IF(R470="Include",E470,Q470))</x:f>
        <x:v>0</x:v>
      </x:c>
      <x:c r="U470" s="15" t="str">
        <x:f>IF(T470&gt;0,"Funded",IF(P470="Eligible","Unfunded",P470))</x:f>
        <x:v>Evidence missing / not eligible</x:v>
      </x:c>
      <x:c r="V470" s="15" t="str">
        <x:f>IF(R470="Include","Conference inclusion: "&amp;S470,IF(R470="Exclude","Conference exclusion: "&amp;S470,IF(Q470&gt;0,H470&amp;" priority rank "&amp;I470&amp;"; whole initiative selected",P470)))</x:f>
        <x:v>Evidence missing / not eligible</x:v>
      </x:c>
      <x:c r="W470" s="15" t="str">
        <x:v>Bu!534</x:v>
      </x:c>
      <x:c r="X470" s="15" t="str">
        <x:v>HEALTHY</x:v>
      </x:c>
      <x:c r="Y470" s="15" t="str">
        <x:v>HEALTHY — Rank in priority matrix</x:v>
      </x:c>
      <x:c r="Z470" s="15" t="str">
        <x:v>New Feature</x:v>
      </x:c>
      <x:c r="AA470" s="15" t="str">
        <x:v>New Initiative</x:v>
      </x:c>
      <x:c r="AB470" s="15" t="str">
        <x:v>Integrated Supply Chain &amp; Finance</x:v>
      </x:c>
      <x:c r="AC470" s="15" t="str"/>
      <x:c r="AD470" s="15" t="str"/>
      <x:c r="AE470" s="15" t="str"/>
      <x:c r="AF470" s="15" t="str"/>
      <x:c r="AG470" s="15" t="str"/>
      <x:c r="AH470" s="15" t="n">
        <x:v>412</x:v>
      </x:c>
    </x:row>
    <x:row r="471">
      <x:c r="A471" s="15" t="str">
        <x:v>Bu-233</x:v>
      </x:c>
      <x:c r="B471" s="15" t="str">
        <x:v>PS cloud Capability Development</x:v>
      </x:c>
      <x:c r="C471" s="15" t="str">
        <x:v>BU Led</x:v>
      </x:c>
      <x:c r="D471" s="15" t="str">
        <x:v>Monitoring - HPM (MCH)</x:v>
      </x:c>
      <x:c r="E471" s="19" t="n">
        <x:v>0.25</x:v>
      </x:c>
      <x:c r="F471" s="19" t="n">
        <x:v>0</x:v>
      </x:c>
      <x:c r="G471" s="22" t="n">
        <x:f>IF(AND(E471&gt;0,ISNUMBER(F471)),F471/E471,"")</x:f>
        <x:v>0</x:v>
      </x:c>
      <x:c r="H471" s="15" t="str">
        <x:v>ROI-Based Portfolio</x:v>
      </x:c>
      <x:c r="I471" s="15" t="n">
        <x:v>169</x:v>
      </x:c>
      <x:c r="J471" s="15" t="n">
        <x:v>0</x:v>
      </x:c>
      <x:c r="K471" s="23" t="n">
        <x:f>IF(G471="",0,IF(G471&lt;1,0,IF(G471&lt;2,20,IF(G471&lt;3,30,IF(G471&lt;5,40,50)))))*'Scenario Controls'!$B$22/50</x:f>
        <x:v>0</x:v>
      </x:c>
      <x:c r="L471" s="23" t="n">
        <x:f>IF(ISNUMBER(SEARCH("Must Do",AG471)),25,IF(ISNUMBER(SEARCH("Must Have",AG471)),18,IF(ISNUMBER(SEARCH("Deprior",AG471)),5,0)))*'Scenario Controls'!$B$23/25</x:f>
        <x:v>0</x:v>
      </x:c>
      <x:c r="M471" s="23" t="n">
        <x:f>J471*'Scenario Controls'!$B$24/15</x:f>
        <x:v>0</x:v>
      </x:c>
      <x:c r="N471" s="23" t="n">
        <x:f>IF(ISNUMBER(SEARCH("HEALTHY",X471)),10,IF(ISNUMBER(SEARCH("CONTAIN",X471)),6,0))*'Scenario Controls'!$B$25/10</x:f>
        <x:v>10</x:v>
      </x:c>
      <x:c r="O471" s="23" t="n">
        <x:f>SUM(K471:N471)</x:f>
        <x:v>10</x:v>
      </x:c>
      <x:c r="P471" s="15" t="str">
        <x:f>IF(OR(B471="",E471&lt;=0),"Evidence missing / not eligible",IF(ISNUMBER(SEARCH("priority TBD",Y471)),"Evidence missing / not eligible",IF(AND(H471="Carryover",NOT(ISNUMBER(F471))),"Evidence missing / not eligible",IF(AND(H471="Carryover",G471&lt;'Scenario Controls'!$B$16),"Evidence missing / not eligible",IF(AND(H471="ROI-Based Portfolio",NOT(ISNUMBER(F471))),"Evidence missing / not eligible",IF(AND(H471="ROI-Based Portfolio",O471&lt;'Scenario Controls'!$B$20),"Evidence missing / not eligible","Eligible"))))))</x:f>
        <x:v>Evidence missing / not eligible</x:v>
      </x:c>
      <x:c r="Q471" s="19" t="n">
        <x:f>IF(P471&lt;&gt;"Eligible",0,IF(AND(SUMIFS($Q$5:Q470,$H$5:H470,H471)+E471&lt;=(IF(H471="LFR",'Scenario Controls'!$F$10,IF(H471="Sustain Engineering",'Scenario Controls'!$F$11,IF(H471="Hygiene",'Scenario Controls'!$F$12,1E+99))))*(1+'Scenario Controls'!$B$7),SUM($Q$5:Q470)+E471&lt;='Scenario Controls'!$B$6*(1+'Scenario Controls'!$B$7)),E471,0))</x:f>
        <x:v>0</x:v>
      </x:c>
      <x:c r="R471" s="24" t="str">
        <x:f>'BU Conference'!G292</x:f>
        <x:v>Automatic</x:v>
      </x:c>
      <x:c r="S471" s="24" t="str">
        <x:f>'BU Conference'!H292</x:f>
      </x:c>
      <x:c r="T471" s="19" t="n">
        <x:f>IF(R471="Exclude",0,IF(R471="Include",E471,Q471))</x:f>
        <x:v>0</x:v>
      </x:c>
      <x:c r="U471" s="15" t="str">
        <x:f>IF(T471&gt;0,"Funded",IF(P471="Eligible","Unfunded",P471))</x:f>
        <x:v>Evidence missing / not eligible</x:v>
      </x:c>
      <x:c r="V471" s="15" t="str">
        <x:f>IF(R471="Include","Conference inclusion: "&amp;S471,IF(R471="Exclude","Conference exclusion: "&amp;S471,IF(Q471&gt;0,H471&amp;" priority rank "&amp;I471&amp;"; whole initiative selected",P471)))</x:f>
        <x:v>Evidence missing / not eligible</x:v>
      </x:c>
      <x:c r="W471" s="15" t="str">
        <x:v>Bu!535</x:v>
      </x:c>
      <x:c r="X471" s="15" t="str">
        <x:v>HEALTHY</x:v>
      </x:c>
      <x:c r="Y471" s="15" t="str">
        <x:v>HEALTHY — Rank in priority matrix</x:v>
      </x:c>
      <x:c r="Z471" s="15" t="str">
        <x:v>New Feature</x:v>
      </x:c>
      <x:c r="AA471" s="15" t="str">
        <x:v>New Initiative</x:v>
      </x:c>
      <x:c r="AB471" s="15" t="str">
        <x:v>Services &amp; Solutions IT</x:v>
      </x:c>
      <x:c r="AC471" s="15" t="str"/>
      <x:c r="AD471" s="15" t="str"/>
      <x:c r="AE471" s="15" t="str"/>
      <x:c r="AF471" s="15" t="str"/>
      <x:c r="AG471" s="15" t="str"/>
      <x:c r="AH471" s="15" t="n">
        <x:v>413</x:v>
      </x:c>
    </x:row>
    <x:row r="472">
      <x:c r="A472" s="15" t="str">
        <x:v>Bu-row-516</x:v>
      </x:c>
      <x:c r="B472" s="15" t="str">
        <x:v>Two white label products: NiBP cuff and SPO2 sensor will be added to the portfolio. (100K)</x:v>
      </x:c>
      <x:c r="C472" s="15" t="str">
        <x:v>BU Led</x:v>
      </x:c>
      <x:c r="D472" s="15" t="str"/>
      <x:c r="E472" s="19" t="n">
        <x:v>0</x:v>
      </x:c>
      <x:c r="F472" s="19" t="n">
        <x:v>0</x:v>
      </x:c>
      <x:c r="G472" s="22" t="str">
        <x:f>IF(AND(E472&gt;0,ISNUMBER(F472)),F472/E472,"")</x:f>
      </x:c>
      <x:c r="H472" s="15" t="str">
        <x:v>ROI-Based Portfolio</x:v>
      </x:c>
      <x:c r="I472" s="15" t="n">
        <x:v>170</x:v>
      </x:c>
      <x:c r="J472" s="15" t="n">
        <x:v>0</x:v>
      </x:c>
      <x:c r="K472" s="23" t="n">
        <x:f>IF(G472="",0,IF(G472&lt;1,0,IF(G472&lt;2,20,IF(G472&lt;3,30,IF(G472&lt;5,40,50)))))*'Scenario Controls'!$B$22/50</x:f>
        <x:v>0</x:v>
      </x:c>
      <x:c r="L472" s="23" t="n">
        <x:f>IF(ISNUMBER(SEARCH("Must Do",AG472)),25,IF(ISNUMBER(SEARCH("Must Have",AG472)),18,IF(ISNUMBER(SEARCH("Deprior",AG472)),5,0)))*'Scenario Controls'!$B$23/25</x:f>
        <x:v>0</x:v>
      </x:c>
      <x:c r="M472" s="23" t="n">
        <x:f>J472*'Scenario Controls'!$B$24/15</x:f>
        <x:v>0</x:v>
      </x:c>
      <x:c r="N472" s="23" t="n">
        <x:f>IF(ISNUMBER(SEARCH("HEALTHY",X472)),10,IF(ISNUMBER(SEARCH("CONTAIN",X472)),6,0))*'Scenario Controls'!$B$25/10</x:f>
        <x:v>10</x:v>
      </x:c>
      <x:c r="O472" s="23" t="n">
        <x:f>SUM(K472:N472)</x:f>
        <x:v>10</x:v>
      </x:c>
      <x:c r="P472" s="15" t="str">
        <x:f>IF(OR(B472="",E472&lt;=0),"Evidence missing / not eligible",IF(ISNUMBER(SEARCH("priority TBD",Y472)),"Evidence missing / not eligible",IF(AND(H472="Carryover",NOT(ISNUMBER(F472))),"Evidence missing / not eligible",IF(AND(H472="Carryover",G472&lt;'Scenario Controls'!$B$16),"Evidence missing / not eligible",IF(AND(H472="ROI-Based Portfolio",NOT(ISNUMBER(F472))),"Evidence missing / not eligible",IF(AND(H472="ROI-Based Portfolio",O472&lt;'Scenario Controls'!$B$20),"Evidence missing / not eligible","Eligible"))))))</x:f>
        <x:v>Evidence missing / not eligible</x:v>
      </x:c>
      <x:c r="Q472" s="19" t="n">
        <x:f>IF(P472&lt;&gt;"Eligible",0,IF(AND(SUMIFS($Q$5:Q471,$H$5:H471,H472)+E472&lt;=(IF(H472="LFR",'Scenario Controls'!$F$10,IF(H472="Sustain Engineering",'Scenario Controls'!$F$11,IF(H472="Hygiene",'Scenario Controls'!$F$12,1E+99))))*(1+'Scenario Controls'!$B$7),SUM($Q$5:Q471)+E472&lt;='Scenario Controls'!$B$6*(1+'Scenario Controls'!$B$7)),E472,0))</x:f>
        <x:v>0</x:v>
      </x:c>
      <x:c r="R472" s="24" t="str">
        <x:f>'BU Conference'!G293</x:f>
        <x:v>Automatic</x:v>
      </x:c>
      <x:c r="S472" s="24" t="str">
        <x:f>'BU Conference'!H293</x:f>
      </x:c>
      <x:c r="T472" s="19" t="n">
        <x:f>IF(R472="Exclude",0,IF(R472="Include",E472,Q472))</x:f>
        <x:v>0</x:v>
      </x:c>
      <x:c r="U472" s="15" t="str">
        <x:f>IF(T472&gt;0,"Funded",IF(P472="Eligible","Unfunded",P472))</x:f>
        <x:v>Evidence missing / not eligible</x:v>
      </x:c>
      <x:c r="V472" s="15" t="str">
        <x:f>IF(R472="Include","Conference inclusion: "&amp;S472,IF(R472="Exclude","Conference exclusion: "&amp;S472,IF(Q472&gt;0,H472&amp;" priority rank "&amp;I472&amp;"; whole initiative selected",P472)))</x:f>
        <x:v>Evidence missing / not eligible</x:v>
      </x:c>
      <x:c r="W472" s="15" t="str">
        <x:v>Bu!516</x:v>
      </x:c>
      <x:c r="X472" s="15" t="str">
        <x:v>HEALTHY</x:v>
      </x:c>
      <x:c r="Y472" s="15" t="str">
        <x:v>HEALTHY — Rank in priority matrix</x:v>
      </x:c>
      <x:c r="Z472" s="15" t="str"/>
      <x:c r="AA472" s="15" t="str"/>
      <x:c r="AB472" s="15" t="str"/>
      <x:c r="AC472" s="15" t="str"/>
      <x:c r="AD472" s="15" t="str"/>
      <x:c r="AE472" s="15" t="str"/>
      <x:c r="AF472" s="15" t="str"/>
      <x:c r="AG472" s="15" t="str"/>
      <x:c r="AH472" s="15" t="n">
        <x:v>400</x:v>
      </x:c>
    </x:row>
    <x:row r="473">
      <x:c r="A473" s="15" t="str">
        <x:v>Bu-row-517</x:v>
      </x:c>
      <x:c r="B473" s="15" t="str">
        <x:v>SpO2 Oem business setup (160K)</x:v>
      </x:c>
      <x:c r="C473" s="15" t="str">
        <x:v>BU Led</x:v>
      </x:c>
      <x:c r="D473" s="15" t="str"/>
      <x:c r="E473" s="19" t="n">
        <x:v>0</x:v>
      </x:c>
      <x:c r="F473" s="19" t="n">
        <x:v>0</x:v>
      </x:c>
      <x:c r="G473" s="22" t="str">
        <x:f>IF(AND(E473&gt;0,ISNUMBER(F473)),F473/E473,"")</x:f>
      </x:c>
      <x:c r="H473" s="15" t="str">
        <x:v>ROI-Based Portfolio</x:v>
      </x:c>
      <x:c r="I473" s="15" t="n">
        <x:v>171</x:v>
      </x:c>
      <x:c r="J473" s="15" t="n">
        <x:v>0</x:v>
      </x:c>
      <x:c r="K473" s="23" t="n">
        <x:f>IF(G473="",0,IF(G473&lt;1,0,IF(G473&lt;2,20,IF(G473&lt;3,30,IF(G473&lt;5,40,50)))))*'Scenario Controls'!$B$22/50</x:f>
        <x:v>0</x:v>
      </x:c>
      <x:c r="L473" s="23" t="n">
        <x:f>IF(ISNUMBER(SEARCH("Must Do",AG473)),25,IF(ISNUMBER(SEARCH("Must Have",AG473)),18,IF(ISNUMBER(SEARCH("Deprior",AG473)),5,0)))*'Scenario Controls'!$B$23/25</x:f>
        <x:v>0</x:v>
      </x:c>
      <x:c r="M473" s="23" t="n">
        <x:f>J473*'Scenario Controls'!$B$24/15</x:f>
        <x:v>0</x:v>
      </x:c>
      <x:c r="N473" s="23" t="n">
        <x:f>IF(ISNUMBER(SEARCH("HEALTHY",X473)),10,IF(ISNUMBER(SEARCH("CONTAIN",X473)),6,0))*'Scenario Controls'!$B$25/10</x:f>
        <x:v>10</x:v>
      </x:c>
      <x:c r="O473" s="23" t="n">
        <x:f>SUM(K473:N473)</x:f>
        <x:v>10</x:v>
      </x:c>
      <x:c r="P473" s="15" t="str">
        <x:f>IF(OR(B473="",E473&lt;=0),"Evidence missing / not eligible",IF(ISNUMBER(SEARCH("priority TBD",Y473)),"Evidence missing / not eligible",IF(AND(H473="Carryover",NOT(ISNUMBER(F473))),"Evidence missing / not eligible",IF(AND(H473="Carryover",G473&lt;'Scenario Controls'!$B$16),"Evidence missing / not eligible",IF(AND(H473="ROI-Based Portfolio",NOT(ISNUMBER(F473))),"Evidence missing / not eligible",IF(AND(H473="ROI-Based Portfolio",O473&lt;'Scenario Controls'!$B$20),"Evidence missing / not eligible","Eligible"))))))</x:f>
        <x:v>Evidence missing / not eligible</x:v>
      </x:c>
      <x:c r="Q473" s="19" t="n">
        <x:f>IF(P473&lt;&gt;"Eligible",0,IF(AND(SUMIFS($Q$5:Q472,$H$5:H472,H473)+E473&lt;=(IF(H473="LFR",'Scenario Controls'!$F$10,IF(H473="Sustain Engineering",'Scenario Controls'!$F$11,IF(H473="Hygiene",'Scenario Controls'!$F$12,1E+99))))*(1+'Scenario Controls'!$B$7),SUM($Q$5:Q472)+E473&lt;='Scenario Controls'!$B$6*(1+'Scenario Controls'!$B$7)),E473,0))</x:f>
        <x:v>0</x:v>
      </x:c>
      <x:c r="R473" s="24" t="str">
        <x:f>'BU Conference'!G294</x:f>
        <x:v>Automatic</x:v>
      </x:c>
      <x:c r="S473" s="24" t="str">
        <x:f>'BU Conference'!H294</x:f>
      </x:c>
      <x:c r="T473" s="19" t="n">
        <x:f>IF(R473="Exclude",0,IF(R473="Include",E473,Q473))</x:f>
        <x:v>0</x:v>
      </x:c>
      <x:c r="U473" s="15" t="str">
        <x:f>IF(T473&gt;0,"Funded",IF(P473="Eligible","Unfunded",P473))</x:f>
        <x:v>Evidence missing / not eligible</x:v>
      </x:c>
      <x:c r="V473" s="15" t="str">
        <x:f>IF(R473="Include","Conference inclusion: "&amp;S473,IF(R473="Exclude","Conference exclusion: "&amp;S473,IF(Q473&gt;0,H473&amp;" priority rank "&amp;I473&amp;"; whole initiative selected",P473)))</x:f>
        <x:v>Evidence missing / not eligible</x:v>
      </x:c>
      <x:c r="W473" s="15" t="str">
        <x:v>Bu!517</x:v>
      </x:c>
      <x:c r="X473" s="15" t="str">
        <x:v>HEALTHY</x:v>
      </x:c>
      <x:c r="Y473" s="15" t="str">
        <x:v>HEALTHY — Rank in priority matrix</x:v>
      </x:c>
      <x:c r="Z473" s="15" t="str"/>
      <x:c r="AA473" s="15" t="str"/>
      <x:c r="AB473" s="15" t="str"/>
      <x:c r="AC473" s="15" t="str"/>
      <x:c r="AD473" s="15" t="str"/>
      <x:c r="AE473" s="15" t="str"/>
      <x:c r="AF473" s="15" t="str"/>
      <x:c r="AG473" s="15" t="str"/>
      <x:c r="AH473" s="15" t="n">
        <x:v>401</x:v>
      </x:c>
    </x:row>
    <x:row r="474">
      <x:c r="A474" s="15" t="str">
        <x:v>Bu-78</x:v>
      </x:c>
      <x:c r="B474" s="15" t="str">
        <x:v>(idle)</x:v>
      </x:c>
      <x:c r="C474" s="15" t="str">
        <x:v>BU Led</x:v>
      </x:c>
      <x:c r="D474" s="15" t="str">
        <x:v>International Regions (IR)</x:v>
      </x:c>
      <x:c r="E474" s="19" t="n">
        <x:v>0</x:v>
      </x:c>
      <x:c r="F474" s="19" t="n">
        <x:v>0</x:v>
      </x:c>
      <x:c r="G474" s="22" t="str">
        <x:f>IF(AND(E474&gt;0,ISNUMBER(F474)),F474/E474,"")</x:f>
      </x:c>
      <x:c r="H474" s="15" t="str">
        <x:v>ROI-Based Portfolio</x:v>
      </x:c>
      <x:c r="I474" s="15" t="n">
        <x:v>172</x:v>
      </x:c>
      <x:c r="J474" s="15" t="n">
        <x:v>0</x:v>
      </x:c>
      <x:c r="K474" s="23" t="n">
        <x:f>IF(G474="",0,IF(G474&lt;1,0,IF(G474&lt;2,20,IF(G474&lt;3,30,IF(G474&lt;5,40,50)))))*'Scenario Controls'!$B$22/50</x:f>
        <x:v>0</x:v>
      </x:c>
      <x:c r="L474" s="23" t="n">
        <x:f>IF(ISNUMBER(SEARCH("Must Do",AG474)),25,IF(ISNUMBER(SEARCH("Must Have",AG474)),18,IF(ISNUMBER(SEARCH("Deprior",AG474)),5,0)))*'Scenario Controls'!$B$23/25</x:f>
        <x:v>5</x:v>
      </x:c>
      <x:c r="M474" s="23" t="n">
        <x:f>J474*'Scenario Controls'!$B$24/15</x:f>
        <x:v>0</x:v>
      </x:c>
      <x:c r="N474" s="23" t="n">
        <x:f>IF(ISNUMBER(SEARCH("HEALTHY",X474)),10,IF(ISNUMBER(SEARCH("CONTAIN",X474)),6,0))*'Scenario Controls'!$B$25/10</x:f>
        <x:v>0</x:v>
      </x:c>
      <x:c r="O474" s="23" t="n">
        <x:f>SUM(K474:N474)</x:f>
        <x:v>5</x:v>
      </x:c>
      <x:c r="P474" s="15" t="str">
        <x:f>IF(OR(B474="",E474&lt;=0),"Evidence missing / not eligible",IF(ISNUMBER(SEARCH("priority TBD",Y474)),"Evidence missing / not eligible",IF(AND(H474="Carryover",NOT(ISNUMBER(F474))),"Evidence missing / not eligible",IF(AND(H474="Carryover",G474&lt;'Scenario Controls'!$B$16),"Evidence missing / not eligible",IF(AND(H474="ROI-Based Portfolio",NOT(ISNUMBER(F474))),"Evidence missing / not eligible",IF(AND(H474="ROI-Based Portfolio",O474&lt;'Scenario Controls'!$B$20),"Evidence missing / not eligible","Eligible"))))))</x:f>
        <x:v>Evidence missing / not eligible</x:v>
      </x:c>
      <x:c r="Q474" s="19" t="n">
        <x:f>IF(P474&lt;&gt;"Eligible",0,IF(AND(SUMIFS($Q$5:Q473,$H$5:H473,H474)+E474&lt;=(IF(H474="LFR",'Scenario Controls'!$F$10,IF(H474="Sustain Engineering",'Scenario Controls'!$F$11,IF(H474="Hygiene",'Scenario Controls'!$F$12,1E+99))))*(1+'Scenario Controls'!$B$7),SUM($Q$5:Q473)+E474&lt;='Scenario Controls'!$B$6*(1+'Scenario Controls'!$B$7)),E474,0))</x:f>
        <x:v>0</x:v>
      </x:c>
      <x:c r="R474" s="24" t="str">
        <x:f>'BU Conference'!G295</x:f>
        <x:v>Automatic</x:v>
      </x:c>
      <x:c r="S474" s="24" t="str">
        <x:f>'BU Conference'!H295</x:f>
      </x:c>
      <x:c r="T474" s="19" t="n">
        <x:f>IF(R474="Exclude",0,IF(R474="Include",E474,Q474))</x:f>
        <x:v>0</x:v>
      </x:c>
      <x:c r="U474" s="15" t="str">
        <x:f>IF(T474&gt;0,"Funded",IF(P474="Eligible","Unfunded",P474))</x:f>
        <x:v>Evidence missing / not eligible</x:v>
      </x:c>
      <x:c r="V474" s="15" t="str">
        <x:f>IF(R474="Include","Conference inclusion: "&amp;S474,IF(R474="Exclude","Conference exclusion: "&amp;S474,IF(Q474&gt;0,H474&amp;" priority rank "&amp;I474&amp;"; whole initiative selected",P474)))</x:f>
        <x:v>Evidence missing / not eligible</x:v>
      </x:c>
      <x:c r="W474" s="15" t="str">
        <x:v>Bu!199</x:v>
      </x:c>
      <x:c r="X474" s="15" t="str"/>
      <x:c r="Y474" s="15" t="str"/>
      <x:c r="Z474" s="15" t="str"/>
      <x:c r="AA474" s="15" t="str"/>
      <x:c r="AB474" s="15" t="str"/>
      <x:c r="AC474" s="15" t="str"/>
      <x:c r="AD474" s="15" t="str"/>
      <x:c r="AE474" s="15" t="str"/>
      <x:c r="AF474" s="15" t="str"/>
      <x:c r="AG474" s="15" t="str">
        <x:v>Deprioritised</x:v>
      </x:c>
      <x:c r="AH474" s="15" t="n">
        <x:v>255</x:v>
      </x:c>
    </x:row>
    <x:row r="475">
      <x:c r="A475" s="15" t="str">
        <x:v>Bu-238</x:v>
      </x:c>
      <x:c r="B475" s="15" t="str">
        <x:v>DUPLICATE - Direct Procurement</x:v>
      </x:c>
      <x:c r="C475" s="15" t="str">
        <x:v>BU Led</x:v>
      </x:c>
      <x:c r="D475" s="15" t="str">
        <x:v>Monitoring - HPM (MCH)</x:v>
      </x:c>
      <x:c r="E475" s="19" t="n">
        <x:v>0</x:v>
      </x:c>
      <x:c r="F475" s="19" t="n">
        <x:v>0</x:v>
      </x:c>
      <x:c r="G475" s="22" t="str">
        <x:f>IF(AND(E475&gt;0,ISNUMBER(F475)),F475/E475,"")</x:f>
      </x:c>
      <x:c r="H475" s="15" t="str">
        <x:v>ROI-Based Portfolio</x:v>
      </x:c>
      <x:c r="I475" s="15" t="n">
        <x:v>173</x:v>
      </x:c>
      <x:c r="J475" s="15" t="n">
        <x:v>0</x:v>
      </x:c>
      <x:c r="K475" s="23" t="n">
        <x:f>IF(G475="",0,IF(G475&lt;1,0,IF(G475&lt;2,20,IF(G475&lt;3,30,IF(G475&lt;5,40,50)))))*'Scenario Controls'!$B$22/50</x:f>
        <x:v>0</x:v>
      </x:c>
      <x:c r="L475" s="23" t="n">
        <x:f>IF(ISNUMBER(SEARCH("Must Do",AG475)),25,IF(ISNUMBER(SEARCH("Must Have",AG475)),18,IF(ISNUMBER(SEARCH("Deprior",AG475)),5,0)))*'Scenario Controls'!$B$23/25</x:f>
        <x:v>5</x:v>
      </x:c>
      <x:c r="M475" s="23" t="n">
        <x:f>J475*'Scenario Controls'!$B$24/15</x:f>
        <x:v>0</x:v>
      </x:c>
      <x:c r="N475" s="23" t="n">
        <x:f>IF(ISNUMBER(SEARCH("HEALTHY",X475)),10,IF(ISNUMBER(SEARCH("CONTAIN",X475)),6,0))*'Scenario Controls'!$B$25/10</x:f>
        <x:v>0</x:v>
      </x:c>
      <x:c r="O475" s="23" t="n">
        <x:f>SUM(K475:N475)</x:f>
        <x:v>5</x:v>
      </x:c>
      <x:c r="P475" s="15" t="str">
        <x:f>IF(OR(B475="",E475&lt;=0),"Evidence missing / not eligible",IF(ISNUMBER(SEARCH("priority TBD",Y475)),"Evidence missing / not eligible",IF(AND(H475="Carryover",NOT(ISNUMBER(F475))),"Evidence missing / not eligible",IF(AND(H475="Carryover",G475&lt;'Scenario Controls'!$B$16),"Evidence missing / not eligible",IF(AND(H475="ROI-Based Portfolio",NOT(ISNUMBER(F475))),"Evidence missing / not eligible",IF(AND(H475="ROI-Based Portfolio",O475&lt;'Scenario Controls'!$B$20),"Evidence missing / not eligible","Eligible"))))))</x:f>
        <x:v>Evidence missing / not eligible</x:v>
      </x:c>
      <x:c r="Q475" s="19" t="n">
        <x:f>IF(P475&lt;&gt;"Eligible",0,IF(AND(SUMIFS($Q$5:Q474,$H$5:H474,H475)+E475&lt;=(IF(H475="LFR",'Scenario Controls'!$F$10,IF(H475="Sustain Engineering",'Scenario Controls'!$F$11,IF(H475="Hygiene",'Scenario Controls'!$F$12,1E+99))))*(1+'Scenario Controls'!$B$7),SUM($Q$5:Q474)+E475&lt;='Scenario Controls'!$B$6*(1+'Scenario Controls'!$B$7)),E475,0))</x:f>
        <x:v>0</x:v>
      </x:c>
      <x:c r="R475" s="24" t="str">
        <x:f>'BU Conference'!G296</x:f>
        <x:v>Automatic</x:v>
      </x:c>
      <x:c r="S475" s="24" t="str">
        <x:f>'BU Conference'!H296</x:f>
      </x:c>
      <x:c r="T475" s="19" t="n">
        <x:f>IF(R475="Exclude",0,IF(R475="Include",E475,Q475))</x:f>
        <x:v>0</x:v>
      </x:c>
      <x:c r="U475" s="15" t="str">
        <x:f>IF(T475&gt;0,"Funded",IF(P475="Eligible","Unfunded",P475))</x:f>
        <x:v>Evidence missing / not eligible</x:v>
      </x:c>
      <x:c r="V475" s="15" t="str">
        <x:f>IF(R475="Include","Conference inclusion: "&amp;S475,IF(R475="Exclude","Conference exclusion: "&amp;S475,IF(Q475&gt;0,H475&amp;" priority rank "&amp;I475&amp;"; whole initiative selected",P475)))</x:f>
        <x:v>Evidence missing / not eligible</x:v>
      </x:c>
      <x:c r="W475" s="15" t="str">
        <x:v>Bu!540</x:v>
      </x:c>
      <x:c r="X475" s="15" t="str"/>
      <x:c r="Y475" s="15" t="str"/>
      <x:c r="Z475" s="15" t="str">
        <x:v>New Feature</x:v>
      </x:c>
      <x:c r="AA475" s="15" t="str">
        <x:v>New Initiative</x:v>
      </x:c>
      <x:c r="AB475" s="15" t="str">
        <x:v>Integrated Supply Chain &amp; Finance</x:v>
      </x:c>
      <x:c r="AC475" s="15" t="str"/>
      <x:c r="AD475" s="15" t="str"/>
      <x:c r="AE475" s="15" t="str"/>
      <x:c r="AF475" s="15" t="str"/>
      <x:c r="AG475" s="15" t="str">
        <x:v>Deprioritised</x:v>
      </x:c>
      <x:c r="AH475" s="15" t="n">
        <x:v>418</x:v>
      </x:c>
    </x:row>
    <x:row r="476">
      <x:c r="A476" s="15" t="str">
        <x:v>Bu-291</x:v>
      </x:c>
      <x:c r="B476" s="15" t="str">
        <x:v>AI Simplification &amp; Automation of Sustainability Documentation Workstream</x:v>
      </x:c>
      <x:c r="C476" s="15" t="str">
        <x:v>BU Led</x:v>
      </x:c>
      <x:c r="D476" s="15" t="str">
        <x:v>Personal Health (PH)</x:v>
      </x:c>
      <x:c r="E476" s="19" t="n">
        <x:v>0</x:v>
      </x:c>
      <x:c r="F476" s="19" t="n">
        <x:v>0</x:v>
      </x:c>
      <x:c r="G476" s="22" t="str">
        <x:f>IF(AND(E476&gt;0,ISNUMBER(F476)),F476/E476,"")</x:f>
      </x:c>
      <x:c r="H476" s="15" t="str">
        <x:v>ROI-Based Portfolio</x:v>
      </x:c>
      <x:c r="I476" s="15" t="n">
        <x:v>174</x:v>
      </x:c>
      <x:c r="J476" s="15" t="n">
        <x:v>0</x:v>
      </x:c>
      <x:c r="K476" s="23" t="n">
        <x:f>IF(G476="",0,IF(G476&lt;1,0,IF(G476&lt;2,20,IF(G476&lt;3,30,IF(G476&lt;5,40,50)))))*'Scenario Controls'!$B$22/50</x:f>
        <x:v>0</x:v>
      </x:c>
      <x:c r="L476" s="23" t="n">
        <x:f>IF(ISNUMBER(SEARCH("Must Do",AG476)),25,IF(ISNUMBER(SEARCH("Must Have",AG476)),18,IF(ISNUMBER(SEARCH("Deprior",AG476)),5,0)))*'Scenario Controls'!$B$23/25</x:f>
        <x:v>5</x:v>
      </x:c>
      <x:c r="M476" s="23" t="n">
        <x:f>J476*'Scenario Controls'!$B$24/15</x:f>
        <x:v>0</x:v>
      </x:c>
      <x:c r="N476" s="23" t="n">
        <x:f>IF(ISNUMBER(SEARCH("HEALTHY",X476)),10,IF(ISNUMBER(SEARCH("CONTAIN",X476)),6,0))*'Scenario Controls'!$B$25/10</x:f>
        <x:v>0</x:v>
      </x:c>
      <x:c r="O476" s="23" t="n">
        <x:f>SUM(K476:N476)</x:f>
        <x:v>5</x:v>
      </x:c>
      <x:c r="P476" s="15" t="str">
        <x:f>IF(OR(B476="",E476&lt;=0),"Evidence missing / not eligible",IF(ISNUMBER(SEARCH("priority TBD",Y476)),"Evidence missing / not eligible",IF(AND(H476="Carryover",NOT(ISNUMBER(F476))),"Evidence missing / not eligible",IF(AND(H476="Carryover",G476&lt;'Scenario Controls'!$B$16),"Evidence missing / not eligible",IF(AND(H476="ROI-Based Portfolio",NOT(ISNUMBER(F476))),"Evidence missing / not eligible",IF(AND(H476="ROI-Based Portfolio",O476&lt;'Scenario Controls'!$B$20),"Evidence missing / not eligible","Eligible"))))))</x:f>
        <x:v>Evidence missing / not eligible</x:v>
      </x:c>
      <x:c r="Q476" s="19" t="n">
        <x:f>IF(P476&lt;&gt;"Eligible",0,IF(AND(SUMIFS($Q$5:Q475,$H$5:H475,H476)+E476&lt;=(IF(H476="LFR",'Scenario Controls'!$F$10,IF(H476="Sustain Engineering",'Scenario Controls'!$F$11,IF(H476="Hygiene",'Scenario Controls'!$F$12,1E+99))))*(1+'Scenario Controls'!$B$7),SUM($Q$5:Q475)+E476&lt;='Scenario Controls'!$B$6*(1+'Scenario Controls'!$B$7)),E476,0))</x:f>
        <x:v>0</x:v>
      </x:c>
      <x:c r="R476" s="24" t="str">
        <x:f>'BU Conference'!G297</x:f>
        <x:v>Automatic</x:v>
      </x:c>
      <x:c r="S476" s="24" t="str">
        <x:f>'BU Conference'!H297</x:f>
      </x:c>
      <x:c r="T476" s="19" t="n">
        <x:f>IF(R476="Exclude",0,IF(R476="Include",E476,Q476))</x:f>
        <x:v>0</x:v>
      </x:c>
      <x:c r="U476" s="15" t="str">
        <x:f>IF(T476&gt;0,"Funded",IF(P476="Eligible","Unfunded",P476))</x:f>
        <x:v>Evidence missing / not eligible</x:v>
      </x:c>
      <x:c r="V476" s="15" t="str">
        <x:f>IF(R476="Include","Conference inclusion: "&amp;S476,IF(R476="Exclude","Conference exclusion: "&amp;S476,IF(Q476&gt;0,H476&amp;" priority rank "&amp;I476&amp;"; whole initiative selected",P476)))</x:f>
        <x:v>Evidence missing / not eligible</x:v>
      </x:c>
      <x:c r="W476" s="15" t="str">
        <x:v>Bu!609</x:v>
      </x:c>
      <x:c r="X476" s="15" t="str"/>
      <x:c r="Y476" s="15" t="str"/>
      <x:c r="Z476" s="15" t="str">
        <x:v>AI Enablement</x:v>
      </x:c>
      <x:c r="AA476" s="15" t="str">
        <x:v>New Initiative</x:v>
      </x:c>
      <x:c r="AB476" s="15" t="str"/>
      <x:c r="AC476" s="15" t="str"/>
      <x:c r="AD476" s="15" t="str"/>
      <x:c r="AE476" s="15" t="str"/>
      <x:c r="AF476" s="15" t="str"/>
      <x:c r="AG476" s="15" t="str">
        <x:v>Deprioritised</x:v>
      </x:c>
      <x:c r="AH476" s="15" t="n">
        <x:v>468</x:v>
      </x:c>
    </x:row>
    <x:row r="477">
      <x:c r="A477" s="15" t="str">
        <x:v>Bu-298</x:v>
      </x:c>
      <x:c r="B477" s="15" t="str">
        <x:v>Drive conversion lift on Philips.com with AI-driven Digital analytics</x:v>
      </x:c>
      <x:c r="C477" s="15" t="str">
        <x:v>BU Led</x:v>
      </x:c>
      <x:c r="D477" s="15" t="str">
        <x:v>Personal Health (PH)</x:v>
      </x:c>
      <x:c r="E477" s="19" t="n">
        <x:v>0</x:v>
      </x:c>
      <x:c r="F477" s="19" t="n">
        <x:v>0</x:v>
      </x:c>
      <x:c r="G477" s="22" t="str">
        <x:f>IF(AND(E477&gt;0,ISNUMBER(F477)),F477/E477,"")</x:f>
      </x:c>
      <x:c r="H477" s="15" t="str">
        <x:v>ROI-Based Portfolio</x:v>
      </x:c>
      <x:c r="I477" s="15" t="n">
        <x:v>175</x:v>
      </x:c>
      <x:c r="J477" s="15" t="n">
        <x:v>0</x:v>
      </x:c>
      <x:c r="K477" s="23" t="n">
        <x:f>IF(G477="",0,IF(G477&lt;1,0,IF(G477&lt;2,20,IF(G477&lt;3,30,IF(G477&lt;5,40,50)))))*'Scenario Controls'!$B$22/50</x:f>
        <x:v>0</x:v>
      </x:c>
      <x:c r="L477" s="23" t="n">
        <x:f>IF(ISNUMBER(SEARCH("Must Do",AG477)),25,IF(ISNUMBER(SEARCH("Must Have",AG477)),18,IF(ISNUMBER(SEARCH("Deprior",AG477)),5,0)))*'Scenario Controls'!$B$23/25</x:f>
        <x:v>5</x:v>
      </x:c>
      <x:c r="M477" s="23" t="n">
        <x:f>J477*'Scenario Controls'!$B$24/15</x:f>
        <x:v>0</x:v>
      </x:c>
      <x:c r="N477" s="23" t="n">
        <x:f>IF(ISNUMBER(SEARCH("HEALTHY",X477)),10,IF(ISNUMBER(SEARCH("CONTAIN",X477)),6,0))*'Scenario Controls'!$B$25/10</x:f>
        <x:v>0</x:v>
      </x:c>
      <x:c r="O477" s="23" t="n">
        <x:f>SUM(K477:N477)</x:f>
        <x:v>5</x:v>
      </x:c>
      <x:c r="P477" s="15" t="str">
        <x:f>IF(OR(B477="",E477&lt;=0),"Evidence missing / not eligible",IF(ISNUMBER(SEARCH("priority TBD",Y477)),"Evidence missing / not eligible",IF(AND(H477="Carryover",NOT(ISNUMBER(F477))),"Evidence missing / not eligible",IF(AND(H477="Carryover",G477&lt;'Scenario Controls'!$B$16),"Evidence missing / not eligible",IF(AND(H477="ROI-Based Portfolio",NOT(ISNUMBER(F477))),"Evidence missing / not eligible",IF(AND(H477="ROI-Based Portfolio",O477&lt;'Scenario Controls'!$B$20),"Evidence missing / not eligible","Eligible"))))))</x:f>
        <x:v>Evidence missing / not eligible</x:v>
      </x:c>
      <x:c r="Q477" s="19" t="n">
        <x:f>IF(P477&lt;&gt;"Eligible",0,IF(AND(SUMIFS($Q$5:Q476,$H$5:H476,H477)+E477&lt;=(IF(H477="LFR",'Scenario Controls'!$F$10,IF(H477="Sustain Engineering",'Scenario Controls'!$F$11,IF(H477="Hygiene",'Scenario Controls'!$F$12,1E+99))))*(1+'Scenario Controls'!$B$7),SUM($Q$5:Q476)+E477&lt;='Scenario Controls'!$B$6*(1+'Scenario Controls'!$B$7)),E477,0))</x:f>
        <x:v>0</x:v>
      </x:c>
      <x:c r="R477" s="24" t="str">
        <x:f>'BU Conference'!G298</x:f>
        <x:v>Automatic</x:v>
      </x:c>
      <x:c r="S477" s="24" t="str">
        <x:f>'BU Conference'!H298</x:f>
      </x:c>
      <x:c r="T477" s="19" t="n">
        <x:f>IF(R477="Exclude",0,IF(R477="Include",E477,Q477))</x:f>
        <x:v>0</x:v>
      </x:c>
      <x:c r="U477" s="15" t="str">
        <x:f>IF(T477&gt;0,"Funded",IF(P477="Eligible","Unfunded",P477))</x:f>
        <x:v>Evidence missing / not eligible</x:v>
      </x:c>
      <x:c r="V477" s="15" t="str">
        <x:f>IF(R477="Include","Conference inclusion: "&amp;S477,IF(R477="Exclude","Conference exclusion: "&amp;S477,IF(Q477&gt;0,H477&amp;" priority rank "&amp;I477&amp;"; whole initiative selected",P477)))</x:f>
        <x:v>Evidence missing / not eligible</x:v>
      </x:c>
      <x:c r="W477" s="15" t="str">
        <x:v>Bu!621</x:v>
      </x:c>
      <x:c r="X477" s="15" t="str"/>
      <x:c r="Y477" s="15" t="str"/>
      <x:c r="Z477" s="15" t="str">
        <x:v>New Feature</x:v>
      </x:c>
      <x:c r="AA477" s="15" t="str">
        <x:v>New Initiative</x:v>
      </x:c>
      <x:c r="AB477" s="15" t="str"/>
      <x:c r="AC477" s="15" t="str"/>
      <x:c r="AD477" s="15" t="str"/>
      <x:c r="AE477" s="15" t="str"/>
      <x:c r="AF477" s="15" t="str"/>
      <x:c r="AG477" s="15" t="str">
        <x:v>Deprioritised</x:v>
      </x:c>
      <x:c r="AH477" s="15" t="n">
        <x:v>475</x:v>
      </x:c>
    </x:row>
    <x:row r="478">
      <x:c r="A478" s="15" t="str">
        <x:v>Bu-300</x:v>
      </x:c>
      <x:c r="B478" s="15" t="str">
        <x:v>E2E simplification of R&amp;D Purchase order Creation</x:v>
      </x:c>
      <x:c r="C478" s="15" t="str">
        <x:v>BU Led</x:v>
      </x:c>
      <x:c r="D478" s="15" t="str">
        <x:v>Personal Health (PH)</x:v>
      </x:c>
      <x:c r="E478" s="19" t="n">
        <x:v>0</x:v>
      </x:c>
      <x:c r="F478" s="19" t="n">
        <x:v>0</x:v>
      </x:c>
      <x:c r="G478" s="22" t="str">
        <x:f>IF(AND(E478&gt;0,ISNUMBER(F478)),F478/E478,"")</x:f>
      </x:c>
      <x:c r="H478" s="15" t="str">
        <x:v>ROI-Based Portfolio</x:v>
      </x:c>
      <x:c r="I478" s="15" t="n">
        <x:v>176</x:v>
      </x:c>
      <x:c r="J478" s="15" t="n">
        <x:v>0</x:v>
      </x:c>
      <x:c r="K478" s="23" t="n">
        <x:f>IF(G478="",0,IF(G478&lt;1,0,IF(G478&lt;2,20,IF(G478&lt;3,30,IF(G478&lt;5,40,50)))))*'Scenario Controls'!$B$22/50</x:f>
        <x:v>0</x:v>
      </x:c>
      <x:c r="L478" s="23" t="n">
        <x:f>IF(ISNUMBER(SEARCH("Must Do",AG478)),25,IF(ISNUMBER(SEARCH("Must Have",AG478)),18,IF(ISNUMBER(SEARCH("Deprior",AG478)),5,0)))*'Scenario Controls'!$B$23/25</x:f>
        <x:v>5</x:v>
      </x:c>
      <x:c r="M478" s="23" t="n">
        <x:f>J478*'Scenario Controls'!$B$24/15</x:f>
        <x:v>0</x:v>
      </x:c>
      <x:c r="N478" s="23" t="n">
        <x:f>IF(ISNUMBER(SEARCH("HEALTHY",X478)),10,IF(ISNUMBER(SEARCH("CONTAIN",X478)),6,0))*'Scenario Controls'!$B$25/10</x:f>
        <x:v>0</x:v>
      </x:c>
      <x:c r="O478" s="23" t="n">
        <x:f>SUM(K478:N478)</x:f>
        <x:v>5</x:v>
      </x:c>
      <x:c r="P478" s="15" t="str">
        <x:f>IF(OR(B478="",E478&lt;=0),"Evidence missing / not eligible",IF(ISNUMBER(SEARCH("priority TBD",Y478)),"Evidence missing / not eligible",IF(AND(H478="Carryover",NOT(ISNUMBER(F478))),"Evidence missing / not eligible",IF(AND(H478="Carryover",G478&lt;'Scenario Controls'!$B$16),"Evidence missing / not eligible",IF(AND(H478="ROI-Based Portfolio",NOT(ISNUMBER(F478))),"Evidence missing / not eligible",IF(AND(H478="ROI-Based Portfolio",O478&lt;'Scenario Controls'!$B$20),"Evidence missing / not eligible","Eligible"))))))</x:f>
        <x:v>Evidence missing / not eligible</x:v>
      </x:c>
      <x:c r="Q478" s="19" t="n">
        <x:f>IF(P478&lt;&gt;"Eligible",0,IF(AND(SUMIFS($Q$5:Q477,$H$5:H477,H478)+E478&lt;=(IF(H478="LFR",'Scenario Controls'!$F$10,IF(H478="Sustain Engineering",'Scenario Controls'!$F$11,IF(H478="Hygiene",'Scenario Controls'!$F$12,1E+99))))*(1+'Scenario Controls'!$B$7),SUM($Q$5:Q477)+E478&lt;='Scenario Controls'!$B$6*(1+'Scenario Controls'!$B$7)),E478,0))</x:f>
        <x:v>0</x:v>
      </x:c>
      <x:c r="R478" s="24" t="str">
        <x:f>'BU Conference'!G299</x:f>
        <x:v>Automatic</x:v>
      </x:c>
      <x:c r="S478" s="24" t="str">
        <x:f>'BU Conference'!H299</x:f>
      </x:c>
      <x:c r="T478" s="19" t="n">
        <x:f>IF(R478="Exclude",0,IF(R478="Include",E478,Q478))</x:f>
        <x:v>0</x:v>
      </x:c>
      <x:c r="U478" s="15" t="str">
        <x:f>IF(T478&gt;0,"Funded",IF(P478="Eligible","Unfunded",P478))</x:f>
        <x:v>Evidence missing / not eligible</x:v>
      </x:c>
      <x:c r="V478" s="15" t="str">
        <x:f>IF(R478="Include","Conference inclusion: "&amp;S478,IF(R478="Exclude","Conference exclusion: "&amp;S478,IF(Q478&gt;0,H478&amp;" priority rank "&amp;I478&amp;"; whole initiative selected",P478)))</x:f>
        <x:v>Evidence missing / not eligible</x:v>
      </x:c>
      <x:c r="W478" s="15" t="str">
        <x:v>Bu!623</x:v>
      </x:c>
      <x:c r="X478" s="15" t="str"/>
      <x:c r="Y478" s="15" t="str"/>
      <x:c r="Z478" s="15" t="str"/>
      <x:c r="AA478" s="15" t="str">
        <x:v>New Initiative</x:v>
      </x:c>
      <x:c r="AB478" s="15" t="str"/>
      <x:c r="AC478" s="15" t="str"/>
      <x:c r="AD478" s="15" t="str"/>
      <x:c r="AE478" s="15" t="str"/>
      <x:c r="AF478" s="15" t="str"/>
      <x:c r="AG478" s="15" t="str">
        <x:v>Deprioritised</x:v>
      </x:c>
      <x:c r="AH478" s="15" t="n">
        <x:v>477</x:v>
      </x:c>
    </x:row>
    <x:row r="479">
      <x:c r="A479" s="15" t="str">
        <x:v>Bu-302</x:v>
      </x:c>
      <x:c r="B479" s="15" t="str">
        <x:v>GEO Scorekeeper &amp; Source Decoder</x:v>
      </x:c>
      <x:c r="C479" s="15" t="str">
        <x:v>BU Led</x:v>
      </x:c>
      <x:c r="D479" s="15" t="str">
        <x:v>Personal Health (PH)</x:v>
      </x:c>
      <x:c r="E479" s="19" t="n">
        <x:v>0</x:v>
      </x:c>
      <x:c r="F479" s="19" t="n">
        <x:v>0</x:v>
      </x:c>
      <x:c r="G479" s="22" t="str">
        <x:f>IF(AND(E479&gt;0,ISNUMBER(F479)),F479/E479,"")</x:f>
      </x:c>
      <x:c r="H479" s="15" t="str">
        <x:v>ROI-Based Portfolio</x:v>
      </x:c>
      <x:c r="I479" s="15" t="n">
        <x:v>177</x:v>
      </x:c>
      <x:c r="J479" s="15" t="n">
        <x:v>0</x:v>
      </x:c>
      <x:c r="K479" s="23" t="n">
        <x:f>IF(G479="",0,IF(G479&lt;1,0,IF(G479&lt;2,20,IF(G479&lt;3,30,IF(G479&lt;5,40,50)))))*'Scenario Controls'!$B$22/50</x:f>
        <x:v>0</x:v>
      </x:c>
      <x:c r="L479" s="23" t="n">
        <x:f>IF(ISNUMBER(SEARCH("Must Do",AG479)),25,IF(ISNUMBER(SEARCH("Must Have",AG479)),18,IF(ISNUMBER(SEARCH("Deprior",AG479)),5,0)))*'Scenario Controls'!$B$23/25</x:f>
        <x:v>5</x:v>
      </x:c>
      <x:c r="M479" s="23" t="n">
        <x:f>J479*'Scenario Controls'!$B$24/15</x:f>
        <x:v>0</x:v>
      </x:c>
      <x:c r="N479" s="23" t="n">
        <x:f>IF(ISNUMBER(SEARCH("HEALTHY",X479)),10,IF(ISNUMBER(SEARCH("CONTAIN",X479)),6,0))*'Scenario Controls'!$B$25/10</x:f>
        <x:v>0</x:v>
      </x:c>
      <x:c r="O479" s="23" t="n">
        <x:f>SUM(K479:N479)</x:f>
        <x:v>5</x:v>
      </x:c>
      <x:c r="P479" s="15" t="str">
        <x:f>IF(OR(B479="",E479&lt;=0),"Evidence missing / not eligible",IF(ISNUMBER(SEARCH("priority TBD",Y479)),"Evidence missing / not eligible",IF(AND(H479="Carryover",NOT(ISNUMBER(F479))),"Evidence missing / not eligible",IF(AND(H479="Carryover",G479&lt;'Scenario Controls'!$B$16),"Evidence missing / not eligible",IF(AND(H479="ROI-Based Portfolio",NOT(ISNUMBER(F479))),"Evidence missing / not eligible",IF(AND(H479="ROI-Based Portfolio",O479&lt;'Scenario Controls'!$B$20),"Evidence missing / not eligible","Eligible"))))))</x:f>
        <x:v>Evidence missing / not eligible</x:v>
      </x:c>
      <x:c r="Q479" s="19" t="n">
        <x:f>IF(P479&lt;&gt;"Eligible",0,IF(AND(SUMIFS($Q$5:Q478,$H$5:H478,H479)+E479&lt;=(IF(H479="LFR",'Scenario Controls'!$F$10,IF(H479="Sustain Engineering",'Scenario Controls'!$F$11,IF(H479="Hygiene",'Scenario Controls'!$F$12,1E+99))))*(1+'Scenario Controls'!$B$7),SUM($Q$5:Q478)+E479&lt;='Scenario Controls'!$B$6*(1+'Scenario Controls'!$B$7)),E479,0))</x:f>
        <x:v>0</x:v>
      </x:c>
      <x:c r="R479" s="24" t="str">
        <x:f>'BU Conference'!G300</x:f>
        <x:v>Automatic</x:v>
      </x:c>
      <x:c r="S479" s="24" t="str">
        <x:f>'BU Conference'!H300</x:f>
      </x:c>
      <x:c r="T479" s="19" t="n">
        <x:f>IF(R479="Exclude",0,IF(R479="Include",E479,Q479))</x:f>
        <x:v>0</x:v>
      </x:c>
      <x:c r="U479" s="15" t="str">
        <x:f>IF(T479&gt;0,"Funded",IF(P479="Eligible","Unfunded",P479))</x:f>
        <x:v>Evidence missing / not eligible</x:v>
      </x:c>
      <x:c r="V479" s="15" t="str">
        <x:f>IF(R479="Include","Conference inclusion: "&amp;S479,IF(R479="Exclude","Conference exclusion: "&amp;S479,IF(Q479&gt;0,H479&amp;" priority rank "&amp;I479&amp;"; whole initiative selected",P479)))</x:f>
        <x:v>Evidence missing / not eligible</x:v>
      </x:c>
      <x:c r="W479" s="15" t="str">
        <x:v>Bu!625</x:v>
      </x:c>
      <x:c r="X479" s="15" t="str"/>
      <x:c r="Y479" s="15" t="str"/>
      <x:c r="Z479" s="15" t="str"/>
      <x:c r="AA479" s="15" t="str">
        <x:v>New Initiative</x:v>
      </x:c>
      <x:c r="AB479" s="15" t="str"/>
      <x:c r="AC479" s="15" t="str"/>
      <x:c r="AD479" s="15" t="str"/>
      <x:c r="AE479" s="15" t="str"/>
      <x:c r="AF479" s="15" t="str"/>
      <x:c r="AG479" s="15" t="str">
        <x:v>Deprioritised</x:v>
      </x:c>
      <x:c r="AH479" s="15" t="n">
        <x:v>479</x:v>
      </x:c>
    </x:row>
    <x:row r="480">
      <x:c r="A480" s="15" t="str">
        <x:v>Bu-306</x:v>
      </x:c>
      <x:c r="B480" s="15" t="str">
        <x:v>Google Web analytics for D2C store</x:v>
      </x:c>
      <x:c r="C480" s="15" t="str">
        <x:v>BU Led</x:v>
      </x:c>
      <x:c r="D480" s="15" t="str">
        <x:v>Personal Health (PH)</x:v>
      </x:c>
      <x:c r="E480" s="19" t="n">
        <x:v>0</x:v>
      </x:c>
      <x:c r="F480" s="19" t="n">
        <x:v>0</x:v>
      </x:c>
      <x:c r="G480" s="22" t="str">
        <x:f>IF(AND(E480&gt;0,ISNUMBER(F480)),F480/E480,"")</x:f>
      </x:c>
      <x:c r="H480" s="15" t="str">
        <x:v>ROI-Based Portfolio</x:v>
      </x:c>
      <x:c r="I480" s="15" t="n">
        <x:v>178</x:v>
      </x:c>
      <x:c r="J480" s="15" t="n">
        <x:v>0</x:v>
      </x:c>
      <x:c r="K480" s="23" t="n">
        <x:f>IF(G480="",0,IF(G480&lt;1,0,IF(G480&lt;2,20,IF(G480&lt;3,30,IF(G480&lt;5,40,50)))))*'Scenario Controls'!$B$22/50</x:f>
        <x:v>0</x:v>
      </x:c>
      <x:c r="L480" s="23" t="n">
        <x:f>IF(ISNUMBER(SEARCH("Must Do",AG480)),25,IF(ISNUMBER(SEARCH("Must Have",AG480)),18,IF(ISNUMBER(SEARCH("Deprior",AG480)),5,0)))*'Scenario Controls'!$B$23/25</x:f>
        <x:v>5</x:v>
      </x:c>
      <x:c r="M480" s="23" t="n">
        <x:f>J480*'Scenario Controls'!$B$24/15</x:f>
        <x:v>0</x:v>
      </x:c>
      <x:c r="N480" s="23" t="n">
        <x:f>IF(ISNUMBER(SEARCH("HEALTHY",X480)),10,IF(ISNUMBER(SEARCH("CONTAIN",X480)),6,0))*'Scenario Controls'!$B$25/10</x:f>
        <x:v>0</x:v>
      </x:c>
      <x:c r="O480" s="23" t="n">
        <x:f>SUM(K480:N480)</x:f>
        <x:v>5</x:v>
      </x:c>
      <x:c r="P480" s="15" t="str">
        <x:f>IF(OR(B480="",E480&lt;=0),"Evidence missing / not eligible",IF(ISNUMBER(SEARCH("priority TBD",Y480)),"Evidence missing / not eligible",IF(AND(H480="Carryover",NOT(ISNUMBER(F480))),"Evidence missing / not eligible",IF(AND(H480="Carryover",G480&lt;'Scenario Controls'!$B$16),"Evidence missing / not eligible",IF(AND(H480="ROI-Based Portfolio",NOT(ISNUMBER(F480))),"Evidence missing / not eligible",IF(AND(H480="ROI-Based Portfolio",O480&lt;'Scenario Controls'!$B$20),"Evidence missing / not eligible","Eligible"))))))</x:f>
        <x:v>Evidence missing / not eligible</x:v>
      </x:c>
      <x:c r="Q480" s="19" t="n">
        <x:f>IF(P480&lt;&gt;"Eligible",0,IF(AND(SUMIFS($Q$5:Q479,$H$5:H479,H480)+E480&lt;=(IF(H480="LFR",'Scenario Controls'!$F$10,IF(H480="Sustain Engineering",'Scenario Controls'!$F$11,IF(H480="Hygiene",'Scenario Controls'!$F$12,1E+99))))*(1+'Scenario Controls'!$B$7),SUM($Q$5:Q479)+E480&lt;='Scenario Controls'!$B$6*(1+'Scenario Controls'!$B$7)),E480,0))</x:f>
        <x:v>0</x:v>
      </x:c>
      <x:c r="R480" s="24" t="str">
        <x:f>'BU Conference'!G301</x:f>
        <x:v>Automatic</x:v>
      </x:c>
      <x:c r="S480" s="24" t="str">
        <x:f>'BU Conference'!H301</x:f>
      </x:c>
      <x:c r="T480" s="19" t="n">
        <x:f>IF(R480="Exclude",0,IF(R480="Include",E480,Q480))</x:f>
        <x:v>0</x:v>
      </x:c>
      <x:c r="U480" s="15" t="str">
        <x:f>IF(T480&gt;0,"Funded",IF(P480="Eligible","Unfunded",P480))</x:f>
        <x:v>Evidence missing / not eligible</x:v>
      </x:c>
      <x:c r="V480" s="15" t="str">
        <x:f>IF(R480="Include","Conference inclusion: "&amp;S480,IF(R480="Exclude","Conference exclusion: "&amp;S480,IF(Q480&gt;0,H480&amp;" priority rank "&amp;I480&amp;"; whole initiative selected",P480)))</x:f>
        <x:v>Evidence missing / not eligible</x:v>
      </x:c>
      <x:c r="W480" s="15" t="str">
        <x:v>Bu!632</x:v>
      </x:c>
      <x:c r="X480" s="15" t="str"/>
      <x:c r="Y480" s="15" t="str"/>
      <x:c r="Z480" s="15" t="str"/>
      <x:c r="AA480" s="15" t="str">
        <x:v>New Initiative</x:v>
      </x:c>
      <x:c r="AB480" s="15" t="str"/>
      <x:c r="AC480" s="15" t="str"/>
      <x:c r="AD480" s="15" t="str"/>
      <x:c r="AE480" s="15" t="str"/>
      <x:c r="AF480" s="15" t="str"/>
      <x:c r="AG480" s="15" t="str">
        <x:v>Deprioritised</x:v>
      </x:c>
      <x:c r="AH480" s="15" t="n">
        <x:v>483</x:v>
      </x:c>
    </x:row>
    <x:row r="481">
      <x:c r="A481" s="15" t="str">
        <x:v>Bu-307</x:v>
      </x:c>
      <x:c r="B481" s="15" t="str">
        <x:v>Innovation Roadmapping &amp; Programming</x:v>
      </x:c>
      <x:c r="C481" s="15" t="str">
        <x:v>BU Led</x:v>
      </x:c>
      <x:c r="D481" s="15" t="str">
        <x:v>Personal Health (PH)</x:v>
      </x:c>
      <x:c r="E481" s="19" t="n">
        <x:v>0</x:v>
      </x:c>
      <x:c r="F481" s="19" t="n">
        <x:v>0</x:v>
      </x:c>
      <x:c r="G481" s="22" t="str">
        <x:f>IF(AND(E481&gt;0,ISNUMBER(F481)),F481/E481,"")</x:f>
      </x:c>
      <x:c r="H481" s="15" t="str">
        <x:v>ROI-Based Portfolio</x:v>
      </x:c>
      <x:c r="I481" s="15" t="n">
        <x:v>179</x:v>
      </x:c>
      <x:c r="J481" s="15" t="n">
        <x:v>0</x:v>
      </x:c>
      <x:c r="K481" s="23" t="n">
        <x:f>IF(G481="",0,IF(G481&lt;1,0,IF(G481&lt;2,20,IF(G481&lt;3,30,IF(G481&lt;5,40,50)))))*'Scenario Controls'!$B$22/50</x:f>
        <x:v>0</x:v>
      </x:c>
      <x:c r="L481" s="23" t="n">
        <x:f>IF(ISNUMBER(SEARCH("Must Do",AG481)),25,IF(ISNUMBER(SEARCH("Must Have",AG481)),18,IF(ISNUMBER(SEARCH("Deprior",AG481)),5,0)))*'Scenario Controls'!$B$23/25</x:f>
        <x:v>5</x:v>
      </x:c>
      <x:c r="M481" s="23" t="n">
        <x:f>J481*'Scenario Controls'!$B$24/15</x:f>
        <x:v>0</x:v>
      </x:c>
      <x:c r="N481" s="23" t="n">
        <x:f>IF(ISNUMBER(SEARCH("HEALTHY",X481)),10,IF(ISNUMBER(SEARCH("CONTAIN",X481)),6,0))*'Scenario Controls'!$B$25/10</x:f>
        <x:v>0</x:v>
      </x:c>
      <x:c r="O481" s="23" t="n">
        <x:f>SUM(K481:N481)</x:f>
        <x:v>5</x:v>
      </x:c>
      <x:c r="P481" s="15" t="str">
        <x:f>IF(OR(B481="",E481&lt;=0),"Evidence missing / not eligible",IF(ISNUMBER(SEARCH("priority TBD",Y481)),"Evidence missing / not eligible",IF(AND(H481="Carryover",NOT(ISNUMBER(F481))),"Evidence missing / not eligible",IF(AND(H481="Carryover",G481&lt;'Scenario Controls'!$B$16),"Evidence missing / not eligible",IF(AND(H481="ROI-Based Portfolio",NOT(ISNUMBER(F481))),"Evidence missing / not eligible",IF(AND(H481="ROI-Based Portfolio",O481&lt;'Scenario Controls'!$B$20),"Evidence missing / not eligible","Eligible"))))))</x:f>
        <x:v>Evidence missing / not eligible</x:v>
      </x:c>
      <x:c r="Q481" s="19" t="n">
        <x:f>IF(P481&lt;&gt;"Eligible",0,IF(AND(SUMIFS($Q$5:Q480,$H$5:H480,H481)+E481&lt;=(IF(H481="LFR",'Scenario Controls'!$F$10,IF(H481="Sustain Engineering",'Scenario Controls'!$F$11,IF(H481="Hygiene",'Scenario Controls'!$F$12,1E+99))))*(1+'Scenario Controls'!$B$7),SUM($Q$5:Q480)+E481&lt;='Scenario Controls'!$B$6*(1+'Scenario Controls'!$B$7)),E481,0))</x:f>
        <x:v>0</x:v>
      </x:c>
      <x:c r="R481" s="24" t="str">
        <x:f>'BU Conference'!G302</x:f>
        <x:v>Automatic</x:v>
      </x:c>
      <x:c r="S481" s="24" t="str">
        <x:f>'BU Conference'!H302</x:f>
      </x:c>
      <x:c r="T481" s="19" t="n">
        <x:f>IF(R481="Exclude",0,IF(R481="Include",E481,Q481))</x:f>
        <x:v>0</x:v>
      </x:c>
      <x:c r="U481" s="15" t="str">
        <x:f>IF(T481&gt;0,"Funded",IF(P481="Eligible","Unfunded",P481))</x:f>
        <x:v>Evidence missing / not eligible</x:v>
      </x:c>
      <x:c r="V481" s="15" t="str">
        <x:f>IF(R481="Include","Conference inclusion: "&amp;S481,IF(R481="Exclude","Conference exclusion: "&amp;S481,IF(Q481&gt;0,H481&amp;" priority rank "&amp;I481&amp;"; whole initiative selected",P481)))</x:f>
        <x:v>Evidence missing / not eligible</x:v>
      </x:c>
      <x:c r="W481" s="15" t="str">
        <x:v>Bu!633</x:v>
      </x:c>
      <x:c r="X481" s="15" t="str"/>
      <x:c r="Y481" s="15" t="str"/>
      <x:c r="Z481" s="15" t="str"/>
      <x:c r="AA481" s="15" t="str">
        <x:v>New Initiative</x:v>
      </x:c>
      <x:c r="AB481" s="15" t="str"/>
      <x:c r="AC481" s="15" t="str"/>
      <x:c r="AD481" s="15" t="str"/>
      <x:c r="AE481" s="15" t="str"/>
      <x:c r="AF481" s="15" t="str"/>
      <x:c r="AG481" s="15" t="str">
        <x:v>Deprioritised</x:v>
      </x:c>
      <x:c r="AH481" s="15" t="n">
        <x:v>484</x:v>
      </x:c>
    </x:row>
    <x:row r="482">
      <x:c r="A482" s="15" t="str">
        <x:v>Bu-310</x:v>
      </x:c>
      <x:c r="B482" s="15" t="str">
        <x:v>Labelling (IPL as a launch)</x:v>
      </x:c>
      <x:c r="C482" s="15" t="str">
        <x:v>BU Led</x:v>
      </x:c>
      <x:c r="D482" s="15" t="str">
        <x:v>Personal Health (PH)</x:v>
      </x:c>
      <x:c r="E482" s="19" t="n">
        <x:v>0</x:v>
      </x:c>
      <x:c r="F482" s="19" t="n">
        <x:v>0</x:v>
      </x:c>
      <x:c r="G482" s="22" t="str">
        <x:f>IF(AND(E482&gt;0,ISNUMBER(F482)),F482/E482,"")</x:f>
      </x:c>
      <x:c r="H482" s="15" t="str">
        <x:v>ROI-Based Portfolio</x:v>
      </x:c>
      <x:c r="I482" s="15" t="n">
        <x:v>180</x:v>
      </x:c>
      <x:c r="J482" s="15" t="n">
        <x:v>0</x:v>
      </x:c>
      <x:c r="K482" s="23" t="n">
        <x:f>IF(G482="",0,IF(G482&lt;1,0,IF(G482&lt;2,20,IF(G482&lt;3,30,IF(G482&lt;5,40,50)))))*'Scenario Controls'!$B$22/50</x:f>
        <x:v>0</x:v>
      </x:c>
      <x:c r="L482" s="23" t="n">
        <x:f>IF(ISNUMBER(SEARCH("Must Do",AG482)),25,IF(ISNUMBER(SEARCH("Must Have",AG482)),18,IF(ISNUMBER(SEARCH("Deprior",AG482)),5,0)))*'Scenario Controls'!$B$23/25</x:f>
        <x:v>5</x:v>
      </x:c>
      <x:c r="M482" s="23" t="n">
        <x:f>J482*'Scenario Controls'!$B$24/15</x:f>
        <x:v>0</x:v>
      </x:c>
      <x:c r="N482" s="23" t="n">
        <x:f>IF(ISNUMBER(SEARCH("HEALTHY",X482)),10,IF(ISNUMBER(SEARCH("CONTAIN",X482)),6,0))*'Scenario Controls'!$B$25/10</x:f>
        <x:v>0</x:v>
      </x:c>
      <x:c r="O482" s="23" t="n">
        <x:f>SUM(K482:N482)</x:f>
        <x:v>5</x:v>
      </x:c>
      <x:c r="P482" s="15" t="str">
        <x:f>IF(OR(B482="",E482&lt;=0),"Evidence missing / not eligible",IF(ISNUMBER(SEARCH("priority TBD",Y482)),"Evidence missing / not eligible",IF(AND(H482="Carryover",NOT(ISNUMBER(F482))),"Evidence missing / not eligible",IF(AND(H482="Carryover",G482&lt;'Scenario Controls'!$B$16),"Evidence missing / not eligible",IF(AND(H482="ROI-Based Portfolio",NOT(ISNUMBER(F482))),"Evidence missing / not eligible",IF(AND(H482="ROI-Based Portfolio",O482&lt;'Scenario Controls'!$B$20),"Evidence missing / not eligible","Eligible"))))))</x:f>
        <x:v>Evidence missing / not eligible</x:v>
      </x:c>
      <x:c r="Q482" s="19" t="n">
        <x:f>IF(P482&lt;&gt;"Eligible",0,IF(AND(SUMIFS($Q$5:Q481,$H$5:H481,H482)+E482&lt;=(IF(H482="LFR",'Scenario Controls'!$F$10,IF(H482="Sustain Engineering",'Scenario Controls'!$F$11,IF(H482="Hygiene",'Scenario Controls'!$F$12,1E+99))))*(1+'Scenario Controls'!$B$7),SUM($Q$5:Q481)+E482&lt;='Scenario Controls'!$B$6*(1+'Scenario Controls'!$B$7)),E482,0))</x:f>
        <x:v>0</x:v>
      </x:c>
      <x:c r="R482" s="24" t="str">
        <x:f>'BU Conference'!G303</x:f>
        <x:v>Automatic</x:v>
      </x:c>
      <x:c r="S482" s="24" t="str">
        <x:f>'BU Conference'!H303</x:f>
      </x:c>
      <x:c r="T482" s="19" t="n">
        <x:f>IF(R482="Exclude",0,IF(R482="Include",E482,Q482))</x:f>
        <x:v>0</x:v>
      </x:c>
      <x:c r="U482" s="15" t="str">
        <x:f>IF(T482&gt;0,"Funded",IF(P482="Eligible","Unfunded",P482))</x:f>
        <x:v>Evidence missing / not eligible</x:v>
      </x:c>
      <x:c r="V482" s="15" t="str">
        <x:f>IF(R482="Include","Conference inclusion: "&amp;S482,IF(R482="Exclude","Conference exclusion: "&amp;S482,IF(Q482&gt;0,H482&amp;" priority rank "&amp;I482&amp;"; whole initiative selected",P482)))</x:f>
        <x:v>Evidence missing / not eligible</x:v>
      </x:c>
      <x:c r="W482" s="15" t="str">
        <x:v>Bu!636</x:v>
      </x:c>
      <x:c r="X482" s="15" t="str"/>
      <x:c r="Y482" s="15" t="str"/>
      <x:c r="Z482" s="15" t="str"/>
      <x:c r="AA482" s="15" t="str">
        <x:v>New Initiative</x:v>
      </x:c>
      <x:c r="AB482" s="15" t="str"/>
      <x:c r="AC482" s="15" t="str"/>
      <x:c r="AD482" s="15" t="str"/>
      <x:c r="AE482" s="15" t="str"/>
      <x:c r="AF482" s="15" t="str"/>
      <x:c r="AG482" s="15" t="str">
        <x:v>Deprioritised</x:v>
      </x:c>
      <x:c r="AH482" s="15" t="n">
        <x:v>487</x:v>
      </x:c>
    </x:row>
    <x:row r="483">
      <x:c r="A483" s="15" t="str">
        <x:v>Bu-314</x:v>
      </x:c>
      <x:c r="B483" s="15" t="str">
        <x:v>Powering the AI-Native Organization</x:v>
      </x:c>
      <x:c r="C483" s="15" t="str">
        <x:v>BU Led</x:v>
      </x:c>
      <x:c r="D483" s="15" t="str">
        <x:v>Personal Health (PH)</x:v>
      </x:c>
      <x:c r="E483" s="19" t="n">
        <x:v>0</x:v>
      </x:c>
      <x:c r="F483" s="19" t="n">
        <x:v>0</x:v>
      </x:c>
      <x:c r="G483" s="22" t="str">
        <x:f>IF(AND(E483&gt;0,ISNUMBER(F483)),F483/E483,"")</x:f>
      </x:c>
      <x:c r="H483" s="15" t="str">
        <x:v>ROI-Based Portfolio</x:v>
      </x:c>
      <x:c r="I483" s="15" t="n">
        <x:v>181</x:v>
      </x:c>
      <x:c r="J483" s="15" t="n">
        <x:v>0</x:v>
      </x:c>
      <x:c r="K483" s="23" t="n">
        <x:f>IF(G483="",0,IF(G483&lt;1,0,IF(G483&lt;2,20,IF(G483&lt;3,30,IF(G483&lt;5,40,50)))))*'Scenario Controls'!$B$22/50</x:f>
        <x:v>0</x:v>
      </x:c>
      <x:c r="L483" s="23" t="n">
        <x:f>IF(ISNUMBER(SEARCH("Must Do",AG483)),25,IF(ISNUMBER(SEARCH("Must Have",AG483)),18,IF(ISNUMBER(SEARCH("Deprior",AG483)),5,0)))*'Scenario Controls'!$B$23/25</x:f>
        <x:v>5</x:v>
      </x:c>
      <x:c r="M483" s="23" t="n">
        <x:f>J483*'Scenario Controls'!$B$24/15</x:f>
        <x:v>0</x:v>
      </x:c>
      <x:c r="N483" s="23" t="n">
        <x:f>IF(ISNUMBER(SEARCH("HEALTHY",X483)),10,IF(ISNUMBER(SEARCH("CONTAIN",X483)),6,0))*'Scenario Controls'!$B$25/10</x:f>
        <x:v>0</x:v>
      </x:c>
      <x:c r="O483" s="23" t="n">
        <x:f>SUM(K483:N483)</x:f>
        <x:v>5</x:v>
      </x:c>
      <x:c r="P483" s="15" t="str">
        <x:f>IF(OR(B483="",E483&lt;=0),"Evidence missing / not eligible",IF(ISNUMBER(SEARCH("priority TBD",Y483)),"Evidence missing / not eligible",IF(AND(H483="Carryover",NOT(ISNUMBER(F483))),"Evidence missing / not eligible",IF(AND(H483="Carryover",G483&lt;'Scenario Controls'!$B$16),"Evidence missing / not eligible",IF(AND(H483="ROI-Based Portfolio",NOT(ISNUMBER(F483))),"Evidence missing / not eligible",IF(AND(H483="ROI-Based Portfolio",O483&lt;'Scenario Controls'!$B$20),"Evidence missing / not eligible","Eligible"))))))</x:f>
        <x:v>Evidence missing / not eligible</x:v>
      </x:c>
      <x:c r="Q483" s="19" t="n">
        <x:f>IF(P483&lt;&gt;"Eligible",0,IF(AND(SUMIFS($Q$5:Q482,$H$5:H482,H483)+E483&lt;=(IF(H483="LFR",'Scenario Controls'!$F$10,IF(H483="Sustain Engineering",'Scenario Controls'!$F$11,IF(H483="Hygiene",'Scenario Controls'!$F$12,1E+99))))*(1+'Scenario Controls'!$B$7),SUM($Q$5:Q482)+E483&lt;='Scenario Controls'!$B$6*(1+'Scenario Controls'!$B$7)),E483,0))</x:f>
        <x:v>0</x:v>
      </x:c>
      <x:c r="R483" s="24" t="str">
        <x:f>'BU Conference'!G304</x:f>
        <x:v>Automatic</x:v>
      </x:c>
      <x:c r="S483" s="24" t="str">
        <x:f>'BU Conference'!H304</x:f>
      </x:c>
      <x:c r="T483" s="19" t="n">
        <x:f>IF(R483="Exclude",0,IF(R483="Include",E483,Q483))</x:f>
        <x:v>0</x:v>
      </x:c>
      <x:c r="U483" s="15" t="str">
        <x:f>IF(T483&gt;0,"Funded",IF(P483="Eligible","Unfunded",P483))</x:f>
        <x:v>Evidence missing / not eligible</x:v>
      </x:c>
      <x:c r="V483" s="15" t="str">
        <x:f>IF(R483="Include","Conference inclusion: "&amp;S483,IF(R483="Exclude","Conference exclusion: "&amp;S483,IF(Q483&gt;0,H483&amp;" priority rank "&amp;I483&amp;"; whole initiative selected",P483)))</x:f>
        <x:v>Evidence missing / not eligible</x:v>
      </x:c>
      <x:c r="W483" s="15" t="str">
        <x:v>Bu!643</x:v>
      </x:c>
      <x:c r="X483" s="15" t="str"/>
      <x:c r="Y483" s="15" t="str"/>
      <x:c r="Z483" s="15" t="str"/>
      <x:c r="AA483" s="15" t="str">
        <x:v>New Initiative</x:v>
      </x:c>
      <x:c r="AB483" s="15" t="str"/>
      <x:c r="AC483" s="15" t="str"/>
      <x:c r="AD483" s="15" t="str"/>
      <x:c r="AE483" s="15" t="str"/>
      <x:c r="AF483" s="15" t="str"/>
      <x:c r="AG483" s="15" t="str">
        <x:v>Deprioritised</x:v>
      </x:c>
      <x:c r="AH483" s="15" t="n">
        <x:v>491</x:v>
      </x:c>
    </x:row>
    <x:row r="484">
      <x:c r="A484" s="15" t="str">
        <x:v>Bu-270</x:v>
      </x:c>
      <x:c r="B484" s="15" t="str"/>
      <x:c r="C484" s="15" t="str">
        <x:v>BU Led</x:v>
      </x:c>
      <x:c r="D484" s="15" t="str"/>
      <x:c r="E484" s="19" t="n">
        <x:v>0</x:v>
      </x:c>
      <x:c r="F484" s="19" t="n">
        <x:v>0</x:v>
      </x:c>
      <x:c r="G484" s="22" t="str">
        <x:f>IF(AND(E484&gt;0,ISNUMBER(F484)),F484/E484,"")</x:f>
      </x:c>
      <x:c r="H484" s="15" t="str">
        <x:v>ROI-Based Portfolio</x:v>
      </x:c>
      <x:c r="I484" s="15" t="n">
        <x:v>182</x:v>
      </x:c>
      <x:c r="J484" s="15" t="n">
        <x:v>5</x:v>
      </x:c>
      <x:c r="K484" s="23" t="n">
        <x:f>IF(G484="",0,IF(G484&lt;1,0,IF(G484&lt;2,20,IF(G484&lt;3,30,IF(G484&lt;5,40,50)))))*'Scenario Controls'!$B$22/50</x:f>
        <x:v>0</x:v>
      </x:c>
      <x:c r="L484" s="23" t="n">
        <x:f>IF(ISNUMBER(SEARCH("Must Do",AG484)),25,IF(ISNUMBER(SEARCH("Must Have",AG484)),18,IF(ISNUMBER(SEARCH("Deprior",AG484)),5,0)))*'Scenario Controls'!$B$23/25</x:f>
        <x:v>0</x:v>
      </x:c>
      <x:c r="M484" s="23" t="n">
        <x:f>J484*'Scenario Controls'!$B$24/15</x:f>
        <x:v>5</x:v>
      </x:c>
      <x:c r="N484" s="23" t="n">
        <x:f>IF(ISNUMBER(SEARCH("HEALTHY",X484)),10,IF(ISNUMBER(SEARCH("CONTAIN",X484)),6,0))*'Scenario Controls'!$B$25/10</x:f>
        <x:v>0</x:v>
      </x:c>
      <x:c r="O484" s="23" t="n">
        <x:f>SUM(K484:N484)</x:f>
        <x:v>5</x:v>
      </x:c>
      <x:c r="P484" s="15" t="str">
        <x:f>IF(OR(B484="",E484&lt;=0),"Evidence missing / not eligible",IF(ISNUMBER(SEARCH("priority TBD",Y484)),"Evidence missing / not eligible",IF(AND(H484="Carryover",NOT(ISNUMBER(F484))),"Evidence missing / not eligible",IF(AND(H484="Carryover",G484&lt;'Scenario Controls'!$B$16),"Evidence missing / not eligible",IF(AND(H484="ROI-Based Portfolio",NOT(ISNUMBER(F484))),"Evidence missing / not eligible",IF(AND(H484="ROI-Based Portfolio",O484&lt;'Scenario Controls'!$B$20),"Evidence missing / not eligible","Eligible"))))))</x:f>
        <x:v>Evidence missing / not eligible</x:v>
      </x:c>
      <x:c r="Q484" s="19" t="n">
        <x:f>IF(P484&lt;&gt;"Eligible",0,IF(AND(SUMIFS($Q$5:Q483,$H$5:H483,H484)+E484&lt;=(IF(H484="LFR",'Scenario Controls'!$F$10,IF(H484="Sustain Engineering",'Scenario Controls'!$F$11,IF(H484="Hygiene",'Scenario Controls'!$F$12,1E+99))))*(1+'Scenario Controls'!$B$7),SUM($Q$5:Q483)+E484&lt;='Scenario Controls'!$B$6*(1+'Scenario Controls'!$B$7)),E484,0))</x:f>
        <x:v>0</x:v>
      </x:c>
      <x:c r="R484" s="24" t="str">
        <x:f>'BU Conference'!G305</x:f>
        <x:v>Automatic</x:v>
      </x:c>
      <x:c r="S484" s="24" t="str">
        <x:f>'BU Conference'!H305</x:f>
      </x:c>
      <x:c r="T484" s="19" t="n">
        <x:f>IF(R484="Exclude",0,IF(R484="Include",E484,Q484))</x:f>
        <x:v>0</x:v>
      </x:c>
      <x:c r="U484" s="15" t="str">
        <x:f>IF(T484&gt;0,"Funded",IF(P484="Eligible","Unfunded",P484))</x:f>
        <x:v>Evidence missing / not eligible</x:v>
      </x:c>
      <x:c r="V484" s="15" t="str">
        <x:f>IF(R484="Include","Conference inclusion: "&amp;S484,IF(R484="Exclude","Conference exclusion: "&amp;S484,IF(Q484&gt;0,H484&amp;" priority rank "&amp;I484&amp;"; whole initiative selected",P484)))</x:f>
        <x:v>Evidence missing / not eligible</x:v>
      </x:c>
      <x:c r="W484" s="15" t="str">
        <x:v>Bu!578</x:v>
      </x:c>
      <x:c r="X484" s="15" t="str"/>
      <x:c r="Y484" s="15" t="str"/>
      <x:c r="Z484" s="15" t="str"/>
      <x:c r="AA484" s="15" t="str">
        <x:v>New Initiative</x:v>
      </x:c>
      <x:c r="AB484" s="15" t="str"/>
      <x:c r="AC484" s="15" t="str"/>
      <x:c r="AD484" s="15" t="str"/>
      <x:c r="AE484" s="15" t="str">
        <x:v>No</x:v>
      </x:c>
      <x:c r="AF484" s="15" t="str">
        <x:v>No</x:v>
      </x:c>
      <x:c r="AG484" s="15" t="str"/>
      <x:c r="AH484" s="15" t="n">
        <x:v>449</x:v>
      </x:c>
    </x:row>
    <x:row r="485">
      <x:c r="A485" s="15" t="str">
        <x:v>Bu-330</x:v>
      </x:c>
      <x:c r="B485" s="15" t="str">
        <x:v>CoNQ data model &amp; reporting (warranty, field failures, returns)</x:v>
      </x:c>
      <x:c r="C485" s="15" t="str">
        <x:v>BU Led</x:v>
      </x:c>
      <x:c r="D485" s="15" t="str">
        <x:v>Precision Diagnosis - Magnetic Resonance (MR)</x:v>
      </x:c>
      <x:c r="E485" s="19" t="n">
        <x:v>0.45</x:v>
      </x:c>
      <x:c r="F485" s="19" t="n">
        <x:v>0</x:v>
      </x:c>
      <x:c r="G485" s="22" t="n">
        <x:f>IF(AND(E485&gt;0,ISNUMBER(F485)),F485/E485,"")</x:f>
        <x:v>0</x:v>
      </x:c>
      <x:c r="H485" s="15" t="str">
        <x:v>ROI-Based Portfolio</x:v>
      </x:c>
      <x:c r="I485" s="15" t="n">
        <x:v>183</x:v>
      </x:c>
      <x:c r="J485" s="15" t="n">
        <x:v>5</x:v>
      </x:c>
      <x:c r="K485" s="23" t="n">
        <x:f>IF(G485="",0,IF(G485&lt;1,0,IF(G485&lt;2,20,IF(G485&lt;3,30,IF(G485&lt;5,40,50)))))*'Scenario Controls'!$B$22/50</x:f>
        <x:v>0</x:v>
      </x:c>
      <x:c r="L485" s="23" t="n">
        <x:f>IF(ISNUMBER(SEARCH("Must Do",AG485)),25,IF(ISNUMBER(SEARCH("Must Have",AG485)),18,IF(ISNUMBER(SEARCH("Deprior",AG485)),5,0)))*'Scenario Controls'!$B$23/25</x:f>
        <x:v>0</x:v>
      </x:c>
      <x:c r="M485" s="23" t="n">
        <x:f>J485*'Scenario Controls'!$B$24/15</x:f>
        <x:v>5</x:v>
      </x:c>
      <x:c r="N485" s="23" t="n">
        <x:f>IF(ISNUMBER(SEARCH("HEALTHY",X485)),10,IF(ISNUMBER(SEARCH("CONTAIN",X485)),6,0))*'Scenario Controls'!$B$25/10</x:f>
        <x:v>0</x:v>
      </x:c>
      <x:c r="O485" s="23" t="n">
        <x:f>SUM(K485:N485)</x:f>
        <x:v>5</x:v>
      </x:c>
      <x:c r="P485" s="15" t="str">
        <x:f>IF(OR(B485="",E485&lt;=0),"Evidence missing / not eligible",IF(ISNUMBER(SEARCH("priority TBD",Y485)),"Evidence missing / not eligible",IF(AND(H485="Carryover",NOT(ISNUMBER(F485))),"Evidence missing / not eligible",IF(AND(H485="Carryover",G485&lt;'Scenario Controls'!$B$16),"Evidence missing / not eligible",IF(AND(H485="ROI-Based Portfolio",NOT(ISNUMBER(F485))),"Evidence missing / not eligible",IF(AND(H485="ROI-Based Portfolio",O485&lt;'Scenario Controls'!$B$20),"Evidence missing / not eligible","Eligible"))))))</x:f>
        <x:v>Evidence missing / not eligible</x:v>
      </x:c>
      <x:c r="Q485" s="19" t="n">
        <x:f>IF(P485&lt;&gt;"Eligible",0,IF(AND(SUMIFS($Q$5:Q484,$H$5:H484,H485)+E485&lt;=(IF(H485="LFR",'Scenario Controls'!$F$10,IF(H485="Sustain Engineering",'Scenario Controls'!$F$11,IF(H485="Hygiene",'Scenario Controls'!$F$12,1E+99))))*(1+'Scenario Controls'!$B$7),SUM($Q$5:Q484)+E485&lt;='Scenario Controls'!$B$6*(1+'Scenario Controls'!$B$7)),E485,0))</x:f>
        <x:v>0</x:v>
      </x:c>
      <x:c r="R485" s="24" t="str">
        <x:f>'BU Conference'!G306</x:f>
        <x:v>Automatic</x:v>
      </x:c>
      <x:c r="S485" s="24" t="str">
        <x:f>'BU Conference'!H306</x:f>
      </x:c>
      <x:c r="T485" s="19" t="n">
        <x:f>IF(R485="Exclude",0,IF(R485="Include",E485,Q485))</x:f>
        <x:v>0</x:v>
      </x:c>
      <x:c r="U485" s="15" t="str">
        <x:f>IF(T485&gt;0,"Funded",IF(P485="Eligible","Unfunded",P485))</x:f>
        <x:v>Evidence missing / not eligible</x:v>
      </x:c>
      <x:c r="V485" s="15" t="str">
        <x:f>IF(R485="Include","Conference inclusion: "&amp;S485,IF(R485="Exclude","Conference exclusion: "&amp;S485,IF(Q485&gt;0,H485&amp;" priority rank "&amp;I485&amp;"; whole initiative selected",P485)))</x:f>
        <x:v>Evidence missing / not eligible</x:v>
      </x:c>
      <x:c r="W485" s="15" t="str">
        <x:v>Bu!667</x:v>
      </x:c>
      <x:c r="X485" s="15" t="str"/>
      <x:c r="Y485" s="15" t="str"/>
      <x:c r="Z485" s="15" t="str"/>
      <x:c r="AA485" s="15" t="str">
        <x:v>New Initiative</x:v>
      </x:c>
      <x:c r="AB485" s="15" t="str"/>
      <x:c r="AC485" s="15" t="str"/>
      <x:c r="AD485" s="15" t="str"/>
      <x:c r="AE485" s="15" t="str">
        <x:v>CoNQ value is realised in O2C but the underlying data sits upstream in quality systems, leaving the largest O2C value pool unsized and unmanaged. A common data model is required to quantify the opportunity and track closure across the modalities</x:v>
      </x:c>
      <x:c r="AF485" s="15" t="str">
        <x:v>CoNQ value is realised in O2C but the underlying data sits upstream in quality systems, leaving the largest O2C value pool unsized and unmanaged. A common data model is required to quantify the opportunity and track closure across the modalities</x:v>
      </x:c>
      <x:c r="AG485" s="15" t="str"/>
      <x:c r="AH485" s="15" t="n">
        <x:v>507</x:v>
      </x:c>
    </x:row>
    <x:row r="486">
      <x:c r="A486" s="15" t="str">
        <x:v>Bu-331</x:v>
      </x:c>
      <x:c r="B486" s="15" t="str">
        <x:v>AI Consumption &amp; Document Processing Optimization</x:v>
      </x:c>
      <x:c r="C486" s="15" t="str">
        <x:v>BU Led</x:v>
      </x:c>
      <x:c r="D486" s="15" t="str">
        <x:v>Precision Diagnosis - Magnetic Resonance (MR)</x:v>
      </x:c>
      <x:c r="E486" s="19" t="n">
        <x:v>0.05</x:v>
      </x:c>
      <x:c r="F486" s="19" t="n">
        <x:v>0</x:v>
      </x:c>
      <x:c r="G486" s="22" t="n">
        <x:f>IF(AND(E486&gt;0,ISNUMBER(F486)),F486/E486,"")</x:f>
        <x:v>0</x:v>
      </x:c>
      <x:c r="H486" s="15" t="str">
        <x:v>ROI-Based Portfolio</x:v>
      </x:c>
      <x:c r="I486" s="15" t="n">
        <x:v>184</x:v>
      </x:c>
      <x:c r="J486" s="15" t="n">
        <x:v>5</x:v>
      </x:c>
      <x:c r="K486" s="23" t="n">
        <x:f>IF(G486="",0,IF(G486&lt;1,0,IF(G486&lt;2,20,IF(G486&lt;3,30,IF(G486&lt;5,40,50)))))*'Scenario Controls'!$B$22/50</x:f>
        <x:v>0</x:v>
      </x:c>
      <x:c r="L486" s="23" t="n">
        <x:f>IF(ISNUMBER(SEARCH("Must Do",AG486)),25,IF(ISNUMBER(SEARCH("Must Have",AG486)),18,IF(ISNUMBER(SEARCH("Deprior",AG486)),5,0)))*'Scenario Controls'!$B$23/25</x:f>
        <x:v>0</x:v>
      </x:c>
      <x:c r="M486" s="23" t="n">
        <x:f>J486*'Scenario Controls'!$B$24/15</x:f>
        <x:v>5</x:v>
      </x:c>
      <x:c r="N486" s="23" t="n">
        <x:f>IF(ISNUMBER(SEARCH("HEALTHY",X486)),10,IF(ISNUMBER(SEARCH("CONTAIN",X486)),6,0))*'Scenario Controls'!$B$25/10</x:f>
        <x:v>0</x:v>
      </x:c>
      <x:c r="O486" s="23" t="n">
        <x:f>SUM(K486:N486)</x:f>
        <x:v>5</x:v>
      </x:c>
      <x:c r="P486" s="15" t="str">
        <x:f>IF(OR(B486="",E486&lt;=0),"Evidence missing / not eligible",IF(ISNUMBER(SEARCH("priority TBD",Y486)),"Evidence missing / not eligible",IF(AND(H486="Carryover",NOT(ISNUMBER(F486))),"Evidence missing / not eligible",IF(AND(H486="Carryover",G486&lt;'Scenario Controls'!$B$16),"Evidence missing / not eligible",IF(AND(H486="ROI-Based Portfolio",NOT(ISNUMBER(F486))),"Evidence missing / not eligible",IF(AND(H486="ROI-Based Portfolio",O486&lt;'Scenario Controls'!$B$20),"Evidence missing / not eligible","Eligible"))))))</x:f>
        <x:v>Evidence missing / not eligible</x:v>
      </x:c>
      <x:c r="Q486" s="19" t="n">
        <x:f>IF(P486&lt;&gt;"Eligible",0,IF(AND(SUMIFS($Q$5:Q485,$H$5:H485,H486)+E486&lt;=(IF(H486="LFR",'Scenario Controls'!$F$10,IF(H486="Sustain Engineering",'Scenario Controls'!$F$11,IF(H486="Hygiene",'Scenario Controls'!$F$12,1E+99))))*(1+'Scenario Controls'!$B$7),SUM($Q$5:Q485)+E486&lt;='Scenario Controls'!$B$6*(1+'Scenario Controls'!$B$7)),E486,0))</x:f>
        <x:v>0</x:v>
      </x:c>
      <x:c r="R486" s="24" t="str">
        <x:f>'BU Conference'!G307</x:f>
        <x:v>Automatic</x:v>
      </x:c>
      <x:c r="S486" s="24" t="str">
        <x:f>'BU Conference'!H307</x:f>
      </x:c>
      <x:c r="T486" s="19" t="n">
        <x:f>IF(R486="Exclude",0,IF(R486="Include",E486,Q486))</x:f>
        <x:v>0</x:v>
      </x:c>
      <x:c r="U486" s="15" t="str">
        <x:f>IF(T486&gt;0,"Funded",IF(P486="Eligible","Unfunded",P486))</x:f>
        <x:v>Evidence missing / not eligible</x:v>
      </x:c>
      <x:c r="V486" s="15" t="str">
        <x:f>IF(R486="Include","Conference inclusion: "&amp;S486,IF(R486="Exclude","Conference exclusion: "&amp;S486,IF(Q486&gt;0,H486&amp;" priority rank "&amp;I486&amp;"; whole initiative selected",P486)))</x:f>
        <x:v>Evidence missing / not eligible</x:v>
      </x:c>
      <x:c r="W486" s="15" t="str">
        <x:v>Bu!668</x:v>
      </x:c>
      <x:c r="X486" s="15" t="str"/>
      <x:c r="Y486" s="15" t="str"/>
      <x:c r="Z486" s="15" t="str"/>
      <x:c r="AA486" s="15" t="str">
        <x:v>New Initiative</x:v>
      </x:c>
      <x:c r="AB486" s="15" t="str"/>
      <x:c r="AC486" s="15" t="str"/>
      <x:c r="AD486" s="15" t="str"/>
      <x:c r="AE486" s="15" t="str">
        <x:v>Establish a reusable AI efficiency framework for PD focused on document intelligence, OCR consolidation, token optimization, model governance, and AI workload reuse. The program will identify and pilot opportunities to reduce AI processing costs. Supports Operational Data Enablement through reusable document-processing workflows and Accelerate Speed to Market by leveraging shared AI intelligence layers and reducing duplicated AI processing across the organization.</x:v>
      </x:c>
      <x:c r="AF486" s="15" t="str">
        <x:v>Establish a reusable AI efficiency framework for PD focused on document intelligence, OCR consolidation, token optimization, model governance, and AI workload reuse. The program will identify and pilot opportunities to reduce AI processing costs. Supports Operational Data Enablement through reusable document-processing workflows and Accelerate Speed to Market by leveraging shared AI intelligence layers and reducing duplicated AI processing across the organization.</x:v>
      </x:c>
      <x:c r="AG486" s="15" t="str"/>
      <x:c r="AH486" s="15" t="n">
        <x:v>508</x:v>
      </x:c>
    </x:row>
    <x:row r="487">
      <x:c r="A487" s="15" t="str">
        <x:v>Bu-332</x:v>
      </x:c>
      <x:c r="B487" s="15" t="str">
        <x:v>Learning &amp; IFU Material creation optimzation</x:v>
      </x:c>
      <x:c r="C487" s="15" t="str">
        <x:v>BU Led</x:v>
      </x:c>
      <x:c r="D487" s="15" t="str">
        <x:v>Precision Diagnosis - Magnetic Resonance (MR)</x:v>
      </x:c>
      <x:c r="E487" s="19" t="n">
        <x:v>0.8</x:v>
      </x:c>
      <x:c r="F487" s="19" t="n">
        <x:v>0</x:v>
      </x:c>
      <x:c r="G487" s="22" t="n">
        <x:f>IF(AND(E487&gt;0,ISNUMBER(F487)),F487/E487,"")</x:f>
        <x:v>0</x:v>
      </x:c>
      <x:c r="H487" s="15" t="str">
        <x:v>ROI-Based Portfolio</x:v>
      </x:c>
      <x:c r="I487" s="15" t="n">
        <x:v>185</x:v>
      </x:c>
      <x:c r="J487" s="15" t="n">
        <x:v>5</x:v>
      </x:c>
      <x:c r="K487" s="23" t="n">
        <x:f>IF(G487="",0,IF(G487&lt;1,0,IF(G487&lt;2,20,IF(G487&lt;3,30,IF(G487&lt;5,40,50)))))*'Scenario Controls'!$B$22/50</x:f>
        <x:v>0</x:v>
      </x:c>
      <x:c r="L487" s="23" t="n">
        <x:f>IF(ISNUMBER(SEARCH("Must Do",AG487)),25,IF(ISNUMBER(SEARCH("Must Have",AG487)),18,IF(ISNUMBER(SEARCH("Deprior",AG487)),5,0)))*'Scenario Controls'!$B$23/25</x:f>
        <x:v>0</x:v>
      </x:c>
      <x:c r="M487" s="23" t="n">
        <x:f>J487*'Scenario Controls'!$B$24/15</x:f>
        <x:v>5</x:v>
      </x:c>
      <x:c r="N487" s="23" t="n">
        <x:f>IF(ISNUMBER(SEARCH("HEALTHY",X487)),10,IF(ISNUMBER(SEARCH("CONTAIN",X487)),6,0))*'Scenario Controls'!$B$25/10</x:f>
        <x:v>0</x:v>
      </x:c>
      <x:c r="O487" s="23" t="n">
        <x:f>SUM(K487:N487)</x:f>
        <x:v>5</x:v>
      </x:c>
      <x:c r="P487" s="15" t="str">
        <x:f>IF(OR(B487="",E487&lt;=0),"Evidence missing / not eligible",IF(ISNUMBER(SEARCH("priority TBD",Y487)),"Evidence missing / not eligible",IF(AND(H487="Carryover",NOT(ISNUMBER(F487))),"Evidence missing / not eligible",IF(AND(H487="Carryover",G487&lt;'Scenario Controls'!$B$16),"Evidence missing / not eligible",IF(AND(H487="ROI-Based Portfolio",NOT(ISNUMBER(F487))),"Evidence missing / not eligible",IF(AND(H487="ROI-Based Portfolio",O487&lt;'Scenario Controls'!$B$20),"Evidence missing / not eligible","Eligible"))))))</x:f>
        <x:v>Evidence missing / not eligible</x:v>
      </x:c>
      <x:c r="Q487" s="19" t="n">
        <x:f>IF(P487&lt;&gt;"Eligible",0,IF(AND(SUMIFS($Q$5:Q486,$H$5:H486,H487)+E487&lt;=(IF(H487="LFR",'Scenario Controls'!$F$10,IF(H487="Sustain Engineering",'Scenario Controls'!$F$11,IF(H487="Hygiene",'Scenario Controls'!$F$12,1E+99))))*(1+'Scenario Controls'!$B$7),SUM($Q$5:Q486)+E487&lt;='Scenario Controls'!$B$6*(1+'Scenario Controls'!$B$7)),E487,0))</x:f>
        <x:v>0</x:v>
      </x:c>
      <x:c r="R487" s="24" t="str">
        <x:f>'BU Conference'!G308</x:f>
        <x:v>Automatic</x:v>
      </x:c>
      <x:c r="S487" s="24" t="str">
        <x:f>'BU Conference'!H308</x:f>
      </x:c>
      <x:c r="T487" s="19" t="n">
        <x:f>IF(R487="Exclude",0,IF(R487="Include",E487,Q487))</x:f>
        <x:v>0</x:v>
      </x:c>
      <x:c r="U487" s="15" t="str">
        <x:f>IF(T487&gt;0,"Funded",IF(P487="Eligible","Unfunded",P487))</x:f>
        <x:v>Evidence missing / not eligible</x:v>
      </x:c>
      <x:c r="V487" s="15" t="str">
        <x:f>IF(R487="Include","Conference inclusion: "&amp;S487,IF(R487="Exclude","Conference exclusion: "&amp;S487,IF(Q487&gt;0,H487&amp;" priority rank "&amp;I487&amp;"; whole initiative selected",P487)))</x:f>
        <x:v>Evidence missing / not eligible</x:v>
      </x:c>
      <x:c r="W487" s="15" t="str">
        <x:v>Bu!669</x:v>
      </x:c>
      <x:c r="X487" s="15" t="str"/>
      <x:c r="Y487" s="15" t="str"/>
      <x:c r="Z487" s="15" t="str"/>
      <x:c r="AA487" s="15" t="str">
        <x:v>New Initiative</x:v>
      </x:c>
      <x:c r="AB487" s="15" t="str"/>
      <x:c r="AC487" s="15" t="str"/>
      <x:c r="AD487" s="15" t="str"/>
      <x:c r="AE487" s="15" t="str">
        <x:v>Creation and maintenance of training and Instructions for Use (IFU) content is largely manual, duplicated across teams, and resource intensive. Leveraging digital tools, AI-enabled content generation, and standardized processes will reduce authoring effort, improve consistency and compliance, accelerate content updates, and lower the total cost of ownership for learning and documentation assets across PD</x:v>
      </x:c>
      <x:c r="AF487" s="15" t="str">
        <x:v>Creation and maintenance of training and Instructions for Use (IFU) content is largely manual, duplicated across teams, and resource intensive. Leveraging digital tools, AI-enabled content generation, and standardized processes will reduce authoring effort, improve consistency and compliance, accelerate content updates, and lower the total cost of ownership for learning and documentation assets across PD</x:v>
      </x:c>
      <x:c r="AG487" s="15" t="str"/>
      <x:c r="AH487" s="15" t="n">
        <x:v>509</x:v>
      </x:c>
    </x:row>
    <x:row r="488">
      <x:c r="A488" s="15" t="str">
        <x:v>Bu-336</x:v>
      </x:c>
      <x:c r="B488" s="15" t="str">
        <x:v>Packaging cost improvement</x:v>
      </x:c>
      <x:c r="C488" s="15" t="str">
        <x:v>BU Led</x:v>
      </x:c>
      <x:c r="D488" s="15" t="str">
        <x:v>Precision Diagnosis - Magnetic Resonance (MR)</x:v>
      </x:c>
      <x:c r="E488" s="19" t="n">
        <x:v>0.2</x:v>
      </x:c>
      <x:c r="F488" s="19" t="n">
        <x:v>0</x:v>
      </x:c>
      <x:c r="G488" s="22" t="n">
        <x:f>IF(AND(E488&gt;0,ISNUMBER(F488)),F488/E488,"")</x:f>
        <x:v>0</x:v>
      </x:c>
      <x:c r="H488" s="15" t="str">
        <x:v>ROI-Based Portfolio</x:v>
      </x:c>
      <x:c r="I488" s="15" t="n">
        <x:v>186</x:v>
      </x:c>
      <x:c r="J488" s="15" t="n">
        <x:v>5</x:v>
      </x:c>
      <x:c r="K488" s="23" t="n">
        <x:f>IF(G488="",0,IF(G488&lt;1,0,IF(G488&lt;2,20,IF(G488&lt;3,30,IF(G488&lt;5,40,50)))))*'Scenario Controls'!$B$22/50</x:f>
        <x:v>0</x:v>
      </x:c>
      <x:c r="L488" s="23" t="n">
        <x:f>IF(ISNUMBER(SEARCH("Must Do",AG488)),25,IF(ISNUMBER(SEARCH("Must Have",AG488)),18,IF(ISNUMBER(SEARCH("Deprior",AG488)),5,0)))*'Scenario Controls'!$B$23/25</x:f>
        <x:v>0</x:v>
      </x:c>
      <x:c r="M488" s="23" t="n">
        <x:f>J488*'Scenario Controls'!$B$24/15</x:f>
        <x:v>5</x:v>
      </x:c>
      <x:c r="N488" s="23" t="n">
        <x:f>IF(ISNUMBER(SEARCH("HEALTHY",X488)),10,IF(ISNUMBER(SEARCH("CONTAIN",X488)),6,0))*'Scenario Controls'!$B$25/10</x:f>
        <x:v>0</x:v>
      </x:c>
      <x:c r="O488" s="23" t="n">
        <x:f>SUM(K488:N488)</x:f>
        <x:v>5</x:v>
      </x:c>
      <x:c r="P488" s="15" t="str">
        <x:f>IF(OR(B488="",E488&lt;=0),"Evidence missing / not eligible",IF(ISNUMBER(SEARCH("priority TBD",Y488)),"Evidence missing / not eligible",IF(AND(H488="Carryover",NOT(ISNUMBER(F488))),"Evidence missing / not eligible",IF(AND(H488="Carryover",G488&lt;'Scenario Controls'!$B$16),"Evidence missing / not eligible",IF(AND(H488="ROI-Based Portfolio",NOT(ISNUMBER(F488))),"Evidence missing / not eligible",IF(AND(H488="ROI-Based Portfolio",O488&lt;'Scenario Controls'!$B$20),"Evidence missing / not eligible","Eligible"))))))</x:f>
        <x:v>Evidence missing / not eligible</x:v>
      </x:c>
      <x:c r="Q488" s="19" t="n">
        <x:f>IF(P488&lt;&gt;"Eligible",0,IF(AND(SUMIFS($Q$5:Q487,$H$5:H487,H488)+E488&lt;=(IF(H488="LFR",'Scenario Controls'!$F$10,IF(H488="Sustain Engineering",'Scenario Controls'!$F$11,IF(H488="Hygiene",'Scenario Controls'!$F$12,1E+99))))*(1+'Scenario Controls'!$B$7),SUM($Q$5:Q487)+E488&lt;='Scenario Controls'!$B$6*(1+'Scenario Controls'!$B$7)),E488,0))</x:f>
        <x:v>0</x:v>
      </x:c>
      <x:c r="R488" s="24" t="str">
        <x:f>'BU Conference'!G309</x:f>
        <x:v>Automatic</x:v>
      </x:c>
      <x:c r="S488" s="24" t="str">
        <x:f>'BU Conference'!H309</x:f>
      </x:c>
      <x:c r="T488" s="19" t="n">
        <x:f>IF(R488="Exclude",0,IF(R488="Include",E488,Q488))</x:f>
        <x:v>0</x:v>
      </x:c>
      <x:c r="U488" s="15" t="str">
        <x:f>IF(T488&gt;0,"Funded",IF(P488="Eligible","Unfunded",P488))</x:f>
        <x:v>Evidence missing / not eligible</x:v>
      </x:c>
      <x:c r="V488" s="15" t="str">
        <x:f>IF(R488="Include","Conference inclusion: "&amp;S488,IF(R488="Exclude","Conference exclusion: "&amp;S488,IF(Q488&gt;0,H488&amp;" priority rank "&amp;I488&amp;"; whole initiative selected",P488)))</x:f>
        <x:v>Evidence missing / not eligible</x:v>
      </x:c>
      <x:c r="W488" s="15" t="str">
        <x:v>Bu!673</x:v>
      </x:c>
      <x:c r="X488" s="15" t="str"/>
      <x:c r="Y488" s="15" t="str"/>
      <x:c r="Z488" s="15" t="str"/>
      <x:c r="AA488" s="15" t="str">
        <x:v>New Initiative</x:v>
      </x:c>
      <x:c r="AB488" s="15" t="str"/>
      <x:c r="AC488" s="15" t="str"/>
      <x:c r="AD488" s="15" t="str"/>
      <x:c r="AE488" s="15" t="str">
        <x:v>Packaging costs are managed independently across PD businesses, resulting in limited visibility of benchmarks, missed standardization opportunities, and duplicated effort. A cross-PD assessment and external benchmarking program will identify design, material, logistics, and supplier optimization opportunities to reduce packaging costs while maintaining product protection and regulatory compliance.</x:v>
      </x:c>
      <x:c r="AF488" s="15" t="str">
        <x:v>Packaging costs are managed independently across PD businesses, resulting in limited visibility of benchmarks, missed standardization opportunities, and duplicated effort. A cross-PD assessment and external benchmarking program will identify design, material, logistics, and supplier optimization opportunities to reduce packaging costs while maintaining product protection and regulatory compliance.</x:v>
      </x:c>
      <x:c r="AG488" s="15" t="str"/>
      <x:c r="AH488" s="15" t="n">
        <x:v>513</x:v>
      </x:c>
    </x:row>
    <x:row r="489">
      <x:c r="A489" s="15" t="str">
        <x:v>EW-26</x:v>
      </x:c>
      <x:c r="B489" s="15" t="str">
        <x:v>Claims Management</x:v>
      </x:c>
      <x:c r="C489" s="15" t="str">
        <x:v>EW Led</x:v>
      </x:c>
      <x:c r="D489" s="15" t="str"/>
      <x:c r="E489" s="19" t="n">
        <x:v>0</x:v>
      </x:c>
      <x:c r="F489" s="19" t="n">
        <x:v>0</x:v>
      </x:c>
      <x:c r="G489" s="22" t="str">
        <x:f>IF(AND(E489&gt;0,ISNUMBER(F489)),F489/E489,"")</x:f>
      </x:c>
      <x:c r="H489" s="15" t="str">
        <x:v>ROI-Based Portfolio</x:v>
      </x:c>
      <x:c r="I489" s="15" t="n">
        <x:v>187</x:v>
      </x:c>
      <x:c r="J489" s="15" t="n">
        <x:v>5</x:v>
      </x:c>
      <x:c r="K489" s="23" t="n">
        <x:f>IF(G489="",0,IF(G489&lt;1,0,IF(G489&lt;2,20,IF(G489&lt;3,30,IF(G489&lt;5,40,50)))))*'Scenario Controls'!$B$22/50</x:f>
        <x:v>0</x:v>
      </x:c>
      <x:c r="L489" s="23" t="n">
        <x:f>IF(ISNUMBER(SEARCH("Must Do",AG489)),25,IF(ISNUMBER(SEARCH("Must Have",AG489)),18,IF(ISNUMBER(SEARCH("Deprior",AG489)),5,0)))*'Scenario Controls'!$B$23/25</x:f>
        <x:v>0</x:v>
      </x:c>
      <x:c r="M489" s="23" t="n">
        <x:f>J489*'Scenario Controls'!$B$24/15</x:f>
        <x:v>5</x:v>
      </x:c>
      <x:c r="N489" s="23" t="n">
        <x:f>IF(ISNUMBER(SEARCH("HEALTHY",X489)),10,IF(ISNUMBER(SEARCH("CONTAIN",X489)),6,0))*'Scenario Controls'!$B$25/10</x:f>
        <x:v>0</x:v>
      </x:c>
      <x:c r="O489" s="23" t="n">
        <x:f>SUM(K489:N489)</x:f>
        <x:v>5</x:v>
      </x:c>
      <x:c r="P489" s="15" t="str">
        <x:f>IF(OR(B489="",E489&lt;=0),"Evidence missing / not eligible",IF(ISNUMBER(SEARCH("priority TBD",Y489)),"Evidence missing / not eligible",IF(AND(H489="Carryover",NOT(ISNUMBER(F489))),"Evidence missing / not eligible",IF(AND(H489="Carryover",G489&lt;'Scenario Controls'!$B$16),"Evidence missing / not eligible",IF(AND(H489="ROI-Based Portfolio",NOT(ISNUMBER(F489))),"Evidence missing / not eligible",IF(AND(H489="ROI-Based Portfolio",O489&lt;'Scenario Controls'!$B$20),"Evidence missing / not eligible","Eligible"))))))</x:f>
        <x:v>Evidence missing / not eligible</x:v>
      </x:c>
      <x:c r="Q489" s="19" t="n">
        <x:f>IF(P489&lt;&gt;"Eligible",0,IF(AND(SUMIFS($Q$5:Q488,$H$5:H488,H489)+E489&lt;=(IF(H489="LFR",'Scenario Controls'!$F$10,IF(H489="Sustain Engineering",'Scenario Controls'!$F$11,IF(H489="Hygiene",'Scenario Controls'!$F$12,1E+99))))*(1+'Scenario Controls'!$B$7),SUM($Q$5:Q488)+E489&lt;='Scenario Controls'!$B$6*(1+'Scenario Controls'!$B$7)),E489,0))</x:f>
        <x:v>0</x:v>
      </x:c>
      <x:c r="R489" s="24" t="str">
        <x:f>'EW Conference'!G185</x:f>
        <x:v>Automatic</x:v>
      </x:c>
      <x:c r="S489" s="24" t="n">
        <x:f>'EW Conference'!H185</x:f>
        <x:v>0</x:v>
      </x:c>
      <x:c r="T489" s="19" t="n">
        <x:f>IF(R489="Exclude",0,IF(R489="Include",E489,Q489))</x:f>
        <x:v>0</x:v>
      </x:c>
      <x:c r="U489" s="15" t="str">
        <x:f>IF(T489&gt;0,"Funded",IF(P489="Eligible","Unfunded",P489))</x:f>
        <x:v>Evidence missing / not eligible</x:v>
      </x:c>
      <x:c r="V489" s="15" t="str">
        <x:f>IF(R489="Include","Conference inclusion: "&amp;S489,IF(R489="Exclude","Conference exclusion: "&amp;S489,IF(Q489&gt;0,H489&amp;" priority rank "&amp;I489&amp;"; whole initiative selected",P489)))</x:f>
        <x:v>Evidence missing / not eligible</x:v>
      </x:c>
      <x:c r="W489" s="15" t="str">
        <x:v>EW!29</x:v>
      </x:c>
      <x:c r="X489" s="15" t="str"/>
      <x:c r="Y489" s="15" t="str"/>
      <x:c r="Z489" s="15" t="str"/>
      <x:c r="AA489" s="15" t="str"/>
      <x:c r="AB489" s="15" t="str"/>
      <x:c r="AC489" s="15" t="str"/>
      <x:c r="AD489" s="15" t="str">
        <x:v>CT</x:v>
      </x:c>
      <x:c r="AE489" s="15" t="str"/>
      <x:c r="AF489" s="15" t="str">
        <x:v>CT</x:v>
      </x:c>
      <x:c r="AG489" s="15" t="str"/>
      <x:c r="AH489" s="15" t="n">
        <x:v>31</x:v>
      </x:c>
    </x:row>
    <x:row r="490">
      <x:c r="A490" s="15" t="str">
        <x:v>Bu-05</x:v>
      </x:c>
      <x:c r="B490" s="15" t="str"/>
      <x:c r="C490" s="15" t="str">
        <x:v>BU Led</x:v>
      </x:c>
      <x:c r="D490" s="15" t="str"/>
      <x:c r="E490" s="19" t="n">
        <x:v>0</x:v>
      </x:c>
      <x:c r="F490" s="19" t="n">
        <x:v>0</x:v>
      </x:c>
      <x:c r="G490" s="22" t="str">
        <x:f>IF(AND(E490&gt;0,ISNUMBER(F490)),F490/E490,"")</x:f>
      </x:c>
      <x:c r="H490" s="15" t="str">
        <x:v>ROI-Based Portfolio</x:v>
      </x:c>
      <x:c r="I490" s="15" t="n">
        <x:v>188</x:v>
      </x:c>
      <x:c r="J490" s="15" t="n">
        <x:v>0</x:v>
      </x:c>
      <x:c r="K490" s="23" t="n">
        <x:f>IF(G490="",0,IF(G490&lt;1,0,IF(G490&lt;2,20,IF(G490&lt;3,30,IF(G490&lt;5,40,50)))))*'Scenario Controls'!$B$22/50</x:f>
        <x:v>0</x:v>
      </x:c>
      <x:c r="L490" s="23" t="n">
        <x:f>IF(ISNUMBER(SEARCH("Must Do",AG490)),25,IF(ISNUMBER(SEARCH("Must Have",AG490)),18,IF(ISNUMBER(SEARCH("Deprior",AG490)),5,0)))*'Scenario Controls'!$B$23/25</x:f>
        <x:v>0</x:v>
      </x:c>
      <x:c r="M490" s="23" t="n">
        <x:f>J490*'Scenario Controls'!$B$24/15</x:f>
        <x:v>0</x:v>
      </x:c>
      <x:c r="N490" s="23" t="n">
        <x:f>IF(ISNUMBER(SEARCH("HEALTHY",X490)),10,IF(ISNUMBER(SEARCH("CONTAIN",X490)),6,0))*'Scenario Controls'!$B$25/10</x:f>
        <x:v>0</x:v>
      </x:c>
      <x:c r="O490" s="23" t="n">
        <x:f>SUM(K490:N490)</x:f>
        <x:v>0</x:v>
      </x:c>
      <x:c r="P490" s="15" t="str">
        <x:f>IF(OR(B490="",E490&lt;=0),"Evidence missing / not eligible",IF(ISNUMBER(SEARCH("priority TBD",Y490)),"Evidence missing / not eligible",IF(AND(H490="Carryover",NOT(ISNUMBER(F490))),"Evidence missing / not eligible",IF(AND(H490="Carryover",G490&lt;'Scenario Controls'!$B$16),"Evidence missing / not eligible",IF(AND(H490="ROI-Based Portfolio",NOT(ISNUMBER(F490))),"Evidence missing / not eligible",IF(AND(H490="ROI-Based Portfolio",O490&lt;'Scenario Controls'!$B$20),"Evidence missing / not eligible","Eligible"))))))</x:f>
        <x:v>Evidence missing / not eligible</x:v>
      </x:c>
      <x:c r="Q490" s="19" t="n">
        <x:f>IF(P490&lt;&gt;"Eligible",0,IF(AND(SUMIFS($Q$5:Q489,$H$5:H489,H490)+E490&lt;=(IF(H490="LFR",'Scenario Controls'!$F$10,IF(H490="Sustain Engineering",'Scenario Controls'!$F$11,IF(H490="Hygiene",'Scenario Controls'!$F$12,1E+99))))*(1+'Scenario Controls'!$B$7),SUM($Q$5:Q489)+E490&lt;='Scenario Controls'!$B$6*(1+'Scenario Controls'!$B$7)),E490,0))</x:f>
        <x:v>0</x:v>
      </x:c>
      <x:c r="R490" s="24" t="str">
        <x:f>'BU Conference'!G310</x:f>
        <x:v>Automatic</x:v>
      </x:c>
      <x:c r="S490" s="24" t="str">
        <x:f>'BU Conference'!H310</x:f>
      </x:c>
      <x:c r="T490" s="19" t="n">
        <x:f>IF(R490="Exclude",0,IF(R490="Include",E490,Q490))</x:f>
        <x:v>0</x:v>
      </x:c>
      <x:c r="U490" s="15" t="str">
        <x:f>IF(T490&gt;0,"Funded",IF(P490="Eligible","Unfunded",P490))</x:f>
        <x:v>Evidence missing / not eligible</x:v>
      </x:c>
      <x:c r="V490" s="15" t="str">
        <x:f>IF(R490="Include","Conference inclusion: "&amp;S490,IF(R490="Exclude","Conference exclusion: "&amp;S490,IF(Q490&gt;0,H490&amp;" priority rank "&amp;I490&amp;"; whole initiative selected",P490)))</x:f>
        <x:v>Evidence missing / not eligible</x:v>
      </x:c>
      <x:c r="W490" s="15" t="str">
        <x:v>Bu!9</x:v>
      </x:c>
      <x:c r="X490" s="15" t="str"/>
      <x:c r="Y490" s="15" t="str"/>
      <x:c r="Z490" s="15" t="str"/>
      <x:c r="AA490" s="15" t="str"/>
      <x:c r="AB490" s="15" t="str"/>
      <x:c r="AC490" s="15" t="str"/>
      <x:c r="AD490" s="15" t="str"/>
      <x:c r="AE490" s="15" t="str"/>
      <x:c r="AF490" s="15" t="str"/>
      <x:c r="AG490" s="15" t="str"/>
      <x:c r="AH490" s="15" t="n">
        <x:v>190</x:v>
      </x:c>
    </x:row>
    <x:row r="491">
      <x:c r="A491" s="15" t="str">
        <x:v>Bu-34</x:v>
      </x:c>
      <x:c r="B491" s="15" t="str"/>
      <x:c r="C491" s="15" t="str">
        <x:v>BU Led</x:v>
      </x:c>
      <x:c r="D491" s="15" t="str"/>
      <x:c r="E491" s="19" t="n">
        <x:v>0</x:v>
      </x:c>
      <x:c r="F491" s="19" t="n">
        <x:v>0</x:v>
      </x:c>
      <x:c r="G491" s="22" t="str">
        <x:f>IF(AND(E491&gt;0,ISNUMBER(F491)),F491/E491,"")</x:f>
      </x:c>
      <x:c r="H491" s="15" t="str">
        <x:v>ROI-Based Portfolio</x:v>
      </x:c>
      <x:c r="I491" s="15" t="n">
        <x:v>189</x:v>
      </x:c>
      <x:c r="J491" s="15" t="n">
        <x:v>0</x:v>
      </x:c>
      <x:c r="K491" s="23" t="n">
        <x:f>IF(G491="",0,IF(G491&lt;1,0,IF(G491&lt;2,20,IF(G491&lt;3,30,IF(G491&lt;5,40,50)))))*'Scenario Controls'!$B$22/50</x:f>
        <x:v>0</x:v>
      </x:c>
      <x:c r="L491" s="23" t="n">
        <x:f>IF(ISNUMBER(SEARCH("Must Do",AG491)),25,IF(ISNUMBER(SEARCH("Must Have",AG491)),18,IF(ISNUMBER(SEARCH("Deprior",AG491)),5,0)))*'Scenario Controls'!$B$23/25</x:f>
        <x:v>0</x:v>
      </x:c>
      <x:c r="M491" s="23" t="n">
        <x:f>J491*'Scenario Controls'!$B$24/15</x:f>
        <x:v>0</x:v>
      </x:c>
      <x:c r="N491" s="23" t="n">
        <x:f>IF(ISNUMBER(SEARCH("HEALTHY",X491)),10,IF(ISNUMBER(SEARCH("CONTAIN",X491)),6,0))*'Scenario Controls'!$B$25/10</x:f>
        <x:v>0</x:v>
      </x:c>
      <x:c r="O491" s="23" t="n">
        <x:f>SUM(K491:N491)</x:f>
        <x:v>0</x:v>
      </x:c>
      <x:c r="P491" s="15" t="str">
        <x:f>IF(OR(B491="",E491&lt;=0),"Evidence missing / not eligible",IF(ISNUMBER(SEARCH("priority TBD",Y491)),"Evidence missing / not eligible",IF(AND(H491="Carryover",NOT(ISNUMBER(F491))),"Evidence missing / not eligible",IF(AND(H491="Carryover",G491&lt;'Scenario Controls'!$B$16),"Evidence missing / not eligible",IF(AND(H491="ROI-Based Portfolio",NOT(ISNUMBER(F491))),"Evidence missing / not eligible",IF(AND(H491="ROI-Based Portfolio",O491&lt;'Scenario Controls'!$B$20),"Evidence missing / not eligible","Eligible"))))))</x:f>
        <x:v>Evidence missing / not eligible</x:v>
      </x:c>
      <x:c r="Q491" s="19" t="n">
        <x:f>IF(P491&lt;&gt;"Eligible",0,IF(AND(SUMIFS($Q$5:Q490,$H$5:H490,H491)+E491&lt;=(IF(H491="LFR",'Scenario Controls'!$F$10,IF(H491="Sustain Engineering",'Scenario Controls'!$F$11,IF(H491="Hygiene",'Scenario Controls'!$F$12,1E+99))))*(1+'Scenario Controls'!$B$7),SUM($Q$5:Q490)+E491&lt;='Scenario Controls'!$B$6*(1+'Scenario Controls'!$B$7)),E491,0))</x:f>
        <x:v>0</x:v>
      </x:c>
      <x:c r="R491" s="24" t="str">
        <x:f>'BU Conference'!G311</x:f>
        <x:v>Automatic</x:v>
      </x:c>
      <x:c r="S491" s="24" t="str">
        <x:f>'BU Conference'!H311</x:f>
      </x:c>
      <x:c r="T491" s="19" t="n">
        <x:f>IF(R491="Exclude",0,IF(R491="Include",E491,Q491))</x:f>
        <x:v>0</x:v>
      </x:c>
      <x:c r="U491" s="15" t="str">
        <x:f>IF(T491&gt;0,"Funded",IF(P491="Eligible","Unfunded",P491))</x:f>
        <x:v>Evidence missing / not eligible</x:v>
      </x:c>
      <x:c r="V491" s="15" t="str">
        <x:f>IF(R491="Include","Conference inclusion: "&amp;S491,IF(R491="Exclude","Conference exclusion: "&amp;S491,IF(Q491&gt;0,H491&amp;" priority rank "&amp;I491&amp;"; whole initiative selected",P491)))</x:f>
        <x:v>Evidence missing / not eligible</x:v>
      </x:c>
      <x:c r="W491" s="15" t="str">
        <x:v>Bu!88</x:v>
      </x:c>
      <x:c r="X491" s="15" t="str"/>
      <x:c r="Y491" s="15" t="str"/>
      <x:c r="Z491" s="15" t="str"/>
      <x:c r="AA491" s="15" t="str"/>
      <x:c r="AB491" s="15" t="str"/>
      <x:c r="AC491" s="15" t="str"/>
      <x:c r="AD491" s="15" t="str"/>
      <x:c r="AE491" s="15" t="str"/>
      <x:c r="AF491" s="15" t="str"/>
      <x:c r="AG491" s="15" t="str"/>
      <x:c r="AH491" s="15" t="n">
        <x:v>219</x:v>
      </x:c>
    </x:row>
    <x:row r="492">
      <x:c r="A492" s="15" t="str">
        <x:v>Bu-56</x:v>
      </x:c>
      <x:c r="B492" s="15" t="str"/>
      <x:c r="C492" s="15" t="str">
        <x:v>BU Led</x:v>
      </x:c>
      <x:c r="D492" s="15" t="str"/>
      <x:c r="E492" s="19" t="n">
        <x:v>0</x:v>
      </x:c>
      <x:c r="F492" s="19" t="n">
        <x:v>0</x:v>
      </x:c>
      <x:c r="G492" s="22" t="str">
        <x:f>IF(AND(E492&gt;0,ISNUMBER(F492)),F492/E492,"")</x:f>
      </x:c>
      <x:c r="H492" s="15" t="str">
        <x:v>ROI-Based Portfolio</x:v>
      </x:c>
      <x:c r="I492" s="15" t="n">
        <x:v>190</x:v>
      </x:c>
      <x:c r="J492" s="15" t="n">
        <x:v>0</x:v>
      </x:c>
      <x:c r="K492" s="23" t="n">
        <x:f>IF(G492="",0,IF(G492&lt;1,0,IF(G492&lt;2,20,IF(G492&lt;3,30,IF(G492&lt;5,40,50)))))*'Scenario Controls'!$B$22/50</x:f>
        <x:v>0</x:v>
      </x:c>
      <x:c r="L492" s="23" t="n">
        <x:f>IF(ISNUMBER(SEARCH("Must Do",AG492)),25,IF(ISNUMBER(SEARCH("Must Have",AG492)),18,IF(ISNUMBER(SEARCH("Deprior",AG492)),5,0)))*'Scenario Controls'!$B$23/25</x:f>
        <x:v>0</x:v>
      </x:c>
      <x:c r="M492" s="23" t="n">
        <x:f>J492*'Scenario Controls'!$B$24/15</x:f>
        <x:v>0</x:v>
      </x:c>
      <x:c r="N492" s="23" t="n">
        <x:f>IF(ISNUMBER(SEARCH("HEALTHY",X492)),10,IF(ISNUMBER(SEARCH("CONTAIN",X492)),6,0))*'Scenario Controls'!$B$25/10</x:f>
        <x:v>0</x:v>
      </x:c>
      <x:c r="O492" s="23" t="n">
        <x:f>SUM(K492:N492)</x:f>
        <x:v>0</x:v>
      </x:c>
      <x:c r="P492" s="15" t="str">
        <x:f>IF(OR(B492="",E492&lt;=0),"Evidence missing / not eligible",IF(ISNUMBER(SEARCH("priority TBD",Y492)),"Evidence missing / not eligible",IF(AND(H492="Carryover",NOT(ISNUMBER(F492))),"Evidence missing / not eligible",IF(AND(H492="Carryover",G492&lt;'Scenario Controls'!$B$16),"Evidence missing / not eligible",IF(AND(H492="ROI-Based Portfolio",NOT(ISNUMBER(F492))),"Evidence missing / not eligible",IF(AND(H492="ROI-Based Portfolio",O492&lt;'Scenario Controls'!$B$20),"Evidence missing / not eligible","Eligible"))))))</x:f>
        <x:v>Evidence missing / not eligible</x:v>
      </x:c>
      <x:c r="Q492" s="19" t="n">
        <x:f>IF(P492&lt;&gt;"Eligible",0,IF(AND(SUMIFS($Q$5:Q491,$H$5:H491,H492)+E492&lt;=(IF(H492="LFR",'Scenario Controls'!$F$10,IF(H492="Sustain Engineering",'Scenario Controls'!$F$11,IF(H492="Hygiene",'Scenario Controls'!$F$12,1E+99))))*(1+'Scenario Controls'!$B$7),SUM($Q$5:Q491)+E492&lt;='Scenario Controls'!$B$6*(1+'Scenario Controls'!$B$7)),E492,0))</x:f>
        <x:v>0</x:v>
      </x:c>
      <x:c r="R492" s="24" t="str">
        <x:f>'BU Conference'!G312</x:f>
        <x:v>Automatic</x:v>
      </x:c>
      <x:c r="S492" s="24" t="str">
        <x:f>'BU Conference'!H312</x:f>
      </x:c>
      <x:c r="T492" s="19" t="n">
        <x:f>IF(R492="Exclude",0,IF(R492="Include",E492,Q492))</x:f>
        <x:v>0</x:v>
      </x:c>
      <x:c r="U492" s="15" t="str">
        <x:f>IF(T492&gt;0,"Funded",IF(P492="Eligible","Unfunded",P492))</x:f>
        <x:v>Evidence missing / not eligible</x:v>
      </x:c>
      <x:c r="V492" s="15" t="str">
        <x:f>IF(R492="Include","Conference inclusion: "&amp;S492,IF(R492="Exclude","Conference exclusion: "&amp;S492,IF(Q492&gt;0,H492&amp;" priority rank "&amp;I492&amp;"; whole initiative selected",P492)))</x:f>
        <x:v>Evidence missing / not eligible</x:v>
      </x:c>
      <x:c r="W492" s="15" t="str">
        <x:v>Bu!120</x:v>
      </x:c>
      <x:c r="X492" s="15" t="str"/>
      <x:c r="Y492" s="15" t="str"/>
      <x:c r="Z492" s="15" t="str"/>
      <x:c r="AA492" s="15" t="str"/>
      <x:c r="AB492" s="15" t="str"/>
      <x:c r="AC492" s="15" t="str"/>
      <x:c r="AD492" s="15" t="str"/>
      <x:c r="AE492" s="15" t="str"/>
      <x:c r="AF492" s="15" t="str"/>
      <x:c r="AG492" s="15" t="str"/>
      <x:c r="AH492" s="15" t="n">
        <x:v>233</x:v>
      </x:c>
    </x:row>
    <x:row r="493">
      <x:c r="A493" s="15" t="str">
        <x:v>Bu-62</x:v>
      </x:c>
      <x:c r="B493" s="15" t="str"/>
      <x:c r="C493" s="15" t="str">
        <x:v>BU Led</x:v>
      </x:c>
      <x:c r="D493" s="15" t="str"/>
      <x:c r="E493" s="19" t="n">
        <x:v>0</x:v>
      </x:c>
      <x:c r="F493" s="19" t="n">
        <x:v>0</x:v>
      </x:c>
      <x:c r="G493" s="22" t="str">
        <x:f>IF(AND(E493&gt;0,ISNUMBER(F493)),F493/E493,"")</x:f>
      </x:c>
      <x:c r="H493" s="15" t="str">
        <x:v>ROI-Based Portfolio</x:v>
      </x:c>
      <x:c r="I493" s="15" t="n">
        <x:v>191</x:v>
      </x:c>
      <x:c r="J493" s="15" t="n">
        <x:v>0</x:v>
      </x:c>
      <x:c r="K493" s="23" t="n">
        <x:f>IF(G493="",0,IF(G493&lt;1,0,IF(G493&lt;2,20,IF(G493&lt;3,30,IF(G493&lt;5,40,50)))))*'Scenario Controls'!$B$22/50</x:f>
        <x:v>0</x:v>
      </x:c>
      <x:c r="L493" s="23" t="n">
        <x:f>IF(ISNUMBER(SEARCH("Must Do",AG493)),25,IF(ISNUMBER(SEARCH("Must Have",AG493)),18,IF(ISNUMBER(SEARCH("Deprior",AG493)),5,0)))*'Scenario Controls'!$B$23/25</x:f>
        <x:v>0</x:v>
      </x:c>
      <x:c r="M493" s="23" t="n">
        <x:f>J493*'Scenario Controls'!$B$24/15</x:f>
        <x:v>0</x:v>
      </x:c>
      <x:c r="N493" s="23" t="n">
        <x:f>IF(ISNUMBER(SEARCH("HEALTHY",X493)),10,IF(ISNUMBER(SEARCH("CONTAIN",X493)),6,0))*'Scenario Controls'!$B$25/10</x:f>
        <x:v>0</x:v>
      </x:c>
      <x:c r="O493" s="23" t="n">
        <x:f>SUM(K493:N493)</x:f>
        <x:v>0</x:v>
      </x:c>
      <x:c r="P493" s="15" t="str">
        <x:f>IF(OR(B493="",E493&lt;=0),"Evidence missing / not eligible",IF(ISNUMBER(SEARCH("priority TBD",Y493)),"Evidence missing / not eligible",IF(AND(H493="Carryover",NOT(ISNUMBER(F493))),"Evidence missing / not eligible",IF(AND(H493="Carryover",G493&lt;'Scenario Controls'!$B$16),"Evidence missing / not eligible",IF(AND(H493="ROI-Based Portfolio",NOT(ISNUMBER(F493))),"Evidence missing / not eligible",IF(AND(H493="ROI-Based Portfolio",O493&lt;'Scenario Controls'!$B$20),"Evidence missing / not eligible","Eligible"))))))</x:f>
        <x:v>Evidence missing / not eligible</x:v>
      </x:c>
      <x:c r="Q493" s="19" t="n">
        <x:f>IF(P493&lt;&gt;"Eligible",0,IF(AND(SUMIFS($Q$5:Q492,$H$5:H492,H493)+E493&lt;=(IF(H493="LFR",'Scenario Controls'!$F$10,IF(H493="Sustain Engineering",'Scenario Controls'!$F$11,IF(H493="Hygiene",'Scenario Controls'!$F$12,1E+99))))*(1+'Scenario Controls'!$B$7),SUM($Q$5:Q492)+E493&lt;='Scenario Controls'!$B$6*(1+'Scenario Controls'!$B$7)),E493,0))</x:f>
        <x:v>0</x:v>
      </x:c>
      <x:c r="R493" s="24" t="str">
        <x:f>'BU Conference'!G313</x:f>
        <x:v>Automatic</x:v>
      </x:c>
      <x:c r="S493" s="24" t="str">
        <x:f>'BU Conference'!H313</x:f>
      </x:c>
      <x:c r="T493" s="19" t="n">
        <x:f>IF(R493="Exclude",0,IF(R493="Include",E493,Q493))</x:f>
        <x:v>0</x:v>
      </x:c>
      <x:c r="U493" s="15" t="str">
        <x:f>IF(T493&gt;0,"Funded",IF(P493="Eligible","Unfunded",P493))</x:f>
        <x:v>Evidence missing / not eligible</x:v>
      </x:c>
      <x:c r="V493" s="15" t="str">
        <x:f>IF(R493="Include","Conference inclusion: "&amp;S493,IF(R493="Exclude","Conference exclusion: "&amp;S493,IF(Q493&gt;0,H493&amp;" priority rank "&amp;I493&amp;"; whole initiative selected",P493)))</x:f>
        <x:v>Evidence missing / not eligible</x:v>
      </x:c>
      <x:c r="W493" s="15" t="str">
        <x:v>Bu!135</x:v>
      </x:c>
      <x:c r="X493" s="15" t="str"/>
      <x:c r="Y493" s="15" t="str"/>
      <x:c r="Z493" s="15" t="str"/>
      <x:c r="AA493" s="15" t="str"/>
      <x:c r="AB493" s="15" t="str"/>
      <x:c r="AC493" s="15" t="str"/>
      <x:c r="AD493" s="15" t="str"/>
      <x:c r="AE493" s="15" t="str"/>
      <x:c r="AF493" s="15" t="str"/>
      <x:c r="AG493" s="15" t="str"/>
      <x:c r="AH493" s="15" t="n">
        <x:v>239</x:v>
      </x:c>
    </x:row>
    <x:row r="494">
      <x:c r="A494" s="15" t="str">
        <x:v>Bu-64</x:v>
      </x:c>
      <x:c r="B494" s="15" t="str"/>
      <x:c r="C494" s="15" t="str">
        <x:v>BU Led</x:v>
      </x:c>
      <x:c r="D494" s="15" t="str"/>
      <x:c r="E494" s="19" t="n">
        <x:v>0</x:v>
      </x:c>
      <x:c r="F494" s="19" t="n">
        <x:v>0</x:v>
      </x:c>
      <x:c r="G494" s="22" t="str">
        <x:f>IF(AND(E494&gt;0,ISNUMBER(F494)),F494/E494,"")</x:f>
      </x:c>
      <x:c r="H494" s="15" t="str">
        <x:v>ROI-Based Portfolio</x:v>
      </x:c>
      <x:c r="I494" s="15" t="n">
        <x:v>192</x:v>
      </x:c>
      <x:c r="J494" s="15" t="n">
        <x:v>0</x:v>
      </x:c>
      <x:c r="K494" s="23" t="n">
        <x:f>IF(G494="",0,IF(G494&lt;1,0,IF(G494&lt;2,20,IF(G494&lt;3,30,IF(G494&lt;5,40,50)))))*'Scenario Controls'!$B$22/50</x:f>
        <x:v>0</x:v>
      </x:c>
      <x:c r="L494" s="23" t="n">
        <x:f>IF(ISNUMBER(SEARCH("Must Do",AG494)),25,IF(ISNUMBER(SEARCH("Must Have",AG494)),18,IF(ISNUMBER(SEARCH("Deprior",AG494)),5,0)))*'Scenario Controls'!$B$23/25</x:f>
        <x:v>0</x:v>
      </x:c>
      <x:c r="M494" s="23" t="n">
        <x:f>J494*'Scenario Controls'!$B$24/15</x:f>
        <x:v>0</x:v>
      </x:c>
      <x:c r="N494" s="23" t="n">
        <x:f>IF(ISNUMBER(SEARCH("HEALTHY",X494)),10,IF(ISNUMBER(SEARCH("CONTAIN",X494)),6,0))*'Scenario Controls'!$B$25/10</x:f>
        <x:v>0</x:v>
      </x:c>
      <x:c r="O494" s="23" t="n">
        <x:f>SUM(K494:N494)</x:f>
        <x:v>0</x:v>
      </x:c>
      <x:c r="P494" s="15" t="str">
        <x:f>IF(OR(B494="",E494&lt;=0),"Evidence missing / not eligible",IF(ISNUMBER(SEARCH("priority TBD",Y494)),"Evidence missing / not eligible",IF(AND(H494="Carryover",NOT(ISNUMBER(F494))),"Evidence missing / not eligible",IF(AND(H494="Carryover",G494&lt;'Scenario Controls'!$B$16),"Evidence missing / not eligible",IF(AND(H494="ROI-Based Portfolio",NOT(ISNUMBER(F494))),"Evidence missing / not eligible",IF(AND(H494="ROI-Based Portfolio",O494&lt;'Scenario Controls'!$B$20),"Evidence missing / not eligible","Eligible"))))))</x:f>
        <x:v>Evidence missing / not eligible</x:v>
      </x:c>
      <x:c r="Q494" s="19" t="n">
        <x:f>IF(P494&lt;&gt;"Eligible",0,IF(AND(SUMIFS($Q$5:Q493,$H$5:H493,H494)+E494&lt;=(IF(H494="LFR",'Scenario Controls'!$F$10,IF(H494="Sustain Engineering",'Scenario Controls'!$F$11,IF(H494="Hygiene",'Scenario Controls'!$F$12,1E+99))))*(1+'Scenario Controls'!$B$7),SUM($Q$5:Q493)+E494&lt;='Scenario Controls'!$B$6*(1+'Scenario Controls'!$B$7)),E494,0))</x:f>
        <x:v>0</x:v>
      </x:c>
      <x:c r="R494" s="24" t="str">
        <x:f>'BU Conference'!G314</x:f>
        <x:v>Automatic</x:v>
      </x:c>
      <x:c r="S494" s="24" t="str">
        <x:f>'BU Conference'!H314</x:f>
      </x:c>
      <x:c r="T494" s="19" t="n">
        <x:f>IF(R494="Exclude",0,IF(R494="Include",E494,Q494))</x:f>
        <x:v>0</x:v>
      </x:c>
      <x:c r="U494" s="15" t="str">
        <x:f>IF(T494&gt;0,"Funded",IF(P494="Eligible","Unfunded",P494))</x:f>
        <x:v>Evidence missing / not eligible</x:v>
      </x:c>
      <x:c r="V494" s="15" t="str">
        <x:f>IF(R494="Include","Conference inclusion: "&amp;S494,IF(R494="Exclude","Conference exclusion: "&amp;S494,IF(Q494&gt;0,H494&amp;" priority rank "&amp;I494&amp;"; whole initiative selected",P494)))</x:f>
        <x:v>Evidence missing / not eligible</x:v>
      </x:c>
      <x:c r="W494" s="15" t="str">
        <x:v>Bu!138</x:v>
      </x:c>
      <x:c r="X494" s="15" t="str"/>
      <x:c r="Y494" s="15" t="str"/>
      <x:c r="Z494" s="15" t="str"/>
      <x:c r="AA494" s="15" t="str"/>
      <x:c r="AB494" s="15" t="str"/>
      <x:c r="AC494" s="15" t="str"/>
      <x:c r="AD494" s="15" t="str"/>
      <x:c r="AE494" s="15" t="str"/>
      <x:c r="AF494" s="15" t="str"/>
      <x:c r="AG494" s="15" t="str"/>
      <x:c r="AH494" s="15" t="n">
        <x:v>241</x:v>
      </x:c>
    </x:row>
    <x:row r="495">
      <x:c r="A495" s="15" t="str">
        <x:v>Bu-88</x:v>
      </x:c>
      <x:c r="B495" s="15" t="str"/>
      <x:c r="C495" s="15" t="str">
        <x:v>BU Led</x:v>
      </x:c>
      <x:c r="D495" s="15" t="str"/>
      <x:c r="E495" s="19" t="n">
        <x:v>0</x:v>
      </x:c>
      <x:c r="F495" s="19" t="n">
        <x:v>0</x:v>
      </x:c>
      <x:c r="G495" s="22" t="str">
        <x:f>IF(AND(E495&gt;0,ISNUMBER(F495)),F495/E495,"")</x:f>
      </x:c>
      <x:c r="H495" s="15" t="str">
        <x:v>ROI-Based Portfolio</x:v>
      </x:c>
      <x:c r="I495" s="15" t="n">
        <x:v>193</x:v>
      </x:c>
      <x:c r="J495" s="15" t="n">
        <x:v>0</x:v>
      </x:c>
      <x:c r="K495" s="23" t="n">
        <x:f>IF(G495="",0,IF(G495&lt;1,0,IF(G495&lt;2,20,IF(G495&lt;3,30,IF(G495&lt;5,40,50)))))*'Scenario Controls'!$B$22/50</x:f>
        <x:v>0</x:v>
      </x:c>
      <x:c r="L495" s="23" t="n">
        <x:f>IF(ISNUMBER(SEARCH("Must Do",AG495)),25,IF(ISNUMBER(SEARCH("Must Have",AG495)),18,IF(ISNUMBER(SEARCH("Deprior",AG495)),5,0)))*'Scenario Controls'!$B$23/25</x:f>
        <x:v>0</x:v>
      </x:c>
      <x:c r="M495" s="23" t="n">
        <x:f>J495*'Scenario Controls'!$B$24/15</x:f>
        <x:v>0</x:v>
      </x:c>
      <x:c r="N495" s="23" t="n">
        <x:f>IF(ISNUMBER(SEARCH("HEALTHY",X495)),10,IF(ISNUMBER(SEARCH("CONTAIN",X495)),6,0))*'Scenario Controls'!$B$25/10</x:f>
        <x:v>0</x:v>
      </x:c>
      <x:c r="O495" s="23" t="n">
        <x:f>SUM(K495:N495)</x:f>
        <x:v>0</x:v>
      </x:c>
      <x:c r="P495" s="15" t="str">
        <x:f>IF(OR(B495="",E495&lt;=0),"Evidence missing / not eligible",IF(ISNUMBER(SEARCH("priority TBD",Y495)),"Evidence missing / not eligible",IF(AND(H495="Carryover",NOT(ISNUMBER(F495))),"Evidence missing / not eligible",IF(AND(H495="Carryover",G495&lt;'Scenario Controls'!$B$16),"Evidence missing / not eligible",IF(AND(H495="ROI-Based Portfolio",NOT(ISNUMBER(F495))),"Evidence missing / not eligible",IF(AND(H495="ROI-Based Portfolio",O495&lt;'Scenario Controls'!$B$20),"Evidence missing / not eligible","Eligible"))))))</x:f>
        <x:v>Evidence missing / not eligible</x:v>
      </x:c>
      <x:c r="Q495" s="19" t="n">
        <x:f>IF(P495&lt;&gt;"Eligible",0,IF(AND(SUMIFS($Q$5:Q494,$H$5:H494,H495)+E495&lt;=(IF(H495="LFR",'Scenario Controls'!$F$10,IF(H495="Sustain Engineering",'Scenario Controls'!$F$11,IF(H495="Hygiene",'Scenario Controls'!$F$12,1E+99))))*(1+'Scenario Controls'!$B$7),SUM($Q$5:Q494)+E495&lt;='Scenario Controls'!$B$6*(1+'Scenario Controls'!$B$7)),E495,0))</x:f>
        <x:v>0</x:v>
      </x:c>
      <x:c r="R495" s="24" t="str">
        <x:f>'BU Conference'!G315</x:f>
        <x:v>Automatic</x:v>
      </x:c>
      <x:c r="S495" s="24" t="str">
        <x:f>'BU Conference'!H315</x:f>
      </x:c>
      <x:c r="T495" s="19" t="n">
        <x:f>IF(R495="Exclude",0,IF(R495="Include",E495,Q495))</x:f>
        <x:v>0</x:v>
      </x:c>
      <x:c r="U495" s="15" t="str">
        <x:f>IF(T495&gt;0,"Funded",IF(P495="Eligible","Unfunded",P495))</x:f>
        <x:v>Evidence missing / not eligible</x:v>
      </x:c>
      <x:c r="V495" s="15" t="str">
        <x:f>IF(R495="Include","Conference inclusion: "&amp;S495,IF(R495="Exclude","Conference exclusion: "&amp;S495,IF(Q495&gt;0,H495&amp;" priority rank "&amp;I495&amp;"; whole initiative selected",P495)))</x:f>
        <x:v>Evidence missing / not eligible</x:v>
      </x:c>
      <x:c r="W495" s="15" t="str">
        <x:v>Bu!228</x:v>
      </x:c>
      <x:c r="X495" s="15" t="str"/>
      <x:c r="Y495" s="15" t="str"/>
      <x:c r="Z495" s="15" t="str"/>
      <x:c r="AA495" s="15" t="str"/>
      <x:c r="AB495" s="15" t="str"/>
      <x:c r="AC495" s="15" t="str"/>
      <x:c r="AD495" s="15" t="str"/>
      <x:c r="AE495" s="15" t="str"/>
      <x:c r="AF495" s="15" t="str"/>
      <x:c r="AG495" s="15" t="str"/>
      <x:c r="AH495" s="15" t="n">
        <x:v>265</x:v>
      </x:c>
    </x:row>
    <x:row r="496">
      <x:c r="A496" s="15" t="str">
        <x:v>Bu-119</x:v>
      </x:c>
      <x:c r="B496" s="15" t="str"/>
      <x:c r="C496" s="15" t="str">
        <x:v>BU Led</x:v>
      </x:c>
      <x:c r="D496" s="15" t="str"/>
      <x:c r="E496" s="19" t="n">
        <x:v>0</x:v>
      </x:c>
      <x:c r="F496" s="19" t="n">
        <x:v>0</x:v>
      </x:c>
      <x:c r="G496" s="22" t="str">
        <x:f>IF(AND(E496&gt;0,ISNUMBER(F496)),F496/E496,"")</x:f>
      </x:c>
      <x:c r="H496" s="15" t="str">
        <x:v>ROI-Based Portfolio</x:v>
      </x:c>
      <x:c r="I496" s="15" t="n">
        <x:v>194</x:v>
      </x:c>
      <x:c r="J496" s="15" t="n">
        <x:v>0</x:v>
      </x:c>
      <x:c r="K496" s="23" t="n">
        <x:f>IF(G496="",0,IF(G496&lt;1,0,IF(G496&lt;2,20,IF(G496&lt;3,30,IF(G496&lt;5,40,50)))))*'Scenario Controls'!$B$22/50</x:f>
        <x:v>0</x:v>
      </x:c>
      <x:c r="L496" s="23" t="n">
        <x:f>IF(ISNUMBER(SEARCH("Must Do",AG496)),25,IF(ISNUMBER(SEARCH("Must Have",AG496)),18,IF(ISNUMBER(SEARCH("Deprior",AG496)),5,0)))*'Scenario Controls'!$B$23/25</x:f>
        <x:v>0</x:v>
      </x:c>
      <x:c r="M496" s="23" t="n">
        <x:f>J496*'Scenario Controls'!$B$24/15</x:f>
        <x:v>0</x:v>
      </x:c>
      <x:c r="N496" s="23" t="n">
        <x:f>IF(ISNUMBER(SEARCH("HEALTHY",X496)),10,IF(ISNUMBER(SEARCH("CONTAIN",X496)),6,0))*'Scenario Controls'!$B$25/10</x:f>
        <x:v>0</x:v>
      </x:c>
      <x:c r="O496" s="23" t="n">
        <x:f>SUM(K496:N496)</x:f>
        <x:v>0</x:v>
      </x:c>
      <x:c r="P496" s="15" t="str">
        <x:f>IF(OR(B496="",E496&lt;=0),"Evidence missing / not eligible",IF(ISNUMBER(SEARCH("priority TBD",Y496)),"Evidence missing / not eligible",IF(AND(H496="Carryover",NOT(ISNUMBER(F496))),"Evidence missing / not eligible",IF(AND(H496="Carryover",G496&lt;'Scenario Controls'!$B$16),"Evidence missing / not eligible",IF(AND(H496="ROI-Based Portfolio",NOT(ISNUMBER(F496))),"Evidence missing / not eligible",IF(AND(H496="ROI-Based Portfolio",O496&lt;'Scenario Controls'!$B$20),"Evidence missing / not eligible","Eligible"))))))</x:f>
        <x:v>Evidence missing / not eligible</x:v>
      </x:c>
      <x:c r="Q496" s="19" t="n">
        <x:f>IF(P496&lt;&gt;"Eligible",0,IF(AND(SUMIFS($Q$5:Q495,$H$5:H495,H496)+E496&lt;=(IF(H496="LFR",'Scenario Controls'!$F$10,IF(H496="Sustain Engineering",'Scenario Controls'!$F$11,IF(H496="Hygiene",'Scenario Controls'!$F$12,1E+99))))*(1+'Scenario Controls'!$B$7),SUM($Q$5:Q495)+E496&lt;='Scenario Controls'!$B$6*(1+'Scenario Controls'!$B$7)),E496,0))</x:f>
        <x:v>0</x:v>
      </x:c>
      <x:c r="R496" s="24" t="str">
        <x:f>'BU Conference'!G316</x:f>
        <x:v>Automatic</x:v>
      </x:c>
      <x:c r="S496" s="24" t="str">
        <x:f>'BU Conference'!H316</x:f>
      </x:c>
      <x:c r="T496" s="19" t="n">
        <x:f>IF(R496="Exclude",0,IF(R496="Include",E496,Q496))</x:f>
        <x:v>0</x:v>
      </x:c>
      <x:c r="U496" s="15" t="str">
        <x:f>IF(T496&gt;0,"Funded",IF(P496="Eligible","Unfunded",P496))</x:f>
        <x:v>Evidence missing / not eligible</x:v>
      </x:c>
      <x:c r="V496" s="15" t="str">
        <x:f>IF(R496="Include","Conference inclusion: "&amp;S496,IF(R496="Exclude","Conference exclusion: "&amp;S496,IF(Q496&gt;0,H496&amp;" priority rank "&amp;I496&amp;"; whole initiative selected",P496)))</x:f>
        <x:v>Evidence missing / not eligible</x:v>
      </x:c>
      <x:c r="W496" s="15" t="str">
        <x:v>Bu!296</x:v>
      </x:c>
      <x:c r="X496" s="15" t="str"/>
      <x:c r="Y496" s="15" t="str"/>
      <x:c r="Z496" s="15" t="str"/>
      <x:c r="AA496" s="15" t="str"/>
      <x:c r="AB496" s="15" t="str"/>
      <x:c r="AC496" s="15" t="str"/>
      <x:c r="AD496" s="15" t="str"/>
      <x:c r="AE496" s="15" t="str"/>
      <x:c r="AF496" s="15" t="str"/>
      <x:c r="AG496" s="15" t="str"/>
      <x:c r="AH496" s="15" t="n">
        <x:v>296</x:v>
      </x:c>
    </x:row>
    <x:row r="497">
      <x:c r="A497" s="15" t="str">
        <x:v>Bu-120</x:v>
      </x:c>
      <x:c r="B497" s="15" t="str"/>
      <x:c r="C497" s="15" t="str">
        <x:v>BU Led</x:v>
      </x:c>
      <x:c r="D497" s="15" t="str"/>
      <x:c r="E497" s="19" t="n">
        <x:v>0</x:v>
      </x:c>
      <x:c r="F497" s="19" t="n">
        <x:v>0</x:v>
      </x:c>
      <x:c r="G497" s="22" t="str">
        <x:f>IF(AND(E497&gt;0,ISNUMBER(F497)),F497/E497,"")</x:f>
      </x:c>
      <x:c r="H497" s="15" t="str">
        <x:v>ROI-Based Portfolio</x:v>
      </x:c>
      <x:c r="I497" s="15" t="n">
        <x:v>195</x:v>
      </x:c>
      <x:c r="J497" s="15" t="n">
        <x:v>0</x:v>
      </x:c>
      <x:c r="K497" s="23" t="n">
        <x:f>IF(G497="",0,IF(G497&lt;1,0,IF(G497&lt;2,20,IF(G497&lt;3,30,IF(G497&lt;5,40,50)))))*'Scenario Controls'!$B$22/50</x:f>
        <x:v>0</x:v>
      </x:c>
      <x:c r="L497" s="23" t="n">
        <x:f>IF(ISNUMBER(SEARCH("Must Do",AG497)),25,IF(ISNUMBER(SEARCH("Must Have",AG497)),18,IF(ISNUMBER(SEARCH("Deprior",AG497)),5,0)))*'Scenario Controls'!$B$23/25</x:f>
        <x:v>0</x:v>
      </x:c>
      <x:c r="M497" s="23" t="n">
        <x:f>J497*'Scenario Controls'!$B$24/15</x:f>
        <x:v>0</x:v>
      </x:c>
      <x:c r="N497" s="23" t="n">
        <x:f>IF(ISNUMBER(SEARCH("HEALTHY",X497)),10,IF(ISNUMBER(SEARCH("CONTAIN",X497)),6,0))*'Scenario Controls'!$B$25/10</x:f>
        <x:v>0</x:v>
      </x:c>
      <x:c r="O497" s="23" t="n">
        <x:f>SUM(K497:N497)</x:f>
        <x:v>0</x:v>
      </x:c>
      <x:c r="P497" s="15" t="str">
        <x:f>IF(OR(B497="",E497&lt;=0),"Evidence missing / not eligible",IF(ISNUMBER(SEARCH("priority TBD",Y497)),"Evidence missing / not eligible",IF(AND(H497="Carryover",NOT(ISNUMBER(F497))),"Evidence missing / not eligible",IF(AND(H497="Carryover",G497&lt;'Scenario Controls'!$B$16),"Evidence missing / not eligible",IF(AND(H497="ROI-Based Portfolio",NOT(ISNUMBER(F497))),"Evidence missing / not eligible",IF(AND(H497="ROI-Based Portfolio",O497&lt;'Scenario Controls'!$B$20),"Evidence missing / not eligible","Eligible"))))))</x:f>
        <x:v>Evidence missing / not eligible</x:v>
      </x:c>
      <x:c r="Q497" s="19" t="n">
        <x:f>IF(P497&lt;&gt;"Eligible",0,IF(AND(SUMIFS($Q$5:Q496,$H$5:H496,H497)+E497&lt;=(IF(H497="LFR",'Scenario Controls'!$F$10,IF(H497="Sustain Engineering",'Scenario Controls'!$F$11,IF(H497="Hygiene",'Scenario Controls'!$F$12,1E+99))))*(1+'Scenario Controls'!$B$7),SUM($Q$5:Q496)+E497&lt;='Scenario Controls'!$B$6*(1+'Scenario Controls'!$B$7)),E497,0))</x:f>
        <x:v>0</x:v>
      </x:c>
      <x:c r="R497" s="24" t="str">
        <x:f>'BU Conference'!G317</x:f>
        <x:v>Automatic</x:v>
      </x:c>
      <x:c r="S497" s="24" t="str">
        <x:f>'BU Conference'!H317</x:f>
      </x:c>
      <x:c r="T497" s="19" t="n">
        <x:f>IF(R497="Exclude",0,IF(R497="Include",E497,Q497))</x:f>
        <x:v>0</x:v>
      </x:c>
      <x:c r="U497" s="15" t="str">
        <x:f>IF(T497&gt;0,"Funded",IF(P497="Eligible","Unfunded",P497))</x:f>
        <x:v>Evidence missing / not eligible</x:v>
      </x:c>
      <x:c r="V497" s="15" t="str">
        <x:f>IF(R497="Include","Conference inclusion: "&amp;S497,IF(R497="Exclude","Conference exclusion: "&amp;S497,IF(Q497&gt;0,H497&amp;" priority rank "&amp;I497&amp;"; whole initiative selected",P497)))</x:f>
        <x:v>Evidence missing / not eligible</x:v>
      </x:c>
      <x:c r="W497" s="15" t="str">
        <x:v>Bu!297</x:v>
      </x:c>
      <x:c r="X497" s="15" t="str"/>
      <x:c r="Y497" s="15" t="str"/>
      <x:c r="Z497" s="15" t="str"/>
      <x:c r="AA497" s="15" t="str"/>
      <x:c r="AB497" s="15" t="str"/>
      <x:c r="AC497" s="15" t="str"/>
      <x:c r="AD497" s="15" t="str"/>
      <x:c r="AE497" s="15" t="str"/>
      <x:c r="AF497" s="15" t="str"/>
      <x:c r="AG497" s="15" t="str"/>
      <x:c r="AH497" s="15" t="n">
        <x:v>297</x:v>
      </x:c>
    </x:row>
    <x:row r="498">
      <x:c r="A498" s="15" t="str">
        <x:v>Bu-121</x:v>
      </x:c>
      <x:c r="B498" s="15" t="str"/>
      <x:c r="C498" s="15" t="str">
        <x:v>BU Led</x:v>
      </x:c>
      <x:c r="D498" s="15" t="str"/>
      <x:c r="E498" s="19" t="n">
        <x:v>0</x:v>
      </x:c>
      <x:c r="F498" s="19" t="n">
        <x:v>0</x:v>
      </x:c>
      <x:c r="G498" s="22" t="str">
        <x:f>IF(AND(E498&gt;0,ISNUMBER(F498)),F498/E498,"")</x:f>
      </x:c>
      <x:c r="H498" s="15" t="str">
        <x:v>ROI-Based Portfolio</x:v>
      </x:c>
      <x:c r="I498" s="15" t="n">
        <x:v>196</x:v>
      </x:c>
      <x:c r="J498" s="15" t="n">
        <x:v>0</x:v>
      </x:c>
      <x:c r="K498" s="23" t="n">
        <x:f>IF(G498="",0,IF(G498&lt;1,0,IF(G498&lt;2,20,IF(G498&lt;3,30,IF(G498&lt;5,40,50)))))*'Scenario Controls'!$B$22/50</x:f>
        <x:v>0</x:v>
      </x:c>
      <x:c r="L498" s="23" t="n">
        <x:f>IF(ISNUMBER(SEARCH("Must Do",AG498)),25,IF(ISNUMBER(SEARCH("Must Have",AG498)),18,IF(ISNUMBER(SEARCH("Deprior",AG498)),5,0)))*'Scenario Controls'!$B$23/25</x:f>
        <x:v>0</x:v>
      </x:c>
      <x:c r="M498" s="23" t="n">
        <x:f>J498*'Scenario Controls'!$B$24/15</x:f>
        <x:v>0</x:v>
      </x:c>
      <x:c r="N498" s="23" t="n">
        <x:f>IF(ISNUMBER(SEARCH("HEALTHY",X498)),10,IF(ISNUMBER(SEARCH("CONTAIN",X498)),6,0))*'Scenario Controls'!$B$25/10</x:f>
        <x:v>0</x:v>
      </x:c>
      <x:c r="O498" s="23" t="n">
        <x:f>SUM(K498:N498)</x:f>
        <x:v>0</x:v>
      </x:c>
      <x:c r="P498" s="15" t="str">
        <x:f>IF(OR(B498="",E498&lt;=0),"Evidence missing / not eligible",IF(ISNUMBER(SEARCH("priority TBD",Y498)),"Evidence missing / not eligible",IF(AND(H498="Carryover",NOT(ISNUMBER(F498))),"Evidence missing / not eligible",IF(AND(H498="Carryover",G498&lt;'Scenario Controls'!$B$16),"Evidence missing / not eligible",IF(AND(H498="ROI-Based Portfolio",NOT(ISNUMBER(F498))),"Evidence missing / not eligible",IF(AND(H498="ROI-Based Portfolio",O498&lt;'Scenario Controls'!$B$20),"Evidence missing / not eligible","Eligible"))))))</x:f>
        <x:v>Evidence missing / not eligible</x:v>
      </x:c>
      <x:c r="Q498" s="19" t="n">
        <x:f>IF(P498&lt;&gt;"Eligible",0,IF(AND(SUMIFS($Q$5:Q497,$H$5:H497,H498)+E498&lt;=(IF(H498="LFR",'Scenario Controls'!$F$10,IF(H498="Sustain Engineering",'Scenario Controls'!$F$11,IF(H498="Hygiene",'Scenario Controls'!$F$12,1E+99))))*(1+'Scenario Controls'!$B$7),SUM($Q$5:Q497)+E498&lt;='Scenario Controls'!$B$6*(1+'Scenario Controls'!$B$7)),E498,0))</x:f>
        <x:v>0</x:v>
      </x:c>
      <x:c r="R498" s="24" t="str">
        <x:f>'BU Conference'!G318</x:f>
        <x:v>Automatic</x:v>
      </x:c>
      <x:c r="S498" s="24" t="str">
        <x:f>'BU Conference'!H318</x:f>
      </x:c>
      <x:c r="T498" s="19" t="n">
        <x:f>IF(R498="Exclude",0,IF(R498="Include",E498,Q498))</x:f>
        <x:v>0</x:v>
      </x:c>
      <x:c r="U498" s="15" t="str">
        <x:f>IF(T498&gt;0,"Funded",IF(P498="Eligible","Unfunded",P498))</x:f>
        <x:v>Evidence missing / not eligible</x:v>
      </x:c>
      <x:c r="V498" s="15" t="str">
        <x:f>IF(R498="Include","Conference inclusion: "&amp;S498,IF(R498="Exclude","Conference exclusion: "&amp;S498,IF(Q498&gt;0,H498&amp;" priority rank "&amp;I498&amp;"; whole initiative selected",P498)))</x:f>
        <x:v>Evidence missing / not eligible</x:v>
      </x:c>
      <x:c r="W498" s="15" t="str">
        <x:v>Bu!298</x:v>
      </x:c>
      <x:c r="X498" s="15" t="str"/>
      <x:c r="Y498" s="15" t="str"/>
      <x:c r="Z498" s="15" t="str"/>
      <x:c r="AA498" s="15" t="str"/>
      <x:c r="AB498" s="15" t="str"/>
      <x:c r="AC498" s="15" t="str"/>
      <x:c r="AD498" s="15" t="str"/>
      <x:c r="AE498" s="15" t="str"/>
      <x:c r="AF498" s="15" t="str"/>
      <x:c r="AG498" s="15" t="str"/>
      <x:c r="AH498" s="15" t="n">
        <x:v>298</x:v>
      </x:c>
    </x:row>
    <x:row r="499">
      <x:c r="A499" s="15" t="str">
        <x:v>Bu-122</x:v>
      </x:c>
      <x:c r="B499" s="15" t="str"/>
      <x:c r="C499" s="15" t="str">
        <x:v>BU Led</x:v>
      </x:c>
      <x:c r="D499" s="15" t="str">
        <x:v>Service Transformation Office (STO)</x:v>
      </x:c>
      <x:c r="E499" s="19" t="n">
        <x:v>0</x:v>
      </x:c>
      <x:c r="F499" s="19" t="n">
        <x:v>0</x:v>
      </x:c>
      <x:c r="G499" s="22" t="str">
        <x:f>IF(AND(E499&gt;0,ISNUMBER(F499)),F499/E499,"")</x:f>
      </x:c>
      <x:c r="H499" s="15" t="str">
        <x:v>ROI-Based Portfolio</x:v>
      </x:c>
      <x:c r="I499" s="15" t="n">
        <x:v>197</x:v>
      </x:c>
      <x:c r="J499" s="15" t="n">
        <x:v>0</x:v>
      </x:c>
      <x:c r="K499" s="23" t="n">
        <x:f>IF(G499="",0,IF(G499&lt;1,0,IF(G499&lt;2,20,IF(G499&lt;3,30,IF(G499&lt;5,40,50)))))*'Scenario Controls'!$B$22/50</x:f>
        <x:v>0</x:v>
      </x:c>
      <x:c r="L499" s="23" t="n">
        <x:f>IF(ISNUMBER(SEARCH("Must Do",AG499)),25,IF(ISNUMBER(SEARCH("Must Have",AG499)),18,IF(ISNUMBER(SEARCH("Deprior",AG499)),5,0)))*'Scenario Controls'!$B$23/25</x:f>
        <x:v>0</x:v>
      </x:c>
      <x:c r="M499" s="23" t="n">
        <x:f>J499*'Scenario Controls'!$B$24/15</x:f>
        <x:v>0</x:v>
      </x:c>
      <x:c r="N499" s="23" t="n">
        <x:f>IF(ISNUMBER(SEARCH("HEALTHY",X499)),10,IF(ISNUMBER(SEARCH("CONTAIN",X499)),6,0))*'Scenario Controls'!$B$25/10</x:f>
        <x:v>0</x:v>
      </x:c>
      <x:c r="O499" s="23" t="n">
        <x:f>SUM(K499:N499)</x:f>
        <x:v>0</x:v>
      </x:c>
      <x:c r="P499" s="15" t="str">
        <x:f>IF(OR(B499="",E499&lt;=0),"Evidence missing / not eligible",IF(ISNUMBER(SEARCH("priority TBD",Y499)),"Evidence missing / not eligible",IF(AND(H499="Carryover",NOT(ISNUMBER(F499))),"Evidence missing / not eligible",IF(AND(H499="Carryover",G499&lt;'Scenario Controls'!$B$16),"Evidence missing / not eligible",IF(AND(H499="ROI-Based Portfolio",NOT(ISNUMBER(F499))),"Evidence missing / not eligible",IF(AND(H499="ROI-Based Portfolio",O499&lt;'Scenario Controls'!$B$20),"Evidence missing / not eligible","Eligible"))))))</x:f>
        <x:v>Evidence missing / not eligible</x:v>
      </x:c>
      <x:c r="Q499" s="19" t="n">
        <x:f>IF(P499&lt;&gt;"Eligible",0,IF(AND(SUMIFS($Q$5:Q498,$H$5:H498,H499)+E499&lt;=(IF(H499="LFR",'Scenario Controls'!$F$10,IF(H499="Sustain Engineering",'Scenario Controls'!$F$11,IF(H499="Hygiene",'Scenario Controls'!$F$12,1E+99))))*(1+'Scenario Controls'!$B$7),SUM($Q$5:Q498)+E499&lt;='Scenario Controls'!$B$6*(1+'Scenario Controls'!$B$7)),E499,0))</x:f>
        <x:v>0</x:v>
      </x:c>
      <x:c r="R499" s="24" t="str">
        <x:f>'BU Conference'!G319</x:f>
        <x:v>Automatic</x:v>
      </x:c>
      <x:c r="S499" s="24" t="str">
        <x:f>'BU Conference'!H319</x:f>
      </x:c>
      <x:c r="T499" s="19" t="n">
        <x:f>IF(R499="Exclude",0,IF(R499="Include",E499,Q499))</x:f>
        <x:v>0</x:v>
      </x:c>
      <x:c r="U499" s="15" t="str">
        <x:f>IF(T499&gt;0,"Funded",IF(P499="Eligible","Unfunded",P499))</x:f>
        <x:v>Evidence missing / not eligible</x:v>
      </x:c>
      <x:c r="V499" s="15" t="str">
        <x:f>IF(R499="Include","Conference inclusion: "&amp;S499,IF(R499="Exclude","Conference exclusion: "&amp;S499,IF(Q499&gt;0,H499&amp;" priority rank "&amp;I499&amp;"; whole initiative selected",P499)))</x:f>
        <x:v>Evidence missing / not eligible</x:v>
      </x:c>
      <x:c r="W499" s="15" t="str">
        <x:v>Bu!299</x:v>
      </x:c>
      <x:c r="X499" s="15" t="str"/>
      <x:c r="Y499" s="15" t="str"/>
      <x:c r="Z499" s="15" t="str"/>
      <x:c r="AA499" s="15" t="str"/>
      <x:c r="AB499" s="15" t="str"/>
      <x:c r="AC499" s="15" t="str"/>
      <x:c r="AD499" s="15" t="str"/>
      <x:c r="AE499" s="15" t="str"/>
      <x:c r="AF499" s="15" t="str"/>
      <x:c r="AG499" s="15" t="str"/>
      <x:c r="AH499" s="15" t="n">
        <x:v>299</x:v>
      </x:c>
    </x:row>
    <x:row r="500">
      <x:c r="A500" s="15" t="str">
        <x:v>Bu-151</x:v>
      </x:c>
      <x:c r="B500" s="15" t="str"/>
      <x:c r="C500" s="15" t="str">
        <x:v>BU Led</x:v>
      </x:c>
      <x:c r="D500" s="15" t="str">
        <x:v>Precision Diagnosis - Magnetic Resonance (MR)</x:v>
      </x:c>
      <x:c r="E500" s="19" t="n">
        <x:v>0</x:v>
      </x:c>
      <x:c r="F500" s="19" t="n">
        <x:v>0</x:v>
      </x:c>
      <x:c r="G500" s="22" t="str">
        <x:f>IF(AND(E500&gt;0,ISNUMBER(F500)),F500/E500,"")</x:f>
      </x:c>
      <x:c r="H500" s="15" t="str">
        <x:v>ROI-Based Portfolio</x:v>
      </x:c>
      <x:c r="I500" s="15" t="n">
        <x:v>198</x:v>
      </x:c>
      <x:c r="J500" s="15" t="n">
        <x:v>0</x:v>
      </x:c>
      <x:c r="K500" s="23" t="n">
        <x:f>IF(G500="",0,IF(G500&lt;1,0,IF(G500&lt;2,20,IF(G500&lt;3,30,IF(G500&lt;5,40,50)))))*'Scenario Controls'!$B$22/50</x:f>
        <x:v>0</x:v>
      </x:c>
      <x:c r="L500" s="23" t="n">
        <x:f>IF(ISNUMBER(SEARCH("Must Do",AG500)),25,IF(ISNUMBER(SEARCH("Must Have",AG500)),18,IF(ISNUMBER(SEARCH("Deprior",AG500)),5,0)))*'Scenario Controls'!$B$23/25</x:f>
        <x:v>0</x:v>
      </x:c>
      <x:c r="M500" s="23" t="n">
        <x:f>J500*'Scenario Controls'!$B$24/15</x:f>
        <x:v>0</x:v>
      </x:c>
      <x:c r="N500" s="23" t="n">
        <x:f>IF(ISNUMBER(SEARCH("HEALTHY",X500)),10,IF(ISNUMBER(SEARCH("CONTAIN",X500)),6,0))*'Scenario Controls'!$B$25/10</x:f>
        <x:v>0</x:v>
      </x:c>
      <x:c r="O500" s="23" t="n">
        <x:f>SUM(K500:N500)</x:f>
        <x:v>0</x:v>
      </x:c>
      <x:c r="P500" s="15" t="str">
        <x:f>IF(OR(B500="",E500&lt;=0),"Evidence missing / not eligible",IF(ISNUMBER(SEARCH("priority TBD",Y500)),"Evidence missing / not eligible",IF(AND(H500="Carryover",NOT(ISNUMBER(F500))),"Evidence missing / not eligible",IF(AND(H500="Carryover",G500&lt;'Scenario Controls'!$B$16),"Evidence missing / not eligible",IF(AND(H500="ROI-Based Portfolio",NOT(ISNUMBER(F500))),"Evidence missing / not eligible",IF(AND(H500="ROI-Based Portfolio",O500&lt;'Scenario Controls'!$B$20),"Evidence missing / not eligible","Eligible"))))))</x:f>
        <x:v>Evidence missing / not eligible</x:v>
      </x:c>
      <x:c r="Q500" s="19" t="n">
        <x:f>IF(P500&lt;&gt;"Eligible",0,IF(AND(SUMIFS($Q$5:Q499,$H$5:H499,H500)+E500&lt;=(IF(H500="LFR",'Scenario Controls'!$F$10,IF(H500="Sustain Engineering",'Scenario Controls'!$F$11,IF(H500="Hygiene",'Scenario Controls'!$F$12,1E+99))))*(1+'Scenario Controls'!$B$7),SUM($Q$5:Q499)+E500&lt;='Scenario Controls'!$B$6*(1+'Scenario Controls'!$B$7)),E500,0))</x:f>
        <x:v>0</x:v>
      </x:c>
      <x:c r="R500" s="24" t="str">
        <x:f>'BU Conference'!G320</x:f>
        <x:v>Automatic</x:v>
      </x:c>
      <x:c r="S500" s="24" t="str">
        <x:f>'BU Conference'!H320</x:f>
      </x:c>
      <x:c r="T500" s="19" t="n">
        <x:f>IF(R500="Exclude",0,IF(R500="Include",E500,Q500))</x:f>
        <x:v>0</x:v>
      </x:c>
      <x:c r="U500" s="15" t="str">
        <x:f>IF(T500&gt;0,"Funded",IF(P500="Eligible","Unfunded",P500))</x:f>
        <x:v>Evidence missing / not eligible</x:v>
      </x:c>
      <x:c r="V500" s="15" t="str">
        <x:f>IF(R500="Include","Conference inclusion: "&amp;S500,IF(R500="Exclude","Conference exclusion: "&amp;S500,IF(Q500&gt;0,H500&amp;" priority rank "&amp;I500&amp;"; whole initiative selected",P500)))</x:f>
        <x:v>Evidence missing / not eligible</x:v>
      </x:c>
      <x:c r="W500" s="15" t="str">
        <x:v>Bu!357</x:v>
      </x:c>
      <x:c r="X500" s="15" t="str"/>
      <x:c r="Y500" s="15" t="str"/>
      <x:c r="Z500" s="15" t="str"/>
      <x:c r="AA500" s="15" t="str"/>
      <x:c r="AB500" s="15" t="str"/>
      <x:c r="AC500" s="15" t="str"/>
      <x:c r="AD500" s="15" t="str"/>
      <x:c r="AE500" s="15" t="str"/>
      <x:c r="AF500" s="15" t="str"/>
      <x:c r="AG500" s="15" t="str"/>
      <x:c r="AH500" s="15" t="n">
        <x:v>328</x:v>
      </x:c>
    </x:row>
    <x:row r="501">
      <x:c r="A501" s="15" t="str">
        <x:v>Bu-216</x:v>
      </x:c>
      <x:c r="B501" s="15" t="str">
        <x:v>DUPLICATE - Compliance - GTC</x:v>
      </x:c>
      <x:c r="C501" s="15" t="str">
        <x:v>BU Led</x:v>
      </x:c>
      <x:c r="D501" s="15" t="str">
        <x:v>Monitoring - HPM (MCH)</x:v>
      </x:c>
      <x:c r="E501" s="19" t="n">
        <x:v>0</x:v>
      </x:c>
      <x:c r="F501" s="19" t="n">
        <x:v>0</x:v>
      </x:c>
      <x:c r="G501" s="22" t="str">
        <x:f>IF(AND(E501&gt;0,ISNUMBER(F501)),F501/E501,"")</x:f>
      </x:c>
      <x:c r="H501" s="15" t="str">
        <x:v>ROI-Based Portfolio</x:v>
      </x:c>
      <x:c r="I501" s="15" t="n">
        <x:v>199</x:v>
      </x:c>
      <x:c r="J501" s="15" t="n">
        <x:v>0</x:v>
      </x:c>
      <x:c r="K501" s="23" t="n">
        <x:f>IF(G501="",0,IF(G501&lt;1,0,IF(G501&lt;2,20,IF(G501&lt;3,30,IF(G501&lt;5,40,50)))))*'Scenario Controls'!$B$22/50</x:f>
        <x:v>0</x:v>
      </x:c>
      <x:c r="L501" s="23" t="n">
        <x:f>IF(ISNUMBER(SEARCH("Must Do",AG501)),25,IF(ISNUMBER(SEARCH("Must Have",AG501)),18,IF(ISNUMBER(SEARCH("Deprior",AG501)),5,0)))*'Scenario Controls'!$B$23/25</x:f>
        <x:v>0</x:v>
      </x:c>
      <x:c r="M501" s="23" t="n">
        <x:f>J501*'Scenario Controls'!$B$24/15</x:f>
        <x:v>0</x:v>
      </x:c>
      <x:c r="N501" s="23" t="n">
        <x:f>IF(ISNUMBER(SEARCH("HEALTHY",X501)),10,IF(ISNUMBER(SEARCH("CONTAIN",X501)),6,0))*'Scenario Controls'!$B$25/10</x:f>
        <x:v>0</x:v>
      </x:c>
      <x:c r="O501" s="23" t="n">
        <x:f>SUM(K501:N501)</x:f>
        <x:v>0</x:v>
      </x:c>
      <x:c r="P501" s="15" t="str">
        <x:f>IF(OR(B501="",E501&lt;=0),"Evidence missing / not eligible",IF(ISNUMBER(SEARCH("priority TBD",Y501)),"Evidence missing / not eligible",IF(AND(H501="Carryover",NOT(ISNUMBER(F501))),"Evidence missing / not eligible",IF(AND(H501="Carryover",G501&lt;'Scenario Controls'!$B$16),"Evidence missing / not eligible",IF(AND(H501="ROI-Based Portfolio",NOT(ISNUMBER(F501))),"Evidence missing / not eligible",IF(AND(H501="ROI-Based Portfolio",O501&lt;'Scenario Controls'!$B$20),"Evidence missing / not eligible","Eligible"))))))</x:f>
        <x:v>Evidence missing / not eligible</x:v>
      </x:c>
      <x:c r="Q501" s="19" t="n">
        <x:f>IF(P501&lt;&gt;"Eligible",0,IF(AND(SUMIFS($Q$5:Q500,$H$5:H500,H501)+E501&lt;=(IF(H501="LFR",'Scenario Controls'!$F$10,IF(H501="Sustain Engineering",'Scenario Controls'!$F$11,IF(H501="Hygiene",'Scenario Controls'!$F$12,1E+99))))*(1+'Scenario Controls'!$B$7),SUM($Q$5:Q500)+E501&lt;='Scenario Controls'!$B$6*(1+'Scenario Controls'!$B$7)),E501,0))</x:f>
        <x:v>0</x:v>
      </x:c>
      <x:c r="R501" s="24" t="str">
        <x:f>'BU Conference'!G321</x:f>
        <x:v>Automatic</x:v>
      </x:c>
      <x:c r="S501" s="24" t="str">
        <x:f>'BU Conference'!H321</x:f>
      </x:c>
      <x:c r="T501" s="19" t="n">
        <x:f>IF(R501="Exclude",0,IF(R501="Include",E501,Q501))</x:f>
        <x:v>0</x:v>
      </x:c>
      <x:c r="U501" s="15" t="str">
        <x:f>IF(T501&gt;0,"Funded",IF(P501="Eligible","Unfunded",P501))</x:f>
        <x:v>Evidence missing / not eligible</x:v>
      </x:c>
      <x:c r="V501" s="15" t="str">
        <x:f>IF(R501="Include","Conference inclusion: "&amp;S501,IF(R501="Exclude","Conference exclusion: "&amp;S501,IF(Q501&gt;0,H501&amp;" priority rank "&amp;I501&amp;"; whole initiative selected",P501)))</x:f>
        <x:v>Evidence missing / not eligible</x:v>
      </x:c>
      <x:c r="W501" s="15" t="str">
        <x:v>Bu!509</x:v>
      </x:c>
      <x:c r="X501" s="15" t="str"/>
      <x:c r="Y501" s="15" t="str"/>
      <x:c r="Z501" s="15" t="str">
        <x:v>Legal Fiscal, Regulatory &amp; Compliancy</x:v>
      </x:c>
      <x:c r="AA501" s="15" t="str">
        <x:v>New Initiative</x:v>
      </x:c>
      <x:c r="AB501" s="15" t="str">
        <x:v>Integrated Supply Chain &amp; Finance</x:v>
      </x:c>
      <x:c r="AC501" s="15" t="str"/>
      <x:c r="AD501" s="15" t="str"/>
      <x:c r="AE501" s="15" t="str"/>
      <x:c r="AF501" s="15" t="str"/>
      <x:c r="AG501" s="15" t="str"/>
      <x:c r="AH501" s="15" t="n">
        <x:v>393</x:v>
      </x:c>
    </x:row>
    <x:row r="502">
      <x:c r="A502" s="15" t="str">
        <x:v>Bu-234</x:v>
      </x:c>
      <x:c r="B502" s="15" t="str">
        <x:v>DUPLICATE - Procurement - SC Next</x:v>
      </x:c>
      <x:c r="C502" s="15" t="str">
        <x:v>BU Led</x:v>
      </x:c>
      <x:c r="D502" s="15" t="str">
        <x:v>Monitoring - HPM (MCH)</x:v>
      </x:c>
      <x:c r="E502" s="19" t="n">
        <x:v>0</x:v>
      </x:c>
      <x:c r="F502" s="19" t="n">
        <x:v>0</x:v>
      </x:c>
      <x:c r="G502" s="22" t="str">
        <x:f>IF(AND(E502&gt;0,ISNUMBER(F502)),F502/E502,"")</x:f>
      </x:c>
      <x:c r="H502" s="15" t="str">
        <x:v>ROI-Based Portfolio</x:v>
      </x:c>
      <x:c r="I502" s="15" t="n">
        <x:v>200</x:v>
      </x:c>
      <x:c r="J502" s="15" t="n">
        <x:v>0</x:v>
      </x:c>
      <x:c r="K502" s="23" t="n">
        <x:f>IF(G502="",0,IF(G502&lt;1,0,IF(G502&lt;2,20,IF(G502&lt;3,30,IF(G502&lt;5,40,50)))))*'Scenario Controls'!$B$22/50</x:f>
        <x:v>0</x:v>
      </x:c>
      <x:c r="L502" s="23" t="n">
        <x:f>IF(ISNUMBER(SEARCH("Must Do",AG502)),25,IF(ISNUMBER(SEARCH("Must Have",AG502)),18,IF(ISNUMBER(SEARCH("Deprior",AG502)),5,0)))*'Scenario Controls'!$B$23/25</x:f>
        <x:v>0</x:v>
      </x:c>
      <x:c r="M502" s="23" t="n">
        <x:f>J502*'Scenario Controls'!$B$24/15</x:f>
        <x:v>0</x:v>
      </x:c>
      <x:c r="N502" s="23" t="n">
        <x:f>IF(ISNUMBER(SEARCH("HEALTHY",X502)),10,IF(ISNUMBER(SEARCH("CONTAIN",X502)),6,0))*'Scenario Controls'!$B$25/10</x:f>
        <x:v>0</x:v>
      </x:c>
      <x:c r="O502" s="23" t="n">
        <x:f>SUM(K502:N502)</x:f>
        <x:v>0</x:v>
      </x:c>
      <x:c r="P502" s="15" t="str">
        <x:f>IF(OR(B502="",E502&lt;=0),"Evidence missing / not eligible",IF(ISNUMBER(SEARCH("priority TBD",Y502)),"Evidence missing / not eligible",IF(AND(H502="Carryover",NOT(ISNUMBER(F502))),"Evidence missing / not eligible",IF(AND(H502="Carryover",G502&lt;'Scenario Controls'!$B$16),"Evidence missing / not eligible",IF(AND(H502="ROI-Based Portfolio",NOT(ISNUMBER(F502))),"Evidence missing / not eligible",IF(AND(H502="ROI-Based Portfolio",O502&lt;'Scenario Controls'!$B$20),"Evidence missing / not eligible","Eligible"))))))</x:f>
        <x:v>Evidence missing / not eligible</x:v>
      </x:c>
      <x:c r="Q502" s="19" t="n">
        <x:f>IF(P502&lt;&gt;"Eligible",0,IF(AND(SUMIFS($Q$5:Q501,$H$5:H501,H502)+E502&lt;=(IF(H502="LFR",'Scenario Controls'!$F$10,IF(H502="Sustain Engineering",'Scenario Controls'!$F$11,IF(H502="Hygiene",'Scenario Controls'!$F$12,1E+99))))*(1+'Scenario Controls'!$B$7),SUM($Q$5:Q501)+E502&lt;='Scenario Controls'!$B$6*(1+'Scenario Controls'!$B$7)),E502,0))</x:f>
        <x:v>0</x:v>
      </x:c>
      <x:c r="R502" s="24" t="str">
        <x:f>'BU Conference'!G322</x:f>
        <x:v>Automatic</x:v>
      </x:c>
      <x:c r="S502" s="24" t="str">
        <x:f>'BU Conference'!H322</x:f>
      </x:c>
      <x:c r="T502" s="19" t="n">
        <x:f>IF(R502="Exclude",0,IF(R502="Include",E502,Q502))</x:f>
        <x:v>0</x:v>
      </x:c>
      <x:c r="U502" s="15" t="str">
        <x:f>IF(T502&gt;0,"Funded",IF(P502="Eligible","Unfunded",P502))</x:f>
        <x:v>Evidence missing / not eligible</x:v>
      </x:c>
      <x:c r="V502" s="15" t="str">
        <x:f>IF(R502="Include","Conference inclusion: "&amp;S502,IF(R502="Exclude","Conference exclusion: "&amp;S502,IF(Q502&gt;0,H502&amp;" priority rank "&amp;I502&amp;"; whole initiative selected",P502)))</x:f>
        <x:v>Evidence missing / not eligible</x:v>
      </x:c>
      <x:c r="W502" s="15" t="str">
        <x:v>Bu!536</x:v>
      </x:c>
      <x:c r="X502" s="15" t="str"/>
      <x:c r="Y502" s="15" t="str"/>
      <x:c r="Z502" s="15" t="str">
        <x:v>New Feature</x:v>
      </x:c>
      <x:c r="AA502" s="15" t="str">
        <x:v>New Initiative</x:v>
      </x:c>
      <x:c r="AB502" s="15" t="str">
        <x:v>Integrated Supply Chain &amp; Finance</x:v>
      </x:c>
      <x:c r="AC502" s="15" t="str"/>
      <x:c r="AD502" s="15" t="str"/>
      <x:c r="AE502" s="15" t="str"/>
      <x:c r="AF502" s="15" t="str"/>
      <x:c r="AG502" s="15" t="str"/>
      <x:c r="AH502" s="15" t="n">
        <x:v>414</x:v>
      </x:c>
    </x:row>
    <x:row r="503">
      <x:c r="A503" s="15" t="str">
        <x:v>Bu-235</x:v>
      </x:c>
      <x:c r="B503" s="15" t="str">
        <x:v>PDUPLICATE - rocurement - Digital Proc</x:v>
      </x:c>
      <x:c r="C503" s="15" t="str">
        <x:v>BU Led</x:v>
      </x:c>
      <x:c r="D503" s="15" t="str">
        <x:v>Monitoring - HPM (MCH)</x:v>
      </x:c>
      <x:c r="E503" s="19" t="n">
        <x:v>0</x:v>
      </x:c>
      <x:c r="F503" s="19" t="n">
        <x:v>0</x:v>
      </x:c>
      <x:c r="G503" s="22" t="str">
        <x:f>IF(AND(E503&gt;0,ISNUMBER(F503)),F503/E503,"")</x:f>
      </x:c>
      <x:c r="H503" s="15" t="str">
        <x:v>ROI-Based Portfolio</x:v>
      </x:c>
      <x:c r="I503" s="15" t="n">
        <x:v>201</x:v>
      </x:c>
      <x:c r="J503" s="15" t="n">
        <x:v>0</x:v>
      </x:c>
      <x:c r="K503" s="23" t="n">
        <x:f>IF(G503="",0,IF(G503&lt;1,0,IF(G503&lt;2,20,IF(G503&lt;3,30,IF(G503&lt;5,40,50)))))*'Scenario Controls'!$B$22/50</x:f>
        <x:v>0</x:v>
      </x:c>
      <x:c r="L503" s="23" t="n">
        <x:f>IF(ISNUMBER(SEARCH("Must Do",AG503)),25,IF(ISNUMBER(SEARCH("Must Have",AG503)),18,IF(ISNUMBER(SEARCH("Deprior",AG503)),5,0)))*'Scenario Controls'!$B$23/25</x:f>
        <x:v>0</x:v>
      </x:c>
      <x:c r="M503" s="23" t="n">
        <x:f>J503*'Scenario Controls'!$B$24/15</x:f>
        <x:v>0</x:v>
      </x:c>
      <x:c r="N503" s="23" t="n">
        <x:f>IF(ISNUMBER(SEARCH("HEALTHY",X503)),10,IF(ISNUMBER(SEARCH("CONTAIN",X503)),6,0))*'Scenario Controls'!$B$25/10</x:f>
        <x:v>0</x:v>
      </x:c>
      <x:c r="O503" s="23" t="n">
        <x:f>SUM(K503:N503)</x:f>
        <x:v>0</x:v>
      </x:c>
      <x:c r="P503" s="15" t="str">
        <x:f>IF(OR(B503="",E503&lt;=0),"Evidence missing / not eligible",IF(ISNUMBER(SEARCH("priority TBD",Y503)),"Evidence missing / not eligible",IF(AND(H503="Carryover",NOT(ISNUMBER(F503))),"Evidence missing / not eligible",IF(AND(H503="Carryover",G503&lt;'Scenario Controls'!$B$16),"Evidence missing / not eligible",IF(AND(H503="ROI-Based Portfolio",NOT(ISNUMBER(F503))),"Evidence missing / not eligible",IF(AND(H503="ROI-Based Portfolio",O503&lt;'Scenario Controls'!$B$20),"Evidence missing / not eligible","Eligible"))))))</x:f>
        <x:v>Evidence missing / not eligible</x:v>
      </x:c>
      <x:c r="Q503" s="19" t="n">
        <x:f>IF(P503&lt;&gt;"Eligible",0,IF(AND(SUMIFS($Q$5:Q502,$H$5:H502,H503)+E503&lt;=(IF(H503="LFR",'Scenario Controls'!$F$10,IF(H503="Sustain Engineering",'Scenario Controls'!$F$11,IF(H503="Hygiene",'Scenario Controls'!$F$12,1E+99))))*(1+'Scenario Controls'!$B$7),SUM($Q$5:Q502)+E503&lt;='Scenario Controls'!$B$6*(1+'Scenario Controls'!$B$7)),E503,0))</x:f>
        <x:v>0</x:v>
      </x:c>
      <x:c r="R503" s="24" t="str">
        <x:f>'BU Conference'!G323</x:f>
        <x:v>Automatic</x:v>
      </x:c>
      <x:c r="S503" s="24" t="str">
        <x:f>'BU Conference'!H323</x:f>
      </x:c>
      <x:c r="T503" s="19" t="n">
        <x:f>IF(R503="Exclude",0,IF(R503="Include",E503,Q503))</x:f>
        <x:v>0</x:v>
      </x:c>
      <x:c r="U503" s="15" t="str">
        <x:f>IF(T503&gt;0,"Funded",IF(P503="Eligible","Unfunded",P503))</x:f>
        <x:v>Evidence missing / not eligible</x:v>
      </x:c>
      <x:c r="V503" s="15" t="str">
        <x:f>IF(R503="Include","Conference inclusion: "&amp;S503,IF(R503="Exclude","Conference exclusion: "&amp;S503,IF(Q503&gt;0,H503&amp;" priority rank "&amp;I503&amp;"; whole initiative selected",P503)))</x:f>
        <x:v>Evidence missing / not eligible</x:v>
      </x:c>
      <x:c r="W503" s="15" t="str">
        <x:v>Bu!537</x:v>
      </x:c>
      <x:c r="X503" s="15" t="str"/>
      <x:c r="Y503" s="15" t="str"/>
      <x:c r="Z503" s="15" t="str">
        <x:v>New Feature</x:v>
      </x:c>
      <x:c r="AA503" s="15" t="str">
        <x:v>New Initiative</x:v>
      </x:c>
      <x:c r="AB503" s="15" t="str">
        <x:v>Integrated Supply Chain &amp; Finance</x:v>
      </x:c>
      <x:c r="AC503" s="15" t="str"/>
      <x:c r="AD503" s="15" t="str"/>
      <x:c r="AE503" s="15" t="str"/>
      <x:c r="AF503" s="15" t="str"/>
      <x:c r="AG503" s="15" t="str"/>
      <x:c r="AH503" s="15" t="n">
        <x:v>415</x:v>
      </x:c>
    </x:row>
    <x:row r="504">
      <x:c r="A504" s="15" t="str">
        <x:v>Bu-236</x:v>
      </x:c>
      <x:c r="B504" s="15" t="str">
        <x:v>DUPLICATE - Procurement - SW Transformation</x:v>
      </x:c>
      <x:c r="C504" s="15" t="str">
        <x:v>BU Led</x:v>
      </x:c>
      <x:c r="D504" s="15" t="str">
        <x:v>Monitoring - HPM (MCH)</x:v>
      </x:c>
      <x:c r="E504" s="19" t="n">
        <x:v>0</x:v>
      </x:c>
      <x:c r="F504" s="19" t="n">
        <x:v>0</x:v>
      </x:c>
      <x:c r="G504" s="22" t="str">
        <x:f>IF(AND(E504&gt;0,ISNUMBER(F504)),F504/E504,"")</x:f>
      </x:c>
      <x:c r="H504" s="15" t="str">
        <x:v>ROI-Based Portfolio</x:v>
      </x:c>
      <x:c r="I504" s="15" t="n">
        <x:v>202</x:v>
      </x:c>
      <x:c r="J504" s="15" t="n">
        <x:v>0</x:v>
      </x:c>
      <x:c r="K504" s="23" t="n">
        <x:f>IF(G504="",0,IF(G504&lt;1,0,IF(G504&lt;2,20,IF(G504&lt;3,30,IF(G504&lt;5,40,50)))))*'Scenario Controls'!$B$22/50</x:f>
        <x:v>0</x:v>
      </x:c>
      <x:c r="L504" s="23" t="n">
        <x:f>IF(ISNUMBER(SEARCH("Must Do",AG504)),25,IF(ISNUMBER(SEARCH("Must Have",AG504)),18,IF(ISNUMBER(SEARCH("Deprior",AG504)),5,0)))*'Scenario Controls'!$B$23/25</x:f>
        <x:v>0</x:v>
      </x:c>
      <x:c r="M504" s="23" t="n">
        <x:f>J504*'Scenario Controls'!$B$24/15</x:f>
        <x:v>0</x:v>
      </x:c>
      <x:c r="N504" s="23" t="n">
        <x:f>IF(ISNUMBER(SEARCH("HEALTHY",X504)),10,IF(ISNUMBER(SEARCH("CONTAIN",X504)),6,0))*'Scenario Controls'!$B$25/10</x:f>
        <x:v>0</x:v>
      </x:c>
      <x:c r="O504" s="23" t="n">
        <x:f>SUM(K504:N504)</x:f>
        <x:v>0</x:v>
      </x:c>
      <x:c r="P504" s="15" t="str">
        <x:f>IF(OR(B504="",E504&lt;=0),"Evidence missing / not eligible",IF(ISNUMBER(SEARCH("priority TBD",Y504)),"Evidence missing / not eligible",IF(AND(H504="Carryover",NOT(ISNUMBER(F504))),"Evidence missing / not eligible",IF(AND(H504="Carryover",G504&lt;'Scenario Controls'!$B$16),"Evidence missing / not eligible",IF(AND(H504="ROI-Based Portfolio",NOT(ISNUMBER(F504))),"Evidence missing / not eligible",IF(AND(H504="ROI-Based Portfolio",O504&lt;'Scenario Controls'!$B$20),"Evidence missing / not eligible","Eligible"))))))</x:f>
        <x:v>Evidence missing / not eligible</x:v>
      </x:c>
      <x:c r="Q504" s="19" t="n">
        <x:f>IF(P504&lt;&gt;"Eligible",0,IF(AND(SUMIFS($Q$5:Q503,$H$5:H503,H504)+E504&lt;=(IF(H504="LFR",'Scenario Controls'!$F$10,IF(H504="Sustain Engineering",'Scenario Controls'!$F$11,IF(H504="Hygiene",'Scenario Controls'!$F$12,1E+99))))*(1+'Scenario Controls'!$B$7),SUM($Q$5:Q503)+E504&lt;='Scenario Controls'!$B$6*(1+'Scenario Controls'!$B$7)),E504,0))</x:f>
        <x:v>0</x:v>
      </x:c>
      <x:c r="R504" s="24" t="str">
        <x:f>'BU Conference'!G324</x:f>
        <x:v>Automatic</x:v>
      </x:c>
      <x:c r="S504" s="24" t="str">
        <x:f>'BU Conference'!H324</x:f>
      </x:c>
      <x:c r="T504" s="19" t="n">
        <x:f>IF(R504="Exclude",0,IF(R504="Include",E504,Q504))</x:f>
        <x:v>0</x:v>
      </x:c>
      <x:c r="U504" s="15" t="str">
        <x:f>IF(T504&gt;0,"Funded",IF(P504="Eligible","Unfunded",P504))</x:f>
        <x:v>Evidence missing / not eligible</x:v>
      </x:c>
      <x:c r="V504" s="15" t="str">
        <x:f>IF(R504="Include","Conference inclusion: "&amp;S504,IF(R504="Exclude","Conference exclusion: "&amp;S504,IF(Q504&gt;0,H504&amp;" priority rank "&amp;I504&amp;"; whole initiative selected",P504)))</x:f>
        <x:v>Evidence missing / not eligible</x:v>
      </x:c>
      <x:c r="W504" s="15" t="str">
        <x:v>Bu!538</x:v>
      </x:c>
      <x:c r="X504" s="15" t="str"/>
      <x:c r="Y504" s="15" t="str"/>
      <x:c r="Z504" s="15" t="str">
        <x:v>New Feature</x:v>
      </x:c>
      <x:c r="AA504" s="15" t="str">
        <x:v>New Initiative</x:v>
      </x:c>
      <x:c r="AB504" s="15" t="str">
        <x:v>Integrated Supply Chain &amp; Finance</x:v>
      </x:c>
      <x:c r="AC504" s="15" t="str"/>
      <x:c r="AD504" s="15" t="str"/>
      <x:c r="AE504" s="15" t="str"/>
      <x:c r="AF504" s="15" t="str"/>
      <x:c r="AG504" s="15" t="str"/>
      <x:c r="AH504" s="15" t="n">
        <x:v>416</x:v>
      </x:c>
    </x:row>
    <x:row r="505">
      <x:c r="A505" s="15" t="str">
        <x:v>Bu-255</x:v>
      </x:c>
      <x:c r="B505" s="15" t="str"/>
      <x:c r="C505" s="15" t="str">
        <x:v>BU Led</x:v>
      </x:c>
      <x:c r="D505" s="15" t="str"/>
      <x:c r="E505" s="19" t="n">
        <x:v>0</x:v>
      </x:c>
      <x:c r="F505" s="19" t="n">
        <x:v>0</x:v>
      </x:c>
      <x:c r="G505" s="22" t="str">
        <x:f>IF(AND(E505&gt;0,ISNUMBER(F505)),F505/E505,"")</x:f>
      </x:c>
      <x:c r="H505" s="15" t="str">
        <x:v>ROI-Based Portfolio</x:v>
      </x:c>
      <x:c r="I505" s="15" t="n">
        <x:v>203</x:v>
      </x:c>
      <x:c r="J505" s="15" t="n">
        <x:v>0</x:v>
      </x:c>
      <x:c r="K505" s="23" t="n">
        <x:f>IF(G505="",0,IF(G505&lt;1,0,IF(G505&lt;2,20,IF(G505&lt;3,30,IF(G505&lt;5,40,50)))))*'Scenario Controls'!$B$22/50</x:f>
        <x:v>0</x:v>
      </x:c>
      <x:c r="L505" s="23" t="n">
        <x:f>IF(ISNUMBER(SEARCH("Must Do",AG505)),25,IF(ISNUMBER(SEARCH("Must Have",AG505)),18,IF(ISNUMBER(SEARCH("Deprior",AG505)),5,0)))*'Scenario Controls'!$B$23/25</x:f>
        <x:v>0</x:v>
      </x:c>
      <x:c r="M505" s="23" t="n">
        <x:f>J505*'Scenario Controls'!$B$24/15</x:f>
        <x:v>0</x:v>
      </x:c>
      <x:c r="N505" s="23" t="n">
        <x:f>IF(ISNUMBER(SEARCH("HEALTHY",X505)),10,IF(ISNUMBER(SEARCH("CONTAIN",X505)),6,0))*'Scenario Controls'!$B$25/10</x:f>
        <x:v>0</x:v>
      </x:c>
      <x:c r="O505" s="23" t="n">
        <x:f>SUM(K505:N505)</x:f>
        <x:v>0</x:v>
      </x:c>
      <x:c r="P505" s="15" t="str">
        <x:f>IF(OR(B505="",E505&lt;=0),"Evidence missing / not eligible",IF(ISNUMBER(SEARCH("priority TBD",Y505)),"Evidence missing / not eligible",IF(AND(H505="Carryover",NOT(ISNUMBER(F505))),"Evidence missing / not eligible",IF(AND(H505="Carryover",G505&lt;'Scenario Controls'!$B$16),"Evidence missing / not eligible",IF(AND(H505="ROI-Based Portfolio",NOT(ISNUMBER(F505))),"Evidence missing / not eligible",IF(AND(H505="ROI-Based Portfolio",O505&lt;'Scenario Controls'!$B$20),"Evidence missing / not eligible","Eligible"))))))</x:f>
        <x:v>Evidence missing / not eligible</x:v>
      </x:c>
      <x:c r="Q505" s="19" t="n">
        <x:f>IF(P505&lt;&gt;"Eligible",0,IF(AND(SUMIFS($Q$5:Q504,$H$5:H504,H505)+E505&lt;=(IF(H505="LFR",'Scenario Controls'!$F$10,IF(H505="Sustain Engineering",'Scenario Controls'!$F$11,IF(H505="Hygiene",'Scenario Controls'!$F$12,1E+99))))*(1+'Scenario Controls'!$B$7),SUM($Q$5:Q504)+E505&lt;='Scenario Controls'!$B$6*(1+'Scenario Controls'!$B$7)),E505,0))</x:f>
        <x:v>0</x:v>
      </x:c>
      <x:c r="R505" s="24" t="str">
        <x:f>'BU Conference'!G325</x:f>
        <x:v>Automatic</x:v>
      </x:c>
      <x:c r="S505" s="24" t="str">
        <x:f>'BU Conference'!H325</x:f>
      </x:c>
      <x:c r="T505" s="19" t="n">
        <x:f>IF(R505="Exclude",0,IF(R505="Include",E505,Q505))</x:f>
        <x:v>0</x:v>
      </x:c>
      <x:c r="U505" s="15" t="str">
        <x:f>IF(T505&gt;0,"Funded",IF(P505="Eligible","Unfunded",P505))</x:f>
        <x:v>Evidence missing / not eligible</x:v>
      </x:c>
      <x:c r="V505" s="15" t="str">
        <x:f>IF(R505="Include","Conference inclusion: "&amp;S505,IF(R505="Exclude","Conference exclusion: "&amp;S505,IF(Q505&gt;0,H505&amp;" priority rank "&amp;I505&amp;"; whole initiative selected",P505)))</x:f>
        <x:v>Evidence missing / not eligible</x:v>
      </x:c>
      <x:c r="W505" s="15" t="str">
        <x:v>Bu!563</x:v>
      </x:c>
      <x:c r="X505" s="15" t="str"/>
      <x:c r="Y505" s="15" t="str"/>
      <x:c r="Z505" s="15" t="str"/>
      <x:c r="AA505" s="15" t="str"/>
      <x:c r="AB505" s="15" t="str"/>
      <x:c r="AC505" s="15" t="str"/>
      <x:c r="AD505" s="15" t="str"/>
      <x:c r="AE505" s="15" t="str"/>
      <x:c r="AF505" s="15" t="str"/>
      <x:c r="AG505" s="15" t="str"/>
      <x:c r="AH505" s="15" t="n">
        <x:v>435</x:v>
      </x:c>
    </x:row>
    <x:row r="506">
      <x:c r="A506" s="15" t="str">
        <x:v>Bu-258</x:v>
      </x:c>
      <x:c r="B506" s="15" t="str"/>
      <x:c r="C506" s="15" t="str">
        <x:v>BU Led</x:v>
      </x:c>
      <x:c r="D506" s="15" t="str"/>
      <x:c r="E506" s="19" t="n">
        <x:v>0</x:v>
      </x:c>
      <x:c r="F506" s="19" t="n">
        <x:v>0</x:v>
      </x:c>
      <x:c r="G506" s="22" t="str">
        <x:f>IF(AND(E506&gt;0,ISNUMBER(F506)),F506/E506,"")</x:f>
      </x:c>
      <x:c r="H506" s="15" t="str">
        <x:v>ROI-Based Portfolio</x:v>
      </x:c>
      <x:c r="I506" s="15" t="n">
        <x:v>204</x:v>
      </x:c>
      <x:c r="J506" s="15" t="n">
        <x:v>0</x:v>
      </x:c>
      <x:c r="K506" s="23" t="n">
        <x:f>IF(G506="",0,IF(G506&lt;1,0,IF(G506&lt;2,20,IF(G506&lt;3,30,IF(G506&lt;5,40,50)))))*'Scenario Controls'!$B$22/50</x:f>
        <x:v>0</x:v>
      </x:c>
      <x:c r="L506" s="23" t="n">
        <x:f>IF(ISNUMBER(SEARCH("Must Do",AG506)),25,IF(ISNUMBER(SEARCH("Must Have",AG506)),18,IF(ISNUMBER(SEARCH("Deprior",AG506)),5,0)))*'Scenario Controls'!$B$23/25</x:f>
        <x:v>0</x:v>
      </x:c>
      <x:c r="M506" s="23" t="n">
        <x:f>J506*'Scenario Controls'!$B$24/15</x:f>
        <x:v>0</x:v>
      </x:c>
      <x:c r="N506" s="23" t="n">
        <x:f>IF(ISNUMBER(SEARCH("HEALTHY",X506)),10,IF(ISNUMBER(SEARCH("CONTAIN",X506)),6,0))*'Scenario Controls'!$B$25/10</x:f>
        <x:v>0</x:v>
      </x:c>
      <x:c r="O506" s="23" t="n">
        <x:f>SUM(K506:N506)</x:f>
        <x:v>0</x:v>
      </x:c>
      <x:c r="P506" s="15" t="str">
        <x:f>IF(OR(B506="",E506&lt;=0),"Evidence missing / not eligible",IF(ISNUMBER(SEARCH("priority TBD",Y506)),"Evidence missing / not eligible",IF(AND(H506="Carryover",NOT(ISNUMBER(F506))),"Evidence missing / not eligible",IF(AND(H506="Carryover",G506&lt;'Scenario Controls'!$B$16),"Evidence missing / not eligible",IF(AND(H506="ROI-Based Portfolio",NOT(ISNUMBER(F506))),"Evidence missing / not eligible",IF(AND(H506="ROI-Based Portfolio",O506&lt;'Scenario Controls'!$B$20),"Evidence missing / not eligible","Eligible"))))))</x:f>
        <x:v>Evidence missing / not eligible</x:v>
      </x:c>
      <x:c r="Q506" s="19" t="n">
        <x:f>IF(P506&lt;&gt;"Eligible",0,IF(AND(SUMIFS($Q$5:Q505,$H$5:H505,H506)+E506&lt;=(IF(H506="LFR",'Scenario Controls'!$F$10,IF(H506="Sustain Engineering",'Scenario Controls'!$F$11,IF(H506="Hygiene",'Scenario Controls'!$F$12,1E+99))))*(1+'Scenario Controls'!$B$7),SUM($Q$5:Q505)+E506&lt;='Scenario Controls'!$B$6*(1+'Scenario Controls'!$B$7)),E506,0))</x:f>
        <x:v>0</x:v>
      </x:c>
      <x:c r="R506" s="24" t="str">
        <x:f>'BU Conference'!G326</x:f>
        <x:v>Automatic</x:v>
      </x:c>
      <x:c r="S506" s="24" t="str">
        <x:f>'BU Conference'!H326</x:f>
      </x:c>
      <x:c r="T506" s="19" t="n">
        <x:f>IF(R506="Exclude",0,IF(R506="Include",E506,Q506))</x:f>
        <x:v>0</x:v>
      </x:c>
      <x:c r="U506" s="15" t="str">
        <x:f>IF(T506&gt;0,"Funded",IF(P506="Eligible","Unfunded",P506))</x:f>
        <x:v>Evidence missing / not eligible</x:v>
      </x:c>
      <x:c r="V506" s="15" t="str">
        <x:f>IF(R506="Include","Conference inclusion: "&amp;S506,IF(R506="Exclude","Conference exclusion: "&amp;S506,IF(Q506&gt;0,H506&amp;" priority rank "&amp;I506&amp;"; whole initiative selected",P506)))</x:f>
        <x:v>Evidence missing / not eligible</x:v>
      </x:c>
      <x:c r="W506" s="15" t="str">
        <x:v>Bu!566</x:v>
      </x:c>
      <x:c r="X506" s="15" t="str"/>
      <x:c r="Y506" s="15" t="str"/>
      <x:c r="Z506" s="15" t="str"/>
      <x:c r="AA506" s="15" t="str"/>
      <x:c r="AB506" s="15" t="str"/>
      <x:c r="AC506" s="15" t="str"/>
      <x:c r="AD506" s="15" t="str"/>
      <x:c r="AE506" s="15" t="str"/>
      <x:c r="AF506" s="15" t="str"/>
      <x:c r="AG506" s="15" t="str"/>
      <x:c r="AH506" s="15" t="n">
        <x:v>438</x:v>
      </x:c>
    </x:row>
    <x:row r="507">
      <x:c r="A507" s="15" t="str">
        <x:v>Bu-266</x:v>
      </x:c>
      <x:c r="B507" s="15" t="str"/>
      <x:c r="C507" s="15" t="str">
        <x:v>BU Led</x:v>
      </x:c>
      <x:c r="D507" s="15" t="str"/>
      <x:c r="E507" s="19" t="n">
        <x:v>0</x:v>
      </x:c>
      <x:c r="F507" s="19" t="n">
        <x:v>0</x:v>
      </x:c>
      <x:c r="G507" s="22" t="str">
        <x:f>IF(AND(E507&gt;0,ISNUMBER(F507)),F507/E507,"")</x:f>
      </x:c>
      <x:c r="H507" s="15" t="str">
        <x:v>ROI-Based Portfolio</x:v>
      </x:c>
      <x:c r="I507" s="15" t="n">
        <x:v>205</x:v>
      </x:c>
      <x:c r="J507" s="15" t="n">
        <x:v>0</x:v>
      </x:c>
      <x:c r="K507" s="23" t="n">
        <x:f>IF(G507="",0,IF(G507&lt;1,0,IF(G507&lt;2,20,IF(G507&lt;3,30,IF(G507&lt;5,40,50)))))*'Scenario Controls'!$B$22/50</x:f>
        <x:v>0</x:v>
      </x:c>
      <x:c r="L507" s="23" t="n">
        <x:f>IF(ISNUMBER(SEARCH("Must Do",AG507)),25,IF(ISNUMBER(SEARCH("Must Have",AG507)),18,IF(ISNUMBER(SEARCH("Deprior",AG507)),5,0)))*'Scenario Controls'!$B$23/25</x:f>
        <x:v>0</x:v>
      </x:c>
      <x:c r="M507" s="23" t="n">
        <x:f>J507*'Scenario Controls'!$B$24/15</x:f>
        <x:v>0</x:v>
      </x:c>
      <x:c r="N507" s="23" t="n">
        <x:f>IF(ISNUMBER(SEARCH("HEALTHY",X507)),10,IF(ISNUMBER(SEARCH("CONTAIN",X507)),6,0))*'Scenario Controls'!$B$25/10</x:f>
        <x:v>0</x:v>
      </x:c>
      <x:c r="O507" s="23" t="n">
        <x:f>SUM(K507:N507)</x:f>
        <x:v>0</x:v>
      </x:c>
      <x:c r="P507" s="15" t="str">
        <x:f>IF(OR(B507="",E507&lt;=0),"Evidence missing / not eligible",IF(ISNUMBER(SEARCH("priority TBD",Y507)),"Evidence missing / not eligible",IF(AND(H507="Carryover",NOT(ISNUMBER(F507))),"Evidence missing / not eligible",IF(AND(H507="Carryover",G507&lt;'Scenario Controls'!$B$16),"Evidence missing / not eligible",IF(AND(H507="ROI-Based Portfolio",NOT(ISNUMBER(F507))),"Evidence missing / not eligible",IF(AND(H507="ROI-Based Portfolio",O507&lt;'Scenario Controls'!$B$20),"Evidence missing / not eligible","Eligible"))))))</x:f>
        <x:v>Evidence missing / not eligible</x:v>
      </x:c>
      <x:c r="Q507" s="19" t="n">
        <x:f>IF(P507&lt;&gt;"Eligible",0,IF(AND(SUMIFS($Q$5:Q506,$H$5:H506,H507)+E507&lt;=(IF(H507="LFR",'Scenario Controls'!$F$10,IF(H507="Sustain Engineering",'Scenario Controls'!$F$11,IF(H507="Hygiene",'Scenario Controls'!$F$12,1E+99))))*(1+'Scenario Controls'!$B$7),SUM($Q$5:Q506)+E507&lt;='Scenario Controls'!$B$6*(1+'Scenario Controls'!$B$7)),E507,0))</x:f>
        <x:v>0</x:v>
      </x:c>
      <x:c r="R507" s="24" t="str">
        <x:f>'BU Conference'!G327</x:f>
        <x:v>Automatic</x:v>
      </x:c>
      <x:c r="S507" s="24" t="str">
        <x:f>'BU Conference'!H327</x:f>
      </x:c>
      <x:c r="T507" s="19" t="n">
        <x:f>IF(R507="Exclude",0,IF(R507="Include",E507,Q507))</x:f>
        <x:v>0</x:v>
      </x:c>
      <x:c r="U507" s="15" t="str">
        <x:f>IF(T507&gt;0,"Funded",IF(P507="Eligible","Unfunded",P507))</x:f>
        <x:v>Evidence missing / not eligible</x:v>
      </x:c>
      <x:c r="V507" s="15" t="str">
        <x:f>IF(R507="Include","Conference inclusion: "&amp;S507,IF(R507="Exclude","Conference exclusion: "&amp;S507,IF(Q507&gt;0,H507&amp;" priority rank "&amp;I507&amp;"; whole initiative selected",P507)))</x:f>
        <x:v>Evidence missing / not eligible</x:v>
      </x:c>
      <x:c r="W507" s="15" t="str">
        <x:v>Bu!574</x:v>
      </x:c>
      <x:c r="X507" s="15" t="str"/>
      <x:c r="Y507" s="15" t="str"/>
      <x:c r="Z507" s="15" t="str"/>
      <x:c r="AA507" s="15" t="str"/>
      <x:c r="AB507" s="15" t="str"/>
      <x:c r="AC507" s="15" t="str"/>
      <x:c r="AD507" s="15" t="str"/>
      <x:c r="AE507" s="15" t="str"/>
      <x:c r="AF507" s="15" t="str"/>
      <x:c r="AG507" s="15" t="str"/>
      <x:c r="AH507" s="15" t="n">
        <x:v>445</x:v>
      </x:c>
    </x:row>
    <x:row r="508">
      <x:c r="A508" s="15" t="str">
        <x:v>Bu-268</x:v>
      </x:c>
      <x:c r="B508" s="15" t="str"/>
      <x:c r="C508" s="15" t="str">
        <x:v>BU Led</x:v>
      </x:c>
      <x:c r="D508" s="15" t="str"/>
      <x:c r="E508" s="19" t="n">
        <x:v>0</x:v>
      </x:c>
      <x:c r="F508" s="19" t="n">
        <x:v>0</x:v>
      </x:c>
      <x:c r="G508" s="22" t="str">
        <x:f>IF(AND(E508&gt;0,ISNUMBER(F508)),F508/E508,"")</x:f>
      </x:c>
      <x:c r="H508" s="15" t="str">
        <x:v>ROI-Based Portfolio</x:v>
      </x:c>
      <x:c r="I508" s="15" t="n">
        <x:v>206</x:v>
      </x:c>
      <x:c r="J508" s="15" t="n">
        <x:v>0</x:v>
      </x:c>
      <x:c r="K508" s="23" t="n">
        <x:f>IF(G508="",0,IF(G508&lt;1,0,IF(G508&lt;2,20,IF(G508&lt;3,30,IF(G508&lt;5,40,50)))))*'Scenario Controls'!$B$22/50</x:f>
        <x:v>0</x:v>
      </x:c>
      <x:c r="L508" s="23" t="n">
        <x:f>IF(ISNUMBER(SEARCH("Must Do",AG508)),25,IF(ISNUMBER(SEARCH("Must Have",AG508)),18,IF(ISNUMBER(SEARCH("Deprior",AG508)),5,0)))*'Scenario Controls'!$B$23/25</x:f>
        <x:v>0</x:v>
      </x:c>
      <x:c r="M508" s="23" t="n">
        <x:f>J508*'Scenario Controls'!$B$24/15</x:f>
        <x:v>0</x:v>
      </x:c>
      <x:c r="N508" s="23" t="n">
        <x:f>IF(ISNUMBER(SEARCH("HEALTHY",X508)),10,IF(ISNUMBER(SEARCH("CONTAIN",X508)),6,0))*'Scenario Controls'!$B$25/10</x:f>
        <x:v>0</x:v>
      </x:c>
      <x:c r="O508" s="23" t="n">
        <x:f>SUM(K508:N508)</x:f>
        <x:v>0</x:v>
      </x:c>
      <x:c r="P508" s="15" t="str">
        <x:f>IF(OR(B508="",E508&lt;=0),"Evidence missing / not eligible",IF(ISNUMBER(SEARCH("priority TBD",Y508)),"Evidence missing / not eligible",IF(AND(H508="Carryover",NOT(ISNUMBER(F508))),"Evidence missing / not eligible",IF(AND(H508="Carryover",G508&lt;'Scenario Controls'!$B$16),"Evidence missing / not eligible",IF(AND(H508="ROI-Based Portfolio",NOT(ISNUMBER(F508))),"Evidence missing / not eligible",IF(AND(H508="ROI-Based Portfolio",O508&lt;'Scenario Controls'!$B$20),"Evidence missing / not eligible","Eligible"))))))</x:f>
        <x:v>Evidence missing / not eligible</x:v>
      </x:c>
      <x:c r="Q508" s="19" t="n">
        <x:f>IF(P508&lt;&gt;"Eligible",0,IF(AND(SUMIFS($Q$5:Q507,$H$5:H507,H508)+E508&lt;=(IF(H508="LFR",'Scenario Controls'!$F$10,IF(H508="Sustain Engineering",'Scenario Controls'!$F$11,IF(H508="Hygiene",'Scenario Controls'!$F$12,1E+99))))*(1+'Scenario Controls'!$B$7),SUM($Q$5:Q507)+E508&lt;='Scenario Controls'!$B$6*(1+'Scenario Controls'!$B$7)),E508,0))</x:f>
        <x:v>0</x:v>
      </x:c>
      <x:c r="R508" s="24" t="str">
        <x:f>'BU Conference'!G328</x:f>
        <x:v>Automatic</x:v>
      </x:c>
      <x:c r="S508" s="24" t="str">
        <x:f>'BU Conference'!H328</x:f>
      </x:c>
      <x:c r="T508" s="19" t="n">
        <x:f>IF(R508="Exclude",0,IF(R508="Include",E508,Q508))</x:f>
        <x:v>0</x:v>
      </x:c>
      <x:c r="U508" s="15" t="str">
        <x:f>IF(T508&gt;0,"Funded",IF(P508="Eligible","Unfunded",P508))</x:f>
        <x:v>Evidence missing / not eligible</x:v>
      </x:c>
      <x:c r="V508" s="15" t="str">
        <x:f>IF(R508="Include","Conference inclusion: "&amp;S508,IF(R508="Exclude","Conference exclusion: "&amp;S508,IF(Q508&gt;0,H508&amp;" priority rank "&amp;I508&amp;"; whole initiative selected",P508)))</x:f>
        <x:v>Evidence missing / not eligible</x:v>
      </x:c>
      <x:c r="W508" s="15" t="str">
        <x:v>Bu!576</x:v>
      </x:c>
      <x:c r="X508" s="15" t="str"/>
      <x:c r="Y508" s="15" t="str"/>
      <x:c r="Z508" s="15" t="str"/>
      <x:c r="AA508" s="15" t="str"/>
      <x:c r="AB508" s="15" t="str"/>
      <x:c r="AC508" s="15" t="str"/>
      <x:c r="AD508" s="15" t="str"/>
      <x:c r="AE508" s="15" t="str"/>
      <x:c r="AF508" s="15" t="str"/>
      <x:c r="AG508" s="15" t="str"/>
      <x:c r="AH508" s="15" t="n">
        <x:v>447</x:v>
      </x:c>
    </x:row>
    <x:row r="509">
      <x:c r="A509" s="15" t="str">
        <x:v>Bu-278</x:v>
      </x:c>
      <x:c r="B509" s="15" t="str"/>
      <x:c r="C509" s="15" t="str">
        <x:v>BU Led</x:v>
      </x:c>
      <x:c r="D509" s="15" t="str"/>
      <x:c r="E509" s="19" t="n">
        <x:v>0</x:v>
      </x:c>
      <x:c r="F509" s="19" t="n">
        <x:v>0</x:v>
      </x:c>
      <x:c r="G509" s="22" t="str">
        <x:f>IF(AND(E509&gt;0,ISNUMBER(F509)),F509/E509,"")</x:f>
      </x:c>
      <x:c r="H509" s="15" t="str">
        <x:v>ROI-Based Portfolio</x:v>
      </x:c>
      <x:c r="I509" s="15" t="n">
        <x:v>207</x:v>
      </x:c>
      <x:c r="J509" s="15" t="n">
        <x:v>0</x:v>
      </x:c>
      <x:c r="K509" s="23" t="n">
        <x:f>IF(G509="",0,IF(G509&lt;1,0,IF(G509&lt;2,20,IF(G509&lt;3,30,IF(G509&lt;5,40,50)))))*'Scenario Controls'!$B$22/50</x:f>
        <x:v>0</x:v>
      </x:c>
      <x:c r="L509" s="23" t="n">
        <x:f>IF(ISNUMBER(SEARCH("Must Do",AG509)),25,IF(ISNUMBER(SEARCH("Must Have",AG509)),18,IF(ISNUMBER(SEARCH("Deprior",AG509)),5,0)))*'Scenario Controls'!$B$23/25</x:f>
        <x:v>0</x:v>
      </x:c>
      <x:c r="M509" s="23" t="n">
        <x:f>J509*'Scenario Controls'!$B$24/15</x:f>
        <x:v>0</x:v>
      </x:c>
      <x:c r="N509" s="23" t="n">
        <x:f>IF(ISNUMBER(SEARCH("HEALTHY",X509)),10,IF(ISNUMBER(SEARCH("CONTAIN",X509)),6,0))*'Scenario Controls'!$B$25/10</x:f>
        <x:v>0</x:v>
      </x:c>
      <x:c r="O509" s="23" t="n">
        <x:f>SUM(K509:N509)</x:f>
        <x:v>0</x:v>
      </x:c>
      <x:c r="P509" s="15" t="str">
        <x:f>IF(OR(B509="",E509&lt;=0),"Evidence missing / not eligible",IF(ISNUMBER(SEARCH("priority TBD",Y509)),"Evidence missing / not eligible",IF(AND(H509="Carryover",NOT(ISNUMBER(F509))),"Evidence missing / not eligible",IF(AND(H509="Carryover",G509&lt;'Scenario Controls'!$B$16),"Evidence missing / not eligible",IF(AND(H509="ROI-Based Portfolio",NOT(ISNUMBER(F509))),"Evidence missing / not eligible",IF(AND(H509="ROI-Based Portfolio",O509&lt;'Scenario Controls'!$B$20),"Evidence missing / not eligible","Eligible"))))))</x:f>
        <x:v>Evidence missing / not eligible</x:v>
      </x:c>
      <x:c r="Q509" s="19" t="n">
        <x:f>IF(P509&lt;&gt;"Eligible",0,IF(AND(SUMIFS($Q$5:Q508,$H$5:H508,H509)+E509&lt;=(IF(H509="LFR",'Scenario Controls'!$F$10,IF(H509="Sustain Engineering",'Scenario Controls'!$F$11,IF(H509="Hygiene",'Scenario Controls'!$F$12,1E+99))))*(1+'Scenario Controls'!$B$7),SUM($Q$5:Q508)+E509&lt;='Scenario Controls'!$B$6*(1+'Scenario Controls'!$B$7)),E509,0))</x:f>
        <x:v>0</x:v>
      </x:c>
      <x:c r="R509" s="24" t="str">
        <x:f>'BU Conference'!G329</x:f>
        <x:v>Automatic</x:v>
      </x:c>
      <x:c r="S509" s="24" t="str">
        <x:f>'BU Conference'!H329</x:f>
      </x:c>
      <x:c r="T509" s="19" t="n">
        <x:f>IF(R509="Exclude",0,IF(R509="Include",E509,Q509))</x:f>
        <x:v>0</x:v>
      </x:c>
      <x:c r="U509" s="15" t="str">
        <x:f>IF(T509&gt;0,"Funded",IF(P509="Eligible","Unfunded",P509))</x:f>
        <x:v>Evidence missing / not eligible</x:v>
      </x:c>
      <x:c r="V509" s="15" t="str">
        <x:f>IF(R509="Include","Conference inclusion: "&amp;S509,IF(R509="Exclude","Conference exclusion: "&amp;S509,IF(Q509&gt;0,H509&amp;" priority rank "&amp;I509&amp;"; whole initiative selected",P509)))</x:f>
        <x:v>Evidence missing / not eligible</x:v>
      </x:c>
      <x:c r="W509" s="15" t="str">
        <x:v>Bu!585</x:v>
      </x:c>
      <x:c r="X509" s="15" t="str"/>
      <x:c r="Y509" s="15" t="str"/>
      <x:c r="Z509" s="15" t="str"/>
      <x:c r="AA509" s="15" t="str"/>
      <x:c r="AB509" s="15" t="str"/>
      <x:c r="AC509" s="15" t="str"/>
      <x:c r="AD509" s="15" t="str"/>
      <x:c r="AE509" s="15" t="str"/>
      <x:c r="AF509" s="15" t="str"/>
      <x:c r="AG509" s="15" t="str"/>
      <x:c r="AH509" s="15" t="n">
        <x:v>456</x:v>
      </x:c>
    </x:row>
    <x:row r="510">
      <x:c r="A510" s="15" t="str">
        <x:v>Bu-326</x:v>
      </x:c>
      <x:c r="B510" s="15" t="str"/>
      <x:c r="C510" s="15" t="str">
        <x:v>BU Led</x:v>
      </x:c>
      <x:c r="D510" s="15" t="str"/>
      <x:c r="E510" s="19" t="n">
        <x:v>0</x:v>
      </x:c>
      <x:c r="F510" s="19" t="n">
        <x:v>0</x:v>
      </x:c>
      <x:c r="G510" s="22" t="str">
        <x:f>IF(AND(E510&gt;0,ISNUMBER(F510)),F510/E510,"")</x:f>
      </x:c>
      <x:c r="H510" s="15" t="str">
        <x:v>ROI-Based Portfolio</x:v>
      </x:c>
      <x:c r="I510" s="15" t="n">
        <x:v>208</x:v>
      </x:c>
      <x:c r="J510" s="15" t="n">
        <x:v>0</x:v>
      </x:c>
      <x:c r="K510" s="23" t="n">
        <x:f>IF(G510="",0,IF(G510&lt;1,0,IF(G510&lt;2,20,IF(G510&lt;3,30,IF(G510&lt;5,40,50)))))*'Scenario Controls'!$B$22/50</x:f>
        <x:v>0</x:v>
      </x:c>
      <x:c r="L510" s="23" t="n">
        <x:f>IF(ISNUMBER(SEARCH("Must Do",AG510)),25,IF(ISNUMBER(SEARCH("Must Have",AG510)),18,IF(ISNUMBER(SEARCH("Deprior",AG510)),5,0)))*'Scenario Controls'!$B$23/25</x:f>
        <x:v>0</x:v>
      </x:c>
      <x:c r="M510" s="23" t="n">
        <x:f>J510*'Scenario Controls'!$B$24/15</x:f>
        <x:v>0</x:v>
      </x:c>
      <x:c r="N510" s="23" t="n">
        <x:f>IF(ISNUMBER(SEARCH("HEALTHY",X510)),10,IF(ISNUMBER(SEARCH("CONTAIN",X510)),6,0))*'Scenario Controls'!$B$25/10</x:f>
        <x:v>0</x:v>
      </x:c>
      <x:c r="O510" s="23" t="n">
        <x:f>SUM(K510:N510)</x:f>
        <x:v>0</x:v>
      </x:c>
      <x:c r="P510" s="15" t="str">
        <x:f>IF(OR(B510="",E510&lt;=0),"Evidence missing / not eligible",IF(ISNUMBER(SEARCH("priority TBD",Y510)),"Evidence missing / not eligible",IF(AND(H510="Carryover",NOT(ISNUMBER(F510))),"Evidence missing / not eligible",IF(AND(H510="Carryover",G510&lt;'Scenario Controls'!$B$16),"Evidence missing / not eligible",IF(AND(H510="ROI-Based Portfolio",NOT(ISNUMBER(F510))),"Evidence missing / not eligible",IF(AND(H510="ROI-Based Portfolio",O510&lt;'Scenario Controls'!$B$20),"Evidence missing / not eligible","Eligible"))))))</x:f>
        <x:v>Evidence missing / not eligible</x:v>
      </x:c>
      <x:c r="Q510" s="19" t="n">
        <x:f>IF(P510&lt;&gt;"Eligible",0,IF(AND(SUMIFS($Q$5:Q509,$H$5:H509,H510)+E510&lt;=(IF(H510="LFR",'Scenario Controls'!$F$10,IF(H510="Sustain Engineering",'Scenario Controls'!$F$11,IF(H510="Hygiene",'Scenario Controls'!$F$12,1E+99))))*(1+'Scenario Controls'!$B$7),SUM($Q$5:Q509)+E510&lt;='Scenario Controls'!$B$6*(1+'Scenario Controls'!$B$7)),E510,0))</x:f>
        <x:v>0</x:v>
      </x:c>
      <x:c r="R510" s="24" t="str">
        <x:f>'BU Conference'!G330</x:f>
        <x:v>Automatic</x:v>
      </x:c>
      <x:c r="S510" s="24" t="str">
        <x:f>'BU Conference'!H330</x:f>
      </x:c>
      <x:c r="T510" s="19" t="n">
        <x:f>IF(R510="Exclude",0,IF(R510="Include",E510,Q510))</x:f>
        <x:v>0</x:v>
      </x:c>
      <x:c r="U510" s="15" t="str">
        <x:f>IF(T510&gt;0,"Funded",IF(P510="Eligible","Unfunded",P510))</x:f>
        <x:v>Evidence missing / not eligible</x:v>
      </x:c>
      <x:c r="V510" s="15" t="str">
        <x:f>IF(R510="Include","Conference inclusion: "&amp;S510,IF(R510="Exclude","Conference exclusion: "&amp;S510,IF(Q510&gt;0,H510&amp;" priority rank "&amp;I510&amp;"; whole initiative selected",P510)))</x:f>
        <x:v>Evidence missing / not eligible</x:v>
      </x:c>
      <x:c r="W510" s="15" t="str">
        <x:v>Bu!663</x:v>
      </x:c>
      <x:c r="X510" s="15" t="str"/>
      <x:c r="Y510" s="15" t="str"/>
      <x:c r="Z510" s="15" t="str"/>
      <x:c r="AA510" s="15" t="str"/>
      <x:c r="AB510" s="15" t="str"/>
      <x:c r="AC510" s="15" t="str"/>
      <x:c r="AD510" s="15" t="str"/>
      <x:c r="AE510" s="15" t="str"/>
      <x:c r="AF510" s="15" t="str"/>
      <x:c r="AG510" s="15" t="str"/>
      <x:c r="AH510" s="15" t="n">
        <x:v>503</x:v>
      </x:c>
    </x:row>
    <x:row r="511">
      <x:c r="A511" s="15" t="str">
        <x:v>Bu-327</x:v>
      </x:c>
      <x:c r="B511" s="15" t="str"/>
      <x:c r="C511" s="15" t="str">
        <x:v>BU Led</x:v>
      </x:c>
      <x:c r="D511" s="15" t="str"/>
      <x:c r="E511" s="19" t="n">
        <x:v>0</x:v>
      </x:c>
      <x:c r="F511" s="19" t="n">
        <x:v>0</x:v>
      </x:c>
      <x:c r="G511" s="22" t="str">
        <x:f>IF(AND(E511&gt;0,ISNUMBER(F511)),F511/E511,"")</x:f>
      </x:c>
      <x:c r="H511" s="15" t="str">
        <x:v>ROI-Based Portfolio</x:v>
      </x:c>
      <x:c r="I511" s="15" t="n">
        <x:v>209</x:v>
      </x:c>
      <x:c r="J511" s="15" t="n">
        <x:v>0</x:v>
      </x:c>
      <x:c r="K511" s="23" t="n">
        <x:f>IF(G511="",0,IF(G511&lt;1,0,IF(G511&lt;2,20,IF(G511&lt;3,30,IF(G511&lt;5,40,50)))))*'Scenario Controls'!$B$22/50</x:f>
        <x:v>0</x:v>
      </x:c>
      <x:c r="L511" s="23" t="n">
        <x:f>IF(ISNUMBER(SEARCH("Must Do",AG511)),25,IF(ISNUMBER(SEARCH("Must Have",AG511)),18,IF(ISNUMBER(SEARCH("Deprior",AG511)),5,0)))*'Scenario Controls'!$B$23/25</x:f>
        <x:v>0</x:v>
      </x:c>
      <x:c r="M511" s="23" t="n">
        <x:f>J511*'Scenario Controls'!$B$24/15</x:f>
        <x:v>0</x:v>
      </x:c>
      <x:c r="N511" s="23" t="n">
        <x:f>IF(ISNUMBER(SEARCH("HEALTHY",X511)),10,IF(ISNUMBER(SEARCH("CONTAIN",X511)),6,0))*'Scenario Controls'!$B$25/10</x:f>
        <x:v>0</x:v>
      </x:c>
      <x:c r="O511" s="23" t="n">
        <x:f>SUM(K511:N511)</x:f>
        <x:v>0</x:v>
      </x:c>
      <x:c r="P511" s="15" t="str">
        <x:f>IF(OR(B511="",E511&lt;=0),"Evidence missing / not eligible",IF(ISNUMBER(SEARCH("priority TBD",Y511)),"Evidence missing / not eligible",IF(AND(H511="Carryover",NOT(ISNUMBER(F511))),"Evidence missing / not eligible",IF(AND(H511="Carryover",G511&lt;'Scenario Controls'!$B$16),"Evidence missing / not eligible",IF(AND(H511="ROI-Based Portfolio",NOT(ISNUMBER(F511))),"Evidence missing / not eligible",IF(AND(H511="ROI-Based Portfolio",O511&lt;'Scenario Controls'!$B$20),"Evidence missing / not eligible","Eligible"))))))</x:f>
        <x:v>Evidence missing / not eligible</x:v>
      </x:c>
      <x:c r="Q511" s="19" t="n">
        <x:f>IF(P511&lt;&gt;"Eligible",0,IF(AND(SUMIFS($Q$5:Q510,$H$5:H510,H511)+E511&lt;=(IF(H511="LFR",'Scenario Controls'!$F$10,IF(H511="Sustain Engineering",'Scenario Controls'!$F$11,IF(H511="Hygiene",'Scenario Controls'!$F$12,1E+99))))*(1+'Scenario Controls'!$B$7),SUM($Q$5:Q510)+E511&lt;='Scenario Controls'!$B$6*(1+'Scenario Controls'!$B$7)),E511,0))</x:f>
        <x:v>0</x:v>
      </x:c>
      <x:c r="R511" s="24" t="str">
        <x:f>'BU Conference'!G331</x:f>
        <x:v>Automatic</x:v>
      </x:c>
      <x:c r="S511" s="24" t="str">
        <x:f>'BU Conference'!H331</x:f>
      </x:c>
      <x:c r="T511" s="19" t="n">
        <x:f>IF(R511="Exclude",0,IF(R511="Include",E511,Q511))</x:f>
        <x:v>0</x:v>
      </x:c>
      <x:c r="U511" s="15" t="str">
        <x:f>IF(T511&gt;0,"Funded",IF(P511="Eligible","Unfunded",P511))</x:f>
        <x:v>Evidence missing / not eligible</x:v>
      </x:c>
      <x:c r="V511" s="15" t="str">
        <x:f>IF(R511="Include","Conference inclusion: "&amp;S511,IF(R511="Exclude","Conference exclusion: "&amp;S511,IF(Q511&gt;0,H511&amp;" priority rank "&amp;I511&amp;"; whole initiative selected",P511)))</x:f>
        <x:v>Evidence missing / not eligible</x:v>
      </x:c>
      <x:c r="W511" s="15" t="str">
        <x:v>Bu!664</x:v>
      </x:c>
      <x:c r="X511" s="15" t="str"/>
      <x:c r="Y511" s="15" t="str"/>
      <x:c r="Z511" s="15" t="str"/>
      <x:c r="AA511" s="15" t="str"/>
      <x:c r="AB511" s="15" t="str"/>
      <x:c r="AC511" s="15" t="str"/>
      <x:c r="AD511" s="15" t="str"/>
      <x:c r="AE511" s="15" t="str"/>
      <x:c r="AF511" s="15" t="str"/>
      <x:c r="AG511" s="15" t="str"/>
      <x:c r="AH511" s="15" t="n">
        <x:v>504</x:v>
      </x:c>
    </x:row>
    <x:row r="512">
      <x:c r="A512" s="15" t="str">
        <x:v>Bu-328</x:v>
      </x:c>
      <x:c r="B512" s="15" t="str"/>
      <x:c r="C512" s="15" t="str">
        <x:v>BU Led</x:v>
      </x:c>
      <x:c r="D512" s="15" t="str"/>
      <x:c r="E512" s="19" t="n">
        <x:v>0</x:v>
      </x:c>
      <x:c r="F512" s="19" t="n">
        <x:v>0</x:v>
      </x:c>
      <x:c r="G512" s="22" t="str">
        <x:f>IF(AND(E512&gt;0,ISNUMBER(F512)),F512/E512,"")</x:f>
      </x:c>
      <x:c r="H512" s="15" t="str">
        <x:v>ROI-Based Portfolio</x:v>
      </x:c>
      <x:c r="I512" s="15" t="n">
        <x:v>210</x:v>
      </x:c>
      <x:c r="J512" s="15" t="n">
        <x:v>0</x:v>
      </x:c>
      <x:c r="K512" s="23" t="n">
        <x:f>IF(G512="",0,IF(G512&lt;1,0,IF(G512&lt;2,20,IF(G512&lt;3,30,IF(G512&lt;5,40,50)))))*'Scenario Controls'!$B$22/50</x:f>
        <x:v>0</x:v>
      </x:c>
      <x:c r="L512" s="23" t="n">
        <x:f>IF(ISNUMBER(SEARCH("Must Do",AG512)),25,IF(ISNUMBER(SEARCH("Must Have",AG512)),18,IF(ISNUMBER(SEARCH("Deprior",AG512)),5,0)))*'Scenario Controls'!$B$23/25</x:f>
        <x:v>0</x:v>
      </x:c>
      <x:c r="M512" s="23" t="n">
        <x:f>J512*'Scenario Controls'!$B$24/15</x:f>
        <x:v>0</x:v>
      </x:c>
      <x:c r="N512" s="23" t="n">
        <x:f>IF(ISNUMBER(SEARCH("HEALTHY",X512)),10,IF(ISNUMBER(SEARCH("CONTAIN",X512)),6,0))*'Scenario Controls'!$B$25/10</x:f>
        <x:v>0</x:v>
      </x:c>
      <x:c r="O512" s="23" t="n">
        <x:f>SUM(K512:N512)</x:f>
        <x:v>0</x:v>
      </x:c>
      <x:c r="P512" s="15" t="str">
        <x:f>IF(OR(B512="",E512&lt;=0),"Evidence missing / not eligible",IF(ISNUMBER(SEARCH("priority TBD",Y512)),"Evidence missing / not eligible",IF(AND(H512="Carryover",NOT(ISNUMBER(F512))),"Evidence missing / not eligible",IF(AND(H512="Carryover",G512&lt;'Scenario Controls'!$B$16),"Evidence missing / not eligible",IF(AND(H512="ROI-Based Portfolio",NOT(ISNUMBER(F512))),"Evidence missing / not eligible",IF(AND(H512="ROI-Based Portfolio",O512&lt;'Scenario Controls'!$B$20),"Evidence missing / not eligible","Eligible"))))))</x:f>
        <x:v>Evidence missing / not eligible</x:v>
      </x:c>
      <x:c r="Q512" s="19" t="n">
        <x:f>IF(P512&lt;&gt;"Eligible",0,IF(AND(SUMIFS($Q$5:Q511,$H$5:H511,H512)+E512&lt;=(IF(H512="LFR",'Scenario Controls'!$F$10,IF(H512="Sustain Engineering",'Scenario Controls'!$F$11,IF(H512="Hygiene",'Scenario Controls'!$F$12,1E+99))))*(1+'Scenario Controls'!$B$7),SUM($Q$5:Q511)+E512&lt;='Scenario Controls'!$B$6*(1+'Scenario Controls'!$B$7)),E512,0))</x:f>
        <x:v>0</x:v>
      </x:c>
      <x:c r="R512" s="24" t="str">
        <x:f>'BU Conference'!G332</x:f>
        <x:v>Automatic</x:v>
      </x:c>
      <x:c r="S512" s="24" t="str">
        <x:f>'BU Conference'!H332</x:f>
      </x:c>
      <x:c r="T512" s="19" t="n">
        <x:f>IF(R512="Exclude",0,IF(R512="Include",E512,Q512))</x:f>
        <x:v>0</x:v>
      </x:c>
      <x:c r="U512" s="15" t="str">
        <x:f>IF(T512&gt;0,"Funded",IF(P512="Eligible","Unfunded",P512))</x:f>
        <x:v>Evidence missing / not eligible</x:v>
      </x:c>
      <x:c r="V512" s="15" t="str">
        <x:f>IF(R512="Include","Conference inclusion: "&amp;S512,IF(R512="Exclude","Conference exclusion: "&amp;S512,IF(Q512&gt;0,H512&amp;" priority rank "&amp;I512&amp;"; whole initiative selected",P512)))</x:f>
        <x:v>Evidence missing / not eligible</x:v>
      </x:c>
      <x:c r="W512" s="15" t="str">
        <x:v>Bu!665</x:v>
      </x:c>
      <x:c r="X512" s="15" t="str"/>
      <x:c r="Y512" s="15" t="str"/>
      <x:c r="Z512" s="15" t="str"/>
      <x:c r="AA512" s="15" t="str"/>
      <x:c r="AB512" s="15" t="str"/>
      <x:c r="AC512" s="15" t="str"/>
      <x:c r="AD512" s="15" t="str"/>
      <x:c r="AE512" s="15" t="str"/>
      <x:c r="AF512" s="15" t="str"/>
      <x:c r="AG512" s="15" t="str"/>
      <x:c r="AH512" s="15" t="n">
        <x:v>505</x:v>
      </x:c>
    </x:row>
    <x:row r="513">
      <x:c r="A513" s="15" t="str">
        <x:v>Bu-329</x:v>
      </x:c>
      <x:c r="B513" s="15" t="str"/>
      <x:c r="C513" s="15" t="str">
        <x:v>BU Led</x:v>
      </x:c>
      <x:c r="D513" s="15" t="str"/>
      <x:c r="E513" s="19" t="n">
        <x:v>0</x:v>
      </x:c>
      <x:c r="F513" s="19" t="n">
        <x:v>0</x:v>
      </x:c>
      <x:c r="G513" s="22" t="str">
        <x:f>IF(AND(E513&gt;0,ISNUMBER(F513)),F513/E513,"")</x:f>
      </x:c>
      <x:c r="H513" s="15" t="str">
        <x:v>ROI-Based Portfolio</x:v>
      </x:c>
      <x:c r="I513" s="15" t="n">
        <x:v>211</x:v>
      </x:c>
      <x:c r="J513" s="15" t="n">
        <x:v>0</x:v>
      </x:c>
      <x:c r="K513" s="23" t="n">
        <x:f>IF(G513="",0,IF(G513&lt;1,0,IF(G513&lt;2,20,IF(G513&lt;3,30,IF(G513&lt;5,40,50)))))*'Scenario Controls'!$B$22/50</x:f>
        <x:v>0</x:v>
      </x:c>
      <x:c r="L513" s="23" t="n">
        <x:f>IF(ISNUMBER(SEARCH("Must Do",AG513)),25,IF(ISNUMBER(SEARCH("Must Have",AG513)),18,IF(ISNUMBER(SEARCH("Deprior",AG513)),5,0)))*'Scenario Controls'!$B$23/25</x:f>
        <x:v>0</x:v>
      </x:c>
      <x:c r="M513" s="23" t="n">
        <x:f>J513*'Scenario Controls'!$B$24/15</x:f>
        <x:v>0</x:v>
      </x:c>
      <x:c r="N513" s="23" t="n">
        <x:f>IF(ISNUMBER(SEARCH("HEALTHY",X513)),10,IF(ISNUMBER(SEARCH("CONTAIN",X513)),6,0))*'Scenario Controls'!$B$25/10</x:f>
        <x:v>0</x:v>
      </x:c>
      <x:c r="O513" s="23" t="n">
        <x:f>SUM(K513:N513)</x:f>
        <x:v>0</x:v>
      </x:c>
      <x:c r="P513" s="15" t="str">
        <x:f>IF(OR(B513="",E513&lt;=0),"Evidence missing / not eligible",IF(ISNUMBER(SEARCH("priority TBD",Y513)),"Evidence missing / not eligible",IF(AND(H513="Carryover",NOT(ISNUMBER(F513))),"Evidence missing / not eligible",IF(AND(H513="Carryover",G513&lt;'Scenario Controls'!$B$16),"Evidence missing / not eligible",IF(AND(H513="ROI-Based Portfolio",NOT(ISNUMBER(F513))),"Evidence missing / not eligible",IF(AND(H513="ROI-Based Portfolio",O513&lt;'Scenario Controls'!$B$20),"Evidence missing / not eligible","Eligible"))))))</x:f>
        <x:v>Evidence missing / not eligible</x:v>
      </x:c>
      <x:c r="Q513" s="19" t="n">
        <x:f>IF(P513&lt;&gt;"Eligible",0,IF(AND(SUMIFS($Q$5:Q512,$H$5:H512,H513)+E513&lt;=(IF(H513="LFR",'Scenario Controls'!$F$10,IF(H513="Sustain Engineering",'Scenario Controls'!$F$11,IF(H513="Hygiene",'Scenario Controls'!$F$12,1E+99))))*(1+'Scenario Controls'!$B$7),SUM($Q$5:Q512)+E513&lt;='Scenario Controls'!$B$6*(1+'Scenario Controls'!$B$7)),E513,0))</x:f>
        <x:v>0</x:v>
      </x:c>
      <x:c r="R513" s="24" t="str">
        <x:f>'BU Conference'!G333</x:f>
        <x:v>Automatic</x:v>
      </x:c>
      <x:c r="S513" s="24" t="str">
        <x:f>'BU Conference'!H333</x:f>
      </x:c>
      <x:c r="T513" s="19" t="n">
        <x:f>IF(R513="Exclude",0,IF(R513="Include",E513,Q513))</x:f>
        <x:v>0</x:v>
      </x:c>
      <x:c r="U513" s="15" t="str">
        <x:f>IF(T513&gt;0,"Funded",IF(P513="Eligible","Unfunded",P513))</x:f>
        <x:v>Evidence missing / not eligible</x:v>
      </x:c>
      <x:c r="V513" s="15" t="str">
        <x:f>IF(R513="Include","Conference inclusion: "&amp;S513,IF(R513="Exclude","Conference exclusion: "&amp;S513,IF(Q513&gt;0,H513&amp;" priority rank "&amp;I513&amp;"; whole initiative selected",P513)))</x:f>
        <x:v>Evidence missing / not eligible</x:v>
      </x:c>
      <x:c r="W513" s="15" t="str">
        <x:v>Bu!666</x:v>
      </x:c>
      <x:c r="X513" s="15" t="str"/>
      <x:c r="Y513" s="15" t="str"/>
      <x:c r="Z513" s="15" t="str"/>
      <x:c r="AA513" s="15" t="str"/>
      <x:c r="AB513" s="15" t="str"/>
      <x:c r="AC513" s="15" t="str"/>
      <x:c r="AD513" s="15" t="str"/>
      <x:c r="AE513" s="15" t="str"/>
      <x:c r="AF513" s="15" t="str"/>
      <x:c r="AG513" s="15" t="str"/>
      <x:c r="AH513" s="15" t="n">
        <x:v>506</x:v>
      </x:c>
    </x:row>
    <x:row r="514">
      <x:c r="A514" s="15" t="str">
        <x:v>Bu-row-528</x:v>
      </x:c>
      <x:c r="B514" s="15" t="str">
        <x:v>Topkal (150K)</x:v>
      </x:c>
      <x:c r="C514" s="15" t="str">
        <x:v>BU Led</x:v>
      </x:c>
      <x:c r="D514" s="15" t="str"/>
      <x:c r="E514" s="19" t="n">
        <x:v>0</x:v>
      </x:c>
      <x:c r="F514" s="19" t="n">
        <x:v>0</x:v>
      </x:c>
      <x:c r="G514" s="22" t="str">
        <x:f>IF(AND(E514&gt;0,ISNUMBER(F514)),F514/E514,"")</x:f>
      </x:c>
      <x:c r="H514" s="15" t="str">
        <x:v>ROI-Based Portfolio</x:v>
      </x:c>
      <x:c r="I514" s="15" t="n">
        <x:v>212</x:v>
      </x:c>
      <x:c r="J514" s="15" t="n">
        <x:v>0</x:v>
      </x:c>
      <x:c r="K514" s="23" t="n">
        <x:f>IF(G514="",0,IF(G514&lt;1,0,IF(G514&lt;2,20,IF(G514&lt;3,30,IF(G514&lt;5,40,50)))))*'Scenario Controls'!$B$22/50</x:f>
        <x:v>0</x:v>
      </x:c>
      <x:c r="L514" s="23" t="n">
        <x:f>IF(ISNUMBER(SEARCH("Must Do",AG514)),25,IF(ISNUMBER(SEARCH("Must Have",AG514)),18,IF(ISNUMBER(SEARCH("Deprior",AG514)),5,0)))*'Scenario Controls'!$B$23/25</x:f>
        <x:v>0</x:v>
      </x:c>
      <x:c r="M514" s="23" t="n">
        <x:f>J514*'Scenario Controls'!$B$24/15</x:f>
        <x:v>0</x:v>
      </x:c>
      <x:c r="N514" s="23" t="n">
        <x:f>IF(ISNUMBER(SEARCH("HEALTHY",X514)),10,IF(ISNUMBER(SEARCH("CONTAIN",X514)),6,0))*'Scenario Controls'!$B$25/10</x:f>
        <x:v>0</x:v>
      </x:c>
      <x:c r="O514" s="23" t="n">
        <x:f>SUM(K514:N514)</x:f>
        <x:v>0</x:v>
      </x:c>
      <x:c r="P514" s="15" t="str">
        <x:f>IF(OR(B514="",E514&lt;=0),"Evidence missing / not eligible",IF(ISNUMBER(SEARCH("priority TBD",Y514)),"Evidence missing / not eligible",IF(AND(H514="Carryover",NOT(ISNUMBER(F514))),"Evidence missing / not eligible",IF(AND(H514="Carryover",G514&lt;'Scenario Controls'!$B$16),"Evidence missing / not eligible",IF(AND(H514="ROI-Based Portfolio",NOT(ISNUMBER(F514))),"Evidence missing / not eligible",IF(AND(H514="ROI-Based Portfolio",O514&lt;'Scenario Controls'!$B$20),"Evidence missing / not eligible","Eligible"))))))</x:f>
        <x:v>Evidence missing / not eligible</x:v>
      </x:c>
      <x:c r="Q514" s="19" t="n">
        <x:f>IF(P514&lt;&gt;"Eligible",0,IF(AND(SUMIFS($Q$5:Q513,$H$5:H513,H514)+E514&lt;=(IF(H514="LFR",'Scenario Controls'!$F$10,IF(H514="Sustain Engineering",'Scenario Controls'!$F$11,IF(H514="Hygiene",'Scenario Controls'!$F$12,1E+99))))*(1+'Scenario Controls'!$B$7),SUM($Q$5:Q513)+E514&lt;='Scenario Controls'!$B$6*(1+'Scenario Controls'!$B$7)),E514,0))</x:f>
        <x:v>0</x:v>
      </x:c>
      <x:c r="R514" s="24" t="str">
        <x:f>'BU Conference'!G334</x:f>
        <x:v>Automatic</x:v>
      </x:c>
      <x:c r="S514" s="24" t="n">
        <x:f>'BU Conference'!H334</x:f>
        <x:v>0</x:v>
      </x:c>
      <x:c r="T514" s="19" t="n">
        <x:f>IF(R514="Exclude",0,IF(R514="Include",E514,Q514))</x:f>
        <x:v>0</x:v>
      </x:c>
      <x:c r="U514" s="15" t="str">
        <x:f>IF(T514&gt;0,"Funded",IF(P514="Eligible","Unfunded",P514))</x:f>
        <x:v>Evidence missing / not eligible</x:v>
      </x:c>
      <x:c r="V514" s="15" t="str">
        <x:f>IF(R514="Include","Conference inclusion: "&amp;S514,IF(R514="Exclude","Conference exclusion: "&amp;S514,IF(Q514&gt;0,H514&amp;" priority rank "&amp;I514&amp;"; whole initiative selected",P514)))</x:f>
        <x:v>Evidence missing / not eligible</x:v>
      </x:c>
      <x:c r="W514" s="15" t="str">
        <x:v>Bu!528</x:v>
      </x:c>
      <x:c r="X514" s="15" t="str"/>
      <x:c r="Y514" s="15" t="str"/>
      <x:c r="Z514" s="15" t="str"/>
      <x:c r="AA514" s="15" t="str"/>
      <x:c r="AB514" s="15" t="str"/>
      <x:c r="AC514" s="15" t="str"/>
      <x:c r="AD514" s="15" t="str"/>
      <x:c r="AE514" s="15" t="str"/>
      <x:c r="AF514" s="15" t="str"/>
      <x:c r="AG514" s="15" t="str"/>
      <x:c r="AH514" s="15" t="n">
        <x:v>410</x:v>
      </x:c>
    </x:row>
  </x:sheetData>
  <x:mergeCells>
    <x:mergeCell ref="A1:AH1"/>
    <x:mergeCell ref="A2:AH2"/>
  </x:mergeCells>
  <x:pageMargins left="0.7" right="0.7" top="0.75" bottom="0.75" header="0.3" footer="0.3"/>
</x:worksheet>
</file>

<file path=xl/worksheets/sheet4.xml><?xml version="1.0" encoding="utf-8"?>
<x:worksheet xmlns:x="http://schemas.openxmlformats.org/spreadsheetml/2006/main">
  <x:sheetPr>
    <x:tabColor rgb="FF12805C"/>
  </x:sheetPr>
  <x:sheetViews>
    <x:sheetView showGridLines="0" workbookViewId="0">
      <x:pane xSplit="2" ySplit="5" topLeftCell="C6" activePane="bottomRight" state="frozen"/>
    </x:sheetView>
  </x:sheetViews>
  <x:sheetFormatPr defaultRowHeight="15"/>
  <x:cols>
    <x:col min="1" max="1" width="13" hidden="0" customWidth="1"/>
    <x:col min="2" max="2" width="46" hidden="0" customWidth="1"/>
    <x:col min="3" max="3" width="30" hidden="0" customWidth="1"/>
    <x:col min="4" max="4" width="18" hidden="0" customWidth="1"/>
    <x:col min="5" max="5" width="18" hidden="0" customWidth="1"/>
    <x:col min="6" max="6" width="18" hidden="0" customWidth="1"/>
    <x:col min="7" max="7" width="18" hidden="0" customWidth="1"/>
    <x:col min="8" max="8" width="45" hidden="0" customWidth="1"/>
    <x:col min="9" max="9" width="14" hidden="0" customWidth="1"/>
  </x:cols>
  <x:sheetData>
    <x:row r="1" ht="34" customHeight="1">
      <x:c r="A1" s="3" t="str">
        <x:v>BU Led Conference View</x:v>
      </x:c>
      <x:c r="B1" s="3"/>
      <x:c r="C1" s="3"/>
      <x:c r="D1" s="3"/>
      <x:c r="E1" s="3"/>
      <x:c r="F1" s="3"/>
      <x:c r="G1" s="3"/>
      <x:c r="H1" s="3"/>
      <x:c r="I1" s="3"/>
    </x:row>
    <x:row r="2" ht="30" customHeight="1">
      <x:c r="A2" s="7" t="str">
        <x:v>This adds to the existing prioritized view. Choose Include or Exclude and record a reason; inclusion may leave the final scenario over budget.</x:v>
      </x:c>
      <x:c r="B2" s="7"/>
      <x:c r="C2" s="7"/>
      <x:c r="D2" s="7"/>
      <x:c r="E2" s="7"/>
      <x:c r="F2" s="7"/>
      <x:c r="G2" s="7"/>
      <x:c r="H2" s="7"/>
      <x:c r="I2" s="7"/>
    </x:row>
    <x:row r="3">
      <x:c r="A3" s="21"/>
      <x:c r="B3" s="21"/>
      <x:c r="C3" s="21"/>
      <x:c r="D3" s="21"/>
      <x:c r="E3" s="21"/>
      <x:c r="F3" s="21"/>
      <x:c r="G3" s="21"/>
      <x:c r="H3" s="21"/>
      <x:c r="I3" s="21"/>
    </x:row>
    <x:row r="4">
      <x:c r="A4" s="21"/>
      <x:c r="B4" s="21"/>
      <x:c r="C4" s="21"/>
      <x:c r="D4" s="21"/>
      <x:c r="E4" s="21"/>
      <x:c r="F4" s="21"/>
      <x:c r="G4" s="21"/>
      <x:c r="H4" s="21"/>
      <x:c r="I4" s="21"/>
    </x:row>
    <x:row r="5">
      <x:c r="A5" s="12" t="str">
        <x:v>ID</x:v>
      </x:c>
      <x:c r="B5" s="12" t="str">
        <x:v>Initiative</x:v>
      </x:c>
      <x:c r="C5" s="12" t="str">
        <x:v>Organisation</x:v>
      </x:c>
      <x:c r="D5" s="12" t="str">
        <x:v>Request M€</x:v>
      </x:c>
      <x:c r="E5" s="12" t="str">
        <x:v>Primary Bucket</x:v>
      </x:c>
      <x:c r="F5" s="12" t="str">
        <x:v>Prioritized Status</x:v>
      </x:c>
      <x:c r="G5" s="12" t="str">
        <x:v>Conference Decision</x:v>
      </x:c>
      <x:c r="H5" s="12" t="str">
        <x:v>Reason</x:v>
      </x:c>
      <x:c r="I5" s="12" t="str">
        <x:v>Source Ref</x:v>
      </x:c>
    </x:row>
    <x:row r="6">
      <x:c r="A6" s="15" t="str">
        <x:v>Bu-101</x:v>
      </x:c>
      <x:c r="B6" s="15" t="str">
        <x:v>Kimball/Smoke changes</x:v>
      </x:c>
      <x:c r="C6" s="15" t="str">
        <x:v>Sleep &amp; Respiratory Care (SRC)</x:v>
      </x:c>
      <x:c r="D6" s="19" t="n">
        <x:v>0.1</x:v>
      </x:c>
      <x:c r="E6" s="15" t="str">
        <x:v>LFR</x:v>
      </x:c>
      <x:c r="F6" s="15" t="str">
        <x:f>'Portfolio Model'!U8</x:f>
        <x:v>Funded</x:v>
      </x:c>
      <x:c r="G6" s="16" t="str">
        <x:v>Automatic</x:v>
      </x:c>
      <x:c r="H6" s="16" t="str"/>
      <x:c r="I6" s="15" t="str">
        <x:v>Bu!242</x:v>
      </x:c>
    </x:row>
    <x:row r="7">
      <x:c r="A7" s="15" t="str">
        <x:v>Bu-61</x:v>
      </x:c>
      <x:c r="B7" s="15" t="str">
        <x:v>Entrepreneur Split</x:v>
      </x:c>
      <x:c r="C7" s="15" t="str">
        <x:v>Image Guided Therapy - Systems (IGT-S)</x:v>
      </x:c>
      <x:c r="D7" s="19" t="n">
        <x:v>0.7</x:v>
      </x:c>
      <x:c r="E7" s="15" t="str">
        <x:v>LFR</x:v>
      </x:c>
      <x:c r="F7" s="15" t="str">
        <x:f>'Portfolio Model'!U9</x:f>
        <x:v>Funded</x:v>
      </x:c>
      <x:c r="G7" s="16" t="str">
        <x:v>Automatic</x:v>
      </x:c>
      <x:c r="H7" s="16" t="str"/>
      <x:c r="I7" s="15" t="str">
        <x:v>Bu!134</x:v>
      </x:c>
    </x:row>
    <x:row r="8">
      <x:c r="A8" s="15" t="str">
        <x:v>Bu-103</x:v>
      </x:c>
      <x:c r="B8" s="15" t="str">
        <x:v>3rd Party Inventory and Hold status update from SAP/PRD</x:v>
      </x:c>
      <x:c r="C8" s="15" t="str">
        <x:v>Sleep &amp; Respiratory Care (SRC)</x:v>
      </x:c>
      <x:c r="D8" s="19" t="n">
        <x:v>0.2</x:v>
      </x:c>
      <x:c r="E8" s="15" t="str">
        <x:v>LFR</x:v>
      </x:c>
      <x:c r="F8" s="15" t="str">
        <x:f>'Portfolio Model'!U25</x:f>
        <x:v>Funded</x:v>
      </x:c>
      <x:c r="G8" s="16" t="str">
        <x:v>Automatic</x:v>
      </x:c>
      <x:c r="H8" s="16" t="str"/>
      <x:c r="I8" s="15" t="str">
        <x:v>Bu!244</x:v>
      </x:c>
    </x:row>
    <x:row r="9">
      <x:c r="A9" s="15" t="str">
        <x:v>Bu-76</x:v>
      </x:c>
      <x:c r="B9" s="15" t="str">
        <x:v>IR27#60 - Supply Chain Excellence (in fact 3x Type 1: each 50K HPM SE, ULS DK, IGTD Italy) - create 3 lines?</x:v>
      </x:c>
      <x:c r="C9" s="15" t="str">
        <x:v>International Regions (IR)</x:v>
      </x:c>
      <x:c r="D9" s="19" t="n">
        <x:v>0.15</x:v>
      </x:c>
      <x:c r="E9" s="15" t="str">
        <x:v>Sustain Engineering</x:v>
      </x:c>
      <x:c r="F9" s="15" t="str">
        <x:f>'Portfolio Model'!U42</x:f>
        <x:v>Funded</x:v>
      </x:c>
      <x:c r="G9" s="16" t="str">
        <x:v>Automatic</x:v>
      </x:c>
      <x:c r="H9" s="16" t="str"/>
      <x:c r="I9" s="15" t="str">
        <x:v>Bu!190</x:v>
      </x:c>
    </x:row>
    <x:row r="10">
      <x:c r="A10" s="15" t="str">
        <x:v>Bu-75</x:v>
      </x:c>
      <x:c r="B10" s="15" t="str">
        <x:v>IR27#44 - EDI Continuous Improvement incl BNL Peppol Orders</x:v>
      </x:c>
      <x:c r="C10" s="15" t="str">
        <x:v>International Regions (IR)</x:v>
      </x:c>
      <x:c r="D10" s="19" t="n">
        <x:v>0.078</x:v>
      </x:c>
      <x:c r="E10" s="15" t="str">
        <x:v>Sustain Engineering</x:v>
      </x:c>
      <x:c r="F10" s="15" t="str">
        <x:f>'Portfolio Model'!U43</x:f>
        <x:v>Funded</x:v>
      </x:c>
      <x:c r="G10" s="16" t="str">
        <x:v>Automatic</x:v>
      </x:c>
      <x:c r="H10" s="16" t="str"/>
      <x:c r="I10" s="15" t="str">
        <x:v>Bu!184</x:v>
      </x:c>
    </x:row>
    <x:row r="11">
      <x:c r="A11" s="15" t="str">
        <x:v>Bu-74</x:v>
      </x:c>
      <x:c r="B11" s="15" t="str">
        <x:v>IR27#43 - D2B Configurable Product Mgt</x:v>
      </x:c>
      <x:c r="C11" s="15" t="str">
        <x:v>International Regions (IR)</x:v>
      </x:c>
      <x:c r="D11" s="19" t="n">
        <x:v>0.08</x:v>
      </x:c>
      <x:c r="E11" s="15" t="str">
        <x:v>Sustain Engineering</x:v>
      </x:c>
      <x:c r="F11" s="15" t="str">
        <x:f>'Portfolio Model'!U45</x:f>
        <x:v>Funded</x:v>
      </x:c>
      <x:c r="G11" s="16" t="str">
        <x:v>Automatic</x:v>
      </x:c>
      <x:c r="H11" s="16" t="str"/>
      <x:c r="I11" s="15" t="str">
        <x:v>Bu!183</x:v>
      </x:c>
    </x:row>
    <x:row r="12">
      <x:c r="A12" s="15" t="str">
        <x:v>Bu-77</x:v>
      </x:c>
      <x:c r="B12" s="15" t="str">
        <x:v>IR27#70 - SC IW&amp;D Excellence</x:v>
      </x:c>
      <x:c r="C12" s="15" t="str">
        <x:v>International Regions (IR)</x:v>
      </x:c>
      <x:c r="D12" s="19" t="n">
        <x:v>0</x:v>
      </x:c>
      <x:c r="E12" s="15" t="str">
        <x:v>Sustain Engineering</x:v>
      </x:c>
      <x:c r="F12" s="15" t="str">
        <x:f>'Portfolio Model'!U51</x:f>
        <x:v>Evidence missing / not eligible</x:v>
      </x:c>
      <x:c r="G12" s="16" t="str">
        <x:v>Automatic</x:v>
      </x:c>
      <x:c r="H12" s="16" t="str"/>
      <x:c r="I12" s="15" t="str">
        <x:v>Bu!195</x:v>
      </x:c>
    </x:row>
    <x:row r="13">
      <x:c r="A13" s="15" t="str">
        <x:v>Bu-159</x:v>
      </x:c>
      <x:c r="B13" s="15" t="str">
        <x:v>I2M PLM (Windchill) CR's</x:v>
      </x:c>
      <x:c r="C13" s="15" t="str">
        <x:v>Precision Diagnosis - Magnetic Resonance (MR)</x:v>
      </x:c>
      <x:c r="D13" s="19" t="n">
        <x:v>0.3</x:v>
      </x:c>
      <x:c r="E13" s="15" t="str">
        <x:v>Sustain Engineering</x:v>
      </x:c>
      <x:c r="F13" s="15" t="str">
        <x:f>'Portfolio Model'!U52</x:f>
        <x:v>Funded</x:v>
      </x:c>
      <x:c r="G13" s="16" t="str">
        <x:v>Automatic</x:v>
      </x:c>
      <x:c r="H13" s="16" t="str"/>
      <x:c r="I13" s="15" t="str">
        <x:v>Bu!380</x:v>
      </x:c>
    </x:row>
    <x:row r="14">
      <x:c r="A14" s="15" t="str">
        <x:v>Bu-323</x:v>
      </x:c>
      <x:c r="B14" s="15" t="str">
        <x:v>Windchill customization/integration to support automation</x:v>
      </x:c>
      <x:c r="C14" s="15" t="str">
        <x:v>Ambulatory Monitoring and Diagnostics (AM&amp;D)</x:v>
      </x:c>
      <x:c r="D14" s="19" t="n">
        <x:v>0.025</x:v>
      </x:c>
      <x:c r="E14" s="15" t="str">
        <x:v>Sustain Engineering</x:v>
      </x:c>
      <x:c r="F14" s="15" t="str">
        <x:f>'Portfolio Model'!U53</x:f>
        <x:v>Funded</x:v>
      </x:c>
      <x:c r="G14" s="16" t="str">
        <x:v>Automatic</x:v>
      </x:c>
      <x:c r="H14" s="16" t="str"/>
      <x:c r="I14" s="15" t="str">
        <x:v>Bu!660</x:v>
      </x:c>
    </x:row>
    <x:row r="15">
      <x:c r="A15" s="15" t="str">
        <x:v>Bu-324</x:v>
      </x:c>
      <x:c r="B15" s="15" t="str">
        <x:v>Advanced resource and capacity management (PARP) Onboarding / Adoption</x:v>
      </x:c>
      <x:c r="C15" s="15" t="str">
        <x:v>Ambulatory Monitoring and Diagnostics (AM&amp;D)</x:v>
      </x:c>
      <x:c r="D15" s="19" t="n">
        <x:v>0.03</x:v>
      </x:c>
      <x:c r="E15" s="15" t="str">
        <x:v>Sustain Engineering</x:v>
      </x:c>
      <x:c r="F15" s="15" t="str">
        <x:f>'Portfolio Model'!U54</x:f>
        <x:v>Funded</x:v>
      </x:c>
      <x:c r="G15" s="16" t="str">
        <x:v>Automatic</x:v>
      </x:c>
      <x:c r="H15" s="16" t="str"/>
      <x:c r="I15" s="15" t="str">
        <x:v>Bu!661</x:v>
      </x:c>
    </x:row>
    <x:row r="16">
      <x:c r="A16" s="15" t="str">
        <x:v>Bu-99</x:v>
      </x:c>
      <x:c r="B16" s="15" t="str">
        <x:v>Rotech Virtual Org (CPG in BY)</x:v>
      </x:c>
      <x:c r="C16" s="15" t="str">
        <x:v>Sleep &amp; Respiratory Care (SRC)</x:v>
      </x:c>
      <x:c r="D16" s="19" t="n">
        <x:v>0.1</x:v>
      </x:c>
      <x:c r="E16" s="15" t="str">
        <x:v>Hygiene</x:v>
      </x:c>
      <x:c r="F16" s="15" t="str">
        <x:f>'Portfolio Model'!U60</x:f>
        <x:v>Funded</x:v>
      </x:c>
      <x:c r="G16" s="16" t="str">
        <x:v>Automatic</x:v>
      </x:c>
      <x:c r="H16" s="16" t="str"/>
      <x:c r="I16" s="15" t="str">
        <x:v>Bu!240</x:v>
      </x:c>
    </x:row>
    <x:row r="17">
      <x:c r="A17" s="15" t="str">
        <x:v>Bu-65</x:v>
      </x:c>
      <x:c r="B17" s="15" t="str">
        <x:v>IR27#18 - Performance Split Automation Step 2</x:v>
      </x:c>
      <x:c r="C17" s="15" t="str">
        <x:v>International Regions (IR)</x:v>
      </x:c>
      <x:c r="D17" s="19" t="n">
        <x:v>0.2</x:v>
      </x:c>
      <x:c r="E17" s="15" t="str">
        <x:v>Hygiene</x:v>
      </x:c>
      <x:c r="F17" s="15" t="str">
        <x:f>'Portfolio Model'!U62</x:f>
        <x:v>Funded</x:v>
      </x:c>
      <x:c r="G17" s="16" t="str">
        <x:v>Automatic</x:v>
      </x:c>
      <x:c r="H17" s="16" t="str"/>
      <x:c r="I17" s="15" t="str">
        <x:v>Bu!139</x:v>
      </x:c>
    </x:row>
    <x:row r="18">
      <x:c r="A18" s="15" t="str">
        <x:v>Bu-31</x:v>
      </x:c>
      <x:c r="B18" s="15" t="str">
        <x:v>31.1 E-Commerce Analytics &amp; Digital Shelf</x:v>
      </x:c>
      <x:c r="C18" s="15" t="str">
        <x:v>Personal Health (PH)</x:v>
      </x:c>
      <x:c r="D18" s="19" t="n">
        <x:v>0.22</x:v>
      </x:c>
      <x:c r="E18" s="15" t="str">
        <x:v>Hygiene</x:v>
      </x:c>
      <x:c r="F18" s="15" t="str">
        <x:f>'Portfolio Model'!U64</x:f>
        <x:v>Funded</x:v>
      </x:c>
      <x:c r="G18" s="16" t="str">
        <x:v>Automatic</x:v>
      </x:c>
      <x:c r="H18" s="16" t="str"/>
      <x:c r="I18" s="15" t="str">
        <x:v>Bu!72</x:v>
      </x:c>
    </x:row>
    <x:row r="19">
      <x:c r="A19" s="15" t="str">
        <x:v>Bu-22</x:v>
      </x:c>
      <x:c r="B19" s="15" t="str">
        <x:v>03. Professionals / D2B2C</x:v>
      </x:c>
      <x:c r="C19" s="15" t="str">
        <x:v>Personal Health (PH)</x:v>
      </x:c>
      <x:c r="D19" s="19" t="n">
        <x:v>1</x:v>
      </x:c>
      <x:c r="E19" s="15" t="str">
        <x:v>Hygiene</x:v>
      </x:c>
      <x:c r="F19" s="15" t="str">
        <x:f>'Portfolio Model'!U65</x:f>
        <x:v>Funded</x:v>
      </x:c>
      <x:c r="G19" s="16" t="str">
        <x:v>Automatic</x:v>
      </x:c>
      <x:c r="H19" s="16" t="str"/>
      <x:c r="I19" s="15" t="str">
        <x:v>Bu!32</x:v>
      </x:c>
    </x:row>
    <x:row r="20">
      <x:c r="A20" s="15" t="str">
        <x:v>Bu-98</x:v>
      </x:c>
      <x:c r="B20" s="15" t="str">
        <x:v>ISC CRs</x:v>
      </x:c>
      <x:c r="C20" s="15" t="str">
        <x:v>Sleep &amp; Respiratory Care (SRC)</x:v>
      </x:c>
      <x:c r="D20" s="19" t="n">
        <x:v>0.1</x:v>
      </x:c>
      <x:c r="E20" s="15" t="str">
        <x:v>Hygiene</x:v>
      </x:c>
      <x:c r="F20" s="15" t="str">
        <x:f>'Portfolio Model'!U66</x:f>
        <x:v>Funded</x:v>
      </x:c>
      <x:c r="G20" s="16" t="str">
        <x:v>Automatic</x:v>
      </x:c>
      <x:c r="H20" s="16" t="str"/>
      <x:c r="I20" s="15" t="str">
        <x:v>Bu!239</x:v>
      </x:c>
    </x:row>
    <x:row r="21">
      <x:c r="A21" s="15" t="str">
        <x:v>Bu-55</x:v>
      </x:c>
      <x:c r="B21" s="15" t="str">
        <x:v>D2B HS eCommerce 2025_26</x:v>
      </x:c>
      <x:c r="C21" s="15" t="str">
        <x:v>CoE Marketing – HS (former DMEC)</x:v>
      </x:c>
      <x:c r="D21" s="19" t="n">
        <x:v>0.4</x:v>
      </x:c>
      <x:c r="E21" s="15" t="str">
        <x:v>Hygiene</x:v>
      </x:c>
      <x:c r="F21" s="15" t="str">
        <x:f>'Portfolio Model'!U70</x:f>
        <x:v>Funded</x:v>
      </x:c>
      <x:c r="G21" s="16" t="str">
        <x:v>Automatic</x:v>
      </x:c>
      <x:c r="H21" s="16" t="str"/>
      <x:c r="I21" s="15" t="str">
        <x:v>Bu!119</x:v>
      </x:c>
    </x:row>
    <x:row r="22">
      <x:c r="A22" s="15" t="str">
        <x:v>Bu-253</x:v>
      </x:c>
      <x:c r="B22" s="15" t="str">
        <x:v>cCRM – Change &amp; Sustain</x:v>
      </x:c>
      <x:c r="C22" s="15" t="str">
        <x:v>Image Guided Therapy - Devices (IGT-D)</x:v>
      </x:c>
      <x:c r="D22" s="19" t="n">
        <x:v>0.12</x:v>
      </x:c>
      <x:c r="E22" s="15" t="str">
        <x:v>Hygiene</x:v>
      </x:c>
      <x:c r="F22" s="15" t="str">
        <x:f>'Portfolio Model'!U73</x:f>
        <x:v>Funded</x:v>
      </x:c>
      <x:c r="G22" s="16" t="str">
        <x:v>Automatic</x:v>
      </x:c>
      <x:c r="H22" s="16" t="str"/>
      <x:c r="I22" s="15" t="str">
        <x:v>Bu!561</x:v>
      </x:c>
    </x:row>
    <x:row r="23">
      <x:c r="A23" s="15" t="str">
        <x:v>Bu-252</x:v>
      </x:c>
      <x:c r="B23" s="15" t="str">
        <x:v>Conga – Change &amp; Sustain</x:v>
      </x:c>
      <x:c r="C23" s="15" t="str">
        <x:v>Image Guided Therapy - Devices (IGT-D)</x:v>
      </x:c>
      <x:c r="D23" s="19" t="n">
        <x:v>0.32</x:v>
      </x:c>
      <x:c r="E23" s="15" t="str">
        <x:v>Hygiene</x:v>
      </x:c>
      <x:c r="F23" s="15" t="str">
        <x:f>'Portfolio Model'!U74</x:f>
        <x:v>Funded</x:v>
      </x:c>
      <x:c r="G23" s="16" t="str">
        <x:v>Automatic</x:v>
      </x:c>
      <x:c r="H23" s="16" t="str"/>
      <x:c r="I23" s="15" t="str">
        <x:v>Bu!560</x:v>
      </x:c>
    </x:row>
    <x:row r="24">
      <x:c r="A24" s="15" t="str">
        <x:v>Bu-72</x:v>
      </x:c>
      <x:c r="B24" s="15" t="str">
        <x:v>IR27#34 - Partner Central Consistency While Scaling</x:v>
      </x:c>
      <x:c r="C24" s="15" t="str">
        <x:v>International Regions (IR)</x:v>
      </x:c>
      <x:c r="D24" s="19" t="n">
        <x:v>0.14</x:v>
      </x:c>
      <x:c r="E24" s="15" t="str">
        <x:v>Hygiene</x:v>
      </x:c>
      <x:c r="F24" s="15" t="str">
        <x:f>'Portfolio Model'!U75</x:f>
        <x:v>Funded</x:v>
      </x:c>
      <x:c r="G24" s="16" t="str">
        <x:v>Automatic</x:v>
      </x:c>
      <x:c r="H24" s="16" t="str"/>
      <x:c r="I24" s="15" t="str">
        <x:v>Bu!175</x:v>
      </x:c>
    </x:row>
    <x:row r="25">
      <x:c r="A25" s="15" t="str">
        <x:v>Bu-32</x:v>
      </x:c>
      <x:c r="B25" s="15" t="str">
        <x:v>30. COPAD (Customer One performance Analytics Dashboards)</x:v>
      </x:c>
      <x:c r="C25" s="15" t="str">
        <x:v>Personal Health (PH)</x:v>
      </x:c>
      <x:c r="D25" s="19" t="n">
        <x:v>0.2</x:v>
      </x:c>
      <x:c r="E25" s="15" t="str">
        <x:v>Hygiene</x:v>
      </x:c>
      <x:c r="F25" s="15" t="str">
        <x:f>'Portfolio Model'!U76</x:f>
        <x:v>Funded</x:v>
      </x:c>
      <x:c r="G25" s="16" t="str">
        <x:v>Automatic</x:v>
      </x:c>
      <x:c r="H25" s="16" t="str"/>
      <x:c r="I25" s="15" t="str">
        <x:v>Bu!80</x:v>
      </x:c>
    </x:row>
    <x:row r="26">
      <x:c r="A26" s="15" t="str">
        <x:v>Bu-33</x:v>
      </x:c>
      <x:c r="B26" s="15" t="str">
        <x:v>28. Social Care and Project Management</x:v>
      </x:c>
      <x:c r="C26" s="15" t="str">
        <x:v>Personal Health (PH)</x:v>
      </x:c>
      <x:c r="D26" s="19" t="n">
        <x:v>0.025</x:v>
      </x:c>
      <x:c r="E26" s="15" t="str">
        <x:v>Hygiene</x:v>
      </x:c>
      <x:c r="F26" s="15" t="str">
        <x:f>'Portfolio Model'!U77</x:f>
        <x:v>Funded</x:v>
      </x:c>
      <x:c r="G26" s="16" t="str">
        <x:v>Automatic</x:v>
      </x:c>
      <x:c r="H26" s="16" t="str"/>
      <x:c r="I26" s="15" t="str">
        <x:v>Bu!86</x:v>
      </x:c>
    </x:row>
    <x:row r="27">
      <x:c r="A27" s="15" t="str">
        <x:v>Bu-23</x:v>
      </x:c>
      <x:c r="B27" s="15" t="str">
        <x:v>02. CRM | Building meaningful relationships</x:v>
      </x:c>
      <x:c r="C27" s="15" t="str">
        <x:v>Personal Health (PH)</x:v>
      </x:c>
      <x:c r="D27" s="19" t="n">
        <x:v>0.25</x:v>
      </x:c>
      <x:c r="E27" s="15" t="str">
        <x:v>Hygiene</x:v>
      </x:c>
      <x:c r="F27" s="15" t="str">
        <x:f>'Portfolio Model'!U79</x:f>
        <x:v>Funded</x:v>
      </x:c>
      <x:c r="G27" s="16" t="str">
        <x:v>Automatic</x:v>
      </x:c>
      <x:c r="H27" s="16" t="str"/>
      <x:c r="I27" s="15" t="str">
        <x:v>Bu!41</x:v>
      </x:c>
    </x:row>
    <x:row r="28">
      <x:c r="A28" s="15" t="str">
        <x:v>Bu-29</x:v>
      </x:c>
      <x:c r="B28" s="15" t="str">
        <x:v>41. Accelerate Incremental Sales from Media Investments (MMM)</x:v>
      </x:c>
      <x:c r="C28" s="15" t="str">
        <x:v>Personal Health (PH)</x:v>
      </x:c>
      <x:c r="D28" s="19" t="n">
        <x:v>1.2</x:v>
      </x:c>
      <x:c r="E28" s="15" t="str">
        <x:v>Hygiene</x:v>
      </x:c>
      <x:c r="F28" s="15" t="str">
        <x:f>'Portfolio Model'!U82</x:f>
        <x:v>Funded</x:v>
      </x:c>
      <x:c r="G28" s="16" t="str">
        <x:v>Automatic</x:v>
      </x:c>
      <x:c r="H28" s="16" t="str"/>
      <x:c r="I28" s="15" t="str">
        <x:v>Bu!63</x:v>
      </x:c>
    </x:row>
    <x:row r="29">
      <x:c r="A29" s="15" t="str">
        <x:v>Bu-27</x:v>
      </x:c>
      <x:c r="B29" s="15" t="str">
        <x:v>34. Retailer Sell-out Dashboard (RSD)</x:v>
      </x:c>
      <x:c r="C29" s="15" t="str">
        <x:v>Personal Health (PH)</x:v>
      </x:c>
      <x:c r="D29" s="19" t="n">
        <x:v>1.5</x:v>
      </x:c>
      <x:c r="E29" s="15" t="str">
        <x:v>Hygiene</x:v>
      </x:c>
      <x:c r="F29" s="15" t="str">
        <x:f>'Portfolio Model'!U91</x:f>
        <x:v>Unfunded</x:v>
      </x:c>
      <x:c r="G29" s="16" t="str">
        <x:v>Automatic</x:v>
      </x:c>
      <x:c r="H29" s="16" t="str"/>
      <x:c r="I29" s="15" t="str">
        <x:v>Bu!59</x:v>
      </x:c>
    </x:row>
    <x:row r="30">
      <x:c r="A30" s="15" t="str">
        <x:v>Bu-108</x:v>
      </x:c>
      <x:c r="B30" s="15" t="str">
        <x:v>Automation of offline sales process</x:v>
      </x:c>
      <x:c r="C30" s="15" t="str">
        <x:v>Sleep &amp; Respiratory Care (SRC)</x:v>
      </x:c>
      <x:c r="D30" s="19" t="n">
        <x:v>0.1</x:v>
      </x:c>
      <x:c r="E30" s="15" t="str">
        <x:v>Hygiene</x:v>
      </x:c>
      <x:c r="F30" s="15" t="str">
        <x:f>'Portfolio Model'!U92</x:f>
        <x:v>Unfunded</x:v>
      </x:c>
      <x:c r="G30" s="16" t="str">
        <x:v>Automatic</x:v>
      </x:c>
      <x:c r="H30" s="16" t="str"/>
      <x:c r="I30" s="15" t="str">
        <x:v>Bu!249</x:v>
      </x:c>
    </x:row>
    <x:row r="31">
      <x:c r="A31" s="15" t="str">
        <x:v>Bu-115</x:v>
      </x:c>
      <x:c r="B31" s="15" t="str">
        <x:v>SFDC NAM Changes</x:v>
      </x:c>
      <x:c r="C31" s="15" t="str">
        <x:v>Sleep &amp; Respiratory Care (SRC)</x:v>
      </x:c>
      <x:c r="D31" s="19" t="n">
        <x:v>0.08</x:v>
      </x:c>
      <x:c r="E31" s="15" t="str">
        <x:v>Hygiene</x:v>
      </x:c>
      <x:c r="F31" s="15" t="str">
        <x:f>'Portfolio Model'!U94</x:f>
        <x:v>Unfunded</x:v>
      </x:c>
      <x:c r="G31" s="16" t="str">
        <x:v>Automatic</x:v>
      </x:c>
      <x:c r="H31" s="16" t="str"/>
      <x:c r="I31" s="15" t="str">
        <x:v>Bu!285</x:v>
      </x:c>
    </x:row>
    <x:row r="32">
      <x:c r="A32" s="15" t="str">
        <x:v>Bu-28</x:v>
      </x:c>
      <x:c r="B32" s="15" t="str">
        <x:v>27. Sales operations | Raise the norm in commercial excellence</x:v>
      </x:c>
      <x:c r="C32" s="15" t="str">
        <x:v>Personal Health (PH)</x:v>
      </x:c>
      <x:c r="D32" s="19" t="n">
        <x:v>1</x:v>
      </x:c>
      <x:c r="E32" s="15" t="str">
        <x:v>Hygiene</x:v>
      </x:c>
      <x:c r="F32" s="15" t="str">
        <x:f>'Portfolio Model'!U101</x:f>
        <x:v>Unfunded</x:v>
      </x:c>
      <x:c r="G32" s="16" t="str">
        <x:v>Automatic</x:v>
      </x:c>
      <x:c r="H32" s="16" t="str"/>
      <x:c r="I32" s="15" t="str">
        <x:v>Bu!62</x:v>
      </x:c>
    </x:row>
    <x:row r="33">
      <x:c r="A33" s="15" t="str">
        <x:v>Bu-256</x:v>
      </x:c>
      <x:c r="B33" s="15" t="str">
        <x:v>Horizon (EnLabel)</x:v>
      </x:c>
      <x:c r="C33" s="15" t="str">
        <x:v>Image Guided Therapy - Devices (IGT-D)</x:v>
      </x:c>
      <x:c r="D33" s="19" t="n">
        <x:v>0.235</x:v>
      </x:c>
      <x:c r="E33" s="15" t="str">
        <x:v>Hygiene</x:v>
      </x:c>
      <x:c r="F33" s="15" t="str">
        <x:f>'Portfolio Model'!U111</x:f>
        <x:v>Unfunded</x:v>
      </x:c>
      <x:c r="G33" s="16" t="str">
        <x:v>Automatic</x:v>
      </x:c>
      <x:c r="H33" s="16" t="str"/>
      <x:c r="I33" s="15" t="str">
        <x:v>Bu!564</x:v>
      </x:c>
    </x:row>
    <x:row r="34">
      <x:c r="A34" s="15" t="str">
        <x:v>Bu-21</x:v>
      </x:c>
      <x:c r="B34" s="15" t="str">
        <x:v>13. Finish the ecommerce brilliant basics</x:v>
      </x:c>
      <x:c r="C34" s="15" t="str">
        <x:v>Personal Health (PH)</x:v>
      </x:c>
      <x:c r="D34" s="19" t="n">
        <x:v>0.32</x:v>
      </x:c>
      <x:c r="E34" s="15" t="str">
        <x:v>Hygiene</x:v>
      </x:c>
      <x:c r="F34" s="15" t="str">
        <x:f>'Portfolio Model'!U113</x:f>
        <x:v>Unfunded</x:v>
      </x:c>
      <x:c r="G34" s="16" t="str">
        <x:v>Automatic</x:v>
      </x:c>
      <x:c r="H34" s="16" t="str"/>
      <x:c r="I34" s="15" t="str">
        <x:v>Bu!31</x:v>
      </x:c>
    </x:row>
    <x:row r="35">
      <x:c r="A35" s="15" t="str">
        <x:v>Bu-257</x:v>
      </x:c>
      <x:c r="B35" s="15" t="str">
        <x:v>Windchill – Change &amp; Sustain</x:v>
      </x:c>
      <x:c r="C35" s="15" t="str">
        <x:v>Image Guided Therapy - Devices (IGT-D)</x:v>
      </x:c>
      <x:c r="D35" s="19" t="n">
        <x:v>0.165</x:v>
      </x:c>
      <x:c r="E35" s="15" t="str">
        <x:v>Hygiene</x:v>
      </x:c>
      <x:c r="F35" s="15" t="str">
        <x:f>'Portfolio Model'!U115</x:f>
        <x:v>Unfunded</x:v>
      </x:c>
      <x:c r="G35" s="16" t="str">
        <x:v>Automatic</x:v>
      </x:c>
      <x:c r="H35" s="16" t="str"/>
      <x:c r="I35" s="15" t="str">
        <x:v>Bu!565</x:v>
      </x:c>
    </x:row>
    <x:row r="36">
      <x:c r="A36" s="15" t="str">
        <x:v>Bu-18</x:v>
      </x:c>
      <x:c r="B36" s="15" t="str">
        <x:v>06. Unlocking Digital Marketplaces: Expansion for future growth</x:v>
      </x:c>
      <x:c r="C36" s="15" t="str">
        <x:v>Personal Health (PH)</x:v>
      </x:c>
      <x:c r="D36" s="19" t="n">
        <x:v>0.2</x:v>
      </x:c>
      <x:c r="E36" s="15" t="str">
        <x:v>Hygiene</x:v>
      </x:c>
      <x:c r="F36" s="15" t="str">
        <x:f>'Portfolio Model'!U118</x:f>
        <x:v>Unfunded</x:v>
      </x:c>
      <x:c r="G36" s="16" t="str">
        <x:v>Automatic</x:v>
      </x:c>
      <x:c r="H36" s="16" t="str"/>
      <x:c r="I36" s="15" t="str">
        <x:v>Bu!27</x:v>
      </x:c>
    </x:row>
    <x:row r="37">
      <x:c r="A37" s="15" t="str">
        <x:v>Bu-19</x:v>
      </x:c>
      <x:c r="B37" s="15" t="str">
        <x:v>01. Unleashing the power of Subscriptions</x:v>
      </x:c>
      <x:c r="C37" s="15" t="str">
        <x:v>Personal Health (PH)</x:v>
      </x:c>
      <x:c r="D37" s="19" t="n">
        <x:v>0.1</x:v>
      </x:c>
      <x:c r="E37" s="15" t="str">
        <x:v>Hygiene</x:v>
      </x:c>
      <x:c r="F37" s="15" t="str">
        <x:f>'Portfolio Model'!U119</x:f>
        <x:v>Unfunded</x:v>
      </x:c>
      <x:c r="G37" s="16" t="str">
        <x:v>Automatic</x:v>
      </x:c>
      <x:c r="H37" s="16" t="str"/>
      <x:c r="I37" s="15" t="str">
        <x:v>Bu!28</x:v>
      </x:c>
    </x:row>
    <x:row r="38">
      <x:c r="A38" s="15" t="str">
        <x:v>Bu-193</x:v>
      </x:c>
      <x:c r="B38" s="15" t="str">
        <x:v>Catalog Simplification - Catalog workflow</x:v>
      </x:c>
      <x:c r="C38" s="15" t="str">
        <x:v>Precision Diagnosis - Ultrasound (PDU)</x:v>
      </x:c>
      <x:c r="D38" s="19" t="n">
        <x:v>0.2</x:v>
      </x:c>
      <x:c r="E38" s="15" t="str">
        <x:v>Hygiene</x:v>
      </x:c>
      <x:c r="F38" s="15" t="str">
        <x:f>'Portfolio Model'!U120</x:f>
        <x:v>Unfunded</x:v>
      </x:c>
      <x:c r="G38" s="16" t="str">
        <x:v>Automatic</x:v>
      </x:c>
      <x:c r="H38" s="16" t="str"/>
      <x:c r="I38" s="15" t="str">
        <x:v>Bu!460</x:v>
      </x:c>
    </x:row>
    <x:row r="39">
      <x:c r="A39" s="15" t="str">
        <x:v>Bu-26</x:v>
      </x:c>
      <x:c r="B39" s="15" t="str">
        <x:v>18. Product Content Excellence - Content Engine</x:v>
      </x:c>
      <x:c r="C39" s="15" t="str">
        <x:v>Personal Health (PH)</x:v>
      </x:c>
      <x:c r="D39" s="19" t="n">
        <x:v>0.9</x:v>
      </x:c>
      <x:c r="E39" s="15" t="str">
        <x:v>Hygiene</x:v>
      </x:c>
      <x:c r="F39" s="15" t="str">
        <x:f>'Portfolio Model'!U125</x:f>
        <x:v>Unfunded</x:v>
      </x:c>
      <x:c r="G39" s="16" t="str">
        <x:v>Automatic</x:v>
      </x:c>
      <x:c r="H39" s="16" t="str"/>
      <x:c r="I39" s="15" t="str">
        <x:v>Bu!54</x:v>
      </x:c>
    </x:row>
    <x:row r="40">
      <x:c r="A40" s="15" t="str">
        <x:v>Bu-08</x:v>
      </x:c>
      <x:c r="B40" s="15" t="str">
        <x:v>IWD capabilities improvements and cost reductions</x:v>
      </x:c>
      <x:c r="C40" s="15" t="str">
        <x:v>Integrated Supply Chain (ISC)</x:v>
      </x:c>
      <x:c r="D40" s="19" t="n">
        <x:v>0.14</x:v>
      </x:c>
      <x:c r="E40" s="15" t="str">
        <x:v>Hygiene</x:v>
      </x:c>
      <x:c r="F40" s="15" t="str">
        <x:f>'Portfolio Model'!U126</x:f>
        <x:v>Unfunded</x:v>
      </x:c>
      <x:c r="G40" s="16" t="str">
        <x:v>Automatic</x:v>
      </x:c>
      <x:c r="H40" s="16" t="str"/>
      <x:c r="I40" s="15" t="str">
        <x:v>Bu!13</x:v>
      </x:c>
    </x:row>
    <x:row r="41">
      <x:c r="A41" s="15" t="str">
        <x:v>Bu-89</x:v>
      </x:c>
      <x:c r="B41" s="15" t="str">
        <x:v>Estore Headless and transformation</x:v>
      </x:c>
      <x:c r="C41" s="15" t="str">
        <x:v>Sleep &amp; Respiratory Care (SRC)</x:v>
      </x:c>
      <x:c r="D41" s="19" t="n">
        <x:v>0</x:v>
      </x:c>
      <x:c r="E41" s="15" t="str">
        <x:v>Hygiene</x:v>
      </x:c>
      <x:c r="F41" s="15" t="str">
        <x:f>'Portfolio Model'!U127</x:f>
        <x:v>Evidence missing / not eligible</x:v>
      </x:c>
      <x:c r="G41" s="16" t="str">
        <x:v>Automatic</x:v>
      </x:c>
      <x:c r="H41" s="16" t="str"/>
      <x:c r="I41" s="15" t="str">
        <x:v>Bu!229</x:v>
      </x:c>
    </x:row>
    <x:row r="42">
      <x:c r="A42" s="15" t="str">
        <x:v>Bu-128</x:v>
      </x:c>
      <x:c r="B42" s="15" t="str">
        <x:v>Ultrasound Simplification</x:v>
      </x:c>
      <x:c r="C42" s="15" t="str">
        <x:v>Precision Diagnosis - Ultrasound (PDU)</x:v>
      </x:c>
      <x:c r="D42" s="19" t="n">
        <x:v>0.45</x:v>
      </x:c>
      <x:c r="E42" s="15" t="str">
        <x:v>Hygiene</x:v>
      </x:c>
      <x:c r="F42" s="15" t="str">
        <x:f>'Portfolio Model'!U128</x:f>
        <x:v>Unfunded</x:v>
      </x:c>
      <x:c r="G42" s="16" t="str">
        <x:v>Automatic</x:v>
      </x:c>
      <x:c r="H42" s="16" t="str"/>
      <x:c r="I42" s="15" t="str">
        <x:v>Bu!305</x:v>
      </x:c>
    </x:row>
    <x:row r="43">
      <x:c r="A43" s="15" t="str">
        <x:v>Bu-191</x:v>
      </x:c>
      <x:c r="B43" s="15" t="str">
        <x:v>LEM - Type I</x:v>
      </x:c>
      <x:c r="C43" s="15" t="str">
        <x:v>Image Guided Therapy - Systems (IGT-S)</x:v>
      </x:c>
      <x:c r="D43" s="19" t="n">
        <x:v>0.428</x:v>
      </x:c>
      <x:c r="E43" s="15" t="str">
        <x:v>Hygiene</x:v>
      </x:c>
      <x:c r="F43" s="15" t="str">
        <x:f>'Portfolio Model'!U129</x:f>
        <x:v>Unfunded</x:v>
      </x:c>
      <x:c r="G43" s="16" t="str">
        <x:v>Automatic</x:v>
      </x:c>
      <x:c r="H43" s="16" t="str"/>
      <x:c r="I43" s="15" t="str">
        <x:v>Bu!455</x:v>
      </x:c>
    </x:row>
    <x:row r="44">
      <x:c r="A44" s="15" t="str">
        <x:v>Bu-192</x:v>
      </x:c>
      <x:c r="B44" s="15" t="str">
        <x:v>LEM - Type II</x:v>
      </x:c>
      <x:c r="C44" s="15" t="str">
        <x:v>Image Guided Therapy - Systems (IGT-S)</x:v>
      </x:c>
      <x:c r="D44" s="19" t="n">
        <x:v>0.407</x:v>
      </x:c>
      <x:c r="E44" s="15" t="str">
        <x:v>Hygiene</x:v>
      </x:c>
      <x:c r="F44" s="15" t="str">
        <x:f>'Portfolio Model'!U130</x:f>
        <x:v>Unfunded</x:v>
      </x:c>
      <x:c r="G44" s="16" t="str">
        <x:v>Automatic</x:v>
      </x:c>
      <x:c r="H44" s="16" t="str"/>
      <x:c r="I44" s="15" t="str">
        <x:v>Bu!458</x:v>
      </x:c>
    </x:row>
    <x:row r="45">
      <x:c r="A45" s="15" t="str">
        <x:v>Bu-194</x:v>
      </x:c>
      <x:c r="B45" s="15" t="str">
        <x:v>Ultrasound Simplification - Supply Chain &amp; Manufacturing</x:v>
      </x:c>
      <x:c r="C45" s="15" t="str">
        <x:v>Precision Diagnosis - Ultrasound (PDU)</x:v>
      </x:c>
      <x:c r="D45" s="19" t="n">
        <x:v>0.7</x:v>
      </x:c>
      <x:c r="E45" s="15" t="str">
        <x:v>Hygiene</x:v>
      </x:c>
      <x:c r="F45" s="15" t="str">
        <x:f>'Portfolio Model'!U131</x:f>
        <x:v>Unfunded</x:v>
      </x:c>
      <x:c r="G45" s="16" t="str">
        <x:v>Automatic</x:v>
      </x:c>
      <x:c r="H45" s="16" t="str"/>
      <x:c r="I45" s="15" t="str">
        <x:v>Bu!461</x:v>
      </x:c>
    </x:row>
    <x:row r="46">
      <x:c r="A46" s="15" t="str">
        <x:v>Bu-201</x:v>
      </x:c>
      <x:c r="B46" s="15" t="str">
        <x:v>HPM - Continuous Improvement - MKT</x:v>
      </x:c>
      <x:c r="C46" s="15" t="str">
        <x:v>Monitoring - HPM (MCH)</x:v>
      </x:c>
      <x:c r="D46" s="19" t="n">
        <x:v>0.2</x:v>
      </x:c>
      <x:c r="E46" s="15" t="str">
        <x:v>Hygiene</x:v>
      </x:c>
      <x:c r="F46" s="15" t="str">
        <x:f>'Portfolio Model'!U141</x:f>
        <x:v>Unfunded</x:v>
      </x:c>
      <x:c r="G46" s="16" t="str">
        <x:v>Automatic</x:v>
      </x:c>
      <x:c r="H46" s="16" t="str"/>
      <x:c r="I46" s="15" t="str">
        <x:v>Bu!494</x:v>
      </x:c>
    </x:row>
    <x:row r="47">
      <x:c r="A47" s="15" t="str">
        <x:v>Bu-202</x:v>
      </x:c>
      <x:c r="B47" s="15" t="str">
        <x:v>HPM - Continuous Improvement - ISC</x:v>
      </x:c>
      <x:c r="C47" s="15" t="str">
        <x:v>Monitoring - HPM (MCH)</x:v>
      </x:c>
      <x:c r="D47" s="19" t="n">
        <x:v>0.3</x:v>
      </x:c>
      <x:c r="E47" s="15" t="str">
        <x:v>Hygiene</x:v>
      </x:c>
      <x:c r="F47" s="15" t="str">
        <x:f>'Portfolio Model'!U142</x:f>
        <x:v>Unfunded</x:v>
      </x:c>
      <x:c r="G47" s="16" t="str">
        <x:v>Automatic</x:v>
      </x:c>
      <x:c r="H47" s="16" t="str"/>
      <x:c r="I47" s="15" t="str">
        <x:v>Bu!495</x:v>
      </x:c>
    </x:row>
    <x:row r="48">
      <x:c r="A48" s="15" t="str">
        <x:v>Bu-203</x:v>
      </x:c>
      <x:c r="B48" s="15" t="str">
        <x:v>HPM - Continuous Improvement - SVC</x:v>
      </x:c>
      <x:c r="C48" s="15" t="str">
        <x:v>Monitoring - HPM (MCH)</x:v>
      </x:c>
      <x:c r="D48" s="19" t="n">
        <x:v>0.2</x:v>
      </x:c>
      <x:c r="E48" s="15" t="str">
        <x:v>Hygiene</x:v>
      </x:c>
      <x:c r="F48" s="15" t="str">
        <x:f>'Portfolio Model'!U143</x:f>
        <x:v>Unfunded</x:v>
      </x:c>
      <x:c r="G48" s="16" t="str">
        <x:v>Automatic</x:v>
      </x:c>
      <x:c r="H48" s="16" t="str"/>
      <x:c r="I48" s="15" t="str">
        <x:v>Bu!496</x:v>
      </x:c>
    </x:row>
    <x:row r="49">
      <x:c r="A49" s="15" t="str">
        <x:v>Bu-204</x:v>
      </x:c>
      <x:c r="B49" s="15" t="str">
        <x:v>HPM - Continuous Improvement -REG</x:v>
      </x:c>
      <x:c r="C49" s="15" t="str">
        <x:v>Monitoring - HPM (MCH)</x:v>
      </x:c>
      <x:c r="D49" s="19" t="n">
        <x:v>0.05</x:v>
      </x:c>
      <x:c r="E49" s="15" t="str">
        <x:v>Hygiene</x:v>
      </x:c>
      <x:c r="F49" s="15" t="str">
        <x:f>'Portfolio Model'!U144</x:f>
        <x:v>Unfunded</x:v>
      </x:c>
      <x:c r="G49" s="16" t="str">
        <x:v>Automatic</x:v>
      </x:c>
      <x:c r="H49" s="16" t="str"/>
      <x:c r="I49" s="15" t="str">
        <x:v>Bu!497</x:v>
      </x:c>
    </x:row>
    <x:row r="50">
      <x:c r="A50" s="15" t="str">
        <x:v>Bu-205</x:v>
      </x:c>
      <x:c r="B50" s="15" t="str">
        <x:v>HPM - Continuous Improvement -OTH</x:v>
      </x:c>
      <x:c r="C50" s="15" t="str">
        <x:v>Monitoring - HPM (MCH)</x:v>
      </x:c>
      <x:c r="D50" s="19" t="n">
        <x:v>0.05</x:v>
      </x:c>
      <x:c r="E50" s="15" t="str">
        <x:v>Hygiene</x:v>
      </x:c>
      <x:c r="F50" s="15" t="str">
        <x:f>'Portfolio Model'!U145</x:f>
        <x:v>Unfunded</x:v>
      </x:c>
      <x:c r="G50" s="16" t="str">
        <x:v>Automatic</x:v>
      </x:c>
      <x:c r="H50" s="16" t="str"/>
      <x:c r="I50" s="15" t="str">
        <x:v>Bu!498</x:v>
      </x:c>
    </x:row>
    <x:row r="51">
      <x:c r="A51" s="15" t="str">
        <x:v>Bu-30</x:v>
      </x:c>
      <x:c r="B51" s="15" t="str">
        <x:v>07 Philips Store for Business</x:v>
      </x:c>
      <x:c r="C51" s="15" t="str">
        <x:v>Personal Health (PH)</x:v>
      </x:c>
      <x:c r="D51" s="19" t="n">
        <x:v>1.5</x:v>
      </x:c>
      <x:c r="E51" s="15" t="str">
        <x:v>Hygiene</x:v>
      </x:c>
      <x:c r="F51" s="15" t="str">
        <x:f>'Portfolio Model'!U146</x:f>
        <x:v>Unfunded</x:v>
      </x:c>
      <x:c r="G51" s="16" t="str">
        <x:v>Automatic</x:v>
      </x:c>
      <x:c r="H51" s="16" t="str"/>
      <x:c r="I51" s="15" t="str">
        <x:v>Bu!67</x:v>
      </x:c>
    </x:row>
    <x:row r="52">
      <x:c r="A52" s="15" t="str">
        <x:v>Bu-262</x:v>
      </x:c>
      <x:c r="B52" s="15" t="str">
        <x:v>Optimize Distribution Network North America</x:v>
      </x:c>
      <x:c r="C52" s="15" t="str">
        <x:v>Image Guided Therapy - Devices (IGT-D)</x:v>
      </x:c>
      <x:c r="D52" s="19" t="n">
        <x:v>0.6</x:v>
      </x:c>
      <x:c r="E52" s="15" t="str">
        <x:v>Hygiene</x:v>
      </x:c>
      <x:c r="F52" s="15" t="str">
        <x:f>'Portfolio Model'!U147</x:f>
        <x:v>Unfunded</x:v>
      </x:c>
      <x:c r="G52" s="16" t="str">
        <x:v>Automatic</x:v>
      </x:c>
      <x:c r="H52" s="16" t="str"/>
      <x:c r="I52" s="15" t="str">
        <x:v>Bu!570</x:v>
      </x:c>
    </x:row>
    <x:row r="53">
      <x:c r="A53" s="15" t="str">
        <x:v>Bu-274</x:v>
      </x:c>
      <x:c r="B53" s="15" t="str">
        <x:v>PAL/PPL enhancements</x:v>
      </x:c>
      <x:c r="C53" s="15" t="str">
        <x:v>CoE Marketing – HS (former DMEC)</x:v>
      </x:c>
      <x:c r="D53" s="19" t="n">
        <x:v>0.3</x:v>
      </x:c>
      <x:c r="E53" s="15" t="str">
        <x:v>Hygiene</x:v>
      </x:c>
      <x:c r="F53" s="15" t="str">
        <x:f>'Portfolio Model'!U148</x:f>
        <x:v>Unfunded</x:v>
      </x:c>
      <x:c r="G53" s="16" t="str">
        <x:v>Automatic</x:v>
      </x:c>
      <x:c r="H53" s="16" t="str"/>
      <x:c r="I53" s="15" t="str">
        <x:v>Bu!582</x:v>
      </x:c>
    </x:row>
    <x:row r="54">
      <x:c r="A54" s="15" t="str">
        <x:v>Bu-275</x:v>
      </x:c>
      <x:c r="B54" s="15" t="str">
        <x:v>Web - Contentful features backlog (GEO, Compliance, Fixes, etc.)</x:v>
      </x:c>
      <x:c r="C54" s="15" t="str">
        <x:v>CoE Marketing – HS (former DMEC)</x:v>
      </x:c>
      <x:c r="D54" s="19" t="n">
        <x:v>0.57</x:v>
      </x:c>
      <x:c r="E54" s="15" t="str">
        <x:v>Hygiene</x:v>
      </x:c>
      <x:c r="F54" s="15" t="str">
        <x:f>'Portfolio Model'!U149</x:f>
        <x:v>Unfunded</x:v>
      </x:c>
      <x:c r="G54" s="16" t="str">
        <x:v>Automatic</x:v>
      </x:c>
      <x:c r="H54" s="16" t="str"/>
      <x:c r="I54" s="15" t="str">
        <x:v>Bu!583</x:v>
      </x:c>
    </x:row>
    <x:row r="55">
      <x:c r="A55" s="15" t="str">
        <x:v>Bu-280</x:v>
      </x:c>
      <x:c r="B55" s="15" t="str">
        <x:v>Nurture &amp; Campaign Enhancements (AI data enrichment, API connectors, customer match)</x:v>
      </x:c>
      <x:c r="C55" s="15" t="str">
        <x:v>CoE Marketing – HS (former DMEC)</x:v>
      </x:c>
      <x:c r="D55" s="19" t="n">
        <x:v>0.183</x:v>
      </x:c>
      <x:c r="E55" s="15" t="str">
        <x:v>Hygiene</x:v>
      </x:c>
      <x:c r="F55" s="15" t="str">
        <x:f>'Portfolio Model'!U150</x:f>
        <x:v>Unfunded</x:v>
      </x:c>
      <x:c r="G55" s="16" t="str">
        <x:v>Automatic</x:v>
      </x:c>
      <x:c r="H55" s="16" t="str"/>
      <x:c r="I55" s="15" t="str">
        <x:v>Bu!586</x:v>
      </x:c>
    </x:row>
    <x:row r="56">
      <x:c r="A56" s="15" t="str">
        <x:v>Bu-228</x:v>
      </x:c>
      <x:c r="B56" s="15" t="str">
        <x:v>ACI Integration (SNOW)</x:v>
      </x:c>
      <x:c r="C56" s="15" t="str">
        <x:v>Monitoring - HPM (MCH)</x:v>
      </x:c>
      <x:c r="D56" s="19" t="n">
        <x:v>0.25</x:v>
      </x:c>
      <x:c r="E56" s="15" t="str">
        <x:v>Hygiene</x:v>
      </x:c>
      <x:c r="F56" s="15" t="str">
        <x:f>'Portfolio Model'!U154</x:f>
        <x:v>Unfunded</x:v>
      </x:c>
      <x:c r="G56" s="16" t="str">
        <x:v>Automatic</x:v>
      </x:c>
      <x:c r="H56" s="16" t="str"/>
      <x:c r="I56" s="15" t="str">
        <x:v>Bu!523</x:v>
      </x:c>
    </x:row>
    <x:row r="57">
      <x:c r="A57" s="15" t="str">
        <x:v>Bu-288</x:v>
      </x:c>
      <x:c r="B57" s="15" t="str">
        <x:v>94. PH ISC ring fenced budget + A/ ML Demand forecasting</x:v>
      </x:c>
      <x:c r="C57" s="15" t="str">
        <x:v>Personal Health (PH)</x:v>
      </x:c>
      <x:c r="D57" s="19" t="n">
        <x:v>1</x:v>
      </x:c>
      <x:c r="E57" s="15" t="str">
        <x:v>Hygiene</x:v>
      </x:c>
      <x:c r="F57" s="15" t="str">
        <x:f>'Portfolio Model'!U155</x:f>
        <x:v>Unfunded</x:v>
      </x:c>
      <x:c r="G57" s="16" t="str">
        <x:v>Automatic</x:v>
      </x:c>
      <x:c r="H57" s="16" t="str"/>
      <x:c r="I57" s="15" t="str">
        <x:v>Bu!601</x:v>
      </x:c>
    </x:row>
    <x:row r="58">
      <x:c r="A58" s="15" t="str">
        <x:v>Bu-58</x:v>
      </x:c>
      <x:c r="B58" s="15" t="str">
        <x:v>MI&amp;A Workbench program</x:v>
      </x:c>
      <x:c r="C58" s="15" t="str">
        <x:v>CoE Marketing – HS (former DMEC)</x:v>
      </x:c>
      <x:c r="D58" s="19" t="n">
        <x:v>0.2</x:v>
      </x:c>
      <x:c r="E58" s="15" t="str">
        <x:v>Hygiene</x:v>
      </x:c>
      <x:c r="F58" s="15" t="str">
        <x:f>'Portfolio Model'!U166</x:f>
        <x:v>Unfunded</x:v>
      </x:c>
      <x:c r="G58" s="16" t="str">
        <x:v>Automatic</x:v>
      </x:c>
      <x:c r="H58" s="16" t="str"/>
      <x:c r="I58" s="15" t="str">
        <x:v>Bu!127</x:v>
      </x:c>
    </x:row>
    <x:row r="59">
      <x:c r="A59" s="15" t="str">
        <x:v>Bu-93</x:v>
      </x:c>
      <x:c r="B59" s="15" t="str">
        <x:v>Salsify Integration</x:v>
      </x:c>
      <x:c r="C59" s="15" t="str">
        <x:v>Sleep &amp; Respiratory Care (SRC)</x:v>
      </x:c>
      <x:c r="D59" s="19" t="n">
        <x:v>0</x:v>
      </x:c>
      <x:c r="E59" s="15" t="str">
        <x:v>Hygiene</x:v>
      </x:c>
      <x:c r="F59" s="15" t="str">
        <x:f>'Portfolio Model'!U167</x:f>
        <x:v>Evidence missing / not eligible</x:v>
      </x:c>
      <x:c r="G59" s="16" t="str">
        <x:v>Automatic</x:v>
      </x:c>
      <x:c r="H59" s="16" t="str"/>
      <x:c r="I59" s="15" t="str">
        <x:v>Bu!233</x:v>
      </x:c>
    </x:row>
    <x:row r="60">
      <x:c r="A60" s="15" t="str">
        <x:v>Bu-131</x:v>
      </x:c>
      <x:c r="B60" s="15" t="str">
        <x:v>Commercial - Quoting, Revenue, Subscription Management non Sensei Systems</x:v>
      </x:c>
      <x:c r="C60" s="15" t="str">
        <x:v>Enterprise Informatics (EI)</x:v>
      </x:c>
      <x:c r="D60" s="19" t="n">
        <x:v>0.5</x:v>
      </x:c>
      <x:c r="E60" s="15" t="str">
        <x:v>Hygiene</x:v>
      </x:c>
      <x:c r="F60" s="15" t="str">
        <x:f>'Portfolio Model'!U168</x:f>
        <x:v>Unfunded</x:v>
      </x:c>
      <x:c r="G60" s="16" t="str">
        <x:v>Automatic</x:v>
      </x:c>
      <x:c r="H60" s="16" t="str"/>
      <x:c r="I60" s="15" t="str">
        <x:v>Bu!321</x:v>
      </x:c>
    </x:row>
    <x:row r="61">
      <x:c r="A61" s="15" t="str">
        <x:v>Bu-140</x:v>
      </x:c>
      <x:c r="B61" s="15" t="str">
        <x:v>EI-IS-AI TomTec OEM</x:v>
      </x:c>
      <x:c r="C61" s="15" t="str">
        <x:v>Enterprise Informatics (EI)</x:v>
      </x:c>
      <x:c r="D61" s="19" t="n">
        <x:v>0.1</x:v>
      </x:c>
      <x:c r="E61" s="15" t="str">
        <x:v>Hygiene</x:v>
      </x:c>
      <x:c r="F61" s="15" t="str">
        <x:f>'Portfolio Model'!U169</x:f>
        <x:v>Unfunded</x:v>
      </x:c>
      <x:c r="G61" s="16" t="str">
        <x:v>Automatic</x:v>
      </x:c>
      <x:c r="H61" s="16" t="str"/>
      <x:c r="I61" s="15" t="str">
        <x:v>Bu!337</x:v>
      </x:c>
    </x:row>
    <x:row r="62">
      <x:c r="A62" s="15" t="str">
        <x:v>Bu-161</x:v>
      </x:c>
      <x:c r="B62" s="15" t="str">
        <x:v>Spaniel 13 | Mobile MRI Support</x:v>
      </x:c>
      <x:c r="C62" s="15" t="str">
        <x:v>Precision Diagnosis - Magnetic Resonance (MR)</x:v>
      </x:c>
      <x:c r="D62" s="19" t="n">
        <x:v>0.16</x:v>
      </x:c>
      <x:c r="E62" s="15" t="str">
        <x:v>Hygiene</x:v>
      </x:c>
      <x:c r="F62" s="15" t="str">
        <x:f>'Portfolio Model'!U170</x:f>
        <x:v>Unfunded</x:v>
      </x:c>
      <x:c r="G62" s="16" t="str">
        <x:v>Automatic</x:v>
      </x:c>
      <x:c r="H62" s="16" t="str"/>
      <x:c r="I62" s="15" t="str">
        <x:v>Bu!382</x:v>
      </x:c>
    </x:row>
    <x:row r="63">
      <x:c r="A63" s="15" t="str">
        <x:v>Bu-172</x:v>
      </x:c>
      <x:c r="B63" s="15" t="str">
        <x:v>MR Req2Res Type 1</x:v>
      </x:c>
      <x:c r="C63" s="15" t="str">
        <x:v>Precision Diagnosis - Magnetic Resonance (MR)</x:v>
      </x:c>
      <x:c r="D63" s="19" t="n">
        <x:v>0.58</x:v>
      </x:c>
      <x:c r="E63" s="15" t="str">
        <x:v>Hygiene</x:v>
      </x:c>
      <x:c r="F63" s="15" t="str">
        <x:f>'Portfolio Model'!U171</x:f>
        <x:v>Unfunded</x:v>
      </x:c>
      <x:c r="G63" s="16" t="str">
        <x:v>Automatic</x:v>
      </x:c>
      <x:c r="H63" s="16" t="str"/>
      <x:c r="I63" s="15" t="str">
        <x:v>Bu!422</x:v>
      </x:c>
    </x:row>
    <x:row r="64">
      <x:c r="A64" s="15" t="str">
        <x:v>Bu-176</x:v>
      </x:c>
      <x:c r="B64" s="15" t="str">
        <x:v>I2M Engineering Tooling CR's &amp; Licenses</x:v>
      </x:c>
      <x:c r="C64" s="15" t="str">
        <x:v>Precision Diagnosis - Magnetic Resonance (MR)</x:v>
      </x:c>
      <x:c r="D64" s="19" t="n">
        <x:v>0.736</x:v>
      </x:c>
      <x:c r="E64" s="15" t="str">
        <x:v>Hygiene</x:v>
      </x:c>
      <x:c r="F64" s="15" t="str">
        <x:f>'Portfolio Model'!U172</x:f>
        <x:v>Unfunded</x:v>
      </x:c>
      <x:c r="G64" s="16" t="str">
        <x:v>Automatic</x:v>
      </x:c>
      <x:c r="H64" s="16" t="str"/>
      <x:c r="I64" s="15" t="str">
        <x:v>Bu!434</x:v>
      </x:c>
    </x:row>
    <x:row r="65">
      <x:c r="A65" s="15" t="str">
        <x:v>Bu-182</x:v>
      </x:c>
      <x:c r="B65" s="15" t="str">
        <x:v>Imaging Small Investment - Unallocated</x:v>
      </x:c>
      <x:c r="C65" s="15" t="str">
        <x:v>Precision Diagnosis - Magnetic Resonance (MR)</x:v>
      </x:c>
      <x:c r="D65" s="19" t="n">
        <x:v>0.25</x:v>
      </x:c>
      <x:c r="E65" s="15" t="str">
        <x:v>Hygiene</x:v>
      </x:c>
      <x:c r="F65" s="15" t="str">
        <x:f>'Portfolio Model'!U173</x:f>
        <x:v>Unfunded</x:v>
      </x:c>
      <x:c r="G65" s="16" t="str">
        <x:v>Automatic</x:v>
      </x:c>
      <x:c r="H65" s="16" t="str"/>
      <x:c r="I65" s="15" t="str">
        <x:v>Bu!440</x:v>
      </x:c>
    </x:row>
    <x:row r="66">
      <x:c r="A66" s="15" t="str">
        <x:v>Bu-251</x:v>
      </x:c>
      <x:c r="B66" s="15" t="str">
        <x:v>Defoa process improvement (400 PD, 200 IGTS)</x:v>
      </x:c>
      <x:c r="C66" s="15" t="str">
        <x:v>Precision Diagnosis - Magnetic Resonance (MR)</x:v>
      </x:c>
      <x:c r="D66" s="19" t="n">
        <x:v>0.4</x:v>
      </x:c>
      <x:c r="E66" s="15" t="str">
        <x:v>Hygiene</x:v>
      </x:c>
      <x:c r="F66" s="15" t="str">
        <x:f>'Portfolio Model'!U174</x:f>
        <x:v>Unfunded</x:v>
      </x:c>
      <x:c r="G66" s="16" t="str">
        <x:v>Automatic</x:v>
      </x:c>
      <x:c r="H66" s="16" t="str"/>
      <x:c r="I66" s="15" t="str">
        <x:v>Bu!559</x:v>
      </x:c>
    </x:row>
    <x:row r="67">
      <x:c r="A67" s="15" t="str">
        <x:v>Bu-263</x:v>
      </x:c>
      <x:c r="B67" s="15" t="str">
        <x:v>Converting incoming inspection from Infinity to SAP/MBP in COS</x:v>
      </x:c>
      <x:c r="C67" s="15" t="str">
        <x:v>Image Guided Therapy - Devices (IGT-D)</x:v>
      </x:c>
      <x:c r="D67" s="19" t="n">
        <x:v>0.165</x:v>
      </x:c>
      <x:c r="E67" s="15" t="str">
        <x:v>Hygiene</x:v>
      </x:c>
      <x:c r="F67" s="15" t="str">
        <x:f>'Portfolio Model'!U175</x:f>
        <x:v>Unfunded</x:v>
      </x:c>
      <x:c r="G67" s="16" t="str">
        <x:v>Automatic</x:v>
      </x:c>
      <x:c r="H67" s="16" t="str"/>
      <x:c r="I67" s="15" t="str">
        <x:v>Bu!571</x:v>
      </x:c>
    </x:row>
    <x:row r="68">
      <x:c r="A68" s="15" t="str">
        <x:v>Bu-269</x:v>
      </x:c>
      <x:c r="B68" s="15" t="str">
        <x:v>CEC Nexus maintence</x:v>
      </x:c>
      <x:c r="C68" s="15" t="str">
        <x:v>CoE Marketing – HS (former DMEC)</x:v>
      </x:c>
      <x:c r="D68" s="19" t="n">
        <x:v>0.02</x:v>
      </x:c>
      <x:c r="E68" s="15" t="str">
        <x:v>Hygiene</x:v>
      </x:c>
      <x:c r="F68" s="15" t="str">
        <x:f>'Portfolio Model'!U176</x:f>
        <x:v>Funded</x:v>
      </x:c>
      <x:c r="G68" s="16" t="str">
        <x:v>Automatic</x:v>
      </x:c>
      <x:c r="H68" s="16" t="str"/>
      <x:c r="I68" s="15" t="str">
        <x:v>Bu!577</x:v>
      </x:c>
    </x:row>
    <x:row r="69">
      <x:c r="A69" s="15" t="str">
        <x:v>Bu-282</x:v>
      </x:c>
      <x:c r="B69" s="15" t="str">
        <x:v>Chat bot for sales support (Monigotchi)</x:v>
      </x:c>
      <x:c r="C69" s="15" t="str">
        <x:v>Monitoring - HPM (MCH)</x:v>
      </x:c>
      <x:c r="D69" s="19" t="n">
        <x:v>0.012</x:v>
      </x:c>
      <x:c r="E69" s="15" t="str">
        <x:v>Hygiene</x:v>
      </x:c>
      <x:c r="F69" s="15" t="str">
        <x:f>'Portfolio Model'!U177</x:f>
        <x:v>Funded</x:v>
      </x:c>
      <x:c r="G69" s="16" t="str">
        <x:v>Automatic</x:v>
      </x:c>
      <x:c r="H69" s="16" t="str"/>
      <x:c r="I69" s="15" t="str">
        <x:v>Bu!588</x:v>
      </x:c>
    </x:row>
    <x:row r="70">
      <x:c r="A70" s="15" t="str">
        <x:v>Bu-317</x:v>
      </x:c>
      <x:c r="B70" s="15" t="str">
        <x:v>Sales &amp; Margin Agent</x:v>
      </x:c>
      <x:c r="C70" s="15" t="str">
        <x:v>Personal Health (PH)</x:v>
      </x:c>
      <x:c r="D70" s="19" t="n">
        <x:v>0.05</x:v>
      </x:c>
      <x:c r="E70" s="15" t="str">
        <x:v>Hygiene</x:v>
      </x:c>
      <x:c r="F70" s="15" t="str">
        <x:f>'Portfolio Model'!U180</x:f>
        <x:v>Unfunded</x:v>
      </x:c>
      <x:c r="G70" s="16" t="str">
        <x:v>Automatic</x:v>
      </x:c>
      <x:c r="H70" s="16" t="str"/>
      <x:c r="I70" s="15" t="str">
        <x:v>Bu!646</x:v>
      </x:c>
    </x:row>
    <x:row r="71">
      <x:c r="A71" s="15" t="str">
        <x:v>Bu-322</x:v>
      </x:c>
      <x:c r="B71" s="15" t="str">
        <x:v>Codebeamer Onboarding</x:v>
      </x:c>
      <x:c r="C71" s="15" t="str">
        <x:v>Ambulatory Monitoring and Diagnostics (AM&amp;D)</x:v>
      </x:c>
      <x:c r="D71" s="19" t="n">
        <x:v>0.4</x:v>
      </x:c>
      <x:c r="E71" s="15" t="str">
        <x:v>Hygiene</x:v>
      </x:c>
      <x:c r="F71" s="15" t="str">
        <x:f>'Portfolio Model'!U181</x:f>
        <x:v>Unfunded</x:v>
      </x:c>
      <x:c r="G71" s="16" t="str">
        <x:v>Automatic</x:v>
      </x:c>
      <x:c r="H71" s="16" t="str"/>
      <x:c r="I71" s="15" t="str">
        <x:v>Bu!659</x:v>
      </x:c>
    </x:row>
    <x:row r="72">
      <x:c r="A72" s="15" t="str">
        <x:v>Bu-59</x:v>
      </x:c>
      <x:c r="B72" s="15" t="str">
        <x:v>Event CoE_Data Quality, Visibility &amp; Simplification Program</x:v>
      </x:c>
      <x:c r="C72" s="15" t="str">
        <x:v>CoE Marketing – HS (former DMEC)</x:v>
      </x:c>
      <x:c r="D72" s="19" t="n">
        <x:v>0.21</x:v>
      </x:c>
      <x:c r="E72" s="15" t="str">
        <x:v>Hygiene</x:v>
      </x:c>
      <x:c r="F72" s="15" t="str">
        <x:f>'Portfolio Model'!U182</x:f>
        <x:v>Unfunded</x:v>
      </x:c>
      <x:c r="G72" s="16" t="str">
        <x:v>Automatic</x:v>
      </x:c>
      <x:c r="H72" s="16" t="str"/>
      <x:c r="I72" s="15" t="str">
        <x:v>Bu!128</x:v>
      </x:c>
    </x:row>
    <x:row r="73">
      <x:c r="A73" s="15" t="str">
        <x:v>Bu-273</x:v>
      </x:c>
      <x:c r="B73" s="15" t="str">
        <x:v>Pricing maintence</x:v>
      </x:c>
      <x:c r="C73" s="15" t="str">
        <x:v>CoE Marketing – HS (former DMEC)</x:v>
      </x:c>
      <x:c r="D73" s="19" t="n">
        <x:v>0.1</x:v>
      </x:c>
      <x:c r="E73" s="15" t="str">
        <x:v>Hygiene</x:v>
      </x:c>
      <x:c r="F73" s="15" t="str">
        <x:f>'Portfolio Model'!U183</x:f>
        <x:v>Unfunded</x:v>
      </x:c>
      <x:c r="G73" s="16" t="str">
        <x:v>Automatic</x:v>
      </x:c>
      <x:c r="H73" s="16" t="str"/>
      <x:c r="I73" s="15" t="str">
        <x:v>Bu!581</x:v>
      </x:c>
    </x:row>
    <x:row r="74">
      <x:c r="A74" s="15" t="str">
        <x:v>Bu-139</x:v>
      </x:c>
      <x:c r="B74" s="15" t="str">
        <x:v>Small Changes</x:v>
      </x:c>
      <x:c r="C74" s="15" t="str">
        <x:v>Enterprise Informatics (EI)</x:v>
      </x:c>
      <x:c r="D74" s="19" t="n">
        <x:v>0.25</x:v>
      </x:c>
      <x:c r="E74" s="15" t="str">
        <x:v>Hygiene</x:v>
      </x:c>
      <x:c r="F74" s="15" t="str">
        <x:f>'Portfolio Model'!U184</x:f>
        <x:v>Unfunded</x:v>
      </x:c>
      <x:c r="G74" s="16" t="str">
        <x:v>Automatic</x:v>
      </x:c>
      <x:c r="H74" s="16" t="str"/>
      <x:c r="I74" s="15" t="str">
        <x:v>Bu!336</x:v>
      </x:c>
    </x:row>
    <x:row r="75">
      <x:c r="A75" s="15" t="str">
        <x:v>Bu-153</x:v>
      </x:c>
      <x:c r="B75" s="15" t="str">
        <x:v>Product Information Management</x:v>
      </x:c>
      <x:c r="C75" s="15" t="str">
        <x:v>Precision Diagnosis - Magnetic Resonance (MR)</x:v>
      </x:c>
      <x:c r="D75" s="19" t="n">
        <x:v>0.1</x:v>
      </x:c>
      <x:c r="E75" s="15" t="str">
        <x:v>Hygiene</x:v>
      </x:c>
      <x:c r="F75" s="15" t="str">
        <x:f>'Portfolio Model'!U185</x:f>
        <x:v>Unfunded</x:v>
      </x:c>
      <x:c r="G75" s="16" t="str">
        <x:v>Automatic</x:v>
      </x:c>
      <x:c r="H75" s="16" t="str"/>
      <x:c r="I75" s="15" t="str">
        <x:v>Bu!359</x:v>
      </x:c>
    </x:row>
    <x:row r="76">
      <x:c r="A76" s="15" t="str">
        <x:v>Bu-154</x:v>
      </x:c>
      <x:c r="B76" s="15" t="str">
        <x:v>Sentinel LDK integration into BU SW</x:v>
      </x:c>
      <x:c r="C76" s="15" t="str">
        <x:v>Precision Diagnosis - Magnetic Resonance (MR)</x:v>
      </x:c>
      <x:c r="D76" s="19" t="n">
        <x:v>0.4</x:v>
      </x:c>
      <x:c r="E76" s="15" t="str">
        <x:v>Hygiene</x:v>
      </x:c>
      <x:c r="F76" s="15" t="str">
        <x:f>'Portfolio Model'!U186</x:f>
        <x:v>Unfunded</x:v>
      </x:c>
      <x:c r="G76" s="16" t="str">
        <x:v>Automatic</x:v>
      </x:c>
      <x:c r="H76" s="16" t="str"/>
      <x:c r="I76" s="15" t="str">
        <x:v>Bu!366</x:v>
      </x:c>
    </x:row>
    <x:row r="77">
      <x:c r="A77" s="15" t="str">
        <x:v>Bu-155</x:v>
      </x:c>
      <x:c r="B77" s="15" t="str">
        <x:v>BU Existing Project CR's (ALM - Workpath, Viva goals)</x:v>
      </x:c>
      <x:c r="C77" s="15" t="str">
        <x:v>Precision Diagnosis - Magnetic Resonance (MR)</x:v>
      </x:c>
      <x:c r="D77" s="19" t="n">
        <x:v>0.335</x:v>
      </x:c>
      <x:c r="E77" s="15" t="str">
        <x:v>Hygiene</x:v>
      </x:c>
      <x:c r="F77" s="15" t="str">
        <x:f>'Portfolio Model'!U187</x:f>
        <x:v>Unfunded</x:v>
      </x:c>
      <x:c r="G77" s="16" t="str">
        <x:v>Automatic</x:v>
      </x:c>
      <x:c r="H77" s="16" t="str"/>
      <x:c r="I77" s="15" t="str">
        <x:v>Bu!372</x:v>
      </x:c>
    </x:row>
    <x:row r="78">
      <x:c r="A78" s="15" t="str">
        <x:v>Bu-156</x:v>
      </x:c>
      <x:c r="B78" s="15" t="str">
        <x:v>Agentic AI solutions for service (POCs)</x:v>
      </x:c>
      <x:c r="C78" s="15" t="str">
        <x:v>Precision Diagnosis - Magnetic Resonance (MR)</x:v>
      </x:c>
      <x:c r="D78" s="19" t="n">
        <x:v>0.2</x:v>
      </x:c>
      <x:c r="E78" s="15" t="str">
        <x:v>Hygiene</x:v>
      </x:c>
      <x:c r="F78" s="15" t="str">
        <x:f>'Portfolio Model'!U188</x:f>
        <x:v>Unfunded</x:v>
      </x:c>
      <x:c r="G78" s="16" t="str">
        <x:v>Automatic</x:v>
      </x:c>
      <x:c r="H78" s="16" t="str"/>
      <x:c r="I78" s="15" t="str">
        <x:v>Bu!373</x:v>
      </x:c>
    </x:row>
    <x:row r="79">
      <x:c r="A79" s="15" t="str">
        <x:v>Bu-157</x:v>
      </x:c>
      <x:c r="B79" s="15" t="str">
        <x:v>I2M Clinical Science Contracting (ORION/Ensight) CR's</x:v>
      </x:c>
      <x:c r="C79" s="15" t="str">
        <x:v>Precision Diagnosis - Magnetic Resonance (MR)</x:v>
      </x:c>
      <x:c r="D79" s="19" t="n">
        <x:v>0.075</x:v>
      </x:c>
      <x:c r="E79" s="15" t="str">
        <x:v>Hygiene</x:v>
      </x:c>
      <x:c r="F79" s="15" t="str">
        <x:f>'Portfolio Model'!U189</x:f>
        <x:v>Unfunded</x:v>
      </x:c>
      <x:c r="G79" s="16" t="str">
        <x:v>Automatic</x:v>
      </x:c>
      <x:c r="H79" s="16" t="str"/>
      <x:c r="I79" s="15" t="str">
        <x:v>Bu!375</x:v>
      </x:c>
    </x:row>
    <x:row r="80">
      <x:c r="A80" s="15" t="str">
        <x:v>Bu-158</x:v>
      </x:c>
      <x:c r="B80" s="15" t="str">
        <x:v>Sentinel LEM deployment for CT/AMI (OKM – Order Key Manager) - STO 400K</x:v>
      </x:c>
      <x:c r="C80" s="15" t="str">
        <x:v>Precision Diagnosis - Computed Tomography (CT)</x:v>
      </x:c>
      <x:c r="D80" s="19" t="n">
        <x:v>0.25</x:v>
      </x:c>
      <x:c r="E80" s="15" t="str">
        <x:v>Hygiene</x:v>
      </x:c>
      <x:c r="F80" s="15" t="str">
        <x:f>'Portfolio Model'!U190</x:f>
        <x:v>Unfunded</x:v>
      </x:c>
      <x:c r="G80" s="16" t="str">
        <x:v>Automatic</x:v>
      </x:c>
      <x:c r="H80" s="16" t="str"/>
      <x:c r="I80" s="15" t="str">
        <x:v>Bu!379</x:v>
      </x:c>
    </x:row>
    <x:row r="81">
      <x:c r="A81" s="15" t="str">
        <x:v>Bu-160</x:v>
      </x:c>
      <x:c r="B81" s="15" t="str">
        <x:v>MR Mobile Apps CR's (MR - Imaging app v2) SI</x:v>
      </x:c>
      <x:c r="C81" s="15" t="str">
        <x:v>Precision Diagnosis - Magnetic Resonance (MR)</x:v>
      </x:c>
      <x:c r="D81" s="19" t="n">
        <x:v>0.35</x:v>
      </x:c>
      <x:c r="E81" s="15" t="str">
        <x:v>Hygiene</x:v>
      </x:c>
      <x:c r="F81" s="15" t="str">
        <x:f>'Portfolio Model'!U191</x:f>
        <x:v>Unfunded</x:v>
      </x:c>
      <x:c r="G81" s="16" t="str">
        <x:v>Automatic</x:v>
      </x:c>
      <x:c r="H81" s="16" t="str"/>
      <x:c r="I81" s="15" t="str">
        <x:v>Bu!381</x:v>
      </x:c>
    </x:row>
    <x:row r="82">
      <x:c r="A82" s="15" t="str">
        <x:v>Bu-163</x:v>
      </x:c>
      <x:c r="B82" s="15" t="str">
        <x:v>Sales Text | VSM &amp; PS | Sales text process E2E</x:v>
      </x:c>
      <x:c r="C82" s="15" t="str">
        <x:v>Precision Diagnosis - Magnetic Resonance (MR)</x:v>
      </x:c>
      <x:c r="D82" s="19" t="n">
        <x:v>0.15</x:v>
      </x:c>
      <x:c r="E82" s="15" t="str">
        <x:v>Hygiene</x:v>
      </x:c>
      <x:c r="F82" s="15" t="str">
        <x:f>'Portfolio Model'!U192</x:f>
        <x:v>Unfunded</x:v>
      </x:c>
      <x:c r="G82" s="16" t="str">
        <x:v>Automatic</x:v>
      </x:c>
      <x:c r="H82" s="16" t="str"/>
      <x:c r="I82" s="15" t="str">
        <x:v>Bu!390</x:v>
      </x:c>
    </x:row>
    <x:row r="83">
      <x:c r="A83" s="15" t="str">
        <x:v>Bu-167</x:v>
      </x:c>
      <x:c r="B83" s="15" t="str">
        <x:v>Regulatory submissions simplification | Document creation &amp; management</x:v>
      </x:c>
      <x:c r="C83" s="15" t="str">
        <x:v>Precision Diagnosis - Magnetic Resonance (MR)</x:v>
      </x:c>
      <x:c r="D83" s="19" t="n">
        <x:v>0.03</x:v>
      </x:c>
      <x:c r="E83" s="15" t="str">
        <x:v>Hygiene</x:v>
      </x:c>
      <x:c r="F83" s="15" t="str">
        <x:f>'Portfolio Model'!U193</x:f>
        <x:v>Unfunded</x:v>
      </x:c>
      <x:c r="G83" s="16" t="str">
        <x:v>Automatic</x:v>
      </x:c>
      <x:c r="H83" s="16" t="str"/>
      <x:c r="I83" s="15" t="str">
        <x:v>Bu!404</x:v>
      </x:c>
    </x:row>
    <x:row r="84">
      <x:c r="A84" s="15" t="str">
        <x:v>Bu-168</x:v>
      </x:c>
      <x:c r="B84" s="15" t="str">
        <x:v>Localised Label release</x:v>
      </x:c>
      <x:c r="C84" s="15" t="str">
        <x:v>Precision Diagnosis - Magnetic Resonance (MR)</x:v>
      </x:c>
      <x:c r="D84" s="19" t="n">
        <x:v>0.05</x:v>
      </x:c>
      <x:c r="E84" s="15" t="str">
        <x:v>Hygiene</x:v>
      </x:c>
      <x:c r="F84" s="15" t="str">
        <x:f>'Portfolio Model'!U194</x:f>
        <x:v>Unfunded</x:v>
      </x:c>
      <x:c r="G84" s="16" t="str">
        <x:v>Automatic</x:v>
      </x:c>
      <x:c r="H84" s="16" t="str"/>
      <x:c r="I84" s="15" t="str">
        <x:v>Bu!407</x:v>
      </x:c>
    </x:row>
    <x:row r="85">
      <x:c r="A85" s="15" t="str">
        <x:v>Bu-170</x:v>
      </x:c>
      <x:c r="B85" s="15" t="str">
        <x:v>Insourcing Scanbuddy App.</x:v>
      </x:c>
      <x:c r="C85" s="15" t="str">
        <x:v>Precision Diagnosis - Magnetic Resonance (MR)</x:v>
      </x:c>
      <x:c r="D85" s="19" t="n">
        <x:v>0.2</x:v>
      </x:c>
      <x:c r="E85" s="15" t="str">
        <x:v>Hygiene</x:v>
      </x:c>
      <x:c r="F85" s="15" t="str">
        <x:f>'Portfolio Model'!U195</x:f>
        <x:v>Unfunded</x:v>
      </x:c>
      <x:c r="G85" s="16" t="str">
        <x:v>Automatic</x:v>
      </x:c>
      <x:c r="H85" s="16" t="str"/>
      <x:c r="I85" s="15" t="str">
        <x:v>Bu!409</x:v>
      </x:c>
    </x:row>
    <x:row r="86">
      <x:c r="A86" s="15" t="str">
        <x:v>Bu-171</x:v>
      </x:c>
      <x:c r="B86" s="15" t="str">
        <x:v>PS: EOS/EOL management (IB)</x:v>
      </x:c>
      <x:c r="C86" s="15" t="str">
        <x:v>Precision Diagnosis - Magnetic Resonance (MR)</x:v>
      </x:c>
      <x:c r="D86" s="19" t="n">
        <x:v>0.1</x:v>
      </x:c>
      <x:c r="E86" s="15" t="str">
        <x:v>Hygiene</x:v>
      </x:c>
      <x:c r="F86" s="15" t="str">
        <x:f>'Portfolio Model'!U196</x:f>
        <x:v>Unfunded</x:v>
      </x:c>
      <x:c r="G86" s="16" t="str">
        <x:v>Automatic</x:v>
      </x:c>
      <x:c r="H86" s="16" t="str"/>
      <x:c r="I86" s="15" t="str">
        <x:v>Bu!410</x:v>
      </x:c>
    </x:row>
    <x:row r="87">
      <x:c r="A87" s="15" t="str">
        <x:v>Bu-175</x:v>
      </x:c>
      <x:c r="B87" s="15" t="str">
        <x:v>I2M Program/Portfolio/Project Management (Planisware) CR's</x:v>
      </x:c>
      <x:c r="C87" s="15" t="str">
        <x:v>Precision Diagnosis - Magnetic Resonance (MR)</x:v>
      </x:c>
      <x:c r="D87" s="19" t="n">
        <x:v>0.075</x:v>
      </x:c>
      <x:c r="E87" s="15" t="str">
        <x:v>Hygiene</x:v>
      </x:c>
      <x:c r="F87" s="15" t="str">
        <x:f>'Portfolio Model'!U197</x:f>
        <x:v>Unfunded</x:v>
      </x:c>
      <x:c r="G87" s="16" t="str">
        <x:v>Automatic</x:v>
      </x:c>
      <x:c r="H87" s="16" t="str"/>
      <x:c r="I87" s="15" t="str">
        <x:v>Bu!432</x:v>
      </x:c>
    </x:row>
    <x:row r="88">
      <x:c r="A88" s="15" t="str">
        <x:v>Bu-181</x:v>
      </x:c>
      <x:c r="B88" s="15" t="str">
        <x:v>CERA deployment</x:v>
      </x:c>
      <x:c r="C88" s="15" t="str">
        <x:v>Precision Diagnosis - Magnetic Resonance (MR)</x:v>
      </x:c>
      <x:c r="D88" s="19" t="n">
        <x:v>0.1</x:v>
      </x:c>
      <x:c r="E88" s="15" t="str">
        <x:v>Hygiene</x:v>
      </x:c>
      <x:c r="F88" s="15" t="str">
        <x:f>'Portfolio Model'!U198</x:f>
        <x:v>Unfunded</x:v>
      </x:c>
      <x:c r="G88" s="16" t="str">
        <x:v>Automatic</x:v>
      </x:c>
      <x:c r="H88" s="16" t="str"/>
      <x:c r="I88" s="15" t="str">
        <x:v>Bu!439</x:v>
      </x:c>
    </x:row>
    <x:row r="89">
      <x:c r="A89" s="15" t="str">
        <x:v>Bu-186</x:v>
      </x:c>
      <x:c r="B89" s="15" t="str">
        <x:v>CT Mobile APP</x:v>
      </x:c>
      <x:c r="C89" s="15" t="str">
        <x:v>Precision Diagnosis - Computed Tomography (CT)</x:v>
      </x:c>
      <x:c r="D89" s="19" t="n">
        <x:v>0.321</x:v>
      </x:c>
      <x:c r="E89" s="15" t="str">
        <x:v>Hygiene</x:v>
      </x:c>
      <x:c r="F89" s="15" t="str">
        <x:f>'Portfolio Model'!U199</x:f>
        <x:v>Unfunded</x:v>
      </x:c>
      <x:c r="G89" s="16" t="str">
        <x:v>Automatic</x:v>
      </x:c>
      <x:c r="H89" s="16" t="str"/>
      <x:c r="I89" s="15" t="str">
        <x:v>Bu!444</x:v>
      </x:c>
    </x:row>
    <x:row r="90">
      <x:c r="A90" s="15" t="str">
        <x:v>Bu-187</x:v>
      </x:c>
      <x:c r="B90" s="15" t="str">
        <x:v>DXR Mobile App</x:v>
      </x:c>
      <x:c r="C90" s="15" t="str">
        <x:v>Precision Diagnosis - Digital X-ray Radiogrammetry (DXR)</x:v>
      </x:c>
      <x:c r="D90" s="19" t="n">
        <x:v>0.314</x:v>
      </x:c>
      <x:c r="E90" s="15" t="str">
        <x:v>Hygiene</x:v>
      </x:c>
      <x:c r="F90" s="15" t="str">
        <x:f>'Portfolio Model'!U200</x:f>
        <x:v>Unfunded</x:v>
      </x:c>
      <x:c r="G90" s="16" t="str">
        <x:v>Automatic</x:v>
      </x:c>
      <x:c r="H90" s="16" t="str"/>
      <x:c r="I90" s="15" t="str">
        <x:v>Bu!445</x:v>
      </x:c>
    </x:row>
    <x:row r="91">
      <x:c r="A91" s="15" t="str">
        <x:v>Bu-189</x:v>
      </x:c>
      <x:c r="B91" s="15" t="str">
        <x:v>1. GAIA - platform showing E2E product / customer quality status.</x:v>
      </x:c>
      <x:c r="C91" s="15" t="str">
        <x:v>Precision Diagnosis - Computed Tomography (CT)</x:v>
      </x:c>
      <x:c r="D91" s="19" t="n">
        <x:v>0.05</x:v>
      </x:c>
      <x:c r="E91" s="15" t="str">
        <x:v>Hygiene</x:v>
      </x:c>
      <x:c r="F91" s="15" t="str">
        <x:f>'Portfolio Model'!U201</x:f>
        <x:v>Unfunded</x:v>
      </x:c>
      <x:c r="G91" s="16" t="str">
        <x:v>Automatic</x:v>
      </x:c>
      <x:c r="H91" s="16" t="str"/>
      <x:c r="I91" s="15" t="str">
        <x:v>Bu!453</x:v>
      </x:c>
    </x:row>
    <x:row r="92">
      <x:c r="A92" s="15" t="str">
        <x:v>Bu-190</x:v>
      </x:c>
      <x:c r="B92" s="15" t="str">
        <x:v>2. Audit management tool</x:v>
      </x:c>
      <x:c r="C92" s="15" t="str">
        <x:v>Precision Diagnosis - Computed Tomography (CT)</x:v>
      </x:c>
      <x:c r="D92" s="19" t="n">
        <x:v>0.05</x:v>
      </x:c>
      <x:c r="E92" s="15" t="str">
        <x:v>Hygiene</x:v>
      </x:c>
      <x:c r="F92" s="15" t="str">
        <x:f>'Portfolio Model'!U202</x:f>
        <x:v>Unfunded</x:v>
      </x:c>
      <x:c r="G92" s="16" t="str">
        <x:v>Automatic</x:v>
      </x:c>
      <x:c r="H92" s="16" t="str"/>
      <x:c r="I92" s="15" t="str">
        <x:v>Bu!454</x:v>
      </x:c>
    </x:row>
    <x:row r="93">
      <x:c r="A93" s="15" t="str">
        <x:v>Bu-249</x:v>
      </x:c>
      <x:c r="B93" s="15" t="str">
        <x:v>Placeholder</x:v>
      </x:c>
      <x:c r="C93" s="15" t="str">
        <x:v>Precision Diagnosis - Magnetic Resonance (MR)</x:v>
      </x:c>
      <x:c r="D93" s="19" t="n">
        <x:v>0.5</x:v>
      </x:c>
      <x:c r="E93" s="15" t="str">
        <x:v>Hygiene</x:v>
      </x:c>
      <x:c r="F93" s="15" t="str">
        <x:f>'Portfolio Model'!U203</x:f>
        <x:v>Unfunded</x:v>
      </x:c>
      <x:c r="G93" s="16" t="str">
        <x:v>Automatic</x:v>
      </x:c>
      <x:c r="H93" s="16" t="str"/>
      <x:c r="I93" s="15" t="str">
        <x:v>Bu!557</x:v>
      </x:c>
    </x:row>
    <x:row r="94">
      <x:c r="A94" s="15" t="str">
        <x:v>Bu-250</x:v>
      </x:c>
      <x:c r="B94" s="15" t="str">
        <x:v>RFID for Outward Shipments</x:v>
      </x:c>
      <x:c r="C94" s="15" t="str">
        <x:v>Precision Diagnosis - Magnetic Resonance (MR)</x:v>
      </x:c>
      <x:c r="D94" s="19" t="n">
        <x:v>0.25</x:v>
      </x:c>
      <x:c r="E94" s="15" t="str">
        <x:v>Hygiene</x:v>
      </x:c>
      <x:c r="F94" s="15" t="str">
        <x:f>'Portfolio Model'!U204</x:f>
        <x:v>Unfunded</x:v>
      </x:c>
      <x:c r="G94" s="16" t="str">
        <x:v>Automatic</x:v>
      </x:c>
      <x:c r="H94" s="16" t="str"/>
      <x:c r="I94" s="15" t="str">
        <x:v>Bu!558</x:v>
      </x:c>
    </x:row>
    <x:row r="95">
      <x:c r="A95" s="15" t="str">
        <x:v>Bu-281</x:v>
      </x:c>
      <x:c r="B95" s="15" t="str">
        <x:v>D3 Change Request</x:v>
      </x:c>
      <x:c r="C95" s="15" t="str">
        <x:v>Image Guided Therapy - Systems (IGT-S)</x:v>
      </x:c>
      <x:c r="D95" s="19" t="n">
        <x:v>0.1</x:v>
      </x:c>
      <x:c r="E95" s="15" t="str">
        <x:v>Hygiene</x:v>
      </x:c>
      <x:c r="F95" s="15" t="str">
        <x:f>'Portfolio Model'!U205</x:f>
        <x:v>Unfunded</x:v>
      </x:c>
      <x:c r="G95" s="16" t="str">
        <x:v>Automatic</x:v>
      </x:c>
      <x:c r="H95" s="16" t="str"/>
      <x:c r="I95" s="15" t="str">
        <x:v>Bu!587</x:v>
      </x:c>
    </x:row>
    <x:row r="96">
      <x:c r="A96" s="15" t="str">
        <x:v>Bu-39</x:v>
      </x:c>
      <x:c r="B96" s="15" t="str">
        <x:v>09. Refurbishment: reverse set-up Supply Chain</x:v>
      </x:c>
      <x:c r="C96" s="15" t="str">
        <x:v>Personal Health (PH)</x:v>
      </x:c>
      <x:c r="D96" s="19" t="n">
        <x:v>0</x:v>
      </x:c>
      <x:c r="E96" s="15" t="str">
        <x:v>Hygiene</x:v>
      </x:c>
      <x:c r="F96" s="15" t="str">
        <x:f>'Portfolio Model'!U206</x:f>
        <x:v>Evidence missing / not eligible</x:v>
      </x:c>
      <x:c r="G96" s="16" t="str">
        <x:v>Automatic</x:v>
      </x:c>
      <x:c r="H96" s="16" t="str"/>
      <x:c r="I96" s="15" t="str">
        <x:v>Bu!108</x:v>
      </x:c>
    </x:row>
    <x:row r="97">
      <x:c r="A97" s="15" t="str">
        <x:v>Bu-220</x:v>
      </x:c>
      <x:c r="B97" s="15" t="str">
        <x:v>Education - TEDs - Docebo Migration</x:v>
      </x:c>
      <x:c r="C97" s="15" t="str">
        <x:v>Monitoring - HPM (MCH)</x:v>
      </x:c>
      <x:c r="D97" s="19" t="n">
        <x:v>0.396</x:v>
      </x:c>
      <x:c r="E97" s="15" t="str">
        <x:v>Hygiene</x:v>
      </x:c>
      <x:c r="F97" s="15" t="str">
        <x:f>'Portfolio Model'!U207</x:f>
        <x:v>Unfunded</x:v>
      </x:c>
      <x:c r="G97" s="16" t="str">
        <x:v>Automatic</x:v>
      </x:c>
      <x:c r="H97" s="16" t="str"/>
      <x:c r="I97" s="15" t="str">
        <x:v>Bu!513</x:v>
      </x:c>
    </x:row>
    <x:row r="98">
      <x:c r="A98" s="15" t="str">
        <x:v>Bu-219</x:v>
      </x:c>
      <x:c r="B98" s="15" t="str">
        <x:v>DUPLICATE - PSA/PS Cloud Migration(international)</x:v>
      </x:c>
      <x:c r="C98" s="15" t="str">
        <x:v>Monitoring - HPM (MCH)</x:v>
      </x:c>
      <x:c r="D98" s="19" t="n">
        <x:v>0</x:v>
      </x:c>
      <x:c r="E98" s="15" t="str">
        <x:v>Hygiene</x:v>
      </x:c>
      <x:c r="F98" s="15" t="str">
        <x:f>'Portfolio Model'!U209</x:f>
        <x:v>Evidence missing / not eligible</x:v>
      </x:c>
      <x:c r="G98" s="16" t="str">
        <x:v>Automatic</x:v>
      </x:c>
      <x:c r="H98" s="16" t="str"/>
      <x:c r="I98" s="15" t="str">
        <x:v>Bu!512</x:v>
      </x:c>
    </x:row>
    <x:row r="99">
      <x:c r="A99" s="15" t="str">
        <x:v>Bu-227</x:v>
      </x:c>
      <x:c r="B99" s="15" t="str">
        <x:v>DUPLICATE - Master Data and Data Quality</x:v>
      </x:c>
      <x:c r="C99" s="15" t="str">
        <x:v>Monitoring - HPM (MCH)</x:v>
      </x:c>
      <x:c r="D99" s="19" t="n">
        <x:v>0</x:v>
      </x:c>
      <x:c r="E99" s="15" t="str">
        <x:v>Hygiene</x:v>
      </x:c>
      <x:c r="F99" s="15" t="str">
        <x:f>'Portfolio Model'!U210</x:f>
        <x:v>Evidence missing / not eligible</x:v>
      </x:c>
      <x:c r="G99" s="16" t="str">
        <x:v>Automatic</x:v>
      </x:c>
      <x:c r="H99" s="16" t="str"/>
      <x:c r="I99" s="15" t="str">
        <x:v>Bu!522</x:v>
      </x:c>
    </x:row>
    <x:row r="100">
      <x:c r="A100" s="15" t="str">
        <x:v>Bu-296</x:v>
      </x:c>
      <x:c r="B100" s="15" t="str">
        <x:v>Direct Procurement – Digitalization &amp; Compliance (Horizontal)</x:v>
      </x:c>
      <x:c r="C100" s="15" t="str">
        <x:v>Personal Health (PH)</x:v>
      </x:c>
      <x:c r="D100" s="19" t="n">
        <x:v>0</x:v>
      </x:c>
      <x:c r="E100" s="15" t="str">
        <x:v>Hygiene</x:v>
      </x:c>
      <x:c r="F100" s="15" t="str">
        <x:f>'Portfolio Model'!U211</x:f>
        <x:v>Evidence missing / not eligible</x:v>
      </x:c>
      <x:c r="G100" s="16" t="str">
        <x:v>Automatic</x:v>
      </x:c>
      <x:c r="H100" s="16" t="str"/>
      <x:c r="I100" s="15" t="str">
        <x:v>Bu!619</x:v>
      </x:c>
    </x:row>
    <x:row r="101">
      <x:c r="A101" s="15" t="str">
        <x:v>Bu-123</x:v>
      </x:c>
      <x:c r="B101" s="15" t="str">
        <x:v>TrueContext replacement</x:v>
      </x:c>
      <x:c r="C101" s="15" t="str">
        <x:v>Service Transformation Office (STO)</x:v>
      </x:c>
      <x:c r="D101" s="19" t="n">
        <x:v>0.7</x:v>
      </x:c>
      <x:c r="E101" s="15" t="str">
        <x:v>Hygiene</x:v>
      </x:c>
      <x:c r="F101" s="15" t="str">
        <x:f>'Portfolio Model'!U217</x:f>
        <x:v>Unfunded</x:v>
      </x:c>
      <x:c r="G101" s="16" t="str">
        <x:v>Automatic</x:v>
      </x:c>
      <x:c r="H101" s="16" t="str"/>
      <x:c r="I101" s="15" t="str">
        <x:v>Bu!300</x:v>
      </x:c>
    </x:row>
    <x:row r="102">
      <x:c r="A102" s="15" t="str">
        <x:v>Bu-124</x:v>
      </x:c>
      <x:c r="B102" s="15" t="str">
        <x:v>Decisions replacement</x:v>
      </x:c>
      <x:c r="C102" s="15" t="str">
        <x:v>Service Transformation Office (STO)</x:v>
      </x:c>
      <x:c r="D102" s="19" t="n">
        <x:v>0.1</x:v>
      </x:c>
      <x:c r="E102" s="15" t="str">
        <x:v>Hygiene</x:v>
      </x:c>
      <x:c r="F102" s="15" t="str">
        <x:f>'Portfolio Model'!U218</x:f>
        <x:v>Unfunded</x:v>
      </x:c>
      <x:c r="G102" s="16" t="str">
        <x:v>Automatic</x:v>
      </x:c>
      <x:c r="H102" s="16" t="str"/>
      <x:c r="I102" s="15" t="str">
        <x:v>Bu!301</x:v>
      </x:c>
    </x:row>
    <x:row r="103">
      <x:c r="A103" s="15" t="str">
        <x:v>Bu-125</x:v>
      </x:c>
      <x:c r="B103" s="15" t="str">
        <x:v>PS Cloud replacement</x:v>
      </x:c>
      <x:c r="C103" s="15" t="str">
        <x:v>Service Transformation Office (STO)</x:v>
      </x:c>
      <x:c r="D103" s="19" t="n">
        <x:v>0.7</x:v>
      </x:c>
      <x:c r="E103" s="15" t="str">
        <x:v>Hygiene</x:v>
      </x:c>
      <x:c r="F103" s="15" t="str">
        <x:f>'Portfolio Model'!U219</x:f>
        <x:v>Unfunded</x:v>
      </x:c>
      <x:c r="G103" s="16" t="str">
        <x:v>Automatic</x:v>
      </x:c>
      <x:c r="H103" s="16" t="str"/>
      <x:c r="I103" s="15" t="str">
        <x:v>Bu!302</x:v>
      </x:c>
    </x:row>
    <x:row r="104">
      <x:c r="A104" s="15" t="str">
        <x:v>Bu-126</x:v>
      </x:c>
      <x:c r="B104" s="15" t="str">
        <x:v>Incenter replacement</x:v>
      </x:c>
      <x:c r="C104" s="15" t="str">
        <x:v>Service Transformation Office (STO)</x:v>
      </x:c>
      <x:c r="D104" s="19" t="n">
        <x:v>0.8</x:v>
      </x:c>
      <x:c r="E104" s="15" t="str">
        <x:v>Hygiene</x:v>
      </x:c>
      <x:c r="F104" s="15" t="str">
        <x:f>'Portfolio Model'!U220</x:f>
        <x:v>Unfunded</x:v>
      </x:c>
      <x:c r="G104" s="16" t="str">
        <x:v>Automatic</x:v>
      </x:c>
      <x:c r="H104" s="16" t="str"/>
      <x:c r="I104" s="15" t="str">
        <x:v>Bu!303</x:v>
      </x:c>
    </x:row>
    <x:row r="105">
      <x:c r="A105" s="15" t="str">
        <x:v>Bu-04</x:v>
      </x:c>
      <x:c r="B105" s="15" t="str">
        <x:v>2027 IGTD DATA and INSIGHTS</x:v>
      </x:c>
      <x:c r="C105" s="15" t="str">
        <x:v>Image Guided Therapy - Devices (IGT-D)</x:v>
      </x:c>
      <x:c r="D105" s="19" t="n">
        <x:v>0.345</x:v>
      </x:c>
      <x:c r="E105" s="15" t="str">
        <x:v>Carryover</x:v>
      </x:c>
      <x:c r="F105" s="15" t="str">
        <x:f>'Portfolio Model'!U222</x:f>
        <x:v>Funded</x:v>
      </x:c>
      <x:c r="G105" s="16" t="str">
        <x:v>Automatic</x:v>
      </x:c>
      <x:c r="H105" s="16" t="str"/>
      <x:c r="I105" s="15" t="str">
        <x:v>Bu!8</x:v>
      </x:c>
    </x:row>
    <x:row r="106">
      <x:c r="A106" s="15" t="str">
        <x:v>Bu-50</x:v>
      </x:c>
      <x:c r="B106" s="15" t="str">
        <x:v>E2E NAM Re-entry Digital SRC</x:v>
      </x:c>
      <x:c r="C106" s="15" t="str">
        <x:v>Sleep &amp; Respiratory Care (SRC)</x:v>
      </x:c>
      <x:c r="D106" s="19" t="n">
        <x:v>1.95</x:v>
      </x:c>
      <x:c r="E106" s="15" t="str">
        <x:v>Carryover</x:v>
      </x:c>
      <x:c r="F106" s="15" t="str">
        <x:f>'Portfolio Model'!U224</x:f>
        <x:v>Funded</x:v>
      </x:c>
      <x:c r="G106" s="16" t="str">
        <x:v>Automatic</x:v>
      </x:c>
      <x:c r="H106" s="16" t="str"/>
      <x:c r="I106" s="15" t="str">
        <x:v>Bu!111</x:v>
      </x:c>
    </x:row>
    <x:row r="107">
      <x:c r="A107" s="15" t="str">
        <x:v>Bu-49</x:v>
      </x:c>
      <x:c r="B107" s="15" t="str">
        <x:v>Demand &amp; Supply Planning SRC</x:v>
      </x:c>
      <x:c r="C107" s="15" t="str">
        <x:v>Sleep &amp; Respiratory Care (SRC)</x:v>
      </x:c>
      <x:c r="D107" s="19" t="n">
        <x:v>1.7</x:v>
      </x:c>
      <x:c r="E107" s="15" t="str">
        <x:v>Carryover</x:v>
      </x:c>
      <x:c r="F107" s="15" t="str">
        <x:f>'Portfolio Model'!U226</x:f>
        <x:v>Funded</x:v>
      </x:c>
      <x:c r="G107" s="16" t="str">
        <x:v>Automatic</x:v>
      </x:c>
      <x:c r="H107" s="16" t="str"/>
      <x:c r="I107" s="15" t="str">
        <x:v>Bu!110</x:v>
      </x:c>
    </x:row>
    <x:row r="108">
      <x:c r="A108" s="15" t="str">
        <x:v>Bu-60</x:v>
      </x:c>
      <x:c r="B108" s="15" t="str">
        <x:v>Symphony - Azurion NextGen</x:v>
      </x:c>
      <x:c r="C108" s="15" t="str">
        <x:v>Image Guided Therapy - Systems (IGT-S)</x:v>
      </x:c>
      <x:c r="D108" s="19" t="n">
        <x:v>2.8</x:v>
      </x:c>
      <x:c r="E108" s="15" t="str">
        <x:v>Carryover</x:v>
      </x:c>
      <x:c r="F108" s="15" t="str">
        <x:f>'Portfolio Model'!U227</x:f>
        <x:v>Funded</x:v>
      </x:c>
      <x:c r="G108" s="16" t="str">
        <x:v>Automatic</x:v>
      </x:c>
      <x:c r="H108" s="16" t="str"/>
      <x:c r="I108" s="15" t="str">
        <x:v>Bu!129</x:v>
      </x:c>
    </x:row>
    <x:row r="109">
      <x:c r="A109" s="15" t="str">
        <x:v>Bu-82</x:v>
      </x:c>
      <x:c r="B109" s="15" t="str">
        <x:v>IGTS AI 2027</x:v>
      </x:c>
      <x:c r="C109" s="15" t="str">
        <x:v>Image Guided Therapy - Systems (IGT-S)</x:v>
      </x:c>
      <x:c r="D109" s="19" t="n">
        <x:v>2.468</x:v>
      </x:c>
      <x:c r="E109" s="15" t="str">
        <x:v>Carryover</x:v>
      </x:c>
      <x:c r="F109" s="15" t="str">
        <x:f>'Portfolio Model'!U228</x:f>
        <x:v>Funded</x:v>
      </x:c>
      <x:c r="G109" s="16" t="str">
        <x:v>Automatic</x:v>
      </x:c>
      <x:c r="H109" s="16" t="str"/>
      <x:c r="I109" s="15" t="str">
        <x:v>Bu!214</x:v>
      </x:c>
    </x:row>
    <x:row r="110">
      <x:c r="A110" s="15" t="str">
        <x:v>Bu-81</x:v>
      </x:c>
      <x:c r="B110" s="15" t="str">
        <x:v>Data Analytics &amp; IB Fix2Perform</x:v>
      </x:c>
      <x:c r="C110" s="15" t="str">
        <x:v>Image Guided Therapy - Systems (IGT-S)</x:v>
      </x:c>
      <x:c r="D110" s="19" t="n">
        <x:v>0.85</x:v>
      </x:c>
      <x:c r="E110" s="15" t="str">
        <x:v>Carryover</x:v>
      </x:c>
      <x:c r="F110" s="15" t="str">
        <x:f>'Portfolio Model'!U229</x:f>
        <x:v>Funded</x:v>
      </x:c>
      <x:c r="G110" s="16" t="str">
        <x:v>Automatic</x:v>
      </x:c>
      <x:c r="H110" s="16" t="str"/>
      <x:c r="I110" s="15" t="str">
        <x:v>Bu!205</x:v>
      </x:c>
    </x:row>
    <x:row r="111">
      <x:c r="A111" s="15" t="str">
        <x:v>Bu-38</x:v>
      </x:c>
      <x:c r="B111" s="15" t="str">
        <x:v>32. PH ISC Analytics</x:v>
      </x:c>
      <x:c r="C111" s="15" t="str">
        <x:v>Personal Health (PH)</x:v>
      </x:c>
      <x:c r="D111" s="19" t="n">
        <x:v>0.638</x:v>
      </x:c>
      <x:c r="E111" s="15" t="str">
        <x:v>Carryover</x:v>
      </x:c>
      <x:c r="F111" s="15" t="str">
        <x:f>'Portfolio Model'!U234</x:f>
        <x:v>Funded</x:v>
      </x:c>
      <x:c r="G111" s="16" t="str">
        <x:v>Automatic</x:v>
      </x:c>
      <x:c r="H111" s="16" t="str"/>
      <x:c r="I111" s="15" t="str">
        <x:v>Bu!107</x:v>
      </x:c>
    </x:row>
    <x:row r="112">
      <x:c r="A112" s="15" t="str">
        <x:v>Bu-35</x:v>
      </x:c>
      <x:c r="B112" s="15" t="str">
        <x:v>54. AI in Consumer Insights and Innovation</x:v>
      </x:c>
      <x:c r="C112" s="15" t="str">
        <x:v>Personal Health (PH)</x:v>
      </x:c>
      <x:c r="D112" s="19" t="n">
        <x:v>1</x:v>
      </x:c>
      <x:c r="E112" s="15" t="str">
        <x:v>Carryover</x:v>
      </x:c>
      <x:c r="F112" s="15" t="str">
        <x:f>'Portfolio Model'!U235</x:f>
        <x:v>Funded</x:v>
      </x:c>
      <x:c r="G112" s="16" t="str">
        <x:v>Automatic</x:v>
      </x:c>
      <x:c r="H112" s="16" t="str"/>
      <x:c r="I112" s="15" t="str">
        <x:v>Bu!89</x:v>
      </x:c>
    </x:row>
    <x:row r="113">
      <x:c r="A113" s="15" t="str">
        <x:v>Bu-118</x:v>
      </x:c>
      <x:c r="B113" s="15" t="str">
        <x:v>Planisware/PARP, QlikSense/ADL, cPLM (Windchill)</x:v>
      </x:c>
      <x:c r="C113" s="15" t="str">
        <x:v>Image Guided Therapy - Systems (IGT-S)</x:v>
      </x:c>
      <x:c r="D113" s="19" t="n">
        <x:v>0.515</x:v>
      </x:c>
      <x:c r="E113" s="15" t="str">
        <x:v>Carryover</x:v>
      </x:c>
      <x:c r="F113" s="15" t="str">
        <x:f>'Portfolio Model'!U236</x:f>
        <x:v>Funded</x:v>
      </x:c>
      <x:c r="G113" s="16" t="str">
        <x:v>Automatic</x:v>
      </x:c>
      <x:c r="H113" s="16" t="str"/>
      <x:c r="I113" s="15" t="str">
        <x:v>Bu!293</x:v>
      </x:c>
    </x:row>
    <x:row r="114">
      <x:c r="A114" s="15" t="str">
        <x:v>Bu-51</x:v>
      </x:c>
      <x:c r="B114" s="15" t="str">
        <x:v>Customer Service Management SRC</x:v>
      </x:c>
      <x:c r="C114" s="15" t="str">
        <x:v>Sleep &amp; Respiratory Care (SRC)</x:v>
      </x:c>
      <x:c r="D114" s="19" t="n">
        <x:v>1.825</x:v>
      </x:c>
      <x:c r="E114" s="15" t="str">
        <x:v>Carryover</x:v>
      </x:c>
      <x:c r="F114" s="15" t="str">
        <x:f>'Portfolio Model'!U237</x:f>
        <x:v>Funded</x:v>
      </x:c>
      <x:c r="G114" s="16" t="str">
        <x:v>Automatic</x:v>
      </x:c>
      <x:c r="H114" s="16" t="str"/>
      <x:c r="I114" s="15" t="str">
        <x:v>Bu!112</x:v>
      </x:c>
    </x:row>
    <x:row r="115">
      <x:c r="A115" s="15" t="str">
        <x:v>Bu-24</x:v>
      </x:c>
      <x:c r="B115" s="15" t="str">
        <x:v>22. PH Digitalization Innovation Process - Development</x:v>
      </x:c>
      <x:c r="C115" s="15" t="str">
        <x:v>Personal Health (PH)</x:v>
      </x:c>
      <x:c r="D115" s="19" t="n">
        <x:v>2.95</x:v>
      </x:c>
      <x:c r="E115" s="15" t="str">
        <x:v>Carryover</x:v>
      </x:c>
      <x:c r="F115" s="15" t="str">
        <x:f>'Portfolio Model'!U239</x:f>
        <x:v>Funded</x:v>
      </x:c>
      <x:c r="G115" s="16" t="str">
        <x:v>Automatic</x:v>
      </x:c>
      <x:c r="H115" s="16" t="str"/>
      <x:c r="I115" s="15" t="str">
        <x:v>Bu!42</x:v>
      </x:c>
    </x:row>
    <x:row r="116">
      <x:c r="A116" s="15" t="str">
        <x:v>Bu-25</x:v>
      </x:c>
      <x:c r="B116" s="15" t="str">
        <x:v>19 Consumer Care capabilities AI &amp; simplification &amp; Infotip replacement</x:v>
      </x:c>
      <x:c r="C116" s="15" t="str">
        <x:v>Personal Health (PH)</x:v>
      </x:c>
      <x:c r="D116" s="19" t="n">
        <x:v>1.68</x:v>
      </x:c>
      <x:c r="E116" s="15" t="str">
        <x:v>Carryover</x:v>
      </x:c>
      <x:c r="F116" s="15" t="str">
        <x:f>'Portfolio Model'!U244</x:f>
        <x:v>Evidence missing / not eligible</x:v>
      </x:c>
      <x:c r="G116" s="16" t="str">
        <x:v>Automatic</x:v>
      </x:c>
      <x:c r="H116" s="16" t="str"/>
      <x:c r="I116" s="15" t="str">
        <x:v>Bu!48</x:v>
      </x:c>
    </x:row>
    <x:row r="117">
      <x:c r="A117" s="15" t="str">
        <x:v>Bu-02</x:v>
      </x:c>
      <x:c r="B117" s="15" t="str">
        <x:v>Sensei Usage-to-Cash: Contract, Billing &amp; Invoice Automation</x:v>
      </x:c>
      <x:c r="C117" s="15" t="str">
        <x:v>Enterprise Informatics (EI)</x:v>
      </x:c>
      <x:c r="D117" s="19" t="n">
        <x:v>0.75</x:v>
      </x:c>
      <x:c r="E117" s="15" t="str">
        <x:v>Carryover</x:v>
      </x:c>
      <x:c r="F117" s="15" t="str">
        <x:f>'Portfolio Model'!U245</x:f>
        <x:v>Evidence missing / not eligible</x:v>
      </x:c>
      <x:c r="G117" s="16" t="str">
        <x:v>Automatic</x:v>
      </x:c>
      <x:c r="H117" s="16" t="str"/>
      <x:c r="I117" s="15" t="str">
        <x:v>Bu!6</x:v>
      </x:c>
    </x:row>
    <x:row r="118">
      <x:c r="A118" s="15" t="str">
        <x:v>Bu-01</x:v>
      </x:c>
      <x:c r="B118" s="15" t="str">
        <x:v>EI-IS-AI Service Excellence program - SPM--&gt; Microsoft Project Operations</x:v>
      </x:c>
      <x:c r="C118" s="15" t="str">
        <x:v>Enterprise Informatics (EI)</x:v>
      </x:c>
      <x:c r="D118" s="19" t="n">
        <x:v>1.3</x:v>
      </x:c>
      <x:c r="E118" s="15" t="str">
        <x:v>Carryover</x:v>
      </x:c>
      <x:c r="F118" s="15" t="str">
        <x:f>'Portfolio Model'!U246</x:f>
        <x:v>Evidence missing / not eligible</x:v>
      </x:c>
      <x:c r="G118" s="16" t="str">
        <x:v>Automatic</x:v>
      </x:c>
      <x:c r="H118" s="16" t="str"/>
      <x:c r="I118" s="15" t="str">
        <x:v>Bu!4</x:v>
      </x:c>
    </x:row>
    <x:row r="119">
      <x:c r="A119" s="15" t="str">
        <x:v>Bu-37</x:v>
      </x:c>
      <x:c r="B119" s="15" t="str">
        <x:v>05. One AI-powered Translation Solution for PH</x:v>
      </x:c>
      <x:c r="C119" s="15" t="str">
        <x:v>Personal Health (PH)</x:v>
      </x:c>
      <x:c r="D119" s="19" t="n">
        <x:v>0.4</x:v>
      </x:c>
      <x:c r="E119" s="15" t="str">
        <x:v>Carryover</x:v>
      </x:c>
      <x:c r="F119" s="15" t="str">
        <x:f>'Portfolio Model'!U247</x:f>
        <x:v>Evidence missing / not eligible</x:v>
      </x:c>
      <x:c r="G119" s="16" t="str">
        <x:v>Automatic</x:v>
      </x:c>
      <x:c r="H119" s="16" t="str"/>
      <x:c r="I119" s="15" t="str">
        <x:v>Bu!104</x:v>
      </x:c>
    </x:row>
    <x:row r="120">
      <x:c r="A120" s="15" t="str">
        <x:v>Bu-06</x:v>
      </x:c>
      <x:c r="B120" s="15" t="str">
        <x:v>Compliance - GTS</x:v>
      </x:c>
      <x:c r="C120" s="15" t="str">
        <x:v>Integrated Supply Chain (ISC)</x:v>
      </x:c>
      <x:c r="D120" s="19" t="n">
        <x:v>2.07</x:v>
      </x:c>
      <x:c r="E120" s="15" t="str">
        <x:v>Carryover</x:v>
      </x:c>
      <x:c r="F120" s="15" t="str">
        <x:f>'Portfolio Model'!U252</x:f>
        <x:v>Evidence missing / not eligible</x:v>
      </x:c>
      <x:c r="G120" s="16" t="str">
        <x:v>Automatic</x:v>
      </x:c>
      <x:c r="H120" s="16" t="str"/>
      <x:c r="I120" s="15" t="str">
        <x:v>Bu!10</x:v>
      </x:c>
    </x:row>
    <x:row r="121">
      <x:c r="A121" s="15" t="str">
        <x:v>Bu-07</x:v>
      </x:c>
      <x:c r="B121" s="15" t="str">
        <x:v>Implement Tech Enabled Integrated Planning</x:v>
      </x:c>
      <x:c r="C121" s="15" t="str">
        <x:v>Integrated Supply Chain (ISC)</x:v>
      </x:c>
      <x:c r="D121" s="19" t="n">
        <x:v>5.74</x:v>
      </x:c>
      <x:c r="E121" s="15" t="str">
        <x:v>Carryover</x:v>
      </x:c>
      <x:c r="F121" s="15" t="str">
        <x:f>'Portfolio Model'!U253</x:f>
        <x:v>Evidence missing / not eligible</x:v>
      </x:c>
      <x:c r="G121" s="16" t="str">
        <x:v>Automatic</x:v>
      </x:c>
      <x:c r="H121" s="16" t="str"/>
      <x:c r="I121" s="15" t="str">
        <x:v>Bu!11</x:v>
      </x:c>
    </x:row>
    <x:row r="122">
      <x:c r="A122" s="15" t="str">
        <x:v>Bu-09</x:v>
      </x:c>
      <x:c r="B122" s="15" t="str">
        <x:v>Circular Lifecycle Solutions and Spare parts delivery</x:v>
      </x:c>
      <x:c r="C122" s="15" t="str">
        <x:v>Integrated Supply Chain (ISC)</x:v>
      </x:c>
      <x:c r="D122" s="19" t="n">
        <x:v>1.18</x:v>
      </x:c>
      <x:c r="E122" s="15" t="str">
        <x:v>Carryover</x:v>
      </x:c>
      <x:c r="F122" s="15" t="str">
        <x:f>'Portfolio Model'!U254</x:f>
        <x:v>Evidence missing / not eligible</x:v>
      </x:c>
      <x:c r="G122" s="16" t="str">
        <x:v>Automatic</x:v>
      </x:c>
      <x:c r="H122" s="16" t="str"/>
      <x:c r="I122" s="15" t="str">
        <x:v>Bu!14</x:v>
      </x:c>
    </x:row>
    <x:row r="123">
      <x:c r="A123" s="15" t="str">
        <x:v>Bu-10</x:v>
      </x:c>
      <x:c r="B123" s="15" t="str">
        <x:v>Master Data and Data Quality</x:v>
      </x:c>
      <x:c r="C123" s="15" t="str">
        <x:v>Integrated Supply Chain (ISC)</x:v>
      </x:c>
      <x:c r="D123" s="19" t="n">
        <x:v>1.07</x:v>
      </x:c>
      <x:c r="E123" s="15" t="str">
        <x:v>Carryover</x:v>
      </x:c>
      <x:c r="F123" s="15" t="str">
        <x:f>'Portfolio Model'!U255</x:f>
        <x:v>Evidence missing / not eligible</x:v>
      </x:c>
      <x:c r="G123" s="16" t="str">
        <x:v>Automatic</x:v>
      </x:c>
      <x:c r="H123" s="16" t="str"/>
      <x:c r="I123" s="15" t="str">
        <x:v>Bu!15</x:v>
      </x:c>
    </x:row>
    <x:row r="124">
      <x:c r="A124" s="15" t="str">
        <x:v>Bu-11</x:v>
      </x:c>
      <x:c r="B124" s="15" t="str">
        <x:v>Direct Procurement Transformation</x:v>
      </x:c>
      <x:c r="C124" s="15" t="str">
        <x:v>Integrated Supply Chain (ISC)</x:v>
      </x:c>
      <x:c r="D124" s="19" t="n">
        <x:v>7.03</x:v>
      </x:c>
      <x:c r="E124" s="15" t="str">
        <x:v>Carryover</x:v>
      </x:c>
      <x:c r="F124" s="15" t="str">
        <x:f>'Portfolio Model'!U256</x:f>
        <x:v>Evidence missing / not eligible</x:v>
      </x:c>
      <x:c r="G124" s="16" t="str">
        <x:v>Automatic</x:v>
      </x:c>
      <x:c r="H124" s="16" t="str"/>
      <x:c r="I124" s="15" t="str">
        <x:v>Bu!18</x:v>
      </x:c>
    </x:row>
    <x:row r="125">
      <x:c r="A125" s="15" t="str">
        <x:v>Bu-12</x:v>
      </x:c>
      <x:c r="B125" s="15" t="str">
        <x:v>Implement Integrated Planning Basics</x:v>
      </x:c>
      <x:c r="C125" s="15" t="str">
        <x:v>Integrated Supply Chain (ISC)</x:v>
      </x:c>
      <x:c r="D125" s="19" t="n">
        <x:v>0.5</x:v>
      </x:c>
      <x:c r="E125" s="15" t="str">
        <x:v>Carryover</x:v>
      </x:c>
      <x:c r="F125" s="15" t="str">
        <x:f>'Portfolio Model'!U257</x:f>
        <x:v>Evidence missing / not eligible</x:v>
      </x:c>
      <x:c r="G125" s="16" t="str">
        <x:v>Automatic</x:v>
      </x:c>
      <x:c r="H125" s="16" t="str"/>
      <x:c r="I125" s="15" t="str">
        <x:v>Bu!20</x:v>
      </x:c>
    </x:row>
    <x:row r="126">
      <x:c r="A126" s="15" t="str">
        <x:v>Bu-13</x:v>
      </x:c>
      <x:c r="B126" s="15" t="str">
        <x:v>HPM - P3S - MaaS Capability Program: Scaling</x:v>
      </x:c>
      <x:c r="C126" s="15" t="str">
        <x:v>Monitoring - HPM (MCH)</x:v>
      </x:c>
      <x:c r="D126" s="19" t="n">
        <x:v>5</x:v>
      </x:c>
      <x:c r="E126" s="15" t="str">
        <x:v>Carryover</x:v>
      </x:c>
      <x:c r="F126" s="15" t="str">
        <x:f>'Portfolio Model'!U258</x:f>
        <x:v>Evidence missing / not eligible</x:v>
      </x:c>
      <x:c r="G126" s="16" t="str">
        <x:v>Automatic</x:v>
      </x:c>
      <x:c r="H126" s="16" t="str"/>
      <x:c r="I126" s="15" t="str">
        <x:v>Bu!22</x:v>
      </x:c>
    </x:row>
    <x:row r="127">
      <x:c r="A127" s="15" t="str">
        <x:v>Bu-14</x:v>
      </x:c>
      <x:c r="B127" s="15" t="str">
        <x:v>HPM - Tariff Mitigation - long term (LTS-4 Late Customization)</x:v>
      </x:c>
      <x:c r="C127" s="15" t="str">
        <x:v>Monitoring - HPM (MCH)</x:v>
      </x:c>
      <x:c r="D127" s="19" t="n">
        <x:v>0.35</x:v>
      </x:c>
      <x:c r="E127" s="15" t="str">
        <x:v>Carryover</x:v>
      </x:c>
      <x:c r="F127" s="15" t="str">
        <x:f>'Portfolio Model'!U259</x:f>
        <x:v>Evidence missing / not eligible</x:v>
      </x:c>
      <x:c r="G127" s="16" t="str">
        <x:v>Automatic</x:v>
      </x:c>
      <x:c r="H127" s="16" t="str"/>
      <x:c r="I127" s="15" t="str">
        <x:v>Bu!23</x:v>
      </x:c>
    </x:row>
    <x:row r="128">
      <x:c r="A128" s="15" t="str">
        <x:v>Bu-20</x:v>
      </x:c>
      <x:c r="B128" s="15" t="str">
        <x:v>17.2 GCS/WCMS replacement</x:v>
      </x:c>
      <x:c r="C128" s="15" t="str">
        <x:v>Personal Health (PH)</x:v>
      </x:c>
      <x:c r="D128" s="19" t="n">
        <x:v>0.25</x:v>
      </x:c>
      <x:c r="E128" s="15" t="str">
        <x:v>Carryover</x:v>
      </x:c>
      <x:c r="F128" s="15" t="str">
        <x:f>'Portfolio Model'!U260</x:f>
        <x:v>Evidence missing / not eligible</x:v>
      </x:c>
      <x:c r="G128" s="16" t="str">
        <x:v>Automatic</x:v>
      </x:c>
      <x:c r="H128" s="16" t="str"/>
      <x:c r="I128" s="15" t="str">
        <x:v>Bu!29</x:v>
      </x:c>
    </x:row>
    <x:row r="129">
      <x:c r="A129" s="15" t="str">
        <x:v>Bu-195</x:v>
      </x:c>
      <x:c r="B129" s="15" t="str">
        <x:v>MP1 improvement due to shelf life finding in audit.</x:v>
      </x:c>
      <x:c r="C129" s="15" t="str">
        <x:v>Monitoring - HPM (MCH)</x:v>
      </x:c>
      <x:c r="D129" s="19" t="n">
        <x:v>0.02</x:v>
      </x:c>
      <x:c r="E129" s="15" t="str">
        <x:v>Carryover</x:v>
      </x:c>
      <x:c r="F129" s="15" t="str">
        <x:f>'Portfolio Model'!U261</x:f>
        <x:v>Evidence missing / not eligible</x:v>
      </x:c>
      <x:c r="G129" s="16" t="str">
        <x:v>Automatic</x:v>
      </x:c>
      <x:c r="H129" s="16" t="str"/>
      <x:c r="I129" s="15" t="str">
        <x:v>Bu!488</x:v>
      </x:c>
    </x:row>
    <x:row r="130">
      <x:c r="A130" s="15" t="str">
        <x:v>Bu-196</x:v>
      </x:c>
      <x:c r="B130" s="15" t="str">
        <x:v>SW Ops: Enabling HPM on Sentinel with new licensing models for NPIs -</x:v>
      </x:c>
      <x:c r="C130" s="15" t="str">
        <x:v>Monitoring - HPM (MCH)</x:v>
      </x:c>
      <x:c r="D130" s="19" t="n">
        <x:v>0.2</x:v>
      </x:c>
      <x:c r="E130" s="15" t="str">
        <x:v>Carryover</x:v>
      </x:c>
      <x:c r="F130" s="15" t="str">
        <x:f>'Portfolio Model'!U262</x:f>
        <x:v>Evidence missing / not eligible</x:v>
      </x:c>
      <x:c r="G130" s="16" t="str">
        <x:v>Automatic</x:v>
      </x:c>
      <x:c r="H130" s="16" t="str"/>
      <x:c r="I130" s="15" t="str">
        <x:v>Bu!489</x:v>
      </x:c>
    </x:row>
    <x:row r="131">
      <x:c r="A131" s="15" t="str">
        <x:v>Bu-197</x:v>
      </x:c>
      <x:c r="B131" s="15" t="str">
        <x:v>Remote Operations Mgt for NAR (FocalPoint)</x:v>
      </x:c>
      <x:c r="C131" s="15" t="str">
        <x:v>Monitoring - HPM (MCH)</x:v>
      </x:c>
      <x:c r="D131" s="19" t="n">
        <x:v>1.17</x:v>
      </x:c>
      <x:c r="E131" s="15" t="str">
        <x:v>Carryover</x:v>
      </x:c>
      <x:c r="F131" s="15" t="str">
        <x:f>'Portfolio Model'!U263</x:f>
        <x:v>Evidence missing / not eligible</x:v>
      </x:c>
      <x:c r="G131" s="16" t="str">
        <x:v>Automatic</x:v>
      </x:c>
      <x:c r="H131" s="16" t="str"/>
      <x:c r="I131" s="15" t="str">
        <x:v>Bu!490</x:v>
      </x:c>
    </x:row>
    <x:row r="132">
      <x:c r="A132" s="15" t="str">
        <x:v>Bu-198</x:v>
      </x:c>
      <x:c r="B132" s="15" t="str">
        <x:v>HSPMP - enable support flow for cloud platform</x:v>
      </x:c>
      <x:c r="C132" s="15" t="str">
        <x:v>Monitoring - HPM (MCH)</x:v>
      </x:c>
      <x:c r="D132" s="19" t="n">
        <x:v>0.36</x:v>
      </x:c>
      <x:c r="E132" s="15" t="str">
        <x:v>Carryover</x:v>
      </x:c>
      <x:c r="F132" s="15" t="str">
        <x:f>'Portfolio Model'!U264</x:f>
        <x:v>Evidence missing / not eligible</x:v>
      </x:c>
      <x:c r="G132" s="16" t="str">
        <x:v>Automatic</x:v>
      </x:c>
      <x:c r="H132" s="16" t="str"/>
      <x:c r="I132" s="15" t="str">
        <x:v>Bu!491</x:v>
      </x:c>
    </x:row>
    <x:row r="133">
      <x:c r="A133" s="15" t="str">
        <x:v>Bu-199</x:v>
      </x:c>
      <x:c r="B133" s="15" t="str">
        <x:v>Timber and dual manufacturing (NAM footprint)</x:v>
      </x:c>
      <x:c r="C133" s="15" t="str">
        <x:v>Monitoring - HPM (MCH)</x:v>
      </x:c>
      <x:c r="D133" s="19" t="n">
        <x:v>0.8</x:v>
      </x:c>
      <x:c r="E133" s="15" t="str">
        <x:v>Carryover</x:v>
      </x:c>
      <x:c r="F133" s="15" t="str">
        <x:f>'Portfolio Model'!U265</x:f>
        <x:v>Evidence missing / not eligible</x:v>
      </x:c>
      <x:c r="G133" s="16" t="str">
        <x:v>Automatic</x:v>
      </x:c>
      <x:c r="H133" s="16" t="str"/>
      <x:c r="I133" s="15" t="str">
        <x:v>Bu!492</x:v>
      </x:c>
    </x:row>
    <x:row r="134">
      <x:c r="A134" s="15" t="str">
        <x:v>Bu-207</x:v>
      </x:c>
      <x:c r="B134" s="15" t="str">
        <x:v>Fidelity (Fulcrum/RDC NAM/RDC EU/FF)</x:v>
      </x:c>
      <x:c r="C134" s="15" t="str">
        <x:v>Monitoring - HPM (MCH)</x:v>
      </x:c>
      <x:c r="D134" s="19" t="n">
        <x:v>1</x:v>
      </x:c>
      <x:c r="E134" s="15" t="str">
        <x:v>Carryover</x:v>
      </x:c>
      <x:c r="F134" s="15" t="str">
        <x:f>'Portfolio Model'!U266</x:f>
        <x:v>Evidence missing / not eligible</x:v>
      </x:c>
      <x:c r="G134" s="16" t="str">
        <x:v>Automatic</x:v>
      </x:c>
      <x:c r="H134" s="16" t="str"/>
      <x:c r="I134" s="15" t="str">
        <x:v>Bu!500</x:v>
      </x:c>
    </x:row>
    <x:row r="135">
      <x:c r="A135" s="15" t="str">
        <x:v>Bu-15</x:v>
      </x:c>
      <x:c r="B135" s="15" t="str">
        <x:v>HPM - Sofon Q2O automation</x:v>
      </x:c>
      <x:c r="C135" s="15" t="str">
        <x:v>Monitoring - HPM (MCH)</x:v>
      </x:c>
      <x:c r="D135" s="19" t="n">
        <x:v>0.2</x:v>
      </x:c>
      <x:c r="E135" s="15" t="str">
        <x:v>Carryover</x:v>
      </x:c>
      <x:c r="F135" s="15" t="str">
        <x:f>'Portfolio Model'!U275</x:f>
        <x:v>Evidence missing / not eligible</x:v>
      </x:c>
      <x:c r="G135" s="16" t="str">
        <x:v>Automatic</x:v>
      </x:c>
      <x:c r="H135" s="16" t="str"/>
      <x:c r="I135" s="15" t="str">
        <x:v>Bu!24</x:v>
      </x:c>
    </x:row>
    <x:row r="136">
      <x:c r="A136" s="15" t="str">
        <x:v>Bu-16</x:v>
      </x:c>
      <x:c r="B136" s="15" t="str">
        <x:v>HPM - AI capabilities</x:v>
      </x:c>
      <x:c r="C136" s="15" t="str">
        <x:v>Monitoring - HPM (MCH)</x:v>
      </x:c>
      <x:c r="D136" s="19" t="n">
        <x:v>0.5</x:v>
      </x:c>
      <x:c r="E136" s="15" t="str">
        <x:v>Carryover</x:v>
      </x:c>
      <x:c r="F136" s="15" t="str">
        <x:f>'Portfolio Model'!U276</x:f>
        <x:v>Evidence missing / not eligible</x:v>
      </x:c>
      <x:c r="G136" s="16" t="str">
        <x:v>Automatic</x:v>
      </x:c>
      <x:c r="H136" s="16" t="str"/>
      <x:c r="I136" s="15" t="str">
        <x:v>Bu!25</x:v>
      </x:c>
    </x:row>
    <x:row r="137">
      <x:c r="A137" s="15" t="str">
        <x:v>Bu-36</x:v>
      </x:c>
      <x:c r="B137" s="15" t="str">
        <x:v>58. Akamai replatforming (Identify &amp; Access Management)</x:v>
      </x:c>
      <x:c r="C137" s="15" t="str">
        <x:v>Personal Health (PH)</x:v>
      </x:c>
      <x:c r="D137" s="19" t="n">
        <x:v>1.27</x:v>
      </x:c>
      <x:c r="E137" s="15" t="str">
        <x:v>Carryover</x:v>
      </x:c>
      <x:c r="F137" s="15" t="str">
        <x:f>'Portfolio Model'!U277</x:f>
        <x:v>Evidence missing / not eligible</x:v>
      </x:c>
      <x:c r="G137" s="16" t="str">
        <x:v>Automatic</x:v>
      </x:c>
      <x:c r="H137" s="16" t="str"/>
      <x:c r="I137" s="15" t="str">
        <x:v>Bu!99</x:v>
      </x:c>
    </x:row>
    <x:row r="138">
      <x:c r="A138" s="15" t="str">
        <x:v>Bu-54</x:v>
      </x:c>
      <x:c r="B138" s="15" t="str">
        <x:v>Procurement</x:v>
      </x:c>
      <x:c r="C138" s="15" t="str">
        <x:v>Integrated Supply Chain (ISC)</x:v>
      </x:c>
      <x:c r="D138" s="19" t="n">
        <x:v>0.22</x:v>
      </x:c>
      <x:c r="E138" s="15" t="str">
        <x:v>Carryover</x:v>
      </x:c>
      <x:c r="F138" s="15" t="str">
        <x:f>'Portfolio Model'!U278</x:f>
        <x:v>Evidence missing / not eligible</x:v>
      </x:c>
      <x:c r="G138" s="16" t="str">
        <x:v>Automatic</x:v>
      </x:c>
      <x:c r="H138" s="16" t="str"/>
      <x:c r="I138" s="15" t="str">
        <x:v>Bu!118</x:v>
      </x:c>
    </x:row>
    <x:row r="139">
      <x:c r="A139" s="15" t="str">
        <x:v>Bu-264</x:v>
      </x:c>
      <x:c r="B139" s="15" t="str">
        <x:v>Rotterdam - Codebeamer</x:v>
      </x:c>
      <x:c r="C139" s="15" t="str">
        <x:v>Image Guided Therapy - Devices (IGT-D)</x:v>
      </x:c>
      <x:c r="D139" s="19" t="n">
        <x:v>2.64</x:v>
      </x:c>
      <x:c r="E139" s="15" t="str">
        <x:v>Carryover</x:v>
      </x:c>
      <x:c r="F139" s="15" t="str">
        <x:f>'Portfolio Model'!U279</x:f>
        <x:v>Evidence missing / not eligible</x:v>
      </x:c>
      <x:c r="G139" s="16" t="str">
        <x:v>Automatic</x:v>
      </x:c>
      <x:c r="H139" s="16" t="str"/>
      <x:c r="I139" s="15" t="str">
        <x:v>Bu!572</x:v>
      </x:c>
    </x:row>
    <x:row r="140">
      <x:c r="A140" s="15" t="str">
        <x:v>Bu-287</x:v>
      </x:c>
      <x:c r="B140" s="15" t="str">
        <x:v>72. O2C simplification: Smart Allocation &amp; Agentic AI</x:v>
      </x:c>
      <x:c r="C140" s="15" t="str">
        <x:v>Personal Health (PH)</x:v>
      </x:c>
      <x:c r="D140" s="19" t="n">
        <x:v>1.08</x:v>
      </x:c>
      <x:c r="E140" s="15" t="str">
        <x:v>Carryover</x:v>
      </x:c>
      <x:c r="F140" s="15" t="str">
        <x:f>'Portfolio Model'!U280</x:f>
        <x:v>Evidence missing / not eligible</x:v>
      </x:c>
      <x:c r="G140" s="16" t="str">
        <x:v>Automatic</x:v>
      </x:c>
      <x:c r="H140" s="16" t="str"/>
      <x:c r="I140" s="15" t="str">
        <x:v>Bu!597</x:v>
      </x:c>
    </x:row>
    <x:row r="141">
      <x:c r="A141" s="15" t="str">
        <x:v>Bu-52</x:v>
      </x:c>
      <x:c r="B141" s="15" t="str">
        <x:v>Web Replatforming SRC - phase 2</x:v>
      </x:c>
      <x:c r="C141" s="15" t="str">
        <x:v>Sleep &amp; Respiratory Care (SRC)</x:v>
      </x:c>
      <x:c r="D141" s="19" t="n">
        <x:v>0.85</x:v>
      </x:c>
      <x:c r="E141" s="15" t="str">
        <x:v>Carryover</x:v>
      </x:c>
      <x:c r="F141" s="15" t="str">
        <x:f>'Portfolio Model'!U281</x:f>
        <x:v>Evidence missing / not eligible</x:v>
      </x:c>
      <x:c r="G141" s="16" t="str">
        <x:v>Automatic</x:v>
      </x:c>
      <x:c r="H141" s="16" t="str"/>
      <x:c r="I141" s="15" t="str">
        <x:v>Bu!116</x:v>
      </x:c>
    </x:row>
    <x:row r="142">
      <x:c r="A142" s="15" t="str">
        <x:v>Bu-83</x:v>
      </x:c>
      <x:c r="B142" s="15" t="str">
        <x:v>M&amp;A PMI Matrix</x:v>
      </x:c>
      <x:c r="C142" s="15" t="str">
        <x:v>Group Innovation &amp; Strategy</x:v>
      </x:c>
      <x:c r="D142" s="19" t="n">
        <x:v>0.01</x:v>
      </x:c>
      <x:c r="E142" s="15" t="str">
        <x:v>Carryover</x:v>
      </x:c>
      <x:c r="F142" s="15" t="str">
        <x:f>'Portfolio Model'!U282</x:f>
        <x:v>Evidence missing / not eligible</x:v>
      </x:c>
      <x:c r="G142" s="16" t="str">
        <x:v>Automatic</x:v>
      </x:c>
      <x:c r="H142" s="16" t="str"/>
      <x:c r="I142" s="15" t="str">
        <x:v>Bu!215</x:v>
      </x:c>
    </x:row>
    <x:row r="143">
      <x:c r="A143" s="15" t="str">
        <x:v>Bu-84</x:v>
      </x:c>
      <x:c r="B143" s="15" t="str">
        <x:v>M&amp;A PMI Helios</x:v>
      </x:c>
      <x:c r="C143" s="15" t="str">
        <x:v>Image Guided Therapy - Devices (IGT-D)</x:v>
      </x:c>
      <x:c r="D143" s="19" t="n">
        <x:v>3.18</x:v>
      </x:c>
      <x:c r="E143" s="15" t="str">
        <x:v>Carryover</x:v>
      </x:c>
      <x:c r="F143" s="15" t="str">
        <x:f>'Portfolio Model'!U283</x:f>
        <x:v>Evidence missing / not eligible</x:v>
      </x:c>
      <x:c r="G143" s="16" t="str">
        <x:v>Automatic</x:v>
      </x:c>
      <x:c r="H143" s="16" t="str"/>
      <x:c r="I143" s="15" t="str">
        <x:v>Bu!216</x:v>
      </x:c>
    </x:row>
    <x:row r="144">
      <x:c r="A144" s="15" t="str">
        <x:v>Bu-85</x:v>
      </x:c>
      <x:c r="B144" s="15" t="str">
        <x:v>M&amp;A PMI HeartStream</x:v>
      </x:c>
      <x:c r="C144" s="15" t="str">
        <x:v>Monitoring - HPM (MCH)</x:v>
      </x:c>
      <x:c r="D144" s="19" t="n">
        <x:v>1.5</x:v>
      </x:c>
      <x:c r="E144" s="15" t="str">
        <x:v>Carryover</x:v>
      </x:c>
      <x:c r="F144" s="15" t="str">
        <x:f>'Portfolio Model'!U284</x:f>
        <x:v>Evidence missing / not eligible</x:v>
      </x:c>
      <x:c r="G144" s="16" t="str">
        <x:v>Automatic</x:v>
      </x:c>
      <x:c r="H144" s="16" t="str"/>
      <x:c r="I144" s="15" t="str">
        <x:v>Bu!217</x:v>
      </x:c>
    </x:row>
    <x:row r="145">
      <x:c r="A145" s="15" t="str">
        <x:v>Bu-86</x:v>
      </x:c>
      <x:c r="B145" s="15" t="str">
        <x:v>M&amp;A PMI Everest Change Request</x:v>
      </x:c>
      <x:c r="C145" s="15" t="str">
        <x:v>Monitoring - HPM (MCH)</x:v>
      </x:c>
      <x:c r="D145" s="19" t="n">
        <x:v>0.5</x:v>
      </x:c>
      <x:c r="E145" s="15" t="str">
        <x:v>Carryover</x:v>
      </x:c>
      <x:c r="F145" s="15" t="str">
        <x:f>'Portfolio Model'!U285</x:f>
        <x:v>Evidence missing / not eligible</x:v>
      </x:c>
      <x:c r="G145" s="16" t="str">
        <x:v>Automatic</x:v>
      </x:c>
      <x:c r="H145" s="16" t="str"/>
      <x:c r="I145" s="15" t="str">
        <x:v>Bu!218</x:v>
      </x:c>
    </x:row>
    <x:row r="146">
      <x:c r="A146" s="15" t="str">
        <x:v>Bu-150</x:v>
      </x:c>
      <x:c r="B146" s="15" t="str">
        <x:v>COSAC Transition to PIL</x:v>
      </x:c>
      <x:c r="C146" s="15" t="str">
        <x:v>Precision Diagnosis - Magnetic Resonance (MR)</x:v>
      </x:c>
      <x:c r="D146" s="19" t="n">
        <x:v>0.7</x:v>
      </x:c>
      <x:c r="E146" s="15" t="str">
        <x:v>Carryover</x:v>
      </x:c>
      <x:c r="F146" s="15" t="str">
        <x:f>'Portfolio Model'!U286</x:f>
        <x:v>Evidence missing / not eligible</x:v>
      </x:c>
      <x:c r="G146" s="16" t="str">
        <x:v>Automatic</x:v>
      </x:c>
      <x:c r="H146" s="16" t="str"/>
      <x:c r="I146" s="15" t="str">
        <x:v>Bu!350</x:v>
      </x:c>
    </x:row>
    <x:row r="147">
      <x:c r="A147" s="15" t="str">
        <x:v>Bu-240</x:v>
      </x:c>
      <x:c r="B147" s="15" t="str">
        <x:v>ConfigIT - Transforming our Configure to Deliver Landscape</x:v>
      </x:c>
      <x:c r="C147" s="15" t="str">
        <x:v>Precision Diagnosis - Magnetic Resonance (MR)</x:v>
      </x:c>
      <x:c r="D147" s="19" t="n">
        <x:v>0.99</x:v>
      </x:c>
      <x:c r="E147" s="15" t="str">
        <x:v>Carryover</x:v>
      </x:c>
      <x:c r="F147" s="15" t="str">
        <x:f>'Portfolio Model'!U287</x:f>
        <x:v>Evidence missing / not eligible</x:v>
      </x:c>
      <x:c r="G147" s="16" t="str">
        <x:v>Automatic</x:v>
      </x:c>
      <x:c r="H147" s="16" t="str"/>
      <x:c r="I147" s="15" t="str">
        <x:v>Bu!542</x:v>
      </x:c>
    </x:row>
    <x:row r="148">
      <x:c r="A148" s="15" t="str">
        <x:v>Bu-283</x:v>
      </x:c>
      <x:c r="B148" s="15" t="str">
        <x:v>17.3 PH Digital Marketing Compliance</x:v>
      </x:c>
      <x:c r="C148" s="15" t="str">
        <x:v>Personal Health (PH)</x:v>
      </x:c>
      <x:c r="D148" s="19" t="n">
        <x:v>0.15</x:v>
      </x:c>
      <x:c r="E148" s="15" t="str">
        <x:v>Carryover</x:v>
      </x:c>
      <x:c r="F148" s="15" t="str">
        <x:f>'Portfolio Model'!U288</x:f>
        <x:v>Evidence missing / not eligible</x:v>
      </x:c>
      <x:c r="G148" s="16" t="str">
        <x:v>Automatic</x:v>
      </x:c>
      <x:c r="H148" s="16" t="str"/>
      <x:c r="I148" s="15" t="str">
        <x:v>Bu!589</x:v>
      </x:c>
    </x:row>
    <x:row r="149">
      <x:c r="A149" s="15" t="str">
        <x:v>Bu-284</x:v>
      </x:c>
      <x:c r="B149" s="15" t="str">
        <x:v>27.1 Customer Engagement | Unified Commercial Collaboration &amp; Claims Management</x:v>
      </x:c>
      <x:c r="C149" s="15" t="str">
        <x:v>Personal Health (PH)</x:v>
      </x:c>
      <x:c r="D149" s="19" t="n">
        <x:v>0.3</x:v>
      </x:c>
      <x:c r="E149" s="15" t="str">
        <x:v>Carryover</x:v>
      </x:c>
      <x:c r="F149" s="15" t="str">
        <x:f>'Portfolio Model'!U289</x:f>
        <x:v>Evidence missing / not eligible</x:v>
      </x:c>
      <x:c r="G149" s="16" t="str">
        <x:v>Automatic</x:v>
      </x:c>
      <x:c r="H149" s="16" t="str"/>
      <x:c r="I149" s="15" t="str">
        <x:v>Bu!590</x:v>
      </x:c>
    </x:row>
    <x:row r="150">
      <x:c r="A150" s="15" t="str">
        <x:v>Bu-152</x:v>
      </x:c>
      <x:c r="B150" s="15" t="str">
        <x:v>PRISM - Product, Regulatory, Installed Base, Services Metrics unified</x:v>
      </x:c>
      <x:c r="C150" s="15" t="str">
        <x:v>Precision Diagnosis - Magnetic Resonance (MR)</x:v>
      </x:c>
      <x:c r="D150" s="19" t="n">
        <x:v>0.336</x:v>
      </x:c>
      <x:c r="E150" s="15" t="str">
        <x:v>Carryover</x:v>
      </x:c>
      <x:c r="F150" s="15" t="str">
        <x:f>'Portfolio Model'!U290</x:f>
        <x:v>Evidence missing / not eligible</x:v>
      </x:c>
      <x:c r="G150" s="16" t="str">
        <x:v>Automatic</x:v>
      </x:c>
      <x:c r="H150" s="16" t="str"/>
      <x:c r="I150" s="15" t="str">
        <x:v>Bu!358</x:v>
      </x:c>
    </x:row>
    <x:row r="151">
      <x:c r="A151" s="15" t="str">
        <x:v>Bu-200</x:v>
      </x:c>
      <x:c r="B151" s="15" t="str">
        <x:v>Indonesia L4L</x:v>
      </x:c>
      <x:c r="C151" s="15" t="str">
        <x:v>Monitoring - HPM (MCH)</x:v>
      </x:c>
      <x:c r="D151" s="19" t="n">
        <x:v>0</x:v>
      </x:c>
      <x:c r="E151" s="15" t="str">
        <x:v>Carryover</x:v>
      </x:c>
      <x:c r="F151" s="15" t="str">
        <x:f>'Portfolio Model'!U291</x:f>
        <x:v>Evidence missing / not eligible</x:v>
      </x:c>
      <x:c r="G151" s="16" t="str">
        <x:v>Automatic</x:v>
      </x:c>
      <x:c r="H151" s="16" t="str"/>
      <x:c r="I151" s="15" t="str">
        <x:v>Bu!493</x:v>
      </x:c>
    </x:row>
    <x:row r="152">
      <x:c r="A152" s="15" t="str">
        <x:v>Bu-206</x:v>
      </x:c>
      <x:c r="B152" s="15" t="str">
        <x:v>Manufacturing efficiency – I-care improvements</x:v>
      </x:c>
      <x:c r="C152" s="15" t="str">
        <x:v>Monitoring - HPM (MCH)</x:v>
      </x:c>
      <x:c r="D152" s="19" t="n">
        <x:v>0</x:v>
      </x:c>
      <x:c r="E152" s="15" t="str">
        <x:v>Carryover</x:v>
      </x:c>
      <x:c r="F152" s="15" t="str">
        <x:f>'Portfolio Model'!U292</x:f>
        <x:v>Evidence missing / not eligible</x:v>
      </x:c>
      <x:c r="G152" s="16" t="str">
        <x:v>Automatic</x:v>
      </x:c>
      <x:c r="H152" s="16" t="str"/>
      <x:c r="I152" s="15" t="str">
        <x:v>Bu!499</x:v>
      </x:c>
    </x:row>
    <x:row r="153">
      <x:c r="A153" s="15" t="str">
        <x:v>Bu-211</x:v>
      </x:c>
      <x:c r="B153" s="15" t="str">
        <x:v>GBS Collaboration - Order Orchestration (Appian)</x:v>
      </x:c>
      <x:c r="C153" s="15" t="str">
        <x:v>Monitoring - HPM (MCH)</x:v>
      </x:c>
      <x:c r="D153" s="19" t="n">
        <x:v>0</x:v>
      </x:c>
      <x:c r="E153" s="15" t="str">
        <x:v>Carryover</x:v>
      </x:c>
      <x:c r="F153" s="15" t="str">
        <x:f>'Portfolio Model'!U293</x:f>
        <x:v>Evidence missing / not eligible</x:v>
      </x:c>
      <x:c r="G153" s="16" t="str">
        <x:v>Automatic</x:v>
      </x:c>
      <x:c r="H153" s="16" t="str"/>
      <x:c r="I153" s="15" t="str">
        <x:v>Bu!504</x:v>
      </x:c>
    </x:row>
    <x:row r="154">
      <x:c r="A154" s="15" t="str">
        <x:v>Bu-208</x:v>
      </x:c>
      <x:c r="B154" s="15" t="str">
        <x:v>DUPLICATE - IWD capabilities improvements and cost reductions</x:v>
      </x:c>
      <x:c r="C154" s="15" t="str">
        <x:v>Monitoring - HPM (MCH)</x:v>
      </x:c>
      <x:c r="D154" s="19" t="n">
        <x:v>0</x:v>
      </x:c>
      <x:c r="E154" s="15" t="str">
        <x:v>Carryover</x:v>
      </x:c>
      <x:c r="F154" s="15" t="str">
        <x:f>'Portfolio Model'!U294</x:f>
        <x:v>Evidence missing / not eligible</x:v>
      </x:c>
      <x:c r="G154" s="16" t="str">
        <x:v>Automatic</x:v>
      </x:c>
      <x:c r="H154" s="16" t="str"/>
      <x:c r="I154" s="15" t="str">
        <x:v>Bu!501</x:v>
      </x:c>
    </x:row>
    <x:row r="155">
      <x:c r="A155" s="15" t="str">
        <x:v>Bu-209</x:v>
      </x:c>
      <x:c r="B155" s="15" t="str">
        <x:v>DUPLICATE - Circular Lifecycle Solutions and Spare parts delivery</x:v>
      </x:c>
      <x:c r="C155" s="15" t="str">
        <x:v>Monitoring - HPM (MCH)</x:v>
      </x:c>
      <x:c r="D155" s="19" t="n">
        <x:v>0</x:v>
      </x:c>
      <x:c r="E155" s="15" t="str">
        <x:v>Carryover</x:v>
      </x:c>
      <x:c r="F155" s="15" t="str">
        <x:f>'Portfolio Model'!U295</x:f>
        <x:v>Evidence missing / not eligible</x:v>
      </x:c>
      <x:c r="G155" s="16" t="str">
        <x:v>Automatic</x:v>
      </x:c>
      <x:c r="H155" s="16" t="str"/>
      <x:c r="I155" s="15" t="str">
        <x:v>Bu!502</x:v>
      </x:c>
    </x:row>
    <x:row r="156">
      <x:c r="A156" s="15" t="str">
        <x:v>Bu-53</x:v>
      </x:c>
      <x:c r="B156" s="15" t="str">
        <x:v>E2E Trade Item Integration</x:v>
      </x:c>
      <x:c r="C156" s="15" t="str">
        <x:v>Sleep &amp; Respiratory Care (SRC)</x:v>
      </x:c>
      <x:c r="D156" s="19" t="n">
        <x:v>0</x:v>
      </x:c>
      <x:c r="E156" s="15" t="str">
        <x:v>Carryover</x:v>
      </x:c>
      <x:c r="F156" s="15" t="str">
        <x:f>'Portfolio Model'!U296</x:f>
        <x:v>Evidence missing / not eligible</x:v>
      </x:c>
      <x:c r="G156" s="16" t="str">
        <x:v>Automatic</x:v>
      </x:c>
      <x:c r="H156" s="16" t="str"/>
      <x:c r="I156" s="15" t="str">
        <x:v>Bu!117</x:v>
      </x:c>
    </x:row>
    <x:row r="157">
      <x:c r="A157" s="15" t="str">
        <x:v>Bu-17</x:v>
      </x:c>
      <x:c r="B157" s="15" t="str">
        <x:v>NAR Contract Execution and Compliance</x:v>
      </x:c>
      <x:c r="C157" s="15" t="str">
        <x:v>North America (NAR)</x:v>
      </x:c>
      <x:c r="D157" s="19" t="n">
        <x:v>0</x:v>
      </x:c>
      <x:c r="E157" s="15" t="str">
        <x:v>Carryover</x:v>
      </x:c>
      <x:c r="F157" s="15" t="str">
        <x:f>'Portfolio Model'!U298</x:f>
        <x:v>Evidence missing / not eligible</x:v>
      </x:c>
      <x:c r="G157" s="16" t="str">
        <x:v>Automatic</x:v>
      </x:c>
      <x:c r="H157" s="16" t="str"/>
      <x:c r="I157" s="15" t="str">
        <x:v>Bu!26</x:v>
      </x:c>
    </x:row>
    <x:row r="158">
      <x:c r="A158" s="15" t="str">
        <x:v>Bu-210</x:v>
      </x:c>
      <x:c r="B158" s="15" t="str">
        <x:v>DUPLICATE - NAR Contract Execution &amp; Compliance</x:v>
      </x:c>
      <x:c r="C158" s="15" t="str">
        <x:v>Monitoring - HPM (MCH)</x:v>
      </x:c>
      <x:c r="D158" s="19" t="n">
        <x:v>0</x:v>
      </x:c>
      <x:c r="E158" s="15" t="str">
        <x:v>Carryover</x:v>
      </x:c>
      <x:c r="F158" s="15" t="str">
        <x:f>'Portfolio Model'!U299</x:f>
        <x:v>Evidence missing / not eligible</x:v>
      </x:c>
      <x:c r="G158" s="16" t="str">
        <x:v>Automatic</x:v>
      </x:c>
      <x:c r="H158" s="16" t="str"/>
      <x:c r="I158" s="15" t="str">
        <x:v>Bu!503</x:v>
      </x:c>
    </x:row>
    <x:row r="159">
      <x:c r="A159" s="15" t="str">
        <x:v>Bu-212</x:v>
      </x:c>
      <x:c r="B159" s="15" t="str">
        <x:v>DUPLICATE - OMM - Carry Over (Integr Planning Basics)</x:v>
      </x:c>
      <x:c r="C159" s="15" t="str">
        <x:v>Monitoring - HPM (MCH)</x:v>
      </x:c>
      <x:c r="D159" s="19" t="n">
        <x:v>0</x:v>
      </x:c>
      <x:c r="E159" s="15" t="str">
        <x:v>Carryover</x:v>
      </x:c>
      <x:c r="F159" s="15" t="str">
        <x:f>'Portfolio Model'!U300</x:f>
        <x:v>Evidence missing / not eligible</x:v>
      </x:c>
      <x:c r="G159" s="16" t="str">
        <x:v>Automatic</x:v>
      </x:c>
      <x:c r="H159" s="16" t="str"/>
      <x:c r="I159" s="15" t="str">
        <x:v>Bu!505</x:v>
      </x:c>
    </x:row>
    <x:row r="160">
      <x:c r="A160" s="15" t="str">
        <x:v>Bu-48</x:v>
      </x:c>
      <x:c r="B160" s="15" t="str">
        <x:v>STO Carryover Demand</x:v>
      </x:c>
      <x:c r="C160" s="15" t="str">
        <x:v>Service Transformation Office (STO)</x:v>
      </x:c>
      <x:c r="D160" s="19" t="n">
        <x:v>22.7</x:v>
      </x:c>
      <x:c r="E160" s="15" t="str">
        <x:v>Carryover</x:v>
      </x:c>
      <x:c r="F160" s="15" t="str">
        <x:f>'Portfolio Model'!U301</x:f>
        <x:v>Evidence missing / not eligible</x:v>
      </x:c>
      <x:c r="G160" s="16" t="str">
        <x:v>Automatic</x:v>
      </x:c>
      <x:c r="H160" s="16" t="str"/>
      <x:c r="I160" s="15" t="str">
        <x:v>Bu!109</x:v>
      </x:c>
    </x:row>
    <x:row r="161">
      <x:c r="A161" s="15" t="str">
        <x:v>Bu-213</x:v>
      </x:c>
      <x:c r="B161" s="15" t="str">
        <x:v>IR [C1/C2/C3] Channel Partner Program</x:v>
      </x:c>
      <x:c r="C161" s="15" t="str">
        <x:v>Monitoring - HPM (MCH)</x:v>
      </x:c>
      <x:c r="D161" s="19" t="n">
        <x:v>0</x:v>
      </x:c>
      <x:c r="E161" s="15" t="str">
        <x:v>Carryover</x:v>
      </x:c>
      <x:c r="F161" s="15" t="str">
        <x:f>'Portfolio Model'!U302</x:f>
        <x:v>Evidence missing / not eligible</x:v>
      </x:c>
      <x:c r="G161" s="16" t="str">
        <x:v>Automatic</x:v>
      </x:c>
      <x:c r="H161" s="16" t="str"/>
      <x:c r="I161" s="15" t="str">
        <x:v>Bu!506</x:v>
      </x:c>
    </x:row>
    <x:row r="162">
      <x:c r="A162" s="15" t="str">
        <x:v>Bu-66</x:v>
      </x:c>
      <x:c r="B162" s="15" t="str">
        <x:v>IR27#21 - AI in Commercial Excellence</x:v>
      </x:c>
      <x:c r="C162" s="15" t="str">
        <x:v>International Regions (IR)</x:v>
      </x:c>
      <x:c r="D162" s="19" t="n">
        <x:v>0.95</x:v>
      </x:c>
      <x:c r="E162" s="15" t="str">
        <x:v>ROI-Based Portfolio</x:v>
      </x:c>
      <x:c r="F162" s="15" t="str">
        <x:f>'Portfolio Model'!U303</x:f>
        <x:v>Funded</x:v>
      </x:c>
      <x:c r="G162" s="16" t="str">
        <x:v>Automatic</x:v>
      </x:c>
      <x:c r="H162" s="16" t="str"/>
      <x:c r="I162" s="15" t="str">
        <x:v>Bu!144</x:v>
      </x:c>
    </x:row>
    <x:row r="163">
      <x:c r="A163" s="15" t="str">
        <x:v>Bu-57</x:v>
      </x:c>
      <x:c r="B163" s="15" t="str">
        <x:v>Symphony Eye</x:v>
      </x:c>
      <x:c r="C163" s="15" t="str">
        <x:v>Image Guided Therapy - Systems (IGT-S)</x:v>
      </x:c>
      <x:c r="D163" s="19" t="n">
        <x:v>4</x:v>
      </x:c>
      <x:c r="E163" s="15" t="str">
        <x:v>ROI-Based Portfolio</x:v>
      </x:c>
      <x:c r="F163" s="15" t="str">
        <x:f>'Portfolio Model'!U305</x:f>
        <x:v>Funded</x:v>
      </x:c>
      <x:c r="G163" s="16" t="str">
        <x:v>Automatic</x:v>
      </x:c>
      <x:c r="H163" s="16" t="str"/>
      <x:c r="I163" s="15" t="str">
        <x:v>Bu!121</x:v>
      </x:c>
    </x:row>
    <x:row r="164">
      <x:c r="A164" s="15" t="str">
        <x:v>Bu-68</x:v>
      </x:c>
      <x:c r="B164" s="15" t="str">
        <x:v>IR27#23 - Sales Deals compliance</x:v>
      </x:c>
      <x:c r="C164" s="15" t="str">
        <x:v>International Regions (IR)</x:v>
      </x:c>
      <x:c r="D164" s="19" t="n">
        <x:v>0.1</x:v>
      </x:c>
      <x:c r="E164" s="15" t="str">
        <x:v>ROI-Based Portfolio</x:v>
      </x:c>
      <x:c r="F164" s="15" t="str">
        <x:f>'Portfolio Model'!U309</x:f>
        <x:v>Funded</x:v>
      </x:c>
      <x:c r="G164" s="16" t="str">
        <x:v>Automatic</x:v>
      </x:c>
      <x:c r="H164" s="16" t="str"/>
      <x:c r="I164" s="15" t="str">
        <x:v>Bu!156</x:v>
      </x:c>
    </x:row>
    <x:row r="165">
      <x:c r="A165" s="15" t="str">
        <x:v>Bu-79</x:v>
      </x:c>
      <x:c r="B165" s="15" t="str">
        <x:v>IR27#14 - ORU KSA APM 'Kafu'</x:v>
      </x:c>
      <x:c r="C165" s="15" t="str">
        <x:v>International Regions (IR)</x:v>
      </x:c>
      <x:c r="D165" s="19" t="n">
        <x:v>0.15</x:v>
      </x:c>
      <x:c r="E165" s="15" t="str">
        <x:v>ROI-Based Portfolio</x:v>
      </x:c>
      <x:c r="F165" s="15" t="str">
        <x:f>'Portfolio Model'!U310</x:f>
        <x:v>Funded</x:v>
      </x:c>
      <x:c r="G165" s="16" t="str">
        <x:v>Automatic</x:v>
      </x:c>
      <x:c r="H165" s="16" t="str"/>
      <x:c r="I165" s="15" t="str">
        <x:v>Bu!200</x:v>
      </x:c>
    </x:row>
    <x:row r="166">
      <x:c r="A166" s="15" t="str">
        <x:v>Bu-63</x:v>
      </x:c>
      <x:c r="B166" s="15" t="str">
        <x:v>Commercial Intelligence &amp; CRM KOL Management tool</x:v>
      </x:c>
      <x:c r="C166" s="15" t="str">
        <x:v>Image Guided Therapy - Systems (IGT-S)</x:v>
      </x:c>
      <x:c r="D166" s="19" t="n">
        <x:v>0.55</x:v>
      </x:c>
      <x:c r="E166" s="15" t="str">
        <x:v>ROI-Based Portfolio</x:v>
      </x:c>
      <x:c r="F166" s="15" t="str">
        <x:f>'Portfolio Model'!U311</x:f>
        <x:v>Funded</x:v>
      </x:c>
      <x:c r="G166" s="16" t="str">
        <x:v>Automatic</x:v>
      </x:c>
      <x:c r="H166" s="16" t="str"/>
      <x:c r="I166" s="15" t="str">
        <x:v>Bu!136</x:v>
      </x:c>
    </x:row>
    <x:row r="167">
      <x:c r="A167" s="15" t="str">
        <x:v>Bu-69</x:v>
      </x:c>
      <x:c r="B167" s="15" t="str">
        <x:v>IR27#31 - Partner Central: Democratize Action to Allow Scale</x:v>
      </x:c>
      <x:c r="C167" s="15" t="str">
        <x:v>International Regions (IR)</x:v>
      </x:c>
      <x:c r="D167" s="19" t="n">
        <x:v>0.39</x:v>
      </x:c>
      <x:c r="E167" s="15" t="str">
        <x:v>ROI-Based Portfolio</x:v>
      </x:c>
      <x:c r="F167" s="15" t="str">
        <x:f>'Portfolio Model'!U312</x:f>
        <x:v>Funded</x:v>
      </x:c>
      <x:c r="G167" s="16" t="str">
        <x:v>Automatic</x:v>
      </x:c>
      <x:c r="H167" s="16" t="str"/>
      <x:c r="I167" s="15" t="str">
        <x:v>Bu!162</x:v>
      </x:c>
    </x:row>
    <x:row r="168">
      <x:c r="A168" s="15" t="str">
        <x:v>Bu-97</x:v>
      </x:c>
      <x:c r="B168" s="15" t="str">
        <x:v>Contract Lifecycle Management</x:v>
      </x:c>
      <x:c r="C168" s="15" t="str">
        <x:v>Sleep &amp; Respiratory Care (SRC)</x:v>
      </x:c>
      <x:c r="D168" s="19" t="n">
        <x:v>0.27</x:v>
      </x:c>
      <x:c r="E168" s="15" t="str">
        <x:v>ROI-Based Portfolio</x:v>
      </x:c>
      <x:c r="F168" s="15" t="str">
        <x:f>'Portfolio Model'!U313</x:f>
        <x:v>Funded</x:v>
      </x:c>
      <x:c r="G168" s="16" t="str">
        <x:v>Automatic</x:v>
      </x:c>
      <x:c r="H168" s="16" t="str"/>
      <x:c r="I168" s="15" t="str">
        <x:v>Bu!238</x:v>
      </x:c>
    </x:row>
    <x:row r="169">
      <x:c r="A169" s="15" t="str">
        <x:v>Bu-96</x:v>
      </x:c>
      <x:c r="B169" s="15" t="str">
        <x:v>ISC Lanscape Transformation</x:v>
      </x:c>
      <x:c r="C169" s="15" t="str">
        <x:v>Sleep &amp; Respiratory Care (SRC)</x:v>
      </x:c>
      <x:c r="D169" s="19" t="n">
        <x:v>0.6</x:v>
      </x:c>
      <x:c r="E169" s="15" t="str">
        <x:v>ROI-Based Portfolio</x:v>
      </x:c>
      <x:c r="F169" s="15" t="str">
        <x:f>'Portfolio Model'!U315</x:f>
        <x:v>Funded</x:v>
      </x:c>
      <x:c r="G169" s="16" t="str">
        <x:v>Automatic</x:v>
      </x:c>
      <x:c r="H169" s="16" t="str"/>
      <x:c r="I169" s="15" t="str">
        <x:v>Bu!236</x:v>
      </x:c>
    </x:row>
    <x:row r="170">
      <x:c r="A170" s="15" t="str">
        <x:v>Bu-67</x:v>
      </x:c>
      <x:c r="B170" s="15" t="str">
        <x:v>IR27#22 - Sales Incentives Auto-Credit</x:v>
      </x:c>
      <x:c r="C170" s="15" t="str">
        <x:v>International Regions (IR)</x:v>
      </x:c>
      <x:c r="D170" s="19" t="n">
        <x:v>0.25</x:v>
      </x:c>
      <x:c r="E170" s="15" t="str">
        <x:v>ROI-Based Portfolio</x:v>
      </x:c>
      <x:c r="F170" s="15" t="str">
        <x:f>'Portfolio Model'!U316</x:f>
        <x:v>Funded</x:v>
      </x:c>
      <x:c r="G170" s="16" t="str">
        <x:v>Automatic</x:v>
      </x:c>
      <x:c r="H170" s="16" t="str"/>
      <x:c r="I170" s="15" t="str">
        <x:v>Bu!151</x:v>
      </x:c>
    </x:row>
    <x:row r="171">
      <x:c r="A171" s="15" t="str">
        <x:v>Bu-87</x:v>
      </x:c>
      <x:c r="B171" s="15" t="str">
        <x:v>NAR Commercial Excellence</x:v>
      </x:c>
      <x:c r="C171" s="15" t="str">
        <x:v>North America (NAR)</x:v>
      </x:c>
      <x:c r="D171" s="19" t="n">
        <x:v>3.5</x:v>
      </x:c>
      <x:c r="E171" s="15" t="str">
        <x:v>ROI-Based Portfolio</x:v>
      </x:c>
      <x:c r="F171" s="15" t="str">
        <x:f>'Portfolio Model'!U317</x:f>
        <x:v>Funded</x:v>
      </x:c>
      <x:c r="G171" s="16" t="str">
        <x:v>Automatic</x:v>
      </x:c>
      <x:c r="H171" s="16" t="str"/>
      <x:c r="I171" s="15" t="str">
        <x:v>Bu!219</x:v>
      </x:c>
    </x:row>
    <x:row r="172">
      <x:c r="A172" s="15" t="str">
        <x:v>Bu-231</x:v>
      </x:c>
      <x:c r="B172" s="15" t="str">
        <x:v>GBS Collaboration - Order Orchestration (Appian) - Phase 2</x:v>
      </x:c>
      <x:c r="C172" s="15" t="str">
        <x:v>Monitoring - HPM (MCH)</x:v>
      </x:c>
      <x:c r="D172" s="19" t="n">
        <x:v>0.9</x:v>
      </x:c>
      <x:c r="E172" s="15" t="str">
        <x:v>ROI-Based Portfolio</x:v>
      </x:c>
      <x:c r="F172" s="15" t="str">
        <x:f>'Portfolio Model'!U318</x:f>
        <x:v>Funded</x:v>
      </x:c>
      <x:c r="G172" s="16" t="str">
        <x:v>Automatic</x:v>
      </x:c>
      <x:c r="H172" s="16" t="str"/>
      <x:c r="I172" s="15" t="str">
        <x:v>Bu!529</x:v>
      </x:c>
    </x:row>
    <x:row r="173">
      <x:c r="A173" s="15" t="str">
        <x:v>Bu-229</x:v>
      </x:c>
      <x:c r="B173" s="15" t="str">
        <x:v>Fidelity (Fulcrum/RDC NAM/RDC EU/FF)</x:v>
      </x:c>
      <x:c r="C173" s="15" t="str">
        <x:v>Monitoring - HPM (MCH)</x:v>
      </x:c>
      <x:c r="D173" s="19" t="n">
        <x:v>1</x:v>
      </x:c>
      <x:c r="E173" s="15" t="str">
        <x:v>ROI-Based Portfolio</x:v>
      </x:c>
      <x:c r="F173" s="15" t="str">
        <x:f>'Portfolio Model'!U319</x:f>
        <x:v>Funded</x:v>
      </x:c>
      <x:c r="G173" s="16" t="str">
        <x:v>Automatic</x:v>
      </x:c>
      <x:c r="H173" s="16" t="str"/>
      <x:c r="I173" s="15" t="str">
        <x:v>Bu!524</x:v>
      </x:c>
    </x:row>
    <x:row r="174">
      <x:c r="A174" s="15" t="str">
        <x:v>Bu-230</x:v>
      </x:c>
      <x:c r="B174" s="15" t="str">
        <x:v>NAM late customization improvements (100K)</x:v>
      </x:c>
      <x:c r="C174" s="15" t="str">
        <x:v>Monitoring - HPM (MCH)</x:v>
      </x:c>
      <x:c r="D174" s="19" t="n">
        <x:v>0.25</x:v>
      </x:c>
      <x:c r="E174" s="15" t="str">
        <x:v>ROI-Based Portfolio</x:v>
      </x:c>
      <x:c r="F174" s="15" t="str">
        <x:f>'Portfolio Model'!U320</x:f>
        <x:v>Funded</x:v>
      </x:c>
      <x:c r="G174" s="16" t="str">
        <x:v>Automatic</x:v>
      </x:c>
      <x:c r="H174" s="16" t="str"/>
      <x:c r="I174" s="15" t="str">
        <x:v>Bu!527</x:v>
      </x:c>
    </x:row>
    <x:row r="175">
      <x:c r="A175" s="15" t="str">
        <x:v>Bu-237</x:v>
      </x:c>
      <x:c r="B175" s="15" t="str">
        <x:v>3PP</x:v>
      </x:c>
      <x:c r="C175" s="15" t="str">
        <x:v>Monitoring - HPM (MCH)</x:v>
      </x:c>
      <x:c r="D175" s="19" t="n">
        <x:v>0.5</x:v>
      </x:c>
      <x:c r="E175" s="15" t="str">
        <x:v>ROI-Based Portfolio</x:v>
      </x:c>
      <x:c r="F175" s="15" t="str">
        <x:f>'Portfolio Model'!U321</x:f>
        <x:v>Funded</x:v>
      </x:c>
      <x:c r="G175" s="16" t="str">
        <x:v>Automatic</x:v>
      </x:c>
      <x:c r="H175" s="16" t="str"/>
      <x:c r="I175" s="15" t="str">
        <x:v>Bu!539</x:v>
      </x:c>
    </x:row>
    <x:row r="176">
      <x:c r="A176" s="15" t="str">
        <x:v>Bu-254</x:v>
      </x:c>
      <x:c r="B176" s="15" t="str">
        <x:v>Small Investments 2027</x:v>
      </x:c>
      <x:c r="C176" s="15" t="str">
        <x:v>Image Guided Therapy - Devices (IGT-D)</x:v>
      </x:c>
      <x:c r="D176" s="19" t="n">
        <x:v>0.15</x:v>
      </x:c>
      <x:c r="E176" s="15" t="str">
        <x:v>ROI-Based Portfolio</x:v>
      </x:c>
      <x:c r="F176" s="15" t="str">
        <x:f>'Portfolio Model'!U322</x:f>
        <x:v>Funded</x:v>
      </x:c>
      <x:c r="G176" s="16" t="str">
        <x:v>Automatic</x:v>
      </x:c>
      <x:c r="H176" s="16" t="str"/>
      <x:c r="I176" s="15" t="str">
        <x:v>Bu!562</x:v>
      </x:c>
    </x:row>
    <x:row r="177">
      <x:c r="A177" s="15" t="str">
        <x:v>Bu-73</x:v>
      </x:c>
      <x:c r="B177" s="15" t="str">
        <x:v>IR27#35 - Partner: Scale Impact with Agile Publishing</x:v>
      </x:c>
      <x:c r="C177" s="15" t="str">
        <x:v>International Regions (IR)</x:v>
      </x:c>
      <x:c r="D177" s="19" t="n">
        <x:v>0.05</x:v>
      </x:c>
      <x:c r="E177" s="15" t="str">
        <x:v>ROI-Based Portfolio</x:v>
      </x:c>
      <x:c r="F177" s="15" t="str">
        <x:f>'Portfolio Model'!U323</x:f>
        <x:v>Funded</x:v>
      </x:c>
      <x:c r="G177" s="16" t="str">
        <x:v>Automatic</x:v>
      </x:c>
      <x:c r="H177" s="16" t="str"/>
      <x:c r="I177" s="15" t="str">
        <x:v>Bu!179</x:v>
      </x:c>
    </x:row>
    <x:row r="178">
      <x:c r="A178" s="15" t="str">
        <x:v>Bu-71</x:v>
      </x:c>
      <x:c r="B178" s="15" t="str">
        <x:v>IR27#33 - Partner Data towards Commercial Action</x:v>
      </x:c>
      <x:c r="C178" s="15" t="str">
        <x:v>International Regions (IR)</x:v>
      </x:c>
      <x:c r="D178" s="19" t="n">
        <x:v>0.14</x:v>
      </x:c>
      <x:c r="E178" s="15" t="str">
        <x:v>ROI-Based Portfolio</x:v>
      </x:c>
      <x:c r="F178" s="15" t="str">
        <x:f>'Portfolio Model'!U324</x:f>
        <x:v>Funded</x:v>
      </x:c>
      <x:c r="G178" s="16" t="str">
        <x:v>Automatic</x:v>
      </x:c>
      <x:c r="H178" s="16" t="str"/>
      <x:c r="I178" s="15" t="str">
        <x:v>Bu!171</x:v>
      </x:c>
    </x:row>
    <x:row r="179">
      <x:c r="A179" s="15" t="str">
        <x:v>Bu-70</x:v>
      </x:c>
      <x:c r="B179" s="15" t="str">
        <x:v>IR27#32 - Partner Journeys to Drive Value Extraction</x:v>
      </x:c>
      <x:c r="C179" s="15" t="str">
        <x:v>International Regions (IR)</x:v>
      </x:c>
      <x:c r="D179" s="19" t="n">
        <x:v>0.27</x:v>
      </x:c>
      <x:c r="E179" s="15" t="str">
        <x:v>ROI-Based Portfolio</x:v>
      </x:c>
      <x:c r="F179" s="15" t="str">
        <x:f>'Portfolio Model'!U325</x:f>
        <x:v>Funded</x:v>
      </x:c>
      <x:c r="G179" s="16" t="str">
        <x:v>Automatic</x:v>
      </x:c>
      <x:c r="H179" s="16" t="str"/>
      <x:c r="I179" s="15" t="str">
        <x:v>Bu!167</x:v>
      </x:c>
    </x:row>
    <x:row r="180">
      <x:c r="A180" s="15" t="str">
        <x:v>Bu-127</x:v>
      </x:c>
      <x:c r="B180" s="15" t="str">
        <x:v>Probe Repair</x:v>
      </x:c>
      <x:c r="C180" s="15" t="str">
        <x:v>Precision Diagnosis - Ultrasound (PDU)</x:v>
      </x:c>
      <x:c r="D180" s="19" t="n">
        <x:v>0.25</x:v>
      </x:c>
      <x:c r="E180" s="15" t="str">
        <x:v>ROI-Based Portfolio</x:v>
      </x:c>
      <x:c r="F180" s="15" t="str">
        <x:f>'Portfolio Model'!U326</x:f>
        <x:v>Funded</x:v>
      </x:c>
      <x:c r="G180" s="16" t="str">
        <x:v>Automatic</x:v>
      </x:c>
      <x:c r="H180" s="16" t="str"/>
      <x:c r="I180" s="15" t="str">
        <x:v>Bu!304</x:v>
      </x:c>
    </x:row>
    <x:row r="181">
      <x:c r="A181" s="15" t="str">
        <x:v>Bu-114</x:v>
      </x:c>
      <x:c r="B181" s="15" t="str">
        <x:v>Project Keystone 2027</x:v>
      </x:c>
      <x:c r="C181" s="15" t="str">
        <x:v>Sleep &amp; Respiratory Care (SRC)</x:v>
      </x:c>
      <x:c r="D181" s="19" t="n">
        <x:v>0.6</x:v>
      </x:c>
      <x:c r="E181" s="15" t="str">
        <x:v>ROI-Based Portfolio</x:v>
      </x:c>
      <x:c r="F181" s="15" t="str">
        <x:f>'Portfolio Model'!U327</x:f>
        <x:v>Funded</x:v>
      </x:c>
      <x:c r="G181" s="16" t="str">
        <x:v>Automatic</x:v>
      </x:c>
      <x:c r="H181" s="16" t="str"/>
      <x:c r="I181" s="15" t="str">
        <x:v>Bu!275</x:v>
      </x:c>
    </x:row>
    <x:row r="182">
      <x:c r="A182" s="15" t="str">
        <x:v>Bu-113</x:v>
      </x:c>
      <x:c r="B182" s="15" t="str">
        <x:v>Sales &amp; Marketing Transformation 2027</x:v>
      </x:c>
      <x:c r="C182" s="15" t="str">
        <x:v>Sleep &amp; Respiratory Care (SRC)</x:v>
      </x:c>
      <x:c r="D182" s="19" t="n">
        <x:v>0.501</x:v>
      </x:c>
      <x:c r="E182" s="15" t="str">
        <x:v>ROI-Based Portfolio</x:v>
      </x:c>
      <x:c r="F182" s="15" t="str">
        <x:f>'Portfolio Model'!U328</x:f>
        <x:v>Funded</x:v>
      </x:c>
      <x:c r="G182" s="16" t="str">
        <x:v>Automatic</x:v>
      </x:c>
      <x:c r="H182" s="16" t="str"/>
      <x:c r="I182" s="15" t="str">
        <x:v>Bu!265</x:v>
      </x:c>
    </x:row>
    <x:row r="183">
      <x:c r="A183" s="15" t="str">
        <x:v>Bu-03</x:v>
      </x:c>
      <x:c r="B183" s="15" t="str">
        <x:v>Service CLV (TechMax Enablement and eZCQ workflow with EMO integration, Rmeote Software Distribution Workflow), Complete NPSC requested by Service ISC</x:v>
      </x:c>
      <x:c r="C183" s="15" t="str">
        <x:v>Greater China (GRC)</x:v>
      </x:c>
      <x:c r="D183" s="19" t="n">
        <x:v>0.4</x:v>
      </x:c>
      <x:c r="E183" s="15" t="str">
        <x:v>ROI-Based Portfolio</x:v>
      </x:c>
      <x:c r="F183" s="15" t="str">
        <x:f>'Portfolio Model'!U329</x:f>
        <x:v>Funded</x:v>
      </x:c>
      <x:c r="G183" s="16" t="str">
        <x:v>Automatic</x:v>
      </x:c>
      <x:c r="H183" s="16" t="str"/>
      <x:c r="I183" s="15" t="str">
        <x:v>Bu!7</x:v>
      </x:c>
    </x:row>
    <x:row r="184">
      <x:c r="A184" s="15" t="str">
        <x:v>Bu-111</x:v>
      </x:c>
      <x:c r="B184" s="15" t="str">
        <x:v>Project Nexus 2027</x:v>
      </x:c>
      <x:c r="C184" s="15" t="str">
        <x:v>Sleep &amp; Respiratory Care (SRC)</x:v>
      </x:c>
      <x:c r="D184" s="19" t="n">
        <x:v>0.534</x:v>
      </x:c>
      <x:c r="E184" s="15" t="str">
        <x:v>ROI-Based Portfolio</x:v>
      </x:c>
      <x:c r="F184" s="15" t="str">
        <x:f>'Portfolio Model'!U330</x:f>
        <x:v>Funded</x:v>
      </x:c>
      <x:c r="G184" s="16" t="str">
        <x:v>Automatic</x:v>
      </x:c>
      <x:c r="H184" s="16" t="str"/>
      <x:c r="I184" s="15" t="str">
        <x:v>Bu!258</x:v>
      </x:c>
    </x:row>
    <x:row r="185">
      <x:c r="A185" s="15" t="str">
        <x:v>Bu-112</x:v>
      </x:c>
      <x:c r="B185" s="15" t="str">
        <x:v>ISC and CS Transformation 2027</x:v>
      </x:c>
      <x:c r="C185" s="15" t="str">
        <x:v>Sleep &amp; Respiratory Care (SRC)</x:v>
      </x:c>
      <x:c r="D185" s="19" t="n">
        <x:v>0.513</x:v>
      </x:c>
      <x:c r="E185" s="15" t="str">
        <x:v>ROI-Based Portfolio</x:v>
      </x:c>
      <x:c r="F185" s="15" t="str">
        <x:f>'Portfolio Model'!U332</x:f>
        <x:v>Funded</x:v>
      </x:c>
      <x:c r="G185" s="16" t="str">
        <x:v>Automatic</x:v>
      </x:c>
      <x:c r="H185" s="16" t="str"/>
      <x:c r="I185" s="15" t="str">
        <x:v>Bu!262</x:v>
      </x:c>
    </x:row>
    <x:row r="186">
      <x:c r="A186" s="15" t="str">
        <x:v>Bu-110</x:v>
      </x:c>
      <x:c r="B186" s="15" t="str">
        <x:v>Commercial Transformation 2027</x:v>
      </x:c>
      <x:c r="C186" s="15" t="str">
        <x:v>Sleep &amp; Respiratory Care (SRC)</x:v>
      </x:c>
      <x:c r="D186" s="19" t="n">
        <x:v>0.502</x:v>
      </x:c>
      <x:c r="E186" s="15" t="str">
        <x:v>ROI-Based Portfolio</x:v>
      </x:c>
      <x:c r="F186" s="15" t="str">
        <x:f>'Portfolio Model'!U336</x:f>
        <x:v>Funded</x:v>
      </x:c>
      <x:c r="G186" s="16" t="str">
        <x:v>Automatic</x:v>
      </x:c>
      <x:c r="H186" s="16" t="str"/>
      <x:c r="I186" s="15" t="str">
        <x:v>Bu!251</x:v>
      </x:c>
    </x:row>
    <x:row r="187">
      <x:c r="A187" s="15" t="str">
        <x:v>Bu-334</x:v>
      </x:c>
      <x:c r="B187" s="15" t="str">
        <x:v>Logistics &amp; freight cost transparency (lane / mode / carrier level)</x:v>
      </x:c>
      <x:c r="C187" s="15" t="str">
        <x:v>Precision Diagnosis - Magnetic Resonance (MR)</x:v>
      </x:c>
      <x:c r="D187" s="19" t="n">
        <x:v>0.3</x:v>
      </x:c>
      <x:c r="E187" s="15" t="str">
        <x:v>ROI-Based Portfolio</x:v>
      </x:c>
      <x:c r="F187" s="15" t="str">
        <x:f>'Portfolio Model'!U346</x:f>
        <x:v>Funded</x:v>
      </x:c>
      <x:c r="G187" s="16" t="str">
        <x:v>Automatic</x:v>
      </x:c>
      <x:c r="H187" s="16" t="str"/>
      <x:c r="I187" s="15" t="str">
        <x:v>Bu!671</x:v>
      </x:c>
    </x:row>
    <x:row r="188">
      <x:c r="A188" s="15" t="str">
        <x:v>Bu-335</x:v>
      </x:c>
      <x:c r="B188" s="15" t="str">
        <x:v>MCoS cost transparency at quotation (service material cost visibility)</x:v>
      </x:c>
      <x:c r="C188" s="15" t="str">
        <x:v>Precision Diagnosis - Magnetic Resonance (MR)</x:v>
      </x:c>
      <x:c r="D188" s="19" t="n">
        <x:v>0.2</x:v>
      </x:c>
      <x:c r="E188" s="15" t="str">
        <x:v>ROI-Based Portfolio</x:v>
      </x:c>
      <x:c r="F188" s="15" t="str">
        <x:f>'Portfolio Model'!U347</x:f>
        <x:v>Funded</x:v>
      </x:c>
      <x:c r="G188" s="16" t="str">
        <x:v>Automatic</x:v>
      </x:c>
      <x:c r="H188" s="16" t="str"/>
      <x:c r="I188" s="15" t="str">
        <x:v>Bu!672</x:v>
      </x:c>
    </x:row>
    <x:row r="189">
      <x:c r="A189" s="15" t="str">
        <x:v>Bu-333</x:v>
      </x:c>
      <x:c r="B189" s="15" t="str">
        <x:v>ISC connection &amp; cost visibility from SPS</x:v>
      </x:c>
      <x:c r="C189" s="15" t="str">
        <x:v>Precision Diagnosis - Magnetic Resonance (MR)</x:v>
      </x:c>
      <x:c r="D189" s="19" t="n">
        <x:v>0.4</x:v>
      </x:c>
      <x:c r="E189" s="15" t="str">
        <x:v>ROI-Based Portfolio</x:v>
      </x:c>
      <x:c r="F189" s="15" t="str">
        <x:f>'Portfolio Model'!U348</x:f>
        <x:v>Funded</x:v>
      </x:c>
      <x:c r="G189" s="16" t="str">
        <x:v>Automatic</x:v>
      </x:c>
      <x:c r="H189" s="16" t="str"/>
      <x:c r="I189" s="15" t="str">
        <x:v>Bu!670</x:v>
      </x:c>
    </x:row>
    <x:row r="190">
      <x:c r="A190" s="15" t="str">
        <x:v>Bu-337</x:v>
      </x:c>
      <x:c r="B190" s="15" t="str">
        <x:v>PD AI Use Case Factory (Hackathon Continuation Fund)</x:v>
      </x:c>
      <x:c r="C190" s="15" t="str">
        <x:v>Precision Diagnosis - Magnetic Resonance (MR)</x:v>
      </x:c>
      <x:c r="D190" s="19" t="n">
        <x:v>0.1</x:v>
      </x:c>
      <x:c r="E190" s="15" t="str">
        <x:v>ROI-Based Portfolio</x:v>
      </x:c>
      <x:c r="F190" s="15" t="str">
        <x:f>'Portfolio Model'!U349</x:f>
        <x:v>Funded</x:v>
      </x:c>
      <x:c r="G190" s="16" t="str">
        <x:v>Automatic</x:v>
      </x:c>
      <x:c r="H190" s="16" t="str"/>
      <x:c r="I190" s="15" t="str">
        <x:v>Bu!674</x:v>
      </x:c>
    </x:row>
    <x:row r="191">
      <x:c r="A191" s="15" t="str">
        <x:v>Bu-137</x:v>
      </x:c>
      <x:c r="B191" s="15" t="str">
        <x:v>Innovation Excellence Team - R&amp;D Support</x:v>
      </x:c>
      <x:c r="C191" s="15" t="str">
        <x:v>Enterprise Informatics (EI)</x:v>
      </x:c>
      <x:c r="D191" s="19" t="n">
        <x:v>0.6</x:v>
      </x:c>
      <x:c r="E191" s="15" t="str">
        <x:v>ROI-Based Portfolio</x:v>
      </x:c>
      <x:c r="F191" s="15" t="str">
        <x:f>'Portfolio Model'!U350</x:f>
        <x:v>Funded</x:v>
      </x:c>
      <x:c r="G191" s="16" t="str">
        <x:v>Automatic</x:v>
      </x:c>
      <x:c r="H191" s="16" t="str"/>
      <x:c r="I191" s="15" t="str">
        <x:v>Bu!332</x:v>
      </x:c>
    </x:row>
    <x:row r="192">
      <x:c r="A192" s="15" t="str">
        <x:v>Bu-244</x:v>
      </x:c>
      <x:c r="B192" s="15" t="str">
        <x:v>ORU split to separate Manufactruing to Entrepner activities</x:v>
      </x:c>
      <x:c r="C192" s="15" t="str">
        <x:v>Precision Diagnosis - Digital X-ray Radiogrammetry (DXR)</x:v>
      </x:c>
      <x:c r="D192" s="19" t="n">
        <x:v>0.9</x:v>
      </x:c>
      <x:c r="E192" s="15" t="str">
        <x:v>ROI-Based Portfolio</x:v>
      </x:c>
      <x:c r="F192" s="15" t="str">
        <x:f>'Portfolio Model'!U354</x:f>
        <x:v>Funded</x:v>
      </x:c>
      <x:c r="G192" s="16" t="str">
        <x:v>Automatic</x:v>
      </x:c>
      <x:c r="H192" s="16" t="str"/>
      <x:c r="I192" s="15" t="str">
        <x:v>Bu!552</x:v>
      </x:c>
    </x:row>
    <x:row r="193">
      <x:c r="A193" s="15" t="str">
        <x:v>Bu-138</x:v>
      </x:c>
      <x:c r="B193" s="15" t="str">
        <x:v>Data &amp; Analytics Program</x:v>
      </x:c>
      <x:c r="C193" s="15" t="str">
        <x:v>Enterprise Informatics (EI)</x:v>
      </x:c>
      <x:c r="D193" s="19" t="n">
        <x:v>0.95</x:v>
      </x:c>
      <x:c r="E193" s="15" t="str">
        <x:v>ROI-Based Portfolio</x:v>
      </x:c>
      <x:c r="F193" s="15" t="str">
        <x:f>'Portfolio Model'!U355</x:f>
        <x:v>Funded</x:v>
      </x:c>
      <x:c r="G193" s="16" t="str">
        <x:v>Automatic</x:v>
      </x:c>
      <x:c r="H193" s="16" t="str"/>
      <x:c r="I193" s="15" t="str">
        <x:v>Bu!335</x:v>
      </x:c>
    </x:row>
    <x:row r="194">
      <x:c r="A194" s="15" t="str">
        <x:v>Bu-90</x:v>
      </x:c>
      <x:c r="B194" s="15" t="str">
        <x:v>SRC PPL Tree</x:v>
      </x:c>
      <x:c r="C194" s="15" t="str">
        <x:v>Sleep &amp; Respiratory Care (SRC)</x:v>
      </x:c>
      <x:c r="D194" s="19" t="n">
        <x:v>0</x:v>
      </x:c>
      <x:c r="E194" s="15" t="str">
        <x:v>ROI-Based Portfolio</x:v>
      </x:c>
      <x:c r="F194" s="15" t="str">
        <x:f>'Portfolio Model'!U359</x:f>
        <x:v>Evidence missing / not eligible</x:v>
      </x:c>
      <x:c r="G194" s="16" t="str">
        <x:v>Automatic</x:v>
      </x:c>
      <x:c r="H194" s="16" t="str"/>
      <x:c r="I194" s="15" t="str">
        <x:v>Bu!230</x:v>
      </x:c>
    </x:row>
    <x:row r="195">
      <x:c r="A195" s="15" t="str">
        <x:v>Bu-91</x:v>
      </x:c>
      <x:c r="B195" s="15" t="str">
        <x:v>SRC Integrated Portal</x:v>
      </x:c>
      <x:c r="C195" s="15" t="str">
        <x:v>Sleep &amp; Respiratory Care (SRC)</x:v>
      </x:c>
      <x:c r="D195" s="19" t="n">
        <x:v>0</x:v>
      </x:c>
      <x:c r="E195" s="15" t="str">
        <x:v>ROI-Based Portfolio</x:v>
      </x:c>
      <x:c r="F195" s="15" t="str">
        <x:f>'Portfolio Model'!U360</x:f>
        <x:v>Evidence missing / not eligible</x:v>
      </x:c>
      <x:c r="G195" s="16" t="str">
        <x:v>Automatic</x:v>
      </x:c>
      <x:c r="H195" s="16" t="str"/>
      <x:c r="I195" s="15" t="str">
        <x:v>Bu!231</x:v>
      </x:c>
    </x:row>
    <x:row r="196">
      <x:c r="A196" s="15" t="str">
        <x:v>Bu-92</x:v>
      </x:c>
      <x:c r="B196" s="15" t="str">
        <x:v>Website - New Functionality</x:v>
      </x:c>
      <x:c r="C196" s="15" t="str">
        <x:v>Sleep &amp; Respiratory Care (SRC)</x:v>
      </x:c>
      <x:c r="D196" s="19" t="n">
        <x:v>0</x:v>
      </x:c>
      <x:c r="E196" s="15" t="str">
        <x:v>ROI-Based Portfolio</x:v>
      </x:c>
      <x:c r="F196" s="15" t="str">
        <x:f>'Portfolio Model'!U361</x:f>
        <x:v>Evidence missing / not eligible</x:v>
      </x:c>
      <x:c r="G196" s="16" t="str">
        <x:v>Automatic</x:v>
      </x:c>
      <x:c r="H196" s="16" t="str"/>
      <x:c r="I196" s="15" t="str">
        <x:v>Bu!232</x:v>
      </x:c>
    </x:row>
    <x:row r="197">
      <x:c r="A197" s="15" t="str">
        <x:v>Bu-94</x:v>
      </x:c>
      <x:c r="B197" s="15" t="str">
        <x:v>Content Syndication - SRC</x:v>
      </x:c>
      <x:c r="C197" s="15" t="str">
        <x:v>Sleep &amp; Respiratory Care (SRC)</x:v>
      </x:c>
      <x:c r="D197" s="19" t="n">
        <x:v>0.15</x:v>
      </x:c>
      <x:c r="E197" s="15" t="str">
        <x:v>ROI-Based Portfolio</x:v>
      </x:c>
      <x:c r="F197" s="15" t="str">
        <x:f>'Portfolio Model'!U362</x:f>
        <x:v>Evidence missing / not eligible</x:v>
      </x:c>
      <x:c r="G197" s="16" t="str">
        <x:v>Automatic</x:v>
      </x:c>
      <x:c r="H197" s="16" t="str"/>
      <x:c r="I197" s="15" t="str">
        <x:v>Bu!234</x:v>
      </x:c>
    </x:row>
    <x:row r="198">
      <x:c r="A198" s="15" t="str">
        <x:v>Bu-95</x:v>
      </x:c>
      <x:c r="B198" s="15" t="str">
        <x:v>Supply Planning and Demand Planning (BY)</x:v>
      </x:c>
      <x:c r="C198" s="15" t="str">
        <x:v>Sleep &amp; Respiratory Care (SRC)</x:v>
      </x:c>
      <x:c r="D198" s="19" t="n">
        <x:v>0</x:v>
      </x:c>
      <x:c r="E198" s="15" t="str">
        <x:v>ROI-Based Portfolio</x:v>
      </x:c>
      <x:c r="F198" s="15" t="str">
        <x:f>'Portfolio Model'!U363</x:f>
        <x:v>Evidence missing / not eligible</x:v>
      </x:c>
      <x:c r="G198" s="16" t="str">
        <x:v>Automatic</x:v>
      </x:c>
      <x:c r="H198" s="16" t="str"/>
      <x:c r="I198" s="15" t="str">
        <x:v>Bu!235</x:v>
      </x:c>
    </x:row>
    <x:row r="199">
      <x:c r="A199" s="15" t="str">
        <x:v>Bu-100</x:v>
      </x:c>
      <x:c r="B199" s="15" t="str">
        <x:v>ATP Changes</x:v>
      </x:c>
      <x:c r="C199" s="15" t="str">
        <x:v>Sleep &amp; Respiratory Care (SRC)</x:v>
      </x:c>
      <x:c r="D199" s="19" t="n">
        <x:v>0</x:v>
      </x:c>
      <x:c r="E199" s="15" t="str">
        <x:v>ROI-Based Portfolio</x:v>
      </x:c>
      <x:c r="F199" s="15" t="str">
        <x:f>'Portfolio Model'!U364</x:f>
        <x:v>Evidence missing / not eligible</x:v>
      </x:c>
      <x:c r="G199" s="16" t="str">
        <x:v>Automatic</x:v>
      </x:c>
      <x:c r="H199" s="16" t="str"/>
      <x:c r="I199" s="15" t="str">
        <x:v>Bu!241</x:v>
      </x:c>
    </x:row>
    <x:row r="200">
      <x:c r="A200" s="15" t="str">
        <x:v>Bu-102</x:v>
      </x:c>
      <x:c r="B200" s="15" t="str">
        <x:v>CRM (MSD) Phase 2</x:v>
      </x:c>
      <x:c r="C200" s="15" t="str">
        <x:v>Sleep &amp; Respiratory Care (SRC)</x:v>
      </x:c>
      <x:c r="D200" s="19" t="n">
        <x:v>0</x:v>
      </x:c>
      <x:c r="E200" s="15" t="str">
        <x:v>ROI-Based Portfolio</x:v>
      </x:c>
      <x:c r="F200" s="15" t="str">
        <x:f>'Portfolio Model'!U365</x:f>
        <x:v>Evidence missing / not eligible</x:v>
      </x:c>
      <x:c r="G200" s="16" t="str">
        <x:v>Automatic</x:v>
      </x:c>
      <x:c r="H200" s="16" t="str"/>
      <x:c r="I200" s="15" t="str">
        <x:v>Bu!243</x:v>
      </x:c>
    </x:row>
    <x:row r="201">
      <x:c r="A201" s="15" t="str">
        <x:v>Bu-104</x:v>
      </x:c>
      <x:c r="B201" s="15" t="str">
        <x:v>Windchil C&amp;CM</x:v>
      </x:c>
      <x:c r="C201" s="15" t="str">
        <x:v>Sleep &amp; Respiratory Care (SRC)</x:v>
      </x:c>
      <x:c r="D201" s="19" t="n">
        <x:v>1.655</x:v>
      </x:c>
      <x:c r="E201" s="15" t="str">
        <x:v>ROI-Based Portfolio</x:v>
      </x:c>
      <x:c r="F201" s="15" t="str">
        <x:f>'Portfolio Model'!U366</x:f>
        <x:v>Evidence missing / not eligible</x:v>
      </x:c>
      <x:c r="G201" s="16" t="str">
        <x:v>Automatic</x:v>
      </x:c>
      <x:c r="H201" s="16" t="str"/>
      <x:c r="I201" s="15" t="str">
        <x:v>Bu!245</x:v>
      </x:c>
    </x:row>
    <x:row r="202">
      <x:c r="A202" s="15" t="str">
        <x:v>Bu-107</x:v>
      </x:c>
      <x:c r="B202" s="15" t="str">
        <x:v>Catalogue Phase 2</x:v>
      </x:c>
      <x:c r="C202" s="15" t="str">
        <x:v>Sleep &amp; Respiratory Care (SRC)</x:v>
      </x:c>
      <x:c r="D202" s="19" t="n">
        <x:v>0</x:v>
      </x:c>
      <x:c r="E202" s="15" t="str">
        <x:v>ROI-Based Portfolio</x:v>
      </x:c>
      <x:c r="F202" s="15" t="str">
        <x:f>'Portfolio Model'!U367</x:f>
        <x:v>Evidence missing / not eligible</x:v>
      </x:c>
      <x:c r="G202" s="16" t="str">
        <x:v>Automatic</x:v>
      </x:c>
      <x:c r="H202" s="16" t="str"/>
      <x:c r="I202" s="15" t="str">
        <x:v>Bu!248</x:v>
      </x:c>
    </x:row>
    <x:row r="203">
      <x:c r="A203" s="15" t="str">
        <x:v>Bu-109</x:v>
      </x:c>
      <x:c r="B203" s="15" t="str">
        <x:v>SAP changes CD related</x:v>
      </x:c>
      <x:c r="C203" s="15" t="str">
        <x:v>Sleep &amp; Respiratory Care (SRC)</x:v>
      </x:c>
      <x:c r="D203" s="19" t="n">
        <x:v>0.3</x:v>
      </x:c>
      <x:c r="E203" s="15" t="str">
        <x:v>ROI-Based Portfolio</x:v>
      </x:c>
      <x:c r="F203" s="15" t="str">
        <x:f>'Portfolio Model'!U368</x:f>
        <x:v>Evidence missing / not eligible</x:v>
      </x:c>
      <x:c r="G203" s="16" t="str">
        <x:v>Automatic</x:v>
      </x:c>
      <x:c r="H203" s="16" t="str"/>
      <x:c r="I203" s="15" t="str">
        <x:v>Bu!250</x:v>
      </x:c>
    </x:row>
    <x:row r="204">
      <x:c r="A204" s="15" t="str">
        <x:v>Bu-116</x:v>
      </x:c>
      <x:c r="B204" s="15" t="str">
        <x:v>SRC Uno Analytics</x:v>
      </x:c>
      <x:c r="C204" s="15" t="str">
        <x:v>Sleep &amp; Respiratory Care (SRC)</x:v>
      </x:c>
      <x:c r="D204" s="19" t="n">
        <x:v>0.08</x:v>
      </x:c>
      <x:c r="E204" s="15" t="str">
        <x:v>ROI-Based Portfolio</x:v>
      </x:c>
      <x:c r="F204" s="15" t="str">
        <x:f>'Portfolio Model'!U369</x:f>
        <x:v>Evidence missing / not eligible</x:v>
      </x:c>
      <x:c r="G204" s="16" t="str">
        <x:v>Automatic</x:v>
      </x:c>
      <x:c r="H204" s="16" t="str"/>
      <x:c r="I204" s="15" t="str">
        <x:v>Bu!291</x:v>
      </x:c>
    </x:row>
    <x:row r="205">
      <x:c r="A205" s="15" t="str">
        <x:v>Bu-117</x:v>
      </x:c>
      <x:c r="B205" s="15" t="str">
        <x:v>SRC Uno Data Lake</x:v>
      </x:c>
      <x:c r="C205" s="15" t="str">
        <x:v>Sleep &amp; Respiratory Care (SRC)</x:v>
      </x:c>
      <x:c r="D205" s="19" t="n">
        <x:v>0.13</x:v>
      </x:c>
      <x:c r="E205" s="15" t="str">
        <x:v>ROI-Based Portfolio</x:v>
      </x:c>
      <x:c r="F205" s="15" t="str">
        <x:f>'Portfolio Model'!U370</x:f>
        <x:v>Evidence missing / not eligible</x:v>
      </x:c>
      <x:c r="G205" s="16" t="str">
        <x:v>Automatic</x:v>
      </x:c>
      <x:c r="H205" s="16" t="str"/>
      <x:c r="I205" s="15" t="str">
        <x:v>Bu!292</x:v>
      </x:c>
    </x:row>
    <x:row r="206">
      <x:c r="A206" s="15" t="str">
        <x:v>Bu-129</x:v>
      </x:c>
      <x:c r="B206" s="15" t="str">
        <x:v>Ultrasound Data &amp; AI</x:v>
      </x:c>
      <x:c r="C206" s="15" t="str">
        <x:v>Precision Diagnosis - Ultrasound (PDU)</x:v>
      </x:c>
      <x:c r="D206" s="19" t="n">
        <x:v>0.3</x:v>
      </x:c>
      <x:c r="E206" s="15" t="str">
        <x:v>ROI-Based Portfolio</x:v>
      </x:c>
      <x:c r="F206" s="15" t="str">
        <x:f>'Portfolio Model'!U371</x:f>
        <x:v>Evidence missing / not eligible</x:v>
      </x:c>
      <x:c r="G206" s="16" t="str">
        <x:v>Automatic</x:v>
      </x:c>
      <x:c r="H206" s="16" t="str"/>
      <x:c r="I206" s="15" t="str">
        <x:v>Bu!313</x:v>
      </x:c>
    </x:row>
    <x:row r="207">
      <x:c r="A207" s="15" t="str">
        <x:v>Bu-215</x:v>
      </x:c>
      <x:c r="B207" s="15" t="str">
        <x:v>eDMR ready for CSRD</x:v>
      </x:c>
      <x:c r="C207" s="15" t="str">
        <x:v>Monitoring - HPM (MCH)</x:v>
      </x:c>
      <x:c r="D207" s="19" t="n">
        <x:v>0.2</x:v>
      </x:c>
      <x:c r="E207" s="15" t="str">
        <x:v>ROI-Based Portfolio</x:v>
      </x:c>
      <x:c r="F207" s="15" t="str">
        <x:f>'Portfolio Model'!U372</x:f>
        <x:v>Evidence missing / not eligible</x:v>
      </x:c>
      <x:c r="G207" s="16" t="str">
        <x:v>Automatic</x:v>
      </x:c>
      <x:c r="H207" s="16" t="str"/>
      <x:c r="I207" s="15" t="str">
        <x:v>Bu!508</x:v>
      </x:c>
    </x:row>
    <x:row r="208">
      <x:c r="A208" s="15" t="str">
        <x:v>Bu-218</x:v>
      </x:c>
      <x:c r="B208" s="15" t="str">
        <x:v>Digital Delivery - Print on Demand for OEM</x:v>
      </x:c>
      <x:c r="C208" s="15" t="str">
        <x:v>Monitoring - HPM (MCH)</x:v>
      </x:c>
      <x:c r="D208" s="19" t="n">
        <x:v>0.3</x:v>
      </x:c>
      <x:c r="E208" s="15" t="str">
        <x:v>ROI-Based Portfolio</x:v>
      </x:c>
      <x:c r="F208" s="15" t="str">
        <x:f>'Portfolio Model'!U373</x:f>
        <x:v>Evidence missing / not eligible</x:v>
      </x:c>
      <x:c r="G208" s="16" t="str">
        <x:v>Automatic</x:v>
      </x:c>
      <x:c r="H208" s="16" t="str"/>
      <x:c r="I208" s="15" t="str">
        <x:v>Bu!511</x:v>
      </x:c>
    </x:row>
    <x:row r="209">
      <x:c r="A209" s="15" t="str">
        <x:v>Bu-221</x:v>
      </x:c>
      <x:c r="B209" s="15" t="str">
        <x:v>Cross business value proposition enablement - (e.g.CCS Stage 2)</x:v>
      </x:c>
      <x:c r="C209" s="15" t="str">
        <x:v>Monitoring - HPM (MCH)</x:v>
      </x:c>
      <x:c r="D209" s="19" t="n">
        <x:v>0.25</x:v>
      </x:c>
      <x:c r="E209" s="15" t="str">
        <x:v>ROI-Based Portfolio</x:v>
      </x:c>
      <x:c r="F209" s="15" t="str">
        <x:f>'Portfolio Model'!U374</x:f>
        <x:v>Evidence missing / not eligible</x:v>
      </x:c>
      <x:c r="G209" s="16" t="str">
        <x:v>Automatic</x:v>
      </x:c>
      <x:c r="H209" s="16" t="str"/>
      <x:c r="I209" s="15" t="str">
        <x:v>Bu!514</x:v>
      </x:c>
    </x:row>
    <x:row r="210">
      <x:c r="A210" s="15" t="str">
        <x:v>Bu-222</x:v>
      </x:c>
      <x:c r="B210" s="15" t="str">
        <x:v>Mediana - low end monitoring via OEM (South Korea) (200K)</x:v>
      </x:c>
      <x:c r="C210" s="15" t="str">
        <x:v>Monitoring - HPM (MCH)</x:v>
      </x:c>
      <x:c r="D210" s="19" t="n">
        <x:v>0.46</x:v>
      </x:c>
      <x:c r="E210" s="15" t="str">
        <x:v>ROI-Based Portfolio</x:v>
      </x:c>
      <x:c r="F210" s="15" t="str">
        <x:f>'Portfolio Model'!U375</x:f>
        <x:v>Evidence missing / not eligible</x:v>
      </x:c>
      <x:c r="G210" s="16" t="str">
        <x:v>Automatic</x:v>
      </x:c>
      <x:c r="H210" s="16" t="str"/>
      <x:c r="I210" s="15" t="str">
        <x:v>Bu!515</x:v>
      </x:c>
    </x:row>
    <x:row r="211">
      <x:c r="A211" s="15" t="str">
        <x:v>Bu-224</x:v>
      </x:c>
      <x:c r="B211" s="15" t="str">
        <x:v>SaaS capabilities (incl.Lifecycle mgmt for contracts )</x:v>
      </x:c>
      <x:c r="C211" s="15" t="str">
        <x:v>Monitoring - HPM (MCH)</x:v>
      </x:c>
      <x:c r="D211" s="19" t="n">
        <x:v>1.1</x:v>
      </x:c>
      <x:c r="E211" s="15" t="str">
        <x:v>ROI-Based Portfolio</x:v>
      </x:c>
      <x:c r="F211" s="15" t="str">
        <x:f>'Portfolio Model'!U376</x:f>
        <x:v>Evidence missing / not eligible</x:v>
      </x:c>
      <x:c r="G211" s="16" t="str">
        <x:v>Automatic</x:v>
      </x:c>
      <x:c r="H211" s="16" t="str"/>
      <x:c r="I211" s="15" t="str">
        <x:v>Bu!519</x:v>
      </x:c>
    </x:row>
    <x:row r="212">
      <x:c r="A212" s="15" t="str">
        <x:v>Bu-225</x:v>
      </x:c>
      <x:c r="B212" s="15" t="str">
        <x:v>Bangalore Test Lab extension</x:v>
      </x:c>
      <x:c r="C212" s="15" t="str">
        <x:v>Monitoring - HPM (MCH)</x:v>
      </x:c>
      <x:c r="D212" s="19" t="n">
        <x:v>0.5</x:v>
      </x:c>
      <x:c r="E212" s="15" t="str">
        <x:v>ROI-Based Portfolio</x:v>
      </x:c>
      <x:c r="F212" s="15" t="str">
        <x:f>'Portfolio Model'!U377</x:f>
        <x:v>Evidence missing / not eligible</x:v>
      </x:c>
      <x:c r="G212" s="16" t="str">
        <x:v>Automatic</x:v>
      </x:c>
      <x:c r="H212" s="16" t="str"/>
      <x:c r="I212" s="15" t="str">
        <x:v>Bu!520</x:v>
      </x:c>
    </x:row>
    <x:row r="213">
      <x:c r="A213" s="15" t="str">
        <x:v>Bu-132</x:v>
      </x:c>
      <x:c r="B213" s="15" t="str">
        <x:v>Install Base : Commercial Install-Base Intelligence</x:v>
      </x:c>
      <x:c r="C213" s="15" t="str">
        <x:v>Enterprise Informatics (EI)</x:v>
      </x:c>
      <x:c r="D213" s="19" t="n">
        <x:v>0.6</x:v>
      </x:c>
      <x:c r="E213" s="15" t="str">
        <x:v>ROI-Based Portfolio</x:v>
      </x:c>
      <x:c r="F213" s="15" t="str">
        <x:f>'Portfolio Model'!U384</x:f>
        <x:v>Evidence missing / not eligible</x:v>
      </x:c>
      <x:c r="G213" s="16" t="str">
        <x:v>Automatic</x:v>
      </x:c>
      <x:c r="H213" s="16" t="str"/>
      <x:c r="I213" s="15" t="str">
        <x:v>Bu!322</x:v>
      </x:c>
    </x:row>
    <x:row r="214">
      <x:c r="A214" s="15" t="str">
        <x:v>Bu-134</x:v>
      </x:c>
      <x:c r="B214" s="15" t="str">
        <x:v>Install Base : Technical foundation</x:v>
      </x:c>
      <x:c r="C214" s="15" t="str">
        <x:v>Enterprise Informatics (EI)</x:v>
      </x:c>
      <x:c r="D214" s="19" t="n">
        <x:v>0.3</x:v>
      </x:c>
      <x:c r="E214" s="15" t="str">
        <x:v>ROI-Based Portfolio</x:v>
      </x:c>
      <x:c r="F214" s="15" t="str">
        <x:f>'Portfolio Model'!U385</x:f>
        <x:v>Evidence missing / not eligible</x:v>
      </x:c>
      <x:c r="G214" s="16" t="str">
        <x:v>Automatic</x:v>
      </x:c>
      <x:c r="H214" s="16" t="str"/>
      <x:c r="I214" s="15" t="str">
        <x:v>Bu!325</x:v>
      </x:c>
    </x:row>
    <x:row r="215">
      <x:c r="A215" s="15" t="str">
        <x:v>Bu-142</x:v>
      </x:c>
      <x:c r="B215" s="15" t="str">
        <x:v>Service Now : Proactive Service Operations &amp; Digital Self-Service at the Edge</x:v>
      </x:c>
      <x:c r="C215" s="15" t="str">
        <x:v>Enterprise Informatics (EI)</x:v>
      </x:c>
      <x:c r="D215" s="19" t="n">
        <x:v>0.8</x:v>
      </x:c>
      <x:c r="E215" s="15" t="str">
        <x:v>ROI-Based Portfolio</x:v>
      </x:c>
      <x:c r="F215" s="15" t="str">
        <x:f>'Portfolio Model'!U386</x:f>
        <x:v>Evidence missing / not eligible</x:v>
      </x:c>
      <x:c r="G215" s="16" t="str">
        <x:v>Automatic</x:v>
      </x:c>
      <x:c r="H215" s="16" t="str"/>
      <x:c r="I215" s="15" t="str">
        <x:v>Bu!339</x:v>
      </x:c>
    </x:row>
    <x:row r="216">
      <x:c r="A216" s="15" t="str">
        <x:v>Bu-144</x:v>
      </x:c>
      <x:c r="B216" s="15" t="str">
        <x:v>Sercie Now AI Initiatives :Intelligent Contact Centre &amp; Intelligent Omnichannel Service</x:v>
      </x:c>
      <x:c r="C216" s="15" t="str">
        <x:v>Enterprise Informatics (EI)</x:v>
      </x:c>
      <x:c r="D216" s="19" t="n">
        <x:v>0.8</x:v>
      </x:c>
      <x:c r="E216" s="15" t="str">
        <x:v>ROI-Based Portfolio</x:v>
      </x:c>
      <x:c r="F216" s="15" t="str">
        <x:f>'Portfolio Model'!U387</x:f>
        <x:v>Evidence missing / not eligible</x:v>
      </x:c>
      <x:c r="G216" s="16" t="str">
        <x:v>Automatic</x:v>
      </x:c>
      <x:c r="H216" s="16" t="str"/>
      <x:c r="I216" s="15" t="str">
        <x:v>Bu!342</x:v>
      </x:c>
    </x:row>
    <x:row r="217">
      <x:c r="A217" s="15" t="str">
        <x:v>Bu-133</x:v>
      </x:c>
      <x:c r="B217" s="15" t="str">
        <x:v>Install Base : Data Foundation and Service Updates</x:v>
      </x:c>
      <x:c r="C217" s="15" t="str">
        <x:v>Enterprise Informatics (EI)</x:v>
      </x:c>
      <x:c r="D217" s="19" t="n">
        <x:v>0.6</x:v>
      </x:c>
      <x:c r="E217" s="15" t="str">
        <x:v>ROI-Based Portfolio</x:v>
      </x:c>
      <x:c r="F217" s="15" t="str">
        <x:f>'Portfolio Model'!U388</x:f>
        <x:v>Evidence missing / not eligible</x:v>
      </x:c>
      <x:c r="G217" s="16" t="str">
        <x:v>Automatic</x:v>
      </x:c>
      <x:c r="H217" s="16" t="str"/>
      <x:c r="I217" s="15" t="str">
        <x:v>Bu!324</x:v>
      </x:c>
    </x:row>
    <x:row r="218">
      <x:c r="A218" s="15" t="str">
        <x:v>Bu-259</x:v>
      </x:c>
      <x:c r="B218" s="15" t="str">
        <x:v>12NC Configuration Management Project</x:v>
      </x:c>
      <x:c r="C218" s="15" t="str">
        <x:v>Image Guided Therapy - Devices (IGT-D)</x:v>
      </x:c>
      <x:c r="D218" s="19" t="n">
        <x:v>0.5</x:v>
      </x:c>
      <x:c r="E218" s="15" t="str">
        <x:v>ROI-Based Portfolio</x:v>
      </x:c>
      <x:c r="F218" s="15" t="str">
        <x:f>'Portfolio Model'!U389</x:f>
        <x:v>Evidence missing / not eligible</x:v>
      </x:c>
      <x:c r="G218" s="16" t="str">
        <x:v>Automatic</x:v>
      </x:c>
      <x:c r="H218" s="16" t="str"/>
      <x:c r="I218" s="15" t="str">
        <x:v>Bu!567</x:v>
      </x:c>
    </x:row>
    <x:row r="219">
      <x:c r="A219" s="15" t="str">
        <x:v>Bu-260</x:v>
      </x:c>
      <x:c r="B219" s="15" t="str">
        <x:v>Advanced Planning Solution</x:v>
      </x:c>
      <x:c r="C219" s="15" t="str">
        <x:v>Image Guided Therapy - Devices (IGT-D)</x:v>
      </x:c>
      <x:c r="D219" s="19" t="n">
        <x:v>1.8</x:v>
      </x:c>
      <x:c r="E219" s="15" t="str">
        <x:v>ROI-Based Portfolio</x:v>
      </x:c>
      <x:c r="F219" s="15" t="str">
        <x:f>'Portfolio Model'!U390</x:f>
        <x:v>Evidence missing / not eligible</x:v>
      </x:c>
      <x:c r="G219" s="16" t="str">
        <x:v>Automatic</x:v>
      </x:c>
      <x:c r="H219" s="16" t="str"/>
      <x:c r="I219" s="15" t="str">
        <x:v>Bu!568</x:v>
      </x:c>
    </x:row>
    <x:row r="220">
      <x:c r="A220" s="15" t="str">
        <x:v>Bu-285</x:v>
      </x:c>
      <x:c r="B220" s="15" t="str">
        <x:v>27.2 RGM Decision Engine | Promo Effectiveness &amp; Trade Spend Mix Simulator</x:v>
      </x:c>
      <x:c r="C220" s="15" t="str">
        <x:v>Personal Health (PH)</x:v>
      </x:c>
      <x:c r="D220" s="19" t="n">
        <x:v>0.9</x:v>
      </x:c>
      <x:c r="E220" s="15" t="str">
        <x:v>ROI-Based Portfolio</x:v>
      </x:c>
      <x:c r="F220" s="15" t="str">
        <x:f>'Portfolio Model'!U391</x:f>
        <x:v>Evidence missing / not eligible</x:v>
      </x:c>
      <x:c r="G220" s="16" t="str">
        <x:v>Automatic</x:v>
      </x:c>
      <x:c r="H220" s="16" t="str"/>
      <x:c r="I220" s="15" t="str">
        <x:v>Bu!591</x:v>
      </x:c>
    </x:row>
    <x:row r="221">
      <x:c r="A221" s="15" t="str">
        <x:v>Bu-290</x:v>
      </x:c>
      <x:c r="B221" s="15" t="str">
        <x:v>AI Ready Product Intelligence Foundation (aka Product Content data factory )</x:v>
      </x:c>
      <x:c r="C221" s="15" t="str">
        <x:v>Personal Health (PH)</x:v>
      </x:c>
      <x:c r="D221" s="19" t="n">
        <x:v>1</x:v>
      </x:c>
      <x:c r="E221" s="15" t="str">
        <x:v>ROI-Based Portfolio</x:v>
      </x:c>
      <x:c r="F221" s="15" t="str">
        <x:f>'Portfolio Model'!U392</x:f>
        <x:v>Evidence missing / not eligible</x:v>
      </x:c>
      <x:c r="G221" s="16" t="str">
        <x:v>Automatic</x:v>
      </x:c>
      <x:c r="H221" s="16" t="str"/>
      <x:c r="I221" s="15" t="str">
        <x:v>Bu!604</x:v>
      </x:c>
    </x:row>
    <x:row r="222">
      <x:c r="A222" s="15" t="str">
        <x:v>Bu-304</x:v>
      </x:c>
      <x:c r="B222" s="15" t="str">
        <x:v>Global Retail Content Accelerator (PXM)</x:v>
      </x:c>
      <x:c r="C222" s="15" t="str">
        <x:v>Personal Health (PH)</x:v>
      </x:c>
      <x:c r="D222" s="19" t="n">
        <x:v>0.58</x:v>
      </x:c>
      <x:c r="E222" s="15" t="str">
        <x:v>ROI-Based Portfolio</x:v>
      </x:c>
      <x:c r="F222" s="15" t="str">
        <x:f>'Portfolio Model'!U393</x:f>
        <x:v>Evidence missing / not eligible</x:v>
      </x:c>
      <x:c r="G222" s="16" t="str">
        <x:v>Automatic</x:v>
      </x:c>
      <x:c r="H222" s="16" t="str"/>
      <x:c r="I222" s="15" t="str">
        <x:v>Bu!627</x:v>
      </x:c>
    </x:row>
    <x:row r="223">
      <x:c r="A223" s="15" t="str">
        <x:v>Bu-318</x:v>
      </x:c>
      <x:c r="B223" s="15" t="str">
        <x:v>Salsify to data lake integration</x:v>
      </x:c>
      <x:c r="C223" s="15" t="str">
        <x:v>Personal Health (PH)</x:v>
      </x:c>
      <x:c r="D223" s="19" t="n">
        <x:v>0.12</x:v>
      </x:c>
      <x:c r="E223" s="15" t="str">
        <x:v>ROI-Based Portfolio</x:v>
      </x:c>
      <x:c r="F223" s="15" t="str">
        <x:f>'Portfolio Model'!U394</x:f>
        <x:v>Evidence missing / not eligible</x:v>
      </x:c>
      <x:c r="G223" s="16" t="str">
        <x:v>Automatic</x:v>
      </x:c>
      <x:c r="H223" s="16" t="str"/>
      <x:c r="I223" s="15" t="str">
        <x:v>Bu!647</x:v>
      </x:c>
    </x:row>
    <x:row r="224">
      <x:c r="A224" s="15" t="str">
        <x:v>Bu-325</x:v>
      </x:c>
      <x:c r="B224" s="15" t="str">
        <x:v>Hybris Feature Enhancements (Service Parts Capabilities, AI powered commerce, etc)</x:v>
      </x:c>
      <x:c r="C224" s="15" t="str">
        <x:v>CoE Marketing – HS (former DMEC)</x:v>
      </x:c>
      <x:c r="D224" s="19" t="n">
        <x:v>0.5</x:v>
      </x:c>
      <x:c r="E224" s="15" t="str">
        <x:v>ROI-Based Portfolio</x:v>
      </x:c>
      <x:c r="F224" s="15" t="str">
        <x:f>'Portfolio Model'!U395</x:f>
        <x:v>Evidence missing / not eligible</x:v>
      </x:c>
      <x:c r="G224" s="16" t="str">
        <x:v>Automatic</x:v>
      </x:c>
      <x:c r="H224" s="16" t="str"/>
      <x:c r="I224" s="15" t="str">
        <x:v>Bu!662</x:v>
      </x:c>
    </x:row>
    <x:row r="225">
      <x:c r="A225" s="15" t="str">
        <x:v>Bu-105</x:v>
      </x:c>
      <x:c r="B225" s="15" t="str">
        <x:v>QMS Roles Standardization (Lumen) and Job Catalog alignment</x:v>
      </x:c>
      <x:c r="C225" s="15" t="str">
        <x:v>Sleep &amp; Respiratory Care (SRC)</x:v>
      </x:c>
      <x:c r="D225" s="19" t="n">
        <x:v>0.04</x:v>
      </x:c>
      <x:c r="E225" s="15" t="str">
        <x:v>ROI-Based Portfolio</x:v>
      </x:c>
      <x:c r="F225" s="15" t="str">
        <x:f>'Portfolio Model'!U396</x:f>
        <x:v>Evidence missing / not eligible</x:v>
      </x:c>
      <x:c r="G225" s="16" t="str">
        <x:v>Automatic</x:v>
      </x:c>
      <x:c r="H225" s="16" t="str"/>
      <x:c r="I225" s="15" t="str">
        <x:v>Bu!246</x:v>
      </x:c>
    </x:row>
    <x:row r="226">
      <x:c r="A226" s="15" t="str">
        <x:v>Bu-106</x:v>
      </x:c>
      <x:c r="B226" s="15" t="str">
        <x:v>Mammoth migration TEDS to Cornerstone (Wave 5)</x:v>
      </x:c>
      <x:c r="C226" s="15" t="str">
        <x:v>Sleep &amp; Respiratory Care (SRC)</x:v>
      </x:c>
      <x:c r="D226" s="19" t="n">
        <x:v>0.01</x:v>
      </x:c>
      <x:c r="E226" s="15" t="str">
        <x:v>ROI-Based Portfolio</x:v>
      </x:c>
      <x:c r="F226" s="15" t="str">
        <x:f>'Portfolio Model'!U397</x:f>
        <x:v>Evidence missing / not eligible</x:v>
      </x:c>
      <x:c r="G226" s="16" t="str">
        <x:v>Automatic</x:v>
      </x:c>
      <x:c r="H226" s="16" t="str"/>
      <x:c r="I226" s="15" t="str">
        <x:v>Bu!247</x:v>
      </x:c>
    </x:row>
    <x:row r="227">
      <x:c r="A227" s="15" t="str">
        <x:v>Bu-247</x:v>
      </x:c>
      <x:c r="B227" s="15" t="str">
        <x:v>MES features in factories</x:v>
      </x:c>
      <x:c r="C227" s="15" t="str">
        <x:v>Precision Diagnosis - Magnetic Resonance (MR)</x:v>
      </x:c>
      <x:c r="D227" s="19" t="n">
        <x:v>0.2</x:v>
      </x:c>
      <x:c r="E227" s="15" t="str">
        <x:v>ROI-Based Portfolio</x:v>
      </x:c>
      <x:c r="F227" s="15" t="str">
        <x:f>'Portfolio Model'!U398</x:f>
        <x:v>Evidence missing / not eligible</x:v>
      </x:c>
      <x:c r="G227" s="16" t="str">
        <x:v>Automatic</x:v>
      </x:c>
      <x:c r="H227" s="16" t="str"/>
      <x:c r="I227" s="15" t="str">
        <x:v>Bu!555</x:v>
      </x:c>
    </x:row>
    <x:row r="228">
      <x:c r="A228" s="15" t="str">
        <x:v>Bu-135</x:v>
      </x:c>
      <x:c r="B228" s="15" t="str">
        <x:v>Sensei Onboarding Regions and Products</x:v>
      </x:c>
      <x:c r="C228" s="15" t="str">
        <x:v>Enterprise Informatics (EI)</x:v>
      </x:c>
      <x:c r="D228" s="19" t="n">
        <x:v>0.75</x:v>
      </x:c>
      <x:c r="E228" s="15" t="str">
        <x:v>ROI-Based Portfolio</x:v>
      </x:c>
      <x:c r="F228" s="15" t="str">
        <x:f>'Portfolio Model'!U403</x:f>
        <x:v>Evidence missing / not eligible</x:v>
      </x:c>
      <x:c r="G228" s="16" t="str">
        <x:v>Automatic</x:v>
      </x:c>
      <x:c r="H228" s="16" t="str"/>
      <x:c r="I228" s="15" t="str">
        <x:v>Bu!327</x:v>
      </x:c>
    </x:row>
    <x:row r="229">
      <x:c r="A229" s="15" t="str">
        <x:v>Bu-145</x:v>
      </x:c>
      <x:c r="B229" s="15" t="str">
        <x:v>Service Now: Agentic Workspace for Service &amp; Demand- and Skills-Based Workforce Orchestration</x:v>
      </x:c>
      <x:c r="C229" s="15" t="str">
        <x:v>Enterprise Informatics (EI)</x:v>
      </x:c>
      <x:c r="D229" s="19" t="n">
        <x:v>0.75</x:v>
      </x:c>
      <x:c r="E229" s="15" t="str">
        <x:v>ROI-Based Portfolio</x:v>
      </x:c>
      <x:c r="F229" s="15" t="str">
        <x:f>'Portfolio Model'!U404</x:f>
        <x:v>Evidence missing / not eligible</x:v>
      </x:c>
      <x:c r="G229" s="16" t="str">
        <x:v>Automatic</x:v>
      </x:c>
      <x:c r="H229" s="16" t="str"/>
      <x:c r="I229" s="15" t="str">
        <x:v>Bu!345</x:v>
      </x:c>
    </x:row>
    <x:row r="230">
      <x:c r="A230" s="15" t="str">
        <x:v>Bu-261</x:v>
      </x:c>
      <x:c r="B230" s="15" t="str">
        <x:v>WMS for (Factory) Warehouses</x:v>
      </x:c>
      <x:c r="C230" s="15" t="str">
        <x:v>Image Guided Therapy - Devices (IGT-D)</x:v>
      </x:c>
      <x:c r="D230" s="19" t="n">
        <x:v>0.8</x:v>
      </x:c>
      <x:c r="E230" s="15" t="str">
        <x:v>ROI-Based Portfolio</x:v>
      </x:c>
      <x:c r="F230" s="15" t="str">
        <x:f>'Portfolio Model'!U405</x:f>
        <x:v>Evidence missing / not eligible</x:v>
      </x:c>
      <x:c r="G230" s="16" t="str">
        <x:v>Automatic</x:v>
      </x:c>
      <x:c r="H230" s="16" t="str"/>
      <x:c r="I230" s="15" t="str">
        <x:v>Bu!569</x:v>
      </x:c>
    </x:row>
    <x:row r="231">
      <x:c r="A231" s="15" t="str">
        <x:v>Bu-130</x:v>
      </x:c>
      <x:c r="B231" s="15" t="str">
        <x:v>LEM: LEM Onboarding and Change Requests</x:v>
      </x:c>
      <x:c r="C231" s="15" t="str">
        <x:v>Enterprise Informatics (EI)</x:v>
      </x:c>
      <x:c r="D231" s="19" t="n">
        <x:v>0.35</x:v>
      </x:c>
      <x:c r="E231" s="15" t="str">
        <x:v>ROI-Based Portfolio</x:v>
      </x:c>
      <x:c r="F231" s="15" t="str">
        <x:f>'Portfolio Model'!U406</x:f>
        <x:v>Evidence missing / not eligible</x:v>
      </x:c>
      <x:c r="G231" s="16" t="str">
        <x:v>Automatic</x:v>
      </x:c>
      <x:c r="H231" s="16" t="str"/>
      <x:c r="I231" s="15" t="str">
        <x:v>Bu!320</x:v>
      </x:c>
    </x:row>
    <x:row r="232">
      <x:c r="A232" s="15" t="str">
        <x:v>Bu-141</x:v>
      </x:c>
      <x:c r="B232" s="15" t="str">
        <x:v>AI License + Cloud Enablement projects</x:v>
      </x:c>
      <x:c r="C232" s="15" t="str">
        <x:v>Enterprise Informatics (EI)</x:v>
      </x:c>
      <x:c r="D232" s="19" t="n">
        <x:v>0.7</x:v>
      </x:c>
      <x:c r="E232" s="15" t="str">
        <x:v>ROI-Based Portfolio</x:v>
      </x:c>
      <x:c r="F232" s="15" t="str">
        <x:f>'Portfolio Model'!U407</x:f>
        <x:v>Evidence missing / not eligible</x:v>
      </x:c>
      <x:c r="G232" s="16" t="str">
        <x:v>Automatic</x:v>
      </x:c>
      <x:c r="H232" s="16" t="str"/>
      <x:c r="I232" s="15" t="str">
        <x:v>Bu!338</x:v>
      </x:c>
    </x:row>
    <x:row r="233">
      <x:c r="A233" s="15" t="str">
        <x:v>Bu-143</x:v>
      </x:c>
      <x:c r="B233" s="15" t="str">
        <x:v>Service Now : Fundamentals and Change Requests</x:v>
      </x:c>
      <x:c r="C233" s="15" t="str">
        <x:v>Enterprise Informatics (EI)</x:v>
      </x:c>
      <x:c r="D233" s="19" t="n">
        <x:v>0.65</x:v>
      </x:c>
      <x:c r="E233" s="15" t="str">
        <x:v>ROI-Based Portfolio</x:v>
      </x:c>
      <x:c r="F233" s="15" t="str">
        <x:f>'Portfolio Model'!U408</x:f>
        <x:v>Evidence missing / not eligible</x:v>
      </x:c>
      <x:c r="G233" s="16" t="str">
        <x:v>Automatic</x:v>
      </x:c>
      <x:c r="H233" s="16" t="str"/>
      <x:c r="I233" s="15" t="str">
        <x:v>Bu!341</x:v>
      </x:c>
    </x:row>
    <x:row r="234">
      <x:c r="A234" s="15" t="str">
        <x:v>Bu-146</x:v>
      </x:c>
      <x:c r="B234" s="15" t="str">
        <x:v>Service Operations : Sensei</x:v>
      </x:c>
      <x:c r="C234" s="15" t="str">
        <x:v>Enterprise Informatics (EI)</x:v>
      </x:c>
      <x:c r="D234" s="19" t="n">
        <x:v>0.5</x:v>
      </x:c>
      <x:c r="E234" s="15" t="str">
        <x:v>ROI-Based Portfolio</x:v>
      </x:c>
      <x:c r="F234" s="15" t="str">
        <x:f>'Portfolio Model'!U409</x:f>
        <x:v>Evidence missing / not eligible</x:v>
      </x:c>
      <x:c r="G234" s="16" t="str">
        <x:v>Automatic</x:v>
      </x:c>
      <x:c r="H234" s="16" t="str"/>
      <x:c r="I234" s="15" t="str">
        <x:v>Bu!346</x:v>
      </x:c>
    </x:row>
    <x:row r="235">
      <x:c r="A235" s="15" t="str">
        <x:v>Bu-147</x:v>
      </x:c>
      <x:c r="B235" s="15" t="str">
        <x:v>Service Operations : Microsoft Project Operations</x:v>
      </x:c>
      <x:c r="C235" s="15" t="str">
        <x:v>Enterprise Informatics (EI)</x:v>
      </x:c>
      <x:c r="D235" s="19" t="n">
        <x:v>0.3</x:v>
      </x:c>
      <x:c r="E235" s="15" t="str">
        <x:v>ROI-Based Portfolio</x:v>
      </x:c>
      <x:c r="F235" s="15" t="str">
        <x:f>'Portfolio Model'!U410</x:f>
        <x:v>Evidence missing / not eligible</x:v>
      </x:c>
      <x:c r="G235" s="16" t="str">
        <x:v>Automatic</x:v>
      </x:c>
      <x:c r="H235" s="16" t="str"/>
      <x:c r="I235" s="15" t="str">
        <x:v>Bu!347</x:v>
      </x:c>
    </x:row>
    <x:row r="236">
      <x:c r="A236" s="15" t="str">
        <x:v>Bu-148</x:v>
      </x:c>
      <x:c r="B236" s="15" t="str">
        <x:v>Service Operations : Ignite</x:v>
      </x:c>
      <x:c r="C236" s="15" t="str">
        <x:v>Enterprise Informatics (EI)</x:v>
      </x:c>
      <x:c r="D236" s="19" t="n">
        <x:v>0.25</x:v>
      </x:c>
      <x:c r="E236" s="15" t="str">
        <x:v>ROI-Based Portfolio</x:v>
      </x:c>
      <x:c r="F236" s="15" t="str">
        <x:f>'Portfolio Model'!U411</x:f>
        <x:v>Evidence missing / not eligible</x:v>
      </x:c>
      <x:c r="G236" s="16" t="str">
        <x:v>Automatic</x:v>
      </x:c>
      <x:c r="H236" s="16" t="str"/>
      <x:c r="I236" s="15" t="str">
        <x:v>Bu!348</x:v>
      </x:c>
    </x:row>
    <x:row r="237">
      <x:c r="A237" s="15" t="str">
        <x:v>Bu-149</x:v>
      </x:c>
      <x:c r="B237" s="15" t="str">
        <x:v>LEM Factory Less Process for software provisioning</x:v>
      </x:c>
      <x:c r="C237" s="15" t="str">
        <x:v>Enterprise Informatics (EI)</x:v>
      </x:c>
      <x:c r="D237" s="19" t="n">
        <x:v>0.45</x:v>
      </x:c>
      <x:c r="E237" s="15" t="str">
        <x:v>ROI-Based Portfolio</x:v>
      </x:c>
      <x:c r="F237" s="15" t="str">
        <x:f>'Portfolio Model'!U412</x:f>
        <x:v>Evidence missing / not eligible</x:v>
      </x:c>
      <x:c r="G237" s="16" t="str">
        <x:v>Automatic</x:v>
      </x:c>
      <x:c r="H237" s="16" t="str"/>
      <x:c r="I237" s="15" t="str">
        <x:v>Bu!349</x:v>
      </x:c>
    </x:row>
    <x:row r="238">
      <x:c r="A238" s="15" t="str">
        <x:v>Bu-162</x:v>
      </x:c>
      <x:c r="B238" s="15" t="str">
        <x:v>Spaniel 12 | MR subscription for Indirect channel</x:v>
      </x:c>
      <x:c r="C238" s="15" t="str">
        <x:v>Precision Diagnosis - Magnetic Resonance (MR)</x:v>
      </x:c>
      <x:c r="D238" s="19" t="n">
        <x:v>0.05</x:v>
      </x:c>
      <x:c r="E238" s="15" t="str">
        <x:v>ROI-Based Portfolio</x:v>
      </x:c>
      <x:c r="F238" s="15" t="str">
        <x:f>'Portfolio Model'!U413</x:f>
        <x:v>Evidence missing / not eligible</x:v>
      </x:c>
      <x:c r="G238" s="16" t="str">
        <x:v>Automatic</x:v>
      </x:c>
      <x:c r="H238" s="16" t="str"/>
      <x:c r="I238" s="15" t="str">
        <x:v>Bu!383</x:v>
      </x:c>
    </x:row>
    <x:row r="239">
      <x:c r="A239" s="15" t="str">
        <x:v>Bu-164</x:v>
      </x:c>
      <x:c r="B239" s="15" t="str">
        <x:v>Commercial Catalogue | 6NCs optimization | Solution for GTIN</x:v>
      </x:c>
      <x:c r="C239" s="15" t="str">
        <x:v>Precision Diagnosis - Magnetic Resonance (MR)</x:v>
      </x:c>
      <x:c r="D239" s="19" t="n">
        <x:v>0.2</x:v>
      </x:c>
      <x:c r="E239" s="15" t="str">
        <x:v>ROI-Based Portfolio</x:v>
      </x:c>
      <x:c r="F239" s="15" t="str">
        <x:f>'Portfolio Model'!U414</x:f>
        <x:v>Evidence missing / not eligible</x:v>
      </x:c>
      <x:c r="G239" s="16" t="str">
        <x:v>Automatic</x:v>
      </x:c>
      <x:c r="H239" s="16" t="str"/>
      <x:c r="I239" s="15" t="str">
        <x:v>Bu!392</x:v>
      </x:c>
    </x:row>
    <x:row r="240">
      <x:c r="A240" s="15" t="str">
        <x:v>Bu-165</x:v>
      </x:c>
      <x:c r="B240" s="15" t="str">
        <x:v>Spaniel 4 &amp; 5 | 3P SW PPP Business Model Archetype MVP</x:v>
      </x:c>
      <x:c r="C240" s="15" t="str">
        <x:v>Precision Diagnosis - Magnetic Resonance (MR)</x:v>
      </x:c>
      <x:c r="D240" s="19" t="n">
        <x:v>0.25</x:v>
      </x:c>
      <x:c r="E240" s="15" t="str">
        <x:v>ROI-Based Portfolio</x:v>
      </x:c>
      <x:c r="F240" s="15" t="str">
        <x:f>'Portfolio Model'!U415</x:f>
        <x:v>Evidence missing / not eligible</x:v>
      </x:c>
      <x:c r="G240" s="16" t="str">
        <x:v>Automatic</x:v>
      </x:c>
      <x:c r="H240" s="16" t="str"/>
      <x:c r="I240" s="15" t="str">
        <x:v>Bu!399</x:v>
      </x:c>
    </x:row>
    <x:row r="241">
      <x:c r="A241" s="15" t="str">
        <x:v>Bu-173</x:v>
      </x:c>
      <x:c r="B241" s="15" t="str">
        <x:v>3PP | 3rd party partners program</x:v>
      </x:c>
      <x:c r="C241" s="15" t="str">
        <x:v>Precision Diagnosis - Magnetic Resonance (MR)</x:v>
      </x:c>
      <x:c r="D241" s="19" t="n">
        <x:v>0.85</x:v>
      </x:c>
      <x:c r="E241" s="15" t="str">
        <x:v>ROI-Based Portfolio</x:v>
      </x:c>
      <x:c r="F241" s="15" t="str">
        <x:f>'Portfolio Model'!U416</x:f>
        <x:v>Evidence missing / not eligible</x:v>
      </x:c>
      <x:c r="G241" s="16" t="str">
        <x:v>Automatic</x:v>
      </x:c>
      <x:c r="H241" s="16" t="str"/>
      <x:c r="I241" s="15" t="str">
        <x:v>Bu!428</x:v>
      </x:c>
    </x:row>
    <x:row r="242">
      <x:c r="A242" s="15" t="str">
        <x:v>Bu-174</x:v>
      </x:c>
      <x:c r="B242" s="15" t="str">
        <x:v>Sensei for quoting (AI solution)</x:v>
      </x:c>
      <x:c r="C242" s="15" t="str">
        <x:v>Precision Diagnosis - Magnetic Resonance (MR)</x:v>
      </x:c>
      <x:c r="D242" s="19" t="n">
        <x:v>1</x:v>
      </x:c>
      <x:c r="E242" s="15" t="str">
        <x:v>ROI-Based Portfolio</x:v>
      </x:c>
      <x:c r="F242" s="15" t="str">
        <x:f>'Portfolio Model'!U417</x:f>
        <x:v>Evidence missing / not eligible</x:v>
      </x:c>
      <x:c r="G242" s="16" t="str">
        <x:v>Automatic</x:v>
      </x:c>
      <x:c r="H242" s="16" t="str"/>
      <x:c r="I242" s="15" t="str">
        <x:v>Bu!431</x:v>
      </x:c>
    </x:row>
    <x:row r="243">
      <x:c r="A243" s="15" t="str">
        <x:v>Bu-188</x:v>
      </x:c>
      <x:c r="B243" s="15" t="str">
        <x:v>PD AI Solutions</x:v>
      </x:c>
      <x:c r="C243" s="15" t="str">
        <x:v>Precision Diagnosis - Magnetic Resonance (MR)</x:v>
      </x:c>
      <x:c r="D243" s="19" t="n">
        <x:v>0.18</x:v>
      </x:c>
      <x:c r="E243" s="15" t="str">
        <x:v>ROI-Based Portfolio</x:v>
      </x:c>
      <x:c r="F243" s="15" t="str">
        <x:f>'Portfolio Model'!U418</x:f>
        <x:v>Evidence missing / not eligible</x:v>
      </x:c>
      <x:c r="G243" s="16" t="str">
        <x:v>Automatic</x:v>
      </x:c>
      <x:c r="H243" s="16" t="str"/>
      <x:c r="I243" s="15" t="str">
        <x:v>Bu!449</x:v>
      </x:c>
    </x:row>
    <x:row r="244">
      <x:c r="A244" s="15" t="str">
        <x:v>Bu-241</x:v>
      </x:c>
      <x:c r="B244" s="15" t="str">
        <x:v>Atlas (Regional Merge Center) — IT sap System</x:v>
      </x:c>
      <x:c r="C244" s="15" t="str">
        <x:v>Precision Diagnosis - Magnetic Resonance (MR)</x:v>
      </x:c>
      <x:c r="D244" s="19" t="n">
        <x:v>0.05</x:v>
      </x:c>
      <x:c r="E244" s="15" t="str">
        <x:v>ROI-Based Portfolio</x:v>
      </x:c>
      <x:c r="F244" s="15" t="str">
        <x:f>'Portfolio Model'!U419</x:f>
        <x:v>Evidence missing / not eligible</x:v>
      </x:c>
      <x:c r="G244" s="16" t="str">
        <x:v>Automatic</x:v>
      </x:c>
      <x:c r="H244" s="16" t="str"/>
      <x:c r="I244" s="15" t="str">
        <x:v>Bu!549</x:v>
      </x:c>
    </x:row>
    <x:row r="245">
      <x:c r="A245" s="15" t="str">
        <x:v>Bu-246</x:v>
      </x:c>
      <x:c r="B245" s="15" t="str">
        <x:v>Mantan (NDA Project CT &amp; MR)</x:v>
      </x:c>
      <x:c r="C245" s="15" t="str">
        <x:v>Precision Diagnosis - Magnetic Resonance (MR)</x:v>
      </x:c>
      <x:c r="D245" s="19" t="n">
        <x:v>0.49</x:v>
      </x:c>
      <x:c r="E245" s="15" t="str">
        <x:v>ROI-Based Portfolio</x:v>
      </x:c>
      <x:c r="F245" s="15" t="str">
        <x:f>'Portfolio Model'!U420</x:f>
        <x:v>Evidence missing / not eligible</x:v>
      </x:c>
      <x:c r="G245" s="16" t="str">
        <x:v>Automatic</x:v>
      </x:c>
      <x:c r="H245" s="16" t="str"/>
      <x:c r="I245" s="15" t="str">
        <x:v>Bu!554</x:v>
      </x:c>
    </x:row>
    <x:row r="246">
      <x:c r="A246" s="15" t="str">
        <x:v>Bu-289</x:v>
      </x:c>
      <x:c r="B246" s="15" t="str">
        <x:v>Agentic regulatory pipeline</x:v>
      </x:c>
      <x:c r="C246" s="15" t="str">
        <x:v>Personal Health (PH)</x:v>
      </x:c>
      <x:c r="D246" s="19" t="n">
        <x:v>0.1</x:v>
      </x:c>
      <x:c r="E246" s="15" t="str">
        <x:v>ROI-Based Portfolio</x:v>
      </x:c>
      <x:c r="F246" s="15" t="str">
        <x:f>'Portfolio Model'!U421</x:f>
        <x:v>Evidence missing / not eligible</x:v>
      </x:c>
      <x:c r="G246" s="16" t="str">
        <x:v>Automatic</x:v>
      </x:c>
      <x:c r="H246" s="16" t="str"/>
      <x:c r="I246" s="15" t="str">
        <x:v>Bu!603</x:v>
      </x:c>
    </x:row>
    <x:row r="247">
      <x:c r="A247" s="15" t="str">
        <x:v>Bu-294</x:v>
      </x:c>
      <x:c r="B247" s="15" t="str">
        <x:v>Business application validation</x:v>
      </x:c>
      <x:c r="C247" s="15" t="str">
        <x:v>Personal Health (PH)</x:v>
      </x:c>
      <x:c r="D247" s="19" t="n">
        <x:v>0.1</x:v>
      </x:c>
      <x:c r="E247" s="15" t="str">
        <x:v>ROI-Based Portfolio</x:v>
      </x:c>
      <x:c r="F247" s="15" t="str">
        <x:f>'Portfolio Model'!U422</x:f>
        <x:v>Evidence missing / not eligible</x:v>
      </x:c>
      <x:c r="G247" s="16" t="str">
        <x:v>Automatic</x:v>
      </x:c>
      <x:c r="H247" s="16" t="str"/>
      <x:c r="I247" s="15" t="str">
        <x:v>Bu!616</x:v>
      </x:c>
    </x:row>
    <x:row r="248">
      <x:c r="A248" s="15" t="str">
        <x:v>Bu-295</x:v>
      </x:c>
      <x:c r="B248" s="15" t="str">
        <x:v>DFU Form Automation: Digital Workflow &amp; Data Governance Enablement</x:v>
      </x:c>
      <x:c r="C248" s="15" t="str">
        <x:v>Personal Health (PH)</x:v>
      </x:c>
      <x:c r="D248" s="19" t="n">
        <x:v>0.175</x:v>
      </x:c>
      <x:c r="E248" s="15" t="str">
        <x:v>ROI-Based Portfolio</x:v>
      </x:c>
      <x:c r="F248" s="15" t="str">
        <x:f>'Portfolio Model'!U423</x:f>
        <x:v>Evidence missing / not eligible</x:v>
      </x:c>
      <x:c r="G248" s="16" t="str">
        <x:v>Automatic</x:v>
      </x:c>
      <x:c r="H248" s="16" t="str"/>
      <x:c r="I248" s="15" t="str">
        <x:v>Bu!617</x:v>
      </x:c>
    </x:row>
    <x:row r="249">
      <x:c r="A249" s="15" t="str">
        <x:v>Bu-297</x:v>
      </x:c>
      <x:c r="B249" s="15" t="str">
        <x:v>DPP - From Compliance to Growth, Trust &amp; Revenue Protection Platform</x:v>
      </x:c>
      <x:c r="C249" s="15" t="str">
        <x:v>Personal Health (PH)</x:v>
      </x:c>
      <x:c r="D249" s="19" t="n">
        <x:v>0.3</x:v>
      </x:c>
      <x:c r="E249" s="15" t="str">
        <x:v>ROI-Based Portfolio</x:v>
      </x:c>
      <x:c r="F249" s="15" t="str">
        <x:f>'Portfolio Model'!U424</x:f>
        <x:v>Evidence missing / not eligible</x:v>
      </x:c>
      <x:c r="G249" s="16" t="str">
        <x:v>Automatic</x:v>
      </x:c>
      <x:c r="H249" s="16" t="str"/>
      <x:c r="I249" s="15" t="str">
        <x:v>Bu!620</x:v>
      </x:c>
    </x:row>
    <x:row r="250">
      <x:c r="A250" s="15" t="str">
        <x:v>Bu-299</x:v>
      </x:c>
      <x:c r="B250" s="15" t="str">
        <x:v>E2E Product Portfolio Mgt (Pulse)</x:v>
      </x:c>
      <x:c r="C250" s="15" t="str">
        <x:v>Personal Health (PH)</x:v>
      </x:c>
      <x:c r="D250" s="19" t="n">
        <x:v>0.25</x:v>
      </x:c>
      <x:c r="E250" s="15" t="str">
        <x:v>ROI-Based Portfolio</x:v>
      </x:c>
      <x:c r="F250" s="15" t="str">
        <x:f>'Portfolio Model'!U425</x:f>
        <x:v>Evidence missing / not eligible</x:v>
      </x:c>
      <x:c r="G250" s="16" t="str">
        <x:v>Automatic</x:v>
      </x:c>
      <x:c r="H250" s="16" t="str"/>
      <x:c r="I250" s="15" t="str">
        <x:v>Bu!622</x:v>
      </x:c>
    </x:row>
    <x:row r="251">
      <x:c r="A251" s="15" t="str">
        <x:v>Bu-311</x:v>
      </x:c>
      <x:c r="B251" s="15" t="str">
        <x:v>Performance Analytics</x:v>
      </x:c>
      <x:c r="C251" s="15" t="str">
        <x:v>Personal Health (PH)</x:v>
      </x:c>
      <x:c r="D251" s="19" t="n">
        <x:v>0.54</x:v>
      </x:c>
      <x:c r="E251" s="15" t="str">
        <x:v>ROI-Based Portfolio</x:v>
      </x:c>
      <x:c r="F251" s="15" t="str">
        <x:f>'Portfolio Model'!U426</x:f>
        <x:v>Evidence missing / not eligible</x:v>
      </x:c>
      <x:c r="G251" s="16" t="str">
        <x:v>Automatic</x:v>
      </x:c>
      <x:c r="H251" s="16" t="str"/>
      <x:c r="I251" s="15" t="str">
        <x:v>Bu!637</x:v>
      </x:c>
    </x:row>
    <x:row r="252">
      <x:c r="A252" s="15" t="str">
        <x:v>Bu-271</x:v>
      </x:c>
      <x:c r="B252" s="15" t="str">
        <x:v>CDP connectors</x:v>
      </x:c>
      <x:c r="C252" s="15" t="str">
        <x:v>CoE Marketing – HS (former DMEC)</x:v>
      </x:c>
      <x:c r="D252" s="19" t="n">
        <x:v>0.05</x:v>
      </x:c>
      <x:c r="E252" s="15" t="str">
        <x:v>ROI-Based Portfolio</x:v>
      </x:c>
      <x:c r="F252" s="15" t="str">
        <x:f>'Portfolio Model'!U429</x:f>
        <x:v>Evidence missing / not eligible</x:v>
      </x:c>
      <x:c r="G252" s="16" t="str">
        <x:v>Automatic</x:v>
      </x:c>
      <x:c r="H252" s="16" t="str"/>
      <x:c r="I252" s="15" t="str">
        <x:v>Bu!579</x:v>
      </x:c>
    </x:row>
    <x:row r="253">
      <x:c r="A253" s="15" t="str">
        <x:v>Bu-292</x:v>
      </x:c>
      <x:c r="B253" s="15" t="str">
        <x:v>AI-enabling learning RnD organization</x:v>
      </x:c>
      <x:c r="C253" s="15" t="str">
        <x:v>Personal Health (PH)</x:v>
      </x:c>
      <x:c r="D253" s="19" t="n">
        <x:v>0.065</x:v>
      </x:c>
      <x:c r="E253" s="15" t="str">
        <x:v>ROI-Based Portfolio</x:v>
      </x:c>
      <x:c r="F253" s="15" t="str">
        <x:f>'Portfolio Model'!U430</x:f>
        <x:v>Evidence missing / not eligible</x:v>
      </x:c>
      <x:c r="G253" s="16" t="str">
        <x:v>Automatic</x:v>
      </x:c>
      <x:c r="H253" s="16" t="str"/>
      <x:c r="I253" s="15" t="str">
        <x:v>Bu!610</x:v>
      </x:c>
    </x:row>
    <x:row r="254">
      <x:c r="A254" s="15" t="str">
        <x:v>Bu-303</x:v>
      </x:c>
      <x:c r="B254" s="15" t="str">
        <x:v>Getting ready for Agentic Commerce</x:v>
      </x:c>
      <x:c r="C254" s="15" t="str">
        <x:v>Personal Health (PH)</x:v>
      </x:c>
      <x:c r="D254" s="19" t="n">
        <x:v>0.1</x:v>
      </x:c>
      <x:c r="E254" s="15" t="str">
        <x:v>ROI-Based Portfolio</x:v>
      </x:c>
      <x:c r="F254" s="15" t="str">
        <x:f>'Portfolio Model'!U431</x:f>
        <x:v>Evidence missing / not eligible</x:v>
      </x:c>
      <x:c r="G254" s="16" t="str">
        <x:v>Automatic</x:v>
      </x:c>
      <x:c r="H254" s="16" t="str"/>
      <x:c r="I254" s="15" t="str">
        <x:v>Bu!626</x:v>
      </x:c>
    </x:row>
    <x:row r="255">
      <x:c r="A255" s="15" t="str">
        <x:v>Bu-305</x:v>
      </x:c>
      <x:c r="B255" s="15" t="str">
        <x:v>Global Trade Compliance (Horizontal)</x:v>
      </x:c>
      <x:c r="C255" s="15" t="str">
        <x:v>Personal Health (PH)</x:v>
      </x:c>
      <x:c r="D255" s="19" t="n">
        <x:v>0</x:v>
      </x:c>
      <x:c r="E255" s="15" t="str">
        <x:v>ROI-Based Portfolio</x:v>
      </x:c>
      <x:c r="F255" s="15" t="str">
        <x:f>'Portfolio Model'!U432</x:f>
        <x:v>Evidence missing / not eligible</x:v>
      </x:c>
      <x:c r="G255" s="16" t="str">
        <x:v>Automatic</x:v>
      </x:c>
      <x:c r="H255" s="16" t="str"/>
      <x:c r="I255" s="15" t="str">
        <x:v>Bu!631</x:v>
      </x:c>
    </x:row>
    <x:row r="256">
      <x:c r="A256" s="15" t="str">
        <x:v>Bu-308</x:v>
      </x:c>
      <x:c r="B256" s="15" t="str">
        <x:v>ISC Data Quality (Horizontal) &amp; IWD</x:v>
      </x:c>
      <x:c r="C256" s="15" t="str">
        <x:v>Personal Health (PH)</x:v>
      </x:c>
      <x:c r="D256" s="19" t="n">
        <x:v>0</x:v>
      </x:c>
      <x:c r="E256" s="15" t="str">
        <x:v>ROI-Based Portfolio</x:v>
      </x:c>
      <x:c r="F256" s="15" t="str">
        <x:f>'Portfolio Model'!U433</x:f>
        <x:v>Evidence missing / not eligible</x:v>
      </x:c>
      <x:c r="G256" s="16" t="str">
        <x:v>Automatic</x:v>
      </x:c>
      <x:c r="H256" s="16" t="str"/>
      <x:c r="I256" s="15" t="str">
        <x:v>Bu!634</x:v>
      </x:c>
    </x:row>
    <x:row r="257">
      <x:c r="A257" s="15" t="str">
        <x:v>Bu-312</x:v>
      </x:c>
      <x:c r="B257" s="15" t="str">
        <x:v>PH Material Management (OMM) AI Program</x:v>
      </x:c>
      <x:c r="C257" s="15" t="str">
        <x:v>Personal Health (PH)</x:v>
      </x:c>
      <x:c r="D257" s="19" t="n">
        <x:v>0.19</x:v>
      </x:c>
      <x:c r="E257" s="15" t="str">
        <x:v>ROI-Based Portfolio</x:v>
      </x:c>
      <x:c r="F257" s="15" t="str">
        <x:f>'Portfolio Model'!U434</x:f>
        <x:v>Evidence missing / not eligible</x:v>
      </x:c>
      <x:c r="G257" s="16" t="str">
        <x:v>Automatic</x:v>
      </x:c>
      <x:c r="H257" s="16" t="str"/>
      <x:c r="I257" s="15" t="str">
        <x:v>Bu!641</x:v>
      </x:c>
    </x:row>
    <x:row r="258">
      <x:c r="A258" s="15" t="str">
        <x:v>Bu-313</x:v>
      </x:c>
      <x:c r="B258" s="15" t="str">
        <x:v>Philips.com Growth Engine – Unlocking the value of our new platform</x:v>
      </x:c>
      <x:c r="C258" s="15" t="str">
        <x:v>Personal Health (PH)</x:v>
      </x:c>
      <x:c r="D258" s="19" t="n">
        <x:v>0.9</x:v>
      </x:c>
      <x:c r="E258" s="15" t="str">
        <x:v>ROI-Based Portfolio</x:v>
      </x:c>
      <x:c r="F258" s="15" t="str">
        <x:f>'Portfolio Model'!U435</x:f>
        <x:v>Evidence missing / not eligible</x:v>
      </x:c>
      <x:c r="G258" s="16" t="str">
        <x:v>Automatic</x:v>
      </x:c>
      <x:c r="H258" s="16" t="str"/>
      <x:c r="I258" s="15" t="str">
        <x:v>Bu!642</x:v>
      </x:c>
    </x:row>
    <x:row r="259">
      <x:c r="A259" s="15" t="str">
        <x:v>Bu-315</x:v>
      </x:c>
      <x:c r="B259" s="15" t="str">
        <x:v>Product Tester Platform: audit, stabilization &amp; future direction</x:v>
      </x:c>
      <x:c r="C259" s="15" t="str">
        <x:v>Personal Health (PH)</x:v>
      </x:c>
      <x:c r="D259" s="19" t="n">
        <x:v>0.2</x:v>
      </x:c>
      <x:c r="E259" s="15" t="str">
        <x:v>ROI-Based Portfolio</x:v>
      </x:c>
      <x:c r="F259" s="15" t="str">
        <x:f>'Portfolio Model'!U436</x:f>
        <x:v>Evidence missing / not eligible</x:v>
      </x:c>
      <x:c r="G259" s="16" t="str">
        <x:v>Automatic</x:v>
      </x:c>
      <x:c r="H259" s="16" t="str"/>
      <x:c r="I259" s="15" t="str">
        <x:v>Bu!644</x:v>
      </x:c>
    </x:row>
    <x:row r="260">
      <x:c r="A260" s="15" t="str">
        <x:v>Bu-316</x:v>
      </x:c>
      <x:c r="B260" s="15" t="str">
        <x:v>RegMem in a Day</x:v>
      </x:c>
      <x:c r="C260" s="15" t="str">
        <x:v>Personal Health (PH)</x:v>
      </x:c>
      <x:c r="D260" s="19" t="n">
        <x:v>0.15</x:v>
      </x:c>
      <x:c r="E260" s="15" t="str">
        <x:v>ROI-Based Portfolio</x:v>
      </x:c>
      <x:c r="F260" s="15" t="str">
        <x:f>'Portfolio Model'!U437</x:f>
        <x:v>Evidence missing / not eligible</x:v>
      </x:c>
      <x:c r="G260" s="16" t="str">
        <x:v>Automatic</x:v>
      </x:c>
      <x:c r="H260" s="16" t="str"/>
      <x:c r="I260" s="15" t="str">
        <x:v>Bu!645</x:v>
      </x:c>
    </x:row>
    <x:row r="261">
      <x:c r="A261" s="15" t="str">
        <x:v>Bu-321</x:v>
      </x:c>
      <x:c r="B261" s="15" t="str">
        <x:v>Touchless Supply chain</x:v>
      </x:c>
      <x:c r="C261" s="15" t="str">
        <x:v>Personal Health (PH)</x:v>
      </x:c>
      <x:c r="D261" s="19" t="n">
        <x:v>0</x:v>
      </x:c>
      <x:c r="E261" s="15" t="str">
        <x:v>ROI-Based Portfolio</x:v>
      </x:c>
      <x:c r="F261" s="15" t="str">
        <x:f>'Portfolio Model'!U438</x:f>
        <x:v>Evidence missing / not eligible</x:v>
      </x:c>
      <x:c r="G261" s="16" t="str">
        <x:v>Automatic</x:v>
      </x:c>
      <x:c r="H261" s="16" t="str"/>
      <x:c r="I261" s="15" t="str">
        <x:v>Bu!658</x:v>
      </x:c>
    </x:row>
    <x:row r="262">
      <x:c r="A262" s="15" t="str">
        <x:v>Bu-166</x:v>
      </x:c>
      <x:c r="B262" s="15" t="str">
        <x:v>Pricing | Pricing tooling maturity assessment - Road-map</x:v>
      </x:c>
      <x:c r="C262" s="15" t="str">
        <x:v>Precision Diagnosis - Magnetic Resonance (MR)</x:v>
      </x:c>
      <x:c r="D262" s="19" t="n">
        <x:v>0.05</x:v>
      </x:c>
      <x:c r="E262" s="15" t="str">
        <x:v>ROI-Based Portfolio</x:v>
      </x:c>
      <x:c r="F262" s="15" t="str">
        <x:f>'Portfolio Model'!U440</x:f>
        <x:v>Evidence missing / not eligible</x:v>
      </x:c>
      <x:c r="G262" s="16" t="str">
        <x:v>Automatic</x:v>
      </x:c>
      <x:c r="H262" s="16" t="str"/>
      <x:c r="I262" s="15" t="str">
        <x:v>Bu!403</x:v>
      </x:c>
    </x:row>
    <x:row r="263">
      <x:c r="A263" s="15" t="str">
        <x:v>Bu-169</x:v>
      </x:c>
      <x:c r="B263" s="15" t="str">
        <x:v>I2M Planisware CT AI Solutions</x:v>
      </x:c>
      <x:c r="C263" s="15" t="str">
        <x:v>Precision Diagnosis - Computed Tomography (CT)</x:v>
      </x:c>
      <x:c r="D263" s="19" t="n">
        <x:v>0.65</x:v>
      </x:c>
      <x:c r="E263" s="15" t="str">
        <x:v>ROI-Based Portfolio</x:v>
      </x:c>
      <x:c r="F263" s="15" t="str">
        <x:f>'Portfolio Model'!U441</x:f>
        <x:v>Evidence missing / not eligible</x:v>
      </x:c>
      <x:c r="G263" s="16" t="str">
        <x:v>Automatic</x:v>
      </x:c>
      <x:c r="H263" s="16" t="str"/>
      <x:c r="I263" s="15" t="str">
        <x:v>Bu!408</x:v>
      </x:c>
    </x:row>
    <x:row r="264">
      <x:c r="A264" s="15" t="str">
        <x:v>Bu-177</x:v>
      </x:c>
      <x:c r="B264" s="15" t="str">
        <x:v>Deploy maintenance logbook preparations (IB whitepaper)</x:v>
      </x:c>
      <x:c r="C264" s="15" t="str">
        <x:v>Precision Diagnosis - Magnetic Resonance (MR)</x:v>
      </x:c>
      <x:c r="D264" s="19" t="n">
        <x:v>0.15</x:v>
      </x:c>
      <x:c r="E264" s="15" t="str">
        <x:v>ROI-Based Portfolio</x:v>
      </x:c>
      <x:c r="F264" s="15" t="str">
        <x:f>'Portfolio Model'!U442</x:f>
        <x:v>Evidence missing / not eligible</x:v>
      </x:c>
      <x:c r="G264" s="16" t="str">
        <x:v>Automatic</x:v>
      </x:c>
      <x:c r="H264" s="16" t="str"/>
      <x:c r="I264" s="15" t="str">
        <x:v>Bu!435</x:v>
      </x:c>
    </x:row>
    <x:row r="265">
      <x:c r="A265" s="15" t="str">
        <x:v>Bu-178</x:v>
      </x:c>
      <x:c r="B265" s="15" t="str">
        <x:v>Unlock as-granted ibase for HW to auto-populate guided selling</x:v>
      </x:c>
      <x:c r="C265" s="15" t="str">
        <x:v>Precision Diagnosis - Magnetic Resonance (MR)</x:v>
      </x:c>
      <x:c r="D265" s="19" t="n">
        <x:v>0.1</x:v>
      </x:c>
      <x:c r="E265" s="15" t="str">
        <x:v>ROI-Based Portfolio</x:v>
      </x:c>
      <x:c r="F265" s="15" t="str">
        <x:f>'Portfolio Model'!U443</x:f>
        <x:v>Evidence missing / not eligible</x:v>
      </x:c>
      <x:c r="G265" s="16" t="str">
        <x:v>Automatic</x:v>
      </x:c>
      <x:c r="H265" s="16" t="str"/>
      <x:c r="I265" s="15" t="str">
        <x:v>Bu!436</x:v>
      </x:c>
    </x:row>
    <x:row r="266">
      <x:c r="A266" s="15" t="str">
        <x:v>Bu-179</x:v>
      </x:c>
      <x:c r="B266" s="15" t="str">
        <x:v>Digital thread, traceability applications (AI/RPA)</x:v>
      </x:c>
      <x:c r="C266" s="15" t="str">
        <x:v>Precision Diagnosis - Magnetic Resonance (MR)</x:v>
      </x:c>
      <x:c r="D266" s="19" t="n">
        <x:v>0.1</x:v>
      </x:c>
      <x:c r="E266" s="15" t="str">
        <x:v>ROI-Based Portfolio</x:v>
      </x:c>
      <x:c r="F266" s="15" t="str">
        <x:f>'Portfolio Model'!U444</x:f>
        <x:v>Evidence missing / not eligible</x:v>
      </x:c>
      <x:c r="G266" s="16" t="str">
        <x:v>Automatic</x:v>
      </x:c>
      <x:c r="H266" s="16" t="str"/>
      <x:c r="I266" s="15" t="str">
        <x:v>Bu!437</x:v>
      </x:c>
    </x:row>
    <x:row r="267">
      <x:c r="A267" s="15" t="str">
        <x:v>Bu-180</x:v>
      </x:c>
      <x:c r="B267" s="15" t="str">
        <x:v>DI AI Solution Placeholder</x:v>
      </x:c>
      <x:c r="C267" s="15" t="str">
        <x:v>Precision Diagnosis - Magnetic Resonance (MR)</x:v>
      </x:c>
      <x:c r="D267" s="19" t="n">
        <x:v>0.3</x:v>
      </x:c>
      <x:c r="E267" s="15" t="str">
        <x:v>ROI-Based Portfolio</x:v>
      </x:c>
      <x:c r="F267" s="15" t="str">
        <x:f>'Portfolio Model'!U445</x:f>
        <x:v>Evidence missing / not eligible</x:v>
      </x:c>
      <x:c r="G267" s="16" t="str">
        <x:v>Automatic</x:v>
      </x:c>
      <x:c r="H267" s="16" t="str"/>
      <x:c r="I267" s="15" t="str">
        <x:v>Bu!438</x:v>
      </x:c>
    </x:row>
    <x:row r="268">
      <x:c r="A268" s="15" t="str">
        <x:v>Bu-183</x:v>
      </x:c>
      <x:c r="B268" s="15" t="str">
        <x:v>RSDI (Type 1) | CSI: Support on device for artifacts based RSDI downloads from RSM portal : On-device support for artifact-based RSDI downloads.</x:v>
      </x:c>
      <x:c r="C268" s="15" t="str">
        <x:v>Precision Diagnosis - Magnetic Resonance (MR)</x:v>
      </x:c>
      <x:c r="D268" s="19" t="n">
        <x:v>0.06</x:v>
      </x:c>
      <x:c r="E268" s="15" t="str">
        <x:v>ROI-Based Portfolio</x:v>
      </x:c>
      <x:c r="F268" s="15" t="str">
        <x:f>'Portfolio Model'!U446</x:f>
        <x:v>Evidence missing / not eligible</x:v>
      </x:c>
      <x:c r="G268" s="16" t="str">
        <x:v>Automatic</x:v>
      </x:c>
      <x:c r="H268" s="16" t="str"/>
      <x:c r="I268" s="15" t="str">
        <x:v>Bu!441</x:v>
      </x:c>
    </x:row>
    <x:row r="269">
      <x:c r="A269" s="15" t="str">
        <x:v>Bu-184</x:v>
      </x:c>
      <x:c r="B269" s="15" t="str">
        <x:v>RSDI (Type 1) | RSM: Show Menu Tree based on SW release and not product type</x:v>
      </x:c>
      <x:c r="C269" s="15" t="str">
        <x:v>Precision Diagnosis - Magnetic Resonance (MR)</x:v>
      </x:c>
      <x:c r="D269" s="19" t="n">
        <x:v>0.56</x:v>
      </x:c>
      <x:c r="E269" s="15" t="str">
        <x:v>ROI-Based Portfolio</x:v>
      </x:c>
      <x:c r="F269" s="15" t="str">
        <x:f>'Portfolio Model'!U447</x:f>
        <x:v>Evidence missing / not eligible</x:v>
      </x:c>
      <x:c r="G269" s="16" t="str">
        <x:v>Automatic</x:v>
      </x:c>
      <x:c r="H269" s="16" t="str"/>
      <x:c r="I269" s="15" t="str">
        <x:v>Bu!442</x:v>
      </x:c>
    </x:row>
    <x:row r="270">
      <x:c r="A270" s="15" t="str">
        <x:v>Bu-185</x:v>
      </x:c>
      <x:c r="B270" s="15" t="str">
        <x:v>RSDI (Type 1) | FSE utility to create USB Media</x:v>
      </x:c>
      <x:c r="C270" s="15" t="str">
        <x:v>Precision Diagnosis - Magnetic Resonance (MR)</x:v>
      </x:c>
      <x:c r="D270" s="19" t="n">
        <x:v>0.25</x:v>
      </x:c>
      <x:c r="E270" s="15" t="str">
        <x:v>ROI-Based Portfolio</x:v>
      </x:c>
      <x:c r="F270" s="15" t="str">
        <x:f>'Portfolio Model'!U448</x:f>
        <x:v>Evidence missing / not eligible</x:v>
      </x:c>
      <x:c r="G270" s="16" t="str">
        <x:v>Automatic</x:v>
      </x:c>
      <x:c r="H270" s="16" t="str"/>
      <x:c r="I270" s="15" t="str">
        <x:v>Bu!443</x:v>
      </x:c>
    </x:row>
    <x:row r="271">
      <x:c r="A271" s="15" t="str">
        <x:v>Bu-242</x:v>
      </x:c>
      <x:c r="B271" s="15" t="str">
        <x:v>Entreperner flow Iray -SPS</x:v>
      </x:c>
      <x:c r="C271" s="15" t="str">
        <x:v>Precision Diagnosis - Magnetic Resonance (MR)</x:v>
      </x:c>
      <x:c r="D271" s="19" t="n">
        <x:v>0.1</x:v>
      </x:c>
      <x:c r="E271" s="15" t="str">
        <x:v>ROI-Based Portfolio</x:v>
      </x:c>
      <x:c r="F271" s="15" t="str">
        <x:f>'Portfolio Model'!U449</x:f>
        <x:v>Evidence missing / not eligible</x:v>
      </x:c>
      <x:c r="G271" s="16" t="str">
        <x:v>Automatic</x:v>
      </x:c>
      <x:c r="H271" s="16" t="str"/>
      <x:c r="I271" s="15" t="str">
        <x:v>Bu!550</x:v>
      </x:c>
    </x:row>
    <x:row r="272">
      <x:c r="A272" s="15" t="str">
        <x:v>Bu-243</x:v>
      </x:c>
      <x:c r="B272" s="15" t="str">
        <x:v>DEFOA Iray OEM 1EMS IT structure</x:v>
      </x:c>
      <x:c r="C272" s="15" t="str">
        <x:v>Precision Diagnosis - Magnetic Resonance (MR)</x:v>
      </x:c>
      <x:c r="D272" s="19" t="n">
        <x:v>0.05</x:v>
      </x:c>
      <x:c r="E272" s="15" t="str">
        <x:v>ROI-Based Portfolio</x:v>
      </x:c>
      <x:c r="F272" s="15" t="str">
        <x:f>'Portfolio Model'!U450</x:f>
        <x:v>Evidence missing / not eligible</x:v>
      </x:c>
      <x:c r="G272" s="16" t="str">
        <x:v>Automatic</x:v>
      </x:c>
      <x:c r="H272" s="16" t="str"/>
      <x:c r="I272" s="15" t="str">
        <x:v>Bu!551</x:v>
      </x:c>
    </x:row>
    <x:row r="273">
      <x:c r="A273" s="15" t="str">
        <x:v>Bu-245</x:v>
      </x:c>
      <x:c r="B273" s="15" t="str">
        <x:v>DEFOA Brain AI program</x:v>
      </x:c>
      <x:c r="C273" s="15" t="str">
        <x:v>Precision Diagnosis - Magnetic Resonance (MR)</x:v>
      </x:c>
      <x:c r="D273" s="19" t="n">
        <x:v>0.08</x:v>
      </x:c>
      <x:c r="E273" s="15" t="str">
        <x:v>ROI-Based Portfolio</x:v>
      </x:c>
      <x:c r="F273" s="15" t="str">
        <x:f>'Portfolio Model'!U451</x:f>
        <x:v>Evidence missing / not eligible</x:v>
      </x:c>
      <x:c r="G273" s="16" t="str">
        <x:v>Automatic</x:v>
      </x:c>
      <x:c r="H273" s="16" t="str"/>
      <x:c r="I273" s="15" t="str">
        <x:v>Bu!553</x:v>
      </x:c>
    </x:row>
    <x:row r="274">
      <x:c r="A274" s="15" t="str">
        <x:v>Bu-248</x:v>
      </x:c>
      <x:c r="B274" s="15" t="str">
        <x:v>SAP Functionality expansion LMPC/LFP (Pune &amp; Latham)</x:v>
      </x:c>
      <x:c r="C274" s="15" t="str">
        <x:v>Precision Diagnosis - Magnetic Resonance (MR)</x:v>
      </x:c>
      <x:c r="D274" s="19" t="n">
        <x:v>0.08</x:v>
      </x:c>
      <x:c r="E274" s="15" t="str">
        <x:v>ROI-Based Portfolio</x:v>
      </x:c>
      <x:c r="F274" s="15" t="str">
        <x:f>'Portfolio Model'!U452</x:f>
        <x:v>Evidence missing / not eligible</x:v>
      </x:c>
      <x:c r="G274" s="16" t="str">
        <x:v>Automatic</x:v>
      </x:c>
      <x:c r="H274" s="16" t="str"/>
      <x:c r="I274" s="15" t="str">
        <x:v>Bu!556</x:v>
      </x:c>
    </x:row>
    <x:row r="275">
      <x:c r="A275" s="15" t="str">
        <x:v>Bu-272</x:v>
      </x:c>
      <x:c r="B275" s="15" t="str">
        <x:v>Pricing System new</x:v>
      </x:c>
      <x:c r="C275" s="15" t="str">
        <x:v>CoE Marketing – HS (former DMEC)</x:v>
      </x:c>
      <x:c r="D275" s="19" t="n">
        <x:v>0.2</x:v>
      </x:c>
      <x:c r="E275" s="15" t="str">
        <x:v>ROI-Based Portfolio</x:v>
      </x:c>
      <x:c r="F275" s="15" t="str">
        <x:f>'Portfolio Model'!U453</x:f>
        <x:v>Evidence missing / not eligible</x:v>
      </x:c>
      <x:c r="G275" s="16" t="str">
        <x:v>Automatic</x:v>
      </x:c>
      <x:c r="H275" s="16" t="str"/>
      <x:c r="I275" s="15" t="str">
        <x:v>Bu!580</x:v>
      </x:c>
    </x:row>
    <x:row r="276">
      <x:c r="A276" s="15" t="str">
        <x:v>Bu-286</x:v>
      </x:c>
      <x:c r="B276" s="15" t="str">
        <x:v>3PL Transformation (Dual 3PL ) - India</x:v>
      </x:c>
      <x:c r="C276" s="15" t="str">
        <x:v>Personal Health (PH)</x:v>
      </x:c>
      <x:c r="D276" s="19" t="n">
        <x:v>0.175</x:v>
      </x:c>
      <x:c r="E276" s="15" t="str">
        <x:v>ROI-Based Portfolio</x:v>
      </x:c>
      <x:c r="F276" s="15" t="str">
        <x:f>'Portfolio Model'!U454</x:f>
        <x:v>Evidence missing / not eligible</x:v>
      </x:c>
      <x:c r="G276" s="16" t="str">
        <x:v>Automatic</x:v>
      </x:c>
      <x:c r="H276" s="16" t="str"/>
      <x:c r="I276" s="15" t="str">
        <x:v>Bu!596</x:v>
      </x:c>
    </x:row>
    <x:row r="277">
      <x:c r="A277" s="15" t="str">
        <x:v>Bu-293</x:v>
      </x:c>
      <x:c r="B277" s="15" t="str">
        <x:v>Amazon Agentic Planning &amp; Simulation Hub</x:v>
      </x:c>
      <x:c r="C277" s="15" t="str">
        <x:v>Personal Health (PH)</x:v>
      </x:c>
      <x:c r="D277" s="19" t="n">
        <x:v>0.35</x:v>
      </x:c>
      <x:c r="E277" s="15" t="str">
        <x:v>ROI-Based Portfolio</x:v>
      </x:c>
      <x:c r="F277" s="15" t="str">
        <x:f>'Portfolio Model'!U455</x:f>
        <x:v>Evidence missing / not eligible</x:v>
      </x:c>
      <x:c r="G277" s="16" t="str">
        <x:v>Automatic</x:v>
      </x:c>
      <x:c r="H277" s="16" t="str"/>
      <x:c r="I277" s="15" t="str">
        <x:v>Bu!611</x:v>
      </x:c>
    </x:row>
    <x:row r="278">
      <x:c r="A278" s="15" t="str">
        <x:v>Bu-301</x:v>
      </x:c>
      <x:c r="B278" s="15" t="str">
        <x:v>Enabling marketing content automation: E2E Claims digitalization</x:v>
      </x:c>
      <x:c r="C278" s="15" t="str">
        <x:v>Personal Health (PH)</x:v>
      </x:c>
      <x:c r="D278" s="19" t="n">
        <x:v>0.2</x:v>
      </x:c>
      <x:c r="E278" s="15" t="str">
        <x:v>ROI-Based Portfolio</x:v>
      </x:c>
      <x:c r="F278" s="15" t="str">
        <x:f>'Portfolio Model'!U456</x:f>
        <x:v>Evidence missing / not eligible</x:v>
      </x:c>
      <x:c r="G278" s="16" t="str">
        <x:v>Automatic</x:v>
      </x:c>
      <x:c r="H278" s="16" t="str"/>
      <x:c r="I278" s="15" t="str">
        <x:v>Bu!624</x:v>
      </x:c>
    </x:row>
    <x:row r="279">
      <x:c r="A279" s="15" t="str">
        <x:v>Bu-319</x:v>
      </x:c>
      <x:c r="B279" s="15" t="str">
        <x:v>Telephony Transformation - End-of-Life Replacement</x:v>
      </x:c>
      <x:c r="C279" s="15" t="str">
        <x:v>Personal Health (PH)</x:v>
      </x:c>
      <x:c r="D279" s="19" t="n">
        <x:v>0.3</x:v>
      </x:c>
      <x:c r="E279" s="15" t="str">
        <x:v>ROI-Based Portfolio</x:v>
      </x:c>
      <x:c r="F279" s="15" t="str">
        <x:f>'Portfolio Model'!U457</x:f>
        <x:v>Evidence missing / not eligible</x:v>
      </x:c>
      <x:c r="G279" s="16" t="str">
        <x:v>Automatic</x:v>
      </x:c>
      <x:c r="H279" s="16" t="str"/>
      <x:c r="I279" s="15" t="str">
        <x:v>Bu!653</x:v>
      </x:c>
    </x:row>
    <x:row r="280">
      <x:c r="A280" s="15" t="str">
        <x:v>Bu-320</x:v>
      </x:c>
      <x:c r="B280" s="15" t="str">
        <x:v>TikTok Automated Consignment Flow</x:v>
      </x:c>
      <x:c r="C280" s="15" t="str">
        <x:v>Personal Health (PH)</x:v>
      </x:c>
      <x:c r="D280" s="19" t="n">
        <x:v>0.245</x:v>
      </x:c>
      <x:c r="E280" s="15" t="str">
        <x:v>ROI-Based Portfolio</x:v>
      </x:c>
      <x:c r="F280" s="15" t="str">
        <x:f>'Portfolio Model'!U458</x:f>
        <x:v>Evidence missing / not eligible</x:v>
      </x:c>
      <x:c r="G280" s="16" t="str">
        <x:v>Automatic</x:v>
      </x:c>
      <x:c r="H280" s="16" t="str"/>
      <x:c r="I280" s="15" t="str">
        <x:v>Bu!657</x:v>
      </x:c>
    </x:row>
    <x:row r="281">
      <x:c r="A281" s="15" t="str">
        <x:v>Bu-80</x:v>
      </x:c>
      <x:c r="B281" s="15" t="str">
        <x:v>IR27#15 - ORU extension requirement (too early to submit/judge, ballpark 500K, Exco discussion proceeding)</x:v>
      </x:c>
      <x:c r="C281" s="15" t="str">
        <x:v>International Regions (IR)</x:v>
      </x:c>
      <x:c r="D281" s="19" t="n">
        <x:v>0</x:v>
      </x:c>
      <x:c r="E281" s="15" t="str">
        <x:v>ROI-Based Portfolio</x:v>
      </x:c>
      <x:c r="F281" s="15" t="str">
        <x:f>'Portfolio Model'!U459</x:f>
        <x:v>Evidence missing / not eligible</x:v>
      </x:c>
      <x:c r="G281" s="16" t="str">
        <x:v>Automatic</x:v>
      </x:c>
      <x:c r="H281" s="16" t="str"/>
      <x:c r="I281" s="15" t="str">
        <x:v>Bu!204</x:v>
      </x:c>
    </x:row>
    <x:row r="282">
      <x:c r="A282" s="15" t="str">
        <x:v>Bu-223</x:v>
      </x:c>
      <x:c r="B282" s="15" t="str">
        <x:v>Two white label products: NiBP cuff and SPO2 sensor will be added to the portfolio.</x:v>
      </x:c>
      <x:c r="C282" s="15" t="str">
        <x:v>Monitoring - HPM (MCH)</x:v>
      </x:c>
      <x:c r="D282" s="19" t="n">
        <x:v>0</x:v>
      </x:c>
      <x:c r="E282" s="15" t="str">
        <x:v>ROI-Based Portfolio</x:v>
      </x:c>
      <x:c r="F282" s="15" t="str">
        <x:f>'Portfolio Model'!U460</x:f>
        <x:v>Evidence missing / not eligible</x:v>
      </x:c>
      <x:c r="G282" s="16" t="str">
        <x:v>Automatic</x:v>
      </x:c>
      <x:c r="H282" s="16" t="str"/>
      <x:c r="I282" s="15" t="str">
        <x:v>Bu!518</x:v>
      </x:c>
    </x:row>
    <x:row r="283">
      <x:c r="A283" s="15" t="str">
        <x:v>Bu-226</x:v>
      </x:c>
      <x:c r="B283" s="15" t="str">
        <x:v>SpO2 Oem business setup</x:v>
      </x:c>
      <x:c r="C283" s="15" t="str">
        <x:v>Monitoring - HPM (MCH)</x:v>
      </x:c>
      <x:c r="D283" s="19" t="n">
        <x:v>0</x:v>
      </x:c>
      <x:c r="E283" s="15" t="str">
        <x:v>ROI-Based Portfolio</x:v>
      </x:c>
      <x:c r="F283" s="15" t="str">
        <x:f>'Portfolio Model'!U461</x:f>
        <x:v>Evidence missing / not eligible</x:v>
      </x:c>
      <x:c r="G283" s="16" t="str">
        <x:v>Automatic</x:v>
      </x:c>
      <x:c r="H283" s="16" t="str"/>
      <x:c r="I283" s="15" t="str">
        <x:v>Bu!521</x:v>
      </x:c>
    </x:row>
    <x:row r="284">
      <x:c r="A284" s="15" t="str">
        <x:v>Bu-239</x:v>
      </x:c>
      <x:c r="B284" s="15" t="str">
        <x:v>Topkal</x:v>
      </x:c>
      <x:c r="C284" s="15" t="str">
        <x:v>Monitoring - HPM (MCH)</x:v>
      </x:c>
      <x:c r="D284" s="19" t="n">
        <x:v>0</x:v>
      </x:c>
      <x:c r="E284" s="15" t="str">
        <x:v>ROI-Based Portfolio</x:v>
      </x:c>
      <x:c r="F284" s="15" t="str">
        <x:f>'Portfolio Model'!U462</x:f>
        <x:v>Evidence missing / not eligible</x:v>
      </x:c>
      <x:c r="G284" s="16" t="str">
        <x:v>Automatic</x:v>
      </x:c>
      <x:c r="H284" s="16" t="str"/>
      <x:c r="I284" s="15" t="str">
        <x:v>Bu!541</x:v>
      </x:c>
    </x:row>
    <x:row r="285">
      <x:c r="A285" s="15" t="str">
        <x:v>Bu-136</x:v>
      </x:c>
      <x:c r="B285" s="15" t="str">
        <x:v>Commercial Excellence Program - GtM and Channel CRM</x:v>
      </x:c>
      <x:c r="C285" s="15" t="str">
        <x:v>Enterprise Informatics (EI)</x:v>
      </x:c>
      <x:c r="D285" s="19" t="n">
        <x:v>0.2</x:v>
      </x:c>
      <x:c r="E285" s="15" t="str">
        <x:v>ROI-Based Portfolio</x:v>
      </x:c>
      <x:c r="F285" s="15" t="str">
        <x:f>'Portfolio Model'!U463</x:f>
        <x:v>Evidence missing / not eligible</x:v>
      </x:c>
      <x:c r="G285" s="16" t="str">
        <x:v>Automatic</x:v>
      </x:c>
      <x:c r="H285" s="16" t="str"/>
      <x:c r="I285" s="15" t="str">
        <x:v>Bu!331</x:v>
      </x:c>
    </x:row>
    <x:row r="286">
      <x:c r="A286" s="15" t="str">
        <x:v>Bu-267</x:v>
      </x:c>
      <x:c r="B286" s="15" t="str">
        <x:v>HPM Impact Dashboard &amp; AI</x:v>
      </x:c>
      <x:c r="C286" s="15" t="str">
        <x:v>Monitoring - HPM (MCH)</x:v>
      </x:c>
      <x:c r="D286" s="19" t="n">
        <x:v>0.1</x:v>
      </x:c>
      <x:c r="E286" s="15" t="str">
        <x:v>ROI-Based Portfolio</x:v>
      </x:c>
      <x:c r="F286" s="15" t="str">
        <x:f>'Portfolio Model'!U464</x:f>
        <x:v>Evidence missing / not eligible</x:v>
      </x:c>
      <x:c r="G286" s="16" t="str">
        <x:v>Automatic</x:v>
      </x:c>
      <x:c r="H286" s="16" t="str"/>
      <x:c r="I286" s="15" t="str">
        <x:v>Bu!575</x:v>
      </x:c>
    </x:row>
    <x:row r="287">
      <x:c r="A287" s="15" t="str">
        <x:v>Bu-309</x:v>
      </x:c>
      <x:c r="B287" s="15" t="str">
        <x:v>KSA (SA11) New 3PL Partner Project</x:v>
      </x:c>
      <x:c r="C287" s="15" t="str">
        <x:v>Personal Health (PH)</x:v>
      </x:c>
      <x:c r="D287" s="19" t="n">
        <x:v>0.669</x:v>
      </x:c>
      <x:c r="E287" s="15" t="str">
        <x:v>ROI-Based Portfolio</x:v>
      </x:c>
      <x:c r="F287" s="15" t="str">
        <x:f>'Portfolio Model'!U465</x:f>
        <x:v>Evidence missing / not eligible</x:v>
      </x:c>
      <x:c r="G287" s="16" t="str">
        <x:v>Automatic</x:v>
      </x:c>
      <x:c r="H287" s="16" t="str"/>
      <x:c r="I287" s="15" t="str">
        <x:v>Bu!635</x:v>
      </x:c>
    </x:row>
    <x:row r="288">
      <x:c r="A288" s="15" t="str">
        <x:v>Bu-276</x:v>
      </x:c>
      <x:c r="B288" s="15" t="str">
        <x:v>Web - Personalization &amp; orchestration to leverage CDP</x:v>
      </x:c>
      <x:c r="C288" s="15" t="str">
        <x:v>CoE Marketing – HS (former DMEC)</x:v>
      </x:c>
      <x:c r="D288" s="19" t="n">
        <x:v>0.25</x:v>
      </x:c>
      <x:c r="E288" s="15" t="str">
        <x:v>ROI-Based Portfolio</x:v>
      </x:c>
      <x:c r="F288" s="15" t="str">
        <x:f>'Portfolio Model'!U467</x:f>
        <x:v>Evidence missing / not eligible</x:v>
      </x:c>
      <x:c r="G288" s="16" t="str">
        <x:v>Automatic</x:v>
      </x:c>
      <x:c r="H288" s="16" t="str"/>
      <x:c r="I288" s="15" t="str">
        <x:v>Bu!584</x:v>
      </x:c>
    </x:row>
    <x:row r="289">
      <x:c r="A289" s="15" t="str">
        <x:v>Bu-214</x:v>
      </x:c>
      <x:c r="B289" s="15" t="str">
        <x:v>Early Skills Validation in SMAX</x:v>
      </x:c>
      <x:c r="C289" s="15" t="str">
        <x:v>Monitoring - HPM (MCH)</x:v>
      </x:c>
      <x:c r="D289" s="19" t="n">
        <x:v>0.25</x:v>
      </x:c>
      <x:c r="E289" s="15" t="str">
        <x:v>ROI-Based Portfolio</x:v>
      </x:c>
      <x:c r="F289" s="15" t="str">
        <x:f>'Portfolio Model'!U468</x:f>
        <x:v>Evidence missing / not eligible</x:v>
      </x:c>
      <x:c r="G289" s="16" t="str">
        <x:v>Automatic</x:v>
      </x:c>
      <x:c r="H289" s="16" t="str"/>
      <x:c r="I289" s="15" t="str">
        <x:v>Bu!507</x:v>
      </x:c>
    </x:row>
    <x:row r="290">
      <x:c r="A290" s="15" t="str">
        <x:v>Bu-217</x:v>
      </x:c>
      <x:c r="B290" s="15" t="str">
        <x:v>FCO Partner Portal Validations Req</x:v>
      </x:c>
      <x:c r="C290" s="15" t="str">
        <x:v>Monitoring - HPM (MCH)</x:v>
      </x:c>
      <x:c r="D290" s="19" t="n">
        <x:v>0.11</x:v>
      </x:c>
      <x:c r="E290" s="15" t="str">
        <x:v>ROI-Based Portfolio</x:v>
      </x:c>
      <x:c r="F290" s="15" t="str">
        <x:f>'Portfolio Model'!U469</x:f>
        <x:v>Evidence missing / not eligible</x:v>
      </x:c>
      <x:c r="G290" s="16" t="str">
        <x:v>Automatic</x:v>
      </x:c>
      <x:c r="H290" s="16" t="str"/>
      <x:c r="I290" s="15" t="str">
        <x:v>Bu!510</x:v>
      </x:c>
    </x:row>
    <x:row r="291">
      <x:c r="A291" s="15" t="str">
        <x:v>Bu-232</x:v>
      </x:c>
      <x:c r="B291" s="15" t="str">
        <x:v>DUPLICATE - Circular Lifecycle Solutions and Spare parts delivery</x:v>
      </x:c>
      <x:c r="C291" s="15" t="str">
        <x:v>Monitoring - HPM (MCH)</x:v>
      </x:c>
      <x:c r="D291" s="19" t="n">
        <x:v>0</x:v>
      </x:c>
      <x:c r="E291" s="15" t="str">
        <x:v>ROI-Based Portfolio</x:v>
      </x:c>
      <x:c r="F291" s="15" t="str">
        <x:f>'Portfolio Model'!U470</x:f>
        <x:v>Evidence missing / not eligible</x:v>
      </x:c>
      <x:c r="G291" s="16" t="str">
        <x:v>Automatic</x:v>
      </x:c>
      <x:c r="H291" s="16" t="str"/>
      <x:c r="I291" s="15" t="str">
        <x:v>Bu!534</x:v>
      </x:c>
    </x:row>
    <x:row r="292">
      <x:c r="A292" s="15" t="str">
        <x:v>Bu-233</x:v>
      </x:c>
      <x:c r="B292" s="15" t="str">
        <x:v>PS cloud Capability Development</x:v>
      </x:c>
      <x:c r="C292" s="15" t="str">
        <x:v>Monitoring - HPM (MCH)</x:v>
      </x:c>
      <x:c r="D292" s="19" t="n">
        <x:v>0.25</x:v>
      </x:c>
      <x:c r="E292" s="15" t="str">
        <x:v>ROI-Based Portfolio</x:v>
      </x:c>
      <x:c r="F292" s="15" t="str">
        <x:f>'Portfolio Model'!U471</x:f>
        <x:v>Evidence missing / not eligible</x:v>
      </x:c>
      <x:c r="G292" s="16" t="str">
        <x:v>Automatic</x:v>
      </x:c>
      <x:c r="H292" s="16" t="str"/>
      <x:c r="I292" s="15" t="str">
        <x:v>Bu!535</x:v>
      </x:c>
    </x:row>
    <x:row r="293">
      <x:c r="A293" s="15" t="str">
        <x:v>Bu-row-516</x:v>
      </x:c>
      <x:c r="B293" s="15" t="str">
        <x:v>Two white label products: NiBP cuff and SPO2 sensor will be added to the portfolio. (100K)</x:v>
      </x:c>
      <x:c r="C293" s="15" t="str"/>
      <x:c r="D293" s="19" t="n">
        <x:v>0</x:v>
      </x:c>
      <x:c r="E293" s="15" t="str">
        <x:v>ROI-Based Portfolio</x:v>
      </x:c>
      <x:c r="F293" s="15" t="str">
        <x:f>'Portfolio Model'!U472</x:f>
        <x:v>Evidence missing / not eligible</x:v>
      </x:c>
      <x:c r="G293" s="16" t="str">
        <x:v>Automatic</x:v>
      </x:c>
      <x:c r="H293" s="16" t="str"/>
      <x:c r="I293" s="15" t="str">
        <x:v>Bu!516</x:v>
      </x:c>
    </x:row>
    <x:row r="294">
      <x:c r="A294" s="15" t="str">
        <x:v>Bu-row-517</x:v>
      </x:c>
      <x:c r="B294" s="15" t="str">
        <x:v>SpO2 Oem business setup (160K)</x:v>
      </x:c>
      <x:c r="C294" s="15" t="str"/>
      <x:c r="D294" s="19" t="n">
        <x:v>0</x:v>
      </x:c>
      <x:c r="E294" s="15" t="str">
        <x:v>ROI-Based Portfolio</x:v>
      </x:c>
      <x:c r="F294" s="15" t="str">
        <x:f>'Portfolio Model'!U473</x:f>
        <x:v>Evidence missing / not eligible</x:v>
      </x:c>
      <x:c r="G294" s="16" t="str">
        <x:v>Automatic</x:v>
      </x:c>
      <x:c r="H294" s="16" t="str"/>
      <x:c r="I294" s="15" t="str">
        <x:v>Bu!517</x:v>
      </x:c>
    </x:row>
    <x:row r="295">
      <x:c r="A295" s="15" t="str">
        <x:v>Bu-78</x:v>
      </x:c>
      <x:c r="B295" s="15" t="str">
        <x:v>(idle)</x:v>
      </x:c>
      <x:c r="C295" s="15" t="str">
        <x:v>International Regions (IR)</x:v>
      </x:c>
      <x:c r="D295" s="19" t="n">
        <x:v>0</x:v>
      </x:c>
      <x:c r="E295" s="15" t="str">
        <x:v>ROI-Based Portfolio</x:v>
      </x:c>
      <x:c r="F295" s="15" t="str">
        <x:f>'Portfolio Model'!U474</x:f>
        <x:v>Evidence missing / not eligible</x:v>
      </x:c>
      <x:c r="G295" s="16" t="str">
        <x:v>Automatic</x:v>
      </x:c>
      <x:c r="H295" s="16" t="str"/>
      <x:c r="I295" s="15" t="str">
        <x:v>Bu!199</x:v>
      </x:c>
    </x:row>
    <x:row r="296">
      <x:c r="A296" s="15" t="str">
        <x:v>Bu-238</x:v>
      </x:c>
      <x:c r="B296" s="15" t="str">
        <x:v>DUPLICATE - Direct Procurement</x:v>
      </x:c>
      <x:c r="C296" s="15" t="str">
        <x:v>Monitoring - HPM (MCH)</x:v>
      </x:c>
      <x:c r="D296" s="19" t="n">
        <x:v>0</x:v>
      </x:c>
      <x:c r="E296" s="15" t="str">
        <x:v>ROI-Based Portfolio</x:v>
      </x:c>
      <x:c r="F296" s="15" t="str">
        <x:f>'Portfolio Model'!U475</x:f>
        <x:v>Evidence missing / not eligible</x:v>
      </x:c>
      <x:c r="G296" s="16" t="str">
        <x:v>Automatic</x:v>
      </x:c>
      <x:c r="H296" s="16" t="str"/>
      <x:c r="I296" s="15" t="str">
        <x:v>Bu!540</x:v>
      </x:c>
    </x:row>
    <x:row r="297">
      <x:c r="A297" s="15" t="str">
        <x:v>Bu-291</x:v>
      </x:c>
      <x:c r="B297" s="15" t="str">
        <x:v>AI Simplification &amp; Automation of Sustainability Documentation Workstream</x:v>
      </x:c>
      <x:c r="C297" s="15" t="str">
        <x:v>Personal Health (PH)</x:v>
      </x:c>
      <x:c r="D297" s="19" t="n">
        <x:v>0</x:v>
      </x:c>
      <x:c r="E297" s="15" t="str">
        <x:v>ROI-Based Portfolio</x:v>
      </x:c>
      <x:c r="F297" s="15" t="str">
        <x:f>'Portfolio Model'!U476</x:f>
        <x:v>Evidence missing / not eligible</x:v>
      </x:c>
      <x:c r="G297" s="16" t="str">
        <x:v>Automatic</x:v>
      </x:c>
      <x:c r="H297" s="16" t="str"/>
      <x:c r="I297" s="15" t="str">
        <x:v>Bu!609</x:v>
      </x:c>
    </x:row>
    <x:row r="298">
      <x:c r="A298" s="15" t="str">
        <x:v>Bu-298</x:v>
      </x:c>
      <x:c r="B298" s="15" t="str">
        <x:v>Drive conversion lift on Philips.com with AI-driven Digital analytics</x:v>
      </x:c>
      <x:c r="C298" s="15" t="str">
        <x:v>Personal Health (PH)</x:v>
      </x:c>
      <x:c r="D298" s="19" t="n">
        <x:v>0</x:v>
      </x:c>
      <x:c r="E298" s="15" t="str">
        <x:v>ROI-Based Portfolio</x:v>
      </x:c>
      <x:c r="F298" s="15" t="str">
        <x:f>'Portfolio Model'!U477</x:f>
        <x:v>Evidence missing / not eligible</x:v>
      </x:c>
      <x:c r="G298" s="16" t="str">
        <x:v>Automatic</x:v>
      </x:c>
      <x:c r="H298" s="16" t="str"/>
      <x:c r="I298" s="15" t="str">
        <x:v>Bu!621</x:v>
      </x:c>
    </x:row>
    <x:row r="299">
      <x:c r="A299" s="15" t="str">
        <x:v>Bu-300</x:v>
      </x:c>
      <x:c r="B299" s="15" t="str">
        <x:v>E2E simplification of R&amp;D Purchase order Creation</x:v>
      </x:c>
      <x:c r="C299" s="15" t="str">
        <x:v>Personal Health (PH)</x:v>
      </x:c>
      <x:c r="D299" s="19" t="n">
        <x:v>0</x:v>
      </x:c>
      <x:c r="E299" s="15" t="str">
        <x:v>ROI-Based Portfolio</x:v>
      </x:c>
      <x:c r="F299" s="15" t="str">
        <x:f>'Portfolio Model'!U478</x:f>
        <x:v>Evidence missing / not eligible</x:v>
      </x:c>
      <x:c r="G299" s="16" t="str">
        <x:v>Automatic</x:v>
      </x:c>
      <x:c r="H299" s="16" t="str"/>
      <x:c r="I299" s="15" t="str">
        <x:v>Bu!623</x:v>
      </x:c>
    </x:row>
    <x:row r="300">
      <x:c r="A300" s="15" t="str">
        <x:v>Bu-302</x:v>
      </x:c>
      <x:c r="B300" s="15" t="str">
        <x:v>GEO Scorekeeper &amp; Source Decoder</x:v>
      </x:c>
      <x:c r="C300" s="15" t="str">
        <x:v>Personal Health (PH)</x:v>
      </x:c>
      <x:c r="D300" s="19" t="n">
        <x:v>0</x:v>
      </x:c>
      <x:c r="E300" s="15" t="str">
        <x:v>ROI-Based Portfolio</x:v>
      </x:c>
      <x:c r="F300" s="15" t="str">
        <x:f>'Portfolio Model'!U479</x:f>
        <x:v>Evidence missing / not eligible</x:v>
      </x:c>
      <x:c r="G300" s="16" t="str">
        <x:v>Automatic</x:v>
      </x:c>
      <x:c r="H300" s="16" t="str"/>
      <x:c r="I300" s="15" t="str">
        <x:v>Bu!625</x:v>
      </x:c>
    </x:row>
    <x:row r="301">
      <x:c r="A301" s="15" t="str">
        <x:v>Bu-306</x:v>
      </x:c>
      <x:c r="B301" s="15" t="str">
        <x:v>Google Web analytics for D2C store</x:v>
      </x:c>
      <x:c r="C301" s="15" t="str">
        <x:v>Personal Health (PH)</x:v>
      </x:c>
      <x:c r="D301" s="19" t="n">
        <x:v>0</x:v>
      </x:c>
      <x:c r="E301" s="15" t="str">
        <x:v>ROI-Based Portfolio</x:v>
      </x:c>
      <x:c r="F301" s="15" t="str">
        <x:f>'Portfolio Model'!U480</x:f>
        <x:v>Evidence missing / not eligible</x:v>
      </x:c>
      <x:c r="G301" s="16" t="str">
        <x:v>Automatic</x:v>
      </x:c>
      <x:c r="H301" s="16" t="str"/>
      <x:c r="I301" s="15" t="str">
        <x:v>Bu!632</x:v>
      </x:c>
    </x:row>
    <x:row r="302">
      <x:c r="A302" s="15" t="str">
        <x:v>Bu-307</x:v>
      </x:c>
      <x:c r="B302" s="15" t="str">
        <x:v>Innovation Roadmapping &amp; Programming</x:v>
      </x:c>
      <x:c r="C302" s="15" t="str">
        <x:v>Personal Health (PH)</x:v>
      </x:c>
      <x:c r="D302" s="19" t="n">
        <x:v>0</x:v>
      </x:c>
      <x:c r="E302" s="15" t="str">
        <x:v>ROI-Based Portfolio</x:v>
      </x:c>
      <x:c r="F302" s="15" t="str">
        <x:f>'Portfolio Model'!U481</x:f>
        <x:v>Evidence missing / not eligible</x:v>
      </x:c>
      <x:c r="G302" s="16" t="str">
        <x:v>Automatic</x:v>
      </x:c>
      <x:c r="H302" s="16" t="str"/>
      <x:c r="I302" s="15" t="str">
        <x:v>Bu!633</x:v>
      </x:c>
    </x:row>
    <x:row r="303">
      <x:c r="A303" s="15" t="str">
        <x:v>Bu-310</x:v>
      </x:c>
      <x:c r="B303" s="15" t="str">
        <x:v>Labelling (IPL as a launch)</x:v>
      </x:c>
      <x:c r="C303" s="15" t="str">
        <x:v>Personal Health (PH)</x:v>
      </x:c>
      <x:c r="D303" s="19" t="n">
        <x:v>0</x:v>
      </x:c>
      <x:c r="E303" s="15" t="str">
        <x:v>ROI-Based Portfolio</x:v>
      </x:c>
      <x:c r="F303" s="15" t="str">
        <x:f>'Portfolio Model'!U482</x:f>
        <x:v>Evidence missing / not eligible</x:v>
      </x:c>
      <x:c r="G303" s="16" t="str">
        <x:v>Automatic</x:v>
      </x:c>
      <x:c r="H303" s="16" t="str"/>
      <x:c r="I303" s="15" t="str">
        <x:v>Bu!636</x:v>
      </x:c>
    </x:row>
    <x:row r="304">
      <x:c r="A304" s="15" t="str">
        <x:v>Bu-314</x:v>
      </x:c>
      <x:c r="B304" s="15" t="str">
        <x:v>Powering the AI-Native Organization</x:v>
      </x:c>
      <x:c r="C304" s="15" t="str">
        <x:v>Personal Health (PH)</x:v>
      </x:c>
      <x:c r="D304" s="19" t="n">
        <x:v>0</x:v>
      </x:c>
      <x:c r="E304" s="15" t="str">
        <x:v>ROI-Based Portfolio</x:v>
      </x:c>
      <x:c r="F304" s="15" t="str">
        <x:f>'Portfolio Model'!U483</x:f>
        <x:v>Evidence missing / not eligible</x:v>
      </x:c>
      <x:c r="G304" s="16" t="str">
        <x:v>Automatic</x:v>
      </x:c>
      <x:c r="H304" s="16" t="str"/>
      <x:c r="I304" s="15" t="str">
        <x:v>Bu!643</x:v>
      </x:c>
    </x:row>
    <x:row r="305">
      <x:c r="A305" s="15" t="str">
        <x:v>Bu-270</x:v>
      </x:c>
      <x:c r="B305" s="15" t="str"/>
      <x:c r="C305" s="15" t="str"/>
      <x:c r="D305" s="19" t="n">
        <x:v>0</x:v>
      </x:c>
      <x:c r="E305" s="15" t="str">
        <x:v>ROI-Based Portfolio</x:v>
      </x:c>
      <x:c r="F305" s="15" t="str">
        <x:f>'Portfolio Model'!U484</x:f>
        <x:v>Evidence missing / not eligible</x:v>
      </x:c>
      <x:c r="G305" s="16" t="str">
        <x:v>Automatic</x:v>
      </x:c>
      <x:c r="H305" s="16" t="str"/>
      <x:c r="I305" s="15" t="str">
        <x:v>Bu!578</x:v>
      </x:c>
    </x:row>
    <x:row r="306">
      <x:c r="A306" s="15" t="str">
        <x:v>Bu-330</x:v>
      </x:c>
      <x:c r="B306" s="15" t="str">
        <x:v>CoNQ data model &amp; reporting (warranty, field failures, returns)</x:v>
      </x:c>
      <x:c r="C306" s="15" t="str">
        <x:v>Precision Diagnosis - Magnetic Resonance (MR)</x:v>
      </x:c>
      <x:c r="D306" s="19" t="n">
        <x:v>0.45</x:v>
      </x:c>
      <x:c r="E306" s="15" t="str">
        <x:v>ROI-Based Portfolio</x:v>
      </x:c>
      <x:c r="F306" s="15" t="str">
        <x:f>'Portfolio Model'!U485</x:f>
        <x:v>Evidence missing / not eligible</x:v>
      </x:c>
      <x:c r="G306" s="16" t="str">
        <x:v>Automatic</x:v>
      </x:c>
      <x:c r="H306" s="16" t="str"/>
      <x:c r="I306" s="15" t="str">
        <x:v>Bu!667</x:v>
      </x:c>
    </x:row>
    <x:row r="307">
      <x:c r="A307" s="15" t="str">
        <x:v>Bu-331</x:v>
      </x:c>
      <x:c r="B307" s="15" t="str">
        <x:v>AI Consumption &amp; Document Processing Optimization</x:v>
      </x:c>
      <x:c r="C307" s="15" t="str">
        <x:v>Precision Diagnosis - Magnetic Resonance (MR)</x:v>
      </x:c>
      <x:c r="D307" s="19" t="n">
        <x:v>0.05</x:v>
      </x:c>
      <x:c r="E307" s="15" t="str">
        <x:v>ROI-Based Portfolio</x:v>
      </x:c>
      <x:c r="F307" s="15" t="str">
        <x:f>'Portfolio Model'!U486</x:f>
        <x:v>Evidence missing / not eligible</x:v>
      </x:c>
      <x:c r="G307" s="16" t="str">
        <x:v>Automatic</x:v>
      </x:c>
      <x:c r="H307" s="16" t="str"/>
      <x:c r="I307" s="15" t="str">
        <x:v>Bu!668</x:v>
      </x:c>
    </x:row>
    <x:row r="308">
      <x:c r="A308" s="15" t="str">
        <x:v>Bu-332</x:v>
      </x:c>
      <x:c r="B308" s="15" t="str">
        <x:v>Learning &amp; IFU Material creation optimzation</x:v>
      </x:c>
      <x:c r="C308" s="15" t="str">
        <x:v>Precision Diagnosis - Magnetic Resonance (MR)</x:v>
      </x:c>
      <x:c r="D308" s="19" t="n">
        <x:v>0.8</x:v>
      </x:c>
      <x:c r="E308" s="15" t="str">
        <x:v>ROI-Based Portfolio</x:v>
      </x:c>
      <x:c r="F308" s="15" t="str">
        <x:f>'Portfolio Model'!U487</x:f>
        <x:v>Evidence missing / not eligible</x:v>
      </x:c>
      <x:c r="G308" s="16" t="str">
        <x:v>Automatic</x:v>
      </x:c>
      <x:c r="H308" s="16" t="str"/>
      <x:c r="I308" s="15" t="str">
        <x:v>Bu!669</x:v>
      </x:c>
    </x:row>
    <x:row r="309">
      <x:c r="A309" s="15" t="str">
        <x:v>Bu-336</x:v>
      </x:c>
      <x:c r="B309" s="15" t="str">
        <x:v>Packaging cost improvement</x:v>
      </x:c>
      <x:c r="C309" s="15" t="str">
        <x:v>Precision Diagnosis - Magnetic Resonance (MR)</x:v>
      </x:c>
      <x:c r="D309" s="19" t="n">
        <x:v>0.2</x:v>
      </x:c>
      <x:c r="E309" s="15" t="str">
        <x:v>ROI-Based Portfolio</x:v>
      </x:c>
      <x:c r="F309" s="15" t="str">
        <x:f>'Portfolio Model'!U488</x:f>
        <x:v>Evidence missing / not eligible</x:v>
      </x:c>
      <x:c r="G309" s="16" t="str">
        <x:v>Automatic</x:v>
      </x:c>
      <x:c r="H309" s="16" t="str"/>
      <x:c r="I309" s="15" t="str">
        <x:v>Bu!673</x:v>
      </x:c>
    </x:row>
    <x:row r="310">
      <x:c r="A310" s="15" t="str">
        <x:v>Bu-05</x:v>
      </x:c>
      <x:c r="B310" s="15" t="str"/>
      <x:c r="C310" s="15" t="str"/>
      <x:c r="D310" s="19" t="n">
        <x:v>0</x:v>
      </x:c>
      <x:c r="E310" s="15" t="str">
        <x:v>ROI-Based Portfolio</x:v>
      </x:c>
      <x:c r="F310" s="15" t="str">
        <x:f>'Portfolio Model'!U490</x:f>
        <x:v>Evidence missing / not eligible</x:v>
      </x:c>
      <x:c r="G310" s="16" t="str">
        <x:v>Automatic</x:v>
      </x:c>
      <x:c r="H310" s="16" t="str"/>
      <x:c r="I310" s="15" t="str">
        <x:v>Bu!9</x:v>
      </x:c>
    </x:row>
    <x:row r="311">
      <x:c r="A311" s="15" t="str">
        <x:v>Bu-34</x:v>
      </x:c>
      <x:c r="B311" s="15" t="str"/>
      <x:c r="C311" s="15" t="str"/>
      <x:c r="D311" s="19" t="n">
        <x:v>0</x:v>
      </x:c>
      <x:c r="E311" s="15" t="str">
        <x:v>ROI-Based Portfolio</x:v>
      </x:c>
      <x:c r="F311" s="15" t="str">
        <x:f>'Portfolio Model'!U491</x:f>
        <x:v>Evidence missing / not eligible</x:v>
      </x:c>
      <x:c r="G311" s="16" t="str">
        <x:v>Automatic</x:v>
      </x:c>
      <x:c r="H311" s="16" t="str"/>
      <x:c r="I311" s="15" t="str">
        <x:v>Bu!88</x:v>
      </x:c>
    </x:row>
    <x:row r="312">
      <x:c r="A312" s="15" t="str">
        <x:v>Bu-56</x:v>
      </x:c>
      <x:c r="B312" s="15" t="str"/>
      <x:c r="C312" s="15" t="str"/>
      <x:c r="D312" s="19" t="n">
        <x:v>0</x:v>
      </x:c>
      <x:c r="E312" s="15" t="str">
        <x:v>ROI-Based Portfolio</x:v>
      </x:c>
      <x:c r="F312" s="15" t="str">
        <x:f>'Portfolio Model'!U492</x:f>
        <x:v>Evidence missing / not eligible</x:v>
      </x:c>
      <x:c r="G312" s="16" t="str">
        <x:v>Automatic</x:v>
      </x:c>
      <x:c r="H312" s="16" t="str"/>
      <x:c r="I312" s="15" t="str">
        <x:v>Bu!120</x:v>
      </x:c>
    </x:row>
    <x:row r="313">
      <x:c r="A313" s="15" t="str">
        <x:v>Bu-62</x:v>
      </x:c>
      <x:c r="B313" s="15" t="str"/>
      <x:c r="C313" s="15" t="str"/>
      <x:c r="D313" s="19" t="n">
        <x:v>0</x:v>
      </x:c>
      <x:c r="E313" s="15" t="str">
        <x:v>ROI-Based Portfolio</x:v>
      </x:c>
      <x:c r="F313" s="15" t="str">
        <x:f>'Portfolio Model'!U493</x:f>
        <x:v>Evidence missing / not eligible</x:v>
      </x:c>
      <x:c r="G313" s="16" t="str">
        <x:v>Automatic</x:v>
      </x:c>
      <x:c r="H313" s="16" t="str"/>
      <x:c r="I313" s="15" t="str">
        <x:v>Bu!135</x:v>
      </x:c>
    </x:row>
    <x:row r="314">
      <x:c r="A314" s="15" t="str">
        <x:v>Bu-64</x:v>
      </x:c>
      <x:c r="B314" s="15" t="str"/>
      <x:c r="C314" s="15" t="str"/>
      <x:c r="D314" s="19" t="n">
        <x:v>0</x:v>
      </x:c>
      <x:c r="E314" s="15" t="str">
        <x:v>ROI-Based Portfolio</x:v>
      </x:c>
      <x:c r="F314" s="15" t="str">
        <x:f>'Portfolio Model'!U494</x:f>
        <x:v>Evidence missing / not eligible</x:v>
      </x:c>
      <x:c r="G314" s="16" t="str">
        <x:v>Automatic</x:v>
      </x:c>
      <x:c r="H314" s="16" t="str"/>
      <x:c r="I314" s="15" t="str">
        <x:v>Bu!138</x:v>
      </x:c>
    </x:row>
    <x:row r="315">
      <x:c r="A315" s="15" t="str">
        <x:v>Bu-88</x:v>
      </x:c>
      <x:c r="B315" s="15" t="str"/>
      <x:c r="C315" s="15" t="str"/>
      <x:c r="D315" s="19" t="n">
        <x:v>0</x:v>
      </x:c>
      <x:c r="E315" s="15" t="str">
        <x:v>ROI-Based Portfolio</x:v>
      </x:c>
      <x:c r="F315" s="15" t="str">
        <x:f>'Portfolio Model'!U495</x:f>
        <x:v>Evidence missing / not eligible</x:v>
      </x:c>
      <x:c r="G315" s="16" t="str">
        <x:v>Automatic</x:v>
      </x:c>
      <x:c r="H315" s="16" t="str"/>
      <x:c r="I315" s="15" t="str">
        <x:v>Bu!228</x:v>
      </x:c>
    </x:row>
    <x:row r="316">
      <x:c r="A316" s="15" t="str">
        <x:v>Bu-119</x:v>
      </x:c>
      <x:c r="B316" s="15" t="str"/>
      <x:c r="C316" s="15" t="str"/>
      <x:c r="D316" s="19" t="n">
        <x:v>0</x:v>
      </x:c>
      <x:c r="E316" s="15" t="str">
        <x:v>ROI-Based Portfolio</x:v>
      </x:c>
      <x:c r="F316" s="15" t="str">
        <x:f>'Portfolio Model'!U496</x:f>
        <x:v>Evidence missing / not eligible</x:v>
      </x:c>
      <x:c r="G316" s="16" t="str">
        <x:v>Automatic</x:v>
      </x:c>
      <x:c r="H316" s="16" t="str"/>
      <x:c r="I316" s="15" t="str">
        <x:v>Bu!296</x:v>
      </x:c>
    </x:row>
    <x:row r="317">
      <x:c r="A317" s="15" t="str">
        <x:v>Bu-120</x:v>
      </x:c>
      <x:c r="B317" s="15" t="str"/>
      <x:c r="C317" s="15" t="str"/>
      <x:c r="D317" s="19" t="n">
        <x:v>0</x:v>
      </x:c>
      <x:c r="E317" s="15" t="str">
        <x:v>ROI-Based Portfolio</x:v>
      </x:c>
      <x:c r="F317" s="15" t="str">
        <x:f>'Portfolio Model'!U497</x:f>
        <x:v>Evidence missing / not eligible</x:v>
      </x:c>
      <x:c r="G317" s="16" t="str">
        <x:v>Automatic</x:v>
      </x:c>
      <x:c r="H317" s="16" t="str"/>
      <x:c r="I317" s="15" t="str">
        <x:v>Bu!297</x:v>
      </x:c>
    </x:row>
    <x:row r="318">
      <x:c r="A318" s="15" t="str">
        <x:v>Bu-121</x:v>
      </x:c>
      <x:c r="B318" s="15" t="str"/>
      <x:c r="C318" s="15" t="str"/>
      <x:c r="D318" s="19" t="n">
        <x:v>0</x:v>
      </x:c>
      <x:c r="E318" s="15" t="str">
        <x:v>ROI-Based Portfolio</x:v>
      </x:c>
      <x:c r="F318" s="15" t="str">
        <x:f>'Portfolio Model'!U498</x:f>
        <x:v>Evidence missing / not eligible</x:v>
      </x:c>
      <x:c r="G318" s="16" t="str">
        <x:v>Automatic</x:v>
      </x:c>
      <x:c r="H318" s="16" t="str"/>
      <x:c r="I318" s="15" t="str">
        <x:v>Bu!298</x:v>
      </x:c>
    </x:row>
    <x:row r="319">
      <x:c r="A319" s="15" t="str">
        <x:v>Bu-122</x:v>
      </x:c>
      <x:c r="B319" s="15" t="str"/>
      <x:c r="C319" s="15" t="str">
        <x:v>Service Transformation Office (STO)</x:v>
      </x:c>
      <x:c r="D319" s="19" t="n">
        <x:v>0</x:v>
      </x:c>
      <x:c r="E319" s="15" t="str">
        <x:v>ROI-Based Portfolio</x:v>
      </x:c>
      <x:c r="F319" s="15" t="str">
        <x:f>'Portfolio Model'!U499</x:f>
        <x:v>Evidence missing / not eligible</x:v>
      </x:c>
      <x:c r="G319" s="16" t="str">
        <x:v>Automatic</x:v>
      </x:c>
      <x:c r="H319" s="16" t="str"/>
      <x:c r="I319" s="15" t="str">
        <x:v>Bu!299</x:v>
      </x:c>
    </x:row>
    <x:row r="320">
      <x:c r="A320" s="15" t="str">
        <x:v>Bu-151</x:v>
      </x:c>
      <x:c r="B320" s="15" t="str"/>
      <x:c r="C320" s="15" t="str">
        <x:v>Precision Diagnosis - Magnetic Resonance (MR)</x:v>
      </x:c>
      <x:c r="D320" s="19" t="n">
        <x:v>0</x:v>
      </x:c>
      <x:c r="E320" s="15" t="str">
        <x:v>ROI-Based Portfolio</x:v>
      </x:c>
      <x:c r="F320" s="15" t="str">
        <x:f>'Portfolio Model'!U500</x:f>
        <x:v>Evidence missing / not eligible</x:v>
      </x:c>
      <x:c r="G320" s="16" t="str">
        <x:v>Automatic</x:v>
      </x:c>
      <x:c r="H320" s="16" t="str"/>
      <x:c r="I320" s="15" t="str">
        <x:v>Bu!357</x:v>
      </x:c>
    </x:row>
    <x:row r="321">
      <x:c r="A321" s="15" t="str">
        <x:v>Bu-216</x:v>
      </x:c>
      <x:c r="B321" s="15" t="str">
        <x:v>DUPLICATE - Compliance - GTC</x:v>
      </x:c>
      <x:c r="C321" s="15" t="str">
        <x:v>Monitoring - HPM (MCH)</x:v>
      </x:c>
      <x:c r="D321" s="19" t="n">
        <x:v>0</x:v>
      </x:c>
      <x:c r="E321" s="15" t="str">
        <x:v>ROI-Based Portfolio</x:v>
      </x:c>
      <x:c r="F321" s="15" t="str">
        <x:f>'Portfolio Model'!U501</x:f>
        <x:v>Evidence missing / not eligible</x:v>
      </x:c>
      <x:c r="G321" s="16" t="str">
        <x:v>Automatic</x:v>
      </x:c>
      <x:c r="H321" s="16" t="str"/>
      <x:c r="I321" s="15" t="str">
        <x:v>Bu!509</x:v>
      </x:c>
    </x:row>
    <x:row r="322">
      <x:c r="A322" s="15" t="str">
        <x:v>Bu-234</x:v>
      </x:c>
      <x:c r="B322" s="15" t="str">
        <x:v>DUPLICATE - Procurement - SC Next</x:v>
      </x:c>
      <x:c r="C322" s="15" t="str">
        <x:v>Monitoring - HPM (MCH)</x:v>
      </x:c>
      <x:c r="D322" s="19" t="n">
        <x:v>0</x:v>
      </x:c>
      <x:c r="E322" s="15" t="str">
        <x:v>ROI-Based Portfolio</x:v>
      </x:c>
      <x:c r="F322" s="15" t="str">
        <x:f>'Portfolio Model'!U502</x:f>
        <x:v>Evidence missing / not eligible</x:v>
      </x:c>
      <x:c r="G322" s="16" t="str">
        <x:v>Automatic</x:v>
      </x:c>
      <x:c r="H322" s="16" t="str"/>
      <x:c r="I322" s="15" t="str">
        <x:v>Bu!536</x:v>
      </x:c>
    </x:row>
    <x:row r="323">
      <x:c r="A323" s="15" t="str">
        <x:v>Bu-235</x:v>
      </x:c>
      <x:c r="B323" s="15" t="str">
        <x:v>PDUPLICATE - rocurement - Digital Proc</x:v>
      </x:c>
      <x:c r="C323" s="15" t="str">
        <x:v>Monitoring - HPM (MCH)</x:v>
      </x:c>
      <x:c r="D323" s="19" t="n">
        <x:v>0</x:v>
      </x:c>
      <x:c r="E323" s="15" t="str">
        <x:v>ROI-Based Portfolio</x:v>
      </x:c>
      <x:c r="F323" s="15" t="str">
        <x:f>'Portfolio Model'!U503</x:f>
        <x:v>Evidence missing / not eligible</x:v>
      </x:c>
      <x:c r="G323" s="16" t="str">
        <x:v>Automatic</x:v>
      </x:c>
      <x:c r="H323" s="16" t="str"/>
      <x:c r="I323" s="15" t="str">
        <x:v>Bu!537</x:v>
      </x:c>
    </x:row>
    <x:row r="324">
      <x:c r="A324" s="15" t="str">
        <x:v>Bu-236</x:v>
      </x:c>
      <x:c r="B324" s="15" t="str">
        <x:v>DUPLICATE - Procurement - SW Transformation</x:v>
      </x:c>
      <x:c r="C324" s="15" t="str">
        <x:v>Monitoring - HPM (MCH)</x:v>
      </x:c>
      <x:c r="D324" s="19" t="n">
        <x:v>0</x:v>
      </x:c>
      <x:c r="E324" s="15" t="str">
        <x:v>ROI-Based Portfolio</x:v>
      </x:c>
      <x:c r="F324" s="15" t="str">
        <x:f>'Portfolio Model'!U504</x:f>
        <x:v>Evidence missing / not eligible</x:v>
      </x:c>
      <x:c r="G324" s="16" t="str">
        <x:v>Automatic</x:v>
      </x:c>
      <x:c r="H324" s="16" t="str"/>
      <x:c r="I324" s="15" t="str">
        <x:v>Bu!538</x:v>
      </x:c>
    </x:row>
    <x:row r="325">
      <x:c r="A325" s="15" t="str">
        <x:v>Bu-255</x:v>
      </x:c>
      <x:c r="B325" s="15" t="str"/>
      <x:c r="C325" s="15" t="str"/>
      <x:c r="D325" s="19" t="n">
        <x:v>0</x:v>
      </x:c>
      <x:c r="E325" s="15" t="str">
        <x:v>ROI-Based Portfolio</x:v>
      </x:c>
      <x:c r="F325" s="15" t="str">
        <x:f>'Portfolio Model'!U505</x:f>
        <x:v>Evidence missing / not eligible</x:v>
      </x:c>
      <x:c r="G325" s="16" t="str">
        <x:v>Automatic</x:v>
      </x:c>
      <x:c r="H325" s="16" t="str"/>
      <x:c r="I325" s="15" t="str">
        <x:v>Bu!563</x:v>
      </x:c>
    </x:row>
    <x:row r="326">
      <x:c r="A326" s="15" t="str">
        <x:v>Bu-258</x:v>
      </x:c>
      <x:c r="B326" s="15" t="str"/>
      <x:c r="C326" s="15" t="str"/>
      <x:c r="D326" s="19" t="n">
        <x:v>0</x:v>
      </x:c>
      <x:c r="E326" s="15" t="str">
        <x:v>ROI-Based Portfolio</x:v>
      </x:c>
      <x:c r="F326" s="15" t="str">
        <x:f>'Portfolio Model'!U506</x:f>
        <x:v>Evidence missing / not eligible</x:v>
      </x:c>
      <x:c r="G326" s="16" t="str">
        <x:v>Automatic</x:v>
      </x:c>
      <x:c r="H326" s="16" t="str"/>
      <x:c r="I326" s="15" t="str">
        <x:v>Bu!566</x:v>
      </x:c>
    </x:row>
    <x:row r="327">
      <x:c r="A327" s="15" t="str">
        <x:v>Bu-266</x:v>
      </x:c>
      <x:c r="B327" s="15" t="str"/>
      <x:c r="C327" s="15" t="str"/>
      <x:c r="D327" s="19" t="n">
        <x:v>0</x:v>
      </x:c>
      <x:c r="E327" s="15" t="str">
        <x:v>ROI-Based Portfolio</x:v>
      </x:c>
      <x:c r="F327" s="15" t="str">
        <x:f>'Portfolio Model'!U507</x:f>
        <x:v>Evidence missing / not eligible</x:v>
      </x:c>
      <x:c r="G327" s="16" t="str">
        <x:v>Automatic</x:v>
      </x:c>
      <x:c r="H327" s="16" t="str"/>
      <x:c r="I327" s="15" t="str">
        <x:v>Bu!574</x:v>
      </x:c>
    </x:row>
    <x:row r="328">
      <x:c r="A328" s="15" t="str">
        <x:v>Bu-268</x:v>
      </x:c>
      <x:c r="B328" s="15" t="str"/>
      <x:c r="C328" s="15" t="str"/>
      <x:c r="D328" s="19" t="n">
        <x:v>0</x:v>
      </x:c>
      <x:c r="E328" s="15" t="str">
        <x:v>ROI-Based Portfolio</x:v>
      </x:c>
      <x:c r="F328" s="15" t="str">
        <x:f>'Portfolio Model'!U508</x:f>
        <x:v>Evidence missing / not eligible</x:v>
      </x:c>
      <x:c r="G328" s="16" t="str">
        <x:v>Automatic</x:v>
      </x:c>
      <x:c r="H328" s="16" t="str"/>
      <x:c r="I328" s="15" t="str">
        <x:v>Bu!576</x:v>
      </x:c>
    </x:row>
    <x:row r="329">
      <x:c r="A329" s="15" t="str">
        <x:v>Bu-278</x:v>
      </x:c>
      <x:c r="B329" s="15" t="str"/>
      <x:c r="C329" s="15" t="str"/>
      <x:c r="D329" s="19" t="n">
        <x:v>0</x:v>
      </x:c>
      <x:c r="E329" s="15" t="str">
        <x:v>ROI-Based Portfolio</x:v>
      </x:c>
      <x:c r="F329" s="15" t="str">
        <x:f>'Portfolio Model'!U509</x:f>
        <x:v>Evidence missing / not eligible</x:v>
      </x:c>
      <x:c r="G329" s="16" t="str">
        <x:v>Automatic</x:v>
      </x:c>
      <x:c r="H329" s="16" t="str"/>
      <x:c r="I329" s="15" t="str">
        <x:v>Bu!585</x:v>
      </x:c>
    </x:row>
    <x:row r="330">
      <x:c r="A330" s="15" t="str">
        <x:v>Bu-326</x:v>
      </x:c>
      <x:c r="B330" s="15" t="str"/>
      <x:c r="C330" s="15" t="str"/>
      <x:c r="D330" s="19" t="n">
        <x:v>0</x:v>
      </x:c>
      <x:c r="E330" s="15" t="str">
        <x:v>ROI-Based Portfolio</x:v>
      </x:c>
      <x:c r="F330" s="15" t="str">
        <x:f>'Portfolio Model'!U510</x:f>
        <x:v>Evidence missing / not eligible</x:v>
      </x:c>
      <x:c r="G330" s="16" t="str">
        <x:v>Automatic</x:v>
      </x:c>
      <x:c r="H330" s="16" t="str"/>
      <x:c r="I330" s="15" t="str">
        <x:v>Bu!663</x:v>
      </x:c>
    </x:row>
    <x:row r="331">
      <x:c r="A331" s="15" t="str">
        <x:v>Bu-327</x:v>
      </x:c>
      <x:c r="B331" s="15" t="str"/>
      <x:c r="C331" s="15" t="str"/>
      <x:c r="D331" s="19" t="n">
        <x:v>0</x:v>
      </x:c>
      <x:c r="E331" s="15" t="str">
        <x:v>ROI-Based Portfolio</x:v>
      </x:c>
      <x:c r="F331" s="15" t="str">
        <x:f>'Portfolio Model'!U511</x:f>
        <x:v>Evidence missing / not eligible</x:v>
      </x:c>
      <x:c r="G331" s="16" t="str">
        <x:v>Automatic</x:v>
      </x:c>
      <x:c r="H331" s="16" t="str"/>
      <x:c r="I331" s="15" t="str">
        <x:v>Bu!664</x:v>
      </x:c>
    </x:row>
    <x:row r="332">
      <x:c r="A332" s="15" t="str">
        <x:v>Bu-328</x:v>
      </x:c>
      <x:c r="B332" s="15" t="str"/>
      <x:c r="C332" s="15" t="str"/>
      <x:c r="D332" s="19" t="n">
        <x:v>0</x:v>
      </x:c>
      <x:c r="E332" s="15" t="str">
        <x:v>ROI-Based Portfolio</x:v>
      </x:c>
      <x:c r="F332" s="15" t="str">
        <x:f>'Portfolio Model'!U512</x:f>
        <x:v>Evidence missing / not eligible</x:v>
      </x:c>
      <x:c r="G332" s="16" t="str">
        <x:v>Automatic</x:v>
      </x:c>
      <x:c r="H332" s="16" t="str"/>
      <x:c r="I332" s="15" t="str">
        <x:v>Bu!665</x:v>
      </x:c>
    </x:row>
    <x:row r="333">
      <x:c r="A333" s="15" t="str">
        <x:v>Bu-329</x:v>
      </x:c>
      <x:c r="B333" s="15" t="str"/>
      <x:c r="C333" s="15" t="str"/>
      <x:c r="D333" s="19" t="n">
        <x:v>0</x:v>
      </x:c>
      <x:c r="E333" s="15" t="str">
        <x:v>ROI-Based Portfolio</x:v>
      </x:c>
      <x:c r="F333" s="15" t="str">
        <x:f>'Portfolio Model'!U513</x:f>
        <x:v>Evidence missing / not eligible</x:v>
      </x:c>
      <x:c r="G333" s="16" t="str">
        <x:v>Automatic</x:v>
      </x:c>
      <x:c r="H333" s="16" t="str"/>
      <x:c r="I333" s="15" t="str">
        <x:v>Bu!666</x:v>
      </x:c>
    </x:row>
    <x:row r="334">
      <x:c r="A334" s="15" t="str">
        <x:v>Bu-row-528</x:v>
      </x:c>
      <x:c r="B334" s="15" t="str">
        <x:v>Topkal (150K)</x:v>
      </x:c>
      <x:c r="C334" s="15" t="str"/>
      <x:c r="D334" s="19" t="n">
        <x:v>0</x:v>
      </x:c>
      <x:c r="E334" s="15" t="str">
        <x:v>ROI-Based Portfolio</x:v>
      </x:c>
      <x:c r="F334" s="15" t="str">
        <x:f>'Portfolio Model'!U514</x:f>
        <x:v>Evidence missing / not eligible</x:v>
      </x:c>
      <x:c r="G334" s="16" t="str">
        <x:v>Automatic</x:v>
      </x:c>
      <x:c r="H334" s="16" t="str"/>
      <x:c r="I334" s="15" t="str">
        <x:v>Bu!528</x:v>
      </x:c>
    </x:row>
  </x:sheetData>
  <x:mergeCells>
    <x:mergeCell ref="A1:I1"/>
    <x:mergeCell ref="A2:I2"/>
  </x:mergeCells>
  <x:dataValidations count="1">
    <x:dataValidation type="list" sqref="G6:G334">
      <x:formula1>"Automatic,Include,Exclude"</x:formula1>
    </x:dataValidation>
  </x:dataValidations>
  <x:pageMargins left="0.7" right="0.7" top="0.75" bottom="0.75" header="0.3" footer="0.3"/>
</x:worksheet>
</file>

<file path=xl/worksheets/sheet5.xml><?xml version="1.0" encoding="utf-8"?>
<x:worksheet xmlns:x="http://schemas.openxmlformats.org/spreadsheetml/2006/main">
  <x:sheetPr>
    <x:tabColor rgb="FF12805C"/>
  </x:sheetPr>
  <x:sheetViews>
    <x:sheetView showGridLines="0" workbookViewId="0">
      <x:pane xSplit="2" ySplit="5" topLeftCell="C6" activePane="bottomRight" state="frozen"/>
    </x:sheetView>
  </x:sheetViews>
  <x:sheetFormatPr defaultRowHeight="15"/>
  <x:cols>
    <x:col min="1" max="1" width="13" hidden="0" customWidth="1"/>
    <x:col min="2" max="2" width="46" hidden="0" customWidth="1"/>
    <x:col min="3" max="3" width="30" hidden="0" customWidth="1"/>
    <x:col min="4" max="4" width="18" hidden="0" customWidth="1"/>
    <x:col min="5" max="5" width="18" hidden="0" customWidth="1"/>
    <x:col min="6" max="6" width="18" hidden="0" customWidth="1"/>
    <x:col min="7" max="7" width="18" hidden="0" customWidth="1"/>
    <x:col min="8" max="8" width="45" hidden="0" customWidth="1"/>
    <x:col min="9" max="9" width="14" hidden="0" customWidth="1"/>
  </x:cols>
  <x:sheetData>
    <x:row r="1" ht="34" customHeight="1">
      <x:c r="A1" s="3" t="str">
        <x:v>EW Led Conference View</x:v>
      </x:c>
      <x:c r="B1" s="3"/>
      <x:c r="C1" s="3"/>
      <x:c r="D1" s="3"/>
      <x:c r="E1" s="3"/>
      <x:c r="F1" s="3"/>
      <x:c r="G1" s="3"/>
      <x:c r="H1" s="3"/>
      <x:c r="I1" s="3"/>
    </x:row>
    <x:row r="2" ht="30" customHeight="1">
      <x:c r="A2" s="7" t="str">
        <x:v>This adds to the existing prioritized view. Choose Include or Exclude and record a reason; inclusion may leave the final scenario over budget.</x:v>
      </x:c>
      <x:c r="B2" s="7"/>
      <x:c r="C2" s="7"/>
      <x:c r="D2" s="7"/>
      <x:c r="E2" s="7"/>
      <x:c r="F2" s="7"/>
      <x:c r="G2" s="7"/>
      <x:c r="H2" s="7"/>
      <x:c r="I2" s="7"/>
    </x:row>
    <x:row r="3">
      <x:c r="A3" s="21"/>
      <x:c r="B3" s="21"/>
      <x:c r="C3" s="21"/>
      <x:c r="D3" s="21"/>
      <x:c r="E3" s="21"/>
      <x:c r="F3" s="21"/>
      <x:c r="G3" s="21"/>
      <x:c r="H3" s="21"/>
      <x:c r="I3" s="21"/>
    </x:row>
    <x:row r="4">
      <x:c r="A4" s="21"/>
      <x:c r="B4" s="21"/>
      <x:c r="C4" s="21"/>
      <x:c r="D4" s="21"/>
      <x:c r="E4" s="21"/>
      <x:c r="F4" s="21"/>
      <x:c r="G4" s="21"/>
      <x:c r="H4" s="21"/>
      <x:c r="I4" s="21"/>
    </x:row>
    <x:row r="5">
      <x:c r="A5" s="12" t="str">
        <x:v>ID</x:v>
      </x:c>
      <x:c r="B5" s="12" t="str">
        <x:v>Initiative</x:v>
      </x:c>
      <x:c r="C5" s="12" t="str">
        <x:v>Organisation</x:v>
      </x:c>
      <x:c r="D5" s="12" t="str">
        <x:v>Request M€</x:v>
      </x:c>
      <x:c r="E5" s="12" t="str">
        <x:v>Primary Bucket</x:v>
      </x:c>
      <x:c r="F5" s="12" t="str">
        <x:v>Prioritized Status</x:v>
      </x:c>
      <x:c r="G5" s="12" t="str">
        <x:v>Conference Decision</x:v>
      </x:c>
      <x:c r="H5" s="12" t="str">
        <x:v>Reason</x:v>
      </x:c>
      <x:c r="I5" s="12" t="str">
        <x:v>Source Ref</x:v>
      </x:c>
    </x:row>
    <x:row r="6">
      <x:c r="A6" s="15" t="str">
        <x:v>EW-60</x:v>
      </x:c>
      <x:c r="B6" s="15" t="str">
        <x:v>3rd Party Screening Replatformation</x:v>
      </x:c>
      <x:c r="C6" s="15" t="str">
        <x:v>Legal</x:v>
      </x:c>
      <x:c r="D6" s="19" t="n">
        <x:v>0.2</x:v>
      </x:c>
      <x:c r="E6" s="15" t="str">
        <x:v>LFR</x:v>
      </x:c>
      <x:c r="F6" s="15" t="str">
        <x:f>'Portfolio Model'!U6</x:f>
        <x:v>Funded</x:v>
      </x:c>
      <x:c r="G6" s="16" t="str">
        <x:v>Automatic</x:v>
      </x:c>
      <x:c r="H6" s="16" t="str"/>
      <x:c r="I6" s="15" t="str">
        <x:v>EW!56</x:v>
      </x:c>
    </x:row>
    <x:row r="7">
      <x:c r="A7" s="15" t="str">
        <x:v>EW-181</x:v>
      </x:c>
      <x:c r="B7" s="15" t="str">
        <x:v>GALA refactoring (license revenue management)</x:v>
      </x:c>
      <x:c r="C7" s="15" t="str">
        <x:v>Intellectual Property &amp; Standards (IP&amp;S)</x:v>
      </x:c>
      <x:c r="D7" s="19" t="n">
        <x:v>1.1</x:v>
      </x:c>
      <x:c r="E7" s="15" t="str">
        <x:v>LFR</x:v>
      </x:c>
      <x:c r="F7" s="15" t="str">
        <x:f>'Portfolio Model'!U7</x:f>
        <x:v>Funded</x:v>
      </x:c>
      <x:c r="G7" s="16" t="str">
        <x:v>Automatic</x:v>
      </x:c>
      <x:c r="H7" s="16" t="str"/>
      <x:c r="I7" s="15" t="str">
        <x:v>EW!177</x:v>
      </x:c>
    </x:row>
    <x:row r="8">
      <x:c r="A8" s="15" t="str">
        <x:v>EW-69</x:v>
      </x:c>
      <x:c r="B8" s="15" t="str">
        <x:v>eClinical Platform - Compliance &amp; Sustain</x:v>
      </x:c>
      <x:c r="C8" s="15" t="str">
        <x:v>Medical Office</x:v>
      </x:c>
      <x:c r="D8" s="19" t="n">
        <x:v>0.35</x:v>
      </x:c>
      <x:c r="E8" s="15" t="str">
        <x:v>LFR</x:v>
      </x:c>
      <x:c r="F8" s="15" t="str">
        <x:f>'Portfolio Model'!U10</x:f>
        <x:v>Funded</x:v>
      </x:c>
      <x:c r="G8" s="16" t="str">
        <x:v>Automatic</x:v>
      </x:c>
      <x:c r="H8" s="16" t="str"/>
      <x:c r="I8" s="15" t="str">
        <x:v>EW!65</x:v>
      </x:c>
    </x:row>
    <x:row r="9">
      <x:c r="A9" s="15" t="str">
        <x:v>EW-68</x:v>
      </x:c>
      <x:c r="B9" s="15" t="str">
        <x:v>Veeva Program (@investor - Evidence &amp; Claims Management)</x:v>
      </x:c>
      <x:c r="C9" s="15" t="str">
        <x:v>Medical Office</x:v>
      </x:c>
      <x:c r="D9" s="19" t="n">
        <x:v>0.725</x:v>
      </x:c>
      <x:c r="E9" s="15" t="str">
        <x:v>LFR</x:v>
      </x:c>
      <x:c r="F9" s="15" t="str">
        <x:f>'Portfolio Model'!U11</x:f>
        <x:v>Funded</x:v>
      </x:c>
      <x:c r="G9" s="16" t="str">
        <x:v>Automatic</x:v>
      </x:c>
      <x:c r="H9" s="16" t="str"/>
      <x:c r="I9" s="15" t="str">
        <x:v>EW!64</x:v>
      </x:c>
    </x:row>
    <x:row r="10">
      <x:c r="A10" s="15" t="str">
        <x:v>EW-45</x:v>
      </x:c>
      <x:c r="B10" s="15" t="str">
        <x:v>FIN-IR - Brazil Tax Reform Phase 3</x:v>
      </x:c>
      <x:c r="C10" s="15" t="str">
        <x:v>International Regions (IR) - Overall</x:v>
      </x:c>
      <x:c r="D10" s="19" t="n">
        <x:v>0.55</x:v>
      </x:c>
      <x:c r="E10" s="15" t="str">
        <x:v>LFR</x:v>
      </x:c>
      <x:c r="F10" s="15" t="str">
        <x:f>'Portfolio Model'!U12</x:f>
        <x:v>Funded</x:v>
      </x:c>
      <x:c r="G10" s="16" t="str">
        <x:v>Automatic</x:v>
      </x:c>
      <x:c r="H10" s="16" t="str"/>
      <x:c r="I10" s="15" t="str">
        <x:v>EW!45</x:v>
      </x:c>
    </x:row>
    <x:row r="11">
      <x:c r="A11" s="15" t="str">
        <x:v>EW-46</x:v>
      </x:c>
      <x:c r="B11" s="15" t="str">
        <x:v>FIN-IR - India Privacy Data Protection Bill (deferred from 2026 on PF request)</x:v>
      </x:c>
      <x:c r="C11" s="15" t="str">
        <x:v>International Regions (IR) - Overall</x:v>
      </x:c>
      <x:c r="D11" s="19" t="n">
        <x:v>0.1</x:v>
      </x:c>
      <x:c r="E11" s="15" t="str">
        <x:v>LFR</x:v>
      </x:c>
      <x:c r="F11" s="15" t="str">
        <x:f>'Portfolio Model'!U13</x:f>
        <x:v>Funded</x:v>
      </x:c>
      <x:c r="G11" s="16" t="str">
        <x:v>Automatic</x:v>
      </x:c>
      <x:c r="H11" s="16" t="str"/>
      <x:c r="I11" s="15" t="str">
        <x:v>EW!46</x:v>
      </x:c>
    </x:row>
    <x:row r="12">
      <x:c r="A12" s="15" t="str">
        <x:v>EW-124</x:v>
      </x:c>
      <x:c r="B12" s="15" t="str">
        <x:v>I2M Planisware : Audit Readiness &amp; Innovation Reporting Enablement</x:v>
      </x:c>
      <x:c r="C12" s="15" t="str">
        <x:v>Innovation and Design Business Operations</x:v>
      </x:c>
      <x:c r="D12" s="19" t="n">
        <x:v>0.5</x:v>
      </x:c>
      <x:c r="E12" s="15" t="str">
        <x:v>LFR</x:v>
      </x:c>
      <x:c r="F12" s="15" t="str">
        <x:f>'Portfolio Model'!U14</x:f>
        <x:v>Funded</x:v>
      </x:c>
      <x:c r="G12" s="16" t="str">
        <x:v>Automatic</x:v>
      </x:c>
      <x:c r="H12" s="16" t="str"/>
      <x:c r="I12" s="15" t="str">
        <x:v>EW!120</x:v>
      </x:c>
    </x:row>
    <x:row r="13">
      <x:c r="A13" s="15" t="str">
        <x:v>EW-04</x:v>
      </x:c>
      <x:c r="B13" s="15" t="str">
        <x:v>Healthcare Compliance Project Engage</x:v>
      </x:c>
      <x:c r="C13" s="15" t="str">
        <x:v>Legal</x:v>
      </x:c>
      <x:c r="D13" s="19" t="n">
        <x:v>2.2</x:v>
      </x:c>
      <x:c r="E13" s="15" t="str">
        <x:v>LFR</x:v>
      </x:c>
      <x:c r="F13" s="15" t="str">
        <x:f>'Portfolio Model'!U15</x:f>
        <x:v>Funded</x:v>
      </x:c>
      <x:c r="G13" s="16" t="str">
        <x:v>Automatic</x:v>
      </x:c>
      <x:c r="H13" s="16" t="str"/>
      <x:c r="I13" s="15" t="str">
        <x:v>EW!7</x:v>
      </x:c>
    </x:row>
    <x:row r="14">
      <x:c r="A14" s="15" t="str">
        <x:v>EW-47</x:v>
      </x:c>
      <x:c r="B14" s="15" t="str">
        <x:v>FIN-IR - ORU Lebanon (formalize current operations)</x:v>
      </x:c>
      <x:c r="C14" s="15" t="str">
        <x:v>International Regions (IR) - Overall</x:v>
      </x:c>
      <x:c r="D14" s="19" t="n">
        <x:v>0.085</x:v>
      </x:c>
      <x:c r="E14" s="15" t="str">
        <x:v>LFR</x:v>
      </x:c>
      <x:c r="F14" s="15" t="str">
        <x:f>'Portfolio Model'!U16</x:f>
        <x:v>Funded</x:v>
      </x:c>
      <x:c r="G14" s="16" t="str">
        <x:v>Automatic</x:v>
      </x:c>
      <x:c r="H14" s="16" t="str"/>
      <x:c r="I14" s="15" t="str">
        <x:v>EW!47</x:v>
      </x:c>
    </x:row>
    <x:row r="15">
      <x:c r="A15" s="15" t="str">
        <x:v>EW-61</x:v>
      </x:c>
      <x:c r="B15" s="15" t="str">
        <x:v>Contractor Management &amp; Permit to Work</x:v>
      </x:c>
      <x:c r="C15" s="15" t="str">
        <x:v>Health &amp; Safety</x:v>
      </x:c>
      <x:c r="D15" s="19" t="n">
        <x:v>0.225</x:v>
      </x:c>
      <x:c r="E15" s="15" t="str">
        <x:v>LFR</x:v>
      </x:c>
      <x:c r="F15" s="15" t="str">
        <x:f>'Portfolio Model'!U17</x:f>
        <x:v>Funded</x:v>
      </x:c>
      <x:c r="G15" s="16" t="str">
        <x:v>Automatic</x:v>
      </x:c>
      <x:c r="H15" s="16" t="str"/>
      <x:c r="I15" s="15" t="str">
        <x:v>EW!57</x:v>
      </x:c>
    </x:row>
    <x:row r="16">
      <x:c r="A16" s="15" t="str">
        <x:v>EW-20</x:v>
      </x:c>
      <x:c r="B16" s="15" t="str">
        <x:v>ARIS deployment for ISC QMS Integration</x:v>
      </x:c>
      <x:c r="C16" s="15" t="str">
        <x:v>Patient Safety &amp; Quality</x:v>
      </x:c>
      <x:c r="D16" s="19" t="n">
        <x:v>0.05</x:v>
      </x:c>
      <x:c r="E16" s="15" t="str">
        <x:v>LFR</x:v>
      </x:c>
      <x:c r="F16" s="15" t="str">
        <x:f>'Portfolio Model'!U18</x:f>
        <x:v>Funded</x:v>
      </x:c>
      <x:c r="G16" s="16" t="str">
        <x:v>Automatic</x:v>
      </x:c>
      <x:c r="H16" s="16" t="str"/>
      <x:c r="I16" s="15" t="str">
        <x:v>EW!23</x:v>
      </x:c>
    </x:row>
    <x:row r="17">
      <x:c r="A17" s="15" t="str">
        <x:v>EW-162</x:v>
      </x:c>
      <x:c r="B17" s="15" t="str">
        <x:v>Quality AI for GCR Adverse Event Report and Post Market Vigilance</x:v>
      </x:c>
      <x:c r="C17" s="15" t="str">
        <x:v>Patient Safety &amp; Quality</x:v>
      </x:c>
      <x:c r="D17" s="19" t="n">
        <x:v>0.35</x:v>
      </x:c>
      <x:c r="E17" s="15" t="str">
        <x:v>LFR</x:v>
      </x:c>
      <x:c r="F17" s="15" t="str">
        <x:f>'Portfolio Model'!U19</x:f>
        <x:v>Funded</x:v>
      </x:c>
      <x:c r="G17" s="16" t="str">
        <x:v>Automatic</x:v>
      </x:c>
      <x:c r="H17" s="16" t="str"/>
      <x:c r="I17" s="15" t="str">
        <x:v>EW!158</x:v>
      </x:c>
    </x:row>
    <x:row r="18">
      <x:c r="A18" s="15" t="str">
        <x:v>EW-72</x:v>
      </x:c>
      <x:c r="B18" s="15" t="str">
        <x:v>ARIS Process framework</x:v>
      </x:c>
      <x:c r="C18" s="15" t="str">
        <x:v>Information Technology</x:v>
      </x:c>
      <x:c r="D18" s="19" t="n">
        <x:v>0.4</x:v>
      </x:c>
      <x:c r="E18" s="15" t="str">
        <x:v>LFR</x:v>
      </x:c>
      <x:c r="F18" s="15" t="str">
        <x:f>'Portfolio Model'!U20</x:f>
        <x:v>Funded</x:v>
      </x:c>
      <x:c r="G18" s="16" t="str">
        <x:v>Automatic</x:v>
      </x:c>
      <x:c r="H18" s="16" t="str"/>
      <x:c r="I18" s="15" t="str">
        <x:v>EW!68</x:v>
      </x:c>
    </x:row>
    <x:row r="19">
      <x:c r="A19" s="15" t="str">
        <x:v>EW-21</x:v>
      </x:c>
      <x:c r="B19" s="15" t="str">
        <x:v>Service365 2027 Change&amp;Sustain</x:v>
      </x:c>
      <x:c r="C19" s="15" t="str">
        <x:v>Greater China</x:v>
      </x:c>
      <x:c r="D19" s="19" t="n">
        <x:v>0.48</x:v>
      </x:c>
      <x:c r="E19" s="15" t="str">
        <x:v>LFR</x:v>
      </x:c>
      <x:c r="F19" s="15" t="str">
        <x:f>'Portfolio Model'!U21</x:f>
        <x:v>Funded</x:v>
      </x:c>
      <x:c r="G19" s="16" t="str">
        <x:v>Automatic</x:v>
      </x:c>
      <x:c r="H19" s="16" t="str"/>
      <x:c r="I19" s="15" t="str">
        <x:v>EW!24</x:v>
      </x:c>
    </x:row>
    <x:row r="20">
      <x:c r="A20" s="15" t="str">
        <x:v>EW-67</x:v>
      </x:c>
      <x:c r="B20" s="15" t="str">
        <x:v>BEACON - Program (BoM - Clinical Research Model)</x:v>
      </x:c>
      <x:c r="C20" s="15" t="str">
        <x:v>Medical Office</x:v>
      </x:c>
      <x:c r="D20" s="19" t="n">
        <x:v>0.375</x:v>
      </x:c>
      <x:c r="E20" s="15" t="str">
        <x:v>LFR</x:v>
      </x:c>
      <x:c r="F20" s="15" t="str">
        <x:f>'Portfolio Model'!U22</x:f>
        <x:v>Funded</x:v>
      </x:c>
      <x:c r="G20" s="16" t="str">
        <x:v>Automatic</x:v>
      </x:c>
      <x:c r="H20" s="16" t="str"/>
      <x:c r="I20" s="15" t="str">
        <x:v>EW!63</x:v>
      </x:c>
    </x:row>
    <x:row r="21">
      <x:c r="A21" s="15" t="str">
        <x:v>EW-127</x:v>
      </x:c>
      <x:c r="B21" s="15" t="str">
        <x:v>Digitization of Business Case template: Future proof and AI-powered for smart Portfolio prioritization</x:v>
      </x:c>
      <x:c r="C21" s="15" t="str">
        <x:v>Innovation and Design Business Operations</x:v>
      </x:c>
      <x:c r="D21" s="19" t="n">
        <x:v>2.5</x:v>
      </x:c>
      <x:c r="E21" s="15" t="str">
        <x:v>LFR</x:v>
      </x:c>
      <x:c r="F21" s="15" t="str">
        <x:f>'Portfolio Model'!U23</x:f>
        <x:v>Funded</x:v>
      </x:c>
      <x:c r="G21" s="16" t="str">
        <x:v>Automatic</x:v>
      </x:c>
      <x:c r="H21" s="16" t="str"/>
      <x:c r="I21" s="15" t="str">
        <x:v>EW!123</x:v>
      </x:c>
    </x:row>
    <x:row r="22">
      <x:c r="A22" s="15" t="str">
        <x:v>EW-25</x:v>
      </x:c>
      <x:c r="B22" s="15" t="str">
        <x:v>Service365 HK &amp; TW</x:v>
      </x:c>
      <x:c r="C22" s="15" t="str">
        <x:v>Greater China</x:v>
      </x:c>
      <x:c r="D22" s="19" t="n">
        <x:v>0.48</x:v>
      </x:c>
      <x:c r="E22" s="15" t="str">
        <x:v>LFR</x:v>
      </x:c>
      <x:c r="F22" s="15" t="str">
        <x:f>'Portfolio Model'!U24</x:f>
        <x:v>Funded</x:v>
      </x:c>
      <x:c r="G22" s="16" t="str">
        <x:v>Automatic</x:v>
      </x:c>
      <x:c r="H22" s="16" t="str"/>
      <x:c r="I22" s="15" t="str">
        <x:v>EW!28</x:v>
      </x:c>
    </x:row>
    <x:row r="23">
      <x:c r="A23" s="15" t="str">
        <x:v>EW-28</x:v>
      </x:c>
      <x:c r="B23" s="15" t="str">
        <x:v>NAR Government IT System &amp; Security</x:v>
      </x:c>
      <x:c r="C23" s="15" t="str">
        <x:v>North America</x:v>
      </x:c>
      <x:c r="D23" s="19" t="n">
        <x:v>0.777</x:v>
      </x:c>
      <x:c r="E23" s="15" t="str">
        <x:v>LFR</x:v>
      </x:c>
      <x:c r="F23" s="15" t="str">
        <x:f>'Portfolio Model'!U26</x:f>
        <x:v>Funded</x:v>
      </x:c>
      <x:c r="G23" s="16" t="str">
        <x:v>Automatic</x:v>
      </x:c>
      <x:c r="H23" s="16" t="str"/>
      <x:c r="I23" s="15" t="str">
        <x:v>EW!31</x:v>
      </x:c>
    </x:row>
    <x:row r="24">
      <x:c r="A24" s="15" t="str">
        <x:v>EW-19</x:v>
      </x:c>
      <x:c r="B24" s="15" t="str">
        <x:v>SICR APQP Supplier Portal</x:v>
      </x:c>
      <x:c r="C24" s="15" t="str">
        <x:v>Patient Safety &amp; Quality</x:v>
      </x:c>
      <x:c r="D24" s="19" t="n">
        <x:v>0.45</x:v>
      </x:c>
      <x:c r="E24" s="15" t="str">
        <x:v>LFR</x:v>
      </x:c>
      <x:c r="F24" s="15" t="str">
        <x:f>'Portfolio Model'!U27</x:f>
        <x:v>Funded</x:v>
      </x:c>
      <x:c r="G24" s="16" t="str">
        <x:v>Automatic</x:v>
      </x:c>
      <x:c r="H24" s="16" t="str"/>
      <x:c r="I24" s="15" t="str">
        <x:v>EW!22</x:v>
      </x:c>
    </x:row>
    <x:row r="25">
      <x:c r="A25" s="15" t="str">
        <x:v>EW-22</x:v>
      </x:c>
      <x:c r="B25" s="15" t="str">
        <x:v>Commercial365 2027 Change&amp;Sustain</x:v>
      </x:c>
      <x:c r="C25" s="15" t="str">
        <x:v>Greater China</x:v>
      </x:c>
      <x:c r="D25" s="19" t="n">
        <x:v>0.48</x:v>
      </x:c>
      <x:c r="E25" s="15" t="str">
        <x:v>LFR</x:v>
      </x:c>
      <x:c r="F25" s="15" t="str">
        <x:f>'Portfolio Model'!U28</x:f>
        <x:v>Funded</x:v>
      </x:c>
      <x:c r="G25" s="16" t="str">
        <x:v>Automatic</x:v>
      </x:c>
      <x:c r="H25" s="16" t="str"/>
      <x:c r="I25" s="15" t="str">
        <x:v>EW!25</x:v>
      </x:c>
    </x:row>
    <x:row r="26">
      <x:c r="A26" s="15" t="str">
        <x:v>EW-23</x:v>
      </x:c>
      <x:c r="B26" s="15" t="str">
        <x:v>Channel365 2027 Change&amp;Sustain</x:v>
      </x:c>
      <x:c r="C26" s="15" t="str">
        <x:v>Greater China</x:v>
      </x:c>
      <x:c r="D26" s="19" t="n">
        <x:v>0.4</x:v>
      </x:c>
      <x:c r="E26" s="15" t="str">
        <x:v>LFR</x:v>
      </x:c>
      <x:c r="F26" s="15" t="str">
        <x:f>'Portfolio Model'!U29</x:f>
        <x:v>Funded</x:v>
      </x:c>
      <x:c r="G26" s="16" t="str">
        <x:v>Automatic</x:v>
      </x:c>
      <x:c r="H26" s="16" t="str"/>
      <x:c r="I26" s="15" t="str">
        <x:v>EW!26</x:v>
      </x:c>
    </x:row>
    <x:row r="27">
      <x:c r="A27" s="15" t="str">
        <x:v>EW-24</x:v>
      </x:c>
      <x:c r="B27" s="15" t="str">
        <x:v>China Data Lake 2027 Change&amp;Sustain</x:v>
      </x:c>
      <x:c r="C27" s="15" t="str">
        <x:v>Greater China</x:v>
      </x:c>
      <x:c r="D27" s="19" t="n">
        <x:v>0.4</x:v>
      </x:c>
      <x:c r="E27" s="15" t="str">
        <x:v>LFR</x:v>
      </x:c>
      <x:c r="F27" s="15" t="str">
        <x:f>'Portfolio Model'!U30</x:f>
        <x:v>Funded</x:v>
      </x:c>
      <x:c r="G27" s="16" t="str">
        <x:v>Automatic</x:v>
      </x:c>
      <x:c r="H27" s="16" t="str"/>
      <x:c r="I27" s="15" t="str">
        <x:v>EW!27</x:v>
      </x:c>
    </x:row>
    <x:row r="28">
      <x:c r="A28" s="15" t="str">
        <x:v>EW-102</x:v>
      </x:c>
      <x:c r="B28" s="15" t="str">
        <x:v>IT ServiceContinuity Management</x:v>
      </x:c>
      <x:c r="C28" s="15" t="str">
        <x:v>Information Technology</x:v>
      </x:c>
      <x:c r="D28" s="19" t="n">
        <x:v>0.125</x:v>
      </x:c>
      <x:c r="E28" s="15" t="str">
        <x:v>LFR</x:v>
      </x:c>
      <x:c r="F28" s="15" t="str">
        <x:f>'Portfolio Model'!U31</x:f>
        <x:v>Funded</x:v>
      </x:c>
      <x:c r="G28" s="16" t="str">
        <x:v>Automatic</x:v>
      </x:c>
      <x:c r="H28" s="16" t="str"/>
      <x:c r="I28" s="15" t="str">
        <x:v>EW!98</x:v>
      </x:c>
    </x:row>
    <x:row r="29">
      <x:c r="A29" s="15" t="str">
        <x:v>EW-142</x:v>
      </x:c>
      <x:c r="B29" s="15" t="str">
        <x:v>Vmware/Broadcom exit for Compute estate (GoA)</x:v>
      </x:c>
      <x:c r="C29" s="15" t="str">
        <x:v>Information Technology</x:v>
      </x:c>
      <x:c r="D29" s="19" t="n">
        <x:v>0.7</x:v>
      </x:c>
      <x:c r="E29" s="15" t="str">
        <x:v>LFR</x:v>
      </x:c>
      <x:c r="F29" s="15" t="str">
        <x:f>'Portfolio Model'!U32</x:f>
        <x:v>Funded</x:v>
      </x:c>
      <x:c r="G29" s="16" t="str">
        <x:v>Automatic</x:v>
      </x:c>
      <x:c r="H29" s="16" t="str"/>
      <x:c r="I29" s="15" t="str">
        <x:v>EW!138</x:v>
      </x:c>
    </x:row>
    <x:row r="30">
      <x:c r="A30" s="15" t="str">
        <x:v>EW-154</x:v>
      </x:c>
      <x:c r="B30" s="15" t="str">
        <x:v>E2E event planning incl. GBP compliance review, HCP engagement review &amp; registration for GCR (Engage - Legal not usable)</x:v>
      </x:c>
      <x:c r="C30" s="15" t="str">
        <x:v>Greater China</x:v>
      </x:c>
      <x:c r="D30" s="19" t="n">
        <x:v>0.25</x:v>
      </x:c>
      <x:c r="E30" s="15" t="str">
        <x:v>LFR</x:v>
      </x:c>
      <x:c r="F30" s="15" t="str">
        <x:f>'Portfolio Model'!U33</x:f>
        <x:v>Funded</x:v>
      </x:c>
      <x:c r="G30" s="16" t="str">
        <x:v>Automatic</x:v>
      </x:c>
      <x:c r="H30" s="16" t="str"/>
      <x:c r="I30" s="15" t="str">
        <x:v>EW!150</x:v>
      </x:c>
    </x:row>
    <x:row r="31">
      <x:c r="A31" s="15" t="str">
        <x:v>EW-163</x:v>
      </x:c>
      <x:c r="B31" s="15" t="str">
        <x:v>Master Data Clean up, Harmonization &amp; Data Stweart for HS &amp; PH (incl. mainland, TW, HK split) for IT SoX readiness, Key Reports</x:v>
      </x:c>
      <x:c r="C31" s="15" t="str">
        <x:v>Greater China</x:v>
      </x:c>
      <x:c r="D31" s="19" t="n">
        <x:v>0.1</x:v>
      </x:c>
      <x:c r="E31" s="15" t="str">
        <x:v>LFR</x:v>
      </x:c>
      <x:c r="F31" s="15" t="str">
        <x:f>'Portfolio Model'!U34</x:f>
        <x:v>Funded</x:v>
      </x:c>
      <x:c r="G31" s="16" t="str">
        <x:v>Automatic</x:v>
      </x:c>
      <x:c r="H31" s="16" t="str"/>
      <x:c r="I31" s="15" t="str">
        <x:v>EW!159</x:v>
      </x:c>
    </x:row>
    <x:row r="32">
      <x:c r="A32" s="15" t="str">
        <x:v>EW-165</x:v>
      </x:c>
      <x:c r="B32" s="15" t="str">
        <x:v>Multiple GCR Application Enhancement (VAT Mainland, VAT Taiwan, VAT Hongkong, e-Invoice, T&amp;E company billing, EHS Lone woker, USB DLP for IP protection etc.)</x:v>
      </x:c>
      <x:c r="C32" s="15" t="str">
        <x:v>Greater China</x:v>
      </x:c>
      <x:c r="D32" s="19" t="n">
        <x:v>0.05</x:v>
      </x:c>
      <x:c r="E32" s="15" t="str">
        <x:v>LFR</x:v>
      </x:c>
      <x:c r="F32" s="15" t="str">
        <x:f>'Portfolio Model'!U35</x:f>
        <x:v>Funded</x:v>
      </x:c>
      <x:c r="G32" s="16" t="str">
        <x:v>Automatic</x:v>
      </x:c>
      <x:c r="H32" s="16" t="str"/>
      <x:c r="I32" s="15" t="str">
        <x:v>EW!161</x:v>
      </x:c>
    </x:row>
    <x:row r="33">
      <x:c r="A33" s="15" t="str">
        <x:v>EW-77</x:v>
      </x:c>
      <x:c r="B33" s="15" t="str">
        <x:v>FIN-ARIC LFR's Non SAP being ADL/BW/Power BI etc. Dashboard &amp; Reports for SOx &amp; Compliancy purposes</x:v>
      </x:c>
      <x:c r="C33" s="15" t="str">
        <x:v>Finance</x:v>
      </x:c>
      <x:c r="D33" s="19" t="n">
        <x:v>0.12</x:v>
      </x:c>
      <x:c r="E33" s="15" t="str">
        <x:v>LFR</x:v>
      </x:c>
      <x:c r="F33" s="15" t="str">
        <x:f>'Portfolio Model'!U36</x:f>
        <x:v>Funded</x:v>
      </x:c>
      <x:c r="G33" s="16" t="str">
        <x:v>Automatic</x:v>
      </x:c>
      <x:c r="H33" s="16" t="str"/>
      <x:c r="I33" s="15" t="str">
        <x:v>EW!73</x:v>
      </x:c>
    </x:row>
    <x:row r="34">
      <x:c r="A34" s="15" t="str">
        <x:v>EW-59</x:v>
      </x:c>
      <x:c r="B34" s="15" t="str">
        <x:v>GCR IT Decommission</x:v>
      </x:c>
      <x:c r="C34" s="15" t="str">
        <x:v>Information Technology</x:v>
      </x:c>
      <x:c r="D34" s="19" t="n">
        <x:v>0.48</x:v>
      </x:c>
      <x:c r="E34" s="15" t="str">
        <x:v>LFR</x:v>
      </x:c>
      <x:c r="F34" s="15" t="str">
        <x:f>'Portfolio Model'!U37</x:f>
        <x:v>Funded</x:v>
      </x:c>
      <x:c r="G34" s="16" t="str">
        <x:v>Automatic</x:v>
      </x:c>
      <x:c r="H34" s="16" t="str"/>
      <x:c r="I34" s="15" t="str">
        <x:v>EW!55</x:v>
      </x:c>
    </x:row>
    <x:row r="35">
      <x:c r="A35" s="15" t="str">
        <x:v>EW-119</x:v>
      </x:c>
      <x:c r="B35" s="15" t="str">
        <x:v>LLM, AI Foundation &amp; ITaaP Extension in GCR</x:v>
      </x:c>
      <x:c r="C35" s="15" t="str">
        <x:v>Greater China</x:v>
      </x:c>
      <x:c r="D35" s="19" t="n">
        <x:v>0.5</x:v>
      </x:c>
      <x:c r="E35" s="15" t="str">
        <x:v>LFR</x:v>
      </x:c>
      <x:c r="F35" s="15" t="str">
        <x:f>'Portfolio Model'!U38</x:f>
        <x:v>Funded</x:v>
      </x:c>
      <x:c r="G35" s="16" t="str">
        <x:v>Automatic</x:v>
      </x:c>
      <x:c r="H35" s="16" t="str"/>
      <x:c r="I35" s="15" t="str">
        <x:v>EW!115</x:v>
      </x:c>
    </x:row>
    <x:row r="36">
      <x:c r="A36" s="15" t="str">
        <x:v>EW-11</x:v>
      </x:c>
      <x:c r="B36" s="15" t="str">
        <x:v>CCB - Group Function</x:v>
      </x:c>
      <x:c r="C36" s="15" t="str">
        <x:v>Information Technology</x:v>
      </x:c>
      <x:c r="D36" s="19" t="n">
        <x:v>7.63</x:v>
      </x:c>
      <x:c r="E36" s="15" t="str">
        <x:v>LFR</x:v>
      </x:c>
      <x:c r="F36" s="15" t="str">
        <x:f>'Portfolio Model'!U39</x:f>
        <x:v>Funded</x:v>
      </x:c>
      <x:c r="G36" s="16" t="str">
        <x:v>Automatic</x:v>
      </x:c>
      <x:c r="H36" s="16" t="str"/>
      <x:c r="I36" s="15" t="str">
        <x:v>EW!14</x:v>
      </x:c>
    </x:row>
    <x:row r="37">
      <x:c r="A37" s="15" t="str">
        <x:v>EW-65</x:v>
      </x:c>
      <x:c r="B37" s="15" t="str">
        <x:v>ISC -CCB - EW</x:v>
      </x:c>
      <x:c r="C37" s="15" t="str">
        <x:v>Information Technology</x:v>
      </x:c>
      <x:c r="D37" s="19" t="n">
        <x:v>4.16</x:v>
      </x:c>
      <x:c r="E37" s="15" t="str">
        <x:v>LFR</x:v>
      </x:c>
      <x:c r="F37" s="15" t="str">
        <x:f>'Portfolio Model'!U40</x:f>
        <x:v>Funded</x:v>
      </x:c>
      <x:c r="G37" s="16" t="str">
        <x:v>Automatic</x:v>
      </x:c>
      <x:c r="H37" s="16" t="str"/>
      <x:c r="I37" s="15" t="str">
        <x:v>EW!61</x:v>
      </x:c>
    </x:row>
    <x:row r="38">
      <x:c r="A38" s="15" t="str">
        <x:v>EW-71</x:v>
      </x:c>
      <x:c r="B38" s="15" t="str">
        <x:v>FIN-CCB - Finance</x:v>
      </x:c>
      <x:c r="C38" s="15" t="str">
        <x:v>Finance</x:v>
      </x:c>
      <x:c r="D38" s="19" t="n">
        <x:v>6.225</x:v>
      </x:c>
      <x:c r="E38" s="15" t="str">
        <x:v>LFR</x:v>
      </x:c>
      <x:c r="F38" s="15" t="str">
        <x:f>'Portfolio Model'!U41</x:f>
        <x:v>Funded</x:v>
      </x:c>
      <x:c r="G38" s="16" t="str">
        <x:v>Automatic</x:v>
      </x:c>
      <x:c r="H38" s="16" t="str"/>
      <x:c r="I38" s="15" t="str">
        <x:v>EW!67</x:v>
      </x:c>
    </x:row>
    <x:row r="39">
      <x:c r="A39" s="15" t="str">
        <x:v>EW-178</x:v>
      </x:c>
      <x:c r="B39" s="15" t="str">
        <x:v>CCB - I&amp;D: Brand Licensing</x:v>
      </x:c>
      <x:c r="C39" s="15" t="str">
        <x:v>Intellectual Property &amp; Standards (IP&amp;S)</x:v>
      </x:c>
      <x:c r="D39" s="19" t="n">
        <x:v>0.333</x:v>
      </x:c>
      <x:c r="E39" s="15" t="str">
        <x:v>Sustain Engineering</x:v>
      </x:c>
      <x:c r="F39" s="15" t="str">
        <x:f>'Portfolio Model'!U44</x:f>
        <x:v>Funded</x:v>
      </x:c>
      <x:c r="G39" s="16" t="str">
        <x:v>Automatic</x:v>
      </x:c>
      <x:c r="H39" s="16" t="str"/>
      <x:c r="I39" s="15" t="str">
        <x:v>EW!174</x:v>
      </x:c>
    </x:row>
    <x:row r="40">
      <x:c r="A40" s="15" t="str">
        <x:v>EW-180</x:v>
      </x:c>
      <x:c r="B40" s="15" t="str">
        <x:v>CCB - I&amp;D - The Vault</x:v>
      </x:c>
      <x:c r="C40" s="15" t="str">
        <x:v>Intellectual Property &amp; Standards (IP&amp;S)</x:v>
      </x:c>
      <x:c r="D40" s="19" t="n">
        <x:v>0.05</x:v>
      </x:c>
      <x:c r="E40" s="15" t="str">
        <x:v>Sustain Engineering</x:v>
      </x:c>
      <x:c r="F40" s="15" t="str">
        <x:f>'Portfolio Model'!U46</x:f>
        <x:v>Funded</x:v>
      </x:c>
      <x:c r="G40" s="16" t="str">
        <x:v>Automatic</x:v>
      </x:c>
      <x:c r="H40" s="16" t="str"/>
      <x:c r="I40" s="15" t="str">
        <x:v>EW!176</x:v>
      </x:c>
    </x:row>
    <x:row r="41">
      <x:c r="A41" s="15" t="str">
        <x:v>EW-10</x:v>
      </x:c>
      <x:c r="B41" s="15" t="str">
        <x:v>CCB - Hyperautomation</x:v>
      </x:c>
      <x:c r="C41" s="15" t="str">
        <x:v>Information Technology</x:v>
      </x:c>
      <x:c r="D41" s="19" t="n">
        <x:v>1.052</x:v>
      </x:c>
      <x:c r="E41" s="15" t="str">
        <x:v>Sustain Engineering</x:v>
      </x:c>
      <x:c r="F41" s="15" t="str">
        <x:f>'Portfolio Model'!U47</x:f>
        <x:v>Funded</x:v>
      </x:c>
      <x:c r="G41" s="16" t="str">
        <x:v>Automatic</x:v>
      </x:c>
      <x:c r="H41" s="16" t="str"/>
      <x:c r="I41" s="15" t="str">
        <x:v>EW!13</x:v>
      </x:c>
    </x:row>
    <x:row r="42">
      <x:c r="A42" s="15" t="str">
        <x:v>EW-161</x:v>
      </x:c>
      <x:c r="B42" s="15" t="str">
        <x:v>Regina AI - GCR NMPA Submission Assistant for Regulatory Affair</x:v>
      </x:c>
      <x:c r="C42" s="15" t="str">
        <x:v>Greater China</x:v>
      </x:c>
      <x:c r="D42" s="19" t="n">
        <x:v>0.15</x:v>
      </x:c>
      <x:c r="E42" s="15" t="str">
        <x:v>Sustain Engineering</x:v>
      </x:c>
      <x:c r="F42" s="15" t="str">
        <x:f>'Portfolio Model'!U48</x:f>
        <x:v>Funded</x:v>
      </x:c>
      <x:c r="G42" s="16" t="str">
        <x:v>Automatic</x:v>
      </x:c>
      <x:c r="H42" s="16" t="str"/>
      <x:c r="I42" s="15" t="str">
        <x:v>EW!157</x:v>
      </x:c>
    </x:row>
    <x:row r="43">
      <x:c r="A43" s="15" t="str">
        <x:v>EW-07</x:v>
      </x:c>
      <x:c r="B43" s="15" t="str">
        <x:v>CCB Commercial IT</x:v>
      </x:c>
      <x:c r="C43" s="15" t="str">
        <x:v>Information Technology</x:v>
      </x:c>
      <x:c r="D43" s="19" t="n">
        <x:v>4.985</x:v>
      </x:c>
      <x:c r="E43" s="15" t="str">
        <x:v>Sustain Engineering</x:v>
      </x:c>
      <x:c r="F43" s="15" t="str">
        <x:f>'Portfolio Model'!U49</x:f>
        <x:v>Funded</x:v>
      </x:c>
      <x:c r="G43" s="16" t="str">
        <x:v>Automatic</x:v>
      </x:c>
      <x:c r="H43" s="16" t="str"/>
      <x:c r="I43" s="15" t="str">
        <x:v>EW!10</x:v>
      </x:c>
    </x:row>
    <x:row r="44">
      <x:c r="A44" s="15" t="str">
        <x:v>EW-179</x:v>
      </x:c>
      <x:c r="B44" s="15" t="str">
        <x:v>Upgrade Windchill 2027 to meet support compliance requirements</x:v>
      </x:c>
      <x:c r="C44" s="15" t="str">
        <x:v>Information Technology</x:v>
      </x:c>
      <x:c r="D44" s="19" t="n">
        <x:v>1</x:v>
      </x:c>
      <x:c r="E44" s="15" t="str">
        <x:v>Sustain Engineering</x:v>
      </x:c>
      <x:c r="F44" s="15" t="str">
        <x:f>'Portfolio Model'!U50</x:f>
        <x:v>Funded</x:v>
      </x:c>
      <x:c r="G44" s="16" t="str">
        <x:v>Automatic</x:v>
      </x:c>
      <x:c r="H44" s="16" t="str"/>
      <x:c r="I44" s="15" t="str">
        <x:v>EW!175</x:v>
      </x:c>
    </x:row>
    <x:row r="45">
      <x:c r="A45" s="15" t="str">
        <x:v>EW-42</x:v>
      </x:c>
      <x:c r="B45" s="15" t="str">
        <x:v>CCB - I&amp;D - Innovation &amp; Digital</x:v>
      </x:c>
      <x:c r="C45" s="15" t="str">
        <x:v>Information Technology</x:v>
      </x:c>
      <x:c r="D45" s="19" t="n">
        <x:v>2</x:v>
      </x:c>
      <x:c r="E45" s="15" t="str">
        <x:v>Sustain Engineering</x:v>
      </x:c>
      <x:c r="F45" s="15" t="str">
        <x:f>'Portfolio Model'!U55</x:f>
        <x:v>Funded</x:v>
      </x:c>
      <x:c r="G45" s="16" t="str">
        <x:v>Automatic</x:v>
      </x:c>
      <x:c r="H45" s="16" t="str"/>
      <x:c r="I45" s="15" t="str">
        <x:v>EW!42</x:v>
      </x:c>
    </x:row>
    <x:row r="46">
      <x:c r="A46" s="15" t="str">
        <x:v>EW-44</x:v>
      </x:c>
      <x:c r="B46" s="15" t="str">
        <x:v>EADI - CCB Initiative</x:v>
      </x:c>
      <x:c r="C46" s="15" t="str">
        <x:v>Information Technology</x:v>
      </x:c>
      <x:c r="D46" s="19" t="n">
        <x:v>0.5</x:v>
      </x:c>
      <x:c r="E46" s="15" t="str">
        <x:v>Sustain Engineering</x:v>
      </x:c>
      <x:c r="F46" s="15" t="str">
        <x:f>'Portfolio Model'!U56</x:f>
        <x:v>Funded</x:v>
      </x:c>
      <x:c r="G46" s="16" t="str">
        <x:v>Automatic</x:v>
      </x:c>
      <x:c r="H46" s="16" t="str"/>
      <x:c r="I46" s="15" t="str">
        <x:v>EW!44</x:v>
      </x:c>
    </x:row>
    <x:row r="47">
      <x:c r="A47" s="15" t="str">
        <x:v>EW-27</x:v>
      </x:c>
      <x:c r="B47" s="15" t="str">
        <x:v>CCB Services IT</x:v>
      </x:c>
      <x:c r="C47" s="15" t="str">
        <x:v>Information Technology</x:v>
      </x:c>
      <x:c r="D47" s="19" t="n">
        <x:v>1.6</x:v>
      </x:c>
      <x:c r="E47" s="15" t="str">
        <x:v>Sustain Engineering</x:v>
      </x:c>
      <x:c r="F47" s="15" t="str">
        <x:f>'Portfolio Model'!U57</x:f>
        <x:v>Funded</x:v>
      </x:c>
      <x:c r="G47" s="16" t="str">
        <x:v>Automatic</x:v>
      </x:c>
      <x:c r="H47" s="16" t="str"/>
      <x:c r="I47" s="15" t="str">
        <x:v>EW!30</x:v>
      </x:c>
    </x:row>
    <x:row r="48">
      <x:c r="A48" s="15" t="str">
        <x:v>EW-174</x:v>
      </x:c>
      <x:c r="B48" s="15" t="str">
        <x:v>Global Intranet &amp; Sharepoint</x:v>
      </x:c>
      <x:c r="C48" s="15" t="str">
        <x:v>Communications &amp; Brand</x:v>
      </x:c>
      <x:c r="D48" s="19" t="n">
        <x:v>0.175</x:v>
      </x:c>
      <x:c r="E48" s="15" t="str">
        <x:v>Hygiene</x:v>
      </x:c>
      <x:c r="F48" s="15" t="str">
        <x:f>'Portfolio Model'!U58</x:f>
        <x:v>Funded</x:v>
      </x:c>
      <x:c r="G48" s="16" t="str">
        <x:v>Automatic</x:v>
      </x:c>
      <x:c r="H48" s="16" t="str"/>
      <x:c r="I48" s="15" t="str">
        <x:v>EW!170</x:v>
      </x:c>
    </x:row>
    <x:row r="49">
      <x:c r="A49" s="15" t="str">
        <x:v>EW-95</x:v>
      </x:c>
      <x:c r="B49" s="15" t="str">
        <x:v>Infrastructure Setup to support Real Estate initiatives (new site setup, relocation and closure)</x:v>
      </x:c>
      <x:c r="C49" s="15" t="str">
        <x:v>Information Technology</x:v>
      </x:c>
      <x:c r="D49" s="19" t="n">
        <x:v>2.5</x:v>
      </x:c>
      <x:c r="E49" s="15" t="str">
        <x:v>Hygiene</x:v>
      </x:c>
      <x:c r="F49" s="15" t="str">
        <x:f>'Portfolio Model'!U59</x:f>
        <x:v>Funded</x:v>
      </x:c>
      <x:c r="G49" s="16" t="str">
        <x:v>Automatic</x:v>
      </x:c>
      <x:c r="H49" s="16" t="str"/>
      <x:c r="I49" s="15" t="str">
        <x:v>EW!91</x:v>
      </x:c>
    </x:row>
    <x:row r="50">
      <x:c r="A50" s="15" t="str">
        <x:v>EW-38</x:v>
      </x:c>
      <x:c r="B50" s="15" t="str">
        <x:v>EADI - DQ modernization</x:v>
      </x:c>
      <x:c r="C50" s="15" t="str">
        <x:v>Information Technology</x:v>
      </x:c>
      <x:c r="D50" s="19" t="n">
        <x:v>0.13</x:v>
      </x:c>
      <x:c r="E50" s="15" t="str">
        <x:v>Hygiene</x:v>
      </x:c>
      <x:c r="F50" s="15" t="str">
        <x:f>'Portfolio Model'!U61</x:f>
        <x:v>Funded</x:v>
      </x:c>
      <x:c r="G50" s="16" t="str">
        <x:v>Automatic</x:v>
      </x:c>
      <x:c r="H50" s="16" t="str"/>
      <x:c r="I50" s="15" t="str">
        <x:v>EW!39</x:v>
      </x:c>
    </x:row>
    <x:row r="51">
      <x:c r="A51" s="15" t="str">
        <x:v>EW-125</x:v>
      </x:c>
      <x:c r="B51" s="15" t="str">
        <x:v>I2M Planisware : AI-Driven Portfolio Management focused on Insights &amp; Value Realization</x:v>
      </x:c>
      <x:c r="C51" s="15" t="str">
        <x:v>Innovation and Design Business Operations</x:v>
      </x:c>
      <x:c r="D51" s="19" t="n">
        <x:v>1</x:v>
      </x:c>
      <x:c r="E51" s="15" t="str">
        <x:v>Hygiene</x:v>
      </x:c>
      <x:c r="F51" s="15" t="str">
        <x:f>'Portfolio Model'!U63</x:f>
        <x:v>Funded</x:v>
      </x:c>
      <x:c r="G51" s="16" t="str">
        <x:v>Automatic</x:v>
      </x:c>
      <x:c r="H51" s="16" t="str"/>
      <x:c r="I51" s="15" t="str">
        <x:v>EW!121</x:v>
      </x:c>
    </x:row>
    <x:row r="52">
      <x:c r="A52" s="15" t="str">
        <x:v>EW-120</x:v>
      </x:c>
      <x:c r="B52" s="15" t="str">
        <x:v>EADI - MDM Decom</x:v>
      </x:c>
      <x:c r="C52" s="15" t="str">
        <x:v>Information Technology</x:v>
      </x:c>
      <x:c r="D52" s="19" t="n">
        <x:v>0.575</x:v>
      </x:c>
      <x:c r="E52" s="15" t="str">
        <x:v>Hygiene</x:v>
      </x:c>
      <x:c r="F52" s="15" t="str">
        <x:f>'Portfolio Model'!U67</x:f>
        <x:v>Funded</x:v>
      </x:c>
      <x:c r="G52" s="16" t="str">
        <x:v>Automatic</x:v>
      </x:c>
      <x:c r="H52" s="16" t="str"/>
      <x:c r="I52" s="15" t="str">
        <x:v>EW!116</x:v>
      </x:c>
    </x:row>
    <x:row r="53">
      <x:c r="A53" s="15" t="str">
        <x:v>EW-40</x:v>
      </x:c>
      <x:c r="B53" s="15" t="str">
        <x:v>EADI - Data Design &amp; Lineage</x:v>
      </x:c>
      <x:c r="C53" s="15" t="str">
        <x:v>Information Technology</x:v>
      </x:c>
      <x:c r="D53" s="19" t="n">
        <x:v>0.15</x:v>
      </x:c>
      <x:c r="E53" s="15" t="str">
        <x:v>Hygiene</x:v>
      </x:c>
      <x:c r="F53" s="15" t="str">
        <x:f>'Portfolio Model'!U68</x:f>
        <x:v>Funded</x:v>
      </x:c>
      <x:c r="G53" s="16" t="str">
        <x:v>Automatic</x:v>
      </x:c>
      <x:c r="H53" s="16" t="str"/>
      <x:c r="I53" s="15" t="str">
        <x:v>EW!41</x:v>
      </x:c>
    </x:row>
    <x:row r="54">
      <x:c r="A54" s="15" t="str">
        <x:v>EW-155</x:v>
      </x:c>
      <x:c r="B54" s="15" t="str">
        <x:v>CRMA and Qlikview Decom - Commercial Analytics</x:v>
      </x:c>
      <x:c r="C54" s="15" t="str">
        <x:v>Information Technology</x:v>
      </x:c>
      <x:c r="D54" s="19" t="n">
        <x:v>0.15</x:v>
      </x:c>
      <x:c r="E54" s="15" t="str">
        <x:v>Hygiene</x:v>
      </x:c>
      <x:c r="F54" s="15" t="str">
        <x:f>'Portfolio Model'!U69</x:f>
        <x:v>Funded</x:v>
      </x:c>
      <x:c r="G54" s="16" t="str">
        <x:v>Automatic</x:v>
      </x:c>
      <x:c r="H54" s="16" t="str"/>
      <x:c r="I54" s="15" t="str">
        <x:v>EW!151</x:v>
      </x:c>
    </x:row>
    <x:row r="55">
      <x:c r="A55" s="15" t="str">
        <x:v>EW-128</x:v>
      </x:c>
      <x:c r="B55" s="15" t="str">
        <x:v>Integrated project &amp; business performance modernization</x:v>
      </x:c>
      <x:c r="C55" s="15" t="str">
        <x:v>Innovation and Design Business Operations</x:v>
      </x:c>
      <x:c r="D55" s="19" t="n">
        <x:v>0.09</x:v>
      </x:c>
      <x:c r="E55" s="15" t="str">
        <x:v>Hygiene</x:v>
      </x:c>
      <x:c r="F55" s="15" t="str">
        <x:f>'Portfolio Model'!U71</x:f>
        <x:v>Funded</x:v>
      </x:c>
      <x:c r="G55" s="16" t="str">
        <x:v>Automatic</x:v>
      </x:c>
      <x:c r="H55" s="16" t="str"/>
      <x:c r="I55" s="15" t="str">
        <x:v>EW!124</x:v>
      </x:c>
    </x:row>
    <x:row r="56">
      <x:c r="A56" s="15" t="str">
        <x:v>EW-129</x:v>
      </x:c>
      <x:c r="B56" s="15" t="str">
        <x:v>FIN-IR - DACH DMS 2 OpenText document archive, save 92K IT Ops p.a.</x:v>
      </x:c>
      <x:c r="C56" s="15" t="str">
        <x:v>International Regions (IR) - Overall</x:v>
      </x:c>
      <x:c r="D56" s="19" t="n">
        <x:v>0.08</x:v>
      </x:c>
      <x:c r="E56" s="15" t="str">
        <x:v>Hygiene</x:v>
      </x:c>
      <x:c r="F56" s="15" t="str">
        <x:f>'Portfolio Model'!U72</x:f>
        <x:v>Funded</x:v>
      </x:c>
      <x:c r="G56" s="16" t="str">
        <x:v>Automatic</x:v>
      </x:c>
      <x:c r="H56" s="16" t="str"/>
      <x:c r="I56" s="15" t="str">
        <x:v>EW!125</x:v>
      </x:c>
    </x:row>
    <x:row r="57">
      <x:c r="A57" s="15" t="str">
        <x:v>EW-143</x:v>
      </x:c>
      <x:c r="B57" s="15" t="str">
        <x:v>FIN-IGM performance management improvement ( Tagged to - IT Finance Foundation)</x:v>
      </x:c>
      <x:c r="C57" s="15" t="str">
        <x:v>Finance</x:v>
      </x:c>
      <x:c r="D57" s="19" t="n">
        <x:v>0.2</x:v>
      </x:c>
      <x:c r="E57" s="15" t="str">
        <x:v>Hygiene</x:v>
      </x:c>
      <x:c r="F57" s="15" t="str">
        <x:f>'Portfolio Model'!U78</x:f>
        <x:v>Funded</x:v>
      </x:c>
      <x:c r="G57" s="16" t="str">
        <x:v>Automatic</x:v>
      </x:c>
      <x:c r="H57" s="16" t="str"/>
      <x:c r="I57" s="15" t="str">
        <x:v>EW!139</x:v>
      </x:c>
    </x:row>
    <x:row r="58">
      <x:c r="A58" s="15" t="str">
        <x:v>EW-168</x:v>
      </x:c>
      <x:c r="B58" s="15" t="str">
        <x:v>Standardization</x:v>
      </x:c>
      <x:c r="C58" s="15" t="str">
        <x:v>People function</x:v>
      </x:c>
      <x:c r="D58" s="19" t="n">
        <x:v>0.2</x:v>
      </x:c>
      <x:c r="E58" s="15" t="str">
        <x:v>Hygiene</x:v>
      </x:c>
      <x:c r="F58" s="15" t="str">
        <x:f>'Portfolio Model'!U80</x:f>
        <x:v>Funded</x:v>
      </x:c>
      <x:c r="G58" s="16" t="str">
        <x:v>Automatic</x:v>
      </x:c>
      <x:c r="H58" s="16" t="str"/>
      <x:c r="I58" s="15" t="str">
        <x:v>EW!164</x:v>
      </x:c>
    </x:row>
    <x:row r="59">
      <x:c r="A59" s="15" t="str">
        <x:v>EW-137</x:v>
      </x:c>
      <x:c r="B59" s="15" t="str">
        <x:v>FIN-Process Mining RTR</x:v>
      </x:c>
      <x:c r="C59" s="15" t="str">
        <x:v>Finance</x:v>
      </x:c>
      <x:c r="D59" s="19" t="n">
        <x:v>0.1</x:v>
      </x:c>
      <x:c r="E59" s="15" t="str">
        <x:v>Hygiene</x:v>
      </x:c>
      <x:c r="F59" s="15" t="str">
        <x:f>'Portfolio Model'!U81</x:f>
        <x:v>Funded</x:v>
      </x:c>
      <x:c r="G59" s="16" t="str">
        <x:v>Automatic</x:v>
      </x:c>
      <x:c r="H59" s="16" t="str"/>
      <x:c r="I59" s="15" t="str">
        <x:v>EW!133</x:v>
      </x:c>
    </x:row>
    <x:row r="60">
      <x:c r="A60" s="15" t="str">
        <x:v>EW-54</x:v>
      </x:c>
      <x:c r="B60" s="15" t="str">
        <x:v>FIN- IT DRP - AP Invoice Process Automation (PIPE)</x:v>
      </x:c>
      <x:c r="C60" s="15" t="str">
        <x:v>Finance</x:v>
      </x:c>
      <x:c r="D60" s="19" t="n">
        <x:v>0.43</x:v>
      </x:c>
      <x:c r="E60" s="15" t="str">
        <x:v>Hygiene</x:v>
      </x:c>
      <x:c r="F60" s="15" t="str">
        <x:f>'Portfolio Model'!U83</x:f>
        <x:v>Funded</x:v>
      </x:c>
      <x:c r="G60" s="16" t="str">
        <x:v>Automatic</x:v>
      </x:c>
      <x:c r="H60" s="16" t="str"/>
      <x:c r="I60" s="15" t="str">
        <x:v>EW!52</x:v>
      </x:c>
    </x:row>
    <x:row r="61">
      <x:c r="A61" s="15" t="str">
        <x:v>EW-148</x:v>
      </x:c>
      <x:c r="B61" s="15" t="str">
        <x:v>TrueContext replacement</x:v>
      </x:c>
      <x:c r="C61" s="15" t="str">
        <x:v>Information Technology</x:v>
      </x:c>
      <x:c r="D61" s="19" t="n">
        <x:v>0.7</x:v>
      </x:c>
      <x:c r="E61" s="15" t="str">
        <x:v>Hygiene</x:v>
      </x:c>
      <x:c r="F61" s="15" t="str">
        <x:f>'Portfolio Model'!U84</x:f>
        <x:v>Unfunded</x:v>
      </x:c>
      <x:c r="G61" s="16" t="str">
        <x:v>Automatic</x:v>
      </x:c>
      <x:c r="H61" s="16" t="str"/>
      <x:c r="I61" s="15" t="str">
        <x:v>EW!144</x:v>
      </x:c>
    </x:row>
    <x:row r="62">
      <x:c r="A62" s="15" t="str">
        <x:v>EW-149</x:v>
      </x:c>
      <x:c r="B62" s="15" t="str">
        <x:v>Decisions replacement</x:v>
      </x:c>
      <x:c r="C62" s="15" t="str">
        <x:v>Information Technology</x:v>
      </x:c>
      <x:c r="D62" s="19" t="n">
        <x:v>0.1</x:v>
      </x:c>
      <x:c r="E62" s="15" t="str">
        <x:v>Hygiene</x:v>
      </x:c>
      <x:c r="F62" s="15" t="str">
        <x:f>'Portfolio Model'!U85</x:f>
        <x:v>Funded</x:v>
      </x:c>
      <x:c r="G62" s="16" t="str">
        <x:v>Automatic</x:v>
      </x:c>
      <x:c r="H62" s="16" t="str"/>
      <x:c r="I62" s="15" t="str">
        <x:v>EW!145</x:v>
      </x:c>
    </x:row>
    <x:row r="63">
      <x:c r="A63" s="15" t="str">
        <x:v>EW-151</x:v>
      </x:c>
      <x:c r="B63" s="15" t="str">
        <x:v>Incenter replacement</x:v>
      </x:c>
      <x:c r="C63" s="15" t="str">
        <x:v>Information Technology</x:v>
      </x:c>
      <x:c r="D63" s="19" t="n">
        <x:v>0.8</x:v>
      </x:c>
      <x:c r="E63" s="15" t="str">
        <x:v>Hygiene</x:v>
      </x:c>
      <x:c r="F63" s="15" t="str">
        <x:f>'Portfolio Model'!U86</x:f>
        <x:v>Unfunded</x:v>
      </x:c>
      <x:c r="G63" s="16" t="str">
        <x:v>Automatic</x:v>
      </x:c>
      <x:c r="H63" s="16" t="str"/>
      <x:c r="I63" s="15" t="str">
        <x:v>EW!147</x:v>
      </x:c>
    </x:row>
    <x:row r="64">
      <x:c r="A64" s="15" t="str">
        <x:v>EW-186</x:v>
      </x:c>
      <x:c r="B64" s="15" t="str">
        <x:v>Agent Atelier</x:v>
      </x:c>
      <x:c r="C64" s="15" t="str">
        <x:v>Innovation and Design Business Operations</x:v>
      </x:c>
      <x:c r="D64" s="19" t="n">
        <x:v>0.075</x:v>
      </x:c>
      <x:c r="E64" s="15" t="str">
        <x:v>Hygiene</x:v>
      </x:c>
      <x:c r="F64" s="15" t="str">
        <x:f>'Portfolio Model'!U87</x:f>
        <x:v>Funded</x:v>
      </x:c>
      <x:c r="G64" s="16" t="str">
        <x:v>Automatic</x:v>
      </x:c>
      <x:c r="H64" s="16" t="str"/>
      <x:c r="I64" s="15" t="str">
        <x:v>EW!182</x:v>
      </x:c>
    </x:row>
    <x:row r="65">
      <x:c r="A65" s="15" t="str">
        <x:v>EW-187</x:v>
      </x:c>
      <x:c r="B65" s="15" t="str">
        <x:v>Innovation &amp; AI Atlas</x:v>
      </x:c>
      <x:c r="C65" s="15" t="str">
        <x:v>Innovation and Design Business Operations</x:v>
      </x:c>
      <x:c r="D65" s="19" t="n">
        <x:v>0.075</x:v>
      </x:c>
      <x:c r="E65" s="15" t="str">
        <x:v>Hygiene</x:v>
      </x:c>
      <x:c r="F65" s="15" t="str">
        <x:f>'Portfolio Model'!U88</x:f>
        <x:v>Funded</x:v>
      </x:c>
      <x:c r="G65" s="16" t="str">
        <x:v>Automatic</x:v>
      </x:c>
      <x:c r="H65" s="16" t="str"/>
      <x:c r="I65" s="15" t="str">
        <x:v>EW!183</x:v>
      </x:c>
    </x:row>
    <x:row r="66">
      <x:c r="A66" s="15" t="str">
        <x:v>EW-57</x:v>
      </x:c>
      <x:c r="B66" s="15" t="str">
        <x:v>Commercial IT DRP</x:v>
      </x:c>
      <x:c r="C66" s="15" t="str">
        <x:v>Information Technology</x:v>
      </x:c>
      <x:c r="D66" s="19" t="n">
        <x:v>0.5</x:v>
      </x:c>
      <x:c r="E66" s="15" t="str">
        <x:v>Hygiene</x:v>
      </x:c>
      <x:c r="F66" s="15" t="str">
        <x:f>'Portfolio Model'!U89</x:f>
        <x:v>Unfunded</x:v>
      </x:c>
      <x:c r="G66" s="16" t="str">
        <x:v>Automatic</x:v>
      </x:c>
      <x:c r="H66" s="16" t="str"/>
      <x:c r="I66" s="15" t="str">
        <x:v>EW!53</x:v>
      </x:c>
    </x:row>
    <x:row r="67">
      <x:c r="A67" s="15" t="str">
        <x:v>EW-133</x:v>
      </x:c>
      <x:c r="B67" s="15" t="str">
        <x:v>EADI Data Replatforming</x:v>
      </x:c>
      <x:c r="C67" s="15" t="str">
        <x:v>Information Technology</x:v>
      </x:c>
      <x:c r="D67" s="19" t="n">
        <x:v>0.15</x:v>
      </x:c>
      <x:c r="E67" s="15" t="str">
        <x:v>Hygiene</x:v>
      </x:c>
      <x:c r="F67" s="15" t="str">
        <x:f>'Portfolio Model'!U90</x:f>
        <x:v>Funded</x:v>
      </x:c>
      <x:c r="G67" s="16" t="str">
        <x:v>Automatic</x:v>
      </x:c>
      <x:c r="H67" s="16" t="str"/>
      <x:c r="I67" s="15" t="str">
        <x:v>EW!129</x:v>
      </x:c>
    </x:row>
    <x:row r="68">
      <x:c r="A68" s="15" t="str">
        <x:v>EW-34</x:v>
      </x:c>
      <x:c r="B68" s="15" t="str">
        <x:v>EADI - DataPlatform 2026</x:v>
      </x:c>
      <x:c r="C68" s="15" t="str">
        <x:v>Information Technology</x:v>
      </x:c>
      <x:c r="D68" s="19" t="n">
        <x:v>0.3</x:v>
      </x:c>
      <x:c r="E68" s="15" t="str">
        <x:v>Hygiene</x:v>
      </x:c>
      <x:c r="F68" s="15" t="str">
        <x:f>'Portfolio Model'!U93</x:f>
        <x:v>Unfunded</x:v>
      </x:c>
      <x:c r="G68" s="16" t="str">
        <x:v>Automatic</x:v>
      </x:c>
      <x:c r="H68" s="16" t="str"/>
      <x:c r="I68" s="15" t="str">
        <x:v>EW!35</x:v>
      </x:c>
    </x:row>
    <x:row r="69">
      <x:c r="A69" s="15" t="str">
        <x:v>EW-131</x:v>
      </x:c>
      <x:c r="B69" s="15" t="str">
        <x:v>EADI- Synapse Decommissioning</x:v>
      </x:c>
      <x:c r="C69" s="15" t="str">
        <x:v>Information Technology</x:v>
      </x:c>
      <x:c r="D69" s="19" t="n">
        <x:v>1.062</x:v>
      </x:c>
      <x:c r="E69" s="15" t="str">
        <x:v>Hygiene</x:v>
      </x:c>
      <x:c r="F69" s="15" t="str">
        <x:f>'Portfolio Model'!U95</x:f>
        <x:v>Unfunded</x:v>
      </x:c>
      <x:c r="G69" s="16" t="str">
        <x:v>Automatic</x:v>
      </x:c>
      <x:c r="H69" s="16" t="str"/>
      <x:c r="I69" s="15" t="str">
        <x:v>EW!127</x:v>
      </x:c>
    </x:row>
    <x:row r="70">
      <x:c r="A70" s="15" t="str">
        <x:v>EW-75</x:v>
      </x:c>
      <x:c r="B70" s="15" t="str">
        <x:v>FIN-ARIC Digital finance strategy - RtR</x:v>
      </x:c>
      <x:c r="C70" s="15" t="str">
        <x:v>Finance</x:v>
      </x:c>
      <x:c r="D70" s="19" t="n">
        <x:v>0.5</x:v>
      </x:c>
      <x:c r="E70" s="15" t="str">
        <x:v>Hygiene</x:v>
      </x:c>
      <x:c r="F70" s="15" t="str">
        <x:f>'Portfolio Model'!U96</x:f>
        <x:v>Unfunded</x:v>
      </x:c>
      <x:c r="G70" s="16" t="str">
        <x:v>Automatic</x:v>
      </x:c>
      <x:c r="H70" s="16" t="str"/>
      <x:c r="I70" s="15" t="str">
        <x:v>EW!71</x:v>
      </x:c>
    </x:row>
    <x:row r="71">
      <x:c r="A71" s="15" t="str">
        <x:v>EW-158</x:v>
      </x:c>
      <x:c r="B71" s="15" t="str">
        <x:v>Scheduling</x:v>
      </x:c>
      <x:c r="C71" s="15" t="str">
        <x:v>People function</x:v>
      </x:c>
      <x:c r="D71" s="19" t="n">
        <x:v>0.05</x:v>
      </x:c>
      <x:c r="E71" s="15" t="str">
        <x:v>Hygiene</x:v>
      </x:c>
      <x:c r="F71" s="15" t="str">
        <x:f>'Portfolio Model'!U97</x:f>
        <x:v>Unfunded</x:v>
      </x:c>
      <x:c r="G71" s="16" t="str">
        <x:v>Automatic</x:v>
      </x:c>
      <x:c r="H71" s="16" t="str"/>
      <x:c r="I71" s="15" t="str">
        <x:v>EW!154</x:v>
      </x:c>
    </x:row>
    <x:row r="72">
      <x:c r="A72" s="15" t="str">
        <x:v>EW-33</x:v>
      </x:c>
      <x:c r="B72" s="15" t="str">
        <x:v>EADI - Modeling</x:v>
      </x:c>
      <x:c r="C72" s="15" t="str">
        <x:v>Information Technology</x:v>
      </x:c>
      <x:c r="D72" s="19" t="n">
        <x:v>0.12</x:v>
      </x:c>
      <x:c r="E72" s="15" t="str">
        <x:v>Hygiene</x:v>
      </x:c>
      <x:c r="F72" s="15" t="str">
        <x:f>'Portfolio Model'!U98</x:f>
        <x:v>Unfunded</x:v>
      </x:c>
      <x:c r="G72" s="16" t="str">
        <x:v>Automatic</x:v>
      </x:c>
      <x:c r="H72" s="16" t="str"/>
      <x:c r="I72" s="15" t="str">
        <x:v>EW!34</x:v>
      </x:c>
    </x:row>
    <x:row r="73">
      <x:c r="A73" s="15" t="str">
        <x:v>EW-15</x:v>
      </x:c>
      <x:c r="B73" s="15" t="str">
        <x:v>Next Gen CH</x:v>
      </x:c>
      <x:c r="C73" s="15" t="str">
        <x:v>Patient Safety &amp; Quality</x:v>
      </x:c>
      <x:c r="D73" s="19" t="n">
        <x:v>2.7</x:v>
      </x:c>
      <x:c r="E73" s="15" t="str">
        <x:v>Hygiene</x:v>
      </x:c>
      <x:c r="F73" s="15" t="str">
        <x:f>'Portfolio Model'!U99</x:f>
        <x:v>Unfunded</x:v>
      </x:c>
      <x:c r="G73" s="16" t="str">
        <x:v>Automatic</x:v>
      </x:c>
      <x:c r="H73" s="16" t="str"/>
      <x:c r="I73" s="15" t="str">
        <x:v>EW!18</x:v>
      </x:c>
    </x:row>
    <x:row r="74">
      <x:c r="A74" s="15" t="str">
        <x:v>EW-51</x:v>
      </x:c>
      <x:c r="B74" s="15" t="str">
        <x:v>Centralized Certificate Verification(CCV)</x:v>
      </x:c>
      <x:c r="C74" s="15" t="str">
        <x:v>Patient Safety &amp; Quality</x:v>
      </x:c>
      <x:c r="D74" s="19" t="n">
        <x:v>0.35</x:v>
      </x:c>
      <x:c r="E74" s="15" t="str">
        <x:v>Hygiene</x:v>
      </x:c>
      <x:c r="F74" s="15" t="str">
        <x:f>'Portfolio Model'!U100</x:f>
        <x:v>Unfunded</x:v>
      </x:c>
      <x:c r="G74" s="16" t="str">
        <x:v>Automatic</x:v>
      </x:c>
      <x:c r="H74" s="16" t="str"/>
      <x:c r="I74" s="15" t="str">
        <x:v>EW!49</x:v>
      </x:c>
    </x:row>
    <x:row r="75">
      <x:c r="A75" s="15" t="str">
        <x:v>EW-121</x:v>
      </x:c>
      <x:c r="B75" s="15" t="str">
        <x:v>Conga Advantage</x:v>
      </x:c>
      <x:c r="C75" s="15" t="str">
        <x:v>Information Technology</x:v>
      </x:c>
      <x:c r="D75" s="19" t="n">
        <x:v>0.65</x:v>
      </x:c>
      <x:c r="E75" s="15" t="str">
        <x:v>Hygiene</x:v>
      </x:c>
      <x:c r="F75" s="15" t="str">
        <x:f>'Portfolio Model'!U102</x:f>
        <x:v>Unfunded</x:v>
      </x:c>
      <x:c r="G75" s="16" t="str">
        <x:v>Automatic</x:v>
      </x:c>
      <x:c r="H75" s="16" t="str"/>
      <x:c r="I75" s="15" t="str">
        <x:v>EW!117</x:v>
      </x:c>
    </x:row>
    <x:row r="76">
      <x:c r="A76" s="15" t="str">
        <x:v>EW-150</x:v>
      </x:c>
      <x:c r="B76" s="15" t="str">
        <x:v>PS Cloud replacement</x:v>
      </x:c>
      <x:c r="C76" s="15" t="str">
        <x:v>Information Technology</x:v>
      </x:c>
      <x:c r="D76" s="19" t="n">
        <x:v>1.2</x:v>
      </x:c>
      <x:c r="E76" s="15" t="str">
        <x:v>Hygiene</x:v>
      </x:c>
      <x:c r="F76" s="15" t="str">
        <x:f>'Portfolio Model'!U103</x:f>
        <x:v>Unfunded</x:v>
      </x:c>
      <x:c r="G76" s="16" t="str">
        <x:v>Automatic</x:v>
      </x:c>
      <x:c r="H76" s="16" t="str"/>
      <x:c r="I76" s="15" t="str">
        <x:v>EW!146</x:v>
      </x:c>
    </x:row>
    <x:row r="77">
      <x:c r="A77" s="15" t="str">
        <x:v>EW-122</x:v>
      </x:c>
      <x:c r="B77" s="15" t="str">
        <x:v>Sales Replatforming</x:v>
      </x:c>
      <x:c r="C77" s="15" t="str">
        <x:v>Information Technology</x:v>
      </x:c>
      <x:c r="D77" s="19" t="n">
        <x:v>7</x:v>
      </x:c>
      <x:c r="E77" s="15" t="str">
        <x:v>Hygiene</x:v>
      </x:c>
      <x:c r="F77" s="15" t="str">
        <x:f>'Portfolio Model'!U104</x:f>
        <x:v>Unfunded</x:v>
      </x:c>
      <x:c r="G77" s="16" t="str">
        <x:v>Automatic</x:v>
      </x:c>
      <x:c r="H77" s="16" t="str"/>
      <x:c r="I77" s="15" t="str">
        <x:v>EW!118</x:v>
      </x:c>
    </x:row>
    <x:row r="78">
      <x:c r="A78" s="15" t="str">
        <x:v>EW-123</x:v>
      </x:c>
      <x:c r="B78" s="15" t="str">
        <x:v>FIN-IR - Latam SOVOS 2 DCR (ex Brazil) eInvoices, save 305K IT Ops p.a.</x:v>
      </x:c>
      <x:c r="C78" s="15" t="str">
        <x:v>International Regions (IR) - Overall</x:v>
      </x:c>
      <x:c r="D78" s="19" t="n">
        <x:v>0.5</x:v>
      </x:c>
      <x:c r="E78" s="15" t="str">
        <x:v>Hygiene</x:v>
      </x:c>
      <x:c r="F78" s="15" t="str">
        <x:f>'Portfolio Model'!U105</x:f>
        <x:v>Unfunded</x:v>
      </x:c>
      <x:c r="G78" s="16" t="str">
        <x:v>Automatic</x:v>
      </x:c>
      <x:c r="H78" s="16" t="str"/>
      <x:c r="I78" s="15" t="str">
        <x:v>EW!119</x:v>
      </x:c>
    </x:row>
    <x:row r="79">
      <x:c r="A79" s="15" t="str">
        <x:v>EW-58</x:v>
      </x:c>
      <x:c r="B79" s="15" t="str">
        <x:v>PST &amp; Hubwoo Replatforming</x:v>
      </x:c>
      <x:c r="C79" s="15" t="str">
        <x:v>Information Technology</x:v>
      </x:c>
      <x:c r="D79" s="19" t="n">
        <x:v>0.6</x:v>
      </x:c>
      <x:c r="E79" s="15" t="str">
        <x:v>Hygiene</x:v>
      </x:c>
      <x:c r="F79" s="15" t="str">
        <x:f>'Portfolio Model'!U106</x:f>
        <x:v>Unfunded</x:v>
      </x:c>
      <x:c r="G79" s="16" t="str">
        <x:v>Automatic</x:v>
      </x:c>
      <x:c r="H79" s="16" t="str"/>
      <x:c r="I79" s="15" t="str">
        <x:v>EW!54</x:v>
      </x:c>
    </x:row>
    <x:row r="80">
      <x:c r="A80" s="15" t="str">
        <x:v>EW-144</x:v>
      </x:c>
      <x:c r="B80" s="15" t="str">
        <x:v>ISC IT DRP - Software Optimization: RunMyJob</x:v>
      </x:c>
      <x:c r="C80" s="15" t="str">
        <x:v>Information Technology</x:v>
      </x:c>
      <x:c r="D80" s="19" t="n">
        <x:v>0.3</x:v>
      </x:c>
      <x:c r="E80" s="15" t="str">
        <x:v>Hygiene</x:v>
      </x:c>
      <x:c r="F80" s="15" t="str">
        <x:f>'Portfolio Model'!U107</x:f>
        <x:v>Unfunded</x:v>
      </x:c>
      <x:c r="G80" s="16" t="str">
        <x:v>Automatic</x:v>
      </x:c>
      <x:c r="H80" s="16" t="str"/>
      <x:c r="I80" s="15" t="str">
        <x:v>EW!140</x:v>
      </x:c>
    </x:row>
    <x:row r="81">
      <x:c r="A81" s="15" t="str">
        <x:v>EW-146</x:v>
      </x:c>
      <x:c r="B81" s="15" t="str">
        <x:v>ISC IT DRP - SAP OneBi &amp; BCS to BDC</x:v>
      </x:c>
      <x:c r="C81" s="15" t="str">
        <x:v>Information Technology</x:v>
      </x:c>
      <x:c r="D81" s="19" t="n">
        <x:v>0.3</x:v>
      </x:c>
      <x:c r="E81" s="15" t="str">
        <x:v>Hygiene</x:v>
      </x:c>
      <x:c r="F81" s="15" t="str">
        <x:f>'Portfolio Model'!U108</x:f>
        <x:v>Unfunded</x:v>
      </x:c>
      <x:c r="G81" s="16" t="str">
        <x:v>Automatic</x:v>
      </x:c>
      <x:c r="H81" s="16" t="str"/>
      <x:c r="I81" s="15" t="str">
        <x:v>EW!142</x:v>
      </x:c>
    </x:row>
    <x:row r="82">
      <x:c r="A82" s="15" t="str">
        <x:v>EW-86</x:v>
      </x:c>
      <x:c r="B82" s="15" t="str">
        <x:v>FIN-MJV improvements</x:v>
      </x:c>
      <x:c r="C82" s="15" t="str">
        <x:v>Finance</x:v>
      </x:c>
      <x:c r="D82" s="19" t="n">
        <x:v>0.5</x:v>
      </x:c>
      <x:c r="E82" s="15" t="str">
        <x:v>Hygiene</x:v>
      </x:c>
      <x:c r="F82" s="15" t="str">
        <x:f>'Portfolio Model'!U109</x:f>
        <x:v>Unfunded</x:v>
      </x:c>
      <x:c r="G82" s="16" t="str">
        <x:v>Automatic</x:v>
      </x:c>
      <x:c r="H82" s="16" t="str"/>
      <x:c r="I82" s="15" t="str">
        <x:v>EW!82</x:v>
      </x:c>
    </x:row>
    <x:row r="83">
      <x:c r="A83" s="15" t="str">
        <x:v>EW-145</x:v>
      </x:c>
      <x:c r="B83" s="15" t="str">
        <x:v>ISC IT DRP - Software Optimization: EveryAngle -&gt; ADL</x:v>
      </x:c>
      <x:c r="C83" s="15" t="str">
        <x:v>Information Technology</x:v>
      </x:c>
      <x:c r="D83" s="19" t="n">
        <x:v>0.5</x:v>
      </x:c>
      <x:c r="E83" s="15" t="str">
        <x:v>Hygiene</x:v>
      </x:c>
      <x:c r="F83" s="15" t="str">
        <x:f>'Portfolio Model'!U110</x:f>
        <x:v>Unfunded</x:v>
      </x:c>
      <x:c r="G83" s="16" t="str">
        <x:v>Automatic</x:v>
      </x:c>
      <x:c r="H83" s="16" t="str"/>
      <x:c r="I83" s="15" t="str">
        <x:v>EW!141</x:v>
      </x:c>
    </x:row>
    <x:row r="84">
      <x:c r="A84" s="15" t="str">
        <x:v>EW-92</x:v>
      </x:c>
      <x:c r="B84" s="15" t="str">
        <x:v>FIN-Decom UiPatch (Communication Mining)</x:v>
      </x:c>
      <x:c r="C84" s="15" t="str">
        <x:v>Finance</x:v>
      </x:c>
      <x:c r="D84" s="19" t="n">
        <x:v>0.4</x:v>
      </x:c>
      <x:c r="E84" s="15" t="str">
        <x:v>Hygiene</x:v>
      </x:c>
      <x:c r="F84" s="15" t="str">
        <x:f>'Portfolio Model'!U112</x:f>
        <x:v>Unfunded</x:v>
      </x:c>
      <x:c r="G84" s="16" t="str">
        <x:v>Automatic</x:v>
      </x:c>
      <x:c r="H84" s="16" t="str"/>
      <x:c r="I84" s="15" t="str">
        <x:v>EW!88</x:v>
      </x:c>
    </x:row>
    <x:row r="85">
      <x:c r="A85" s="15" t="str">
        <x:v>EW-169</x:v>
      </x:c>
      <x:c r="B85" s="15" t="str">
        <x:v>People data architechture &amp; AI solutions enablement</x:v>
      </x:c>
      <x:c r="C85" s="15" t="str">
        <x:v>People function</x:v>
      </x:c>
      <x:c r="D85" s="19" t="n">
        <x:v>0.3</x:v>
      </x:c>
      <x:c r="E85" s="15" t="str">
        <x:v>Hygiene</x:v>
      </x:c>
      <x:c r="F85" s="15" t="str">
        <x:f>'Portfolio Model'!U114</x:f>
        <x:v>Unfunded</x:v>
      </x:c>
      <x:c r="G85" s="16" t="str">
        <x:v>Automatic</x:v>
      </x:c>
      <x:c r="H85" s="16" t="str"/>
      <x:c r="I85" s="15" t="str">
        <x:v>EW!165</x:v>
      </x:c>
    </x:row>
    <x:row r="86">
      <x:c r="A86" s="15" t="str">
        <x:v>EW-173</x:v>
      </x:c>
      <x:c r="B86" s="15" t="str">
        <x:v>ISC IT DRP - DESCARTES</x:v>
      </x:c>
      <x:c r="C86" s="15" t="str">
        <x:v>Information Technology</x:v>
      </x:c>
      <x:c r="D86" s="19" t="n">
        <x:v>0.5</x:v>
      </x:c>
      <x:c r="E86" s="15" t="str">
        <x:v>Hygiene</x:v>
      </x:c>
      <x:c r="F86" s="15" t="str">
        <x:f>'Portfolio Model'!U116</x:f>
        <x:v>Unfunded</x:v>
      </x:c>
      <x:c r="G86" s="16" t="str">
        <x:v>Automatic</x:v>
      </x:c>
      <x:c r="H86" s="16" t="str"/>
      <x:c r="I86" s="15" t="str">
        <x:v>EW!169</x:v>
      </x:c>
    </x:row>
    <x:row r="87">
      <x:c r="A87" s="15" t="str">
        <x:v>EW-100</x:v>
      </x:c>
      <x:c r="B87" s="15" t="str">
        <x:v>HW Lifecycle for NEtwork FW, Access points and core switches</x:v>
      </x:c>
      <x:c r="C87" s="15" t="str">
        <x:v>Information Technology</x:v>
      </x:c>
      <x:c r="D87" s="19" t="n">
        <x:v>1.2</x:v>
      </x:c>
      <x:c r="E87" s="15" t="str">
        <x:v>Hygiene</x:v>
      </x:c>
      <x:c r="F87" s="15" t="str">
        <x:f>'Portfolio Model'!U117</x:f>
        <x:v>Unfunded</x:v>
      </x:c>
      <x:c r="G87" s="16" t="str">
        <x:v>Automatic</x:v>
      </x:c>
      <x:c r="H87" s="16" t="str"/>
      <x:c r="I87" s="15" t="str">
        <x:v>EW!96</x:v>
      </x:c>
    </x:row>
    <x:row r="88">
      <x:c r="A88" s="15" t="str">
        <x:v>EW-118</x:v>
      </x:c>
      <x:c r="B88" s="15" t="str">
        <x:v>Replace Appian with cheaper alternative solution</x:v>
      </x:c>
      <x:c r="C88" s="15" t="str">
        <x:v>Information Technology</x:v>
      </x:c>
      <x:c r="D88" s="19" t="n">
        <x:v>0.8</x:v>
      </x:c>
      <x:c r="E88" s="15" t="str">
        <x:v>Hygiene</x:v>
      </x:c>
      <x:c r="F88" s="15" t="str">
        <x:f>'Portfolio Model'!U121</x:f>
        <x:v>Unfunded</x:v>
      </x:c>
      <x:c r="G88" s="16" t="str">
        <x:v>Automatic</x:v>
      </x:c>
      <x:c r="H88" s="16" t="str"/>
      <x:c r="I88" s="15" t="str">
        <x:v>EW!114</x:v>
      </x:c>
    </x:row>
    <x:row r="89">
      <x:c r="A89" s="15" t="str">
        <x:v>EW-177</x:v>
      </x:c>
      <x:c r="B89" s="15" t="str">
        <x:v>Extending Artifactory footprint &amp; offering to support SDLC and SDLC Security at scale</x:v>
      </x:c>
      <x:c r="C89" s="15" t="str">
        <x:v>Group Security</x:v>
      </x:c>
      <x:c r="D89" s="19" t="n">
        <x:v>0.7</x:v>
      </x:c>
      <x:c r="E89" s="15" t="str">
        <x:v>Hygiene</x:v>
      </x:c>
      <x:c r="F89" s="15" t="str">
        <x:f>'Portfolio Model'!U122</x:f>
        <x:v>Unfunded</x:v>
      </x:c>
      <x:c r="G89" s="16" t="str">
        <x:v>Automatic</x:v>
      </x:c>
      <x:c r="H89" s="16" t="str"/>
      <x:c r="I89" s="15" t="str">
        <x:v>EW!173</x:v>
      </x:c>
    </x:row>
    <x:row r="90">
      <x:c r="A90" s="15" t="str">
        <x:v>EW-101</x:v>
      </x:c>
      <x:c r="B90" s="15" t="str">
        <x:v>Cloud File Share Solution (CFSS)</x:v>
      </x:c>
      <x:c r="C90" s="15" t="str">
        <x:v>Information Technology</x:v>
      </x:c>
      <x:c r="D90" s="19" t="n">
        <x:v>0.7</x:v>
      </x:c>
      <x:c r="E90" s="15" t="str">
        <x:v>Hygiene</x:v>
      </x:c>
      <x:c r="F90" s="15" t="str">
        <x:f>'Portfolio Model'!U123</x:f>
        <x:v>Unfunded</x:v>
      </x:c>
      <x:c r="G90" s="16" t="str">
        <x:v>Automatic</x:v>
      </x:c>
      <x:c r="H90" s="16" t="str"/>
      <x:c r="I90" s="15" t="str">
        <x:v>EW!97</x:v>
      </x:c>
    </x:row>
    <x:row r="91">
      <x:c r="A91" s="15" t="str">
        <x:v>EW-126</x:v>
      </x:c>
      <x:c r="B91" s="15" t="str">
        <x:v>MCP Service Windchill</x:v>
      </x:c>
      <x:c r="C91" s="15" t="str">
        <x:v>Innovation and Design Business Operations</x:v>
      </x:c>
      <x:c r="D91" s="19" t="n">
        <x:v>0.1</x:v>
      </x:c>
      <x:c r="E91" s="15" t="str">
        <x:v>Hygiene</x:v>
      </x:c>
      <x:c r="F91" s="15" t="str">
        <x:f>'Portfolio Model'!U124</x:f>
        <x:v>Unfunded</x:v>
      </x:c>
      <x:c r="G91" s="16" t="str">
        <x:v>Automatic</x:v>
      </x:c>
      <x:c r="H91" s="16" t="str"/>
      <x:c r="I91" s="15" t="str">
        <x:v>EW!122</x:v>
      </x:c>
    </x:row>
    <x:row r="92">
      <x:c r="A92" s="15" t="str">
        <x:v>EW-16</x:v>
      </x:c>
      <x:c r="B92" s="15" t="str">
        <x:v>Document control with Ai capabilities (ARIS replacement)</x:v>
      </x:c>
      <x:c r="C92" s="15" t="str">
        <x:v>Patient Safety &amp; Quality</x:v>
      </x:c>
      <x:c r="D92" s="19" t="n">
        <x:v>0.8</x:v>
      </x:c>
      <x:c r="E92" s="15" t="str">
        <x:v>Hygiene</x:v>
      </x:c>
      <x:c r="F92" s="15" t="str">
        <x:f>'Portfolio Model'!U132</x:f>
        <x:v>Unfunded</x:v>
      </x:c>
      <x:c r="G92" s="16" t="str">
        <x:v>Automatic</x:v>
      </x:c>
      <x:c r="H92" s="16" t="str"/>
      <x:c r="I92" s="15" t="str">
        <x:v>EW!19</x:v>
      </x:c>
    </x:row>
    <x:row r="93">
      <x:c r="A93" s="15" t="str">
        <x:v>EW-90</x:v>
      </x:c>
      <x:c r="B93" s="15" t="str">
        <x:v>FIN-PSA improvements (cfr issues listed in the audit report)</x:v>
      </x:c>
      <x:c r="C93" s="15" t="str">
        <x:v>Finance</x:v>
      </x:c>
      <x:c r="D93" s="19" t="n">
        <x:v>0.25</x:v>
      </x:c>
      <x:c r="E93" s="15" t="str">
        <x:v>Hygiene</x:v>
      </x:c>
      <x:c r="F93" s="15" t="str">
        <x:f>'Portfolio Model'!U133</x:f>
        <x:v>Unfunded</x:v>
      </x:c>
      <x:c r="G93" s="16" t="str">
        <x:v>Automatic</x:v>
      </x:c>
      <x:c r="H93" s="16" t="str"/>
      <x:c r="I93" s="15" t="str">
        <x:v>EW!86</x:v>
      </x:c>
    </x:row>
    <x:row r="94">
      <x:c r="A94" s="15" t="str">
        <x:v>EW-111</x:v>
      </x:c>
      <x:c r="B94" s="15" t="str">
        <x:v>Spequinox 2.0</x:v>
      </x:c>
      <x:c r="C94" s="15" t="str">
        <x:v>People function</x:v>
      </x:c>
      <x:c r="D94" s="19" t="n">
        <x:v>0.16</x:v>
      </x:c>
      <x:c r="E94" s="15" t="str">
        <x:v>Hygiene</x:v>
      </x:c>
      <x:c r="F94" s="15" t="str">
        <x:f>'Portfolio Model'!U134</x:f>
        <x:v>Unfunded</x:v>
      </x:c>
      <x:c r="G94" s="16" t="str">
        <x:v>Automatic</x:v>
      </x:c>
      <x:c r="H94" s="16" t="str"/>
      <x:c r="I94" s="15" t="str">
        <x:v>EW!107</x:v>
      </x:c>
    </x:row>
    <x:row r="95">
      <x:c r="A95" s="15" t="str">
        <x:v>EW-113</x:v>
      </x:c>
      <x:c r="B95" s="15" t="str">
        <x:v>Content (PRX merge into PCP)</x:v>
      </x:c>
      <x:c r="C95" s="15" t="str">
        <x:v>Information Technology</x:v>
      </x:c>
      <x:c r="D95" s="19" t="n">
        <x:v>0.3</x:v>
      </x:c>
      <x:c r="E95" s="15" t="str">
        <x:v>Hygiene</x:v>
      </x:c>
      <x:c r="F95" s="15" t="str">
        <x:f>'Portfolio Model'!U135</x:f>
        <x:v>Unfunded</x:v>
      </x:c>
      <x:c r="G95" s="16" t="str">
        <x:v>Automatic</x:v>
      </x:c>
      <x:c r="H95" s="16" t="str"/>
      <x:c r="I95" s="15" t="str">
        <x:v>EW!109</x:v>
      </x:c>
    </x:row>
    <x:row r="96">
      <x:c r="A96" s="15" t="str">
        <x:v>EW-136</x:v>
      </x:c>
      <x:c r="B96" s="15" t="str">
        <x:v>FIN-Managed Services automation</x:v>
      </x:c>
      <x:c r="C96" s="15" t="str">
        <x:v>Finance</x:v>
      </x:c>
      <x:c r="D96" s="19" t="n">
        <x:v>0.3</x:v>
      </x:c>
      <x:c r="E96" s="15" t="str">
        <x:v>Hygiene</x:v>
      </x:c>
      <x:c r="F96" s="15" t="str">
        <x:f>'Portfolio Model'!U136</x:f>
        <x:v>Unfunded</x:v>
      </x:c>
      <x:c r="G96" s="16" t="str">
        <x:v>Automatic</x:v>
      </x:c>
      <x:c r="H96" s="16" t="str"/>
      <x:c r="I96" s="15" t="str">
        <x:v>EW!132</x:v>
      </x:c>
    </x:row>
    <x:row r="97">
      <x:c r="A97" s="15" t="str">
        <x:v>EW-157</x:v>
      </x:c>
      <x:c r="B97" s="15" t="str">
        <x:v>PPM</x:v>
      </x:c>
      <x:c r="C97" s="15" t="str">
        <x:v>People function</x:v>
      </x:c>
      <x:c r="D97" s="19" t="n">
        <x:v>0.195</x:v>
      </x:c>
      <x:c r="E97" s="15" t="str">
        <x:v>Hygiene</x:v>
      </x:c>
      <x:c r="F97" s="15" t="str">
        <x:f>'Portfolio Model'!U137</x:f>
        <x:v>Unfunded</x:v>
      </x:c>
      <x:c r="G97" s="16" t="str">
        <x:v>Automatic</x:v>
      </x:c>
      <x:c r="H97" s="16" t="str"/>
      <x:c r="I97" s="15" t="str">
        <x:v>EW!153</x:v>
      </x:c>
    </x:row>
    <x:row r="98">
      <x:c r="A98" s="15" t="str">
        <x:v>EW-167</x:v>
      </x:c>
      <x:c r="B98" s="15" t="str">
        <x:v>Veeva-Seismic-PAL Integration API upgrade</x:v>
      </x:c>
      <x:c r="C98" s="15" t="str"/>
      <x:c r="D98" s="19" t="n">
        <x:v>0.05</x:v>
      </x:c>
      <x:c r="E98" s="15" t="str">
        <x:v>Hygiene</x:v>
      </x:c>
      <x:c r="F98" s="15" t="str">
        <x:f>'Portfolio Model'!U138</x:f>
        <x:v>Unfunded</x:v>
      </x:c>
      <x:c r="G98" s="16" t="str">
        <x:v>Automatic</x:v>
      </x:c>
      <x:c r="H98" s="16" t="str"/>
      <x:c r="I98" s="15" t="str">
        <x:v>EW!163</x:v>
      </x:c>
    </x:row>
    <x:row r="99">
      <x:c r="A99" s="15" t="str">
        <x:v>EW-164</x:v>
      </x:c>
      <x:c r="B99" s="15" t="str">
        <x:v>Lexa AI - GCR Legal Review &amp; Compliance Assistant</x:v>
      </x:c>
      <x:c r="C99" s="15" t="str">
        <x:v>Legal</x:v>
      </x:c>
      <x:c r="D99" s="19" t="n">
        <x:v>0.15</x:v>
      </x:c>
      <x:c r="E99" s="15" t="str">
        <x:v>Hygiene</x:v>
      </x:c>
      <x:c r="F99" s="15" t="str">
        <x:f>'Portfolio Model'!U139</x:f>
        <x:v>Unfunded</x:v>
      </x:c>
      <x:c r="G99" s="16" t="str">
        <x:v>Automatic</x:v>
      </x:c>
      <x:c r="H99" s="16" t="str"/>
      <x:c r="I99" s="15" t="str">
        <x:v>EW!160</x:v>
      </x:c>
    </x:row>
    <x:row r="100">
      <x:c r="A100" s="15" t="str">
        <x:v>EW-175</x:v>
      </x:c>
      <x:c r="B100" s="15" t="str">
        <x:v>Corporate website (Investors, Legal &amp; Regulatory pages, ExCo pages, News, Museum, Foundation etc.)</x:v>
      </x:c>
      <x:c r="C100" s="15" t="str">
        <x:v>Communications &amp; Brand</x:v>
      </x:c>
      <x:c r="D100" s="19" t="n">
        <x:v>0.6</x:v>
      </x:c>
      <x:c r="E100" s="15" t="str">
        <x:v>Hygiene</x:v>
      </x:c>
      <x:c r="F100" s="15" t="str">
        <x:f>'Portfolio Model'!U140</x:f>
        <x:v>Unfunded</x:v>
      </x:c>
      <x:c r="G100" s="16" t="str">
        <x:v>Automatic</x:v>
      </x:c>
      <x:c r="H100" s="16" t="str"/>
      <x:c r="I100" s="15" t="str">
        <x:v>EW!171</x:v>
      </x:c>
    </x:row>
    <x:row r="101">
      <x:c r="A101" s="15" t="str">
        <x:v>EW-182</x:v>
      </x:c>
      <x:c r="B101" s="15" t="str">
        <x:v>Future State Product Configuration Platform</x:v>
      </x:c>
      <x:c r="C101" s="15" t="str">
        <x:v>Information Technology</x:v>
      </x:c>
      <x:c r="D101" s="19" t="n">
        <x:v>0.7</x:v>
      </x:c>
      <x:c r="E101" s="15" t="str">
        <x:v>Hygiene</x:v>
      </x:c>
      <x:c r="F101" s="15" t="str">
        <x:f>'Portfolio Model'!U151</x:f>
        <x:v>Unfunded</x:v>
      </x:c>
      <x:c r="G101" s="16" t="str">
        <x:v>Automatic</x:v>
      </x:c>
      <x:c r="H101" s="16" t="str"/>
      <x:c r="I101" s="15" t="str">
        <x:v>EW!178</x:v>
      </x:c>
    </x:row>
    <x:row r="102">
      <x:c r="A102" s="15" t="str">
        <x:v>EW-183</x:v>
      </x:c>
      <x:c r="B102" s="15" t="str">
        <x:v>FIN - Internal Controls Automation</x:v>
      </x:c>
      <x:c r="C102" s="15" t="str">
        <x:v>Finance</x:v>
      </x:c>
      <x:c r="D102" s="19" t="n">
        <x:v>0.15</x:v>
      </x:c>
      <x:c r="E102" s="15" t="str">
        <x:v>Hygiene</x:v>
      </x:c>
      <x:c r="F102" s="15" t="str">
        <x:f>'Portfolio Model'!U152</x:f>
        <x:v>Unfunded</x:v>
      </x:c>
      <x:c r="G102" s="16" t="str">
        <x:v>Automatic</x:v>
      </x:c>
      <x:c r="H102" s="16" t="str"/>
      <x:c r="I102" s="15" t="str">
        <x:v>EW!179</x:v>
      </x:c>
    </x:row>
    <x:row r="103">
      <x:c r="A103" s="15" t="str">
        <x:v>EW-109</x:v>
      </x:c>
      <x:c r="B103" s="15" t="str">
        <x:v>Pay to perform</x:v>
      </x:c>
      <x:c r="C103" s="15" t="str">
        <x:v>People function</x:v>
      </x:c>
      <x:c r="D103" s="19" t="n">
        <x:v>0.48</x:v>
      </x:c>
      <x:c r="E103" s="15" t="str">
        <x:v>Hygiene</x:v>
      </x:c>
      <x:c r="F103" s="15" t="str">
        <x:f>'Portfolio Model'!U153</x:f>
        <x:v>Unfunded</x:v>
      </x:c>
      <x:c r="G103" s="16" t="str">
        <x:v>Automatic</x:v>
      </x:c>
      <x:c r="H103" s="16" t="str"/>
      <x:c r="I103" s="15" t="str">
        <x:v>EW!105</x:v>
      </x:c>
    </x:row>
    <x:row r="104">
      <x:c r="A104" s="15" t="str">
        <x:v>EW-110</x:v>
      </x:c>
      <x:c r="B104" s="15" t="str">
        <x:v>Sales incentives</x:v>
      </x:c>
      <x:c r="C104" s="15" t="str">
        <x:v>People function</x:v>
      </x:c>
      <x:c r="D104" s="19" t="n">
        <x:v>0.55</x:v>
      </x:c>
      <x:c r="E104" s="15" t="str">
        <x:v>Hygiene</x:v>
      </x:c>
      <x:c r="F104" s="15" t="str">
        <x:f>'Portfolio Model'!U156</x:f>
        <x:v>Unfunded</x:v>
      </x:c>
      <x:c r="G104" s="16" t="str">
        <x:v>Automatic</x:v>
      </x:c>
      <x:c r="H104" s="16" t="str"/>
      <x:c r="I104" s="15" t="str">
        <x:v>EW!106</x:v>
      </x:c>
    </x:row>
    <x:row r="105">
      <x:c r="A105" s="15" t="str">
        <x:v>EW-112</x:v>
      </x:c>
      <x:c r="B105" s="15" t="str">
        <x:v>Org Effectiveness</x:v>
      </x:c>
      <x:c r="C105" s="15" t="str">
        <x:v>People function</x:v>
      </x:c>
      <x:c r="D105" s="19" t="n">
        <x:v>0.5</x:v>
      </x:c>
      <x:c r="E105" s="15" t="str">
        <x:v>Hygiene</x:v>
      </x:c>
      <x:c r="F105" s="15" t="str">
        <x:f>'Portfolio Model'!U157</x:f>
        <x:v>Unfunded</x:v>
      </x:c>
      <x:c r="G105" s="16" t="str">
        <x:v>Automatic</x:v>
      </x:c>
      <x:c r="H105" s="16" t="str"/>
      <x:c r="I105" s="15" t="str">
        <x:v>EW!108</x:v>
      </x:c>
    </x:row>
    <x:row r="106">
      <x:c r="A106" s="15" t="str">
        <x:v>EW-117</x:v>
      </x:c>
      <x:c r="B106" s="15" t="str">
        <x:v>Sales &amp; Commercial Intelligence</x:v>
      </x:c>
      <x:c r="C106" s="15" t="str">
        <x:v>Information Technology</x:v>
      </x:c>
      <x:c r="D106" s="19" t="n">
        <x:v>0.3</x:v>
      </x:c>
      <x:c r="E106" s="15" t="str">
        <x:v>Hygiene</x:v>
      </x:c>
      <x:c r="F106" s="15" t="str">
        <x:f>'Portfolio Model'!U158</x:f>
        <x:v>Unfunded</x:v>
      </x:c>
      <x:c r="G106" s="16" t="str">
        <x:v>Automatic</x:v>
      </x:c>
      <x:c r="H106" s="16" t="str"/>
      <x:c r="I106" s="15" t="str">
        <x:v>EW!113</x:v>
      </x:c>
    </x:row>
    <x:row r="107">
      <x:c r="A107" s="15" t="str">
        <x:v>EW-147</x:v>
      </x:c>
      <x:c r="B107" s="15" t="str">
        <x:v>ISC IT DRP - Decommission legacy app and rebuild via GenAI - HS Industry app</x:v>
      </x:c>
      <x:c r="C107" s="15" t="str">
        <x:v>Information Technology</x:v>
      </x:c>
      <x:c r="D107" s="19" t="n">
        <x:v>0.35</x:v>
      </x:c>
      <x:c r="E107" s="15" t="str">
        <x:v>Hygiene</x:v>
      </x:c>
      <x:c r="F107" s="15" t="str">
        <x:f>'Portfolio Model'!U159</x:f>
        <x:v>Unfunded</x:v>
      </x:c>
      <x:c r="G107" s="16" t="str">
        <x:v>Automatic</x:v>
      </x:c>
      <x:c r="H107" s="16" t="str"/>
      <x:c r="I107" s="15" t="str">
        <x:v>EW!143</x:v>
      </x:c>
    </x:row>
    <x:row r="108">
      <x:c r="A108" s="15" t="str">
        <x:v>EW-152</x:v>
      </x:c>
      <x:c r="B108" s="15" t="str">
        <x:v>Grading (framework, governance &amp; job catalogue)</x:v>
      </x:c>
      <x:c r="C108" s="15" t="str">
        <x:v>People function</x:v>
      </x:c>
      <x:c r="D108" s="19" t="n">
        <x:v>0.35</x:v>
      </x:c>
      <x:c r="E108" s="15" t="str">
        <x:v>Hygiene</x:v>
      </x:c>
      <x:c r="F108" s="15" t="str">
        <x:f>'Portfolio Model'!U160</x:f>
        <x:v>Unfunded</x:v>
      </x:c>
      <x:c r="G108" s="16" t="str">
        <x:v>Automatic</x:v>
      </x:c>
      <x:c r="H108" s="16" t="str"/>
      <x:c r="I108" s="15" t="str">
        <x:v>EW!148</x:v>
      </x:c>
    </x:row>
    <x:row r="109">
      <x:c r="A109" s="15" t="str">
        <x:v>EW-153</x:v>
      </x:c>
      <x:c r="B109" s="15" t="str">
        <x:v>Onboarding</x:v>
      </x:c>
      <x:c r="C109" s="15" t="str">
        <x:v>People function</x:v>
      </x:c>
      <x:c r="D109" s="19" t="n">
        <x:v>0.152</x:v>
      </x:c>
      <x:c r="E109" s="15" t="str">
        <x:v>Hygiene</x:v>
      </x:c>
      <x:c r="F109" s="15" t="str">
        <x:f>'Portfolio Model'!U161</x:f>
        <x:v>Unfunded</x:v>
      </x:c>
      <x:c r="G109" s="16" t="str">
        <x:v>Automatic</x:v>
      </x:c>
      <x:c r="H109" s="16" t="str"/>
      <x:c r="I109" s="15" t="str">
        <x:v>EW!149</x:v>
      </x:c>
    </x:row>
    <x:row r="110">
      <x:c r="A110" s="15" t="str">
        <x:v>EW-159</x:v>
      </x:c>
      <x:c r="B110" s="15" t="str">
        <x:v>Sourcing</x:v>
      </x:c>
      <x:c r="C110" s="15" t="str">
        <x:v>People function</x:v>
      </x:c>
      <x:c r="D110" s="19" t="n">
        <x:v>0.129</x:v>
      </x:c>
      <x:c r="E110" s="15" t="str">
        <x:v>Hygiene</x:v>
      </x:c>
      <x:c r="F110" s="15" t="str">
        <x:f>'Portfolio Model'!U162</x:f>
        <x:v>Unfunded</x:v>
      </x:c>
      <x:c r="G110" s="16" t="str">
        <x:v>Automatic</x:v>
      </x:c>
      <x:c r="H110" s="16" t="str"/>
      <x:c r="I110" s="15" t="str">
        <x:v>EW!155</x:v>
      </x:c>
    </x:row>
    <x:row r="111">
      <x:c r="A111" s="15" t="str">
        <x:v>EW-160</x:v>
      </x:c>
      <x:c r="B111" s="15" t="str">
        <x:v>Well-being Insights Platform</x:v>
      </x:c>
      <x:c r="C111" s="15" t="str">
        <x:v>People function</x:v>
      </x:c>
      <x:c r="D111" s="19" t="n">
        <x:v>0.075</x:v>
      </x:c>
      <x:c r="E111" s="15" t="str">
        <x:v>Hygiene</x:v>
      </x:c>
      <x:c r="F111" s="15" t="str">
        <x:f>'Portfolio Model'!U163</x:f>
        <x:v>Unfunded</x:v>
      </x:c>
      <x:c r="G111" s="16" t="str">
        <x:v>Automatic</x:v>
      </x:c>
      <x:c r="H111" s="16" t="str"/>
      <x:c r="I111" s="15" t="str">
        <x:v>EW!156</x:v>
      </x:c>
    </x:row>
    <x:row r="112">
      <x:c r="A112" s="15" t="str">
        <x:v>EW-171</x:v>
      </x:c>
      <x:c r="B112" s="15" t="str">
        <x:v>Critical Capabilities</x:v>
      </x:c>
      <x:c r="C112" s="15" t="str">
        <x:v>People function</x:v>
      </x:c>
      <x:c r="D112" s="19" t="n">
        <x:v>0.425</x:v>
      </x:c>
      <x:c r="E112" s="15" t="str">
        <x:v>Hygiene</x:v>
      </x:c>
      <x:c r="F112" s="15" t="str">
        <x:f>'Portfolio Model'!U164</x:f>
        <x:v>Unfunded</x:v>
      </x:c>
      <x:c r="G112" s="16" t="str">
        <x:v>Automatic</x:v>
      </x:c>
      <x:c r="H112" s="16" t="str"/>
      <x:c r="I112" s="15" t="str">
        <x:v>EW!167</x:v>
      </x:c>
    </x:row>
    <x:row r="113">
      <x:c r="A113" s="15" t="str">
        <x:v>EW-172</x:v>
      </x:c>
      <x:c r="B113" s="15" t="str">
        <x:v>Learning architecture</x:v>
      </x:c>
      <x:c r="C113" s="15" t="str">
        <x:v>People function</x:v>
      </x:c>
      <x:c r="D113" s="19" t="n">
        <x:v>1.5</x:v>
      </x:c>
      <x:c r="E113" s="15" t="str">
        <x:v>Hygiene</x:v>
      </x:c>
      <x:c r="F113" s="15" t="str">
        <x:f>'Portfolio Model'!U165</x:f>
        <x:v>Unfunded</x:v>
      </x:c>
      <x:c r="G113" s="16" t="str">
        <x:v>Automatic</x:v>
      </x:c>
      <x:c r="H113" s="16" t="str"/>
      <x:c r="I113" s="15" t="str">
        <x:v>EW!168</x:v>
      </x:c>
    </x:row>
    <x:row r="114">
      <x:c r="A114" s="15" t="str">
        <x:v>EW-156</x:v>
      </x:c>
      <x:c r="B114" s="15" t="str">
        <x:v>Philips Skills Framework</x:v>
      </x:c>
      <x:c r="C114" s="15" t="str">
        <x:v>People function</x:v>
      </x:c>
      <x:c r="D114" s="19" t="n">
        <x:v>0.3</x:v>
      </x:c>
      <x:c r="E114" s="15" t="str">
        <x:v>Hygiene</x:v>
      </x:c>
      <x:c r="F114" s="15" t="str">
        <x:f>'Portfolio Model'!U178</x:f>
        <x:v>Unfunded</x:v>
      </x:c>
      <x:c r="G114" s="16" t="str">
        <x:v>Automatic</x:v>
      </x:c>
      <x:c r="H114" s="16" t="str"/>
      <x:c r="I114" s="15" t="str">
        <x:v>EW!152</x:v>
      </x:c>
    </x:row>
    <x:row r="115">
      <x:c r="A115" s="15" t="str">
        <x:v>EW-170</x:v>
      </x:c>
      <x:c r="B115" s="15" t="str">
        <x:v>Long term incentive</x:v>
      </x:c>
      <x:c r="C115" s="15" t="str">
        <x:v>People function</x:v>
      </x:c>
      <x:c r="D115" s="19" t="n">
        <x:v>0.05</x:v>
      </x:c>
      <x:c r="E115" s="15" t="str">
        <x:v>Hygiene</x:v>
      </x:c>
      <x:c r="F115" s="15" t="str">
        <x:f>'Portfolio Model'!U179</x:f>
        <x:v>Unfunded</x:v>
      </x:c>
      <x:c r="G115" s="16" t="str">
        <x:v>Automatic</x:v>
      </x:c>
      <x:c r="H115" s="16" t="str"/>
      <x:c r="I115" s="15" t="str">
        <x:v>EW!166</x:v>
      </x:c>
    </x:row>
    <x:row r="116">
      <x:c r="A116" s="15" t="str">
        <x:v>EW-132</x:v>
      </x:c>
      <x:c r="B116" s="15" t="str">
        <x:v>SPC Data Re-platforming</x:v>
      </x:c>
      <x:c r="C116" s="15" t="str">
        <x:v>Information Technology</x:v>
      </x:c>
      <x:c r="D116" s="19" t="n">
        <x:v>0</x:v>
      </x:c>
      <x:c r="E116" s="15" t="str">
        <x:v>Hygiene</x:v>
      </x:c>
      <x:c r="F116" s="15" t="str">
        <x:f>'Portfolio Model'!U208</x:f>
        <x:v>Evidence missing / not eligible</x:v>
      </x:c>
      <x:c r="G116" s="16" t="str">
        <x:v>Automatic</x:v>
      </x:c>
      <x:c r="H116" s="16" t="str"/>
      <x:c r="I116" s="15" t="str">
        <x:v>EW!128</x:v>
      </x:c>
    </x:row>
    <x:row r="117">
      <x:c r="A117" s="15" t="str">
        <x:v>EW-94</x:v>
      </x:c>
      <x:c r="B117" s="15" t="str">
        <x:v>Automation of Certificate Lifecycle Management</x:v>
      </x:c>
      <x:c r="C117" s="15" t="str">
        <x:v>Information Technology</x:v>
      </x:c>
      <x:c r="D117" s="19" t="n">
        <x:v>0</x:v>
      </x:c>
      <x:c r="E117" s="15" t="str">
        <x:v>Hygiene</x:v>
      </x:c>
      <x:c r="F117" s="15" t="str">
        <x:f>'Portfolio Model'!U212</x:f>
        <x:v>Evidence missing / not eligible</x:v>
      </x:c>
      <x:c r="G117" s="16" t="str">
        <x:v>Automatic</x:v>
      </x:c>
      <x:c r="H117" s="16" t="str"/>
      <x:c r="I117" s="15" t="str">
        <x:v>EW!90</x:v>
      </x:c>
    </x:row>
    <x:row r="118">
      <x:c r="A118" s="15" t="str">
        <x:v>EW-96</x:v>
      </x:c>
      <x:c r="B118" s="15" t="str"/>
      <x:c r="C118" s="15" t="str">
        <x:v>Information Technology</x:v>
      </x:c>
      <x:c r="D118" s="19" t="n">
        <x:v>0</x:v>
      </x:c>
      <x:c r="E118" s="15" t="str">
        <x:v>Hygiene</x:v>
      </x:c>
      <x:c r="F118" s="15" t="str">
        <x:f>'Portfolio Model'!U213</x:f>
        <x:v>Evidence missing / not eligible</x:v>
      </x:c>
      <x:c r="G118" s="16" t="str">
        <x:v>Automatic</x:v>
      </x:c>
      <x:c r="H118" s="16" t="str"/>
      <x:c r="I118" s="15" t="str">
        <x:v>EW!92</x:v>
      </x:c>
    </x:row>
    <x:row r="119">
      <x:c r="A119" s="15" t="str">
        <x:v>EW-130</x:v>
      </x:c>
      <x:c r="B119" s="15" t="str"/>
      <x:c r="C119" s="15" t="str">
        <x:v>Information Technology</x:v>
      </x:c>
      <x:c r="D119" s="19" t="n">
        <x:v>0</x:v>
      </x:c>
      <x:c r="E119" s="15" t="str">
        <x:v>Hygiene</x:v>
      </x:c>
      <x:c r="F119" s="15" t="str">
        <x:f>'Portfolio Model'!U214</x:f>
        <x:v>Evidence missing / not eligible</x:v>
      </x:c>
      <x:c r="G119" s="16" t="str">
        <x:v>Automatic</x:v>
      </x:c>
      <x:c r="H119" s="16" t="str"/>
      <x:c r="I119" s="15" t="str">
        <x:v>EW!126</x:v>
      </x:c>
    </x:row>
    <x:row r="120">
      <x:c r="A120" s="15" t="str">
        <x:v>EW-140</x:v>
      </x:c>
      <x:c r="B120" s="15" t="str"/>
      <x:c r="C120" s="15" t="str">
        <x:v>Information Technology</x:v>
      </x:c>
      <x:c r="D120" s="19" t="n">
        <x:v>0</x:v>
      </x:c>
      <x:c r="E120" s="15" t="str">
        <x:v>Hygiene</x:v>
      </x:c>
      <x:c r="F120" s="15" t="str">
        <x:f>'Portfolio Model'!U215</x:f>
        <x:v>Evidence missing / not eligible</x:v>
      </x:c>
      <x:c r="G120" s="16" t="str">
        <x:v>Automatic</x:v>
      </x:c>
      <x:c r="H120" s="16" t="str"/>
      <x:c r="I120" s="15" t="str">
        <x:v>EW!136</x:v>
      </x:c>
    </x:row>
    <x:row r="121">
      <x:c r="A121" s="15" t="str">
        <x:v>EW-141</x:v>
      </x:c>
      <x:c r="B121" s="15" t="str"/>
      <x:c r="C121" s="15" t="str">
        <x:v>Information Technology</x:v>
      </x:c>
      <x:c r="D121" s="19" t="n">
        <x:v>0</x:v>
      </x:c>
      <x:c r="E121" s="15" t="str">
        <x:v>Hygiene</x:v>
      </x:c>
      <x:c r="F121" s="15" t="str">
        <x:f>'Portfolio Model'!U216</x:f>
        <x:v>Evidence missing / not eligible</x:v>
      </x:c>
      <x:c r="G121" s="16" t="str">
        <x:v>Automatic</x:v>
      </x:c>
      <x:c r="H121" s="16" t="str"/>
      <x:c r="I121" s="15" t="str">
        <x:v>EW!137</x:v>
      </x:c>
    </x:row>
    <x:row r="122">
      <x:c r="A122" s="15" t="str">
        <x:v>EW-134</x:v>
      </x:c>
      <x:c r="B122" s="15" t="str">
        <x:v>Every Angle for MP1, Decommissioning ( Included in ISCM IT)</x:v>
      </x:c>
      <x:c r="C122" s="15" t="str">
        <x:v>Information Technology</x:v>
      </x:c>
      <x:c r="D122" s="19" t="n">
        <x:v>0</x:v>
      </x:c>
      <x:c r="E122" s="15" t="str">
        <x:v>Hygiene</x:v>
      </x:c>
      <x:c r="F122" s="15" t="str">
        <x:f>'Portfolio Model'!U221</x:f>
        <x:v>Evidence missing / not eligible</x:v>
      </x:c>
      <x:c r="G122" s="16" t="str">
        <x:v>Automatic</x:v>
      </x:c>
      <x:c r="H122" s="16" t="str"/>
      <x:c r="I122" s="15" t="str">
        <x:v>EW!130</x:v>
      </x:c>
    </x:row>
    <x:row r="123">
      <x:c r="A123" s="15" t="str">
        <x:v>EW-13</x:v>
      </x:c>
      <x:c r="B123" s="15" t="str">
        <x:v>HA AI Enablement</x:v>
      </x:c>
      <x:c r="C123" s="15" t="str">
        <x:v>Information Technology</x:v>
      </x:c>
      <x:c r="D123" s="19" t="n">
        <x:v>0.5</x:v>
      </x:c>
      <x:c r="E123" s="15" t="str">
        <x:v>Carryover</x:v>
      </x:c>
      <x:c r="F123" s="15" t="str">
        <x:f>'Portfolio Model'!U223</x:f>
        <x:v>Evidence missing / not eligible</x:v>
      </x:c>
      <x:c r="G123" s="16" t="str">
        <x:v>Automatic</x:v>
      </x:c>
      <x:c r="H123" s="16" t="str"/>
      <x:c r="I123" s="15" t="str">
        <x:v>EW!16</x:v>
      </x:c>
    </x:row>
    <x:row r="124">
      <x:c r="A124" s="15" t="str">
        <x:v>EW-36</x:v>
      </x:c>
      <x:c r="B124" s="15" t="str">
        <x:v>EADI - Exploration AI capabilities for Supply Chain</x:v>
      </x:c>
      <x:c r="C124" s="15" t="str">
        <x:v>Information Technology</x:v>
      </x:c>
      <x:c r="D124" s="19" t="n">
        <x:v>0.1</x:v>
      </x:c>
      <x:c r="E124" s="15" t="str">
        <x:v>Carryover</x:v>
      </x:c>
      <x:c r="F124" s="15" t="str">
        <x:f>'Portfolio Model'!U225</x:f>
        <x:v>Funded</x:v>
      </x:c>
      <x:c r="G124" s="16" t="str">
        <x:v>Automatic</x:v>
      </x:c>
      <x:c r="H124" s="16" t="str"/>
      <x:c r="I124" s="15" t="str">
        <x:v>EW!37</x:v>
      </x:c>
    </x:row>
    <x:row r="125">
      <x:c r="A125" s="15" t="str">
        <x:v>EW-39</x:v>
      </x:c>
      <x:c r="B125" s="15" t="str">
        <x:v>EADI - MDM Strategic Positioning</x:v>
      </x:c>
      <x:c r="C125" s="15" t="str">
        <x:v>Information Technology</x:v>
      </x:c>
      <x:c r="D125" s="19" t="n">
        <x:v>0.1</x:v>
      </x:c>
      <x:c r="E125" s="15" t="str">
        <x:v>Carryover</x:v>
      </x:c>
      <x:c r="F125" s="15" t="str">
        <x:f>'Portfolio Model'!U230</x:f>
        <x:v>Funded</x:v>
      </x:c>
      <x:c r="G125" s="16" t="str">
        <x:v>Automatic</x:v>
      </x:c>
      <x:c r="H125" s="16" t="str"/>
      <x:c r="I125" s="15" t="str">
        <x:v>EW!40</x:v>
      </x:c>
    </x:row>
    <x:row r="126">
      <x:c r="A126" s="15" t="str">
        <x:v>EW-32</x:v>
      </x:c>
      <x:c r="B126" s="15" t="str">
        <x:v>EADI - AI</x:v>
      </x:c>
      <x:c r="C126" s="15" t="str">
        <x:v>Information Technology</x:v>
      </x:c>
      <x:c r="D126" s="19" t="n">
        <x:v>0.2</x:v>
      </x:c>
      <x:c r="E126" s="15" t="str">
        <x:v>Carryover</x:v>
      </x:c>
      <x:c r="F126" s="15" t="str">
        <x:f>'Portfolio Model'!U231</x:f>
        <x:v>Funded</x:v>
      </x:c>
      <x:c r="G126" s="16" t="str">
        <x:v>Automatic</x:v>
      </x:c>
      <x:c r="H126" s="16" t="str"/>
      <x:c r="I126" s="15" t="str">
        <x:v>EW!33</x:v>
      </x:c>
    </x:row>
    <x:row r="127">
      <x:c r="A127" s="15" t="str">
        <x:v>EW-84</x:v>
      </x:c>
      <x:c r="B127" s="15" t="str">
        <x:v>FIN-FPA Digital -AI/GenAI implementation (FP&amp;A cases) (Big-Bets)</x:v>
      </x:c>
      <x:c r="C127" s="15" t="str">
        <x:v>Finance</x:v>
      </x:c>
      <x:c r="D127" s="19" t="n">
        <x:v>0.25</x:v>
      </x:c>
      <x:c r="E127" s="15" t="str">
        <x:v>Carryover</x:v>
      </x:c>
      <x:c r="F127" s="15" t="str">
        <x:f>'Portfolio Model'!U232</x:f>
        <x:v>Funded</x:v>
      </x:c>
      <x:c r="G127" s="16" t="str">
        <x:v>Automatic</x:v>
      </x:c>
      <x:c r="H127" s="16" t="str"/>
      <x:c r="I127" s="15" t="str">
        <x:v>EW!80</x:v>
      </x:c>
    </x:row>
    <x:row r="128">
      <x:c r="A128" s="15" t="str">
        <x:v>EW-37</x:v>
      </x:c>
      <x:c r="B128" s="15" t="str">
        <x:v>EADI - I&amp;A Business Intelligence Rationalisation ( New name : EADI -I&amp;A CDM and AI asset engineering )</x:v>
      </x:c>
      <x:c r="C128" s="15" t="str">
        <x:v>Information Technology</x:v>
      </x:c>
      <x:c r="D128" s="19" t="n">
        <x:v>0.493</x:v>
      </x:c>
      <x:c r="E128" s="15" t="str">
        <x:v>Carryover</x:v>
      </x:c>
      <x:c r="F128" s="15" t="str">
        <x:f>'Portfolio Model'!U233</x:f>
        <x:v>Funded</x:v>
      </x:c>
      <x:c r="G128" s="16" t="str">
        <x:v>Automatic</x:v>
      </x:c>
      <x:c r="H128" s="16" t="str"/>
      <x:c r="I128" s="15" t="str">
        <x:v>EW!38</x:v>
      </x:c>
    </x:row>
    <x:row r="129">
      <x:c r="A129" s="15" t="str">
        <x:v>EW-76</x:v>
      </x:c>
      <x:c r="B129" s="15" t="str">
        <x:v>FIN-ARIC Digital finance strategy-C&amp;C</x:v>
      </x:c>
      <x:c r="C129" s="15" t="str">
        <x:v>Finance</x:v>
      </x:c>
      <x:c r="D129" s="19" t="n">
        <x:v>0.3</x:v>
      </x:c>
      <x:c r="E129" s="15" t="str">
        <x:v>Carryover</x:v>
      </x:c>
      <x:c r="F129" s="15" t="str">
        <x:f>'Portfolio Model'!U238</x:f>
        <x:v>Funded</x:v>
      </x:c>
      <x:c r="G129" s="16" t="str">
        <x:v>Automatic</x:v>
      </x:c>
      <x:c r="H129" s="16" t="str"/>
      <x:c r="I129" s="15" t="str">
        <x:v>EW!72</x:v>
      </x:c>
    </x:row>
    <x:row r="130">
      <x:c r="A130" s="15" t="str">
        <x:v>EW-66</x:v>
      </x:c>
      <x:c r="B130" s="15" t="str">
        <x:v>CLARA - Clinical Partnerships (Site &amp; KOL Engagements)</x:v>
      </x:c>
      <x:c r="C130" s="15" t="str">
        <x:v>Medical Office</x:v>
      </x:c>
      <x:c r="D130" s="19" t="n">
        <x:v>0.4</x:v>
      </x:c>
      <x:c r="E130" s="15" t="str">
        <x:v>Carryover</x:v>
      </x:c>
      <x:c r="F130" s="15" t="str">
        <x:f>'Portfolio Model'!U240</x:f>
        <x:v>Funded</x:v>
      </x:c>
      <x:c r="G130" s="16" t="str">
        <x:v>Automatic</x:v>
      </x:c>
      <x:c r="H130" s="16" t="str"/>
      <x:c r="I130" s="15" t="str">
        <x:v>EW!62</x:v>
      </x:c>
    </x:row>
    <x:row r="131">
      <x:c r="A131" s="15" t="str">
        <x:v>EW-08</x:v>
      </x:c>
      <x:c r="B131" s="15" t="str">
        <x:v>Mammoth</x:v>
      </x:c>
      <x:c r="C131" s="15" t="str">
        <x:v>Patient Safety &amp; Quality</x:v>
      </x:c>
      <x:c r="D131" s="19" t="n">
        <x:v>0.65</x:v>
      </x:c>
      <x:c r="E131" s="15" t="str">
        <x:v>Carryover</x:v>
      </x:c>
      <x:c r="F131" s="15" t="str">
        <x:f>'Portfolio Model'!U241</x:f>
        <x:v>Evidence missing / not eligible</x:v>
      </x:c>
      <x:c r="G131" s="16" t="str">
        <x:v>Automatic</x:v>
      </x:c>
      <x:c r="H131" s="16" t="str"/>
      <x:c r="I131" s="15" t="str">
        <x:v>EW!11</x:v>
      </x:c>
    </x:row>
    <x:row r="132">
      <x:c r="A132" s="15" t="str">
        <x:v>EW-103</x:v>
      </x:c>
      <x:c r="B132" s="15" t="str">
        <x:v>AI &amp; Ops</x:v>
      </x:c>
      <x:c r="C132" s="15" t="str">
        <x:v>People function</x:v>
      </x:c>
      <x:c r="D132" s="19" t="n">
        <x:v>0.2</x:v>
      </x:c>
      <x:c r="E132" s="15" t="str">
        <x:v>Carryover</x:v>
      </x:c>
      <x:c r="F132" s="15" t="str">
        <x:f>'Portfolio Model'!U242</x:f>
        <x:v>Evidence missing / not eligible</x:v>
      </x:c>
      <x:c r="G132" s="16" t="str">
        <x:v>Automatic</x:v>
      </x:c>
      <x:c r="H132" s="16" t="str"/>
      <x:c r="I132" s="15" t="str">
        <x:v>EW!99</x:v>
      </x:c>
    </x:row>
    <x:row r="133">
      <x:c r="A133" s="15" t="str">
        <x:v>EW-06</x:v>
      </x:c>
      <x:c r="B133" s="15" t="str">
        <x:v>People Operations: service orchestration</x:v>
      </x:c>
      <x:c r="C133" s="15" t="str">
        <x:v>People function</x:v>
      </x:c>
      <x:c r="D133" s="19" t="n">
        <x:v>0.5</x:v>
      </x:c>
      <x:c r="E133" s="15" t="str">
        <x:v>Carryover</x:v>
      </x:c>
      <x:c r="F133" s="15" t="str">
        <x:f>'Portfolio Model'!U243</x:f>
        <x:v>Evidence missing / not eligible</x:v>
      </x:c>
      <x:c r="G133" s="16" t="str">
        <x:v>Automatic</x:v>
      </x:c>
      <x:c r="H133" s="16" t="str"/>
      <x:c r="I133" s="15" t="str">
        <x:v>EW!9</x:v>
      </x:c>
    </x:row>
    <x:row r="134">
      <x:c r="A134" s="15" t="str">
        <x:v>EW-52</x:v>
      </x:c>
      <x:c r="B134" s="15" t="str">
        <x:v>RM AI big bet</x:v>
      </x:c>
      <x:c r="C134" s="15" t="str">
        <x:v>Patient Safety &amp; Quality</x:v>
      </x:c>
      <x:c r="D134" s="19" t="n">
        <x:v>0.395</x:v>
      </x:c>
      <x:c r="E134" s="15" t="str">
        <x:v>Carryover</x:v>
      </x:c>
      <x:c r="F134" s="15" t="str">
        <x:f>'Portfolio Model'!U248</x:f>
        <x:v>Evidence missing / not eligible</x:v>
      </x:c>
      <x:c r="G134" s="16" t="str">
        <x:v>Automatic</x:v>
      </x:c>
      <x:c r="H134" s="16" t="str"/>
      <x:c r="I134" s="15" t="str">
        <x:v>EW!50</x:v>
      </x:c>
    </x:row>
    <x:row r="135">
      <x:c r="A135" s="15" t="str">
        <x:v>EW-53</x:v>
      </x:c>
      <x:c r="B135" s="15" t="str">
        <x:v>IT-Security - Global one Badge</x:v>
      </x:c>
      <x:c r="C135" s="15" t="str">
        <x:v>Group Security</x:v>
      </x:c>
      <x:c r="D135" s="19" t="n">
        <x:v>0.45</x:v>
      </x:c>
      <x:c r="E135" s="15" t="str">
        <x:v>Carryover</x:v>
      </x:c>
      <x:c r="F135" s="15" t="str">
        <x:f>'Portfolio Model'!U249</x:f>
        <x:v>Evidence missing / not eligible</x:v>
      </x:c>
      <x:c r="G135" s="16" t="str">
        <x:v>Automatic</x:v>
      </x:c>
      <x:c r="H135" s="16" t="str"/>
      <x:c r="I135" s="15" t="str">
        <x:v>EW!51</x:v>
      </x:c>
    </x:row>
    <x:row r="136">
      <x:c r="A136" s="15" t="str">
        <x:v>EW-139</x:v>
      </x:c>
      <x:c r="B136" s="15" t="str">
        <x:v>Global AI Hub</x:v>
      </x:c>
      <x:c r="C136" s="15" t="str">
        <x:v>Information Technology</x:v>
      </x:c>
      <x:c r="D136" s="19" t="n">
        <x:v>1.5</x:v>
      </x:c>
      <x:c r="E136" s="15" t="str">
        <x:v>Carryover</x:v>
      </x:c>
      <x:c r="F136" s="15" t="str">
        <x:f>'Portfolio Model'!U250</x:f>
        <x:v>Evidence missing / not eligible</x:v>
      </x:c>
      <x:c r="G136" s="16" t="str">
        <x:v>Automatic</x:v>
      </x:c>
      <x:c r="H136" s="16" t="str"/>
      <x:c r="I136" s="15" t="str">
        <x:v>EW!135</x:v>
      </x:c>
    </x:row>
    <x:row r="137">
      <x:c r="A137" s="15" t="str">
        <x:v>EW-09</x:v>
      </x:c>
      <x:c r="B137" s="15" t="str">
        <x:v>Kairos</x:v>
      </x:c>
      <x:c r="C137" s="15" t="str">
        <x:v>Patient Safety &amp; Quality</x:v>
      </x:c>
      <x:c r="D137" s="19" t="n">
        <x:v>0.25</x:v>
      </x:c>
      <x:c r="E137" s="15" t="str">
        <x:v>Carryover</x:v>
      </x:c>
      <x:c r="F137" s="15" t="str">
        <x:f>'Portfolio Model'!U251</x:f>
        <x:v>Evidence missing / not eligible</x:v>
      </x:c>
      <x:c r="G137" s="16" t="str">
        <x:v>Automatic</x:v>
      </x:c>
      <x:c r="H137" s="16" t="str"/>
      <x:c r="I137" s="15" t="str">
        <x:v>EW!12</x:v>
      </x:c>
    </x:row>
    <x:row r="138">
      <x:c r="A138" s="15" t="str">
        <x:v>EW-12</x:v>
      </x:c>
      <x:c r="B138" s="15" t="str">
        <x:v>Integrated C&amp;R</x:v>
      </x:c>
      <x:c r="C138" s="15" t="str">
        <x:v>Patient Safety &amp; Quality</x:v>
      </x:c>
      <x:c r="D138" s="19" t="n">
        <x:v>0.65</x:v>
      </x:c>
      <x:c r="E138" s="15" t="str">
        <x:v>Carryover</x:v>
      </x:c>
      <x:c r="F138" s="15" t="str">
        <x:f>'Portfolio Model'!U267</x:f>
        <x:v>Evidence missing / not eligible</x:v>
      </x:c>
      <x:c r="G138" s="16" t="str">
        <x:v>Automatic</x:v>
      </x:c>
      <x:c r="H138" s="16" t="str"/>
      <x:c r="I138" s="15" t="str">
        <x:v>EW!15</x:v>
      </x:c>
    </x:row>
    <x:row r="139">
      <x:c r="A139" s="15" t="str">
        <x:v>EW-35</x:v>
      </x:c>
      <x:c r="B139" s="15" t="str">
        <x:v>EDI - AI Innovation - MCP, Voice, Automation, Business Inisights App</x:v>
      </x:c>
      <x:c r="C139" s="15" t="str">
        <x:v>Information Technology</x:v>
      </x:c>
      <x:c r="D139" s="19" t="n">
        <x:v>0.6</x:v>
      </x:c>
      <x:c r="E139" s="15" t="str">
        <x:v>Carryover</x:v>
      </x:c>
      <x:c r="F139" s="15" t="str">
        <x:f>'Portfolio Model'!U268</x:f>
        <x:v>Evidence missing / not eligible</x:v>
      </x:c>
      <x:c r="G139" s="16" t="str">
        <x:v>Automatic</x:v>
      </x:c>
      <x:c r="H139" s="16" t="str"/>
      <x:c r="I139" s="15" t="str">
        <x:v>EW!36</x:v>
      </x:c>
    </x:row>
    <x:row r="140">
      <x:c r="A140" s="15" t="str">
        <x:v>EW-50</x:v>
      </x:c>
      <x:c r="B140" s="15" t="str">
        <x:v>Global Hold program Improvement</x:v>
      </x:c>
      <x:c r="C140" s="15" t="str">
        <x:v>Patient Safety &amp; Quality</x:v>
      </x:c>
      <x:c r="D140" s="19" t="n">
        <x:v>0.5</x:v>
      </x:c>
      <x:c r="E140" s="15" t="str">
        <x:v>Carryover</x:v>
      </x:c>
      <x:c r="F140" s="15" t="str">
        <x:f>'Portfolio Model'!U269</x:f>
        <x:v>Evidence missing / not eligible</x:v>
      </x:c>
      <x:c r="G140" s="16" t="str">
        <x:v>Automatic</x:v>
      </x:c>
      <x:c r="H140" s="16" t="str"/>
      <x:c r="I140" s="15" t="str">
        <x:v>EW!48</x:v>
      </x:c>
    </x:row>
    <x:row r="141">
      <x:c r="A141" s="15" t="str">
        <x:v>EW-73</x:v>
      </x:c>
      <x:c r="B141" s="15" t="str">
        <x:v>SPINE24</x:v>
      </x:c>
      <x:c r="C141" s="15" t="str">
        <x:v>Information Technology</x:v>
      </x:c>
      <x:c r="D141" s="19" t="n">
        <x:v>0</x:v>
      </x:c>
      <x:c r="E141" s="15" t="str">
        <x:v>Carryover</x:v>
      </x:c>
      <x:c r="F141" s="15" t="str">
        <x:f>'Portfolio Model'!U270</x:f>
        <x:v>Evidence missing / not eligible</x:v>
      </x:c>
      <x:c r="G141" s="16" t="str">
        <x:v>Automatic</x:v>
      </x:c>
      <x:c r="H141" s="16" t="str"/>
      <x:c r="I141" s="15" t="str">
        <x:v>EW!69</x:v>
      </x:c>
    </x:row>
    <x:row r="142">
      <x:c r="A142" s="15" t="str">
        <x:v>EW-74</x:v>
      </x:c>
      <x:c r="B142" s="15" t="str">
        <x:v>Future MES</x:v>
      </x:c>
      <x:c r="C142" s="15" t="str">
        <x:v>Information Technology</x:v>
      </x:c>
      <x:c r="D142" s="19" t="n">
        <x:v>3.2</x:v>
      </x:c>
      <x:c r="E142" s="15" t="str">
        <x:v>Carryover</x:v>
      </x:c>
      <x:c r="F142" s="15" t="str">
        <x:f>'Portfolio Model'!U271</x:f>
        <x:v>Evidence missing / not eligible</x:v>
      </x:c>
      <x:c r="G142" s="16" t="str">
        <x:v>Automatic</x:v>
      </x:c>
      <x:c r="H142" s="16" t="str"/>
      <x:c r="I142" s="15" t="str">
        <x:v>EW!70</x:v>
      </x:c>
    </x:row>
    <x:row r="143">
      <x:c r="A143" s="15" t="str">
        <x:v>EW-115</x:v>
      </x:c>
      <x:c r="B143" s="15" t="str">
        <x:v>RFP.ai</x:v>
      </x:c>
      <x:c r="C143" s="15" t="str">
        <x:v>Information Technology</x:v>
      </x:c>
      <x:c r="D143" s="19" t="n">
        <x:v>0.5</x:v>
      </x:c>
      <x:c r="E143" s="15" t="str">
        <x:v>Carryover</x:v>
      </x:c>
      <x:c r="F143" s="15" t="str">
        <x:f>'Portfolio Model'!U272</x:f>
        <x:v>Evidence missing / not eligible</x:v>
      </x:c>
      <x:c r="G143" s="16" t="str">
        <x:v>Automatic</x:v>
      </x:c>
      <x:c r="H143" s="16" t="str"/>
      <x:c r="I143" s="15" t="str">
        <x:v>EW!111</x:v>
      </x:c>
    </x:row>
    <x:row r="144">
      <x:c r="A144" s="15" t="str">
        <x:v>EW-138</x:v>
      </x:c>
      <x:c r="B144" s="15" t="str">
        <x:v>FIN-RTR ChatBOT</x:v>
      </x:c>
      <x:c r="C144" s="15" t="str">
        <x:v>Information Technology</x:v>
      </x:c>
      <x:c r="D144" s="19" t="n">
        <x:v>0</x:v>
      </x:c>
      <x:c r="E144" s="15" t="str">
        <x:v>Carryover</x:v>
      </x:c>
      <x:c r="F144" s="15" t="str">
        <x:f>'Portfolio Model'!U273</x:f>
        <x:v>Evidence missing / not eligible</x:v>
      </x:c>
      <x:c r="G144" s="16" t="str">
        <x:v>Automatic</x:v>
      </x:c>
      <x:c r="H144" s="16" t="str"/>
      <x:c r="I144" s="15" t="str">
        <x:v>EW!134</x:v>
      </x:c>
    </x:row>
    <x:row r="145">
      <x:c r="A145" s="15" t="str">
        <x:v>EW-05</x:v>
      </x:c>
      <x:c r="B145" s="15" t="str">
        <x:v>Boardroom Intelligence</x:v>
      </x:c>
      <x:c r="C145" s="15" t="str">
        <x:v>Group Security</x:v>
      </x:c>
      <x:c r="D145" s="19" t="n">
        <x:v>0.15</x:v>
      </x:c>
      <x:c r="E145" s="15" t="str">
        <x:v>Carryover</x:v>
      </x:c>
      <x:c r="F145" s="15" t="str">
        <x:f>'Portfolio Model'!U274</x:f>
        <x:v>Evidence missing / not eligible</x:v>
      </x:c>
      <x:c r="G145" s="16" t="str">
        <x:v>Automatic</x:v>
      </x:c>
      <x:c r="H145" s="16" t="str"/>
      <x:c r="I145" s="15" t="str">
        <x:v>EW!8</x:v>
      </x:c>
    </x:row>
    <x:row r="146">
      <x:c r="A146" s="15" t="str">
        <x:v>EW-29</x:v>
      </x:c>
      <x:c r="B146" s="15" t="str">
        <x:v>Technology Business Management and FinOps program</x:v>
      </x:c>
      <x:c r="C146" s="15" t="str">
        <x:v>Information Technology</x:v>
      </x:c>
      <x:c r="D146" s="19" t="n">
        <x:v>0.45</x:v>
      </x:c>
      <x:c r="E146" s="15" t="str">
        <x:v>Carryover</x:v>
      </x:c>
      <x:c r="F146" s="15" t="str">
        <x:f>'Portfolio Model'!U297</x:f>
        <x:v>Evidence missing / not eligible</x:v>
      </x:c>
      <x:c r="G146" s="16" t="str">
        <x:v>Automatic</x:v>
      </x:c>
      <x:c r="H146" s="16" t="str"/>
      <x:c r="I146" s="15" t="str">
        <x:v>EW!32</x:v>
      </x:c>
    </x:row>
    <x:row r="147">
      <x:c r="A147" s="15" t="str">
        <x:v>EW-135</x:v>
      </x:c>
      <x:c r="B147" s="15" t="str">
        <x:v>Knowledge Mgmt - InCenter 2.0 - CSIP Compliance</x:v>
      </x:c>
      <x:c r="C147" s="15" t="str">
        <x:v>Intellectual Property &amp; Standards (IP&amp;S)</x:v>
      </x:c>
      <x:c r="D147" s="19" t="n">
        <x:v>0.2</x:v>
      </x:c>
      <x:c r="E147" s="15" t="str">
        <x:v>ROI-Based Portfolio</x:v>
      </x:c>
      <x:c r="F147" s="15" t="str">
        <x:f>'Portfolio Model'!U304</x:f>
        <x:v>Funded</x:v>
      </x:c>
      <x:c r="G147" s="16" t="str">
        <x:v>Automatic</x:v>
      </x:c>
      <x:c r="H147" s="16" t="str"/>
      <x:c r="I147" s="15" t="str">
        <x:v>EW!131</x:v>
      </x:c>
    </x:row>
    <x:row r="148">
      <x:c r="A148" s="15" t="str">
        <x:v>EW-01</x:v>
      </x:c>
      <x:c r="B148" s="15" t="str">
        <x:v>RSL Automation</x:v>
      </x:c>
      <x:c r="C148" s="15" t="str">
        <x:v>SusTaining Engg. Team (STET - ISC)</x:v>
      </x:c>
      <x:c r="D148" s="19" t="n">
        <x:v>0.06</x:v>
      </x:c>
      <x:c r="E148" s="15" t="str">
        <x:v>ROI-Based Portfolio</x:v>
      </x:c>
      <x:c r="F148" s="15" t="str">
        <x:f>'Portfolio Model'!U306</x:f>
        <x:v>Funded</x:v>
      </x:c>
      <x:c r="G148" s="16" t="str">
        <x:v>Automatic</x:v>
      </x:c>
      <x:c r="H148" s="16" t="str"/>
      <x:c r="I148" s="15" t="str">
        <x:v>EW!4</x:v>
      </x:c>
    </x:row>
    <x:row r="149">
      <x:c r="A149" s="15" t="str">
        <x:v>EW-70</x:v>
      </x:c>
      <x:c r="B149" s="15" t="str">
        <x:v>AI Big Bets - Clinical &amp; Medical Affairs, Medical Safety, and HEMAR</x:v>
      </x:c>
      <x:c r="C149" s="15" t="str">
        <x:v>Medical Office</x:v>
      </x:c>
      <x:c r="D149" s="19" t="n">
        <x:v>0.3</x:v>
      </x:c>
      <x:c r="E149" s="15" t="str">
        <x:v>ROI-Based Portfolio</x:v>
      </x:c>
      <x:c r="F149" s="15" t="str">
        <x:f>'Portfolio Model'!U307</x:f>
        <x:v>Funded</x:v>
      </x:c>
      <x:c r="G149" s="16" t="str">
        <x:v>Automatic</x:v>
      </x:c>
      <x:c r="H149" s="16" t="str"/>
      <x:c r="I149" s="15" t="str">
        <x:v>EW!66</x:v>
      </x:c>
    </x:row>
    <x:row r="150">
      <x:c r="A150" s="15" t="str">
        <x:v>EW-99</x:v>
      </x:c>
      <x:c r="B150" s="15" t="str">
        <x:v>Implementing Zero Trust NEtwork Architecture</x:v>
      </x:c>
      <x:c r="C150" s="15" t="str">
        <x:v>Information Technology</x:v>
      </x:c>
      <x:c r="D150" s="19" t="n">
        <x:v>0.17</x:v>
      </x:c>
      <x:c r="E150" s="15" t="str">
        <x:v>ROI-Based Portfolio</x:v>
      </x:c>
      <x:c r="F150" s="15" t="str">
        <x:f>'Portfolio Model'!U308</x:f>
        <x:v>Funded</x:v>
      </x:c>
      <x:c r="G150" s="16" t="str">
        <x:v>Automatic</x:v>
      </x:c>
      <x:c r="H150" s="16" t="str"/>
      <x:c r="I150" s="15" t="str">
        <x:v>EW!95</x:v>
      </x:c>
    </x:row>
    <x:row r="151">
      <x:c r="A151" s="15" t="str">
        <x:v>EW-43</x:v>
      </x:c>
      <x:c r="B151" s="15" t="str">
        <x:v>EADI- Enabling GAIT</x:v>
      </x:c>
      <x:c r="C151" s="15" t="str">
        <x:v>Information Technology</x:v>
      </x:c>
      <x:c r="D151" s="19" t="n">
        <x:v>2</x:v>
      </x:c>
      <x:c r="E151" s="15" t="str">
        <x:v>ROI-Based Portfolio</x:v>
      </x:c>
      <x:c r="F151" s="15" t="str">
        <x:f>'Portfolio Model'!U314</x:f>
        <x:v>Funded</x:v>
      </x:c>
      <x:c r="G151" s="16" t="str">
        <x:v>Automatic</x:v>
      </x:c>
      <x:c r="H151" s="16" t="str"/>
      <x:c r="I151" s="15" t="str">
        <x:v>EW!43</x:v>
      </x:c>
    </x:row>
    <x:row r="152">
      <x:c r="A152" s="15" t="str">
        <x:v>EW-106</x:v>
      </x:c>
      <x:c r="B152" s="15" t="str">
        <x:v>Personalized learning</x:v>
      </x:c>
      <x:c r="C152" s="15" t="str">
        <x:v>People function</x:v>
      </x:c>
      <x:c r="D152" s="19" t="n">
        <x:v>0.1</x:v>
      </x:c>
      <x:c r="E152" s="15" t="str">
        <x:v>ROI-Based Portfolio</x:v>
      </x:c>
      <x:c r="F152" s="15" t="str">
        <x:f>'Portfolio Model'!U331</x:f>
        <x:v>Funded</x:v>
      </x:c>
      <x:c r="G152" s="16" t="str">
        <x:v>Automatic</x:v>
      </x:c>
      <x:c r="H152" s="16" t="str"/>
      <x:c r="I152" s="15" t="str">
        <x:v>EW!102</x:v>
      </x:c>
    </x:row>
    <x:row r="153">
      <x:c r="A153" s="15" t="str">
        <x:v>EW-93</x:v>
      </x:c>
      <x:c r="B153" s="15" t="str">
        <x:v>FIN-C&amp;C: Credit Management</x:v>
      </x:c>
      <x:c r="C153" s="15" t="str">
        <x:v>Finance</x:v>
      </x:c>
      <x:c r="D153" s="19" t="n">
        <x:v>0.15</x:v>
      </x:c>
      <x:c r="E153" s="15" t="str">
        <x:v>ROI-Based Portfolio</x:v>
      </x:c>
      <x:c r="F153" s="15" t="str">
        <x:f>'Portfolio Model'!U333</x:f>
        <x:v>Funded</x:v>
      </x:c>
      <x:c r="G153" s="16" t="str">
        <x:v>Automatic</x:v>
      </x:c>
      <x:c r="H153" s="16" t="str"/>
      <x:c r="I153" s="15" t="str">
        <x:v>EW!89</x:v>
      </x:c>
    </x:row>
    <x:row r="154">
      <x:c r="A154" s="15" t="str">
        <x:v>EW-63</x:v>
      </x:c>
      <x:c r="B154" s="15" t="str">
        <x:v>Internal Audit - AI and Innovation</x:v>
      </x:c>
      <x:c r="C154" s="15" t="str">
        <x:v>Internal Audit</x:v>
      </x:c>
      <x:c r="D154" s="19" t="n">
        <x:v>0.1</x:v>
      </x:c>
      <x:c r="E154" s="15" t="str">
        <x:v>ROI-Based Portfolio</x:v>
      </x:c>
      <x:c r="F154" s="15" t="str">
        <x:f>'Portfolio Model'!U334</x:f>
        <x:v>Funded</x:v>
      </x:c>
      <x:c r="G154" s="16" t="str">
        <x:v>Automatic</x:v>
      </x:c>
      <x:c r="H154" s="16" t="str"/>
      <x:c r="I154" s="15" t="str">
        <x:v>EW!59</x:v>
      </x:c>
    </x:row>
    <x:row r="155">
      <x:c r="A155" s="15" t="str">
        <x:v>EW-64</x:v>
      </x:c>
      <x:c r="B155" s="15" t="str">
        <x:v>Legal - AI and Innovation</x:v>
      </x:c>
      <x:c r="C155" s="15" t="str">
        <x:v>Legal</x:v>
      </x:c>
      <x:c r="D155" s="19" t="n">
        <x:v>0.1</x:v>
      </x:c>
      <x:c r="E155" s="15" t="str">
        <x:v>ROI-Based Portfolio</x:v>
      </x:c>
      <x:c r="F155" s="15" t="str">
        <x:f>'Portfolio Model'!U335</x:f>
        <x:v>Funded</x:v>
      </x:c>
      <x:c r="G155" s="16" t="str">
        <x:v>Automatic</x:v>
      </x:c>
      <x:c r="H155" s="16" t="str"/>
      <x:c r="I155" s="15" t="str">
        <x:v>EW!60</x:v>
      </x:c>
    </x:row>
    <x:row r="156">
      <x:c r="A156" s="15" t="str">
        <x:v>EW-62</x:v>
      </x:c>
      <x:c r="B156" s="15" t="str">
        <x:v>Optro Accelerate Module</x:v>
      </x:c>
      <x:c r="C156" s="15" t="str">
        <x:v>Internal Audit</x:v>
      </x:c>
      <x:c r="D156" s="19" t="n">
        <x:v>0.171</x:v>
      </x:c>
      <x:c r="E156" s="15" t="str">
        <x:v>ROI-Based Portfolio</x:v>
      </x:c>
      <x:c r="F156" s="15" t="str">
        <x:f>'Portfolio Model'!U337</x:f>
        <x:v>Funded</x:v>
      </x:c>
      <x:c r="G156" s="16" t="str">
        <x:v>Automatic</x:v>
      </x:c>
      <x:c r="H156" s="16" t="str"/>
      <x:c r="I156" s="15" t="str">
        <x:v>EW!58</x:v>
      </x:c>
    </x:row>
    <x:row r="157">
      <x:c r="A157" s="15" t="str">
        <x:v>EW-81</x:v>
      </x:c>
      <x:c r="B157" s="15" t="str">
        <x:v>FIN-Digital Accounting Operation</x:v>
      </x:c>
      <x:c r="C157" s="15" t="str">
        <x:v>Finance</x:v>
      </x:c>
      <x:c r="D157" s="19" t="n">
        <x:v>0.3</x:v>
      </x:c>
      <x:c r="E157" s="15" t="str">
        <x:v>ROI-Based Portfolio</x:v>
      </x:c>
      <x:c r="F157" s="15" t="str">
        <x:f>'Portfolio Model'!U338</x:f>
        <x:v>Funded</x:v>
      </x:c>
      <x:c r="G157" s="16" t="str">
        <x:v>Automatic</x:v>
      </x:c>
      <x:c r="H157" s="16" t="str"/>
      <x:c r="I157" s="15" t="str">
        <x:v>EW!77</x:v>
      </x:c>
    </x:row>
    <x:row r="158">
      <x:c r="A158" s="15" t="str">
        <x:v>EW-89</x:v>
      </x:c>
      <x:c r="B158" s="15" t="str">
        <x:v>FIN-Digitalized Financial Insight</x:v>
      </x:c>
      <x:c r="C158" s="15" t="str">
        <x:v>Finance</x:v>
      </x:c>
      <x:c r="D158" s="19" t="n">
        <x:v>0.25</x:v>
      </x:c>
      <x:c r="E158" s="15" t="str">
        <x:v>ROI-Based Portfolio</x:v>
      </x:c>
      <x:c r="F158" s="15" t="str">
        <x:f>'Portfolio Model'!U339</x:f>
        <x:v>Funded</x:v>
      </x:c>
      <x:c r="G158" s="16" t="str">
        <x:v>Automatic</x:v>
      </x:c>
      <x:c r="H158" s="16" t="str"/>
      <x:c r="I158" s="15" t="str">
        <x:v>EW!85</x:v>
      </x:c>
    </x:row>
    <x:row r="159">
      <x:c r="A159" s="15" t="str">
        <x:v>EW-87</x:v>
      </x:c>
      <x:c r="B159" s="15" t="str">
        <x:v>FIN-P2P vendor inquiry chat bot automation &amp; other AI iniciatives</x:v>
      </x:c>
      <x:c r="C159" s="15" t="str">
        <x:v>Finance</x:v>
      </x:c>
      <x:c r="D159" s="19" t="n">
        <x:v>0.15</x:v>
      </x:c>
      <x:c r="E159" s="15" t="str">
        <x:v>ROI-Based Portfolio</x:v>
      </x:c>
      <x:c r="F159" s="15" t="str">
        <x:f>'Portfolio Model'!U340</x:f>
        <x:v>Funded</x:v>
      </x:c>
      <x:c r="G159" s="16" t="str">
        <x:v>Automatic</x:v>
      </x:c>
      <x:c r="H159" s="16" t="str"/>
      <x:c r="I159" s="15" t="str">
        <x:v>EW!83</x:v>
      </x:c>
    </x:row>
    <x:row r="160">
      <x:c r="A160" s="15" t="str">
        <x:v>EW-79</x:v>
      </x:c>
      <x:c r="B160" s="15" t="str">
        <x:v>FIN-Communication mining for P2P queries</x:v>
      </x:c>
      <x:c r="C160" s="15" t="str">
        <x:v>Finance</x:v>
      </x:c>
      <x:c r="D160" s="19" t="n">
        <x:v>0.1</x:v>
      </x:c>
      <x:c r="E160" s="15" t="str">
        <x:v>ROI-Based Portfolio</x:v>
      </x:c>
      <x:c r="F160" s="15" t="str">
        <x:f>'Portfolio Model'!U341</x:f>
        <x:v>Funded</x:v>
      </x:c>
      <x:c r="G160" s="16" t="str">
        <x:v>Automatic</x:v>
      </x:c>
      <x:c r="H160" s="16" t="str"/>
      <x:c r="I160" s="15" t="str">
        <x:v>EW!75</x:v>
      </x:c>
    </x:row>
    <x:row r="161">
      <x:c r="A161" s="15" t="str">
        <x:v>EW-80</x:v>
      </x:c>
      <x:c r="B161" s="15" t="str">
        <x:v>FIN-Concur Request integration with Travel &amp; Joule implementation &amp; AI Audit tool</x:v>
      </x:c>
      <x:c r="C161" s="15" t="str">
        <x:v>Finance</x:v>
      </x:c>
      <x:c r="D161" s="19" t="n">
        <x:v>0.15</x:v>
      </x:c>
      <x:c r="E161" s="15" t="str">
        <x:v>ROI-Based Portfolio</x:v>
      </x:c>
      <x:c r="F161" s="15" t="str">
        <x:f>'Portfolio Model'!U342</x:f>
        <x:v>Funded</x:v>
      </x:c>
      <x:c r="G161" s="16" t="str">
        <x:v>Automatic</x:v>
      </x:c>
      <x:c r="H161" s="16" t="str"/>
      <x:c r="I161" s="15" t="str">
        <x:v>EW!76</x:v>
      </x:c>
    </x:row>
    <x:row r="162">
      <x:c r="A162" s="15" t="str">
        <x:v>EW-83</x:v>
      </x:c>
      <x:c r="B162" s="15" t="str">
        <x:v>FIN-Form 1099/1042 withholding tax process improvements</x:v>
      </x:c>
      <x:c r="C162" s="15" t="str">
        <x:v>Finance</x:v>
      </x:c>
      <x:c r="D162" s="19" t="n">
        <x:v>0.05</x:v>
      </x:c>
      <x:c r="E162" s="15" t="str">
        <x:v>ROI-Based Portfolio</x:v>
      </x:c>
      <x:c r="F162" s="15" t="str">
        <x:f>'Portfolio Model'!U343</x:f>
        <x:v>Funded</x:v>
      </x:c>
      <x:c r="G162" s="16" t="str">
        <x:v>Automatic</x:v>
      </x:c>
      <x:c r="H162" s="16" t="str"/>
      <x:c r="I162" s="15" t="str">
        <x:v>EW!79</x:v>
      </x:c>
    </x:row>
    <x:row r="163">
      <x:c r="A163" s="15" t="str">
        <x:v>EW-85</x:v>
      </x:c>
      <x:c r="B163" s="15" t="str">
        <x:v>FIN-GenAI use cases</x:v>
      </x:c>
      <x:c r="C163" s="15" t="str">
        <x:v>Finance</x:v>
      </x:c>
      <x:c r="D163" s="19" t="n">
        <x:v>0.25</x:v>
      </x:c>
      <x:c r="E163" s="15" t="str">
        <x:v>ROI-Based Portfolio</x:v>
      </x:c>
      <x:c r="F163" s="15" t="str">
        <x:f>'Portfolio Model'!U344</x:f>
        <x:v>Funded</x:v>
      </x:c>
      <x:c r="G163" s="16" t="str">
        <x:v>Automatic</x:v>
      </x:c>
      <x:c r="H163" s="16" t="str"/>
      <x:c r="I163" s="15" t="str">
        <x:v>EW!81</x:v>
      </x:c>
    </x:row>
    <x:row r="164">
      <x:c r="A164" s="15" t="str">
        <x:v>EW-108</x:v>
      </x:c>
      <x:c r="B164" s="15" t="str">
        <x:v>Agentic Contact Center</x:v>
      </x:c>
      <x:c r="C164" s="15" t="str">
        <x:v>People function</x:v>
      </x:c>
      <x:c r="D164" s="19" t="n">
        <x:v>0.4</x:v>
      </x:c>
      <x:c r="E164" s="15" t="str">
        <x:v>ROI-Based Portfolio</x:v>
      </x:c>
      <x:c r="F164" s="15" t="str">
        <x:f>'Portfolio Model'!U345</x:f>
        <x:v>Funded</x:v>
      </x:c>
      <x:c r="G164" s="16" t="str">
        <x:v>Automatic</x:v>
      </x:c>
      <x:c r="H164" s="16" t="str"/>
      <x:c r="I164" s="15" t="str">
        <x:v>EW!104</x:v>
      </x:c>
    </x:row>
    <x:row r="165">
      <x:c r="A165" s="15" t="str">
        <x:v>EW-104</x:v>
      </x:c>
      <x:c r="B165" s="15" t="str">
        <x:v>AI hiring (autonomous)</x:v>
      </x:c>
      <x:c r="C165" s="15" t="str">
        <x:v>People function</x:v>
      </x:c>
      <x:c r="D165" s="19" t="n">
        <x:v>0.3</x:v>
      </x:c>
      <x:c r="E165" s="15" t="str">
        <x:v>ROI-Based Portfolio</x:v>
      </x:c>
      <x:c r="F165" s="15" t="str">
        <x:f>'Portfolio Model'!U351</x:f>
        <x:v>Funded</x:v>
      </x:c>
      <x:c r="G165" s="16" t="str">
        <x:v>Automatic</x:v>
      </x:c>
      <x:c r="H165" s="16" t="str"/>
      <x:c r="I165" s="15" t="str">
        <x:v>EW!100</x:v>
      </x:c>
    </x:row>
    <x:row r="166">
      <x:c r="A166" s="15" t="str">
        <x:v>EW-78</x:v>
      </x:c>
      <x:c r="B166" s="15" t="str">
        <x:v>FIN-Automated workflow for SLA preparation &amp; signing &amp; archiving</x:v>
      </x:c>
      <x:c r="C166" s="15" t="str">
        <x:v>Finance</x:v>
      </x:c>
      <x:c r="D166" s="19" t="n">
        <x:v>0.05</x:v>
      </x:c>
      <x:c r="E166" s="15" t="str">
        <x:v>ROI-Based Portfolio</x:v>
      </x:c>
      <x:c r="F166" s="15" t="str">
        <x:f>'Portfolio Model'!U352</x:f>
        <x:v>Funded</x:v>
      </x:c>
      <x:c r="G166" s="16" t="str">
        <x:v>Automatic</x:v>
      </x:c>
      <x:c r="H166" s="16" t="str"/>
      <x:c r="I166" s="15" t="str">
        <x:v>EW!74</x:v>
      </x:c>
    </x:row>
    <x:row r="167">
      <x:c r="A167" s="15" t="str">
        <x:v>EW-14</x:v>
      </x:c>
      <x:c r="B167" s="15" t="str">
        <x:v>PSQ E2E Product Data Lineage Model</x:v>
      </x:c>
      <x:c r="C167" s="15" t="str">
        <x:v>Patient Safety &amp; Quality</x:v>
      </x:c>
      <x:c r="D167" s="19" t="n">
        <x:v>0.25</x:v>
      </x:c>
      <x:c r="E167" s="15" t="str">
        <x:v>ROI-Based Portfolio</x:v>
      </x:c>
      <x:c r="F167" s="15" t="str">
        <x:f>'Portfolio Model'!U353</x:f>
        <x:v>Funded</x:v>
      </x:c>
      <x:c r="G167" s="16" t="str">
        <x:v>Automatic</x:v>
      </x:c>
      <x:c r="H167" s="16" t="str"/>
      <x:c r="I167" s="15" t="str">
        <x:v>EW!17</x:v>
      </x:c>
    </x:row>
    <x:row r="168">
      <x:c r="A168" s="15" t="str">
        <x:v>EW-91</x:v>
      </x:c>
      <x:c r="B168" s="15" t="str">
        <x:v>FIN-TESSA BOT phase 2 (use cases shared for 2027 effort estimation)</x:v>
      </x:c>
      <x:c r="C168" s="15" t="str">
        <x:v>Finance</x:v>
      </x:c>
      <x:c r="D168" s="19" t="n">
        <x:v>0.3</x:v>
      </x:c>
      <x:c r="E168" s="15" t="str">
        <x:v>ROI-Based Portfolio</x:v>
      </x:c>
      <x:c r="F168" s="15" t="str">
        <x:f>'Portfolio Model'!U356</x:f>
        <x:v>Evidence missing / not eligible</x:v>
      </x:c>
      <x:c r="G168" s="16" t="str">
        <x:v>Automatic</x:v>
      </x:c>
      <x:c r="H168" s="16" t="str"/>
      <x:c r="I168" s="15" t="str">
        <x:v>EW!87</x:v>
      </x:c>
    </x:row>
    <x:row r="169">
      <x:c r="A169" s="15" t="str">
        <x:v>EW-82</x:v>
      </x:c>
      <x:c r="B169" s="15" t="str">
        <x:v>FIN-VAT/GST tool</x:v>
      </x:c>
      <x:c r="C169" s="15" t="str">
        <x:v>Finance</x:v>
      </x:c>
      <x:c r="D169" s="19" t="n">
        <x:v>0.6</x:v>
      </x:c>
      <x:c r="E169" s="15" t="str">
        <x:v>ROI-Based Portfolio</x:v>
      </x:c>
      <x:c r="F169" s="15" t="str">
        <x:f>'Portfolio Model'!U357</x:f>
        <x:v>Evidence missing / not eligible</x:v>
      </x:c>
      <x:c r="G169" s="16" t="str">
        <x:v>Automatic</x:v>
      </x:c>
      <x:c r="H169" s="16" t="str"/>
      <x:c r="I169" s="15" t="str">
        <x:v>EW!78</x:v>
      </x:c>
    </x:row>
    <x:row r="170">
      <x:c r="A170" s="15" t="str">
        <x:v>EW-184</x:v>
      </x:c>
      <x:c r="B170" s="15" t="str">
        <x:v>ISC - Hardware Refresh 3 Sites</x:v>
      </x:c>
      <x:c r="C170" s="15" t="str">
        <x:v>Information Technology</x:v>
      </x:c>
      <x:c r="D170" s="19" t="n">
        <x:v>4</x:v>
      </x:c>
      <x:c r="E170" s="15" t="str">
        <x:v>ROI-Based Portfolio</x:v>
      </x:c>
      <x:c r="F170" s="15" t="str">
        <x:f>'Portfolio Model'!U358</x:f>
        <x:v>Evidence missing / not eligible</x:v>
      </x:c>
      <x:c r="G170" s="16" t="str">
        <x:v>Automatic</x:v>
      </x:c>
      <x:c r="H170" s="16" t="str"/>
      <x:c r="I170" s="15" t="str">
        <x:v>EW!180</x:v>
      </x:c>
    </x:row>
    <x:row r="171">
      <x:c r="A171" s="15" t="str">
        <x:v>EW-03</x:v>
      </x:c>
      <x:c r="B171" s="15" t="str">
        <x:v>LCA Automation</x:v>
      </x:c>
      <x:c r="C171" s="15" t="str">
        <x:v>SusTaining Engg. Team (STET - ISC)</x:v>
      </x:c>
      <x:c r="D171" s="19" t="n">
        <x:v>0.02</x:v>
      </x:c>
      <x:c r="E171" s="15" t="str">
        <x:v>ROI-Based Portfolio</x:v>
      </x:c>
      <x:c r="F171" s="15" t="str">
        <x:f>'Portfolio Model'!U378</x:f>
        <x:v>Evidence missing / not eligible</x:v>
      </x:c>
      <x:c r="G171" s="16" t="str">
        <x:v>Automatic</x:v>
      </x:c>
      <x:c r="H171" s="16" t="str"/>
      <x:c r="I171" s="15" t="str">
        <x:v>EW!6</x:v>
      </x:c>
    </x:row>
    <x:row r="172">
      <x:c r="A172" s="15" t="str">
        <x:v>EW-17</x:v>
      </x:c>
      <x:c r="B172" s="15" t="str">
        <x:v>AI Prioritization Funnel budget</x:v>
      </x:c>
      <x:c r="C172" s="15" t="str">
        <x:v>Patient Safety &amp; Quality</x:v>
      </x:c>
      <x:c r="D172" s="19" t="n">
        <x:v>0.5</x:v>
      </x:c>
      <x:c r="E172" s="15" t="str">
        <x:v>ROI-Based Portfolio</x:v>
      </x:c>
      <x:c r="F172" s="15" t="str">
        <x:f>'Portfolio Model'!U379</x:f>
        <x:v>Evidence missing / not eligible</x:v>
      </x:c>
      <x:c r="G172" s="16" t="str">
        <x:v>Automatic</x:v>
      </x:c>
      <x:c r="H172" s="16" t="str"/>
      <x:c r="I172" s="15" t="str">
        <x:v>EW!20</x:v>
      </x:c>
    </x:row>
    <x:row r="173">
      <x:c r="A173" s="15" t="str">
        <x:v>EW-88</x:v>
      </x:c>
      <x:c r="B173" s="15" t="str">
        <x:v>FIN-Predictive Planning Tooling via SAC (Cost Center, Industry, Other)</x:v>
      </x:c>
      <x:c r="C173" s="15" t="str">
        <x:v>Information Technology</x:v>
      </x:c>
      <x:c r="D173" s="19" t="n">
        <x:v>0</x:v>
      </x:c>
      <x:c r="E173" s="15" t="str">
        <x:v>ROI-Based Portfolio</x:v>
      </x:c>
      <x:c r="F173" s="15" t="str">
        <x:f>'Portfolio Model'!U380</x:f>
        <x:v>Evidence missing / not eligible</x:v>
      </x:c>
      <x:c r="G173" s="16" t="str">
        <x:v>Automatic</x:v>
      </x:c>
      <x:c r="H173" s="16" t="str"/>
      <x:c r="I173" s="15" t="str">
        <x:v>EW!84</x:v>
      </x:c>
    </x:row>
    <x:row r="174">
      <x:c r="A174" s="15" t="str">
        <x:v>EW-97</x:v>
      </x:c>
      <x:c r="B174" s="15" t="str">
        <x:v>AI Infrastrcture Foundation</x:v>
      </x:c>
      <x:c r="C174" s="15" t="str">
        <x:v>Information Technology</x:v>
      </x:c>
      <x:c r="D174" s="19" t="n">
        <x:v>0.4</x:v>
      </x:c>
      <x:c r="E174" s="15" t="str">
        <x:v>ROI-Based Portfolio</x:v>
      </x:c>
      <x:c r="F174" s="15" t="str">
        <x:f>'Portfolio Model'!U381</x:f>
        <x:v>Evidence missing / not eligible</x:v>
      </x:c>
      <x:c r="G174" s="16" t="str">
        <x:v>Automatic</x:v>
      </x:c>
      <x:c r="H174" s="16" t="str"/>
      <x:c r="I174" s="15" t="str">
        <x:v>EW!93</x:v>
      </x:c>
    </x:row>
    <x:row r="175">
      <x:c r="A175" s="15" t="str">
        <x:v>EW-107</x:v>
      </x:c>
      <x:c r="B175" s="15" t="str">
        <x:v>Leadership development</x:v>
      </x:c>
      <x:c r="C175" s="15" t="str">
        <x:v>People function</x:v>
      </x:c>
      <x:c r="D175" s="19" t="n">
        <x:v>0.435</x:v>
      </x:c>
      <x:c r="E175" s="15" t="str">
        <x:v>ROI-Based Portfolio</x:v>
      </x:c>
      <x:c r="F175" s="15" t="str">
        <x:f>'Portfolio Model'!U382</x:f>
        <x:v>Evidence missing / not eligible</x:v>
      </x:c>
      <x:c r="G175" s="16" t="str">
        <x:v>Automatic</x:v>
      </x:c>
      <x:c r="H175" s="16" t="str"/>
      <x:c r="I175" s="15" t="str">
        <x:v>EW!103</x:v>
      </x:c>
    </x:row>
    <x:row r="176">
      <x:c r="A176" s="15" t="str">
        <x:v>EW-114</x:v>
      </x:c>
      <x:c r="B176" s="15" t="str">
        <x:v>CPQ/CLM Replatforming Capability Development</x:v>
      </x:c>
      <x:c r="C176" s="15" t="str">
        <x:v>Information Technology</x:v>
      </x:c>
      <x:c r="D176" s="19" t="n">
        <x:v>1.8</x:v>
      </x:c>
      <x:c r="E176" s="15" t="str">
        <x:v>ROI-Based Portfolio</x:v>
      </x:c>
      <x:c r="F176" s="15" t="str">
        <x:f>'Portfolio Model'!U383</x:f>
        <x:v>Evidence missing / not eligible</x:v>
      </x:c>
      <x:c r="G176" s="16" t="str">
        <x:v>Automatic</x:v>
      </x:c>
      <x:c r="H176" s="16" t="str"/>
      <x:c r="I176" s="15" t="str">
        <x:v>EW!110</x:v>
      </x:c>
    </x:row>
    <x:row r="177">
      <x:c r="A177" s="15" t="str">
        <x:v>EW-02</x:v>
      </x:c>
      <x:c r="B177" s="15" t="str">
        <x:v>D-Lit Automation</x:v>
      </x:c>
      <x:c r="C177" s="15" t="str">
        <x:v>SusTaining Engg. Team (STET - ISC)</x:v>
      </x:c>
      <x:c r="D177" s="19" t="n">
        <x:v>0.04</x:v>
      </x:c>
      <x:c r="E177" s="15" t="str">
        <x:v>ROI-Based Portfolio</x:v>
      </x:c>
      <x:c r="F177" s="15" t="str">
        <x:f>'Portfolio Model'!U399</x:f>
        <x:v>Evidence missing / not eligible</x:v>
      </x:c>
      <x:c r="G177" s="16" t="str">
        <x:v>Automatic</x:v>
      </x:c>
      <x:c r="H177" s="16" t="str"/>
      <x:c r="I177" s="15" t="str">
        <x:v>EW!5</x:v>
      </x:c>
    </x:row>
    <x:row r="178">
      <x:c r="A178" s="15" t="str">
        <x:v>EW-18</x:v>
      </x:c>
      <x:c r="B178" s="15" t="str">
        <x:v>Establish a future-ready AI powered foundation for Compliance Learning Ecosystem</x:v>
      </x:c>
      <x:c r="C178" s="15" t="str">
        <x:v>Patient Safety &amp; Quality</x:v>
      </x:c>
      <x:c r="D178" s="19" t="n">
        <x:v>0.25</x:v>
      </x:c>
      <x:c r="E178" s="15" t="str">
        <x:v>ROI-Based Portfolio</x:v>
      </x:c>
      <x:c r="F178" s="15" t="str">
        <x:f>'Portfolio Model'!U400</x:f>
        <x:v>Evidence missing / not eligible</x:v>
      </x:c>
      <x:c r="G178" s="16" t="str">
        <x:v>Automatic</x:v>
      </x:c>
      <x:c r="H178" s="16" t="str"/>
      <x:c r="I178" s="15" t="str">
        <x:v>EW!21</x:v>
      </x:c>
    </x:row>
    <x:row r="179">
      <x:c r="A179" s="15" t="str">
        <x:v>EW-105</x:v>
      </x:c>
      <x:c r="B179" s="15" t="str">
        <x:v>Listening</x:v>
      </x:c>
      <x:c r="C179" s="15" t="str">
        <x:v>People function</x:v>
      </x:c>
      <x:c r="D179" s="19" t="n">
        <x:v>0.3</x:v>
      </x:c>
      <x:c r="E179" s="15" t="str">
        <x:v>ROI-Based Portfolio</x:v>
      </x:c>
      <x:c r="F179" s="15" t="str">
        <x:f>'Portfolio Model'!U401</x:f>
        <x:v>Evidence missing / not eligible</x:v>
      </x:c>
      <x:c r="G179" s="16" t="str">
        <x:v>Automatic</x:v>
      </x:c>
      <x:c r="H179" s="16" t="str"/>
      <x:c r="I179" s="15" t="str">
        <x:v>EW!101</x:v>
      </x:c>
    </x:row>
    <x:row r="180">
      <x:c r="A180" s="15" t="str">
        <x:v>EW-116</x:v>
      </x:c>
      <x:c r="B180" s="15" t="str">
        <x:v>Installbase and Quoting AI Productivity - NAM</x:v>
      </x:c>
      <x:c r="C180" s="15" t="str">
        <x:v>Information Technology</x:v>
      </x:c>
      <x:c r="D180" s="19" t="n">
        <x:v>0.5</x:v>
      </x:c>
      <x:c r="E180" s="15" t="str">
        <x:v>ROI-Based Portfolio</x:v>
      </x:c>
      <x:c r="F180" s="15" t="str">
        <x:f>'Portfolio Model'!U402</x:f>
        <x:v>Evidence missing / not eligible</x:v>
      </x:c>
      <x:c r="G180" s="16" t="str">
        <x:v>Automatic</x:v>
      </x:c>
      <x:c r="H180" s="16" t="str"/>
      <x:c r="I180" s="15" t="str">
        <x:v>EW!112</x:v>
      </x:c>
    </x:row>
    <x:row r="181">
      <x:c r="A181" s="15" t="str">
        <x:v>EW-98</x:v>
      </x:c>
      <x:c r="B181" s="15" t="str">
        <x:v>AI Finops</x:v>
      </x:c>
      <x:c r="C181" s="15" t="str">
        <x:v>Information Technology</x:v>
      </x:c>
      <x:c r="D181" s="19" t="n">
        <x:v>0.5</x:v>
      </x:c>
      <x:c r="E181" s="15" t="str">
        <x:v>ROI-Based Portfolio</x:v>
      </x:c>
      <x:c r="F181" s="15" t="str">
        <x:f>'Portfolio Model'!U427</x:f>
        <x:v>Evidence missing / not eligible</x:v>
      </x:c>
      <x:c r="G181" s="16" t="str">
        <x:v>Automatic</x:v>
      </x:c>
      <x:c r="H181" s="16" t="str"/>
      <x:c r="I181" s="15" t="str">
        <x:v>EW!94</x:v>
      </x:c>
    </x:row>
    <x:row r="182">
      <x:c r="A182" s="15" t="str">
        <x:v>EW-185</x:v>
      </x:c>
      <x:c r="B182" s="15" t="str">
        <x:v>ISC - Stable MES</x:v>
      </x:c>
      <x:c r="C182" s="15" t="str">
        <x:v>Information Technology</x:v>
      </x:c>
      <x:c r="D182" s="19" t="n">
        <x:v>0.5</x:v>
      </x:c>
      <x:c r="E182" s="15" t="str">
        <x:v>ROI-Based Portfolio</x:v>
      </x:c>
      <x:c r="F182" s="15" t="str">
        <x:f>'Portfolio Model'!U428</x:f>
        <x:v>Evidence missing / not eligible</x:v>
      </x:c>
      <x:c r="G182" s="16" t="str">
        <x:v>Automatic</x:v>
      </x:c>
      <x:c r="H182" s="16" t="str"/>
      <x:c r="I182" s="15" t="str">
        <x:v>EW!181</x:v>
      </x:c>
    </x:row>
    <x:row r="183">
      <x:c r="A183" s="15" t="str">
        <x:v>EW-176</x:v>
      </x:c>
      <x:c r="B183" s="15" t="str">
        <x:v>Results hub replatforming (Quarterly and annual financial reporting)</x:v>
      </x:c>
      <x:c r="C183" s="15" t="str">
        <x:v>Communications &amp; Brand</x:v>
      </x:c>
      <x:c r="D183" s="19" t="n">
        <x:v>0</x:v>
      </x:c>
      <x:c r="E183" s="15" t="str">
        <x:v>ROI-Based Portfolio</x:v>
      </x:c>
      <x:c r="F183" s="15" t="str">
        <x:f>'Portfolio Model'!U439</x:f>
        <x:v>Evidence missing / not eligible</x:v>
      </x:c>
      <x:c r="G183" s="16" t="str">
        <x:v>Automatic</x:v>
      </x:c>
      <x:c r="H183" s="16" t="str"/>
      <x:c r="I183" s="15" t="str">
        <x:v>EW!172</x:v>
      </x:c>
    </x:row>
    <x:row r="184">
      <x:c r="A184" s="15" t="str">
        <x:v>EW-166</x:v>
      </x:c>
      <x:c r="B184" s="15" t="str">
        <x:v>WeComm implementation &amp; AI analysis (official wechat platform to derisk IP leakage and security violation) for GCR</x:v>
      </x:c>
      <x:c r="C184" s="15" t="str">
        <x:v>Group Security</x:v>
      </x:c>
      <x:c r="D184" s="19" t="n">
        <x:v>0.1</x:v>
      </x:c>
      <x:c r="E184" s="15" t="str">
        <x:v>ROI-Based Portfolio</x:v>
      </x:c>
      <x:c r="F184" s="15" t="str">
        <x:f>'Portfolio Model'!U466</x:f>
        <x:v>Evidence missing / not eligible</x:v>
      </x:c>
      <x:c r="G184" s="16" t="str">
        <x:v>Automatic</x:v>
      </x:c>
      <x:c r="H184" s="16" t="str"/>
      <x:c r="I184" s="15" t="str">
        <x:v>EW!162</x:v>
      </x:c>
    </x:row>
    <x:row r="185">
      <x:c r="A185" s="15" t="str">
        <x:v>EW-26</x:v>
      </x:c>
      <x:c r="B185" s="15" t="str">
        <x:v>Claims Management</x:v>
      </x:c>
      <x:c r="C185" s="15" t="str"/>
      <x:c r="D185" s="19" t="n">
        <x:v>0</x:v>
      </x:c>
      <x:c r="E185" s="15" t="str">
        <x:v>ROI-Based Portfolio</x:v>
      </x:c>
      <x:c r="F185" s="15" t="str">
        <x:f>'Portfolio Model'!U489</x:f>
        <x:v>Evidence missing / not eligible</x:v>
      </x:c>
      <x:c r="G185" s="16" t="str">
        <x:v>Automatic</x:v>
      </x:c>
      <x:c r="H185" s="16" t="str"/>
      <x:c r="I185" s="15" t="str">
        <x:v>EW!29</x:v>
      </x:c>
    </x:row>
  </x:sheetData>
  <x:mergeCells>
    <x:mergeCell ref="A1:I1"/>
    <x:mergeCell ref="A2:I2"/>
  </x:mergeCells>
  <x:dataValidations count="1">
    <x:dataValidation type="list" sqref="G6:G185">
      <x:formula1>"Automatic,Include,Exclude"</x:formula1>
    </x:dataValidation>
  </x:dataValidations>
  <x:pageMargins left="0.7" right="0.7" top="0.75" bottom="0.75" header="0.3" footer="0.3"/>
</x:worksheet>
</file>

<file path=xl/worksheets/sheet6.xml><?xml version="1.0" encoding="utf-8"?>
<x:worksheet xmlns:x="http://schemas.openxmlformats.org/spreadsheetml/2006/main">
  <x:sheetPr>
    <x:tabColor rgb="FF6B7280"/>
  </x:sheetPr>
  <x:sheetViews>
    <x:sheetView showGridLines="0" workbookViewId="0">
      <x:pane xSplit="2" ySplit="5" topLeftCell="C6" activePane="bottomRight" state="frozen"/>
    </x:sheetView>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28" hidden="0" customWidth="1"/>
    <x:col min="8" max="8" width="4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48" hidden="0" customWidth="1"/>
    <x:col min="16" max="16" width="48" hidden="0" customWidth="1"/>
    <x:col min="17" max="17" width="48" hidden="0" customWidth="1"/>
    <x:col min="18" max="18" width="48" hidden="0" customWidth="1"/>
    <x:col min="19" max="19" width="28" hidden="0" customWidth="1"/>
    <x:col min="20" max="20" width="28" hidden="0" customWidth="1"/>
  </x:cols>
  <x:sheetData>
    <x:row r="1" ht="34" customHeight="1">
      <x:c r="A1" s="3" t="str">
        <x:v>Authoritative Normalized Source</x:v>
      </x:c>
      <x:c r="B1" s="3"/>
      <x:c r="C1" s="3"/>
      <x:c r="D1" s="3"/>
      <x:c r="E1" s="3"/>
      <x:c r="F1" s="3"/>
      <x:c r="G1" s="3"/>
      <x:c r="H1" s="3"/>
      <x:c r="I1" s="3"/>
      <x:c r="J1" s="3"/>
      <x:c r="K1" s="3"/>
      <x:c r="L1" s="3"/>
      <x:c r="M1" s="3"/>
      <x:c r="N1" s="3"/>
      <x:c r="O1" s="3"/>
      <x:c r="P1" s="3"/>
      <x:c r="Q1" s="3"/>
      <x:c r="R1" s="21"/>
      <x:c r="S1" s="21"/>
      <x:c r="T1" s="21"/>
    </x:row>
    <x:row r="2" ht="30" customHeight="1">
      <x:c r="A2" s="7" t="str">
        <x:v>15926_IT AOP2027 Demand.xlsx · SHA-256 4ca3c6d4295996c1ff3062d22679ef272ee88a38a6050e112014e5ce25e2ba89 · EW and Bu rows only</x:v>
      </x:c>
      <x:c r="B2" s="7"/>
      <x:c r="C2" s="7"/>
      <x:c r="D2" s="7"/>
      <x:c r="E2" s="7"/>
      <x:c r="F2" s="7"/>
      <x:c r="G2" s="7"/>
      <x:c r="H2" s="7"/>
      <x:c r="I2" s="7"/>
      <x:c r="J2" s="7"/>
      <x:c r="K2" s="7"/>
      <x:c r="L2" s="7"/>
      <x:c r="M2" s="7"/>
      <x:c r="N2" s="7"/>
      <x:c r="O2" s="7"/>
      <x:c r="P2" s="7"/>
      <x:c r="Q2" s="7"/>
      <x:c r="R2" s="21"/>
      <x:c r="S2" s="21"/>
      <x:c r="T2" s="21"/>
    </x:row>
    <x:row r="3">
      <x:c r="A3" s="21"/>
      <x:c r="B3" s="21"/>
      <x:c r="C3" s="21"/>
      <x:c r="D3" s="21"/>
      <x:c r="E3" s="21"/>
      <x:c r="F3" s="21"/>
      <x:c r="G3" s="21"/>
      <x:c r="H3" s="21"/>
      <x:c r="I3" s="21"/>
      <x:c r="J3" s="21"/>
      <x:c r="K3" s="21"/>
      <x:c r="L3" s="21"/>
      <x:c r="M3" s="21"/>
      <x:c r="N3" s="21"/>
      <x:c r="O3" s="21"/>
      <x:c r="P3" s="21"/>
      <x:c r="Q3" s="21"/>
      <x:c r="R3" s="21"/>
      <x:c r="S3" s="21"/>
      <x:c r="T3" s="21"/>
    </x:row>
    <x:row r="4">
      <x:c r="A4" s="21"/>
      <x:c r="B4" s="21"/>
      <x:c r="C4" s="21"/>
      <x:c r="D4" s="21"/>
      <x:c r="E4" s="21"/>
      <x:c r="F4" s="21"/>
      <x:c r="G4" s="21"/>
      <x:c r="H4" s="21"/>
      <x:c r="I4" s="21"/>
      <x:c r="J4" s="21"/>
      <x:c r="K4" s="21"/>
      <x:c r="L4" s="21"/>
      <x:c r="M4" s="21"/>
      <x:c r="N4" s="21"/>
      <x:c r="O4" s="21"/>
      <x:c r="P4" s="21"/>
      <x:c r="Q4" s="21"/>
      <x:c r="R4" s="21"/>
      <x:c r="S4" s="21"/>
      <x:c r="T4" s="21"/>
    </x:row>
    <x:row r="5">
      <x:c r="A5" s="12" t="str">
        <x:v>ID</x:v>
      </x:c>
      <x:c r="B5" s="12" t="str">
        <x:v>Item No.</x:v>
      </x:c>
      <x:c r="C5" s="12" t="str">
        <x:v>Planisware</x:v>
      </x:c>
      <x:c r="D5" s="12" t="str">
        <x:v>Source Sheet</x:v>
      </x:c>
      <x:c r="E5" s="12" t="str">
        <x:v>Source Row</x:v>
      </x:c>
      <x:c r="F5" s="12" t="str">
        <x:v>View</x:v>
      </x:c>
      <x:c r="G5" s="12" t="str">
        <x:v>Organisation</x:v>
      </x:c>
      <x:c r="H5" s="12" t="str">
        <x:v>Initiative</x:v>
      </x:c>
      <x:c r="I5" s="12" t="str">
        <x:v>Source classification</x:v>
      </x:c>
      <x:c r="J5" s="12" t="str">
        <x:v>Category</x:v>
      </x:c>
      <x:c r="K5" s="12" t="str">
        <x:v>Platform</x:v>
      </x:c>
      <x:c r="L5" s="12" t="str">
        <x:v>Request M€</x:v>
      </x:c>
      <x:c r="M5" s="12" t="str">
        <x:v>Benefit M€</x:v>
      </x:c>
      <x:c r="N5" s="12" t="str">
        <x:v>Submitted Priority</x:v>
      </x:c>
      <x:c r="O5" s="12" t="str">
        <x:v>Impact and Cost of Not Doing</x:v>
      </x:c>
      <x:c r="P5" s="12" t="str">
        <x:v>Problem Statement</x:v>
      </x:c>
      <x:c r="Q5" s="12" t="str">
        <x:v>Scope</x:v>
      </x:c>
      <x:c r="R5" s="12" t="str">
        <x:v>Dependency</x:v>
      </x:c>
      <x:c r="S5" s="12" t="str">
        <x:v>Decision Band</x:v>
      </x:c>
      <x:c r="T5" s="12" t="str">
        <x:v>Overall AOP Decision</x:v>
      </x:c>
    </x:row>
    <x:row r="6">
      <x:c r="A6" s="15" t="str">
        <x:v>EW-01</x:v>
      </x:c>
      <x:c r="B6" s="15" t="str">
        <x:v>EW-01</x:v>
      </x:c>
      <x:c r="C6" s="15" t="str">
        <x:v>New</x:v>
      </x:c>
      <x:c r="D6" s="15" t="str">
        <x:v>EW</x:v>
      </x:c>
      <x:c r="E6" s="15" t="n">
        <x:v>4</x:v>
      </x:c>
      <x:c r="F6" s="15" t="str">
        <x:v>EW Led</x:v>
      </x:c>
      <x:c r="G6" s="15" t="str">
        <x:v>SusTaining Engg. Team (STET - ISC)</x:v>
      </x:c>
      <x:c r="H6" s="15" t="str">
        <x:v>RSL Automation</x:v>
      </x:c>
      <x:c r="I6" s="15" t="str">
        <x:v>New Initiative</x:v>
      </x:c>
      <x:c r="J6" s="15" t="str">
        <x:v>AI Enablement</x:v>
      </x:c>
      <x:c r="K6" s="15" t="str">
        <x:v>Group Functions &amp; Hyperautomation IT</x:v>
      </x:c>
      <x:c r="L6" s="19" t="n">
        <x:v>0.06</x:v>
      </x:c>
      <x:c r="M6" s="19" t="n">
        <x:v>0.3</x:v>
      </x:c>
      <x:c r="N6" s="15" t="str">
        <x:v>Must Do</x:v>
      </x:c>
      <x:c r="O6" s="15" t="str">
        <x:v>Manual activities supported by workforce</x:v>
      </x:c>
      <x:c r="P6" s="15" t="str">
        <x: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x:v>
      </x:c>
      <x:c r="Q6" s="15" t="str">
        <x:v>automate the process and apply GenAI to replicate the required human intelligence</x:v>
      </x:c>
      <x:c r="R6" s="15" t="str"/>
      <x:c r="S6" s="15" t="str">
        <x:v>HEALTHY</x:v>
      </x:c>
      <x:c r="T6" s="15" t="str">
        <x:v>HEALTHY — Rank in priority matrix</x:v>
      </x:c>
    </x:row>
    <x:row r="7">
      <x:c r="A7" s="15" t="str">
        <x:v>EW-02</x:v>
      </x:c>
      <x:c r="B7" s="15" t="str">
        <x:v>EW-02</x:v>
      </x:c>
      <x:c r="C7" s="15" t="str">
        <x:v>New</x:v>
      </x:c>
      <x:c r="D7" s="15" t="str">
        <x:v>EW</x:v>
      </x:c>
      <x:c r="E7" s="15" t="n">
        <x:v>5</x:v>
      </x:c>
      <x:c r="F7" s="15" t="str">
        <x:v>EW Led</x:v>
      </x:c>
      <x:c r="G7" s="15" t="str">
        <x:v>SusTaining Engg. Team (STET - ISC)</x:v>
      </x:c>
      <x:c r="H7" s="15" t="str">
        <x:v>D-Lit Automation</x:v>
      </x:c>
      <x:c r="I7" s="15" t="str">
        <x:v>New Initiative</x:v>
      </x:c>
      <x:c r="J7" s="15" t="str">
        <x:v>AI Enablement</x:v>
      </x:c>
      <x:c r="K7" s="15" t="str">
        <x:v>Innovation and Digital IT</x:v>
      </x:c>
      <x:c r="L7" s="19" t="n">
        <x:v>0.04</x:v>
      </x:c>
      <x:c r="M7" s="19"/>
      <x:c r="N7" s="15" t="str">
        <x:v>Must Have</x:v>
      </x:c>
      <x:c r="O7" s="15" t="str">
        <x:v>ensure controlled, traceable compliance reporting</x:v>
      </x:c>
      <x:c r="P7" s="15" t="str">
        <x:v>D-Lit Automation tool, which consolidates data from systems such as Windchill, SAP, and SPS Dashboard to answer key engineering and business queries. To support compliance and Global Trade requirements, the tool needs access to approved DMR data.</x:v>
      </x:c>
      <x:c r="Q7" s="15" t="str">
        <x:v>We are developing the D-Lit Automation tool, which consolidates data from systems such as Windchill, SAP, and SPS Dashboard to answer key engineering and business queries. To support compliance and Global Trade requirements, the tool needs access to approved DMR data.</x:v>
      </x:c>
      <x:c r="R7" s="15" t="str"/>
      <x:c r="S7" s="15" t="str">
        <x:v>HEALTHY</x:v>
      </x:c>
      <x:c r="T7" s="15" t="str">
        <x:v>HEALTHY — Rank in priority matrix</x:v>
      </x:c>
    </x:row>
    <x:row r="8">
      <x:c r="A8" s="15" t="str">
        <x:v>EW-03</x:v>
      </x:c>
      <x:c r="B8" s="15" t="str">
        <x:v>EW-03</x:v>
      </x:c>
      <x:c r="C8" s="15" t="str">
        <x:v>New</x:v>
      </x:c>
      <x:c r="D8" s="15" t="str">
        <x:v>EW</x:v>
      </x:c>
      <x:c r="E8" s="15" t="n">
        <x:v>6</x:v>
      </x:c>
      <x:c r="F8" s="15" t="str">
        <x:v>EW Led</x:v>
      </x:c>
      <x:c r="G8" s="15" t="str">
        <x:v>SusTaining Engg. Team (STET - ISC)</x:v>
      </x:c>
      <x:c r="H8" s="15" t="str">
        <x:v>LCA Automation</x:v>
      </x:c>
      <x:c r="I8" s="15" t="str">
        <x:v>New Initiative</x:v>
      </x:c>
      <x:c r="J8" s="15" t="str">
        <x:v>AI Enablement</x:v>
      </x:c>
      <x:c r="K8" s="15" t="str">
        <x:v>Group Functions &amp; Hyperautomation IT</x:v>
      </x:c>
      <x:c r="L8" s="19" t="n">
        <x:v>0.02</x:v>
      </x:c>
      <x:c r="M8" s="19"/>
      <x:c r="N8" s="15" t="str">
        <x:v>Must Do</x:v>
      </x:c>
      <x:c r="O8" s="15" t="str">
        <x:v>Manual activities supported by workforce</x:v>
      </x:c>
      <x:c r="P8" s="15" t="str"/>
      <x:c r="Q8" s="15" t="str"/>
      <x:c r="R8" s="15" t="str"/>
      <x:c r="S8" s="15" t="str">
        <x:v>HEALTHY</x:v>
      </x:c>
      <x:c r="T8" s="15" t="str">
        <x:v>HEALTHY — Rank in priority matrix</x:v>
      </x:c>
    </x:row>
    <x:row r="9">
      <x:c r="A9" s="15" t="str">
        <x:v>EW-04</x:v>
      </x:c>
      <x:c r="B9" s="15" t="str">
        <x:v>EW-04</x:v>
      </x:c>
      <x:c r="C9" s="15" t="str">
        <x:v>1006377</x:v>
      </x:c>
      <x:c r="D9" s="15" t="str">
        <x:v>EW</x:v>
      </x:c>
      <x:c r="E9" s="15" t="n">
        <x:v>7</x:v>
      </x:c>
      <x:c r="F9" s="15" t="str">
        <x:v>EW Led</x:v>
      </x:c>
      <x:c r="G9" s="15" t="str">
        <x:v>Legal</x:v>
      </x:c>
      <x:c r="H9" s="15" t="str">
        <x:v>Healthcare Compliance Project Engage</x:v>
      </x:c>
      <x:c r="I9" s="15" t="str">
        <x:v>Carry Over</x:v>
      </x:c>
      <x:c r="J9" s="15" t="str">
        <x:v>Legal Fiscal, Regulatory &amp; Compliancy</x:v>
      </x:c>
      <x:c r="K9" s="15" t="str">
        <x:v>Group Functions &amp; Hyperautomation IT</x:v>
      </x:c>
      <x:c r="L9" s="19" t="n">
        <x:v>2.2</x:v>
      </x:c>
      <x:c r="M9" s="19" t="n">
        <x:v>105</x:v>
      </x:c>
      <x:c r="N9" s="15" t="str">
        <x:v>Must Do</x:v>
      </x:c>
      <x:c r="O9" s="15" t="str">
        <x:v>1) Potential fines from Regulators for potential violations in ABAC, EC&amp;S related regulations</x:v>
      </x:c>
      <x:c r="P9" s="15" t="str">
        <x:v>As a Health Tech company, Philips has frequent interactions with medical professionals and those in a position to purchase solutions used to diagnose and treat patients. Regulators (and industry associations) in an increasing number of countries are focusing on the perception of companies influencing decision-making through the use of fee-for-service arrangements, among other interactions. In some countries, Health Tech and Life Sciences companies can be prosecuted and penalized by regulators for breaches of these rules with high dollar settlements. As part of the reporting obligation in Project Post, the SEC has shown interest in Philips' end-to-end management of engagements of HCPs.</x:v>
      </x:c>
      <x:c r="Q9" s="15" t="str">
        <x:v>Project will deliver an E2E solution that includes:</x:v>
      </x:c>
      <x:c r="R9" s="15" t="str">
        <x:v>None</x:v>
      </x:c>
      <x:c r="S9" s="15" t="str">
        <x:v>HEALTHY</x:v>
      </x:c>
      <x:c r="T9" s="15" t="str">
        <x:v>HEALTHY / MUST-DO — P1 — Immediate</x:v>
      </x:c>
    </x:row>
    <x:row r="10">
      <x:c r="A10" s="15" t="str">
        <x:v>EW-05</x:v>
      </x:c>
      <x:c r="B10" s="15" t="str">
        <x:v>EW-05</x:v>
      </x:c>
      <x:c r="C10" s="15" t="str">
        <x:v>1006377</x:v>
      </x:c>
      <x:c r="D10" s="15" t="str">
        <x:v>EW</x:v>
      </x:c>
      <x:c r="E10" s="15" t="n">
        <x:v>8</x:v>
      </x:c>
      <x:c r="F10" s="15" t="str">
        <x:v>EW Led</x:v>
      </x:c>
      <x:c r="G10" s="15" t="str">
        <x:v>Group Security</x:v>
      </x:c>
      <x:c r="H10" s="15" t="str">
        <x:v>Boardroom Intelligence</x:v>
      </x:c>
      <x:c r="I10" s="15" t="str">
        <x:v>Carry Over</x:v>
      </x:c>
      <x:c r="J10" s="15" t="str">
        <x:v>New Technology</x:v>
      </x:c>
      <x:c r="K10" s="15" t="str">
        <x:v>Group Functions &amp; Hyperautomation IT</x:v>
      </x:c>
      <x:c r="L10" s="19" t="n">
        <x:v>0.15</x:v>
      </x:c>
      <x:c r="M10" s="19"/>
      <x:c r="N10" s="15" t="str">
        <x:v>Must Have</x:v>
      </x:c>
      <x:c r="O10" s="15" t="str">
        <x:v>ExCo members would have to continue to use a legacy solution for collaborations (like sharing confidential files etc)</x:v>
      </x:c>
      <x:c r="P10" s="15" t="str">
        <x:v>Currently ExCo and Supervisory Board uses SaaS called ""Brainloop"" for secured storing and sharing of meeting agendas, documents, minutes, decisions made etc.</x:v>
      </x:c>
      <x:c r="Q10" s="15" t="str">
        <x: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x:v>
      </x:c>
      <x:c r="R10" s="15" t="str">
        <x:v>None</x:v>
      </x:c>
      <x:c r="S10" s="15" t="str">
        <x:v>HEALTHY</x:v>
      </x:c>
      <x:c r="T10" s="15" t="str">
        <x:v>HEALTHY — Rank in priority matrix</x:v>
      </x:c>
    </x:row>
    <x:row r="11">
      <x:c r="A11" s="15" t="str">
        <x:v>EW-06</x:v>
      </x:c>
      <x:c r="B11" s="15" t="str">
        <x:v>EW-06</x:v>
      </x:c>
      <x:c r="C11" s="15" t="str">
        <x:v>1006522</x:v>
      </x:c>
      <x:c r="D11" s="15" t="str">
        <x:v>EW</x:v>
      </x:c>
      <x:c r="E11" s="15" t="n">
        <x:v>9</x:v>
      </x:c>
      <x:c r="F11" s="15" t="str">
        <x:v>EW Led</x:v>
      </x:c>
      <x:c r="G11" s="15" t="str">
        <x:v>People function</x:v>
      </x:c>
      <x:c r="H11" s="15" t="str">
        <x:v>People Operations: service orchestration</x:v>
      </x:c>
      <x:c r="I11" s="15" t="str">
        <x:v>Carry Over</x:v>
      </x:c>
      <x:c r="J11" s="15" t="str">
        <x:v>AI Enablement</x:v>
      </x:c>
      <x:c r="K11" s="15" t="str">
        <x:v>Group Functions &amp; Hyperautomation IT</x:v>
      </x:c>
      <x:c r="L11" s="19" t="n">
        <x:v>0.5</x:v>
      </x:c>
      <x:c r="M11" s="19" t="n">
        <x:v>0.7</x:v>
      </x:c>
      <x:c r="N11" s="15" t="str">
        <x:v>Must Do</x:v>
      </x:c>
      <x:c r="O11" s="15" t="str">
        <x:v>With a signed 3 year contract worth 350K annually, and foregone Business case of 700K, the overall impact is 1000K annually</x:v>
      </x:c>
      <x:c r="P11" s="15" t="str"/>
      <x:c r="Q11" s="15" t="str"/>
      <x:c r="R11" s="15" t="str">
        <x:v>None</x:v>
      </x:c>
      <x:c r="S11" s="15" t="str">
        <x:v>HEALTHY</x:v>
      </x:c>
      <x:c r="T11" s="15" t="str">
        <x:v>HEALTHY — Rank in priority matrix</x:v>
      </x:c>
    </x:row>
    <x:row r="12">
      <x:c r="A12" s="15" t="str">
        <x:v>EW-07</x:v>
      </x:c>
      <x:c r="B12" s="15" t="str">
        <x:v>EW-07</x:v>
      </x:c>
      <x:c r="C12" s="15" t="str">
        <x:v>1007031</x:v>
      </x:c>
      <x:c r="D12" s="15" t="str">
        <x:v>EW</x:v>
      </x:c>
      <x:c r="E12" s="15" t="n">
        <x:v>10</x:v>
      </x:c>
      <x:c r="F12" s="15" t="str">
        <x:v>EW Led</x:v>
      </x:c>
      <x:c r="G12" s="15" t="str">
        <x:v>Information Technology</x:v>
      </x:c>
      <x:c r="H12" s="15" t="str">
        <x:v>CCB Commercial IT</x:v>
      </x:c>
      <x:c r="I12" s="15" t="str">
        <x:v>Change &amp; Sustain</x:v>
      </x:c>
      <x:c r="J12" s="15" t="str">
        <x:v>Continuous Improvement</x:v>
      </x:c>
      <x:c r="K12" s="15" t="str">
        <x:v>Commercial IT</x:v>
      </x:c>
      <x:c r="L12" s="19" t="n">
        <x:v>4.985</x:v>
      </x:c>
      <x:c r="M12" s="19"/>
      <x:c r="N12" s="15" t="str">
        <x:v>Must Do</x:v>
      </x:c>
      <x:c r="O12" s="15" t="str">
        <x:v>Operational risk if regular enhancements and continuous improvements are not prioritized</x:v>
      </x:c>
      <x:c r="P12" s="15" t="str"/>
      <x:c r="Q12" s="15" t="str"/>
      <x:c r="R12" s="15" t="str"/>
      <x:c r="S12" s="15" t="str"/>
      <x:c r="T12" s="15" t="str"/>
    </x:row>
    <x:row r="13">
      <x:c r="A13" s="15" t="str">
        <x:v>EW-08</x:v>
      </x:c>
      <x:c r="B13" s="15" t="str">
        <x:v>EW-08</x:v>
      </x:c>
      <x:c r="C13" s="15" t="str">
        <x:v>1004155</x:v>
      </x:c>
      <x:c r="D13" s="15" t="str">
        <x:v>EW</x:v>
      </x:c>
      <x:c r="E13" s="15" t="n">
        <x:v>11</x:v>
      </x:c>
      <x:c r="F13" s="15" t="str">
        <x:v>EW Led</x:v>
      </x:c>
      <x:c r="G13" s="15" t="str">
        <x:v>Patient Safety &amp; Quality</x:v>
      </x:c>
      <x:c r="H13" s="15" t="str">
        <x:v>Mammoth</x:v>
      </x:c>
      <x:c r="I13" s="15" t="str">
        <x:v>Carry Over</x:v>
      </x:c>
      <x:c r="J13" s="15" t="str">
        <x:v>New Technology</x:v>
      </x:c>
      <x:c r="K13" s="15" t="str">
        <x:v>Group Functions &amp; Hyperautomation IT</x:v>
      </x:c>
      <x:c r="L13" s="19" t="n">
        <x:v>0.65</x:v>
      </x:c>
      <x:c r="M13" s="19" t="n">
        <x:v>1.2</x:v>
      </x:c>
      <x:c r="N13" s="15" t="str">
        <x:v>Must Do</x:v>
      </x:c>
      <x:c r="O13" s="15" t="str">
        <x:v>Lose 1.2M write-off + 1.6M/year</x:v>
      </x:c>
      <x:c r="P13" s="15" t="str">
        <x:v>Transformation of Quality Compliance Learning organization and harmonization of tooling from TEDS to Cornerstone</x:v>
      </x:c>
      <x:c r="Q13" s="15" t="str">
        <x:v>All QMS learning from TEDS to Cornerstone</x:v>
      </x:c>
      <x:c r="R13" s="15" t="str">
        <x:v>None</x:v>
      </x:c>
      <x:c r="S13" s="15" t="str">
        <x:v>HEALTHY</x:v>
      </x:c>
      <x:c r="T13" s="15" t="str">
        <x:v>HEALTHY — Rank in priority matrix</x:v>
      </x:c>
    </x:row>
    <x:row r="14">
      <x:c r="A14" s="15" t="str">
        <x:v>EW-09</x:v>
      </x:c>
      <x:c r="B14" s="15" t="str">
        <x:v>EW-09</x:v>
      </x:c>
      <x:c r="C14" s="15" t="str">
        <x:v>1006302</x:v>
      </x:c>
      <x:c r="D14" s="15" t="str">
        <x:v>EW</x:v>
      </x:c>
      <x:c r="E14" s="15" t="n">
        <x:v>12</x:v>
      </x:c>
      <x:c r="F14" s="15" t="str">
        <x:v>EW Led</x:v>
      </x:c>
      <x:c r="G14" s="15" t="str">
        <x:v>Patient Safety &amp; Quality</x:v>
      </x:c>
      <x:c r="H14" s="15" t="str">
        <x:v>Kairos</x:v>
      </x:c>
      <x:c r="I14" s="15" t="str">
        <x:v>Carry Over</x:v>
      </x:c>
      <x:c r="J14" s="15" t="str">
        <x:v>AI Enablement</x:v>
      </x:c>
      <x:c r="K14" s="15" t="str">
        <x:v>Group Functions &amp; Hyperautomation IT</x:v>
      </x:c>
      <x:c r="L14" s="19" t="n">
        <x:v>0.25</x:v>
      </x:c>
      <x:c r="M14" s="19"/>
      <x:c r="N14" s="15" t="str">
        <x:v>Must Do</x:v>
      </x:c>
      <x:c r="O14" s="15" t="str">
        <x:v>TBD</x:v>
      </x:c>
      <x:c r="P14" s="15" t="str">
        <x:v>Expand the capabilities of Kairos to enable PSQ and broader in self-enablement in AI use-cases around agentic quality activities (quality reviews, doc generation, etc)</x:v>
      </x:c>
      <x:c r="Q14" s="15" t="str">
        <x:v>Platform enhancements</x:v>
      </x:c>
      <x:c r="R14" s="15" t="str">
        <x:v>None</x:v>
      </x:c>
      <x:c r="S14" s="15" t="str">
        <x:v>HEALTHY</x:v>
      </x:c>
      <x:c r="T14" s="15" t="str">
        <x:v>HEALTHY — Rank in priority matrix</x:v>
      </x:c>
    </x:row>
    <x:row r="15">
      <x:c r="A15" s="15" t="str">
        <x:v>EW-10</x:v>
      </x:c>
      <x:c r="B15" s="15" t="str">
        <x:v>EW-10</x:v>
      </x:c>
      <x:c r="C15" s="15" t="str">
        <x:v>1006374</x:v>
      </x:c>
      <x:c r="D15" s="15" t="str">
        <x:v>EW</x:v>
      </x:c>
      <x:c r="E15" s="15" t="n">
        <x:v>13</x:v>
      </x:c>
      <x:c r="F15" s="15" t="str">
        <x:v>EW Led</x:v>
      </x:c>
      <x:c r="G15" s="15" t="str">
        <x:v>Information Technology</x:v>
      </x:c>
      <x:c r="H15" s="15" t="str">
        <x:v>CCB - Hyperautomation</x:v>
      </x:c>
      <x:c r="I15" s="15" t="str">
        <x:v>Change &amp; Sustain</x:v>
      </x:c>
      <x:c r="J15" s="15" t="str">
        <x:v>AI Enablement</x:v>
      </x:c>
      <x:c r="K15" s="15" t="str">
        <x:v>Group Functions &amp; Hyperautomation IT</x:v>
      </x:c>
      <x:c r="L15" s="19" t="n">
        <x:v>1.052</x:v>
      </x:c>
      <x:c r="M15" s="19"/>
      <x:c r="N15" s="15" t="str">
        <x:v>Must Do</x:v>
      </x:c>
      <x:c r="O15" s="15" t="str">
        <x:v>Operational &amp; security risk if regular enhancements and continuous improvements are not prioritized</x:v>
      </x:c>
      <x:c r="P15" s="15" t="str">
        <x:v>LFRs and change requests</x:v>
      </x:c>
      <x:c r="Q15" s="15" t="str">
        <x:v>Deliver changes to existimg Production solutions to address LFRs and changes</x:v>
      </x:c>
      <x:c r="R15" s="15" t="str">
        <x:v>None</x:v>
      </x:c>
      <x:c r="S15" s="15" t="str"/>
      <x:c r="T15" s="15" t="str"/>
    </x:row>
    <x:row r="16">
      <x:c r="A16" s="15" t="str">
        <x:v>EW-11</x:v>
      </x:c>
      <x:c r="B16" s="15" t="str">
        <x:v>EW-11</x:v>
      </x:c>
      <x:c r="C16" s="15" t="str">
        <x:v>1006377</x:v>
      </x:c>
      <x:c r="D16" s="15" t="str">
        <x:v>EW</x:v>
      </x:c>
      <x:c r="E16" s="15" t="n">
        <x:v>14</x:v>
      </x:c>
      <x:c r="F16" s="15" t="str">
        <x:v>EW Led</x:v>
      </x:c>
      <x:c r="G16" s="15" t="str">
        <x:v>Information Technology</x:v>
      </x:c>
      <x:c r="H16" s="15" t="str">
        <x:v>CCB - Group Function</x:v>
      </x:c>
      <x:c r="I16" s="15" t="str">
        <x:v>Change &amp; Sustain</x:v>
      </x:c>
      <x:c r="J16" s="15" t="str">
        <x:v>Legal Fiscal, Regulatory &amp; Compliancy</x:v>
      </x:c>
      <x:c r="K16" s="15" t="str">
        <x:v>Group Functions &amp; Hyperautomation IT</x:v>
      </x:c>
      <x:c r="L16" s="19" t="n">
        <x:v>7.63</x:v>
      </x:c>
      <x:c r="M16" s="19"/>
      <x:c r="N16" s="15" t="str">
        <x:v>Must Do</x:v>
      </x:c>
      <x:c r="O16" s="15" t="str">
        <x:v>License to operate and risk to operations; potential penalties and audit findings. Includes Legal, Risk, Compliance/Audit, Sustainability, Health&amp;Safety, Q&amp;R, People functions</x:v>
      </x:c>
      <x:c r="P16" s="15" t="str">
        <x:v>LFRs and change requests</x:v>
      </x:c>
      <x:c r="Q16" s="15" t="str">
        <x:v>Deliver changes to existimg Production solutions to address LFRs and changes</x:v>
      </x:c>
      <x:c r="R16" s="15" t="str">
        <x:v>None</x:v>
      </x:c>
      <x:c r="S16" s="15" t="str"/>
      <x:c r="T16" s="15" t="str"/>
    </x:row>
    <x:row r="17">
      <x:c r="A17" s="15" t="str">
        <x:v>EW-12</x:v>
      </x:c>
      <x:c r="B17" s="15" t="str">
        <x:v>EW-12</x:v>
      </x:c>
      <x:c r="C17" s="15" t="str">
        <x:v>1006433</x:v>
      </x:c>
      <x:c r="D17" s="15" t="str">
        <x:v>EW</x:v>
      </x:c>
      <x:c r="E17" s="15" t="n">
        <x:v>15</x:v>
      </x:c>
      <x:c r="F17" s="15" t="str">
        <x:v>EW Led</x:v>
      </x:c>
      <x:c r="G17" s="15" t="str">
        <x:v>Patient Safety &amp; Quality</x:v>
      </x:c>
      <x:c r="H17" s="15" t="str">
        <x:v>Integrated C&amp;R</x:v>
      </x:c>
      <x:c r="I17" s="15" t="str">
        <x:v>Carry Over</x:v>
      </x:c>
      <x:c r="J17" s="15" t="str">
        <x:v>New Technology</x:v>
      </x:c>
      <x:c r="K17" s="15" t="str">
        <x:v>Group Functions &amp; Hyperautomation IT</x:v>
      </x:c>
      <x:c r="L17" s="19" t="n">
        <x:v>0.65</x:v>
      </x:c>
      <x:c r="M17" s="19"/>
      <x:c r="N17" s="15" t="str">
        <x:v>Must Do</x:v>
      </x:c>
      <x:c r="O17" s="15" t="str">
        <x:v>2.3M - 6.6M detailed underpinning available</x:v>
      </x:c>
      <x:c r="P17" s="15" t="str">
        <x:v>Digitization of manual and fragment C&amp;R and HHED process flows</x:v>
      </x:c>
      <x:c r="Q17" s="15" t="str">
        <x:v>Central C&amp;R, HHE and HHED processes</x:v>
      </x:c>
      <x:c r="R17" s="15" t="str">
        <x:v>None</x:v>
      </x:c>
      <x:c r="S17" s="15" t="str">
        <x:v>HEALTHY</x:v>
      </x:c>
      <x:c r="T17" s="15" t="str">
        <x:v>HEALTHY — Rank in priority matrix</x:v>
      </x:c>
    </x:row>
    <x:row r="18">
      <x:c r="A18" s="15" t="str">
        <x:v>EW-13</x:v>
      </x:c>
      <x:c r="B18" s="15" t="str">
        <x:v>EW-13</x:v>
      </x:c>
      <x:c r="C18" s="15" t="str">
        <x:v>1006730</x:v>
      </x:c>
      <x:c r="D18" s="15" t="str">
        <x:v>EW</x:v>
      </x:c>
      <x:c r="E18" s="15" t="n">
        <x:v>16</x:v>
      </x:c>
      <x:c r="F18" s="15" t="str">
        <x:v>EW Led</x:v>
      </x:c>
      <x:c r="G18" s="15" t="str">
        <x:v>Information Technology</x:v>
      </x:c>
      <x:c r="H18" s="15" t="str">
        <x:v>HA AI Enablement</x:v>
      </x:c>
      <x:c r="I18" s="15" t="str">
        <x:v>Carry Over</x:v>
      </x:c>
      <x:c r="J18" s="15" t="str">
        <x:v>AI Enablement</x:v>
      </x:c>
      <x:c r="K18" s="15" t="str">
        <x:v>Group Functions &amp; Hyperautomation IT</x:v>
      </x:c>
      <x:c r="L18" s="19" t="n">
        <x:v>0.5</x:v>
      </x:c>
      <x:c r="M18" s="19" t="n">
        <x:v>15</x:v>
      </x:c>
      <x:c r="N18" s="15" t="str">
        <x:v>Must Do</x:v>
      </x:c>
      <x:c r="O18" s="15" t="str">
        <x:v>Time to capability for BU/Regions slows down; vendor IT resources onboarded by BU/Regions</x:v>
      </x:c>
      <x:c r="P18" s="15" t="str">
        <x:v>AI and automation solution enhancements, governance and compliance efforts , platform governance and reporting</x:v>
      </x:c>
      <x:c r="Q18" s="15" t="str">
        <x:v>Power Platform, Copilot studio</x:v>
      </x:c>
      <x:c r="R18" s="15" t="str"/>
      <x:c r="S18" s="15" t="str">
        <x:v>HEALTHY</x:v>
      </x:c>
      <x:c r="T18" s="15" t="str">
        <x:v>HEALTHY / MUST-DO — priority TBD</x:v>
      </x:c>
    </x:row>
    <x:row r="19">
      <x:c r="A19" s="15" t="str">
        <x:v>EW-14</x:v>
      </x:c>
      <x:c r="B19" s="15" t="str">
        <x:v>EW-14</x:v>
      </x:c>
      <x:c r="C19" s="15" t="str">
        <x:v>New</x:v>
      </x:c>
      <x:c r="D19" s="15" t="str">
        <x:v>EW</x:v>
      </x:c>
      <x:c r="E19" s="15" t="n">
        <x:v>17</x:v>
      </x:c>
      <x:c r="F19" s="15" t="str">
        <x:v>EW Led</x:v>
      </x:c>
      <x:c r="G19" s="15" t="str">
        <x:v>Patient Safety &amp; Quality</x:v>
      </x:c>
      <x:c r="H19" s="15" t="str">
        <x:v>PSQ E2E Product Data Lineage Model</x:v>
      </x:c>
      <x:c r="I19" s="15" t="str">
        <x:v>New Initiative</x:v>
      </x:c>
      <x:c r="J19" s="15" t="str">
        <x:v>AI Enablement</x:v>
      </x:c>
      <x:c r="K19" s="15" t="str">
        <x:v>Group Functions &amp; Hyperautomation IT</x:v>
      </x:c>
      <x:c r="L19" s="19" t="n">
        <x:v>0.25</x:v>
      </x:c>
      <x:c r="M19" s="19"/>
      <x:c r="N19" s="15" t="str">
        <x:v>Must Do</x:v>
      </x:c>
      <x:c r="O19" s="15" t="str">
        <x: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x:v>
      </x:c>
      <x:c r="P19" s="15" t="str">
        <x: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x:v>
      </x:c>
      <x:c r="Q19" s="15" t="str">
        <x:v>Data across various PSQ capabilities such as complaints, capa, scar, etc</x:v>
      </x:c>
      <x:c r="R19" s="15" t="str">
        <x:v>None</x:v>
      </x:c>
      <x:c r="S19" s="15" t="str">
        <x:v>HEALTHY</x:v>
      </x:c>
      <x:c r="T19" s="15" t="str">
        <x:v>HEALTHY — Rank in priority matrix</x:v>
      </x:c>
    </x:row>
    <x:row r="20">
      <x:c r="A20" s="15" t="str">
        <x:v>EW-15</x:v>
      </x:c>
      <x:c r="B20" s="15" t="str">
        <x:v>EW-15</x:v>
      </x:c>
      <x:c r="C20" s="15" t="str">
        <x:v>1006423</x:v>
      </x:c>
      <x:c r="D20" s="15" t="str">
        <x:v>EW</x:v>
      </x:c>
      <x:c r="E20" s="15" t="n">
        <x:v>18</x:v>
      </x:c>
      <x:c r="F20" s="15" t="str">
        <x:v>EW Led</x:v>
      </x:c>
      <x:c r="G20" s="15" t="str">
        <x:v>Patient Safety &amp; Quality</x:v>
      </x:c>
      <x:c r="H20" s="15" t="str">
        <x:v>Next Gen CH</x:v>
      </x:c>
      <x:c r="I20" s="15" t="str">
        <x:v>New Initiative</x:v>
      </x:c>
      <x:c r="J20" s="15" t="str">
        <x:v>Decomm/Replatforming</x:v>
      </x:c>
      <x:c r="K20" s="15" t="str">
        <x:v>Group Functions &amp; Hyperautomation IT</x:v>
      </x:c>
      <x:c r="L20" s="19" t="n">
        <x:v>2.7</x:v>
      </x:c>
      <x:c r="M20" s="19" t="n">
        <x:v>3.46</x:v>
      </x:c>
      <x:c r="N20" s="15" t="str">
        <x:v>Must Do</x:v>
      </x:c>
      <x:c r="O20" s="15" t="str">
        <x:v>Inability to remove operational inefficiencies: 1.9m</x:v>
      </x:c>
      <x:c r="P20" s="15" t="str">
        <x:v>Replace Trackwise with AI-native Enterprise grade Solution that meets regulatory scrutiny given high visibility during regulatory inspections and Philips Q&amp;R requirements</x:v>
      </x:c>
      <x:c r="Q20" s="15" t="str">
        <x:v>Global deployment with AI capabilities offering differentiation as needed for BU</x:v>
      </x:c>
      <x:c r="R20" s="15" t="str">
        <x:v>None</x:v>
      </x:c>
      <x:c r="S20" s="15" t="str">
        <x:v>HEALTHY</x:v>
      </x:c>
      <x:c r="T20" s="15" t="str">
        <x:v>HEALTHY — Rank in priority matrix</x:v>
      </x:c>
    </x:row>
    <x:row r="21">
      <x:c r="A21" s="15" t="str">
        <x:v>EW-16</x:v>
      </x:c>
      <x:c r="B21" s="15" t="str">
        <x:v>EW-16</x:v>
      </x:c>
      <x:c r="C21" s="15" t="str">
        <x:v>1006423</x:v>
      </x:c>
      <x:c r="D21" s="15" t="str">
        <x:v>EW</x:v>
      </x:c>
      <x:c r="E21" s="15" t="n">
        <x:v>19</x:v>
      </x:c>
      <x:c r="F21" s="15" t="str">
        <x:v>EW Led</x:v>
      </x:c>
      <x:c r="G21" s="15" t="str">
        <x:v>Patient Safety &amp; Quality</x:v>
      </x:c>
      <x:c r="H21" s="15" t="str">
        <x:v>Document control with Ai capabilities (ARIS replacement)</x:v>
      </x:c>
      <x:c r="I21" s="15" t="str">
        <x:v>New Initiative</x:v>
      </x:c>
      <x:c r="J21" s="15" t="str">
        <x:v>Decomm/Replatforming</x:v>
      </x:c>
      <x:c r="K21" s="15" t="str">
        <x:v>Group Functions &amp; Hyperautomation IT</x:v>
      </x:c>
      <x:c r="L21" s="19" t="n">
        <x:v>0.8</x:v>
      </x:c>
      <x:c r="M21" s="19"/>
      <x:c r="N21" s="15" t="str">
        <x:v>Must Do</x:v>
      </x:c>
      <x:c r="O21" s="15" t="str">
        <x:v>Continue to maintain ARIS licensing high costs while increasing operational inefficiencies (2m/year)</x:v>
      </x:c>
      <x:c r="P21" s="15" t="str">
        <x:v>Aris is an expensive system which we're looking to exit and doesn't fulfill the needs of a doc-based QMS management system effectively</x:v>
      </x:c>
      <x:c r="Q21" s="15" t="str">
        <x:v>Replacement of QMS use of Aris (separate from process framework)</x:v>
      </x:c>
      <x:c r="R21" s="15" t="str">
        <x:v>None</x:v>
      </x:c>
      <x:c r="S21" s="15" t="str">
        <x:v>HEALTHY</x:v>
      </x:c>
      <x:c r="T21" s="15" t="str">
        <x:v>HEALTHY — Rank in priority matrix</x:v>
      </x:c>
    </x:row>
    <x:row r="22">
      <x:c r="A22" s="15" t="str">
        <x:v>EW-17</x:v>
      </x:c>
      <x:c r="B22" s="15" t="str">
        <x:v>EW-17</x:v>
      </x:c>
      <x:c r="C22" s="15" t="str">
        <x:v>New</x:v>
      </x:c>
      <x:c r="D22" s="15" t="str">
        <x:v>EW</x:v>
      </x:c>
      <x:c r="E22" s="15" t="n">
        <x:v>20</x:v>
      </x:c>
      <x:c r="F22" s="15" t="str">
        <x:v>EW Led</x:v>
      </x:c>
      <x:c r="G22" s="15" t="str">
        <x:v>Patient Safety &amp; Quality</x:v>
      </x:c>
      <x:c r="H22" s="15" t="str">
        <x:v>AI Prioritization Funnel budget</x:v>
      </x:c>
      <x:c r="I22" s="15" t="str">
        <x:v>New Initiative</x:v>
      </x:c>
      <x:c r="J22" s="15" t="str">
        <x:v>AI Enablement</x:v>
      </x:c>
      <x:c r="K22" s="15" t="str">
        <x:v>Group Functions &amp; Hyperautomation IT</x:v>
      </x:c>
      <x:c r="L22" s="19" t="n">
        <x:v>0.5</x:v>
      </x:c>
      <x:c r="M22" s="19"/>
      <x:c r="N22" s="15" t="str">
        <x:v>Must Do</x:v>
      </x:c>
      <x:c r="O22" s="15" t="str">
        <x:v>TBD</x:v>
      </x:c>
      <x:c r="P22" s="15" t="str">
        <x:v>Supporting budget to fund centrally collected demand on AI use-cases for PSQ</x:v>
      </x:c>
      <x:c r="Q22" s="15" t="str">
        <x:v>TBD based on funneling</x:v>
      </x:c>
      <x:c r="R22" s="15" t="str">
        <x:v>None</x:v>
      </x:c>
      <x:c r="S22" s="15" t="str">
        <x:v>HEALTHY</x:v>
      </x:c>
      <x:c r="T22" s="15" t="str">
        <x:v>HEALTHY — Rank in priority matrix</x:v>
      </x:c>
    </x:row>
    <x:row r="23">
      <x:c r="A23" s="15" t="str">
        <x:v>EW-18</x:v>
      </x:c>
      <x:c r="B23" s="15" t="str">
        <x:v>EW-18</x:v>
      </x:c>
      <x:c r="C23" s="15" t="str">
        <x:v>New</x:v>
      </x:c>
      <x:c r="D23" s="15" t="str">
        <x:v>EW</x:v>
      </x:c>
      <x:c r="E23" s="15" t="n">
        <x:v>21</x:v>
      </x:c>
      <x:c r="F23" s="15" t="str">
        <x:v>EW Led</x:v>
      </x:c>
      <x:c r="G23" s="15" t="str">
        <x:v>Patient Safety &amp; Quality</x:v>
      </x:c>
      <x:c r="H23" s="15" t="str">
        <x:v>Establish a future-ready AI powered foundation for Compliance Learning Ecosystem</x:v>
      </x:c>
      <x:c r="I23" s="15" t="str">
        <x:v>New Initiative</x:v>
      </x:c>
      <x:c r="J23" s="15" t="str">
        <x:v>AI Enablement</x:v>
      </x:c>
      <x:c r="K23" s="15" t="str">
        <x:v>Group Functions &amp; Hyperautomation IT</x:v>
      </x:c>
      <x:c r="L23" s="19" t="n">
        <x:v>0.25</x:v>
      </x:c>
      <x:c r="M23" s="19"/>
      <x:c r="N23" s="15" t="str">
        <x:v>Must Have</x:v>
      </x:c>
      <x:c r="O23" s="15" t="str">
        <x:v>potential operational efficiency..No known #s</x:v>
      </x:c>
      <x:c r="P23" s="15" t="str">
        <x:v>AI can be leveraged to enhance learning experience</x:v>
      </x:c>
      <x:c r="Q23" s="15" t="str">
        <x:v>Complete learning architectural landscape supported through MCP connections to improve learning experience</x:v>
      </x:c>
      <x:c r="R23" s="15" t="str">
        <x:v>None</x:v>
      </x:c>
      <x:c r="S23" s="15" t="str">
        <x:v>HEALTHY</x:v>
      </x:c>
      <x:c r="T23" s="15" t="str">
        <x:v>HEALTHY — Rank in priority matrix</x:v>
      </x:c>
    </x:row>
    <x:row r="24">
      <x:c r="A24" s="15" t="str">
        <x:v>EW-19</x:v>
      </x:c>
      <x:c r="B24" s="15" t="str">
        <x:v>EW-19</x:v>
      </x:c>
      <x:c r="C24" s="15" t="str">
        <x:v>1006423</x:v>
      </x:c>
      <x:c r="D24" s="15" t="str">
        <x:v>EW</x:v>
      </x:c>
      <x:c r="E24" s="15" t="n">
        <x:v>22</x:v>
      </x:c>
      <x:c r="F24" s="15" t="str">
        <x:v>EW Led</x:v>
      </x:c>
      <x:c r="G24" s="15" t="str">
        <x:v>Patient Safety &amp; Quality</x:v>
      </x:c>
      <x:c r="H24" s="15" t="str">
        <x:v>SICR APQP Supplier Portal</x:v>
      </x:c>
      <x:c r="I24" s="15" t="str">
        <x:v>New Initiative</x:v>
      </x:c>
      <x:c r="J24" s="15" t="str">
        <x:v>Decomm/Replatforming</x:v>
      </x:c>
      <x:c r="K24" s="15" t="str">
        <x:v>Group Functions &amp; Hyperautomation IT</x:v>
      </x:c>
      <x:c r="L24" s="19" t="n">
        <x:v>0.45</x:v>
      </x:c>
      <x:c r="M24" s="19" t="n">
        <x:v>0.225</x:v>
      </x:c>
      <x:c r="N24" s="15" t="str">
        <x:v>Must Do</x:v>
      </x:c>
      <x:c r="O24" s="15" t="str">
        <x:v>2550 total, of which:</x:v>
      </x:c>
      <x:c r="P24" s="15" t="str">
        <x:v>Fragmented landscape to support Supplier Initiated Change Requests resulting in compliance exposure</x:v>
      </x:c>
      <x:c r="Q24" s="15" t="str">
        <x:v>Central SICR solution in phase 1, APQP process suport in phase 2</x:v>
      </x:c>
      <x:c r="R24" s="15" t="str">
        <x:v>None</x:v>
      </x:c>
      <x:c r="S24" s="15" t="str">
        <x:v>HEALTHY</x:v>
      </x:c>
      <x:c r="T24" s="15" t="str">
        <x:v>HEALTHY / MUST-DO — P1 — Immediate</x:v>
      </x:c>
    </x:row>
    <x:row r="25">
      <x:c r="A25" s="15" t="str">
        <x:v>EW-20</x:v>
      </x:c>
      <x:c r="B25" s="15" t="str">
        <x:v>EW-20</x:v>
      </x:c>
      <x:c r="C25" s="15" t="str">
        <x:v>New</x:v>
      </x:c>
      <x:c r="D25" s="15" t="str">
        <x:v>EW</x:v>
      </x:c>
      <x:c r="E25" s="15" t="n">
        <x:v>23</x:v>
      </x:c>
      <x:c r="F25" s="15" t="str">
        <x:v>EW Led</x:v>
      </x:c>
      <x:c r="G25" s="15" t="str">
        <x:v>Patient Safety &amp; Quality</x:v>
      </x:c>
      <x:c r="H25" s="15" t="str">
        <x:v>ARIS deployment for ISC QMS Integration</x:v>
      </x:c>
      <x:c r="I25" s="15" t="str">
        <x:v>New Initiative</x:v>
      </x:c>
      <x:c r="J25" s="15" t="str">
        <x:v>New Technology</x:v>
      </x:c>
      <x:c r="K25" s="15" t="str">
        <x:v>Group Functions &amp; Hyperautomation IT</x:v>
      </x:c>
      <x:c r="L25" s="19" t="n">
        <x:v>0.05</x:v>
      </x:c>
      <x:c r="M25" s="19" t="n">
        <x:v>0.6</x:v>
      </x:c>
      <x:c r="N25" s="15" t="str">
        <x:v>Must Do</x:v>
      </x:c>
      <x:c r="O25" s="15" t="str">
        <x:v>1400k in total, of which:</x:v>
      </x:c>
      <x:c r="P25" s="15" t="str">
        <x:v>ISC needs to be integrated into Aris</x:v>
      </x:c>
      <x:c r="Q25" s="15" t="str">
        <x:v>ISC QMS only</x:v>
      </x:c>
      <x:c r="R25" s="15" t="str">
        <x:v>None</x:v>
      </x:c>
      <x:c r="S25" s="15" t="str">
        <x:v>CONTAIN</x:v>
      </x:c>
      <x:c r="T25" s="15" t="str">
        <x:v>HEALTHY / MUST-DO — P1 — Immediate</x:v>
      </x:c>
    </x:row>
    <x:row r="26">
      <x:c r="A26" s="15" t="str">
        <x:v>EW-21</x:v>
      </x:c>
      <x:c r="B26" s="15" t="str">
        <x:v>EW-21</x:v>
      </x:c>
      <x:c r="C26" s="15" t="str">
        <x:v>New</x:v>
      </x:c>
      <x:c r="D26" s="15" t="str">
        <x:v>EW</x:v>
      </x:c>
      <x:c r="E26" s="15" t="n">
        <x:v>24</x:v>
      </x:c>
      <x:c r="F26" s="15" t="str">
        <x:v>EW Led</x:v>
      </x:c>
      <x:c r="G26" s="15" t="str">
        <x:v>Greater China</x:v>
      </x:c>
      <x:c r="H26" s="15" t="str">
        <x:v>Service365 2027 Change&amp;Sustain</x:v>
      </x:c>
      <x:c r="I26" s="15" t="str">
        <x:v>Carry Over</x:v>
      </x:c>
      <x:c r="J26" s="15" t="str">
        <x:v>Continuous Improvement</x:v>
      </x:c>
      <x:c r="K26" s="15" t="str">
        <x:v>Greater China IT</x:v>
      </x:c>
      <x:c r="L26" s="19" t="n">
        <x:v>0.48</x:v>
      </x:c>
      <x:c r="M26" s="19" t="n">
        <x:v>0.55</x:v>
      </x:c>
      <x:c r="N26" s="15" t="str">
        <x:v>Must Do</x:v>
      </x:c>
      <x:c r="O26" s="15" t="str">
        <x:v>no business continuity for China Mainland Service Delivery (SRC Fraud CAPA + spare parts logistics, this is the SMAX + PSA for China)</x:v>
      </x:c>
      <x:c r="P26" s="15" t="str">
        <x:v>1. Mandatory fraud Investigation Action to close, process &amp; system integration required to include China SRC business into Dynamics 365 for regulatory &amp; compliance mgmt (service material/parts &amp; service delivery)</x:v>
      </x:c>
      <x:c r="Q26" s="15" t="str"/>
      <x:c r="R26" s="15" t="str"/>
      <x:c r="S26" s="15" t="str">
        <x:v>HEALTHY</x:v>
      </x:c>
      <x:c r="T26" s="15" t="str">
        <x:v>HEALTHY / MUST-DO — P1 — Immediate</x:v>
      </x:c>
    </x:row>
    <x:row r="27">
      <x:c r="A27" s="15" t="str">
        <x:v>EW-22</x:v>
      </x:c>
      <x:c r="B27" s="15" t="str">
        <x:v>EW-22</x:v>
      </x:c>
      <x:c r="C27" s="15" t="str">
        <x:v>New</x:v>
      </x:c>
      <x:c r="D27" s="15" t="str">
        <x:v>EW</x:v>
      </x:c>
      <x:c r="E27" s="15" t="n">
        <x:v>25</x:v>
      </x:c>
      <x:c r="F27" s="15" t="str">
        <x:v>EW Led</x:v>
      </x:c>
      <x:c r="G27" s="15" t="str">
        <x:v>Greater China</x:v>
      </x:c>
      <x:c r="H27" s="15" t="str">
        <x:v>Commercial365 2027 Change&amp;Sustain</x:v>
      </x:c>
      <x:c r="I27" s="15" t="str">
        <x:v>Carry Over</x:v>
      </x:c>
      <x:c r="J27" s="15" t="str">
        <x:v>Continuous Improvement</x:v>
      </x:c>
      <x:c r="K27" s="15" t="str">
        <x:v>Greater China IT</x:v>
      </x:c>
      <x:c r="L27" s="19" t="n">
        <x:v>0.48</x:v>
      </x:c>
      <x:c r="M27" s="19"/>
      <x:c r="N27" s="15" t="str">
        <x:v>Must Do</x:v>
      </x:c>
      <x:c r="O27" s="15" t="str">
        <x:v>no business continuity for China Mainland funnel &amp; OIT (Continue what has started to maintain business, this is the SFDC CRM + Conga for China)</x:v>
      </x:c>
      <x:c r="P27" s="15" t="str"/>
      <x:c r="Q27" s="15" t="str"/>
      <x:c r="R27" s="15" t="str"/>
      <x:c r="S27" s="15" t="str">
        <x:v>HEALTHY</x:v>
      </x:c>
      <x:c r="T27" s="15" t="str">
        <x:v>HEALTHY / MUST-DO — P1 — Immediate</x:v>
      </x:c>
    </x:row>
    <x:row r="28">
      <x:c r="A28" s="15" t="str">
        <x:v>EW-23</x:v>
      </x:c>
      <x:c r="B28" s="15" t="str">
        <x:v>EW-23</x:v>
      </x:c>
      <x:c r="C28" s="15" t="str">
        <x:v>New</x:v>
      </x:c>
      <x:c r="D28" s="15" t="str">
        <x:v>EW</x:v>
      </x:c>
      <x:c r="E28" s="15" t="n">
        <x:v>26</x:v>
      </x:c>
      <x:c r="F28" s="15" t="str">
        <x:v>EW Led</x:v>
      </x:c>
      <x:c r="G28" s="15" t="str">
        <x:v>Greater China</x:v>
      </x:c>
      <x:c r="H28" s="15" t="str">
        <x:v>Channel365 2027 Change&amp;Sustain</x:v>
      </x:c>
      <x:c r="I28" s="15" t="str">
        <x:v>Carry Over</x:v>
      </x:c>
      <x:c r="J28" s="15" t="str">
        <x:v>Continuous Improvement</x:v>
      </x:c>
      <x:c r="K28" s="15" t="str">
        <x:v>Greater China IT</x:v>
      </x:c>
      <x:c r="L28" s="19" t="n">
        <x:v>0.4</x:v>
      </x:c>
      <x:c r="M28" s="19"/>
      <x:c r="N28" s="15" t="str">
        <x:v>Must Do</x:v>
      </x:c>
      <x:c r="O28" s="15" t="str">
        <x:v>no business continuity for China Mainland funnel &amp; OIT (Continue what has started to maintain business, this is the Conga + ICON for China)</x:v>
      </x:c>
      <x:c r="P28" s="15" t="str"/>
      <x:c r="Q28" s="15" t="str"/>
      <x:c r="R28" s="15" t="str"/>
      <x:c r="S28" s="15" t="str">
        <x:v>HEALTHY</x:v>
      </x:c>
      <x:c r="T28" s="15" t="str">
        <x:v>HEALTHY / MUST-DO — P1 — Immediate</x:v>
      </x:c>
    </x:row>
    <x:row r="29">
      <x:c r="A29" s="15" t="str">
        <x:v>EW-24</x:v>
      </x:c>
      <x:c r="B29" s="15" t="str">
        <x:v>EW-24</x:v>
      </x:c>
      <x:c r="C29" s="15" t="str">
        <x:v>New</x:v>
      </x:c>
      <x:c r="D29" s="15" t="str">
        <x:v>EW</x:v>
      </x:c>
      <x:c r="E29" s="15" t="n">
        <x:v>27</x:v>
      </x:c>
      <x:c r="F29" s="15" t="str">
        <x:v>EW Led</x:v>
      </x:c>
      <x:c r="G29" s="15" t="str">
        <x:v>Greater China</x:v>
      </x:c>
      <x:c r="H29" s="15" t="str">
        <x:v>China Data Lake 2027 Change&amp;Sustain</x:v>
      </x:c>
      <x:c r="I29" s="15" t="str">
        <x:v>Carry Over</x:v>
      </x:c>
      <x:c r="J29" s="15" t="str">
        <x:v>Continuous Improvement</x:v>
      </x:c>
      <x:c r="K29" s="15" t="str">
        <x:v>Greater China IT</x:v>
      </x:c>
      <x:c r="L29" s="19" t="n">
        <x:v>0.4</x:v>
      </x:c>
      <x:c r="M29" s="19"/>
      <x:c r="N29" s="15" t="str">
        <x:v>Must Do</x:v>
      </x:c>
      <x:c r="O29" s="15" t="str">
        <x:v>no business continuity for GCR Data to support any business</x:v>
      </x:c>
      <x:c r="P29" s="15" t="str"/>
      <x:c r="Q29" s="15" t="str"/>
      <x:c r="R29" s="15" t="str"/>
      <x:c r="S29" s="15" t="str">
        <x:v>HEALTHY</x:v>
      </x:c>
      <x:c r="T29" s="15" t="str">
        <x:v>HEALTHY / MUST-DO — P1 — Immediate</x:v>
      </x:c>
    </x:row>
    <x:row r="30">
      <x:c r="A30" s="15" t="str">
        <x:v>EW-25</x:v>
      </x:c>
      <x:c r="B30" s="15" t="str">
        <x:v>EW-25</x:v>
      </x:c>
      <x:c r="C30" s="15" t="str">
        <x:v>New</x:v>
      </x:c>
      <x:c r="D30" s="15" t="str">
        <x:v>EW</x:v>
      </x:c>
      <x:c r="E30" s="15" t="n">
        <x:v>28</x:v>
      </x:c>
      <x:c r="F30" s="15" t="str">
        <x:v>EW Led</x:v>
      </x:c>
      <x:c r="G30" s="15" t="str">
        <x:v>Greater China</x:v>
      </x:c>
      <x:c r="H30" s="15" t="str">
        <x:v>Service365 HK &amp; TW</x:v>
      </x:c>
      <x:c r="I30" s="15" t="str">
        <x:v>Carry Over</x:v>
      </x:c>
      <x:c r="J30" s="15" t="str">
        <x:v>Continuous Improvement</x:v>
      </x:c>
      <x:c r="K30" s="15" t="str">
        <x:v>Greater China IT</x:v>
      </x:c>
      <x:c r="L30" s="19" t="n">
        <x:v>0.48</x:v>
      </x:c>
      <x:c r="M30" s="19" t="n">
        <x:v>0.9</x:v>
      </x:c>
      <x:c r="N30" s="15" t="str">
        <x:v>Must Do</x:v>
      </x:c>
      <x:c r="O30" s="15" t="str">
        <x:v>no business continuity for HK &amp; TW Service Delivery (cost avoidance, continue what has started half way)</x:v>
      </x:c>
      <x:c r="P30" s="15" t="str"/>
      <x:c r="Q30" s="15" t="str"/>
      <x:c r="R30" s="15" t="str"/>
      <x:c r="S30" s="15" t="str">
        <x:v>HEALTHY</x:v>
      </x:c>
      <x:c r="T30" s="15" t="str">
        <x:v>HEALTHY / MUST-DO — P1 — Immediate</x:v>
      </x:c>
    </x:row>
    <x:row r="31">
      <x:c r="A31" s="15" t="str">
        <x:v>EW-26</x:v>
      </x:c>
      <x:c r="B31" s="15" t="str">
        <x:v>EW-26</x:v>
      </x:c>
      <x:c r="C31" s="15" t="str"/>
      <x:c r="D31" s="15" t="str">
        <x:v>EW</x:v>
      </x:c>
      <x:c r="E31" s="15" t="n">
        <x:v>29</x:v>
      </x:c>
      <x:c r="F31" s="15" t="str">
        <x:v>EW Led</x:v>
      </x:c>
      <x:c r="G31" s="15" t="str"/>
      <x:c r="H31" s="15" t="str">
        <x:v>Claims Management</x:v>
      </x:c>
      <x:c r="I31" s="15" t="str"/>
      <x:c r="J31" s="15" t="str"/>
      <x:c r="K31" s="15" t="str"/>
      <x:c r="L31" s="19" t="n">
        <x:v>0</x:v>
      </x:c>
      <x:c r="M31" s="19"/>
      <x:c r="N31" s="15" t="str"/>
      <x:c r="O31" s="15" t="str"/>
      <x:c r="P31" s="15" t="str">
        <x:v>CT</x:v>
      </x:c>
      <x:c r="Q31" s="15" t="str"/>
      <x:c r="R31" s="15" t="str"/>
      <x:c r="S31" s="15" t="str"/>
      <x:c r="T31" s="15" t="str"/>
    </x:row>
    <x:row r="32">
      <x:c r="A32" s="15" t="str">
        <x:v>EW-27</x:v>
      </x:c>
      <x:c r="B32" s="15" t="str">
        <x:v>EW-27</x:v>
      </x:c>
      <x:c r="C32" s="15" t="str">
        <x:v>New</x:v>
      </x:c>
      <x:c r="D32" s="15" t="str">
        <x:v>EW</x:v>
      </x:c>
      <x:c r="E32" s="15" t="n">
        <x:v>30</x:v>
      </x:c>
      <x:c r="F32" s="15" t="str">
        <x:v>EW Led</x:v>
      </x:c>
      <x:c r="G32" s="15" t="str">
        <x:v>Information Technology</x:v>
      </x:c>
      <x:c r="H32" s="15" t="str">
        <x:v>CCB Services IT</x:v>
      </x:c>
      <x:c r="I32" s="15" t="str">
        <x:v>Change &amp; Sustain</x:v>
      </x:c>
      <x:c r="J32" s="15" t="str">
        <x:v>Continuous Improvement</x:v>
      </x:c>
      <x:c r="K32" s="15" t="str">
        <x:v>Services &amp; Solutions IT</x:v>
      </x:c>
      <x:c r="L32" s="19" t="n">
        <x:v>1.6</x:v>
      </x:c>
      <x:c r="M32" s="19"/>
      <x:c r="N32" s="15" t="str"/>
      <x:c r="O32" s="15" t="str"/>
      <x:c r="P32" s="15" t="str"/>
      <x:c r="Q32" s="15" t="str"/>
      <x:c r="R32" s="15" t="str"/>
      <x:c r="S32" s="15" t="str"/>
      <x:c r="T32" s="15" t="str"/>
    </x:row>
    <x:row r="33">
      <x:c r="A33" s="15" t="str">
        <x:v>EW-28</x:v>
      </x:c>
      <x:c r="B33" s="15" t="str">
        <x:v>EW-28</x:v>
      </x:c>
      <x:c r="C33" s="15" t="str">
        <x:v>1006214</x:v>
      </x:c>
      <x:c r="D33" s="15" t="str">
        <x:v>EW</x:v>
      </x:c>
      <x:c r="E33" s="15" t="n">
        <x:v>31</x:v>
      </x:c>
      <x:c r="F33" s="15" t="str">
        <x:v>EW Led</x:v>
      </x:c>
      <x:c r="G33" s="15" t="str">
        <x:v>North America</x:v>
      </x:c>
      <x:c r="H33" s="15" t="str">
        <x:v>NAR Government IT System &amp; Security</x:v>
      </x:c>
      <x:c r="I33" s="15" t="str">
        <x:v>Carry Over</x:v>
      </x:c>
      <x:c r="J33" s="15" t="str">
        <x:v>Legal Fiscal, Regulatory &amp; Compliancy</x:v>
      </x:c>
      <x:c r="K33" s="15" t="str">
        <x:v>Enterprise Architecture, Data &amp; Integration</x:v>
      </x:c>
      <x:c r="L33" s="19" t="n">
        <x:v>0.777</x:v>
      </x:c>
      <x:c r="M33" s="19"/>
      <x:c r="N33" s="15" t="str">
        <x:v>Must Do</x:v>
      </x:c>
      <x:c r="O33" s="15" t="str">
        <x:v>Loss of license to sell . Unable to sell to the North American Government Department of War (DoW)</x:v>
      </x:c>
      <x:c r="P33" s="15" t="str">
        <x:v>Comply wiht CMMC reglations for NA Gov DoW</x:v>
      </x:c>
      <x:c r="Q33" s="15" t="str">
        <x:v>All systems used for US Gov DOW that need to store CUI</x:v>
      </x:c>
      <x:c r="R33" s="15" t="str"/>
      <x:c r="S33" s="15" t="str">
        <x:v>HEALTHY</x:v>
      </x:c>
      <x:c r="T33" s="15" t="str">
        <x:v>HEALTHY / MUST-DO — P1 — Immediate</x:v>
      </x:c>
    </x:row>
    <x:row r="34">
      <x:c r="A34" s="15" t="str">
        <x:v>EW-29</x:v>
      </x:c>
      <x:c r="B34" s="15" t="str">
        <x:v>EW-29</x:v>
      </x:c>
      <x:c r="C34" s="15" t="str">
        <x:v>1004341</x:v>
      </x:c>
      <x:c r="D34" s="15" t="str">
        <x:v>EW</x:v>
      </x:c>
      <x:c r="E34" s="15" t="n">
        <x:v>32</x:v>
      </x:c>
      <x:c r="F34" s="15" t="str">
        <x:v>EW Led</x:v>
      </x:c>
      <x:c r="G34" s="15" t="str">
        <x:v>Information Technology</x:v>
      </x:c>
      <x:c r="H34" s="15" t="str">
        <x:v>Technology Business Management and FinOps program</x:v>
      </x:c>
      <x:c r="I34" s="15" t="str">
        <x:v>Carry Over</x:v>
      </x:c>
      <x:c r="J34" s="15" t="str">
        <x:v>New Features</x:v>
      </x:c>
      <x:c r="K34" s="15" t="str">
        <x:v>Portfolio IT</x:v>
      </x:c>
      <x:c r="L34" s="19" t="n">
        <x:v>0.45</x:v>
      </x:c>
      <x:c r="M34" s="19"/>
      <x:c r="N34" s="15" t="str"/>
      <x:c r="O34" s="15" t="str"/>
      <x:c r="P34" s="15" t="str"/>
      <x:c r="Q34" s="15" t="str"/>
      <x:c r="R34" s="15" t="str"/>
      <x:c r="S34" s="15" t="str">
        <x:v>HEALTHY</x:v>
      </x:c>
      <x:c r="T34" s="15" t="str">
        <x:v>HEALTHY — Rank in priority matrix</x:v>
      </x:c>
    </x:row>
    <x:row r="35">
      <x:c r="A35" s="15" t="str">
        <x:v>EW-32</x:v>
      </x:c>
      <x:c r="B35" s="15" t="str">
        <x:v>EW-32</x:v>
      </x:c>
      <x:c r="C35" s="15" t="str">
        <x:v>1005533</x:v>
      </x:c>
      <x:c r="D35" s="15" t="str">
        <x:v>EW</x:v>
      </x:c>
      <x:c r="E35" s="15" t="n">
        <x:v>33</x:v>
      </x:c>
      <x:c r="F35" s="15" t="str">
        <x:v>EW Led</x:v>
      </x:c>
      <x:c r="G35" s="15" t="str">
        <x:v>Information Technology</x:v>
      </x:c>
      <x:c r="H35" s="15" t="str">
        <x:v>EADI - AI</x:v>
      </x:c>
      <x:c r="I35" s="15" t="str">
        <x:v>Carry Over</x:v>
      </x:c>
      <x:c r="J35" s="15" t="str">
        <x:v>AI Enablement</x:v>
      </x:c>
      <x:c r="K35" s="15" t="str">
        <x:v>Enterprise Architecture, Data &amp; Integration</x:v>
      </x:c>
      <x:c r="L35" s="19" t="n">
        <x:v>0.2</x:v>
      </x:c>
      <x:c r="M35" s="19" t="n">
        <x:v>1</x:v>
      </x:c>
      <x:c r="N35" s="15" t="str">
        <x:v>Must Do</x:v>
      </x:c>
      <x:c r="O35" s="15" t="str">
        <x:v>uncerternaity of adhereance to AI Governance and gaurdrails. Impact on spending due to probable inefficient used of models</x:v>
      </x:c>
      <x:c r="P35" s="15" t="str">
        <x:v>Extension of AI Foundation capabilities for mdel serving and Oberserbility</x:v>
      </x:c>
      <x:c r="Q35" s="15" t="str">
        <x:v>AI Foundation service and AI landing zone</x:v>
      </x:c>
      <x:c r="R35" s="15" t="str"/>
      <x:c r="S35" s="15" t="str">
        <x:v>HEALTHY</x:v>
      </x:c>
      <x:c r="T35" s="15" t="str">
        <x:v>HEALTHY — Rank in priority matrix</x:v>
      </x:c>
    </x:row>
    <x:row r="36">
      <x:c r="A36" s="15" t="str">
        <x:v>EW-33</x:v>
      </x:c>
      <x:c r="B36" s="15" t="str">
        <x:v>EW-33</x:v>
      </x:c>
      <x:c r="C36" s="15" t="str">
        <x:v>1005534</x:v>
      </x:c>
      <x:c r="D36" s="15" t="str">
        <x:v>EW</x:v>
      </x:c>
      <x:c r="E36" s="15" t="n">
        <x:v>34</x:v>
      </x:c>
      <x:c r="F36" s="15" t="str">
        <x:v>EW Led</x:v>
      </x:c>
      <x:c r="G36" s="15" t="str">
        <x:v>Information Technology</x:v>
      </x:c>
      <x:c r="H36" s="15" t="str">
        <x:v>EADI - Modeling</x:v>
      </x:c>
      <x:c r="I36" s="15" t="str">
        <x:v>Carry Over</x:v>
      </x:c>
      <x:c r="J36" s="15" t="str">
        <x:v>Upgrades &amp; Enhancements</x:v>
      </x:c>
      <x:c r="K36" s="15" t="str">
        <x:v>Enterprise Architecture, Data &amp; Integration</x:v>
      </x:c>
      <x:c r="L36" s="19" t="n">
        <x:v>0.12</x:v>
      </x:c>
      <x:c r="M36" s="19" t="n">
        <x:v>0.19</x:v>
      </x:c>
      <x:c r="N36" s="15" t="str">
        <x:v>Must Do</x:v>
      </x:c>
      <x:c r="O36" s="15" t="str">
        <x:v>Continue to incur the SAP PD cost and productivity savings are lost</x:v>
      </x:c>
      <x:c r="P36" s="15" t="str">
        <x:v>Data modeling is highly manual for both design and implementation to make data accessible via common data models for I&amp;A</x:v>
      </x:c>
      <x:c r="Q36" s="15" t="str">
        <x:v>E2E agentic capability for full enterprise IT data asset availability</x:v>
      </x:c>
      <x:c r="R36" s="15" t="str"/>
      <x:c r="S36" s="15" t="str">
        <x:v>HEALTHY</x:v>
      </x:c>
      <x:c r="T36" s="15" t="str">
        <x:v>HEALTHY — Rank in priority matrix</x:v>
      </x:c>
    </x:row>
    <x:row r="37">
      <x:c r="A37" s="15" t="str">
        <x:v>EW-34</x:v>
      </x:c>
      <x:c r="B37" s="15" t="str">
        <x:v>EW-34</x:v>
      </x:c>
      <x:c r="C37" s="15" t="str">
        <x:v>1006869</x:v>
      </x:c>
      <x:c r="D37" s="15" t="str">
        <x:v>EW</x:v>
      </x:c>
      <x:c r="E37" s="15" t="n">
        <x:v>35</x:v>
      </x:c>
      <x:c r="F37" s="15" t="str">
        <x:v>EW Led</x:v>
      </x:c>
      <x:c r="G37" s="15" t="str">
        <x:v>Information Technology</x:v>
      </x:c>
      <x:c r="H37" s="15" t="str">
        <x:v>EADI - DataPlatform 2026</x:v>
      </x:c>
      <x:c r="I37" s="15" t="str">
        <x:v>Carry Over</x:v>
      </x:c>
      <x:c r="J37" s="15" t="str">
        <x:v>Upgrades &amp; Enhancements</x:v>
      </x:c>
      <x:c r="K37" s="15" t="str">
        <x:v>Enterprise Architecture, Data &amp; Integration</x:v>
      </x:c>
      <x:c r="L37" s="19" t="n">
        <x:v>0.3</x:v>
      </x:c>
      <x:c r="M37" s="19" t="n">
        <x:v>0.6</x:v>
      </x:c>
      <x:c r="N37" s="15" t="str">
        <x:v>Must Have</x:v>
      </x:c>
      <x:c r="O37" s="15" t="str">
        <x:v>1. Missed Retirement PIL informatica</x:v>
      </x:c>
      <x:c r="P37" s="15" t="str">
        <x:v>migrate out of informatica and save license &amp; ops cost</x:v>
      </x:c>
      <x:c r="Q37" s="15" t="str">
        <x:v>Migrate Informatica integrations to Azure Databricks stack</x:v>
      </x:c>
      <x:c r="R37" s="15" t="str">
        <x:v>EW-39, EW-120 MDM migration has to complete as well to realise the savings</x:v>
      </x:c>
      <x:c r="S37" s="15" t="str">
        <x:v>HEALTHY</x:v>
      </x:c>
      <x:c r="T37" s="15" t="str">
        <x:v>HEALTHY — Rank in priority matrix</x:v>
      </x:c>
    </x:row>
    <x:row r="38">
      <x:c r="A38" s="15" t="str">
        <x:v>EW-35</x:v>
      </x:c>
      <x:c r="B38" s="15" t="str">
        <x:v>EW-35</x:v>
      </x:c>
      <x:c r="C38" s="15" t="str">
        <x:v>1006871</x:v>
      </x:c>
      <x:c r="D38" s="15" t="str">
        <x:v>EW</x:v>
      </x:c>
      <x:c r="E38" s="15" t="n">
        <x:v>36</x:v>
      </x:c>
      <x:c r="F38" s="15" t="str">
        <x:v>EW Led</x:v>
      </x:c>
      <x:c r="G38" s="15" t="str">
        <x:v>Information Technology</x:v>
      </x:c>
      <x:c r="H38" s="15" t="str">
        <x:v>EDI - AI Innovation - MCP, Voice, Automation, Business Inisights App</x:v>
      </x:c>
      <x:c r="I38" s="15" t="str">
        <x:v>Carry Over</x:v>
      </x:c>
      <x:c r="J38" s="15" t="str">
        <x:v>AI Enablement</x:v>
      </x:c>
      <x:c r="K38" s="15" t="str">
        <x:v>Enterprise Architecture, Data &amp; Integration</x:v>
      </x:c>
      <x:c r="L38" s="19" t="n">
        <x:v>0.6</x:v>
      </x:c>
      <x:c r="M38" s="19"/>
      <x:c r="N38" s="15" t="str">
        <x:v>Must Do</x:v>
      </x:c>
      <x:c r="O38" s="15" t="str">
        <x:v>Business will fall back alternate solution in proliferation of AI Tools</x:v>
      </x:c>
      <x:c r="P38" s="15" t="str">
        <x:v>Enabling Voice in AI use cases, Enabling MCP for exisitng IT capapbilites</x:v>
      </x:c>
      <x:c r="Q38" s="15" t="str">
        <x:v>ITaaP, AI Foundation, PH use cases, Services IT, Innovation IT and Group Function IT use cases</x:v>
      </x:c>
      <x:c r="R38" s="15" t="str"/>
      <x:c r="S38" s="15" t="str">
        <x:v>HEALTHY</x:v>
      </x:c>
      <x:c r="T38" s="15" t="str">
        <x:v>HEALTHY — Rank in priority matrix</x:v>
      </x:c>
    </x:row>
    <x:row r="39">
      <x:c r="A39" s="15" t="str">
        <x:v>EW-36</x:v>
      </x:c>
      <x:c r="B39" s="15" t="str">
        <x:v>EW-36</x:v>
      </x:c>
      <x:c r="C39" s="15" t="str">
        <x:v>1006873</x:v>
      </x:c>
      <x:c r="D39" s="15" t="str">
        <x:v>EW</x:v>
      </x:c>
      <x:c r="E39" s="15" t="n">
        <x:v>37</x:v>
      </x:c>
      <x:c r="F39" s="15" t="str">
        <x:v>EW Led</x:v>
      </x:c>
      <x:c r="G39" s="15" t="str">
        <x:v>Information Technology</x:v>
      </x:c>
      <x:c r="H39" s="15" t="str">
        <x:v>EADI - Exploration AI capabilities for Supply Chain</x:v>
      </x:c>
      <x:c r="I39" s="15" t="str">
        <x:v>Carry Over</x:v>
      </x:c>
      <x:c r="J39" s="15" t="str">
        <x:v>AI Enablement</x:v>
      </x:c>
      <x:c r="K39" s="15" t="str">
        <x:v>Enterprise Architecture, Data &amp; Integration</x:v>
      </x:c>
      <x:c r="L39" s="19" t="n">
        <x:v>0.1</x:v>
      </x:c>
      <x:c r="M39" s="19" t="n">
        <x:v>2</x:v>
      </x:c>
      <x:c r="N39" s="15" t="str">
        <x:v>Must Do</x:v>
      </x:c>
      <x:c r="O39" s="15" t="str">
        <x:v>Slowl Supply chain teansformation for using agentic AI and delayed outcomes</x:v>
      </x:c>
      <x:c r="P39" s="15" t="str">
        <x:v>Enable AI for Supply chain in Key processes for Supply Chain</x:v>
      </x:c>
      <x:c r="Q39" s="15" t="str">
        <x:v>Order Intake,GTC, SAL, MAKE, Inventory Domains</x:v>
      </x:c>
      <x:c r="R39" s="15" t="str"/>
      <x:c r="S39" s="15" t="str">
        <x:v>HEALTHY</x:v>
      </x:c>
      <x:c r="T39" s="15" t="str">
        <x:v>HEALTHY — Rank in priority matrix</x:v>
      </x:c>
    </x:row>
    <x:row r="40">
      <x:c r="A40" s="15" t="str">
        <x:v>EW-37</x:v>
      </x:c>
      <x:c r="B40" s="15" t="str">
        <x:v>EW-37</x:v>
      </x:c>
      <x:c r="C40" s="15" t="str">
        <x:v>1006880</x:v>
      </x:c>
      <x:c r="D40" s="15" t="str">
        <x:v>EW</x:v>
      </x:c>
      <x:c r="E40" s="15" t="n">
        <x:v>38</x:v>
      </x:c>
      <x:c r="F40" s="15" t="str">
        <x:v>EW Led</x:v>
      </x:c>
      <x:c r="G40" s="15" t="str">
        <x:v>Information Technology</x:v>
      </x:c>
      <x:c r="H40" s="15" t="str">
        <x:v>EADI - I&amp;A Business Intelligence Rationalisation ( New name : EADI -I&amp;A CDM and AI asset engineering )</x:v>
      </x:c>
      <x:c r="I40" s="15" t="str">
        <x:v>Carry Over</x:v>
      </x:c>
      <x:c r="J40" s="15" t="str">
        <x:v>AI Enablement</x:v>
      </x:c>
      <x:c r="K40" s="15" t="str">
        <x:v>Enterprise Architecture, Data &amp; Integration</x:v>
      </x:c>
      <x:c r="L40" s="19" t="n">
        <x:v>0.493</x:v>
      </x:c>
      <x:c r="M40" s="19" t="n">
        <x:v>2</x:v>
      </x:c>
      <x:c r="N40" s="15" t="str">
        <x:v>Must Do</x:v>
      </x:c>
      <x:c r="O40" s="15" t="str">
        <x:v>i. Speed to insight — Analysts spend 60–80% of their time wrangling data without a CDM; a CDM replaces that time for actual ii .Better decisions — Clean, consistent data can improve decision accuracy by 20–30%, directly impacting supply chain outcomes.</x:v>
      </x:c>
      <x:c r="P40" s="15" t="str">
        <x:v>The investment here is needed so that the physical common data models can be engineered and built in the respective workbenches basis new feature requriements andexsiting feature improvements requested by respective markets/businesses / functions to build their AI solutions &amp; insights / release new features needed to improve their top line.</x:v>
      </x:c>
      <x:c r="Q40" s="15" t="str">
        <x:v>CDM Builds+Deployment , Release and Compliance for all the existing and new prodcuction releases across the 3 services Comm I&amp;A(225KE, 3 workbenches), SCM I&amp;A (250KE), Central I&amp;A (8 workbenches - 110KE) +MCP server +skills+Genies</x:v>
      </x:c>
      <x:c r="R40" s="15" t="str"/>
      <x:c r="S40" s="15" t="str">
        <x:v>HEALTHY</x:v>
      </x:c>
      <x:c r="T40" s="15" t="str">
        <x:v>HEALTHY — Rank in priority matrix</x:v>
      </x:c>
    </x:row>
    <x:row r="41">
      <x:c r="A41" s="15" t="str">
        <x:v>EW-38</x:v>
      </x:c>
      <x:c r="B41" s="15" t="str">
        <x:v>EW-38</x:v>
      </x:c>
      <x:c r="C41" s="15" t="str">
        <x:v>1006884</x:v>
      </x:c>
      <x:c r="D41" s="15" t="str">
        <x:v>EW</x:v>
      </x:c>
      <x:c r="E41" s="15" t="n">
        <x:v>39</x:v>
      </x:c>
      <x:c r="F41" s="15" t="str">
        <x:v>EW Led</x:v>
      </x:c>
      <x:c r="G41" s="15" t="str">
        <x:v>Information Technology</x:v>
      </x:c>
      <x:c r="H41" s="15" t="str">
        <x:v>EADI - DQ modernization</x:v>
      </x:c>
      <x:c r="I41" s="15" t="str">
        <x:v>Carry Over</x:v>
      </x:c>
      <x:c r="J41" s="15" t="str">
        <x:v>Continuous Improvement</x:v>
      </x:c>
      <x:c r="K41" s="15" t="str">
        <x:v>Enterprise Architecture, Data &amp; Integration</x:v>
      </x:c>
      <x:c r="L41" s="19" t="n">
        <x:v>0.13</x:v>
      </x:c>
      <x:c r="M41" s="19" t="n">
        <x:v>1</x:v>
      </x:c>
      <x:c r="N41" s="15" t="str">
        <x:v>Must Do</x:v>
      </x:c>
      <x:c r="O41" s="15" t="str">
        <x:v>Loss in productivity &amp; defect resolution cost of 1M incurred.</x:v>
      </x:c>
      <x:c r="P41" s="15" t="str">
        <x:v>Reduce the analysis time in finding the root cause of data Quality defects</x:v>
      </x:c>
      <x:c r="Q41" s="15" t="str">
        <x:v>Providing upfront Data Quality Inputs to correct Or Prevent DQ defects in Master Data.</x:v>
      </x:c>
      <x:c r="R41" s="15" t="str"/>
      <x:c r="S41" s="15" t="str">
        <x:v>HEALTHY</x:v>
      </x:c>
      <x:c r="T41" s="15" t="str">
        <x:v>HEALTHY — Rank in priority matrix</x:v>
      </x:c>
    </x:row>
    <x:row r="42">
      <x:c r="A42" s="15" t="str">
        <x:v>EW-39</x:v>
      </x:c>
      <x:c r="B42" s="15" t="str">
        <x:v>EW-39</x:v>
      </x:c>
      <x:c r="C42" s="15" t="str">
        <x:v>1006886</x:v>
      </x:c>
      <x:c r="D42" s="15" t="str">
        <x:v>EW</x:v>
      </x:c>
      <x:c r="E42" s="15" t="n">
        <x:v>40</x:v>
      </x:c>
      <x:c r="F42" s="15" t="str">
        <x:v>EW Led</x:v>
      </x:c>
      <x:c r="G42" s="15" t="str">
        <x:v>Information Technology</x:v>
      </x:c>
      <x:c r="H42" s="15" t="str">
        <x:v>EADI - MDM Strategic Positioning</x:v>
      </x:c>
      <x:c r="I42" s="15" t="str">
        <x:v>Carry Over</x:v>
      </x:c>
      <x:c r="J42" s="15" t="str">
        <x:v>New Features</x:v>
      </x:c>
      <x:c r="K42" s="15" t="str">
        <x:v>Enterprise Architecture, Data &amp; Integration</x:v>
      </x:c>
      <x:c r="L42" s="19" t="n">
        <x:v>0.1</x:v>
      </x:c>
      <x:c r="M42" s="19" t="n">
        <x:v>0.625</x:v>
      </x:c>
      <x:c r="N42" s="15" t="str">
        <x:v>Must Do</x:v>
      </x:c>
      <x:c r="O42" s="15" t="str">
        <x:v>Loss in Productivity &amp; Savings will not be realized</x:v>
      </x:c>
      <x:c r="P42" s="15" t="str">
        <x:v>Reduce dependency on Informatica and High license costs</x:v>
      </x:c>
      <x:c r="Q42" s="15" t="str">
        <x:v>Moving PDH and FORDH out of Informatica and building it on Itaap Platform.</x:v>
      </x:c>
      <x:c r="R42" s="15" t="str"/>
      <x:c r="S42" s="15" t="str">
        <x:v>HEALTHY</x:v>
      </x:c>
      <x:c r="T42" s="15" t="str">
        <x:v>HEALTHY — Rank in priority matrix</x:v>
      </x:c>
    </x:row>
    <x:row r="43">
      <x:c r="A43" s="15" t="str">
        <x:v>EW-40</x:v>
      </x:c>
      <x:c r="B43" s="15" t="str">
        <x:v>EW-40</x:v>
      </x:c>
      <x:c r="C43" s="15" t="str">
        <x:v>1006888</x:v>
      </x:c>
      <x:c r="D43" s="15" t="str">
        <x:v>EW</x:v>
      </x:c>
      <x:c r="E43" s="15" t="n">
        <x:v>41</x:v>
      </x:c>
      <x:c r="F43" s="15" t="str">
        <x:v>EW Led</x:v>
      </x:c>
      <x:c r="G43" s="15" t="str">
        <x:v>Information Technology</x:v>
      </x:c>
      <x:c r="H43" s="15" t="str">
        <x:v>EADI - Data Design &amp; Lineage</x:v>
      </x:c>
      <x:c r="I43" s="15" t="str">
        <x:v>Carry Over</x:v>
      </x:c>
      <x:c r="J43" s="15" t="str">
        <x:v>Upgrades &amp; Enhancements</x:v>
      </x:c>
      <x:c r="K43" s="15" t="str">
        <x:v>Enterprise Architecture, Data &amp; Integration</x:v>
      </x:c>
      <x:c r="L43" s="19" t="n">
        <x:v>0.15</x:v>
      </x:c>
      <x:c r="M43" s="19" t="n">
        <x:v>0.5</x:v>
      </x:c>
      <x:c r="N43" s="15" t="str">
        <x:v>Must Do</x:v>
      </x:c>
      <x:c r="O43" s="15" t="str">
        <x:v>Loss in Productivity and Savings will not be realized.</x:v>
      </x:c>
      <x:c r="P43" s="15" t="str">
        <x:v>One Stop Analytics Shop legacy application is highly manual, data quality is poor and there is lack of data ownership. No visibility to lineage across data models, assets, reports</x:v>
      </x:c>
      <x:c r="Q43" s="15" t="str">
        <x:v>Enterprise IT and Clinical Data E2E lineage and visibility; integration with enterprise Knowledge Graph</x:v>
      </x:c>
      <x:c r="R43" s="15" t="str"/>
      <x:c r="S43" s="15" t="str">
        <x:v>HEALTHY</x:v>
      </x:c>
      <x:c r="T43" s="15" t="str">
        <x:v>HEALTHY — Rank in priority matrix</x:v>
      </x:c>
    </x:row>
    <x:row r="44">
      <x:c r="A44" s="15" t="str">
        <x:v>EW-42</x:v>
      </x:c>
      <x:c r="B44" s="15" t="str">
        <x:v>EW-42</x:v>
      </x:c>
      <x:c r="C44" s="15" t="str">
        <x:v>1006494</x:v>
      </x:c>
      <x:c r="D44" s="15" t="str">
        <x:v>EW</x:v>
      </x:c>
      <x:c r="E44" s="15" t="n">
        <x:v>42</x:v>
      </x:c>
      <x:c r="F44" s="15" t="str">
        <x:v>EW Led</x:v>
      </x:c>
      <x:c r="G44" s="15" t="str">
        <x:v>Information Technology</x:v>
      </x:c>
      <x:c r="H44" s="15" t="str">
        <x:v>CCB - I&amp;D - Innovation &amp; Digital</x:v>
      </x:c>
      <x:c r="I44" s="15" t="str">
        <x:v>Change &amp; Sustain</x:v>
      </x:c>
      <x:c r="J44" s="15" t="str">
        <x:v>Continuous Improvement</x:v>
      </x:c>
      <x:c r="K44" s="15" t="str">
        <x:v>Innovation and Digital IT</x:v>
      </x:c>
      <x:c r="L44" s="19" t="n">
        <x:v>2</x:v>
      </x:c>
      <x:c r="M44" s="19"/>
      <x:c r="N44" s="15" t="str">
        <x:v>Must Have</x:v>
      </x:c>
      <x:c r="O44" s="15" t="str"/>
      <x:c r="P44" s="15" t="str">
        <x:v>Add hoc change request and must do's</x:v>
      </x:c>
      <x:c r="Q44" s="15" t="str">
        <x:v>All I&amp;D domains</x:v>
      </x:c>
      <x:c r="R44" s="15" t="str"/>
      <x:c r="S44" s="15" t="str"/>
      <x:c r="T44" s="15" t="str"/>
    </x:row>
    <x:row r="45">
      <x:c r="A45" s="15" t="str">
        <x:v>EW-43</x:v>
      </x:c>
      <x:c r="B45" s="15" t="str">
        <x:v>EW-43</x:v>
      </x:c>
      <x:c r="C45" s="15" t="str">
        <x:v>T.b.d</x:v>
      </x:c>
      <x:c r="D45" s="15" t="str">
        <x:v>EW</x:v>
      </x:c>
      <x:c r="E45" s="15" t="n">
        <x:v>43</x:v>
      </x:c>
      <x:c r="F45" s="15" t="str">
        <x:v>EW Led</x:v>
      </x:c>
      <x:c r="G45" s="15" t="str">
        <x:v>Information Technology</x:v>
      </x:c>
      <x:c r="H45" s="15" t="str">
        <x:v>EADI- Enabling GAIT</x:v>
      </x:c>
      <x:c r="I45" s="15" t="str">
        <x:v>New Initiative</x:v>
      </x:c>
      <x:c r="J45" s="15" t="str">
        <x:v>AI Enablement</x:v>
      </x:c>
      <x:c r="K45" s="15" t="str">
        <x:v>Enterprise Architecture, Data &amp; Integration</x:v>
      </x:c>
      <x:c r="L45" s="19" t="n">
        <x:v>2</x:v>
      </x:c>
      <x:c r="M45" s="19" t="n">
        <x:v>10</x:v>
      </x:c>
      <x:c r="N45" s="15" t="str">
        <x:v>Must Do</x:v>
      </x:c>
      <x:c r="O45" s="15" t="str">
        <x:v>Savings Expected from AI for 2027-2028 will be impacted</x:v>
      </x:c>
      <x:c r="P45" s="15" t="str">
        <x:v>As IT we need to enable the adding of intelligence to our existing systems and the use of AI from the start</x:v>
      </x:c>
      <x:c r="Q45" s="15" t="str">
        <x:v>Enabling the establishment of AI tools, working of AI agents across the Org with reference Archtitecture/ designs/guardrails</x:v>
      </x:c>
      <x:c r="R45" s="15" t="str"/>
      <x:c r="S45" s="15" t="str">
        <x:v>HEALTHY</x:v>
      </x:c>
      <x:c r="T45" s="15" t="str">
        <x:v>HEALTHY — Rank in priority matrix</x:v>
      </x:c>
    </x:row>
    <x:row r="46">
      <x:c r="A46" s="15" t="str">
        <x:v>EW-44</x:v>
      </x:c>
      <x:c r="B46" s="15" t="str">
        <x:v>EW-44</x:v>
      </x:c>
      <x:c r="C46" s="15" t="str">
        <x:v>t.b.d</x:v>
      </x:c>
      <x:c r="D46" s="15" t="str">
        <x:v>EW</x:v>
      </x:c>
      <x:c r="E46" s="15" t="n">
        <x:v>44</x:v>
      </x:c>
      <x:c r="F46" s="15" t="str">
        <x:v>EW Led</x:v>
      </x:c>
      <x:c r="G46" s="15" t="str">
        <x:v>Information Technology</x:v>
      </x:c>
      <x:c r="H46" s="15" t="str">
        <x:v>EADI - CCB Initiative</x:v>
      </x:c>
      <x:c r="I46" s="15" t="str">
        <x:v>Change &amp; Sustain</x:v>
      </x:c>
      <x:c r="J46" s="15" t="str">
        <x:v>Continuous Improvement</x:v>
      </x:c>
      <x:c r="K46" s="15" t="str">
        <x:v>Enterprise Architecture, Data &amp; Integration</x:v>
      </x:c>
      <x:c r="L46" s="19" t="n">
        <x:v>0.5</x:v>
      </x:c>
      <x:c r="M46" s="19"/>
      <x:c r="N46" s="15" t="str">
        <x:v>Must Have</x:v>
      </x:c>
      <x:c r="O46" s="15" t="str">
        <x:v>NA</x:v>
      </x:c>
      <x:c r="P46" s="15" t="str">
        <x:v>As EADI, the data platform, MDM, DQ,Insights &amp; Analystics are getting series of small changes during the course of the year.</x:v>
      </x:c>
      <x:c r="Q46" s="15" t="str">
        <x:v>Planning and Delivery of changes requests under 5-10k.</x:v>
      </x:c>
      <x:c r="R46" s="15" t="str"/>
      <x:c r="S46" s="15" t="str"/>
      <x:c r="T46" s="15" t="str"/>
    </x:row>
    <x:row r="47">
      <x:c r="A47" s="15" t="str">
        <x:v>EW-45</x:v>
      </x:c>
      <x:c r="B47" s="15" t="str">
        <x:v>EW-45</x:v>
      </x:c>
      <x:c r="C47" s="15" t="str">
        <x:v>New</x:v>
      </x:c>
      <x:c r="D47" s="15" t="str">
        <x:v>EW</x:v>
      </x:c>
      <x:c r="E47" s="15" t="n">
        <x:v>45</x:v>
      </x:c>
      <x:c r="F47" s="15" t="str">
        <x:v>EW Led</x:v>
      </x:c>
      <x:c r="G47" s="15" t="str">
        <x:v>International Regions (IR) - Overall</x:v>
      </x:c>
      <x:c r="H47" s="15" t="str">
        <x:v>FIN-IR - Brazil Tax Reform Phase 3</x:v>
      </x:c>
      <x:c r="I47" s="15" t="str">
        <x:v>Carry Over</x:v>
      </x:c>
      <x:c r="J47" s="15" t="str">
        <x:v>Legal Fiscal, Regulatory &amp; Compliancy</x:v>
      </x:c>
      <x:c r="K47" s="15" t="str">
        <x:v>Integrated Supply Chain &amp; Finance</x:v>
      </x:c>
      <x:c r="L47" s="19" t="n">
        <x:v>0.55</x:v>
      </x:c>
      <x:c r="M47" s="19" t="n">
        <x:v>1150</x:v>
      </x:c>
      <x:c r="N47" s="15" t="str">
        <x:v>Must Do</x:v>
      </x:c>
      <x:c r="O47" s="15" t="str">
        <x:v>-not compliant with Tax rules in Brazil</x:v>
      </x:c>
      <x:c r="P47" s="15" t="str">
        <x:v>Brazil govt runs multi-year program of incremental phases of a larger tax reform, leadtimes of new requirements until due are short and i-year</x:v>
      </x:c>
      <x:c r="Q47" s="15" t="str">
        <x:v>All BU/Kernel and tax related systems, Brazil only.</x:v>
      </x:c>
      <x:c r="R47" s="15" t="str"/>
      <x:c r="S47" s="15" t="str">
        <x:v>HEALTHY</x:v>
      </x:c>
      <x:c r="T47" s="15" t="str">
        <x:v>HEALTHY / MUST-DO — P1 — Immediate</x:v>
      </x:c>
    </x:row>
    <x:row r="48">
      <x:c r="A48" s="15" t="str">
        <x:v>EW-46</x:v>
      </x:c>
      <x:c r="B48" s="15" t="str">
        <x:v>EW-46</x:v>
      </x:c>
      <x:c r="C48" s="15" t="str">
        <x:v>New</x:v>
      </x:c>
      <x:c r="D48" s="15" t="str">
        <x:v>EW</x:v>
      </x:c>
      <x:c r="E48" s="15" t="n">
        <x:v>46</x:v>
      </x:c>
      <x:c r="F48" s="15" t="str">
        <x:v>EW Led</x:v>
      </x:c>
      <x:c r="G48" s="15" t="str">
        <x:v>International Regions (IR) - Overall</x:v>
      </x:c>
      <x:c r="H48" s="15" t="str">
        <x:v>FIN-IR - India Privacy Data Protection Bill (deferred from 2026 on PF request)</x:v>
      </x:c>
      <x:c r="I48" s="15" t="str">
        <x:v>Carry Over</x:v>
      </x:c>
      <x:c r="J48" s="15" t="str">
        <x:v>Legal Fiscal, Regulatory &amp; Compliancy</x:v>
      </x:c>
      <x:c r="K48" s="15" t="str">
        <x:v>Integrated Supply Chain &amp; Finance</x:v>
      </x:c>
      <x:c r="L48" s="19" t="n">
        <x:v>0.1</x:v>
      </x:c>
      <x:c r="M48" s="19" t="n">
        <x:v>110</x:v>
      </x:c>
      <x:c r="N48" s="15" t="str">
        <x:v>Must Do</x:v>
      </x:c>
      <x:c r="O48" s="15" t="str">
        <x:v>-India Privacy Act Compliance</x:v>
      </x:c>
      <x:c r="P48" s="15" t="str">
        <x:v>India landscape must adhere to commissioned Digital Privacy Data Protection Act. Started in 2026 with some scop deferred to 'last minute' (04'27)</x:v>
      </x:c>
      <x:c r="Q48" s="15" t="str">
        <x:v>India only, all local &amp; global systems, KPMG involved for evaluation</x:v>
      </x:c>
      <x:c r="R48" s="15" t="str"/>
      <x:c r="S48" s="15" t="str">
        <x:v>HEALTHY</x:v>
      </x:c>
      <x:c r="T48" s="15" t="str">
        <x:v>HEALTHY / MUST-DO — P1 — Immediate</x:v>
      </x:c>
    </x:row>
    <x:row r="49">
      <x:c r="A49" s="15" t="str">
        <x:v>EW-47</x:v>
      </x:c>
      <x:c r="B49" s="15" t="str">
        <x:v>EW-47</x:v>
      </x:c>
      <x:c r="C49" s="15" t="str">
        <x:v>New</x:v>
      </x:c>
      <x:c r="D49" s="15" t="str">
        <x:v>EW</x:v>
      </x:c>
      <x:c r="E49" s="15" t="n">
        <x:v>47</x:v>
      </x:c>
      <x:c r="F49" s="15" t="str">
        <x:v>EW Led</x:v>
      </x:c>
      <x:c r="G49" s="15" t="str">
        <x:v>International Regions (IR) - Overall</x:v>
      </x:c>
      <x:c r="H49" s="15" t="str">
        <x:v>FIN-IR - ORU Lebanon (formalize current operations)</x:v>
      </x:c>
      <x:c r="I49" s="15" t="str">
        <x:v>New Initiative</x:v>
      </x:c>
      <x:c r="J49" s="15" t="str">
        <x:v>Legal Fiscal, Regulatory &amp; Compliancy</x:v>
      </x:c>
      <x:c r="K49" s="15" t="str">
        <x:v>Integrated Supply Chain &amp; Finance</x:v>
      </x:c>
      <x:c r="L49" s="19" t="n">
        <x:v>0.085</x:v>
      </x:c>
      <x:c r="M49" s="19" t="n">
        <x:v>0.345</x:v>
      </x:c>
      <x:c r="N49" s="15" t="str">
        <x:v>Must Do</x:v>
      </x:c>
      <x:c r="O49" s="15" t="str">
        <x:v>- Legal and regulatory non-compliance risk, a.o. for critical 14FTE employed</x:v>
      </x:c>
      <x:c r="P49" s="15" t="str">
        <x:v>Legal changes and requirements require an ORU to be established to continue current staff.</x:v>
      </x:c>
      <x:c r="Q49" s="15" t="str">
        <x:v>all BU, Lebanon only, 'light' ORU</x:v>
      </x:c>
      <x:c r="R49" s="15" t="str"/>
      <x:c r="S49" s="15" t="str">
        <x:v>HEALTHY</x:v>
      </x:c>
      <x:c r="T49" s="15" t="str">
        <x:v>HEALTHY / MUST-DO — P1 — Immediate</x:v>
      </x:c>
    </x:row>
    <x:row r="50">
      <x:c r="A50" s="15" t="str">
        <x:v>EW-50</x:v>
      </x:c>
      <x:c r="B50" s="15" t="str">
        <x:v>EW-50</x:v>
      </x:c>
      <x:c r="C50" s="15" t="str">
        <x:v>1006377</x:v>
      </x:c>
      <x:c r="D50" s="15" t="str">
        <x:v>EW</x:v>
      </x:c>
      <x:c r="E50" s="15" t="n">
        <x:v>48</x:v>
      </x:c>
      <x:c r="F50" s="15" t="str">
        <x:v>EW Led</x:v>
      </x:c>
      <x:c r="G50" s="15" t="str">
        <x:v>Patient Safety &amp; Quality</x:v>
      </x:c>
      <x:c r="H50" s="15" t="str">
        <x:v>Global Hold program Improvement</x:v>
      </x:c>
      <x:c r="I50" s="15" t="str">
        <x:v>Carry Over</x:v>
      </x:c>
      <x:c r="J50" s="15" t="str">
        <x:v>Legal Fiscal, Regulatory &amp; Compliancy</x:v>
      </x:c>
      <x:c r="K50" s="15" t="str">
        <x:v>Group Functions &amp; Hyperautomation IT</x:v>
      </x:c>
      <x:c r="L50" s="19" t="n">
        <x:v>0.5</x:v>
      </x:c>
      <x:c r="M50" s="19"/>
      <x:c r="N50" s="15" t="str">
        <x:v>Must Do</x:v>
      </x:c>
      <x:c r="O50" s="15" t="str">
        <x:v>2.9m total</x:v>
      </x:c>
      <x:c r="P50" s="15" t="str">
        <x:v>Release 2 R2 implements integration that prevents product/part escapes for installable systems.</x:v>
      </x:c>
      <x:c r="Q50" s="15" t="str">
        <x:v>Servicemax Integration, lead deployment feedback resolution</x:v>
      </x:c>
      <x:c r="R50" s="15" t="str">
        <x:v>None</x:v>
      </x:c>
      <x:c r="S50" s="15" t="str">
        <x:v>HEALTHY</x:v>
      </x:c>
      <x:c r="T50" s="15" t="str">
        <x:v>HEALTHY — Rank in priority matrix</x:v>
      </x:c>
    </x:row>
    <x:row r="51">
      <x:c r="A51" s="15" t="str">
        <x:v>EW-51</x:v>
      </x:c>
      <x:c r="B51" s="15" t="str">
        <x:v>EW-51</x:v>
      </x:c>
      <x:c r="C51" s="15" t="str">
        <x:v>1006377</x:v>
      </x:c>
      <x:c r="D51" s="15" t="str">
        <x:v>EW</x:v>
      </x:c>
      <x:c r="E51" s="15" t="n">
        <x:v>49</x:v>
      </x:c>
      <x:c r="F51" s="15" t="str">
        <x:v>EW Led</x:v>
      </x:c>
      <x:c r="G51" s="15" t="str">
        <x:v>Patient Safety &amp; Quality</x:v>
      </x:c>
      <x:c r="H51" s="15" t="str">
        <x:v>Centralized Certificate Verification(CCV)</x:v>
      </x:c>
      <x:c r="I51" s="15" t="str">
        <x:v>Carry Over</x:v>
      </x:c>
      <x:c r="J51" s="15" t="str">
        <x:v>Upgrades &amp; Enhancements</x:v>
      </x:c>
      <x:c r="K51" s="15" t="str">
        <x:v>Group Functions &amp; Hyperautomation IT</x:v>
      </x:c>
      <x:c r="L51" s="19" t="n">
        <x:v>0.35</x:v>
      </x:c>
      <x:c r="M51" s="19" t="n">
        <x:v>0.36</x:v>
      </x:c>
      <x:c r="N51" s="15" t="str">
        <x:v>Must Do</x:v>
      </x:c>
      <x:c r="O51" s="15" t="str">
        <x:v>1503 in total, of which</x:v>
      </x:c>
      <x:c r="P51" s="15" t="str">
        <x: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x:v>
      </x:c>
      <x:c r="Q51" s="15" t="str">
        <x:v>Enterprise wide CCV process</x:v>
      </x:c>
      <x:c r="R51" s="15" t="str">
        <x:v>None</x:v>
      </x:c>
      <x:c r="S51" s="15" t="str">
        <x:v>HEALTHY</x:v>
      </x:c>
      <x:c r="T51" s="15" t="str">
        <x:v>HEALTHY — Rank in priority matrix</x:v>
      </x:c>
    </x:row>
    <x:row r="52">
      <x:c r="A52" s="15" t="str">
        <x:v>EW-52</x:v>
      </x:c>
      <x:c r="B52" s="15" t="str">
        <x:v>EW-52</x:v>
      </x:c>
      <x:c r="C52" s="15" t="str">
        <x:v>1006377</x:v>
      </x:c>
      <x:c r="D52" s="15" t="str">
        <x:v>EW</x:v>
      </x:c>
      <x:c r="E52" s="15" t="n">
        <x:v>50</x:v>
      </x:c>
      <x:c r="F52" s="15" t="str">
        <x:v>EW Led</x:v>
      </x:c>
      <x:c r="G52" s="15" t="str">
        <x:v>Patient Safety &amp; Quality</x:v>
      </x:c>
      <x:c r="H52" s="15" t="str">
        <x:v>RM AI big bet</x:v>
      </x:c>
      <x:c r="I52" s="15" t="str">
        <x:v>Carry Over</x:v>
      </x:c>
      <x:c r="J52" s="15" t="str">
        <x:v>AI Enablement</x:v>
      </x:c>
      <x:c r="K52" s="15" t="str">
        <x:v>Group Functions &amp; Hyperautomation IT</x:v>
      </x:c>
      <x:c r="L52" s="19" t="n">
        <x:v>0.395</x:v>
      </x:c>
      <x:c r="M52" s="19"/>
      <x:c r="N52" s="15" t="str">
        <x:v>Must Do</x:v>
      </x:c>
      <x:c r="O52" s="15" t="str">
        <x:v>6M - 15M</x:v>
      </x:c>
      <x:c r="P52" s="15" t="str">
        <x: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x:v>
      </x:c>
      <x:c r="Q52" s="15" t="str">
        <x:v>Enterprise wide RM process</x:v>
      </x:c>
      <x:c r="R52" s="15" t="str">
        <x:v>None</x:v>
      </x:c>
      <x:c r="S52" s="15" t="str">
        <x:v>HEALTHY</x:v>
      </x:c>
      <x:c r="T52" s="15" t="str">
        <x:v>HEALTHY — Rank in priority matrix</x:v>
      </x:c>
    </x:row>
    <x:row r="53">
      <x:c r="A53" s="15" t="str">
        <x:v>EW-53</x:v>
      </x:c>
      <x:c r="B53" s="15" t="str">
        <x:v>EW-53</x:v>
      </x:c>
      <x:c r="C53" s="15" t="str">
        <x:v>1006377</x:v>
      </x:c>
      <x:c r="D53" s="15" t="str">
        <x:v>EW</x:v>
      </x:c>
      <x:c r="E53" s="15" t="n">
        <x:v>51</x:v>
      </x:c>
      <x:c r="F53" s="15" t="str">
        <x:v>EW Led</x:v>
      </x:c>
      <x:c r="G53" s="15" t="str">
        <x:v>Group Security</x:v>
      </x:c>
      <x:c r="H53" s="15" t="str">
        <x:v>IT-Security - Global one Badge</x:v>
      </x:c>
      <x:c r="I53" s="15" t="str">
        <x:v>Carry Over</x:v>
      </x:c>
      <x:c r="J53" s="15" t="str">
        <x:v>New Technology</x:v>
      </x:c>
      <x:c r="K53" s="15" t="str">
        <x:v>Group Functions &amp; Hyperautomation IT</x:v>
      </x:c>
      <x:c r="L53" s="19" t="n">
        <x:v>0.45</x:v>
      </x:c>
      <x:c r="M53" s="19"/>
      <x:c r="N53" s="15" t="str">
        <x:v>Must Do</x:v>
      </x:c>
      <x:c r="O53" s="15" t="str">
        <x:v>Without leveraging Global One Badge solution, Philips will have to continue with scattered landscape of local managed access controls systems and outdated badge technologies used posing serious Physical access threats and associated security risks</x:v>
      </x:c>
      <x:c r="P53" s="15" t="str">
        <x:v>scattered landscape of local managed access controls systems and outdated badge technologies.</x:v>
      </x:c>
      <x:c r="Q53" s="15" t="str">
        <x:v>Deploy to NAR and selected global sites per program roadmap</x:v>
      </x:c>
      <x:c r="R53" s="15" t="str">
        <x:v>None</x:v>
      </x:c>
      <x:c r="S53" s="15" t="str">
        <x:v>HEALTHY</x:v>
      </x:c>
      <x:c r="T53" s="15" t="str">
        <x:v>HEALTHY — Rank in priority matrix</x:v>
      </x:c>
    </x:row>
    <x:row r="54">
      <x:c r="A54" s="15" t="str">
        <x:v>EW-54</x:v>
      </x:c>
      <x:c r="B54" s="15" t="str">
        <x:v>EW-54</x:v>
      </x:c>
      <x:c r="C54" s="15" t="str">
        <x:v>1006423</x:v>
      </x:c>
      <x:c r="D54" s="15" t="str">
        <x:v>EW</x:v>
      </x:c>
      <x:c r="E54" s="15" t="n">
        <x:v>52</x:v>
      </x:c>
      <x:c r="F54" s="15" t="str">
        <x:v>EW Led</x:v>
      </x:c>
      <x:c r="G54" s="15" t="str">
        <x:v>Finance</x:v>
      </x:c>
      <x:c r="H54" s="15" t="str">
        <x:v>FIN- IT DRP - AP Invoice Process Automation (PIPE)</x:v>
      </x:c>
      <x:c r="I54" s="15" t="str">
        <x:v>Carry Over</x:v>
      </x:c>
      <x:c r="J54" s="15" t="str">
        <x:v>Decomm/Replatforming</x:v>
      </x:c>
      <x:c r="K54" s="15" t="str">
        <x:v>Integrated Supply Chain &amp; Finance</x:v>
      </x:c>
      <x:c r="L54" s="19" t="n">
        <x:v>0.43</x:v>
      </x:c>
      <x:c r="M54" s="19" t="n">
        <x:v>1.32</x:v>
      </x:c>
      <x:c r="N54" s="15" t="str">
        <x:v>Must Do</x:v>
      </x:c>
      <x:c r="O54" s="15" t="str">
        <x:v>Savings not realized</x:v>
      </x:c>
      <x:c r="P54" s="15" t="str"/>
      <x:c r="Q54" s="15" t="str"/>
      <x:c r="R54" s="15" t="str"/>
      <x:c r="S54" s="15" t="str">
        <x:v>HEALTHY</x:v>
      </x:c>
      <x:c r="T54" s="15" t="str">
        <x:v>HEALTHY — Rank in priority matrix</x:v>
      </x:c>
    </x:row>
    <x:row r="55">
      <x:c r="A55" s="15" t="str">
        <x:v>EW-57</x:v>
      </x:c>
      <x:c r="B55" s="15" t="str">
        <x:v>EW-57</x:v>
      </x:c>
      <x:c r="C55" s="15" t="str">
        <x:v>1006423</x:v>
      </x:c>
      <x:c r="D55" s="15" t="str">
        <x:v>EW</x:v>
      </x:c>
      <x:c r="E55" s="15" t="n">
        <x:v>53</x:v>
      </x:c>
      <x:c r="F55" s="15" t="str">
        <x:v>EW Led</x:v>
      </x:c>
      <x:c r="G55" s="15" t="str">
        <x:v>Information Technology</x:v>
      </x:c>
      <x:c r="H55" s="15" t="str">
        <x:v>Commercial IT DRP</x:v>
      </x:c>
      <x:c r="I55" s="15" t="str">
        <x:v>Carry Over</x:v>
      </x:c>
      <x:c r="J55" s="15" t="str">
        <x:v>Decomm/Replatforming</x:v>
      </x:c>
      <x:c r="K55" s="15" t="str">
        <x:v>Commercial IT</x:v>
      </x:c>
      <x:c r="L55" s="19" t="n">
        <x:v>0.5</x:v>
      </x:c>
      <x:c r="M55" s="19" t="n">
        <x:v>2.2</x:v>
      </x:c>
      <x:c r="N55" s="15" t="str">
        <x:v>Must Have</x:v>
      </x:c>
      <x:c r="O55" s="15" t="str">
        <x:v>License and maintenance cost reduction in line with our Ops spend reduction</x:v>
      </x:c>
      <x:c r="P55" s="15" t="str"/>
      <x:c r="Q55" s="15" t="str"/>
      <x:c r="R55" s="15" t="str">
        <x:v>dependingcy on HPM business decission</x:v>
      </x:c>
      <x:c r="S55" s="15" t="str">
        <x:v>HEALTHY</x:v>
      </x:c>
      <x:c r="T55" s="15" t="str">
        <x:v>HEALTHY — Rank in priority matrix</x:v>
      </x:c>
    </x:row>
    <x:row r="56">
      <x:c r="A56" s="15" t="str">
        <x:v>EW-58</x:v>
      </x:c>
      <x:c r="B56" s="15" t="str">
        <x:v>EW-58</x:v>
      </x:c>
      <x:c r="C56" s="15" t="str">
        <x:v>1006423</x:v>
      </x:c>
      <x:c r="D56" s="15" t="str">
        <x:v>EW</x:v>
      </x:c>
      <x:c r="E56" s="15" t="n">
        <x:v>54</x:v>
      </x:c>
      <x:c r="F56" s="15" t="str">
        <x:v>EW Led</x:v>
      </x:c>
      <x:c r="G56" s="15" t="str">
        <x:v>Information Technology</x:v>
      </x:c>
      <x:c r="H56" s="15" t="str">
        <x:v>PST &amp; Hubwoo Replatforming</x:v>
      </x:c>
      <x:c r="I56" s="15" t="str">
        <x:v>New Initiative</x:v>
      </x:c>
      <x:c r="J56" s="15" t="str">
        <x:v>Decomm/Replatforming</x:v>
      </x:c>
      <x:c r="K56" s="15" t="str">
        <x:v>Commercial IT</x:v>
      </x:c>
      <x:c r="L56" s="19" t="n">
        <x:v>0.6</x:v>
      </x:c>
      <x:c r="M56" s="19" t="n">
        <x:v>1.25</x:v>
      </x:c>
      <x:c r="N56" s="15" t="str">
        <x:v>Must Have</x:v>
      </x:c>
      <x:c r="O56" s="15" t="str">
        <x:v>License and maintenance cost reduction in line with our Ops spend reduction</x:v>
      </x:c>
      <x:c r="P56" s="15" t="str"/>
      <x:c r="Q56" s="15" t="str"/>
      <x:c r="R56" s="15" t="str"/>
      <x:c r="S56" s="15" t="str">
        <x:v>HEALTHY</x:v>
      </x:c>
      <x:c r="T56" s="15" t="str">
        <x:v>HEALTHY — Rank in priority matrix</x:v>
      </x:c>
    </x:row>
    <x:row r="57">
      <x:c r="A57" s="15" t="str">
        <x:v>EW-59</x:v>
      </x:c>
      <x:c r="B57" s="15" t="str">
        <x:v>EW-59</x:v>
      </x:c>
      <x:c r="C57" s="15" t="str">
        <x:v>1006423</x:v>
      </x:c>
      <x:c r="D57" s="15" t="str">
        <x:v>EW</x:v>
      </x:c>
      <x:c r="E57" s="15" t="n">
        <x:v>55</x:v>
      </x:c>
      <x:c r="F57" s="15" t="str">
        <x:v>EW Led</x:v>
      </x:c>
      <x:c r="G57" s="15" t="str">
        <x:v>Information Technology</x:v>
      </x:c>
      <x:c r="H57" s="15" t="str">
        <x:v>GCR IT Decommission</x:v>
      </x:c>
      <x:c r="I57" s="15" t="str">
        <x:v>New Initiative</x:v>
      </x:c>
      <x:c r="J57" s="15" t="str">
        <x:v>Decomm/Replatforming</x:v>
      </x:c>
      <x:c r="K57" s="15" t="str">
        <x:v>Greater China IT</x:v>
      </x:c>
      <x:c r="L57" s="19" t="n">
        <x:v>0.48</x:v>
      </x:c>
      <x:c r="M57" s="19" t="n">
        <x:v>0.05</x:v>
      </x:c>
      <x:c r="N57" s="15" t="str">
        <x:v>Must Do</x:v>
      </x:c>
      <x:c r="O57" s="15" t="str">
        <x:v>Keep system running</x:v>
      </x:c>
      <x:c r="P57" s="15" t="str"/>
      <x:c r="Q57" s="15" t="str">
        <x:v>1) CD;</x:v>
      </x:c>
      <x:c r="R57" s="15" t="str"/>
      <x:c r="S57" s="15" t="str">
        <x:v>HEALTHY</x:v>
      </x:c>
      <x:c r="T57" s="15" t="str">
        <x:v>HEALTHY / MUST-DO — P2 — Scheduled</x:v>
      </x:c>
    </x:row>
    <x:row r="58">
      <x:c r="A58" s="15" t="str">
        <x:v>EW-60</x:v>
      </x:c>
      <x:c r="B58" s="15" t="str">
        <x:v>EW-60</x:v>
      </x:c>
      <x:c r="C58" s="15" t="str">
        <x:v>New</x:v>
      </x:c>
      <x:c r="D58" s="15" t="str">
        <x:v>EW</x:v>
      </x:c>
      <x:c r="E58" s="15" t="n">
        <x:v>56</x:v>
      </x:c>
      <x:c r="F58" s="15" t="str">
        <x:v>EW Led</x:v>
      </x:c>
      <x:c r="G58" s="15" t="str">
        <x:v>Legal</x:v>
      </x:c>
      <x:c r="H58" s="15" t="str">
        <x:v>3rd Party Screening Replatformation</x:v>
      </x:c>
      <x:c r="I58" s="15" t="str">
        <x:v>New Initiative</x:v>
      </x:c>
      <x:c r="J58" s="15" t="str">
        <x:v>Legal Fiscal, Regulatory &amp; Compliancy</x:v>
      </x:c>
      <x:c r="K58" s="15" t="str">
        <x:v>Group Functions &amp; Hyperautomation IT</x:v>
      </x:c>
      <x:c r="L58" s="19" t="n">
        <x:v>0.2</x:v>
      </x:c>
      <x:c r="M58" s="19" t="n">
        <x:v>285</x:v>
      </x:c>
      <x:c r="N58" s="15" t="str">
        <x:v>Must Do</x:v>
      </x:c>
      <x:c r="O58" s="15" t="str">
        <x:v>1) Potential fines from Regulators for potential violations in ABAC, EC&amp;S related regulations</x:v>
      </x:c>
      <x:c r="P58" s="15" t="str">
        <x:v>Current solution lacks AI capability and still requires significant engagement of Deloitte team for Legal Operations interms of screening and monitoring</x:v>
      </x:c>
      <x:c r="Q58" s="15" t="str">
        <x:v>3rd party screening as part of Due Diligence Program; Legal wants to harness AI based solution to improve productivity and screening turn around time further. This solution will lead decomm of CoreStream platform (IT - 200K) and Legal Operational Cost for Legal (500K)</x:v>
      </x:c>
      <x:c r="R58" s="15" t="str">
        <x:v>None</x:v>
      </x:c>
      <x:c r="S58" s="15" t="str">
        <x:v>HEALTHY</x:v>
      </x:c>
      <x:c r="T58" s="15" t="str">
        <x:v>HEALTHY / MUST-DO — P1 — Immediate</x:v>
      </x:c>
    </x:row>
    <x:row r="59">
      <x:c r="A59" s="15" t="str">
        <x:v>EW-61</x:v>
      </x:c>
      <x:c r="B59" s="15" t="str">
        <x:v>EW-61</x:v>
      </x:c>
      <x:c r="C59" s="15" t="str">
        <x:v>New</x:v>
      </x:c>
      <x:c r="D59" s="15" t="str">
        <x:v>EW</x:v>
      </x:c>
      <x:c r="E59" s="15" t="n">
        <x:v>57</x:v>
      </x:c>
      <x:c r="F59" s="15" t="str">
        <x:v>EW Led</x:v>
      </x:c>
      <x:c r="G59" s="15" t="str">
        <x:v>Health &amp; Safety</x:v>
      </x:c>
      <x:c r="H59" s="15" t="str">
        <x:v>Contractor Management &amp; Permit to Work</x:v>
      </x:c>
      <x:c r="I59" s="15" t="str">
        <x:v>New Initiative</x:v>
      </x:c>
      <x:c r="J59" s="15" t="str">
        <x:v>Legal Fiscal, Regulatory &amp; Compliancy</x:v>
      </x:c>
      <x:c r="K59" s="15" t="str">
        <x:v>Group Functions &amp; Hyperautomation IT</x:v>
      </x:c>
      <x:c r="L59" s="19" t="n">
        <x:v>0.225</x:v>
      </x:c>
      <x:c r="M59" s="19" t="n">
        <x:v>0.8</x:v>
      </x:c>
      <x:c r="N59" s="15" t="str">
        <x:v>Must Do</x:v>
      </x:c>
      <x:c r="O59" s="15" t="str">
        <x: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x:v>
      </x:c>
      <x:c r="P59" s="15" t="str">
        <x:v>Philips’ fragmented, manual, and site-specific Contractor Management and Permit-to-Work processes limit consistent risk control, contractor oversight, and global visibility.</x:v>
      </x:c>
      <x:c r="Q59" s="15" t="str">
        <x: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x:v>
      </x:c>
      <x:c r="R59" s="15" t="str">
        <x:v>None</x:v>
      </x:c>
      <x:c r="S59" s="15" t="str">
        <x:v>HEALTHY</x:v>
      </x:c>
      <x:c r="T59" s="15" t="str">
        <x:v>HEALTHY / MUST-DO — P1 — Immediate</x:v>
      </x:c>
    </x:row>
    <x:row r="60">
      <x:c r="A60" s="15" t="str">
        <x:v>EW-62</x:v>
      </x:c>
      <x:c r="B60" s="15" t="str">
        <x:v>EW-62</x:v>
      </x:c>
      <x:c r="C60" s="15" t="str">
        <x:v>New</x:v>
      </x:c>
      <x:c r="D60" s="15" t="str">
        <x:v>EW</x:v>
      </x:c>
      <x:c r="E60" s="15" t="n">
        <x:v>58</x:v>
      </x:c>
      <x:c r="F60" s="15" t="str">
        <x:v>EW Led</x:v>
      </x:c>
      <x:c r="G60" s="15" t="str">
        <x:v>Internal Audit</x:v>
      </x:c>
      <x:c r="H60" s="15" t="str">
        <x:v>Optro Accelerate Module</x:v>
      </x:c>
      <x:c r="I60" s="15" t="str">
        <x:v>New Initiative</x:v>
      </x:c>
      <x:c r="J60" s="15" t="str">
        <x:v>Legal Fiscal, Regulatory &amp; Compliancy</x:v>
      </x:c>
      <x:c r="K60" s="15" t="str">
        <x:v>Group Functions &amp; Hyperautomation IT</x:v>
      </x:c>
      <x:c r="L60" s="19" t="n">
        <x:v>0.171</x:v>
      </x:c>
      <x:c r="M60" s="19" t="n">
        <x:v>0.171</x:v>
      </x:c>
      <x:c r="N60" s="15" t="str">
        <x:v>Must Do</x:v>
      </x:c>
      <x:c r="O60" s="15" t="str">
        <x:v>1) The drive in ICoFR and PIA to develop control and audit capabilities in support of LFR, People led AI powered Philips, ICoFR Roadmap will not be delivered</x:v>
      </x:c>
      <x:c r="P60" s="15" t="str">
        <x:v>MCP servers - Allows IC, RISk and Audit teams to seamlessly interface with Optro via LLM and provides signifcant opportunities for teams' quality and efficiency improvements. Fieldwork Automation: Includes Population Verification,</x:v>
      </x:c>
      <x:c r="Q60" s="15" t="str">
        <x:v>All existing modules of Optro but especially the OpsAudit, ControlsMngmt and RiskOversight will benefit from Optro Accelerate.</x:v>
      </x:c>
      <x:c r="R60" s="15" t="str">
        <x:v>None</x:v>
      </x:c>
      <x:c r="S60" s="15" t="str">
        <x:v>HEALTHY</x:v>
      </x:c>
      <x:c r="T60" s="15" t="str">
        <x:v>HEALTHY — Rank in priority matrix</x:v>
      </x:c>
    </x:row>
    <x:row r="61">
      <x:c r="A61" s="15" t="str">
        <x:v>EW-63</x:v>
      </x:c>
      <x:c r="B61" s="15" t="str">
        <x:v>EW-63</x:v>
      </x:c>
      <x:c r="C61" s="15" t="str">
        <x:v>New</x:v>
      </x:c>
      <x:c r="D61" s="15" t="str">
        <x:v>EW</x:v>
      </x:c>
      <x:c r="E61" s="15" t="n">
        <x:v>59</x:v>
      </x:c>
      <x:c r="F61" s="15" t="str">
        <x:v>EW Led</x:v>
      </x:c>
      <x:c r="G61" s="15" t="str">
        <x:v>Internal Audit</x:v>
      </x:c>
      <x:c r="H61" s="15" t="str">
        <x:v>Internal Audit - AI and Innovation</x:v>
      </x:c>
      <x:c r="I61" s="15" t="str">
        <x:v>New Initiative</x:v>
      </x:c>
      <x:c r="J61" s="15" t="str">
        <x:v>Legal Fiscal, Regulatory &amp; Compliancy</x:v>
      </x:c>
      <x:c r="K61" s="15" t="str">
        <x:v>Group Functions &amp; Hyperautomation IT</x:v>
      </x:c>
      <x:c r="L61" s="19" t="n">
        <x:v>0.1</x:v>
      </x:c>
      <x:c r="M61" s="19" t="n">
        <x:v>0.1</x:v>
      </x:c>
      <x:c r="N61" s="15" t="str">
        <x:v>Must Do</x:v>
      </x:c>
      <x:c r="O61" s="15" t="str">
        <x:v>1) The drive in ICoFR and PIA to develop control and audit capabilities in support of LFR, People led AI powered Philips, ICoFR Roadmap will not be delivered</x:v>
      </x:c>
      <x:c r="P61" s="15" t="str">
        <x: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x:v>
      </x:c>
      <x:c r="Q61" s="15" t="str">
        <x:v>As part of people led, AI powered Philips - this is to support the AI initiatives of PIA Audit and R&amp;C COE teams</x:v>
      </x:c>
      <x:c r="R61" s="15" t="str">
        <x:v>None</x:v>
      </x:c>
      <x:c r="S61" s="15" t="str">
        <x:v>HEALTHY</x:v>
      </x:c>
      <x:c r="T61" s="15" t="str">
        <x:v>HEALTHY — Rank in priority matrix</x:v>
      </x:c>
    </x:row>
    <x:row r="62">
      <x:c r="A62" s="15" t="str">
        <x:v>EW-64</x:v>
      </x:c>
      <x:c r="B62" s="15" t="str">
        <x:v>EW-64</x:v>
      </x:c>
      <x:c r="C62" s="15" t="str">
        <x:v>New</x:v>
      </x:c>
      <x:c r="D62" s="15" t="str">
        <x:v>EW</x:v>
      </x:c>
      <x:c r="E62" s="15" t="n">
        <x:v>60</x:v>
      </x:c>
      <x:c r="F62" s="15" t="str">
        <x:v>EW Led</x:v>
      </x:c>
      <x:c r="G62" s="15" t="str">
        <x:v>Legal</x:v>
      </x:c>
      <x:c r="H62" s="15" t="str">
        <x:v>Legal - AI and Innovation</x:v>
      </x:c>
      <x:c r="I62" s="15" t="str">
        <x:v>New Initiative</x:v>
      </x:c>
      <x:c r="J62" s="15" t="str">
        <x:v>Legal Fiscal, Regulatory &amp; Compliancy</x:v>
      </x:c>
      <x:c r="K62" s="15" t="str">
        <x:v>Group Functions &amp; Hyperautomation IT</x:v>
      </x:c>
      <x:c r="L62" s="19" t="n">
        <x:v>0.1</x:v>
      </x:c>
      <x:c r="M62" s="19" t="n">
        <x:v>0.1</x:v>
      </x:c>
      <x:c r="N62" s="15" t="str">
        <x:v>Must Do</x:v>
      </x:c>
      <x:c r="O62" s="15" t="str">
        <x:v>1) The drive in Legal is to develop AI capabilities in support of LFR, People led AI powered Philips, Legal Roadmap will not be delivered (Ex: Legal for Legal capabilities, EC&amp;S, Gifts Compliance etc)</x:v>
      </x:c>
      <x:c r="P62" s="15" t="str">
        <x: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x:v>
      </x:c>
      <x:c r="Q62" s="15" t="str">
        <x:v>As part of people led, AI powered Philips - this is to support the AI initiatives ofLegal Teams</x:v>
      </x:c>
      <x:c r="R62" s="15" t="str">
        <x:v>None</x:v>
      </x:c>
      <x:c r="S62" s="15" t="str">
        <x:v>HEALTHY</x:v>
      </x:c>
      <x:c r="T62" s="15" t="str">
        <x:v>HEALTHY — Rank in priority matrix</x:v>
      </x:c>
    </x:row>
    <x:row r="63">
      <x:c r="A63" s="15" t="str">
        <x:v>EW-65</x:v>
      </x:c>
      <x:c r="B63" s="15" t="str">
        <x:v>EW-65</x:v>
      </x:c>
      <x:c r="C63" s="15" t="str">
        <x:v>1006447</x:v>
      </x:c>
      <x:c r="D63" s="15" t="str">
        <x:v>EW</x:v>
      </x:c>
      <x:c r="E63" s="15" t="n">
        <x:v>61</x:v>
      </x:c>
      <x:c r="F63" s="15" t="str">
        <x:v>EW Led</x:v>
      </x:c>
      <x:c r="G63" s="15" t="str">
        <x:v>Information Technology</x:v>
      </x:c>
      <x:c r="H63" s="15" t="str">
        <x:v>ISC -CCB - EW</x:v>
      </x:c>
      <x:c r="I63" s="15" t="str">
        <x:v>Change &amp; Sustain</x:v>
      </x:c>
      <x:c r="J63" s="15" t="str">
        <x:v>Legal Fiscal, Regulatory &amp; Compliancy</x:v>
      </x:c>
      <x:c r="K63" s="15" t="str">
        <x:v>Integrated Supply Chain &amp; Finance</x:v>
      </x:c>
      <x:c r="L63" s="19" t="n">
        <x:v>4.16</x:v>
      </x:c>
      <x:c r="M63" s="19"/>
      <x:c r="N63" s="15" t="str">
        <x:v>Must Do</x:v>
      </x:c>
      <x:c r="O63" s="15" t="str">
        <x:v>Philips becomes non-compliant with legal/fiscal/regulatory requirements for various BUs as prioritized change requests cannot be deployed; Potential penalties and audit findings</x:v>
      </x:c>
      <x:c r="P63" s="15" t="str"/>
      <x:c r="Q63" s="15" t="str"/>
      <x:c r="R63" s="15" t="str"/>
      <x:c r="S63" s="15" t="str"/>
      <x:c r="T63" s="15" t="str"/>
    </x:row>
    <x:row r="64">
      <x:c r="A64" s="15" t="str">
        <x:v>EW-66</x:v>
      </x:c>
      <x:c r="B64" s="15" t="str">
        <x:v>EW-66</x:v>
      </x:c>
      <x:c r="C64" s="15" t="str">
        <x:v>10006879 (prior CCB Program)</x:v>
      </x:c>
      <x:c r="D64" s="15" t="str">
        <x:v>EW</x:v>
      </x:c>
      <x:c r="E64" s="15" t="n">
        <x:v>62</x:v>
      </x:c>
      <x:c r="F64" s="15" t="str">
        <x:v>EW Led</x:v>
      </x:c>
      <x:c r="G64" s="15" t="str">
        <x:v>Medical Office</x:v>
      </x:c>
      <x:c r="H64" s="15" t="str">
        <x:v>CLARA - Clinical Partnerships (Site &amp; KOL Engagements)</x:v>
      </x:c>
      <x:c r="I64" s="15" t="str">
        <x:v>Carry Over</x:v>
      </x:c>
      <x:c r="J64" s="15" t="str">
        <x:v>New Features</x:v>
      </x:c>
      <x:c r="K64" s="15" t="str">
        <x:v>Innovation and Digital IT</x:v>
      </x:c>
      <x:c r="L64" s="19" t="n">
        <x:v>0.4</x:v>
      </x:c>
      <x:c r="M64" s="19" t="n">
        <x:v>1</x:v>
      </x:c>
      <x:c r="N64" s="15" t="str">
        <x:v>Must Do</x:v>
      </x:c>
      <x:c r="O64" s="15" t="str">
        <x:v>also compliance cost avoidance of 23M Eur, according to 2026 CLARA business case</x:v>
      </x:c>
      <x:c r="P64" s="15" t="str">
        <x: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x:v>
      </x:c>
      <x:c r="Q64" s="15" t="str">
        <x:v>Delivery of the 2027 PO backlog across ORION modules: KOL, PPP, DC, and Site Contracts. Includes: new BU onboardings; KOL payment-tracking and compliance enhancements; integration w/ Medispend, Ensight reporting, etc.</x:v>
      </x:c>
      <x:c r="R64" s="15" t="str"/>
      <x:c r="S64" s="15" t="str">
        <x:v>HEALTHY</x:v>
      </x:c>
      <x:c r="T64" s="15" t="str">
        <x:v>HEALTHY — Rank in priority matrix</x:v>
      </x:c>
    </x:row>
    <x:row r="65">
      <x:c r="A65" s="15" t="str">
        <x:v>EW-67</x:v>
      </x:c>
      <x:c r="B65" s="15" t="str">
        <x:v>EW-67</x:v>
      </x:c>
      <x:c r="C65" s="15" t="str">
        <x:v>10006879 (prior CCB Program)</x:v>
      </x:c>
      <x:c r="D65" s="15" t="str">
        <x:v>EW</x:v>
      </x:c>
      <x:c r="E65" s="15" t="n">
        <x:v>63</x:v>
      </x:c>
      <x:c r="F65" s="15" t="str">
        <x:v>EW Led</x:v>
      </x:c>
      <x:c r="G65" s="15" t="str">
        <x:v>Medical Office</x:v>
      </x:c>
      <x:c r="H65" s="15" t="str">
        <x:v>BEACON - Program (BoM - Clinical Research Model)</x:v>
      </x:c>
      <x:c r="I65" s="15" t="str">
        <x:v>Carry Over</x:v>
      </x:c>
      <x:c r="J65" s="15" t="str">
        <x:v>Legal Fiscal, Regulatory &amp; Compliancy</x:v>
      </x:c>
      <x:c r="K65" s="15" t="str">
        <x:v>Innovation and Digital IT</x:v>
      </x:c>
      <x:c r="L65" s="19" t="n">
        <x:v>0.375</x:v>
      </x:c>
      <x:c r="M65" s="19" t="n">
        <x:v>0.4</x:v>
      </x:c>
      <x:c r="N65" s="15" t="str">
        <x:v>Must Do</x:v>
      </x:c>
      <x:c r="O65" s="15" t="str">
        <x:v>nono compliance and inefficient process</x:v>
      </x:c>
      <x:c r="P65" s="15" t="str">
        <x: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x:v>
      </x:c>
      <x:c r="Q65" s="15" t="str">
        <x: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x:v>
      </x:c>
      <x:c r="R65" s="15" t="str"/>
      <x:c r="S65" s="15" t="str">
        <x:v>HEALTHY</x:v>
      </x:c>
      <x:c r="T65" s="15" t="str">
        <x:v>HEALTHY / MUST-DO — P1 — Immediate</x:v>
      </x:c>
    </x:row>
    <x:row r="66">
      <x:c r="A66" s="15" t="str">
        <x:v>EW-68</x:v>
      </x:c>
      <x:c r="B66" s="15" t="str">
        <x:v>EW-68</x:v>
      </x:c>
      <x:c r="C66" s="15" t="str">
        <x:v>10006879 (prior CCB Program)</x:v>
      </x:c>
      <x:c r="D66" s="15" t="str">
        <x:v>EW</x:v>
      </x:c>
      <x:c r="E66" s="15" t="n">
        <x:v>64</x:v>
      </x:c>
      <x:c r="F66" s="15" t="str">
        <x:v>EW Led</x:v>
      </x:c>
      <x:c r="G66" s="15" t="str">
        <x:v>Medical Office</x:v>
      </x:c>
      <x:c r="H66" s="15" t="str">
        <x:v>Veeva Program (@investor - Evidence &amp; Claims Management)</x:v>
      </x:c>
      <x:c r="I66" s="15" t="str">
        <x:v>Carry Over</x:v>
      </x:c>
      <x:c r="J66" s="15" t="str">
        <x:v>Legal Fiscal, Regulatory &amp; Compliancy</x:v>
      </x:c>
      <x:c r="K66" s="15" t="str">
        <x:v>Innovation and Digital IT</x:v>
      </x:c>
      <x:c r="L66" s="19" t="n">
        <x:v>0.725</x:v>
      </x:c>
      <x:c r="M66" s="19" t="n">
        <x:v>9.464</x:v>
      </x:c>
      <x:c r="N66" s="15" t="str">
        <x:v>Must Do</x:v>
      </x:c>
      <x:c r="O66" s="15" t="str">
        <x:v>non compliance and see @investor 67273 v2</x:v>
      </x:c>
      <x:c r="P66" s="15" t="str">
        <x: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x:v>
      </x:c>
      <x:c r="Q66" s="15" t="str">
        <x: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x:v>
      </x:c>
      <x:c r="R66" s="15" t="str"/>
      <x:c r="S66" s="15" t="str">
        <x:v>HEALTHY</x:v>
      </x:c>
      <x:c r="T66" s="15" t="str">
        <x:v>HEALTHY / MUST-DO — P1 — Immediate</x:v>
      </x:c>
    </x:row>
    <x:row r="67">
      <x:c r="A67" s="15" t="str">
        <x:v>EW-69</x:v>
      </x:c>
      <x:c r="B67" s="15" t="str">
        <x:v>EW-69</x:v>
      </x:c>
      <x:c r="C67" s="15" t="str">
        <x:v>10006879 (prior CCB Program)</x:v>
      </x:c>
      <x:c r="D67" s="15" t="str">
        <x:v>EW</x:v>
      </x:c>
      <x:c r="E67" s="15" t="n">
        <x:v>65</x:v>
      </x:c>
      <x:c r="F67" s="15" t="str">
        <x:v>EW Led</x:v>
      </x:c>
      <x:c r="G67" s="15" t="str">
        <x:v>Medical Office</x:v>
      </x:c>
      <x:c r="H67" s="15" t="str">
        <x:v>eClinical Platform - Compliance &amp; Sustain</x:v>
      </x:c>
      <x:c r="I67" s="15" t="str">
        <x:v>Carry Over</x:v>
      </x:c>
      <x:c r="J67" s="15" t="str">
        <x:v>Legal Fiscal, Regulatory &amp; Compliancy</x:v>
      </x:c>
      <x:c r="K67" s="15" t="str">
        <x:v>Innovation and Digital IT</x:v>
      </x:c>
      <x:c r="L67" s="19" t="n">
        <x:v>0.35</x:v>
      </x:c>
      <x:c r="M67" s="19" t="n">
        <x:v>3.9</x:v>
      </x:c>
      <x:c r="N67" s="15" t="str">
        <x:v>Must Do</x:v>
      </x:c>
      <x:c r="O67" s="15" t="str">
        <x:v>non compliance and see @investor 68502 v2</x:v>
      </x:c>
      <x:c r="P67" s="15" t="str">
        <x: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x:v>
      </x:c>
      <x:c r="Q67" s="15" t="str">
        <x: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x:v>
      </x:c>
      <x:c r="R67" s="15" t="str"/>
      <x:c r="S67" s="15" t="str">
        <x:v>HEALTHY</x:v>
      </x:c>
      <x:c r="T67" s="15" t="str">
        <x:v>HEALTHY / MUST-DO — P1 — Immediate</x:v>
      </x:c>
    </x:row>
    <x:row r="68">
      <x:c r="A68" s="15" t="str">
        <x:v>EW-70</x:v>
      </x:c>
      <x:c r="B68" s="15" t="str">
        <x:v>EW-70</x:v>
      </x:c>
      <x:c r="C68" s="15" t="str"/>
      <x:c r="D68" s="15" t="str">
        <x:v>EW</x:v>
      </x:c>
      <x:c r="E68" s="15" t="n">
        <x:v>66</x:v>
      </x:c>
      <x:c r="F68" s="15" t="str">
        <x:v>EW Led</x:v>
      </x:c>
      <x:c r="G68" s="15" t="str">
        <x:v>Medical Office</x:v>
      </x:c>
      <x:c r="H68" s="15" t="str">
        <x:v>AI Big Bets - Clinical &amp; Medical Affairs, Medical Safety, and HEMAR</x:v>
      </x:c>
      <x:c r="I68" s="15" t="str">
        <x:v>New Initiative</x:v>
      </x:c>
      <x:c r="J68" s="15" t="str">
        <x:v>AI Enablement</x:v>
      </x:c>
      <x:c r="K68" s="15" t="str">
        <x:v>Innovation and Digital IT</x:v>
      </x:c>
      <x:c r="L68" s="19" t="n">
        <x:v>0.3</x:v>
      </x:c>
      <x:c r="M68" s="19" t="n">
        <x:v>1.5</x:v>
      </x:c>
      <x:c r="N68" s="15" t="str">
        <x:v>Must Do</x:v>
      </x:c>
      <x:c r="O68" s="15" t="str">
        <x:v>Huge efficiency gains. E.g. CERA, lterature review</x:v>
      </x:c>
      <x:c r="P68" s="15" t="str">
        <x: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x:v>
      </x:c>
      <x:c r="Q68" s="15" t="str">
        <x: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x:v>
      </x:c>
      <x:c r="R68" s="15" t="str"/>
      <x:c r="S68" s="15" t="str">
        <x:v>HEALTHY</x:v>
      </x:c>
      <x:c r="T68" s="15" t="str">
        <x:v>HEALTHY — Rank in priority matrix</x:v>
      </x:c>
    </x:row>
    <x:row r="69">
      <x:c r="A69" s="15" t="str">
        <x:v>EW-71</x:v>
      </x:c>
      <x:c r="B69" s="15" t="str">
        <x:v>EW-71</x:v>
      </x:c>
      <x:c r="C69" s="15" t="str">
        <x:v>1006445</x:v>
      </x:c>
      <x:c r="D69" s="15" t="str">
        <x:v>EW</x:v>
      </x:c>
      <x:c r="E69" s="15" t="n">
        <x:v>67</x:v>
      </x:c>
      <x:c r="F69" s="15" t="str">
        <x:v>EW Led</x:v>
      </x:c>
      <x:c r="G69" s="15" t="str">
        <x:v>Finance</x:v>
      </x:c>
      <x:c r="H69" s="15" t="str">
        <x:v>FIN-CCB - Finance</x:v>
      </x:c>
      <x:c r="I69" s="15" t="str">
        <x:v>Change &amp; Sustain</x:v>
      </x:c>
      <x:c r="J69" s="15" t="str">
        <x:v>Legal Fiscal, Regulatory &amp; Compliancy</x:v>
      </x:c>
      <x:c r="K69" s="15" t="str">
        <x:v>Integrated Supply Chain &amp; Finance</x:v>
      </x:c>
      <x:c r="L69" s="19" t="n">
        <x:v>6.225</x:v>
      </x:c>
      <x:c r="M69" s="19"/>
      <x:c r="N69" s="15" t="str">
        <x:v>Must Do</x:v>
      </x:c>
      <x:c r="O69" s="15" t="str">
        <x:v>Philips becomes non-compliant with legal/fiscal/regulatory requirements; High risk exposure due to outdated systems; Potential penalties and audit findings (cost avoidance on the tune of ~400M)</x:v>
      </x:c>
      <x:c r="P69" s="15" t="str"/>
      <x:c r="Q69" s="15" t="str"/>
      <x:c r="R69" s="15" t="str"/>
      <x:c r="S69" s="15" t="str"/>
      <x:c r="T69" s="15" t="str"/>
    </x:row>
    <x:row r="70">
      <x:c r="A70" s="15" t="str">
        <x:v>EW-72</x:v>
      </x:c>
      <x:c r="B70" s="15" t="str">
        <x:v>EW-72</x:v>
      </x:c>
      <x:c r="C70" s="15" t="str">
        <x:v>1006423</x:v>
      </x:c>
      <x:c r="D70" s="15" t="str">
        <x:v>EW</x:v>
      </x:c>
      <x:c r="E70" s="15" t="n">
        <x:v>68</x:v>
      </x:c>
      <x:c r="F70" s="15" t="str">
        <x:v>EW Led</x:v>
      </x:c>
      <x:c r="G70" s="15" t="str">
        <x:v>Information Technology</x:v>
      </x:c>
      <x:c r="H70" s="15" t="str">
        <x:v>ARIS Process framework</x:v>
      </x:c>
      <x:c r="I70" s="15" t="str">
        <x:v>New Initiative</x:v>
      </x:c>
      <x:c r="J70" s="15" t="str">
        <x:v>Decomm/Replatforming</x:v>
      </x:c>
      <x:c r="K70" s="15" t="str">
        <x:v>Group Functions &amp; Hyperautomation IT</x:v>
      </x:c>
      <x:c r="L70" s="19" t="n">
        <x:v>0.4</x:v>
      </x:c>
      <x:c r="M70" s="19" t="n">
        <x:v>0.7</x:v>
      </x:c>
      <x:c r="N70" s="15" t="str">
        <x:v>Must Do</x:v>
      </x:c>
      <x:c r="O70" s="15" t="str">
        <x:v>Philips would have to continue with a heavily customized current solution which has high cost impact on IT; net loss of hard savings worth 700k annually due to license costs.</x:v>
      </x:c>
      <x:c r="P70" s="15" t="str">
        <x:v>Decomm of ARIS to new alternative</x:v>
      </x:c>
      <x:c r="Q70" s="15" t="str">
        <x:v>Decomm ARIS, onboard Process framework as designed to fulfill Process and compliance requirements</x:v>
      </x:c>
      <x:c r="R70" s="15" t="str">
        <x:v>None</x:v>
      </x:c>
      <x:c r="S70" s="15" t="str">
        <x:v>HEALTHY</x:v>
      </x:c>
      <x:c r="T70" s="15" t="str">
        <x:v>HEALTHY / MUST-DO — P1 — Immediate</x:v>
      </x:c>
    </x:row>
    <x:row r="71">
      <x:c r="A71" s="15" t="str">
        <x:v>EW-73</x:v>
      </x:c>
      <x:c r="B71" s="15" t="str">
        <x:v>EW-73</x:v>
      </x:c>
      <x:c r="C71" s="15" t="str">
        <x:v>1005857</x:v>
      </x:c>
      <x:c r="D71" s="15" t="str">
        <x:v>EW</x:v>
      </x:c>
      <x:c r="E71" s="15" t="n">
        <x:v>69</x:v>
      </x:c>
      <x:c r="F71" s="15" t="str">
        <x:v>EW Led</x:v>
      </x:c>
      <x:c r="G71" s="15" t="str">
        <x:v>Information Technology</x:v>
      </x:c>
      <x:c r="H71" s="15" t="str">
        <x:v>SPINE24</x:v>
      </x:c>
      <x:c r="I71" s="15" t="str">
        <x:v>Carry Over</x:v>
      </x:c>
      <x:c r="J71" s="15" t="str">
        <x:v>New Technology</x:v>
      </x:c>
      <x:c r="K71" s="15" t="str">
        <x:v>Integrated Supply Chain &amp; Finance</x:v>
      </x:c>
      <x:c r="L71" s="19" t="n">
        <x:v>0</x:v>
      </x:c>
      <x:c r="M71" s="19"/>
      <x:c r="N71" s="15" t="str">
        <x:v>Must Do</x:v>
      </x:c>
      <x:c r="O71" s="15" t="str">
        <x:v>Risk of business interruption for core Finance and ISC. Follows SAP strategy that is under finalization, - investment case being worked upon</x:v>
      </x:c>
      <x:c r="P71" s="15" t="str"/>
      <x:c r="Q71" s="15" t="str"/>
      <x:c r="R71" s="15" t="str"/>
      <x:c r="S71" s="15" t="str">
        <x:v>HEALTHY</x:v>
      </x:c>
      <x:c r="T71" s="15" t="str">
        <x:v>HEALTHY — Rank in priority matrix</x:v>
      </x:c>
    </x:row>
    <x:row r="72">
      <x:c r="A72" s="15" t="str">
        <x:v>EW-74</x:v>
      </x:c>
      <x:c r="B72" s="15" t="str">
        <x:v>EW-74</x:v>
      </x:c>
      <x:c r="C72" s="15" t="str"/>
      <x:c r="D72" s="15" t="str">
        <x:v>EW</x:v>
      </x:c>
      <x:c r="E72" s="15" t="n">
        <x:v>70</x:v>
      </x:c>
      <x:c r="F72" s="15" t="str">
        <x:v>EW Led</x:v>
      </x:c>
      <x:c r="G72" s="15" t="str">
        <x:v>Information Technology</x:v>
      </x:c>
      <x:c r="H72" s="15" t="str">
        <x:v>Future MES</x:v>
      </x:c>
      <x:c r="I72" s="15" t="str">
        <x:v>Carry Over</x:v>
      </x:c>
      <x:c r="J72" s="15" t="str">
        <x:v>New Technology</x:v>
      </x:c>
      <x:c r="K72" s="15" t="str">
        <x:v>Integrated Supply Chain &amp; Finance</x:v>
      </x:c>
      <x:c r="L72" s="19" t="n">
        <x:v>3.2</x:v>
      </x:c>
      <x:c r="M72" s="19"/>
      <x:c r="N72" s="15" t="str">
        <x:v>Must Do</x:v>
      </x:c>
      <x:c r="O72" s="15" t="str">
        <x:v>Current MES version will hit end of life soon and will be unsupported increasing risk exposure of business continuity for manufacturing sites</x:v>
      </x:c>
      <x:c r="P72" s="15" t="str"/>
      <x:c r="Q72" s="15" t="str"/>
      <x:c r="R72" s="15" t="str"/>
      <x:c r="S72" s="15" t="str">
        <x:v>HEALTHY</x:v>
      </x:c>
      <x:c r="T72" s="15" t="str">
        <x:v>HEALTHY — Rank in priority matrix</x:v>
      </x:c>
    </x:row>
    <x:row r="73">
      <x:c r="A73" s="15" t="str">
        <x:v>EW-75</x:v>
      </x:c>
      <x:c r="B73" s="15" t="str">
        <x:v>EW-75</x:v>
      </x:c>
      <x:c r="C73" s="15" t="str">
        <x:v>1006800</x:v>
      </x:c>
      <x:c r="D73" s="15" t="str">
        <x:v>EW</x:v>
      </x:c>
      <x:c r="E73" s="15" t="n">
        <x:v>71</x:v>
      </x:c>
      <x:c r="F73" s="15" t="str">
        <x:v>EW Led</x:v>
      </x:c>
      <x:c r="G73" s="15" t="str">
        <x:v>Finance</x:v>
      </x:c>
      <x:c r="H73" s="15" t="str">
        <x:v>FIN-ARIC Digital finance strategy - RtR</x:v>
      </x:c>
      <x:c r="I73" s="15" t="str">
        <x:v>Carry Over</x:v>
      </x:c>
      <x:c r="J73" s="15" t="str">
        <x:v>Decomm/Replatforming</x:v>
      </x:c>
      <x:c r="K73" s="15" t="str">
        <x:v>Integrated Supply Chain &amp; Finance</x:v>
      </x:c>
      <x:c r="L73" s="19" t="n">
        <x:v>0.5</x:v>
      </x:c>
      <x:c r="M73" s="19" t="n">
        <x:v>1.2</x:v>
      </x:c>
      <x:c r="N73" s="15" t="str">
        <x:v>Must Do</x:v>
      </x:c>
      <x:c r="O73" s="15" t="str">
        <x:v>Compelling business case of cost avoidance (20 FTE saving &amp; license cost)</x:v>
      </x:c>
      <x:c r="P73" s="15" t="str"/>
      <x:c r="Q73" s="15" t="str"/>
      <x:c r="R73" s="15" t="str"/>
      <x:c r="S73" s="15" t="str">
        <x:v>HEALTHY</x:v>
      </x:c>
      <x:c r="T73" s="15" t="str">
        <x:v>HEALTHY — Rank in priority matrix</x:v>
      </x:c>
    </x:row>
    <x:row r="74">
      <x:c r="A74" s="15" t="str">
        <x:v>EW-76</x:v>
      </x:c>
      <x:c r="B74" s="15" t="str">
        <x:v>EW-76</x:v>
      </x:c>
      <x:c r="C74" s="15" t="str">
        <x:v>1006800</x:v>
      </x:c>
      <x:c r="D74" s="15" t="str">
        <x:v>EW</x:v>
      </x:c>
      <x:c r="E74" s="15" t="n">
        <x:v>72</x:v>
      </x:c>
      <x:c r="F74" s="15" t="str">
        <x:v>EW Led</x:v>
      </x:c>
      <x:c r="G74" s="15" t="str">
        <x:v>Finance</x:v>
      </x:c>
      <x:c r="H74" s="15" t="str">
        <x:v>FIN-ARIC Digital finance strategy-C&amp;C</x:v>
      </x:c>
      <x:c r="I74" s="15" t="str">
        <x:v>Carry Over</x:v>
      </x:c>
      <x:c r="J74" s="15" t="str">
        <x:v>AI Enablement</x:v>
      </x:c>
      <x:c r="K74" s="15" t="str">
        <x:v>Integrated Supply Chain &amp; Finance</x:v>
      </x:c>
      <x:c r="L74" s="19" t="n">
        <x:v>0.3</x:v>
      </x:c>
      <x:c r="M74" s="19" t="n">
        <x:v>0.8</x:v>
      </x:c>
      <x:c r="N74" s="15" t="str">
        <x:v>Must Do</x:v>
      </x:c>
      <x:c r="O74" s="15" t="str">
        <x:v>Without implementing GenAI across these building blocks, the organization will forgo an estimated 5% productivity improvement (equivalent to 20 FTEs), resulting in continued manual effort, higher operational costs, and reduced capacity to support business growth.</x:v>
      </x:c>
      <x:c r="P74" s="15" t="str"/>
      <x:c r="Q74" s="15" t="str"/>
      <x:c r="R74" s="15" t="str"/>
      <x:c r="S74" s="15" t="str">
        <x:v>HEALTHY</x:v>
      </x:c>
      <x:c r="T74" s="15" t="str">
        <x:v>HEALTHY — Rank in priority matrix</x:v>
      </x:c>
    </x:row>
    <x:row r="75">
      <x:c r="A75" s="15" t="str">
        <x:v>EW-77</x:v>
      </x:c>
      <x:c r="B75" s="15" t="str">
        <x:v>EW-77</x:v>
      </x:c>
      <x:c r="C75" s="15" t="str"/>
      <x:c r="D75" s="15" t="str">
        <x:v>EW</x:v>
      </x:c>
      <x:c r="E75" s="15" t="n">
        <x:v>73</x:v>
      </x:c>
      <x:c r="F75" s="15" t="str">
        <x:v>EW Led</x:v>
      </x:c>
      <x:c r="G75" s="15" t="str">
        <x:v>Finance</x:v>
      </x:c>
      <x:c r="H75" s="15" t="str">
        <x:v>FIN-ARIC LFR's Non SAP being ADL/BW/Power BI etc. Dashboard &amp; Reports for SOx &amp; Compliancy purposes</x:v>
      </x:c>
      <x:c r="I75" s="15" t="str">
        <x:v>New Initiative</x:v>
      </x:c>
      <x:c r="J75" s="15" t="str">
        <x:v>Continuous Improvement</x:v>
      </x:c>
      <x:c r="K75" s="15" t="str">
        <x:v>Integrated Supply Chain &amp; Finance</x:v>
      </x:c>
      <x:c r="L75" s="19" t="n">
        <x:v>0.12</x:v>
      </x:c>
      <x:c r="M75" s="19" t="n">
        <x:v>0.12</x:v>
      </x:c>
      <x:c r="N75" s="15" t="str">
        <x:v>Must Do</x:v>
      </x:c>
      <x:c r="O75" s="15" t="str">
        <x:v>Philips becomes non-compliant with legal/fiscal/regulatory requirements; High risk exposure due to outdated systems; Potential penalties and audit findings</x:v>
      </x:c>
      <x:c r="P75" s="15" t="str"/>
      <x:c r="Q75" s="15" t="str"/>
      <x:c r="R75" s="15" t="str"/>
      <x:c r="S75" s="15" t="str">
        <x:v>HEALTHY</x:v>
      </x:c>
      <x:c r="T75" s="15" t="str">
        <x:v>HEALTHY / MUST-DO — P2 — Scheduled</x:v>
      </x:c>
    </x:row>
    <x:row r="76">
      <x:c r="A76" s="15" t="str">
        <x:v>EW-78</x:v>
      </x:c>
      <x:c r="B76" s="15" t="str">
        <x:v>EW-78</x:v>
      </x:c>
      <x:c r="C76" s="15" t="str"/>
      <x:c r="D76" s="15" t="str">
        <x:v>EW</x:v>
      </x:c>
      <x:c r="E76" s="15" t="n">
        <x:v>74</x:v>
      </x:c>
      <x:c r="F76" s="15" t="str">
        <x:v>EW Led</x:v>
      </x:c>
      <x:c r="G76" s="15" t="str">
        <x:v>Finance</x:v>
      </x:c>
      <x:c r="H76" s="15" t="str">
        <x:v>FIN-Automated workflow for SLA preparation &amp; signing &amp; archiving</x:v>
      </x:c>
      <x:c r="I76" s="15" t="str">
        <x:v>New Initiative</x:v>
      </x:c>
      <x:c r="J76" s="15" t="str">
        <x:v>AI Enablement</x:v>
      </x:c>
      <x:c r="K76" s="15" t="str">
        <x:v>Integrated Supply Chain &amp; Finance</x:v>
      </x:c>
      <x:c r="L76" s="19" t="n">
        <x:v>0.05</x:v>
      </x:c>
      <x:c r="M76" s="19" t="n">
        <x:v>0.05</x:v>
      </x:c>
      <x:c r="N76" s="15" t="str">
        <x:v>Must Do</x:v>
      </x:c>
      <x:c r="O76" s="15" t="str">
        <x:v>Non Tax Compliance</x:v>
      </x:c>
      <x:c r="P76" s="15" t="str"/>
      <x:c r="Q76" s="15" t="str"/>
      <x:c r="R76" s="15" t="str"/>
      <x:c r="S76" s="15" t="str"/>
      <x:c r="T76" s="15" t="str"/>
    </x:row>
    <x:row r="77">
      <x:c r="A77" s="15" t="str">
        <x:v>EW-79</x:v>
      </x:c>
      <x:c r="B77" s="15" t="str">
        <x:v>EW-79</x:v>
      </x:c>
      <x:c r="C77" s="15" t="str"/>
      <x:c r="D77" s="15" t="str">
        <x:v>EW</x:v>
      </x:c>
      <x:c r="E77" s="15" t="n">
        <x:v>75</x:v>
      </x:c>
      <x:c r="F77" s="15" t="str">
        <x:v>EW Led</x:v>
      </x:c>
      <x:c r="G77" s="15" t="str">
        <x:v>Finance</x:v>
      </x:c>
      <x:c r="H77" s="15" t="str">
        <x:v>FIN-Communication mining for P2P queries</x:v>
      </x:c>
      <x:c r="I77" s="15" t="str">
        <x:v>New Initiative</x:v>
      </x:c>
      <x:c r="J77" s="15" t="str">
        <x:v>AI Enablement</x:v>
      </x:c>
      <x:c r="K77" s="15" t="str">
        <x:v>Integrated Supply Chain &amp; Finance</x:v>
      </x:c>
      <x:c r="L77" s="19" t="n">
        <x:v>0.1</x:v>
      </x:c>
      <x:c r="M77" s="19" t="n">
        <x:v>0.1</x:v>
      </x:c>
      <x:c r="N77" s="15" t="str">
        <x:v>Must Do</x:v>
      </x:c>
      <x:c r="O77" s="15" t="str">
        <x:v>Manual email classification and allocation; Inefficient query handling (5FTEs)</x:v>
      </x:c>
      <x:c r="P77" s="15" t="str"/>
      <x:c r="Q77" s="15" t="str"/>
      <x:c r="R77" s="15" t="str"/>
      <x:c r="S77" s="15" t="str">
        <x:v>HEALTHY</x:v>
      </x:c>
      <x:c r="T77" s="15" t="str">
        <x:v>HEALTHY — Rank in priority matrix</x:v>
      </x:c>
    </x:row>
    <x:row r="78">
      <x:c r="A78" s="15" t="str">
        <x:v>EW-80</x:v>
      </x:c>
      <x:c r="B78" s="15" t="str">
        <x:v>EW-80</x:v>
      </x:c>
      <x:c r="C78" s="15" t="str"/>
      <x:c r="D78" s="15" t="str">
        <x:v>EW</x:v>
      </x:c>
      <x:c r="E78" s="15" t="n">
        <x:v>76</x:v>
      </x:c>
      <x:c r="F78" s="15" t="str">
        <x:v>EW Led</x:v>
      </x:c>
      <x:c r="G78" s="15" t="str">
        <x:v>Finance</x:v>
      </x:c>
      <x:c r="H78" s="15" t="str">
        <x:v>FIN-Concur Request integration with Travel &amp; Joule implementation &amp; AI Audit tool</x:v>
      </x:c>
      <x:c r="I78" s="15" t="str">
        <x:v>New Initiative</x:v>
      </x:c>
      <x:c r="J78" s="15" t="str">
        <x:v>AI Enablement</x:v>
      </x:c>
      <x:c r="K78" s="15" t="str">
        <x:v>Integrated Supply Chain &amp; Finance</x:v>
      </x:c>
      <x:c r="L78" s="19" t="n">
        <x:v>0.15</x:v>
      </x:c>
      <x:c r="M78" s="19" t="n">
        <x:v>0.15</x:v>
      </x:c>
      <x:c r="N78" s="15" t="str">
        <x:v>Must Do</x:v>
      </x:c>
      <x:c r="O78" s="15" t="str">
        <x:v>Gap between travel request approval and actual booking remains; BTA spend approval not evidenced; aRBAM approval cannot be removed</x:v>
      </x:c>
      <x:c r="P78" s="15" t="str"/>
      <x:c r="Q78" s="15" t="str"/>
      <x:c r="R78" s="15" t="str"/>
      <x:c r="S78" s="15" t="str">
        <x:v>HEALTHY</x:v>
      </x:c>
      <x:c r="T78" s="15" t="str">
        <x:v>HEALTHY — Rank in priority matrix</x:v>
      </x:c>
    </x:row>
    <x:row r="79">
      <x:c r="A79" s="15" t="str">
        <x:v>EW-81</x:v>
      </x:c>
      <x:c r="B79" s="15" t="str">
        <x:v>EW-81</x:v>
      </x:c>
      <x:c r="C79" s="15" t="str"/>
      <x:c r="D79" s="15" t="str">
        <x:v>EW</x:v>
      </x:c>
      <x:c r="E79" s="15" t="n">
        <x:v>77</x:v>
      </x:c>
      <x:c r="F79" s="15" t="str">
        <x:v>EW Led</x:v>
      </x:c>
      <x:c r="G79" s="15" t="str">
        <x:v>Finance</x:v>
      </x:c>
      <x:c r="H79" s="15" t="str">
        <x:v>FIN-Digital Accounting Operation</x:v>
      </x:c>
      <x:c r="I79" s="15" t="str">
        <x:v>New Initiative</x:v>
      </x:c>
      <x:c r="J79" s="15" t="str">
        <x:v>AI Enablement</x:v>
      </x:c>
      <x:c r="K79" s="15" t="str">
        <x:v>Integrated Supply Chain &amp; Finance</x:v>
      </x:c>
      <x:c r="L79" s="19" t="n">
        <x:v>0.3</x:v>
      </x:c>
      <x:c r="M79" s="19" t="n">
        <x:v>0.56</x:v>
      </x:c>
      <x:c r="N79" s="15" t="str">
        <x:v>Must Do</x:v>
      </x:c>
      <x:c r="O79" s="15" t="str">
        <x:v>Zero Touch Close benefits unrealized; Continued manual accounting operations; AI Big Bets initiative delayed (7 FTEs Saving)</x:v>
      </x:c>
      <x:c r="P79" s="15" t="str"/>
      <x:c r="Q79" s="15" t="str"/>
      <x:c r="R79" s="15" t="str"/>
      <x:c r="S79" s="15" t="str">
        <x:v>HEALTHY</x:v>
      </x:c>
      <x:c r="T79" s="15" t="str">
        <x:v>HEALTHY — Rank in priority matrix</x:v>
      </x:c>
    </x:row>
    <x:row r="80">
      <x:c r="A80" s="15" t="str">
        <x:v>EW-82</x:v>
      </x:c>
      <x:c r="B80" s="15" t="str">
        <x:v>EW-82</x:v>
      </x:c>
      <x:c r="C80" s="15" t="str"/>
      <x:c r="D80" s="15" t="str">
        <x:v>EW</x:v>
      </x:c>
      <x:c r="E80" s="15" t="n">
        <x:v>78</x:v>
      </x:c>
      <x:c r="F80" s="15" t="str">
        <x:v>EW Led</x:v>
      </x:c>
      <x:c r="G80" s="15" t="str">
        <x:v>Finance</x:v>
      </x:c>
      <x:c r="H80" s="15" t="str">
        <x:v>FIN-VAT/GST tool</x:v>
      </x:c>
      <x:c r="I80" s="15" t="str">
        <x:v>New Initiative</x:v>
      </x:c>
      <x:c r="J80" s="15" t="str">
        <x:v>AI Enablement</x:v>
      </x:c>
      <x:c r="K80" s="15" t="str">
        <x:v>Integrated Supply Chain &amp; Finance</x:v>
      </x:c>
      <x:c r="L80" s="19" t="n">
        <x:v>0.6</x:v>
      </x:c>
      <x:c r="M80" s="19" t="n">
        <x:v>0.15</x:v>
      </x:c>
      <x:c r="N80" s="15" t="str">
        <x:v>Must Do</x:v>
      </x:c>
      <x:c r="O80" s="15" t="str">
        <x:v>Continued €150K annual license cost for external tool; IDTX Ops team work not automated; No AI capabilities for VAT/GST</x:v>
      </x:c>
      <x:c r="P80" s="15" t="str"/>
      <x:c r="Q80" s="15" t="str"/>
      <x:c r="R80" s="15" t="str"/>
      <x:c r="S80" s="15" t="str">
        <x:v>HEALTHY</x:v>
      </x:c>
      <x:c r="T80" s="15" t="str">
        <x:v>HEALTHY — Rank in priority matrix</x:v>
      </x:c>
    </x:row>
    <x:row r="81">
      <x:c r="A81" s="15" t="str">
        <x:v>EW-83</x:v>
      </x:c>
      <x:c r="B81" s="15" t="str">
        <x:v>EW-83</x:v>
      </x:c>
      <x:c r="C81" s="15" t="str"/>
      <x:c r="D81" s="15" t="str">
        <x:v>EW</x:v>
      </x:c>
      <x:c r="E81" s="15" t="n">
        <x:v>79</x:v>
      </x:c>
      <x:c r="F81" s="15" t="str">
        <x:v>EW Led</x:v>
      </x:c>
      <x:c r="G81" s="15" t="str">
        <x:v>Finance</x:v>
      </x:c>
      <x:c r="H81" s="15" t="str">
        <x:v>FIN-Form 1099/1042 withholding tax process improvements</x:v>
      </x:c>
      <x:c r="I81" s="15" t="str">
        <x:v>New Initiative</x:v>
      </x:c>
      <x:c r="J81" s="15" t="str">
        <x:v>Legal Fiscal, Regulatory &amp; Compliancy</x:v>
      </x:c>
      <x:c r="K81" s="15" t="str">
        <x:v>Integrated Supply Chain &amp; Finance</x:v>
      </x:c>
      <x:c r="L81" s="19" t="n">
        <x:v>0.05</x:v>
      </x:c>
      <x:c r="M81" s="19" t="n">
        <x:v>0.05</x:v>
      </x:c>
      <x:c r="N81" s="15" t="str">
        <x:v>Must Do</x:v>
      </x:c>
      <x:c r="O81" s="15" t="str">
        <x:v>Withholding tax process deficiencies in NA; Risk of non-compliance with domestic and foreign third-party payment rules</x:v>
      </x:c>
      <x:c r="P81" s="15" t="str"/>
      <x:c r="Q81" s="15" t="str"/>
      <x:c r="R81" s="15" t="str"/>
      <x:c r="S81" s="15" t="str">
        <x:v>HEALTHY</x:v>
      </x:c>
      <x:c r="T81" s="15" t="str">
        <x:v>HEALTHY — Rank in priority matrix</x:v>
      </x:c>
    </x:row>
    <x:row r="82">
      <x:c r="A82" s="15" t="str">
        <x:v>EW-84</x:v>
      </x:c>
      <x:c r="B82" s="15" t="str">
        <x:v>EW-84</x:v>
      </x:c>
      <x:c r="C82" s="15" t="str">
        <x:v>1006902</x:v>
      </x:c>
      <x:c r="D82" s="15" t="str">
        <x:v>EW</x:v>
      </x:c>
      <x:c r="E82" s="15" t="n">
        <x:v>80</x:v>
      </x:c>
      <x:c r="F82" s="15" t="str">
        <x:v>EW Led</x:v>
      </x:c>
      <x:c r="G82" s="15" t="str">
        <x:v>Finance</x:v>
      </x:c>
      <x:c r="H82" s="15" t="str">
        <x:v>FIN-FPA Digital -AI/GenAI implementation (FP&amp;A cases) (Big-Bets)</x:v>
      </x:c>
      <x:c r="I82" s="15" t="str">
        <x:v>Carry Over</x:v>
      </x:c>
      <x:c r="J82" s="15" t="str">
        <x:v>AI Enablement</x:v>
      </x:c>
      <x:c r="K82" s="15" t="str">
        <x:v>Integrated Supply Chain &amp; Finance</x:v>
      </x:c>
      <x:c r="L82" s="19" t="n">
        <x:v>0.25</x:v>
      </x:c>
      <x:c r="M82" s="19" t="n">
        <x:v>1.2</x:v>
      </x:c>
      <x:c r="N82" s="15" t="str">
        <x:v>Must Do</x:v>
      </x:c>
      <x:c r="O82" s="15" t="str">
        <x:v>Missed Gen AI scaling opportunity for scenario modeling and analytics; Continued manual effort; Finance function not future-proofed</x:v>
      </x:c>
      <x:c r="P82" s="15" t="str"/>
      <x:c r="Q82" s="15" t="str"/>
      <x:c r="R82" s="15" t="str"/>
      <x:c r="S82" s="15" t="str">
        <x:v>HEALTHY</x:v>
      </x:c>
      <x:c r="T82" s="15" t="str">
        <x:v>HEALTHY — Rank in priority matrix</x:v>
      </x:c>
    </x:row>
    <x:row r="83">
      <x:c r="A83" s="15" t="str">
        <x:v>EW-85</x:v>
      </x:c>
      <x:c r="B83" s="15" t="str">
        <x:v>EW-85</x:v>
      </x:c>
      <x:c r="C83" s="15" t="str"/>
      <x:c r="D83" s="15" t="str">
        <x:v>EW</x:v>
      </x:c>
      <x:c r="E83" s="15" t="n">
        <x:v>81</x:v>
      </x:c>
      <x:c r="F83" s="15" t="str">
        <x:v>EW Led</x:v>
      </x:c>
      <x:c r="G83" s="15" t="str">
        <x:v>Finance</x:v>
      </x:c>
      <x:c r="H83" s="15" t="str">
        <x:v>FIN-GenAI use cases</x:v>
      </x:c>
      <x:c r="I83" s="15" t="str">
        <x:v>New Initiative</x:v>
      </x:c>
      <x:c r="J83" s="15" t="str">
        <x:v>AI Enablement</x:v>
      </x:c>
      <x:c r="K83" s="15" t="str">
        <x:v>Integrated Supply Chain &amp; Finance</x:v>
      </x:c>
      <x:c r="L83" s="19" t="n">
        <x:v>0.25</x:v>
      </x:c>
      <x:c r="M83" s="19" t="n">
        <x:v>0.25</x:v>
      </x:c>
      <x:c r="N83" s="15" t="str">
        <x:v>Must Do</x:v>
      </x:c>
      <x:c r="O83" s="15" t="str">
        <x:v>Tax automation opportunities missed; No AI-driven analytics on VAT/GST/SUT; Manual R&amp;D Tax Credit process continues; eInvoicing pre-steps not automated</x:v>
      </x:c>
      <x:c r="P83" s="15" t="str"/>
      <x:c r="Q83" s="15" t="str"/>
      <x:c r="R83" s="15" t="str"/>
      <x:c r="S83" s="15" t="str">
        <x:v>HEALTHY</x:v>
      </x:c>
      <x:c r="T83" s="15" t="str">
        <x:v>HEALTHY — Rank in priority matrix</x:v>
      </x:c>
    </x:row>
    <x:row r="84">
      <x:c r="A84" s="15" t="str">
        <x:v>EW-86</x:v>
      </x:c>
      <x:c r="B84" s="15" t="str">
        <x:v>EW-86</x:v>
      </x:c>
      <x:c r="C84" s="15" t="str">
        <x:v>1006802</x:v>
      </x:c>
      <x:c r="D84" s="15" t="str">
        <x:v>EW</x:v>
      </x:c>
      <x:c r="E84" s="15" t="n">
        <x:v>82</x:v>
      </x:c>
      <x:c r="F84" s="15" t="str">
        <x:v>EW Led</x:v>
      </x:c>
      <x:c r="G84" s="15" t="str">
        <x:v>Finance</x:v>
      </x:c>
      <x:c r="H84" s="15" t="str">
        <x:v>FIN-MJV improvements</x:v>
      </x:c>
      <x:c r="I84" s="15" t="str">
        <x:v>Carry Over</x:v>
      </x:c>
      <x:c r="J84" s="15" t="str">
        <x:v>Decomm/Replatforming</x:v>
      </x:c>
      <x:c r="K84" s="15" t="str">
        <x:v>Integrated Supply Chain &amp; Finance</x:v>
      </x:c>
      <x:c r="L84" s="19" t="n">
        <x:v>0.5</x:v>
      </x:c>
      <x:c r="M84" s="19" t="n">
        <x:v>0.83</x:v>
      </x:c>
      <x:c r="N84" s="15" t="str">
        <x:v>Must Do</x:v>
      </x:c>
      <x:c r="O84" s="15" t="str">
        <x:v>Compelling business case of cost avoidance (12 FTE saving &amp; license cost)</x:v>
      </x:c>
      <x:c r="P84" s="15" t="str"/>
      <x:c r="Q84" s="15" t="str"/>
      <x:c r="R84" s="15" t="str"/>
      <x:c r="S84" s="15" t="str">
        <x:v>HEALTHY</x:v>
      </x:c>
      <x:c r="T84" s="15" t="str">
        <x:v>HEALTHY — Rank in priority matrix</x:v>
      </x:c>
    </x:row>
    <x:row r="85">
      <x:c r="A85" s="15" t="str">
        <x:v>EW-87</x:v>
      </x:c>
      <x:c r="B85" s="15" t="str">
        <x:v>EW-87</x:v>
      </x:c>
      <x:c r="C85" s="15" t="str"/>
      <x:c r="D85" s="15" t="str">
        <x:v>EW</x:v>
      </x:c>
      <x:c r="E85" s="15" t="n">
        <x:v>83</x:v>
      </x:c>
      <x:c r="F85" s="15" t="str">
        <x:v>EW Led</x:v>
      </x:c>
      <x:c r="G85" s="15" t="str">
        <x:v>Finance</x:v>
      </x:c>
      <x:c r="H85" s="15" t="str">
        <x:v>FIN-P2P vendor inquiry chat bot automation &amp; other AI iniciatives</x:v>
      </x:c>
      <x:c r="I85" s="15" t="str">
        <x:v>New Initiative</x:v>
      </x:c>
      <x:c r="J85" s="15" t="str">
        <x:v>AI Enablement</x:v>
      </x:c>
      <x:c r="K85" s="15" t="str">
        <x:v>Integrated Supply Chain &amp; Finance</x:v>
      </x:c>
      <x:c r="L85" s="19" t="n">
        <x:v>0.15</x:v>
      </x:c>
      <x:c r="M85" s="19" t="n">
        <x:v>0.18</x:v>
      </x:c>
      <x:c r="N85" s="15" t="str">
        <x:v>Must Do</x:v>
      </x:c>
      <x:c r="O85" s="15" t="str">
        <x:v>Loss of €180K annual savings; No SNOW integration; Vendor reconciliation manual; PO copy download unavailable (9FTE)</x:v>
      </x:c>
      <x:c r="P85" s="15" t="str"/>
      <x:c r="Q85" s="15" t="str"/>
      <x:c r="R85" s="15" t="str"/>
      <x:c r="S85" s="15" t="str">
        <x:v>HEALTHY</x:v>
      </x:c>
      <x:c r="T85" s="15" t="str">
        <x:v>HEALTHY — Rank in priority matrix</x:v>
      </x:c>
    </x:row>
    <x:row r="86">
      <x:c r="A86" s="15" t="str">
        <x:v>EW-88</x:v>
      </x:c>
      <x:c r="B86" s="15" t="str">
        <x:v>EW-88</x:v>
      </x:c>
      <x:c r="C86" s="15" t="str"/>
      <x:c r="D86" s="15" t="str">
        <x:v>EW</x:v>
      </x:c>
      <x:c r="E86" s="15" t="n">
        <x:v>84</x:v>
      </x:c>
      <x:c r="F86" s="15" t="str">
        <x:v>EW Led</x:v>
      </x:c>
      <x:c r="G86" s="15" t="str">
        <x:v>Information Technology</x:v>
      </x:c>
      <x:c r="H86" s="15" t="str">
        <x:v>FIN-Predictive Planning Tooling via SAC (Cost Center, Industry, Other)</x:v>
      </x:c>
      <x:c r="I86" s="15" t="str">
        <x:v>New Initiative</x:v>
      </x:c>
      <x:c r="J86" s="15" t="str">
        <x:v>AI Enablement</x:v>
      </x:c>
      <x:c r="K86" s="15" t="str">
        <x:v>Integrated Supply Chain &amp; Finance</x:v>
      </x:c>
      <x:c r="L86" s="19" t="n">
        <x:v>0</x:v>
      </x:c>
      <x:c r="M86" s="19"/>
      <x:c r="N86" s="15" t="str">
        <x:v>Must Do</x:v>
      </x:c>
      <x:c r="O86" s="15" t="str">
        <x:v>This is part of SPINE we can remove from here.</x:v>
      </x:c>
      <x:c r="P86" s="15" t="str"/>
      <x:c r="Q86" s="15" t="str"/>
      <x:c r="R86" s="15" t="str"/>
      <x:c r="S86" s="15" t="str">
        <x:v>HEALTHY</x:v>
      </x:c>
      <x:c r="T86" s="15" t="str">
        <x:v>HEALTHY — Rank in priority matrix</x:v>
      </x:c>
    </x:row>
    <x:row r="87">
      <x:c r="A87" s="15" t="str">
        <x:v>EW-89</x:v>
      </x:c>
      <x:c r="B87" s="15" t="str">
        <x:v>EW-89</x:v>
      </x:c>
      <x:c r="C87" s="15" t="str"/>
      <x:c r="D87" s="15" t="str">
        <x:v>EW</x:v>
      </x:c>
      <x:c r="E87" s="15" t="n">
        <x:v>85</x:v>
      </x:c>
      <x:c r="F87" s="15" t="str">
        <x:v>EW Led</x:v>
      </x:c>
      <x:c r="G87" s="15" t="str">
        <x:v>Finance</x:v>
      </x:c>
      <x:c r="H87" s="15" t="str">
        <x:v>FIN-Digitalized Financial Insight</x:v>
      </x:c>
      <x:c r="I87" s="15" t="str">
        <x:v>New Initiative</x:v>
      </x:c>
      <x:c r="J87" s="15" t="str">
        <x:v>AI Enablement</x:v>
      </x:c>
      <x:c r="K87" s="15" t="str">
        <x:v>Integrated Supply Chain &amp; Finance</x:v>
      </x:c>
      <x:c r="L87" s="19" t="n">
        <x:v>0.25</x:v>
      </x:c>
      <x:c r="M87" s="19" t="n">
        <x:v>0.4</x:v>
      </x:c>
      <x:c r="N87" s="15" t="str">
        <x:v>Must Do</x:v>
      </x:c>
      <x:c r="O87" s="15" t="str">
        <x:v>TSR Dashboard enhancements not delivered; Limited financial insights; (5 FTEs)</x:v>
      </x:c>
      <x:c r="P87" s="15" t="str"/>
      <x:c r="Q87" s="15" t="str"/>
      <x:c r="R87" s="15" t="str"/>
      <x:c r="S87" s="15" t="str">
        <x:v>HEALTHY</x:v>
      </x:c>
      <x:c r="T87" s="15" t="str">
        <x:v>HEALTHY — Rank in priority matrix</x:v>
      </x:c>
    </x:row>
    <x:row r="88">
      <x:c r="A88" s="15" t="str">
        <x:v>EW-90</x:v>
      </x:c>
      <x:c r="B88" s="15" t="str">
        <x:v>EW-90</x:v>
      </x:c>
      <x:c r="C88" s="15" t="str"/>
      <x:c r="D88" s="15" t="str">
        <x:v>EW</x:v>
      </x:c>
      <x:c r="E88" s="15" t="n">
        <x:v>86</x:v>
      </x:c>
      <x:c r="F88" s="15" t="str">
        <x:v>EW Led</x:v>
      </x:c>
      <x:c r="G88" s="15" t="str">
        <x:v>Finance</x:v>
      </x:c>
      <x:c r="H88" s="15" t="str">
        <x:v>FIN-PSA improvements (cfr issues listed in the audit report)</x:v>
      </x:c>
      <x:c r="I88" s="15" t="str">
        <x:v>New Initiative</x:v>
      </x:c>
      <x:c r="J88" s="15" t="str">
        <x:v>Continuous Improvement</x:v>
      </x:c>
      <x:c r="K88" s="15" t="str">
        <x:v>Integrated Supply Chain &amp; Finance</x:v>
      </x:c>
      <x:c r="L88" s="19" t="n">
        <x:v>0.25</x:v>
      </x:c>
      <x:c r="M88" s="19"/>
      <x:c r="N88" s="15" t="str">
        <x:v>Must Do</x:v>
      </x:c>
      <x:c r="O88" s="15" t="str">
        <x:v>Inefficient monitoring of time written to PSA transaltes to Financial data sent to MP1</x:v>
      </x:c>
      <x:c r="P88" s="15" t="str"/>
      <x:c r="Q88" s="15" t="str"/>
      <x:c r="R88" s="15" t="str"/>
      <x:c r="S88" s="15" t="str">
        <x:v>HEALTHY</x:v>
      </x:c>
      <x:c r="T88" s="15" t="str">
        <x:v>HEALTHY — Rank in priority matrix</x:v>
      </x:c>
    </x:row>
    <x:row r="89">
      <x:c r="A89" s="15" t="str">
        <x:v>EW-91</x:v>
      </x:c>
      <x:c r="B89" s="15" t="str">
        <x:v>EW-91</x:v>
      </x:c>
      <x:c r="C89" s="15" t="str"/>
      <x:c r="D89" s="15" t="str">
        <x:v>EW</x:v>
      </x:c>
      <x:c r="E89" s="15" t="n">
        <x:v>87</x:v>
      </x:c>
      <x:c r="F89" s="15" t="str">
        <x:v>EW Led</x:v>
      </x:c>
      <x:c r="G89" s="15" t="str">
        <x:v>Finance</x:v>
      </x:c>
      <x:c r="H89" s="15" t="str">
        <x:v>FIN-TESSA BOT phase 2 (use cases shared for 2027 effort estimation)</x:v>
      </x:c>
      <x:c r="I89" s="15" t="str">
        <x:v>New Initiative</x:v>
      </x:c>
      <x:c r="J89" s="15" t="str">
        <x:v>AI Enablement</x:v>
      </x:c>
      <x:c r="K89" s="15" t="str">
        <x:v>Integrated Supply Chain &amp; Finance</x:v>
      </x:c>
      <x:c r="L89" s="19" t="n">
        <x:v>0.3</x:v>
      </x:c>
      <x:c r="M89" s="19" t="n">
        <x:v>0.1</x:v>
      </x:c>
      <x:c r="N89" s="15" t="str">
        <x:v>Must Do</x:v>
      </x:c>
      <x:c r="O89" s="15" t="str">
        <x:v>Efficiency gains unrealized; Continued manual repetitive tasks; Treasury resource dependency persists; (1FTE)</x:v>
      </x:c>
      <x:c r="P89" s="15" t="str"/>
      <x:c r="Q89" s="15" t="str"/>
      <x:c r="R89" s="15" t="str"/>
      <x:c r="S89" s="15" t="str">
        <x:v>HEALTHY</x:v>
      </x:c>
      <x:c r="T89" s="15" t="str">
        <x:v>HEALTHY — Rank in priority matrix</x:v>
      </x:c>
    </x:row>
    <x:row r="90">
      <x:c r="A90" s="15" t="str">
        <x:v>EW-92</x:v>
      </x:c>
      <x:c r="B90" s="15" t="str">
        <x:v>EW-92</x:v>
      </x:c>
      <x:c r="C90" s="15" t="str"/>
      <x:c r="D90" s="15" t="str">
        <x:v>EW</x:v>
      </x:c>
      <x:c r="E90" s="15" t="n">
        <x:v>88</x:v>
      </x:c>
      <x:c r="F90" s="15" t="str">
        <x:v>EW Led</x:v>
      </x:c>
      <x:c r="G90" s="15" t="str">
        <x:v>Finance</x:v>
      </x:c>
      <x:c r="H90" s="15" t="str">
        <x:v>FIN-Decom UiPatch (Communication Mining)</x:v>
      </x:c>
      <x:c r="I90" s="15" t="str">
        <x:v>New Initiative</x:v>
      </x:c>
      <x:c r="J90" s="15" t="str">
        <x:v>Decomm/Replatforming</x:v>
      </x:c>
      <x:c r="K90" s="15" t="str">
        <x:v>Integrated Supply Chain &amp; Finance</x:v>
      </x:c>
      <x:c r="L90" s="19" t="n">
        <x:v>0.4</x:v>
      </x:c>
      <x:c r="M90" s="19" t="n">
        <x:v>0.4</x:v>
      </x:c>
      <x:c r="N90" s="15" t="str">
        <x:v>Must Do</x:v>
      </x:c>
      <x:c r="O90" s="15" t="str">
        <x:v>Savings not realized</x:v>
      </x:c>
      <x:c r="P90" s="15" t="str"/>
      <x:c r="Q90" s="15" t="str"/>
      <x:c r="R90" s="15" t="str"/>
      <x:c r="S90" s="15" t="str">
        <x:v>HEALTHY</x:v>
      </x:c>
      <x:c r="T90" s="15" t="str">
        <x:v>HEALTHY — Rank in priority matrix</x:v>
      </x:c>
    </x:row>
    <x:row r="91">
      <x:c r="A91" s="15" t="str">
        <x:v>EW-93</x:v>
      </x:c>
      <x:c r="B91" s="15" t="str">
        <x:v>EW-93</x:v>
      </x:c>
      <x:c r="C91" s="15" t="str"/>
      <x:c r="D91" s="15" t="str">
        <x:v>EW</x:v>
      </x:c>
      <x:c r="E91" s="15" t="n">
        <x:v>89</x:v>
      </x:c>
      <x:c r="F91" s="15" t="str">
        <x:v>EW Led</x:v>
      </x:c>
      <x:c r="G91" s="15" t="str">
        <x:v>Finance</x:v>
      </x:c>
      <x:c r="H91" s="15" t="str">
        <x:v>FIN-C&amp;C: Credit Management</x:v>
      </x:c>
      <x:c r="I91" s="15" t="str">
        <x:v>New Initiative</x:v>
      </x:c>
      <x:c r="J91" s="15" t="str">
        <x:v>AI Enablement</x:v>
      </x:c>
      <x:c r="K91" s="15" t="str">
        <x:v>Integrated Supply Chain &amp; Finance</x:v>
      </x:c>
      <x:c r="L91" s="19" t="n">
        <x:v>0.15</x:v>
      </x:c>
      <x:c r="M91" s="19" t="n">
        <x:v>0.3</x:v>
      </x:c>
      <x:c r="N91" s="15" t="str">
        <x:v>Must Do</x:v>
      </x:c>
      <x:c r="O91" s="15" t="str">
        <x:v>Credit management process improvements unrealized</x:v>
      </x:c>
      <x:c r="P91" s="15" t="str"/>
      <x:c r="Q91" s="15" t="str"/>
      <x:c r="R91" s="15" t="str"/>
      <x:c r="S91" s="15" t="str">
        <x:v>HEALTHY</x:v>
      </x:c>
      <x:c r="T91" s="15" t="str">
        <x:v>HEALTHY — Rank in priority matrix</x:v>
      </x:c>
    </x:row>
    <x:row r="92">
      <x:c r="A92" s="15" t="str">
        <x:v>EW-94</x:v>
      </x:c>
      <x:c r="B92" s="15" t="str">
        <x:v>EW-94</x:v>
      </x:c>
      <x:c r="C92" s="15" t="str"/>
      <x:c r="D92" s="15" t="str">
        <x:v>EW</x:v>
      </x:c>
      <x:c r="E92" s="15" t="n">
        <x:v>90</x:v>
      </x:c>
      <x:c r="F92" s="15" t="str">
        <x:v>EW Led</x:v>
      </x:c>
      <x:c r="G92" s="15" t="str">
        <x:v>Information Technology</x:v>
      </x:c>
      <x:c r="H92" s="15" t="str">
        <x:v>Automation of Certificate Lifecycle Management</x:v>
      </x:c>
      <x:c r="I92" s="15" t="str">
        <x:v>New Initiative</x:v>
      </x:c>
      <x:c r="J92" s="15" t="str">
        <x:v>Continuous Improvement</x:v>
      </x:c>
      <x:c r="K92" s="15" t="str">
        <x:v>IT-Security,Risk&amp;Compliance</x:v>
      </x:c>
      <x:c r="L92" s="19" t="n">
        <x:v>0</x:v>
      </x:c>
      <x:c r="M92" s="19"/>
      <x:c r="N92" s="15" t="str">
        <x:v>Deprioritised</x:v>
      </x:c>
      <x:c r="O92" s="15" t="str"/>
      <x:c r="P92" s="15" t="str"/>
      <x:c r="Q92" s="15" t="str"/>
      <x:c r="R92" s="15" t="str"/>
      <x:c r="S92" s="15" t="str"/>
      <x:c r="T92" s="15" t="str"/>
    </x:row>
    <x:row r="93">
      <x:c r="A93" s="15" t="str">
        <x:v>EW-95</x:v>
      </x:c>
      <x:c r="B93" s="15" t="str">
        <x:v>EW-95</x:v>
      </x:c>
      <x:c r="C93" s="15" t="str"/>
      <x:c r="D93" s="15" t="str">
        <x:v>EW</x:v>
      </x:c>
      <x:c r="E93" s="15" t="n">
        <x:v>91</x:v>
      </x:c>
      <x:c r="F93" s="15" t="str">
        <x:v>EW Led</x:v>
      </x:c>
      <x:c r="G93" s="15" t="str">
        <x:v>Information Technology</x:v>
      </x:c>
      <x:c r="H93" s="15" t="str">
        <x:v>Infrastructure Setup to support Real Estate initiatives (new site setup, relocation and closure)</x:v>
      </x:c>
      <x:c r="I93" s="15" t="str">
        <x:v>New Initiative</x:v>
      </x:c>
      <x:c r="J93" s="15" t="str">
        <x:v>Decomm/Replatforming</x:v>
      </x:c>
      <x:c r="K93" s="15" t="str">
        <x:v>Infrastructure Services – Projects</x:v>
      </x:c>
      <x:c r="L93" s="19" t="n">
        <x:v>2.5</x:v>
      </x:c>
      <x:c r="M93" s="19" t="n">
        <x:v>2000</x:v>
      </x:c>
      <x:c r="N93" s="15" t="str">
        <x:v>Must Do</x:v>
      </x:c>
      <x:c r="O93" s="15" t="str">
        <x: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x:v>
      </x:c>
      <x:c r="P93" s="15" t="str">
        <x:v>Mandatory office exits and business growth are creating a critical need for workspace relocation and expansion. Failure to execute these initiatives on time could impact business continuity, employee productivity, growth plans, and compliance with facility exit commitments.</x:v>
      </x:c>
      <x:c r="Q93" s="15" t="str">
        <x:v>Global</x:v>
      </x:c>
      <x:c r="R93" s="15" t="str"/>
      <x:c r="S93" s="15" t="str">
        <x:v>HEALTHY</x:v>
      </x:c>
      <x:c r="T93" s="15" t="str">
        <x:v>HEALTHY — Rank in priority matrix</x:v>
      </x:c>
    </x:row>
    <x:row r="94">
      <x:c r="A94" s="15" t="str">
        <x:v>EW-96</x:v>
      </x:c>
      <x:c r="B94" s="15" t="str">
        <x:v>EW-96</x:v>
      </x:c>
      <x:c r="C94" s="15" t="str"/>
      <x:c r="D94" s="15" t="str">
        <x:v>EW</x:v>
      </x:c>
      <x:c r="E94" s="15" t="n">
        <x:v>92</x:v>
      </x:c>
      <x:c r="F94" s="15" t="str">
        <x:v>EW Led</x:v>
      </x:c>
      <x:c r="G94" s="15" t="str">
        <x:v>Information Technology</x:v>
      </x:c>
      <x:c r="H94" s="15" t="str"/>
      <x:c r="I94" s="15" t="str">
        <x:v>Carry Over</x:v>
      </x:c>
      <x:c r="J94" s="15" t="str">
        <x:v>Upgrades &amp; Enhancements</x:v>
      </x:c>
      <x:c r="K94" s="15" t="str"/>
      <x:c r="L94" s="19" t="n">
        <x:v>0</x:v>
      </x:c>
      <x:c r="M94" s="19"/>
      <x:c r="N94" s="15" t="str"/>
      <x:c r="O94" s="15" t="str"/>
      <x:c r="P94" s="15" t="str"/>
      <x:c r="Q94" s="15" t="str">
        <x:v>Global</x:v>
      </x:c>
      <x:c r="R94" s="15" t="str"/>
      <x:c r="S94" s="15" t="str"/>
      <x:c r="T94" s="15" t="str"/>
    </x:row>
    <x:row r="95">
      <x:c r="A95" s="15" t="str">
        <x:v>EW-97</x:v>
      </x:c>
      <x:c r="B95" s="15" t="str">
        <x:v>EW-97</x:v>
      </x:c>
      <x:c r="C95" s="15" t="str">
        <x:v>1005332</x:v>
      </x:c>
      <x:c r="D95" s="15" t="str">
        <x:v>EW</x:v>
      </x:c>
      <x:c r="E95" s="15" t="n">
        <x:v>93</x:v>
      </x:c>
      <x:c r="F95" s="15" t="str">
        <x:v>EW Led</x:v>
      </x:c>
      <x:c r="G95" s="15" t="str">
        <x:v>Information Technology</x:v>
      </x:c>
      <x:c r="H95" s="15" t="str">
        <x:v>AI Infrastrcture Foundation</x:v>
      </x:c>
      <x:c r="I95" s="15" t="str">
        <x:v>New Initiative</x:v>
      </x:c>
      <x:c r="J95" s="15" t="str">
        <x:v>AI Enablement</x:v>
      </x:c>
      <x:c r="K95" s="15" t="str">
        <x:v>Infrastructure Services – Projects</x:v>
      </x:c>
      <x:c r="L95" s="19" t="n">
        <x:v>0.4</x:v>
      </x:c>
      <x:c r="M95" s="19"/>
      <x:c r="N95" s="15" t="str">
        <x:v>Must Do</x:v>
      </x:c>
      <x:c r="O95" s="15" t="str">
        <x:v>Power failures result in network devices going down and site not accessible</x:v>
      </x:c>
      <x:c r="P95" s="15" t="str">
        <x:v>On prem capability to reduce AI cost inclurred in cloud</x:v>
      </x:c>
      <x:c r="Q95" s="15" t="str">
        <x:v>Global</x:v>
      </x:c>
      <x:c r="R95" s="15" t="str"/>
      <x:c r="S95" s="15" t="str"/>
      <x:c r="T95" s="15" t="str"/>
    </x:row>
    <x:row r="96">
      <x:c r="A96" s="15" t="str">
        <x:v>EW-98</x:v>
      </x:c>
      <x:c r="B96" s="15" t="str">
        <x:v>EW-98</x:v>
      </x:c>
      <x:c r="C96" s="15" t="str"/>
      <x:c r="D96" s="15" t="str">
        <x:v>EW</x:v>
      </x:c>
      <x:c r="E96" s="15" t="n">
        <x:v>94</x:v>
      </x:c>
      <x:c r="F96" s="15" t="str">
        <x:v>EW Led</x:v>
      </x:c>
      <x:c r="G96" s="15" t="str">
        <x:v>Information Technology</x:v>
      </x:c>
      <x:c r="H96" s="15" t="str">
        <x:v>AI Finops</x:v>
      </x:c>
      <x:c r="I96" s="15" t="str">
        <x:v>New Initiative</x:v>
      </x:c>
      <x:c r="J96" s="15" t="str">
        <x:v>AI Enablement</x:v>
      </x:c>
      <x:c r="K96" s="15" t="str">
        <x:v>Infrastructure Services – Projects</x:v>
      </x:c>
      <x:c r="L96" s="19" t="n">
        <x:v>0.5</x:v>
      </x:c>
      <x:c r="M96" s="19"/>
      <x:c r="N96" s="15" t="str">
        <x:v>Must Do</x:v>
      </x:c>
      <x:c r="O96" s="15" t="str"/>
      <x:c r="P96" s="15" t="str">
        <x:v>establish a governed, scalable, and auditable platform for reporting enterprise AI adoption, usage, licensing, project costs, budgets, forecasts, and procurement reconciliation.</x:v>
      </x:c>
      <x:c r="Q96" s="15" t="str">
        <x:v>Global</x:v>
      </x:c>
      <x:c r="R96" s="15" t="str"/>
      <x:c r="S96" s="15" t="str"/>
      <x:c r="T96" s="15" t="str"/>
    </x:row>
    <x:row r="97">
      <x:c r="A97" s="15" t="str">
        <x:v>EW-99</x:v>
      </x:c>
      <x:c r="B97" s="15" t="str">
        <x:v>EW-99</x:v>
      </x:c>
      <x:c r="C97" s="15" t="str"/>
      <x:c r="D97" s="15" t="str">
        <x:v>EW</x:v>
      </x:c>
      <x:c r="E97" s="15" t="n">
        <x:v>95</x:v>
      </x:c>
      <x:c r="F97" s="15" t="str">
        <x:v>EW Led</x:v>
      </x:c>
      <x:c r="G97" s="15" t="str">
        <x:v>Information Technology</x:v>
      </x:c>
      <x:c r="H97" s="15" t="str">
        <x:v>Implementing Zero Trust NEtwork Architecture</x:v>
      </x:c>
      <x:c r="I97" s="15" t="str">
        <x:v>New Initiative</x:v>
      </x:c>
      <x:c r="J97" s="15" t="str">
        <x:v>New Technology</x:v>
      </x:c>
      <x:c r="K97" s="15" t="str">
        <x:v>Infrastructure Services – Projects</x:v>
      </x:c>
      <x:c r="L97" s="19" t="n">
        <x:v>0.17</x:v>
      </x:c>
      <x:c r="M97" s="19" t="n">
        <x:v>5</x:v>
      </x:c>
      <x:c r="N97" s="15" t="str">
        <x:v>Must Have</x:v>
      </x:c>
      <x:c r="O97" s="15" t="str">
        <x:v>mpact of Not Executing</x:v>
      </x:c>
      <x:c r="P97" s="15" t="str">
        <x: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x:v>
      </x:c>
      <x:c r="Q97" s="15" t="str">
        <x:v>Global</x:v>
      </x:c>
      <x:c r="R97" s="15" t="str"/>
      <x:c r="S97" s="15" t="str">
        <x:v>HEALTHY</x:v>
      </x:c>
      <x:c r="T97" s="15" t="str">
        <x:v>HEALTHY — Rank in priority matrix</x:v>
      </x:c>
    </x:row>
    <x:row r="98">
      <x:c r="A98" s="15" t="str">
        <x:v>EW-100</x:v>
      </x:c>
      <x:c r="B98" s="15" t="str">
        <x:v>EW-100</x:v>
      </x:c>
      <x:c r="C98" s="15" t="str"/>
      <x:c r="D98" s="15" t="str">
        <x:v>EW</x:v>
      </x:c>
      <x:c r="E98" s="15" t="n">
        <x:v>96</x:v>
      </x:c>
      <x:c r="F98" s="15" t="str">
        <x:v>EW Led</x:v>
      </x:c>
      <x:c r="G98" s="15" t="str">
        <x:v>Information Technology</x:v>
      </x:c>
      <x:c r="H98" s="15" t="str">
        <x:v>HW Lifecycle for NEtwork FW, Access points and core switches</x:v>
      </x:c>
      <x:c r="I98" s="15" t="str">
        <x:v>New Initiative</x:v>
      </x:c>
      <x:c r="J98" s="15" t="str">
        <x:v>Upgrades &amp; Enhancements</x:v>
      </x:c>
      <x:c r="K98" s="15" t="str">
        <x:v>Infrastructure Services – Projects</x:v>
      </x:c>
      <x:c r="L98" s="19" t="n">
        <x:v>1.2</x:v>
      </x:c>
      <x:c r="M98" s="19"/>
      <x:c r="N98" s="15" t="str">
        <x:v>Must Do</x:v>
      </x:c>
      <x:c r="O98" s="15" t="str">
        <x:v>Impact of Not Executing</x:v>
      </x:c>
      <x:c r="P98" s="15" t="str">
        <x: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x:v>
      </x:c>
      <x:c r="Q98" s="15" t="str">
        <x:v>Global</x:v>
      </x:c>
      <x:c r="R98" s="15" t="str"/>
      <x:c r="S98" s="15" t="str">
        <x:v>HEALTHY</x:v>
      </x:c>
      <x:c r="T98" s="15" t="str">
        <x:v>HEALTHY — Rank in priority matrix</x:v>
      </x:c>
    </x:row>
    <x:row r="99">
      <x:c r="A99" s="15" t="str">
        <x:v>EW-101</x:v>
      </x:c>
      <x:c r="B99" s="15" t="str">
        <x:v>EW-101</x:v>
      </x:c>
      <x:c r="C99" s="15" t="str"/>
      <x:c r="D99" s="15" t="str">
        <x:v>EW</x:v>
      </x:c>
      <x:c r="E99" s="15" t="n">
        <x:v>97</x:v>
      </x:c>
      <x:c r="F99" s="15" t="str">
        <x:v>EW Led</x:v>
      </x:c>
      <x:c r="G99" s="15" t="str">
        <x:v>Information Technology</x:v>
      </x:c>
      <x:c r="H99" s="15" t="str">
        <x:v>Cloud File Share Solution (CFSS)</x:v>
      </x:c>
      <x:c r="I99" s="15" t="str">
        <x:v>New Initiative</x:v>
      </x:c>
      <x:c r="J99" s="15" t="str">
        <x:v>Decomm/Replatforming</x:v>
      </x:c>
      <x:c r="K99" s="15" t="str">
        <x:v>Infrastructure Services – Projects</x:v>
      </x:c>
      <x:c r="L99" s="19" t="n">
        <x:v>0.7</x:v>
      </x:c>
      <x:c r="M99" s="19" t="n">
        <x:v>0.146</x:v>
      </x:c>
      <x:c r="N99" s="15" t="str">
        <x:v>Must Have</x:v>
      </x:c>
      <x:c r="O99" s="15" t="str">
        <x:v>Cache loss results in factories having to call off shifts</x:v>
      </x:c>
      <x:c r="P99" s="15" t="str">
        <x:v>Current AWS Storage gateway based file share solution is a black box and requires lot of maintenance and support. Loss of cache brings factories down</x:v>
      </x:c>
      <x:c r="Q99" s="15" t="str">
        <x:v>Global</x:v>
      </x:c>
      <x:c r="R99" s="15" t="str"/>
      <x:c r="S99" s="15" t="str">
        <x:v>HEALTHY</x:v>
      </x:c>
      <x:c r="T99" s="15" t="str">
        <x:v>HEALTHY — Rank in priority matrix</x:v>
      </x:c>
    </x:row>
    <x:row r="100">
      <x:c r="A100" s="15" t="str">
        <x:v>EW-102</x:v>
      </x:c>
      <x:c r="B100" s="15" t="str">
        <x:v>EW-102</x:v>
      </x:c>
      <x:c r="C100" s="15" t="str"/>
      <x:c r="D100" s="15" t="str">
        <x:v>EW</x:v>
      </x:c>
      <x:c r="E100" s="15" t="n">
        <x:v>98</x:v>
      </x:c>
      <x:c r="F100" s="15" t="str">
        <x:v>EW Led</x:v>
      </x:c>
      <x:c r="G100" s="15" t="str">
        <x:v>Information Technology</x:v>
      </x:c>
      <x:c r="H100" s="15" t="str">
        <x:v>IT ServiceContinuity Management</x:v>
      </x:c>
      <x:c r="I100" s="15" t="str">
        <x:v>Carry Over</x:v>
      </x:c>
      <x:c r="J100" s="15" t="str">
        <x:v>Legal Fiscal, Regulatory &amp; Compliancy</x:v>
      </x:c>
      <x:c r="K100" s="15" t="str">
        <x:v>Infrastructure Services – Projects</x:v>
      </x:c>
      <x:c r="L100" s="19" t="n">
        <x:v>0.125</x:v>
      </x:c>
      <x:c r="M100" s="19"/>
      <x:c r="N100" s="15" t="str">
        <x:v>Must Do</x:v>
      </x:c>
      <x:c r="O100" s="15" t="str">
        <x:v>If this is not implemented we are in the danger of additional audit queries and NC from the auditors</x:v>
      </x:c>
      <x:c r="P100" s="15" t="str">
        <x:v>There are some finanacial controls and reporting that needs to be completed to for us to be compliant</x:v>
      </x:c>
      <x:c r="Q100" s="15" t="str">
        <x:v>Global</x:v>
      </x:c>
      <x:c r="R100" s="15" t="str"/>
      <x:c r="S100" s="15" t="str">
        <x:v>HEALTHY</x:v>
      </x:c>
      <x:c r="T100" s="15" t="str">
        <x:v>HEALTHY / MUST-DO — P1 — Immediate</x:v>
      </x:c>
    </x:row>
    <x:row r="101">
      <x:c r="A101" s="15" t="str">
        <x:v>EW-103</x:v>
      </x:c>
      <x:c r="B101" s="15" t="str">
        <x:v>EW-103</x:v>
      </x:c>
      <x:c r="C101" s="15" t="str">
        <x:v>New</x:v>
      </x:c>
      <x:c r="D101" s="15" t="str">
        <x:v>EW</x:v>
      </x:c>
      <x:c r="E101" s="15" t="n">
        <x:v>99</x:v>
      </x:c>
      <x:c r="F101" s="15" t="str">
        <x:v>EW Led</x:v>
      </x:c>
      <x:c r="G101" s="15" t="str">
        <x:v>People function</x:v>
      </x:c>
      <x:c r="H101" s="15" t="str">
        <x:v>AI &amp; Ops</x:v>
      </x:c>
      <x:c r="I101" s="15" t="str">
        <x:v>Carry Over</x:v>
      </x:c>
      <x:c r="J101" s="15" t="str">
        <x:v>AI Enablement</x:v>
      </x:c>
      <x:c r="K101" s="15" t="str">
        <x:v>Group Functions &amp; Hyperautomation IT</x:v>
      </x:c>
      <x:c r="L101" s="19" t="n">
        <x:v>0.2</x:v>
      </x:c>
      <x:c r="M101" s="19" t="n">
        <x:v>0.3</x:v>
      </x:c>
      <x:c r="N101" s="15" t="str">
        <x:v>Must Do</x:v>
      </x:c>
      <x:c r="O101" s="15" t="str">
        <x:v>Productivity targets will not be met and thereby forefeit Business case worth of 300K</x:v>
      </x:c>
      <x:c r="P101" s="15" t="str">
        <x:v>Support will decline unless S2P capability is built in-house.</x:v>
      </x:c>
      <x:c r="Q101" s="15" t="str">
        <x:v>AI screening.</x:v>
      </x:c>
      <x:c r="R101" s="15" t="str">
        <x:v>None</x:v>
      </x:c>
      <x:c r="S101" s="15" t="str">
        <x:v>HEALTHY</x:v>
      </x:c>
      <x:c r="T101" s="15" t="str">
        <x:v>HEALTHY — Rank in priority matrix</x:v>
      </x:c>
    </x:row>
    <x:row r="102">
      <x:c r="A102" s="15" t="str">
        <x:v>EW-104</x:v>
      </x:c>
      <x:c r="B102" s="15" t="str">
        <x:v>EW-104</x:v>
      </x:c>
      <x:c r="C102" s="15" t="str">
        <x:v>New</x:v>
      </x:c>
      <x:c r="D102" s="15" t="str">
        <x:v>EW</x:v>
      </x:c>
      <x:c r="E102" s="15" t="n">
        <x:v>100</x:v>
      </x:c>
      <x:c r="F102" s="15" t="str">
        <x:v>EW Led</x:v>
      </x:c>
      <x:c r="G102" s="15" t="str">
        <x:v>People function</x:v>
      </x:c>
      <x:c r="H102" s="15" t="str">
        <x:v>AI hiring (autonomous)</x:v>
      </x:c>
      <x:c r="I102" s="15" t="str">
        <x:v>New Initiative</x:v>
      </x:c>
      <x:c r="J102" s="15" t="str">
        <x:v>AI Enablement</x:v>
      </x:c>
      <x:c r="K102" s="15" t="str">
        <x:v>Group Functions &amp; Hyperautomation IT</x:v>
      </x:c>
      <x:c r="L102" s="19" t="n">
        <x:v>0.3</x:v>
      </x:c>
      <x:c r="M102" s="19" t="n">
        <x:v>0.4</x:v>
      </x:c>
      <x:c r="N102" s="15" t="str">
        <x:v>Must Have</x:v>
      </x:c>
      <x:c r="O102" s="15" t="str">
        <x:v>Productivity targets will not be met and thereby forfeit Business case worth of 400K</x:v>
      </x:c>
      <x:c r="P102" s="15" t="str">
        <x:v>Support will decline unless S2P capability is built in-house.</x:v>
      </x:c>
      <x:c r="Q102" s="15" t="str">
        <x:v>Autonomous AI workflows for early-career hiring.</x:v>
      </x:c>
      <x:c r="R102" s="15" t="str">
        <x:v>None</x:v>
      </x:c>
      <x:c r="S102" s="15" t="str">
        <x:v>HEALTHY</x:v>
      </x:c>
      <x:c r="T102" s="15" t="str">
        <x:v>HEALTHY — Rank in priority matrix</x:v>
      </x:c>
    </x:row>
    <x:row r="103">
      <x:c r="A103" s="15" t="str">
        <x:v>EW-105</x:v>
      </x:c>
      <x:c r="B103" s="15" t="str">
        <x:v>EW-105</x:v>
      </x:c>
      <x:c r="C103" s="15" t="str">
        <x:v>New</x:v>
      </x:c>
      <x:c r="D103" s="15" t="str">
        <x:v>EW</x:v>
      </x:c>
      <x:c r="E103" s="15" t="n">
        <x:v>101</x:v>
      </x:c>
      <x:c r="F103" s="15" t="str">
        <x:v>EW Led</x:v>
      </x:c>
      <x:c r="G103" s="15" t="str">
        <x:v>People function</x:v>
      </x:c>
      <x:c r="H103" s="15" t="str">
        <x:v>Listening</x:v>
      </x:c>
      <x:c r="I103" s="15" t="str">
        <x:v>New Initiative</x:v>
      </x:c>
      <x:c r="J103" s="15" t="str">
        <x:v>New Technology</x:v>
      </x:c>
      <x:c r="K103" s="15" t="str">
        <x:v>Group Functions &amp; Hyperautomation IT</x:v>
      </x:c>
      <x:c r="L103" s="19" t="n">
        <x:v>0.3</x:v>
      </x:c>
      <x:c r="M103" s="19"/>
      <x:c r="N103" s="15" t="str">
        <x:v>Must Have</x:v>
      </x:c>
      <x:c r="O103" s="15" t="str">
        <x:v>Strategic priorities of PF will not be met.</x:v>
      </x:c>
      <x:c r="P103" s="15" t="str">
        <x:v>Unify listening insights, potentially with the Engagement Survey.</x:v>
      </x:c>
      <x:c r="Q103" s="15" t="str">
        <x:v>Combine all listening data and roll out Philips Voice globally.</x:v>
      </x:c>
      <x:c r="R103" s="15" t="str">
        <x:v>None</x:v>
      </x:c>
      <x:c r="S103" s="15" t="str">
        <x:v>HEALTHY</x:v>
      </x:c>
      <x:c r="T103" s="15" t="str">
        <x:v>HEALTHY — Rank in priority matrix</x:v>
      </x:c>
    </x:row>
    <x:row r="104">
      <x:c r="A104" s="15" t="str">
        <x:v>EW-106</x:v>
      </x:c>
      <x:c r="B104" s="15" t="str">
        <x:v>EW-106</x:v>
      </x:c>
      <x:c r="C104" s="15" t="str">
        <x:v>New</x:v>
      </x:c>
      <x:c r="D104" s="15" t="str">
        <x:v>EW</x:v>
      </x:c>
      <x:c r="E104" s="15" t="n">
        <x:v>102</x:v>
      </x:c>
      <x:c r="F104" s="15" t="str">
        <x:v>EW Led</x:v>
      </x:c>
      <x:c r="G104" s="15" t="str">
        <x:v>People function</x:v>
      </x:c>
      <x:c r="H104" s="15" t="str">
        <x:v>Personalized learning</x:v>
      </x:c>
      <x:c r="I104" s="15" t="str">
        <x:v>New Initiative</x:v>
      </x:c>
      <x:c r="J104" s="15" t="str">
        <x:v>New Technology</x:v>
      </x:c>
      <x:c r="K104" s="15" t="str">
        <x:v>Group Functions &amp; Hyperautomation IT</x:v>
      </x:c>
      <x:c r="L104" s="19" t="n">
        <x:v>0.1</x:v>
      </x:c>
      <x:c r="M104" s="19" t="n">
        <x:v>0.25</x:v>
      </x:c>
      <x:c r="N104" s="15" t="str">
        <x:v>Must Do</x:v>
      </x:c>
      <x:c r="O104" s="15" t="str">
        <x:v>Productivity targets will not be met and thereby forfeit Business case worth of 250K</x:v>
      </x:c>
      <x:c r="P104" s="15" t="str">
        <x:v>Link skill-based learning to business needs and job profiles.</x:v>
      </x:c>
      <x:c r="Q104" s="15" t="str">
        <x:v>Use an LXP for contextual, skill-based, embedded learning.</x:v>
      </x:c>
      <x:c r="R104" s="15" t="str">
        <x:v>None</x:v>
      </x:c>
      <x:c r="S104" s="15" t="str">
        <x:v>HEALTHY</x:v>
      </x:c>
      <x:c r="T104" s="15" t="str">
        <x:v>HEALTHY — Rank in priority matrix</x:v>
      </x:c>
    </x:row>
    <x:row r="105">
      <x:c r="A105" s="15" t="str">
        <x:v>EW-107</x:v>
      </x:c>
      <x:c r="B105" s="15" t="str">
        <x:v>EW-107</x:v>
      </x:c>
      <x:c r="C105" s="15" t="str">
        <x:v>New</x:v>
      </x:c>
      <x:c r="D105" s="15" t="str">
        <x:v>EW</x:v>
      </x:c>
      <x:c r="E105" s="15" t="n">
        <x:v>103</x:v>
      </x:c>
      <x:c r="F105" s="15" t="str">
        <x:v>EW Led</x:v>
      </x:c>
      <x:c r="G105" s="15" t="str">
        <x:v>People function</x:v>
      </x:c>
      <x:c r="H105" s="15" t="str">
        <x:v>Leadership development</x:v>
      </x:c>
      <x:c r="I105" s="15" t="str">
        <x:v>New Initiative</x:v>
      </x:c>
      <x:c r="J105" s="15" t="str">
        <x:v>AI Enablement</x:v>
      </x:c>
      <x:c r="K105" s="15" t="str">
        <x:v>Group Functions &amp; Hyperautomation IT</x:v>
      </x:c>
      <x:c r="L105" s="19" t="n">
        <x:v>0.435</x:v>
      </x:c>
      <x:c r="M105" s="19"/>
      <x:c r="N105" s="15" t="str">
        <x:v>Must Do</x:v>
      </x:c>
      <x:c r="O105" s="15" t="str">
        <x:v>Strategic priorities of PF will not be met.</x:v>
      </x:c>
      <x:c r="P105" s="15" t="str">
        <x:v>Strengthen people leaders through the Leadership Compass.</x:v>
      </x:c>
      <x:c r="Q105" s="15" t="str">
        <x:v>AI coaching, leadership assessments and effectiveness.</x:v>
      </x:c>
      <x:c r="R105" s="15" t="str">
        <x:v>None</x:v>
      </x:c>
      <x:c r="S105" s="15" t="str">
        <x:v>HEALTHY</x:v>
      </x:c>
      <x:c r="T105" s="15" t="str">
        <x:v>HEALTHY — Rank in priority matrix</x:v>
      </x:c>
    </x:row>
    <x:row r="106">
      <x:c r="A106" s="15" t="str">
        <x:v>EW-108</x:v>
      </x:c>
      <x:c r="B106" s="15" t="str">
        <x:v>EW-108</x:v>
      </x:c>
      <x:c r="C106" s="15" t="str">
        <x:v>New</x:v>
      </x:c>
      <x:c r="D106" s="15" t="str">
        <x:v>EW</x:v>
      </x:c>
      <x:c r="E106" s="15" t="n">
        <x:v>104</x:v>
      </x:c>
      <x:c r="F106" s="15" t="str">
        <x:v>EW Led</x:v>
      </x:c>
      <x:c r="G106" s="15" t="str">
        <x:v>People function</x:v>
      </x:c>
      <x:c r="H106" s="15" t="str">
        <x:v>Agentic Contact Center</x:v>
      </x:c>
      <x:c r="I106" s="15" t="str">
        <x:v>New Initiative</x:v>
      </x:c>
      <x:c r="J106" s="15" t="str">
        <x:v>AI Enablement</x:v>
      </x:c>
      <x:c r="K106" s="15" t="str">
        <x:v>Group Functions &amp; Hyperautomation IT</x:v>
      </x:c>
      <x:c r="L106" s="19" t="n">
        <x:v>0.4</x:v>
      </x:c>
      <x:c r="M106" s="19" t="n">
        <x:v>0.4</x:v>
      </x:c>
      <x:c r="N106" s="15" t="str">
        <x:v>Must Do</x:v>
      </x:c>
      <x:c r="O106" s="15" t="str">
        <x:v>Productivity targets will not be met and thereby forfeit Business case worth of 400K</x:v>
      </x:c>
      <x:c r="P106" s="15" t="str">
        <x:v>Support will decline unless S2P capability is built in-house.</x:v>
      </x:c>
      <x:c r="Q106" s="15" t="str">
        <x:v>Autonomous operations workflows.</x:v>
      </x:c>
      <x:c r="R106" s="15" t="str">
        <x:v>None</x:v>
      </x:c>
      <x:c r="S106" s="15" t="str">
        <x:v>HEALTHY</x:v>
      </x:c>
      <x:c r="T106" s="15" t="str">
        <x:v>HEALTHY — Rank in priority matrix</x:v>
      </x:c>
    </x:row>
    <x:row r="107">
      <x:c r="A107" s="15" t="str">
        <x:v>EW-109</x:v>
      </x:c>
      <x:c r="B107" s="15" t="str">
        <x:v>EW-109</x:v>
      </x:c>
      <x:c r="C107" s="15" t="str">
        <x:v>New</x:v>
      </x:c>
      <x:c r="D107" s="15" t="str">
        <x:v>EW</x:v>
      </x:c>
      <x:c r="E107" s="15" t="n">
        <x:v>105</x:v>
      </x:c>
      <x:c r="F107" s="15" t="str">
        <x:v>EW Led</x:v>
      </x:c>
      <x:c r="G107" s="15" t="str">
        <x:v>People function</x:v>
      </x:c>
      <x:c r="H107" s="15" t="str">
        <x:v>Pay to perform</x:v>
      </x:c>
      <x:c r="I107" s="15" t="str">
        <x:v>New Initiative</x:v>
      </x:c>
      <x:c r="J107" s="15" t="str">
        <x:v>Continuous Improvement</x:v>
      </x:c>
      <x:c r="K107" s="15" t="str">
        <x:v>Group Functions &amp; Hyperautomation IT</x:v>
      </x:c>
      <x:c r="L107" s="19" t="n">
        <x:v>0.48</x:v>
      </x:c>
      <x:c r="M107" s="19" t="n">
        <x:v>0.3</x:v>
      </x:c>
      <x:c r="N107" s="15" t="str">
        <x:v>Must Have</x:v>
      </x:c>
      <x:c r="O107" s="15" t="str">
        <x:v>Productivity targets will not be met and thereby forfeit Business case worth of 300K</x:v>
      </x:c>
      <x:c r="P107" s="15" t="str">
        <x:v>Make rewards transparent, competitive, differentiated and aligned with the People Strategy.</x:v>
      </x:c>
      <x:c r="Q107" s="15" t="str">
        <x:v>Consolidate rewards and performance initiatives.</x:v>
      </x:c>
      <x:c r="R107" s="15" t="str">
        <x:v>None</x:v>
      </x:c>
      <x:c r="S107" s="15" t="str">
        <x:v>HEALTHY</x:v>
      </x:c>
      <x:c r="T107" s="15" t="str">
        <x:v>HEALTHY — Rank in priority matrix</x:v>
      </x:c>
    </x:row>
    <x:row r="108">
      <x:c r="A108" s="15" t="str">
        <x:v>EW-110</x:v>
      </x:c>
      <x:c r="B108" s="15" t="str">
        <x:v>EW-110</x:v>
      </x:c>
      <x:c r="C108" s="15" t="str">
        <x:v>New</x:v>
      </x:c>
      <x:c r="D108" s="15" t="str">
        <x:v>EW</x:v>
      </x:c>
      <x:c r="E108" s="15" t="n">
        <x:v>106</x:v>
      </x:c>
      <x:c r="F108" s="15" t="str">
        <x:v>EW Led</x:v>
      </x:c>
      <x:c r="G108" s="15" t="str">
        <x:v>People function</x:v>
      </x:c>
      <x:c r="H108" s="15" t="str">
        <x:v>Sales incentives</x:v>
      </x:c>
      <x:c r="I108" s="15" t="str">
        <x:v>New Initiative</x:v>
      </x:c>
      <x:c r="J108" s="15" t="str">
        <x:v>Continuous Improvement</x:v>
      </x:c>
      <x:c r="K108" s="15" t="str">
        <x:v>Group Functions &amp; Hyperautomation IT</x:v>
      </x:c>
      <x:c r="L108" s="19" t="n">
        <x:v>0.55</x:v>
      </x:c>
      <x:c r="M108" s="19"/>
      <x:c r="N108" s="15" t="str">
        <x:v>Must Have</x:v>
      </x:c>
      <x:c r="O108" s="15" t="str">
        <x:v>Strategic priorities of PF will not be met.</x:v>
      </x:c>
      <x:c r="P108" s="15" t="str">
        <x:v>Create differentiated sales incentives to drive growth.</x:v>
      </x:c>
      <x:c r="Q108" s="15" t="str">
        <x:v>Develop the sales incentive and eligibility framework with Sales Operations.</x:v>
      </x:c>
      <x:c r="R108" s="15" t="str">
        <x:v>None</x:v>
      </x:c>
      <x:c r="S108" s="15" t="str">
        <x:v>HEALTHY</x:v>
      </x:c>
      <x:c r="T108" s="15" t="str">
        <x:v>HEALTHY — Rank in priority matrix</x:v>
      </x:c>
    </x:row>
    <x:row r="109">
      <x:c r="A109" s="15" t="str">
        <x:v>EW-111</x:v>
      </x:c>
      <x:c r="B109" s="15" t="str">
        <x:v>EW-111</x:v>
      </x:c>
      <x:c r="C109" s="15" t="str">
        <x:v>New</x:v>
      </x:c>
      <x:c r="D109" s="15" t="str">
        <x:v>EW</x:v>
      </x:c>
      <x:c r="E109" s="15" t="n">
        <x:v>107</x:v>
      </x:c>
      <x:c r="F109" s="15" t="str">
        <x:v>EW Led</x:v>
      </x:c>
      <x:c r="G109" s="15" t="str">
        <x:v>People function</x:v>
      </x:c>
      <x:c r="H109" s="15" t="str">
        <x:v>Spequinox 2.0</x:v>
      </x:c>
      <x:c r="I109" s="15" t="str">
        <x:v>New Initiative</x:v>
      </x:c>
      <x:c r="J109" s="15" t="str">
        <x:v>Continuous Improvement</x:v>
      </x:c>
      <x:c r="K109" s="15" t="str">
        <x:v>Group Functions &amp; Hyperautomation IT</x:v>
      </x:c>
      <x:c r="L109" s="19" t="n">
        <x:v>0.16</x:v>
      </x:c>
      <x:c r="M109" s="19"/>
      <x:c r="N109" s="15" t="str">
        <x:v>Must Do</x:v>
      </x:c>
      <x:c r="O109" s="15" t="str">
        <x:v>Strategic priorities of PF will not be met.</x:v>
      </x:c>
      <x:c r="P109" s="15" t="str">
        <x:v>Apply the EU directive globally and align it with the Rewards Philosophy.</x:v>
      </x:c>
      <x:c r="Q109" s="15" t="str">
        <x:v>Globalize Phase 2.</x:v>
      </x:c>
      <x:c r="R109" s="15" t="str">
        <x:v>None</x:v>
      </x:c>
      <x:c r="S109" s="15" t="str">
        <x:v>HEALTHY</x:v>
      </x:c>
      <x:c r="T109" s="15" t="str">
        <x:v>HEALTHY — Rank in priority matrix</x:v>
      </x:c>
    </x:row>
    <x:row r="110">
      <x:c r="A110" s="15" t="str">
        <x:v>EW-112</x:v>
      </x:c>
      <x:c r="B110" s="15" t="str">
        <x:v>EW-112</x:v>
      </x:c>
      <x:c r="C110" s="15" t="str">
        <x:v>New</x:v>
      </x:c>
      <x:c r="D110" s="15" t="str">
        <x:v>EW</x:v>
      </x:c>
      <x:c r="E110" s="15" t="n">
        <x:v>108</x:v>
      </x:c>
      <x:c r="F110" s="15" t="str">
        <x:v>EW Led</x:v>
      </x:c>
      <x:c r="G110" s="15" t="str">
        <x:v>People function</x:v>
      </x:c>
      <x:c r="H110" s="15" t="str">
        <x:v>Org Effectiveness</x:v>
      </x:c>
      <x:c r="I110" s="15" t="str">
        <x:v>New Initiative</x:v>
      </x:c>
      <x:c r="J110" s="15" t="str">
        <x:v>Continuous Improvement</x:v>
      </x:c>
      <x:c r="K110" s="15" t="str">
        <x:v>Group Functions &amp; Hyperautomation IT</x:v>
      </x:c>
      <x:c r="L110" s="19" t="n">
        <x:v>0.5</x:v>
      </x:c>
      <x:c r="M110" s="19"/>
      <x:c r="N110" s="15" t="str">
        <x:v>Must Have</x:v>
      </x:c>
      <x:c r="O110" s="15" t="str">
        <x:v>Strategic priorities of PF will not be met.</x:v>
      </x:c>
      <x:c r="P110" s="15" t="str">
        <x:v>Improve restructuring and organization design using benchmarks.</x:v>
      </x:c>
      <x:c r="Q110" s="15" t="str">
        <x:v>Simplify and scale grading, organization design and benchmarking workflows using OrgVue and Cognizant.</x:v>
      </x:c>
      <x:c r="R110" s="15" t="str">
        <x:v>None</x:v>
      </x:c>
      <x:c r="S110" s="15" t="str">
        <x:v>HEALTHY</x:v>
      </x:c>
      <x:c r="T110" s="15" t="str">
        <x:v>HEALTHY — Rank in priority matrix</x:v>
      </x:c>
    </x:row>
    <x:row r="111">
      <x:c r="A111" s="15" t="str">
        <x:v>EW-113</x:v>
      </x:c>
      <x:c r="B111" s="15" t="str">
        <x:v>EW-113</x:v>
      </x:c>
      <x:c r="C111" s="15" t="str">
        <x:v>New</x:v>
      </x:c>
      <x:c r="D111" s="15" t="str">
        <x:v>EW</x:v>
      </x:c>
      <x:c r="E111" s="15" t="n">
        <x:v>109</x:v>
      </x:c>
      <x:c r="F111" s="15" t="str">
        <x:v>EW Led</x:v>
      </x:c>
      <x:c r="G111" s="15" t="str">
        <x:v>Information Technology</x:v>
      </x:c>
      <x:c r="H111" s="15" t="str">
        <x:v>Content (PRX merge into PCP)</x:v>
      </x:c>
      <x:c r="I111" s="15" t="str">
        <x:v>New Initiative</x:v>
      </x:c>
      <x:c r="J111" s="15" t="str">
        <x:v>Decomm/Replatforming</x:v>
      </x:c>
      <x:c r="K111" s="15" t="str">
        <x:v>Innovation and Digital IT</x:v>
      </x:c>
      <x:c r="L111" s="19" t="n">
        <x:v>0.3</x:v>
      </x:c>
      <x:c r="M111" s="19"/>
      <x:c r="N111" s="15" t="str">
        <x:v>Must Do</x:v>
      </x:c>
      <x:c r="O111" s="15" t="str">
        <x:v>Commercial content process will break down</x:v>
      </x:c>
      <x:c r="P111" s="15" t="str">
        <x:v>PRX has reached end of life.</x:v>
      </x:c>
      <x:c r="Q111" s="15" t="str">
        <x:v>Move PRX functions to PCP and decommission PRX (SE000719).</x:v>
      </x:c>
      <x:c r="R111" s="15" t="str"/>
      <x:c r="S111" s="15" t="str">
        <x:v>HEALTHY</x:v>
      </x:c>
      <x:c r="T111" s="15" t="str">
        <x:v>HEALTHY — Rank in priority matrix</x:v>
      </x:c>
    </x:row>
    <x:row r="112">
      <x:c r="A112" s="15" t="str">
        <x:v>EW-114</x:v>
      </x:c>
      <x:c r="B112" s="15" t="str">
        <x:v>EW-114</x:v>
      </x:c>
      <x:c r="C112" s="15" t="str">
        <x:v>New</x:v>
      </x:c>
      <x:c r="D112" s="15" t="str">
        <x:v>EW</x:v>
      </x:c>
      <x:c r="E112" s="15" t="n">
        <x:v>110</x:v>
      </x:c>
      <x:c r="F112" s="15" t="str">
        <x:v>EW Led</x:v>
      </x:c>
      <x:c r="G112" s="15" t="str">
        <x:v>Information Technology</x:v>
      </x:c>
      <x:c r="H112" s="15" t="str">
        <x:v>CPQ/CLM Replatforming Capability Development</x:v>
      </x:c>
      <x:c r="I112" s="15" t="str">
        <x:v>New Initiative</x:v>
      </x:c>
      <x:c r="J112" s="15" t="str">
        <x:v>New Technology</x:v>
      </x:c>
      <x:c r="K112" s="15" t="str">
        <x:v>Commercial IT</x:v>
      </x:c>
      <x:c r="L112" s="19" t="n">
        <x:v>1.8</x:v>
      </x:c>
      <x:c r="M112" s="19"/>
      <x:c r="N112" s="15" t="str">
        <x:v>Must Do</x:v>
      </x:c>
      <x:c r="O112" s="15" t="str">
        <x:v>License and maintenance cost reduction in line with our Ops spend reduction</x:v>
      </x:c>
      <x:c r="P112" s="15" t="str"/>
      <x:c r="Q112" s="15" t="str"/>
      <x:c r="R112" s="15" t="str"/>
      <x:c r="S112" s="15" t="str">
        <x:v>HEALTHY</x:v>
      </x:c>
      <x:c r="T112" s="15" t="str">
        <x:v>HEALTHY — Rank in priority matrix</x:v>
      </x:c>
    </x:row>
    <x:row r="113">
      <x:c r="A113" s="15" t="str">
        <x:v>EW-115</x:v>
      </x:c>
      <x:c r="B113" s="15" t="str">
        <x:v>EW-115</x:v>
      </x:c>
      <x:c r="C113" s="15" t="str">
        <x:v>1006900</x:v>
      </x:c>
      <x:c r="D113" s="15" t="str">
        <x:v>EW</x:v>
      </x:c>
      <x:c r="E113" s="15" t="n">
        <x:v>111</x:v>
      </x:c>
      <x:c r="F113" s="15" t="str">
        <x:v>EW Led</x:v>
      </x:c>
      <x:c r="G113" s="15" t="str">
        <x:v>Information Technology</x:v>
      </x:c>
      <x:c r="H113" s="15" t="str">
        <x:v>RFP.ai</x:v>
      </x:c>
      <x:c r="I113" s="15" t="str">
        <x:v>Carry Over</x:v>
      </x:c>
      <x:c r="J113" s="15" t="str">
        <x:v>AI Enablement</x:v>
      </x:c>
      <x:c r="K113" s="15" t="str">
        <x:v>Commercial IT</x:v>
      </x:c>
      <x:c r="L113" s="19" t="n">
        <x:v>0.5</x:v>
      </x:c>
      <x:c r="M113" s="19"/>
      <x:c r="N113" s="15" t="str">
        <x:v>Must Do</x:v>
      </x:c>
      <x:c r="O113" s="15" t="str">
        <x:v>Sales productivity improvement</x:v>
      </x:c>
      <x:c r="P113" s="15" t="str"/>
      <x:c r="Q113" s="15" t="str"/>
      <x:c r="R113" s="15" t="str"/>
      <x:c r="S113" s="15" t="str">
        <x:v>HEALTHY</x:v>
      </x:c>
      <x:c r="T113" s="15" t="str">
        <x:v>HEALTHY — Rank in priority matrix</x:v>
      </x:c>
    </x:row>
    <x:row r="114">
      <x:c r="A114" s="15" t="str">
        <x:v>EW-116</x:v>
      </x:c>
      <x:c r="B114" s="15" t="str">
        <x:v>EW-116</x:v>
      </x:c>
      <x:c r="C114" s="15" t="str">
        <x:v>New</x:v>
      </x:c>
      <x:c r="D114" s="15" t="str">
        <x:v>EW</x:v>
      </x:c>
      <x:c r="E114" s="15" t="n">
        <x:v>112</x:v>
      </x:c>
      <x:c r="F114" s="15" t="str">
        <x:v>EW Led</x:v>
      </x:c>
      <x:c r="G114" s="15" t="str">
        <x:v>Information Technology</x:v>
      </x:c>
      <x:c r="H114" s="15" t="str">
        <x:v>Installbase and Quoting AI Productivity - NAM</x:v>
      </x:c>
      <x:c r="I114" s="15" t="str">
        <x:v>New Initiative</x:v>
      </x:c>
      <x:c r="J114" s="15" t="str">
        <x:v>AI Enablement</x:v>
      </x:c>
      <x:c r="K114" s="15" t="str">
        <x:v>Commercial IT</x:v>
      </x:c>
      <x:c r="L114" s="19" t="n">
        <x:v>0.5</x:v>
      </x:c>
      <x:c r="M114" s="19"/>
      <x:c r="N114" s="15" t="str">
        <x:v>Must Have</x:v>
      </x:c>
      <x:c r="O114" s="15" t="str">
        <x:v>Sales productivity improvement</x:v>
      </x:c>
      <x:c r="P114" s="15" t="str"/>
      <x:c r="Q114" s="15" t="str"/>
      <x:c r="R114" s="15" t="str"/>
      <x:c r="S114" s="15" t="str">
        <x:v>HEALTHY</x:v>
      </x:c>
      <x:c r="T114" s="15" t="str">
        <x:v>HEALTHY — Rank in priority matrix</x:v>
      </x:c>
    </x:row>
    <x:row r="115">
      <x:c r="A115" s="15" t="str">
        <x:v>EW-117</x:v>
      </x:c>
      <x:c r="B115" s="15" t="str">
        <x:v>EW-117</x:v>
      </x:c>
      <x:c r="C115" s="15" t="str">
        <x:v>New</x:v>
      </x:c>
      <x:c r="D115" s="15" t="str">
        <x:v>EW</x:v>
      </x:c>
      <x:c r="E115" s="15" t="n">
        <x:v>113</x:v>
      </x:c>
      <x:c r="F115" s="15" t="str">
        <x:v>EW Led</x:v>
      </x:c>
      <x:c r="G115" s="15" t="str">
        <x:v>Information Technology</x:v>
      </x:c>
      <x:c r="H115" s="15" t="str">
        <x:v>Sales &amp; Commercial Intelligence</x:v>
      </x:c>
      <x:c r="I115" s="15" t="str">
        <x:v>New Initiative</x:v>
      </x:c>
      <x:c r="J115" s="15" t="str">
        <x:v>Upgrades &amp; Enhancements</x:v>
      </x:c>
      <x:c r="K115" s="15" t="str">
        <x:v>Commercial IT</x:v>
      </x:c>
      <x:c r="L115" s="19" t="n">
        <x:v>0.3</x:v>
      </x:c>
      <x:c r="M115" s="19"/>
      <x:c r="N115" s="15" t="str">
        <x:v>Must Have</x:v>
      </x:c>
      <x:c r="O115" s="15" t="str">
        <x:v>Sales productivity improvement</x:v>
      </x:c>
      <x:c r="P115" s="15" t="str"/>
      <x:c r="Q115" s="15" t="str"/>
      <x:c r="R115" s="15" t="str"/>
      <x:c r="S115" s="15" t="str">
        <x:v>HEALTHY</x:v>
      </x:c>
      <x:c r="T115" s="15" t="str">
        <x:v>HEALTHY — Rank in priority matrix</x:v>
      </x:c>
    </x:row>
    <x:row r="116">
      <x:c r="A116" s="15" t="str">
        <x:v>EW-118</x:v>
      </x:c>
      <x:c r="B116" s="15" t="str">
        <x:v>EW-118</x:v>
      </x:c>
      <x:c r="C116" s="15" t="str">
        <x:v>1006423</x:v>
      </x:c>
      <x:c r="D116" s="15" t="str">
        <x:v>EW</x:v>
      </x:c>
      <x:c r="E116" s="15" t="n">
        <x:v>114</x:v>
      </x:c>
      <x:c r="F116" s="15" t="str">
        <x:v>EW Led</x:v>
      </x:c>
      <x:c r="G116" s="15" t="str">
        <x:v>Information Technology</x:v>
      </x:c>
      <x:c r="H116" s="15" t="str">
        <x:v>Replace Appian with cheaper alternative solution</x:v>
      </x:c>
      <x:c r="I116" s="15" t="str">
        <x:v>New Initiative</x:v>
      </x:c>
      <x:c r="J116" s="15" t="str">
        <x:v>Decomm/Replatforming</x:v>
      </x:c>
      <x:c r="K116" s="15" t="str">
        <x:v>Innovation and Digital IT</x:v>
      </x:c>
      <x:c r="L116" s="19" t="n">
        <x:v>0.8</x:v>
      </x:c>
      <x:c r="M116" s="19"/>
      <x:c r="N116" s="15" t="str">
        <x:v>Must Do</x:v>
      </x:c>
      <x:c r="O116" s="15" t="str">
        <x:v>Replatforming to reduce annual license cost</x:v>
      </x:c>
      <x:c r="P116" s="15" t="str">
        <x:v>Reduce operating costs.</x:v>
      </x:c>
      <x:c r="Q116" s="15" t="str">
        <x:v>Programs are being defined.</x:v>
      </x:c>
      <x:c r="R116" s="15" t="str"/>
      <x:c r="S116" s="15" t="str">
        <x:v>HEALTHY</x:v>
      </x:c>
      <x:c r="T116" s="15" t="str">
        <x:v>HEALTHY — Rank in priority matrix</x:v>
      </x:c>
    </x:row>
    <x:row r="117">
      <x:c r="A117" s="15" t="str">
        <x:v>EW-119</x:v>
      </x:c>
      <x:c r="B117" s="15" t="str">
        <x:v>EW-119</x:v>
      </x:c>
      <x:c r="C117" s="15" t="str">
        <x:v>New</x:v>
      </x:c>
      <x:c r="D117" s="15" t="str">
        <x:v>EW</x:v>
      </x:c>
      <x:c r="E117" s="15" t="n">
        <x:v>115</x:v>
      </x:c>
      <x:c r="F117" s="15" t="str">
        <x:v>EW Led</x:v>
      </x:c>
      <x:c r="G117" s="15" t="str">
        <x:v>Greater China</x:v>
      </x:c>
      <x:c r="H117" s="15" t="str">
        <x:v>LLM, AI Foundation &amp; ITaaP Extension in GCR</x:v>
      </x:c>
      <x:c r="I117" s="15" t="str">
        <x:v>New Initiative</x:v>
      </x:c>
      <x:c r="J117" s="15" t="str">
        <x:v>AI Enablement</x:v>
      </x:c>
      <x:c r="K117" s="15" t="str">
        <x:v>Greater China IT</x:v>
      </x:c>
      <x:c r="L117" s="19" t="n">
        <x:v>0.5</x:v>
      </x:c>
      <x:c r="M117" s="19"/>
      <x:c r="N117" s="15" t="str">
        <x:v>Must Do</x:v>
      </x:c>
      <x:c r="O117" s="15" t="str">
        <x:v>Comply to GCR AI regulations &amp; Data transfer/usage for AI, Uncerternaity of adhereance to AI Governance and gaurdrails. Impact on spending due to probable inefficient used of models</x:v>
      </x:c>
      <x:c r="P117" s="15" t="str"/>
      <x:c r="Q117" s="15" t="str"/>
      <x:c r="R117" s="15" t="str"/>
      <x:c r="S117" s="15" t="str">
        <x:v>HEALTHY</x:v>
      </x:c>
      <x:c r="T117" s="15" t="str">
        <x:v>HEALTHY / MUST-DO — P2 — Scheduled</x:v>
      </x:c>
    </x:row>
    <x:row r="118">
      <x:c r="A118" s="15" t="str">
        <x:v>EW-120</x:v>
      </x:c>
      <x:c r="B118" s="15" t="str">
        <x:v>EW-120</x:v>
      </x:c>
      <x:c r="C118" s="15" t="str">
        <x:v>1007268</x:v>
      </x:c>
      <x:c r="D118" s="15" t="str">
        <x:v>EW</x:v>
      </x:c>
      <x:c r="E118" s="15" t="n">
        <x:v>116</x:v>
      </x:c>
      <x:c r="F118" s="15" t="str">
        <x:v>EW Led</x:v>
      </x:c>
      <x:c r="G118" s="15" t="str">
        <x:v>Information Technology</x:v>
      </x:c>
      <x:c r="H118" s="15" t="str">
        <x:v>EADI - MDM Decom</x:v>
      </x:c>
      <x:c r="I118" s="15" t="str">
        <x:v>Carry Over</x:v>
      </x:c>
      <x:c r="J118" s="15" t="str">
        <x:v>Decomm/Replatforming</x:v>
      </x:c>
      <x:c r="K118" s="15" t="str">
        <x:v>Enterprise Architecture, Data &amp; Integration</x:v>
      </x:c>
      <x:c r="L118" s="19" t="n">
        <x:v>0.575</x:v>
      </x:c>
      <x:c r="M118" s="19" t="n">
        <x:v>2.2</x:v>
      </x:c>
      <x:c r="N118" s="15" t="str">
        <x:v>Must Do</x:v>
      </x:c>
      <x:c r="O118" s="15" t="str">
        <x:v>Cost of 2200K-2600K will be incurred.</x:v>
      </x:c>
      <x:c r="P118" s="15" t="str">
        <x:v>As per Sunshine act, HCO/HCP spend requires Master data consolidation in IDMC</x:v>
      </x:c>
      <x:c r="Q118" s="15" t="str">
        <x:v>Consolidation of Business partners by moving customers master data and vendor master data as well to IDMC.</x:v>
      </x:c>
      <x:c r="R118" s="15" t="str">
        <x:v>EW-04 - Completion of Project Engage deliverables.</x:v>
      </x:c>
      <x:c r="S118" s="15" t="str">
        <x:v>HEALTHY</x:v>
      </x:c>
      <x:c r="T118" s="15" t="str">
        <x:v>HEALTHY — Rank in priority matrix</x:v>
      </x:c>
    </x:row>
    <x:row r="119">
      <x:c r="A119" s="15" t="str">
        <x:v>EW-121</x:v>
      </x:c>
      <x:c r="B119" s="15" t="str">
        <x:v>EW-121</x:v>
      </x:c>
      <x:c r="C119" s="15" t="str">
        <x:v>New</x:v>
      </x:c>
      <x:c r="D119" s="15" t="str">
        <x:v>EW</x:v>
      </x:c>
      <x:c r="E119" s="15" t="n">
        <x:v>117</x:v>
      </x:c>
      <x:c r="F119" s="15" t="str">
        <x:v>EW Led</x:v>
      </x:c>
      <x:c r="G119" s="15" t="str">
        <x:v>Information Technology</x:v>
      </x:c>
      <x:c r="H119" s="15" t="str">
        <x:v>Conga Advantage</x:v>
      </x:c>
      <x:c r="I119" s="15" t="str">
        <x:v>New Initiative</x:v>
      </x:c>
      <x:c r="J119" s="15" t="str">
        <x:v>Upgrades &amp; Enhancements</x:v>
      </x:c>
      <x:c r="K119" s="15" t="str">
        <x:v>Commercial IT</x:v>
      </x:c>
      <x:c r="L119" s="19" t="n">
        <x:v>0.65</x:v>
      </x:c>
      <x:c r="M119" s="19" t="n">
        <x:v>1.2</x:v>
      </x:c>
      <x:c r="N119" s="15" t="str">
        <x:v>Must Do</x:v>
      </x:c>
      <x:c r="O119" s="15" t="str">
        <x:v>License and maintenance cost reduction in line with our Ops spend reduction</x:v>
      </x:c>
      <x:c r="P119" s="15" t="str">
        <x:v>Improve performance.</x:v>
      </x:c>
      <x:c r="Q119" s="15" t="str"/>
      <x:c r="R119" s="15" t="str"/>
      <x:c r="S119" s="15" t="str">
        <x:v>HEALTHY</x:v>
      </x:c>
      <x:c r="T119" s="15" t="str">
        <x:v>HEALTHY — Rank in priority matrix</x:v>
      </x:c>
    </x:row>
    <x:row r="120">
      <x:c r="A120" s="15" t="str">
        <x:v>EW-122</x:v>
      </x:c>
      <x:c r="B120" s="15" t="str">
        <x:v>EW-122</x:v>
      </x:c>
      <x:c r="C120" s="15" t="str">
        <x:v>New</x:v>
      </x:c>
      <x:c r="D120" s="15" t="str">
        <x:v>EW</x:v>
      </x:c>
      <x:c r="E120" s="15" t="n">
        <x:v>118</x:v>
      </x:c>
      <x:c r="F120" s="15" t="str">
        <x:v>EW Led</x:v>
      </x:c>
      <x:c r="G120" s="15" t="str">
        <x:v>Information Technology</x:v>
      </x:c>
      <x:c r="H120" s="15" t="str">
        <x:v>Sales Replatforming</x:v>
      </x:c>
      <x:c r="I120" s="15" t="str">
        <x:v>New Initiative</x:v>
      </x:c>
      <x:c r="J120" s="15" t="str">
        <x:v>Decomm/Replatforming</x:v>
      </x:c>
      <x:c r="K120" s="15" t="str">
        <x:v>Commercial IT</x:v>
      </x:c>
      <x:c r="L120" s="19" t="n">
        <x:v>7</x:v>
      </x:c>
      <x:c r="M120" s="19" t="n">
        <x:v>22</x:v>
      </x:c>
      <x:c r="N120" s="15" t="str">
        <x:v>Must Have</x:v>
      </x:c>
      <x:c r="O120" s="15" t="str">
        <x:v>License and maintenance cost reduction in line with our Ops spend reduction</x:v>
      </x:c>
      <x:c r="P120" s="15" t="str"/>
      <x:c r="Q120" s="15" t="str"/>
      <x:c r="R120" s="15" t="str">
        <x:v>contract with SFDC till end jan 29</x:v>
      </x:c>
      <x:c r="S120" s="15" t="str"/>
      <x:c r="T120" s="15" t="str"/>
    </x:row>
    <x:row r="121">
      <x:c r="A121" s="15" t="str">
        <x:v>EW-123</x:v>
      </x:c>
      <x:c r="B121" s="15" t="str">
        <x:v>EW-123</x:v>
      </x:c>
      <x:c r="C121" s="15" t="str">
        <x:v>New</x:v>
      </x:c>
      <x:c r="D121" s="15" t="str">
        <x:v>EW</x:v>
      </x:c>
      <x:c r="E121" s="15" t="n">
        <x:v>119</x:v>
      </x:c>
      <x:c r="F121" s="15" t="str">
        <x:v>EW Led</x:v>
      </x:c>
      <x:c r="G121" s="15" t="str">
        <x:v>International Regions (IR) - Overall</x:v>
      </x:c>
      <x:c r="H121" s="15" t="str">
        <x:v>FIN-IR - Latam SOVOS 2 DCR (ex Brazil) eInvoices, save 305K IT Ops p.a.</x:v>
      </x:c>
      <x:c r="I121" s="15" t="str">
        <x:v>New Initiative</x:v>
      </x:c>
      <x:c r="J121" s="15" t="str">
        <x:v>Decomm/Replatforming</x:v>
      </x:c>
      <x:c r="K121" s="15" t="str">
        <x:v>Integrated Supply Chain &amp; Finance</x:v>
      </x:c>
      <x:c r="L121" s="19" t="n">
        <x:v>0.5</x:v>
      </x:c>
      <x:c r="M121" s="19" t="n">
        <x:v>1.22</x:v>
      </x:c>
      <x:c r="N121" s="15" t="str">
        <x:v>Must Have</x:v>
      </x:c>
      <x:c r="O121" s="15" t="str">
        <x:v>- Savings not realized</x:v>
      </x:c>
      <x:c r="P121" s="15" t="str">
        <x:v>Reduce operating costs, simplify the landscape and replace a difficult local supplier.</x:v>
      </x:c>
      <x:c r="Q121" s="15" t="str">
        <x:v>All LATAM BUs except Brazil.</x:v>
      </x:c>
      <x:c r="R121" s="15" t="str"/>
      <x:c r="S121" s="15" t="str">
        <x:v>HEALTHY</x:v>
      </x:c>
      <x:c r="T121" s="15" t="str">
        <x:v>HEALTHY — Rank in priority matrix</x:v>
      </x:c>
    </x:row>
    <x:row r="122">
      <x:c r="A122" s="15" t="str">
        <x:v>EW-124</x:v>
      </x:c>
      <x:c r="B122" s="15" t="str">
        <x:v>EW-124</x:v>
      </x:c>
      <x:c r="C122" s="15" t="str">
        <x:v>1005606</x:v>
      </x:c>
      <x:c r="D122" s="15" t="str">
        <x:v>EW</x:v>
      </x:c>
      <x:c r="E122" s="15" t="n">
        <x:v>120</x:v>
      </x:c>
      <x:c r="F122" s="15" t="str">
        <x:v>EW Led</x:v>
      </x:c>
      <x:c r="G122" s="15" t="str">
        <x:v>Innovation and Design Business Operations</x:v>
      </x:c>
      <x:c r="H122" s="15" t="str">
        <x:v>I2M Planisware : Audit Readiness &amp; Innovation Reporting Enablement</x:v>
      </x:c>
      <x:c r="I122" s="15" t="str">
        <x:v>Carry Over</x:v>
      </x:c>
      <x:c r="J122" s="15" t="str">
        <x:v>Legal Fiscal, Regulatory &amp; Compliancy</x:v>
      </x:c>
      <x:c r="K122" s="15" t="str">
        <x:v>Innovation and Digital IT</x:v>
      </x:c>
      <x:c r="L122" s="19" t="n">
        <x:v>0.5</x:v>
      </x:c>
      <x:c r="M122" s="19" t="n">
        <x:v>250</x:v>
      </x:c>
      <x:c r="N122" s="15" t="str">
        <x:v>Must Do</x:v>
      </x:c>
      <x:c r="O122" s="15" t="str">
        <x:v>Not compliant with external laws, regulations, tax requirements, audit obligations, and external commitments. When failing the audit will cause the capitalized amount of I2M assets amortization to be impaired. The chance of failing is significant if we dont adhere to SOx Standard.</x:v>
      </x:c>
      <x:c r="P122" s="15" t="str">
        <x:v>•Ensuring Planisware compliant with external laws, regulations, tax requirements, audit obligations, and external commitments.</x:v>
      </x:c>
      <x:c r="Q122" s="15" t="str">
        <x:v>Compliant ready tooling</x:v>
      </x:c>
      <x:c r="R122" s="15" t="str"/>
      <x:c r="S122" s="15" t="str">
        <x:v>HEALTHY</x:v>
      </x:c>
      <x:c r="T122" s="15" t="str">
        <x:v>HEALTHY / MUST-DO — P1 — Immediate</x:v>
      </x:c>
    </x:row>
    <x:row r="123">
      <x:c r="A123" s="15" t="str">
        <x:v>EW-125</x:v>
      </x:c>
      <x:c r="B123" s="15" t="str">
        <x:v>EW-125</x:v>
      </x:c>
      <x:c r="C123" s="15" t="str"/>
      <x:c r="D123" s="15" t="str">
        <x:v>EW</x:v>
      </x:c>
      <x:c r="E123" s="15" t="n">
        <x:v>121</x:v>
      </x:c>
      <x:c r="F123" s="15" t="str">
        <x:v>EW Led</x:v>
      </x:c>
      <x:c r="G123" s="15" t="str">
        <x:v>Innovation and Design Business Operations</x:v>
      </x:c>
      <x:c r="H123" s="15" t="str">
        <x:v>I2M Planisware : AI-Driven Portfolio Management focused on Insights &amp; Value Realization</x:v>
      </x:c>
      <x:c r="I123" s="15" t="str">
        <x:v>Carry Over</x:v>
      </x:c>
      <x:c r="J123" s="15" t="str">
        <x:v>Continuous Improvement</x:v>
      </x:c>
      <x:c r="K123" s="15" t="str">
        <x:v>Innovation and Digital IT</x:v>
      </x:c>
      <x:c r="L123" s="19" t="n">
        <x:v>1</x:v>
      </x:c>
      <x:c r="M123" s="19" t="n">
        <x:v>42.5</x:v>
      </x:c>
      <x:c r="N123" s="15" t="str">
        <x:v>Must Have</x:v>
      </x:c>
      <x:c r="O123" s="15" t="str">
        <x:v>Improvement on the existing tooling will increase the maturity level by 25% of 10% of the total R&amp;D budget. Therefore, taking the assumption of 2025 1,7 bio of R&amp;D budget, the impact considered is 42,5 mio. The tooling and processes of Planisware as it is needs further improvement so it can be use to generate insights for Portfolio Management</x:v>
      </x:c>
      <x:c r="P123" s="15" t="str">
        <x:v>•Further improvement of tooling and processes of Planisware as the Portfolio Management tool within Philips</x:v>
      </x:c>
      <x:c r="Q123" s="15" t="str">
        <x:v>More targeted streamlined insights generation</x:v>
      </x:c>
      <x:c r="R123" s="15" t="str"/>
      <x:c r="S123" s="15" t="str">
        <x:v>HEALTHY</x:v>
      </x:c>
      <x:c r="T123" s="15" t="str">
        <x:v>HEALTHY — Rank in priority matrix</x:v>
      </x:c>
    </x:row>
    <x:row r="124">
      <x:c r="A124" s="15" t="str">
        <x:v>EW-126</x:v>
      </x:c>
      <x:c r="B124" s="15" t="str">
        <x:v>EW-126</x:v>
      </x:c>
      <x:c r="C124" s="15" t="str"/>
      <x:c r="D124" s="15" t="str">
        <x:v>EW</x:v>
      </x:c>
      <x:c r="E124" s="15" t="n">
        <x:v>122</x:v>
      </x:c>
      <x:c r="F124" s="15" t="str">
        <x:v>EW Led</x:v>
      </x:c>
      <x:c r="G124" s="15" t="str">
        <x:v>Innovation and Design Business Operations</x:v>
      </x:c>
      <x:c r="H124" s="15" t="str">
        <x:v>MCP Service Windchill</x:v>
      </x:c>
      <x:c r="I124" s="15" t="str">
        <x:v>New Initiative</x:v>
      </x:c>
      <x:c r="J124" s="15" t="str">
        <x:v>Continuous Improvement</x:v>
      </x:c>
      <x:c r="K124" s="15" t="str">
        <x:v>Innovation and Digital IT</x:v>
      </x:c>
      <x:c r="L124" s="19" t="n">
        <x:v>0.1</x:v>
      </x:c>
      <x:c r="M124" s="19"/>
      <x:c r="N124" s="15" t="str">
        <x:v>Must Have</x:v>
      </x:c>
      <x:c r="O124" s="15" t="str">
        <x:v>Inefficient use engineering and product data</x:v>
      </x:c>
      <x:c r="P124" s="15" t="str">
        <x:v>•Making engineering and product data accessible through AI while maintaining enterprise security and governance. (linked to Elevate and Catalyst)</x:v>
      </x:c>
      <x:c r="Q124" s="15" t="str">
        <x:v>Natural language access to engineering data</x:v>
      </x:c>
      <x:c r="R124" s="15" t="str"/>
      <x:c r="S124" s="15" t="str">
        <x:v>HEALTHY</x:v>
      </x:c>
      <x:c r="T124" s="15" t="str">
        <x:v>HEALTHY — Rank in priority matrix</x:v>
      </x:c>
    </x:row>
    <x:row r="125">
      <x:c r="A125" s="15" t="str">
        <x:v>EW-127</x:v>
      </x:c>
      <x:c r="B125" s="15" t="str">
        <x:v>EW-127</x:v>
      </x:c>
      <x:c r="C125" s="15" t="str"/>
      <x:c r="D125" s="15" t="str">
        <x:v>EW</x:v>
      </x:c>
      <x:c r="E125" s="15" t="n">
        <x:v>123</x:v>
      </x:c>
      <x:c r="F125" s="15" t="str">
        <x:v>EW Led</x:v>
      </x:c>
      <x:c r="G125" s="15" t="str">
        <x:v>Innovation and Design Business Operations</x:v>
      </x:c>
      <x:c r="H125" s="15" t="str">
        <x:v>Digitization of Business Case template: Future proof and AI-powered for smart Portfolio prioritization</x:v>
      </x:c>
      <x:c r="I125" s="15" t="str">
        <x:v>New Initiative</x:v>
      </x:c>
      <x:c r="J125" s="15" t="str">
        <x:v>Continuous Improvement</x:v>
      </x:c>
      <x:c r="K125" s="15" t="str">
        <x:v>Innovation and Digital IT</x:v>
      </x:c>
      <x:c r="L125" s="19" t="n">
        <x:v>2.5</x:v>
      </x:c>
      <x:c r="M125" s="19" t="n">
        <x:v>7</x:v>
      </x:c>
      <x:c r="N125" s="15" t="str">
        <x:v>Must Have</x:v>
      </x:c>
      <x:c r="O125" s="15" t="str">
        <x:v>Discontinues business case service and process because the expert behind it goes into retirement</x:v>
      </x:c>
      <x:c r="P125" s="15" t="str">
        <x:v>•Safe-guarding the continuous adoption of business case within Philips</x:v>
      </x:c>
      <x:c r="Q125" s="15" t="str">
        <x:v>Easier workflow for business case users</x:v>
      </x:c>
      <x:c r="R125" s="15" t="str"/>
      <x:c r="S125" s="15" t="str">
        <x:v>HEALTHY</x:v>
      </x:c>
      <x:c r="T125" s="15" t="str">
        <x:v>HEALTHY / MUST-DO — P1 — Immediate</x:v>
      </x:c>
    </x:row>
    <x:row r="126">
      <x:c r="A126" s="15" t="str">
        <x:v>EW-128</x:v>
      </x:c>
      <x:c r="B126" s="15" t="str">
        <x:v>EW-128</x:v>
      </x:c>
      <x:c r="C126" s="15" t="str"/>
      <x:c r="D126" s="15" t="str">
        <x:v>EW</x:v>
      </x:c>
      <x:c r="E126" s="15" t="n">
        <x:v>124</x:v>
      </x:c>
      <x:c r="F126" s="15" t="str">
        <x:v>EW Led</x:v>
      </x:c>
      <x:c r="G126" s="15" t="str">
        <x:v>Innovation and Design Business Operations</x:v>
      </x:c>
      <x:c r="H126" s="15" t="str">
        <x:v>Integrated project &amp; business performance modernization</x:v>
      </x:c>
      <x:c r="I126" s="15" t="str">
        <x:v>New Initiative</x:v>
      </x:c>
      <x:c r="J126" s="15" t="str">
        <x:v>Continuous Improvement</x:v>
      </x:c>
      <x:c r="K126" s="15" t="str">
        <x:v>Innovation and Digital IT</x:v>
      </x:c>
      <x:c r="L126" s="19" t="n">
        <x:v>0.09</x:v>
      </x:c>
      <x:c r="M126" s="19" t="n">
        <x:v>0.55</x:v>
      </x:c>
      <x:c r="N126" s="15" t="str">
        <x:v>Must Have</x:v>
      </x:c>
      <x:c r="O126" s="15" t="str">
        <x:v>Inefficient planning, resource management and portfolio management of IEN</x:v>
      </x:c>
      <x:c r="P126" s="15" t="str">
        <x:v>•Deploy an integrated digital capability for IEN, leveraging enterprise-standard platforms to improve planning, resource management, portfolio visibility, and delivery control, with targeted configurations to support its scale of ~1,400 FTE and 800 projects annually.</x:v>
      </x:c>
      <x:c r="Q126" s="15" t="str">
        <x:v>Real-time portfolio, financial, and resource insights.</x:v>
      </x:c>
      <x:c r="R126" s="15" t="str"/>
      <x:c r="S126" s="15" t="str">
        <x:v>HEALTHY</x:v>
      </x:c>
      <x:c r="T126" s="15" t="str">
        <x:v>HEALTHY — Rank in priority matrix</x:v>
      </x:c>
    </x:row>
    <x:row r="127">
      <x:c r="A127" s="15" t="str">
        <x:v>EW-129</x:v>
      </x:c>
      <x:c r="B127" s="15" t="str">
        <x:v>EW-129</x:v>
      </x:c>
      <x:c r="C127" s="15" t="str">
        <x:v>New</x:v>
      </x:c>
      <x:c r="D127" s="15" t="str">
        <x:v>EW</x:v>
      </x:c>
      <x:c r="E127" s="15" t="n">
        <x:v>125</x:v>
      </x:c>
      <x:c r="F127" s="15" t="str">
        <x:v>EW Led</x:v>
      </x:c>
      <x:c r="G127" s="15" t="str">
        <x:v>International Regions (IR) - Overall</x:v>
      </x:c>
      <x:c r="H127" s="15" t="str">
        <x:v>FIN-IR - DACH DMS 2 OpenText document archive, save 92K IT Ops p.a.</x:v>
      </x:c>
      <x:c r="I127" s="15" t="str">
        <x:v>New Initiative</x:v>
      </x:c>
      <x:c r="J127" s="15" t="str">
        <x:v>Decomm/Replatforming</x:v>
      </x:c>
      <x:c r="K127" s="15" t="str">
        <x:v>Integrated Supply Chain &amp; Finance</x:v>
      </x:c>
      <x:c r="L127" s="19" t="n">
        <x:v>0.08</x:v>
      </x:c>
      <x:c r="M127" s="19" t="n">
        <x:v>0.393</x:v>
      </x:c>
      <x:c r="N127" s="15" t="str">
        <x:v>Must Have</x:v>
      </x:c>
      <x:c r="O127" s="15" t="str">
        <x:v>- Continued local IT spent of €91.5k+ via IT ops. (with pressure on cost)</x:v>
      </x:c>
      <x:c r="P127" s="15" t="str">
        <x:v>Legacy document archive across BUs creating 91,5K operational costs per year</x:v>
      </x:c>
      <x:c r="Q127" s="15" t="str">
        <x:v>DACH, all BUs</x:v>
      </x:c>
      <x:c r="R127" s="15" t="str"/>
      <x:c r="S127" s="15" t="str">
        <x:v>HEALTHY</x:v>
      </x:c>
      <x:c r="T127" s="15" t="str">
        <x:v>HEALTHY — Rank in priority matrix</x:v>
      </x:c>
    </x:row>
    <x:row r="128">
      <x:c r="A128" s="15" t="str">
        <x:v>EW-130</x:v>
      </x:c>
      <x:c r="B128" s="15" t="str">
        <x:v>EW-130</x:v>
      </x:c>
      <x:c r="C128" s="15" t="str"/>
      <x:c r="D128" s="15" t="str">
        <x:v>EW</x:v>
      </x:c>
      <x:c r="E128" s="15" t="n">
        <x:v>126</x:v>
      </x:c>
      <x:c r="F128" s="15" t="str">
        <x:v>EW Led</x:v>
      </x:c>
      <x:c r="G128" s="15" t="str">
        <x:v>Information Technology</x:v>
      </x:c>
      <x:c r="H128" s="15" t="str"/>
      <x:c r="I128" s="15" t="str"/>
      <x:c r="J128" s="15" t="str">
        <x:v>Upgrades &amp; Enhancements</x:v>
      </x:c>
      <x:c r="K128" s="15" t="str"/>
      <x:c r="L128" s="19" t="n">
        <x:v>0</x:v>
      </x:c>
      <x:c r="M128" s="19"/>
      <x:c r="N128" s="15" t="str"/>
      <x:c r="O128" s="15" t="str"/>
      <x:c r="P128" s="15" t="str">
        <x:v>Software vendors don’t provide support for older OS versions. Application testing is critical to perform OS upgrades without disrupting business</x:v>
      </x:c>
      <x:c r="Q128" s="15" t="str">
        <x:v>Global</x:v>
      </x:c>
      <x:c r="R128" s="15" t="str"/>
      <x:c r="S128" s="15" t="str"/>
      <x:c r="T128" s="15" t="str"/>
    </x:row>
    <x:row r="129">
      <x:c r="A129" s="15" t="str">
        <x:v>EW-131</x:v>
      </x:c>
      <x:c r="B129" s="15" t="str">
        <x:v>EW-131</x:v>
      </x:c>
      <x:c r="C129" s="15" t="str">
        <x:v>New</x:v>
      </x:c>
      <x:c r="D129" s="15" t="str">
        <x:v>EW</x:v>
      </x:c>
      <x:c r="E129" s="15" t="n">
        <x:v>127</x:v>
      </x:c>
      <x:c r="F129" s="15" t="str">
        <x:v>EW Led</x:v>
      </x:c>
      <x:c r="G129" s="15" t="str">
        <x:v>Information Technology</x:v>
      </x:c>
      <x:c r="H129" s="15" t="str">
        <x:v>EADI- Synapse Decommissioning</x:v>
      </x:c>
      <x:c r="I129" s="15" t="str">
        <x:v>New Initiative</x:v>
      </x:c>
      <x:c r="J129" s="15" t="str">
        <x:v>Decomm/Replatforming</x:v>
      </x:c>
      <x:c r="K129" s="15" t="str">
        <x:v>Enterprise Architecture, Data &amp; Integration</x:v>
      </x:c>
      <x:c r="L129" s="19" t="n">
        <x:v>1.062</x:v>
      </x:c>
      <x:c r="M129" s="19" t="n">
        <x:v>3.06</x:v>
      </x:c>
      <x:c r="N129" s="15" t="str">
        <x:v>Must Do</x:v>
      </x:c>
      <x:c r="O129" s="15" t="str">
        <x:v>Synapse decommissioning cannot happen (Euro 1.02M per year), Informatica Power centre (PIL Informatica instance) cannot be decommissioned resulting in non realization of projected savings of 230k per year July 2027</x:v>
      </x:c>
      <x:c r="P129" s="15" t="str">
        <x:v>Retire Synapse for License Cost Reduction, Infrastructure cost reduction, Synapse SQL Cost Reduction for EADI</x:v>
      </x:c>
      <x:c r="Q129" s="15" t="str">
        <x:v>Migration of QCM DPPM Data warehouse from Synapse SQL to PSQ ADL New L2 and Gold Build and repointing the BI reports as applicable - Shivendra and Jeroen Douw (Group Functions IT)</x:v>
      </x:c>
      <x:c r="R129" s="15" t="str"/>
      <x:c r="S129" s="15" t="str"/>
      <x:c r="T129" s="15" t="str"/>
    </x:row>
    <x:row r="130">
      <x:c r="A130" s="15" t="str">
        <x:v>EW-132</x:v>
      </x:c>
      <x:c r="B130" s="15" t="str">
        <x:v>EW-132</x:v>
      </x:c>
      <x:c r="C130" s="15" t="str"/>
      <x:c r="D130" s="15" t="str">
        <x:v>EW</x:v>
      </x:c>
      <x:c r="E130" s="15" t="n">
        <x:v>128</x:v>
      </x:c>
      <x:c r="F130" s="15" t="str">
        <x:v>EW Led</x:v>
      </x:c>
      <x:c r="G130" s="15" t="str">
        <x:v>Information Technology</x:v>
      </x:c>
      <x:c r="H130" s="15" t="str">
        <x:v>SPC Data Re-platforming</x:v>
      </x:c>
      <x:c r="I130" s="15" t="str">
        <x:v>New Initiative</x:v>
      </x:c>
      <x:c r="J130" s="15" t="str">
        <x:v>Decomm/Replatforming</x:v>
      </x:c>
      <x:c r="K130" s="15" t="str">
        <x:v>Services &amp; Solutions IT</x:v>
      </x:c>
      <x:c r="L130" s="19" t="n">
        <x:v>0</x:v>
      </x:c>
      <x:c r="M130" s="19"/>
      <x:c r="N130" s="15" t="str"/>
      <x:c r="O130" s="15" t="str"/>
      <x:c r="P130" s="15" t="str"/>
      <x:c r="Q130" s="15" t="str"/>
      <x:c r="R130" s="15" t="str"/>
      <x:c r="S130" s="15" t="str">
        <x:v>HEALTHY</x:v>
      </x:c>
      <x:c r="T130" s="15" t="str">
        <x:v>HEALTHY — Rank in priority matrix</x:v>
      </x:c>
    </x:row>
    <x:row r="131">
      <x:c r="A131" s="15" t="str">
        <x:v>EW-133</x:v>
      </x:c>
      <x:c r="B131" s="15" t="str">
        <x:v>EW-133</x:v>
      </x:c>
      <x:c r="C131" s="15" t="str"/>
      <x:c r="D131" s="15" t="str">
        <x:v>EW</x:v>
      </x:c>
      <x:c r="E131" s="15" t="n">
        <x:v>129</x:v>
      </x:c>
      <x:c r="F131" s="15" t="str">
        <x:v>EW Led</x:v>
      </x:c>
      <x:c r="G131" s="15" t="str">
        <x:v>Information Technology</x:v>
      </x:c>
      <x:c r="H131" s="15" t="str">
        <x:v>EADI Data Replatforming</x:v>
      </x:c>
      <x:c r="I131" s="15" t="str">
        <x:v>New Initiative</x:v>
      </x:c>
      <x:c r="J131" s="15" t="str">
        <x:v>Decomm/Replatforming</x:v>
      </x:c>
      <x:c r="K131" s="15" t="str">
        <x:v>Enterprise Architecture, Data &amp; Integration</x:v>
      </x:c>
      <x:c r="L131" s="19" t="n">
        <x:v>0.15</x:v>
      </x:c>
      <x:c r="M131" s="19" t="n">
        <x:v>0.624</x:v>
      </x:c>
      <x:c r="N131" s="15" t="str">
        <x:v>Must Have</x:v>
      </x:c>
      <x:c r="O131" s="15" t="str">
        <x:v>Continued use of legacy platforms , additonal infra and Falcon costs</x:v>
      </x:c>
      <x:c r="P131" s="15" t="str">
        <x:v>Need to retire legacy platform of HC Informatica (for PR1 system) and cme out of GoA hosting charges and Falcon costs, for OPS savings</x:v>
      </x:c>
      <x:c r="Q131" s="15" t="str">
        <x:v>HC informatica- 1. HC Informatica- to move out from Skytap hosting(GoA) and also save Application support. (Skytap+ falcon)</x:v>
      </x:c>
      <x:c r="R131" s="15" t="str"/>
      <x:c r="S131" s="15" t="str">
        <x:v>HEALTHY</x:v>
      </x:c>
      <x:c r="T131" s="15" t="str">
        <x:v>HEALTHY — Rank in priority matrix</x:v>
      </x:c>
    </x:row>
    <x:row r="132">
      <x:c r="A132" s="15" t="str">
        <x:v>EW-134</x:v>
      </x:c>
      <x:c r="B132" s="15" t="str">
        <x:v>EW-134</x:v>
      </x:c>
      <x:c r="C132" s="15" t="str"/>
      <x:c r="D132" s="15" t="str">
        <x:v>EW</x:v>
      </x:c>
      <x:c r="E132" s="15" t="n">
        <x:v>130</x:v>
      </x:c>
      <x:c r="F132" s="15" t="str">
        <x:v>EW Led</x:v>
      </x:c>
      <x:c r="G132" s="15" t="str">
        <x:v>Information Technology</x:v>
      </x:c>
      <x:c r="H132" s="15" t="str">
        <x:v>Every Angle for MP1, Decommissioning ( Included in ISCM IT)</x:v>
      </x:c>
      <x:c r="I132" s="15" t="str">
        <x:v>New Initiative</x:v>
      </x:c>
      <x:c r="J132" s="15" t="str">
        <x:v>Decomm/Replatforming</x:v>
      </x:c>
      <x:c r="K132" s="15" t="str">
        <x:v>Enterprise Architecture, Data &amp; Integration</x:v>
      </x:c>
      <x:c r="L132" s="19" t="n">
        <x:v>0</x:v>
      </x:c>
      <x:c r="M132" s="19"/>
      <x:c r="N132" s="15" t="str"/>
      <x:c r="O132" s="15" t="str"/>
      <x:c r="P132" s="15" t="str"/>
      <x:c r="Q132" s="15" t="str"/>
      <x:c r="R132" s="15" t="str"/>
      <x:c r="S132" s="15" t="str"/>
      <x:c r="T132" s="15" t="str"/>
    </x:row>
    <x:row r="133">
      <x:c r="A133" s="15" t="str">
        <x:v>EW-135</x:v>
      </x:c>
      <x:c r="B133" s="15" t="str">
        <x:v>EW-135</x:v>
      </x:c>
      <x:c r="C133" s="15" t="str"/>
      <x:c r="D133" s="15" t="str">
        <x:v>EW</x:v>
      </x:c>
      <x:c r="E133" s="15" t="n">
        <x:v>131</x:v>
      </x:c>
      <x:c r="F133" s="15" t="str">
        <x:v>EW Led</x:v>
      </x:c>
      <x:c r="G133" s="15" t="str">
        <x:v>Intellectual Property &amp; Standards (IP&amp;S)</x:v>
      </x:c>
      <x:c r="H133" s="15" t="str">
        <x:v>Knowledge Mgmt - InCenter 2.0 - CSIP Compliance</x:v>
      </x:c>
      <x:c r="I133" s="15" t="str">
        <x:v>Delayed</x:v>
      </x:c>
      <x:c r="J133" s="15" t="str">
        <x:v>Legal Fiscal, Regulatory &amp; Compliancy</x:v>
      </x:c>
      <x:c r="K133" s="15" t="str">
        <x:v>Services &amp; Solutions IT</x:v>
      </x:c>
      <x:c r="L133" s="19" t="n">
        <x:v>0.2</x:v>
      </x:c>
      <x:c r="M133" s="19" t="n">
        <x:v>30</x:v>
      </x:c>
      <x:c r="N133" s="15" t="str">
        <x:v>Must Do</x:v>
      </x:c>
      <x:c r="O133" s="15" t="str">
        <x:v>loss of IP, protection for our devices, compettor disadvantage, trouble in court to defend our IP</x:v>
      </x:c>
      <x:c r="P133" s="15" t="str">
        <x: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x:v>
      </x:c>
      <x:c r="Q133" s="15" t="str">
        <x:v>Implement tools and process to comply with EU Data Act;</x:v>
      </x:c>
      <x:c r="R133" s="15" t="str"/>
      <x:c r="S133" s="15" t="str">
        <x:v>HEALTHY</x:v>
      </x:c>
      <x:c r="T133" s="15" t="str">
        <x:v>HEALTHY — Rank in priority matrix</x:v>
      </x:c>
    </x:row>
    <x:row r="134">
      <x:c r="A134" s="15" t="str">
        <x:v>EW-136</x:v>
      </x:c>
      <x:c r="B134" s="15" t="str">
        <x:v>EW-136</x:v>
      </x:c>
      <x:c r="C134" s="15" t="str"/>
      <x:c r="D134" s="15" t="str">
        <x:v>EW</x:v>
      </x:c>
      <x:c r="E134" s="15" t="n">
        <x:v>132</x:v>
      </x:c>
      <x:c r="F134" s="15" t="str">
        <x:v>EW Led</x:v>
      </x:c>
      <x:c r="G134" s="15" t="str">
        <x:v>Finance</x:v>
      </x:c>
      <x:c r="H134" s="15" t="str">
        <x:v>FIN-Managed Services automation</x:v>
      </x:c>
      <x:c r="I134" s="15" t="str">
        <x:v>New Initiative</x:v>
      </x:c>
      <x:c r="J134" s="15" t="str">
        <x:v>Continuous Improvement</x:v>
      </x:c>
      <x:c r="K134" s="15" t="str">
        <x:v>Integrated Supply Chain &amp; Finance</x:v>
      </x:c>
      <x:c r="L134" s="19" t="n">
        <x:v>0.3</x:v>
      </x:c>
      <x:c r="M134" s="19"/>
      <x:c r="N134" s="15" t="str">
        <x:v>Must Do</x:v>
      </x:c>
      <x:c r="O134" s="15" t="str">
        <x:v>Revenue recognition errors risk continues; Manual and error-prone processes; TAO requirements unmet; UIPE and capitalization issues persist;</x:v>
      </x:c>
      <x:c r="P134" s="15" t="str"/>
      <x:c r="Q134" s="15" t="str"/>
      <x:c r="R134" s="15" t="str"/>
      <x:c r="S134" s="15" t="str">
        <x:v>HEALTHY</x:v>
      </x:c>
      <x:c r="T134" s="15" t="str">
        <x:v>HEALTHY — Rank in priority matrix</x:v>
      </x:c>
    </x:row>
    <x:row r="135">
      <x:c r="A135" s="15" t="str">
        <x:v>EW-137</x:v>
      </x:c>
      <x:c r="B135" s="15" t="str">
        <x:v>EW-137</x:v>
      </x:c>
      <x:c r="C135" s="15" t="str"/>
      <x:c r="D135" s="15" t="str">
        <x:v>EW</x:v>
      </x:c>
      <x:c r="E135" s="15" t="n">
        <x:v>133</x:v>
      </x:c>
      <x:c r="F135" s="15" t="str">
        <x:v>EW Led</x:v>
      </x:c>
      <x:c r="G135" s="15" t="str">
        <x:v>Finance</x:v>
      </x:c>
      <x:c r="H135" s="15" t="str">
        <x:v>FIN-Process Mining RTR</x:v>
      </x:c>
      <x:c r="I135" s="15" t="str">
        <x:v>Carry Over</x:v>
      </x:c>
      <x:c r="J135" s="15" t="str">
        <x:v>Continuous Improvement</x:v>
      </x:c>
      <x:c r="K135" s="15" t="str">
        <x:v>Integrated Supply Chain &amp; Finance</x:v>
      </x:c>
      <x:c r="L135" s="19" t="n">
        <x:v>0.1</x:v>
      </x:c>
      <x:c r="M135" s="19" t="n">
        <x:v>0.32</x:v>
      </x:c>
      <x:c r="N135" s="15" t="str">
        <x:v>Must Do</x:v>
      </x:c>
      <x:c r="O135" s="15" t="str">
        <x:v>Non-standard design accounting postings unidentified; Resolution delayed (4 FTEs)</x:v>
      </x:c>
      <x:c r="P135" s="15" t="str"/>
      <x:c r="Q135" s="15" t="str"/>
      <x:c r="R135" s="15" t="str"/>
      <x:c r="S135" s="15" t="str">
        <x:v>HEALTHY</x:v>
      </x:c>
      <x:c r="T135" s="15" t="str">
        <x:v>HEALTHY — Rank in priority matrix</x:v>
      </x:c>
    </x:row>
    <x:row r="136">
      <x:c r="A136" s="15" t="str">
        <x:v>EW-138</x:v>
      </x:c>
      <x:c r="B136" s="15" t="str">
        <x:v>EW-138</x:v>
      </x:c>
      <x:c r="C136" s="15" t="str"/>
      <x:c r="D136" s="15" t="str">
        <x:v>EW</x:v>
      </x:c>
      <x:c r="E136" s="15" t="n">
        <x:v>134</x:v>
      </x:c>
      <x:c r="F136" s="15" t="str">
        <x:v>EW Led</x:v>
      </x:c>
      <x:c r="G136" s="15" t="str">
        <x:v>Information Technology</x:v>
      </x:c>
      <x:c r="H136" s="15" t="str">
        <x:v>FIN-RTR ChatBOT</x:v>
      </x:c>
      <x:c r="I136" s="15" t="str">
        <x:v>Carry Over</x:v>
      </x:c>
      <x:c r="J136" s="15" t="str">
        <x:v>AI Enablement</x:v>
      </x:c>
      <x:c r="K136" s="15" t="str">
        <x:v>Integrated Supply Chain &amp; Finance</x:v>
      </x:c>
      <x:c r="L136" s="19" t="n">
        <x:v>0</x:v>
      </x:c>
      <x:c r="M136" s="19"/>
      <x:c r="N136" s="15" t="str">
        <x:v>Must Do</x:v>
      </x:c>
      <x:c r="O136" s="15" t="str">
        <x:v>MJV ChatBot automation not realized;</x:v>
      </x:c>
      <x:c r="P136" s="15" t="str"/>
      <x:c r="Q136" s="15" t="str"/>
      <x:c r="R136" s="15" t="str"/>
      <x:c r="S136" s="15" t="str">
        <x:v>HEALTHY</x:v>
      </x:c>
      <x:c r="T136" s="15" t="str">
        <x:v>HEALTHY — Rank in priority matrix</x:v>
      </x:c>
    </x:row>
    <x:row r="137">
      <x:c r="A137" s="15" t="str">
        <x:v>EW-139</x:v>
      </x:c>
      <x:c r="B137" s="15" t="str">
        <x:v>EW-139</x:v>
      </x:c>
      <x:c r="C137" s="15" t="str">
        <x:v>1005372</x:v>
      </x:c>
      <x:c r="D137" s="15" t="str">
        <x:v>EW</x:v>
      </x:c>
      <x:c r="E137" s="15" t="n">
        <x:v>135</x:v>
      </x:c>
      <x:c r="F137" s="15" t="str">
        <x:v>EW Led</x:v>
      </x:c>
      <x:c r="G137" s="15" t="str">
        <x:v>Information Technology</x:v>
      </x:c>
      <x:c r="H137" s="15" t="str">
        <x:v>Global AI Hub</x:v>
      </x:c>
      <x:c r="I137" s="15" t="str">
        <x:v>Carry Over</x:v>
      </x:c>
      <x:c r="J137" s="15" t="str">
        <x:v>AI Enablement</x:v>
      </x:c>
      <x:c r="K137" s="15" t="str">
        <x:v>Infrastructure Services – Projects</x:v>
      </x:c>
      <x:c r="L137" s="19" t="n">
        <x:v>1.5</x:v>
      </x:c>
      <x:c r="M137" s="19"/>
      <x:c r="N137" s="15" t="str">
        <x:v>Must Do</x:v>
      </x:c>
      <x:c r="O137" s="15" t="str">
        <x:v>As an oraganization, we will not be able to drive AI capabilities and adoption of AI in a cost effective, responsible and secure manner</x:v>
      </x:c>
      <x:c r="P137" s="15" t="str">
        <x:v>There is an ask from the Philips leadership for the company to Adopt AI to bring tangible benefits and productivty improvement is all we do. This initiative is a step in that direction</x:v>
      </x:c>
      <x:c r="Q137" s="15" t="str">
        <x:v>Global</x:v>
      </x:c>
      <x:c r="R137" s="15" t="str"/>
      <x:c r="S137" s="15" t="str">
        <x:v>HEALTHY</x:v>
      </x:c>
      <x:c r="T137" s="15" t="str">
        <x:v>HEALTHY — Rank in priority matrix</x:v>
      </x:c>
    </x:row>
    <x:row r="138">
      <x:c r="A138" s="15" t="str">
        <x:v>EW-140</x:v>
      </x:c>
      <x:c r="B138" s="15" t="str">
        <x:v>EW-140</x:v>
      </x:c>
      <x:c r="C138" s="15" t="str">
        <x:v>1007215</x:v>
      </x:c>
      <x:c r="D138" s="15" t="str">
        <x:v>EW</x:v>
      </x:c>
      <x:c r="E138" s="15" t="n">
        <x:v>136</x:v>
      </x:c>
      <x:c r="F138" s="15" t="str">
        <x:v>EW Led</x:v>
      </x:c>
      <x:c r="G138" s="15" t="str">
        <x:v>Information Technology</x:v>
      </x:c>
      <x:c r="H138" s="15" t="str"/>
      <x:c r="I138" s="15" t="str">
        <x:v>Carry Over</x:v>
      </x:c>
      <x:c r="J138" s="15" t="str">
        <x:v>Upgrades &amp; Enhancements</x:v>
      </x:c>
      <x:c r="K138" s="15" t="str"/>
      <x:c r="L138" s="19" t="n">
        <x:v>0</x:v>
      </x:c>
      <x:c r="M138" s="19"/>
      <x:c r="N138" s="15" t="str"/>
      <x:c r="O138" s="15" t="str"/>
      <x:c r="P138" s="15" t="str">
        <x:v>When Hardware goes out of support by OEM we need to refresh them with new lease contracts leading to lockin with vendors for another 5 years</x:v>
      </x:c>
      <x:c r="Q138" s="15" t="str">
        <x:v>Global</x:v>
      </x:c>
      <x:c r="R138" s="15" t="str"/>
      <x:c r="S138" s="15" t="str"/>
      <x:c r="T138" s="15" t="str"/>
    </x:row>
    <x:row r="139">
      <x:c r="A139" s="15" t="str">
        <x:v>EW-141</x:v>
      </x:c>
      <x:c r="B139" s="15" t="str">
        <x:v>EW-141</x:v>
      </x:c>
      <x:c r="C139" s="15" t="str">
        <x:v>1007216</x:v>
      </x:c>
      <x:c r="D139" s="15" t="str">
        <x:v>EW</x:v>
      </x:c>
      <x:c r="E139" s="15" t="n">
        <x:v>137</x:v>
      </x:c>
      <x:c r="F139" s="15" t="str">
        <x:v>EW Led</x:v>
      </x:c>
      <x:c r="G139" s="15" t="str">
        <x:v>Information Technology</x:v>
      </x:c>
      <x:c r="H139" s="15" t="str"/>
      <x:c r="I139" s="15" t="str">
        <x:v>Carry Over</x:v>
      </x:c>
      <x:c r="J139" s="15" t="str">
        <x:v>Upgrades &amp; Enhancements</x:v>
      </x:c>
      <x:c r="K139" s="15" t="str"/>
      <x:c r="L139" s="19" t="n">
        <x:v>0</x:v>
      </x:c>
      <x:c r="M139" s="19"/>
      <x:c r="N139" s="15" t="str"/>
      <x:c r="O139" s="15" t="str"/>
      <x:c r="P139" s="15" t="str">
        <x:v>When Hardware goes out of support by OEM we need to refresh them with new lease contracts leading to lockin with vendors for another 5 years</x:v>
      </x:c>
      <x:c r="Q139" s="15" t="str">
        <x:v>Global</x:v>
      </x:c>
      <x:c r="R139" s="15" t="str"/>
      <x:c r="S139" s="15" t="str"/>
      <x:c r="T139" s="15" t="str"/>
    </x:row>
    <x:row r="140">
      <x:c r="A140" s="15" t="str">
        <x:v>EW-142</x:v>
      </x:c>
      <x:c r="B140" s="15" t="str">
        <x:v>EW-142</x:v>
      </x:c>
      <x:c r="C140" s="15" t="str"/>
      <x:c r="D140" s="15" t="str">
        <x:v>EW</x:v>
      </x:c>
      <x:c r="E140" s="15" t="n">
        <x:v>138</x:v>
      </x:c>
      <x:c r="F140" s="15" t="str">
        <x:v>EW Led</x:v>
      </x:c>
      <x:c r="G140" s="15" t="str">
        <x:v>Information Technology</x:v>
      </x:c>
      <x:c r="H140" s="15" t="str">
        <x:v>Vmware/Broadcom exit for Compute estate (GoA)</x:v>
      </x:c>
      <x:c r="I140" s="15" t="str">
        <x:v>New Initiative</x:v>
      </x:c>
      <x:c r="J140" s="15" t="str">
        <x:v>Legal Fiscal, Regulatory &amp; Compliancy</x:v>
      </x:c>
      <x:c r="K140" s="15" t="str">
        <x:v>Infrastructure Services – Projects</x:v>
      </x:c>
      <x:c r="L140" s="19" t="n">
        <x:v>0.7</x:v>
      </x:c>
      <x:c r="M140" s="19" t="n">
        <x:v>0.35</x:v>
      </x:c>
      <x:c r="N140" s="15" t="str">
        <x:v>Must Do</x:v>
      </x:c>
      <x:c r="O140" s="15" t="str">
        <x:v>Aug 2027 Microsoft will no longer be able to provide a license included service and we would need to procure licenses directly from broadcom</x:v>
      </x:c>
      <x:c r="P140" s="15" t="str">
        <x:v>Following Broadcom's Vmware acquisition and further license announcement, cloud workloads will require license procurement directly from broadcom. As per the Microsoft team, Philips must either procure the necessary licenses before Aug 2027.</x:v>
      </x:c>
      <x:c r="Q140" s="15" t="str">
        <x:v>Global</x:v>
      </x:c>
      <x:c r="R140" s="15" t="str"/>
      <x:c r="S140" s="15" t="str">
        <x:v>CONTAIN</x:v>
      </x:c>
      <x:c r="T140" s="15" t="str">
        <x:v>HEALTHY / MUST-DO — P1 — Immediate</x:v>
      </x:c>
    </x:row>
    <x:row r="141">
      <x:c r="A141" s="15" t="str">
        <x:v>EW-143</x:v>
      </x:c>
      <x:c r="B141" s="15" t="str">
        <x:v>EW-143</x:v>
      </x:c>
      <x:c r="C141" s="15" t="str"/>
      <x:c r="D141" s="15" t="str">
        <x:v>EW</x:v>
      </x:c>
      <x:c r="E141" s="15" t="n">
        <x:v>139</x:v>
      </x:c>
      <x:c r="F141" s="15" t="str">
        <x:v>EW Led</x:v>
      </x:c>
      <x:c r="G141" s="15" t="str">
        <x:v>Finance</x:v>
      </x:c>
      <x:c r="H141" s="15" t="str">
        <x:v>FIN-IGM performance management improvement ( Tagged to - IT Finance Foundation)</x:v>
      </x:c>
      <x:c r="I141" s="15" t="str">
        <x:v>New Initiative</x:v>
      </x:c>
      <x:c r="J141" s="15" t="str">
        <x:v>Continuous Improvement</x:v>
      </x:c>
      <x:c r="K141" s="15" t="str">
        <x:v>Integrated Supply Chain &amp; Finance</x:v>
      </x:c>
      <x:c r="L141" s="19" t="n">
        <x:v>0.2</x:v>
      </x:c>
      <x:c r="M141" s="19" t="n">
        <x:v>0.981</x:v>
      </x:c>
      <x:c r="N141" s="15" t="str">
        <x:v>Must Do</x:v>
      </x:c>
      <x:c r="O141" s="15" t="str">
        <x:v>IGM leakage continues; Customer projects with risk of leakage not proactively identified (Benefit Y1 - € 234 K &amp; Y2 € 981 K.)</x:v>
      </x:c>
      <x:c r="P141" s="15" t="str"/>
      <x:c r="Q141" s="15" t="str"/>
      <x:c r="R141" s="15" t="str"/>
      <x:c r="S141" s="15" t="str">
        <x:v>HEALTHY</x:v>
      </x:c>
      <x:c r="T141" s="15" t="str">
        <x:v>HEALTHY — Rank in priority matrix</x:v>
      </x:c>
    </x:row>
    <x:row r="142">
      <x:c r="A142" s="15" t="str">
        <x:v>EW-144</x:v>
      </x:c>
      <x:c r="B142" s="15" t="str">
        <x:v>EW-144</x:v>
      </x:c>
      <x:c r="C142" s="15" t="str"/>
      <x:c r="D142" s="15" t="str">
        <x:v>EW</x:v>
      </x:c>
      <x:c r="E142" s="15" t="n">
        <x:v>140</x:v>
      </x:c>
      <x:c r="F142" s="15" t="str">
        <x:v>EW Led</x:v>
      </x:c>
      <x:c r="G142" s="15" t="str">
        <x:v>Information Technology</x:v>
      </x:c>
      <x:c r="H142" s="15" t="str">
        <x:v>ISC IT DRP - Software Optimization: RunMyJob</x:v>
      </x:c>
      <x:c r="I142" s="15" t="str">
        <x:v>New Initiative</x:v>
      </x:c>
      <x:c r="J142" s="15" t="str">
        <x:v>Decomm/Replatforming</x:v>
      </x:c>
      <x:c r="K142" s="15" t="str">
        <x:v>Integrated Supply Chain &amp; Finance</x:v>
      </x:c>
      <x:c r="L142" s="19" t="n">
        <x:v>0.3</x:v>
      </x:c>
      <x:c r="M142" s="19" t="n">
        <x:v>0.5</x:v>
      </x:c>
      <x:c r="N142" s="15" t="str">
        <x:v>Must Do</x:v>
      </x:c>
      <x:c r="O142" s="15" t="str">
        <x:v>Compelling business case of cost avoidance</x:v>
      </x:c>
      <x:c r="P142" s="15" t="str"/>
      <x:c r="Q142" s="15" t="str"/>
      <x:c r="R142" s="15" t="str"/>
      <x:c r="S142" s="15" t="str">
        <x:v>HEALTHY</x:v>
      </x:c>
      <x:c r="T142" s="15" t="str">
        <x:v>HEALTHY — Rank in priority matrix</x:v>
      </x:c>
    </x:row>
    <x:row r="143">
      <x:c r="A143" s="15" t="str">
        <x:v>EW-145</x:v>
      </x:c>
      <x:c r="B143" s="15" t="str">
        <x:v>EW-145</x:v>
      </x:c>
      <x:c r="C143" s="15" t="str"/>
      <x:c r="D143" s="15" t="str">
        <x:v>EW</x:v>
      </x:c>
      <x:c r="E143" s="15" t="n">
        <x:v>141</x:v>
      </x:c>
      <x:c r="F143" s="15" t="str">
        <x:v>EW Led</x:v>
      </x:c>
      <x:c r="G143" s="15" t="str">
        <x:v>Information Technology</x:v>
      </x:c>
      <x:c r="H143" s="15" t="str">
        <x:v>ISC IT DRP - Software Optimization: EveryAngle -&gt; ADL</x:v>
      </x:c>
      <x:c r="I143" s="15" t="str">
        <x:v>New Initiative</x:v>
      </x:c>
      <x:c r="J143" s="15" t="str">
        <x:v>Decomm/Replatforming</x:v>
      </x:c>
      <x:c r="K143" s="15" t="str">
        <x:v>Integrated Supply Chain &amp; Finance</x:v>
      </x:c>
      <x:c r="L143" s="19" t="n">
        <x:v>0.5</x:v>
      </x:c>
      <x:c r="M143" s="19" t="n">
        <x:v>0.7</x:v>
      </x:c>
      <x:c r="N143" s="15" t="str">
        <x:v>Must Do</x:v>
      </x:c>
      <x:c r="O143" s="15" t="str">
        <x:v>Compelling business case of cost avoidance</x:v>
      </x:c>
      <x:c r="P143" s="15" t="str"/>
      <x:c r="Q143" s="15" t="str"/>
      <x:c r="R143" s="15" t="str"/>
      <x:c r="S143" s="15" t="str">
        <x:v>HEALTHY</x:v>
      </x:c>
      <x:c r="T143" s="15" t="str">
        <x:v>HEALTHY — Rank in priority matrix</x:v>
      </x:c>
    </x:row>
    <x:row r="144">
      <x:c r="A144" s="15" t="str">
        <x:v>EW-146</x:v>
      </x:c>
      <x:c r="B144" s="15" t="str">
        <x:v>EW-146</x:v>
      </x:c>
      <x:c r="C144" s="15" t="str"/>
      <x:c r="D144" s="15" t="str">
        <x:v>EW</x:v>
      </x:c>
      <x:c r="E144" s="15" t="n">
        <x:v>142</x:v>
      </x:c>
      <x:c r="F144" s="15" t="str">
        <x:v>EW Led</x:v>
      </x:c>
      <x:c r="G144" s="15" t="str">
        <x:v>Information Technology</x:v>
      </x:c>
      <x:c r="H144" s="15" t="str">
        <x:v>ISC IT DRP - SAP OneBi &amp; BCS to BDC</x:v>
      </x:c>
      <x:c r="I144" s="15" t="str">
        <x:v>New Initiative</x:v>
      </x:c>
      <x:c r="J144" s="15" t="str">
        <x:v>Decomm/Replatforming</x:v>
      </x:c>
      <x:c r="K144" s="15" t="str">
        <x:v>Integrated Supply Chain &amp; Finance</x:v>
      </x:c>
      <x:c r="L144" s="19" t="n">
        <x:v>0.3</x:v>
      </x:c>
      <x:c r="M144" s="19" t="n">
        <x:v>0.5</x:v>
      </x:c>
      <x:c r="N144" s="15" t="str">
        <x:v>Must Do</x:v>
      </x:c>
      <x:c r="O144" s="15" t="str">
        <x:v>Unsupported software - EOL, Security Vulnerability</x:v>
      </x:c>
      <x:c r="P144" s="15" t="str"/>
      <x:c r="Q144" s="15" t="str"/>
      <x:c r="R144" s="15" t="str"/>
      <x:c r="S144" s="15" t="str">
        <x:v>HEALTHY</x:v>
      </x:c>
      <x:c r="T144" s="15" t="str">
        <x:v>HEALTHY — Rank in priority matrix</x:v>
      </x:c>
    </x:row>
    <x:row r="145">
      <x:c r="A145" s="15" t="str">
        <x:v>EW-147</x:v>
      </x:c>
      <x:c r="B145" s="15" t="str">
        <x:v>EW-147</x:v>
      </x:c>
      <x:c r="C145" s="15" t="str"/>
      <x:c r="D145" s="15" t="str">
        <x:v>EW</x:v>
      </x:c>
      <x:c r="E145" s="15" t="n">
        <x:v>143</x:v>
      </x:c>
      <x:c r="F145" s="15" t="str">
        <x:v>EW Led</x:v>
      </x:c>
      <x:c r="G145" s="15" t="str">
        <x:v>Information Technology</x:v>
      </x:c>
      <x:c r="H145" s="15" t="str">
        <x:v>ISC IT DRP - Decommission legacy app and rebuild via GenAI - HS Industry app</x:v>
      </x:c>
      <x:c r="I145" s="15" t="str">
        <x:v>New Initiative</x:v>
      </x:c>
      <x:c r="J145" s="15" t="str">
        <x:v>Decomm/Replatforming</x:v>
      </x:c>
      <x:c r="K145" s="15" t="str">
        <x:v>Integrated Supply Chain &amp; Finance</x:v>
      </x:c>
      <x:c r="L145" s="19" t="n">
        <x:v>0.35</x:v>
      </x:c>
      <x:c r="M145" s="19"/>
      <x:c r="N145" s="15" t="str">
        <x:v>Must Have</x:v>
      </x:c>
      <x:c r="O145" s="15" t="str">
        <x:v>Service continuity of Factory and Warehouse at Best site; Unsupported software - EOL, Security Vulnerability</x:v>
      </x:c>
      <x:c r="P145" s="15" t="str"/>
      <x:c r="Q145" s="15" t="str"/>
      <x:c r="R145" s="15" t="str"/>
      <x:c r="S145" s="15" t="str">
        <x:v>HEALTHY</x:v>
      </x:c>
      <x:c r="T145" s="15" t="str">
        <x:v>HEALTHY — Rank in priority matrix</x:v>
      </x:c>
    </x:row>
    <x:row r="146">
      <x:c r="A146" s="15" t="str">
        <x:v>EW-148</x:v>
      </x:c>
      <x:c r="B146" s="15" t="str">
        <x:v>EW-148</x:v>
      </x:c>
      <x:c r="C146" s="15" t="str"/>
      <x:c r="D146" s="15" t="str">
        <x:v>EW</x:v>
      </x:c>
      <x:c r="E146" s="15" t="n">
        <x:v>144</x:v>
      </x:c>
      <x:c r="F146" s="15" t="str">
        <x:v>EW Led</x:v>
      </x:c>
      <x:c r="G146" s="15" t="str">
        <x:v>Information Technology</x:v>
      </x:c>
      <x:c r="H146" s="15" t="str">
        <x:v>TrueContext replacement</x:v>
      </x:c>
      <x:c r="I146" s="15" t="str">
        <x:v>New Initiative</x:v>
      </x:c>
      <x:c r="J146" s="15" t="str">
        <x:v>Decomm/Replatforming</x:v>
      </x:c>
      <x:c r="K146" s="15" t="str">
        <x:v>Services &amp; Solutions IT</x:v>
      </x:c>
      <x:c r="L146" s="19" t="n">
        <x:v>0.7</x:v>
      </x:c>
      <x:c r="M146" s="19" t="n">
        <x:v>1.675</x:v>
      </x:c>
      <x:c r="N146" s="15" t="str">
        <x:v>Must Do</x:v>
      </x:c>
      <x:c r="O146" s="15" t="str">
        <x:v>License cost Impact</x:v>
      </x:c>
      <x:c r="P146" s="15" t="str">
        <x:v>Build in house solution for Test and Verification, as a replacement to current 3rd party licensed application (TrueContext), thus significantly reducing operations costs</x:v>
      </x:c>
      <x:c r="Q146" s="15" t="str">
        <x:v>Develop and implement an in-house Test &amp; Verification solution to replace TrueContext, replicating critical business workflows and capabilities while improving flexibility, security, and reporting and significantly reducing licensing and operational costs.</x:v>
      </x:c>
      <x:c r="R146" s="15" t="str"/>
      <x:c r="S146" s="15" t="str">
        <x:v>HEALTHY</x:v>
      </x:c>
      <x:c r="T146" s="15" t="str">
        <x:v>HEALTHY — Rank in priority matrix</x:v>
      </x:c>
    </x:row>
    <x:row r="147">
      <x:c r="A147" s="15" t="str">
        <x:v>EW-149</x:v>
      </x:c>
      <x:c r="B147" s="15" t="str">
        <x:v>EW-149</x:v>
      </x:c>
      <x:c r="C147" s="15" t="str"/>
      <x:c r="D147" s="15" t="str">
        <x:v>EW</x:v>
      </x:c>
      <x:c r="E147" s="15" t="n">
        <x:v>145</x:v>
      </x:c>
      <x:c r="F147" s="15" t="str">
        <x:v>EW Led</x:v>
      </x:c>
      <x:c r="G147" s="15" t="str">
        <x:v>Information Technology</x:v>
      </x:c>
      <x:c r="H147" s="15" t="str">
        <x:v>Decisions replacement</x:v>
      </x:c>
      <x:c r="I147" s="15" t="str">
        <x:v>New Initiative</x:v>
      </x:c>
      <x:c r="J147" s="15" t="str">
        <x:v>Decomm/Replatforming</x:v>
      </x:c>
      <x:c r="K147" s="15" t="str">
        <x:v>Services &amp; Solutions IT</x:v>
      </x:c>
      <x:c r="L147" s="19" t="n">
        <x:v>0.1</x:v>
      </x:c>
      <x:c r="M147" s="19" t="n">
        <x:v>0.229</x:v>
      </x:c>
      <x:c r="N147" s="15" t="str">
        <x:v>Must Do</x:v>
      </x:c>
      <x:c r="O147" s="15" t="str">
        <x:v>License cost Impact</x:v>
      </x:c>
      <x:c r="P147" s="15" t="str">
        <x:v>Build in house solution for Service Entitlment checks, as a replacement to current 3rd party licensed application (Decisions), thus significantly reducing operations costs</x:v>
      </x:c>
      <x:c r="Q147" s="15" t="str">
        <x:v>Develop and implement an in-house Service Entitlement solution to replace Decisions, automating entitlement validation and business rules while reducing third-party licensing and operational costs.</x:v>
      </x:c>
      <x:c r="R147" s="15" t="str"/>
      <x:c r="S147" s="15" t="str">
        <x:v>HEALTHY</x:v>
      </x:c>
      <x:c r="T147" s="15" t="str">
        <x:v>HEALTHY — Rank in priority matrix</x:v>
      </x:c>
    </x:row>
    <x:row r="148">
      <x:c r="A148" s="15" t="str">
        <x:v>EW-150</x:v>
      </x:c>
      <x:c r="B148" s="15" t="str">
        <x:v>EW-150</x:v>
      </x:c>
      <x:c r="C148" s="15" t="str"/>
      <x:c r="D148" s="15" t="str">
        <x:v>EW</x:v>
      </x:c>
      <x:c r="E148" s="15" t="n">
        <x:v>146</x:v>
      </x:c>
      <x:c r="F148" s="15" t="str">
        <x:v>EW Led</x:v>
      </x:c>
      <x:c r="G148" s="15" t="str">
        <x:v>Information Technology</x:v>
      </x:c>
      <x:c r="H148" s="15" t="str">
        <x:v>PS Cloud replacement</x:v>
      </x:c>
      <x:c r="I148" s="15" t="str">
        <x:v>New Initiative</x:v>
      </x:c>
      <x:c r="J148" s="15" t="str">
        <x:v>Decomm/Replatforming</x:v>
      </x:c>
      <x:c r="K148" s="15" t="str">
        <x:v>Services &amp; Solutions IT</x:v>
      </x:c>
      <x:c r="L148" s="19" t="n">
        <x:v>1.2</x:v>
      </x:c>
      <x:c r="M148" s="19" t="n">
        <x:v>1.7</x:v>
      </x:c>
      <x:c r="N148" s="15" t="str">
        <x:v>Must Do</x:v>
      </x:c>
      <x:c r="O148" s="15" t="str">
        <x:v>License cost Impact</x:v>
      </x:c>
      <x:c r="P148" s="15" t="str">
        <x:v>Migration of SaaS based PS Cloud app to custom developed app.</x:v>
      </x:c>
      <x:c r="Q148" s="15" t="str">
        <x:v>Migrate the SaaS-based PS Cloud application to a custom-developed in-house solution, ensuring functional continuity, data migration, integrations, security, and improved flexibility while reducing dependency and operational costs.</x:v>
      </x:c>
      <x:c r="R148" s="15" t="str"/>
      <x:c r="S148" s="15" t="str">
        <x:v>HEALTHY</x:v>
      </x:c>
      <x:c r="T148" s="15" t="str">
        <x:v>HEALTHY — Rank in priority matrix</x:v>
      </x:c>
    </x:row>
    <x:row r="149">
      <x:c r="A149" s="15" t="str">
        <x:v>EW-151</x:v>
      </x:c>
      <x:c r="B149" s="15" t="str">
        <x:v>EW-151</x:v>
      </x:c>
      <x:c r="C149" s="15" t="str"/>
      <x:c r="D149" s="15" t="str">
        <x:v>EW</x:v>
      </x:c>
      <x:c r="E149" s="15" t="n">
        <x:v>147</x:v>
      </x:c>
      <x:c r="F149" s="15" t="str">
        <x:v>EW Led</x:v>
      </x:c>
      <x:c r="G149" s="15" t="str">
        <x:v>Information Technology</x:v>
      </x:c>
      <x:c r="H149" s="15" t="str">
        <x:v>Incenter replacement</x:v>
      </x:c>
      <x:c r="I149" s="15" t="str">
        <x:v>New Initiative</x:v>
      </x:c>
      <x:c r="J149" s="15" t="str">
        <x:v>Decomm/Replatforming</x:v>
      </x:c>
      <x:c r="K149" s="15" t="str">
        <x:v>Services &amp; Solutions IT</x:v>
      </x:c>
      <x:c r="L149" s="19" t="n">
        <x:v>0.8</x:v>
      </x:c>
      <x:c r="M149" s="19" t="n">
        <x:v>1.7</x:v>
      </x:c>
      <x:c r="N149" s="15" t="str">
        <x:v>Must Do</x:v>
      </x:c>
      <x:c r="O149" s="15" t="str">
        <x:v>License cost Impact</x:v>
      </x:c>
      <x:c r="P149" s="15" t="str">
        <x:v>Replace with an in-house solution to address limitation with current Vendor solution and to reduce operations cost</x:v>
      </x:c>
      <x:c r="Q149" s="15" t="str">
        <x:v>Develop and implement an in-house solution to overcome current vendor solution limitations, enhance flexibility and capabilities, and reduce operational and licensing costs.</x:v>
      </x:c>
      <x:c r="R149" s="15" t="str"/>
      <x:c r="S149" s="15" t="str">
        <x:v>HEALTHY</x:v>
      </x:c>
      <x:c r="T149" s="15" t="str">
        <x:v>HEALTHY — Rank in priority matrix</x:v>
      </x:c>
    </x:row>
    <x:row r="150">
      <x:c r="A150" s="15" t="str">
        <x:v>EW-152</x:v>
      </x:c>
      <x:c r="B150" s="15" t="str">
        <x:v>EW-152</x:v>
      </x:c>
      <x:c r="C150" s="15" t="str">
        <x:v>New</x:v>
      </x:c>
      <x:c r="D150" s="15" t="str">
        <x:v>EW</x:v>
      </x:c>
      <x:c r="E150" s="15" t="n">
        <x:v>148</x:v>
      </x:c>
      <x:c r="F150" s="15" t="str">
        <x:v>EW Led</x:v>
      </x:c>
      <x:c r="G150" s="15" t="str">
        <x:v>People function</x:v>
      </x:c>
      <x:c r="H150" s="15" t="str">
        <x:v>Grading (framework, governance &amp; job catalogue)</x:v>
      </x:c>
      <x:c r="I150" s="15" t="str">
        <x:v>New Initiative</x:v>
      </x:c>
      <x:c r="J150" s="15" t="str">
        <x:v>Continuous Improvement</x:v>
      </x:c>
      <x:c r="K150" s="15" t="str">
        <x:v>Group Functions &amp; Hyperautomation IT</x:v>
      </x:c>
      <x:c r="L150" s="19" t="n">
        <x:v>0.35</x:v>
      </x:c>
      <x:c r="M150" s="19"/>
      <x:c r="N150" s="15" t="str">
        <x:v>Must Have</x:v>
      </x:c>
      <x:c r="O150" s="15" t="str">
        <x:v>Strategic priorities of PF will not be met.</x:v>
      </x:c>
      <x:c r="P150" s="15" t="str">
        <x:v>New or significantly changed job profiles need consistent, fair grading.</x:v>
      </x:c>
      <x:c r="Q150" s="15" t="str">
        <x:v>Build grading governance into the Job Catalog using reference roles and checks for scope, accountability, overlap and market fit.</x:v>
      </x:c>
      <x:c r="R150" s="15" t="str">
        <x:v>None</x:v>
      </x:c>
      <x:c r="S150" s="15" t="str">
        <x:v>HEALTHY</x:v>
      </x:c>
      <x:c r="T150" s="15" t="str">
        <x:v>HEALTHY — Rank in priority matrix</x:v>
      </x:c>
    </x:row>
    <x:row r="151">
      <x:c r="A151" s="15" t="str">
        <x:v>EW-153</x:v>
      </x:c>
      <x:c r="B151" s="15" t="str">
        <x:v>EW-153</x:v>
      </x:c>
      <x:c r="C151" s="15" t="str">
        <x:v>New</x:v>
      </x:c>
      <x:c r="D151" s="15" t="str">
        <x:v>EW</x:v>
      </x:c>
      <x:c r="E151" s="15" t="n">
        <x:v>149</x:v>
      </x:c>
      <x:c r="F151" s="15" t="str">
        <x:v>EW Led</x:v>
      </x:c>
      <x:c r="G151" s="15" t="str">
        <x:v>People function</x:v>
      </x:c>
      <x:c r="H151" s="15" t="str">
        <x:v>Onboarding</x:v>
      </x:c>
      <x:c r="I151" s="15" t="str">
        <x:v>New Initiative</x:v>
      </x:c>
      <x:c r="J151" s="15" t="str">
        <x:v>Continuous Improvement</x:v>
      </x:c>
      <x:c r="K151" s="15" t="str">
        <x:v>Group Functions &amp; Hyperautomation IT</x:v>
      </x:c>
      <x:c r="L151" s="19" t="n">
        <x:v>0.152</x:v>
      </x:c>
      <x:c r="M151" s="19"/>
      <x:c r="N151" s="15" t="str">
        <x:v>Must Have</x:v>
      </x:c>
      <x:c r="O151" s="15" t="str">
        <x:v>Strategic priorities of PF will not be met.</x:v>
      </x:c>
      <x:c r="P151" s="15" t="str">
        <x:v>Measure onboarding outcomes to improve time-to-proficiency using targeted feedback for leaders and new hires. This is mainly a process and operating-model change, not an IT investment.</x:v>
      </x:c>
      <x:c r="Q151" s="15" t="str">
        <x:v>Add onboarding outcome measures and targeted feedback, potentially linked to the Hiring Manager experience.</x:v>
      </x:c>
      <x:c r="R151" s="15" t="str">
        <x:v>None</x:v>
      </x:c>
      <x:c r="S151" s="15" t="str">
        <x:v>HEALTHY</x:v>
      </x:c>
      <x:c r="T151" s="15" t="str">
        <x:v>HEALTHY — Rank in priority matrix</x:v>
      </x:c>
    </x:row>
    <x:row r="152">
      <x:c r="A152" s="15" t="str">
        <x:v>EW-154</x:v>
      </x:c>
      <x:c r="B152" s="15" t="str">
        <x:v>EW-154</x:v>
      </x:c>
      <x:c r="C152" s="15" t="str">
        <x:v>New</x:v>
      </x:c>
      <x:c r="D152" s="15" t="str">
        <x:v>EW</x:v>
      </x:c>
      <x:c r="E152" s="15" t="n">
        <x:v>150</x:v>
      </x:c>
      <x:c r="F152" s="15" t="str">
        <x:v>EW Led</x:v>
      </x:c>
      <x:c r="G152" s="15" t="str">
        <x:v>Greater China</x:v>
      </x:c>
      <x:c r="H152" s="15" t="str">
        <x:v>E2E event planning incl. GBP compliance review, HCP engagement review &amp; registration for GCR (Engage - Legal not usable)</x:v>
      </x:c>
      <x:c r="I152" s="15" t="str">
        <x:v>New Initiative</x:v>
      </x:c>
      <x:c r="J152" s="15" t="str">
        <x:v>Decomm/Replatforming</x:v>
      </x:c>
      <x:c r="K152" s="15" t="str">
        <x:v>Greater China IT</x:v>
      </x:c>
      <x:c r="L152" s="19" t="n">
        <x:v>0.25</x:v>
      </x:c>
      <x:c r="M152" s="19"/>
      <x:c r="N152" s="15" t="str">
        <x:v>Must Have</x:v>
      </x:c>
      <x:c r="O152" s="15" t="str">
        <x:v>This is the China version of Legal Engage Platform due to non-compliance of data hosting for Engage. Combined with replacemnet/decommision of a currently non-compliant event + GBP review tool hosted on Japan SFDC (ePR).</x:v>
      </x:c>
      <x:c r="P152" s="15" t="str"/>
      <x:c r="Q152" s="15" t="str"/>
      <x:c r="R152" s="15" t="str"/>
      <x:c r="S152" s="15" t="str">
        <x:v>HEALTHY</x:v>
      </x:c>
      <x:c r="T152" s="15" t="str">
        <x:v>HEALTHY / MUST-DO — P1 — Immediate</x:v>
      </x:c>
    </x:row>
    <x:row r="153">
      <x:c r="A153" s="15" t="str">
        <x:v>EW-155</x:v>
      </x:c>
      <x:c r="B153" s="15" t="str">
        <x:v>EW-155</x:v>
      </x:c>
      <x:c r="C153" s="15" t="str">
        <x:v>New</x:v>
      </x:c>
      <x:c r="D153" s="15" t="str">
        <x:v>EW</x:v>
      </x:c>
      <x:c r="E153" s="15" t="n">
        <x:v>151</x:v>
      </x:c>
      <x:c r="F153" s="15" t="str">
        <x:v>EW Led</x:v>
      </x:c>
      <x:c r="G153" s="15" t="str">
        <x:v>Information Technology</x:v>
      </x:c>
      <x:c r="H153" s="15" t="str">
        <x:v>CRMA and Qlikview Decom - Commercial Analytics</x:v>
      </x:c>
      <x:c r="I153" s="15" t="str">
        <x:v>New Initiative</x:v>
      </x:c>
      <x:c r="J153" s="15" t="str">
        <x:v>Decomm/Replatforming</x:v>
      </x:c>
      <x:c r="K153" s="15" t="str">
        <x:v>Commercial IT</x:v>
      </x:c>
      <x:c r="L153" s="19" t="n">
        <x:v>0.15</x:v>
      </x:c>
      <x:c r="M153" s="19" t="n">
        <x:v>0.77</x:v>
      </x:c>
      <x:c r="N153" s="15" t="str">
        <x:v>Must Have</x:v>
      </x:c>
      <x:c r="O153" s="15" t="str">
        <x:v>License and maintenance cost reduction in line with our Ops spend reduction</x:v>
      </x:c>
      <x:c r="P153" s="15" t="str">
        <x:v>Use context-aware AI nudges to give leaders and employees timely onboarding actions, improving accountability, consistency and the new-hire experience.</x:v>
      </x:c>
      <x:c r="Q153" s="15" t="str">
        <x:v>Replace generic onboarding messages with timely, milestone-based AI guidance.</x:v>
      </x:c>
      <x:c r="R153" s="15" t="str"/>
      <x:c r="S153" s="15" t="str">
        <x:v>HEALTHY</x:v>
      </x:c>
      <x:c r="T153" s="15" t="str">
        <x:v>HEALTHY — Rank in priority matrix</x:v>
      </x:c>
    </x:row>
    <x:row r="154">
      <x:c r="A154" s="15" t="str">
        <x:v>EW-156</x:v>
      </x:c>
      <x:c r="B154" s="15" t="str">
        <x:v>EW-156</x:v>
      </x:c>
      <x:c r="C154" s="15" t="str">
        <x:v>New</x:v>
      </x:c>
      <x:c r="D154" s="15" t="str">
        <x:v>EW</x:v>
      </x:c>
      <x:c r="E154" s="15" t="n">
        <x:v>152</x:v>
      </x:c>
      <x:c r="F154" s="15" t="str">
        <x:v>EW Led</x:v>
      </x:c>
      <x:c r="G154" s="15" t="str">
        <x:v>People function</x:v>
      </x:c>
      <x:c r="H154" s="15" t="str">
        <x:v>Philips Skills Framework</x:v>
      </x:c>
      <x:c r="I154" s="15" t="str">
        <x:v>New Initiative</x:v>
      </x:c>
      <x:c r="J154" s="15" t="str">
        <x:v>Continuous Improvement</x:v>
      </x:c>
      <x:c r="K154" s="15" t="str">
        <x:v>Group Functions &amp; Hyperautomation IT</x:v>
      </x:c>
      <x:c r="L154" s="19" t="n">
        <x:v>0.3</x:v>
      </x:c>
      <x:c r="M154" s="19"/>
      <x:c r="N154" s="15" t="str">
        <x:v>Must Have</x:v>
      </x:c>
      <x:c r="O154" s="15" t="str">
        <x:v>Strategic priorities of PF will not be met.</x:v>
      </x:c>
      <x:c r="P154" s="15" t="str">
        <x:v>Create one skills framework across jobs, hiring, onboarding, learning, performance and possibly rewards. The cross-portfolio vision still needs definition; Antoine is interim owner.</x:v>
      </x:c>
      <x:c r="Q154" s="15" t="str">
        <x:v>Once defined, integrate the skills framework across systems and add new systems if needed.</x:v>
      </x:c>
      <x:c r="R154" s="15" t="str">
        <x:v>None</x:v>
      </x:c>
      <x:c r="S154" s="15" t="str">
        <x:v>CONTAIN</x:v>
      </x:c>
      <x:c r="T154" s="15" t="str">
        <x:v>CONTAIN — Conditions</x:v>
      </x:c>
    </x:row>
    <x:row r="155">
      <x:c r="A155" s="15" t="str">
        <x:v>EW-157</x:v>
      </x:c>
      <x:c r="B155" s="15" t="str">
        <x:v>EW-157</x:v>
      </x:c>
      <x:c r="C155" s="15" t="str">
        <x:v>New</x:v>
      </x:c>
      <x:c r="D155" s="15" t="str">
        <x:v>EW</x:v>
      </x:c>
      <x:c r="E155" s="15" t="n">
        <x:v>153</x:v>
      </x:c>
      <x:c r="F155" s="15" t="str">
        <x:v>EW Led</x:v>
      </x:c>
      <x:c r="G155" s="15" t="str">
        <x:v>People function</x:v>
      </x:c>
      <x:c r="H155" s="15" t="str">
        <x:v>PPM</x:v>
      </x:c>
      <x:c r="I155" s="15" t="str">
        <x:v>New Initiative</x:v>
      </x:c>
      <x:c r="J155" s="15" t="str">
        <x:v>Continuous Improvement</x:v>
      </x:c>
      <x:c r="K155" s="15" t="str">
        <x:v>Group Functions &amp; Hyperautomation IT</x:v>
      </x:c>
      <x:c r="L155" s="19" t="n">
        <x:v>0.195</x:v>
      </x:c>
      <x:c r="M155" s="19"/>
      <x:c r="N155" s="15" t="str">
        <x:v>Must Do</x:v>
      </x:c>
      <x:c r="O155" s="15" t="str">
        <x:v>Strategic priorities of PF will not be met.</x:v>
      </x:c>
      <x:c r="P155" s="15" t="str">
        <x:v>Improve performance during the year through reviews, development and guidance, while meeting governance and local requirements.</x:v>
      </x:c>
      <x:c r="Q155" s="15" t="str">
        <x:v>Unify performance activities and add AI summaries, personalized guidance, possible Career Hub integration and updated P&amp;D expectations.</x:v>
      </x:c>
      <x:c r="R155" s="15" t="str">
        <x:v>None</x:v>
      </x:c>
      <x:c r="S155" s="15" t="str">
        <x:v>HEALTHY</x:v>
      </x:c>
      <x:c r="T155" s="15" t="str">
        <x:v>HEALTHY — Rank in priority matrix</x:v>
      </x:c>
    </x:row>
    <x:row r="156">
      <x:c r="A156" s="15" t="str">
        <x:v>EW-158</x:v>
      </x:c>
      <x:c r="B156" s="15" t="str">
        <x:v>EW-158</x:v>
      </x:c>
      <x:c r="C156" s="15" t="str">
        <x:v>New</x:v>
      </x:c>
      <x:c r="D156" s="15" t="str">
        <x:v>EW</x:v>
      </x:c>
      <x:c r="E156" s="15" t="n">
        <x:v>154</x:v>
      </x:c>
      <x:c r="F156" s="15" t="str">
        <x:v>EW Led</x:v>
      </x:c>
      <x:c r="G156" s="15" t="str">
        <x:v>People function</x:v>
      </x:c>
      <x:c r="H156" s="15" t="str">
        <x:v>Scheduling</x:v>
      </x:c>
      <x:c r="I156" s="15" t="str">
        <x:v>New Initiative</x:v>
      </x:c>
      <x:c r="J156" s="15" t="str">
        <x:v>Continuous Improvement</x:v>
      </x:c>
      <x:c r="K156" s="15" t="str">
        <x:v>Group Functions &amp; Hyperautomation IT</x:v>
      </x:c>
      <x:c r="L156" s="19" t="n">
        <x:v>0.05</x:v>
      </x:c>
      <x:c r="M156" s="19" t="n">
        <x:v>0.1</x:v>
      </x:c>
      <x:c r="N156" s="15" t="str">
        <x:v>Must Do</x:v>
      </x:c>
      <x:c r="O156" s="15" t="str">
        <x:v>Productivity targets will not be met and thereby forfeit Business case worth of 100K</x:v>
      </x:c>
      <x:c r="P156" s="15" t="str"/>
      <x:c r="Q156" s="15" t="str">
        <x:v>Expand automated interview scheduling and fix regional process and coordinator gaps.</x:v>
      </x:c>
      <x:c r="R156" s="15" t="str">
        <x:v>None</x:v>
      </x:c>
      <x:c r="S156" s="15" t="str">
        <x:v>HEALTHY</x:v>
      </x:c>
      <x:c r="T156" s="15" t="str">
        <x:v>HEALTHY — Rank in priority matrix</x:v>
      </x:c>
    </x:row>
    <x:row r="157">
      <x:c r="A157" s="15" t="str">
        <x:v>EW-159</x:v>
      </x:c>
      <x:c r="B157" s="15" t="str">
        <x:v>EW-159</x:v>
      </x:c>
      <x:c r="C157" s="15" t="str">
        <x:v>New</x:v>
      </x:c>
      <x:c r="D157" s="15" t="str">
        <x:v>EW</x:v>
      </x:c>
      <x:c r="E157" s="15" t="n">
        <x:v>155</x:v>
      </x:c>
      <x:c r="F157" s="15" t="str">
        <x:v>EW Led</x:v>
      </x:c>
      <x:c r="G157" s="15" t="str">
        <x:v>People function</x:v>
      </x:c>
      <x:c r="H157" s="15" t="str">
        <x:v>Sourcing</x:v>
      </x:c>
      <x:c r="I157" s="15" t="str">
        <x:v>New Initiative</x:v>
      </x:c>
      <x:c r="J157" s="15" t="str">
        <x:v>Continuous Improvement</x:v>
      </x:c>
      <x:c r="K157" s="15" t="str">
        <x:v>Group Functions &amp; Hyperautomation IT</x:v>
      </x:c>
      <x:c r="L157" s="19" t="n">
        <x:v>0.129</x:v>
      </x:c>
      <x:c r="M157" s="19"/>
      <x:c r="N157" s="15" t="str">
        <x:v>Must Have</x:v>
      </x:c>
      <x:c r="O157" s="15" t="str">
        <x:v>Strategic priorities of PF will not be met.</x:v>
      </x:c>
      <x:c r="P157" s="15" t="str">
        <x:v>Maintain compliant talent pipelines for critical roles and scarce skills.</x:v>
      </x:c>
      <x:c r="Q157" s="15" t="str">
        <x:v>Use connected workforce data, Avature and AI to strengthen pipelines, reduce agency reliance and forecast demand.</x:v>
      </x:c>
      <x:c r="R157" s="15" t="str">
        <x:v>None</x:v>
      </x:c>
      <x:c r="S157" s="15" t="str">
        <x:v>HEALTHY</x:v>
      </x:c>
      <x:c r="T157" s="15" t="str">
        <x:v>HEALTHY — Rank in priority matrix</x:v>
      </x:c>
    </x:row>
    <x:row r="158">
      <x:c r="A158" s="15" t="str">
        <x:v>EW-160</x:v>
      </x:c>
      <x:c r="B158" s="15" t="str">
        <x:v>EW-160</x:v>
      </x:c>
      <x:c r="C158" s="15" t="str">
        <x:v>New</x:v>
      </x:c>
      <x:c r="D158" s="15" t="str">
        <x:v>EW</x:v>
      </x:c>
      <x:c r="E158" s="15" t="n">
        <x:v>156</x:v>
      </x:c>
      <x:c r="F158" s="15" t="str">
        <x:v>EW Led</x:v>
      </x:c>
      <x:c r="G158" s="15" t="str">
        <x:v>People function</x:v>
      </x:c>
      <x:c r="H158" s="15" t="str">
        <x:v>Well-being Insights Platform</x:v>
      </x:c>
      <x:c r="I158" s="15" t="str">
        <x:v>New Initiative</x:v>
      </x:c>
      <x:c r="J158" s="15" t="str">
        <x:v>Continuous Improvement</x:v>
      </x:c>
      <x:c r="K158" s="15" t="str">
        <x:v>Group Functions &amp; Hyperautomation IT</x:v>
      </x:c>
      <x:c r="L158" s="19" t="n">
        <x:v>0.075</x:v>
      </x:c>
      <x:c r="M158" s="19"/>
      <x:c r="N158" s="15" t="str">
        <x:v>Must Have</x:v>
      </x:c>
      <x:c r="O158" s="15" t="str">
        <x:v>Strategic priorities of PF will not be met.</x:v>
      </x:c>
      <x:c r="P158" s="15" t="str">
        <x:v>Maintain compliant workforce, absence and wellbeing reporting.</x:v>
      </x:c>
      <x:c r="Q158" s="15" t="str">
        <x:v>Create a predictive Well-being Insights Platform to identify risks, track costs and trends, and guide action.</x:v>
      </x:c>
      <x:c r="R158" s="15" t="str">
        <x:v>None</x:v>
      </x:c>
      <x:c r="S158" s="15" t="str">
        <x:v>HEALTHY</x:v>
      </x:c>
      <x:c r="T158" s="15" t="str">
        <x:v>HEALTHY — Rank in priority matrix</x:v>
      </x:c>
    </x:row>
    <x:row r="159">
      <x:c r="A159" s="15" t="str">
        <x:v>EW-161</x:v>
      </x:c>
      <x:c r="B159" s="15" t="str">
        <x:v>EW-161</x:v>
      </x:c>
      <x:c r="C159" s="15" t="str">
        <x:v>New</x:v>
      </x:c>
      <x:c r="D159" s="15" t="str">
        <x:v>EW</x:v>
      </x:c>
      <x:c r="E159" s="15" t="n">
        <x:v>157</x:v>
      </x:c>
      <x:c r="F159" s="15" t="str">
        <x:v>EW Led</x:v>
      </x:c>
      <x:c r="G159" s="15" t="str">
        <x:v>Greater China</x:v>
      </x:c>
      <x:c r="H159" s="15" t="str">
        <x:v>Regina AI - GCR NMPA Submission Assistant for Regulatory Affair</x:v>
      </x:c>
      <x:c r="I159" s="15" t="str">
        <x:v>Change &amp; Sustain</x:v>
      </x:c>
      <x:c r="J159" s="15" t="str">
        <x:v>Continuous Improvement</x:v>
      </x:c>
      <x:c r="K159" s="15" t="str">
        <x:v>Greater China IT</x:v>
      </x:c>
      <x:c r="L159" s="19" t="n">
        <x:v>0.15</x:v>
      </x:c>
      <x:c r="M159" s="19"/>
      <x:c r="N159" s="15" t="str">
        <x:v>Must Have</x:v>
      </x:c>
      <x:c r="O159" s="15" t="str">
        <x:v>Delayed product registration for China FDA</x:v>
      </x:c>
      <x:c r="P159" s="15" t="str">
        <x:v>Already developed 2 modules that already significantly improved the speed for regulatory submission. Need to embed E2E into workflow to make it useful and scalable</x:v>
      </x:c>
      <x:c r="Q159" s="15" t="str">
        <x: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x:v>
      </x:c>
      <x:c r="R159" s="15" t="str"/>
      <x:c r="S159" s="15" t="str"/>
      <x:c r="T159" s="15" t="str"/>
    </x:row>
    <x:row r="160">
      <x:c r="A160" s="15" t="str">
        <x:v>EW-162</x:v>
      </x:c>
      <x:c r="B160" s="15" t="str">
        <x:v>EW-162</x:v>
      </x:c>
      <x:c r="C160" s="15" t="str">
        <x:v>New</x:v>
      </x:c>
      <x:c r="D160" s="15" t="str">
        <x:v>EW</x:v>
      </x:c>
      <x:c r="E160" s="15" t="n">
        <x:v>158</x:v>
      </x:c>
      <x:c r="F160" s="15" t="str">
        <x:v>EW Led</x:v>
      </x:c>
      <x:c r="G160" s="15" t="str">
        <x:v>Patient Safety &amp; Quality</x:v>
      </x:c>
      <x:c r="H160" s="15" t="str">
        <x:v>Quality AI for GCR Adverse Event Report and Post Market Vigilance</x:v>
      </x:c>
      <x:c r="I160" s="15" t="str">
        <x:v>New Initiative</x:v>
      </x:c>
      <x:c r="J160" s="15" t="str">
        <x:v>New Technology</x:v>
      </x:c>
      <x:c r="K160" s="15" t="str">
        <x:v>Greater China IT</x:v>
      </x:c>
      <x:c r="L160" s="19" t="n">
        <x:v>0.35</x:v>
      </x:c>
      <x:c r="M160" s="19" t="n">
        <x:v>1</x:v>
      </x:c>
      <x:c r="N160" s="15" t="str">
        <x:v>Must Have</x:v>
      </x:c>
      <x:c r="O160" s="15" t="str">
        <x:v>Addtional 25 incremental FTE requirement (~ EUR 1M+), not able to have required high quality of quality issue reporting, not able to provide audit traceability, no risk-trend analysis and earlier detection of quality-risk signals.</x:v>
      </x:c>
      <x:c r="P160" s="15" t="str">
        <x:v>Manual fragmented effort for post market quality incidents that takes lots of wasted time, inefficient &amp; introduced human error</x:v>
      </x:c>
      <x:c r="Q160" s="15" t="str">
        <x: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x:v>
      </x:c>
      <x:c r="R160" s="15" t="str"/>
      <x:c r="S160" s="15" t="str">
        <x:v>HEALTHY</x:v>
      </x:c>
      <x:c r="T160" s="15" t="str">
        <x:v>HEALTHY / MUST-DO — P1 — Immediate</x:v>
      </x:c>
    </x:row>
    <x:row r="161">
      <x:c r="A161" s="15" t="str">
        <x:v>EW-163</x:v>
      </x:c>
      <x:c r="B161" s="15" t="str">
        <x:v>EW-163</x:v>
      </x:c>
      <x:c r="C161" s="15" t="str">
        <x:v>New</x:v>
      </x:c>
      <x:c r="D161" s="15" t="str">
        <x:v>EW</x:v>
      </x:c>
      <x:c r="E161" s="15" t="n">
        <x:v>159</x:v>
      </x:c>
      <x:c r="F161" s="15" t="str">
        <x:v>EW Led</x:v>
      </x:c>
      <x:c r="G161" s="15" t="str">
        <x:v>Greater China</x:v>
      </x:c>
      <x:c r="H161" s="15" t="str">
        <x:v>Master Data Clean up, Harmonization &amp; Data Stweart for HS &amp; PH (incl. mainland, TW, HK split) for IT SoX readiness, Key Reports</x:v>
      </x:c>
      <x:c r="I161" s="15" t="str">
        <x:v>New Initiative</x:v>
      </x:c>
      <x:c r="J161" s="15" t="str">
        <x:v>Legal Fiscal, Regulatory &amp; Compliancy</x:v>
      </x:c>
      <x:c r="K161" s="15" t="str">
        <x:v>Greater China IT</x:v>
      </x:c>
      <x:c r="L161" s="19" t="n">
        <x:v>0.1</x:v>
      </x:c>
      <x:c r="M161" s="19"/>
      <x:c r="N161" s="15" t="str">
        <x:v>Must Have</x:v>
      </x:c>
      <x:c r="O161" s="15" t="str">
        <x:v>Wrong data generate issue across various systems and reporting, incl SOX related systems. Not able to empower AI usages since garbage in garbage out</x:v>
      </x:c>
      <x:c r="P161" s="15" t="str"/>
      <x:c r="Q161" s="15" t="str"/>
      <x:c r="R161" s="15" t="str"/>
      <x:c r="S161" s="15" t="str">
        <x:v>HEALTHY</x:v>
      </x:c>
      <x:c r="T161" s="15" t="str">
        <x:v>HEALTHY / MUST-DO — P1 — Immediate</x:v>
      </x:c>
    </x:row>
    <x:row r="162">
      <x:c r="A162" s="15" t="str">
        <x:v>EW-164</x:v>
      </x:c>
      <x:c r="B162" s="15" t="str">
        <x:v>EW-164</x:v>
      </x:c>
      <x:c r="C162" s="15" t="str">
        <x:v>New</x:v>
      </x:c>
      <x:c r="D162" s="15" t="str">
        <x:v>EW</x:v>
      </x:c>
      <x:c r="E162" s="15" t="n">
        <x:v>160</x:v>
      </x:c>
      <x:c r="F162" s="15" t="str">
        <x:v>EW Led</x:v>
      </x:c>
      <x:c r="G162" s="15" t="str">
        <x:v>Legal</x:v>
      </x:c>
      <x:c r="H162" s="15" t="str">
        <x:v>Lexa AI - GCR Legal Review &amp; Compliance Assistant</x:v>
      </x:c>
      <x:c r="I162" s="15" t="str"/>
      <x:c r="J162" s="15" t="str">
        <x:v>Continuous Improvement</x:v>
      </x:c>
      <x:c r="K162" s="15" t="str">
        <x:v>Greater China IT</x:v>
      </x:c>
      <x:c r="L162" s="19" t="n">
        <x:v>0.15</x:v>
      </x:c>
      <x:c r="M162" s="19"/>
      <x:c r="N162" s="15" t="str">
        <x:v>Must Have</x:v>
      </x:c>
      <x:c r="O162" s="15" t="str">
        <x:v>Overdue legal reviews and law suit handling for contracts, partnerships and other business critical engagement that requires legal support</x:v>
      </x:c>
      <x:c r="P162" s="15" t="str">
        <x:v>Wasted time to search for the latest legal reference, review and compare notes on submitted document, track differences and provide timely feedback</x:v>
      </x:c>
      <x:c r="Q162" s="15" t="str">
        <x:v>Lexa AI is an AI-powered Legal Contract Intelligence Platform that enables intelligent contract search, comparison, risk assessment, and clause recommendation, significantly improving legal productivity, compliance consistency, and contract review efficiency</x:v>
      </x:c>
      <x:c r="R162" s="15" t="str"/>
      <x:c r="S162" s="15" t="str">
        <x:v>HEALTHY</x:v>
      </x:c>
      <x:c r="T162" s="15" t="str">
        <x:v>HEALTHY — Rank in priority matrix</x:v>
      </x:c>
    </x:row>
    <x:row r="163">
      <x:c r="A163" s="15" t="str">
        <x:v>EW-165</x:v>
      </x:c>
      <x:c r="B163" s="15" t="str">
        <x:v>EW-165</x:v>
      </x:c>
      <x:c r="C163" s="15" t="str">
        <x:v>New</x:v>
      </x:c>
      <x:c r="D163" s="15" t="str">
        <x:v>EW</x:v>
      </x:c>
      <x:c r="E163" s="15" t="n">
        <x:v>161</x:v>
      </x:c>
      <x:c r="F163" s="15" t="str">
        <x:v>EW Led</x:v>
      </x:c>
      <x:c r="G163" s="15" t="str">
        <x:v>Greater China</x:v>
      </x:c>
      <x:c r="H163" s="15" t="str">
        <x:v>Multiple GCR Application Enhancement (VAT Mainland, VAT Taiwan, VAT Hongkong, e-Invoice, T&amp;E company billing, EHS Lone woker, USB DLP for IP protection etc.)</x:v>
      </x:c>
      <x:c r="I163" s="15" t="str"/>
      <x:c r="J163" s="15" t="str">
        <x:v>Legal Fiscal, Regulatory &amp; Compliancy</x:v>
      </x:c>
      <x:c r="K163" s="15" t="str">
        <x:v>Greater China IT</x:v>
      </x:c>
      <x:c r="L163" s="19" t="n">
        <x:v>0.05</x:v>
      </x:c>
      <x:c r="M163" s="19"/>
      <x:c r="N163" s="15" t="str">
        <x:v>Must Have</x:v>
      </x:c>
      <x:c r="O163" s="15" t="str">
        <x:v>Not able to comply with local tax/fiscal policy and requirements, &amp; security monitoring</x:v>
      </x:c>
      <x:c r="P163" s="15" t="str"/>
      <x:c r="Q163" s="15" t="str"/>
      <x:c r="R163" s="15" t="str"/>
      <x:c r="S163" s="15" t="str">
        <x:v>HEALTHY</x:v>
      </x:c>
      <x:c r="T163" s="15" t="str">
        <x:v>HEALTHY / MUST-DO — P1 — Immediate</x:v>
      </x:c>
    </x:row>
    <x:row r="164">
      <x:c r="A164" s="15" t="str">
        <x:v>EW-166</x:v>
      </x:c>
      <x:c r="B164" s="15" t="str">
        <x:v>EW-166</x:v>
      </x:c>
      <x:c r="C164" s="15" t="str">
        <x:v>New</x:v>
      </x:c>
      <x:c r="D164" s="15" t="str">
        <x:v>EW</x:v>
      </x:c>
      <x:c r="E164" s="15" t="n">
        <x:v>162</x:v>
      </x:c>
      <x:c r="F164" s="15" t="str">
        <x:v>EW Led</x:v>
      </x:c>
      <x:c r="G164" s="15" t="str">
        <x:v>Group Security</x:v>
      </x:c>
      <x:c r="H164" s="15" t="str">
        <x:v>WeComm implementation &amp; AI analysis (official wechat platform to derisk IP leakage and security violation) for GCR</x:v>
      </x:c>
      <x:c r="I164" s="15" t="str">
        <x:v>New Initiative</x:v>
      </x:c>
      <x:c r="J164" s="15" t="str">
        <x:v>Legal Fiscal, Regulatory &amp; Compliancy</x:v>
      </x:c>
      <x:c r="K164" s="15" t="str">
        <x:v>IT-Security,Risk&amp;Compliance</x:v>
      </x:c>
      <x:c r="L164" s="19" t="n">
        <x:v>0.1</x:v>
      </x:c>
      <x:c r="M164" s="19"/>
      <x:c r="N164" s="15" t="str"/>
      <x:c r="O164" s="15" t="str">
        <x:v>Severe IP &amp; security risk associated with use of wechat, need an enterprise solution that provide better security guiderail</x:v>
      </x:c>
      <x:c r="P164" s="15" t="str">
        <x:v>Usage of private/pesonal wechat in Sales and Field Service, PH and other functions exposed risk in Data &amp; IP</x:v>
      </x:c>
      <x:c r="Q164" s="15" t="str">
        <x:v>Using WeCom (enterprise Wechat provided by Tecent for better security monitoring, prevention and company data continuity), annual fee + operations reqruied post one time setup cost. Also combine this with effort for AI enabled security scan/analysis</x:v>
      </x:c>
      <x:c r="R164" s="15" t="str"/>
      <x:c r="S164" s="15" t="str"/>
      <x:c r="T164" s="15" t="str"/>
    </x:row>
    <x:row r="165">
      <x:c r="A165" s="15" t="str">
        <x:v>EW-167</x:v>
      </x:c>
      <x:c r="B165" s="15" t="str">
        <x:v>EW-167</x:v>
      </x:c>
      <x:c r="C165" s="15" t="str">
        <x:v>New</x:v>
      </x:c>
      <x:c r="D165" s="15" t="str">
        <x:v>EW</x:v>
      </x:c>
      <x:c r="E165" s="15" t="n">
        <x:v>163</x:v>
      </x:c>
      <x:c r="F165" s="15" t="str">
        <x:v>EW Led</x:v>
      </x:c>
      <x:c r="G165" s="15" t="str"/>
      <x:c r="H165" s="15" t="str">
        <x:v>Veeva-Seismic-PAL Integration API upgrade</x:v>
      </x:c>
      <x:c r="I165" s="15" t="str">
        <x:v>Carry Over</x:v>
      </x:c>
      <x:c r="J165" s="15" t="str">
        <x:v>Continuous Improvement</x:v>
      </x:c>
      <x:c r="K165" s="15" t="str">
        <x:v>Innovation and Digital IT</x:v>
      </x:c>
      <x:c r="L165" s="19" t="n">
        <x:v>0.05</x:v>
      </x:c>
      <x:c r="M165" s="19"/>
      <x:c r="N165" s="15" t="str">
        <x:v>Must Do</x:v>
      </x:c>
      <x:c r="O165" s="15" t="str">
        <x:v>Making non compliant marketing claims</x:v>
      </x:c>
      <x:c r="P165" s="15" t="str"/>
      <x:c r="Q165" s="15" t="str"/>
      <x:c r="R165" s="15" t="str"/>
      <x:c r="S165" s="15" t="str">
        <x:v>HEALTHY</x:v>
      </x:c>
      <x:c r="T165" s="15" t="str">
        <x:v>HEALTHY — Rank in priority matrix</x:v>
      </x:c>
    </x:row>
    <x:row r="166">
      <x:c r="A166" s="15" t="str">
        <x:v>EW-168</x:v>
      </x:c>
      <x:c r="B166" s="15" t="str">
        <x:v>EW-168</x:v>
      </x:c>
      <x:c r="C166" s="15" t="str">
        <x:v>New</x:v>
      </x:c>
      <x:c r="D166" s="15" t="str">
        <x:v>EW</x:v>
      </x:c>
      <x:c r="E166" s="15" t="n">
        <x:v>164</x:v>
      </x:c>
      <x:c r="F166" s="15" t="str">
        <x:v>EW Led</x:v>
      </x:c>
      <x:c r="G166" s="15" t="str">
        <x:v>People function</x:v>
      </x:c>
      <x:c r="H166" s="15" t="str">
        <x:v>Standardization</x:v>
      </x:c>
      <x:c r="I166" s="15" t="str">
        <x:v>New Initiative</x:v>
      </x:c>
      <x:c r="J166" s="15" t="str">
        <x:v>Continuous Improvement</x:v>
      </x:c>
      <x:c r="K166" s="15" t="str">
        <x:v>Group Functions &amp; Hyperautomation IT</x:v>
      </x:c>
      <x:c r="L166" s="19" t="n">
        <x:v>0.2</x:v>
      </x:c>
      <x:c r="M166" s="19" t="n">
        <x:v>0.7</x:v>
      </x:c>
      <x:c r="N166" s="15" t="str">
        <x:v>Must Do</x:v>
      </x:c>
      <x:c r="O166" s="15" t="str">
        <x:v>Productivity targets will not be met and thereby forfeit Business case worth of 700K</x:v>
      </x:c>
      <x:c r="P166" s="15" t="str">
        <x:v>Inconsistent local processes limit efficiency, governance, and AI readiness.</x:v>
      </x:c>
      <x:c r="Q166" s="15" t="str">
        <x:v>Define global standards while retaining only essential local variations.</x:v>
      </x:c>
      <x:c r="R166" s="15" t="str">
        <x:v>None</x:v>
      </x:c>
      <x:c r="S166" s="15" t="str">
        <x:v>HEALTHY</x:v>
      </x:c>
      <x:c r="T166" s="15" t="str">
        <x:v>HEALTHY — Rank in priority matrix</x:v>
      </x:c>
    </x:row>
    <x:row r="167">
      <x:c r="A167" s="15" t="str">
        <x:v>EW-169</x:v>
      </x:c>
      <x:c r="B167" s="15" t="str">
        <x:v>EW-169</x:v>
      </x:c>
      <x:c r="C167" s="15" t="str">
        <x:v>New</x:v>
      </x:c>
      <x:c r="D167" s="15" t="str">
        <x:v>EW</x:v>
      </x:c>
      <x:c r="E167" s="15" t="n">
        <x:v>165</x:v>
      </x:c>
      <x:c r="F167" s="15" t="str">
        <x:v>EW Led</x:v>
      </x:c>
      <x:c r="G167" s="15" t="str">
        <x:v>People function</x:v>
      </x:c>
      <x:c r="H167" s="15" t="str">
        <x:v>People data architechture &amp; AI solutions enablement</x:v>
      </x:c>
      <x:c r="I167" s="15" t="str">
        <x:v>New Initiative</x:v>
      </x:c>
      <x:c r="J167" s="15" t="str">
        <x:v>Continuous Improvement</x:v>
      </x:c>
      <x:c r="K167" s="15" t="str">
        <x:v>Group Functions &amp; Hyperautomation IT</x:v>
      </x:c>
      <x:c r="L167" s="19" t="n">
        <x:v>0.3</x:v>
      </x:c>
      <x:c r="M167" s="19" t="n">
        <x:v>0.4</x:v>
      </x:c>
      <x:c r="N167" s="15" t="str">
        <x:v>Must Have</x:v>
      </x:c>
      <x:c r="O167" s="15" t="str">
        <x:v>Productivity targets will not be met and thereby forfeit Business case worth of 400K</x:v>
      </x:c>
      <x:c r="P167" s="15" t="str">
        <x:v>Fragmented data architecture prevents trusted, integrated AI insights.</x:v>
      </x:c>
      <x:c r="Q167" s="15" t="str">
        <x:v>Build a connected data foundation and trusted intelligence layer.</x:v>
      </x:c>
      <x:c r="R167" s="15" t="str">
        <x:v>None</x:v>
      </x:c>
      <x:c r="S167" s="15" t="str">
        <x:v>HEALTHY</x:v>
      </x:c>
      <x:c r="T167" s="15" t="str">
        <x:v>HEALTHY — Rank in priority matrix</x:v>
      </x:c>
    </x:row>
    <x:row r="168">
      <x:c r="A168" s="15" t="str">
        <x:v>EW-170</x:v>
      </x:c>
      <x:c r="B168" s="15" t="str">
        <x:v>EW-170</x:v>
      </x:c>
      <x:c r="C168" s="15" t="str">
        <x:v>New</x:v>
      </x:c>
      <x:c r="D168" s="15" t="str">
        <x:v>EW</x:v>
      </x:c>
      <x:c r="E168" s="15" t="n">
        <x:v>166</x:v>
      </x:c>
      <x:c r="F168" s="15" t="str">
        <x:v>EW Led</x:v>
      </x:c>
      <x:c r="G168" s="15" t="str">
        <x:v>People function</x:v>
      </x:c>
      <x:c r="H168" s="15" t="str">
        <x:v>Long term incentive</x:v>
      </x:c>
      <x:c r="I168" s="15" t="str">
        <x:v>New Initiative</x:v>
      </x:c>
      <x:c r="J168" s="15" t="str">
        <x:v>Continuous Improvement</x:v>
      </x:c>
      <x:c r="K168" s="15" t="str">
        <x:v>Group Functions &amp; Hyperautomation IT</x:v>
      </x:c>
      <x:c r="L168" s="19" t="n">
        <x:v>0.05</x:v>
      </x:c>
      <x:c r="M168" s="19"/>
      <x:c r="N168" s="15" t="str">
        <x:v>Must Have</x:v>
      </x:c>
      <x:c r="O168" s="15" t="str">
        <x:v>Strategic priorities of PF will not be met.</x:v>
      </x:c>
      <x:c r="P168" s="15" t="str">
        <x:v>LTI administration and allocation may not optimally support attraction, motivation, and retention.</x:v>
      </x:c>
      <x:c r="Q168" s="15" t="str">
        <x:v>Maintain LTI operations while reviewing the budget-versus-allocation approach.</x:v>
      </x:c>
      <x:c r="R168" s="15" t="str">
        <x:v>None</x:v>
      </x:c>
      <x:c r="S168" s="15" t="str">
        <x:v>CONTAIN</x:v>
      </x:c>
      <x:c r="T168" s="15" t="str">
        <x:v>CONTAIN — Conditions</x:v>
      </x:c>
    </x:row>
    <x:row r="169">
      <x:c r="A169" s="15" t="str">
        <x:v>EW-171</x:v>
      </x:c>
      <x:c r="B169" s="15" t="str">
        <x:v>EW-171</x:v>
      </x:c>
      <x:c r="C169" s="15" t="str">
        <x:v>New</x:v>
      </x:c>
      <x:c r="D169" s="15" t="str">
        <x:v>EW</x:v>
      </x:c>
      <x:c r="E169" s="15" t="n">
        <x:v>167</x:v>
      </x:c>
      <x:c r="F169" s="15" t="str">
        <x:v>EW Led</x:v>
      </x:c>
      <x:c r="G169" s="15" t="str">
        <x:v>People function</x:v>
      </x:c>
      <x:c r="H169" s="15" t="str">
        <x:v>Critical Capabilities</x:v>
      </x:c>
      <x:c r="I169" s="15" t="str">
        <x:v>New Initiative</x:v>
      </x:c>
      <x:c r="J169" s="15" t="str">
        <x:v>Continuous Improvement</x:v>
      </x:c>
      <x:c r="K169" s="15" t="str">
        <x:v>Group Functions &amp; Hyperautomation IT</x:v>
      </x:c>
      <x:c r="L169" s="19" t="n">
        <x:v>0.425</x:v>
      </x:c>
      <x:c r="M169" s="19"/>
      <x:c r="N169" s="15" t="str">
        <x:v>Must Have</x:v>
      </x:c>
      <x:c r="O169" s="15" t="str">
        <x:v>Strategic priorities of PF will not be met.</x:v>
      </x:c>
      <x:c r="P169" s="15" t="str">
        <x:v>Commercial, product, and service capabilities are inconsistent across businesses and regions.</x:v>
      </x:c>
      <x:c r="Q169" s="15" t="str">
        <x:v>Standardize development, leadership, role clarity, onboarding, and skills-based workforce planning.</x:v>
      </x:c>
      <x:c r="R169" s="15" t="str">
        <x:v>None</x:v>
      </x:c>
      <x:c r="S169" s="15" t="str">
        <x:v>HEALTHY</x:v>
      </x:c>
      <x:c r="T169" s="15" t="str">
        <x:v>HEALTHY — Rank in priority matrix</x:v>
      </x:c>
    </x:row>
    <x:row r="170">
      <x:c r="A170" s="15" t="str">
        <x:v>EW-172</x:v>
      </x:c>
      <x:c r="B170" s="15" t="str">
        <x:v>EW-172</x:v>
      </x:c>
      <x:c r="C170" s="15" t="str">
        <x:v>New</x:v>
      </x:c>
      <x:c r="D170" s="15" t="str">
        <x:v>EW</x:v>
      </x:c>
      <x:c r="E170" s="15" t="n">
        <x:v>168</x:v>
      </x:c>
      <x:c r="F170" s="15" t="str">
        <x:v>EW Led</x:v>
      </x:c>
      <x:c r="G170" s="15" t="str">
        <x:v>People function</x:v>
      </x:c>
      <x:c r="H170" s="15" t="str">
        <x:v>Learning architecture</x:v>
      </x:c>
      <x:c r="I170" s="15" t="str">
        <x:v>New Initiative</x:v>
      </x:c>
      <x:c r="J170" s="15" t="str">
        <x:v>Continuous Improvement</x:v>
      </x:c>
      <x:c r="K170" s="15" t="str">
        <x:v>Group Functions &amp; Hyperautomation IT</x:v>
      </x:c>
      <x:c r="L170" s="19" t="n">
        <x:v>1.5</x:v>
      </x:c>
      <x:c r="M170" s="19"/>
      <x:c r="N170" s="15" t="str">
        <x:v>Must Have</x:v>
      </x:c>
      <x:c r="O170" s="15" t="str">
        <x:v>Strategic priorities of PF will not be met.</x:v>
      </x:c>
      <x:c r="P170" s="15" t="str">
        <x:v>A fragmented learning ecosystem limits personalization, efficiency, and skills-based development.</x:v>
      </x:c>
      <x:c r="Q170" s="15" t="str">
        <x:v>Consolidate platforms and build a trusted, AI-enabled learning experience and data foundation.</x:v>
      </x:c>
      <x:c r="R170" s="15" t="str">
        <x:v>None</x:v>
      </x:c>
      <x:c r="S170" s="15" t="str">
        <x:v>HEALTHY</x:v>
      </x:c>
      <x:c r="T170" s="15" t="str">
        <x:v>HEALTHY — Rank in priority matrix</x:v>
      </x:c>
    </x:row>
    <x:row r="171">
      <x:c r="A171" s="15" t="str">
        <x:v>EW-173</x:v>
      </x:c>
      <x:c r="B171" s="15" t="str">
        <x:v>EW-173</x:v>
      </x:c>
      <x:c r="C171" s="15" t="str"/>
      <x:c r="D171" s="15" t="str">
        <x:v>EW</x:v>
      </x:c>
      <x:c r="E171" s="15" t="n">
        <x:v>169</x:v>
      </x:c>
      <x:c r="F171" s="15" t="str">
        <x:v>EW Led</x:v>
      </x:c>
      <x:c r="G171" s="15" t="str">
        <x:v>Information Technology</x:v>
      </x:c>
      <x:c r="H171" s="15" t="str">
        <x:v>ISC IT DRP - DESCARTES</x:v>
      </x:c>
      <x:c r="I171" s="15" t="str">
        <x:v>New Initiative</x:v>
      </x:c>
      <x:c r="J171" s="15" t="str">
        <x:v>Decomm/Replatforming</x:v>
      </x:c>
      <x:c r="K171" s="15" t="str">
        <x:v>Integrated Supply Chain &amp; Finance</x:v>
      </x:c>
      <x:c r="L171" s="19" t="n">
        <x:v>0.5</x:v>
      </x:c>
      <x:c r="M171" s="19" t="n">
        <x:v>0.8</x:v>
      </x:c>
      <x:c r="N171" s="15" t="str">
        <x:v>Must Do</x:v>
      </x:c>
      <x:c r="O171" s="15" t="str">
        <x:v>Higher licensing cost that increase YoY</x:v>
      </x:c>
      <x:c r="P171" s="15" t="str"/>
      <x:c r="Q171" s="15" t="str"/>
      <x:c r="R171" s="15" t="str"/>
      <x:c r="S171" s="15" t="str"/>
      <x:c r="T171" s="15" t="str"/>
    </x:row>
    <x:row r="172">
      <x:c r="A172" s="15" t="str">
        <x:v>EW-174</x:v>
      </x:c>
      <x:c r="B172" s="15" t="str">
        <x:v>EW-174</x:v>
      </x:c>
      <x:c r="C172" s="15" t="str">
        <x:v>New (Also CCB Program)</x:v>
      </x:c>
      <x:c r="D172" s="15" t="str">
        <x:v>EW</x:v>
      </x:c>
      <x:c r="E172" s="15" t="n">
        <x:v>170</x:v>
      </x:c>
      <x:c r="F172" s="15" t="str">
        <x:v>EW Led</x:v>
      </x:c>
      <x:c r="G172" s="15" t="str">
        <x:v>Communications &amp; Brand</x:v>
      </x:c>
      <x:c r="H172" s="15" t="str">
        <x:v>Global Intranet &amp; Sharepoint</x:v>
      </x:c>
      <x:c r="I172" s="15" t="str">
        <x:v>Carry Over</x:v>
      </x:c>
      <x:c r="J172" s="15" t="str">
        <x:v>Continuous Improvement</x:v>
      </x:c>
      <x:c r="K172" s="15" t="str">
        <x:v>Innovation and Digital IT</x:v>
      </x:c>
      <x:c r="L172" s="19" t="n">
        <x:v>0.175</x:v>
      </x:c>
      <x:c r="M172" s="19" t="n">
        <x:v>720</x:v>
      </x:c>
      <x:c r="N172" s="15" t="str">
        <x:v>Must Do</x:v>
      </x:c>
      <x:c r="O172" s="15" t="str">
        <x:v>Not retaining this development capacity would be a false saving. It would not simply pause future enhancements; it would remove the only dedicated technical capability responsible for resolving intranet issues, supporting compliance and legal-related global SharePoint incidents and maintaining a business-critical global employee platform.</x:v>
      </x:c>
      <x:c r="P172" s="15" t="str">
        <x:v>The global SharePoint intranet is the centre of Philips’ digital employee experience and the central gateway through which approximately 70,000 employees access trusted information, business updates, digital tools, enterprise communications and personalized performance dashboards.</x:v>
      </x:c>
      <x:c r="Q172" s="15" t="str">
        <x: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x:v>
      </x:c>
      <x:c r="R172" s="15" t="str"/>
      <x:c r="S172" s="15" t="str">
        <x:v>HEALTHY</x:v>
      </x:c>
      <x:c r="T172" s="15" t="str">
        <x:v>HEALTHY — Rank in priority matrix</x:v>
      </x:c>
    </x:row>
    <x:row r="173">
      <x:c r="A173" s="15" t="str">
        <x:v>EW-175</x:v>
      </x:c>
      <x:c r="B173" s="15" t="str">
        <x:v>EW-175</x:v>
      </x:c>
      <x:c r="C173" s="15" t="str">
        <x:v>New (Also CCB Program)</x:v>
      </x:c>
      <x:c r="D173" s="15" t="str">
        <x:v>EW</x:v>
      </x:c>
      <x:c r="E173" s="15" t="n">
        <x:v>171</x:v>
      </x:c>
      <x:c r="F173" s="15" t="str">
        <x:v>EW Led</x:v>
      </x:c>
      <x:c r="G173" s="15" t="str">
        <x:v>Communications &amp; Brand</x:v>
      </x:c>
      <x:c r="H173" s="15" t="str">
        <x:v>Corporate website (Investors, Legal &amp; Regulatory pages, ExCo pages, News, Museum, Foundation etc.)</x:v>
      </x:c>
      <x:c r="I173" s="15" t="str">
        <x:v>Carry Over</x:v>
      </x:c>
      <x:c r="J173" s="15" t="str">
        <x:v>Decomm/Replatforming</x:v>
      </x:c>
      <x:c r="K173" s="15" t="str">
        <x:v>Innovation and Digital IT</x:v>
      </x:c>
      <x:c r="L173" s="19" t="n">
        <x:v>0.6</x:v>
      </x:c>
      <x:c r="M173" s="19"/>
      <x:c r="N173" s="15" t="str">
        <x:v>Must have</x:v>
      </x:c>
      <x:c r="O173" s="15" t="str">
        <x:v>The cost of doing nothing is not measured by lost website visits. The cost is measured by:</x:v>
      </x:c>
      <x:c r="P173" s="15" t="str">
        <x:v>The Philips corporate website is no longer simply a communications channel. It has become a business-critical corporate asset that protects and builds our reputation, enables stakeholder trust, supports transparency, and increasingly determines how Philips is represented in AI-generated answers.</x:v>
      </x:c>
      <x:c r="Q173" s="15" t="str">
        <x:v>Scope: continued development of the corporate website and associated microsites, prioritized around two investment pillars:</x:v>
      </x:c>
      <x:c r="R173" s="15" t="str"/>
      <x:c r="S173" s="15" t="str">
        <x:v>HEALTHY</x:v>
      </x:c>
      <x:c r="T173" s="15" t="str">
        <x:v>HEALTHY — Rank in priority matrix</x:v>
      </x:c>
    </x:row>
    <x:row r="174">
      <x:c r="A174" s="15" t="str">
        <x:v>EW-176</x:v>
      </x:c>
      <x:c r="B174" s="15" t="str">
        <x:v>EW-176</x:v>
      </x:c>
      <x:c r="C174" s="15" t="str">
        <x:v>New (Also CCB Program)</x:v>
      </x:c>
      <x:c r="D174" s="15" t="str">
        <x:v>EW</x:v>
      </x:c>
      <x:c r="E174" s="15" t="n">
        <x:v>172</x:v>
      </x:c>
      <x:c r="F174" s="15" t="str">
        <x:v>EW Led</x:v>
      </x:c>
      <x:c r="G174" s="15" t="str">
        <x:v>Communications &amp; Brand</x:v>
      </x:c>
      <x:c r="H174" s="15" t="str">
        <x:v>Results hub replatforming (Quarterly and annual financial reporting)</x:v>
      </x:c>
      <x:c r="I174" s="15" t="str"/>
      <x:c r="J174" s="15" t="str"/>
      <x:c r="K174" s="15" t="str"/>
      <x:c r="L174" s="19" t="n">
        <x:v>0</x:v>
      </x:c>
      <x:c r="M174" s="19" t="n">
        <x:v>0.178</x:v>
      </x:c>
      <x:c r="N174" s="15" t="str"/>
      <x:c r="O174" s="15" t="str">
        <x:v>Without migration, Results Hub remains dependent on a single external vendor, outside the Philips IT Landscape, with limited internal ability to ensure uptime, compliance and release-day support. Philips would continue to carry fragmented investor and corporate content, vendor concentration, potential disclosure and reputation exposure, and EUR 178K of avoidable annual external platform and operating costs.</x:v>
      </x:c>
      <x:c r="P174" s="15" t="str">
        <x:v>The present external web platform does not provide Philips with the ownership, resilience or integrated operating model appropriate for market-sensitive financial communication. It creates vendor concentration risk, operates outside PIL, fragments corporate and Investor Relations content, and prevents Philips IT from proactively assuring availability and compliance. Migration is required to bring Results Hub into the governed corporate digital landscape; release-control assurance remains a mandatory delivery gate, not an alternative to migration.</x:v>
      </x:c>
      <x:c r="Q174" s="15" t="str">
        <x:v>Migrate the Results Hub microsite, its public content-delivery layer and its operating model to Contentful within the Philips IT digital landscape. Contentful will provide the managed publishing experience for Results Hub, including protected preview and asset management, approval evidence, precise-time activation, rollback, cache and peak-load management, certificate ownership, monitoring and a Philips IT support runbook. The scope also includes integration with corporate and Investor Relations content, while retiring the external website/editor platform and its associated operating costs.</x:v>
      </x:c>
      <x:c r="R174" s="15" t="str"/>
      <x:c r="S174" s="15" t="str">
        <x:v>HEALTHY</x:v>
      </x:c>
      <x:c r="T174" s="15" t="str">
        <x:v>HEALTHY — Rank in priority matrix</x:v>
      </x:c>
    </x:row>
    <x:row r="175">
      <x:c r="A175" s="15" t="str">
        <x:v>EW-177</x:v>
      </x:c>
      <x:c r="B175" s="15" t="str">
        <x:v>EW-177</x:v>
      </x:c>
      <x:c r="C175" s="15" t="str">
        <x:v>New</x:v>
      </x:c>
      <x:c r="D175" s="15" t="str">
        <x:v>EW</x:v>
      </x:c>
      <x:c r="E175" s="15" t="n">
        <x:v>173</x:v>
      </x:c>
      <x:c r="F175" s="15" t="str">
        <x:v>EW Led</x:v>
      </x:c>
      <x:c r="G175" s="15" t="str">
        <x:v>Group Security</x:v>
      </x:c>
      <x:c r="H175" s="15" t="str">
        <x:v>Extending Artifactory footprint &amp; offering to support SDLC and SDLC Security at scale</x:v>
      </x:c>
      <x:c r="I175" s="15" t="str">
        <x:v>New Initiative</x:v>
      </x:c>
      <x:c r="J175" s="15" t="str">
        <x:v>Upgrades &amp; Enhancements</x:v>
      </x:c>
      <x:c r="K175" s="15" t="str">
        <x:v>Innovation and Digital IT</x:v>
      </x:c>
      <x:c r="L175" s="19" t="n">
        <x:v>0.7</x:v>
      </x:c>
      <x:c r="M175" s="19"/>
      <x:c r="N175" s="15" t="str">
        <x:v>Must Do</x:v>
      </x:c>
      <x:c r="O175" s="15" t="str">
        <x:v>Avoid security breaches, early detection</x:v>
      </x:c>
      <x:c r="P175" s="15" t="str">
        <x:v>Extending Artifactory footprint &amp; offering to support SDLC and SDLC Security at scale; Improving security footprint, e.g. avoid supply chain attack. (contact Uzi Yona); Derived from security containment through Wim Sonneman and team.</x:v>
      </x:c>
      <x:c r="Q175" s="15" t="str"/>
      <x:c r="R175" s="15" t="str"/>
      <x:c r="S175" s="15" t="str">
        <x:v>HEALTHY</x:v>
      </x:c>
      <x:c r="T175" s="15" t="str">
        <x:v>HEALTHY — Rank in priority matrix</x:v>
      </x:c>
    </x:row>
    <x:row r="176">
      <x:c r="A176" s="15" t="str">
        <x:v>EW-178</x:v>
      </x:c>
      <x:c r="B176" s="15" t="str">
        <x:v>EW-178</x:v>
      </x:c>
      <x:c r="C176" s="15" t="str"/>
      <x:c r="D176" s="15" t="str">
        <x:v>EW</x:v>
      </x:c>
      <x:c r="E176" s="15" t="n">
        <x:v>174</x:v>
      </x:c>
      <x:c r="F176" s="15" t="str">
        <x:v>EW Led</x:v>
      </x:c>
      <x:c r="G176" s="15" t="str">
        <x:v>Intellectual Property &amp; Standards (IP&amp;S)</x:v>
      </x:c>
      <x:c r="H176" s="15" t="str">
        <x:v>CCB - I&amp;D: Brand Licensing</x:v>
      </x:c>
      <x:c r="I176" s="15" t="str">
        <x:v>Change &amp; Sustain</x:v>
      </x:c>
      <x:c r="J176" s="15" t="str">
        <x:v>Continuous Improvement</x:v>
      </x:c>
      <x:c r="K176" s="15" t="str">
        <x:v>Innovation and Digital IT</x:v>
      </x:c>
      <x:c r="L176" s="19" t="n">
        <x:v>0.333</x:v>
      </x:c>
      <x:c r="M176" s="19" t="n">
        <x:v>200</x:v>
      </x:c>
      <x:c r="N176" s="15" t="str">
        <x:v>Must Have</x:v>
      </x:c>
      <x:c r="O176" s="15" t="str">
        <x:v>200M euro revenue at risk; Support needed to fullfill needs for our Brand licensees; in addition Philips no longer can offer D2C solution so we need to transer</x:v>
      </x:c>
      <x:c r="P176" s="15" t="str">
        <x: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x:v>
      </x:c>
      <x:c r="Q176" s="15" t="str">
        <x:v>Disentangle brand licensees from Philips systems</x:v>
      </x:c>
      <x:c r="R176" s="15" t="str"/>
      <x:c r="S176" s="15" t="str"/>
      <x:c r="T176" s="15" t="str"/>
    </x:row>
    <x:row r="177">
      <x:c r="A177" s="15" t="str">
        <x:v>EW-179</x:v>
      </x:c>
      <x:c r="B177" s="15" t="str">
        <x:v>EW-179</x:v>
      </x:c>
      <x:c r="C177" s="15" t="str"/>
      <x:c r="D177" s="15" t="str">
        <x:v>EW</x:v>
      </x:c>
      <x:c r="E177" s="15" t="n">
        <x:v>175</x:v>
      </x:c>
      <x:c r="F177" s="15" t="str">
        <x:v>EW Led</x:v>
      </x:c>
      <x:c r="G177" s="15" t="str">
        <x:v>Information Technology</x:v>
      </x:c>
      <x:c r="H177" s="15" t="str">
        <x:v>Upgrade Windchill 2027 to meet support compliance requirements</x:v>
      </x:c>
      <x:c r="I177" s="15" t="str">
        <x:v>Change &amp; Sustain</x:v>
      </x:c>
      <x:c r="J177" s="15" t="str">
        <x:v>Continuous Improvement</x:v>
      </x:c>
      <x:c r="K177" s="15" t="str">
        <x:v>Innovation and Digital IT</x:v>
      </x:c>
      <x:c r="L177" s="19" t="n">
        <x:v>1</x:v>
      </x:c>
      <x:c r="M177" s="19"/>
      <x:c r="N177" s="15" t="str">
        <x:v>Must Do</x:v>
      </x:c>
      <x:c r="O177" s="15" t="str">
        <x:v>Our company wide PLM system will run out of support; non compliance</x:v>
      </x:c>
      <x:c r="P177" s="15" t="str">
        <x:v>Our company wide PLM system will run out of support; non compliance</x:v>
      </x:c>
      <x:c r="Q177" s="15" t="str"/>
      <x:c r="R177" s="15" t="str"/>
      <x:c r="S177" s="15" t="str"/>
      <x:c r="T177" s="15" t="str"/>
    </x:row>
    <x:row r="178">
      <x:c r="A178" s="15" t="str">
        <x:v>EW-180</x:v>
      </x:c>
      <x:c r="B178" s="15" t="str">
        <x:v>EW-180</x:v>
      </x:c>
      <x:c r="C178" s="15" t="str"/>
      <x:c r="D178" s="15" t="str">
        <x:v>EW</x:v>
      </x:c>
      <x:c r="E178" s="15" t="n">
        <x:v>176</x:v>
      </x:c>
      <x:c r="F178" s="15" t="str">
        <x:v>EW Led</x:v>
      </x:c>
      <x:c r="G178" s="15" t="str">
        <x:v>Intellectual Property &amp; Standards (IP&amp;S)</x:v>
      </x:c>
      <x:c r="H178" s="15" t="str">
        <x:v>CCB - I&amp;D - The Vault</x:v>
      </x:c>
      <x:c r="I178" s="15" t="str">
        <x:v>Change &amp; Sustain</x:v>
      </x:c>
      <x:c r="J178" s="15" t="str">
        <x:v>Continuous Improvement</x:v>
      </x:c>
      <x:c r="K178" s="15" t="str">
        <x:v>Innovation and Digital IT</x:v>
      </x:c>
      <x:c r="L178" s="19" t="n">
        <x:v>0.05</x:v>
      </x:c>
      <x:c r="M178" s="19" t="n">
        <x:v>500</x:v>
      </x:c>
      <x:c r="N178" s="15" t="str">
        <x:v>Must Do</x:v>
      </x:c>
      <x:c r="O178" s="15" t="str">
        <x:v>Storage of all our patent and license information next to all contractual obligations on IP</x:v>
      </x:c>
      <x:c r="P178" s="15" t="str">
        <x:v>The Vault is the system where all our IP, patents and brand license information is stored</x:v>
      </x:c>
      <x:c r="Q178" s="15" t="str">
        <x:v>Small must do changes for compliance</x:v>
      </x:c>
      <x:c r="R178" s="15" t="str"/>
      <x:c r="S178" s="15" t="str"/>
      <x:c r="T178" s="15" t="str"/>
    </x:row>
    <x:row r="179">
      <x:c r="A179" s="15" t="str">
        <x:v>EW-181</x:v>
      </x:c>
      <x:c r="B179" s="15" t="str">
        <x:v>EW-181</x:v>
      </x:c>
      <x:c r="C179" s="15" t="str"/>
      <x:c r="D179" s="15" t="str">
        <x:v>EW</x:v>
      </x:c>
      <x:c r="E179" s="15" t="n">
        <x:v>177</x:v>
      </x:c>
      <x:c r="F179" s="15" t="str">
        <x:v>EW Led</x:v>
      </x:c>
      <x:c r="G179" s="15" t="str">
        <x:v>Intellectual Property &amp; Standards (IP&amp;S)</x:v>
      </x:c>
      <x:c r="H179" s="15" t="str">
        <x:v>GALA refactoring (license revenue management)</x:v>
      </x:c>
      <x:c r="I179" s="15" t="str">
        <x:v>Carry Over</x:v>
      </x:c>
      <x:c r="J179" s="15" t="str">
        <x:v>Decomm/Replatforming</x:v>
      </x:c>
      <x:c r="K179" s="15" t="str">
        <x:v>Innovation and Digital IT</x:v>
      </x:c>
      <x:c r="L179" s="19" t="n">
        <x:v>1.1</x:v>
      </x:c>
      <x:c r="M179" s="19" t="n">
        <x:v>500</x:v>
      </x:c>
      <x:c r="N179" s="15" t="str">
        <x:v>Must Do</x:v>
      </x:c>
      <x:c r="O179" s="15" t="str">
        <x:v>500 M Euro revenue at risk</x:v>
      </x:c>
      <x:c r="P179" s="15" t="str">
        <x:v>Current technology is out of support (20 year old oracle). Need to replatform</x:v>
      </x:c>
      <x:c r="Q179" s="15" t="str">
        <x:v>Build new platform with help of AI</x:v>
      </x:c>
      <x:c r="R179" s="15" t="str"/>
      <x:c r="S179" s="15" t="str">
        <x:v>HEALTHY</x:v>
      </x:c>
      <x:c r="T179" s="15" t="str">
        <x:v>HEALTHY / MUST-DO — P1 — Immediate</x:v>
      </x:c>
    </x:row>
    <x:row r="180">
      <x:c r="A180" s="15" t="str">
        <x:v>EW-182</x:v>
      </x:c>
      <x:c r="B180" s="15" t="str">
        <x:v>EW-182</x:v>
      </x:c>
      <x:c r="C180" s="15" t="str"/>
      <x:c r="D180" s="15" t="str">
        <x:v>EW</x:v>
      </x:c>
      <x:c r="E180" s="15" t="n">
        <x:v>178</x:v>
      </x:c>
      <x:c r="F180" s="15" t="str">
        <x:v>EW Led</x:v>
      </x:c>
      <x:c r="G180" s="15" t="str">
        <x:v>Information Technology</x:v>
      </x:c>
      <x:c r="H180" s="15" t="str">
        <x:v>Future State Product Configuration Platform</x:v>
      </x:c>
      <x:c r="I180" s="15" t="str">
        <x:v>New Initiative</x:v>
      </x:c>
      <x:c r="J180" s="15" t="str">
        <x:v>Decomm/Replatforming</x:v>
      </x:c>
      <x:c r="K180" s="15" t="str">
        <x:v>Innovation and Digital IT</x:v>
      </x:c>
      <x:c r="L180" s="19" t="n">
        <x:v>0.7</x:v>
      </x:c>
      <x:c r="M180" s="19"/>
      <x:c r="N180" s="15" t="str">
        <x:v>Must Do</x:v>
      </x:c>
      <x:c r="O180" s="15" t="str">
        <x:v>High level license fee</x:v>
      </x:c>
      <x:c r="P180" s="15" t="str">
        <x:v>To drive recuring license cost down (ops budget) we are looking for a new solution for Configuration management</x:v>
      </x:c>
      <x:c r="Q180" s="15" t="str">
        <x:v>Use AI to rebuild new platform against lower maintenance cost.</x:v>
      </x:c>
      <x:c r="R180" s="15" t="str"/>
      <x:c r="S180" s="15" t="str"/>
      <x:c r="T180" s="15" t="str"/>
    </x:row>
    <x:row r="181">
      <x:c r="A181" s="15" t="str">
        <x:v>EW-183</x:v>
      </x:c>
      <x:c r="B181" s="15" t="str">
        <x:v>EW-183</x:v>
      </x:c>
      <x:c r="C181" s="15" t="str"/>
      <x:c r="D181" s="15" t="str">
        <x:v>EW</x:v>
      </x:c>
      <x:c r="E181" s="15" t="n">
        <x:v>179</x:v>
      </x:c>
      <x:c r="F181" s="15" t="str">
        <x:v>EW Led</x:v>
      </x:c>
      <x:c r="G181" s="15" t="str">
        <x:v>Finance</x:v>
      </x:c>
      <x:c r="H181" s="15" t="str">
        <x:v>FIN - Internal Controls Automation</x:v>
      </x:c>
      <x:c r="I181" s="15" t="str">
        <x:v>Carry Over</x:v>
      </x:c>
      <x:c r="J181" s="15" t="str">
        <x:v>Continuous Improvement</x:v>
      </x:c>
      <x:c r="K181" s="15" t="str">
        <x:v>Integrated Supply Chain &amp; Finance</x:v>
      </x:c>
      <x:c r="L181" s="19" t="n">
        <x:v>0.15</x:v>
      </x:c>
      <x:c r="M181" s="19"/>
      <x:c r="N181" s="15" t="str">
        <x:v>Must Do</x:v>
      </x:c>
      <x:c r="O181" s="15" t="str">
        <x:v>Miss out AI productivity benefits and associated cost savings</x:v>
      </x:c>
      <x:c r="P181" s="15" t="str"/>
      <x:c r="Q181" s="15" t="str">
        <x:v>Implementation of automation IT application controls contineous monitoring/testing (IT application dashboards). IT support required for implementation in ADL and handover to IT (zone 3).</x:v>
      </x:c>
      <x:c r="R181" s="15" t="str"/>
      <x:c r="S181" s="15" t="str"/>
      <x:c r="T181" s="15" t="str"/>
    </x:row>
    <x:row r="182">
      <x:c r="A182" s="15" t="str">
        <x:v>EW-184</x:v>
      </x:c>
      <x:c r="B182" s="15" t="str">
        <x:v>EW-184</x:v>
      </x:c>
      <x:c r="C182" s="15" t="str"/>
      <x:c r="D182" s="15" t="str">
        <x:v>EW</x:v>
      </x:c>
      <x:c r="E182" s="15" t="n">
        <x:v>180</x:v>
      </x:c>
      <x:c r="F182" s="15" t="str">
        <x:v>EW Led</x:v>
      </x:c>
      <x:c r="G182" s="15" t="str">
        <x:v>Information Technology</x:v>
      </x:c>
      <x:c r="H182" s="15" t="str">
        <x:v>ISC - Hardware Refresh 3 Sites</x:v>
      </x:c>
      <x:c r="I182" s="15" t="str">
        <x:v>New Initiative</x:v>
      </x:c>
      <x:c r="J182" s="15" t="str">
        <x:v>New Technology</x:v>
      </x:c>
      <x:c r="K182" s="15" t="str">
        <x:v>Integrated Supply Chain &amp; Finance</x:v>
      </x:c>
      <x:c r="L182" s="19" t="n">
        <x:v>4</x:v>
      </x:c>
      <x:c r="M182" s="19" t="n">
        <x:v>0.87</x:v>
      </x:c>
      <x:c r="N182" s="15" t="str">
        <x:v>Must Do</x:v>
      </x:c>
      <x:c r="O182" s="15" t="str">
        <x:v>0.87M impact per shift for all 3 sites; End of life and technical debt</x:v>
      </x:c>
      <x:c r="P182" s="15" t="str"/>
      <x:c r="Q182" s="15" t="str"/>
      <x:c r="R182" s="15" t="str"/>
      <x:c r="S182" s="15" t="str">
        <x:v>HEALTHY</x:v>
      </x:c>
      <x:c r="T182" s="15" t="str">
        <x:v>HEALTHY — Rank in priority matrix</x:v>
      </x:c>
    </x:row>
    <x:row r="183">
      <x:c r="A183" s="15" t="str">
        <x:v>EW-185</x:v>
      </x:c>
      <x:c r="B183" s="15" t="str">
        <x:v>EW-185</x:v>
      </x:c>
      <x:c r="C183" s="15" t="str"/>
      <x:c r="D183" s="15" t="str">
        <x:v>EW</x:v>
      </x:c>
      <x:c r="E183" s="15" t="n">
        <x:v>181</x:v>
      </x:c>
      <x:c r="F183" s="15" t="str">
        <x:v>EW Led</x:v>
      </x:c>
      <x:c r="G183" s="15" t="str">
        <x:v>Information Technology</x:v>
      </x:c>
      <x:c r="H183" s="15" t="str">
        <x:v>ISC - Stable MES</x:v>
      </x:c>
      <x:c r="I183" s="15" t="str">
        <x:v>New Initiative</x:v>
      </x:c>
      <x:c r="J183" s="15" t="str"/>
      <x:c r="K183" s="15" t="str">
        <x:v>Integrated Supply Chain &amp; Finance</x:v>
      </x:c>
      <x:c r="L183" s="19" t="n">
        <x:v>0.5</x:v>
      </x:c>
      <x:c r="M183" s="19"/>
      <x:c r="N183" s="15" t="str">
        <x:v>Must Have</x:v>
      </x:c>
      <x:c r="O183" s="15" t="str">
        <x:v>Non compliance with EOL system</x:v>
      </x:c>
      <x:c r="P183" s="15" t="str"/>
      <x:c r="Q183" s="15" t="str"/>
      <x:c r="R183" s="15" t="str"/>
      <x:c r="S183" s="15" t="str">
        <x:v>CONTAIN</x:v>
      </x:c>
      <x:c r="T183" s="15" t="str">
        <x:v>CONTAIN — Conditions</x:v>
      </x:c>
    </x:row>
    <x:row r="184">
      <x:c r="A184" s="15" t="str">
        <x:v>EW-186</x:v>
      </x:c>
      <x:c r="B184" s="15" t="str">
        <x:v>EW-186</x:v>
      </x:c>
      <x:c r="C184" s="15" t="str"/>
      <x:c r="D184" s="15" t="str">
        <x:v>EW</x:v>
      </x:c>
      <x:c r="E184" s="15" t="n">
        <x:v>182</x:v>
      </x:c>
      <x:c r="F184" s="15" t="str">
        <x:v>EW Led</x:v>
      </x:c>
      <x:c r="G184" s="15" t="str">
        <x:v>Innovation and Design Business Operations</x:v>
      </x:c>
      <x:c r="H184" s="15" t="str">
        <x:v>Agent Atelier</x:v>
      </x:c>
      <x:c r="I184" s="15" t="str">
        <x:v>Carry Over</x:v>
      </x:c>
      <x:c r="J184" s="15" t="str">
        <x:v>Continuous Improvement</x:v>
      </x:c>
      <x:c r="K184" s="15" t="str">
        <x:v>Enterprise Architecture, Data &amp; Integration</x:v>
      </x:c>
      <x:c r="L184" s="19" t="n">
        <x:v>0.075</x:v>
      </x:c>
      <x:c r="M184" s="19" t="n">
        <x:v>0.4</x:v>
      </x:c>
      <x:c r="N184" s="15" t="str">
        <x:v>Must Have</x:v>
      </x:c>
      <x:c r="O184" s="15" t="str">
        <x:v>Duplication of work, lost visibility of existing projects and capabilities, lack of collaboration across businesses and functions, slow reuse and scaling of solutions, low R&amp;D efficiency and innovation speed</x:v>
      </x:c>
      <x:c r="P184" s="15" t="str"/>
      <x:c r="Q184" s="15" t="str"/>
      <x:c r="R184" s="15" t="str"/>
      <x:c r="S184" s="15" t="str"/>
      <x:c r="T184" s="15" t="str"/>
    </x:row>
    <x:row r="185">
      <x:c r="A185" s="15" t="str">
        <x:v>EW-187</x:v>
      </x:c>
      <x:c r="B185" s="15" t="str">
        <x:v>EW-187</x:v>
      </x:c>
      <x:c r="C185" s="15" t="str"/>
      <x:c r="D185" s="15" t="str">
        <x:v>EW</x:v>
      </x:c>
      <x:c r="E185" s="15" t="n">
        <x:v>183</x:v>
      </x:c>
      <x:c r="F185" s="15" t="str">
        <x:v>EW Led</x:v>
      </x:c>
      <x:c r="G185" s="15" t="str">
        <x:v>Innovation and Design Business Operations</x:v>
      </x:c>
      <x:c r="H185" s="15" t="str">
        <x:v>Innovation &amp; AI Atlas</x:v>
      </x:c>
      <x:c r="I185" s="15" t="str">
        <x:v>Carry Over</x:v>
      </x:c>
      <x:c r="J185" s="15" t="str">
        <x:v>Continuous Improvement</x:v>
      </x:c>
      <x:c r="K185" s="15" t="str">
        <x:v>Enterprise Architecture, Data &amp; Integration</x:v>
      </x:c>
      <x:c r="L185" s="19" t="n">
        <x:v>0.075</x:v>
      </x:c>
      <x:c r="M185" s="19" t="n">
        <x:v>0.4</x:v>
      </x:c>
      <x:c r="N185" s="15" t="str">
        <x:v>Must Have</x:v>
      </x:c>
      <x:c r="O185" s="15" t="str">
        <x:v>Duplication of work, lost visibility of existing projects and capabilities, lack of collaboration across businesses and functions, slow reuse and scaling of solutions, low R&amp;D efficiency and innovation speed</x:v>
      </x:c>
      <x:c r="P185" s="15" t="str"/>
      <x:c r="Q185" s="15" t="str"/>
      <x:c r="R185" s="15" t="str"/>
      <x:c r="S185" s="15" t="str"/>
      <x:c r="T185" s="15" t="str"/>
    </x:row>
    <x:row r="186">
      <x:c r="A186" s="15" t="str">
        <x:v>Bu-01</x:v>
      </x:c>
      <x:c r="B186" s="15" t="str">
        <x:v>Bu-01</x:v>
      </x:c>
      <x:c r="C186" s="15" t="str">
        <x:v>1006324</x:v>
      </x:c>
      <x:c r="D186" s="15" t="str">
        <x:v>Bu</x:v>
      </x:c>
      <x:c r="E186" s="15" t="n">
        <x:v>4</x:v>
      </x:c>
      <x:c r="F186" s="15" t="str">
        <x:v>BU Led</x:v>
      </x:c>
      <x:c r="G186" s="15" t="str">
        <x:v>Enterprise Informatics (EI)</x:v>
      </x:c>
      <x:c r="H186" s="15" t="str">
        <x:v>EI-IS-AI Service Excellence program - SPM--&gt; Microsoft Project Operations</x:v>
      </x:c>
      <x:c r="I186" s="15" t="str">
        <x:v>Carry Over</x:v>
      </x:c>
      <x:c r="J186" s="15" t="str">
        <x:v>New Technology</x:v>
      </x:c>
      <x:c r="K186" s="15" t="str">
        <x:v>Commercial IT</x:v>
      </x:c>
      <x:c r="L186" s="19" t="n">
        <x:v>1.3</x:v>
      </x:c>
      <x:c r="M186" s="19" t="n">
        <x:v>0.8</x:v>
      </x:c>
      <x:c r="N186" s="15" t="str">
        <x:v>Must Do</x:v>
      </x:c>
      <x:c r="O186" s="15" t="str"/>
      <x:c r="P186" s="15" t="str">
        <x:v>Existing PS Cloud system is having basic functionality and not connected with downstream / upstream systems that is required to complete the E2E Project Management activity for R&amp;D team</x:v>
      </x:c>
      <x:c r="Q186" s="15" t="str">
        <x:v>Introduce Pre-calc functionality, : Budget creation</x:v>
      </x:c>
      <x:c r="R186" s="15" t="str"/>
      <x:c r="S186" s="15" t="str"/>
      <x:c r="T186" s="15" t="str"/>
    </x:row>
    <x:row r="187">
      <x:c r="A187" s="15" t="str">
        <x:v>Bu-02</x:v>
      </x:c>
      <x:c r="B187" s="15" t="str">
        <x:v>Bu-02</x:v>
      </x:c>
      <x:c r="C187" s="15" t="str">
        <x:v>1006326</x:v>
      </x:c>
      <x:c r="D187" s="15" t="str">
        <x:v>Bu</x:v>
      </x:c>
      <x:c r="E187" s="15" t="n">
        <x:v>6</x:v>
      </x:c>
      <x:c r="F187" s="15" t="str">
        <x:v>BU Led</x:v>
      </x:c>
      <x:c r="G187" s="15" t="str">
        <x:v>Enterprise Informatics (EI)</x:v>
      </x:c>
      <x:c r="H187" s="15" t="str">
        <x:v>Sensei Usage-to-Cash: Contract, Billing &amp; Invoice Automation</x:v>
      </x:c>
      <x:c r="I187" s="15" t="str">
        <x:v>Carry Over</x:v>
      </x:c>
      <x:c r="J187" s="15" t="str">
        <x:v>New Technology</x:v>
      </x:c>
      <x:c r="K187" s="15" t="str">
        <x:v>Commercial IT</x:v>
      </x:c>
      <x:c r="L187" s="19" t="n">
        <x:v>0.75</x:v>
      </x:c>
      <x:c r="M187" s="19" t="n">
        <x:v>0.5</x:v>
      </x:c>
      <x:c r="N187" s="15" t="str">
        <x:v>Must Do</x:v>
      </x:c>
      <x:c r="O187" s="15" t="str"/>
      <x:c r="P187" s="15" t="str">
        <x:v>Replace legacy Quoting and Subscription Management applications</x:v>
      </x:c>
      <x:c r="Q187" s="15" t="str">
        <x:v>Build Sensei into the operational layer from commercial agreement through usage capture, entitlement validation, billing trigger, SAP order/invoice creation, collections visibility and contract changes.</x:v>
      </x:c>
      <x:c r="R187" s="15" t="str"/>
      <x:c r="S187" s="15" t="str"/>
      <x:c r="T187" s="15" t="str"/>
    </x:row>
    <x:row r="188">
      <x:c r="A188" s="15" t="str">
        <x:v>Bu-03</x:v>
      </x:c>
      <x:c r="B188" s="15" t="str">
        <x:v>Bu-03</x:v>
      </x:c>
      <x:c r="C188" s="15" t="str">
        <x:v>New</x:v>
      </x:c>
      <x:c r="D188" s="15" t="str">
        <x:v>Bu</x:v>
      </x:c>
      <x:c r="E188" s="15" t="n">
        <x:v>7</x:v>
      </x:c>
      <x:c r="F188" s="15" t="str">
        <x:v>BU Led</x:v>
      </x:c>
      <x:c r="G188" s="15" t="str">
        <x:v>Greater China (GRC)</x:v>
      </x:c>
      <x:c r="H188" s="15" t="str">
        <x:v>Service CLV (TechMax Enablement and eZCQ workflow with EMO integration, Rmeote Software Distribution Workflow), Complete NPSC requested by Service ISC</x:v>
      </x:c>
      <x:c r="I188" s="15" t="str">
        <x:v>New Initiative</x:v>
      </x:c>
      <x:c r="J188" s="15" t="str">
        <x:v>New Feature</x:v>
      </x:c>
      <x:c r="K188" s="15" t="str">
        <x:v>Greater China IT</x:v>
      </x:c>
      <x:c r="L188" s="19" t="n">
        <x:v>0.4</x:v>
      </x:c>
      <x:c r="M188" s="19" t="n">
        <x:v>2</x:v>
      </x:c>
      <x:c r="N188" s="15" t="str">
        <x:v>Must Have</x:v>
      </x:c>
      <x:c r="O188" s="15" t="str">
        <x:v>Manual Techmax and other CLV services, not able to support business growth</x:v>
      </x:c>
      <x:c r="P188" s="15" t="str"/>
      <x:c r="Q188" s="15" t="str"/>
      <x:c r="R188" s="15" t="str"/>
      <x:c r="S188" s="15" t="str"/>
      <x:c r="T188" s="15" t="str"/>
    </x:row>
    <x:row r="189">
      <x:c r="A189" s="15" t="str">
        <x:v>Bu-04</x:v>
      </x:c>
      <x:c r="B189" s="15" t="str">
        <x:v>Bu-04</x:v>
      </x:c>
      <x:c r="C189" s="15" t="str">
        <x:v>1006439</x:v>
      </x:c>
      <x:c r="D189" s="15" t="str">
        <x:v>Bu</x:v>
      </x:c>
      <x:c r="E189" s="15" t="n">
        <x:v>8</x:v>
      </x:c>
      <x:c r="F189" s="15" t="str">
        <x:v>BU Led</x:v>
      </x:c>
      <x:c r="G189" s="15" t="str">
        <x:v>Image Guided Therapy - Devices (IGT-D)</x:v>
      </x:c>
      <x:c r="H189" s="15" t="str">
        <x:v>2027 IGTD DATA and INSIGHTS</x:v>
      </x:c>
      <x:c r="I189" s="15" t="str">
        <x:v>Carry Over</x:v>
      </x:c>
      <x:c r="J189" s="15" t="str">
        <x:v>New Feature</x:v>
      </x:c>
      <x:c r="K189" s="15" t="str">
        <x:v>Enterprise Architecture, Data &amp; Integration</x:v>
      </x:c>
      <x:c r="L189" s="19" t="n">
        <x:v>0.345</x:v>
      </x:c>
      <x:c r="M189" s="19" t="n">
        <x:v>117</x:v>
      </x:c>
      <x:c r="N189" s="15" t="str">
        <x:v>Must Do</x:v>
      </x:c>
      <x:c r="O189" s="15" t="str">
        <x:v>Critical to support sales growth targets</x:v>
      </x:c>
      <x:c r="P189" s="15" t="str"/>
      <x:c r="Q189" s="15" t="str">
        <x:v>Cross-domain analytics IGT-D (commercial; service; other); support &amp; enable strategic objectives</x:v>
      </x:c>
      <x:c r="R189" s="15" t="str"/>
      <x:c r="S189" s="15" t="str"/>
      <x:c r="T189" s="15" t="str"/>
    </x:row>
    <x:row r="190">
      <x:c r="A190" s="15" t="str">
        <x:v>Bu-05</x:v>
      </x:c>
      <x:c r="B190" s="15" t="str">
        <x:v>Bu-05</x:v>
      </x:c>
      <x:c r="C190" s="15" t="str"/>
      <x:c r="D190" s="15" t="str">
        <x:v>Bu</x:v>
      </x:c>
      <x:c r="E190" s="15" t="n">
        <x:v>9</x:v>
      </x:c>
      <x:c r="F190" s="15" t="str">
        <x:v>BU Led</x:v>
      </x:c>
      <x:c r="G190" s="15" t="str"/>
      <x:c r="H190" s="15" t="str"/>
      <x:c r="I190" s="15" t="str"/>
      <x:c r="J190" s="15" t="str"/>
      <x:c r="K190" s="15" t="str"/>
      <x:c r="L190" s="19" t="n">
        <x:v>0</x:v>
      </x:c>
      <x:c r="M190" s="19"/>
      <x:c r="N190" s="15" t="str"/>
      <x:c r="O190" s="15" t="str"/>
      <x:c r="P190" s="15" t="str"/>
      <x:c r="Q190" s="15" t="str"/>
      <x:c r="R190" s="15" t="str"/>
      <x:c r="S190" s="15" t="str"/>
      <x:c r="T190" s="15" t="str"/>
    </x:row>
    <x:row r="191">
      <x:c r="A191" s="15" t="str">
        <x:v>Bu-06</x:v>
      </x:c>
      <x:c r="B191" s="15" t="str">
        <x:v>Bu-06</x:v>
      </x:c>
      <x:c r="C191" s="15" t="str">
        <x:v>1002294</x:v>
      </x:c>
      <x:c r="D191" s="15" t="str">
        <x:v>Bu</x:v>
      </x:c>
      <x:c r="E191" s="15" t="n">
        <x:v>10</x:v>
      </x:c>
      <x:c r="F191" s="15" t="str">
        <x:v>BU Led</x:v>
      </x:c>
      <x:c r="G191" s="15" t="str">
        <x:v>Integrated Supply Chain (ISC)</x:v>
      </x:c>
      <x:c r="H191" s="15" t="str">
        <x:v>Compliance - GTS</x:v>
      </x:c>
      <x:c r="I191" s="15" t="str">
        <x:v>Carry Over</x:v>
      </x:c>
      <x:c r="J191" s="15" t="str">
        <x:v>Legal Fiscal, Regulatory &amp; Compliancy</x:v>
      </x:c>
      <x:c r="K191" s="15" t="str">
        <x:v>Integrated Supply Chain &amp; Finance</x:v>
      </x:c>
      <x:c r="L191" s="19" t="n">
        <x:v>2.07</x:v>
      </x:c>
      <x:c r="M191" s="19"/>
      <x:c r="N191" s="15" t="str">
        <x:v>Must Do</x:v>
      </x:c>
      <x:c r="O191" s="15" t="str">
        <x:v>Compliance must do activities on compliance. (e.g. Export controls &amp; sanction screening)</x:v>
      </x:c>
      <x:c r="P191" s="15" t="str"/>
      <x:c r="Q191" s="15" t="str"/>
      <x:c r="R191" s="15" t="str"/>
      <x:c r="S191" s="15" t="str">
        <x:v>HEALTHY</x:v>
      </x:c>
      <x:c r="T191" s="15" t="str">
        <x:v>HEALTHY — Rank in priority matrix</x:v>
      </x:c>
    </x:row>
    <x:row r="192">
      <x:c r="A192" s="15" t="str">
        <x:v>Bu-07</x:v>
      </x:c>
      <x:c r="B192" s="15" t="str">
        <x:v>Bu-07</x:v>
      </x:c>
      <x:c r="C192" s="15" t="str">
        <x:v>1002301</x:v>
      </x:c>
      <x:c r="D192" s="15" t="str">
        <x:v>Bu</x:v>
      </x:c>
      <x:c r="E192" s="15" t="n">
        <x:v>11</x:v>
      </x:c>
      <x:c r="F192" s="15" t="str">
        <x:v>BU Led</x:v>
      </x:c>
      <x:c r="G192" s="15" t="str">
        <x:v>Integrated Supply Chain (ISC)</x:v>
      </x:c>
      <x:c r="H192" s="15" t="str">
        <x:v>Implement Tech Enabled Integrated Planning</x:v>
      </x:c>
      <x:c r="I192" s="15" t="str">
        <x:v>Carry Over</x:v>
      </x:c>
      <x:c r="J192" s="15" t="str"/>
      <x:c r="K192" s="15" t="str">
        <x:v>Integrated Supply Chain &amp; Finance</x:v>
      </x:c>
      <x:c r="L192" s="19" t="n">
        <x:v>5.74</x:v>
      </x:c>
      <x:c r="M192" s="19"/>
      <x:c r="N192" s="15" t="str">
        <x:v>Must Do</x:v>
      </x:c>
      <x:c r="O192" s="15" t="str">
        <x:v>OTIF improvements imapcted</x:v>
      </x:c>
      <x:c r="P192" s="15" t="str"/>
      <x:c r="Q192" s="15" t="str"/>
      <x:c r="R192" s="15" t="str"/>
      <x:c r="S192" s="15" t="str">
        <x:v>HEALTHY</x:v>
      </x:c>
      <x:c r="T192" s="15" t="str">
        <x:v>HEALTHY — Rank in priority matrix</x:v>
      </x:c>
    </x:row>
    <x:row r="193">
      <x:c r="A193" s="15" t="str">
        <x:v>Bu-08</x:v>
      </x:c>
      <x:c r="B193" s="15" t="str">
        <x:v>Bu-08</x:v>
      </x:c>
      <x:c r="C193" s="15" t="str">
        <x:v>1002304</x:v>
      </x:c>
      <x:c r="D193" s="15" t="str">
        <x:v>Bu</x:v>
      </x:c>
      <x:c r="E193" s="15" t="n">
        <x:v>13</x:v>
      </x:c>
      <x:c r="F193" s="15" t="str">
        <x:v>BU Led</x:v>
      </x:c>
      <x:c r="G193" s="15" t="str">
        <x:v>Integrated Supply Chain (ISC)</x:v>
      </x:c>
      <x:c r="H193" s="15" t="str">
        <x:v>IWD capabilities improvements and cost reductions</x:v>
      </x:c>
      <x:c r="I193" s="15" t="str">
        <x:v>Carry Over</x:v>
      </x:c>
      <x:c r="J193" s="15" t="str">
        <x:v>Upgrades &amp; Enhancements</x:v>
      </x:c>
      <x:c r="K193" s="15" t="str">
        <x:v>Integrated Supply Chain &amp; Finance</x:v>
      </x:c>
      <x:c r="L193" s="19" t="n">
        <x:v>0.14</x:v>
      </x:c>
      <x:c r="M193" s="19"/>
      <x:c r="N193" s="15" t="str">
        <x:v>Must Do</x:v>
      </x:c>
      <x:c r="O193" s="15" t="str">
        <x:v>OTIF imapct</x:v>
      </x:c>
      <x:c r="P193" s="15" t="str"/>
      <x:c r="Q193" s="15" t="str"/>
      <x:c r="R193" s="15" t="str"/>
      <x:c r="S193" s="15" t="str">
        <x:v>HEALTHY</x:v>
      </x:c>
      <x:c r="T193" s="15" t="str">
        <x:v>HEALTHY — Rank in priority matrix</x:v>
      </x:c>
    </x:row>
    <x:row r="194">
      <x:c r="A194" s="15" t="str">
        <x:v>Bu-09</x:v>
      </x:c>
      <x:c r="B194" s="15" t="str">
        <x:v>Bu-09</x:v>
      </x:c>
      <x:c r="C194" s="15" t="str">
        <x:v>1002308</x:v>
      </x:c>
      <x:c r="D194" s="15" t="str">
        <x:v>Bu</x:v>
      </x:c>
      <x:c r="E194" s="15" t="n">
        <x:v>14</x:v>
      </x:c>
      <x:c r="F194" s="15" t="str">
        <x:v>BU Led</x:v>
      </x:c>
      <x:c r="G194" s="15" t="str">
        <x:v>Integrated Supply Chain (ISC)</x:v>
      </x:c>
      <x:c r="H194" s="15" t="str">
        <x:v>Circular Lifecycle Solutions and Spare parts delivery</x:v>
      </x:c>
      <x:c r="I194" s="15" t="str">
        <x:v>Carry Over</x:v>
      </x:c>
      <x:c r="J194" s="15" t="str">
        <x:v>New Feature</x:v>
      </x:c>
      <x:c r="K194" s="15" t="str">
        <x:v>Integrated Supply Chain &amp; Finance</x:v>
      </x:c>
      <x:c r="L194" s="19" t="n">
        <x:v>1.18</x:v>
      </x:c>
      <x:c r="M194" s="19"/>
      <x:c r="N194" s="15" t="str">
        <x:v>Must Do</x:v>
      </x:c>
      <x:c r="O194" s="15" t="str">
        <x:v>Compliance: Uphold Legal, Fiscal and Regulatory requirements.</x:v>
      </x:c>
      <x:c r="P194" s="15" t="str"/>
      <x:c r="Q194" s="15" t="str"/>
      <x:c r="R194" s="15" t="str"/>
      <x:c r="S194" s="15" t="str">
        <x:v>HEALTHY</x:v>
      </x:c>
      <x:c r="T194" s="15" t="str">
        <x:v>HEALTHY — Rank in priority matrix</x:v>
      </x:c>
    </x:row>
    <x:row r="195">
      <x:c r="A195" s="15" t="str">
        <x:v>Bu-10</x:v>
      </x:c>
      <x:c r="B195" s="15" t="str">
        <x:v>Bu-10</x:v>
      </x:c>
      <x:c r="C195" s="15" t="str">
        <x:v>1002309</x:v>
      </x:c>
      <x:c r="D195" s="15" t="str">
        <x:v>Bu</x:v>
      </x:c>
      <x:c r="E195" s="15" t="n">
        <x:v>15</x:v>
      </x:c>
      <x:c r="F195" s="15" t="str">
        <x:v>BU Led</x:v>
      </x:c>
      <x:c r="G195" s="15" t="str">
        <x:v>Integrated Supply Chain (ISC)</x:v>
      </x:c>
      <x:c r="H195" s="15" t="str">
        <x:v>Master Data and Data Quality</x:v>
      </x:c>
      <x:c r="I195" s="15" t="str">
        <x:v>Carry Over</x:v>
      </x:c>
      <x:c r="J195" s="15" t="str">
        <x:v>New Feature</x:v>
      </x:c>
      <x:c r="K195" s="15" t="str">
        <x:v>Integrated Supply Chain &amp; Finance</x:v>
      </x:c>
      <x:c r="L195" s="19" t="n">
        <x:v>1.07</x:v>
      </x:c>
      <x:c r="M195" s="19"/>
      <x:c r="N195" s="15" t="str">
        <x:v>Must Do</x:v>
      </x:c>
      <x:c r="O195" s="15" t="str">
        <x:v>data quality gaps not addressed - increasing ‘Value At Risk’, the value of orders with operational risk</x:v>
      </x:c>
      <x:c r="P195" s="15" t="str"/>
      <x:c r="Q195" s="15" t="str"/>
      <x:c r="R195" s="15" t="str"/>
      <x:c r="S195" s="15" t="str">
        <x:v>HEALTHY</x:v>
      </x:c>
      <x:c r="T195" s="15" t="str">
        <x:v>HEALTHY — Rank in priority matrix</x:v>
      </x:c>
    </x:row>
    <x:row r="196">
      <x:c r="A196" s="15" t="str">
        <x:v>Bu-11</x:v>
      </x:c>
      <x:c r="B196" s="15" t="str">
        <x:v>Bu-11</x:v>
      </x:c>
      <x:c r="C196" s="15" t="str">
        <x:v>1007106</x:v>
      </x:c>
      <x:c r="D196" s="15" t="str">
        <x:v>Bu</x:v>
      </x:c>
      <x:c r="E196" s="15" t="n">
        <x:v>18</x:v>
      </x:c>
      <x:c r="F196" s="15" t="str">
        <x:v>BU Led</x:v>
      </x:c>
      <x:c r="G196" s="15" t="str">
        <x:v>Integrated Supply Chain (ISC)</x:v>
      </x:c>
      <x:c r="H196" s="15" t="str">
        <x:v>Direct Procurement Transformation</x:v>
      </x:c>
      <x:c r="I196" s="15" t="str">
        <x:v>Carry Over</x:v>
      </x:c>
      <x:c r="J196" s="15" t="str">
        <x:v>New Feature</x:v>
      </x:c>
      <x:c r="K196" s="15" t="str">
        <x:v>Integrated Supply Chain &amp; Finance</x:v>
      </x:c>
      <x:c r="L196" s="19" t="n">
        <x:v>7.03</x:v>
      </x:c>
      <x:c r="M196" s="19"/>
      <x:c r="N196" s="15" t="str">
        <x:v>Must Do</x:v>
      </x:c>
      <x:c r="O196" s="15" t="str">
        <x:v>Affecting cost savings possible due to lean, standardized, simplified Software BOM ordering process (BUs, Markets)</x:v>
      </x:c>
      <x:c r="P196" s="15" t="str"/>
      <x:c r="Q196" s="15" t="str"/>
      <x:c r="R196" s="15" t="str"/>
      <x:c r="S196" s="15" t="str">
        <x:v>HEALTHY</x:v>
      </x:c>
      <x:c r="T196" s="15" t="str">
        <x:v>HEALTHY — Rank in priority matrix</x:v>
      </x:c>
    </x:row>
    <x:row r="197">
      <x:c r="A197" s="15" t="str">
        <x:v>Bu-12</x:v>
      </x:c>
      <x:c r="B197" s="15" t="str">
        <x:v>Bu-12</x:v>
      </x:c>
      <x:c r="C197" s="15" t="str">
        <x:v>1002302</x:v>
      </x:c>
      <x:c r="D197" s="15" t="str">
        <x:v>Bu</x:v>
      </x:c>
      <x:c r="E197" s="15" t="n">
        <x:v>20</x:v>
      </x:c>
      <x:c r="F197" s="15" t="str">
        <x:v>BU Led</x:v>
      </x:c>
      <x:c r="G197" s="15" t="str">
        <x:v>Integrated Supply Chain (ISC)</x:v>
      </x:c>
      <x:c r="H197" s="15" t="str">
        <x:v>Implement Integrated Planning Basics</x:v>
      </x:c>
      <x:c r="I197" s="15" t="str">
        <x:v>Carry Over</x:v>
      </x:c>
      <x:c r="J197" s="15" t="str">
        <x:v>New Feature</x:v>
      </x:c>
      <x:c r="K197" s="15" t="str">
        <x:v>Integrated Supply Chain &amp; Finance</x:v>
      </x:c>
      <x:c r="L197" s="19" t="n">
        <x:v>0.5</x:v>
      </x:c>
      <x:c r="M197" s="19"/>
      <x:c r="N197" s="15" t="str">
        <x:v>Must Do</x:v>
      </x:c>
      <x:c r="O197" s="15" t="str">
        <x:v>No Bill of material cost productivity enablement - annual recurring BOM cost reduction</x:v>
      </x:c>
      <x:c r="P197" s="15" t="str"/>
      <x:c r="Q197" s="15" t="str"/>
      <x:c r="R197" s="15" t="str"/>
      <x:c r="S197" s="15" t="str">
        <x:v>HEALTHY</x:v>
      </x:c>
      <x:c r="T197" s="15" t="str">
        <x:v>HEALTHY — Rank in priority matrix</x:v>
      </x:c>
    </x:row>
    <x:row r="198">
      <x:c r="A198" s="15" t="str">
        <x:v>Bu-13</x:v>
      </x:c>
      <x:c r="B198" s="15" t="str">
        <x:v>Bu-13</x:v>
      </x:c>
      <x:c r="C198" s="15" t="str">
        <x:v>1002581</x:v>
      </x:c>
      <x:c r="D198" s="15" t="str">
        <x:v>Bu</x:v>
      </x:c>
      <x:c r="E198" s="15" t="n">
        <x:v>22</x:v>
      </x:c>
      <x:c r="F198" s="15" t="str">
        <x:v>BU Led</x:v>
      </x:c>
      <x:c r="G198" s="15" t="str">
        <x:v>Monitoring - HPM (MCH)</x:v>
      </x:c>
      <x:c r="H198" s="15" t="str">
        <x:v>HPM - P3S - MaaS Capability Program: Scaling</x:v>
      </x:c>
      <x:c r="I198" s="15" t="str">
        <x:v>Carry Over</x:v>
      </x:c>
      <x:c r="J198" s="15" t="str">
        <x:v>New Feature</x:v>
      </x:c>
      <x:c r="K198" s="15" t="str">
        <x:v>Commercial IT</x:v>
      </x:c>
      <x:c r="L198" s="19" t="n">
        <x:v>5</x:v>
      </x:c>
      <x:c r="M198" s="19"/>
      <x:c r="N198" s="15" t="str">
        <x:v>Must Do</x:v>
      </x:c>
      <x:c r="O198" s="15" t="str">
        <x:v>Carry Over stops</x:v>
      </x:c>
      <x:c r="P198" s="15" t="str"/>
      <x:c r="Q198" s="15" t="str"/>
      <x:c r="R198" s="15" t="str"/>
      <x:c r="S198" s="15" t="str">
        <x:v>HEALTHY</x:v>
      </x:c>
      <x:c r="T198" s="15" t="str">
        <x:v>HEALTHY — Rank in priority matrix</x:v>
      </x:c>
    </x:row>
    <x:row r="199">
      <x:c r="A199" s="15" t="str">
        <x:v>Bu-14</x:v>
      </x:c>
      <x:c r="B199" s="15" t="str">
        <x:v>Bu-14</x:v>
      </x:c>
      <x:c r="C199" s="15" t="str">
        <x:v>1007355</x:v>
      </x:c>
      <x:c r="D199" s="15" t="str">
        <x:v>Bu</x:v>
      </x:c>
      <x:c r="E199" s="15" t="n">
        <x:v>23</x:v>
      </x:c>
      <x:c r="F199" s="15" t="str">
        <x:v>BU Led</x:v>
      </x:c>
      <x:c r="G199" s="15" t="str">
        <x:v>Monitoring - HPM (MCH)</x:v>
      </x:c>
      <x:c r="H199" s="15" t="str">
        <x:v>HPM - Tariff Mitigation - long term (LTS-4 Late Customization)</x:v>
      </x:c>
      <x:c r="I199" s="15" t="str">
        <x:v>Carry Over</x:v>
      </x:c>
      <x:c r="J199" s="15" t="str">
        <x:v>Legal Fiscal, Regulatory &amp; Compliancy</x:v>
      </x:c>
      <x:c r="K199" s="15" t="str">
        <x:v>Integrated Supply Chain &amp; Finance</x:v>
      </x:c>
      <x:c r="L199" s="19" t="n">
        <x:v>0.35</x:v>
      </x:c>
      <x:c r="M199" s="19"/>
      <x:c r="N199" s="15" t="str">
        <x:v>Must Do</x:v>
      </x:c>
      <x:c r="O199" s="15" t="str">
        <x:v>Carry Over stops</x:v>
      </x:c>
      <x:c r="P199" s="15" t="str"/>
      <x:c r="Q199" s="15" t="str"/>
      <x:c r="R199" s="15" t="str"/>
      <x:c r="S199" s="15" t="str">
        <x:v>HEALTHY</x:v>
      </x:c>
      <x:c r="T199" s="15" t="str">
        <x:v>HEALTHY — Rank in priority matrix</x:v>
      </x:c>
    </x:row>
    <x:row r="200">
      <x:c r="A200" s="15" t="str">
        <x:v>Bu-15</x:v>
      </x:c>
      <x:c r="B200" s="15" t="str">
        <x:v>Bu-15</x:v>
      </x:c>
      <x:c r="C200" s="15" t="str">
        <x:v>1006368</x:v>
      </x:c>
      <x:c r="D200" s="15" t="str">
        <x:v>Bu</x:v>
      </x:c>
      <x:c r="E200" s="15" t="n">
        <x:v>24</x:v>
      </x:c>
      <x:c r="F200" s="15" t="str">
        <x:v>BU Led</x:v>
      </x:c>
      <x:c r="G200" s="15" t="str">
        <x:v>Monitoring - HPM (MCH)</x:v>
      </x:c>
      <x:c r="H200" s="15" t="str">
        <x:v>HPM - Sofon Q2O automation</x:v>
      </x:c>
      <x:c r="I200" s="15" t="str">
        <x:v>Carry Over</x:v>
      </x:c>
      <x:c r="J200" s="15" t="str">
        <x:v>New Technology</x:v>
      </x:c>
      <x:c r="K200" s="15" t="str">
        <x:v>Commercial IT</x:v>
      </x:c>
      <x:c r="L200" s="19" t="n">
        <x:v>0.2</x:v>
      </x:c>
      <x:c r="M200" s="19"/>
      <x:c r="N200" s="15" t="str">
        <x:v>Must Do</x:v>
      </x:c>
      <x:c r="O200" s="15" t="str">
        <x:v>Carry Over stops</x:v>
      </x:c>
      <x:c r="P200" s="15" t="str"/>
      <x:c r="Q200" s="15" t="str"/>
      <x:c r="R200" s="15" t="str"/>
      <x:c r="S200" s="15" t="str">
        <x:v>CONTAIN</x:v>
      </x:c>
      <x:c r="T200" s="15" t="str">
        <x:v>CONTAIN — Conditions</x:v>
      </x:c>
    </x:row>
    <x:row r="201">
      <x:c r="A201" s="15" t="str">
        <x:v>Bu-16</x:v>
      </x:c>
      <x:c r="B201" s="15" t="str">
        <x:v>Bu-16</x:v>
      </x:c>
      <x:c r="C201" s="15" t="str">
        <x:v>1006398</x:v>
      </x:c>
      <x:c r="D201" s="15" t="str">
        <x:v>Bu</x:v>
      </x:c>
      <x:c r="E201" s="15" t="n">
        <x:v>25</x:v>
      </x:c>
      <x:c r="F201" s="15" t="str">
        <x:v>BU Led</x:v>
      </x:c>
      <x:c r="G201" s="15" t="str">
        <x:v>Monitoring - HPM (MCH)</x:v>
      </x:c>
      <x:c r="H201" s="15" t="str">
        <x:v>HPM - AI capabilities</x:v>
      </x:c>
      <x:c r="I201" s="15" t="str">
        <x:v>Carry Over</x:v>
      </x:c>
      <x:c r="J201" s="15" t="str">
        <x:v>New Feature</x:v>
      </x:c>
      <x:c r="K201" s="15" t="str">
        <x:v>Innovation and Digital IT</x:v>
      </x:c>
      <x:c r="L201" s="19" t="n">
        <x:v>0.5</x:v>
      </x:c>
      <x:c r="M201" s="19"/>
      <x:c r="N201" s="15" t="str">
        <x:v>Must Do</x:v>
      </x:c>
      <x:c r="O201" s="15" t="str">
        <x:v>Carry Over stops</x:v>
      </x:c>
      <x:c r="P201" s="15" t="str"/>
      <x:c r="Q201" s="15" t="str"/>
      <x:c r="R201" s="15" t="str"/>
      <x:c r="S201" s="15" t="str">
        <x:v>CONTAIN</x:v>
      </x:c>
      <x:c r="T201" s="15" t="str">
        <x:v>CONTAIN — Conditions</x:v>
      </x:c>
    </x:row>
    <x:row r="202">
      <x:c r="A202" s="15" t="str">
        <x:v>Bu-17</x:v>
      </x:c>
      <x:c r="B202" s="15" t="str">
        <x:v>Bu-17</x:v>
      </x:c>
      <x:c r="C202" s="15" t="str">
        <x:v>1004732</x:v>
      </x:c>
      <x:c r="D202" s="15" t="str">
        <x:v>Bu</x:v>
      </x:c>
      <x:c r="E202" s="15" t="n">
        <x:v>26</x:v>
      </x:c>
      <x:c r="F202" s="15" t="str">
        <x:v>BU Led</x:v>
      </x:c>
      <x:c r="G202" s="15" t="str">
        <x:v>North America (NAR)</x:v>
      </x:c>
      <x:c r="H202" s="15" t="str">
        <x:v>NAR Contract Execution and Compliance</x:v>
      </x:c>
      <x:c r="I202" s="15" t="str">
        <x:v>Carry Over</x:v>
      </x:c>
      <x:c r="J202" s="15" t="str">
        <x:v>New Technology</x:v>
      </x:c>
      <x:c r="K202" s="15" t="str">
        <x:v>Commercial IT</x:v>
      </x:c>
      <x:c r="L202" s="19" t="n">
        <x:v>0</x:v>
      </x:c>
      <x:c r="M202" s="19"/>
      <x:c r="N202" s="15" t="str">
        <x:v>Deprioritised</x:v>
      </x:c>
      <x:c r="O202" s="15" t="str"/>
      <x:c r="P202" s="15" t="str"/>
      <x:c r="Q202" s="15" t="str"/>
      <x:c r="R202" s="15" t="str"/>
      <x:c r="S202" s="15" t="str"/>
      <x:c r="T202" s="15" t="str"/>
    </x:row>
    <x:row r="203">
      <x:c r="A203" s="15" t="str">
        <x:v>Bu-18</x:v>
      </x:c>
      <x:c r="B203" s="15" t="str">
        <x:v>Bu-18</x:v>
      </x:c>
      <x:c r="C203" s="15" t="str">
        <x:v>1001239</x:v>
      </x:c>
      <x:c r="D203" s="15" t="str">
        <x:v>Bu</x:v>
      </x:c>
      <x:c r="E203" s="15" t="n">
        <x:v>27</x:v>
      </x:c>
      <x:c r="F203" s="15" t="str">
        <x:v>BU Led</x:v>
      </x:c>
      <x:c r="G203" s="15" t="str">
        <x:v>Personal Health (PH)</x:v>
      </x:c>
      <x:c r="H203" s="15" t="str">
        <x:v>06. Unlocking Digital Marketplaces: Expansion for future growth</x:v>
      </x:c>
      <x:c r="I203" s="15" t="str">
        <x:v>Carry Over</x:v>
      </x:c>
      <x:c r="J203" s="15" t="str">
        <x:v>Continous Improvement</x:v>
      </x:c>
      <x:c r="K203" s="15" t="str">
        <x:v>Innovation and Digital IT</x:v>
      </x:c>
      <x:c r="L203" s="19" t="n">
        <x:v>0.2</x:v>
      </x:c>
      <x:c r="M203" s="19" t="n">
        <x:v>0.239</x:v>
      </x:c>
      <x:c r="N203" s="15" t="str">
        <x:v>Must Do</x:v>
      </x:c>
      <x:c r="O203" s="15" t="str"/>
      <x:c r="P203" s="15" t="str"/>
      <x:c r="Q203" s="15" t="str"/>
      <x:c r="R203" s="15" t="str"/>
      <x:c r="S203" s="15" t="str"/>
      <x:c r="T203" s="15" t="str"/>
    </x:row>
    <x:row r="204">
      <x:c r="A204" s="15" t="str">
        <x:v>Bu-19</x:v>
      </x:c>
      <x:c r="B204" s="15" t="str">
        <x:v>Bu-19</x:v>
      </x:c>
      <x:c r="C204" s="15" t="str">
        <x:v>1001339</x:v>
      </x:c>
      <x:c r="D204" s="15" t="str">
        <x:v>Bu</x:v>
      </x:c>
      <x:c r="E204" s="15" t="n">
        <x:v>28</x:v>
      </x:c>
      <x:c r="F204" s="15" t="str">
        <x:v>BU Led</x:v>
      </x:c>
      <x:c r="G204" s="15" t="str">
        <x:v>Personal Health (PH)</x:v>
      </x:c>
      <x:c r="H204" s="15" t="str">
        <x:v>01. Unleashing the power of Subscriptions</x:v>
      </x:c>
      <x:c r="I204" s="15" t="str">
        <x:v>Carry Over</x:v>
      </x:c>
      <x:c r="J204" s="15" t="str">
        <x:v>Continous Improvement</x:v>
      </x:c>
      <x:c r="K204" s="15" t="str">
        <x:v>Innovation and Digital IT</x:v>
      </x:c>
      <x:c r="L204" s="19" t="n">
        <x:v>0.1</x:v>
      </x:c>
      <x:c r="M204" s="19" t="n">
        <x:v>0.113</x:v>
      </x:c>
      <x:c r="N204" s="15" t="str">
        <x:v>Must Do</x:v>
      </x:c>
      <x:c r="O204" s="15" t="str"/>
      <x:c r="P204" s="15" t="str"/>
      <x:c r="Q204" s="15" t="str"/>
      <x:c r="R204" s="15" t="str"/>
      <x:c r="S204" s="15" t="str"/>
      <x:c r="T204" s="15" t="str"/>
    </x:row>
    <x:row r="205">
      <x:c r="A205" s="15" t="str">
        <x:v>Bu-20</x:v>
      </x:c>
      <x:c r="B205" s="15" t="str">
        <x:v>Bu-20</x:v>
      </x:c>
      <x:c r="C205" s="15" t="str">
        <x:v>1001487</x:v>
      </x:c>
      <x:c r="D205" s="15" t="str">
        <x:v>Bu</x:v>
      </x:c>
      <x:c r="E205" s="15" t="n">
        <x:v>29</x:v>
      </x:c>
      <x:c r="F205" s="15" t="str">
        <x:v>BU Led</x:v>
      </x:c>
      <x:c r="G205" s="15" t="str">
        <x:v>Personal Health (PH)</x:v>
      </x:c>
      <x:c r="H205" s="15" t="str">
        <x:v>17.2 GCS/WCMS replacement</x:v>
      </x:c>
      <x:c r="I205" s="15" t="str">
        <x:v>Carry Over</x:v>
      </x:c>
      <x:c r="J205" s="15" t="str">
        <x:v>New Technology</x:v>
      </x:c>
      <x:c r="K205" s="15" t="str">
        <x:v>Innovation and Digital IT</x:v>
      </x:c>
      <x:c r="L205" s="19" t="n">
        <x:v>0.25</x:v>
      </x:c>
      <x:c r="M205" s="19"/>
      <x:c r="N205" s="15" t="str">
        <x:v>Must Do</x:v>
      </x:c>
      <x:c r="O205" s="15" t="str">
        <x:v>Regulatory Compliance fines regarding claims management</x:v>
      </x:c>
      <x:c r="P205" s="15" t="str">
        <x:v>We submitted to Replace InfoTip (Self Service) from 15 existing countries to the new platform and extend to further 23 countries (in total 38 countries).two new LRF items need to be implemented: Enable repair product flow and refund flow as part of repairability directive within WCMS</x:v>
      </x:c>
      <x:c r="Q205" s="15" t="str">
        <x:v>Backlog and continuous improvement roadmap to be defined via the Quarterly planning</x:v>
      </x:c>
      <x:c r="R205" s="15" t="str">
        <x:v>Xcellent Care</x:v>
      </x:c>
      <x:c r="S205" s="15" t="str"/>
      <x:c r="T205" s="15" t="str"/>
    </x:row>
    <x:row r="206">
      <x:c r="A206" s="15" t="str">
        <x:v>Bu-21</x:v>
      </x:c>
      <x:c r="B206" s="15" t="str">
        <x:v>Bu-21</x:v>
      </x:c>
      <x:c r="C206" s="15" t="str">
        <x:v>1002331</x:v>
      </x:c>
      <x:c r="D206" s="15" t="str">
        <x:v>Bu</x:v>
      </x:c>
      <x:c r="E206" s="15" t="n">
        <x:v>31</x:v>
      </x:c>
      <x:c r="F206" s="15" t="str">
        <x:v>BU Led</x:v>
      </x:c>
      <x:c r="G206" s="15" t="str">
        <x:v>Personal Health (PH)</x:v>
      </x:c>
      <x:c r="H206" s="15" t="str">
        <x:v>13. Finish the ecommerce brilliant basics</x:v>
      </x:c>
      <x:c r="I206" s="15" t="str">
        <x:v>Carry Over</x:v>
      </x:c>
      <x:c r="J206" s="15" t="str">
        <x:v>Continous Improvement</x:v>
      </x:c>
      <x:c r="K206" s="15" t="str">
        <x:v>Innovation and Digital IT</x:v>
      </x:c>
      <x:c r="L206" s="19" t="n">
        <x:v>0.32</x:v>
      </x:c>
      <x:c r="M206" s="19" t="n">
        <x:v>0.679</x:v>
      </x:c>
      <x:c r="N206" s="15" t="str">
        <x:v>Must Do</x:v>
      </x:c>
      <x:c r="O206" s="15" t="str"/>
      <x:c r="P206" s="15" t="str"/>
      <x:c r="Q206" s="15" t="str"/>
      <x:c r="R206" s="15" t="str"/>
      <x:c r="S206" s="15" t="str"/>
      <x:c r="T206" s="15" t="str"/>
    </x:row>
    <x:row r="207">
      <x:c r="A207" s="15" t="str">
        <x:v>Bu-22</x:v>
      </x:c>
      <x:c r="B207" s="15" t="str">
        <x:v>Bu-22</x:v>
      </x:c>
      <x:c r="C207" s="15" t="str">
        <x:v>1002338</x:v>
      </x:c>
      <x:c r="D207" s="15" t="str">
        <x:v>Bu</x:v>
      </x:c>
      <x:c r="E207" s="15" t="n">
        <x:v>32</x:v>
      </x:c>
      <x:c r="F207" s="15" t="str">
        <x:v>BU Led</x:v>
      </x:c>
      <x:c r="G207" s="15" t="str">
        <x:v>Personal Health (PH)</x:v>
      </x:c>
      <x:c r="H207" s="15" t="str">
        <x:v>03. Professionals / D2B2C</x:v>
      </x:c>
      <x:c r="I207" s="15" t="str">
        <x:v>Carry Over</x:v>
      </x:c>
      <x:c r="J207" s="15" t="str">
        <x:v>Upgrades &amp; Enhancements</x:v>
      </x:c>
      <x:c r="K207" s="15" t="str">
        <x:v>Innovation and Digital IT</x:v>
      </x:c>
      <x:c r="L207" s="19" t="n">
        <x:v>1</x:v>
      </x:c>
      <x:c r="M207" s="19" t="n">
        <x:v>5.053</x:v>
      </x:c>
      <x:c r="N207" s="15" t="str">
        <x:v>Must Do</x:v>
      </x:c>
      <x:c r="O207" s="15" t="str">
        <x: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x:v>
      </x:c>
      <x:c r="P207" s="15" t="str">
        <x:v>Evolve Philips Store for Business into a scalable digital growth and customer engagement channel, enabling Philips to serve the longtail of retail customers more efficiently while focusing PH teams on strategic top customers.</x:v>
      </x:c>
      <x:c r="Q207" s="15" t="str">
        <x:v>Roll-out and set SFDC up for success to accelerate our flywheel to key countries and have same version &amp; functions everywhere (=standardization) &gt; Nordics</x:v>
      </x:c>
      <x:c r="R207" s="15" t="str">
        <x:v>Informatica, WPP (SAP), ITAAP, ELQ, Identity &amp;Consent</x:v>
      </x:c>
      <x:c r="S207" s="15" t="str"/>
      <x:c r="T207" s="15" t="str"/>
    </x:row>
    <x:row r="208">
      <x:c r="A208" s="15" t="str">
        <x:v>Bu-23</x:v>
      </x:c>
      <x:c r="B208" s="15" t="str">
        <x:v>Bu-23</x:v>
      </x:c>
      <x:c r="C208" s="15" t="str">
        <x:v>1002340</x:v>
      </x:c>
      <x:c r="D208" s="15" t="str">
        <x:v>Bu</x:v>
      </x:c>
      <x:c r="E208" s="15" t="n">
        <x:v>41</x:v>
      </x:c>
      <x:c r="F208" s="15" t="str">
        <x:v>BU Led</x:v>
      </x:c>
      <x:c r="G208" s="15" t="str">
        <x:v>Personal Health (PH)</x:v>
      </x:c>
      <x:c r="H208" s="15" t="str">
        <x:v>02. CRM | Building meaningful relationships</x:v>
      </x:c>
      <x:c r="I208" s="15" t="str">
        <x:v>Carry Over</x:v>
      </x:c>
      <x:c r="J208" s="15" t="str">
        <x:v>Upgrades &amp; Enhancements</x:v>
      </x:c>
      <x:c r="K208" s="15" t="str">
        <x:v>Innovation and Digital IT</x:v>
      </x:c>
      <x:c r="L208" s="19" t="n">
        <x:v>0.25</x:v>
      </x:c>
      <x:c r="M208" s="19" t="n">
        <x:v>1</x:v>
      </x:c>
      <x:c r="N208" s="15" t="str">
        <x:v>Must Do</x:v>
      </x:c>
      <x:c r="O208" s="15" t="str">
        <x: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x:v>
      </x:c>
      <x:c r="P208" s="15" t="str">
        <x: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x:v>
      </x:c>
      <x:c r="Q208" s="15" t="str">
        <x:v>Evaluate opportunities to reduce the current €2.05M annual SFMC license cost and operating costs. Savings remain to be validated.</x:v>
      </x:c>
      <x:c r="R208" s="15" t="str">
        <x:v>Consent Mangement DS, Bus Content</x:v>
      </x:c>
      <x:c r="S208" s="15" t="str"/>
      <x:c r="T208" s="15" t="str"/>
    </x:row>
    <x:row r="209">
      <x:c r="A209" s="15" t="str">
        <x:v>Bu-24</x:v>
      </x:c>
      <x:c r="B209" s="15" t="str">
        <x:v>Bu-24</x:v>
      </x:c>
      <x:c r="C209" s="15" t="str">
        <x:v>1002353</x:v>
      </x:c>
      <x:c r="D209" s="15" t="str">
        <x:v>Bu</x:v>
      </x:c>
      <x:c r="E209" s="15" t="n">
        <x:v>42</x:v>
      </x:c>
      <x:c r="F209" s="15" t="str">
        <x:v>BU Led</x:v>
      </x:c>
      <x:c r="G209" s="15" t="str">
        <x:v>Personal Health (PH)</x:v>
      </x:c>
      <x:c r="H209" s="15" t="str">
        <x:v>22. PH Digitalization Innovation Process - Development</x:v>
      </x:c>
      <x:c r="I209" s="15" t="str">
        <x:v>Carry Over</x:v>
      </x:c>
      <x:c r="J209" s="15" t="str">
        <x:v>New Feature</x:v>
      </x:c>
      <x:c r="K209" s="15" t="str">
        <x:v>Innovation and Digital IT</x:v>
      </x:c>
      <x:c r="L209" s="19" t="n">
        <x:v>2.95</x:v>
      </x:c>
      <x:c r="M209" s="19" t="n">
        <x:v>7.628</x:v>
      </x:c>
      <x:c r="N209" s="15" t="str">
        <x:v>Must Do</x:v>
      </x:c>
      <x:c r="O209" s="15" t="str">
        <x:v>7-10% productivity loss, and 2.2 M of sunk cost if this project is not continued</x:v>
      </x:c>
      <x:c r="P209" s="15" t="str">
        <x:v>The objective of the DI program is to digitize and integrate Innovation environment for PH, based on E2E information needs, data models and data flows, resulting in:</x:v>
      </x:c>
      <x:c r="Q209" s="15" t="str">
        <x:v>Scale Rotterdam (Risk, test, risk and defect management) capabilities, supporting the digital thread through the E2E PDLM process, enable automation of reporting/document generation</x:v>
      </x:c>
      <x:c r="R209" s="15" t="str">
        <x:v>Harmony, PiPo, AI GamePlan Pillar 3, Consumer centric launch, First, Sustainability, Content Engine</x:v>
      </x:c>
      <x:c r="S209" s="15" t="str"/>
      <x:c r="T209" s="15" t="str"/>
    </x:row>
    <x:row r="210">
      <x:c r="A210" s="15" t="str">
        <x:v>Bu-25</x:v>
      </x:c>
      <x:c r="B210" s="15" t="str">
        <x:v>Bu-25</x:v>
      </x:c>
      <x:c r="C210" s="15" t="str">
        <x:v>1002354</x:v>
      </x:c>
      <x:c r="D210" s="15" t="str">
        <x:v>Bu</x:v>
      </x:c>
      <x:c r="E210" s="15" t="n">
        <x:v>48</x:v>
      </x:c>
      <x:c r="F210" s="15" t="str">
        <x:v>BU Led</x:v>
      </x:c>
      <x:c r="G210" s="15" t="str">
        <x:v>Personal Health (PH)</x:v>
      </x:c>
      <x:c r="H210" s="15" t="str">
        <x:v>19 Consumer Care capabilities AI &amp; simplification &amp; Infotip replacement</x:v>
      </x:c>
      <x:c r="I210" s="15" t="str">
        <x:v>Carry Over</x:v>
      </x:c>
      <x:c r="J210" s="15" t="str">
        <x:v>New Feature</x:v>
      </x:c>
      <x:c r="K210" s="15" t="str">
        <x:v>Innovation and Digital IT</x:v>
      </x:c>
      <x:c r="L210" s="19" t="n">
        <x:v>1.68</x:v>
      </x:c>
      <x:c r="M210" s="19" t="n">
        <x:v>1.777</x:v>
      </x:c>
      <x:c r="N210" s="15" t="str">
        <x:v>Must Do</x:v>
      </x:c>
      <x:c r="O210" s="15" t="str">
        <x:v>If not approved, legacy dependency, vendor cost and fragmented country flows remain</x:v>
      </x:c>
      <x:c r="P210" s="15" t="str">
        <x: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x:v>
      </x:c>
      <x:c r="Q210" s="15" t="str">
        <x:v>UC4: AI receptionist for intent capture, routing, data gathering and Salesforce / XcellentCare handover.</x:v>
      </x:c>
      <x:c r="R210" s="15" t="str">
        <x:v>XcellentCare; WCMS</x:v>
      </x:c>
      <x:c r="S210" s="15" t="str"/>
      <x:c r="T210" s="15" t="str"/>
    </x:row>
    <x:row r="211">
      <x:c r="A211" s="15" t="str">
        <x:v>Bu-26</x:v>
      </x:c>
      <x:c r="B211" s="15" t="str">
        <x:v>Bu-26</x:v>
      </x:c>
      <x:c r="C211" s="15" t="str">
        <x:v>1002355</x:v>
      </x:c>
      <x:c r="D211" s="15" t="str">
        <x:v>Bu</x:v>
      </x:c>
      <x:c r="E211" s="15" t="n">
        <x:v>54</x:v>
      </x:c>
      <x:c r="F211" s="15" t="str">
        <x:v>BU Led</x:v>
      </x:c>
      <x:c r="G211" s="15" t="str">
        <x:v>Personal Health (PH)</x:v>
      </x:c>
      <x:c r="H211" s="15" t="str">
        <x:v>18. Product Content Excellence - Content Engine</x:v>
      </x:c>
      <x:c r="I211" s="15" t="str">
        <x:v>Carry Over</x:v>
      </x:c>
      <x:c r="J211" s="15" t="str">
        <x:v>Continous Improvement</x:v>
      </x:c>
      <x:c r="K211" s="15" t="str">
        <x:v>Innovation and Digital IT</x:v>
      </x:c>
      <x:c r="L211" s="19" t="n">
        <x:v>0.9</x:v>
      </x:c>
      <x:c r="M211" s="19" t="n">
        <x:v>0.48</x:v>
      </x:c>
      <x:c r="N211" s="15" t="str">
        <x:v>Must Do</x:v>
      </x:c>
      <x:c r="O211" s="15" t="str"/>
      <x:c r="P211" s="15" t="str">
        <x: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x:v>
      </x:c>
      <x:c r="Q211" s="15" t="str">
        <x:v>Enterprise application enablement (identity, authentication, security and access management).</x:v>
      </x:c>
      <x:c r="R211" s="15" t="str">
        <x:v>Digitalization of innovation</x:v>
      </x:c>
      <x:c r="S211" s="15" t="str"/>
      <x:c r="T211" s="15" t="str"/>
    </x:row>
    <x:row r="212">
      <x:c r="A212" s="15" t="str">
        <x:v>Bu-27</x:v>
      </x:c>
      <x:c r="B212" s="15" t="str">
        <x:v>Bu-27</x:v>
      </x:c>
      <x:c r="C212" s="15" t="str">
        <x:v>1002357</x:v>
      </x:c>
      <x:c r="D212" s="15" t="str">
        <x:v>Bu</x:v>
      </x:c>
      <x:c r="E212" s="15" t="n">
        <x:v>59</x:v>
      </x:c>
      <x:c r="F212" s="15" t="str">
        <x:v>BU Led</x:v>
      </x:c>
      <x:c r="G212" s="15" t="str">
        <x:v>Personal Health (PH)</x:v>
      </x:c>
      <x:c r="H212" s="15" t="str">
        <x:v>34. Retailer Sell-out Dashboard (RSD)</x:v>
      </x:c>
      <x:c r="I212" s="15" t="str">
        <x:v>Carry Over</x:v>
      </x:c>
      <x:c r="J212" s="15" t="str">
        <x:v>Continous Improvement</x:v>
      </x:c>
      <x:c r="K212" s="15" t="str">
        <x:v>Innovation and Digital IT</x:v>
      </x:c>
      <x:c r="L212" s="19" t="n">
        <x:v>1.5</x:v>
      </x:c>
      <x:c r="M212" s="19" t="n">
        <x:v>5.273</x:v>
      </x:c>
      <x:c r="N212" s="15" t="str">
        <x:v>Must Have</x:v>
      </x:c>
      <x:c r="O212" s="15" t="str">
        <x:v>Philips risks disruption to critical retailer sell out analytics capabilities, reduced visibility into customer performance, degraded forecast accuracy, productivity gains, cost savings, and AI-driven decision-making capabilities.</x:v>
      </x:c>
      <x:c r="P212" s="15" t="str">
        <x: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x:v>
      </x:c>
      <x:c r="Q212" s="15" t="str">
        <x:v>5 Regional AI Agents</x:v>
      </x:c>
      <x:c r="R212" s="15" t="str"/>
      <x:c r="S212" s="15" t="str"/>
      <x:c r="T212" s="15" t="str"/>
    </x:row>
    <x:row r="213">
      <x:c r="A213" s="15" t="str">
        <x:v>Bu-28</x:v>
      </x:c>
      <x:c r="B213" s="15" t="str">
        <x:v>Bu-28</x:v>
      </x:c>
      <x:c r="C213" s="15" t="str">
        <x:v>1002379</x:v>
      </x:c>
      <x:c r="D213" s="15" t="str">
        <x:v>Bu</x:v>
      </x:c>
      <x:c r="E213" s="15" t="n">
        <x:v>62</x:v>
      </x:c>
      <x:c r="F213" s="15" t="str">
        <x:v>BU Led</x:v>
      </x:c>
      <x:c r="G213" s="15" t="str">
        <x:v>Personal Health (PH)</x:v>
      </x:c>
      <x:c r="H213" s="15" t="str">
        <x:v>27. Sales operations | Raise the norm in commercial excellence</x:v>
      </x:c>
      <x:c r="I213" s="15" t="str">
        <x:v>Carry Over</x:v>
      </x:c>
      <x:c r="J213" s="15" t="str">
        <x:v>Continous Improvement</x:v>
      </x:c>
      <x:c r="K213" s="15" t="str">
        <x:v>Commercial IT</x:v>
      </x:c>
      <x:c r="L213" s="19" t="n">
        <x:v>1</x:v>
      </x:c>
      <x:c r="M213" s="19" t="n">
        <x:v>4.392</x:v>
      </x:c>
      <x:c r="N213" s="15" t="str">
        <x:v>Must Do</x:v>
      </x:c>
      <x:c r="O213" s="15" t="str"/>
      <x:c r="P213" s="15" t="str"/>
      <x:c r="Q213" s="15" t="str"/>
      <x:c r="R213" s="15" t="str"/>
      <x:c r="S213" s="15" t="str"/>
      <x:c r="T213" s="15" t="str"/>
    </x:row>
    <x:row r="214">
      <x:c r="A214" s="15" t="str">
        <x:v>Bu-29</x:v>
      </x:c>
      <x:c r="B214" s="15" t="str">
        <x:v>Bu-29</x:v>
      </x:c>
      <x:c r="C214" s="15" t="str">
        <x:v>1002391</x:v>
      </x:c>
      <x:c r="D214" s="15" t="str">
        <x:v>Bu</x:v>
      </x:c>
      <x:c r="E214" s="15" t="n">
        <x:v>63</x:v>
      </x:c>
      <x:c r="F214" s="15" t="str">
        <x:v>BU Led</x:v>
      </x:c>
      <x:c r="G214" s="15" t="str">
        <x:v>Personal Health (PH)</x:v>
      </x:c>
      <x:c r="H214" s="15" t="str">
        <x:v>41. Accelerate Incremental Sales from Media Investments (MMM)</x:v>
      </x:c>
      <x:c r="I214" s="15" t="str">
        <x:v>Carry Over</x:v>
      </x:c>
      <x:c r="J214" s="15" t="str">
        <x:v>Continous Improvement</x:v>
      </x:c>
      <x:c r="K214" s="15" t="str">
        <x:v>Innovation and Digital IT</x:v>
      </x:c>
      <x:c r="L214" s="19" t="n">
        <x:v>1.2</x:v>
      </x:c>
      <x:c r="M214" s="19" t="n">
        <x:v>3.697</x:v>
      </x:c>
      <x:c r="N214" s="15" t="str">
        <x:v>Must Do</x:v>
      </x:c>
      <x:c r="O214" s="15" t="str">
        <x:v>No insights for Marketing teams to assess media effectiveness by combining ROI, response curves, halo impact, and predictive recommendations into planning decisions</x:v>
      </x:c>
      <x:c r="P214" s="15" t="str">
        <x:v>Evolve PHCAT’s MMM Program from a cost-efficient in-house measurement capability into a predictive MMM engine, reducing reliance on €80K–150K third-party studies while scaling ROI decision support across ~85% of Philips’ €311M media spend.</x:v>
      </x:c>
      <x:c r="Q214" s="15" t="str">
        <x:v>Predictive MMM: forecast future Media ROI and incremental impact.</x:v>
      </x:c>
      <x:c r="R214" s="15" t="str">
        <x:v>CXE (Data provided by Agency), AI, Data &amp; IT Architecture and RSD</x:v>
      </x:c>
      <x:c r="S214" s="15" t="str"/>
      <x:c r="T214" s="15" t="str"/>
    </x:row>
    <x:row r="215">
      <x:c r="A215" s="15" t="str">
        <x:v>Bu-30</x:v>
      </x:c>
      <x:c r="B215" s="15" t="str">
        <x:v>Bu-30</x:v>
      </x:c>
      <x:c r="C215" s="15" t="str">
        <x:v>1002392</x:v>
      </x:c>
      <x:c r="D215" s="15" t="str">
        <x:v>Bu</x:v>
      </x:c>
      <x:c r="E215" s="15" t="n">
        <x:v>67</x:v>
      </x:c>
      <x:c r="F215" s="15" t="str">
        <x:v>BU Led</x:v>
      </x:c>
      <x:c r="G215" s="15" t="str">
        <x:v>Personal Health (PH)</x:v>
      </x:c>
      <x:c r="H215" s="15" t="str">
        <x:v>07 Philips Store for Business</x:v>
      </x:c>
      <x:c r="I215" s="15" t="str">
        <x:v>Carry Over</x:v>
      </x:c>
      <x:c r="J215" s="15" t="str">
        <x:v>Decomm/Replatforming</x:v>
      </x:c>
      <x:c r="K215" s="15" t="str">
        <x:v>Innovation and Digital IT</x:v>
      </x:c>
      <x:c r="L215" s="19" t="n">
        <x:v>1.5</x:v>
      </x:c>
      <x:c r="M215" s="19" t="n">
        <x:v>1.015</x:v>
      </x:c>
      <x:c r="N215" s="15" t="str">
        <x:v>Must Do</x:v>
      </x:c>
      <x:c r="O215" s="15" t="str">
        <x:v>1015</x:v>
      </x:c>
      <x:c r="P215" s="15" t="str">
        <x:v>Evolve Philips Store for Business into a scalable digital growth and customer engagement channel, enabling Philips to serve the longtail of retail customers more efficiently while focusing PH teams on strategic top customers.</x:v>
      </x:c>
      <x:c r="Q215" s="15" t="str">
        <x:v>Complete the headless eCommerce MVP (phase 1 and phase 2)</x:v>
      </x:c>
      <x:c r="R215" s="15" t="str">
        <x:v>27. RGM &amp; Sales Operations</x:v>
      </x:c>
      <x:c r="S215" s="15" t="str"/>
      <x:c r="T215" s="15" t="str"/>
    </x:row>
    <x:row r="216">
      <x:c r="A216" s="15" t="str">
        <x:v>Bu-31</x:v>
      </x:c>
      <x:c r="B216" s="15" t="str">
        <x:v>Bu-31</x:v>
      </x:c>
      <x:c r="C216" s="15" t="str">
        <x:v>1002397</x:v>
      </x:c>
      <x:c r="D216" s="15" t="str">
        <x:v>Bu</x:v>
      </x:c>
      <x:c r="E216" s="15" t="n">
        <x:v>72</x:v>
      </x:c>
      <x:c r="F216" s="15" t="str">
        <x:v>BU Led</x:v>
      </x:c>
      <x:c r="G216" s="15" t="str">
        <x:v>Personal Health (PH)</x:v>
      </x:c>
      <x:c r="H216" s="15" t="str">
        <x:v>31.1 E-Commerce Analytics &amp; Digital Shelf</x:v>
      </x:c>
      <x:c r="I216" s="15" t="str">
        <x:v>Carry Over</x:v>
      </x:c>
      <x:c r="J216" s="15" t="str">
        <x:v>Continous Improvement</x:v>
      </x:c>
      <x:c r="K216" s="15" t="str">
        <x:v>Innovation and Digital IT</x:v>
      </x:c>
      <x:c r="L216" s="19" t="n">
        <x:v>0.22</x:v>
      </x:c>
      <x:c r="M216" s="19" t="n">
        <x:v>1.533</x:v>
      </x:c>
      <x:c r="N216" s="15" t="str">
        <x:v>Must Do</x:v>
      </x:c>
      <x:c r="O216" s="15" t="str">
        <x:v>loss of revenue uplift that can be achieved with the continuouse investment on the amazon analytics</x:v>
      </x:c>
      <x:c r="P216" s="15" t="str">
        <x:v>In 2027 will be about helping the global/region and markets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x:v>
      </x:c>
      <x:c r="Q216" s="15" t="str">
        <x:v>SKU Level Analysis reporting</x:v>
      </x:c>
      <x:c r="R216" s="15" t="str">
        <x:v>PH Data Strategy and Azure data lake setup(PSE)</x:v>
      </x:c>
      <x:c r="S216" s="15" t="str"/>
      <x:c r="T216" s="15" t="str"/>
    </x:row>
    <x:row r="217">
      <x:c r="A217" s="15" t="str">
        <x:v>Bu-32</x:v>
      </x:c>
      <x:c r="B217" s="15" t="str">
        <x:v>Bu-32</x:v>
      </x:c>
      <x:c r="C217" s="15" t="str">
        <x:v>1002399</x:v>
      </x:c>
      <x:c r="D217" s="15" t="str">
        <x:v>Bu</x:v>
      </x:c>
      <x:c r="E217" s="15" t="n">
        <x:v>80</x:v>
      </x:c>
      <x:c r="F217" s="15" t="str">
        <x:v>BU Led</x:v>
      </x:c>
      <x:c r="G217" s="15" t="str">
        <x:v>Personal Health (PH)</x:v>
      </x:c>
      <x:c r="H217" s="15" t="str">
        <x:v>30. COPAD (Customer One performance Analytics Dashboards)</x:v>
      </x:c>
      <x:c r="I217" s="15" t="str">
        <x:v>Carry Over</x:v>
      </x:c>
      <x:c r="J217" s="15" t="str">
        <x:v>Continous Improvement</x:v>
      </x:c>
      <x:c r="K217" s="15" t="str">
        <x:v>Innovation and Digital IT</x:v>
      </x:c>
      <x:c r="L217" s="19" t="n">
        <x:v>0.2</x:v>
      </x:c>
      <x:c r="M217" s="19" t="n">
        <x:v>2.954</x:v>
      </x:c>
      <x:c r="N217" s="15" t="str">
        <x:v>Must Do</x:v>
      </x:c>
      <x:c r="O217" s="15" t="str">
        <x:v>long time to get insights on leading indicators like distribution and availability dur to lack of automation of all the manual efforts currently done by regions, LATAM, GCR, &amp; CEE</x:v>
      </x:c>
      <x:c r="P217" s="15" t="str">
        <x:v>Currently our Regional PH teams uses multiple different (Philips and 3rd Party Data) data sources to:</x:v>
      </x:c>
      <x:c r="Q217" s="15" t="str">
        <x:v>LATAM CO-PAD</x:v>
      </x:c>
      <x:c r="R217" s="15" t="str"/>
      <x:c r="S217" s="15" t="str"/>
      <x:c r="T217" s="15" t="str"/>
    </x:row>
    <x:row r="218">
      <x:c r="A218" s="15" t="str">
        <x:v>Bu-33</x:v>
      </x:c>
      <x:c r="B218" s="15" t="str">
        <x:v>Bu-33</x:v>
      </x:c>
      <x:c r="C218" s="15" t="str">
        <x:v>1004523</x:v>
      </x:c>
      <x:c r="D218" s="15" t="str">
        <x:v>Bu</x:v>
      </x:c>
      <x:c r="E218" s="15" t="n">
        <x:v>86</x:v>
      </x:c>
      <x:c r="F218" s="15" t="str">
        <x:v>BU Led</x:v>
      </x:c>
      <x:c r="G218" s="15" t="str">
        <x:v>Personal Health (PH)</x:v>
      </x:c>
      <x:c r="H218" s="15" t="str">
        <x:v>28. Social Care and Project Management</x:v>
      </x:c>
      <x:c r="I218" s="15" t="str">
        <x:v>Carry Over</x:v>
      </x:c>
      <x:c r="J218" s="15" t="str">
        <x:v>Upgrades &amp; Enhancements</x:v>
      </x:c>
      <x:c r="K218" s="15" t="str">
        <x:v>Innovation and Digital IT</x:v>
      </x:c>
      <x:c r="L218" s="19" t="n">
        <x:v>0.025</x:v>
      </x:c>
      <x:c r="M218" s="19" t="n">
        <x:v>0.283</x:v>
      </x:c>
      <x:c r="N218" s="15" t="str">
        <x:v>Must Do</x:v>
      </x:c>
      <x:c r="O218" s="15" t="str"/>
      <x:c r="P218" s="15" t="str">
        <x:v>BYOC (carry over): PH is currently participating in a beta program to test and validate Sprout Socials Bring Your Own Channel (BYOC) integration in Salesforce Service Cloud</x:v>
      </x:c>
      <x:c r="Q218" s="15" t="str">
        <x:v>Complete Sprout Social -&gt; SF integration for all private cases.</x:v>
      </x:c>
      <x:c r="R218" s="15" t="str"/>
      <x:c r="S218" s="15" t="str"/>
      <x:c r="T218" s="15" t="str"/>
    </x:row>
    <x:row r="219">
      <x:c r="A219" s="15" t="str">
        <x:v>Bu-34</x:v>
      </x:c>
      <x:c r="B219" s="15" t="str">
        <x:v>Bu-34</x:v>
      </x:c>
      <x:c r="C219" s="15" t="str">
        <x:v>1005036</x:v>
      </x:c>
      <x:c r="D219" s="15" t="str">
        <x:v>Bu</x:v>
      </x:c>
      <x:c r="E219" s="15" t="n">
        <x:v>88</x:v>
      </x:c>
      <x:c r="F219" s="15" t="str">
        <x:v>BU Led</x:v>
      </x:c>
      <x:c r="G219" s="15" t="str"/>
      <x:c r="H219" s="15" t="str"/>
      <x:c r="I219" s="15" t="str"/>
      <x:c r="J219" s="15" t="str"/>
      <x:c r="K219" s="15" t="str"/>
      <x:c r="L219" s="19" t="n">
        <x:v>0</x:v>
      </x:c>
      <x:c r="M219" s="19"/>
      <x:c r="N219" s="15" t="str"/>
      <x:c r="O219" s="15" t="str"/>
      <x:c r="P219" s="15" t="str"/>
      <x:c r="Q219" s="15" t="str"/>
      <x:c r="R219" s="15" t="str"/>
      <x:c r="S219" s="15" t="str"/>
      <x:c r="T219" s="15" t="str"/>
    </x:row>
    <x:row r="220">
      <x:c r="A220" s="15" t="str">
        <x:v>Bu-35</x:v>
      </x:c>
      <x:c r="B220" s="15" t="str">
        <x:v>Bu-35</x:v>
      </x:c>
      <x:c r="C220" s="15" t="str">
        <x:v>1005038</x:v>
      </x:c>
      <x:c r="D220" s="15" t="str">
        <x:v>Bu</x:v>
      </x:c>
      <x:c r="E220" s="15" t="n">
        <x:v>89</x:v>
      </x:c>
      <x:c r="F220" s="15" t="str">
        <x:v>BU Led</x:v>
      </x:c>
      <x:c r="G220" s="15" t="str">
        <x:v>Personal Health (PH)</x:v>
      </x:c>
      <x:c r="H220" s="15" t="str">
        <x:v>54. AI in Consumer Insights and Innovation</x:v>
      </x:c>
      <x:c r="I220" s="15" t="str">
        <x:v>Carry Over</x:v>
      </x:c>
      <x:c r="J220" s="15" t="str">
        <x:v>AI Enablement</x:v>
      </x:c>
      <x:c r="K220" s="15" t="str">
        <x:v>Infrastructure Services – Projects</x:v>
      </x:c>
      <x:c r="L220" s="19" t="n">
        <x:v>1</x:v>
      </x:c>
      <x:c r="M220" s="19" t="n">
        <x:v>3.57</x:v>
      </x:c>
      <x:c r="N220" s="15" t="str">
        <x:v>Must Do</x:v>
      </x:c>
      <x:c r="O220" s="15" t="str">
        <x:v>Derailing a key AI investment approved by PH LT</x:v>
      </x:c>
      <x:c r="P220" s="15" t="str">
        <x:v>High-quality actionable insights and consumer-centric propositions, faster and at scale by using the power of AI, focusing on 4 specific areas:</x:v>
      </x:c>
      <x:c r="Q220" s="15" t="str">
        <x:v>Features:</x:v>
      </x:c>
      <x:c r="R220" s="15" t="str">
        <x:v>New data sources: Wonderflow Competitors information (dependency Wonderflow), Google Search, Foresight F</x:v>
      </x:c>
      <x:c r="S220" s="15" t="str"/>
      <x:c r="T220" s="15" t="str"/>
    </x:row>
    <x:row r="221">
      <x:c r="A221" s="15" t="str">
        <x:v>Bu-36</x:v>
      </x:c>
      <x:c r="B221" s="15" t="str">
        <x:v>Bu-36</x:v>
      </x:c>
      <x:c r="C221" s="15" t="str">
        <x:v>1006754</x:v>
      </x:c>
      <x:c r="D221" s="15" t="str">
        <x:v>Bu</x:v>
      </x:c>
      <x:c r="E221" s="15" t="n">
        <x:v>99</x:v>
      </x:c>
      <x:c r="F221" s="15" t="str">
        <x:v>BU Led</x:v>
      </x:c>
      <x:c r="G221" s="15" t="str">
        <x:v>Personal Health (PH)</x:v>
      </x:c>
      <x:c r="H221" s="15" t="str">
        <x:v>58. Akamai replatforming (Identify &amp; Access Management)</x:v>
      </x:c>
      <x:c r="I221" s="15" t="str">
        <x:v>Carry Over</x:v>
      </x:c>
      <x:c r="J221" s="15" t="str">
        <x:v>New Technology</x:v>
      </x:c>
      <x:c r="K221" s="15" t="str">
        <x:v>Innovation and Digital IT</x:v>
      </x:c>
      <x:c r="L221" s="19" t="n">
        <x:v>1.27</x:v>
      </x:c>
      <x:c r="M221" s="19"/>
      <x:c r="N221" s="15" t="str">
        <x:v>Must Do</x:v>
      </x:c>
      <x:c r="O221" s="15" t="str">
        <x:v>No migration to Consumer identiy and Access management platforms, Risk of losing credibility with non-secure systems</x:v>
      </x:c>
      <x:c r="P221" s="15" t="str">
        <x:v>Our objective is to continue the migration to the new Consumer Identity and Access Management (CIAM) platforms, building upon the work in 2026, ensuring completion by 2027.</x:v>
      </x:c>
      <x:c r="Q221" s="15" t="str">
        <x: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x:v>
      </x:c>
      <x:c r="R221" s="15" t="str">
        <x:v>17. PH Privacy, BUs, RGs, Flagship, Digital IT, Group Security, Compliance, Proc.</x:v>
      </x:c>
      <x:c r="S221" s="15" t="str"/>
      <x:c r="T221" s="15" t="str"/>
    </x:row>
    <x:row r="222">
      <x:c r="A222" s="15" t="str">
        <x:v>Bu-37</x:v>
      </x:c>
      <x:c r="B222" s="15" t="str">
        <x:v>Bu-37</x:v>
      </x:c>
      <x:c r="C222" s="15" t="str">
        <x:v>1006972</x:v>
      </x:c>
      <x:c r="D222" s="15" t="str">
        <x:v>Bu</x:v>
      </x:c>
      <x:c r="E222" s="15" t="n">
        <x:v>104</x:v>
      </x:c>
      <x:c r="F222" s="15" t="str">
        <x:v>BU Led</x:v>
      </x:c>
      <x:c r="G222" s="15" t="str">
        <x:v>Personal Health (PH)</x:v>
      </x:c>
      <x:c r="H222" s="15" t="str">
        <x:v>05. One AI-powered Translation Solution for PH</x:v>
      </x:c>
      <x:c r="I222" s="15" t="str">
        <x:v>Carry Over</x:v>
      </x:c>
      <x:c r="J222" s="15" t="str">
        <x:v>AI Enablement</x:v>
      </x:c>
      <x:c r="K222" s="15" t="str">
        <x:v>Innovation and Digital IT</x:v>
      </x:c>
      <x:c r="L222" s="19" t="n">
        <x:v>0.4</x:v>
      </x:c>
      <x:c r="M222" s="19" t="n">
        <x:v>0.15</x:v>
      </x:c>
      <x:c r="N222" s="15" t="str">
        <x:v>Must Do</x:v>
      </x:c>
      <x:c r="O222" s="15" t="str">
        <x:v>Investment in 2026 will be wasted and we will face inefficiencies and inconsistencies in consumer facing content dur to various local translators and language service partners</x:v>
      </x:c>
      <x:c r="P222" s="15" t="str">
        <x: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x:v>
      </x:c>
      <x:c r="Q222" s="15" t="str">
        <x:v>In 2027 we will onboard and deploy the one AI powered TMS(including set up of workflows/Translation Memories etc) for the following content types</x:v>
      </x:c>
      <x:c r="R222" s="15" t="str">
        <x:v>Claims program (localization)</x:v>
      </x:c>
      <x:c r="S222" s="15" t="str"/>
      <x:c r="T222" s="15" t="str"/>
    </x:row>
    <x:row r="223">
      <x:c r="A223" s="15" t="str">
        <x:v>Bu-38</x:v>
      </x:c>
      <x:c r="B223" s="15" t="str">
        <x:v>Bu-38</x:v>
      </x:c>
      <x:c r="C223" s="15" t="str">
        <x:v>1007791</x:v>
      </x:c>
      <x:c r="D223" s="15" t="str">
        <x:v>Bu</x:v>
      </x:c>
      <x:c r="E223" s="15" t="n">
        <x:v>107</x:v>
      </x:c>
      <x:c r="F223" s="15" t="str">
        <x:v>BU Led</x:v>
      </x:c>
      <x:c r="G223" s="15" t="str">
        <x:v>Personal Health (PH)</x:v>
      </x:c>
      <x:c r="H223" s="15" t="str">
        <x:v>32. PH ISC Analytics</x:v>
      </x:c>
      <x:c r="I223" s="15" t="str">
        <x:v>Carry Over</x:v>
      </x:c>
      <x:c r="J223" s="15" t="str">
        <x:v>New Feature</x:v>
      </x:c>
      <x:c r="K223" s="15" t="str">
        <x:v>Integrated Supply Chain &amp; Finance</x:v>
      </x:c>
      <x:c r="L223" s="19" t="n">
        <x:v>0.638</x:v>
      </x:c>
      <x:c r="M223" s="19" t="n">
        <x:v>2.297</x:v>
      </x:c>
      <x:c r="N223" s="15" t="str">
        <x:v>Must Do</x:v>
      </x:c>
      <x:c r="O223" s="15" t="str">
        <x:v>Continue with legacy dashboards for PH ISC with incomplete information requiring lots of manual effort for teams</x:v>
      </x:c>
      <x:c r="P223" s="15" t="str"/>
      <x:c r="Q223" s="15" t="str"/>
      <x:c r="R223" s="15" t="str"/>
      <x:c r="S223" s="15" t="str"/>
      <x:c r="T223" s="15" t="str"/>
    </x:row>
    <x:row r="224">
      <x:c r="A224" s="15" t="str">
        <x:v>Bu-39</x:v>
      </x:c>
      <x:c r="B224" s="15" t="str">
        <x:v>Bu-39</x:v>
      </x:c>
      <x:c r="C224" s="15" t="str">
        <x:v>1002393</x:v>
      </x:c>
      <x:c r="D224" s="15" t="str">
        <x:v>Bu</x:v>
      </x:c>
      <x:c r="E224" s="15" t="n">
        <x:v>108</x:v>
      </x:c>
      <x:c r="F224" s="15" t="str">
        <x:v>BU Led</x:v>
      </x:c>
      <x:c r="G224" s="15" t="str">
        <x:v>Personal Health (PH)</x:v>
      </x:c>
      <x:c r="H224" s="15" t="str">
        <x:v>09. Refurbishment: reverse set-up Supply Chain</x:v>
      </x:c>
      <x:c r="I224" s="15" t="str">
        <x:v>Carry Over</x:v>
      </x:c>
      <x:c r="J224" s="15" t="str">
        <x:v>Continous Improvement</x:v>
      </x:c>
      <x:c r="K224" s="15" t="str">
        <x:v>Integrated Supply Chain &amp; Finance</x:v>
      </x:c>
      <x:c r="L224" s="19" t="n">
        <x:v>0</x:v>
      </x:c>
      <x:c r="M224" s="19" t="n">
        <x:v>2.096</x:v>
      </x:c>
      <x:c r="N224" s="15" t="str">
        <x:v>Deprioritised</x:v>
      </x:c>
      <x:c r="O224" s="15" t="str"/>
      <x:c r="P224" s="15" t="str"/>
      <x:c r="Q224" s="15" t="str"/>
      <x:c r="R224" s="15" t="str"/>
      <x:c r="S224" s="15" t="str">
        <x:v>HEALTHY</x:v>
      </x:c>
      <x:c r="T224" s="15" t="str">
        <x:v>HEALTHY — Rank in priority matrix</x:v>
      </x:c>
    </x:row>
    <x:row r="225">
      <x:c r="A225" s="15" t="str">
        <x:v>Bu-48</x:v>
      </x:c>
      <x:c r="B225" s="15" t="str">
        <x:v>Bu-48</x:v>
      </x:c>
      <x:c r="C225" s="15" t="str"/>
      <x:c r="D225" s="15" t="str">
        <x:v>Bu</x:v>
      </x:c>
      <x:c r="E225" s="15" t="n">
        <x:v>109</x:v>
      </x:c>
      <x:c r="F225" s="15" t="str">
        <x:v>BU Led</x:v>
      </x:c>
      <x:c r="G225" s="15" t="str">
        <x:v>Service Transformation Office (STO)</x:v>
      </x:c>
      <x:c r="H225" s="15" t="str">
        <x:v>STO Carryover Demand</x:v>
      </x:c>
      <x:c r="I225" s="15" t="str">
        <x:v>Carry Over</x:v>
      </x:c>
      <x:c r="J225" s="15" t="str"/>
      <x:c r="K225" s="15" t="str">
        <x:v>Services &amp; Solutions IT</x:v>
      </x:c>
      <x:c r="L225" s="19" t="n">
        <x:v>22.7</x:v>
      </x:c>
      <x:c r="M225" s="19"/>
      <x:c r="N225" s="15" t="str"/>
      <x:c r="O225" s="15" t="str"/>
      <x:c r="P225" s="15" t="str"/>
      <x:c r="Q225" s="15" t="str"/>
      <x:c r="R225" s="15" t="str"/>
      <x:c r="S225" s="15" t="str"/>
      <x:c r="T225" s="15" t="str"/>
    </x:row>
    <x:row r="226">
      <x:c r="A226" s="15" t="str">
        <x:v>Bu-49</x:v>
      </x:c>
      <x:c r="B226" s="15" t="str">
        <x:v>Bu-49</x:v>
      </x:c>
      <x:c r="C226" s="15" t="str">
        <x:v>1006470</x:v>
      </x:c>
      <x:c r="D226" s="15" t="str">
        <x:v>Bu</x:v>
      </x:c>
      <x:c r="E226" s="15" t="n">
        <x:v>110</x:v>
      </x:c>
      <x:c r="F226" s="15" t="str">
        <x:v>BU Led</x:v>
      </x:c>
      <x:c r="G226" s="15" t="str">
        <x:v>Sleep &amp; Respiratory Care (SRC)</x:v>
      </x:c>
      <x:c r="H226" s="15" t="str">
        <x:v>Demand &amp; Supply Planning SRC</x:v>
      </x:c>
      <x:c r="I226" s="15" t="str">
        <x:v>Carry Over</x:v>
      </x:c>
      <x:c r="J226" s="15" t="str">
        <x:v>New Technology</x:v>
      </x:c>
      <x:c r="K226" s="15" t="str">
        <x:v>Integrated Supply Chain &amp; Finance</x:v>
      </x:c>
      <x:c r="L226" s="19" t="n">
        <x:v>1.7</x:v>
      </x:c>
      <x:c r="M226" s="19" t="n">
        <x:v>29.3</x:v>
      </x:c>
      <x:c r="N226" s="15" t="str">
        <x:v>Must Do</x:v>
      </x:c>
      <x:c r="O226" s="15" t="str">
        <x:v>Direct impact on our NA Comeback program which targets revenue growth of 300-500 M over next 2 years</x:v>
      </x:c>
      <x:c r="P226" s="15" t="str">
        <x: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x:v>
      </x:c>
      <x:c r="Q226" s="15" t="str">
        <x:v>create a globally standardized, AI-enabled, data-driven planning capability that allows Philips to make faster, more accurate and more synchronized supply chain decisions across the enterprise</x:v>
      </x:c>
      <x:c r="R226" s="15" t="str"/>
      <x:c r="S226" s="15" t="str">
        <x:v>HEALTHY</x:v>
      </x:c>
      <x:c r="T226" s="15" t="str">
        <x:v>HEALTHY — Rank in priority matrix</x:v>
      </x:c>
    </x:row>
    <x:row r="227">
      <x:c r="A227" s="15" t="str">
        <x:v>Bu-50</x:v>
      </x:c>
      <x:c r="B227" s="15" t="str">
        <x:v>Bu-50</x:v>
      </x:c>
      <x:c r="C227" s="15" t="str">
        <x:v>1006472</x:v>
      </x:c>
      <x:c r="D227" s="15" t="str">
        <x:v>Bu</x:v>
      </x:c>
      <x:c r="E227" s="15" t="n">
        <x:v>111</x:v>
      </x:c>
      <x:c r="F227" s="15" t="str">
        <x:v>BU Led</x:v>
      </x:c>
      <x:c r="G227" s="15" t="str">
        <x:v>Sleep &amp; Respiratory Care (SRC)</x:v>
      </x:c>
      <x:c r="H227" s="15" t="str">
        <x:v>E2E NAM Re-entry Digital SRC</x:v>
      </x:c>
      <x:c r="I227" s="15" t="str">
        <x:v>Carry Over</x:v>
      </x:c>
      <x:c r="J227" s="15" t="str">
        <x:v>New Technology</x:v>
      </x:c>
      <x:c r="K227" s="15" t="str">
        <x:v>Innovation and Digital IT</x:v>
      </x:c>
      <x:c r="L227" s="19" t="n">
        <x:v>1.95</x:v>
      </x:c>
      <x:c r="M227" s="19" t="n">
        <x:v>50</x:v>
      </x:c>
      <x:c r="N227" s="15" t="str">
        <x:v>Must Do</x:v>
      </x:c>
      <x:c r="O227" s="15" t="str">
        <x:v>Direct impact on our NA Comeback program which targets revenue growth of 300-500 M over next 2 years</x:v>
      </x:c>
      <x:c r="P227" s="15" t="str">
        <x:v>Enhanced user experience as both website and estore will be on same platform; madated project due to product discontinuation; store rollout 1.5M/yr benefit (based on CAN rollout)</x:v>
      </x:c>
      <x:c r="Q227" s="15" t="str">
        <x:v>This is a mandatory project due to IT requirement (app is getting unsupported by the vendor)</x:v>
      </x:c>
      <x:c r="R227" s="15" t="str"/>
      <x:c r="S227" s="15" t="str"/>
      <x:c r="T227" s="15" t="str"/>
    </x:row>
    <x:row r="228">
      <x:c r="A228" s="15" t="str">
        <x:v>Bu-51</x:v>
      </x:c>
      <x:c r="B228" s="15" t="str">
        <x:v>Bu-51</x:v>
      </x:c>
      <x:c r="C228" s="15" t="str">
        <x:v>1006578</x:v>
      </x:c>
      <x:c r="D228" s="15" t="str">
        <x:v>Bu</x:v>
      </x:c>
      <x:c r="E228" s="15" t="n">
        <x:v>112</x:v>
      </x:c>
      <x:c r="F228" s="15" t="str">
        <x:v>BU Led</x:v>
      </x:c>
      <x:c r="G228" s="15" t="str">
        <x:v>Sleep &amp; Respiratory Care (SRC)</x:v>
      </x:c>
      <x:c r="H228" s="15" t="str">
        <x:v>Customer Service Management SRC</x:v>
      </x:c>
      <x:c r="I228" s="15" t="str">
        <x:v>Carry Over</x:v>
      </x:c>
      <x:c r="J228" s="15" t="str">
        <x:v>Legal Fiscal, Regulatory &amp; Compliancy</x:v>
      </x:c>
      <x:c r="K228" s="15" t="str">
        <x:v>Services &amp; Solutions IT</x:v>
      </x:c>
      <x:c r="L228" s="19" t="n">
        <x:v>1.825</x:v>
      </x:c>
      <x:c r="M228" s="19" t="n">
        <x:v>5</x:v>
      </x:c>
      <x:c r="N228" s="15" t="str">
        <x:v>Must Do</x:v>
      </x:c>
      <x:c r="O228" s="15" t="str">
        <x:v>Direct impact on CD and injunction lift which prohibits us to sell in NA; overall revenue for that category was ~1000 M before injunction</x:v>
      </x:c>
      <x:c r="P228" s="15" t="str">
        <x:v>We do not have any IT system to log and monitor customer repair requests and monitor the progress which is flagged as gap in CD</x:v>
      </x:c>
      <x:c r="Q228" s="15" t="str">
        <x:v>Improve SW Case processing; Deliver profile-based Customer page for Customer direct access</x:v>
      </x:c>
      <x:c r="R228" s="15" t="str"/>
      <x:c r="S228" s="15" t="str"/>
      <x:c r="T228" s="15" t="str"/>
    </x:row>
    <x:row r="229">
      <x:c r="A229" s="15" t="str">
        <x:v>Bu-52</x:v>
      </x:c>
      <x:c r="B229" s="15" t="str">
        <x:v>Bu-52</x:v>
      </x:c>
      <x:c r="C229" s="15" t="str">
        <x:v>1006582</x:v>
      </x:c>
      <x:c r="D229" s="15" t="str">
        <x:v>Bu</x:v>
      </x:c>
      <x:c r="E229" s="15" t="n">
        <x:v>116</x:v>
      </x:c>
      <x:c r="F229" s="15" t="str">
        <x:v>BU Led</x:v>
      </x:c>
      <x:c r="G229" s="15" t="str">
        <x:v>Sleep &amp; Respiratory Care (SRC)</x:v>
      </x:c>
      <x:c r="H229" s="15" t="str">
        <x:v>Web Replatforming SRC - phase 2</x:v>
      </x:c>
      <x:c r="I229" s="15" t="str">
        <x:v>Carry Over</x:v>
      </x:c>
      <x:c r="J229" s="15" t="str">
        <x:v>New Technology</x:v>
      </x:c>
      <x:c r="K229" s="15" t="str">
        <x:v>Innovation and Digital IT</x:v>
      </x:c>
      <x:c r="L229" s="19" t="n">
        <x:v>0.85</x:v>
      </x:c>
      <x:c r="M229" s="19"/>
      <x:c r="N229" s="15" t="str">
        <x:v>Must Do</x:v>
      </x:c>
      <x:c r="O229" s="15" t="str">
        <x:v>3500</x:v>
      </x:c>
      <x:c r="P229" s="15" t="str">
        <x:v>IT driven project due to platform migration</x:v>
      </x:c>
      <x:c r="Q229" s="15" t="str">
        <x:v>IT driven project due to platform migration</x:v>
      </x:c>
      <x:c r="R229" s="15" t="str"/>
      <x:c r="S229" s="15" t="str"/>
      <x:c r="T229" s="15" t="str"/>
    </x:row>
    <x:row r="230">
      <x:c r="A230" s="15" t="str">
        <x:v>Bu-53</x:v>
      </x:c>
      <x:c r="B230" s="15" t="str">
        <x:v>Bu-53</x:v>
      </x:c>
      <x:c r="C230" s="15" t="str">
        <x:v>1006556</x:v>
      </x:c>
      <x:c r="D230" s="15" t="str">
        <x:v>Bu</x:v>
      </x:c>
      <x:c r="E230" s="15" t="n">
        <x:v>117</x:v>
      </x:c>
      <x:c r="F230" s="15" t="str">
        <x:v>BU Led</x:v>
      </x:c>
      <x:c r="G230" s="15" t="str">
        <x:v>Sleep &amp; Respiratory Care (SRC)</x:v>
      </x:c>
      <x:c r="H230" s="15" t="str">
        <x:v>E2E Trade Item Integration</x:v>
      </x:c>
      <x:c r="I230" s="15" t="str">
        <x:v>Carry Over</x:v>
      </x:c>
      <x:c r="J230" s="15" t="str">
        <x:v>Legal Fiscal, Regulatory &amp; Compliancy</x:v>
      </x:c>
      <x:c r="K230" s="15" t="str">
        <x:v>Innovation and Digital IT</x:v>
      </x:c>
      <x:c r="L230" s="19" t="n">
        <x:v>0</x:v>
      </x:c>
      <x:c r="M230" s="19"/>
      <x:c r="N230" s="15" t="str">
        <x:v>Deprioritised</x:v>
      </x:c>
      <x:c r="O230" s="15" t="str">
        <x:v>NA</x:v>
      </x:c>
      <x:c r="P230" s="15" t="str">
        <x:v>Deprioritized</x:v>
      </x:c>
      <x:c r="Q230" s="15" t="str">
        <x:v>Deprioritized</x:v>
      </x:c>
      <x:c r="R230" s="15" t="str"/>
      <x:c r="S230" s="15" t="str"/>
      <x:c r="T230" s="15" t="str"/>
    </x:row>
    <x:row r="231">
      <x:c r="A231" s="15" t="str">
        <x:v>Bu-54</x:v>
      </x:c>
      <x:c r="B231" s="15" t="str">
        <x:v>Bu-54</x:v>
      </x:c>
      <x:c r="C231" s="15" t="str">
        <x:v>1002303</x:v>
      </x:c>
      <x:c r="D231" s="15" t="str">
        <x:v>Bu</x:v>
      </x:c>
      <x:c r="E231" s="15" t="n">
        <x:v>118</x:v>
      </x:c>
      <x:c r="F231" s="15" t="str">
        <x:v>BU Led</x:v>
      </x:c>
      <x:c r="G231" s="15" t="str">
        <x:v>Integrated Supply Chain (ISC)</x:v>
      </x:c>
      <x:c r="H231" s="15" t="str">
        <x:v>Procurement</x:v>
      </x:c>
      <x:c r="I231" s="15" t="str">
        <x:v>Carry Over</x:v>
      </x:c>
      <x:c r="J231" s="15" t="str"/>
      <x:c r="K231" s="15" t="str">
        <x:v>Integrated Supply Chain &amp; Finance</x:v>
      </x:c>
      <x:c r="L231" s="19" t="n">
        <x:v>0.22</x:v>
      </x:c>
      <x:c r="M231" s="19"/>
      <x:c r="N231" s="15" t="str">
        <x:v>Must Do</x:v>
      </x:c>
      <x:c r="O231" s="15" t="str"/>
      <x:c r="P231" s="15" t="str"/>
      <x:c r="Q231" s="15" t="str"/>
      <x:c r="R231" s="15" t="str"/>
      <x:c r="S231" s="15" t="str">
        <x:v>HEALTHY</x:v>
      </x:c>
      <x:c r="T231" s="15" t="str">
        <x:v>HEALTHY — Rank in priority matrix</x:v>
      </x:c>
    </x:row>
    <x:row r="232">
      <x:c r="A232" s="15" t="str">
        <x:v>Bu-55</x:v>
      </x:c>
      <x:c r="B232" s="15" t="str">
        <x:v>Bu-55</x:v>
      </x:c>
      <x:c r="C232" s="15" t="str">
        <x:v>1004837</x:v>
      </x:c>
      <x:c r="D232" s="15" t="str">
        <x:v>Bu</x:v>
      </x:c>
      <x:c r="E232" s="15" t="n">
        <x:v>119</x:v>
      </x:c>
      <x:c r="F232" s="15" t="str">
        <x:v>BU Led</x:v>
      </x:c>
      <x:c r="G232" s="15" t="str">
        <x:v>CoE Marketing – HS (former DMEC)</x:v>
      </x:c>
      <x:c r="H232" s="15" t="str">
        <x:v>D2B HS eCommerce 2025_26</x:v>
      </x:c>
      <x:c r="I232" s="15" t="str">
        <x:v>Carry Over</x:v>
      </x:c>
      <x:c r="J232" s="15" t="str">
        <x:v>Continous Improvement</x:v>
      </x:c>
      <x:c r="K232" s="15" t="str">
        <x:v>Innovation and Digital IT</x:v>
      </x:c>
      <x:c r="L232" s="19" t="n">
        <x:v>0.4</x:v>
      </x:c>
      <x:c r="M232" s="19" t="n">
        <x:v>3</x:v>
      </x:c>
      <x:c r="N232" s="15" t="str">
        <x:v>Must Do</x:v>
      </x:c>
      <x:c r="O232" s="15" t="str">
        <x:v>Continue headless store launch to drive incremental revenue - if not done continued decline of OIT</x:v>
      </x:c>
      <x:c r="P232" s="15" t="str">
        <x:v>Headless store rollout must continue into priority markets to protect and grow revenue (ex. Germany), where inaction will result in a decline in eCom performance - improved experience is not yet uniformly distributed to key markets</x:v>
      </x:c>
      <x:c r="Q232" s="15" t="str">
        <x:v>Development of additional front end stores including DX transformation to support lightweight launches of stores in new markets</x:v>
      </x:c>
      <x:c r="R232" s="15" t="str"/>
      <x:c r="S232" s="15" t="str"/>
      <x:c r="T232" s="15" t="str"/>
    </x:row>
    <x:row r="233">
      <x:c r="A233" s="15" t="str">
        <x:v>Bu-56</x:v>
      </x:c>
      <x:c r="B233" s="15" t="str">
        <x:v>Bu-56</x:v>
      </x:c>
      <x:c r="C233" s="15" t="str"/>
      <x:c r="D233" s="15" t="str">
        <x:v>Bu</x:v>
      </x:c>
      <x:c r="E233" s="15" t="n">
        <x:v>120</x:v>
      </x:c>
      <x:c r="F233" s="15" t="str">
        <x:v>BU Led</x:v>
      </x:c>
      <x:c r="G233" s="15" t="str"/>
      <x:c r="H233" s="15" t="str"/>
      <x:c r="I233" s="15" t="str"/>
      <x:c r="J233" s="15" t="str"/>
      <x:c r="K233" s="15" t="str"/>
      <x:c r="L233" s="19" t="n">
        <x:v>0</x:v>
      </x:c>
      <x:c r="M233" s="19"/>
      <x:c r="N233" s="15" t="str"/>
      <x:c r="O233" s="15" t="str"/>
      <x:c r="P233" s="15" t="str"/>
      <x:c r="Q233" s="15" t="str"/>
      <x:c r="R233" s="15" t="str"/>
      <x:c r="S233" s="15" t="str"/>
      <x:c r="T233" s="15" t="str"/>
    </x:row>
    <x:row r="234">
      <x:c r="A234" s="15" t="str">
        <x:v>Bu-57</x:v>
      </x:c>
      <x:c r="B234" s="15" t="str">
        <x:v>Bu-57</x:v>
      </x:c>
      <x:c r="C234" s="15" t="str"/>
      <x:c r="D234" s="15" t="str">
        <x:v>Bu</x:v>
      </x:c>
      <x:c r="E234" s="15" t="n">
        <x:v>121</x:v>
      </x:c>
      <x:c r="F234" s="15" t="str">
        <x:v>BU Led</x:v>
      </x:c>
      <x:c r="G234" s="15" t="str">
        <x:v>Image Guided Therapy - Systems (IGT-S)</x:v>
      </x:c>
      <x:c r="H234" s="15" t="str">
        <x:v>Symphony Eye</x:v>
      </x:c>
      <x:c r="I234" s="15" t="str">
        <x:v>New Initiative</x:v>
      </x:c>
      <x:c r="J234" s="15" t="str">
        <x:v>New Feature</x:v>
      </x:c>
      <x:c r="K234" s="15" t="str">
        <x:v>Integrated Supply Chain &amp; Finance</x:v>
      </x:c>
      <x:c r="L234" s="19" t="n">
        <x:v>4</x:v>
      </x:c>
      <x:c r="M234" s="19" t="n">
        <x:v>202</x:v>
      </x:c>
      <x:c r="N234" s="15" t="str">
        <x:v>Must Do</x:v>
      </x:c>
      <x:c r="O234" s="15" t="str">
        <x:v>Delays Azurion Eye commercialization, prevents adoption of software-enabled and recurring revenue business models, and postpones future digital service and data-driven revenue opportunities.</x:v>
      </x:c>
      <x:c r="P234" s="15" t="str">
        <x:v>Enable Azurion Eye product launch by extending NextGen with AI/data, cloud and 3rd‑party ecosystem capabilities. Objective: scale a subscription model. Benefits: new revenue streams, AI‑driven value and improved outcomes.Also include ReqRes capabilities such as Remote distribution flows, increased device flexibility, Installation tracking across devices</x:v>
      </x:c>
      <x:c r="Q234" s="15" t="str">
        <x:v>1. Cloud Operations,</x:v>
      </x:c>
      <x:c r="R234" s="15" t="str">
        <x:v>1006540 - Symphony Eye has strong dependencies on Symphony NextGen as many of the capabilities such as Procument &amp; Partner Management, Support &amp; Adopt etc are pre-requisite to Symphony Eye</x:v>
      </x:c>
      <x:c r="S234" s="15" t="str">
        <x:v>HEALTHY</x:v>
      </x:c>
      <x:c r="T234" s="15" t="str">
        <x:v>HEALTHY — Rank in priority matrix</x:v>
      </x:c>
    </x:row>
    <x:row r="235">
      <x:c r="A235" s="15" t="str">
        <x:v>Bu-58</x:v>
      </x:c>
      <x:c r="B235" s="15" t="str">
        <x:v>Bu-58</x:v>
      </x:c>
      <x:c r="C235" s="15" t="str">
        <x:v>1005000</x:v>
      </x:c>
      <x:c r="D235" s="15" t="str">
        <x:v>Bu</x:v>
      </x:c>
      <x:c r="E235" s="15" t="n">
        <x:v>127</x:v>
      </x:c>
      <x:c r="F235" s="15" t="str">
        <x:v>BU Led</x:v>
      </x:c>
      <x:c r="G235" s="15" t="str">
        <x:v>CoE Marketing – HS (former DMEC)</x:v>
      </x:c>
      <x:c r="H235" s="15" t="str">
        <x:v>MI&amp;A Workbench program</x:v>
      </x:c>
      <x:c r="I235" s="15" t="str">
        <x:v>Carry Over</x:v>
      </x:c>
      <x:c r="J235" s="15" t="str">
        <x:v>Continous Improvement</x:v>
      </x:c>
      <x:c r="K235" s="15" t="str">
        <x:v>Enterprise Architecture, Data &amp; Integration</x:v>
      </x:c>
      <x:c r="L235" s="19" t="n">
        <x:v>0.2</x:v>
      </x:c>
      <x:c r="M235" s="19"/>
      <x:c r="N235" s="15" t="str">
        <x:v>Must Do</x:v>
      </x:c>
      <x:c r="O235" s="15" t="str">
        <x:v>Without the marketing datalake,we lose all ability to support HS with insights and analytics, thereby leaving Business &amp; Regions blind, which will negatively impact overall HS business results</x:v>
      </x:c>
      <x:c r="P235" s="15" t="str"/>
      <x:c r="Q235" s="15" t="str"/>
      <x:c r="R235" s="15" t="str"/>
      <x:c r="S235" s="15" t="str"/>
      <x:c r="T235" s="15" t="str"/>
    </x:row>
    <x:row r="236">
      <x:c r="A236" s="15" t="str">
        <x:v>Bu-59</x:v>
      </x:c>
      <x:c r="B236" s="15" t="str">
        <x:v>Bu-59</x:v>
      </x:c>
      <x:c r="C236" s="15" t="str">
        <x:v>1005046</x:v>
      </x:c>
      <x:c r="D236" s="15" t="str">
        <x:v>Bu</x:v>
      </x:c>
      <x:c r="E236" s="15" t="n">
        <x:v>128</x:v>
      </x:c>
      <x:c r="F236" s="15" t="str">
        <x:v>BU Led</x:v>
      </x:c>
      <x:c r="G236" s="15" t="str">
        <x:v>CoE Marketing – HS (former DMEC)</x:v>
      </x:c>
      <x:c r="H236" s="15" t="str">
        <x:v>Event CoE_Data Quality, Visibility &amp; Simplification Program</x:v>
      </x:c>
      <x:c r="I236" s="15" t="str">
        <x:v>Carry Over</x:v>
      </x:c>
      <x:c r="J236" s="15" t="str">
        <x:v>Continous Improvement</x:v>
      </x:c>
      <x:c r="K236" s="15" t="str">
        <x:v>Innovation and Digital IT</x:v>
      </x:c>
      <x:c r="L236" s="19" t="n">
        <x:v>0.21</x:v>
      </x:c>
      <x:c r="M236" s="19"/>
      <x:c r="N236" s="15" t="str">
        <x:v>Must Do</x:v>
      </x:c>
      <x:c r="O236" s="15" t="str"/>
      <x:c r="P236" s="15" t="str"/>
      <x:c r="Q236" s="15" t="str"/>
      <x:c r="R236" s="15" t="str"/>
      <x:c r="S236" s="15" t="str"/>
      <x:c r="T236" s="15" t="str"/>
    </x:row>
    <x:row r="237">
      <x:c r="A237" s="15" t="str">
        <x:v>Bu-60</x:v>
      </x:c>
      <x:c r="B237" s="15" t="str">
        <x:v>Bu-60</x:v>
      </x:c>
      <x:c r="C237" s="15" t="str">
        <x:v>1006540</x:v>
      </x:c>
      <x:c r="D237" s="15" t="str">
        <x:v>Bu</x:v>
      </x:c>
      <x:c r="E237" s="15" t="n">
        <x:v>129</x:v>
      </x:c>
      <x:c r="F237" s="15" t="str">
        <x:v>BU Led</x:v>
      </x:c>
      <x:c r="G237" s="15" t="str">
        <x:v>Image Guided Therapy - Systems (IGT-S)</x:v>
      </x:c>
      <x:c r="H237" s="15" t="str">
        <x:v>Symphony - Azurion NextGen</x:v>
      </x:c>
      <x:c r="I237" s="15" t="str">
        <x:v>Carry Over</x:v>
      </x:c>
      <x:c r="J237" s="15" t="str">
        <x:v>New Feature</x:v>
      </x:c>
      <x:c r="K237" s="15" t="str">
        <x:v>Integrated Supply Chain &amp; Finance</x:v>
      </x:c>
      <x:c r="L237" s="19" t="n">
        <x:v>2.8</x:v>
      </x:c>
      <x:c r="M237" s="19" t="n">
        <x:v>48</x:v>
      </x:c>
      <x:c r="N237" s="15" t="str">
        <x:v>Must Do</x:v>
      </x:c>
      <x:c r="O237" s="15" t="str">
        <x:v>Inability to launch Azurion Next Gen with software subscription and 3rd party ecosystem offerings, delaying recurring revenue generation and IGT's ability to scale future business models.</x:v>
      </x:c>
      <x:c r="P237" s="15" t="str">
        <x:v>The objective of this business case is to deliver the required capabilities to support Azurion Next Gen, ensuring continuity of the approved Azurion roadmap, of which Azurion Eye is a dependent next step from an end-2-end capability perspective.</x:v>
      </x:c>
      <x:c r="Q237" s="15" t="str">
        <x:v>1. Quote to delivery</x:v>
      </x:c>
      <x:c r="R237" s="15" t="str"/>
      <x:c r="S237" s="15" t="str">
        <x:v>HEALTHY</x:v>
      </x:c>
      <x:c r="T237" s="15" t="str">
        <x:v>HEALTHY — Rank in priority matrix</x:v>
      </x:c>
    </x:row>
    <x:row r="238">
      <x:c r="A238" s="15" t="str">
        <x:v>Bu-61</x:v>
      </x:c>
      <x:c r="B238" s="15" t="str">
        <x:v>Bu-61</x:v>
      </x:c>
      <x:c r="C238" s="15" t="str"/>
      <x:c r="D238" s="15" t="str">
        <x:v>Bu</x:v>
      </x:c>
      <x:c r="E238" s="15" t="n">
        <x:v>134</x:v>
      </x:c>
      <x:c r="F238" s="15" t="str">
        <x:v>BU Led</x:v>
      </x:c>
      <x:c r="G238" s="15" t="str">
        <x:v>Image Guided Therapy - Systems (IGT-S)</x:v>
      </x:c>
      <x:c r="H238" s="15" t="str">
        <x:v>Entrepreneur Split</x:v>
      </x:c>
      <x:c r="I238" s="15" t="str">
        <x:v>New Initiative</x:v>
      </x:c>
      <x:c r="J238" s="15" t="str">
        <x:v>New Feature</x:v>
      </x:c>
      <x:c r="K238" s="15" t="str">
        <x:v>Integrated Supply Chain &amp; Finance</x:v>
      </x:c>
      <x:c r="L238" s="19" t="n">
        <x:v>0.7</x:v>
      </x:c>
      <x:c r="M238" s="19" t="n">
        <x:v>29.4</x:v>
      </x:c>
      <x:c r="N238" s="15" t="str">
        <x:v>Must Do</x:v>
      </x:c>
      <x:c r="O238" s="15" t="str">
        <x:v>Key enabler for network optimization driving ~€10M+ net P&amp;L impact.</x:v>
      </x:c>
      <x:c r="P238" s="15" t="str">
        <x:v>Entrepreneur split - Split of SAP MBP Best factory from the Entrepreneur organization; future-factory blueprint.</x:v>
      </x:c>
      <x:c r="Q238" s="15" t="str">
        <x:v>Entrepreneur split - Split of SAP MBP Best factory from the Entrepreneur organization; future-factory blueprint.</x:v>
      </x:c>
      <x:c r="R238" s="15" t="str"/>
      <x:c r="S238" s="15" t="str">
        <x:v>HEALTHY</x:v>
      </x:c>
      <x:c r="T238" s="15" t="str">
        <x:v>HEALTHY / MUST-DO — P1 — Immediate</x:v>
      </x:c>
    </x:row>
    <x:row r="239">
      <x:c r="A239" s="15" t="str">
        <x:v>Bu-62</x:v>
      </x:c>
      <x:c r="B239" s="15" t="str">
        <x:v>Bu-62</x:v>
      </x:c>
      <x:c r="C239" s="15" t="str"/>
      <x:c r="D239" s="15" t="str">
        <x:v>Bu</x:v>
      </x:c>
      <x:c r="E239" s="15" t="n">
        <x:v>135</x:v>
      </x:c>
      <x:c r="F239" s="15" t="str">
        <x:v>BU Led</x:v>
      </x:c>
      <x:c r="G239" s="15" t="str"/>
      <x:c r="H239" s="15" t="str"/>
      <x:c r="I239" s="15" t="str"/>
      <x:c r="J239" s="15" t="str"/>
      <x:c r="K239" s="15" t="str"/>
      <x:c r="L239" s="19" t="n">
        <x:v>0</x:v>
      </x:c>
      <x:c r="M239" s="19"/>
      <x:c r="N239" s="15" t="str"/>
      <x:c r="O239" s="15" t="str"/>
      <x:c r="P239" s="15" t="str"/>
      <x:c r="Q239" s="15" t="str"/>
      <x:c r="R239" s="15" t="str"/>
      <x:c r="S239" s="15" t="str"/>
      <x:c r="T239" s="15" t="str"/>
    </x:row>
    <x:row r="240">
      <x:c r="A240" s="15" t="str">
        <x:v>Bu-63</x:v>
      </x:c>
      <x:c r="B240" s="15" t="str">
        <x:v>Bu-63</x:v>
      </x:c>
      <x:c r="C240" s="15" t="str"/>
      <x:c r="D240" s="15" t="str">
        <x:v>Bu</x:v>
      </x:c>
      <x:c r="E240" s="15" t="n">
        <x:v>136</x:v>
      </x:c>
      <x:c r="F240" s="15" t="str">
        <x:v>BU Led</x:v>
      </x:c>
      <x:c r="G240" s="15" t="str">
        <x:v>Image Guided Therapy - Systems (IGT-S)</x:v>
      </x:c>
      <x:c r="H240" s="15" t="str">
        <x:v>Commercial Intelligence &amp; CRM KOL Management tool</x:v>
      </x:c>
      <x:c r="I240" s="15" t="str">
        <x:v>New Initiative</x:v>
      </x:c>
      <x:c r="J240" s="15" t="str">
        <x:v>New Feature</x:v>
      </x:c>
      <x:c r="K240" s="15" t="str">
        <x:v>Commercial IT</x:v>
      </x:c>
      <x:c r="L240" s="19" t="n">
        <x:v>0.55</x:v>
      </x:c>
      <x:c r="M240" s="19" t="n">
        <x:v>9.6</x:v>
      </x:c>
      <x:c r="N240" s="15" t="str">
        <x:v>Must Do</x:v>
      </x:c>
      <x:c r="O240" s="15" t="str">
        <x:v>Reduced visibility of growth opportunities, deterioration in forecasting accuracy and commercial decision-making, leading to slower productivity improvements and delayed realization of growth ambitions.</x:v>
      </x:c>
      <x:c r="P240" s="15" t="str">
        <x:v>1) Improve win rate in competition IB sockets and new sockets</x:v>
      </x:c>
      <x:c r="Q240" s="15" t="str">
        <x:v>CRM KOL Management Tool integrated with SFDC and 1. SFDC ACE evolution, 2. Continuous improvements of Learning App, 3. KLUE Tool, integrated with SFDC, 4. Customer visit meeting notes to structured data, 5. LMS integration - customer and sales education (Docebo - new LMS, replacing Totara for all eduction)</x:v>
      </x:c>
      <x:c r="R240" s="15" t="str"/>
      <x:c r="S240" s="15" t="str"/>
      <x:c r="T240" s="15" t="str"/>
    </x:row>
    <x:row r="241">
      <x:c r="A241" s="15" t="str">
        <x:v>Bu-64</x:v>
      </x:c>
      <x:c r="B241" s="15" t="str">
        <x:v>Bu-64</x:v>
      </x:c>
      <x:c r="C241" s="15" t="str"/>
      <x:c r="D241" s="15" t="str">
        <x:v>Bu</x:v>
      </x:c>
      <x:c r="E241" s="15" t="n">
        <x:v>138</x:v>
      </x:c>
      <x:c r="F241" s="15" t="str">
        <x:v>BU Led</x:v>
      </x:c>
      <x:c r="G241" s="15" t="str"/>
      <x:c r="H241" s="15" t="str"/>
      <x:c r="I241" s="15" t="str"/>
      <x:c r="J241" s="15" t="str"/>
      <x:c r="K241" s="15" t="str"/>
      <x:c r="L241" s="19" t="n">
        <x:v>0</x:v>
      </x:c>
      <x:c r="M241" s="19"/>
      <x:c r="N241" s="15" t="str"/>
      <x:c r="O241" s="15" t="str"/>
      <x:c r="P241" s="15" t="str"/>
      <x:c r="Q241" s="15" t="str"/>
      <x:c r="R241" s="15" t="str"/>
      <x:c r="S241" s="15" t="str"/>
      <x:c r="T241" s="15" t="str"/>
    </x:row>
    <x:row r="242">
      <x:c r="A242" s="15" t="str">
        <x:v>Bu-65</x:v>
      </x:c>
      <x:c r="B242" s="15" t="str">
        <x:v>Bu-65</x:v>
      </x:c>
      <x:c r="C242" s="15" t="str"/>
      <x:c r="D242" s="15" t="str">
        <x:v>Bu</x:v>
      </x:c>
      <x:c r="E242" s="15" t="n">
        <x:v>139</x:v>
      </x:c>
      <x:c r="F242" s="15" t="str">
        <x:v>BU Led</x:v>
      </x:c>
      <x:c r="G242" s="15" t="str">
        <x:v>International Regions (IR)</x:v>
      </x:c>
      <x:c r="H242" s="15" t="str">
        <x:v>IR27#18 - Performance Split Automation Step 2</x:v>
      </x:c>
      <x:c r="I242" s="15" t="str">
        <x:v>New Initiative</x:v>
      </x:c>
      <x:c r="J242" s="15" t="str">
        <x:v>Upgrades &amp; Enhancements</x:v>
      </x:c>
      <x:c r="K242" s="15" t="str">
        <x:v>Integrated Supply Chain &amp; Finance</x:v>
      </x:c>
      <x:c r="L242" s="19" t="n">
        <x:v>0.2</x:v>
      </x:c>
      <x:c r="M242" s="19" t="n">
        <x:v>5</x:v>
      </x:c>
      <x:c r="N242" s="15" t="str">
        <x:v>Must Do</x:v>
      </x:c>
      <x:c r="O242" s="15" t="str">
        <x:v>Semi-automated Performance split process is not sufficiently “guiding” the organization and is leading to potential errors in Quoting, OM, CPM, Services and finance resulting in</x:v>
      </x:c>
      <x:c r="P242" s="15" t="str">
        <x:v>High manual work introduced by PerfSplit involves risks in critical audit scope (a.o. revenue recognition)</x:v>
      </x:c>
      <x:c r="Q242" s="15" t="str">
        <x:v>IR, NAR, GCR &amp; DI, IGTS, HPM, ULS; E2E NPI 2Service.</x:v>
      </x:c>
      <x:c r="R242" s="15" t="str"/>
      <x:c r="S242" s="15" t="str">
        <x:v>HEALTHY</x:v>
      </x:c>
      <x:c r="T242" s="15" t="str">
        <x:v>HEALTHY — Rank in priority matrix</x:v>
      </x:c>
    </x:row>
    <x:row r="243">
      <x:c r="A243" s="15" t="str">
        <x:v>Bu-66</x:v>
      </x:c>
      <x:c r="B243" s="15" t="str">
        <x:v>Bu-66</x:v>
      </x:c>
      <x:c r="C243" s="15" t="str"/>
      <x:c r="D243" s="15" t="str">
        <x:v>Bu</x:v>
      </x:c>
      <x:c r="E243" s="15" t="n">
        <x:v>144</x:v>
      </x:c>
      <x:c r="F243" s="15" t="str">
        <x:v>BU Led</x:v>
      </x:c>
      <x:c r="G243" s="15" t="str">
        <x:v>International Regions (IR)</x:v>
      </x:c>
      <x:c r="H243" s="15" t="str">
        <x:v>IR27#21 - AI in Commercial Excellence</x:v>
      </x:c>
      <x:c r="I243" s="15" t="str">
        <x:v>New Initiative</x:v>
      </x:c>
      <x:c r="J243" s="15" t="str">
        <x:v>New Feature</x:v>
      </x:c>
      <x:c r="K243" s="15" t="str">
        <x:v>Commercial IT</x:v>
      </x:c>
      <x:c r="L243" s="19" t="n">
        <x:v>0.95</x:v>
      </x:c>
      <x:c r="M243" s="19" t="n">
        <x:v>735</x:v>
      </x:c>
      <x:c r="N243" s="15" t="str">
        <x:v>Must Do</x:v>
      </x:c>
      <x:c r="O243" s="15" t="str">
        <x:v>Without funding: AI pilots remain local and non-scalable, leaving sellers with 3–5 disconnected tools, duplicated effort and inconsistent data.</x:v>
      </x:c>
      <x:c r="P243" s="15" t="str">
        <x:v>Drive profitable growth by efficiency in sales team: faster execution, better information, more customer focus</x:v>
      </x:c>
      <x:c r="Q243" s="15" t="str">
        <x:v>All HS Bus, IT systems along the commercial process. Exploration, piloting and scaling of solutions with proven value creation, collaboration with IT platforms to achieve this.</x:v>
      </x:c>
      <x:c r="R243" s="15" t="str"/>
      <x:c r="S243" s="15" t="str">
        <x:v>HEALTHY</x:v>
      </x:c>
      <x:c r="T243" s="15" t="str">
        <x:v>HEALTHY — Rank in priority matrix</x:v>
      </x:c>
    </x:row>
    <x:row r="244">
      <x:c r="A244" s="15" t="str">
        <x:v>Bu-67</x:v>
      </x:c>
      <x:c r="B244" s="15" t="str">
        <x:v>Bu-67</x:v>
      </x:c>
      <x:c r="C244" s="15" t="str"/>
      <x:c r="D244" s="15" t="str">
        <x:v>Bu</x:v>
      </x:c>
      <x:c r="E244" s="15" t="n">
        <x:v>151</x:v>
      </x:c>
      <x:c r="F244" s="15" t="str">
        <x:v>BU Led</x:v>
      </x:c>
      <x:c r="G244" s="15" t="str">
        <x:v>International Regions (IR)</x:v>
      </x:c>
      <x:c r="H244" s="15" t="str">
        <x:v>IR27#22 - Sales Incentives Auto-Credit</x:v>
      </x:c>
      <x:c r="I244" s="15" t="str">
        <x:v>New Initiative</x:v>
      </x:c>
      <x:c r="J244" s="15" t="str">
        <x:v>New Feature</x:v>
      </x:c>
      <x:c r="K244" s="15" t="str">
        <x:v>Commercial IT</x:v>
      </x:c>
      <x:c r="L244" s="19" t="n">
        <x:v>0.25</x:v>
      </x:c>
      <x:c r="M244" s="19" t="n">
        <x:v>9</x:v>
      </x:c>
      <x:c r="N244" s="15" t="str">
        <x:v>Must Have</x:v>
      </x:c>
      <x:c r="O244" s="15" t="str">
        <x:v>Without funding, crediting stays manual in every zone. Workaround: continue spreadsheet crediting with added Sales Excellence/HR effort – capacity that cannot be redeployed to growth work.</x:v>
      </x:c>
      <x:c r="P244" s="15" t="str">
        <x:v>Sales Incentives remains a heavily manual (error prone) process. Anaplan is a foundation but not leveraged to automate main workload yet.</x:v>
      </x:c>
      <x:c r="Q244" s="15" t="str">
        <x:v>Sales incentives process and involved executing roles across IR, possible leverage for NAR/GCR depending on how they utilize the system. All BUs involved, while focus on HS.</x:v>
      </x:c>
      <x:c r="R244" s="15" t="str"/>
      <x:c r="S244" s="15" t="str">
        <x:v>HEALTHY</x:v>
      </x:c>
      <x:c r="T244" s="15" t="str">
        <x:v>HEALTHY — Rank in priority matrix</x:v>
      </x:c>
    </x:row>
    <x:row r="245">
      <x:c r="A245" s="15" t="str">
        <x:v>Bu-68</x:v>
      </x:c>
      <x:c r="B245" s="15" t="str">
        <x:v>Bu-68</x:v>
      </x:c>
      <x:c r="C245" s="15" t="str"/>
      <x:c r="D245" s="15" t="str">
        <x:v>Bu</x:v>
      </x:c>
      <x:c r="E245" s="15" t="n">
        <x:v>156</x:v>
      </x:c>
      <x:c r="F245" s="15" t="str">
        <x:v>BU Led</x:v>
      </x:c>
      <x:c r="G245" s="15" t="str">
        <x:v>International Regions (IR)</x:v>
      </x:c>
      <x:c r="H245" s="15" t="str">
        <x:v>IR27#23 - Sales Deals compliance</x:v>
      </x:c>
      <x:c r="I245" s="15" t="str">
        <x:v>New Initiative</x:v>
      </x:c>
      <x:c r="J245" s="15" t="str">
        <x:v>Legal Fiscal, Regulatory &amp; Compliancy</x:v>
      </x:c>
      <x:c r="K245" s="15" t="str">
        <x:v>Commercial IT</x:v>
      </x:c>
      <x:c r="L245" s="19" t="n">
        <x:v>0.1</x:v>
      </x:c>
      <x:c r="M245" s="19" t="n">
        <x:v>2500</x:v>
      </x:c>
      <x:c r="N245" s="15" t="str">
        <x:v>Must Do</x:v>
      </x:c>
      <x:c r="O245" s="15" t="str">
        <x:v>[ANTICIPATED EXTERNAL AUDIT ISSUE]</x:v>
      </x:c>
      <x:c r="P245" s="15" t="str">
        <x:v>Sales deals are not well controlable manually and we would expect external audit to raise this as a concern on next occasion (rather not wait for it).</x:v>
      </x:c>
      <x:c r="Q245" s="15" t="str">
        <x:v>all HS BUss for Sales Deals, all IR</x:v>
      </x:c>
      <x:c r="R245" s="15" t="str"/>
      <x:c r="S245" s="15" t="str">
        <x:v>HEALTHY</x:v>
      </x:c>
      <x:c r="T245" s="15" t="str">
        <x:v>HEALTHY — Rank in priority matrix</x:v>
      </x:c>
    </x:row>
    <x:row r="246">
      <x:c r="A246" s="15" t="str">
        <x:v>Bu-69</x:v>
      </x:c>
      <x:c r="B246" s="15" t="str">
        <x:v>Bu-69</x:v>
      </x:c>
      <x:c r="C246" s="15" t="str"/>
      <x:c r="D246" s="15" t="str">
        <x:v>Bu</x:v>
      </x:c>
      <x:c r="E246" s="15" t="n">
        <x:v>162</x:v>
      </x:c>
      <x:c r="F246" s="15" t="str">
        <x:v>BU Led</x:v>
      </x:c>
      <x:c r="G246" s="15" t="str">
        <x:v>International Regions (IR)</x:v>
      </x:c>
      <x:c r="H246" s="15" t="str">
        <x:v>IR27#31 - Partner Central: Democratize Action to Allow Scale</x:v>
      </x:c>
      <x:c r="I246" s="15" t="str">
        <x:v>New Initiative</x:v>
      </x:c>
      <x:c r="J246" s="15" t="str">
        <x:v>New Feature</x:v>
      </x:c>
      <x:c r="K246" s="15" t="str">
        <x:v>Innovation and Digital IT</x:v>
      </x:c>
      <x:c r="L246" s="19" t="n">
        <x:v>0.39</x:v>
      </x:c>
      <x:c r="M246" s="19" t="n">
        <x:v>5.6</x:v>
      </x:c>
      <x:c r="N246" s="15" t="str">
        <x:v>Must Do</x:v>
      </x:c>
      <x:c r="O246" s="15" t="str">
        <x:v>• €5.6M opportunity remains dependent on manual, centralized execution</x:v>
      </x:c>
      <x:c r="P246" s="15" t="str">
        <x:v>Partner team is at limit with central management of all BU / Partner context, cannot scale Partner Business further and need to organize for more shared actions.</x:v>
      </x:c>
      <x:c r="Q246" s="15" t="str">
        <x:v>Channel Partner business IR / all HS BUs</x:v>
      </x:c>
      <x:c r="R246" s="15" t="str"/>
      <x:c r="S246" s="15" t="str"/>
      <x:c r="T246" s="15" t="str"/>
    </x:row>
    <x:row r="247">
      <x:c r="A247" s="15" t="str">
        <x:v>Bu-70</x:v>
      </x:c>
      <x:c r="B247" s="15" t="str">
        <x:v>Bu-70</x:v>
      </x:c>
      <x:c r="C247" s="15" t="str"/>
      <x:c r="D247" s="15" t="str">
        <x:v>Bu</x:v>
      </x:c>
      <x:c r="E247" s="15" t="n">
        <x:v>167</x:v>
      </x:c>
      <x:c r="F247" s="15" t="str">
        <x:v>BU Led</x:v>
      </x:c>
      <x:c r="G247" s="15" t="str">
        <x:v>International Regions (IR)</x:v>
      </x:c>
      <x:c r="H247" s="15" t="str">
        <x:v>IR27#32 - Partner Journeys to Drive Value Extraction</x:v>
      </x:c>
      <x:c r="I247" s="15" t="str">
        <x:v>New Initiative</x:v>
      </x:c>
      <x:c r="J247" s="15" t="str">
        <x:v>New Feature</x:v>
      </x:c>
      <x:c r="K247" s="15" t="str">
        <x:v>Innovation and Digital IT</x:v>
      </x:c>
      <x:c r="L247" s="19" t="n">
        <x:v>0.27</x:v>
      </x:c>
      <x:c r="M247" s="19" t="n">
        <x:v>11.3</x:v>
      </x:c>
      <x:c r="N247" s="15" t="str">
        <x:v>Must Do</x:v>
      </x:c>
      <x:c r="O247" s="15" t="str">
        <x:v>Baseline traffic and existing campaigns continue without new IT</x:v>
      </x:c>
      <x:c r="P247" s="15" t="str">
        <x:v>Ease of use and also proactive nudging of partners enables further business opportunities for them and hence Philips</x:v>
      </x:c>
      <x:c r="Q247" s="15" t="str">
        <x:v>Channel Partner business IR / all HS BUs</x:v>
      </x:c>
      <x:c r="R247" s="15" t="str"/>
      <x:c r="S247" s="15" t="str"/>
      <x:c r="T247" s="15" t="str"/>
    </x:row>
    <x:row r="248">
      <x:c r="A248" s="15" t="str">
        <x:v>Bu-71</x:v>
      </x:c>
      <x:c r="B248" s="15" t="str">
        <x:v>Bu-71</x:v>
      </x:c>
      <x:c r="C248" s="15" t="str"/>
      <x:c r="D248" s="15" t="str">
        <x:v>Bu</x:v>
      </x:c>
      <x:c r="E248" s="15" t="n">
        <x:v>171</x:v>
      </x:c>
      <x:c r="F248" s="15" t="str">
        <x:v>BU Led</x:v>
      </x:c>
      <x:c r="G248" s="15" t="str">
        <x:v>International Regions (IR)</x:v>
      </x:c>
      <x:c r="H248" s="15" t="str">
        <x:v>IR27#33 - Partner Data towards Commercial Action</x:v>
      </x:c>
      <x:c r="I248" s="15" t="str">
        <x:v>New Initiative</x:v>
      </x:c>
      <x:c r="J248" s="15" t="str">
        <x:v>New Feature</x:v>
      </x:c>
      <x:c r="K248" s="15" t="str">
        <x:v>Innovation and Digital IT</x:v>
      </x:c>
      <x:c r="L248" s="19" t="n">
        <x:v>0.14</x:v>
      </x:c>
      <x:c r="M248" s="19" t="n">
        <x:v>11.9</x:v>
      </x:c>
      <x:c r="N248" s="15" t="str">
        <x:v>Must Do</x:v>
      </x:c>
      <x:c r="O248" s="15" t="str">
        <x:v>Existing reports and local analysis continue without new IT</x:v>
      </x:c>
      <x:c r="P248" s="15" t="str">
        <x:v>Leverage of data as information for commercial decision making allows further growth, also tuned towards Channel Partner needs</x:v>
      </x:c>
      <x:c r="Q248" s="15" t="str">
        <x:v>Channel Partner business IR / all HS BUs</x:v>
      </x:c>
      <x:c r="R248" s="15" t="str"/>
      <x:c r="S248" s="15" t="str"/>
      <x:c r="T248" s="15" t="str"/>
    </x:row>
    <x:row r="249">
      <x:c r="A249" s="15" t="str">
        <x:v>Bu-72</x:v>
      </x:c>
      <x:c r="B249" s="15" t="str">
        <x:v>Bu-72</x:v>
      </x:c>
      <x:c r="C249" s="15" t="str"/>
      <x:c r="D249" s="15" t="str">
        <x:v>Bu</x:v>
      </x:c>
      <x:c r="E249" s="15" t="n">
        <x:v>175</x:v>
      </x:c>
      <x:c r="F249" s="15" t="str">
        <x:v>BU Led</x:v>
      </x:c>
      <x:c r="G249" s="15" t="str">
        <x:v>International Regions (IR)</x:v>
      </x:c>
      <x:c r="H249" s="15" t="str">
        <x:v>IR27#34 - Partner Central Consistency While Scaling</x:v>
      </x:c>
      <x:c r="I249" s="15" t="str">
        <x:v>New Initiative</x:v>
      </x:c>
      <x:c r="J249" s="15" t="str">
        <x:v>Upgrades &amp; Enhancements</x:v>
      </x:c>
      <x:c r="K249" s="15" t="str">
        <x:v>Innovation and Digital IT</x:v>
      </x:c>
      <x:c r="L249" s="19" t="n">
        <x:v>0.14</x:v>
      </x:c>
      <x:c r="M249" s="19" t="n">
        <x:v>4.4</x:v>
      </x:c>
      <x:c r="N249" s="15" t="str">
        <x:v>Must Do</x:v>
      </x:c>
      <x:c r="O249" s="15" t="str">
        <x:v>Existing manual controls continue without new IT investment</x:v>
      </x:c>
      <x:c r="P249" s="15" t="str">
        <x:v>Current environment is too much tuned to 'all or nothing' and needs revision for a more tailored access by partners, but also Philips roles</x:v>
      </x:c>
      <x:c r="Q249" s="15" t="str">
        <x:v>Channel Partner business IR / all HS BUs</x:v>
      </x:c>
      <x:c r="R249" s="15" t="str"/>
      <x:c r="S249" s="15" t="str"/>
      <x:c r="T249" s="15" t="str"/>
    </x:row>
    <x:row r="250">
      <x:c r="A250" s="15" t="str">
        <x:v>Bu-73</x:v>
      </x:c>
      <x:c r="B250" s="15" t="str">
        <x:v>Bu-73</x:v>
      </x:c>
      <x:c r="C250" s="15" t="str"/>
      <x:c r="D250" s="15" t="str">
        <x:v>Bu</x:v>
      </x:c>
      <x:c r="E250" s="15" t="n">
        <x:v>179</x:v>
      </x:c>
      <x:c r="F250" s="15" t="str">
        <x:v>BU Led</x:v>
      </x:c>
      <x:c r="G250" s="15" t="str">
        <x:v>International Regions (IR)</x:v>
      </x:c>
      <x:c r="H250" s="15" t="str">
        <x:v>IR27#35 - Partner: Scale Impact with Agile Publishing</x:v>
      </x:c>
      <x:c r="I250" s="15" t="str">
        <x:v>New Initiative</x:v>
      </x:c>
      <x:c r="J250" s="15" t="str">
        <x:v>New Feature</x:v>
      </x:c>
      <x:c r="K250" s="15" t="str">
        <x:v>Innovation and Digital IT</x:v>
      </x:c>
      <x:c r="L250" s="19" t="n">
        <x:v>0.05</x:v>
      </x:c>
      <x:c r="M250" s="19" t="n">
        <x:v>5.6</x:v>
      </x:c>
      <x:c r="N250" s="15" t="str">
        <x:v>Must Do</x:v>
      </x:c>
      <x:c r="O250" s="15" t="str">
        <x:v>Existing content and campaigns continue without new IT investment</x:v>
      </x:c>
      <x:c r="P250" s="15" t="str">
        <x:v>Marketing content from BUs currently routed via Partner team (congests pipeline of work), delayed execution and more interfaces.</x:v>
      </x:c>
      <x:c r="Q250" s="15" t="str">
        <x:v>Channel Partner business IR / all HS BUs</x:v>
      </x:c>
      <x:c r="R250" s="15" t="str"/>
      <x:c r="S250" s="15" t="str"/>
      <x:c r="T250" s="15" t="str"/>
    </x:row>
    <x:row r="251">
      <x:c r="A251" s="15" t="str">
        <x:v>Bu-74</x:v>
      </x:c>
      <x:c r="B251" s="15" t="str">
        <x:v>Bu-74</x:v>
      </x:c>
      <x:c r="C251" s="15" t="str"/>
      <x:c r="D251" s="15" t="str">
        <x:v>Bu</x:v>
      </x:c>
      <x:c r="E251" s="15" t="n">
        <x:v>183</x:v>
      </x:c>
      <x:c r="F251" s="15" t="str">
        <x:v>BU Led</x:v>
      </x:c>
      <x:c r="G251" s="15" t="str">
        <x:v>International Regions (IR)</x:v>
      </x:c>
      <x:c r="H251" s="15" t="str">
        <x:v>IR27#43 - D2B Configurable Product Mgt</x:v>
      </x:c>
      <x:c r="I251" s="15" t="str">
        <x:v>Change &amp; Sustain</x:v>
      </x:c>
      <x:c r="J251" s="15" t="str">
        <x:v>Upgrades &amp; Enhancements</x:v>
      </x:c>
      <x:c r="K251" s="15" t="str">
        <x:v>Innovation and Digital IT</x:v>
      </x:c>
      <x:c r="L251" s="19" t="n">
        <x:v>0.08</x:v>
      </x:c>
      <x:c r="M251" s="19" t="n">
        <x:v>5.95</x:v>
      </x:c>
      <x:c r="N251" s="15" t="str">
        <x:v>Must Have</x:v>
      </x:c>
      <x:c r="O251" s="15" t="str">
        <x:v>Business continuity challenge. All the 6NC products which are enabled with Configit are generating approx. 8M EUR revenue yearly on Hybris e-Store. Missing an opportunity to potentially grow the revenue via this channel by 1.4M EUR.</x:v>
      </x:c>
      <x:c r="P251" s="15" t="str">
        <x:v>eStore volume stagnates with opportunity on low-config items. Prepare and scale.</x:v>
      </x:c>
      <x:c r="Q251" s="15" t="str">
        <x:v>Focus on Europe with BUs HPM &amp; ULS</x:v>
      </x:c>
      <x:c r="R251" s="15" t="str"/>
      <x:c r="S251" s="15" t="str"/>
      <x:c r="T251" s="15" t="str"/>
    </x:row>
    <x:row r="252">
      <x:c r="A252" s="15" t="str">
        <x:v>Bu-75</x:v>
      </x:c>
      <x:c r="B252" s="15" t="str">
        <x:v>Bu-75</x:v>
      </x:c>
      <x:c r="C252" s="15" t="str"/>
      <x:c r="D252" s="15" t="str">
        <x:v>Bu</x:v>
      </x:c>
      <x:c r="E252" s="15" t="n">
        <x:v>184</x:v>
      </x:c>
      <x:c r="F252" s="15" t="str">
        <x:v>BU Led</x:v>
      </x:c>
      <x:c r="G252" s="15" t="str">
        <x:v>International Regions (IR)</x:v>
      </x:c>
      <x:c r="H252" s="15" t="str">
        <x:v>IR27#44 - EDI Continuous Improvement incl BNL Peppol Orders</x:v>
      </x:c>
      <x:c r="I252" s="15" t="str">
        <x:v>Change &amp; Sustain</x:v>
      </x:c>
      <x:c r="J252" s="15" t="str">
        <x:v>Continous Improvement</x:v>
      </x:c>
      <x:c r="K252" s="15" t="str">
        <x:v>Innovation and Digital IT</x:v>
      </x:c>
      <x:c r="L252" s="19" t="n">
        <x:v>0.078</x:v>
      </x:c>
      <x:c r="M252" s="19" t="n">
        <x:v>2.25</x:v>
      </x:c>
      <x:c r="N252" s="15" t="str">
        <x:v>Must Do</x:v>
      </x:c>
      <x:c r="O252" s="15" t="str">
        <x:v>BNL OIT risk (500K p.a).</x:v>
      </x:c>
      <x:c r="P252" s="15" t="str">
        <x:v>EDI is an established standard but requires tweaks of existing connections and sometimes new connections as preconditions in tenders / for contracts. I.e. Peppol Orders required in BNL by 4 customers now</x:v>
      </x:c>
      <x:c r="Q252" s="15" t="str">
        <x:v>Mainly HPM / IGTD, across IR</x:v>
      </x:c>
      <x:c r="R252" s="15" t="str"/>
      <x:c r="S252" s="15" t="str"/>
      <x:c r="T252" s="15" t="str"/>
    </x:row>
    <x:row r="253">
      <x:c r="A253" s="15" t="str">
        <x:v>Bu-76</x:v>
      </x:c>
      <x:c r="B253" s="15" t="str">
        <x:v>Bu-76</x:v>
      </x:c>
      <x:c r="C253" s="15" t="str"/>
      <x:c r="D253" s="15" t="str">
        <x:v>Bu</x:v>
      </x:c>
      <x:c r="E253" s="15" t="n">
        <x:v>190</x:v>
      </x:c>
      <x:c r="F253" s="15" t="str">
        <x:v>BU Led</x:v>
      </x:c>
      <x:c r="G253" s="15" t="str">
        <x:v>International Regions (IR)</x:v>
      </x:c>
      <x:c r="H253" s="15" t="str">
        <x:v>IR27#60 - Supply Chain Excellence (in fact 3x Type 1: each 50K HPM SE, ULS DK, IGTD Italy) - create 3 lines?</x:v>
      </x:c>
      <x:c r="I253" s="15" t="str">
        <x:v>Change &amp; Sustain</x:v>
      </x:c>
      <x:c r="J253" s="15" t="str">
        <x:v>Upgrades &amp; Enhancements</x:v>
      </x:c>
      <x:c r="K253" s="15" t="str">
        <x:v>Integrated Supply Chain &amp; Finance</x:v>
      </x:c>
      <x:c r="L253" s="19" t="n">
        <x:v>0.15</x:v>
      </x:c>
      <x:c r="M253" s="19" t="n">
        <x:v>128.25</x:v>
      </x:c>
      <x:c r="N253" s="15" t="str">
        <x:v>Must Do</x:v>
      </x:c>
      <x:c r="O253" s="15" t="str">
        <x:v>Loss of revenue due to breach of existing contracts and potential impact to customer decision on future orders for IGTD in Italy.</x:v>
      </x:c>
      <x:c r="P253" s="15" t="str">
        <x:v>3 dedicated small investments by individual BUs:</x:v>
      </x:c>
      <x:c r="Q253" s="15" t="str">
        <x:v>SC twists for designated country/BU needs</x:v>
      </x:c>
      <x:c r="R253" s="15" t="str"/>
      <x:c r="S253" s="15" t="str">
        <x:v>HEALTHY</x:v>
      </x:c>
      <x:c r="T253" s="15" t="str">
        <x:v>HEALTHY — Rank in priority matrix</x:v>
      </x:c>
    </x:row>
    <x:row r="254">
      <x:c r="A254" s="15" t="str">
        <x:v>Bu-77</x:v>
      </x:c>
      <x:c r="B254" s="15" t="str">
        <x:v>Bu-77</x:v>
      </x:c>
      <x:c r="C254" s="15" t="str"/>
      <x:c r="D254" s="15" t="str">
        <x:v>Bu</x:v>
      </x:c>
      <x:c r="E254" s="15" t="n">
        <x:v>195</x:v>
      </x:c>
      <x:c r="F254" s="15" t="str">
        <x:v>BU Led</x:v>
      </x:c>
      <x:c r="G254" s="15" t="str">
        <x:v>International Regions (IR)</x:v>
      </x:c>
      <x:c r="H254" s="15" t="str">
        <x:v>IR27#70 - SC IW&amp;D Excellence</x:v>
      </x:c>
      <x:c r="I254" s="15" t="str">
        <x:v>Change &amp; Sustain</x:v>
      </x:c>
      <x:c r="J254" s="15" t="str">
        <x:v>Upgrades &amp; Enhancements</x:v>
      </x:c>
      <x:c r="K254" s="15" t="str">
        <x:v>Integrated Supply Chain &amp; Finance</x:v>
      </x:c>
      <x:c r="L254" s="19" t="n">
        <x:v>0</x:v>
      </x:c>
      <x:c r="M254" s="19" t="n">
        <x:v>0.585</x:v>
      </x:c>
      <x:c r="N254" s="15" t="str">
        <x:v>Deprioritised</x:v>
      </x:c>
      <x:c r="O254" s="15" t="str">
        <x:v>Current inefficiencies will continue.</x:v>
      </x:c>
      <x:c r="P254" s="15" t="str">
        <x:v>Warehouse operations and information automation where needed most - too much manual work hinders speed, agility &amp; quality.</x:v>
      </x:c>
      <x:c r="Q254" s="15" t="str">
        <x:v>IR scope, all BUs</x:v>
      </x:c>
      <x:c r="R254" s="15" t="str"/>
      <x:c r="S254" s="15" t="str">
        <x:v>HEALTHY</x:v>
      </x:c>
      <x:c r="T254" s="15" t="str">
        <x:v>HEALTHY — Rank in priority matrix</x:v>
      </x:c>
    </x:row>
    <x:row r="255">
      <x:c r="A255" s="15" t="str">
        <x:v>Bu-78</x:v>
      </x:c>
      <x:c r="B255" s="15" t="str">
        <x:v>Bu-78</x:v>
      </x:c>
      <x:c r="C255" s="15" t="str"/>
      <x:c r="D255" s="15" t="str">
        <x:v>Bu</x:v>
      </x:c>
      <x:c r="E255" s="15" t="n">
        <x:v>199</x:v>
      </x:c>
      <x:c r="F255" s="15" t="str">
        <x:v>BU Led</x:v>
      </x:c>
      <x:c r="G255" s="15" t="str">
        <x:v>International Regions (IR)</x:v>
      </x:c>
      <x:c r="H255" s="15" t="str">
        <x:v>(idle)</x:v>
      </x:c>
      <x:c r="I255" s="15" t="str"/>
      <x:c r="J255" s="15" t="str"/>
      <x:c r="K255" s="15" t="str"/>
      <x:c r="L255" s="19" t="n">
        <x:v>0</x:v>
      </x:c>
      <x:c r="M255" s="19"/>
      <x:c r="N255" s="15" t="str">
        <x:v>Deprioritised</x:v>
      </x:c>
      <x:c r="O255" s="15" t="str"/>
      <x:c r="P255" s="15" t="str"/>
      <x:c r="Q255" s="15" t="str"/>
      <x:c r="R255" s="15" t="str"/>
      <x:c r="S255" s="15" t="str"/>
      <x:c r="T255" s="15" t="str"/>
    </x:row>
    <x:row r="256">
      <x:c r="A256" s="15" t="str">
        <x:v>Bu-79</x:v>
      </x:c>
      <x:c r="B256" s="15" t="str">
        <x:v>Bu-79</x:v>
      </x:c>
      <x:c r="C256" s="15" t="str"/>
      <x:c r="D256" s="15" t="str">
        <x:v>Bu</x:v>
      </x:c>
      <x:c r="E256" s="15" t="n">
        <x:v>200</x:v>
      </x:c>
      <x:c r="F256" s="15" t="str">
        <x:v>BU Led</x:v>
      </x:c>
      <x:c r="G256" s="15" t="str">
        <x:v>International Regions (IR)</x:v>
      </x:c>
      <x:c r="H256" s="15" t="str">
        <x:v>IR27#14 - ORU KSA APM 'Kafu'</x:v>
      </x:c>
      <x:c r="I256" s="15" t="str">
        <x:v>New Initiative</x:v>
      </x:c>
      <x:c r="J256" s="15" t="str">
        <x:v>New Feature</x:v>
      </x:c>
      <x:c r="K256" s="15" t="str">
        <x:v>Integrated Supply Chain &amp; Finance</x:v>
      </x:c>
      <x:c r="L256" s="19" t="n">
        <x:v>0.15</x:v>
      </x:c>
      <x:c r="M256" s="19" t="n">
        <x:v>60</x:v>
      </x:c>
      <x:c r="N256" s="15" t="str">
        <x:v>Must Do</x:v>
      </x:c>
      <x:c r="O256" s="15" t="str">
        <x:v>IT system is need to fully utilize the value of the new initiative.</x:v>
      </x:c>
      <x:c r="P256" s="15" t="str">
        <x:v>KSA market with strong growth opportunity ('big bet'), precondition for govt attention is local engagement and most suitable is spare parts based presence, possibly also covering competition parts. Opportunity window is closing (competition).</x:v>
      </x:c>
      <x:c r="Q256" s="15" t="str">
        <x:v>Imaging, IGTS, ULS; for KSA &amp; potenbtially the closer region</x:v>
      </x:c>
      <x:c r="R256" s="15" t="str"/>
      <x:c r="S256" s="15" t="str">
        <x:v>HEALTHY</x:v>
      </x:c>
      <x:c r="T256" s="15" t="str">
        <x:v>HEALTHY — Rank in priority matrix</x:v>
      </x:c>
    </x:row>
    <x:row r="257">
      <x:c r="A257" s="15" t="str">
        <x:v>Bu-80</x:v>
      </x:c>
      <x:c r="B257" s="15" t="str">
        <x:v>Bu-80</x:v>
      </x:c>
      <x:c r="C257" s="15" t="str"/>
      <x:c r="D257" s="15" t="str">
        <x:v>Bu</x:v>
      </x:c>
      <x:c r="E257" s="15" t="n">
        <x:v>204</x:v>
      </x:c>
      <x:c r="F257" s="15" t="str">
        <x:v>BU Led</x:v>
      </x:c>
      <x:c r="G257" s="15" t="str">
        <x:v>International Regions (IR)</x:v>
      </x:c>
      <x:c r="H257" s="15" t="str">
        <x:v>IR27#15 - ORU extension requirement (too early to submit/judge, ballpark 500K, Exco discussion proceeding)</x:v>
      </x:c>
      <x:c r="I257" s="15" t="str">
        <x:v>New Initiative</x:v>
      </x:c>
      <x:c r="J257" s="15" t="str">
        <x:v>New Feature</x:v>
      </x:c>
      <x:c r="K257" s="15" t="str">
        <x:v>Integrated Supply Chain &amp; Finance</x:v>
      </x:c>
      <x:c r="L257" s="19" t="n">
        <x:v>0</x:v>
      </x:c>
      <x:c r="M257" s="19"/>
      <x:c r="N257" s="15" t="str">
        <x:v>Deprioritised</x:v>
      </x:c>
      <x:c r="O257" s="15" t="str">
        <x:v>t.b.d</x:v>
      </x:c>
      <x:c r="P257" s="15" t="str">
        <x:v>India market with steep growth opportunity ('big bet'), but partial mismatch with Philips portfolio (low pricing). Unlock with local upstream footprint (details tbd). Opportunity window is closing (competition).</x:v>
      </x:c>
      <x:c r="Q257" s="15" t="str">
        <x:v>India only; CT/MR, then IGTS, then possibly HPM</x:v>
      </x:c>
      <x:c r="R257" s="15" t="str"/>
      <x:c r="S257" s="15" t="str">
        <x:v>HEALTHY</x:v>
      </x:c>
      <x:c r="T257" s="15" t="str">
        <x:v>HEALTHY — Rank in priority matrix</x:v>
      </x:c>
    </x:row>
    <x:row r="258">
      <x:c r="A258" s="15" t="str">
        <x:v>Bu-81</x:v>
      </x:c>
      <x:c r="B258" s="15" t="str">
        <x:v>Bu-81</x:v>
      </x:c>
      <x:c r="C258" s="15" t="str"/>
      <x:c r="D258" s="15" t="str">
        <x:v>Bu</x:v>
      </x:c>
      <x:c r="E258" s="15" t="n">
        <x:v>205</x:v>
      </x:c>
      <x:c r="F258" s="15" t="str">
        <x:v>BU Led</x:v>
      </x:c>
      <x:c r="G258" s="15" t="str">
        <x:v>Image Guided Therapy - Systems (IGT-S)</x:v>
      </x:c>
      <x:c r="H258" s="15" t="str">
        <x:v>Data Analytics &amp; IB Fix2Perform</x:v>
      </x:c>
      <x:c r="I258" s="15" t="str">
        <x:v>Carry Over</x:v>
      </x:c>
      <x:c r="J258" s="15" t="str">
        <x:v>New Feature</x:v>
      </x:c>
      <x:c r="K258" s="15" t="str">
        <x:v>Enterprise Architecture, Data &amp; Integration</x:v>
      </x:c>
      <x:c r="L258" s="19" t="n">
        <x:v>0.85</x:v>
      </x:c>
      <x:c r="M258" s="19" t="n">
        <x:v>10.3</x:v>
      </x:c>
      <x:c r="N258" s="15" t="str">
        <x:v>Must Do</x:v>
      </x:c>
      <x:c r="O258" s="15" t="str">
        <x:v>Forego ~€8.5M annual quality and operational cost improvements and delay deployment of enabling quality analytics and Fix2Perform capabilities.Unnecessary FSE visits for FCO due to incorrect UAL (€1.8M reduction on ~€40M annual cost)</x:v>
      </x:c>
      <x:c r="P258" s="15" t="str">
        <x:v>Updates to data analytics solutions &amp; workbench AI</x:v>
      </x:c>
      <x:c r="Q258" s="15" t="str">
        <x:v>1. New (mandatory) KPIs require new data elements. In 2026 we needed to start reporting on Defects and Customer Feedback. In 2027, integration of OneEMS, Taiwan and HK D365 in a single Service CDM</x:v>
      </x:c>
      <x:c r="R258" s="15" t="str"/>
      <x:c r="S258" s="15" t="str">
        <x:v>HEALTHY</x:v>
      </x:c>
      <x:c r="T258" s="15" t="str">
        <x:v>HEALTHY — Rank in priority matrix</x:v>
      </x:c>
    </x:row>
    <x:row r="259">
      <x:c r="A259" s="15" t="str">
        <x:v>Bu-82</x:v>
      </x:c>
      <x:c r="B259" s="15" t="str">
        <x:v>Bu-82</x:v>
      </x:c>
      <x:c r="C259" s="15" t="str"/>
      <x:c r="D259" s="15" t="str">
        <x:v>Bu</x:v>
      </x:c>
      <x:c r="E259" s="15" t="n">
        <x:v>214</x:v>
      </x:c>
      <x:c r="F259" s="15" t="str">
        <x:v>BU Led</x:v>
      </x:c>
      <x:c r="G259" s="15" t="str">
        <x:v>Image Guided Therapy - Systems (IGT-S)</x:v>
      </x:c>
      <x:c r="H259" s="15" t="str">
        <x:v>IGTS AI 2027</x:v>
      </x:c>
      <x:c r="I259" s="15" t="str">
        <x:v>Carry Over</x:v>
      </x:c>
      <x:c r="J259" s="15" t="str">
        <x:v>New Feature</x:v>
      </x:c>
      <x:c r="K259" s="15" t="str">
        <x:v>Enterprise Architecture, Data &amp; Integration</x:v>
      </x:c>
      <x:c r="L259" s="19" t="n">
        <x:v>2.468</x:v>
      </x:c>
      <x:c r="M259" s="19" t="n">
        <x:v>42</x:v>
      </x:c>
      <x:c r="N259" s="15" t="str">
        <x:v>Must Do</x:v>
      </x:c>
      <x:c r="O259" s="15" t="str">
        <x:v>Without funding, AI transformation outcomes across IGTS will be delayed, slowing productivity gains, innovation, time-to-market improvements and operational reliability, while increasing future execution costs</x:v>
      </x:c>
      <x:c r="P259" s="15" t="str">
        <x:v>AI and Analytics</x:v>
      </x:c>
      <x:c r="Q259" s="15" t="str">
        <x:v>Move Delphi to ATAAP, GenAI hosting, maintaining, new agents, Analytics - new reports, changes, MCP servers, IT architecture support, new data soruces, tables, NPSS</x:v>
      </x:c>
      <x:c r="R259" s="15" t="str"/>
      <x:c r="S259" s="15" t="str">
        <x:v>HEALTHY</x:v>
      </x:c>
      <x:c r="T259" s="15" t="str">
        <x:v>HEALTHY — Rank in priority matrix</x:v>
      </x:c>
    </x:row>
    <x:row r="260">
      <x:c r="A260" s="15" t="str">
        <x:v>Bu-83</x:v>
      </x:c>
      <x:c r="B260" s="15" t="str">
        <x:v>Bu-83</x:v>
      </x:c>
      <x:c r="C260" s="15" t="str">
        <x:v>1007173</x:v>
      </x:c>
      <x:c r="D260" s="15" t="str">
        <x:v>Bu</x:v>
      </x:c>
      <x:c r="E260" s="15" t="n">
        <x:v>215</x:v>
      </x:c>
      <x:c r="F260" s="15" t="str">
        <x:v>BU Led</x:v>
      </x:c>
      <x:c r="G260" s="15" t="str">
        <x:v>Group Innovation &amp; Strategy</x:v>
      </x:c>
      <x:c r="H260" s="15" t="str">
        <x:v>M&amp;A PMI Matrix</x:v>
      </x:c>
      <x:c r="I260" s="15" t="str">
        <x:v>Carry Over</x:v>
      </x:c>
      <x:c r="J260" s="15" t="str"/>
      <x:c r="K260" s="15" t="str">
        <x:v>Mergers, Acquisitions &amp; Divestments</x:v>
      </x:c>
      <x:c r="L260" s="19" t="n">
        <x:v>0.01</x:v>
      </x:c>
      <x:c r="M260" s="19"/>
      <x:c r="N260" s="15" t="str">
        <x:v>Must Do</x:v>
      </x:c>
      <x:c r="O260" s="15" t="str">
        <x:v>M&amp;A</x:v>
      </x:c>
      <x:c r="P260" s="15" t="str"/>
      <x:c r="Q260" s="15" t="str"/>
      <x:c r="R260" s="15" t="str"/>
      <x:c r="S260" s="15" t="str"/>
      <x:c r="T260" s="15" t="str"/>
    </x:row>
    <x:row r="261">
      <x:c r="A261" s="15" t="str">
        <x:v>Bu-84</x:v>
      </x:c>
      <x:c r="B261" s="15" t="str">
        <x:v>Bu-84</x:v>
      </x:c>
      <x:c r="C261" s="15" t="str">
        <x:v>1007294</x:v>
      </x:c>
      <x:c r="D261" s="15" t="str">
        <x:v>Bu</x:v>
      </x:c>
      <x:c r="E261" s="15" t="n">
        <x:v>216</x:v>
      </x:c>
      <x:c r="F261" s="15" t="str">
        <x:v>BU Led</x:v>
      </x:c>
      <x:c r="G261" s="15" t="str">
        <x:v>Image Guided Therapy - Devices (IGT-D)</x:v>
      </x:c>
      <x:c r="H261" s="15" t="str">
        <x:v>M&amp;A PMI Helios</x:v>
      </x:c>
      <x:c r="I261" s="15" t="str">
        <x:v>Carry Over</x:v>
      </x:c>
      <x:c r="J261" s="15" t="str"/>
      <x:c r="K261" s="15" t="str">
        <x:v>Mergers, Acquisitions &amp; Divestments</x:v>
      </x:c>
      <x:c r="L261" s="19" t="n">
        <x:v>3.18</x:v>
      </x:c>
      <x:c r="M261" s="19"/>
      <x:c r="N261" s="15" t="str">
        <x:v>Must Do</x:v>
      </x:c>
      <x:c r="O261" s="15" t="str">
        <x:v>M&amp;A</x:v>
      </x:c>
      <x:c r="P261" s="15" t="str"/>
      <x:c r="Q261" s="15" t="str"/>
      <x:c r="R261" s="15" t="str"/>
      <x:c r="S261" s="15" t="str"/>
      <x:c r="T261" s="15" t="str"/>
    </x:row>
    <x:row r="262">
      <x:c r="A262" s="15" t="str">
        <x:v>Bu-85</x:v>
      </x:c>
      <x:c r="B262" s="15" t="str">
        <x:v>Bu-85</x:v>
      </x:c>
      <x:c r="C262" s="15" t="str">
        <x:v>1007853</x:v>
      </x:c>
      <x:c r="D262" s="15" t="str">
        <x:v>Bu</x:v>
      </x:c>
      <x:c r="E262" s="15" t="n">
        <x:v>217</x:v>
      </x:c>
      <x:c r="F262" s="15" t="str">
        <x:v>BU Led</x:v>
      </x:c>
      <x:c r="G262" s="15" t="str">
        <x:v>Monitoring - HPM (MCH)</x:v>
      </x:c>
      <x:c r="H262" s="15" t="str">
        <x:v>M&amp;A PMI HeartStream</x:v>
      </x:c>
      <x:c r="I262" s="15" t="str">
        <x:v>Carry Over</x:v>
      </x:c>
      <x:c r="J262" s="15" t="str"/>
      <x:c r="K262" s="15" t="str">
        <x:v>Mergers, Acquisitions &amp; Divestments</x:v>
      </x:c>
      <x:c r="L262" s="19" t="n">
        <x:v>1.5</x:v>
      </x:c>
      <x:c r="M262" s="19"/>
      <x:c r="N262" s="15" t="str">
        <x:v>Must Do</x:v>
      </x:c>
      <x:c r="O262" s="15" t="str">
        <x:v>M&amp;A</x:v>
      </x:c>
      <x:c r="P262" s="15" t="str"/>
      <x:c r="Q262" s="15" t="str"/>
      <x:c r="R262" s="15" t="str"/>
      <x:c r="S262" s="15" t="str"/>
      <x:c r="T262" s="15" t="str"/>
    </x:row>
    <x:row r="263">
      <x:c r="A263" s="15" t="str">
        <x:v>Bu-86</x:v>
      </x:c>
      <x:c r="B263" s="15" t="str">
        <x:v>Bu-86</x:v>
      </x:c>
      <x:c r="C263" s="15" t="str">
        <x:v>1007549</x:v>
      </x:c>
      <x:c r="D263" s="15" t="str">
        <x:v>Bu</x:v>
      </x:c>
      <x:c r="E263" s="15" t="n">
        <x:v>218</x:v>
      </x:c>
      <x:c r="F263" s="15" t="str">
        <x:v>BU Led</x:v>
      </x:c>
      <x:c r="G263" s="15" t="str">
        <x:v>Monitoring - HPM (MCH)</x:v>
      </x:c>
      <x:c r="H263" s="15" t="str">
        <x:v>M&amp;A PMI Everest Change Request</x:v>
      </x:c>
      <x:c r="I263" s="15" t="str">
        <x:v>Carry Over</x:v>
      </x:c>
      <x:c r="J263" s="15" t="str"/>
      <x:c r="K263" s="15" t="str">
        <x:v>Mergers, Acquisitions &amp; Divestments</x:v>
      </x:c>
      <x:c r="L263" s="19" t="n">
        <x:v>0.5</x:v>
      </x:c>
      <x:c r="M263" s="19"/>
      <x:c r="N263" s="15" t="str">
        <x:v>Must Do</x:v>
      </x:c>
      <x:c r="O263" s="15" t="str">
        <x:v>M&amp;A</x:v>
      </x:c>
      <x:c r="P263" s="15" t="str"/>
      <x:c r="Q263" s="15" t="str"/>
      <x:c r="R263" s="15" t="str"/>
      <x:c r="S263" s="15" t="str"/>
      <x:c r="T263" s="15" t="str"/>
    </x:row>
    <x:row r="264">
      <x:c r="A264" s="15" t="str">
        <x:v>Bu-87</x:v>
      </x:c>
      <x:c r="B264" s="15" t="str">
        <x:v>Bu-87</x:v>
      </x:c>
      <x:c r="C264" s="15" t="str">
        <x:v>new</x:v>
      </x:c>
      <x:c r="D264" s="15" t="str">
        <x:v>Bu</x:v>
      </x:c>
      <x:c r="E264" s="15" t="n">
        <x:v>219</x:v>
      </x:c>
      <x:c r="F264" s="15" t="str">
        <x:v>BU Led</x:v>
      </x:c>
      <x:c r="G264" s="15" t="str">
        <x:v>North America (NAR)</x:v>
      </x:c>
      <x:c r="H264" s="15" t="str">
        <x:v>NAR Commercial Excellence</x:v>
      </x:c>
      <x:c r="I264" s="15" t="str">
        <x:v>New Initiative</x:v>
      </x:c>
      <x:c r="J264" s="15" t="str">
        <x:v>New Technology</x:v>
      </x:c>
      <x:c r="K264" s="15" t="str">
        <x:v>Commercial IT</x:v>
      </x:c>
      <x:c r="L264" s="19" t="n">
        <x:v>3.5</x:v>
      </x:c>
      <x:c r="M264" s="19" t="n">
        <x:v>14</x:v>
      </x:c>
      <x:c r="N264" s="15" t="str">
        <x:v>Must Do</x:v>
      </x:c>
      <x:c r="O264" s="15" t="str">
        <x:v>Revenue, margin, audit risk</x:v>
      </x:c>
      <x:c r="P264" s="15" t="str">
        <x:v>Contract documentation and data management are fragmented across multiple teams and systems. GPO fee data and calculation rules vary across Commercial, Service, and Subscription channels. Inadequate</x:v>
      </x:c>
      <x:c r="Q264" s="15" t="str">
        <x:v>CLM Hub</x:v>
      </x:c>
      <x:c r="R264" s="15" t="str"/>
      <x:c r="S264" s="15" t="str">
        <x:v>HEALTHY</x:v>
      </x:c>
      <x:c r="T264" s="15" t="str">
        <x:v>HEALTHY — Rank in priority matrix</x:v>
      </x:c>
    </x:row>
    <x:row r="265">
      <x:c r="A265" s="15" t="str">
        <x:v>Bu-88</x:v>
      </x:c>
      <x:c r="B265" s="15" t="str">
        <x:v>Bu-88</x:v>
      </x:c>
      <x:c r="C265" s="15" t="str"/>
      <x:c r="D265" s="15" t="str">
        <x:v>Bu</x:v>
      </x:c>
      <x:c r="E265" s="15" t="n">
        <x:v>228</x:v>
      </x:c>
      <x:c r="F265" s="15" t="str">
        <x:v>BU Led</x:v>
      </x:c>
      <x:c r="G265" s="15" t="str"/>
      <x:c r="H265" s="15" t="str"/>
      <x:c r="I265" s="15" t="str"/>
      <x:c r="J265" s="15" t="str"/>
      <x:c r="K265" s="15" t="str"/>
      <x:c r="L265" s="19" t="n">
        <x:v>0</x:v>
      </x:c>
      <x:c r="M265" s="19"/>
      <x:c r="N265" s="15" t="str"/>
      <x:c r="O265" s="15" t="str"/>
      <x:c r="P265" s="15" t="str"/>
      <x:c r="Q265" s="15" t="str"/>
      <x:c r="R265" s="15" t="str"/>
      <x:c r="S265" s="15" t="str"/>
      <x:c r="T265" s="15" t="str"/>
    </x:row>
    <x:row r="266">
      <x:c r="A266" s="15" t="str">
        <x:v>Bu-89</x:v>
      </x:c>
      <x:c r="B266" s="15" t="str">
        <x:v>Bu-89</x:v>
      </x:c>
      <x:c r="C266" s="15" t="str"/>
      <x:c r="D266" s="15" t="str">
        <x:v>Bu</x:v>
      </x:c>
      <x:c r="E266" s="15" t="n">
        <x:v>229</x:v>
      </x:c>
      <x:c r="F266" s="15" t="str">
        <x:v>BU Led</x:v>
      </x:c>
      <x:c r="G266" s="15" t="str">
        <x:v>Sleep &amp; Respiratory Care (SRC)</x:v>
      </x:c>
      <x:c r="H266" s="15" t="str">
        <x:v>Estore Headless and transformation</x:v>
      </x:c>
      <x:c r="I266" s="15" t="str">
        <x:v>New Initiative</x:v>
      </x:c>
      <x:c r="J266" s="15" t="str">
        <x:v>Decomm/Replatforming</x:v>
      </x:c>
      <x:c r="K266" s="15" t="str">
        <x:v>Innovation and Digital IT</x:v>
      </x:c>
      <x:c r="L266" s="19" t="n">
        <x:v>0</x:v>
      </x:c>
      <x:c r="M266" s="19"/>
      <x:c r="N266" s="15" t="str">
        <x:v>Must Do</x:v>
      </x:c>
      <x:c r="O266" s="15" t="str">
        <x:v>Estores will stop working and direct loss of revenue &gt;25 M</x:v>
      </x:c>
      <x:c r="P266" s="15" t="str">
        <x:v>The current IT platform is getting decommed by the vendor hence there is no choice other than to migrate to Contentful</x:v>
      </x:c>
      <x:c r="Q266" s="15" t="str">
        <x:v>All estores will be in scope as there is no other choice</x:v>
      </x:c>
      <x:c r="R266" s="15" t="str"/>
      <x:c r="S266" s="15" t="str"/>
      <x:c r="T266" s="15" t="str"/>
    </x:row>
    <x:row r="267">
      <x:c r="A267" s="15" t="str">
        <x:v>Bu-90</x:v>
      </x:c>
      <x:c r="B267" s="15" t="str">
        <x:v>Bu-90</x:v>
      </x:c>
      <x:c r="C267" s="15" t="str"/>
      <x:c r="D267" s="15" t="str">
        <x:v>Bu</x:v>
      </x:c>
      <x:c r="E267" s="15" t="n">
        <x:v>230</x:v>
      </x:c>
      <x:c r="F267" s="15" t="str">
        <x:v>BU Led</x:v>
      </x:c>
      <x:c r="G267" s="15" t="str">
        <x:v>Sleep &amp; Respiratory Care (SRC)</x:v>
      </x:c>
      <x:c r="H267" s="15" t="str">
        <x:v>SRC PPL Tree</x:v>
      </x:c>
      <x:c r="I267" s="15" t="str">
        <x:v>New Initiative</x:v>
      </x:c>
      <x:c r="J267" s="15" t="str">
        <x:v>New Feature</x:v>
      </x:c>
      <x:c r="K267" s="15" t="str">
        <x:v>Innovation and Digital IT</x:v>
      </x:c>
      <x:c r="L267" s="19" t="n">
        <x:v>0</x:v>
      </x:c>
      <x:c r="M267" s="19" t="n">
        <x:v>50</x:v>
      </x:c>
      <x:c r="N267" s="15" t="str">
        <x:v>Must Do</x:v>
      </x:c>
      <x:c r="O267" s="15" t="str">
        <x:v>Direct impact on our NA Comeback program which targets revenue growth of 300-500 M over next 2 years</x:v>
      </x:c>
      <x:c r="P267" s="15" t="str">
        <x:v>SRC is struggling due to forced adoption of PPL structure of PH/HS leading to sub-optimal cutomer experience</x:v>
      </x:c>
      <x:c r="Q267" s="15" t="str">
        <x:v>Create a new PPL tree for SRC so that we can optimize our experience as per our business model</x:v>
      </x:c>
      <x:c r="R267" s="15" t="str"/>
      <x:c r="S267" s="15" t="str"/>
      <x:c r="T267" s="15" t="str"/>
    </x:row>
    <x:row r="268">
      <x:c r="A268" s="15" t="str">
        <x:v>Bu-91</x:v>
      </x:c>
      <x:c r="B268" s="15" t="str">
        <x:v>Bu-91</x:v>
      </x:c>
      <x:c r="C268" s="15" t="str"/>
      <x:c r="D268" s="15" t="str">
        <x:v>Bu</x:v>
      </x:c>
      <x:c r="E268" s="15" t="n">
        <x:v>231</x:v>
      </x:c>
      <x:c r="F268" s="15" t="str">
        <x:v>BU Led</x:v>
      </x:c>
      <x:c r="G268" s="15" t="str">
        <x:v>Sleep &amp; Respiratory Care (SRC)</x:v>
      </x:c>
      <x:c r="H268" s="15" t="str">
        <x:v>SRC Integrated Portal</x:v>
      </x:c>
      <x:c r="I268" s="15" t="str">
        <x:v>New Initiative</x:v>
      </x:c>
      <x:c r="J268" s="15" t="str">
        <x:v>New Technology</x:v>
      </x:c>
      <x:c r="K268" s="15" t="str">
        <x:v>Innovation and Digital IT</x:v>
      </x:c>
      <x:c r="L268" s="19" t="n">
        <x:v>0</x:v>
      </x:c>
      <x:c r="M268" s="19" t="n">
        <x:v>50</x:v>
      </x:c>
      <x:c r="N268" s="15" t="str">
        <x:v>Must Do</x:v>
      </x:c>
      <x:c r="O268" s="15" t="str">
        <x:v>Direct impact on our NA Comeback program which targets revenue growth of 300-500 M over next 2 years</x:v>
      </x:c>
      <x:c r="P268" s="15" t="str">
        <x:v>SRC does not have any integrated portal/landing page for the customers to navigate and they need to have separate links and login credentials for each App</x:v>
      </x:c>
      <x:c r="Q268" s="15" t="str">
        <x:v>Creating an integrated portal using PING authentication mechanism and onboard estore and MSD on this. This is critical for our NAM comeback program</x:v>
      </x:c>
      <x:c r="R268" s="15" t="str"/>
      <x:c r="S268" s="15" t="str"/>
      <x:c r="T268" s="15" t="str"/>
    </x:row>
    <x:row r="269">
      <x:c r="A269" s="15" t="str">
        <x:v>Bu-92</x:v>
      </x:c>
      <x:c r="B269" s="15" t="str">
        <x:v>Bu-92</x:v>
      </x:c>
      <x:c r="C269" s="15" t="str"/>
      <x:c r="D269" s="15" t="str">
        <x:v>Bu</x:v>
      </x:c>
      <x:c r="E269" s="15" t="n">
        <x:v>232</x:v>
      </x:c>
      <x:c r="F269" s="15" t="str">
        <x:v>BU Led</x:v>
      </x:c>
      <x:c r="G269" s="15" t="str">
        <x:v>Sleep &amp; Respiratory Care (SRC)</x:v>
      </x:c>
      <x:c r="H269" s="15" t="str">
        <x:v>Website - New Functionality</x:v>
      </x:c>
      <x:c r="I269" s="15" t="str">
        <x:v>New Initiative</x:v>
      </x:c>
      <x:c r="J269" s="15" t="str">
        <x:v>New Feature</x:v>
      </x:c>
      <x:c r="K269" s="15" t="str">
        <x:v>Innovation and Digital IT</x:v>
      </x:c>
      <x:c r="L269" s="19" t="n">
        <x:v>0</x:v>
      </x:c>
      <x:c r="M269" s="19" t="n">
        <x:v>50</x:v>
      </x:c>
      <x:c r="N269" s="15" t="str">
        <x:v>Must Do</x:v>
      </x:c>
      <x:c r="O269" s="15" t="str">
        <x:v>Direct impact on our NA Comeback program which targets revenue growth of 300-500 M over next 2 years</x:v>
      </x:c>
      <x:c r="P269" s="15" t="str">
        <x:v>During the migration of the platform, a lot of critical features were not migrated due to lack of time</x:v>
      </x:c>
      <x:c r="Q269" s="15" t="str">
        <x:v>Due to new platform that has been implemented, we had to move many critical features into 2027 due to hard deadline from IT, those features would be implemented now</x:v>
      </x:c>
      <x:c r="R269" s="15" t="str"/>
      <x:c r="S269" s="15" t="str"/>
      <x:c r="T269" s="15" t="str"/>
    </x:row>
    <x:row r="270">
      <x:c r="A270" s="15" t="str">
        <x:v>Bu-93</x:v>
      </x:c>
      <x:c r="B270" s="15" t="str">
        <x:v>Bu-93</x:v>
      </x:c>
      <x:c r="C270" s="15" t="str"/>
      <x:c r="D270" s="15" t="str">
        <x:v>Bu</x:v>
      </x:c>
      <x:c r="E270" s="15" t="n">
        <x:v>233</x:v>
      </x:c>
      <x:c r="F270" s="15" t="str">
        <x:v>BU Led</x:v>
      </x:c>
      <x:c r="G270" s="15" t="str">
        <x:v>Sleep &amp; Respiratory Care (SRC)</x:v>
      </x:c>
      <x:c r="H270" s="15" t="str">
        <x:v>Salsify Integration</x:v>
      </x:c>
      <x:c r="I270" s="15" t="str">
        <x:v>New Initiative</x:v>
      </x:c>
      <x:c r="J270" s="15" t="str">
        <x:v>Continous Improvement</x:v>
      </x:c>
      <x:c r="K270" s="15" t="str">
        <x:v>Innovation and Digital IT</x:v>
      </x:c>
      <x:c r="L270" s="19" t="n">
        <x:v>0</x:v>
      </x:c>
      <x:c r="M270" s="19"/>
      <x:c r="N270" s="15" t="str">
        <x:v>Must Do</x:v>
      </x:c>
      <x:c r="O270" s="15" t="str">
        <x:v>Impacts our eretailer sales and requires a lof of manual work for which we do not have resources</x:v>
      </x:c>
      <x:c r="P270" s="15" t="str">
        <x:v>Lots of manual activities to send data to Salsify</x:v>
      </x:c>
      <x:c r="Q270" s="15" t="str">
        <x:v>Integrate Salsify to PPL to automate and save costs</x:v>
      </x:c>
      <x:c r="R270" s="15" t="str"/>
      <x:c r="S270" s="15" t="str"/>
      <x:c r="T270" s="15" t="str"/>
    </x:row>
    <x:row r="271">
      <x:c r="A271" s="15" t="str">
        <x:v>Bu-94</x:v>
      </x:c>
      <x:c r="B271" s="15" t="str">
        <x:v>Bu-94</x:v>
      </x:c>
      <x:c r="C271" s="15" t="str"/>
      <x:c r="D271" s="15" t="str">
        <x:v>Bu</x:v>
      </x:c>
      <x:c r="E271" s="15" t="n">
        <x:v>234</x:v>
      </x:c>
      <x:c r="F271" s="15" t="str">
        <x:v>BU Led</x:v>
      </x:c>
      <x:c r="G271" s="15" t="str">
        <x:v>Sleep &amp; Respiratory Care (SRC)</x:v>
      </x:c>
      <x:c r="H271" s="15" t="str">
        <x:v>Content Syndication - SRC</x:v>
      </x:c>
      <x:c r="I271" s="15" t="str">
        <x:v>New Initiative</x:v>
      </x:c>
      <x:c r="J271" s="15" t="str">
        <x:v>New Technology</x:v>
      </x:c>
      <x:c r="K271" s="15" t="str">
        <x:v>Innovation and Digital IT</x:v>
      </x:c>
      <x:c r="L271" s="19" t="n">
        <x:v>0.15</x:v>
      </x:c>
      <x:c r="M271" s="19"/>
      <x:c r="N271" s="15" t="str">
        <x:v>Must Do</x:v>
      </x:c>
      <x:c r="O271" s="15" t="str">
        <x:v>Loss of revenue in IR &gt;10 M</x:v>
      </x:c>
      <x:c r="P271" s="15" t="str">
        <x:v>SRC does not have any content syndication tool which severely impacts our ability to sell on third party eretailers and impacts revenue directly</x:v>
      </x:c>
      <x:c r="Q271" s="15" t="str">
        <x:v>We are working with PH to identify a content sydication tool and deploy that to few markets. It has a direct impact on our revenue and AOP for 2027</x:v>
      </x:c>
      <x:c r="R271" s="15" t="str"/>
      <x:c r="S271" s="15" t="str"/>
      <x:c r="T271" s="15" t="str"/>
    </x:row>
    <x:row r="272">
      <x:c r="A272" s="15" t="str">
        <x:v>Bu-95</x:v>
      </x:c>
      <x:c r="B272" s="15" t="str">
        <x:v>Bu-95</x:v>
      </x:c>
      <x:c r="C272" s="15" t="str"/>
      <x:c r="D272" s="15" t="str">
        <x:v>Bu</x:v>
      </x:c>
      <x:c r="E272" s="15" t="n">
        <x:v>235</x:v>
      </x:c>
      <x:c r="F272" s="15" t="str">
        <x:v>BU Led</x:v>
      </x:c>
      <x:c r="G272" s="15" t="str">
        <x:v>Sleep &amp; Respiratory Care (SRC)</x:v>
      </x:c>
      <x:c r="H272" s="15" t="str">
        <x:v>Supply Planning and Demand Planning (BY)</x:v>
      </x:c>
      <x:c r="I272" s="15" t="str">
        <x:v>New Initiative</x:v>
      </x:c>
      <x:c r="J272" s="15" t="str">
        <x:v>New Technology</x:v>
      </x:c>
      <x:c r="K272" s="15" t="str">
        <x:v>Integrated Supply Chain &amp; Finance</x:v>
      </x:c>
      <x:c r="L272" s="19" t="n">
        <x:v>0</x:v>
      </x:c>
      <x:c r="M272" s="19" t="n">
        <x:v>29.3</x:v>
      </x:c>
      <x:c r="N272" s="15" t="str">
        <x:v>Must Do</x:v>
      </x:c>
      <x:c r="O272" s="15" t="str">
        <x:v>Direct impact on our NA Comeback program which targets revenue growth of 300-500 M over next 2 years</x:v>
      </x:c>
      <x:c r="P272" s="15" t="str">
        <x:v>We do not have a Supply and demand planning tool and need to implement Blue Yonder for SRC</x:v>
      </x:c>
      <x:c r="Q272" s="15" t="str">
        <x:v>Implement BY for SRC with minimum scope as required; this is critical for our NA comeback</x:v>
      </x:c>
      <x:c r="R272" s="15" t="str"/>
      <x:c r="S272" s="15" t="str"/>
      <x:c r="T272" s="15" t="str"/>
    </x:row>
    <x:row r="273">
      <x:c r="A273" s="15" t="str">
        <x:v>Bu-96</x:v>
      </x:c>
      <x:c r="B273" s="15" t="str">
        <x:v>Bu-96</x:v>
      </x:c>
      <x:c r="C273" s="15" t="str"/>
      <x:c r="D273" s="15" t="str">
        <x:v>Bu</x:v>
      </x:c>
      <x:c r="E273" s="15" t="n">
        <x:v>236</x:v>
      </x:c>
      <x:c r="F273" s="15" t="str">
        <x:v>BU Led</x:v>
      </x:c>
      <x:c r="G273" s="15" t="str">
        <x:v>Sleep &amp; Respiratory Care (SRC)</x:v>
      </x:c>
      <x:c r="H273" s="15" t="str">
        <x:v>ISC Lanscape Transformation</x:v>
      </x:c>
      <x:c r="I273" s="15" t="str">
        <x:v>New Initiative</x:v>
      </x:c>
      <x:c r="J273" s="15" t="str">
        <x:v>Legal Fiscal, Regulatory &amp; Compliancy</x:v>
      </x:c>
      <x:c r="K273" s="15" t="str">
        <x:v>Integrated Supply Chain &amp; Finance</x:v>
      </x:c>
      <x:c r="L273" s="19" t="n">
        <x:v>0.6</x:v>
      </x:c>
      <x:c r="M273" s="19" t="n">
        <x:v>2.5</x:v>
      </x:c>
      <x:c r="N273" s="15" t="str">
        <x:v>Must Do</x:v>
      </x:c>
      <x:c r="O273" s="15" t="str">
        <x:v>Direct impact on our NA Comeback program which targets revenue growth of 300-500 M over next 2 years</x:v>
      </x:c>
      <x:c r="P273" s="15" t="str">
        <x:v>Multiple SBO instances across regions that need to be moved to PRD; current setup leads to additional costs and high inefficiencies</x:v>
      </x:c>
      <x:c r="Q273" s="15" t="str">
        <x:v>All SBO instances to be moved to PRD and later decomed; FASC to be deployed to 3 regions leading to significant savings</x:v>
      </x:c>
      <x:c r="R273" s="15" t="str"/>
      <x:c r="S273" s="15" t="str">
        <x:v>HEALTHY</x:v>
      </x:c>
      <x:c r="T273" s="15" t="str">
        <x:v>HEALTHY — Rank in priority matrix</x:v>
      </x:c>
    </x:row>
    <x:row r="274">
      <x:c r="A274" s="15" t="str">
        <x:v>Bu-97</x:v>
      </x:c>
      <x:c r="B274" s="15" t="str">
        <x:v>Bu-97</x:v>
      </x:c>
      <x:c r="C274" s="15" t="str"/>
      <x:c r="D274" s="15" t="str">
        <x:v>Bu</x:v>
      </x:c>
      <x:c r="E274" s="15" t="n">
        <x:v>238</x:v>
      </x:c>
      <x:c r="F274" s="15" t="str">
        <x:v>BU Led</x:v>
      </x:c>
      <x:c r="G274" s="15" t="str">
        <x:v>Sleep &amp; Respiratory Care (SRC)</x:v>
      </x:c>
      <x:c r="H274" s="15" t="str">
        <x:v>Contract Lifecycle Management</x:v>
      </x:c>
      <x:c r="I274" s="15" t="str">
        <x:v>New Initiative</x:v>
      </x:c>
      <x:c r="J274" s="15" t="str">
        <x:v>Legal Fiscal, Regulatory &amp; Compliancy</x:v>
      </x:c>
      <x:c r="K274" s="15" t="str">
        <x:v>Commercial IT</x:v>
      </x:c>
      <x:c r="L274" s="19" t="n">
        <x:v>0.27</x:v>
      </x:c>
      <x:c r="M274" s="19" t="n">
        <x:v>2.5</x:v>
      </x:c>
      <x:c r="N274" s="15" t="str">
        <x:v>Must Do</x:v>
      </x:c>
      <x:c r="O274" s="15" t="str">
        <x:v>Direct impact on CD and injunction lift which prohibits us to sell in NA; overall revenue for that category was ~1000 M before injunction</x:v>
      </x:c>
      <x:c r="P274" s="15" t="str">
        <x:v>Continue the CLM implementation in 2027; it will be 50% done in 2026</x:v>
      </x:c>
      <x:c r="Q274" s="15" t="str">
        <x:v>Continue deployment of Contract Hub &amp; Contract Intelligence in NAM for contract management which is flagged as audit gap in CD</x:v>
      </x:c>
      <x:c r="R274" s="15" t="str"/>
      <x:c r="S274" s="15" t="str"/>
      <x:c r="T274" s="15" t="str"/>
    </x:row>
    <x:row r="275">
      <x:c r="A275" s="15" t="str">
        <x:v>Bu-98</x:v>
      </x:c>
      <x:c r="B275" s="15" t="str">
        <x:v>Bu-98</x:v>
      </x:c>
      <x:c r="C275" s="15" t="str"/>
      <x:c r="D275" s="15" t="str">
        <x:v>Bu</x:v>
      </x:c>
      <x:c r="E275" s="15" t="n">
        <x:v>239</x:v>
      </x:c>
      <x:c r="F275" s="15" t="str">
        <x:v>BU Led</x:v>
      </x:c>
      <x:c r="G275" s="15" t="str">
        <x:v>Sleep &amp; Respiratory Care (SRC)</x:v>
      </x:c>
      <x:c r="H275" s="15" t="str">
        <x:v>ISC CRs</x:v>
      </x:c>
      <x:c r="I275" s="15" t="str">
        <x:v>New Initiative</x:v>
      </x:c>
      <x:c r="J275" s="15" t="str">
        <x:v>Continous Improvement</x:v>
      </x:c>
      <x:c r="K275" s="15" t="str">
        <x:v>Integrated Supply Chain &amp; Finance</x:v>
      </x:c>
      <x:c r="L275" s="19" t="n">
        <x:v>0.1</x:v>
      </x:c>
      <x:c r="M275" s="19" t="n">
        <x:v>0.5</x:v>
      </x:c>
      <x:c r="N275" s="15" t="str">
        <x:v>Must Do</x:v>
      </x:c>
      <x:c r="O275" s="15" t="str">
        <x:v>Critical budget required to support SAP CRs for multiple projects</x:v>
      </x:c>
      <x:c r="P275" s="15" t="str">
        <x:v>SRC spare parts purchase orders under CN90 (China) + establish manual debit notes to replace the previous automatic charging under CN95 + New Purchasing Org for Costa Rica</x:v>
      </x:c>
      <x:c r="Q275" s="15" t="str">
        <x:v>SRC spare parts purchase orders under CN90 (China) + establish manual debit notes to replace the previous automatic charging under CN95 + New Purchasing Org for Costa Rica</x:v>
      </x:c>
      <x:c r="R275" s="15" t="str"/>
      <x:c r="S275" s="15" t="str">
        <x:v>HEALTHY</x:v>
      </x:c>
      <x:c r="T275" s="15" t="str">
        <x:v>HEALTHY — Rank in priority matrix</x:v>
      </x:c>
    </x:row>
    <x:row r="276">
      <x:c r="A276" s="15" t="str">
        <x:v>Bu-99</x:v>
      </x:c>
      <x:c r="B276" s="15" t="str">
        <x:v>Bu-99</x:v>
      </x:c>
      <x:c r="C276" s="15" t="str"/>
      <x:c r="D276" s="15" t="str">
        <x:v>Bu</x:v>
      </x:c>
      <x:c r="E276" s="15" t="n">
        <x:v>240</x:v>
      </x:c>
      <x:c r="F276" s="15" t="str">
        <x:v>BU Led</x:v>
      </x:c>
      <x:c r="G276" s="15" t="str">
        <x:v>Sleep &amp; Respiratory Care (SRC)</x:v>
      </x:c>
      <x:c r="H276" s="15" t="str">
        <x:v>Rotech Virtual Org (CPG in BY)</x:v>
      </x:c>
      <x:c r="I276" s="15" t="str">
        <x:v>New Initiative</x:v>
      </x:c>
      <x:c r="J276" s="15" t="str">
        <x:v>Continous Improvement</x:v>
      </x:c>
      <x:c r="K276" s="15" t="str">
        <x:v>Integrated Supply Chain &amp; Finance</x:v>
      </x:c>
      <x:c r="L276" s="19" t="n">
        <x:v>0.1</x:v>
      </x:c>
      <x:c r="M276" s="19" t="n">
        <x:v>38</x:v>
      </x:c>
      <x:c r="N276" s="15" t="str">
        <x:v>Must Do</x:v>
      </x:c>
      <x:c r="O276" s="15" t="str">
        <x:v>We will miss significant benefits</x:v>
      </x:c>
      <x:c r="P276" s="15" t="str">
        <x:v>Enable Philips to hold protected, replenishable customer-specific inventory for Rotech to guarantee stock availability, recover market share, and unlock up to ~$38M in incremental revenue.</x:v>
      </x:c>
      <x:c r="Q276" s="15" t="str">
        <x:v>Market-share recovery with Rotech (15% → up to 60%), delivering up to ~$38M incremental annual revenue, enabled by a reliable dedicated-inventory model with zero stock-out-driven service failures.</x:v>
      </x:c>
      <x:c r="R276" s="15" t="str"/>
      <x:c r="S276" s="15" t="str">
        <x:v>HEALTHY</x:v>
      </x:c>
      <x:c r="T276" s="15" t="str">
        <x:v>HEALTHY — Rank in priority matrix</x:v>
      </x:c>
    </x:row>
    <x:row r="277">
      <x:c r="A277" s="15" t="str">
        <x:v>Bu-100</x:v>
      </x:c>
      <x:c r="B277" s="15" t="str">
        <x:v>Bu-100</x:v>
      </x:c>
      <x:c r="C277" s="15" t="str"/>
      <x:c r="D277" s="15" t="str">
        <x:v>Bu</x:v>
      </x:c>
      <x:c r="E277" s="15" t="n">
        <x:v>241</x:v>
      </x:c>
      <x:c r="F277" s="15" t="str">
        <x:v>BU Led</x:v>
      </x:c>
      <x:c r="G277" s="15" t="str">
        <x:v>Sleep &amp; Respiratory Care (SRC)</x:v>
      </x:c>
      <x:c r="H277" s="15" t="str">
        <x:v>ATP Changes</x:v>
      </x:c>
      <x:c r="I277" s="15" t="str">
        <x:v>New Initiative</x:v>
      </x:c>
      <x:c r="J277" s="15" t="str">
        <x:v>New Feature</x:v>
      </x:c>
      <x:c r="K277" s="15" t="str">
        <x:v>Innovation and Digital IT</x:v>
      </x:c>
      <x:c r="L277" s="19" t="n">
        <x:v>0</x:v>
      </x:c>
      <x:c r="M277" s="19" t="n">
        <x:v>1.5</x:v>
      </x:c>
      <x:c r="N277" s="15" t="str">
        <x:v>Must Do</x:v>
      </x:c>
      <x:c r="O277" s="15" t="str">
        <x:v>Direct impact on our NA Comeback program which targets revenue growth of 300-500 M over next 2 years</x:v>
      </x:c>
      <x:c r="P277" s="15" t="str">
        <x:v>We are not able to provide clear delivery dates to our customer which leads to order cancellations and revenue loss</x:v>
      </x:c>
      <x:c r="Q277" s="15" t="str">
        <x:v>Publish delivery dates to our customers after order is placed which requires changes in SAP and Hybris. Has direct business benefits and business case &gt; 1M</x:v>
      </x:c>
      <x:c r="R277" s="15" t="str"/>
      <x:c r="S277" s="15" t="str"/>
      <x:c r="T277" s="15" t="str"/>
    </x:row>
    <x:row r="278">
      <x:c r="A278" s="15" t="str">
        <x:v>Bu-101</x:v>
      </x:c>
      <x:c r="B278" s="15" t="str">
        <x:v>Bu-101</x:v>
      </x:c>
      <x:c r="C278" s="15" t="str"/>
      <x:c r="D278" s="15" t="str">
        <x:v>Bu</x:v>
      </x:c>
      <x:c r="E278" s="15" t="n">
        <x:v>242</x:v>
      </x:c>
      <x:c r="F278" s="15" t="str">
        <x:v>BU Led</x:v>
      </x:c>
      <x:c r="G278" s="15" t="str">
        <x:v>Sleep &amp; Respiratory Care (SRC)</x:v>
      </x:c>
      <x:c r="H278" s="15" t="str">
        <x:v>Kimball/Smoke changes</x:v>
      </x:c>
      <x:c r="I278" s="15" t="str">
        <x:v>New Initiative</x:v>
      </x:c>
      <x:c r="J278" s="15" t="str">
        <x:v>Legal Fiscal, Regulatory &amp; Compliancy</x:v>
      </x:c>
      <x:c r="K278" s="15" t="str">
        <x:v>Integrated Supply Chain &amp; Finance</x:v>
      </x:c>
      <x:c r="L278" s="19" t="n">
        <x:v>0.1</x:v>
      </x:c>
      <x:c r="M278" s="19" t="n">
        <x:v>5.9</x:v>
      </x:c>
      <x:c r="N278" s="15" t="str">
        <x:v>Must Do</x:v>
      </x:c>
      <x:c r="O278" s="15" t="str">
        <x:v>Direct impact on CD and injunction lift which prohibits us to sell in NA; overall revenue for that category was ~1000 M before injunction</x:v>
      </x:c>
      <x:c r="P278" s="15" t="str">
        <x:v>Continuation of Smoke project with left over changes;</x:v>
      </x:c>
      <x:c r="Q278" s="15" t="str">
        <x:v>Continuation of Smoke project with left over changes;</x:v>
      </x:c>
      <x:c r="R278" s="15" t="str"/>
      <x:c r="S278" s="15" t="str">
        <x:v>HEALTHY</x:v>
      </x:c>
      <x:c r="T278" s="15" t="str">
        <x:v>HEALTHY / MUST-DO — P1 — Immediate</x:v>
      </x:c>
    </x:row>
    <x:row r="279">
      <x:c r="A279" s="15" t="str">
        <x:v>Bu-102</x:v>
      </x:c>
      <x:c r="B279" s="15" t="str">
        <x:v>Bu-102</x:v>
      </x:c>
      <x:c r="C279" s="15" t="str"/>
      <x:c r="D279" s="15" t="str">
        <x:v>Bu</x:v>
      </x:c>
      <x:c r="E279" s="15" t="n">
        <x:v>243</x:v>
      </x:c>
      <x:c r="F279" s="15" t="str">
        <x:v>BU Led</x:v>
      </x:c>
      <x:c r="G279" s="15" t="str">
        <x:v>Sleep &amp; Respiratory Care (SRC)</x:v>
      </x:c>
      <x:c r="H279" s="15" t="str">
        <x:v>CRM (MSD) Phase 2</x:v>
      </x:c>
      <x:c r="I279" s="15" t="str">
        <x:v>New Initiative</x:v>
      </x:c>
      <x:c r="J279" s="15" t="str">
        <x:v>Legal Fiscal, Regulatory &amp; Compliancy</x:v>
      </x:c>
      <x:c r="K279" s="15" t="str">
        <x:v>Services &amp; Solutions IT</x:v>
      </x:c>
      <x:c r="L279" s="19" t="n">
        <x:v>0</x:v>
      </x:c>
      <x:c r="M279" s="19" t="n">
        <x:v>5</x:v>
      </x:c>
      <x:c r="N279" s="15" t="str">
        <x:v>Must Do</x:v>
      </x:c>
      <x:c r="O279" s="15" t="str">
        <x:v>Direct impact on CD and injunction lift which prohibits us to sell in NA; overall revenue for that category was ~1000 M before injunction</x:v>
      </x:c>
      <x:c r="P279" s="15" t="str">
        <x:v>We do not have any system which can be used for logging and monitoring customer returns and repairs.</x:v>
      </x:c>
      <x:c r="Q279" s="15" t="str">
        <x:v>Implement CRM solution which can log, track, monitor and report customer returns and repair requests</x:v>
      </x:c>
      <x:c r="R279" s="15" t="str"/>
      <x:c r="S279" s="15" t="str"/>
      <x:c r="T279" s="15" t="str"/>
    </x:row>
    <x:row r="280">
      <x:c r="A280" s="15" t="str">
        <x:v>Bu-103</x:v>
      </x:c>
      <x:c r="B280" s="15" t="str">
        <x:v>Bu-103</x:v>
      </x:c>
      <x:c r="C280" s="15" t="str"/>
      <x:c r="D280" s="15" t="str">
        <x:v>Bu</x:v>
      </x:c>
      <x:c r="E280" s="15" t="n">
        <x:v>244</x:v>
      </x:c>
      <x:c r="F280" s="15" t="str">
        <x:v>BU Led</x:v>
      </x:c>
      <x:c r="G280" s="15" t="str">
        <x:v>Sleep &amp; Respiratory Care (SRC)</x:v>
      </x:c>
      <x:c r="H280" s="15" t="str">
        <x:v>3rd Party Inventory and Hold status update from SAP/PRD</x:v>
      </x:c>
      <x:c r="I280" s="15" t="str">
        <x:v>New Initiative</x:v>
      </x:c>
      <x:c r="J280" s="15" t="str">
        <x:v>Legal Fiscal, Regulatory &amp; Compliancy</x:v>
      </x:c>
      <x:c r="K280" s="15" t="str">
        <x:v>Integrated Supply Chain &amp; Finance</x:v>
      </x:c>
      <x:c r="L280" s="19" t="n">
        <x:v>0.2</x:v>
      </x:c>
      <x:c r="M280" s="19"/>
      <x:c r="N280" s="15" t="str">
        <x:v>Must Do</x:v>
      </x:c>
      <x:c r="O280" s="15" t="str">
        <x:v>Direct impact on CD and injunction lift which prohibits us to sell in NA; overall revenue for that category was ~1000 M before injunction</x:v>
      </x:c>
      <x:c r="P280" s="15" t="str">
        <x:v>We have a CAPA related to this that needs to be addressed asap</x:v>
      </x:c>
      <x:c r="Q280" s="15" t="str">
        <x:v>3rd Party Inventory and Hold status update from SAP/PRD</x:v>
      </x:c>
      <x:c r="R280" s="15" t="str"/>
      <x:c r="S280" s="15" t="str">
        <x:v>HEALTHY</x:v>
      </x:c>
      <x:c r="T280" s="15" t="str">
        <x:v>HEALTHY / MUST-DO — P1 — Immediate</x:v>
      </x:c>
    </x:row>
    <x:row r="281">
      <x:c r="A281" s="15" t="str">
        <x:v>Bu-104</x:v>
      </x:c>
      <x:c r="B281" s="15" t="str">
        <x:v>Bu-104</x:v>
      </x:c>
      <x:c r="C281" s="15" t="str"/>
      <x:c r="D281" s="15" t="str">
        <x:v>Bu</x:v>
      </x:c>
      <x:c r="E281" s="15" t="n">
        <x:v>245</x:v>
      </x:c>
      <x:c r="F281" s="15" t="str">
        <x:v>BU Led</x:v>
      </x:c>
      <x:c r="G281" s="15" t="str">
        <x:v>Sleep &amp; Respiratory Care (SRC)</x:v>
      </x:c>
      <x:c r="H281" s="15" t="str">
        <x:v>Windchil C&amp;CM</x:v>
      </x:c>
      <x:c r="I281" s="15" t="str">
        <x:v>New Initiative</x:v>
      </x:c>
      <x:c r="J281" s="15" t="str">
        <x:v>Legal Fiscal, Regulatory &amp; Compliancy</x:v>
      </x:c>
      <x:c r="K281" s="15" t="str">
        <x:v>Innovation and Digital IT</x:v>
      </x:c>
      <x:c r="L281" s="19" t="n">
        <x:v>1.655</x:v>
      </x:c>
      <x:c r="M281" s="19"/>
      <x:c r="N281" s="15" t="str">
        <x:v>Must Do</x:v>
      </x:c>
      <x:c r="O281" s="15" t="str">
        <x:v>Direct impact on CD and injunction lift which prohibits us to sell in NA; overall revenue for that category was ~1000 M before injunction</x:v>
      </x:c>
      <x:c r="P281" s="15" t="str">
        <x:v>We do not have any system implemented to store DHF and other files required for audit with complete trace and version history; this was also flagged as defeciency in audits</x:v>
      </x:c>
      <x:c r="Q281" s="15" t="str">
        <x:v>Implement Windchill C&amp;CM system for SRC to ensure compliance and avoid any potential fines</x:v>
      </x:c>
      <x:c r="R281" s="15" t="str"/>
      <x:c r="S281" s="15" t="str"/>
      <x:c r="T281" s="15" t="str"/>
    </x:row>
    <x:row r="282">
      <x:c r="A282" s="15" t="str">
        <x:v>Bu-105</x:v>
      </x:c>
      <x:c r="B282" s="15" t="str">
        <x:v>Bu-105</x:v>
      </x:c>
      <x:c r="C282" s="15" t="str"/>
      <x:c r="D282" s="15" t="str">
        <x:v>Bu</x:v>
      </x:c>
      <x:c r="E282" s="15" t="n">
        <x:v>246</x:v>
      </x:c>
      <x:c r="F282" s="15" t="str">
        <x:v>BU Led</x:v>
      </x:c>
      <x:c r="G282" s="15" t="str">
        <x:v>Sleep &amp; Respiratory Care (SRC)</x:v>
      </x:c>
      <x:c r="H282" s="15" t="str">
        <x:v>QMS Roles Standardization (Lumen) and Job Catalog alignment</x:v>
      </x:c>
      <x:c r="I282" s="15" t="str">
        <x:v>New Initiative</x:v>
      </x:c>
      <x:c r="J282" s="15" t="str">
        <x:v>Legal Fiscal, Regulatory &amp; Compliancy</x:v>
      </x:c>
      <x:c r="K282" s="15" t="str"/>
      <x:c r="L282" s="19" t="n">
        <x:v>0.04</x:v>
      </x:c>
      <x:c r="M282" s="19"/>
      <x:c r="N282" s="15" t="str">
        <x:v>Must Have</x:v>
      </x:c>
      <x:c r="O282" s="15" t="str">
        <x:v>Compliance impact</x:v>
      </x:c>
      <x:c r="P282" s="15" t="str">
        <x:v>We need to participate in a global program</x:v>
      </x:c>
      <x:c r="Q282" s="15" t="str">
        <x:v>We need to participate in a global program</x:v>
      </x:c>
      <x:c r="R282" s="15" t="str"/>
      <x:c r="S282" s="15" t="str"/>
      <x:c r="T282" s="15" t="str"/>
    </x:row>
    <x:row r="283">
      <x:c r="A283" s="15" t="str">
        <x:v>Bu-106</x:v>
      </x:c>
      <x:c r="B283" s="15" t="str">
        <x:v>Bu-106</x:v>
      </x:c>
      <x:c r="C283" s="15" t="str"/>
      <x:c r="D283" s="15" t="str">
        <x:v>Bu</x:v>
      </x:c>
      <x:c r="E283" s="15" t="n">
        <x:v>247</x:v>
      </x:c>
      <x:c r="F283" s="15" t="str">
        <x:v>BU Led</x:v>
      </x:c>
      <x:c r="G283" s="15" t="str">
        <x:v>Sleep &amp; Respiratory Care (SRC)</x:v>
      </x:c>
      <x:c r="H283" s="15" t="str">
        <x:v>Mammoth migration TEDS to Cornerstone (Wave 5)</x:v>
      </x:c>
      <x:c r="I283" s="15" t="str">
        <x:v>New Initiative</x:v>
      </x:c>
      <x:c r="J283" s="15" t="str">
        <x:v>Legal Fiscal, Regulatory &amp; Compliancy</x:v>
      </x:c>
      <x:c r="K283" s="15" t="str"/>
      <x:c r="L283" s="19" t="n">
        <x:v>0.01</x:v>
      </x:c>
      <x:c r="M283" s="19"/>
      <x:c r="N283" s="15" t="str">
        <x:v>Must Have</x:v>
      </x:c>
      <x:c r="O283" s="15" t="str">
        <x:v>Compliance impact</x:v>
      </x:c>
      <x:c r="P283" s="15" t="str">
        <x:v>We need to participate in a global program</x:v>
      </x:c>
      <x:c r="Q283" s="15" t="str">
        <x:v>We need to participate in a global program</x:v>
      </x:c>
      <x:c r="R283" s="15" t="str"/>
      <x:c r="S283" s="15" t="str"/>
      <x:c r="T283" s="15" t="str"/>
    </x:row>
    <x:row r="284">
      <x:c r="A284" s="15" t="str">
        <x:v>Bu-107</x:v>
      </x:c>
      <x:c r="B284" s="15" t="str">
        <x:v>Bu-107</x:v>
      </x:c>
      <x:c r="C284" s="15" t="str"/>
      <x:c r="D284" s="15" t="str">
        <x:v>Bu</x:v>
      </x:c>
      <x:c r="E284" s="15" t="n">
        <x:v>248</x:v>
      </x:c>
      <x:c r="F284" s="15" t="str">
        <x:v>BU Led</x:v>
      </x:c>
      <x:c r="G284" s="15" t="str">
        <x:v>Sleep &amp; Respiratory Care (SRC)</x:v>
      </x:c>
      <x:c r="H284" s="15" t="str">
        <x:v>Catalogue Phase 2</x:v>
      </x:c>
      <x:c r="I284" s="15" t="str">
        <x:v>New Initiative</x:v>
      </x:c>
      <x:c r="J284" s="15" t="str">
        <x:v>New Feature</x:v>
      </x:c>
      <x:c r="K284" s="15" t="str">
        <x:v>Innovation and Digital IT</x:v>
      </x:c>
      <x:c r="L284" s="19" t="n">
        <x:v>0</x:v>
      </x:c>
      <x:c r="M284" s="19" t="n">
        <x:v>50</x:v>
      </x:c>
      <x:c r="N284" s="15" t="str">
        <x:v>Must Do</x:v>
      </x:c>
      <x:c r="O284" s="15" t="str">
        <x:v>Direct impact on our NA Comeback program which targets revenue growth of 300-500 M over next 2 years</x:v>
      </x:c>
      <x:c r="P284" s="15" t="str">
        <x:v>We do not have a full fledged product catalogue for our customers and need that urgently for our NA Comeback program. We cannot go to the market without an accurate catalogue</x:v>
      </x:c>
      <x:c r="Q284" s="15" t="str">
        <x:v>Complete the catalogue project and ensure catalogue is available to our end customers for proper order management</x:v>
      </x:c>
      <x:c r="R284" s="15" t="str"/>
      <x:c r="S284" s="15" t="str"/>
      <x:c r="T284" s="15" t="str"/>
    </x:row>
    <x:row r="285">
      <x:c r="A285" s="15" t="str">
        <x:v>Bu-108</x:v>
      </x:c>
      <x:c r="B285" s="15" t="str">
        <x:v>Bu-108</x:v>
      </x:c>
      <x:c r="C285" s="15" t="str"/>
      <x:c r="D285" s="15" t="str">
        <x:v>Bu</x:v>
      </x:c>
      <x:c r="E285" s="15" t="n">
        <x:v>249</x:v>
      </x:c>
      <x:c r="F285" s="15" t="str">
        <x:v>BU Led</x:v>
      </x:c>
      <x:c r="G285" s="15" t="str">
        <x:v>Sleep &amp; Respiratory Care (SRC)</x:v>
      </x:c>
      <x:c r="H285" s="15" t="str">
        <x:v>Automation of offline sales process</x:v>
      </x:c>
      <x:c r="I285" s="15" t="str">
        <x:v>New Initiative</x:v>
      </x:c>
      <x:c r="J285" s="15" t="str">
        <x:v>Continous Improvement</x:v>
      </x:c>
      <x:c r="K285" s="15" t="str">
        <x:v>Integrated Supply Chain &amp; Finance</x:v>
      </x:c>
      <x:c r="L285" s="19" t="n">
        <x:v>0.1</x:v>
      </x:c>
      <x:c r="M285" s="19" t="n">
        <x:v>0.2</x:v>
      </x:c>
      <x:c r="N285" s="15" t="str">
        <x:v>Must Have</x:v>
      </x:c>
      <x:c r="O285" s="15" t="str">
        <x:v>Loss of revenue ~3M due to to delay in manual activities</x:v>
      </x:c>
      <x:c r="P285" s="15" t="str">
        <x:v>Lot of manual work from GBS leads to delay in revenue recognition and cancellation of orders</x:v>
      </x:c>
      <x:c r="Q285" s="15" t="str">
        <x:v>Automation of manual activtieswhich will lead to higher revenue recognition and less dependency on manual work</x:v>
      </x:c>
      <x:c r="R285" s="15" t="str"/>
      <x:c r="S285" s="15" t="str">
        <x:v>HEALTHY</x:v>
      </x:c>
      <x:c r="T285" s="15" t="str">
        <x:v>HEALTHY — Rank in priority matrix</x:v>
      </x:c>
    </x:row>
    <x:row r="286">
      <x:c r="A286" s="15" t="str">
        <x:v>Bu-109</x:v>
      </x:c>
      <x:c r="B286" s="15" t="str">
        <x:v>Bu-109</x:v>
      </x:c>
      <x:c r="C286" s="15" t="str"/>
      <x:c r="D286" s="15" t="str">
        <x:v>Bu</x:v>
      </x:c>
      <x:c r="E286" s="15" t="n">
        <x:v>250</x:v>
      </x:c>
      <x:c r="F286" s="15" t="str">
        <x:v>BU Led</x:v>
      </x:c>
      <x:c r="G286" s="15" t="str">
        <x:v>Sleep &amp; Respiratory Care (SRC)</x:v>
      </x:c>
      <x:c r="H286" s="15" t="str">
        <x:v>SAP changes CD related</x:v>
      </x:c>
      <x:c r="I286" s="15" t="str">
        <x:v>New Initiative</x:v>
      </x:c>
      <x:c r="J286" s="15" t="str">
        <x:v>Legal Fiscal, Regulatory &amp; Compliancy</x:v>
      </x:c>
      <x:c r="K286" s="15" t="str">
        <x:v>Integrated Supply Chain &amp; Finance</x:v>
      </x:c>
      <x:c r="L286" s="19" t="n">
        <x:v>0.3</x:v>
      </x:c>
      <x:c r="M286" s="19"/>
      <x:c r="N286" s="15" t="str">
        <x:v>Must Do</x:v>
      </x:c>
      <x:c r="O286" s="15" t="str">
        <x:v>Direct impact on CD and injunction lift which prohibits us to sell in NA; overall revenue for that category was ~1000 M before injunction</x:v>
      </x:c>
      <x:c r="P286" s="15" t="str">
        <x:v>CD related SAP changes</x:v>
      </x:c>
      <x:c r="Q286" s="15" t="str">
        <x:v>CD related SAP changes</x:v>
      </x:c>
      <x:c r="R286" s="15" t="str"/>
      <x:c r="S286" s="15" t="str"/>
      <x:c r="T286" s="15" t="str"/>
    </x:row>
    <x:row r="287">
      <x:c r="A287" s="15" t="str">
        <x:v>Bu-110</x:v>
      </x:c>
      <x:c r="B287" s="15" t="str">
        <x:v>Bu-110</x:v>
      </x:c>
      <x:c r="C287" s="15" t="str"/>
      <x:c r="D287" s="15" t="str">
        <x:v>Bu</x:v>
      </x:c>
      <x:c r="E287" s="15" t="n">
        <x:v>251</x:v>
      </x:c>
      <x:c r="F287" s="15" t="str">
        <x:v>BU Led</x:v>
      </x:c>
      <x:c r="G287" s="15" t="str">
        <x:v>Sleep &amp; Respiratory Care (SRC)</x:v>
      </x:c>
      <x:c r="H287" s="15" t="str">
        <x:v>Commercial Transformation 2027</x:v>
      </x:c>
      <x:c r="I287" s="15" t="str">
        <x:v>New Initiative</x:v>
      </x:c>
      <x:c r="J287" s="15" t="str">
        <x:v>New Feature</x:v>
      </x:c>
      <x:c r="K287" s="15" t="str">
        <x:v>Enterprise Architecture, Data &amp; Integration</x:v>
      </x:c>
      <x:c r="L287" s="19" t="n">
        <x:v>0.502</x:v>
      </x:c>
      <x:c r="M287" s="19" t="n">
        <x:v>1.25</x:v>
      </x:c>
      <x:c r="N287" s="15" t="str">
        <x:v>Must Do</x:v>
      </x:c>
      <x:c r="O287" s="15" t="str">
        <x:v>Critical for achieving our SPOR objective of driving margin (IR) improvement and revenue growth through AI-led, data-driven pricing decisions; we will miss our SPOR targets</x:v>
      </x:c>
      <x:c r="P287" s="15" t="str">
        <x:v>AI enabled agentic real-time asset tracking through the repair process</x:v>
      </x:c>
      <x:c r="Q287" s="15" t="str">
        <x:v>• Baseline creation for win rate, close ratio, activity quality, and field execution.</x:v>
      </x:c>
      <x:c r="R287" s="15" t="str"/>
      <x:c r="S287" s="15" t="str"/>
      <x:c r="T287" s="15" t="str"/>
    </x:row>
    <x:row r="288">
      <x:c r="A288" s="15" t="str">
        <x:v>Bu-111</x:v>
      </x:c>
      <x:c r="B288" s="15" t="str">
        <x:v>Bu-111</x:v>
      </x:c>
      <x:c r="C288" s="15" t="str"/>
      <x:c r="D288" s="15" t="str">
        <x:v>Bu</x:v>
      </x:c>
      <x:c r="E288" s="15" t="n">
        <x:v>258</x:v>
      </x:c>
      <x:c r="F288" s="15" t="str">
        <x:v>BU Led</x:v>
      </x:c>
      <x:c r="G288" s="15" t="str">
        <x:v>Sleep &amp; Respiratory Care (SRC)</x:v>
      </x:c>
      <x:c r="H288" s="15" t="str">
        <x:v>Project Nexus 2027</x:v>
      </x:c>
      <x:c r="I288" s="15" t="str">
        <x:v>New Initiative</x:v>
      </x:c>
      <x:c r="J288" s="15" t="str">
        <x:v>New Feature</x:v>
      </x:c>
      <x:c r="K288" s="15" t="str">
        <x:v>Enterprise Architecture, Data &amp; Integration</x:v>
      </x:c>
      <x:c r="L288" s="19" t="n">
        <x:v>0.534</x:v>
      </x:c>
      <x:c r="M288" s="19" t="n">
        <x:v>1.5</x:v>
      </x:c>
      <x:c r="N288" s="15" t="str">
        <x:v>Must Do</x:v>
      </x:c>
      <x:c r="O288" s="15" t="str">
        <x:v>Direct impact on our NA Comeback program which targets revenue growth of 300-500 M over next 2 years</x:v>
      </x:c>
      <x:c r="P288" s="15" t="str">
        <x:v>Across communication and transparency questions, a majority of respondents expressed concerns:</x:v>
      </x:c>
      <x:c r="Q288" s="15" t="str">
        <x:v>Executive Product Health with portfolio, revenue, margin, and lifecycle visibility.</x:v>
      </x:c>
      <x:c r="R288" s="15" t="str"/>
      <x:c r="S288" s="15" t="str"/>
      <x:c r="T288" s="15" t="str"/>
    </x:row>
    <x:row r="289">
      <x:c r="A289" s="15" t="str">
        <x:v>Bu-112</x:v>
      </x:c>
      <x:c r="B289" s="15" t="str">
        <x:v>Bu-112</x:v>
      </x:c>
      <x:c r="C289" s="15" t="str"/>
      <x:c r="D289" s="15" t="str">
        <x:v>Bu</x:v>
      </x:c>
      <x:c r="E289" s="15" t="n">
        <x:v>262</x:v>
      </x:c>
      <x:c r="F289" s="15" t="str">
        <x:v>BU Led</x:v>
      </x:c>
      <x:c r="G289" s="15" t="str">
        <x:v>Sleep &amp; Respiratory Care (SRC)</x:v>
      </x:c>
      <x:c r="H289" s="15" t="str">
        <x:v>ISC and CS Transformation 2027</x:v>
      </x:c>
      <x:c r="I289" s="15" t="str">
        <x:v>New Initiative</x:v>
      </x:c>
      <x:c r="J289" s="15" t="str">
        <x:v>New Feature</x:v>
      </x:c>
      <x:c r="K289" s="15" t="str">
        <x:v>Enterprise Architecture, Data &amp; Integration</x:v>
      </x:c>
      <x:c r="L289" s="19" t="n">
        <x:v>0.513</x:v>
      </x:c>
      <x:c r="M289" s="19" t="n">
        <x:v>1.25</x:v>
      </x:c>
      <x:c r="N289" s="15" t="str">
        <x:v>Must Do</x:v>
      </x:c>
      <x:c r="O289" s="15" t="str">
        <x:v>Impact of 2M on productivity savings and revenue growth</x:v>
      </x:c>
      <x:c r="P289" s="15" t="str">
        <x:v>Assessment gate, architecture/resource plan, Inventory CDM-to-Pricing CDM join, MVP: gross/on-hand inventory, WoW/MoM trends, SKU-location drilldown, first health view (Blocked &amp; Quality), refresh/data-quality controls.</x:v>
      </x:c>
      <x:c r="Q289" s="15" t="str">
        <x:v>NAM and IR customer price lists to consume APL as a backend to populate / manage pricing by customer.</x:v>
      </x:c>
      <x:c r="R289" s="15" t="str"/>
      <x:c r="S289" s="15" t="str"/>
      <x:c r="T289" s="15" t="str"/>
    </x:row>
    <x:row r="290">
      <x:c r="A290" s="15" t="str">
        <x:v>Bu-113</x:v>
      </x:c>
      <x:c r="B290" s="15" t="str">
        <x:v>Bu-113</x:v>
      </x:c>
      <x:c r="C290" s="15" t="str"/>
      <x:c r="D290" s="15" t="str">
        <x:v>Bu</x:v>
      </x:c>
      <x:c r="E290" s="15" t="n">
        <x:v>265</x:v>
      </x:c>
      <x:c r="F290" s="15" t="str">
        <x:v>BU Led</x:v>
      </x:c>
      <x:c r="G290" s="15" t="str">
        <x:v>Sleep &amp; Respiratory Care (SRC)</x:v>
      </x:c>
      <x:c r="H290" s="15" t="str">
        <x:v>Sales &amp; Marketing Transformation 2027</x:v>
      </x:c>
      <x:c r="I290" s="15" t="str">
        <x:v>New Initiative</x:v>
      </x:c>
      <x:c r="J290" s="15" t="str">
        <x:v>New Feature</x:v>
      </x:c>
      <x:c r="K290" s="15" t="str">
        <x:v>Enterprise Architecture, Data &amp; Integration</x:v>
      </x:c>
      <x:c r="L290" s="19" t="n">
        <x:v>0.501</x:v>
      </x:c>
      <x:c r="M290" s="19" t="n">
        <x:v>1.7</x:v>
      </x:c>
      <x:c r="N290" s="15" t="str">
        <x:v>Must Do</x:v>
      </x:c>
      <x:c r="O290" s="15" t="str">
        <x:v>Critical for achieving our SPOR objective of driving margin (IR) improvement and revenue growth through AI-led, data-driven pricing decisions; we will miss our SPOR targets</x:v>
      </x:c>
      <x:c r="P290" s="15" t="str">
        <x:v>Fundamental governed digital catalog with core product data and content</x:v>
      </x:c>
      <x:c r="Q290" s="15" t="str">
        <x:v>Competitive Intelligence Command Center</x:v>
      </x:c>
      <x:c r="R290" s="15" t="str"/>
      <x:c r="S290" s="15" t="str"/>
      <x:c r="T290" s="15" t="str"/>
    </x:row>
    <x:row r="291">
      <x:c r="A291" s="15" t="str">
        <x:v>Bu-114</x:v>
      </x:c>
      <x:c r="B291" s="15" t="str">
        <x:v>Bu-114</x:v>
      </x:c>
      <x:c r="C291" s="15" t="str"/>
      <x:c r="D291" s="15" t="str">
        <x:v>Bu</x:v>
      </x:c>
      <x:c r="E291" s="15" t="n">
        <x:v>275</x:v>
      </x:c>
      <x:c r="F291" s="15" t="str">
        <x:v>BU Led</x:v>
      </x:c>
      <x:c r="G291" s="15" t="str">
        <x:v>Sleep &amp; Respiratory Care (SRC)</x:v>
      </x:c>
      <x:c r="H291" s="15" t="str">
        <x:v>Project Keystone 2027</x:v>
      </x:c>
      <x:c r="I291" s="15" t="str">
        <x:v>New Initiative</x:v>
      </x:c>
      <x:c r="J291" s="15" t="str">
        <x:v>New Feature</x:v>
      </x:c>
      <x:c r="K291" s="15" t="str">
        <x:v>Enterprise Architecture, Data &amp; Integration</x:v>
      </x:c>
      <x:c r="L291" s="19" t="n">
        <x:v>0.6</x:v>
      </x:c>
      <x:c r="M291" s="19" t="n">
        <x:v>1.8</x:v>
      </x:c>
      <x:c r="N291" s="15" t="str">
        <x:v>Must Do</x:v>
      </x:c>
      <x:c r="O291" s="15" t="str">
        <x:v>Direct impact on our NA Comeback program which targets revenue growth of 300-500 M over next 2 years</x:v>
      </x:c>
      <x:c r="P291" s="15" t="str">
        <x:v>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x:v>
      </x:c>
      <x:c r="Q291" s="15" t="str">
        <x:v>. Agentic AI Platform Setup</x:v>
      </x:c>
      <x:c r="R291" s="15" t="str"/>
      <x:c r="S291" s="15" t="str"/>
      <x:c r="T291" s="15" t="str"/>
    </x:row>
    <x:row r="292">
      <x:c r="A292" s="15" t="str">
        <x:v>Bu-115</x:v>
      </x:c>
      <x:c r="B292" s="15" t="str">
        <x:v>Bu-115</x:v>
      </x:c>
      <x:c r="C292" s="15" t="str"/>
      <x:c r="D292" s="15" t="str">
        <x:v>Bu</x:v>
      </x:c>
      <x:c r="E292" s="15" t="n">
        <x:v>285</x:v>
      </x:c>
      <x:c r="F292" s="15" t="str">
        <x:v>BU Led</x:v>
      </x:c>
      <x:c r="G292" s="15" t="str">
        <x:v>Sleep &amp; Respiratory Care (SRC)</x:v>
      </x:c>
      <x:c r="H292" s="15" t="str">
        <x:v>SFDC NAM Changes</x:v>
      </x:c>
      <x:c r="I292" s="15" t="str">
        <x:v>New Initiative</x:v>
      </x:c>
      <x:c r="J292" s="15" t="str">
        <x:v>Continous Improvement</x:v>
      </x:c>
      <x:c r="K292" s="15" t="str">
        <x:v>Commercial IT</x:v>
      </x:c>
      <x:c r="L292" s="19" t="n">
        <x:v>0.08</x:v>
      </x:c>
      <x:c r="M292" s="19" t="n">
        <x:v>0.25</x:v>
      </x:c>
      <x:c r="N292" s="15" t="str">
        <x:v>Must Do</x:v>
      </x:c>
      <x:c r="O292" s="15" t="str">
        <x:v>Critical for standardizing the WoW and without this, we will not be able to realize benefits</x:v>
      </x:c>
      <x:c r="P292" s="15" t="str">
        <x:v>Introduce a checkbox on Opportunity create/update to set Commits equal to Target — eliminating a frequent, error-prone manual step that currently slows forecasting accuracy.</x:v>
      </x:c>
      <x:c r="Q292" s="15" t="str">
        <x:v>Checkbox on Opportunity create/update to set Commits equal to Target.</x:v>
      </x:c>
      <x:c r="R292" s="15" t="str"/>
      <x:c r="S292" s="15" t="str"/>
      <x:c r="T292" s="15" t="str"/>
    </x:row>
    <x:row r="293">
      <x:c r="A293" s="15" t="str">
        <x:v>Bu-116</x:v>
      </x:c>
      <x:c r="B293" s="15" t="str">
        <x:v>Bu-116</x:v>
      </x:c>
      <x:c r="C293" s="15" t="str"/>
      <x:c r="D293" s="15" t="str">
        <x:v>Bu</x:v>
      </x:c>
      <x:c r="E293" s="15" t="n">
        <x:v>291</x:v>
      </x:c>
      <x:c r="F293" s="15" t="str">
        <x:v>BU Led</x:v>
      </x:c>
      <x:c r="G293" s="15" t="str">
        <x:v>Sleep &amp; Respiratory Care (SRC)</x:v>
      </x:c>
      <x:c r="H293" s="15" t="str">
        <x:v>SRC Uno Analytics</x:v>
      </x:c>
      <x:c r="I293" s="15" t="str">
        <x:v>New Initiative</x:v>
      </x:c>
      <x:c r="J293" s="15" t="str">
        <x:v>Legal Fiscal, Regulatory &amp; Compliancy</x:v>
      </x:c>
      <x:c r="K293" s="15" t="str">
        <x:v>Services &amp; Solutions IT</x:v>
      </x:c>
      <x:c r="L293" s="19" t="n">
        <x:v>0.08</x:v>
      </x:c>
      <x:c r="M293" s="19"/>
      <x:c r="N293" s="15" t="str">
        <x:v>Must Do</x:v>
      </x:c>
      <x:c r="O293" s="15" t="str">
        <x:v>Direct impact on CD and injunction lift which prohibits us to sell in NA; overall revenue for that category was ~1000 M before injunction</x:v>
      </x:c>
      <x:c r="P293" s="15" t="str">
        <x:v>Lack visibility into recall related metrics and information</x:v>
      </x:c>
      <x:c r="Q293" s="15" t="str">
        <x:v>Recall related reports as requested by PS&amp;Q team</x:v>
      </x:c>
      <x:c r="R293" s="15" t="str"/>
      <x:c r="S293" s="15" t="str"/>
      <x:c r="T293" s="15" t="str"/>
    </x:row>
    <x:row r="294">
      <x:c r="A294" s="15" t="str">
        <x:v>Bu-117</x:v>
      </x:c>
      <x:c r="B294" s="15" t="str">
        <x:v>Bu-117</x:v>
      </x:c>
      <x:c r="C294" s="15" t="str"/>
      <x:c r="D294" s="15" t="str">
        <x:v>Bu</x:v>
      </x:c>
      <x:c r="E294" s="15" t="n">
        <x:v>292</x:v>
      </x:c>
      <x:c r="F294" s="15" t="str">
        <x:v>BU Led</x:v>
      </x:c>
      <x:c r="G294" s="15" t="str">
        <x:v>Sleep &amp; Respiratory Care (SRC)</x:v>
      </x:c>
      <x:c r="H294" s="15" t="str">
        <x:v>SRC Uno Data Lake</x:v>
      </x:c>
      <x:c r="I294" s="15" t="str">
        <x:v>New Initiative</x:v>
      </x:c>
      <x:c r="J294" s="15" t="str">
        <x:v>Legal Fiscal, Regulatory &amp; Compliancy</x:v>
      </x:c>
      <x:c r="K294" s="15" t="str">
        <x:v>Services &amp; Solutions IT</x:v>
      </x:c>
      <x:c r="L294" s="19" t="n">
        <x:v>0.13</x:v>
      </x:c>
      <x:c r="M294" s="19"/>
      <x:c r="N294" s="15" t="str">
        <x:v>Must Do</x:v>
      </x:c>
      <x:c r="O294" s="15" t="str">
        <x:v>Direct impact on CD and injunction lift which prohibits us to sell in NA; overall revenue for that category was ~1000 M before injunction</x:v>
      </x:c>
      <x:c r="P294" s="15" t="str">
        <x:v>Data Lake costs to supports recall related analytics</x:v>
      </x:c>
      <x:c r="Q294" s="15" t="str">
        <x:v>Data Lake costs to supports recall related analytics</x:v>
      </x:c>
      <x:c r="R294" s="15" t="str"/>
      <x:c r="S294" s="15" t="str"/>
      <x:c r="T294" s="15" t="str"/>
    </x:row>
    <x:row r="295">
      <x:c r="A295" s="15" t="str">
        <x:v>Bu-118</x:v>
      </x:c>
      <x:c r="B295" s="15" t="str">
        <x:v>Bu-118</x:v>
      </x:c>
      <x:c r="C295" s="15" t="str">
        <x:v>1007030</x:v>
      </x:c>
      <x:c r="D295" s="15" t="str">
        <x:v>Bu</x:v>
      </x:c>
      <x:c r="E295" s="15" t="n">
        <x:v>293</x:v>
      </x:c>
      <x:c r="F295" s="15" t="str">
        <x:v>BU Led</x:v>
      </x:c>
      <x:c r="G295" s="15" t="str">
        <x:v>Image Guided Therapy - Systems (IGT-S)</x:v>
      </x:c>
      <x:c r="H295" s="15" t="str">
        <x:v>Planisware/PARP, QlikSense/ADL, cPLM (Windchill)</x:v>
      </x:c>
      <x:c r="I295" s="15" t="str">
        <x:v>Carry Over</x:v>
      </x:c>
      <x:c r="J295" s="15" t="str">
        <x:v>New Feature</x:v>
      </x:c>
      <x:c r="K295" s="15" t="str">
        <x:v>Innovation and Digital IT</x:v>
      </x:c>
      <x:c r="L295" s="19" t="n">
        <x:v>0.515</x:v>
      </x:c>
      <x:c r="M295" s="19" t="n">
        <x:v>1.723</x:v>
      </x:c>
      <x:c r="N295" s="15" t="str">
        <x:v>Must Have</x:v>
      </x:c>
      <x:c r="O295" s="15" t="str">
        <x:v>Delays improvements to R&amp;D planning, engineering collaboration, reporting and decision-making capabilities, resulting in continued manual workarounds, reduced productivity, lower data quality, and delayed execution of engineering and portfolio-management processes.</x:v>
      </x:c>
      <x:c r="P295" s="15" t="str">
        <x:v>1. Continued enhancement to PLW/PARP will drive better planning, forecasting, and decision-making through improved data quality, transparency, operational efficiency, and integrated project and resource management.</x:v>
      </x:c>
      <x:c r="Q295" s="15" t="str">
        <x:v>1. continued enhancement to PLW/PARP will drive better planning, forecasting, and decision-making through improved data quality, transparency, operational efficiency, and integrated project and resource management.</x:v>
      </x:c>
      <x:c r="R295" s="15" t="str"/>
      <x:c r="S295" s="15" t="str"/>
      <x:c r="T295" s="15" t="str"/>
    </x:row>
    <x:row r="296">
      <x:c r="A296" s="15" t="str">
        <x:v>Bu-119</x:v>
      </x:c>
      <x:c r="B296" s="15" t="str">
        <x:v>Bu-119</x:v>
      </x:c>
      <x:c r="C296" s="15" t="str"/>
      <x:c r="D296" s="15" t="str">
        <x:v>Bu</x:v>
      </x:c>
      <x:c r="E296" s="15" t="n">
        <x:v>296</x:v>
      </x:c>
      <x:c r="F296" s="15" t="str">
        <x:v>BU Led</x:v>
      </x:c>
      <x:c r="G296" s="15" t="str"/>
      <x:c r="H296" s="15" t="str"/>
      <x:c r="I296" s="15" t="str"/>
      <x:c r="J296" s="15" t="str"/>
      <x:c r="K296" s="15" t="str"/>
      <x:c r="L296" s="19" t="n">
        <x:v>0</x:v>
      </x:c>
      <x:c r="M296" s="19"/>
      <x:c r="N296" s="15" t="str"/>
      <x:c r="O296" s="15" t="str"/>
      <x:c r="P296" s="15" t="str"/>
      <x:c r="Q296" s="15" t="str"/>
      <x:c r="R296" s="15" t="str"/>
      <x:c r="S296" s="15" t="str"/>
      <x:c r="T296" s="15" t="str"/>
    </x:row>
    <x:row r="297">
      <x:c r="A297" s="15" t="str">
        <x:v>Bu-120</x:v>
      </x:c>
      <x:c r="B297" s="15" t="str">
        <x:v>Bu-120</x:v>
      </x:c>
      <x:c r="C297" s="15" t="str"/>
      <x:c r="D297" s="15" t="str">
        <x:v>Bu</x:v>
      </x:c>
      <x:c r="E297" s="15" t="n">
        <x:v>297</x:v>
      </x:c>
      <x:c r="F297" s="15" t="str">
        <x:v>BU Led</x:v>
      </x:c>
      <x:c r="G297" s="15" t="str"/>
      <x:c r="H297" s="15" t="str"/>
      <x:c r="I297" s="15" t="str"/>
      <x:c r="J297" s="15" t="str"/>
      <x:c r="K297" s="15" t="str"/>
      <x:c r="L297" s="19" t="n">
        <x:v>0</x:v>
      </x:c>
      <x:c r="M297" s="19"/>
      <x:c r="N297" s="15" t="str"/>
      <x:c r="O297" s="15" t="str"/>
      <x:c r="P297" s="15" t="str"/>
      <x:c r="Q297" s="15" t="str"/>
      <x:c r="R297" s="15" t="str"/>
      <x:c r="S297" s="15" t="str"/>
      <x:c r="T297" s="15" t="str"/>
    </x:row>
    <x:row r="298">
      <x:c r="A298" s="15" t="str">
        <x:v>Bu-121</x:v>
      </x:c>
      <x:c r="B298" s="15" t="str">
        <x:v>Bu-121</x:v>
      </x:c>
      <x:c r="C298" s="15" t="str"/>
      <x:c r="D298" s="15" t="str">
        <x:v>Bu</x:v>
      </x:c>
      <x:c r="E298" s="15" t="n">
        <x:v>298</x:v>
      </x:c>
      <x:c r="F298" s="15" t="str">
        <x:v>BU Led</x:v>
      </x:c>
      <x:c r="G298" s="15" t="str"/>
      <x:c r="H298" s="15" t="str"/>
      <x:c r="I298" s="15" t="str"/>
      <x:c r="J298" s="15" t="str"/>
      <x:c r="K298" s="15" t="str"/>
      <x:c r="L298" s="19" t="n">
        <x:v>0</x:v>
      </x:c>
      <x:c r="M298" s="19"/>
      <x:c r="N298" s="15" t="str"/>
      <x:c r="O298" s="15" t="str"/>
      <x:c r="P298" s="15" t="str"/>
      <x:c r="Q298" s="15" t="str"/>
      <x:c r="R298" s="15" t="str"/>
      <x:c r="S298" s="15" t="str"/>
      <x:c r="T298" s="15" t="str"/>
    </x:row>
    <x:row r="299">
      <x:c r="A299" s="15" t="str">
        <x:v>Bu-122</x:v>
      </x:c>
      <x:c r="B299" s="15" t="str">
        <x:v>Bu-122</x:v>
      </x:c>
      <x:c r="C299" s="15" t="str"/>
      <x:c r="D299" s="15" t="str">
        <x:v>Bu</x:v>
      </x:c>
      <x:c r="E299" s="15" t="n">
        <x:v>299</x:v>
      </x:c>
      <x:c r="F299" s="15" t="str">
        <x:v>BU Led</x:v>
      </x:c>
      <x:c r="G299" s="15" t="str">
        <x:v>Service Transformation Office (STO)</x:v>
      </x:c>
      <x:c r="H299" s="15" t="str"/>
      <x:c r="I299" s="15" t="str"/>
      <x:c r="J299" s="15" t="str"/>
      <x:c r="K299" s="15" t="str"/>
      <x:c r="L299" s="19" t="n">
        <x:v>0</x:v>
      </x:c>
      <x:c r="M299" s="19"/>
      <x:c r="N299" s="15" t="str"/>
      <x:c r="O299" s="15" t="str"/>
      <x:c r="P299" s="15" t="str"/>
      <x:c r="Q299" s="15" t="str"/>
      <x:c r="R299" s="15" t="str"/>
      <x:c r="S299" s="15" t="str"/>
      <x:c r="T299" s="15" t="str"/>
    </x:row>
    <x:row r="300">
      <x:c r="A300" s="15" t="str">
        <x:v>Bu-123</x:v>
      </x:c>
      <x:c r="B300" s="15" t="str">
        <x:v>Bu-123</x:v>
      </x:c>
      <x:c r="C300" s="15" t="str"/>
      <x:c r="D300" s="15" t="str">
        <x:v>Bu</x:v>
      </x:c>
      <x:c r="E300" s="15" t="n">
        <x:v>300</x:v>
      </x:c>
      <x:c r="F300" s="15" t="str">
        <x:v>BU Led</x:v>
      </x:c>
      <x:c r="G300" s="15" t="str">
        <x:v>Service Transformation Office (STO)</x:v>
      </x:c>
      <x:c r="H300" s="15" t="str">
        <x:v>TrueContext replacement</x:v>
      </x:c>
      <x:c r="I300" s="15" t="str">
        <x:v>New Initiative</x:v>
      </x:c>
      <x:c r="J300" s="15" t="str">
        <x:v>Decomm/Replatforming</x:v>
      </x:c>
      <x:c r="K300" s="15" t="str">
        <x:v>Services &amp; Solutions IT</x:v>
      </x:c>
      <x:c r="L300" s="19" t="n">
        <x:v>0.7</x:v>
      </x:c>
      <x:c r="M300" s="19"/>
      <x:c r="N300" s="15" t="str"/>
      <x:c r="O300" s="15" t="str"/>
      <x:c r="P300" s="15" t="str"/>
      <x:c r="Q300" s="15" t="str"/>
      <x:c r="R300" s="15" t="str"/>
      <x:c r="S300" s="15" t="str"/>
      <x:c r="T300" s="15" t="str"/>
    </x:row>
    <x:row r="301">
      <x:c r="A301" s="15" t="str">
        <x:v>Bu-124</x:v>
      </x:c>
      <x:c r="B301" s="15" t="str">
        <x:v>Bu-124</x:v>
      </x:c>
      <x:c r="C301" s="15" t="str"/>
      <x:c r="D301" s="15" t="str">
        <x:v>Bu</x:v>
      </x:c>
      <x:c r="E301" s="15" t="n">
        <x:v>301</x:v>
      </x:c>
      <x:c r="F301" s="15" t="str">
        <x:v>BU Led</x:v>
      </x:c>
      <x:c r="G301" s="15" t="str">
        <x:v>Service Transformation Office (STO)</x:v>
      </x:c>
      <x:c r="H301" s="15" t="str">
        <x:v>Decisions replacement</x:v>
      </x:c>
      <x:c r="I301" s="15" t="str">
        <x:v>New Initiative</x:v>
      </x:c>
      <x:c r="J301" s="15" t="str">
        <x:v>Decomm/Replatforming</x:v>
      </x:c>
      <x:c r="K301" s="15" t="str">
        <x:v>Services &amp; Solutions IT</x:v>
      </x:c>
      <x:c r="L301" s="19" t="n">
        <x:v>0.1</x:v>
      </x:c>
      <x:c r="M301" s="19"/>
      <x:c r="N301" s="15" t="str"/>
      <x:c r="O301" s="15" t="str"/>
      <x:c r="P301" s="15" t="str"/>
      <x:c r="Q301" s="15" t="str"/>
      <x:c r="R301" s="15" t="str"/>
      <x:c r="S301" s="15" t="str"/>
      <x:c r="T301" s="15" t="str"/>
    </x:row>
    <x:row r="302">
      <x:c r="A302" s="15" t="str">
        <x:v>Bu-125</x:v>
      </x:c>
      <x:c r="B302" s="15" t="str">
        <x:v>Bu-125</x:v>
      </x:c>
      <x:c r="C302" s="15" t="str"/>
      <x:c r="D302" s="15" t="str">
        <x:v>Bu</x:v>
      </x:c>
      <x:c r="E302" s="15" t="n">
        <x:v>302</x:v>
      </x:c>
      <x:c r="F302" s="15" t="str">
        <x:v>BU Led</x:v>
      </x:c>
      <x:c r="G302" s="15" t="str">
        <x:v>Service Transformation Office (STO)</x:v>
      </x:c>
      <x:c r="H302" s="15" t="str">
        <x:v>PS Cloud replacement</x:v>
      </x:c>
      <x:c r="I302" s="15" t="str">
        <x:v>New Initiative</x:v>
      </x:c>
      <x:c r="J302" s="15" t="str">
        <x:v>Decomm/Replatforming</x:v>
      </x:c>
      <x:c r="K302" s="15" t="str">
        <x:v>Services &amp; Solutions IT</x:v>
      </x:c>
      <x:c r="L302" s="19" t="n">
        <x:v>0.7</x:v>
      </x:c>
      <x:c r="M302" s="19"/>
      <x:c r="N302" s="15" t="str"/>
      <x:c r="O302" s="15" t="str"/>
      <x:c r="P302" s="15" t="str"/>
      <x:c r="Q302" s="15" t="str"/>
      <x:c r="R302" s="15" t="str"/>
      <x:c r="S302" s="15" t="str"/>
      <x:c r="T302" s="15" t="str"/>
    </x:row>
    <x:row r="303">
      <x:c r="A303" s="15" t="str">
        <x:v>Bu-126</x:v>
      </x:c>
      <x:c r="B303" s="15" t="str">
        <x:v>Bu-126</x:v>
      </x:c>
      <x:c r="C303" s="15" t="str"/>
      <x:c r="D303" s="15" t="str">
        <x:v>Bu</x:v>
      </x:c>
      <x:c r="E303" s="15" t="n">
        <x:v>303</x:v>
      </x:c>
      <x:c r="F303" s="15" t="str">
        <x:v>BU Led</x:v>
      </x:c>
      <x:c r="G303" s="15" t="str">
        <x:v>Service Transformation Office (STO)</x:v>
      </x:c>
      <x:c r="H303" s="15" t="str">
        <x:v>Incenter replacement</x:v>
      </x:c>
      <x:c r="I303" s="15" t="str">
        <x:v>New Initiative</x:v>
      </x:c>
      <x:c r="J303" s="15" t="str">
        <x:v>Decomm/Replatforming</x:v>
      </x:c>
      <x:c r="K303" s="15" t="str">
        <x:v>Services &amp; Solutions IT</x:v>
      </x:c>
      <x:c r="L303" s="19" t="n">
        <x:v>0.8</x:v>
      </x:c>
      <x:c r="M303" s="19"/>
      <x:c r="N303" s="15" t="str"/>
      <x:c r="O303" s="15" t="str"/>
      <x:c r="P303" s="15" t="str"/>
      <x:c r="Q303" s="15" t="str"/>
      <x:c r="R303" s="15" t="str"/>
      <x:c r="S303" s="15" t="str"/>
      <x:c r="T303" s="15" t="str"/>
    </x:row>
    <x:row r="304">
      <x:c r="A304" s="15" t="str">
        <x:v>Bu-127</x:v>
      </x:c>
      <x:c r="B304" s="15" t="str">
        <x:v>Bu-127</x:v>
      </x:c>
      <x:c r="C304" s="15" t="str">
        <x:v>1004996</x:v>
      </x:c>
      <x:c r="D304" s="15" t="str">
        <x:v>Bu</x:v>
      </x:c>
      <x:c r="E304" s="15" t="n">
        <x:v>304</x:v>
      </x:c>
      <x:c r="F304" s="15" t="str">
        <x:v>BU Led</x:v>
      </x:c>
      <x:c r="G304" s="15" t="str">
        <x:v>Precision Diagnosis - Ultrasound (PDU)</x:v>
      </x:c>
      <x:c r="H304" s="15" t="str">
        <x:v>Probe Repair</x:v>
      </x:c>
      <x:c r="I304" s="15" t="str">
        <x:v>Delayed</x:v>
      </x:c>
      <x:c r="J304" s="15" t="str">
        <x:v>New Feature</x:v>
      </x:c>
      <x:c r="K304" s="15" t="str">
        <x:v>Services &amp; Solutions IT</x:v>
      </x:c>
      <x:c r="L304" s="19" t="n">
        <x:v>0.25</x:v>
      </x:c>
      <x:c r="M304" s="19" t="n">
        <x:v>8</x:v>
      </x:c>
      <x:c r="N304" s="15" t="str">
        <x:v>Must Do</x:v>
      </x:c>
      <x:c r="O304" s="15" t="str"/>
      <x:c r="P304" s="15" t="str">
        <x:v>Objective of the program is to increase contract penetration by targeting Winback Customers that are utilizing 3rd-party repair services and/or Customers with little to no service spend.</x:v>
      </x:c>
      <x:c r="Q304" s="15" t="str">
        <x:v>3rd-party repair services and/or Customers with little to no service spend.</x:v>
      </x:c>
      <x:c r="R304" s="15" t="str">
        <x:v>None</x:v>
      </x:c>
      <x:c r="S304" s="15" t="str"/>
      <x:c r="T304" s="15" t="str"/>
    </x:row>
    <x:row r="305">
      <x:c r="A305" s="15" t="str">
        <x:v>Bu-128</x:v>
      </x:c>
      <x:c r="B305" s="15" t="str">
        <x:v>Bu-128</x:v>
      </x:c>
      <x:c r="C305" s="15" t="str"/>
      <x:c r="D305" s="15" t="str">
        <x:v>Bu</x:v>
      </x:c>
      <x:c r="E305" s="15" t="n">
        <x:v>305</x:v>
      </x:c>
      <x:c r="F305" s="15" t="str">
        <x:v>BU Led</x:v>
      </x:c>
      <x:c r="G305" s="15" t="str">
        <x:v>Precision Diagnosis - Ultrasound (PDU)</x:v>
      </x:c>
      <x:c r="H305" s="15" t="str">
        <x:v>Ultrasound Simplification</x:v>
      </x:c>
      <x:c r="I305" s="15" t="str">
        <x:v>New Initiative</x:v>
      </x:c>
      <x:c r="J305" s="15" t="str">
        <x:v>Continous Improvement</x:v>
      </x:c>
      <x:c r="K305" s="15" t="str">
        <x:v>Innovation and Digital IT</x:v>
      </x:c>
      <x:c r="L305" s="19" t="n">
        <x:v>0.45</x:v>
      </x:c>
      <x:c r="M305" s="19"/>
      <x:c r="N305" s="15" t="str">
        <x:v>Must Do</x:v>
      </x:c>
      <x:c r="O305" s="15" t="str"/>
      <x:c r="P305" s="15" t="str">
        <x:v>Simplification initiatives</x:v>
      </x:c>
      <x:c r="Q305" s="15" t="str">
        <x:v>Scope may include, but not limited to:</x:v>
      </x:c>
      <x:c r="R305" s="15" t="str">
        <x:v>None</x:v>
      </x:c>
      <x:c r="S305" s="15" t="str">
        <x:v>HEALTHY</x:v>
      </x:c>
      <x:c r="T305" s="15" t="str">
        <x:v>HEALTHY — Rank in priority matrix</x:v>
      </x:c>
    </x:row>
    <x:row r="306">
      <x:c r="A306" s="15" t="str">
        <x:v>Bu-129</x:v>
      </x:c>
      <x:c r="B306" s="15" t="str">
        <x:v>Bu-129</x:v>
      </x:c>
      <x:c r="C306" s="15" t="str"/>
      <x:c r="D306" s="15" t="str">
        <x:v>Bu</x:v>
      </x:c>
      <x:c r="E306" s="15" t="n">
        <x:v>313</x:v>
      </x:c>
      <x:c r="F306" s="15" t="str">
        <x:v>BU Led</x:v>
      </x:c>
      <x:c r="G306" s="15" t="str">
        <x:v>Precision Diagnosis - Ultrasound (PDU)</x:v>
      </x:c>
      <x:c r="H306" s="15" t="str">
        <x:v>Ultrasound Data &amp; AI</x:v>
      </x:c>
      <x:c r="I306" s="15" t="str">
        <x:v>New Initiative</x:v>
      </x:c>
      <x:c r="J306" s="15" t="str">
        <x:v>AI Enablement</x:v>
      </x:c>
      <x:c r="K306" s="15" t="str">
        <x:v>Enterprise Architecture, Data &amp; Integration</x:v>
      </x:c>
      <x:c r="L306" s="19" t="n">
        <x:v>0.3</x:v>
      </x:c>
      <x:c r="M306" s="19"/>
      <x:c r="N306" s="15" t="str">
        <x:v>Must Do</x:v>
      </x:c>
      <x:c r="O306" s="15" t="str"/>
      <x:c r="P306" s="15" t="str">
        <x:v>Data and AI intiatives</x:v>
      </x:c>
      <x:c r="Q306" s="15" t="str">
        <x:v>Scope may include, but not limited to:</x:v>
      </x:c>
      <x:c r="R306" s="15" t="str">
        <x:v>None</x:v>
      </x:c>
      <x:c r="S306" s="15" t="str">
        <x:v>HEALTHY</x:v>
      </x:c>
      <x:c r="T306" s="15" t="str">
        <x:v>HEALTHY — Rank in priority matrix</x:v>
      </x:c>
    </x:row>
    <x:row r="307">
      <x:c r="A307" s="15" t="str">
        <x:v>Bu-130</x:v>
      </x:c>
      <x:c r="B307" s="15" t="str">
        <x:v>Bu-130</x:v>
      </x:c>
      <x:c r="C307" s="15" t="str"/>
      <x:c r="D307" s="15" t="str">
        <x:v>Bu</x:v>
      </x:c>
      <x:c r="E307" s="15" t="n">
        <x:v>320</x:v>
      </x:c>
      <x:c r="F307" s="15" t="str">
        <x:v>BU Led</x:v>
      </x:c>
      <x:c r="G307" s="15" t="str">
        <x:v>Enterprise Informatics (EI)</x:v>
      </x:c>
      <x:c r="H307" s="15" t="str">
        <x:v>LEM: LEM Onboarding and Change Requests</x:v>
      </x:c>
      <x:c r="I307" s="15" t="str">
        <x:v>New Initiative</x:v>
      </x:c>
      <x:c r="J307" s="15" t="str">
        <x:v>New Technology</x:v>
      </x:c>
      <x:c r="K307" s="15" t="str">
        <x:v>Services &amp; Solutions IT</x:v>
      </x:c>
      <x:c r="L307" s="19" t="n">
        <x:v>0.35</x:v>
      </x:c>
      <x:c r="M307" s="19"/>
      <x:c r="N307" s="15" t="str">
        <x:v>Must Do</x:v>
      </x:c>
      <x:c r="O307" s="15" t="str"/>
      <x:c r="P307" s="15" t="str">
        <x:v>Replace WisKey and Enhance Sentinal with funcitonalities that are required for EI</x:v>
      </x:c>
      <x:c r="Q307" s="15" t="str">
        <x:v>SNOW to Sentinel integration, Auto activation and related functionalities. CVI Auto Activation process, CardioNow - ICR Onboarding, Service Now - SAM for entitlement management and PNL for license operations.</x:v>
      </x:c>
      <x:c r="R307" s="15" t="str"/>
      <x:c r="S307" s="15" t="str"/>
      <x:c r="T307" s="15" t="str"/>
    </x:row>
    <x:row r="308">
      <x:c r="A308" s="15" t="str">
        <x:v>Bu-131</x:v>
      </x:c>
      <x:c r="B308" s="15" t="str">
        <x:v>Bu-131</x:v>
      </x:c>
      <x:c r="C308" s="15" t="str"/>
      <x:c r="D308" s="15" t="str">
        <x:v>Bu</x:v>
      </x:c>
      <x:c r="E308" s="15" t="n">
        <x:v>321</x:v>
      </x:c>
      <x:c r="F308" s="15" t="str">
        <x:v>BU Led</x:v>
      </x:c>
      <x:c r="G308" s="15" t="str">
        <x:v>Enterprise Informatics (EI)</x:v>
      </x:c>
      <x:c r="H308" s="15" t="str">
        <x:v>Commercial - Quoting, Revenue, Subscription Management non Sensei Systems</x:v>
      </x:c>
      <x:c r="I308" s="15" t="str">
        <x:v>New Initiative</x:v>
      </x:c>
      <x:c r="J308" s="15" t="str">
        <x:v>Continous Improvement</x:v>
      </x:c>
      <x:c r="K308" s="15" t="str">
        <x:v>Commercial IT</x:v>
      </x:c>
      <x:c r="L308" s="19" t="n">
        <x:v>0.5</x:v>
      </x:c>
      <x:c r="M308" s="19"/>
      <x:c r="N308" s="15" t="str">
        <x:v>Must Do</x:v>
      </x:c>
      <x:c r="O308" s="15" t="str"/>
      <x:c r="P308" s="15" t="str">
        <x:v>Entaties that are on Sensei system need to be maintained till we completely move on to Sensei</x:v>
      </x:c>
      <x:c r="Q308" s="15" t="str">
        <x:v>Support IAH , AVW and other business that are running on non Sensei systems for Quote , Subscription and Order management</x:v>
      </x:c>
      <x:c r="R308" s="15" t="str"/>
      <x:c r="S308" s="15" t="str"/>
      <x:c r="T308" s="15" t="str"/>
    </x:row>
    <x:row r="309">
      <x:c r="A309" s="15" t="str">
        <x:v>Bu-132</x:v>
      </x:c>
      <x:c r="B309" s="15" t="str">
        <x:v>Bu-132</x:v>
      </x:c>
      <x:c r="C309" s="15" t="str"/>
      <x:c r="D309" s="15" t="str">
        <x:v>Bu</x:v>
      </x:c>
      <x:c r="E309" s="15" t="n">
        <x:v>322</x:v>
      </x:c>
      <x:c r="F309" s="15" t="str">
        <x:v>BU Led</x:v>
      </x:c>
      <x:c r="G309" s="15" t="str">
        <x:v>Enterprise Informatics (EI)</x:v>
      </x:c>
      <x:c r="H309" s="15" t="str">
        <x:v>Install Base : Commercial Install-Base Intelligence</x:v>
      </x:c>
      <x:c r="I309" s="15" t="str">
        <x:v>New Initiative</x:v>
      </x:c>
      <x:c r="J309" s="15" t="str">
        <x:v>AI Enablement</x:v>
      </x:c>
      <x:c r="K309" s="15" t="str">
        <x:v>Commercial IT</x:v>
      </x:c>
      <x:c r="L309" s="19" t="n">
        <x:v>0.6</x:v>
      </x:c>
      <x:c r="M309" s="19" t="n">
        <x:v>0.5</x:v>
      </x:c>
      <x:c r="N309" s="15" t="str">
        <x:v>Must Do</x:v>
      </x:c>
      <x:c r="O309" s="15" t="str"/>
      <x:c r="P309" s="15" t="str">
        <x:v>Install-base data is not consistently converted into actionable insights, leaving renewal risks unidentified and upgrade or expansion opportunities discovered too late. This limits the ability to protect recurring revenue and build a high-quality, proactive growth pipeline.</x:v>
      </x:c>
      <x:c r="Q309" s="15" t="str">
        <x:v>Ignite provides the trusted relationship between customer, site, modality, configuration, software version, entitlement, contract and usage history so Sensei can execute IB quoting, upgrades, expansions, CPI/indexation, renewals, clawbacks and proactive opportunity creation</x:v>
      </x:c>
      <x:c r="R309" s="15" t="str"/>
      <x:c r="S309" s="15" t="str"/>
      <x:c r="T309" s="15" t="str"/>
    </x:row>
    <x:row r="310">
      <x:c r="A310" s="15" t="str">
        <x:v>Bu-133</x:v>
      </x:c>
      <x:c r="B310" s="15" t="str">
        <x:v>Bu-133</x:v>
      </x:c>
      <x:c r="C310" s="15" t="str"/>
      <x:c r="D310" s="15" t="str">
        <x:v>Bu</x:v>
      </x:c>
      <x:c r="E310" s="15" t="n">
        <x:v>324</x:v>
      </x:c>
      <x:c r="F310" s="15" t="str">
        <x:v>BU Led</x:v>
      </x:c>
      <x:c r="G310" s="15" t="str">
        <x:v>Enterprise Informatics (EI)</x:v>
      </x:c>
      <x:c r="H310" s="15" t="str">
        <x:v>Install Base : Data Foundation and Service Updates</x:v>
      </x:c>
      <x:c r="I310" s="15" t="str">
        <x:v>New Initiative</x:v>
      </x:c>
      <x:c r="J310" s="15" t="str">
        <x:v>AI Enablement</x:v>
      </x:c>
      <x:c r="K310" s="15" t="str">
        <x:v>Commercial IT</x:v>
      </x:c>
      <x:c r="L310" s="19" t="n">
        <x:v>0.6</x:v>
      </x:c>
      <x:c r="M310" s="19" t="n">
        <x:v>0.25</x:v>
      </x:c>
      <x:c r="N310" s="15" t="str">
        <x:v>Must Do</x:v>
      </x:c>
      <x:c r="O310" s="15" t="str"/>
      <x:c r="P310" s="15" t="str">
        <x: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x:v>
      </x:c>
      <x:c r="Q310" s="15" t="str">
        <x:v>IB Data Foundation: Microsoft Fabric canonical IDs reconciliation semantic model, Service update includes Proactive upgrade &amp; Patch management, Service led growth recommendations, Telemetry powered IB discovery &amp; real time deployed footprint</x:v>
      </x:c>
      <x:c r="R310" s="15" t="str"/>
      <x:c r="S310" s="15" t="str"/>
      <x:c r="T310" s="15" t="str"/>
    </x:row>
    <x:row r="311">
      <x:c r="A311" s="15" t="str">
        <x:v>Bu-134</x:v>
      </x:c>
      <x:c r="B311" s="15" t="str">
        <x:v>Bu-134</x:v>
      </x:c>
      <x:c r="C311" s="15" t="str"/>
      <x:c r="D311" s="15" t="str">
        <x:v>Bu</x:v>
      </x:c>
      <x:c r="E311" s="15" t="n">
        <x:v>325</x:v>
      </x:c>
      <x:c r="F311" s="15" t="str">
        <x:v>BU Led</x:v>
      </x:c>
      <x:c r="G311" s="15" t="str">
        <x:v>Enterprise Informatics (EI)</x:v>
      </x:c>
      <x:c r="H311" s="15" t="str">
        <x:v>Install Base : Technical foundation</x:v>
      </x:c>
      <x:c r="I311" s="15" t="str">
        <x:v>New Initiative</x:v>
      </x:c>
      <x:c r="J311" s="15" t="str">
        <x:v>AI Enablement</x:v>
      </x:c>
      <x:c r="K311" s="15" t="str">
        <x:v>Commercial IT</x:v>
      </x:c>
      <x:c r="L311" s="19" t="n">
        <x:v>0.3</x:v>
      </x:c>
      <x:c r="M311" s="19" t="n">
        <x:v>0.25</x:v>
      </x:c>
      <x:c r="N311" s="15" t="str">
        <x:v>Must Do</x:v>
      </x:c>
      <x:c r="O311" s="15" t="str"/>
      <x:c r="P311" s="15" t="str">
        <x: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x:v>
      </x:c>
      <x:c r="Q311" s="15" t="str">
        <x:v>IB User Interface, Agent Orchestration, MCP Server</x:v>
      </x:c>
      <x:c r="R311" s="15" t="str"/>
      <x:c r="S311" s="15" t="str"/>
      <x:c r="T311" s="15" t="str"/>
    </x:row>
    <x:row r="312">
      <x:c r="A312" s="15" t="str">
        <x:v>Bu-135</x:v>
      </x:c>
      <x:c r="B312" s="15" t="str">
        <x:v>Bu-135</x:v>
      </x:c>
      <x:c r="C312" s="15" t="str"/>
      <x:c r="D312" s="15" t="str">
        <x:v>Bu</x:v>
      </x:c>
      <x:c r="E312" s="15" t="n">
        <x:v>327</x:v>
      </x:c>
      <x:c r="F312" s="15" t="str">
        <x:v>BU Led</x:v>
      </x:c>
      <x:c r="G312" s="15" t="str">
        <x:v>Enterprise Informatics (EI)</x:v>
      </x:c>
      <x:c r="H312" s="15" t="str">
        <x:v>Sensei Onboarding Regions and Products</x:v>
      </x:c>
      <x:c r="I312" s="15" t="str">
        <x:v>New Initiative</x:v>
      </x:c>
      <x:c r="J312" s="15" t="str">
        <x:v>AI Enablement</x:v>
      </x:c>
      <x:c r="K312" s="15" t="str">
        <x:v>Commercial IT</x:v>
      </x:c>
      <x:c r="L312" s="19" t="n">
        <x:v>0.75</x:v>
      </x:c>
      <x:c r="M312" s="19" t="n">
        <x:v>0.5</x:v>
      </x:c>
      <x:c r="N312" s="15" t="str">
        <x:v>Must Do</x:v>
      </x:c>
      <x:c r="O312" s="15" t="str"/>
      <x:c r="P312" s="15" t="str">
        <x:v>Onboard II &amp; CI on from legacy systems on to AI enabled Quoting and order management system</x:v>
      </x:c>
      <x:c r="Q312" s="15" t="str">
        <x:v>NAR RI CPI and CVI Renewals</x:v>
      </x:c>
      <x:c r="R312" s="15" t="str"/>
      <x:c r="S312" s="15" t="str"/>
      <x:c r="T312" s="15" t="str"/>
    </x:row>
    <x:row r="313">
      <x:c r="A313" s="15" t="str">
        <x:v>Bu-136</x:v>
      </x:c>
      <x:c r="B313" s="15" t="str">
        <x:v>Bu-136</x:v>
      </x:c>
      <x:c r="C313" s="15" t="str"/>
      <x:c r="D313" s="15" t="str">
        <x:v>Bu</x:v>
      </x:c>
      <x:c r="E313" s="15" t="n">
        <x:v>331</x:v>
      </x:c>
      <x:c r="F313" s="15" t="str">
        <x:v>BU Led</x:v>
      </x:c>
      <x:c r="G313" s="15" t="str">
        <x:v>Enterprise Informatics (EI)</x:v>
      </x:c>
      <x:c r="H313" s="15" t="str">
        <x:v>Commercial Excellence Program - GtM and Channel CRM</x:v>
      </x:c>
      <x:c r="I313" s="15" t="str">
        <x:v>New Initiative</x:v>
      </x:c>
      <x:c r="J313" s="15" t="str">
        <x:v>New Feature</x:v>
      </x:c>
      <x:c r="K313" s="15" t="str">
        <x:v>Commercial IT</x:v>
      </x:c>
      <x:c r="L313" s="19" t="n">
        <x:v>0.2</x:v>
      </x:c>
      <x:c r="M313" s="19"/>
      <x:c r="N313" s="15" t="str">
        <x:v>Must Have</x:v>
      </x:c>
      <x:c r="O313" s="15" t="str"/>
      <x:c r="P313" s="15" t="str"/>
      <x:c r="Q313" s="15" t="str"/>
      <x:c r="R313" s="15" t="str"/>
      <x:c r="S313" s="15" t="str"/>
      <x:c r="T313" s="15" t="str"/>
    </x:row>
    <x:row r="314">
      <x:c r="A314" s="15" t="str">
        <x:v>Bu-137</x:v>
      </x:c>
      <x:c r="B314" s="15" t="str">
        <x:v>Bu-137</x:v>
      </x:c>
      <x:c r="C314" s="15" t="str"/>
      <x:c r="D314" s="15" t="str">
        <x:v>Bu</x:v>
      </x:c>
      <x:c r="E314" s="15" t="n">
        <x:v>332</x:v>
      </x:c>
      <x:c r="F314" s="15" t="str">
        <x:v>BU Led</x:v>
      </x:c>
      <x:c r="G314" s="15" t="str">
        <x:v>Enterprise Informatics (EI)</x:v>
      </x:c>
      <x:c r="H314" s="15" t="str">
        <x:v>Innovation Excellence Team - R&amp;D Support</x:v>
      </x:c>
      <x:c r="I314" s="15" t="str">
        <x:v>New Initiative</x:v>
      </x:c>
      <x:c r="J314" s="15" t="str">
        <x:v>AI Enablement</x:v>
      </x:c>
      <x:c r="K314" s="15" t="str">
        <x:v>Commercial IT</x:v>
      </x:c>
      <x:c r="L314" s="19" t="n">
        <x:v>0.6</x:v>
      </x:c>
      <x:c r="M314" s="19" t="n">
        <x:v>1</x:v>
      </x:c>
      <x:c r="N314" s="15" t="str">
        <x:v>Must Do</x:v>
      </x:c>
      <x:c r="O314" s="15" t="str"/>
      <x:c r="P314" s="15" t="str">
        <x: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x:v>
      </x:c>
      <x:c r="Q314" s="15" t="str">
        <x:v>Windchill MCP: Proactive Fleet Risk Intelligence</x:v>
      </x:c>
      <x:c r="R314" s="15" t="str"/>
      <x:c r="S314" s="15" t="str"/>
      <x:c r="T314" s="15" t="str"/>
    </x:row>
    <x:row r="315">
      <x:c r="A315" s="15" t="str">
        <x:v>Bu-138</x:v>
      </x:c>
      <x:c r="B315" s="15" t="str">
        <x:v>Bu-138</x:v>
      </x:c>
      <x:c r="C315" s="15" t="str"/>
      <x:c r="D315" s="15" t="str">
        <x:v>Bu</x:v>
      </x:c>
      <x:c r="E315" s="15" t="n">
        <x:v>335</x:v>
      </x:c>
      <x:c r="F315" s="15" t="str">
        <x:v>BU Led</x:v>
      </x:c>
      <x:c r="G315" s="15" t="str">
        <x:v>Enterprise Informatics (EI)</x:v>
      </x:c>
      <x:c r="H315" s="15" t="str">
        <x:v>Data &amp; Analytics Program</x:v>
      </x:c>
      <x:c r="I315" s="15" t="str">
        <x:v>New Initiative</x:v>
      </x:c>
      <x:c r="J315" s="15" t="str">
        <x:v>AI Enablement</x:v>
      </x:c>
      <x:c r="K315" s="15" t="str">
        <x:v>Enterprise Architecture, Data &amp; Integration</x:v>
      </x:c>
      <x:c r="L315" s="19" t="n">
        <x:v>0.95</x:v>
      </x:c>
      <x:c r="M315" s="19" t="n">
        <x:v>1</x:v>
      </x:c>
      <x:c r="N315" s="15" t="str">
        <x:v>Must Do</x:v>
      </x:c>
      <x:c r="O315" s="15" t="str"/>
      <x:c r="P315" s="15" t="str"/>
      <x:c r="Q315" s="15" t="str"/>
      <x:c r="R315" s="15" t="str"/>
      <x:c r="S315" s="15" t="str"/>
      <x:c r="T315" s="15" t="str"/>
    </x:row>
    <x:row r="316">
      <x:c r="A316" s="15" t="str">
        <x:v>Bu-139</x:v>
      </x:c>
      <x:c r="B316" s="15" t="str">
        <x:v>Bu-139</x:v>
      </x:c>
      <x:c r="C316" s="15" t="str"/>
      <x:c r="D316" s="15" t="str">
        <x:v>Bu</x:v>
      </x:c>
      <x:c r="E316" s="15" t="n">
        <x:v>336</x:v>
      </x:c>
      <x:c r="F316" s="15" t="str">
        <x:v>BU Led</x:v>
      </x:c>
      <x:c r="G316" s="15" t="str">
        <x:v>Enterprise Informatics (EI)</x:v>
      </x:c>
      <x:c r="H316" s="15" t="str">
        <x:v>Small Changes</x:v>
      </x:c>
      <x:c r="I316" s="15" t="str">
        <x:v>New Initiative</x:v>
      </x:c>
      <x:c r="J316" s="15" t="str">
        <x:v>Continous Improvement</x:v>
      </x:c>
      <x:c r="K316" s="15" t="str">
        <x:v>Commercial IT</x:v>
      </x:c>
      <x:c r="L316" s="19" t="n">
        <x:v>0.25</x:v>
      </x:c>
      <x:c r="M316" s="19"/>
      <x:c r="N316" s="15" t="str">
        <x:v>Must Have</x:v>
      </x:c>
      <x:c r="O316" s="15" t="str"/>
      <x:c r="P316" s="15" t="str">
        <x:v>Unforeseen Changes that are required for business continuity</x:v>
      </x:c>
      <x:c r="Q316" s="15" t="str">
        <x:v>Unforeseen Changes that are required for business continuity</x:v>
      </x:c>
      <x:c r="R316" s="15" t="str"/>
      <x:c r="S316" s="15" t="str"/>
      <x:c r="T316" s="15" t="str"/>
    </x:row>
    <x:row r="317">
      <x:c r="A317" s="15" t="str">
        <x:v>Bu-140</x:v>
      </x:c>
      <x:c r="B317" s="15" t="str">
        <x:v>Bu-140</x:v>
      </x:c>
      <x:c r="C317" s="15" t="str">
        <x:v>1006345</x:v>
      </x:c>
      <x:c r="D317" s="15" t="str">
        <x:v>Bu</x:v>
      </x:c>
      <x:c r="E317" s="15" t="n">
        <x:v>337</x:v>
      </x:c>
      <x:c r="F317" s="15" t="str">
        <x:v>BU Led</x:v>
      </x:c>
      <x:c r="G317" s="15" t="str">
        <x:v>Enterprise Informatics (EI)</x:v>
      </x:c>
      <x:c r="H317" s="15" t="str">
        <x:v>EI-IS-AI TomTec OEM</x:v>
      </x:c>
      <x:c r="I317" s="15" t="str">
        <x:v>Carry Over</x:v>
      </x:c>
      <x:c r="J317" s="15" t="str">
        <x:v>Upgrades &amp; Enhancements</x:v>
      </x:c>
      <x:c r="K317" s="15" t="str">
        <x:v>Commercial IT</x:v>
      </x:c>
      <x:c r="L317" s="19" t="n">
        <x:v>0.1</x:v>
      </x:c>
      <x:c r="M317" s="19"/>
      <x:c r="N317" s="15" t="str">
        <x:v>Must Do</x:v>
      </x:c>
      <x:c r="O317" s="15" t="str"/>
      <x:c r="P317" s="15" t="str">
        <x:v>Go Live for MS Dynamics is not completed</x:v>
      </x:c>
      <x:c r="Q317" s="15" t="str">
        <x:v>MS Dynamics Upgrade Go live and support</x:v>
      </x:c>
      <x:c r="R317" s="15" t="str"/>
      <x:c r="S317" s="15" t="str"/>
      <x:c r="T317" s="15" t="str"/>
    </x:row>
    <x:row r="318">
      <x:c r="A318" s="15" t="str">
        <x:v>Bu-141</x:v>
      </x:c>
      <x:c r="B318" s="15" t="str">
        <x:v>Bu-141</x:v>
      </x:c>
      <x:c r="C318" s="15" t="str"/>
      <x:c r="D318" s="15" t="str">
        <x:v>Bu</x:v>
      </x:c>
      <x:c r="E318" s="15" t="n">
        <x:v>338</x:v>
      </x:c>
      <x:c r="F318" s="15" t="str">
        <x:v>BU Led</x:v>
      </x:c>
      <x:c r="G318" s="15" t="str">
        <x:v>Enterprise Informatics (EI)</x:v>
      </x:c>
      <x:c r="H318" s="15" t="str">
        <x:v>AI License + Cloud Enablement projects</x:v>
      </x:c>
      <x:c r="I318" s="15" t="str">
        <x:v>New Initiative</x:v>
      </x:c>
      <x:c r="J318" s="15" t="str">
        <x:v>AI Enablement</x:v>
      </x:c>
      <x:c r="K318" s="15" t="str">
        <x:v>Commercial IT</x:v>
      </x:c>
      <x:c r="L318" s="19" t="n">
        <x:v>0.7</x:v>
      </x:c>
      <x:c r="M318" s="19"/>
      <x:c r="N318" s="15" t="str">
        <x:v>Must Do</x:v>
      </x:c>
      <x:c r="O318" s="15" t="str"/>
      <x:c r="P318" s="15" t="str">
        <x:v>Increase AI Adoptoin in R&amp;D teams and move away from monolith legacy applications</x:v>
      </x:c>
      <x:c r="Q318" s="15" t="str">
        <x:v>Upgrade legacy R&amp;D applications to support and build autonomous agents that help in generating DHF files , connect upstream and downstream systems using Agentic flows</x:v>
      </x:c>
      <x:c r="R318" s="15" t="str"/>
      <x:c r="S318" s="15" t="str"/>
      <x:c r="T318" s="15" t="str"/>
    </x:row>
    <x:row r="319">
      <x:c r="A319" s="15" t="str">
        <x:v>Bu-142</x:v>
      </x:c>
      <x:c r="B319" s="15" t="str">
        <x:v>Bu-142</x:v>
      </x:c>
      <x:c r="C319" s="15" t="str"/>
      <x:c r="D319" s="15" t="str">
        <x:v>Bu</x:v>
      </x:c>
      <x:c r="E319" s="15" t="n">
        <x:v>339</x:v>
      </x:c>
      <x:c r="F319" s="15" t="str">
        <x:v>BU Led</x:v>
      </x:c>
      <x:c r="G319" s="15" t="str">
        <x:v>Enterprise Informatics (EI)</x:v>
      </x:c>
      <x:c r="H319" s="15" t="str">
        <x:v>Service Now : Proactive Service Operations &amp; Digital Self-Service at the Edge</x:v>
      </x:c>
      <x:c r="I319" s="15" t="str">
        <x:v>New Initiative</x:v>
      </x:c>
      <x:c r="J319" s="15" t="str">
        <x:v>AI Enablement</x:v>
      </x:c>
      <x:c r="K319" s="15" t="str">
        <x:v>Commercial IT</x:v>
      </x:c>
      <x:c r="L319" s="19" t="n">
        <x:v>0.8</x:v>
      </x:c>
      <x:c r="M319" s="19" t="n">
        <x:v>0.5</x:v>
      </x:c>
      <x:c r="N319" s="15" t="str">
        <x:v>Must Do</x:v>
      </x:c>
      <x:c r="O319" s="15" t="str"/>
      <x:c r="P319" s="15" t="str">
        <x:v>Customer-impacting issues are often detected only after an outage occurs, creating avoidable disruption and potential patient-safety risks. Service teams need earlier, platform-led and fleet-aware detection to respond before customers are affected.</x:v>
      </x:c>
      <x:c r="Q319" s="15" t="str">
        <x: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x:v>
      </x:c>
      <x:c r="R319" s="15" t="str"/>
      <x:c r="S319" s="15" t="str"/>
      <x:c r="T319" s="15" t="str"/>
    </x:row>
    <x:row r="320">
      <x:c r="A320" s="15" t="str">
        <x:v>Bu-143</x:v>
      </x:c>
      <x:c r="B320" s="15" t="str">
        <x:v>Bu-143</x:v>
      </x:c>
      <x:c r="C320" s="15" t="str"/>
      <x:c r="D320" s="15" t="str">
        <x:v>Bu</x:v>
      </x:c>
      <x:c r="E320" s="15" t="n">
        <x:v>341</x:v>
      </x:c>
      <x:c r="F320" s="15" t="str">
        <x:v>BU Led</x:v>
      </x:c>
      <x:c r="G320" s="15" t="str">
        <x:v>Enterprise Informatics (EI)</x:v>
      </x:c>
      <x:c r="H320" s="15" t="str">
        <x:v>Service Now : Fundamentals and Change Requests</x:v>
      </x:c>
      <x:c r="I320" s="15" t="str">
        <x:v>New Initiative</x:v>
      </x:c>
      <x:c r="J320" s="15" t="str">
        <x:v>New Feature</x:v>
      </x:c>
      <x:c r="K320" s="15" t="str">
        <x:v>Commercial IT</x:v>
      </x:c>
      <x:c r="L320" s="19" t="n">
        <x:v>0.65</x:v>
      </x:c>
      <x:c r="M320" s="19"/>
      <x:c r="N320" s="15" t="str">
        <x:v>Must Do</x:v>
      </x:c>
      <x:c r="O320" s="15" t="str"/>
      <x:c r="P320" s="15" t="str"/>
      <x:c r="Q320" s="15" t="str">
        <x:v>Change Requests and Foundational input</x:v>
      </x:c>
      <x:c r="R320" s="15" t="str"/>
      <x:c r="S320" s="15" t="str"/>
      <x:c r="T320" s="15" t="str"/>
    </x:row>
    <x:row r="321">
      <x:c r="A321" s="15" t="str">
        <x:v>Bu-144</x:v>
      </x:c>
      <x:c r="B321" s="15" t="str">
        <x:v>Bu-144</x:v>
      </x:c>
      <x:c r="C321" s="15" t="str"/>
      <x:c r="D321" s="15" t="str">
        <x:v>Bu</x:v>
      </x:c>
      <x:c r="E321" s="15" t="n">
        <x:v>342</x:v>
      </x:c>
      <x:c r="F321" s="15" t="str">
        <x:v>BU Led</x:v>
      </x:c>
      <x:c r="G321" s="15" t="str">
        <x:v>Enterprise Informatics (EI)</x:v>
      </x:c>
      <x:c r="H321" s="15" t="str">
        <x:v>Sercie Now AI Initiatives :Intelligent Contact Centre &amp; Intelligent Omnichannel Service</x:v>
      </x:c>
      <x:c r="I321" s="15" t="str">
        <x:v>New Initiative</x:v>
      </x:c>
      <x:c r="J321" s="15" t="str">
        <x:v>AI Enablement</x:v>
      </x:c>
      <x:c r="K321" s="15" t="str">
        <x:v>Commercial IT</x:v>
      </x:c>
      <x:c r="L321" s="19" t="n">
        <x:v>0.8</x:v>
      </x:c>
      <x:c r="M321" s="19" t="n">
        <x:v>0.5</x:v>
      </x:c>
      <x:c r="N321" s="15" t="str">
        <x:v>Must Do</x:v>
      </x:c>
      <x:c r="O321" s="15" t="str"/>
      <x:c r="P321" s="15" t="str">
        <x:v>Customer service agents must switch between Genesys and ServiceNow, causing fragmented call context, slower handling, and misrouting to the wrong resource. Customers also experience inconsistent journeys across phone, chat, and self-service.</x:v>
      </x:c>
      <x:c r="Q321" s="15" t="str">
        <x: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x:v>
      </x:c>
      <x:c r="R321" s="15" t="str"/>
      <x:c r="S321" s="15" t="str"/>
      <x:c r="T321" s="15" t="str"/>
    </x:row>
    <x:row r="322">
      <x:c r="A322" s="15" t="str">
        <x:v>Bu-145</x:v>
      </x:c>
      <x:c r="B322" s="15" t="str">
        <x:v>Bu-145</x:v>
      </x:c>
      <x:c r="C322" s="15" t="str"/>
      <x:c r="D322" s="15" t="str">
        <x:v>Bu</x:v>
      </x:c>
      <x:c r="E322" s="15" t="n">
        <x:v>345</x:v>
      </x:c>
      <x:c r="F322" s="15" t="str">
        <x:v>BU Led</x:v>
      </x:c>
      <x:c r="G322" s="15" t="str">
        <x:v>Enterprise Informatics (EI)</x:v>
      </x:c>
      <x:c r="H322" s="15" t="str">
        <x:v>Service Now: Agentic Workspace for Service &amp; Demand- and Skills-Based Workforce Orchestration</x:v>
      </x:c>
      <x:c r="I322" s="15" t="str">
        <x:v>New Initiative</x:v>
      </x:c>
      <x:c r="J322" s="15" t="str">
        <x:v>AI Enablement</x:v>
      </x:c>
      <x:c r="K322" s="15" t="str">
        <x:v>Commercial IT</x:v>
      </x:c>
      <x:c r="L322" s="19" t="n">
        <x:v>0.75</x:v>
      </x:c>
      <x:c r="M322" s="19" t="n">
        <x:v>0.5</x:v>
      </x:c>
      <x:c r="N322" s="15" t="str">
        <x:v>Must Do</x:v>
      </x:c>
      <x:c r="O322" s="15" t="str"/>
      <x:c r="P322" s="15" t="str"/>
      <x:c r="Q322" s="15" t="str">
        <x: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x:v>
      </x:c>
      <x:c r="R322" s="15" t="str"/>
      <x:c r="S322" s="15" t="str"/>
      <x:c r="T322" s="15" t="str"/>
    </x:row>
    <x:row r="323">
      <x:c r="A323" s="15" t="str">
        <x:v>Bu-146</x:v>
      </x:c>
      <x:c r="B323" s="15" t="str">
        <x:v>Bu-146</x:v>
      </x:c>
      <x:c r="C323" s="15" t="str"/>
      <x:c r="D323" s="15" t="str">
        <x:v>Bu</x:v>
      </x:c>
      <x:c r="E323" s="15" t="n">
        <x:v>346</x:v>
      </x:c>
      <x:c r="F323" s="15" t="str">
        <x:v>BU Led</x:v>
      </x:c>
      <x:c r="G323" s="15" t="str">
        <x:v>Enterprise Informatics (EI)</x:v>
      </x:c>
      <x:c r="H323" s="15" t="str">
        <x:v>Service Operations : Sensei</x:v>
      </x:c>
      <x:c r="I323" s="15" t="str"/>
      <x:c r="J323" s="15" t="str"/>
      <x:c r="K323" s="15" t="str"/>
      <x:c r="L323" s="19" t="n">
        <x:v>0.5</x:v>
      </x:c>
      <x:c r="M323" s="19"/>
      <x:c r="N323" s="15" t="str">
        <x:v>Must Do</x:v>
      </x:c>
      <x:c r="O323" s="15" t="str"/>
      <x:c r="P323" s="15" t="str">
        <x:v>Setup EI owned Support team for Sensei</x:v>
      </x:c>
      <x:c r="Q323" s="15" t="str">
        <x:v>Infra and Operations owned by EI</x:v>
      </x:c>
      <x:c r="R323" s="15" t="str"/>
      <x:c r="S323" s="15" t="str"/>
      <x:c r="T323" s="15" t="str"/>
    </x:row>
    <x:row r="324">
      <x:c r="A324" s="15" t="str">
        <x:v>Bu-147</x:v>
      </x:c>
      <x:c r="B324" s="15" t="str">
        <x:v>Bu-147</x:v>
      </x:c>
      <x:c r="C324" s="15" t="str"/>
      <x:c r="D324" s="15" t="str">
        <x:v>Bu</x:v>
      </x:c>
      <x:c r="E324" s="15" t="n">
        <x:v>347</x:v>
      </x:c>
      <x:c r="F324" s="15" t="str">
        <x:v>BU Led</x:v>
      </x:c>
      <x:c r="G324" s="15" t="str">
        <x:v>Enterprise Informatics (EI)</x:v>
      </x:c>
      <x:c r="H324" s="15" t="str">
        <x:v>Service Operations : Microsoft Project Operations</x:v>
      </x:c>
      <x:c r="I324" s="15" t="str"/>
      <x:c r="J324" s="15" t="str"/>
      <x:c r="K324" s="15" t="str"/>
      <x:c r="L324" s="19" t="n">
        <x:v>0.3</x:v>
      </x:c>
      <x:c r="M324" s="19"/>
      <x:c r="N324" s="15" t="str">
        <x:v>Must Do</x:v>
      </x:c>
      <x:c r="O324" s="15" t="str"/>
      <x:c r="P324" s="15" t="str">
        <x:v>Setup EI owned support team for MS PO</x:v>
      </x:c>
      <x:c r="Q324" s="15" t="str">
        <x:v>Infra and Operations owned by EI</x:v>
      </x:c>
      <x:c r="R324" s="15" t="str"/>
      <x:c r="S324" s="15" t="str"/>
      <x:c r="T324" s="15" t="str"/>
    </x:row>
    <x:row r="325">
      <x:c r="A325" s="15" t="str">
        <x:v>Bu-148</x:v>
      </x:c>
      <x:c r="B325" s="15" t="str">
        <x:v>Bu-148</x:v>
      </x:c>
      <x:c r="C325" s="15" t="str"/>
      <x:c r="D325" s="15" t="str">
        <x:v>Bu</x:v>
      </x:c>
      <x:c r="E325" s="15" t="n">
        <x:v>348</x:v>
      </x:c>
      <x:c r="F325" s="15" t="str">
        <x:v>BU Led</x:v>
      </x:c>
      <x:c r="G325" s="15" t="str">
        <x:v>Enterprise Informatics (EI)</x:v>
      </x:c>
      <x:c r="H325" s="15" t="str">
        <x:v>Service Operations : Ignite</x:v>
      </x:c>
      <x:c r="I325" s="15" t="str"/>
      <x:c r="J325" s="15" t="str"/>
      <x:c r="K325" s="15" t="str"/>
      <x:c r="L325" s="19" t="n">
        <x:v>0.25</x:v>
      </x:c>
      <x:c r="M325" s="19"/>
      <x:c r="N325" s="15" t="str">
        <x:v>Must Do</x:v>
      </x:c>
      <x:c r="O325" s="15" t="str"/>
      <x:c r="P325" s="15" t="str">
        <x:v>Setup EI Owned support team for Ignite</x:v>
      </x:c>
      <x:c r="Q325" s="15" t="str">
        <x:v>Infra and Operations owned by EI</x:v>
      </x:c>
      <x:c r="R325" s="15" t="str"/>
      <x:c r="S325" s="15" t="str"/>
      <x:c r="T325" s="15" t="str"/>
    </x:row>
    <x:row r="326">
      <x:c r="A326" s="15" t="str">
        <x:v>Bu-149</x:v>
      </x:c>
      <x:c r="B326" s="15" t="str">
        <x:v>Bu-149</x:v>
      </x:c>
      <x:c r="C326" s="15" t="str"/>
      <x:c r="D326" s="15" t="str">
        <x:v>Bu</x:v>
      </x:c>
      <x:c r="E326" s="15" t="n">
        <x:v>349</x:v>
      </x:c>
      <x:c r="F326" s="15" t="str">
        <x:v>BU Led</x:v>
      </x:c>
      <x:c r="G326" s="15" t="str">
        <x:v>Enterprise Informatics (EI)</x:v>
      </x:c>
      <x:c r="H326" s="15" t="str">
        <x:v>LEM Factory Less Process for software provisioning</x:v>
      </x:c>
      <x:c r="I326" s="15" t="str">
        <x:v>New Initiative</x:v>
      </x:c>
      <x:c r="J326" s="15" t="str">
        <x:v>AI Enablement</x:v>
      </x:c>
      <x:c r="K326" s="15" t="str">
        <x:v>Commercial IT</x:v>
      </x:c>
      <x:c r="L326" s="19" t="n">
        <x:v>0.45</x:v>
      </x:c>
      <x:c r="M326" s="19"/>
      <x:c r="N326" s="15" t="str">
        <x:v>Must Do</x:v>
      </x:c>
      <x:c r="O326" s="15" t="str"/>
      <x:c r="P326" s="15" t="str">
        <x:v>Move out of MBP - factory system, which is mainly used for eqipment business.</x:v>
      </x:c>
      <x:c r="Q326" s="15" t="str">
        <x:v>Automate software-only fulfilment, cloud activation, trials, upgrades and entitlement changes — removing factory/MBP dependencies from the order-to-activate journey.</x:v>
      </x:c>
      <x:c r="R326" s="15" t="str"/>
      <x:c r="S326" s="15" t="str"/>
      <x:c r="T326" s="15" t="str"/>
    </x:row>
    <x:row r="327">
      <x:c r="A327" s="15" t="str">
        <x:v>Bu-150</x:v>
      </x:c>
      <x:c r="B327" s="15" t="str">
        <x:v>Bu-150</x:v>
      </x:c>
      <x:c r="C327" s="15" t="str">
        <x:v>1006504</x:v>
      </x:c>
      <x:c r="D327" s="15" t="str">
        <x:v>Bu</x:v>
      </x:c>
      <x:c r="E327" s="15" t="n">
        <x:v>350</x:v>
      </x:c>
      <x:c r="F327" s="15" t="str">
        <x:v>BU Led</x:v>
      </x:c>
      <x:c r="G327" s="15" t="str">
        <x:v>Precision Diagnosis - Magnetic Resonance (MR)</x:v>
      </x:c>
      <x:c r="H327" s="15" t="str">
        <x:v>COSAC Transition to PIL</x:v>
      </x:c>
      <x:c r="I327" s="15" t="str">
        <x:v>Carry Over</x:v>
      </x:c>
      <x:c r="J327" s="15" t="str">
        <x:v>New Feature</x:v>
      </x:c>
      <x:c r="K327" s="15" t="str">
        <x:v>Innovation and Digital IT</x:v>
      </x:c>
      <x:c r="L327" s="19" t="n">
        <x:v>0.7</x:v>
      </x:c>
      <x:c r="M327" s="19"/>
      <x:c r="N327" s="15" t="str">
        <x:v>Must Do</x:v>
      </x:c>
      <x:c r="O327" s="15" t="str"/>
      <x:c r="P327" s="15" t="str"/>
      <x:c r="Q327" s="15" t="str">
        <x:v>Phase 3 Scope:</x:v>
      </x:c>
      <x:c r="R327" s="15" t="str"/>
      <x:c r="S327" s="15" t="str"/>
      <x:c r="T327" s="15" t="str"/>
    </x:row>
    <x:row r="328">
      <x:c r="A328" s="15" t="str">
        <x:v>Bu-151</x:v>
      </x:c>
      <x:c r="B328" s="15" t="str">
        <x:v>Bu-151</x:v>
      </x:c>
      <x:c r="C328" s="15" t="str"/>
      <x:c r="D328" s="15" t="str">
        <x:v>Bu</x:v>
      </x:c>
      <x:c r="E328" s="15" t="n">
        <x:v>357</x:v>
      </x:c>
      <x:c r="F328" s="15" t="str">
        <x:v>BU Led</x:v>
      </x:c>
      <x:c r="G328" s="15" t="str">
        <x:v>Precision Diagnosis - Magnetic Resonance (MR)</x:v>
      </x:c>
      <x:c r="H328" s="15" t="str"/>
      <x:c r="I328" s="15" t="str"/>
      <x:c r="J328" s="15" t="str"/>
      <x:c r="K328" s="15" t="str"/>
      <x:c r="L328" s="19" t="n">
        <x:v>0</x:v>
      </x:c>
      <x:c r="M328" s="19"/>
      <x:c r="N328" s="15" t="str"/>
      <x:c r="O328" s="15" t="str"/>
      <x:c r="P328" s="15" t="str"/>
      <x:c r="Q328" s="15" t="str"/>
      <x:c r="R328" s="15" t="str"/>
      <x:c r="S328" s="15" t="str"/>
      <x:c r="T328" s="15" t="str"/>
    </x:row>
    <x:row r="329">
      <x:c r="A329" s="15" t="str">
        <x:v>Bu-152</x:v>
      </x:c>
      <x:c r="B329" s="15" t="str">
        <x:v>Bu-152</x:v>
      </x:c>
      <x:c r="C329" s="15" t="str">
        <x:v>1006508</x:v>
      </x:c>
      <x:c r="D329" s="15" t="str">
        <x:v>Bu</x:v>
      </x:c>
      <x:c r="E329" s="15" t="n">
        <x:v>358</x:v>
      </x:c>
      <x:c r="F329" s="15" t="str">
        <x:v>BU Led</x:v>
      </x:c>
      <x:c r="G329" s="15" t="str">
        <x:v>Precision Diagnosis - Magnetic Resonance (MR)</x:v>
      </x:c>
      <x:c r="H329" s="15" t="str">
        <x:v>PRISM - Product, Regulatory, Installed Base, Services Metrics unified</x:v>
      </x:c>
      <x:c r="I329" s="15" t="str">
        <x:v>Carry Over</x:v>
      </x:c>
      <x:c r="J329" s="15" t="str">
        <x:v>Legal Fiscal, Regulatory &amp; Compliancy</x:v>
      </x:c>
      <x:c r="K329" s="15" t="str">
        <x:v>Enterprise Architecture, Data &amp; Integration</x:v>
      </x:c>
      <x:c r="L329" s="19" t="n">
        <x:v>0.336</x:v>
      </x:c>
      <x:c r="M329" s="19"/>
      <x:c r="N329" s="15" t="str">
        <x:v>Must Have</x:v>
      </x:c>
      <x:c r="O329" s="15" t="str"/>
      <x:c r="P329" s="15" t="str"/>
      <x:c r="Q329" s="15" t="str">
        <x:v>Operations and Small CRs of Production Information Dashboard with 2 FTEs</x:v>
      </x:c>
      <x:c r="R329" s="15" t="str"/>
      <x:c r="S329" s="15" t="str"/>
      <x:c r="T329" s="15" t="str"/>
    </x:row>
    <x:row r="330">
      <x:c r="A330" s="15" t="str">
        <x:v>Bu-153</x:v>
      </x:c>
      <x:c r="B330" s="15" t="str">
        <x:v>Bu-153</x:v>
      </x:c>
      <x:c r="C330" s="15" t="str">
        <x:v>1006510</x:v>
      </x:c>
      <x:c r="D330" s="15" t="str">
        <x:v>Bu</x:v>
      </x:c>
      <x:c r="E330" s="15" t="n">
        <x:v>359</x:v>
      </x:c>
      <x:c r="F330" s="15" t="str">
        <x:v>BU Led</x:v>
      </x:c>
      <x:c r="G330" s="15" t="str">
        <x:v>Precision Diagnosis - Magnetic Resonance (MR)</x:v>
      </x:c>
      <x:c r="H330" s="15" t="str">
        <x:v>Product Information Management</x:v>
      </x:c>
      <x:c r="I330" s="15" t="str">
        <x:v>Carry Over</x:v>
      </x:c>
      <x:c r="J330" s="15" t="str">
        <x:v>Upgrades &amp; Enhancements</x:v>
      </x:c>
      <x:c r="K330" s="15" t="str">
        <x:v>Services &amp; Solutions IT</x:v>
      </x:c>
      <x:c r="L330" s="19" t="n">
        <x:v>0.1</x:v>
      </x:c>
      <x:c r="M330" s="19"/>
      <x:c r="N330" s="15" t="str">
        <x:v>Must Have</x:v>
      </x:c>
      <x:c r="O330" s="15" t="str"/>
      <x:c r="P330" s="15" t="str"/>
      <x:c r="Q330" s="15" t="str">
        <x:v>IT Capabilities needed to integrate LDK / switch to anyother licensing platform for Imaging BUs:</x:v>
      </x:c>
      <x:c r="R330" s="15" t="str"/>
      <x:c r="S330" s="15" t="str"/>
      <x:c r="T330" s="15" t="str"/>
    </x:row>
    <x:row r="331">
      <x:c r="A331" s="15" t="str">
        <x:v>Bu-154</x:v>
      </x:c>
      <x:c r="B331" s="15" t="str">
        <x:v>Bu-154</x:v>
      </x:c>
      <x:c r="C331" s="15" t="str">
        <x:v>1006512</x:v>
      </x:c>
      <x:c r="D331" s="15" t="str">
        <x:v>Bu</x:v>
      </x:c>
      <x:c r="E331" s="15" t="n">
        <x:v>366</x:v>
      </x:c>
      <x:c r="F331" s="15" t="str">
        <x:v>BU Led</x:v>
      </x:c>
      <x:c r="G331" s="15" t="str">
        <x:v>Precision Diagnosis - Magnetic Resonance (MR)</x:v>
      </x:c>
      <x:c r="H331" s="15" t="str">
        <x:v>Sentinel LDK integration into BU SW</x:v>
      </x:c>
      <x:c r="I331" s="15" t="str">
        <x:v>Carry Over</x:v>
      </x:c>
      <x:c r="J331" s="15" t="str">
        <x:v>Upgrades &amp; Enhancements</x:v>
      </x:c>
      <x:c r="K331" s="15" t="str">
        <x:v>Services &amp; Solutions IT</x:v>
      </x:c>
      <x:c r="L331" s="19" t="n">
        <x:v>0.4</x:v>
      </x:c>
      <x:c r="M331" s="19"/>
      <x:c r="N331" s="15" t="str">
        <x:v>Must Have</x:v>
      </x:c>
      <x:c r="O331" s="15" t="str"/>
      <x:c r="P331" s="15" t="str"/>
      <x:c r="Q331" s="15" t="str">
        <x:v>•MR Key Release Enhancements Adhoc recurring changes to Release key App and BI reporting Euro 10 K</x:v>
      </x:c>
      <x:c r="R331" s="15" t="str"/>
      <x:c r="S331" s="15" t="str"/>
      <x:c r="T331" s="15" t="str"/>
    </x:row>
    <x:row r="332">
      <x:c r="A332" s="15" t="str">
        <x:v>Bu-155</x:v>
      </x:c>
      <x:c r="B332" s="15" t="str">
        <x:v>Bu-155</x:v>
      </x:c>
      <x:c r="C332" s="15" t="str">
        <x:v>1006516</x:v>
      </x:c>
      <x:c r="D332" s="15" t="str">
        <x:v>Bu</x:v>
      </x:c>
      <x:c r="E332" s="15" t="n">
        <x:v>372</x:v>
      </x:c>
      <x:c r="F332" s="15" t="str">
        <x:v>BU Led</x:v>
      </x:c>
      <x:c r="G332" s="15" t="str">
        <x:v>Precision Diagnosis - Magnetic Resonance (MR)</x:v>
      </x:c>
      <x:c r="H332" s="15" t="str">
        <x:v>BU Existing Project CR's (ALM - Workpath, Viva goals)</x:v>
      </x:c>
      <x:c r="I332" s="15" t="str">
        <x:v>Carry Over</x:v>
      </x:c>
      <x:c r="J332" s="15" t="str">
        <x:v>Continous Improvement</x:v>
      </x:c>
      <x:c r="K332" s="15" t="str">
        <x:v>Services &amp; Solutions IT</x:v>
      </x:c>
      <x:c r="L332" s="19" t="n">
        <x:v>0.335</x:v>
      </x:c>
      <x:c r="M332" s="19"/>
      <x:c r="N332" s="15" t="str">
        <x:v>Must Have</x:v>
      </x:c>
      <x:c r="O332" s="15" t="str"/>
      <x:c r="P332" s="15" t="str"/>
      <x:c r="Q332" s="15" t="str">
        <x:v>POCs for AI model line alternate / road-map for AI model line - SI 25K</x:v>
      </x:c>
      <x:c r="R332" s="15" t="str"/>
      <x:c r="S332" s="15" t="str"/>
      <x:c r="T332" s="15" t="str"/>
    </x:row>
    <x:row r="333">
      <x:c r="A333" s="15" t="str">
        <x:v>Bu-156</x:v>
      </x:c>
      <x:c r="B333" s="15" t="str">
        <x:v>Bu-156</x:v>
      </x:c>
      <x:c r="C333" s="15" t="str">
        <x:v>1006554</x:v>
      </x:c>
      <x:c r="D333" s="15" t="str">
        <x:v>Bu</x:v>
      </x:c>
      <x:c r="E333" s="15" t="n">
        <x:v>373</x:v>
      </x:c>
      <x:c r="F333" s="15" t="str">
        <x:v>BU Led</x:v>
      </x:c>
      <x:c r="G333" s="15" t="str">
        <x:v>Precision Diagnosis - Magnetic Resonance (MR)</x:v>
      </x:c>
      <x:c r="H333" s="15" t="str">
        <x:v>Agentic AI solutions for service (POCs)</x:v>
      </x:c>
      <x:c r="I333" s="15" t="str">
        <x:v>Carry Over</x:v>
      </x:c>
      <x:c r="J333" s="15" t="str">
        <x:v>Continous Improvement</x:v>
      </x:c>
      <x:c r="K333" s="15" t="str">
        <x:v>Innovation and Digital IT</x:v>
      </x:c>
      <x:c r="L333" s="19" t="n">
        <x:v>0.2</x:v>
      </x:c>
      <x:c r="M333" s="19"/>
      <x:c r="N333" s="15" t="str">
        <x:v>Must Have</x:v>
      </x:c>
      <x:c r="O333" s="15" t="str"/>
      <x:c r="P333" s="15" t="str"/>
      <x:c r="Q333" s="15" t="str">
        <x:v>Reservation for MR specific ORION/Ensight change requests</x:v>
      </x:c>
      <x:c r="R333" s="15" t="str"/>
      <x:c r="S333" s="15" t="str"/>
      <x:c r="T333" s="15" t="str"/>
    </x:row>
    <x:row r="334">
      <x:c r="A334" s="15" t="str">
        <x:v>Bu-157</x:v>
      </x:c>
      <x:c r="B334" s="15" t="str">
        <x:v>Bu-157</x:v>
      </x:c>
      <x:c r="C334" s="15" t="str">
        <x:v>1006568</x:v>
      </x:c>
      <x:c r="D334" s="15" t="str">
        <x:v>Bu</x:v>
      </x:c>
      <x:c r="E334" s="15" t="n">
        <x:v>375</x:v>
      </x:c>
      <x:c r="F334" s="15" t="str">
        <x:v>BU Led</x:v>
      </x:c>
      <x:c r="G334" s="15" t="str">
        <x:v>Precision Diagnosis - Magnetic Resonance (MR)</x:v>
      </x:c>
      <x:c r="H334" s="15" t="str">
        <x:v>I2M Clinical Science Contracting (ORION/Ensight) CR's</x:v>
      </x:c>
      <x:c r="I334" s="15" t="str">
        <x:v>Carry Over</x:v>
      </x:c>
      <x:c r="J334" s="15" t="str">
        <x:v>Upgrades &amp; Enhancements</x:v>
      </x:c>
      <x:c r="K334" s="15" t="str">
        <x:v>Innovation and Digital IT</x:v>
      </x:c>
      <x:c r="L334" s="19" t="n">
        <x:v>0.075</x:v>
      </x:c>
      <x:c r="M334" s="19"/>
      <x:c r="N334" s="15" t="str">
        <x:v>Must Have</x:v>
      </x:c>
      <x:c r="O334" s="15" t="str"/>
      <x:c r="P334" s="15" t="str"/>
      <x:c r="Q334" s="15" t="str">
        <x:v>Phase 1B Scope:</x:v>
      </x:c>
      <x:c r="R334" s="15" t="str"/>
      <x:c r="S334" s="15" t="str"/>
      <x:c r="T334" s="15" t="str"/>
    </x:row>
    <x:row r="335">
      <x:c r="A335" s="15" t="str">
        <x:v>Bu-158</x:v>
      </x:c>
      <x:c r="B335" s="15" t="str">
        <x:v>Bu-158</x:v>
      </x:c>
      <x:c r="C335" s="15" t="str">
        <x:v>1006930</x:v>
      </x:c>
      <x:c r="D335" s="15" t="str">
        <x:v>Bu</x:v>
      </x:c>
      <x:c r="E335" s="15" t="n">
        <x:v>379</x:v>
      </x:c>
      <x:c r="F335" s="15" t="str">
        <x:v>BU Led</x:v>
      </x:c>
      <x:c r="G335" s="15" t="str">
        <x:v>Precision Diagnosis - Computed Tomography (CT)</x:v>
      </x:c>
      <x:c r="H335" s="15" t="str">
        <x:v>Sentinel LEM deployment for CT/AMI (OKM – Order Key Manager) - STO 400K</x:v>
      </x:c>
      <x:c r="I335" s="15" t="str">
        <x:v>Carry Over</x:v>
      </x:c>
      <x:c r="J335" s="15" t="str">
        <x:v>Upgrades &amp; Enhancements</x:v>
      </x:c>
      <x:c r="K335" s="15" t="str">
        <x:v>Services &amp; Solutions IT</x:v>
      </x:c>
      <x:c r="L335" s="19" t="n">
        <x:v>0.25</x:v>
      </x:c>
      <x:c r="M335" s="19"/>
      <x:c r="N335" s="15" t="str">
        <x:v>Must Have</x:v>
      </x:c>
      <x:c r="O335" s="15" t="str"/>
      <x:c r="P335" s="15" t="str"/>
      <x:c r="Q335" s="15" t="str">
        <x:v>Reservation for BU specific change requests for Windchill PLM - 100 CCB</x:v>
      </x:c>
      <x:c r="R335" s="15" t="str"/>
      <x:c r="S335" s="15" t="str"/>
      <x:c r="T335" s="15" t="str"/>
    </x:row>
    <x:row r="336">
      <x:c r="A336" s="15" t="str">
        <x:v>Bu-159</x:v>
      </x:c>
      <x:c r="B336" s="15" t="str">
        <x:v>Bu-159</x:v>
      </x:c>
      <x:c r="C336" s="15" t="str">
        <x:v>CCB</x:v>
      </x:c>
      <x:c r="D336" s="15" t="str">
        <x:v>Bu</x:v>
      </x:c>
      <x:c r="E336" s="15" t="n">
        <x:v>380</x:v>
      </x:c>
      <x:c r="F336" s="15" t="str">
        <x:v>BU Led</x:v>
      </x:c>
      <x:c r="G336" s="15" t="str">
        <x:v>Precision Diagnosis - Magnetic Resonance (MR)</x:v>
      </x:c>
      <x:c r="H336" s="15" t="str">
        <x:v>I2M PLM (Windchill) CR's</x:v>
      </x:c>
      <x:c r="I336" s="15" t="str">
        <x:v>Change &amp; Sustain</x:v>
      </x:c>
      <x:c r="J336" s="15" t="str">
        <x:v>Upgrades &amp; Enhancements</x:v>
      </x:c>
      <x:c r="K336" s="15" t="str">
        <x:v>Innovation and Digital IT</x:v>
      </x:c>
      <x:c r="L336" s="19" t="n">
        <x:v>0.3</x:v>
      </x:c>
      <x:c r="M336" s="19"/>
      <x:c r="N336" s="15" t="str">
        <x:v>Must Have</x:v>
      </x:c>
      <x:c r="O336" s="15" t="str"/>
      <x:c r="P336" s="15" t="str"/>
      <x:c r="Q336" s="15" t="str">
        <x:v>Reservation for further enhancements of the MR Imaging app, integration of the MR Imaging App and the MR Learning app and enhancements for the Scan Buddy App- SI 50</x:v>
      </x:c>
      <x:c r="R336" s="15" t="str"/>
      <x:c r="S336" s="15" t="str"/>
      <x:c r="T336" s="15" t="str"/>
    </x:row>
    <x:row r="337">
      <x:c r="A337" s="15" t="str">
        <x:v>Bu-160</x:v>
      </x:c>
      <x:c r="B337" s="15" t="str">
        <x:v>Bu-160</x:v>
      </x:c>
      <x:c r="C337" s="15" t="str">
        <x:v>1007809</x:v>
      </x:c>
      <x:c r="D337" s="15" t="str">
        <x:v>Bu</x:v>
      </x:c>
      <x:c r="E337" s="15" t="n">
        <x:v>381</x:v>
      </x:c>
      <x:c r="F337" s="15" t="str">
        <x:v>BU Led</x:v>
      </x:c>
      <x:c r="G337" s="15" t="str">
        <x:v>Precision Diagnosis - Magnetic Resonance (MR)</x:v>
      </x:c>
      <x:c r="H337" s="15" t="str">
        <x:v>MR Mobile Apps CR's (MR - Imaging app v2) SI</x:v>
      </x:c>
      <x:c r="I337" s="15" t="str">
        <x:v>Carry Over</x:v>
      </x:c>
      <x:c r="J337" s="15" t="str">
        <x:v>Continuous Improvement</x:v>
      </x:c>
      <x:c r="K337" s="15" t="str">
        <x:v>Innovation and Digital IT</x:v>
      </x:c>
      <x:c r="L337" s="19" t="n">
        <x:v>0.35</x:v>
      </x:c>
      <x:c r="M337" s="19"/>
      <x:c r="N337" s="15" t="str">
        <x:v>Must Have</x:v>
      </x:c>
      <x:c r="O337" s="15" t="str"/>
      <x:c r="P337" s="15" t="str"/>
      <x:c r="Q337" s="15" t="str">
        <x:v>Establish the Req2Res foundation for efficient, scalable mobile MRI service operations across Europe.</x:v>
      </x:c>
      <x:c r="R337" s="15" t="str"/>
      <x:c r="S337" s="15" t="str"/>
      <x:c r="T337" s="15" t="str"/>
    </x:row>
    <x:row r="338">
      <x:c r="A338" s="15" t="str">
        <x:v>Bu-161</x:v>
      </x:c>
      <x:c r="B338" s="15" t="str">
        <x:v>Bu-161</x:v>
      </x:c>
      <x:c r="C338" s="15" t="str"/>
      <x:c r="D338" s="15" t="str">
        <x:v>Bu</x:v>
      </x:c>
      <x:c r="E338" s="15" t="n">
        <x:v>382</x:v>
      </x:c>
      <x:c r="F338" s="15" t="str">
        <x:v>BU Led</x:v>
      </x:c>
      <x:c r="G338" s="15" t="str">
        <x:v>Precision Diagnosis - Magnetic Resonance (MR)</x:v>
      </x:c>
      <x:c r="H338" s="15" t="str">
        <x:v>Spaniel 13 | Mobile MRI Support</x:v>
      </x:c>
      <x:c r="I338" s="15" t="str">
        <x:v>New Initiative</x:v>
      </x:c>
      <x:c r="J338" s="15" t="str">
        <x:v>Continuous Improvement</x:v>
      </x:c>
      <x:c r="K338" s="15" t="str">
        <x:v>Services &amp; Solutions IT</x:v>
      </x:c>
      <x:c r="L338" s="19" t="n">
        <x:v>0.16</x:v>
      </x:c>
      <x:c r="M338" s="19"/>
      <x:c r="N338" s="15" t="str">
        <x:v>Must Do</x:v>
      </x:c>
      <x:c r="O338" s="15" t="str"/>
      <x:c r="P338" s="15" t="str"/>
      <x:c r="Q338" s="15" t="str">
        <x:v>Support architype subscription for indirect markets</x:v>
      </x:c>
      <x:c r="R338" s="15" t="str"/>
      <x:c r="S338" s="15" t="str"/>
      <x:c r="T338" s="15" t="str"/>
    </x:row>
    <x:row r="339">
      <x:c r="A339" s="15" t="str">
        <x:v>Bu-162</x:v>
      </x:c>
      <x:c r="B339" s="15" t="str">
        <x:v>Bu-162</x:v>
      </x:c>
      <x:c r="C339" s="15" t="str"/>
      <x:c r="D339" s="15" t="str">
        <x:v>Bu</x:v>
      </x:c>
      <x:c r="E339" s="15" t="n">
        <x:v>383</x:v>
      </x:c>
      <x:c r="F339" s="15" t="str">
        <x:v>BU Led</x:v>
      </x:c>
      <x:c r="G339" s="15" t="str">
        <x:v>Precision Diagnosis - Magnetic Resonance (MR)</x:v>
      </x:c>
      <x:c r="H339" s="15" t="str">
        <x:v>Spaniel 12 | MR subscription for Indirect channel</x:v>
      </x:c>
      <x:c r="I339" s="15" t="str">
        <x:v>New Initiative</x:v>
      </x:c>
      <x:c r="J339" s="15" t="str">
        <x:v>New Feature</x:v>
      </x:c>
      <x:c r="K339" s="15" t="str">
        <x:v>Commercial IT</x:v>
      </x:c>
      <x:c r="L339" s="19" t="n">
        <x:v>0.05</x:v>
      </x:c>
      <x:c r="M339" s="19"/>
      <x:c r="N339" s="15" t="str">
        <x:v>Must Do</x:v>
      </x:c>
      <x:c r="O339" s="15" t="str"/>
      <x:c r="P339" s="15" t="str"/>
      <x:c r="Q339" s="15" t="str">
        <x:v>Assessment to decide the direction for having one pricing source of truth which enables Cat on Demand</x:v>
      </x:c>
      <x:c r="R339" s="15" t="str"/>
      <x:c r="S339" s="15" t="str"/>
      <x:c r="T339" s="15" t="str"/>
    </x:row>
    <x:row r="340">
      <x:c r="A340" s="15" t="str">
        <x:v>Bu-163</x:v>
      </x:c>
      <x:c r="B340" s="15" t="str">
        <x:v>Bu-163</x:v>
      </x:c>
      <x:c r="C340" s="15" t="str"/>
      <x:c r="D340" s="15" t="str">
        <x:v>Bu</x:v>
      </x:c>
      <x:c r="E340" s="15" t="n">
        <x:v>390</x:v>
      </x:c>
      <x:c r="F340" s="15" t="str">
        <x:v>BU Led</x:v>
      </x:c>
      <x:c r="G340" s="15" t="str">
        <x:v>Precision Diagnosis - Magnetic Resonance (MR)</x:v>
      </x:c>
      <x:c r="H340" s="15" t="str">
        <x:v>Sales Text | VSM &amp; PS | Sales text process E2E</x:v>
      </x:c>
      <x:c r="I340" s="15" t="str">
        <x:v>New Initiative</x:v>
      </x:c>
      <x:c r="J340" s="15" t="str">
        <x:v>Continuous Improvement</x:v>
      </x:c>
      <x:c r="K340" s="15" t="str">
        <x:v>Commercial IT</x:v>
      </x:c>
      <x:c r="L340" s="19" t="n">
        <x:v>0.15</x:v>
      </x:c>
      <x:c r="M340" s="19"/>
      <x:c r="N340" s="15" t="str">
        <x:v>Must Have</x:v>
      </x:c>
      <x:c r="O340" s="15" t="str"/>
      <x:c r="P340" s="15" t="str"/>
      <x:c r="Q340" s="15" t="str">
        <x:v>1. Extend the existing GTIN solution enabled by ULS</x:v>
      </x:c>
      <x:c r="R340" s="15" t="str"/>
      <x:c r="S340" s="15" t="str"/>
      <x:c r="T340" s="15" t="str"/>
    </x:row>
    <x:row r="341">
      <x:c r="A341" s="15" t="str">
        <x:v>Bu-164</x:v>
      </x:c>
      <x:c r="B341" s="15" t="str">
        <x:v>Bu-164</x:v>
      </x:c>
      <x:c r="C341" s="15" t="str"/>
      <x:c r="D341" s="15" t="str">
        <x:v>Bu</x:v>
      </x:c>
      <x:c r="E341" s="15" t="n">
        <x:v>392</x:v>
      </x:c>
      <x:c r="F341" s="15" t="str">
        <x:v>BU Led</x:v>
      </x:c>
      <x:c r="G341" s="15" t="str">
        <x:v>Precision Diagnosis - Magnetic Resonance (MR)</x:v>
      </x:c>
      <x:c r="H341" s="15" t="str">
        <x:v>Commercial Catalogue | 6NCs optimization | Solution for GTIN</x:v>
      </x:c>
      <x:c r="I341" s="15" t="str">
        <x:v>New Initiative</x:v>
      </x:c>
      <x:c r="J341" s="15" t="str">
        <x:v>New Feature</x:v>
      </x:c>
      <x:c r="K341" s="15" t="str">
        <x:v>Integrated Supply Chain &amp; Finance</x:v>
      </x:c>
      <x:c r="L341" s="19" t="n">
        <x:v>0.2</x:v>
      </x:c>
      <x:c r="M341" s="19"/>
      <x:c r="N341" s="15" t="str">
        <x:v>Must Do</x:v>
      </x:c>
      <x:c r="O341" s="15" t="str"/>
      <x:c r="P341" s="15" t="str"/>
      <x:c r="Q341" s="15" t="str">
        <x:v>3rd party SW Ordering &amp; Fulfilment:</x:v>
      </x:c>
      <x:c r="R341" s="15" t="str"/>
      <x:c r="S341" s="15" t="str"/>
      <x:c r="T341" s="15" t="str"/>
    </x:row>
    <x:row r="342">
      <x:c r="A342" s="15" t="str">
        <x:v>Bu-165</x:v>
      </x:c>
      <x:c r="B342" s="15" t="str">
        <x:v>Bu-165</x:v>
      </x:c>
      <x:c r="C342" s="15" t="str"/>
      <x:c r="D342" s="15" t="str">
        <x:v>Bu</x:v>
      </x:c>
      <x:c r="E342" s="15" t="n">
        <x:v>399</x:v>
      </x:c>
      <x:c r="F342" s="15" t="str">
        <x:v>BU Led</x:v>
      </x:c>
      <x:c r="G342" s="15" t="str">
        <x:v>Precision Diagnosis - Magnetic Resonance (MR)</x:v>
      </x:c>
      <x:c r="H342" s="15" t="str">
        <x:v>Spaniel 4 &amp; 5 | 3P SW PPP Business Model Archetype MVP</x:v>
      </x:c>
      <x:c r="I342" s="15" t="str">
        <x:v>New Initiative</x:v>
      </x:c>
      <x:c r="J342" s="15" t="str">
        <x:v>New Feature</x:v>
      </x:c>
      <x:c r="K342" s="15" t="str">
        <x:v>Services &amp; Solutions IT</x:v>
      </x:c>
      <x:c r="L342" s="19" t="n">
        <x:v>0.25</x:v>
      </x:c>
      <x:c r="M342" s="19"/>
      <x:c r="N342" s="15" t="str">
        <x:v>Must Do</x:v>
      </x:c>
      <x:c r="O342" s="15" t="str"/>
      <x:c r="P342" s="15" t="str"/>
      <x:c r="Q342" s="15" t="str">
        <x:v>2027 Scope : Decide the direction for having one pricing source of truth which enables Cat on Demand</x:v>
      </x:c>
      <x:c r="R342" s="15" t="str"/>
      <x:c r="S342" s="15" t="str"/>
      <x:c r="T342" s="15" t="str"/>
    </x:row>
    <x:row r="343">
      <x:c r="A343" s="15" t="str">
        <x:v>Bu-166</x:v>
      </x:c>
      <x:c r="B343" s="15" t="str">
        <x:v>Bu-166</x:v>
      </x:c>
      <x:c r="C343" s="15" t="str"/>
      <x:c r="D343" s="15" t="str">
        <x:v>Bu</x:v>
      </x:c>
      <x:c r="E343" s="15" t="n">
        <x:v>403</x:v>
      </x:c>
      <x:c r="F343" s="15" t="str">
        <x:v>BU Led</x:v>
      </x:c>
      <x:c r="G343" s="15" t="str">
        <x:v>Precision Diagnosis - Magnetic Resonance (MR)</x:v>
      </x:c>
      <x:c r="H343" s="15" t="str">
        <x:v>Pricing | Pricing tooling maturity assessment - Road-map</x:v>
      </x:c>
      <x:c r="I343" s="15" t="str">
        <x:v>New Initiative</x:v>
      </x:c>
      <x:c r="J343" s="15" t="str">
        <x:v>New Technology</x:v>
      </x:c>
      <x:c r="K343" s="15" t="str">
        <x:v>Commercial IT</x:v>
      </x:c>
      <x:c r="L343" s="19" t="n">
        <x:v>0.05</x:v>
      </x:c>
      <x:c r="M343" s="19"/>
      <x:c r="N343" s="15" t="str">
        <x:v>Must Have</x:v>
      </x:c>
      <x:c r="O343" s="15" t="str"/>
      <x:c r="P343" s="15" t="str"/>
      <x:c r="Q343" s="15" t="str">
        <x:v>Digitalizing regulatory processes and documentation could significantly improve efficiency for manufacturers and notified bodies by reducing manual copy-paste work, completeness checks, and frequent traceability updates, while also minimizing errors and improving consistency and documentation quality.</x:v>
      </x:c>
      <x:c r="R343" s="15" t="str"/>
      <x:c r="S343" s="15" t="str"/>
      <x:c r="T343" s="15" t="str"/>
    </x:row>
    <x:row r="344">
      <x:c r="A344" s="15" t="str">
        <x:v>Bu-167</x:v>
      </x:c>
      <x:c r="B344" s="15" t="str">
        <x:v>Bu-167</x:v>
      </x:c>
      <x:c r="C344" s="15" t="str"/>
      <x:c r="D344" s="15" t="str">
        <x:v>Bu</x:v>
      </x:c>
      <x:c r="E344" s="15" t="n">
        <x:v>404</x:v>
      </x:c>
      <x:c r="F344" s="15" t="str">
        <x:v>BU Led</x:v>
      </x:c>
      <x:c r="G344" s="15" t="str">
        <x:v>Precision Diagnosis - Magnetic Resonance (MR)</x:v>
      </x:c>
      <x:c r="H344" s="15" t="str">
        <x:v>Regulatory submissions simplification | Document creation &amp; management</x:v>
      </x:c>
      <x:c r="I344" s="15" t="str">
        <x:v>New Initiative</x:v>
      </x:c>
      <x:c r="J344" s="15" t="str">
        <x:v>Continuous Improvement</x:v>
      </x:c>
      <x:c r="K344" s="15" t="str">
        <x:v>Innovation and Digital IT</x:v>
      </x:c>
      <x:c r="L344" s="19" t="n">
        <x:v>0.03</x:v>
      </x:c>
      <x:c r="M344" s="19"/>
      <x:c r="N344" s="15" t="str">
        <x:v>Must Have</x:v>
      </x:c>
      <x:c r="O344" s="15" t="str"/>
      <x:c r="P344" s="15" t="str"/>
      <x:c r="Q344" s="15" t="str">
        <x:v>Builds upon BOOST localized labelling to reduce number of labels by 90% by feeding label content from database</x:v>
      </x:c>
      <x:c r="R344" s="15" t="str"/>
      <x:c r="S344" s="15" t="str"/>
      <x:c r="T344" s="15" t="str"/>
    </x:row>
    <x:row r="345">
      <x:c r="A345" s="15" t="str">
        <x:v>Bu-168</x:v>
      </x:c>
      <x:c r="B345" s="15" t="str">
        <x:v>Bu-168</x:v>
      </x:c>
      <x:c r="C345" s="15" t="str"/>
      <x:c r="D345" s="15" t="str">
        <x:v>Bu</x:v>
      </x:c>
      <x:c r="E345" s="15" t="n">
        <x:v>407</x:v>
      </x:c>
      <x:c r="F345" s="15" t="str">
        <x:v>BU Led</x:v>
      </x:c>
      <x:c r="G345" s="15" t="str">
        <x:v>Precision Diagnosis - Magnetic Resonance (MR)</x:v>
      </x:c>
      <x:c r="H345" s="15" t="str">
        <x:v>Localised Label release</x:v>
      </x:c>
      <x:c r="I345" s="15" t="str">
        <x:v>New Initiative</x:v>
      </x:c>
      <x:c r="J345" s="15" t="str">
        <x:v>Continuous Improvement</x:v>
      </x:c>
      <x:c r="K345" s="15" t="str">
        <x:v>Innovation and Digital IT</x:v>
      </x:c>
      <x:c r="L345" s="19" t="n">
        <x:v>0.05</x:v>
      </x:c>
      <x:c r="M345" s="19"/>
      <x:c r="N345" s="15" t="str">
        <x:v>Must Have</x:v>
      </x:c>
      <x:c r="O345" s="15" t="str"/>
      <x:c r="P345" s="15" t="str"/>
      <x:c r="Q345" s="15" t="str">
        <x:v>Reservation for implementation of AI solutions in the I2M domain in relation to applications like Windchill, Veeva, Codebeamer, Orion, Planisware, including but not limited to: Masterlist document status reporting, requirements definition quality checking, test definition quality checking, product claims harvesting and definition and evidence quality checking, QMS regulatory coverage checking</x:v>
      </x:c>
      <x:c r="R345" s="15" t="str"/>
      <x:c r="S345" s="15" t="str"/>
      <x:c r="T345" s="15" t="str"/>
    </x:row>
    <x:row r="346">
      <x:c r="A346" s="15" t="str">
        <x:v>Bu-169</x:v>
      </x:c>
      <x:c r="B346" s="15" t="str">
        <x:v>Bu-169</x:v>
      </x:c>
      <x:c r="C346" s="15" t="str"/>
      <x:c r="D346" s="15" t="str">
        <x:v>Bu</x:v>
      </x:c>
      <x:c r="E346" s="15" t="n">
        <x:v>408</x:v>
      </x:c>
      <x:c r="F346" s="15" t="str">
        <x:v>BU Led</x:v>
      </x:c>
      <x:c r="G346" s="15" t="str">
        <x:v>Precision Diagnosis - Computed Tomography (CT)</x:v>
      </x:c>
      <x:c r="H346" s="15" t="str">
        <x:v>I2M Planisware CT AI Solutions</x:v>
      </x:c>
      <x:c r="I346" s="15" t="str">
        <x:v>New Initiative</x:v>
      </x:c>
      <x:c r="J346" s="15" t="str">
        <x:v>AI Enablement</x:v>
      </x:c>
      <x:c r="K346" s="15" t="str">
        <x:v>Innovation and Digital IT</x:v>
      </x:c>
      <x:c r="L346" s="19" t="n">
        <x:v>0.65</x:v>
      </x:c>
      <x:c r="M346" s="19"/>
      <x:c r="N346" s="15" t="str">
        <x:v>Must Have</x:v>
      </x:c>
      <x:c r="O346" s="15" t="str"/>
      <x:c r="P346" s="15" t="str"/>
      <x:c r="Q346" s="15" t="str">
        <x:v>The Scanbuddy app is currently maintained by a 3rd Party without a proper contract/terms &amp; conditions agreement. Exploration of insourcing to the Mobile apps team in Philips IT</x:v>
      </x:c>
      <x:c r="R346" s="15" t="str"/>
      <x:c r="S346" s="15" t="str"/>
      <x:c r="T346" s="15" t="str"/>
    </x:row>
    <x:row r="347">
      <x:c r="A347" s="15" t="str">
        <x:v>Bu-170</x:v>
      </x:c>
      <x:c r="B347" s="15" t="str">
        <x:v>Bu-170</x:v>
      </x:c>
      <x:c r="C347" s="15" t="str"/>
      <x:c r="D347" s="15" t="str">
        <x:v>Bu</x:v>
      </x:c>
      <x:c r="E347" s="15" t="n">
        <x:v>409</x:v>
      </x:c>
      <x:c r="F347" s="15" t="str">
        <x:v>BU Led</x:v>
      </x:c>
      <x:c r="G347" s="15" t="str">
        <x:v>Precision Diagnosis - Magnetic Resonance (MR)</x:v>
      </x:c>
      <x:c r="H347" s="15" t="str">
        <x:v>Insourcing Scanbuddy App.</x:v>
      </x:c>
      <x:c r="I347" s="15" t="str">
        <x:v>New Initiative</x:v>
      </x:c>
      <x:c r="J347" s="15" t="str">
        <x:v>Upgrades &amp; Enhancements</x:v>
      </x:c>
      <x:c r="K347" s="15" t="str">
        <x:v>Innovation and Digital IT</x:v>
      </x:c>
      <x:c r="L347" s="19" t="n">
        <x:v>0.2</x:v>
      </x:c>
      <x:c r="M347" s="19"/>
      <x:c r="N347" s="15" t="str">
        <x:v>Must Have</x:v>
      </x:c>
      <x:c r="O347" s="15" t="str"/>
      <x:c r="P347" s="15" t="str"/>
      <x:c r="Q347" s="15" t="str">
        <x:v>Master data settings for EOL/EOS based on harmonized profiles</x:v>
      </x:c>
      <x:c r="R347" s="15" t="str"/>
      <x:c r="S347" s="15" t="str"/>
      <x:c r="T347" s="15" t="str"/>
    </x:row>
    <x:row r="348">
      <x:c r="A348" s="15" t="str">
        <x:v>Bu-171</x:v>
      </x:c>
      <x:c r="B348" s="15" t="str">
        <x:v>Bu-171</x:v>
      </x:c>
      <x:c r="C348" s="15" t="str"/>
      <x:c r="D348" s="15" t="str">
        <x:v>Bu</x:v>
      </x:c>
      <x:c r="E348" s="15" t="n">
        <x:v>410</x:v>
      </x:c>
      <x:c r="F348" s="15" t="str">
        <x:v>BU Led</x:v>
      </x:c>
      <x:c r="G348" s="15" t="str">
        <x:v>Precision Diagnosis - Magnetic Resonance (MR)</x:v>
      </x:c>
      <x:c r="H348" s="15" t="str">
        <x:v>PS: EOS/EOL management (IB)</x:v>
      </x:c>
      <x:c r="I348" s="15" t="str">
        <x:v>New Initiative</x:v>
      </x:c>
      <x:c r="J348" s="15" t="str">
        <x:v>Continuous Improvement</x:v>
      </x:c>
      <x:c r="K348" s="15" t="str">
        <x:v>Services &amp; Solutions IT</x:v>
      </x:c>
      <x:c r="L348" s="19" t="n">
        <x:v>0.1</x:v>
      </x:c>
      <x:c r="M348" s="19"/>
      <x:c r="N348" s="15" t="str">
        <x:v>Must Have</x:v>
      </x:c>
      <x:c r="O348" s="15" t="str"/>
      <x:c r="P348" s="15" t="str"/>
      <x:c r="Q348" s="15" t="str">
        <x:v>Helium ordering in SMAX, (MR Req2Res Type 1) - 120</x:v>
      </x:c>
      <x:c r="R348" s="15" t="str"/>
      <x:c r="S348" s="15" t="str"/>
      <x:c r="T348" s="15" t="str"/>
    </x:row>
    <x:row r="349">
      <x:c r="A349" s="15" t="str">
        <x:v>Bu-172</x:v>
      </x:c>
      <x:c r="B349" s="15" t="str">
        <x:v>Bu-172</x:v>
      </x:c>
      <x:c r="C349" s="15" t="str"/>
      <x:c r="D349" s="15" t="str">
        <x:v>Bu</x:v>
      </x:c>
      <x:c r="E349" s="15" t="n">
        <x:v>422</x:v>
      </x:c>
      <x:c r="F349" s="15" t="str">
        <x:v>BU Led</x:v>
      </x:c>
      <x:c r="G349" s="15" t="str">
        <x:v>Precision Diagnosis - Magnetic Resonance (MR)</x:v>
      </x:c>
      <x:c r="H349" s="15" t="str">
        <x:v>MR Req2Res Type 1</x:v>
      </x:c>
      <x:c r="I349" s="15" t="str">
        <x:v>New Initiative</x:v>
      </x:c>
      <x:c r="J349" s="15" t="str">
        <x:v>Continuous Improvement</x:v>
      </x:c>
      <x:c r="K349" s="15" t="str">
        <x:v>Services &amp; Solutions IT</x:v>
      </x:c>
      <x:c r="L349" s="19" t="n">
        <x:v>0.58</x:v>
      </x:c>
      <x:c r="M349" s="19"/>
      <x:c r="N349" s="15" t="str">
        <x:v>Must Do</x:v>
      </x:c>
      <x:c r="O349" s="15" t="str"/>
      <x:c r="P349" s="15" t="str"/>
      <x:c r="Q349" s="15" t="str">
        <x:v>1. 3rd party coils licensing capability</x:v>
      </x:c>
      <x:c r="R349" s="15" t="str"/>
      <x:c r="S349" s="15" t="str"/>
      <x:c r="T349" s="15" t="str"/>
    </x:row>
    <x:row r="350">
      <x:c r="A350" s="15" t="str">
        <x:v>Bu-173</x:v>
      </x:c>
      <x:c r="B350" s="15" t="str">
        <x:v>Bu-173</x:v>
      </x:c>
      <x:c r="C350" s="15" t="str"/>
      <x:c r="D350" s="15" t="str">
        <x:v>Bu</x:v>
      </x:c>
      <x:c r="E350" s="15" t="n">
        <x:v>428</x:v>
      </x:c>
      <x:c r="F350" s="15" t="str">
        <x:v>BU Led</x:v>
      </x:c>
      <x:c r="G350" s="15" t="str">
        <x:v>Precision Diagnosis - Magnetic Resonance (MR)</x:v>
      </x:c>
      <x:c r="H350" s="15" t="str">
        <x:v>3PP | 3rd party partners program</x:v>
      </x:c>
      <x:c r="I350" s="15" t="str">
        <x:v>New Initiative</x:v>
      </x:c>
      <x:c r="J350" s="15" t="str">
        <x:v>New Feature</x:v>
      </x:c>
      <x:c r="K350" s="15" t="str">
        <x:v>Commercial IT</x:v>
      </x:c>
      <x:c r="L350" s="19" t="n">
        <x:v>0.85</x:v>
      </x:c>
      <x:c r="M350" s="19"/>
      <x:c r="N350" s="15" t="str">
        <x:v>Must Do</x:v>
      </x:c>
      <x:c r="O350" s="15" t="str"/>
      <x:c r="P350" s="15" t="str"/>
      <x:c r="Q350" s="15" t="str">
        <x:v>Scope 1: Deliver AI driven quoting tool for MR which will replace enable Conga decom</x:v>
      </x:c>
      <x:c r="R350" s="15" t="str"/>
      <x:c r="S350" s="15" t="str"/>
      <x:c r="T350" s="15" t="str"/>
    </x:row>
    <x:row r="351">
      <x:c r="A351" s="15" t="str">
        <x:v>Bu-174</x:v>
      </x:c>
      <x:c r="B351" s="15" t="str">
        <x:v>Bu-174</x:v>
      </x:c>
      <x:c r="C351" s="15" t="str"/>
      <x:c r="D351" s="15" t="str">
        <x:v>Bu</x:v>
      </x:c>
      <x:c r="E351" s="15" t="n">
        <x:v>431</x:v>
      </x:c>
      <x:c r="F351" s="15" t="str">
        <x:v>BU Led</x:v>
      </x:c>
      <x:c r="G351" s="15" t="str">
        <x:v>Precision Diagnosis - Magnetic Resonance (MR)</x:v>
      </x:c>
      <x:c r="H351" s="15" t="str">
        <x:v>Sensei for quoting (AI solution)</x:v>
      </x:c>
      <x:c r="I351" s="15" t="str">
        <x:v>New Initiative</x:v>
      </x:c>
      <x:c r="J351" s="15" t="str">
        <x:v>AI Enablement</x:v>
      </x:c>
      <x:c r="K351" s="15" t="str">
        <x:v>Innovation and Digital IT</x:v>
      </x:c>
      <x:c r="L351" s="19" t="n">
        <x:v>1</x:v>
      </x:c>
      <x:c r="M351" s="19"/>
      <x:c r="N351" s="15" t="str">
        <x:v>Must Do</x:v>
      </x:c>
      <x:c r="O351" s="15" t="str"/>
      <x:c r="P351" s="15" t="str"/>
      <x:c r="Q351" s="15" t="str">
        <x:v>Reservation for BU specific change requests for Planisware</x:v>
      </x:c>
      <x:c r="R351" s="15" t="str"/>
      <x:c r="S351" s="15" t="str"/>
      <x:c r="T351" s="15" t="str"/>
    </x:row>
    <x:row r="352">
      <x:c r="A352" s="15" t="str">
        <x:v>Bu-175</x:v>
      </x:c>
      <x:c r="B352" s="15" t="str">
        <x:v>Bu-175</x:v>
      </x:c>
      <x:c r="C352" s="15" t="str"/>
      <x:c r="D352" s="15" t="str">
        <x:v>Bu</x:v>
      </x:c>
      <x:c r="E352" s="15" t="n">
        <x:v>432</x:v>
      </x:c>
      <x:c r="F352" s="15" t="str">
        <x:v>BU Led</x:v>
      </x:c>
      <x:c r="G352" s="15" t="str">
        <x:v>Precision Diagnosis - Magnetic Resonance (MR)</x:v>
      </x:c>
      <x:c r="H352" s="15" t="str">
        <x:v>I2M Program/Portfolio/Project Management (Planisware) CR's</x:v>
      </x:c>
      <x:c r="I352" s="15" t="str">
        <x:v>New Initiative</x:v>
      </x:c>
      <x:c r="J352" s="15" t="str">
        <x:v>Upgrades &amp; Enhancements</x:v>
      </x:c>
      <x:c r="K352" s="15" t="str">
        <x:v>Innovation and Digital IT</x:v>
      </x:c>
      <x:c r="L352" s="19" t="n">
        <x:v>0.075</x:v>
      </x:c>
      <x:c r="M352" s="19"/>
      <x:c r="N352" s="15" t="str">
        <x:v>Must Have</x:v>
      </x:c>
      <x:c r="O352" s="15" t="str"/>
      <x:c r="P352" s="15" t="str"/>
      <x:c r="Q352" s="15" t="str">
        <x:v>Reservation for license cost being pushed back from IT to the business, because of single BU using the licenses.</x:v>
      </x:c>
      <x:c r="R352" s="15" t="str"/>
      <x:c r="S352" s="15" t="str"/>
      <x:c r="T352" s="15" t="str"/>
    </x:row>
    <x:row r="353">
      <x:c r="A353" s="15" t="str">
        <x:v>Bu-176</x:v>
      </x:c>
      <x:c r="B353" s="15" t="str">
        <x:v>Bu-176</x:v>
      </x:c>
      <x:c r="C353" s="15" t="str"/>
      <x:c r="D353" s="15" t="str">
        <x:v>Bu</x:v>
      </x:c>
      <x:c r="E353" s="15" t="n">
        <x:v>434</x:v>
      </x:c>
      <x:c r="F353" s="15" t="str">
        <x:v>BU Led</x:v>
      </x:c>
      <x:c r="G353" s="15" t="str">
        <x:v>Precision Diagnosis - Magnetic Resonance (MR)</x:v>
      </x:c>
      <x:c r="H353" s="15" t="str">
        <x:v>I2M Engineering Tooling CR's &amp; Licenses</x:v>
      </x:c>
      <x:c r="I353" s="15" t="str">
        <x:v>New Initiative</x:v>
      </x:c>
      <x:c r="J353" s="15" t="str">
        <x:v>Continous Improvement</x:v>
      </x:c>
      <x:c r="K353" s="15" t="str">
        <x:v>Innovation and Digital IT</x:v>
      </x:c>
      <x:c r="L353" s="19" t="n">
        <x:v>0.736</x:v>
      </x:c>
      <x:c r="M353" s="19"/>
      <x:c r="N353" s="15" t="str">
        <x:v>Must Do</x:v>
      </x:c>
      <x:c r="O353" s="15" t="str"/>
      <x:c r="P353" s="15" t="str"/>
      <x:c r="Q353" s="15" t="str">
        <x:v>Deploy preparations for Maintenance logbook (e.g. anchor point / validation of as-installed ib vs as-granted ib, non-commercial order types in MP1, capture goods movement iso manual update)</x:v>
      </x:c>
      <x:c r="R353" s="15" t="str"/>
      <x:c r="S353" s="15" t="str"/>
      <x:c r="T353" s="15" t="str"/>
    </x:row>
    <x:row r="354">
      <x:c r="A354" s="15" t="str">
        <x:v>Bu-177</x:v>
      </x:c>
      <x:c r="B354" s="15" t="str">
        <x:v>Bu-177</x:v>
      </x:c>
      <x:c r="C354" s="15" t="str"/>
      <x:c r="D354" s="15" t="str">
        <x:v>Bu</x:v>
      </x:c>
      <x:c r="E354" s="15" t="n">
        <x:v>435</x:v>
      </x:c>
      <x:c r="F354" s="15" t="str">
        <x:v>BU Led</x:v>
      </x:c>
      <x:c r="G354" s="15" t="str">
        <x:v>Precision Diagnosis - Magnetic Resonance (MR)</x:v>
      </x:c>
      <x:c r="H354" s="15" t="str">
        <x:v>Deploy maintenance logbook preparations (IB whitepaper)</x:v>
      </x:c>
      <x:c r="I354" s="15" t="str">
        <x:v>New Initiative</x:v>
      </x:c>
      <x:c r="J354" s="15" t="str">
        <x:v>New Feature</x:v>
      </x:c>
      <x:c r="K354" s="15" t="str">
        <x:v>Services &amp; Solutions IT</x:v>
      </x:c>
      <x:c r="L354" s="19" t="n">
        <x:v>0.15</x:v>
      </x:c>
      <x:c r="M354" s="19"/>
      <x:c r="N354" s="15" t="str">
        <x:v>Must Have</x:v>
      </x:c>
      <x:c r="O354" s="15" t="str"/>
      <x:c r="P354" s="15" t="str"/>
      <x:c r="Q354" s="15" t="str">
        <x:v>Enhance as-granted ib with HW and Unlock the data for guided selling for both HW and SW</x:v>
      </x:c>
      <x:c r="R354" s="15" t="str"/>
      <x:c r="S354" s="15" t="str"/>
      <x:c r="T354" s="15" t="str"/>
    </x:row>
    <x:row r="355">
      <x:c r="A355" s="15" t="str">
        <x:v>Bu-178</x:v>
      </x:c>
      <x:c r="B355" s="15" t="str">
        <x:v>Bu-178</x:v>
      </x:c>
      <x:c r="C355" s="15" t="str"/>
      <x:c r="D355" s="15" t="str">
        <x:v>Bu</x:v>
      </x:c>
      <x:c r="E355" s="15" t="n">
        <x:v>436</x:v>
      </x:c>
      <x:c r="F355" s="15" t="str">
        <x:v>BU Led</x:v>
      </x:c>
      <x:c r="G355" s="15" t="str">
        <x:v>Precision Diagnosis - Magnetic Resonance (MR)</x:v>
      </x:c>
      <x:c r="H355" s="15" t="str">
        <x:v>Unlock as-granted ibase for HW to auto-populate guided selling</x:v>
      </x:c>
      <x:c r="I355" s="15" t="str">
        <x:v>New Initiative</x:v>
      </x:c>
      <x:c r="J355" s="15" t="str">
        <x:v>New Feature</x:v>
      </x:c>
      <x:c r="K355" s="15" t="str">
        <x:v>Innovation and Digital IT</x:v>
      </x:c>
      <x:c r="L355" s="19" t="n">
        <x:v>0.1</x:v>
      </x:c>
      <x:c r="M355" s="19"/>
      <x:c r="N355" s="15" t="str">
        <x:v>Must Have</x:v>
      </x:c>
      <x:c r="O355" s="15" t="str"/>
      <x:c r="P355" s="15" t="str"/>
      <x:c r="Q355" s="15" t="str">
        <x:v>Identify quick wins, improve interface or build AI agent/RPA bot</x:v>
      </x:c>
      <x:c r="R355" s="15" t="str"/>
      <x:c r="S355" s="15" t="str"/>
      <x:c r="T355" s="15" t="str"/>
    </x:row>
    <x:row r="356">
      <x:c r="A356" s="15" t="str">
        <x:v>Bu-179</x:v>
      </x:c>
      <x:c r="B356" s="15" t="str">
        <x:v>Bu-179</x:v>
      </x:c>
      <x:c r="C356" s="15" t="str"/>
      <x:c r="D356" s="15" t="str">
        <x:v>Bu</x:v>
      </x:c>
      <x:c r="E356" s="15" t="n">
        <x:v>437</x:v>
      </x:c>
      <x:c r="F356" s="15" t="str">
        <x:v>BU Led</x:v>
      </x:c>
      <x:c r="G356" s="15" t="str">
        <x:v>Precision Diagnosis - Magnetic Resonance (MR)</x:v>
      </x:c>
      <x:c r="H356" s="15" t="str">
        <x:v>Digital thread, traceability applications (AI/RPA)</x:v>
      </x:c>
      <x:c r="I356" s="15" t="str">
        <x:v>New Initiative</x:v>
      </x:c>
      <x:c r="J356" s="15" t="str">
        <x:v>AI Enablement</x:v>
      </x:c>
      <x:c r="K356" s="15" t="str">
        <x:v>Innovation and Digital IT</x:v>
      </x:c>
      <x:c r="L356" s="19" t="n">
        <x:v>0.1</x:v>
      </x:c>
      <x:c r="M356" s="19"/>
      <x:c r="N356" s="15" t="str">
        <x:v>Must Have</x:v>
      </x:c>
      <x:c r="O356" s="15" t="str"/>
      <x:c r="P356" s="15" t="str"/>
      <x:c r="Q356" s="15" t="str">
        <x:v>Reduce manual work in the current processes (Salestext, Catalog, Sales) within the M2O domain and enhance with AI.</x:v>
      </x:c>
      <x:c r="R356" s="15" t="str"/>
      <x:c r="S356" s="15" t="str"/>
      <x:c r="T356" s="15" t="str"/>
    </x:row>
    <x:row r="357">
      <x:c r="A357" s="15" t="str">
        <x:v>Bu-180</x:v>
      </x:c>
      <x:c r="B357" s="15" t="str">
        <x:v>Bu-180</x:v>
      </x:c>
      <x:c r="C357" s="15" t="str"/>
      <x:c r="D357" s="15" t="str">
        <x:v>Bu</x:v>
      </x:c>
      <x:c r="E357" s="15" t="n">
        <x:v>438</x:v>
      </x:c>
      <x:c r="F357" s="15" t="str">
        <x:v>BU Led</x:v>
      </x:c>
      <x:c r="G357" s="15" t="str">
        <x:v>Precision Diagnosis - Magnetic Resonance (MR)</x:v>
      </x:c>
      <x:c r="H357" s="15" t="str">
        <x:v>DI AI Solution Placeholder</x:v>
      </x:c>
      <x:c r="I357" s="15" t="str">
        <x:v>New Initiative</x:v>
      </x:c>
      <x:c r="J357" s="15" t="str">
        <x:v>AI Enablement</x:v>
      </x:c>
      <x:c r="K357" s="15" t="str">
        <x:v>Innovation and Digital IT</x:v>
      </x:c>
      <x:c r="L357" s="19" t="n">
        <x:v>0.3</x:v>
      </x:c>
      <x:c r="M357" s="19"/>
      <x:c r="N357" s="15" t="str">
        <x:v>Must Have</x:v>
      </x:c>
      <x:c r="O357" s="15" t="str"/>
      <x:c r="P357" s="15" t="str"/>
      <x:c r="Q357" s="15" t="str">
        <x:v>CERA is an AI solution to generate Clinical Evidence Reports from documents in Windchill. Instead of manual creation of the CER, CERA can generate it based on templates. There is interest in MR to deploy in 2027. Estimated cost is 100K per BU, for BU specific configuration and template</x:v>
      </x:c>
      <x:c r="R357" s="15" t="str"/>
      <x:c r="S357" s="15" t="str"/>
      <x:c r="T357" s="15" t="str"/>
    </x:row>
    <x:row r="358">
      <x:c r="A358" s="15" t="str">
        <x:v>Bu-181</x:v>
      </x:c>
      <x:c r="B358" s="15" t="str">
        <x:v>Bu-181</x:v>
      </x:c>
      <x:c r="C358" s="15" t="str"/>
      <x:c r="D358" s="15" t="str">
        <x:v>Bu</x:v>
      </x:c>
      <x:c r="E358" s="15" t="n">
        <x:v>439</x:v>
      </x:c>
      <x:c r="F358" s="15" t="str">
        <x:v>BU Led</x:v>
      </x:c>
      <x:c r="G358" s="15" t="str">
        <x:v>Precision Diagnosis - Magnetic Resonance (MR)</x:v>
      </x:c>
      <x:c r="H358" s="15" t="str">
        <x:v>CERA deployment</x:v>
      </x:c>
      <x:c r="I358" s="15" t="str">
        <x:v>New Initiative</x:v>
      </x:c>
      <x:c r="J358" s="15" t="str">
        <x:v>Continuous Improvement</x:v>
      </x:c>
      <x:c r="K358" s="15" t="str">
        <x:v>Innovation and Digital IT</x:v>
      </x:c>
      <x:c r="L358" s="19" t="n">
        <x:v>0.1</x:v>
      </x:c>
      <x:c r="M358" s="19"/>
      <x:c r="N358" s="15" t="str">
        <x:v>Must Have</x:v>
      </x:c>
      <x:c r="O358" s="15" t="str"/>
      <x:c r="P358" s="15" t="str"/>
      <x:c r="Q358" s="15" t="str">
        <x:v>Support multiple projects under for MR, CT, DXR</x:v>
      </x:c>
      <x:c r="R358" s="15" t="str"/>
      <x:c r="S358" s="15" t="str"/>
      <x:c r="T358" s="15" t="str"/>
    </x:row>
    <x:row r="359">
      <x:c r="A359" s="15" t="str">
        <x:v>Bu-182</x:v>
      </x:c>
      <x:c r="B359" s="15" t="str">
        <x:v>Bu-182</x:v>
      </x:c>
      <x:c r="C359" s="15" t="str"/>
      <x:c r="D359" s="15" t="str">
        <x:v>Bu</x:v>
      </x:c>
      <x:c r="E359" s="15" t="n">
        <x:v>440</x:v>
      </x:c>
      <x:c r="F359" s="15" t="str">
        <x:v>BU Led</x:v>
      </x:c>
      <x:c r="G359" s="15" t="str">
        <x:v>Precision Diagnosis - Magnetic Resonance (MR)</x:v>
      </x:c>
      <x:c r="H359" s="15" t="str">
        <x:v>Imaging Small Investment - Unallocated</x:v>
      </x:c>
      <x:c r="I359" s="15" t="str">
        <x:v>New Initiative</x:v>
      </x:c>
      <x:c r="J359" s="15" t="str">
        <x:v>Upgrades &amp; Enhancements</x:v>
      </x:c>
      <x:c r="K359" s="15" t="str">
        <x:v>Innovation and Digital IT</x:v>
      </x:c>
      <x:c r="L359" s="19" t="n">
        <x:v>0.25</x:v>
      </x:c>
      <x:c r="M359" s="19"/>
      <x:c r="N359" s="15" t="str">
        <x:v>Must Do</x:v>
      </x:c>
      <x:c r="O359" s="15" t="str"/>
      <x:c r="P359" s="15" t="str"/>
      <x:c r="Q359" s="15" t="str">
        <x:v>Customer Self Install: Support on device for artifacts based RSDI downloads from RSM portal</x:v>
      </x:c>
      <x:c r="R359" s="15" t="str"/>
      <x:c r="S359" s="15" t="str"/>
      <x:c r="T359" s="15" t="str"/>
    </x:row>
    <x:row r="360">
      <x:c r="A360" s="15" t="str">
        <x:v>Bu-183</x:v>
      </x:c>
      <x:c r="B360" s="15" t="str">
        <x:v>Bu-183</x:v>
      </x:c>
      <x:c r="C360" s="15" t="str"/>
      <x:c r="D360" s="15" t="str">
        <x:v>Bu</x:v>
      </x:c>
      <x:c r="E360" s="15" t="n">
        <x:v>441</x:v>
      </x:c>
      <x:c r="F360" s="15" t="str">
        <x:v>BU Led</x:v>
      </x:c>
      <x:c r="G360" s="15" t="str">
        <x:v>Precision Diagnosis - Magnetic Resonance (MR)</x:v>
      </x:c>
      <x:c r="H360" s="15" t="str">
        <x:v>RSDI (Type 1) | CSI: Support on device for artifacts based RSDI downloads from RSM portal : On-device support for artifact-based RSDI downloads.</x:v>
      </x:c>
      <x:c r="I360" s="15" t="str">
        <x:v>New Initiative</x:v>
      </x:c>
      <x:c r="J360" s="15" t="str">
        <x:v>New Feature</x:v>
      </x:c>
      <x:c r="K360" s="15" t="str">
        <x:v>Services &amp; Solutions IT</x:v>
      </x:c>
      <x:c r="L360" s="19" t="n">
        <x:v>0.06</x:v>
      </x:c>
      <x:c r="M360" s="19"/>
      <x:c r="N360" s="15" t="str">
        <x:v>Must Have</x:v>
      </x:c>
      <x:c r="O360" s="15" t="str"/>
      <x:c r="P360" s="15" t="str"/>
      <x:c r="Q360" s="15" t="str">
        <x:v>RSM: Show menu tree based on SW Release and not Product Type: Align RSM package navigation with software release support for artifact-based RSDI downloads.</x:v>
      </x:c>
      <x:c r="R360" s="15" t="str"/>
      <x:c r="S360" s="15" t="str"/>
      <x:c r="T360" s="15" t="str"/>
    </x:row>
    <x:row r="361">
      <x:c r="A361" s="15" t="str">
        <x:v>Bu-184</x:v>
      </x:c>
      <x:c r="B361" s="15" t="str">
        <x:v>Bu-184</x:v>
      </x:c>
      <x:c r="C361" s="15" t="str"/>
      <x:c r="D361" s="15" t="str">
        <x:v>Bu</x:v>
      </x:c>
      <x:c r="E361" s="15" t="n">
        <x:v>442</x:v>
      </x:c>
      <x:c r="F361" s="15" t="str">
        <x:v>BU Led</x:v>
      </x:c>
      <x:c r="G361" s="15" t="str">
        <x:v>Precision Diagnosis - Magnetic Resonance (MR)</x:v>
      </x:c>
      <x:c r="H361" s="15" t="str">
        <x:v>RSDI (Type 1) | RSM: Show Menu Tree based on SW release and not product type</x:v>
      </x:c>
      <x:c r="I361" s="15" t="str">
        <x:v>New Initiative</x:v>
      </x:c>
      <x:c r="J361" s="15" t="str">
        <x:v>New Feature</x:v>
      </x:c>
      <x:c r="K361" s="15" t="str">
        <x:v>Services &amp; Solutions IT</x:v>
      </x:c>
      <x:c r="L361" s="19" t="n">
        <x:v>0.56</x:v>
      </x:c>
      <x:c r="M361" s="19"/>
      <x:c r="N361" s="15" t="str">
        <x:v>Must Have</x:v>
      </x:c>
      <x:c r="O361" s="15" t="str"/>
      <x:c r="P361" s="15" t="str"/>
      <x:c r="Q361" s="15" t="str">
        <x:v>RSDI (Type 1) | FSE utility to create USB Media</x:v>
      </x:c>
      <x:c r="R361" s="15" t="str"/>
      <x:c r="S361" s="15" t="str"/>
      <x:c r="T361" s="15" t="str"/>
    </x:row>
    <x:row r="362">
      <x:c r="A362" s="15" t="str">
        <x:v>Bu-185</x:v>
      </x:c>
      <x:c r="B362" s="15" t="str">
        <x:v>Bu-185</x:v>
      </x:c>
      <x:c r="C362" s="15" t="str"/>
      <x:c r="D362" s="15" t="str">
        <x:v>Bu</x:v>
      </x:c>
      <x:c r="E362" s="15" t="n">
        <x:v>443</x:v>
      </x:c>
      <x:c r="F362" s="15" t="str">
        <x:v>BU Led</x:v>
      </x:c>
      <x:c r="G362" s="15" t="str">
        <x:v>Precision Diagnosis - Magnetic Resonance (MR)</x:v>
      </x:c>
      <x:c r="H362" s="15" t="str">
        <x:v>RSDI (Type 1) | FSE utility to create USB Media</x:v>
      </x:c>
      <x:c r="I362" s="15" t="str">
        <x:v>New Initiative</x:v>
      </x:c>
      <x:c r="J362" s="15" t="str">
        <x:v>New Feature</x:v>
      </x:c>
      <x:c r="K362" s="15" t="str">
        <x:v>Services &amp; Solutions IT</x:v>
      </x:c>
      <x:c r="L362" s="19" t="n">
        <x:v>0.25</x:v>
      </x:c>
      <x:c r="M362" s="19"/>
      <x:c r="N362" s="15" t="str">
        <x:v>Must Have</x:v>
      </x:c>
      <x:c r="O362" s="15" t="str"/>
      <x:c r="P362" s="15" t="str"/>
      <x:c r="Q362" s="15" t="str">
        <x:v>Mandatory annual support activities include: OS compatibility updates, Certificate renewals, Approvals and release management And below are the new features</x:v>
      </x:c>
      <x:c r="R362" s="15" t="str"/>
      <x:c r="S362" s="15" t="str"/>
      <x:c r="T362" s="15" t="str"/>
    </x:row>
    <x:row r="363">
      <x:c r="A363" s="15" t="str">
        <x:v>Bu-186</x:v>
      </x:c>
      <x:c r="B363" s="15" t="str">
        <x:v>Bu-186</x:v>
      </x:c>
      <x:c r="C363" s="15" t="str"/>
      <x:c r="D363" s="15" t="str">
        <x:v>Bu</x:v>
      </x:c>
      <x:c r="E363" s="15" t="n">
        <x:v>444</x:v>
      </x:c>
      <x:c r="F363" s="15" t="str">
        <x:v>BU Led</x:v>
      </x:c>
      <x:c r="G363" s="15" t="str">
        <x:v>Precision Diagnosis - Computed Tomography (CT)</x:v>
      </x:c>
      <x:c r="H363" s="15" t="str">
        <x:v>CT Mobile APP</x:v>
      </x:c>
      <x:c r="I363" s="15" t="str">
        <x:v>New Initiative</x:v>
      </x:c>
      <x:c r="J363" s="15" t="str">
        <x:v>Upgrades &amp; Enhancements</x:v>
      </x:c>
      <x:c r="K363" s="15" t="str">
        <x:v>Innovation and Digital IT</x:v>
      </x:c>
      <x:c r="L363" s="19" t="n">
        <x:v>0.321</x:v>
      </x:c>
      <x:c r="M363" s="19"/>
      <x:c r="N363" s="15" t="str">
        <x:v>Must Have</x:v>
      </x:c>
      <x:c r="O363" s="15" t="str"/>
      <x:c r="P363" s="15" t="str"/>
      <x:c r="Q363" s="15" t="str">
        <x:v>Mandatory annual support activities include: OS compatibility updates, Certificate renewals, Approvals and release management And below are the new features</x:v>
      </x:c>
      <x:c r="R363" s="15" t="str"/>
      <x:c r="S363" s="15" t="str"/>
      <x:c r="T363" s="15" t="str"/>
    </x:row>
    <x:row r="364">
      <x:c r="A364" s="15" t="str">
        <x:v>Bu-187</x:v>
      </x:c>
      <x:c r="B364" s="15" t="str">
        <x:v>Bu-187</x:v>
      </x:c>
      <x:c r="C364" s="15" t="str"/>
      <x:c r="D364" s="15" t="str">
        <x:v>Bu</x:v>
      </x:c>
      <x:c r="E364" s="15" t="n">
        <x:v>445</x:v>
      </x:c>
      <x:c r="F364" s="15" t="str">
        <x:v>BU Led</x:v>
      </x:c>
      <x:c r="G364" s="15" t="str">
        <x:v>Precision Diagnosis - Digital X-ray Radiogrammetry (DXR)</x:v>
      </x:c>
      <x:c r="H364" s="15" t="str">
        <x:v>DXR Mobile App</x:v>
      </x:c>
      <x:c r="I364" s="15" t="str">
        <x:v>New Initiative</x:v>
      </x:c>
      <x:c r="J364" s="15" t="str">
        <x:v>Upgrades &amp; Enhancements</x:v>
      </x:c>
      <x:c r="K364" s="15" t="str">
        <x:v>Innovation and Digital IT</x:v>
      </x:c>
      <x:c r="L364" s="19" t="n">
        <x:v>0.314</x:v>
      </x:c>
      <x:c r="M364" s="19"/>
      <x:c r="N364" s="15" t="str">
        <x:v>Must Have</x:v>
      </x:c>
      <x:c r="O364" s="15" t="str"/>
      <x:c r="P364" s="15" t="str"/>
      <x:c r="Q364" s="15" t="str">
        <x:v>CPL Bot – €20K</x:v>
      </x:c>
      <x:c r="R364" s="15" t="str"/>
      <x:c r="S364" s="15" t="str"/>
      <x:c r="T364" s="15" t="str"/>
    </x:row>
    <x:row r="365">
      <x:c r="A365" s="15" t="str">
        <x:v>Bu-188</x:v>
      </x:c>
      <x:c r="B365" s="15" t="str">
        <x:v>Bu-188</x:v>
      </x:c>
      <x:c r="C365" s="15" t="str"/>
      <x:c r="D365" s="15" t="str">
        <x:v>Bu</x:v>
      </x:c>
      <x:c r="E365" s="15" t="n">
        <x:v>449</x:v>
      </x:c>
      <x:c r="F365" s="15" t="str">
        <x:v>BU Led</x:v>
      </x:c>
      <x:c r="G365" s="15" t="str">
        <x:v>Precision Diagnosis - Magnetic Resonance (MR)</x:v>
      </x:c>
      <x:c r="H365" s="15" t="str">
        <x:v>PD AI Solutions</x:v>
      </x:c>
      <x:c r="I365" s="15" t="str">
        <x:v>New Initiative</x:v>
      </x:c>
      <x:c r="J365" s="15" t="str">
        <x:v>New Technology</x:v>
      </x:c>
      <x:c r="K365" s="15" t="str">
        <x:v>Enterprise Architecture, Data &amp; Integration</x:v>
      </x:c>
      <x:c r="L365" s="19" t="n">
        <x:v>0.18</x:v>
      </x:c>
      <x:c r="M365" s="19"/>
      <x:c r="N365" s="15" t="str">
        <x:v>Must Do</x:v>
      </x:c>
      <x:c r="O365" s="15" t="str"/>
      <x:c r="P365" s="15" t="str"/>
      <x:c r="Q365" s="15" t="str">
        <x:v>CPL Bot – €20K</x:v>
      </x:c>
      <x:c r="R365" s="15" t="str"/>
      <x:c r="S365" s="15" t="str"/>
      <x:c r="T365" s="15" t="str"/>
    </x:row>
    <x:row r="366">
      <x:c r="A366" s="15" t="str">
        <x:v>Bu-189</x:v>
      </x:c>
      <x:c r="B366" s="15" t="str">
        <x:v>Bu-189</x:v>
      </x:c>
      <x:c r="C366" s="15" t="str"/>
      <x:c r="D366" s="15" t="str">
        <x:v>Bu</x:v>
      </x:c>
      <x:c r="E366" s="15" t="n">
        <x:v>453</x:v>
      </x:c>
      <x:c r="F366" s="15" t="str">
        <x:v>BU Led</x:v>
      </x:c>
      <x:c r="G366" s="15" t="str">
        <x:v>Precision Diagnosis - Computed Tomography (CT)</x:v>
      </x:c>
      <x:c r="H366" s="15" t="str">
        <x:v>1. GAIA - platform showing E2E product / customer quality status.</x:v>
      </x:c>
      <x:c r="I366" s="15" t="str">
        <x:v>New Initiative</x:v>
      </x:c>
      <x:c r="J366" s="15" t="str">
        <x:v>Continous Improvement</x:v>
      </x:c>
      <x:c r="K366" s="15" t="str">
        <x:v>Group Functions &amp; Hyperautomation IT</x:v>
      </x:c>
      <x:c r="L366" s="19" t="n">
        <x:v>0.05</x:v>
      </x:c>
      <x:c r="M366" s="19"/>
      <x:c r="N366" s="15" t="str">
        <x:v>Must Have</x:v>
      </x:c>
      <x:c r="O366" s="15" t="str"/>
      <x:c r="P366" s="15" t="str"/>
      <x:c r="Q366" s="15" t="str">
        <x:v>E2E view for products / customer / part from quality metrix prespective. consolidatind data from Service , Design and manufacturing data systems , including AI capabilities to generate E2E view</x:v>
      </x:c>
      <x:c r="R366" s="15" t="str"/>
      <x:c r="S366" s="15" t="str"/>
      <x:c r="T366" s="15" t="str"/>
    </x:row>
    <x:row r="367">
      <x:c r="A367" s="15" t="str">
        <x:v>Bu-190</x:v>
      </x:c>
      <x:c r="B367" s="15" t="str">
        <x:v>Bu-190</x:v>
      </x:c>
      <x:c r="C367" s="15" t="str"/>
      <x:c r="D367" s="15" t="str">
        <x:v>Bu</x:v>
      </x:c>
      <x:c r="E367" s="15" t="n">
        <x:v>454</x:v>
      </x:c>
      <x:c r="F367" s="15" t="str">
        <x:v>BU Led</x:v>
      </x:c>
      <x:c r="G367" s="15" t="str">
        <x:v>Precision Diagnosis - Computed Tomography (CT)</x:v>
      </x:c>
      <x:c r="H367" s="15" t="str">
        <x:v>2. Audit management tool</x:v>
      </x:c>
      <x:c r="I367" s="15" t="str">
        <x:v>New Initiative</x:v>
      </x:c>
      <x:c r="J367" s="15" t="str">
        <x:v>Continous Improvement</x:v>
      </x:c>
      <x:c r="K367" s="15" t="str">
        <x:v>Portfolio IT</x:v>
      </x:c>
      <x:c r="L367" s="19" t="n">
        <x:v>0.05</x:v>
      </x:c>
      <x:c r="M367" s="19"/>
      <x:c r="N367" s="15" t="str">
        <x:v>Must Have</x:v>
      </x:c>
      <x:c r="O367" s="15" t="str"/>
      <x:c r="P367" s="15" t="str"/>
      <x:c r="Q367" s="15" t="str">
        <x:v>Audit management tool , better control, one stop shop, Improve audit preperations ,audit performace and post audit documentation . Toll operational. Focus on mass deployemnt, addint AI capabilities and storage / User capabilities</x:v>
      </x:c>
      <x:c r="R367" s="15" t="str"/>
      <x:c r="S367" s="15" t="str"/>
      <x:c r="T367" s="15" t="str"/>
    </x:row>
    <x:row r="368">
      <x:c r="A368" s="15" t="str">
        <x:v>Bu-191</x:v>
      </x:c>
      <x:c r="B368" s="15" t="str">
        <x:v>Bu-191</x:v>
      </x:c>
      <x:c r="C368" s="15" t="str">
        <x:v>1007278</x:v>
      </x:c>
      <x:c r="D368" s="15" t="str">
        <x:v>Bu</x:v>
      </x:c>
      <x:c r="E368" s="15" t="n">
        <x:v>455</x:v>
      </x:c>
      <x:c r="F368" s="15" t="str">
        <x:v>BU Led</x:v>
      </x:c>
      <x:c r="G368" s="15" t="str">
        <x:v>Image Guided Therapy - Systems (IGT-S)</x:v>
      </x:c>
      <x:c r="H368" s="15" t="str">
        <x:v>LEM - Type I</x:v>
      </x:c>
      <x:c r="I368" s="15" t="str">
        <x:v>Carry Over</x:v>
      </x:c>
      <x:c r="J368" s="15" t="str">
        <x:v>Continous Improvement</x:v>
      </x:c>
      <x:c r="K368" s="15" t="str">
        <x:v>Services &amp; Solutions IT</x:v>
      </x:c>
      <x:c r="L368" s="19" t="n">
        <x:v>0.428</x:v>
      </x:c>
      <x:c r="M368" s="19" t="n">
        <x:v>0</x:v>
      </x:c>
      <x:c r="N368" s="15" t="str">
        <x:v>Must Do</x:v>
      </x:c>
      <x:c r="O368" s="15" t="str">
        <x:v>A foundational capability required to enable new business models for IGT such as Software Subscription (PPP) and AI-based growth; without it, initiatives like Azurion Next Gen and Sentinel native enforcement will rely on manual processes, constraining IGT's ability to scale.</x:v>
      </x:c>
      <x:c r="P368" s="15" t="str">
        <x:v>Entitlement and Licensing capabilities to support Azurion Next Gen</x:v>
      </x:c>
      <x:c r="Q368" s="15" t="str">
        <x:v>1. Order fulfilment</x:v>
      </x:c>
      <x:c r="R368" s="15" t="str"/>
      <x:c r="S368" s="15" t="str">
        <x:v>HEALTHY</x:v>
      </x:c>
      <x:c r="T368" s="15" t="str">
        <x:v>HEALTHY — Rank in priority matrix</x:v>
      </x:c>
    </x:row>
    <x:row r="369">
      <x:c r="A369" s="15" t="str">
        <x:v>Bu-192</x:v>
      </x:c>
      <x:c r="B369" s="15" t="str">
        <x:v>Bu-192</x:v>
      </x:c>
      <x:c r="C369" s="15" t="str"/>
      <x:c r="D369" s="15" t="str">
        <x:v>Bu</x:v>
      </x:c>
      <x:c r="E369" s="15" t="n">
        <x:v>458</x:v>
      </x:c>
      <x:c r="F369" s="15" t="str">
        <x:v>BU Led</x:v>
      </x:c>
      <x:c r="G369" s="15" t="str">
        <x:v>Image Guided Therapy - Systems (IGT-S)</x:v>
      </x:c>
      <x:c r="H369" s="15" t="str">
        <x:v>LEM - Type II</x:v>
      </x:c>
      <x:c r="I369" s="15" t="str">
        <x:v>Carry Over</x:v>
      </x:c>
      <x:c r="J369" s="15" t="str">
        <x:v>Continous Improvement</x:v>
      </x:c>
      <x:c r="K369" s="15" t="str">
        <x:v>Services &amp; Solutions IT</x:v>
      </x:c>
      <x:c r="L369" s="19" t="n">
        <x:v>0.407</x:v>
      </x:c>
      <x:c r="M369" s="19" t="n">
        <x:v>0</x:v>
      </x:c>
      <x:c r="N369" s="15" t="str">
        <x:v>Must Do</x:v>
      </x:c>
      <x:c r="O369" s="15" t="str">
        <x:v>A foundational capability required to enable new business models for IGT such as Software Subscription (PPP) and AI-based growth; without it, initiatives like Azurion Next Gen and Sentinel native enforcement will rely on manual processes, constraining IGT's ability to scale.</x:v>
      </x:c>
      <x:c r="P369" s="15" t="str">
        <x:v>Capabilities for subscription model</x:v>
      </x:c>
      <x:c r="Q369" s="15" t="str">
        <x:v>1. Enabling subscriptions for Pay Per Period (PPP) business model</x:v>
      </x:c>
      <x:c r="R369" s="15" t="str"/>
      <x:c r="S369" s="15" t="str">
        <x:v>HEALTHY</x:v>
      </x:c>
      <x:c r="T369" s="15" t="str">
        <x:v>HEALTHY — Rank in priority matrix</x:v>
      </x:c>
    </x:row>
    <x:row r="370">
      <x:c r="A370" s="15" t="str">
        <x:v>Bu-193</x:v>
      </x:c>
      <x:c r="B370" s="15" t="str">
        <x:v>Bu-193</x:v>
      </x:c>
      <x:c r="C370" s="15" t="str">
        <x:v>1006483</x:v>
      </x:c>
      <x:c r="D370" s="15" t="str">
        <x:v>Bu</x:v>
      </x:c>
      <x:c r="E370" s="15" t="n">
        <x:v>460</x:v>
      </x:c>
      <x:c r="F370" s="15" t="str">
        <x:v>BU Led</x:v>
      </x:c>
      <x:c r="G370" s="15" t="str">
        <x:v>Precision Diagnosis - Ultrasound (PDU)</x:v>
      </x:c>
      <x:c r="H370" s="15" t="str">
        <x:v>Catalog Simplification - Catalog workflow</x:v>
      </x:c>
      <x:c r="I370" s="15" t="str">
        <x:v>Carry Over</x:v>
      </x:c>
      <x:c r="J370" s="15" t="str">
        <x:v>Continous Improvement</x:v>
      </x:c>
      <x:c r="K370" s="15" t="str">
        <x:v>Enterprise Architecture, Data &amp; Integration</x:v>
      </x:c>
      <x:c r="L370" s="19" t="n">
        <x:v>0.2</x:v>
      </x:c>
      <x:c r="M370" s="19"/>
      <x:c r="N370" s="15" t="str">
        <x:v>Must Do</x:v>
      </x:c>
      <x:c r="O370" s="15" t="str"/>
      <x:c r="P370" s="15" t="str">
        <x:v>Improvement of sales text quality, ensuring claims are excluded. Simplification and improvement of speed of sales text creation.</x:v>
      </x:c>
      <x:c r="Q370" s="15" t="str">
        <x:v>Catalog workflow tool</x:v>
      </x:c>
      <x:c r="R370" s="15" t="str">
        <x:v>None</x:v>
      </x:c>
      <x:c r="S370" s="15" t="str">
        <x:v>HEALTHY</x:v>
      </x:c>
      <x:c r="T370" s="15" t="str">
        <x:v>HEALTHY — Rank in priority matrix</x:v>
      </x:c>
    </x:row>
    <x:row r="371">
      <x:c r="A371" s="15" t="str">
        <x:v>Bu-194</x:v>
      </x:c>
      <x:c r="B371" s="15" t="str">
        <x:v>Bu-194</x:v>
      </x:c>
      <x:c r="C371" s="15" t="str">
        <x:v>1006481</x:v>
      </x:c>
      <x:c r="D371" s="15" t="str">
        <x:v>Bu</x:v>
      </x:c>
      <x:c r="E371" s="15" t="n">
        <x:v>461</x:v>
      </x:c>
      <x:c r="F371" s="15" t="str">
        <x:v>BU Led</x:v>
      </x:c>
      <x:c r="G371" s="15" t="str">
        <x:v>Precision Diagnosis - Ultrasound (PDU)</x:v>
      </x:c>
      <x:c r="H371" s="15" t="str">
        <x:v>Ultrasound Simplification - Supply Chain &amp; Manufacturing</x:v>
      </x:c>
      <x:c r="I371" s="15" t="str">
        <x:v>Delayed</x:v>
      </x:c>
      <x:c r="J371" s="15" t="str">
        <x:v>Upgrades &amp; Enhancements</x:v>
      </x:c>
      <x:c r="K371" s="15" t="str">
        <x:v>Integrated Supply Chain &amp; Finance</x:v>
      </x:c>
      <x:c r="L371" s="19" t="n">
        <x:v>0.7</x:v>
      </x:c>
      <x:c r="M371" s="19"/>
      <x:c r="N371" s="15" t="str">
        <x:v>Must Do</x:v>
      </x:c>
      <x:c r="O371" s="15" t="str"/>
      <x:c r="P371" s="15" t="str">
        <x:v>Improvement and simplification of ISC function for Ultrasound</x:v>
      </x:c>
      <x:c r="Q371" s="15" t="str">
        <x:v>Scope may include, but not limited to:</x:v>
      </x:c>
      <x:c r="R371" s="15" t="str">
        <x:v>None</x:v>
      </x:c>
      <x:c r="S371" s="15" t="str">
        <x:v>HEALTHY</x:v>
      </x:c>
      <x:c r="T371" s="15" t="str">
        <x:v>HEALTHY — Rank in priority matrix</x:v>
      </x:c>
    </x:row>
    <x:row r="372">
      <x:c r="A372" s="15" t="str">
        <x:v>Bu-195</x:v>
      </x:c>
      <x:c r="B372" s="15" t="str">
        <x:v>Bu-195</x:v>
      </x:c>
      <x:c r="C372" s="15" t="str">
        <x:v>1004812</x:v>
      </x:c>
      <x:c r="D372" s="15" t="str">
        <x:v>Bu</x:v>
      </x:c>
      <x:c r="E372" s="15" t="n">
        <x:v>488</x:v>
      </x:c>
      <x:c r="F372" s="15" t="str">
        <x:v>BU Led</x:v>
      </x:c>
      <x:c r="G372" s="15" t="str">
        <x:v>Monitoring - HPM (MCH)</x:v>
      </x:c>
      <x:c r="H372" s="15" t="str">
        <x:v>MP1 improvement due to shelf life finding in audit.</x:v>
      </x:c>
      <x:c r="I372" s="15" t="str">
        <x:v>Carry Over</x:v>
      </x:c>
      <x:c r="J372" s="15" t="str">
        <x:v>Legal Fiscal, Regulatory &amp; Compliancy</x:v>
      </x:c>
      <x:c r="K372" s="15" t="str">
        <x:v>Integrated Supply Chain &amp; Finance</x:v>
      </x:c>
      <x:c r="L372" s="19" t="n">
        <x:v>0.02</x:v>
      </x:c>
      <x:c r="M372" s="19"/>
      <x:c r="N372" s="15" t="str">
        <x:v>Must Do</x:v>
      </x:c>
      <x:c r="O372" s="15" t="str">
        <x:v>Carry Over stops</x:v>
      </x:c>
      <x:c r="P372" s="15" t="str"/>
      <x:c r="Q372" s="15" t="str"/>
      <x:c r="R372" s="15" t="str"/>
      <x:c r="S372" s="15" t="str">
        <x:v>HEALTHY</x:v>
      </x:c>
      <x:c r="T372" s="15" t="str">
        <x:v>HEALTHY — Rank in priority matrix</x:v>
      </x:c>
    </x:row>
    <x:row r="373">
      <x:c r="A373" s="15" t="str">
        <x:v>Bu-196</x:v>
      </x:c>
      <x:c r="B373" s="15" t="str">
        <x:v>Bu-196</x:v>
      </x:c>
      <x:c r="C373" s="15" t="str">
        <x:v>1002587</x:v>
      </x:c>
      <x:c r="D373" s="15" t="str">
        <x:v>Bu</x:v>
      </x:c>
      <x:c r="E373" s="15" t="n">
        <x:v>489</x:v>
      </x:c>
      <x:c r="F373" s="15" t="str">
        <x:v>BU Led</x:v>
      </x:c>
      <x:c r="G373" s="15" t="str">
        <x:v>Monitoring - HPM (MCH)</x:v>
      </x:c>
      <x:c r="H373" s="15" t="str">
        <x:v>SW Ops: Enabling HPM on Sentinel with new licensing models for NPIs -</x:v>
      </x:c>
      <x:c r="I373" s="15" t="str">
        <x:v>Carry Over</x:v>
      </x:c>
      <x:c r="J373" s="15" t="str">
        <x:v>New Technology</x:v>
      </x:c>
      <x:c r="K373" s="15" t="str">
        <x:v>Services &amp; Solutions IT</x:v>
      </x:c>
      <x:c r="L373" s="19" t="n">
        <x:v>0.2</x:v>
      </x:c>
      <x:c r="M373" s="19"/>
      <x:c r="N373" s="15" t="str">
        <x:v>Must Do</x:v>
      </x:c>
      <x:c r="O373" s="15" t="str">
        <x:v>Carry Over stops</x:v>
      </x:c>
      <x:c r="P373" s="15" t="str"/>
      <x:c r="Q373" s="15" t="str"/>
      <x:c r="R373" s="15" t="str"/>
      <x:c r="S373" s="15" t="str">
        <x:v>HEALTHY</x:v>
      </x:c>
      <x:c r="T373" s="15" t="str">
        <x:v>HEALTHY — Rank in priority matrix</x:v>
      </x:c>
    </x:row>
    <x:row r="374">
      <x:c r="A374" s="15" t="str">
        <x:v>Bu-197</x:v>
      </x:c>
      <x:c r="B374" s="15" t="str">
        <x:v>Bu-197</x:v>
      </x:c>
      <x:c r="C374" s="15" t="str">
        <x:v>1002588</x:v>
      </x:c>
      <x:c r="D374" s="15" t="str">
        <x:v>Bu</x:v>
      </x:c>
      <x:c r="E374" s="15" t="n">
        <x:v>490</x:v>
      </x:c>
      <x:c r="F374" s="15" t="str">
        <x:v>BU Led</x:v>
      </x:c>
      <x:c r="G374" s="15" t="str">
        <x:v>Monitoring - HPM (MCH)</x:v>
      </x:c>
      <x:c r="H374" s="15" t="str">
        <x:v>Remote Operations Mgt for NAR (FocalPoint)</x:v>
      </x:c>
      <x:c r="I374" s="15" t="str">
        <x:v>Carry Over</x:v>
      </x:c>
      <x:c r="J374" s="15" t="str">
        <x:v>New Technology</x:v>
      </x:c>
      <x:c r="K374" s="15" t="str">
        <x:v>Services &amp; Solutions IT</x:v>
      </x:c>
      <x:c r="L374" s="19" t="n">
        <x:v>1.17</x:v>
      </x:c>
      <x:c r="M374" s="19"/>
      <x:c r="N374" s="15" t="str">
        <x:v>Must Do</x:v>
      </x:c>
      <x:c r="O374" s="15" t="str">
        <x:v>Carry Over stops</x:v>
      </x:c>
      <x:c r="P374" s="15" t="str"/>
      <x:c r="Q374" s="15" t="str"/>
      <x:c r="R374" s="15" t="str"/>
      <x:c r="S374" s="15" t="str">
        <x:v>HEALTHY</x:v>
      </x:c>
      <x:c r="T374" s="15" t="str">
        <x:v>HEALTHY — Rank in priority matrix</x:v>
      </x:c>
    </x:row>
    <x:row r="375">
      <x:c r="A375" s="15" t="str">
        <x:v>Bu-198</x:v>
      </x:c>
      <x:c r="B375" s="15" t="str">
        <x:v>Bu-198</x:v>
      </x:c>
      <x:c r="C375" s="15" t="str">
        <x:v>1007360</x:v>
      </x:c>
      <x:c r="D375" s="15" t="str">
        <x:v>Bu</x:v>
      </x:c>
      <x:c r="E375" s="15" t="n">
        <x:v>491</x:v>
      </x:c>
      <x:c r="F375" s="15" t="str">
        <x:v>BU Led</x:v>
      </x:c>
      <x:c r="G375" s="15" t="str">
        <x:v>Monitoring - HPM (MCH)</x:v>
      </x:c>
      <x:c r="H375" s="15" t="str">
        <x:v>HSPMP - enable support flow for cloud platform</x:v>
      </x:c>
      <x:c r="I375" s="15" t="str">
        <x:v>Carry Over</x:v>
      </x:c>
      <x:c r="J375" s="15" t="str">
        <x:v>New Technology</x:v>
      </x:c>
      <x:c r="K375" s="15" t="str">
        <x:v>Services &amp; Solutions IT</x:v>
      </x:c>
      <x:c r="L375" s="19" t="n">
        <x:v>0.36</x:v>
      </x:c>
      <x:c r="M375" s="19"/>
      <x:c r="N375" s="15" t="str">
        <x:v>Must Do</x:v>
      </x:c>
      <x:c r="O375" s="15" t="str">
        <x:v>Carry Over stops</x:v>
      </x:c>
      <x:c r="P375" s="15" t="str"/>
      <x:c r="Q375" s="15" t="str"/>
      <x:c r="R375" s="15" t="str"/>
      <x:c r="S375" s="15" t="str">
        <x:v>HEALTHY</x:v>
      </x:c>
      <x:c r="T375" s="15" t="str">
        <x:v>HEALTHY — Rank in priority matrix</x:v>
      </x:c>
    </x:row>
    <x:row r="376">
      <x:c r="A376" s="15" t="str">
        <x:v>Bu-199</x:v>
      </x:c>
      <x:c r="B376" s="15" t="str">
        <x:v>Bu-199</x:v>
      </x:c>
      <x:c r="C376" s="15" t="str">
        <x:v>1006412</x:v>
      </x:c>
      <x:c r="D376" s="15" t="str">
        <x:v>Bu</x:v>
      </x:c>
      <x:c r="E376" s="15" t="n">
        <x:v>492</x:v>
      </x:c>
      <x:c r="F376" s="15" t="str">
        <x:v>BU Led</x:v>
      </x:c>
      <x:c r="G376" s="15" t="str">
        <x:v>Monitoring - HPM (MCH)</x:v>
      </x:c>
      <x:c r="H376" s="15" t="str">
        <x:v>Timber and dual manufacturing (NAM footprint)</x:v>
      </x:c>
      <x:c r="I376" s="15" t="str">
        <x:v>Carry Over</x:v>
      </x:c>
      <x:c r="J376" s="15" t="str">
        <x:v>New Technology</x:v>
      </x:c>
      <x:c r="K376" s="15" t="str">
        <x:v>Integrated Supply Chain &amp; Finance</x:v>
      </x:c>
      <x:c r="L376" s="19" t="n">
        <x:v>0.8</x:v>
      </x:c>
      <x:c r="M376" s="19"/>
      <x:c r="N376" s="15" t="str">
        <x:v>Must Do</x:v>
      </x:c>
      <x:c r="O376" s="15" t="str">
        <x:v>Carry Over stops</x:v>
      </x:c>
      <x:c r="P376" s="15" t="str"/>
      <x:c r="Q376" s="15" t="str"/>
      <x:c r="R376" s="15" t="str"/>
      <x:c r="S376" s="15" t="str">
        <x:v>HEALTHY</x:v>
      </x:c>
      <x:c r="T376" s="15" t="str">
        <x:v>HEALTHY — Rank in priority matrix</x:v>
      </x:c>
    </x:row>
    <x:row r="377">
      <x:c r="A377" s="15" t="str">
        <x:v>Bu-200</x:v>
      </x:c>
      <x:c r="B377" s="15" t="str">
        <x:v>Bu-200</x:v>
      </x:c>
      <x:c r="C377" s="15" t="str">
        <x:v>1007085</x:v>
      </x:c>
      <x:c r="D377" s="15" t="str">
        <x:v>Bu</x:v>
      </x:c>
      <x:c r="E377" s="15" t="n">
        <x:v>493</x:v>
      </x:c>
      <x:c r="F377" s="15" t="str">
        <x:v>BU Led</x:v>
      </x:c>
      <x:c r="G377" s="15" t="str">
        <x:v>Monitoring - HPM (MCH)</x:v>
      </x:c>
      <x:c r="H377" s="15" t="str">
        <x:v>Indonesia L4L</x:v>
      </x:c>
      <x:c r="I377" s="15" t="str">
        <x:v>Carry Over</x:v>
      </x:c>
      <x:c r="J377" s="15" t="str">
        <x:v>New Technology</x:v>
      </x:c>
      <x:c r="K377" s="15" t="str">
        <x:v>Integrated Supply Chain &amp; Finance</x:v>
      </x:c>
      <x:c r="L377" s="19" t="n">
        <x:v>0</x:v>
      </x:c>
      <x:c r="M377" s="19"/>
      <x:c r="N377" s="15" t="str">
        <x:v>Deprioritised</x:v>
      </x:c>
      <x:c r="O377" s="15" t="str">
        <x:v>Carry Over stops</x:v>
      </x:c>
      <x:c r="P377" s="15" t="str"/>
      <x:c r="Q377" s="15" t="str"/>
      <x:c r="R377" s="15" t="str"/>
      <x:c r="S377" s="15" t="str">
        <x:v>HEALTHY</x:v>
      </x:c>
      <x:c r="T377" s="15" t="str">
        <x:v>HEALTHY — Rank in priority matrix</x:v>
      </x:c>
    </x:row>
    <x:row r="378">
      <x:c r="A378" s="15" t="str">
        <x:v>Bu-201</x:v>
      </x:c>
      <x:c r="B378" s="15" t="str">
        <x:v>Bu-201</x:v>
      </x:c>
      <x:c r="C378" s="15" t="str">
        <x:v>1007398</x:v>
      </x:c>
      <x:c r="D378" s="15" t="str">
        <x:v>Bu</x:v>
      </x:c>
      <x:c r="E378" s="15" t="n">
        <x:v>494</x:v>
      </x:c>
      <x:c r="F378" s="15" t="str">
        <x:v>BU Led</x:v>
      </x:c>
      <x:c r="G378" s="15" t="str">
        <x:v>Monitoring - HPM (MCH)</x:v>
      </x:c>
      <x:c r="H378" s="15" t="str">
        <x:v>HPM - Continuous Improvement - MKT</x:v>
      </x:c>
      <x:c r="I378" s="15" t="str">
        <x:v>Carry Over</x:v>
      </x:c>
      <x:c r="J378" s="15" t="str">
        <x:v>Continous Improvement</x:v>
      </x:c>
      <x:c r="K378" s="15" t="str">
        <x:v>Commercial IT</x:v>
      </x:c>
      <x:c r="L378" s="19" t="n">
        <x:v>0.2</x:v>
      </x:c>
      <x:c r="M378" s="19"/>
      <x:c r="N378" s="15" t="str">
        <x:v>Must Do</x:v>
      </x:c>
      <x:c r="O378" s="15" t="str">
        <x:v>Carry Over stops</x:v>
      </x:c>
      <x:c r="P378" s="15" t="str"/>
      <x:c r="Q378" s="15" t="str"/>
      <x:c r="R378" s="15" t="str"/>
      <x:c r="S378" s="15" t="str">
        <x:v>CONTAIN</x:v>
      </x:c>
      <x:c r="T378" s="15" t="str">
        <x:v>CONTAIN — Conditions</x:v>
      </x:c>
    </x:row>
    <x:row r="379">
      <x:c r="A379" s="15" t="str">
        <x:v>Bu-202</x:v>
      </x:c>
      <x:c r="B379" s="15" t="str">
        <x:v>Bu-202</x:v>
      </x:c>
      <x:c r="C379" s="15" t="str">
        <x:v>1007399</x:v>
      </x:c>
      <x:c r="D379" s="15" t="str">
        <x:v>Bu</x:v>
      </x:c>
      <x:c r="E379" s="15" t="n">
        <x:v>495</x:v>
      </x:c>
      <x:c r="F379" s="15" t="str">
        <x:v>BU Led</x:v>
      </x:c>
      <x:c r="G379" s="15" t="str">
        <x:v>Monitoring - HPM (MCH)</x:v>
      </x:c>
      <x:c r="H379" s="15" t="str">
        <x:v>HPM - Continuous Improvement - ISC</x:v>
      </x:c>
      <x:c r="I379" s="15" t="str">
        <x:v>Carry Over</x:v>
      </x:c>
      <x:c r="J379" s="15" t="str">
        <x:v>Continous Improvement</x:v>
      </x:c>
      <x:c r="K379" s="15" t="str">
        <x:v>Integrated Supply Chain &amp; Finance</x:v>
      </x:c>
      <x:c r="L379" s="19" t="n">
        <x:v>0.3</x:v>
      </x:c>
      <x:c r="M379" s="19"/>
      <x:c r="N379" s="15" t="str">
        <x:v>Must Do</x:v>
      </x:c>
      <x:c r="O379" s="15" t="str">
        <x:v>Carry Over stops</x:v>
      </x:c>
      <x:c r="P379" s="15" t="str"/>
      <x:c r="Q379" s="15" t="str"/>
      <x:c r="R379" s="15" t="str"/>
      <x:c r="S379" s="15" t="str">
        <x:v>CONTAIN</x:v>
      </x:c>
      <x:c r="T379" s="15" t="str">
        <x:v>CONTAIN — Conditions</x:v>
      </x:c>
    </x:row>
    <x:row r="380">
      <x:c r="A380" s="15" t="str">
        <x:v>Bu-203</x:v>
      </x:c>
      <x:c r="B380" s="15" t="str">
        <x:v>Bu-203</x:v>
      </x:c>
      <x:c r="C380" s="15" t="str">
        <x:v>1007372</x:v>
      </x:c>
      <x:c r="D380" s="15" t="str">
        <x:v>Bu</x:v>
      </x:c>
      <x:c r="E380" s="15" t="n">
        <x:v>496</x:v>
      </x:c>
      <x:c r="F380" s="15" t="str">
        <x:v>BU Led</x:v>
      </x:c>
      <x:c r="G380" s="15" t="str">
        <x:v>Monitoring - HPM (MCH)</x:v>
      </x:c>
      <x:c r="H380" s="15" t="str">
        <x:v>HPM - Continuous Improvement - SVC</x:v>
      </x:c>
      <x:c r="I380" s="15" t="str">
        <x:v>Carry Over</x:v>
      </x:c>
      <x:c r="J380" s="15" t="str">
        <x:v>Continous Improvement</x:v>
      </x:c>
      <x:c r="K380" s="15" t="str">
        <x:v>Services &amp; Solutions IT</x:v>
      </x:c>
      <x:c r="L380" s="19" t="n">
        <x:v>0.2</x:v>
      </x:c>
      <x:c r="M380" s="19"/>
      <x:c r="N380" s="15" t="str">
        <x:v>Must Do</x:v>
      </x:c>
      <x:c r="O380" s="15" t="str">
        <x:v>Carry Over stops</x:v>
      </x:c>
      <x:c r="P380" s="15" t="str"/>
      <x:c r="Q380" s="15" t="str"/>
      <x:c r="R380" s="15" t="str"/>
      <x:c r="S380" s="15" t="str">
        <x:v>CONTAIN</x:v>
      </x:c>
      <x:c r="T380" s="15" t="str">
        <x:v>CONTAIN — Conditions</x:v>
      </x:c>
    </x:row>
    <x:row r="381">
      <x:c r="A381" s="15" t="str">
        <x:v>Bu-204</x:v>
      </x:c>
      <x:c r="B381" s="15" t="str">
        <x:v>Bu-204</x:v>
      </x:c>
      <x:c r="C381" s="15" t="str">
        <x:v>1007425</x:v>
      </x:c>
      <x:c r="D381" s="15" t="str">
        <x:v>Bu</x:v>
      </x:c>
      <x:c r="E381" s="15" t="n">
        <x:v>497</x:v>
      </x:c>
      <x:c r="F381" s="15" t="str">
        <x:v>BU Led</x:v>
      </x:c>
      <x:c r="G381" s="15" t="str">
        <x:v>Monitoring - HPM (MCH)</x:v>
      </x:c>
      <x:c r="H381" s="15" t="str">
        <x:v>HPM - Continuous Improvement -REG</x:v>
      </x:c>
      <x:c r="I381" s="15" t="str">
        <x:v>Carry Over</x:v>
      </x:c>
      <x:c r="J381" s="15" t="str">
        <x:v>Continous Improvement</x:v>
      </x:c>
      <x:c r="K381" s="15" t="str">
        <x:v>Commercial IT</x:v>
      </x:c>
      <x:c r="L381" s="19" t="n">
        <x:v>0.05</x:v>
      </x:c>
      <x:c r="M381" s="19"/>
      <x:c r="N381" s="15" t="str">
        <x:v>Must Do</x:v>
      </x:c>
      <x:c r="O381" s="15" t="str">
        <x:v>Carry Over stops</x:v>
      </x:c>
      <x:c r="P381" s="15" t="str"/>
      <x:c r="Q381" s="15" t="str"/>
      <x:c r="R381" s="15" t="str"/>
      <x:c r="S381" s="15" t="str">
        <x:v>CONTAIN</x:v>
      </x:c>
      <x:c r="T381" s="15" t="str">
        <x:v>CONTAIN — Conditions</x:v>
      </x:c>
    </x:row>
    <x:row r="382">
      <x:c r="A382" s="15" t="str">
        <x:v>Bu-205</x:v>
      </x:c>
      <x:c r="B382" s="15" t="str">
        <x:v>Bu-205</x:v>
      </x:c>
      <x:c r="C382" s="15" t="str">
        <x:v>1005605</x:v>
      </x:c>
      <x:c r="D382" s="15" t="str">
        <x:v>Bu</x:v>
      </x:c>
      <x:c r="E382" s="15" t="n">
        <x:v>498</x:v>
      </x:c>
      <x:c r="F382" s="15" t="str">
        <x:v>BU Led</x:v>
      </x:c>
      <x:c r="G382" s="15" t="str">
        <x:v>Monitoring - HPM (MCH)</x:v>
      </x:c>
      <x:c r="H382" s="15" t="str">
        <x:v>HPM - Continuous Improvement -OTH</x:v>
      </x:c>
      <x:c r="I382" s="15" t="str">
        <x:v>Carry Over</x:v>
      </x:c>
      <x:c r="J382" s="15" t="str">
        <x:v>Continous Improvement</x:v>
      </x:c>
      <x:c r="K382" s="15" t="str">
        <x:v>Commercial IT</x:v>
      </x:c>
      <x:c r="L382" s="19" t="n">
        <x:v>0.05</x:v>
      </x:c>
      <x:c r="M382" s="19"/>
      <x:c r="N382" s="15" t="str">
        <x:v>Must Do</x:v>
      </x:c>
      <x:c r="O382" s="15" t="str">
        <x:v>Carry Over stops</x:v>
      </x:c>
      <x:c r="P382" s="15" t="str"/>
      <x:c r="Q382" s="15" t="str"/>
      <x:c r="R382" s="15" t="str"/>
      <x:c r="S382" s="15" t="str">
        <x:v>CONTAIN</x:v>
      </x:c>
      <x:c r="T382" s="15" t="str">
        <x:v>CONTAIN — Conditions</x:v>
      </x:c>
    </x:row>
    <x:row r="383">
      <x:c r="A383" s="15" t="str">
        <x:v>Bu-206</x:v>
      </x:c>
      <x:c r="B383" s="15" t="str">
        <x:v>Bu-206</x:v>
      </x:c>
      <x:c r="C383" s="15" t="str">
        <x:v>1004805</x:v>
      </x:c>
      <x:c r="D383" s="15" t="str">
        <x:v>Bu</x:v>
      </x:c>
      <x:c r="E383" s="15" t="n">
        <x:v>499</x:v>
      </x:c>
      <x:c r="F383" s="15" t="str">
        <x:v>BU Led</x:v>
      </x:c>
      <x:c r="G383" s="15" t="str">
        <x:v>Monitoring - HPM (MCH)</x:v>
      </x:c>
      <x:c r="H383" s="15" t="str">
        <x:v>Manufacturing efficiency – I-care improvements</x:v>
      </x:c>
      <x:c r="I383" s="15" t="str">
        <x:v>Carry Over</x:v>
      </x:c>
      <x:c r="J383" s="15" t="str">
        <x:v>New Feature</x:v>
      </x:c>
      <x:c r="K383" s="15" t="str">
        <x:v>Integrated Supply Chain &amp; Finance</x:v>
      </x:c>
      <x:c r="L383" s="19" t="n">
        <x:v>0</x:v>
      </x:c>
      <x:c r="M383" s="19"/>
      <x:c r="N383" s="15" t="str">
        <x:v>Deprioritised</x:v>
      </x:c>
      <x:c r="O383" s="15" t="str">
        <x:v>Carry Over stops</x:v>
      </x:c>
      <x:c r="P383" s="15" t="str"/>
      <x:c r="Q383" s="15" t="str"/>
      <x:c r="R383" s="15" t="str"/>
      <x:c r="S383" s="15" t="str">
        <x:v>HEALTHY</x:v>
      </x:c>
      <x:c r="T383" s="15" t="str">
        <x:v>HEALTHY — Rank in priority matrix</x:v>
      </x:c>
    </x:row>
    <x:row r="384">
      <x:c r="A384" s="15" t="str">
        <x:v>Bu-207</x:v>
      </x:c>
      <x:c r="B384" s="15" t="str">
        <x:v>Bu-207</x:v>
      </x:c>
      <x:c r="C384" s="15" t="str">
        <x:v>1004799</x:v>
      </x:c>
      <x:c r="D384" s="15" t="str">
        <x:v>Bu</x:v>
      </x:c>
      <x:c r="E384" s="15" t="n">
        <x:v>500</x:v>
      </x:c>
      <x:c r="F384" s="15" t="str">
        <x:v>BU Led</x:v>
      </x:c>
      <x:c r="G384" s="15" t="str">
        <x:v>Monitoring - HPM (MCH)</x:v>
      </x:c>
      <x:c r="H384" s="15" t="str">
        <x:v>Fidelity (Fulcrum/RDC NAM/RDC EU/FF)</x:v>
      </x:c>
      <x:c r="I384" s="15" t="str">
        <x:v>Carry Over</x:v>
      </x:c>
      <x:c r="J384" s="15" t="str">
        <x:v>New Feature</x:v>
      </x:c>
      <x:c r="K384" s="15" t="str">
        <x:v>Integrated Supply Chain &amp; Finance</x:v>
      </x:c>
      <x:c r="L384" s="19" t="n">
        <x:v>1</x:v>
      </x:c>
      <x:c r="M384" s="19"/>
      <x:c r="N384" s="15" t="str">
        <x:v>Must Do</x:v>
      </x:c>
      <x:c r="O384" s="15" t="str">
        <x:v>Carry Over stops</x:v>
      </x:c>
      <x:c r="P384" s="15" t="str"/>
      <x:c r="Q384" s="15" t="str"/>
      <x:c r="R384" s="15" t="str"/>
      <x:c r="S384" s="15" t="str">
        <x:v>HEALTHY</x:v>
      </x:c>
      <x:c r="T384" s="15" t="str">
        <x:v>HEALTHY — Rank in priority matrix</x:v>
      </x:c>
    </x:row>
    <x:row r="385">
      <x:c r="A385" s="15" t="str">
        <x:v>Bu-208</x:v>
      </x:c>
      <x:c r="B385" s="15" t="str">
        <x:v>Bu-208</x:v>
      </x:c>
      <x:c r="C385" s="15" t="str">
        <x:v>1002304</x:v>
      </x:c>
      <x:c r="D385" s="15" t="str">
        <x:v>Bu</x:v>
      </x:c>
      <x:c r="E385" s="15" t="n">
        <x:v>501</x:v>
      </x:c>
      <x:c r="F385" s="15" t="str">
        <x:v>BU Led</x:v>
      </x:c>
      <x:c r="G385" s="15" t="str">
        <x:v>Monitoring - HPM (MCH)</x:v>
      </x:c>
      <x:c r="H385" s="15" t="str">
        <x:v>DUPLICATE - IWD capabilities improvements and cost reductions</x:v>
      </x:c>
      <x:c r="I385" s="15" t="str">
        <x:v>Carry Over</x:v>
      </x:c>
      <x:c r="J385" s="15" t="str">
        <x:v>New Feature</x:v>
      </x:c>
      <x:c r="K385" s="15" t="str">
        <x:v>Integrated Supply Chain &amp; Finance</x:v>
      </x:c>
      <x:c r="L385" s="19" t="n">
        <x:v>0</x:v>
      </x:c>
      <x:c r="M385" s="19"/>
      <x:c r="N385" s="15" t="str">
        <x:v>Deprioritised</x:v>
      </x:c>
      <x:c r="O385" s="15" t="str"/>
      <x:c r="P385" s="15" t="str"/>
      <x:c r="Q385" s="15" t="str"/>
      <x:c r="R385" s="15" t="str"/>
      <x:c r="S385" s="15" t="str">
        <x:v>HEALTHY</x:v>
      </x:c>
      <x:c r="T385" s="15" t="str">
        <x:v>HEALTHY — Rank in priority matrix</x:v>
      </x:c>
    </x:row>
    <x:row r="386">
      <x:c r="A386" s="15" t="str">
        <x:v>Bu-209</x:v>
      </x:c>
      <x:c r="B386" s="15" t="str">
        <x:v>Bu-209</x:v>
      </x:c>
      <x:c r="C386" s="15" t="str">
        <x:v>1002308</x:v>
      </x:c>
      <x:c r="D386" s="15" t="str">
        <x:v>Bu</x:v>
      </x:c>
      <x:c r="E386" s="15" t="n">
        <x:v>502</x:v>
      </x:c>
      <x:c r="F386" s="15" t="str">
        <x:v>BU Led</x:v>
      </x:c>
      <x:c r="G386" s="15" t="str">
        <x:v>Monitoring - HPM (MCH)</x:v>
      </x:c>
      <x:c r="H386" s="15" t="str">
        <x:v>DUPLICATE - Circular Lifecycle Solutions and Spare parts delivery</x:v>
      </x:c>
      <x:c r="I386" s="15" t="str">
        <x:v>Carry Over</x:v>
      </x:c>
      <x:c r="J386" s="15" t="str">
        <x:v>New Feature</x:v>
      </x:c>
      <x:c r="K386" s="15" t="str">
        <x:v>Integrated Supply Chain &amp; Finance</x:v>
      </x:c>
      <x:c r="L386" s="19" t="n">
        <x:v>0</x:v>
      </x:c>
      <x:c r="M386" s="19"/>
      <x:c r="N386" s="15" t="str">
        <x:v>Deprioritised</x:v>
      </x:c>
      <x:c r="O386" s="15" t="str"/>
      <x:c r="P386" s="15" t="str"/>
      <x:c r="Q386" s="15" t="str"/>
      <x:c r="R386" s="15" t="str"/>
      <x:c r="S386" s="15" t="str">
        <x:v>HEALTHY</x:v>
      </x:c>
      <x:c r="T386" s="15" t="str">
        <x:v>HEALTHY — Rank in priority matrix</x:v>
      </x:c>
    </x:row>
    <x:row r="387">
      <x:c r="A387" s="15" t="str">
        <x:v>Bu-210</x:v>
      </x:c>
      <x:c r="B387" s="15" t="str">
        <x:v>Bu-210</x:v>
      </x:c>
      <x:c r="C387" s="15" t="str">
        <x:v>1004732</x:v>
      </x:c>
      <x:c r="D387" s="15" t="str">
        <x:v>Bu</x:v>
      </x:c>
      <x:c r="E387" s="15" t="n">
        <x:v>503</x:v>
      </x:c>
      <x:c r="F387" s="15" t="str">
        <x:v>BU Led</x:v>
      </x:c>
      <x:c r="G387" s="15" t="str">
        <x:v>Monitoring - HPM (MCH)</x:v>
      </x:c>
      <x:c r="H387" s="15" t="str">
        <x:v>DUPLICATE - NAR Contract Execution &amp; Compliance</x:v>
      </x:c>
      <x:c r="I387" s="15" t="str">
        <x:v>Carry Over</x:v>
      </x:c>
      <x:c r="J387" s="15" t="str">
        <x:v>New Feature</x:v>
      </x:c>
      <x:c r="K387" s="15" t="str">
        <x:v>Commercial IT</x:v>
      </x:c>
      <x:c r="L387" s="19" t="n">
        <x:v>0</x:v>
      </x:c>
      <x:c r="M387" s="19"/>
      <x:c r="N387" s="15" t="str">
        <x:v>Deprioritised</x:v>
      </x:c>
      <x:c r="O387" s="15" t="str"/>
      <x:c r="P387" s="15" t="str"/>
      <x:c r="Q387" s="15" t="str"/>
      <x:c r="R387" s="15" t="str"/>
      <x:c r="S387" s="15" t="str"/>
      <x:c r="T387" s="15" t="str"/>
    </x:row>
    <x:row r="388">
      <x:c r="A388" s="15" t="str">
        <x:v>Bu-211</x:v>
      </x:c>
      <x:c r="B388" s="15" t="str">
        <x:v>Bu-211</x:v>
      </x:c>
      <x:c r="C388" s="15" t="str">
        <x:v>1002449</x:v>
      </x:c>
      <x:c r="D388" s="15" t="str">
        <x:v>Bu</x:v>
      </x:c>
      <x:c r="E388" s="15" t="n">
        <x:v>504</x:v>
      </x:c>
      <x:c r="F388" s="15" t="str">
        <x:v>BU Led</x:v>
      </x:c>
      <x:c r="G388" s="15" t="str">
        <x:v>Monitoring - HPM (MCH)</x:v>
      </x:c>
      <x:c r="H388" s="15" t="str">
        <x:v>GBS Collaboration - Order Orchestration (Appian)</x:v>
      </x:c>
      <x:c r="I388" s="15" t="str">
        <x:v>Carry Over</x:v>
      </x:c>
      <x:c r="J388" s="15" t="str">
        <x:v>New Feature</x:v>
      </x:c>
      <x:c r="K388" s="15" t="str">
        <x:v>Integrated Supply Chain &amp; Finance</x:v>
      </x:c>
      <x:c r="L388" s="19" t="n">
        <x:v>0</x:v>
      </x:c>
      <x:c r="M388" s="19"/>
      <x:c r="N388" s="15" t="str">
        <x:v>Deprioritised</x:v>
      </x:c>
      <x:c r="O388" s="15" t="str">
        <x:v>Carry Over stops</x:v>
      </x:c>
      <x:c r="P388" s="15" t="str"/>
      <x:c r="Q388" s="15" t="str"/>
      <x:c r="R388" s="15" t="str"/>
      <x:c r="S388" s="15" t="str">
        <x:v>CONTAIN</x:v>
      </x:c>
      <x:c r="T388" s="15" t="str">
        <x:v>CONTAIN — Conditions</x:v>
      </x:c>
    </x:row>
    <x:row r="389">
      <x:c r="A389" s="15" t="str">
        <x:v>Bu-212</x:v>
      </x:c>
      <x:c r="B389" s="15" t="str">
        <x:v>Bu-212</x:v>
      </x:c>
      <x:c r="C389" s="15" t="str"/>
      <x:c r="D389" s="15" t="str">
        <x:v>Bu</x:v>
      </x:c>
      <x:c r="E389" s="15" t="n">
        <x:v>505</x:v>
      </x:c>
      <x:c r="F389" s="15" t="str">
        <x:v>BU Led</x:v>
      </x:c>
      <x:c r="G389" s="15" t="str">
        <x:v>Monitoring - HPM (MCH)</x:v>
      </x:c>
      <x:c r="H389" s="15" t="str">
        <x:v>DUPLICATE - OMM - Carry Over (Integr Planning Basics)</x:v>
      </x:c>
      <x:c r="I389" s="15" t="str">
        <x:v>Carry Over</x:v>
      </x:c>
      <x:c r="J389" s="15" t="str">
        <x:v>New Feature</x:v>
      </x:c>
      <x:c r="K389" s="15" t="str">
        <x:v>Integrated Supply Chain &amp; Finance</x:v>
      </x:c>
      <x:c r="L389" s="19" t="n">
        <x:v>0</x:v>
      </x:c>
      <x:c r="M389" s="19"/>
      <x:c r="N389" s="15" t="str">
        <x:v>Deprioritised</x:v>
      </x:c>
      <x:c r="O389" s="15" t="str"/>
      <x:c r="P389" s="15" t="str"/>
      <x:c r="Q389" s="15" t="str"/>
      <x:c r="R389" s="15" t="str"/>
      <x:c r="S389" s="15" t="str"/>
      <x:c r="T389" s="15" t="str"/>
    </x:row>
    <x:row r="390">
      <x:c r="A390" s="15" t="str">
        <x:v>Bu-213</x:v>
      </x:c>
      <x:c r="B390" s="15" t="str">
        <x:v>Bu-213</x:v>
      </x:c>
      <x:c r="C390" s="15" t="str">
        <x:v>1002132</x:v>
      </x:c>
      <x:c r="D390" s="15" t="str">
        <x:v>Bu</x:v>
      </x:c>
      <x:c r="E390" s="15" t="n">
        <x:v>506</x:v>
      </x:c>
      <x:c r="F390" s="15" t="str">
        <x:v>BU Led</x:v>
      </x:c>
      <x:c r="G390" s="15" t="str">
        <x:v>Monitoring - HPM (MCH)</x:v>
      </x:c>
      <x:c r="H390" s="15" t="str">
        <x:v>IR [C1/C2/C3] Channel Partner Program</x:v>
      </x:c>
      <x:c r="I390" s="15" t="str">
        <x:v>Carry Over</x:v>
      </x:c>
      <x:c r="J390" s="15" t="str">
        <x:v>New Feature</x:v>
      </x:c>
      <x:c r="K390" s="15" t="str">
        <x:v>Commercial IT</x:v>
      </x:c>
      <x:c r="L390" s="19" t="n">
        <x:v>0</x:v>
      </x:c>
      <x:c r="M390" s="19"/>
      <x:c r="N390" s="15" t="str"/>
      <x:c r="O390" s="15" t="str"/>
      <x:c r="P390" s="15" t="str"/>
      <x:c r="Q390" s="15" t="str"/>
      <x:c r="R390" s="15" t="str"/>
      <x:c r="S390" s="15" t="str"/>
      <x:c r="T390" s="15" t="str"/>
    </x:row>
    <x:row r="391">
      <x:c r="A391" s="15" t="str">
        <x:v>Bu-214</x:v>
      </x:c>
      <x:c r="B391" s="15" t="str">
        <x:v>Bu-214</x:v>
      </x:c>
      <x:c r="C391" s="15" t="str"/>
      <x:c r="D391" s="15" t="str">
        <x:v>Bu</x:v>
      </x:c>
      <x:c r="E391" s="15" t="n">
        <x:v>507</x:v>
      </x:c>
      <x:c r="F391" s="15" t="str">
        <x:v>BU Led</x:v>
      </x:c>
      <x:c r="G391" s="15" t="str">
        <x:v>Monitoring - HPM (MCH)</x:v>
      </x:c>
      <x:c r="H391" s="15" t="str">
        <x:v>Early Skills Validation in SMAX</x:v>
      </x:c>
      <x:c r="I391" s="15" t="str">
        <x:v>New Initiative</x:v>
      </x:c>
      <x:c r="J391" s="15" t="str">
        <x:v>Legal Fiscal, Regulatory &amp; Compliancy</x:v>
      </x:c>
      <x:c r="K391" s="15" t="str">
        <x:v>Services &amp; Solutions IT</x:v>
      </x:c>
      <x:c r="L391" s="19" t="n">
        <x:v>0.25</x:v>
      </x:c>
      <x:c r="M391" s="19"/>
      <x:c r="N391" s="15" t="str"/>
      <x:c r="O391" s="15" t="str"/>
      <x:c r="P391" s="15" t="str"/>
      <x:c r="Q391" s="15" t="str"/>
      <x:c r="R391" s="15" t="str"/>
      <x:c r="S391" s="15" t="str">
        <x:v>HEALTHY</x:v>
      </x:c>
      <x:c r="T391" s="15" t="str">
        <x:v>HEALTHY — Rank in priority matrix</x:v>
      </x:c>
    </x:row>
    <x:row r="392">
      <x:c r="A392" s="15" t="str">
        <x:v>Bu-215</x:v>
      </x:c>
      <x:c r="B392" s="15" t="str">
        <x:v>Bu-215</x:v>
      </x:c>
      <x:c r="C392" s="15" t="str"/>
      <x:c r="D392" s="15" t="str">
        <x:v>Bu</x:v>
      </x:c>
      <x:c r="E392" s="15" t="n">
        <x:v>508</x:v>
      </x:c>
      <x:c r="F392" s="15" t="str">
        <x:v>BU Led</x:v>
      </x:c>
      <x:c r="G392" s="15" t="str">
        <x:v>Monitoring - HPM (MCH)</x:v>
      </x:c>
      <x:c r="H392" s="15" t="str">
        <x:v>eDMR ready for CSRD</x:v>
      </x:c>
      <x:c r="I392" s="15" t="str">
        <x:v>New Initiative</x:v>
      </x:c>
      <x:c r="J392" s="15" t="str">
        <x:v>Legal Fiscal, Regulatory &amp; Compliancy</x:v>
      </x:c>
      <x:c r="K392" s="15" t="str">
        <x:v>Integrated Supply Chain &amp; Finance</x:v>
      </x:c>
      <x:c r="L392" s="19" t="n">
        <x:v>0.2</x:v>
      </x:c>
      <x:c r="M392" s="19"/>
      <x:c r="N392" s="15" t="str">
        <x:v>Must Do</x:v>
      </x:c>
      <x:c r="O392" s="15" t="str">
        <x:v>NPI delayed</x:v>
      </x:c>
      <x:c r="P392" s="15" t="str"/>
      <x:c r="Q392" s="15" t="str"/>
      <x:c r="R392" s="15" t="str"/>
      <x:c r="S392" s="15" t="str">
        <x:v>HEALTHY</x:v>
      </x:c>
      <x:c r="T392" s="15" t="str">
        <x:v>HEALTHY — Rank in priority matrix</x:v>
      </x:c>
    </x:row>
    <x:row r="393">
      <x:c r="A393" s="15" t="str">
        <x:v>Bu-216</x:v>
      </x:c>
      <x:c r="B393" s="15" t="str">
        <x:v>Bu-216</x:v>
      </x:c>
      <x:c r="C393" s="15" t="str"/>
      <x:c r="D393" s="15" t="str">
        <x:v>Bu</x:v>
      </x:c>
      <x:c r="E393" s="15" t="n">
        <x:v>509</x:v>
      </x:c>
      <x:c r="F393" s="15" t="str">
        <x:v>BU Led</x:v>
      </x:c>
      <x:c r="G393" s="15" t="str">
        <x:v>Monitoring - HPM (MCH)</x:v>
      </x:c>
      <x:c r="H393" s="15" t="str">
        <x:v>DUPLICATE - Compliance - GTC</x:v>
      </x:c>
      <x:c r="I393" s="15" t="str">
        <x:v>New Initiative</x:v>
      </x:c>
      <x:c r="J393" s="15" t="str">
        <x:v>Legal Fiscal, Regulatory &amp; Compliancy</x:v>
      </x:c>
      <x:c r="K393" s="15" t="str">
        <x:v>Integrated Supply Chain &amp; Finance</x:v>
      </x:c>
      <x:c r="L393" s="19" t="n">
        <x:v>0</x:v>
      </x:c>
      <x:c r="M393" s="19"/>
      <x:c r="N393" s="15" t="str"/>
      <x:c r="O393" s="15" t="str"/>
      <x:c r="P393" s="15" t="str"/>
      <x:c r="Q393" s="15" t="str"/>
      <x:c r="R393" s="15" t="str"/>
      <x:c r="S393" s="15" t="str"/>
      <x:c r="T393" s="15" t="str"/>
    </x:row>
    <x:row r="394">
      <x:c r="A394" s="15" t="str">
        <x:v>Bu-217</x:v>
      </x:c>
      <x:c r="B394" s="15" t="str">
        <x:v>Bu-217</x:v>
      </x:c>
      <x:c r="C394" s="15" t="str"/>
      <x:c r="D394" s="15" t="str">
        <x:v>Bu</x:v>
      </x:c>
      <x:c r="E394" s="15" t="n">
        <x:v>510</x:v>
      </x:c>
      <x:c r="F394" s="15" t="str">
        <x:v>BU Led</x:v>
      </x:c>
      <x:c r="G394" s="15" t="str">
        <x:v>Monitoring - HPM (MCH)</x:v>
      </x:c>
      <x:c r="H394" s="15" t="str">
        <x:v>FCO Partner Portal Validations Req</x:v>
      </x:c>
      <x:c r="I394" s="15" t="str">
        <x:v>New Initiative</x:v>
      </x:c>
      <x:c r="J394" s="15" t="str">
        <x:v>Legal Fiscal, Regulatory &amp; Compliancy</x:v>
      </x:c>
      <x:c r="K394" s="15" t="str">
        <x:v>Services &amp; Solutions IT</x:v>
      </x:c>
      <x:c r="L394" s="19" t="n">
        <x:v>0.11</x:v>
      </x:c>
      <x:c r="M394" s="19"/>
      <x:c r="N394" s="15" t="str"/>
      <x:c r="O394" s="15" t="str"/>
      <x:c r="P394" s="15" t="str"/>
      <x:c r="Q394" s="15" t="str"/>
      <x:c r="R394" s="15" t="str"/>
      <x:c r="S394" s="15" t="str">
        <x:v>HEALTHY</x:v>
      </x:c>
      <x:c r="T394" s="15" t="str">
        <x:v>HEALTHY — Rank in priority matrix</x:v>
      </x:c>
    </x:row>
    <x:row r="395">
      <x:c r="A395" s="15" t="str">
        <x:v>Bu-218</x:v>
      </x:c>
      <x:c r="B395" s="15" t="str">
        <x:v>Bu-218</x:v>
      </x:c>
      <x:c r="C395" s="15" t="str"/>
      <x:c r="D395" s="15" t="str">
        <x:v>Bu</x:v>
      </x:c>
      <x:c r="E395" s="15" t="n">
        <x:v>511</x:v>
      </x:c>
      <x:c r="F395" s="15" t="str">
        <x:v>BU Led</x:v>
      </x:c>
      <x:c r="G395" s="15" t="str">
        <x:v>Monitoring - HPM (MCH)</x:v>
      </x:c>
      <x:c r="H395" s="15" t="str">
        <x:v>Digital Delivery - Print on Demand for OEM</x:v>
      </x:c>
      <x:c r="I395" s="15" t="str">
        <x:v>New Initiative</x:v>
      </x:c>
      <x:c r="J395" s="15" t="str">
        <x:v>New Technology</x:v>
      </x:c>
      <x:c r="K395" s="15" t="str">
        <x:v>Innovation and Digital IT</x:v>
      </x:c>
      <x:c r="L395" s="19" t="n">
        <x:v>0.3</x:v>
      </x:c>
      <x:c r="M395" s="19"/>
      <x:c r="N395" s="15" t="str">
        <x:v>Must Do</x:v>
      </x:c>
      <x:c r="O395" s="15" t="str">
        <x:v>NPI delayed</x:v>
      </x:c>
      <x:c r="P395" s="15" t="str"/>
      <x:c r="Q395" s="15" t="str"/>
      <x:c r="R395" s="15" t="str"/>
      <x:c r="S395" s="15" t="str">
        <x:v>HEALTHY</x:v>
      </x:c>
      <x:c r="T395" s="15" t="str">
        <x:v>HEALTHY — Rank in priority matrix</x:v>
      </x:c>
    </x:row>
    <x:row r="396">
      <x:c r="A396" s="15" t="str">
        <x:v>Bu-219</x:v>
      </x:c>
      <x:c r="B396" s="15" t="str">
        <x:v>Bu-219</x:v>
      </x:c>
      <x:c r="C396" s="15" t="str"/>
      <x:c r="D396" s="15" t="str">
        <x:v>Bu</x:v>
      </x:c>
      <x:c r="E396" s="15" t="n">
        <x:v>512</x:v>
      </x:c>
      <x:c r="F396" s="15" t="str">
        <x:v>BU Led</x:v>
      </x:c>
      <x:c r="G396" s="15" t="str">
        <x:v>Monitoring - HPM (MCH)</x:v>
      </x:c>
      <x:c r="H396" s="15" t="str">
        <x:v>DUPLICATE - PSA/PS Cloud Migration(international)</x:v>
      </x:c>
      <x:c r="I396" s="15" t="str">
        <x:v>New Initiative</x:v>
      </x:c>
      <x:c r="J396" s="15" t="str">
        <x:v>Decomm/Replatforming</x:v>
      </x:c>
      <x:c r="K396" s="15" t="str">
        <x:v>Services &amp; Solutions IT</x:v>
      </x:c>
      <x:c r="L396" s="19" t="n">
        <x:v>0</x:v>
      </x:c>
      <x:c r="M396" s="19"/>
      <x:c r="N396" s="15" t="str">
        <x:v>Deprioritised</x:v>
      </x:c>
      <x:c r="O396" s="15" t="str"/>
      <x:c r="P396" s="15" t="str"/>
      <x:c r="Q396" s="15" t="str"/>
      <x:c r="R396" s="15" t="str"/>
      <x:c r="S396" s="15" t="str"/>
      <x:c r="T396" s="15" t="str"/>
    </x:row>
    <x:row r="397">
      <x:c r="A397" s="15" t="str">
        <x:v>Bu-220</x:v>
      </x:c>
      <x:c r="B397" s="15" t="str">
        <x:v>Bu-220</x:v>
      </x:c>
      <x:c r="C397" s="15" t="str"/>
      <x:c r="D397" s="15" t="str">
        <x:v>Bu</x:v>
      </x:c>
      <x:c r="E397" s="15" t="n">
        <x:v>513</x:v>
      </x:c>
      <x:c r="F397" s="15" t="str">
        <x:v>BU Led</x:v>
      </x:c>
      <x:c r="G397" s="15" t="str">
        <x:v>Monitoring - HPM (MCH)</x:v>
      </x:c>
      <x:c r="H397" s="15" t="str">
        <x:v>Education - TEDs - Docebo Migration</x:v>
      </x:c>
      <x:c r="I397" s="15" t="str">
        <x:v>New Initiative</x:v>
      </x:c>
      <x:c r="J397" s="15" t="str">
        <x:v>Decomm/Replatforming</x:v>
      </x:c>
      <x:c r="K397" s="15" t="str">
        <x:v>Services &amp; Solutions IT</x:v>
      </x:c>
      <x:c r="L397" s="19" t="n">
        <x:v>0.396</x:v>
      </x:c>
      <x:c r="M397" s="19"/>
      <x:c r="N397" s="15" t="str"/>
      <x:c r="O397" s="15" t="str"/>
      <x:c r="P397" s="15" t="str"/>
      <x:c r="Q397" s="15" t="str"/>
      <x:c r="R397" s="15" t="str"/>
      <x:c r="S397" s="15" t="str">
        <x:v>HEALTHY</x:v>
      </x:c>
      <x:c r="T397" s="15" t="str">
        <x:v>HEALTHY — Rank in priority matrix</x:v>
      </x:c>
    </x:row>
    <x:row r="398">
      <x:c r="A398" s="15" t="str">
        <x:v>Bu-221</x:v>
      </x:c>
      <x:c r="B398" s="15" t="str">
        <x:v>Bu-221</x:v>
      </x:c>
      <x:c r="C398" s="15" t="str"/>
      <x:c r="D398" s="15" t="str">
        <x:v>Bu</x:v>
      </x:c>
      <x:c r="E398" s="15" t="n">
        <x:v>514</x:v>
      </x:c>
      <x:c r="F398" s="15" t="str">
        <x:v>BU Led</x:v>
      </x:c>
      <x:c r="G398" s="15" t="str">
        <x:v>Monitoring - HPM (MCH)</x:v>
      </x:c>
      <x:c r="H398" s="15" t="str">
        <x:v>Cross business value proposition enablement - (e.g.CCS Stage 2)</x:v>
      </x:c>
      <x:c r="I398" s="15" t="str">
        <x:v>New Initiative</x:v>
      </x:c>
      <x:c r="J398" s="15" t="str">
        <x:v>New Technology</x:v>
      </x:c>
      <x:c r="K398" s="15" t="str">
        <x:v>Integrated Supply Chain &amp; Finance</x:v>
      </x:c>
      <x:c r="L398" s="19" t="n">
        <x:v>0.25</x:v>
      </x:c>
      <x:c r="M398" s="19"/>
      <x:c r="N398" s="15" t="str">
        <x:v>Must Do</x:v>
      </x:c>
      <x:c r="O398" s="15" t="str">
        <x:v>NPI delayed</x:v>
      </x:c>
      <x:c r="P398" s="15" t="str"/>
      <x:c r="Q398" s="15" t="str"/>
      <x:c r="R398" s="15" t="str"/>
      <x:c r="S398" s="15" t="str">
        <x:v>HEALTHY</x:v>
      </x:c>
      <x:c r="T398" s="15" t="str">
        <x:v>HEALTHY — Rank in priority matrix</x:v>
      </x:c>
    </x:row>
    <x:row r="399">
      <x:c r="A399" s="15" t="str">
        <x:v>Bu-222</x:v>
      </x:c>
      <x:c r="B399" s="15" t="str">
        <x:v>Bu-222</x:v>
      </x:c>
      <x:c r="C399" s="15" t="str"/>
      <x:c r="D399" s="15" t="str">
        <x:v>Bu</x:v>
      </x:c>
      <x:c r="E399" s="15" t="n">
        <x:v>515</x:v>
      </x:c>
      <x:c r="F399" s="15" t="str">
        <x:v>BU Led</x:v>
      </x:c>
      <x:c r="G399" s="15" t="str">
        <x:v>Monitoring - HPM (MCH)</x:v>
      </x:c>
      <x:c r="H399" s="15" t="str">
        <x:v>Mediana - low end monitoring via OEM (South Korea) (200K)</x:v>
      </x:c>
      <x:c r="I399" s="15" t="str">
        <x:v>New Initiative</x:v>
      </x:c>
      <x:c r="J399" s="15" t="str">
        <x:v>New Technology</x:v>
      </x:c>
      <x:c r="K399" s="15" t="str">
        <x:v>Integrated Supply Chain &amp; Finance</x:v>
      </x:c>
      <x:c r="L399" s="19" t="n">
        <x:v>0.46</x:v>
      </x:c>
      <x:c r="M399" s="19"/>
      <x:c r="N399" s="15" t="str">
        <x:v>Must Do</x:v>
      </x:c>
      <x:c r="O399" s="15" t="str">
        <x:v>NPI delayed</x:v>
      </x:c>
      <x:c r="P399" s="15" t="str"/>
      <x:c r="Q399" s="15" t="str"/>
      <x:c r="R399" s="15" t="str"/>
      <x:c r="S399" s="15" t="str">
        <x:v>HEALTHY</x:v>
      </x:c>
      <x:c r="T399" s="15" t="str">
        <x:v>HEALTHY — Rank in priority matrix</x:v>
      </x:c>
    </x:row>
    <x:row r="400">
      <x:c r="A400" s="15" t="str">
        <x:v>Bu-row-516</x:v>
      </x:c>
      <x:c r="B400" s="15" t="str"/>
      <x:c r="C400" s="15" t="str"/>
      <x:c r="D400" s="15" t="str">
        <x:v>Bu</x:v>
      </x:c>
      <x:c r="E400" s="15" t="n">
        <x:v>516</x:v>
      </x:c>
      <x:c r="F400" s="15" t="str">
        <x:v>BU Led</x:v>
      </x:c>
      <x:c r="G400" s="15" t="str"/>
      <x:c r="H400" s="15" t="str">
        <x:v>Two white label products: NiBP cuff and SPO2 sensor will be added to the portfolio. (100K)</x:v>
      </x:c>
      <x:c r="I400" s="15" t="str"/>
      <x:c r="J400" s="15" t="str"/>
      <x:c r="K400" s="15" t="str"/>
      <x:c r="L400" s="19" t="n">
        <x:v>0</x:v>
      </x:c>
      <x:c r="M400" s="19"/>
      <x:c r="N400" s="15" t="str"/>
      <x:c r="O400" s="15" t="str"/>
      <x:c r="P400" s="15" t="str"/>
      <x:c r="Q400" s="15" t="str"/>
      <x:c r="R400" s="15" t="str"/>
      <x:c r="S400" s="15" t="str">
        <x:v>HEALTHY</x:v>
      </x:c>
      <x:c r="T400" s="15" t="str">
        <x:v>HEALTHY — Rank in priority matrix</x:v>
      </x:c>
    </x:row>
    <x:row r="401">
      <x:c r="A401" s="15" t="str">
        <x:v>Bu-row-517</x:v>
      </x:c>
      <x:c r="B401" s="15" t="str"/>
      <x:c r="C401" s="15" t="str"/>
      <x:c r="D401" s="15" t="str">
        <x:v>Bu</x:v>
      </x:c>
      <x:c r="E401" s="15" t="n">
        <x:v>517</x:v>
      </x:c>
      <x:c r="F401" s="15" t="str">
        <x:v>BU Led</x:v>
      </x:c>
      <x:c r="G401" s="15" t="str"/>
      <x:c r="H401" s="15" t="str">
        <x:v>SpO2 Oem business setup (160K)</x:v>
      </x:c>
      <x:c r="I401" s="15" t="str"/>
      <x:c r="J401" s="15" t="str"/>
      <x:c r="K401" s="15" t="str"/>
      <x:c r="L401" s="19" t="n">
        <x:v>0</x:v>
      </x:c>
      <x:c r="M401" s="19"/>
      <x:c r="N401" s="15" t="str"/>
      <x:c r="O401" s="15" t="str"/>
      <x:c r="P401" s="15" t="str"/>
      <x:c r="Q401" s="15" t="str"/>
      <x:c r="R401" s="15" t="str"/>
      <x:c r="S401" s="15" t="str">
        <x:v>HEALTHY</x:v>
      </x:c>
      <x:c r="T401" s="15" t="str">
        <x:v>HEALTHY — Rank in priority matrix</x:v>
      </x:c>
    </x:row>
    <x:row r="402">
      <x:c r="A402" s="15" t="str">
        <x:v>Bu-223</x:v>
      </x:c>
      <x:c r="B402" s="15" t="str">
        <x:v>Bu-223</x:v>
      </x:c>
      <x:c r="C402" s="15" t="str"/>
      <x:c r="D402" s="15" t="str">
        <x:v>Bu</x:v>
      </x:c>
      <x:c r="E402" s="15" t="n">
        <x:v>518</x:v>
      </x:c>
      <x:c r="F402" s="15" t="str">
        <x:v>BU Led</x:v>
      </x:c>
      <x:c r="G402" s="15" t="str">
        <x:v>Monitoring - HPM (MCH)</x:v>
      </x:c>
      <x:c r="H402" s="15" t="str">
        <x:v>Two white label products: NiBP cuff and SPO2 sensor will be added to the portfolio.</x:v>
      </x:c>
      <x:c r="I402" s="15" t="str">
        <x:v>New Initiative</x:v>
      </x:c>
      <x:c r="J402" s="15" t="str">
        <x:v>New Technology</x:v>
      </x:c>
      <x:c r="K402" s="15" t="str">
        <x:v>Integrated Supply Chain &amp; Finance</x:v>
      </x:c>
      <x:c r="L402" s="19" t="n">
        <x:v>0</x:v>
      </x:c>
      <x:c r="M402" s="19"/>
      <x:c r="N402" s="15" t="str">
        <x:v>Deprioritised</x:v>
      </x:c>
      <x:c r="O402" s="15" t="str">
        <x:v>NPI delayed</x:v>
      </x:c>
      <x:c r="P402" s="15" t="str"/>
      <x:c r="Q402" s="15" t="str"/>
      <x:c r="R402" s="15" t="str"/>
      <x:c r="S402" s="15" t="str">
        <x:v>HEALTHY</x:v>
      </x:c>
      <x:c r="T402" s="15" t="str">
        <x:v>HEALTHY — Rank in priority matrix</x:v>
      </x:c>
    </x:row>
    <x:row r="403">
      <x:c r="A403" s="15" t="str">
        <x:v>Bu-224</x:v>
      </x:c>
      <x:c r="B403" s="15" t="str">
        <x:v>Bu-224</x:v>
      </x:c>
      <x:c r="C403" s="15" t="str"/>
      <x:c r="D403" s="15" t="str">
        <x:v>Bu</x:v>
      </x:c>
      <x:c r="E403" s="15" t="n">
        <x:v>519</x:v>
      </x:c>
      <x:c r="F403" s="15" t="str">
        <x:v>BU Led</x:v>
      </x:c>
      <x:c r="G403" s="15" t="str">
        <x:v>Monitoring - HPM (MCH)</x:v>
      </x:c>
      <x:c r="H403" s="15" t="str">
        <x:v>SaaS capabilities (incl.Lifecycle mgmt for contracts )</x:v>
      </x:c>
      <x:c r="I403" s="15" t="str">
        <x:v>New Initiative</x:v>
      </x:c>
      <x:c r="J403" s="15" t="str">
        <x:v>New Technology</x:v>
      </x:c>
      <x:c r="K403" s="15" t="str">
        <x:v>Commercial IT</x:v>
      </x:c>
      <x:c r="L403" s="19" t="n">
        <x:v>1.1</x:v>
      </x:c>
      <x:c r="M403" s="19"/>
      <x:c r="N403" s="15" t="str">
        <x:v>Must Do</x:v>
      </x:c>
      <x:c r="O403" s="15" t="str">
        <x:v>NPI delayed</x:v>
      </x:c>
      <x:c r="P403" s="15" t="str"/>
      <x:c r="Q403" s="15" t="str"/>
      <x:c r="R403" s="15" t="str"/>
      <x:c r="S403" s="15" t="str">
        <x:v>HEALTHY</x:v>
      </x:c>
      <x:c r="T403" s="15" t="str">
        <x:v>HEALTHY — Rank in priority matrix</x:v>
      </x:c>
    </x:row>
    <x:row r="404">
      <x:c r="A404" s="15" t="str">
        <x:v>Bu-225</x:v>
      </x:c>
      <x:c r="B404" s="15" t="str">
        <x:v>Bu-225</x:v>
      </x:c>
      <x:c r="C404" s="15" t="str"/>
      <x:c r="D404" s="15" t="str">
        <x:v>Bu</x:v>
      </x:c>
      <x:c r="E404" s="15" t="n">
        <x:v>520</x:v>
      </x:c>
      <x:c r="F404" s="15" t="str">
        <x:v>BU Led</x:v>
      </x:c>
      <x:c r="G404" s="15" t="str">
        <x:v>Monitoring - HPM (MCH)</x:v>
      </x:c>
      <x:c r="H404" s="15" t="str">
        <x:v>Bangalore Test Lab extension</x:v>
      </x:c>
      <x:c r="I404" s="15" t="str">
        <x:v>New Initiative</x:v>
      </x:c>
      <x:c r="J404" s="15" t="str">
        <x:v>New Technology</x:v>
      </x:c>
      <x:c r="K404" s="15" t="str">
        <x:v>Infrastructure Services – Projects</x:v>
      </x:c>
      <x:c r="L404" s="19" t="n">
        <x:v>0.5</x:v>
      </x:c>
      <x:c r="M404" s="19"/>
      <x:c r="N404" s="15" t="str">
        <x:v>Must Do</x:v>
      </x:c>
      <x:c r="O404" s="15" t="str">
        <x:v>NPI delayed</x:v>
      </x:c>
      <x:c r="P404" s="15" t="str"/>
      <x:c r="Q404" s="15" t="str"/>
      <x:c r="R404" s="15" t="str"/>
      <x:c r="S404" s="15" t="str">
        <x:v>HEALTHY</x:v>
      </x:c>
      <x:c r="T404" s="15" t="str">
        <x:v>HEALTHY — Rank in priority matrix</x:v>
      </x:c>
    </x:row>
    <x:row r="405">
      <x:c r="A405" s="15" t="str">
        <x:v>Bu-226</x:v>
      </x:c>
      <x:c r="B405" s="15" t="str">
        <x:v>Bu-226</x:v>
      </x:c>
      <x:c r="C405" s="15" t="str"/>
      <x:c r="D405" s="15" t="str">
        <x:v>Bu</x:v>
      </x:c>
      <x:c r="E405" s="15" t="n">
        <x:v>521</x:v>
      </x:c>
      <x:c r="F405" s="15" t="str">
        <x:v>BU Led</x:v>
      </x:c>
      <x:c r="G405" s="15" t="str">
        <x:v>Monitoring - HPM (MCH)</x:v>
      </x:c>
      <x:c r="H405" s="15" t="str">
        <x:v>SpO2 Oem business setup</x:v>
      </x:c>
      <x:c r="I405" s="15" t="str">
        <x:v>New Initiative</x:v>
      </x:c>
      <x:c r="J405" s="15" t="str">
        <x:v>New Technology</x:v>
      </x:c>
      <x:c r="K405" s="15" t="str">
        <x:v>Integrated Supply Chain &amp; Finance</x:v>
      </x:c>
      <x:c r="L405" s="19" t="n">
        <x:v>0</x:v>
      </x:c>
      <x:c r="M405" s="19"/>
      <x:c r="N405" s="15" t="str">
        <x:v>Deprioritised</x:v>
      </x:c>
      <x:c r="O405" s="15" t="str">
        <x:v>NPI delayed</x:v>
      </x:c>
      <x:c r="P405" s="15" t="str"/>
      <x:c r="Q405" s="15" t="str"/>
      <x:c r="R405" s="15" t="str"/>
      <x:c r="S405" s="15" t="str">
        <x:v>HEALTHY</x:v>
      </x:c>
      <x:c r="T405" s="15" t="str">
        <x:v>HEALTHY — Rank in priority matrix</x:v>
      </x:c>
    </x:row>
    <x:row r="406">
      <x:c r="A406" s="15" t="str">
        <x:v>Bu-227</x:v>
      </x:c>
      <x:c r="B406" s="15" t="str">
        <x:v>Bu-227</x:v>
      </x:c>
      <x:c r="C406" s="15" t="str"/>
      <x:c r="D406" s="15" t="str">
        <x:v>Bu</x:v>
      </x:c>
      <x:c r="E406" s="15" t="n">
        <x:v>522</x:v>
      </x:c>
      <x:c r="F406" s="15" t="str">
        <x:v>BU Led</x:v>
      </x:c>
      <x:c r="G406" s="15" t="str">
        <x:v>Monitoring - HPM (MCH)</x:v>
      </x:c>
      <x:c r="H406" s="15" t="str">
        <x:v>DUPLICATE - Master Data and Data Quality</x:v>
      </x:c>
      <x:c r="I406" s="15" t="str">
        <x:v>New Initiative</x:v>
      </x:c>
      <x:c r="J406" s="15" t="str">
        <x:v>Continous Improvement</x:v>
      </x:c>
      <x:c r="K406" s="15" t="str">
        <x:v>Enterprise Architecture, Data &amp; Integration</x:v>
      </x:c>
      <x:c r="L406" s="19" t="n">
        <x:v>0</x:v>
      </x:c>
      <x:c r="M406" s="19"/>
      <x:c r="N406" s="15" t="str">
        <x:v>Deprioritised</x:v>
      </x:c>
      <x:c r="O406" s="15" t="str"/>
      <x:c r="P406" s="15" t="str"/>
      <x:c r="Q406" s="15" t="str"/>
      <x:c r="R406" s="15" t="str"/>
      <x:c r="S406" s="15" t="str"/>
      <x:c r="T406" s="15" t="str"/>
    </x:row>
    <x:row r="407">
      <x:c r="A407" s="15" t="str">
        <x:v>Bu-228</x:v>
      </x:c>
      <x:c r="B407" s="15" t="str">
        <x:v>Bu-228</x:v>
      </x:c>
      <x:c r="C407" s="15" t="str"/>
      <x:c r="D407" s="15" t="str">
        <x:v>Bu</x:v>
      </x:c>
      <x:c r="E407" s="15" t="n">
        <x:v>523</x:v>
      </x:c>
      <x:c r="F407" s="15" t="str">
        <x:v>BU Led</x:v>
      </x:c>
      <x:c r="G407" s="15" t="str">
        <x:v>Monitoring - HPM (MCH)</x:v>
      </x:c>
      <x:c r="H407" s="15" t="str">
        <x:v>ACI Integration (SNOW)</x:v>
      </x:c>
      <x:c r="I407" s="15" t="str">
        <x:v>New Initiative</x:v>
      </x:c>
      <x:c r="J407" s="15" t="str">
        <x:v>Continous Improvement</x:v>
      </x:c>
      <x:c r="K407" s="15" t="str">
        <x:v>Innovation and Digital IT</x:v>
      </x:c>
      <x:c r="L407" s="19" t="n">
        <x:v>0.25</x:v>
      </x:c>
      <x:c r="M407" s="19"/>
      <x:c r="N407" s="15" t="str">
        <x:v>Must Have</x:v>
      </x:c>
      <x:c r="O407" s="15" t="str"/>
      <x:c r="P407" s="15" t="str">
        <x:v>new unit, ACI, moved from EI to HPM - processes and tools and currently not aligned or integrated</x:v>
      </x:c>
      <x:c r="Q407" s="15" t="str">
        <x:v>integrate new HPM unit into standard ways of working</x:v>
      </x:c>
      <x:c r="R407" s="15" t="str"/>
      <x:c r="S407" s="15" t="str">
        <x:v>HEALTHY</x:v>
      </x:c>
      <x:c r="T407" s="15" t="str">
        <x:v>HEALTHY — Rank in priority matrix</x:v>
      </x:c>
    </x:row>
    <x:row r="408">
      <x:c r="A408" s="15" t="str">
        <x:v>Bu-229</x:v>
      </x:c>
      <x:c r="B408" s="15" t="str">
        <x:v>Bu-229</x:v>
      </x:c>
      <x:c r="C408" s="15" t="str"/>
      <x:c r="D408" s="15" t="str">
        <x:v>Bu</x:v>
      </x:c>
      <x:c r="E408" s="15" t="n">
        <x:v>524</x:v>
      </x:c>
      <x:c r="F408" s="15" t="str">
        <x:v>BU Led</x:v>
      </x:c>
      <x:c r="G408" s="15" t="str">
        <x:v>Monitoring - HPM (MCH)</x:v>
      </x:c>
      <x:c r="H408" s="15" t="str">
        <x:v>Fidelity (Fulcrum/RDC NAM/RDC EU/FF)</x:v>
      </x:c>
      <x:c r="I408" s="15" t="str">
        <x:v>New Initiative</x:v>
      </x:c>
      <x:c r="J408" s="15" t="str">
        <x:v>New Feature</x:v>
      </x:c>
      <x:c r="K408" s="15" t="str">
        <x:v>Integrated Supply Chain &amp; Finance</x:v>
      </x:c>
      <x:c r="L408" s="19" t="n">
        <x:v>1</x:v>
      </x:c>
      <x:c r="M408" s="19" t="n">
        <x:v>66.648</x:v>
      </x:c>
      <x:c r="N408" s="15" t="str">
        <x:v>Must Have</x:v>
      </x:c>
      <x:c r="O408" s="15" t="str">
        <x:v>reduced ROI</x:v>
      </x:c>
      <x:c r="P408" s="15" t="str">
        <x:v>improve consumable supply chain</x:v>
      </x:c>
      <x:c r="Q408" s="15" t="str">
        <x:v>o Power++ ZSO Order Intake Automation expansion</x:v>
      </x:c>
      <x:c r="R408" s="15" t="str"/>
      <x:c r="S408" s="15" t="str">
        <x:v>HEALTHY</x:v>
      </x:c>
      <x:c r="T408" s="15" t="str">
        <x:v>HEALTHY — Rank in priority matrix</x:v>
      </x:c>
    </x:row>
    <x:row r="409">
      <x:c r="A409" s="15" t="str">
        <x:v>Bu-230</x:v>
      </x:c>
      <x:c r="B409" s="15" t="str">
        <x:v>Bu-230</x:v>
      </x:c>
      <x:c r="C409" s="15" t="str"/>
      <x:c r="D409" s="15" t="str">
        <x:v>Bu</x:v>
      </x:c>
      <x:c r="E409" s="15" t="n">
        <x:v>527</x:v>
      </x:c>
      <x:c r="F409" s="15" t="str">
        <x:v>BU Led</x:v>
      </x:c>
      <x:c r="G409" s="15" t="str">
        <x:v>Monitoring - HPM (MCH)</x:v>
      </x:c>
      <x:c r="H409" s="15" t="str">
        <x:v>NAM late customization improvements (100K)</x:v>
      </x:c>
      <x:c r="I409" s="15" t="str">
        <x:v>New Initiative</x:v>
      </x:c>
      <x:c r="J409" s="15" t="str">
        <x:v>New Feature</x:v>
      </x:c>
      <x:c r="K409" s="15" t="str">
        <x:v>Integrated Supply Chain &amp; Finance</x:v>
      </x:c>
      <x:c r="L409" s="19" t="n">
        <x:v>0.25</x:v>
      </x:c>
      <x:c r="M409" s="19" t="n">
        <x:v>1.5</x:v>
      </x:c>
      <x:c r="N409" s="15" t="str">
        <x:v>Must Have</x:v>
      </x:c>
      <x:c r="O409" s="15" t="str">
        <x:v>reduced ROI</x:v>
      </x:c>
      <x:c r="P409" s="15" t="str">
        <x:v>improve consumable supply chain</x:v>
      </x:c>
      <x:c r="Q409" s="15" t="str"/>
      <x:c r="R409" s="15" t="str"/>
      <x:c r="S409" s="15" t="str">
        <x:v>HEALTHY</x:v>
      </x:c>
      <x:c r="T409" s="15" t="str">
        <x:v>HEALTHY — Rank in priority matrix</x:v>
      </x:c>
    </x:row>
    <x:row r="410">
      <x:c r="A410" s="15" t="str">
        <x:v>Bu-row-528</x:v>
      </x:c>
      <x:c r="B410" s="15" t="str"/>
      <x:c r="C410" s="15" t="str"/>
      <x:c r="D410" s="15" t="str">
        <x:v>Bu</x:v>
      </x:c>
      <x:c r="E410" s="15" t="n">
        <x:v>528</x:v>
      </x:c>
      <x:c r="F410" s="15" t="str">
        <x:v>BU Led</x:v>
      </x:c>
      <x:c r="G410" s="15" t="str"/>
      <x:c r="H410" s="15" t="str">
        <x:v>Topkal (150K)</x:v>
      </x:c>
      <x:c r="I410" s="15" t="str"/>
      <x:c r="J410" s="15" t="str"/>
      <x:c r="K410" s="15" t="str"/>
      <x:c r="L410" s="19" t="n">
        <x:v>0</x:v>
      </x:c>
      <x:c r="M410" s="19"/>
      <x:c r="N410" s="15" t="str"/>
      <x:c r="O410" s="15" t="str"/>
      <x:c r="P410" s="15" t="str"/>
      <x:c r="Q410" s="15" t="str"/>
      <x:c r="R410" s="15" t="str"/>
      <x:c r="S410" s="15" t="str"/>
      <x:c r="T410" s="15" t="str"/>
    </x:row>
    <x:row r="411">
      <x:c r="A411" s="15" t="str">
        <x:v>Bu-231</x:v>
      </x:c>
      <x:c r="B411" s="15" t="str">
        <x:v>Bu-231</x:v>
      </x:c>
      <x:c r="C411" s="15" t="str"/>
      <x:c r="D411" s="15" t="str">
        <x:v>Bu</x:v>
      </x:c>
      <x:c r="E411" s="15" t="n">
        <x:v>529</x:v>
      </x:c>
      <x:c r="F411" s="15" t="str">
        <x:v>BU Led</x:v>
      </x:c>
      <x:c r="G411" s="15" t="str">
        <x:v>Monitoring - HPM (MCH)</x:v>
      </x:c>
      <x:c r="H411" s="15" t="str">
        <x:v>GBS Collaboration - Order Orchestration (Appian) - Phase 2</x:v>
      </x:c>
      <x:c r="I411" s="15" t="str">
        <x:v>New Initiative</x:v>
      </x:c>
      <x:c r="J411" s="15" t="str">
        <x:v>New Feature</x:v>
      </x:c>
      <x:c r="K411" s="15" t="str">
        <x:v>Integrated Supply Chain &amp; Finance</x:v>
      </x:c>
      <x:c r="L411" s="19" t="n">
        <x:v>0.9</x:v>
      </x:c>
      <x:c r="M411" s="19" t="n">
        <x:v>9.162</x:v>
      </x:c>
      <x:c r="N411" s="15" t="str">
        <x:v>Must Have</x:v>
      </x:c>
      <x:c r="O411" s="15" t="str">
        <x:v>reduced ROI</x:v>
      </x:c>
      <x:c r="P411" s="15" t="str">
        <x:v>OTIF Impact: Better compliance</x:v>
      </x:c>
      <x:c r="Q411" s="15" t="str">
        <x:v>extend Appian</x:v>
      </x:c>
      <x:c r="R411" s="15" t="str"/>
      <x:c r="S411" s="15" t="str">
        <x:v>CONTAIN</x:v>
      </x:c>
      <x:c r="T411" s="15" t="str">
        <x:v>CONTAIN — Conditions</x:v>
      </x:c>
    </x:row>
    <x:row r="412">
      <x:c r="A412" s="15" t="str">
        <x:v>Bu-232</x:v>
      </x:c>
      <x:c r="B412" s="15" t="str">
        <x:v>Bu-232</x:v>
      </x:c>
      <x:c r="C412" s="15" t="str"/>
      <x:c r="D412" s="15" t="str">
        <x:v>Bu</x:v>
      </x:c>
      <x:c r="E412" s="15" t="n">
        <x:v>534</x:v>
      </x:c>
      <x:c r="F412" s="15" t="str">
        <x:v>BU Led</x:v>
      </x:c>
      <x:c r="G412" s="15" t="str">
        <x:v>Monitoring - HPM (MCH)</x:v>
      </x:c>
      <x:c r="H412" s="15" t="str">
        <x:v>DUPLICATE - Circular Lifecycle Solutions and Spare parts delivery</x:v>
      </x:c>
      <x:c r="I412" s="15" t="str">
        <x:v>New Initiative</x:v>
      </x:c>
      <x:c r="J412" s="15" t="str">
        <x:v>New Feature</x:v>
      </x:c>
      <x:c r="K412" s="15" t="str">
        <x:v>Integrated Supply Chain &amp; Finance</x:v>
      </x:c>
      <x:c r="L412" s="19" t="n">
        <x:v>0</x:v>
      </x:c>
      <x:c r="M412" s="19"/>
      <x:c r="N412" s="15" t="str"/>
      <x:c r="O412" s="15" t="str"/>
      <x:c r="P412" s="15" t="str"/>
      <x:c r="Q412" s="15" t="str"/>
      <x:c r="R412" s="15" t="str"/>
      <x:c r="S412" s="15" t="str">
        <x:v>HEALTHY</x:v>
      </x:c>
      <x:c r="T412" s="15" t="str">
        <x:v>HEALTHY — Rank in priority matrix</x:v>
      </x:c>
    </x:row>
    <x:row r="413">
      <x:c r="A413" s="15" t="str">
        <x:v>Bu-233</x:v>
      </x:c>
      <x:c r="B413" s="15" t="str">
        <x:v>Bu-233</x:v>
      </x:c>
      <x:c r="C413" s="15" t="str"/>
      <x:c r="D413" s="15" t="str">
        <x:v>Bu</x:v>
      </x:c>
      <x:c r="E413" s="15" t="n">
        <x:v>535</x:v>
      </x:c>
      <x:c r="F413" s="15" t="str">
        <x:v>BU Led</x:v>
      </x:c>
      <x:c r="G413" s="15" t="str">
        <x:v>Monitoring - HPM (MCH)</x:v>
      </x:c>
      <x:c r="H413" s="15" t="str">
        <x:v>PS cloud Capability Development</x:v>
      </x:c>
      <x:c r="I413" s="15" t="str">
        <x:v>New Initiative</x:v>
      </x:c>
      <x:c r="J413" s="15" t="str">
        <x:v>New Feature</x:v>
      </x:c>
      <x:c r="K413" s="15" t="str">
        <x:v>Services &amp; Solutions IT</x:v>
      </x:c>
      <x:c r="L413" s="19" t="n">
        <x:v>0.25</x:v>
      </x:c>
      <x:c r="M413" s="19"/>
      <x:c r="N413" s="15" t="str"/>
      <x:c r="O413" s="15" t="str"/>
      <x:c r="P413" s="15" t="str"/>
      <x:c r="Q413" s="15" t="str"/>
      <x:c r="R413" s="15" t="str"/>
      <x:c r="S413" s="15" t="str">
        <x:v>HEALTHY</x:v>
      </x:c>
      <x:c r="T413" s="15" t="str">
        <x:v>HEALTHY — Rank in priority matrix</x:v>
      </x:c>
    </x:row>
    <x:row r="414">
      <x:c r="A414" s="15" t="str">
        <x:v>Bu-234</x:v>
      </x:c>
      <x:c r="B414" s="15" t="str">
        <x:v>Bu-234</x:v>
      </x:c>
      <x:c r="C414" s="15" t="str"/>
      <x:c r="D414" s="15" t="str">
        <x:v>Bu</x:v>
      </x:c>
      <x:c r="E414" s="15" t="n">
        <x:v>536</x:v>
      </x:c>
      <x:c r="F414" s="15" t="str">
        <x:v>BU Led</x:v>
      </x:c>
      <x:c r="G414" s="15" t="str">
        <x:v>Monitoring - HPM (MCH)</x:v>
      </x:c>
      <x:c r="H414" s="15" t="str">
        <x:v>DUPLICATE - Procurement - SC Next</x:v>
      </x:c>
      <x:c r="I414" s="15" t="str">
        <x:v>New Initiative</x:v>
      </x:c>
      <x:c r="J414" s="15" t="str">
        <x:v>New Feature</x:v>
      </x:c>
      <x:c r="K414" s="15" t="str">
        <x:v>Integrated Supply Chain &amp; Finance</x:v>
      </x:c>
      <x:c r="L414" s="19" t="n">
        <x:v>0</x:v>
      </x:c>
      <x:c r="M414" s="19"/>
      <x:c r="N414" s="15" t="str"/>
      <x:c r="O414" s="15" t="str"/>
      <x:c r="P414" s="15" t="str"/>
      <x:c r="Q414" s="15" t="str"/>
      <x:c r="R414" s="15" t="str"/>
      <x:c r="S414" s="15" t="str"/>
      <x:c r="T414" s="15" t="str"/>
    </x:row>
    <x:row r="415">
      <x:c r="A415" s="15" t="str">
        <x:v>Bu-235</x:v>
      </x:c>
      <x:c r="B415" s="15" t="str">
        <x:v>Bu-235</x:v>
      </x:c>
      <x:c r="C415" s="15" t="str"/>
      <x:c r="D415" s="15" t="str">
        <x:v>Bu</x:v>
      </x:c>
      <x:c r="E415" s="15" t="n">
        <x:v>537</x:v>
      </x:c>
      <x:c r="F415" s="15" t="str">
        <x:v>BU Led</x:v>
      </x:c>
      <x:c r="G415" s="15" t="str">
        <x:v>Monitoring - HPM (MCH)</x:v>
      </x:c>
      <x:c r="H415" s="15" t="str">
        <x:v>PDUPLICATE - rocurement - Digital Proc</x:v>
      </x:c>
      <x:c r="I415" s="15" t="str">
        <x:v>New Initiative</x:v>
      </x:c>
      <x:c r="J415" s="15" t="str">
        <x:v>New Feature</x:v>
      </x:c>
      <x:c r="K415" s="15" t="str">
        <x:v>Integrated Supply Chain &amp; Finance</x:v>
      </x:c>
      <x:c r="L415" s="19" t="n">
        <x:v>0</x:v>
      </x:c>
      <x:c r="M415" s="19"/>
      <x:c r="N415" s="15" t="str"/>
      <x:c r="O415" s="15" t="str"/>
      <x:c r="P415" s="15" t="str"/>
      <x:c r="Q415" s="15" t="str"/>
      <x:c r="R415" s="15" t="str"/>
      <x:c r="S415" s="15" t="str"/>
      <x:c r="T415" s="15" t="str"/>
    </x:row>
    <x:row r="416">
      <x:c r="A416" s="15" t="str">
        <x:v>Bu-236</x:v>
      </x:c>
      <x:c r="B416" s="15" t="str">
        <x:v>Bu-236</x:v>
      </x:c>
      <x:c r="C416" s="15" t="str"/>
      <x:c r="D416" s="15" t="str">
        <x:v>Bu</x:v>
      </x:c>
      <x:c r="E416" s="15" t="n">
        <x:v>538</x:v>
      </x:c>
      <x:c r="F416" s="15" t="str">
        <x:v>BU Led</x:v>
      </x:c>
      <x:c r="G416" s="15" t="str">
        <x:v>Monitoring - HPM (MCH)</x:v>
      </x:c>
      <x:c r="H416" s="15" t="str">
        <x:v>DUPLICATE - Procurement - SW Transformation</x:v>
      </x:c>
      <x:c r="I416" s="15" t="str">
        <x:v>New Initiative</x:v>
      </x:c>
      <x:c r="J416" s="15" t="str">
        <x:v>New Feature</x:v>
      </x:c>
      <x:c r="K416" s="15" t="str">
        <x:v>Integrated Supply Chain &amp; Finance</x:v>
      </x:c>
      <x:c r="L416" s="19" t="n">
        <x:v>0</x:v>
      </x:c>
      <x:c r="M416" s="19"/>
      <x:c r="N416" s="15" t="str"/>
      <x:c r="O416" s="15" t="str"/>
      <x:c r="P416" s="15" t="str"/>
      <x:c r="Q416" s="15" t="str"/>
      <x:c r="R416" s="15" t="str"/>
      <x:c r="S416" s="15" t="str"/>
      <x:c r="T416" s="15" t="str"/>
    </x:row>
    <x:row r="417">
      <x:c r="A417" s="15" t="str">
        <x:v>Bu-237</x:v>
      </x:c>
      <x:c r="B417" s="15" t="str">
        <x:v>Bu-237</x:v>
      </x:c>
      <x:c r="C417" s="15" t="str"/>
      <x:c r="D417" s="15" t="str">
        <x:v>Bu</x:v>
      </x:c>
      <x:c r="E417" s="15" t="n">
        <x:v>539</x:v>
      </x:c>
      <x:c r="F417" s="15" t="str">
        <x:v>BU Led</x:v>
      </x:c>
      <x:c r="G417" s="15" t="str">
        <x:v>Monitoring - HPM (MCH)</x:v>
      </x:c>
      <x:c r="H417" s="15" t="str">
        <x:v>3PP</x:v>
      </x:c>
      <x:c r="I417" s="15" t="str">
        <x:v>New Initiative</x:v>
      </x:c>
      <x:c r="J417" s="15" t="str">
        <x:v>New Feature</x:v>
      </x:c>
      <x:c r="K417" s="15" t="str">
        <x:v>Integrated Supply Chain &amp; Finance</x:v>
      </x:c>
      <x:c r="L417" s="19" t="n">
        <x:v>0.5</x:v>
      </x:c>
      <x:c r="M417" s="19" t="n">
        <x:v>2.5</x:v>
      </x:c>
      <x:c r="N417" s="15" t="str">
        <x:v>Must Have</x:v>
      </x:c>
      <x:c r="O417" s="15" t="str">
        <x:v>reduced ROI</x:v>
      </x:c>
      <x:c r="P417" s="15" t="str">
        <x:v>3rd party products productivity</x:v>
      </x:c>
      <x:c r="Q417" s="15" t="str">
        <x:v>automate HPM specific 3rd party products creation in MP2</x:v>
      </x:c>
      <x:c r="R417" s="15" t="str"/>
      <x:c r="S417" s="15" t="str">
        <x:v>HEALTHY</x:v>
      </x:c>
      <x:c r="T417" s="15" t="str">
        <x:v>HEALTHY — Rank in priority matrix</x:v>
      </x:c>
    </x:row>
    <x:row r="418">
      <x:c r="A418" s="15" t="str">
        <x:v>Bu-238</x:v>
      </x:c>
      <x:c r="B418" s="15" t="str">
        <x:v>Bu-238</x:v>
      </x:c>
      <x:c r="C418" s="15" t="str"/>
      <x:c r="D418" s="15" t="str">
        <x:v>Bu</x:v>
      </x:c>
      <x:c r="E418" s="15" t="n">
        <x:v>540</x:v>
      </x:c>
      <x:c r="F418" s="15" t="str">
        <x:v>BU Led</x:v>
      </x:c>
      <x:c r="G418" s="15" t="str">
        <x:v>Monitoring - HPM (MCH)</x:v>
      </x:c>
      <x:c r="H418" s="15" t="str">
        <x:v>DUPLICATE - Direct Procurement</x:v>
      </x:c>
      <x:c r="I418" s="15" t="str">
        <x:v>New Initiative</x:v>
      </x:c>
      <x:c r="J418" s="15" t="str">
        <x:v>New Feature</x:v>
      </x:c>
      <x:c r="K418" s="15" t="str">
        <x:v>Integrated Supply Chain &amp; Finance</x:v>
      </x:c>
      <x:c r="L418" s="19" t="n">
        <x:v>0</x:v>
      </x:c>
      <x:c r="M418" s="19"/>
      <x:c r="N418" s="15" t="str">
        <x:v>Deprioritised</x:v>
      </x:c>
      <x:c r="O418" s="15" t="str"/>
      <x:c r="P418" s="15" t="str"/>
      <x:c r="Q418" s="15" t="str"/>
      <x:c r="R418" s="15" t="str"/>
      <x:c r="S418" s="15" t="str"/>
      <x:c r="T418" s="15" t="str"/>
    </x:row>
    <x:row r="419">
      <x:c r="A419" s="15" t="str">
        <x:v>Bu-239</x:v>
      </x:c>
      <x:c r="B419" s="15" t="str">
        <x:v>Bu-239</x:v>
      </x:c>
      <x:c r="C419" s="15" t="str"/>
      <x:c r="D419" s="15" t="str">
        <x:v>Bu</x:v>
      </x:c>
      <x:c r="E419" s="15" t="n">
        <x:v>541</x:v>
      </x:c>
      <x:c r="F419" s="15" t="str">
        <x:v>BU Led</x:v>
      </x:c>
      <x:c r="G419" s="15" t="str">
        <x:v>Monitoring - HPM (MCH)</x:v>
      </x:c>
      <x:c r="H419" s="15" t="str">
        <x:v>Topkal</x:v>
      </x:c>
      <x:c r="I419" s="15" t="str">
        <x:v>New Initiative</x:v>
      </x:c>
      <x:c r="J419" s="15" t="str">
        <x:v>New Feature</x:v>
      </x:c>
      <x:c r="K419" s="15" t="str">
        <x:v>Integrated Supply Chain &amp; Finance</x:v>
      </x:c>
      <x:c r="L419" s="19" t="n">
        <x:v>0</x:v>
      </x:c>
      <x:c r="M419" s="19"/>
      <x:c r="N419" s="15" t="str">
        <x:v>Deprioritised</x:v>
      </x:c>
      <x:c r="O419" s="15" t="str"/>
      <x:c r="P419" s="15" t="str">
        <x:v>sales of Commercial off the shelf productivity</x:v>
      </x:c>
      <x:c r="Q419" s="15" t="str">
        <x:v>introduce vitual factory / third-party-payer model</x:v>
      </x:c>
      <x:c r="R419" s="15" t="str"/>
      <x:c r="S419" s="15" t="str">
        <x:v>HEALTHY</x:v>
      </x:c>
      <x:c r="T419" s="15" t="str">
        <x:v>HEALTHY — Rank in priority matrix</x:v>
      </x:c>
    </x:row>
    <x:row r="420">
      <x:c r="A420" s="15" t="str">
        <x:v>Bu-240</x:v>
      </x:c>
      <x:c r="B420" s="15" t="str">
        <x:v>Bu-240</x:v>
      </x:c>
      <x:c r="C420" s="15" t="str">
        <x:v>1007822</x:v>
      </x:c>
      <x:c r="D420" s="15" t="str">
        <x:v>Bu</x:v>
      </x:c>
      <x:c r="E420" s="15" t="n">
        <x:v>542</x:v>
      </x:c>
      <x:c r="F420" s="15" t="str">
        <x:v>BU Led</x:v>
      </x:c>
      <x:c r="G420" s="15" t="str">
        <x:v>Precision Diagnosis - Magnetic Resonance (MR)</x:v>
      </x:c>
      <x:c r="H420" s="15" t="str">
        <x:v>ConfigIT - Transforming our Configure to Deliver Landscape</x:v>
      </x:c>
      <x:c r="I420" s="15" t="str">
        <x:v>Carry Over</x:v>
      </x:c>
      <x:c r="J420" s="15" t="str">
        <x:v>New Feature</x:v>
      </x:c>
      <x:c r="K420" s="15" t="str">
        <x:v>Commercial IT</x:v>
      </x:c>
      <x:c r="L420" s="19" t="n">
        <x:v>0.99</x:v>
      </x:c>
      <x:c r="M420" s="19"/>
      <x:c r="N420" s="15" t="str">
        <x:v>Must Do</x:v>
      </x:c>
      <x:c r="O420" s="15" t="str"/>
      <x:c r="P420" s="15" t="str"/>
      <x:c r="Q420" s="15" t="str">
        <x:v>Phase 2 scope</x:v>
      </x:c>
      <x:c r="R420" s="15" t="str"/>
      <x:c r="S420" s="15" t="str"/>
      <x:c r="T420" s="15" t="str"/>
    </x:row>
    <x:row r="421">
      <x:c r="A421" s="15" t="str">
        <x:v>Bu-241</x:v>
      </x:c>
      <x:c r="B421" s="15" t="str">
        <x:v>Bu-241</x:v>
      </x:c>
      <x:c r="C421" s="15" t="str"/>
      <x:c r="D421" s="15" t="str">
        <x:v>Bu</x:v>
      </x:c>
      <x:c r="E421" s="15" t="n">
        <x:v>549</x:v>
      </x:c>
      <x:c r="F421" s="15" t="str">
        <x:v>BU Led</x:v>
      </x:c>
      <x:c r="G421" s="15" t="str">
        <x:v>Precision Diagnosis - Magnetic Resonance (MR)</x:v>
      </x:c>
      <x:c r="H421" s="15" t="str">
        <x:v>Atlas (Regional Merge Center) — IT sap System</x:v>
      </x:c>
      <x:c r="I421" s="15" t="str">
        <x:v>New Initiative</x:v>
      </x:c>
      <x:c r="J421" s="15" t="str">
        <x:v>New Technology</x:v>
      </x:c>
      <x:c r="K421" s="15" t="str">
        <x:v>Integrated Supply Chain &amp; Finance</x:v>
      </x:c>
      <x:c r="L421" s="19" t="n">
        <x:v>0.05</x:v>
      </x:c>
      <x:c r="M421" s="19"/>
      <x:c r="N421" s="15" t="str">
        <x:v>Must Do</x:v>
      </x:c>
      <x:c r="O421" s="15" t="str"/>
      <x:c r="P421" s="15" t="str"/>
      <x:c r="Q421" s="15" t="str">
        <x:v>Regional Merge Center IT application to ensure operation and merge in the market</x:v>
      </x:c>
      <x:c r="R421" s="15" t="str"/>
      <x:c r="S421" s="15" t="str"/>
      <x:c r="T421" s="15" t="str"/>
    </x:row>
    <x:row r="422">
      <x:c r="A422" s="15" t="str">
        <x:v>Bu-242</x:v>
      </x:c>
      <x:c r="B422" s="15" t="str">
        <x:v>Bu-242</x:v>
      </x:c>
      <x:c r="C422" s="15" t="str"/>
      <x:c r="D422" s="15" t="str">
        <x:v>Bu</x:v>
      </x:c>
      <x:c r="E422" s="15" t="n">
        <x:v>550</x:v>
      </x:c>
      <x:c r="F422" s="15" t="str">
        <x:v>BU Led</x:v>
      </x:c>
      <x:c r="G422" s="15" t="str">
        <x:v>Precision Diagnosis - Magnetic Resonance (MR)</x:v>
      </x:c>
      <x:c r="H422" s="15" t="str">
        <x:v>Entreperner flow Iray -SPS</x:v>
      </x:c>
      <x:c r="I422" s="15" t="str">
        <x:v>New Initiative</x:v>
      </x:c>
      <x:c r="J422" s="15" t="str">
        <x:v>New Feature</x:v>
      </x:c>
      <x:c r="K422" s="15" t="str">
        <x:v>Integrated Supply Chain &amp; Finance</x:v>
      </x:c>
      <x:c r="L422" s="19" t="n">
        <x:v>0.1</x:v>
      </x:c>
      <x:c r="M422" s="19"/>
      <x:c r="N422" s="15" t="str">
        <x:v>Must Have</x:v>
      </x:c>
      <x:c r="O422" s="15" t="str"/>
      <x:c r="P422" s="15" t="str"/>
      <x:c r="Q422" s="15" t="str">
        <x:v>New OEM Supplier introduction - SPS flow setting</x:v>
      </x:c>
      <x:c r="R422" s="15" t="str"/>
      <x:c r="S422" s="15" t="str"/>
      <x:c r="T422" s="15" t="str"/>
    </x:row>
    <x:row r="423">
      <x:c r="A423" s="15" t="str">
        <x:v>Bu-243</x:v>
      </x:c>
      <x:c r="B423" s="15" t="str">
        <x:v>Bu-243</x:v>
      </x:c>
      <x:c r="C423" s="15" t="str"/>
      <x:c r="D423" s="15" t="str">
        <x:v>Bu</x:v>
      </x:c>
      <x:c r="E423" s="15" t="n">
        <x:v>551</x:v>
      </x:c>
      <x:c r="F423" s="15" t="str">
        <x:v>BU Led</x:v>
      </x:c>
      <x:c r="G423" s="15" t="str">
        <x:v>Precision Diagnosis - Magnetic Resonance (MR)</x:v>
      </x:c>
      <x:c r="H423" s="15" t="str">
        <x:v>DEFOA Iray OEM 1EMS IT structure</x:v>
      </x:c>
      <x:c r="I423" s="15" t="str">
        <x:v>New Initiative</x:v>
      </x:c>
      <x:c r="J423" s="15" t="str">
        <x:v>New Feature</x:v>
      </x:c>
      <x:c r="K423" s="15" t="str">
        <x:v>Integrated Supply Chain &amp; Finance</x:v>
      </x:c>
      <x:c r="L423" s="19" t="n">
        <x:v>0.05</x:v>
      </x:c>
      <x:c r="M423" s="19"/>
      <x:c r="N423" s="15" t="str">
        <x:v>Must Have</x:v>
      </x:c>
      <x:c r="O423" s="15" t="str"/>
      <x:c r="P423" s="15" t="str"/>
      <x:c r="Q423" s="15" t="str">
        <x:v>New OEM Supplier introduction - Defoa Process flow setting</x:v>
      </x:c>
      <x:c r="R423" s="15" t="str"/>
      <x:c r="S423" s="15" t="str"/>
      <x:c r="T423" s="15" t="str"/>
    </x:row>
    <x:row r="424">
      <x:c r="A424" s="15" t="str">
        <x:v>Bu-244</x:v>
      </x:c>
      <x:c r="B424" s="15" t="str">
        <x:v>Bu-244</x:v>
      </x:c>
      <x:c r="C424" s="15" t="str"/>
      <x:c r="D424" s="15" t="str">
        <x:v>Bu</x:v>
      </x:c>
      <x:c r="E424" s="15" t="n">
        <x:v>552</x:v>
      </x:c>
      <x:c r="F424" s="15" t="str">
        <x:v>BU Led</x:v>
      </x:c>
      <x:c r="G424" s="15" t="str">
        <x:v>Precision Diagnosis - Digital X-ray Radiogrammetry (DXR)</x:v>
      </x:c>
      <x:c r="H424" s="15" t="str">
        <x:v>ORU split to separate Manufactruing to Entrepner activities</x:v>
      </x:c>
      <x:c r="I424" s="15" t="str">
        <x:v>New Initiative</x:v>
      </x:c>
      <x:c r="J424" s="15" t="str">
        <x:v>Legal Fiscal, Regulatory &amp; Compliancy</x:v>
      </x:c>
      <x:c r="K424" s="15" t="str">
        <x:v>Integrated Supply Chain &amp; Finance</x:v>
      </x:c>
      <x:c r="L424" s="19" t="n">
        <x:v>0.9</x:v>
      </x:c>
      <x:c r="M424" s="19" t="n">
        <x:v>1</x:v>
      </x:c>
      <x:c r="N424" s="15" t="str">
        <x:v>Must Have</x:v>
      </x:c>
      <x:c r="O424" s="15" t="str">
        <x:v>Atlas BC supports this. Avoid custom, tax and audit impact between internal facotry and enterpreneur entity. Create a compliant system that alloud separate audithability of manufacturing and enterpreneur ORU</x:v>
      </x:c>
      <x:c r="P424" s="15" t="str">
        <x:v>DXR is enaging in enterprenpreneur activities and to ensure separation between manufacturing and enterpreneur activities an ORU split is required to ensure custom to audit separately the two areas</x:v>
      </x:c>
      <x:c r="Q424" s="15" t="str">
        <x:v>Required for Regional Merge Center to ensure auditability by US custom Authorities</x:v>
      </x:c>
      <x:c r="R424" s="15" t="str"/>
      <x:c r="S424" s="15" t="str"/>
      <x:c r="T424" s="15" t="str"/>
    </x:row>
    <x:row r="425">
      <x:c r="A425" s="15" t="str">
        <x:v>Bu-245</x:v>
      </x:c>
      <x:c r="B425" s="15" t="str">
        <x:v>Bu-245</x:v>
      </x:c>
      <x:c r="C425" s="15" t="str"/>
      <x:c r="D425" s="15" t="str">
        <x:v>Bu</x:v>
      </x:c>
      <x:c r="E425" s="15" t="n">
        <x:v>553</x:v>
      </x:c>
      <x:c r="F425" s="15" t="str">
        <x:v>BU Led</x:v>
      </x:c>
      <x:c r="G425" s="15" t="str">
        <x:v>Precision Diagnosis - Magnetic Resonance (MR)</x:v>
      </x:c>
      <x:c r="H425" s="15" t="str">
        <x:v>DEFOA Brain AI program</x:v>
      </x:c>
      <x:c r="I425" s="15" t="str">
        <x:v>New Initiative</x:v>
      </x:c>
      <x:c r="J425" s="15" t="str">
        <x:v>AI Enablement</x:v>
      </x:c>
      <x:c r="K425" s="15" t="str">
        <x:v>Integrated Supply Chain &amp; Finance</x:v>
      </x:c>
      <x:c r="L425" s="19" t="n">
        <x:v>0.08</x:v>
      </x:c>
      <x:c r="M425" s="19"/>
      <x:c r="N425" s="15" t="str">
        <x:v>Must Have</x:v>
      </x:c>
      <x:c r="O425" s="15" t="str"/>
      <x:c r="P425" s="15" t="str"/>
      <x:c r="Q425" s="15" t="str">
        <x:v>AI Agent that will aloud research all levels of BOM till part level. It is defined to support Market DEFOA in Installation (Missing and lost)</x:v>
      </x:c>
      <x:c r="R425" s="15" t="str"/>
      <x:c r="S425" s="15" t="str"/>
      <x:c r="T425" s="15" t="str"/>
    </x:row>
    <x:row r="426">
      <x:c r="A426" s="15" t="str">
        <x:v>Bu-246</x:v>
      </x:c>
      <x:c r="B426" s="15" t="str">
        <x:v>Bu-246</x:v>
      </x:c>
      <x:c r="C426" s="15" t="str"/>
      <x:c r="D426" s="15" t="str">
        <x:v>Bu</x:v>
      </x:c>
      <x:c r="E426" s="15" t="n">
        <x:v>554</x:v>
      </x:c>
      <x:c r="F426" s="15" t="str">
        <x:v>BU Led</x:v>
      </x:c>
      <x:c r="G426" s="15" t="str">
        <x:v>Precision Diagnosis - Magnetic Resonance (MR)</x:v>
      </x:c>
      <x:c r="H426" s="15" t="str">
        <x:v>Mantan (NDA Project CT &amp; MR)</x:v>
      </x:c>
      <x:c r="I426" s="15" t="str">
        <x:v>New Initiative</x:v>
      </x:c>
      <x:c r="J426" s="15" t="str">
        <x:v>Legal Fiscal, Regulatory &amp; Compliancy</x:v>
      </x:c>
      <x:c r="K426" s="15" t="str">
        <x:v>Integrated Supply Chain &amp; Finance</x:v>
      </x:c>
      <x:c r="L426" s="19" t="n">
        <x:v>0.49</x:v>
      </x:c>
      <x:c r="M426" s="19"/>
      <x:c r="N426" s="15" t="str">
        <x:v>Must Do</x:v>
      </x:c>
      <x:c r="O426" s="15" t="str"/>
      <x:c r="P426" s="15" t="str"/>
      <x:c r="Q426" s="15" t="str">
        <x:v>India Local for Local, to meet the requirement for minimal localization policy</x:v>
      </x:c>
      <x:c r="R426" s="15" t="str"/>
      <x:c r="S426" s="15" t="str"/>
      <x:c r="T426" s="15" t="str"/>
    </x:row>
    <x:row r="427">
      <x:c r="A427" s="15" t="str">
        <x:v>Bu-247</x:v>
      </x:c>
      <x:c r="B427" s="15" t="str">
        <x:v>Bu-247</x:v>
      </x:c>
      <x:c r="C427" s="15" t="str"/>
      <x:c r="D427" s="15" t="str">
        <x:v>Bu</x:v>
      </x:c>
      <x:c r="E427" s="15" t="n">
        <x:v>555</x:v>
      </x:c>
      <x:c r="F427" s="15" t="str">
        <x:v>BU Led</x:v>
      </x:c>
      <x:c r="G427" s="15" t="str">
        <x:v>Precision Diagnosis - Magnetic Resonance (MR)</x:v>
      </x:c>
      <x:c r="H427" s="15" t="str">
        <x:v>MES features in factories</x:v>
      </x:c>
      <x:c r="I427" s="15" t="str">
        <x:v>New Initiative</x:v>
      </x:c>
      <x:c r="J427" s="15" t="str">
        <x:v>New Feature</x:v>
      </x:c>
      <x:c r="K427" s="15" t="str">
        <x:v>Integrated Supply Chain &amp; Finance</x:v>
      </x:c>
      <x:c r="L427" s="19" t="n">
        <x:v>0.2</x:v>
      </x:c>
      <x:c r="M427" s="19"/>
      <x:c r="N427" s="15" t="str">
        <x:v>Must Have</x:v>
      </x:c>
      <x:c r="O427" s="15" t="str"/>
      <x:c r="P427" s="15" t="str"/>
      <x:c r="Q427" s="15" t="str">
        <x:v>Upgrade hasn’t happened over last couple of years, and new features are available for manufacturing capabilitis</x:v>
      </x:c>
      <x:c r="R427" s="15" t="str"/>
      <x:c r="S427" s="15" t="str">
        <x:v>HEALTHY</x:v>
      </x:c>
      <x:c r="T427" s="15" t="str">
        <x:v>HEALTHY — Rank in priority matrix</x:v>
      </x:c>
    </x:row>
    <x:row r="428">
      <x:c r="A428" s="15" t="str">
        <x:v>Bu-248</x:v>
      </x:c>
      <x:c r="B428" s="15" t="str">
        <x:v>Bu-248</x:v>
      </x:c>
      <x:c r="C428" s="15" t="str"/>
      <x:c r="D428" s="15" t="str">
        <x:v>Bu</x:v>
      </x:c>
      <x:c r="E428" s="15" t="n">
        <x:v>556</x:v>
      </x:c>
      <x:c r="F428" s="15" t="str">
        <x:v>BU Led</x:v>
      </x:c>
      <x:c r="G428" s="15" t="str">
        <x:v>Precision Diagnosis - Magnetic Resonance (MR)</x:v>
      </x:c>
      <x:c r="H428" s="15" t="str">
        <x:v>SAP Functionality expansion LMPC/LFP (Pune &amp; Latham)</x:v>
      </x:c>
      <x:c r="I428" s="15" t="str">
        <x:v>New Initiative</x:v>
      </x:c>
      <x:c r="J428" s="15" t="str">
        <x:v>AI Enablement</x:v>
      </x:c>
      <x:c r="K428" s="15" t="str">
        <x:v>Integrated Supply Chain &amp; Finance</x:v>
      </x:c>
      <x:c r="L428" s="19" t="n">
        <x:v>0.08</x:v>
      </x:c>
      <x:c r="M428" s="19"/>
      <x:c r="N428" s="15" t="str">
        <x:v>Must Have</x:v>
      </x:c>
      <x:c r="O428" s="15" t="str"/>
      <x:c r="P428" s="15" t="str"/>
      <x:c r="Q428" s="15" t="str">
        <x:v>Embedding targeted AI solutions to automate processes, improve decision-making, and increase operational efficiency and scalability In Pune and Latam Factory</x:v>
      </x:c>
      <x:c r="R428" s="15" t="str"/>
      <x:c r="S428" s="15" t="str"/>
      <x:c r="T428" s="15" t="str"/>
    </x:row>
    <x:row r="429">
      <x:c r="A429" s="15" t="str">
        <x:v>Bu-249</x:v>
      </x:c>
      <x:c r="B429" s="15" t="str">
        <x:v>Bu-249</x:v>
      </x:c>
      <x:c r="C429" s="15" t="str"/>
      <x:c r="D429" s="15" t="str">
        <x:v>Bu</x:v>
      </x:c>
      <x:c r="E429" s="15" t="n">
        <x:v>557</x:v>
      </x:c>
      <x:c r="F429" s="15" t="str">
        <x:v>BU Led</x:v>
      </x:c>
      <x:c r="G429" s="15" t="str">
        <x:v>Precision Diagnosis - Magnetic Resonance (MR)</x:v>
      </x:c>
      <x:c r="H429" s="15" t="str">
        <x:v>Placeholder</x:v>
      </x:c>
      <x:c r="I429" s="15" t="str">
        <x:v>New Initiative</x:v>
      </x:c>
      <x:c r="J429" s="15" t="str">
        <x:v>Continous Improvement</x:v>
      </x:c>
      <x:c r="K429" s="15" t="str">
        <x:v>Integrated Supply Chain &amp; Finance</x:v>
      </x:c>
      <x:c r="L429" s="19" t="n">
        <x:v>0.5</x:v>
      </x:c>
      <x:c r="M429" s="19"/>
      <x:c r="N429" s="15" t="str">
        <x:v>Must Have</x:v>
      </x:c>
      <x:c r="O429" s="15" t="str"/>
      <x:c r="P429" s="15" t="str"/>
      <x:c r="Q429" s="15" t="str">
        <x:v>Reserve funding capacity for unforeseen critical IT initiatives in 2027, subject to defined scope, prioritization, business case, and governance approval.</x:v>
      </x:c>
      <x:c r="R429" s="15" t="str"/>
      <x:c r="S429" s="15" t="str"/>
      <x:c r="T429" s="15" t="str"/>
    </x:row>
    <x:row r="430">
      <x:c r="A430" s="15" t="str">
        <x:v>Bu-250</x:v>
      </x:c>
      <x:c r="B430" s="15" t="str">
        <x:v>Bu-250</x:v>
      </x:c>
      <x:c r="C430" s="15" t="str"/>
      <x:c r="D430" s="15" t="str">
        <x:v>Bu</x:v>
      </x:c>
      <x:c r="E430" s="15" t="n">
        <x:v>558</x:v>
      </x:c>
      <x:c r="F430" s="15" t="str">
        <x:v>BU Led</x:v>
      </x:c>
      <x:c r="G430" s="15" t="str">
        <x:v>Precision Diagnosis - Magnetic Resonance (MR)</x:v>
      </x:c>
      <x:c r="H430" s="15" t="str">
        <x:v>RFID for Outward Shipments</x:v>
      </x:c>
      <x:c r="I430" s="15" t="str">
        <x:v>New Initiative</x:v>
      </x:c>
      <x:c r="J430" s="15" t="str">
        <x:v>Continous Improvement</x:v>
      </x:c>
      <x:c r="K430" s="15" t="str">
        <x:v>Integrated Supply Chain &amp; Finance</x:v>
      </x:c>
      <x:c r="L430" s="19" t="n">
        <x:v>0.25</x:v>
      </x:c>
      <x:c r="M430" s="19"/>
      <x:c r="N430" s="15" t="str">
        <x:v>Must Have</x:v>
      </x:c>
      <x:c r="O430" s="15" t="str"/>
      <x:c r="P430" s="15" t="str"/>
      <x:c r="Q430" s="15" t="str">
        <x:v>To have a real time tracking of the shipments crate/Packaging as its expensive, to also keep a track on the external tempretures,shock and humidity and ensure its safe from thefts</x:v>
      </x:c>
      <x:c r="R430" s="15" t="str"/>
      <x:c r="S430" s="15" t="str"/>
      <x:c r="T430" s="15" t="str"/>
    </x:row>
    <x:row r="431">
      <x:c r="A431" s="15" t="str">
        <x:v>Bu-251</x:v>
      </x:c>
      <x:c r="B431" s="15" t="str">
        <x:v>Bu-251</x:v>
      </x:c>
      <x:c r="C431" s="15" t="str"/>
      <x:c r="D431" s="15" t="str">
        <x:v>Bu</x:v>
      </x:c>
      <x:c r="E431" s="15" t="n">
        <x:v>559</x:v>
      </x:c>
      <x:c r="F431" s="15" t="str">
        <x:v>BU Led</x:v>
      </x:c>
      <x:c r="G431" s="15" t="str">
        <x:v>Precision Diagnosis - Magnetic Resonance (MR)</x:v>
      </x:c>
      <x:c r="H431" s="15" t="str">
        <x:v>Defoa process improvement (400 PD, 200 IGTS)</x:v>
      </x:c>
      <x:c r="I431" s="15" t="str">
        <x:v>New Initiative</x:v>
      </x:c>
      <x:c r="J431" s="15" t="str">
        <x:v>Continous Improvement</x:v>
      </x:c>
      <x:c r="K431" s="15" t="str">
        <x:v>Integrated Supply Chain &amp; Finance</x:v>
      </x:c>
      <x:c r="L431" s="19" t="n">
        <x:v>0.4</x:v>
      </x:c>
      <x:c r="M431" s="19"/>
      <x:c r="N431" s="15" t="str">
        <x:v>Must Do</x:v>
      </x:c>
      <x:c r="O431" s="15" t="str"/>
      <x:c r="P431" s="15" t="str"/>
      <x:c r="Q431" s="15" t="str">
        <x:v>New tool for DI &amp; IGTS, DEFOA tool has not been update for past couple of years, the new tool will address the limitations of the old tool. Addressing the DEFOA is a business priority.</x:v>
      </x:c>
      <x:c r="R431" s="15" t="str"/>
      <x:c r="S431" s="15" t="str"/>
      <x:c r="T431" s="15" t="str"/>
    </x:row>
    <x:row r="432">
      <x:c r="A432" s="15" t="str">
        <x:v>Bu-252</x:v>
      </x:c>
      <x:c r="B432" s="15" t="str">
        <x:v>Bu-252</x:v>
      </x:c>
      <x:c r="C432" s="15" t="str">
        <x:v>1006443</x:v>
      </x:c>
      <x:c r="D432" s="15" t="str">
        <x:v>Bu</x:v>
      </x:c>
      <x:c r="E432" s="15" t="n">
        <x:v>560</x:v>
      </x:c>
      <x:c r="F432" s="15" t="str">
        <x:v>BU Led</x:v>
      </x:c>
      <x:c r="G432" s="15" t="str">
        <x:v>Image Guided Therapy - Devices (IGT-D)</x:v>
      </x:c>
      <x:c r="H432" s="15" t="str">
        <x:v>Conga – Change &amp; Sustain</x:v>
      </x:c>
      <x:c r="I432" s="15" t="str">
        <x:v>Carry Over</x:v>
      </x:c>
      <x:c r="J432" s="15" t="str">
        <x:v>Upgrades &amp; Enhancements</x:v>
      </x:c>
      <x:c r="K432" s="15" t="str">
        <x:v>Commercial IT</x:v>
      </x:c>
      <x:c r="L432" s="19" t="n">
        <x:v>0.32</x:v>
      </x:c>
      <x:c r="M432" s="19" t="n">
        <x:v>117</x:v>
      </x:c>
      <x:c r="N432" s="15" t="str">
        <x:v>Must Do</x:v>
      </x:c>
      <x:c r="O432" s="15" t="str">
        <x:v>Critical to support sales growth targets</x:v>
      </x:c>
      <x:c r="P432" s="15" t="str"/>
      <x:c r="Q432" s="15" t="str">
        <x:v>Conga - changes as prioritized for 2027 - focus on to enablement of agreed Region commercial excellence maturity &amp; expansion (as critical to supporting sales growth)</x:v>
      </x:c>
      <x:c r="R432" s="15" t="str"/>
      <x:c r="S432" s="15" t="str"/>
      <x:c r="T432" s="15" t="str"/>
    </x:row>
    <x:row r="433">
      <x:c r="A433" s="15" t="str">
        <x:v>Bu-253</x:v>
      </x:c>
      <x:c r="B433" s="15" t="str">
        <x:v>Bu-253</x:v>
      </x:c>
      <x:c r="C433" s="15" t="str">
        <x:v>to be checked</x:v>
      </x:c>
      <x:c r="D433" s="15" t="str">
        <x:v>Bu</x:v>
      </x:c>
      <x:c r="E433" s="15" t="n">
        <x:v>561</x:v>
      </x:c>
      <x:c r="F433" s="15" t="str">
        <x:v>BU Led</x:v>
      </x:c>
      <x:c r="G433" s="15" t="str">
        <x:v>Image Guided Therapy - Devices (IGT-D)</x:v>
      </x:c>
      <x:c r="H433" s="15" t="str">
        <x:v>cCRM – Change &amp; Sustain</x:v>
      </x:c>
      <x:c r="I433" s="15" t="str">
        <x:v>Carry Over</x:v>
      </x:c>
      <x:c r="J433" s="15" t="str">
        <x:v>Upgrades &amp; Enhancements</x:v>
      </x:c>
      <x:c r="K433" s="15" t="str">
        <x:v>Commercial IT</x:v>
      </x:c>
      <x:c r="L433" s="19" t="n">
        <x:v>0.12</x:v>
      </x:c>
      <x:c r="M433" s="19" t="n">
        <x:v>117</x:v>
      </x:c>
      <x:c r="N433" s="15" t="str">
        <x:v>Must Do</x:v>
      </x:c>
      <x:c r="O433" s="15" t="str">
        <x:v>Critical to support sales growth targets</x:v>
      </x:c>
      <x:c r="P433" s="15" t="str"/>
      <x:c r="Q433" s="15" t="str">
        <x:v>cCRM - sustain - focus on to enablement of agreed Region commercial excellence maturity (as critical to supporting sales growth)</x:v>
      </x:c>
      <x:c r="R433" s="15" t="str"/>
      <x:c r="S433" s="15" t="str"/>
      <x:c r="T433" s="15" t="str"/>
    </x:row>
    <x:row r="434">
      <x:c r="A434" s="15" t="str">
        <x:v>Bu-254</x:v>
      </x:c>
      <x:c r="B434" s="15" t="str">
        <x:v>Bu-254</x:v>
      </x:c>
      <x:c r="C434" s="15" t="str">
        <x:v>new</x:v>
      </x:c>
      <x:c r="D434" s="15" t="str">
        <x:v>Bu</x:v>
      </x:c>
      <x:c r="E434" s="15" t="n">
        <x:v>562</x:v>
      </x:c>
      <x:c r="F434" s="15" t="str">
        <x:v>BU Led</x:v>
      </x:c>
      <x:c r="G434" s="15" t="str">
        <x:v>Image Guided Therapy - Devices (IGT-D)</x:v>
      </x:c>
      <x:c r="H434" s="15" t="str">
        <x:v>Small Investments 2027</x:v>
      </x:c>
      <x:c r="I434" s="15" t="str">
        <x:v>New initiative</x:v>
      </x:c>
      <x:c r="J434" s="15" t="str">
        <x:v>New Feature</x:v>
      </x:c>
      <x:c r="K434" s="15" t="str">
        <x:v>Commercial IT</x:v>
      </x:c>
      <x:c r="L434" s="19" t="n">
        <x:v>0.15</x:v>
      </x:c>
      <x:c r="M434" s="19" t="n">
        <x:v>117</x:v>
      </x:c>
      <x:c r="N434" s="15" t="str">
        <x:v>Must Do</x:v>
      </x:c>
      <x:c r="O434" s="15" t="str">
        <x:v>Critical to support sales growth targets</x:v>
      </x:c>
      <x:c r="P434" s="15" t="str"/>
      <x:c r="Q434" s="15" t="str"/>
      <x:c r="R434" s="15" t="str"/>
      <x:c r="S434" s="15" t="str"/>
      <x:c r="T434" s="15" t="str"/>
    </x:row>
    <x:row r="435">
      <x:c r="A435" s="15" t="str">
        <x:v>Bu-255</x:v>
      </x:c>
      <x:c r="B435" s="15" t="str">
        <x:v>Bu-255</x:v>
      </x:c>
      <x:c r="C435" s="15" t="str"/>
      <x:c r="D435" s="15" t="str">
        <x:v>Bu</x:v>
      </x:c>
      <x:c r="E435" s="15" t="n">
        <x:v>563</x:v>
      </x:c>
      <x:c r="F435" s="15" t="str">
        <x:v>BU Led</x:v>
      </x:c>
      <x:c r="G435" s="15" t="str"/>
      <x:c r="H435" s="15" t="str"/>
      <x:c r="I435" s="15" t="str"/>
      <x:c r="J435" s="15" t="str"/>
      <x:c r="K435" s="15" t="str"/>
      <x:c r="L435" s="19" t="n">
        <x:v>0</x:v>
      </x:c>
      <x:c r="M435" s="19"/>
      <x:c r="N435" s="15" t="str"/>
      <x:c r="O435" s="15" t="str"/>
      <x:c r="P435" s="15" t="str"/>
      <x:c r="Q435" s="15" t="str"/>
      <x:c r="R435" s="15" t="str"/>
      <x:c r="S435" s="15" t="str"/>
      <x:c r="T435" s="15" t="str"/>
    </x:row>
    <x:row r="436">
      <x:c r="A436" s="15" t="str">
        <x:v>Bu-256</x:v>
      </x:c>
      <x:c r="B436" s="15" t="str">
        <x:v>Bu-256</x:v>
      </x:c>
      <x:c r="C436" s="15" t="str">
        <x:v>1004675</x:v>
      </x:c>
      <x:c r="D436" s="15" t="str">
        <x:v>Bu</x:v>
      </x:c>
      <x:c r="E436" s="15" t="n">
        <x:v>564</x:v>
      </x:c>
      <x:c r="F436" s="15" t="str">
        <x:v>BU Led</x:v>
      </x:c>
      <x:c r="G436" s="15" t="str">
        <x:v>Image Guided Therapy - Devices (IGT-D)</x:v>
      </x:c>
      <x:c r="H436" s="15" t="str">
        <x:v>Horizon (EnLabel)</x:v>
      </x:c>
      <x:c r="I436" s="15" t="str">
        <x:v>Carry Over</x:v>
      </x:c>
      <x:c r="J436" s="15" t="str">
        <x:v>Upgrades &amp; Enhancements</x:v>
      </x:c>
      <x:c r="K436" s="15" t="str">
        <x:v>Integrated Supply Chain &amp; Finance</x:v>
      </x:c>
      <x:c r="L436" s="19" t="n">
        <x:v>0.235</x:v>
      </x:c>
      <x:c r="M436" s="19" t="n">
        <x:v>0.259</x:v>
      </x:c>
      <x:c r="N436" s="15" t="str">
        <x:v>Must Do</x:v>
      </x:c>
      <x:c r="O436" s="15" t="str"/>
      <x:c r="P436" s="15" t="str"/>
      <x:c r="Q436" s="15" t="str">
        <x:v>Single system harmonization (product labeling print systems), Enabling reduction of E2E timelines for mass labeling changes by an estimated 50%. Hypercare for ongoing implementation and next site scaling.</x:v>
      </x:c>
      <x:c r="R436" s="15" t="str"/>
      <x:c r="S436" s="15" t="str">
        <x:v>HEALTHY</x:v>
      </x:c>
      <x:c r="T436" s="15" t="str">
        <x:v>HEALTHY — Rank in priority matrix</x:v>
      </x:c>
    </x:row>
    <x:row r="437">
      <x:c r="A437" s="15" t="str">
        <x:v>Bu-257</x:v>
      </x:c>
      <x:c r="B437" s="15" t="str">
        <x:v>Bu-257</x:v>
      </x:c>
      <x:c r="C437" s="15" t="str">
        <x:v>1006940</x:v>
      </x:c>
      <x:c r="D437" s="15" t="str">
        <x:v>Bu</x:v>
      </x:c>
      <x:c r="E437" s="15" t="n">
        <x:v>565</x:v>
      </x:c>
      <x:c r="F437" s="15" t="str">
        <x:v>BU Led</x:v>
      </x:c>
      <x:c r="G437" s="15" t="str">
        <x:v>Image Guided Therapy - Devices (IGT-D)</x:v>
      </x:c>
      <x:c r="H437" s="15" t="str">
        <x:v>Windchill – Change &amp; Sustain</x:v>
      </x:c>
      <x:c r="I437" s="15" t="str">
        <x:v>Carry Over</x:v>
      </x:c>
      <x:c r="J437" s="15" t="str">
        <x:v>Upgrades &amp; Enhancements</x:v>
      </x:c>
      <x:c r="K437" s="15" t="str">
        <x:v>Innovation and Digital IT</x:v>
      </x:c>
      <x:c r="L437" s="19" t="n">
        <x:v>0.165</x:v>
      </x:c>
      <x:c r="M437" s="19" t="n">
        <x:v>0.317</x:v>
      </x:c>
      <x:c r="N437" s="15" t="str">
        <x:v>Must Do</x:v>
      </x:c>
      <x:c r="O437" s="15" t="str"/>
      <x:c r="P437" s="15" t="str"/>
      <x:c r="Q437" s="15" t="str">
        <x:v>Continued Windchill improvements will drive data quality improvement, first time right improvements and operational efficiency/time savings, and enable better decision-making while resolving existing system issues.</x:v>
      </x:c>
      <x:c r="R437" s="15" t="str"/>
      <x:c r="S437" s="15" t="str"/>
      <x:c r="T437" s="15" t="str"/>
    </x:row>
    <x:row r="438">
      <x:c r="A438" s="15" t="str">
        <x:v>Bu-258</x:v>
      </x:c>
      <x:c r="B438" s="15" t="str">
        <x:v>Bu-258</x:v>
      </x:c>
      <x:c r="C438" s="15" t="str"/>
      <x:c r="D438" s="15" t="str">
        <x:v>Bu</x:v>
      </x:c>
      <x:c r="E438" s="15" t="n">
        <x:v>566</x:v>
      </x:c>
      <x:c r="F438" s="15" t="str">
        <x:v>BU Led</x:v>
      </x:c>
      <x:c r="G438" s="15" t="str"/>
      <x:c r="H438" s="15" t="str"/>
      <x:c r="I438" s="15" t="str"/>
      <x:c r="J438" s="15" t="str"/>
      <x:c r="K438" s="15" t="str"/>
      <x:c r="L438" s="19" t="n">
        <x:v>0</x:v>
      </x:c>
      <x:c r="M438" s="19"/>
      <x:c r="N438" s="15" t="str"/>
      <x:c r="O438" s="15" t="str"/>
      <x:c r="P438" s="15" t="str"/>
      <x:c r="Q438" s="15" t="str"/>
      <x:c r="R438" s="15" t="str"/>
      <x:c r="S438" s="15" t="str"/>
      <x:c r="T438" s="15" t="str"/>
    </x:row>
    <x:row r="439">
      <x:c r="A439" s="15" t="str">
        <x:v>Bu-259</x:v>
      </x:c>
      <x:c r="B439" s="15" t="str">
        <x:v>Bu-259</x:v>
      </x:c>
      <x:c r="C439" s="15" t="str">
        <x:v>new</x:v>
      </x:c>
      <x:c r="D439" s="15" t="str">
        <x:v>Bu</x:v>
      </x:c>
      <x:c r="E439" s="15" t="n">
        <x:v>567</x:v>
      </x:c>
      <x:c r="F439" s="15" t="str">
        <x:v>BU Led</x:v>
      </x:c>
      <x:c r="G439" s="15" t="str">
        <x:v>Image Guided Therapy - Devices (IGT-D)</x:v>
      </x:c>
      <x:c r="H439" s="15" t="str">
        <x:v>12NC Configuration Management Project</x:v>
      </x:c>
      <x:c r="I439" s="15" t="str">
        <x:v>New Initiative</x:v>
      </x:c>
      <x:c r="J439" s="15" t="str">
        <x:v>New Feature</x:v>
      </x:c>
      <x:c r="K439" s="15" t="str">
        <x:v>Integrated Supply Chain &amp; Finance</x:v>
      </x:c>
      <x:c r="L439" s="19" t="n">
        <x:v>0.5</x:v>
      </x:c>
      <x:c r="M439" s="19" t="n">
        <x:v>0.004</x:v>
      </x:c>
      <x:c r="N439" s="15" t="str">
        <x:v>Must Do</x:v>
      </x:c>
      <x:c r="O439" s="15" t="str"/>
      <x:c r="P439" s="15" t="str">
        <x:v>IGTD’s current supply chain locks products into market-specific configurations too early, creating SKU proliferation, fragmented inventory, planning complexity, and reduced flexibility to respond to demand.</x:v>
      </x:c>
      <x:c r="Q439" s="15" t="str">
        <x:v>Change 12NC configuration management approach (enabling planning simplification and scrap cost reduction)</x:v>
      </x:c>
      <x:c r="R439" s="15" t="str"/>
      <x:c r="S439" s="15" t="str"/>
      <x:c r="T439" s="15" t="str"/>
    </x:row>
    <x:row r="440">
      <x:c r="A440" s="15" t="str">
        <x:v>Bu-260</x:v>
      </x:c>
      <x:c r="B440" s="15" t="str">
        <x:v>Bu-260</x:v>
      </x:c>
      <x:c r="C440" s="15" t="str">
        <x:v>new</x:v>
      </x:c>
      <x:c r="D440" s="15" t="str">
        <x:v>Bu</x:v>
      </x:c>
      <x:c r="E440" s="15" t="n">
        <x:v>568</x:v>
      </x:c>
      <x:c r="F440" s="15" t="str">
        <x:v>BU Led</x:v>
      </x:c>
      <x:c r="G440" s="15" t="str">
        <x:v>Image Guided Therapy - Devices (IGT-D)</x:v>
      </x:c>
      <x:c r="H440" s="15" t="str">
        <x:v>Advanced Planning Solution</x:v>
      </x:c>
      <x:c r="I440" s="15" t="str">
        <x:v>New Initiative</x:v>
      </x:c>
      <x:c r="J440" s="15" t="str">
        <x:v>New Technology</x:v>
      </x:c>
      <x:c r="K440" s="15" t="str">
        <x:v>Integrated Supply Chain &amp; Finance</x:v>
      </x:c>
      <x:c r="L440" s="19" t="n">
        <x:v>1.8</x:v>
      </x:c>
      <x:c r="M440" s="19" t="n">
        <x:v>0.01112</x:v>
      </x:c>
      <x:c r="N440" s="15" t="str">
        <x:v>Must Do</x:v>
      </x:c>
      <x:c r="O440" s="15" t="str"/>
      <x:c r="P440" s="15" t="str">
        <x:v>IGTD’s current Excel-based planning processes are fragmented, manual, and resource-intensive, limiting scenario planning, cross-functional integration, and timely decision-making needed to optimize supply chain performance.</x:v>
      </x:c>
      <x:c r="Q440" s="15" t="str">
        <x:v>Connect demand, supply, inventory, scheduling and capacity planning in one platform, enabling faster decisions, improved resilience, optimized inventory, and stronger service performance. (avoid revenue loss / support growth)</x:v>
      </x:c>
      <x:c r="R440" s="15" t="str"/>
      <x:c r="S440" s="15" t="str"/>
      <x:c r="T440" s="15" t="str"/>
    </x:row>
    <x:row r="441">
      <x:c r="A441" s="15" t="str">
        <x:v>Bu-261</x:v>
      </x:c>
      <x:c r="B441" s="15" t="str">
        <x:v>Bu-261</x:v>
      </x:c>
      <x:c r="C441" s="15" t="str">
        <x:v>new</x:v>
      </x:c>
      <x:c r="D441" s="15" t="str">
        <x:v>Bu</x:v>
      </x:c>
      <x:c r="E441" s="15" t="n">
        <x:v>569</x:v>
      </x:c>
      <x:c r="F441" s="15" t="str">
        <x:v>BU Led</x:v>
      </x:c>
      <x:c r="G441" s="15" t="str">
        <x:v>Image Guided Therapy - Devices (IGT-D)</x:v>
      </x:c>
      <x:c r="H441" s="15" t="str">
        <x:v>WMS for (Factory) Warehouses</x:v>
      </x:c>
      <x:c r="I441" s="15" t="str">
        <x:v>New Initiative</x:v>
      </x:c>
      <x:c r="J441" s="15" t="str">
        <x:v>New Technology</x:v>
      </x:c>
      <x:c r="K441" s="15" t="str">
        <x:v>Integrated Supply Chain &amp; Finance</x:v>
      </x:c>
      <x:c r="L441" s="19" t="n">
        <x:v>0.8</x:v>
      </x:c>
      <x:c r="M441" s="19" t="n">
        <x:v>0.0022</x:v>
      </x:c>
      <x:c r="N441" s="15" t="str">
        <x:v>Must Do</x:v>
      </x:c>
      <x:c r="O441" s="15" t="str"/>
      <x:c r="P441" s="15" t="str">
        <x:v>A modern WMS unlocks real-time inventory visibility, stronger traceability, optimized material flow, greater automation, and scalable warehouse capabilities to support IGTD’s future factory and digital supply chain strategy.</x:v>
      </x:c>
      <x:c r="Q441" s="15" t="str">
        <x:v>Supporting improved efficiency, raw materials availability, scrap avoidance</x:v>
      </x:c>
      <x:c r="R441" s="15" t="str"/>
      <x:c r="S441" s="15" t="str"/>
      <x:c r="T441" s="15" t="str"/>
    </x:row>
    <x:row r="442">
      <x:c r="A442" s="15" t="str">
        <x:v>Bu-262</x:v>
      </x:c>
      <x:c r="B442" s="15" t="str">
        <x:v>Bu-262</x:v>
      </x:c>
      <x:c r="C442" s="15" t="str">
        <x:v>new</x:v>
      </x:c>
      <x:c r="D442" s="15" t="str">
        <x:v>Bu</x:v>
      </x:c>
      <x:c r="E442" s="15" t="n">
        <x:v>570</x:v>
      </x:c>
      <x:c r="F442" s="15" t="str">
        <x:v>BU Led</x:v>
      </x:c>
      <x:c r="G442" s="15" t="str">
        <x:v>Image Guided Therapy - Devices (IGT-D)</x:v>
      </x:c>
      <x:c r="H442" s="15" t="str">
        <x:v>Optimize Distribution Network North America</x:v>
      </x:c>
      <x:c r="I442" s="15" t="str">
        <x:v>New Initiative</x:v>
      </x:c>
      <x:c r="J442" s="15" t="str">
        <x:v>Continuous Improvement</x:v>
      </x:c>
      <x:c r="K442" s="15" t="str">
        <x:v>Integrated Supply Chain &amp; Finance</x:v>
      </x:c>
      <x:c r="L442" s="19" t="n">
        <x:v>0.6</x:v>
      </x:c>
      <x:c r="M442" s="19"/>
      <x:c r="N442" s="15" t="str">
        <x:v>Must Do</x:v>
      </x:c>
      <x:c r="O442" s="15" t="str"/>
      <x:c r="P442" s="15" t="str">
        <x:v>There are opportunities to streamline distribution in North America</x:v>
      </x:c>
      <x:c r="Q442" s="15" t="str">
        <x:v>Distribution network optimization driving cost reduction</x:v>
      </x:c>
      <x:c r="R442" s="15" t="str"/>
      <x:c r="S442" s="15" t="str"/>
      <x:c r="T442" s="15" t="str"/>
    </x:row>
    <x:row r="443">
      <x:c r="A443" s="15" t="str">
        <x:v>Bu-263</x:v>
      </x:c>
      <x:c r="B443" s="15" t="str">
        <x:v>Bu-263</x:v>
      </x:c>
      <x:c r="C443" s="15" t="str">
        <x:v>new</x:v>
      </x:c>
      <x:c r="D443" s="15" t="str">
        <x:v>Bu</x:v>
      </x:c>
      <x:c r="E443" s="15" t="n">
        <x:v>571</x:v>
      </x:c>
      <x:c r="F443" s="15" t="str">
        <x:v>BU Led</x:v>
      </x:c>
      <x:c r="G443" s="15" t="str">
        <x:v>Image Guided Therapy - Devices (IGT-D)</x:v>
      </x:c>
      <x:c r="H443" s="15" t="str">
        <x:v>Converting incoming inspection from Infinity to SAP/MBP in COS</x:v>
      </x:c>
      <x:c r="I443" s="15" t="str">
        <x:v>New Initiative</x:v>
      </x:c>
      <x:c r="J443" s="15" t="str">
        <x:v>Decomm/Replatforming</x:v>
      </x:c>
      <x:c r="K443" s="15" t="str">
        <x:v>Integrated Supply Chain &amp; Finance</x:v>
      </x:c>
      <x:c r="L443" s="19" t="n">
        <x:v>0.165</x:v>
      </x:c>
      <x:c r="M443" s="19"/>
      <x:c r="N443" s="15" t="str">
        <x:v>Must Do</x:v>
      </x:c>
      <x:c r="O443" s="15" t="str"/>
      <x:c r="P443" s="15" t="str"/>
      <x:c r="Q443" s="15" t="str">
        <x:v>Phase out Infinity for incoming inspection activities and transition to SAP MBP</x:v>
      </x:c>
      <x:c r="R443" s="15" t="str"/>
      <x:c r="S443" s="15" t="str"/>
      <x:c r="T443" s="15" t="str"/>
    </x:row>
    <x:row r="444">
      <x:c r="A444" s="15" t="str">
        <x:v>Bu-264</x:v>
      </x:c>
      <x:c r="B444" s="15" t="str">
        <x:v>Bu-264</x:v>
      </x:c>
      <x:c r="C444" s="15" t="str">
        <x:v>1004713</x:v>
      </x:c>
      <x:c r="D444" s="15" t="str">
        <x:v>Bu</x:v>
      </x:c>
      <x:c r="E444" s="15" t="n">
        <x:v>572</x:v>
      </x:c>
      <x:c r="F444" s="15" t="str">
        <x:v>BU Led</x:v>
      </x:c>
      <x:c r="G444" s="15" t="str">
        <x:v>Image Guided Therapy - Devices (IGT-D)</x:v>
      </x:c>
      <x:c r="H444" s="15" t="str">
        <x:v>Rotterdam - Codebeamer</x:v>
      </x:c>
      <x:c r="I444" s="15" t="str">
        <x:v>Carry Over</x:v>
      </x:c>
      <x:c r="J444" s="15" t="str">
        <x:v>New Technology</x:v>
      </x:c>
      <x:c r="K444" s="15" t="str">
        <x:v>Innovation and Digital IT</x:v>
      </x:c>
      <x:c r="L444" s="19" t="n">
        <x:v>2.64</x:v>
      </x:c>
      <x:c r="M444" s="19"/>
      <x:c r="N444" s="15" t="str">
        <x:v>Must Do</x:v>
      </x:c>
      <x:c r="O444" s="15" t="str">
        <x:v>Will not get out of document-based activities, which will delay our transition to data-driven (Digital Thread) towards E2E and automated Digitalization of Innovation. Delays in R&amp;D and impact on compliance and audit readiness.</x:v>
      </x:c>
      <x:c r="P444" s="15" t="str">
        <x:v>Currently document based content is managed in various legacy tools (of which, most with no vendor support and potential security concerns) with significant manual effort.</x:v>
      </x:c>
      <x:c r="Q444" s="15" t="str">
        <x:v>Codebeamer ALM application lifecycle management (ALM) solution 2027: new feature development, first year or additional licenses, and implementation aligned to BU handshake priorities and funding agreed</x:v>
      </x:c>
      <x:c r="R444" s="15" t="str"/>
      <x:c r="S444" s="15" t="str"/>
      <x:c r="T444" s="15" t="str"/>
    </x:row>
    <x:row r="445">
      <x:c r="A445" s="15" t="str">
        <x:v>Bu-266</x:v>
      </x:c>
      <x:c r="B445" s="15" t="str">
        <x:v>Bu-266</x:v>
      </x:c>
      <x:c r="C445" s="15" t="str"/>
      <x:c r="D445" s="15" t="str">
        <x:v>Bu</x:v>
      </x:c>
      <x:c r="E445" s="15" t="n">
        <x:v>574</x:v>
      </x:c>
      <x:c r="F445" s="15" t="str">
        <x:v>BU Led</x:v>
      </x:c>
      <x:c r="G445" s="15" t="str"/>
      <x:c r="H445" s="15" t="str"/>
      <x:c r="I445" s="15" t="str"/>
      <x:c r="J445" s="15" t="str"/>
      <x:c r="K445" s="15" t="str"/>
      <x:c r="L445" s="19" t="n">
        <x:v>0</x:v>
      </x:c>
      <x:c r="M445" s="19"/>
      <x:c r="N445" s="15" t="str"/>
      <x:c r="O445" s="15" t="str"/>
      <x:c r="P445" s="15" t="str"/>
      <x:c r="Q445" s="15" t="str"/>
      <x:c r="R445" s="15" t="str"/>
      <x:c r="S445" s="15" t="str"/>
      <x:c r="T445" s="15" t="str"/>
    </x:row>
    <x:row r="446">
      <x:c r="A446" s="15" t="str">
        <x:v>Bu-267</x:v>
      </x:c>
      <x:c r="B446" s="15" t="str">
        <x:v>Bu-267</x:v>
      </x:c>
      <x:c r="C446" s="15" t="str"/>
      <x:c r="D446" s="15" t="str">
        <x:v>Bu</x:v>
      </x:c>
      <x:c r="E446" s="15" t="n">
        <x:v>575</x:v>
      </x:c>
      <x:c r="F446" s="15" t="str">
        <x:v>BU Led</x:v>
      </x:c>
      <x:c r="G446" s="15" t="str">
        <x:v>Monitoring - HPM (MCH)</x:v>
      </x:c>
      <x:c r="H446" s="15" t="str">
        <x:v>HPM Impact Dashboard &amp; AI</x:v>
      </x:c>
      <x:c r="I446" s="15" t="str">
        <x:v>New Initiative</x:v>
      </x:c>
      <x:c r="J446" s="15" t="str">
        <x:v>New Feature</x:v>
      </x:c>
      <x:c r="K446" s="15" t="str">
        <x:v>Enterprise Architecture, Data &amp; Integration</x:v>
      </x:c>
      <x:c r="L446" s="19" t="n">
        <x:v>0.1</x:v>
      </x:c>
      <x:c r="M446" s="19"/>
      <x:c r="N446" s="15" t="str">
        <x:v>Must Have</x:v>
      </x:c>
      <x:c r="O446" s="15" t="str"/>
      <x:c r="P446" s="15" t="str"/>
      <x:c r="Q446" s="15" t="str"/>
      <x:c r="R446" s="15" t="str"/>
      <x:c r="S446" s="15" t="str"/>
      <x:c r="T446" s="15" t="str"/>
    </x:row>
    <x:row r="447">
      <x:c r="A447" s="15" t="str">
        <x:v>Bu-268</x:v>
      </x:c>
      <x:c r="B447" s="15" t="str">
        <x:v>Bu-268</x:v>
      </x:c>
      <x:c r="C447" s="15" t="str"/>
      <x:c r="D447" s="15" t="str">
        <x:v>Bu</x:v>
      </x:c>
      <x:c r="E447" s="15" t="n">
        <x:v>576</x:v>
      </x:c>
      <x:c r="F447" s="15" t="str">
        <x:v>BU Led</x:v>
      </x:c>
      <x:c r="G447" s="15" t="str"/>
      <x:c r="H447" s="15" t="str"/>
      <x:c r="I447" s="15" t="str"/>
      <x:c r="J447" s="15" t="str"/>
      <x:c r="K447" s="15" t="str"/>
      <x:c r="L447" s="19" t="n">
        <x:v>0</x:v>
      </x:c>
      <x:c r="M447" s="19"/>
      <x:c r="N447" s="15" t="str"/>
      <x:c r="O447" s="15" t="str"/>
      <x:c r="P447" s="15" t="str"/>
      <x:c r="Q447" s="15" t="str"/>
      <x:c r="R447" s="15" t="str"/>
      <x:c r="S447" s="15" t="str"/>
      <x:c r="T447" s="15" t="str"/>
    </x:row>
    <x:row r="448">
      <x:c r="A448" s="15" t="str">
        <x:v>Bu-269</x:v>
      </x:c>
      <x:c r="B448" s="15" t="str">
        <x:v>Bu-269</x:v>
      </x:c>
      <x:c r="C448" s="15" t="str"/>
      <x:c r="D448" s="15" t="str">
        <x:v>Bu</x:v>
      </x:c>
      <x:c r="E448" s="15" t="n">
        <x:v>577</x:v>
      </x:c>
      <x:c r="F448" s="15" t="str">
        <x:v>BU Led</x:v>
      </x:c>
      <x:c r="G448" s="15" t="str">
        <x:v>CoE Marketing – HS (former DMEC)</x:v>
      </x:c>
      <x:c r="H448" s="15" t="str">
        <x:v>CEC Nexus maintence</x:v>
      </x:c>
      <x:c r="I448" s="15" t="str">
        <x:v>Carry Over</x:v>
      </x:c>
      <x:c r="J448" s="15" t="str">
        <x:v>Upgrades &amp; Enhancements</x:v>
      </x:c>
      <x:c r="K448" s="15" t="str">
        <x:v>Innovation and Digital IT</x:v>
      </x:c>
      <x:c r="L448" s="19" t="n">
        <x:v>0.02</x:v>
      </x:c>
      <x:c r="M448" s="19"/>
      <x:c r="N448" s="15" t="str">
        <x:v>Must Do</x:v>
      </x:c>
      <x:c r="O448" s="15" t="str"/>
      <x:c r="P448" s="15" t="str"/>
      <x:c r="Q448" s="15" t="str">
        <x:v>No</x:v>
      </x:c>
      <x:c r="R448" s="15" t="str"/>
      <x:c r="S448" s="15" t="str"/>
      <x:c r="T448" s="15" t="str"/>
    </x:row>
    <x:row r="449">
      <x:c r="A449" s="15" t="str">
        <x:v>Bu-270</x:v>
      </x:c>
      <x:c r="B449" s="15" t="str">
        <x:v>Bu-270</x:v>
      </x:c>
      <x:c r="C449" s="15" t="str"/>
      <x:c r="D449" s="15" t="str">
        <x:v>Bu</x:v>
      </x:c>
      <x:c r="E449" s="15" t="n">
        <x:v>578</x:v>
      </x:c>
      <x:c r="F449" s="15" t="str">
        <x:v>BU Led</x:v>
      </x:c>
      <x:c r="G449" s="15" t="str"/>
      <x:c r="H449" s="15" t="str"/>
      <x:c r="I449" s="15" t="str">
        <x:v>New Initiative</x:v>
      </x:c>
      <x:c r="J449" s="15" t="str"/>
      <x:c r="K449" s="15" t="str"/>
      <x:c r="L449" s="19" t="n">
        <x:v>0</x:v>
      </x:c>
      <x:c r="M449" s="19"/>
      <x:c r="N449" s="15" t="str"/>
      <x:c r="O449" s="15" t="str"/>
      <x:c r="P449" s="15" t="str"/>
      <x:c r="Q449" s="15" t="str">
        <x:v>No</x:v>
      </x:c>
      <x:c r="R449" s="15" t="str"/>
      <x:c r="S449" s="15" t="str"/>
      <x:c r="T449" s="15" t="str"/>
    </x:row>
    <x:row r="450">
      <x:c r="A450" s="15" t="str">
        <x:v>Bu-271</x:v>
      </x:c>
      <x:c r="B450" s="15" t="str">
        <x:v>Bu-271</x:v>
      </x:c>
      <x:c r="C450" s="15" t="str">
        <x:v>NEW</x:v>
      </x:c>
      <x:c r="D450" s="15" t="str">
        <x:v>Bu</x:v>
      </x:c>
      <x:c r="E450" s="15" t="n">
        <x:v>579</x:v>
      </x:c>
      <x:c r="F450" s="15" t="str">
        <x:v>BU Led</x:v>
      </x:c>
      <x:c r="G450" s="15" t="str">
        <x:v>CoE Marketing – HS (former DMEC)</x:v>
      </x:c>
      <x:c r="H450" s="15" t="str">
        <x:v>CDP connectors</x:v>
      </x:c>
      <x:c r="I450" s="15" t="str">
        <x:v>New Initiative</x:v>
      </x:c>
      <x:c r="J450" s="15" t="str">
        <x:v>New Feature</x:v>
      </x:c>
      <x:c r="K450" s="15" t="str">
        <x:v>Innovation and Digital IT</x:v>
      </x:c>
      <x:c r="L450" s="19" t="n">
        <x:v>0.05</x:v>
      </x:c>
      <x:c r="M450" s="19"/>
      <x:c r="N450" s="15" t="str">
        <x:v>Must Do</x:v>
      </x:c>
      <x:c r="O450" s="15" t="str"/>
      <x:c r="P450" s="15" t="str"/>
      <x:c r="Q450" s="15" t="str"/>
      <x:c r="R450" s="15" t="str"/>
      <x:c r="S450" s="15" t="str"/>
      <x:c r="T450" s="15" t="str"/>
    </x:row>
    <x:row r="451">
      <x:c r="A451" s="15" t="str">
        <x:v>Bu-272</x:v>
      </x:c>
      <x:c r="B451" s="15" t="str">
        <x:v>Bu-272</x:v>
      </x:c>
      <x:c r="C451" s="15" t="str">
        <x:v>NEW</x:v>
      </x:c>
      <x:c r="D451" s="15" t="str">
        <x:v>Bu</x:v>
      </x:c>
      <x:c r="E451" s="15" t="n">
        <x:v>580</x:v>
      </x:c>
      <x:c r="F451" s="15" t="str">
        <x:v>BU Led</x:v>
      </x:c>
      <x:c r="G451" s="15" t="str">
        <x:v>CoE Marketing – HS (former DMEC)</x:v>
      </x:c>
      <x:c r="H451" s="15" t="str">
        <x:v>Pricing System new</x:v>
      </x:c>
      <x:c r="I451" s="15" t="str">
        <x:v>New Initiative</x:v>
      </x:c>
      <x:c r="J451" s="15" t="str">
        <x:v>New Feature</x:v>
      </x:c>
      <x:c r="K451" s="15" t="str">
        <x:v>Innovation and Digital IT</x:v>
      </x:c>
      <x:c r="L451" s="19" t="n">
        <x:v>0.2</x:v>
      </x:c>
      <x:c r="M451" s="19"/>
      <x:c r="N451" s="15" t="str">
        <x:v>Must Have</x:v>
      </x:c>
      <x:c r="O451" s="15" t="str"/>
      <x:c r="P451" s="15" t="str"/>
      <x:c r="Q451" s="15" t="str">
        <x:v>Yes</x:v>
      </x:c>
      <x:c r="R451" s="15" t="str"/>
      <x:c r="S451" s="15" t="str"/>
      <x:c r="T451" s="15" t="str"/>
    </x:row>
    <x:row r="452">
      <x:c r="A452" s="15" t="str">
        <x:v>Bu-273</x:v>
      </x:c>
      <x:c r="B452" s="15" t="str">
        <x:v>Bu-273</x:v>
      </x:c>
      <x:c r="C452" s="15" t="str">
        <x:v>NEW</x:v>
      </x:c>
      <x:c r="D452" s="15" t="str">
        <x:v>Bu</x:v>
      </x:c>
      <x:c r="E452" s="15" t="n">
        <x:v>581</x:v>
      </x:c>
      <x:c r="F452" s="15" t="str">
        <x:v>BU Led</x:v>
      </x:c>
      <x:c r="G452" s="15" t="str">
        <x:v>CoE Marketing – HS (former DMEC)</x:v>
      </x:c>
      <x:c r="H452" s="15" t="str">
        <x:v>Pricing maintence</x:v>
      </x:c>
      <x:c r="I452" s="15" t="str">
        <x:v>New Initiative</x:v>
      </x:c>
      <x:c r="J452" s="15" t="str">
        <x:v>Continous Improvement</x:v>
      </x:c>
      <x:c r="K452" s="15" t="str">
        <x:v>Innovation and Digital IT</x:v>
      </x:c>
      <x:c r="L452" s="19" t="n">
        <x:v>0.1</x:v>
      </x:c>
      <x:c r="M452" s="19"/>
      <x:c r="N452" s="15" t="str">
        <x:v>Must Do</x:v>
      </x:c>
      <x:c r="O452" s="15" t="str"/>
      <x:c r="P452" s="15" t="str"/>
      <x:c r="Q452" s="15" t="str"/>
      <x:c r="R452" s="15" t="str"/>
      <x:c r="S452" s="15" t="str"/>
      <x:c r="T452" s="15" t="str"/>
    </x:row>
    <x:row r="453">
      <x:c r="A453" s="15" t="str">
        <x:v>Bu-274</x:v>
      </x:c>
      <x:c r="B453" s="15" t="str">
        <x:v>Bu-274</x:v>
      </x:c>
      <x:c r="C453" s="15" t="str"/>
      <x:c r="D453" s="15" t="str">
        <x:v>Bu</x:v>
      </x:c>
      <x:c r="E453" s="15" t="n">
        <x:v>582</x:v>
      </x:c>
      <x:c r="F453" s="15" t="str">
        <x:v>BU Led</x:v>
      </x:c>
      <x:c r="G453" s="15" t="str">
        <x:v>CoE Marketing – HS (former DMEC)</x:v>
      </x:c>
      <x:c r="H453" s="15" t="str">
        <x:v>PAL/PPL enhancements</x:v>
      </x:c>
      <x:c r="I453" s="15" t="str">
        <x:v>Carry Over</x:v>
      </x:c>
      <x:c r="J453" s="15" t="str">
        <x:v>Continous Improvement</x:v>
      </x:c>
      <x:c r="K453" s="15" t="str">
        <x:v>Innovation and Digital IT</x:v>
      </x:c>
      <x:c r="L453" s="19" t="n">
        <x:v>0.3</x:v>
      </x:c>
      <x:c r="M453" s="19"/>
      <x:c r="N453" s="15" t="str">
        <x:v>Must Do</x:v>
      </x:c>
      <x:c r="O453" s="15" t="str">
        <x:v>Improve usability and speed to market for content - cost of inaction is increased timelines and regulatory risk</x:v>
      </x:c>
      <x:c r="P453" s="15" t="str">
        <x:v>Legacy systems require updated governance and maintenance, including front-end fixes for improved usability,and content discoverability and metadata to ensure compliance and proper use of content digitally</x:v>
      </x:c>
      <x:c r="Q453" s="15" t="str">
        <x:v>Development and configuration of existing tools, including the use of available AI and automation to drive usability</x:v>
      </x:c>
      <x:c r="R453" s="15" t="str"/>
      <x:c r="S453" s="15" t="str"/>
      <x:c r="T453" s="15" t="str"/>
    </x:row>
    <x:row r="454">
      <x:c r="A454" s="15" t="str">
        <x:v>Bu-275</x:v>
      </x:c>
      <x:c r="B454" s="15" t="str">
        <x:v>Bu-275</x:v>
      </x:c>
      <x:c r="C454" s="15" t="str"/>
      <x:c r="D454" s="15" t="str">
        <x:v>Bu</x:v>
      </x:c>
      <x:c r="E454" s="15" t="n">
        <x:v>583</x:v>
      </x:c>
      <x:c r="F454" s="15" t="str">
        <x:v>BU Led</x:v>
      </x:c>
      <x:c r="G454" s="15" t="str">
        <x:v>CoE Marketing – HS (former DMEC)</x:v>
      </x:c>
      <x:c r="H454" s="15" t="str">
        <x:v>Web - Contentful features backlog (GEO, Compliance, Fixes, etc.)</x:v>
      </x:c>
      <x:c r="I454" s="15" t="str">
        <x:v>Carry Over</x:v>
      </x:c>
      <x:c r="J454" s="15" t="str">
        <x:v>Continous Improvement</x:v>
      </x:c>
      <x:c r="K454" s="15" t="str">
        <x:v>Innovation and Digital IT</x:v>
      </x:c>
      <x:c r="L454" s="19" t="n">
        <x:v>0.57</x:v>
      </x:c>
      <x:c r="M454" s="19"/>
      <x:c r="N454" s="15" t="str">
        <x:v>Must Do</x:v>
      </x:c>
      <x:c r="O454" s="15" t="str">
        <x:v>Improve on-site conversion rates and marketing impact on sales - inaction result in decreased customer satisfaction</x:v>
      </x:c>
      <x:c r="P454" s="15" t="str">
        <x:v>Website is successfully migrating to Contentful in 2026, but there are required compliance (accessability) enhancements along with a BU requested feature enhancement backlog that has been prioritized and must be addressed</x:v>
      </x:c>
      <x:c r="Q454" s="15" t="str">
        <x:v>Development of front and back end feature requsts including GEO enhancements, accessbility issues, page load speed, and user experience improvements</x:v>
      </x:c>
      <x:c r="R454" s="15" t="str"/>
      <x:c r="S454" s="15" t="str"/>
      <x:c r="T454" s="15" t="str"/>
    </x:row>
    <x:row r="455">
      <x:c r="A455" s="15" t="str">
        <x:v>Bu-276</x:v>
      </x:c>
      <x:c r="B455" s="15" t="str">
        <x:v>Bu-276</x:v>
      </x:c>
      <x:c r="C455" s="15" t="str">
        <x:v>NEW</x:v>
      </x:c>
      <x:c r="D455" s="15" t="str">
        <x:v>Bu</x:v>
      </x:c>
      <x:c r="E455" s="15" t="n">
        <x:v>584</x:v>
      </x:c>
      <x:c r="F455" s="15" t="str">
        <x:v>BU Led</x:v>
      </x:c>
      <x:c r="G455" s="15" t="str">
        <x:v>CoE Marketing – HS (former DMEC)</x:v>
      </x:c>
      <x:c r="H455" s="15" t="str">
        <x:v>Web - Personalization &amp; orchestration to leverage CDP</x:v>
      </x:c>
      <x:c r="I455" s="15" t="str">
        <x:v>New Initiative</x:v>
      </x:c>
      <x:c r="J455" s="15" t="str">
        <x:v>New Feature</x:v>
      </x:c>
      <x:c r="K455" s="15" t="str">
        <x:v>Innovation and Digital IT</x:v>
      </x:c>
      <x:c r="L455" s="19" t="n">
        <x:v>0.25</x:v>
      </x:c>
      <x:c r="M455" s="19"/>
      <x:c r="N455" s="15" t="str">
        <x:v>Deprioritised</x:v>
      </x:c>
      <x:c r="O455" s="15" t="str">
        <x:v>Improved on-site experience and increase in MQLs and opp value - slow decline in web metrics without improvement</x:v>
      </x:c>
      <x:c r="P455" s="15" t="str">
        <x:v>There are modern features available within the Contentful platform that sync with our upcoming CDP that should be activated to provide a bette user experience and deliver stronger web performance</x:v>
      </x:c>
      <x:c r="Q455" s="15" t="str">
        <x:v>Configuration of front-end to support personalized/templatized experiences based upon a needed integration with CDP</x:v>
      </x:c>
      <x:c r="R455" s="15" t="str"/>
      <x:c r="S455" s="15" t="str"/>
      <x:c r="T455" s="15" t="str"/>
    </x:row>
    <x:row r="456">
      <x:c r="A456" s="15" t="str">
        <x:v>Bu-278</x:v>
      </x:c>
      <x:c r="B456" s="15" t="str">
        <x:v>Bu-278</x:v>
      </x:c>
      <x:c r="C456" s="15" t="str"/>
      <x:c r="D456" s="15" t="str">
        <x:v>Bu</x:v>
      </x:c>
      <x:c r="E456" s="15" t="n">
        <x:v>585</x:v>
      </x:c>
      <x:c r="F456" s="15" t="str">
        <x:v>BU Led</x:v>
      </x:c>
      <x:c r="G456" s="15" t="str"/>
      <x:c r="H456" s="15" t="str"/>
      <x:c r="I456" s="15" t="str"/>
      <x:c r="J456" s="15" t="str"/>
      <x:c r="K456" s="15" t="str"/>
      <x:c r="L456" s="19" t="n">
        <x:v>0</x:v>
      </x:c>
      <x:c r="M456" s="19"/>
      <x:c r="N456" s="15" t="str"/>
      <x:c r="O456" s="15" t="str"/>
      <x:c r="P456" s="15" t="str"/>
      <x:c r="Q456" s="15" t="str"/>
      <x:c r="R456" s="15" t="str"/>
      <x:c r="S456" s="15" t="str"/>
      <x:c r="T456" s="15" t="str"/>
    </x:row>
    <x:row r="457">
      <x:c r="A457" s="15" t="str">
        <x:v>Bu-280</x:v>
      </x:c>
      <x:c r="B457" s="15" t="str">
        <x:v>Bu-280</x:v>
      </x:c>
      <x:c r="C457" s="15" t="str">
        <x:v>NEW</x:v>
      </x:c>
      <x:c r="D457" s="15" t="str">
        <x:v>Bu</x:v>
      </x:c>
      <x:c r="E457" s="15" t="n">
        <x:v>586</x:v>
      </x:c>
      <x:c r="F457" s="15" t="str">
        <x:v>BU Led</x:v>
      </x:c>
      <x:c r="G457" s="15" t="str">
        <x:v>CoE Marketing – HS (former DMEC)</x:v>
      </x:c>
      <x:c r="H457" s="15" t="str">
        <x:v>Nurture &amp; Campaign Enhancements (AI data enrichment, API connectors, customer match)</x:v>
      </x:c>
      <x:c r="I457" s="15" t="str">
        <x:v>New Initiative</x:v>
      </x:c>
      <x:c r="J457" s="15" t="str">
        <x:v>Continous Improvement</x:v>
      </x:c>
      <x:c r="K457" s="15" t="str">
        <x:v>Innovation and Digital IT</x:v>
      </x:c>
      <x:c r="L457" s="19" t="n">
        <x:v>0.183</x:v>
      </x:c>
      <x:c r="M457" s="19"/>
      <x:c r="N457" s="15" t="str">
        <x:v>Must Do</x:v>
      </x:c>
      <x:c r="O457" s="15" t="str">
        <x:v>Improve quality of campaigns and email sends resulting in more and better qualified leads - decline in opp value without action</x:v>
      </x:c>
      <x:c r="P457" s="15" t="str">
        <x:v>Core technology (Eloqua, Veeva, Seismic, Linkedin, Google) require connections and maintenance to take advantage of features to deploy more effective marketing campaigns</x:v>
      </x:c>
      <x:c r="Q457" s="15" t="str">
        <x:v>Multiple API connections and database enhancements to support improved data collection, customer match, and data flow between core platforms</x:v>
      </x:c>
      <x:c r="R457" s="15" t="str"/>
      <x:c r="S457" s="15" t="str"/>
      <x:c r="T457" s="15" t="str"/>
    </x:row>
    <x:row r="458">
      <x:c r="A458" s="15" t="str">
        <x:v>Bu-281</x:v>
      </x:c>
      <x:c r="B458" s="15" t="str">
        <x:v>Bu-281</x:v>
      </x:c>
      <x:c r="C458" s="15" t="str">
        <x:v>NEW</x:v>
      </x:c>
      <x:c r="D458" s="15" t="str">
        <x:v>Bu</x:v>
      </x:c>
      <x:c r="E458" s="15" t="n">
        <x:v>587</x:v>
      </x:c>
      <x:c r="F458" s="15" t="str">
        <x:v>BU Led</x:v>
      </x:c>
      <x:c r="G458" s="15" t="str">
        <x:v>Image Guided Therapy - Systems (IGT-S)</x:v>
      </x:c>
      <x:c r="H458" s="15" t="str">
        <x:v>D3 Change Request</x:v>
      </x:c>
      <x:c r="I458" s="15" t="str">
        <x:v>New Initiative</x:v>
      </x:c>
      <x:c r="J458" s="15" t="str">
        <x:v>Continous Improvement</x:v>
      </x:c>
      <x:c r="K458" s="15" t="str">
        <x:v>Integrated Supply Chain &amp; Finance</x:v>
      </x:c>
      <x:c r="L458" s="19" t="n">
        <x:v>0.1</x:v>
      </x:c>
      <x:c r="M458" s="19"/>
      <x:c r="N458" s="15" t="str">
        <x:v>Must Have</x:v>
      </x:c>
      <x:c r="O458" s="15" t="str">
        <x:v>N/A</x:v>
      </x:c>
      <x:c r="P458" s="15" t="str">
        <x:v>Small budget to manage small change request</x:v>
      </x:c>
      <x:c r="Q458" s="15" t="str">
        <x:v>Small budget to manage small change request</x:v>
      </x:c>
      <x:c r="R458" s="15" t="str"/>
      <x:c r="S458" s="15" t="str"/>
      <x:c r="T458" s="15" t="str"/>
    </x:row>
    <x:row r="459">
      <x:c r="A459" s="15" t="str">
        <x:v>Bu-282</x:v>
      </x:c>
      <x:c r="B459" s="15" t="str">
        <x:v>Bu-282</x:v>
      </x:c>
      <x:c r="C459" s="15" t="str">
        <x:v>1005605</x:v>
      </x:c>
      <x:c r="D459" s="15" t="str">
        <x:v>Bu</x:v>
      </x:c>
      <x:c r="E459" s="15" t="n">
        <x:v>588</x:v>
      </x:c>
      <x:c r="F459" s="15" t="str">
        <x:v>BU Led</x:v>
      </x:c>
      <x:c r="G459" s="15" t="str">
        <x:v>Monitoring - HPM (MCH)</x:v>
      </x:c>
      <x:c r="H459" s="15" t="str">
        <x:v>Chat bot for sales support (Monigotchi)</x:v>
      </x:c>
      <x:c r="I459" s="15" t="str">
        <x:v>Carry Over</x:v>
      </x:c>
      <x:c r="J459" s="15" t="str">
        <x:v>Continous Improvement</x:v>
      </x:c>
      <x:c r="K459" s="15" t="str">
        <x:v>Commercial IT</x:v>
      </x:c>
      <x:c r="L459" s="19" t="n">
        <x:v>0.012</x:v>
      </x:c>
      <x:c r="M459" s="19"/>
      <x:c r="N459" s="15" t="str">
        <x:v>Must Do</x:v>
      </x:c>
      <x:c r="O459" s="15" t="str"/>
      <x:c r="P459" s="15" t="str">
        <x:v>sales productivity</x:v>
      </x:c>
      <x:c r="Q459" s="15" t="str">
        <x:v>Migration of the locally-hosted Production environment build in 2026 to Philips IT Cloud Service.</x:v>
      </x:c>
      <x:c r="R459" s="15" t="str"/>
      <x:c r="S459" s="15" t="str"/>
      <x:c r="T459" s="15" t="str"/>
    </x:row>
    <x:row r="460">
      <x:c r="A460" s="15" t="str">
        <x:v>Bu-283</x:v>
      </x:c>
      <x:c r="B460" s="15" t="str">
        <x:v>Bu-283</x:v>
      </x:c>
      <x:c r="C460" s="15" t="str">
        <x:v>1001894</x:v>
      </x:c>
      <x:c r="D460" s="15" t="str">
        <x:v>Bu</x:v>
      </x:c>
      <x:c r="E460" s="15" t="n">
        <x:v>589</x:v>
      </x:c>
      <x:c r="F460" s="15" t="str">
        <x:v>BU Led</x:v>
      </x:c>
      <x:c r="G460" s="15" t="str">
        <x:v>Personal Health (PH)</x:v>
      </x:c>
      <x:c r="H460" s="15" t="str">
        <x:v>17.3 PH Digital Marketing Compliance</x:v>
      </x:c>
      <x:c r="I460" s="15" t="str">
        <x:v>Carry Over</x:v>
      </x:c>
      <x:c r="J460" s="15" t="str">
        <x:v>Legal Fiscal, Regulatory &amp; Compliancy</x:v>
      </x:c>
      <x:c r="K460" s="15" t="str">
        <x:v>Innovation and Digital IT</x:v>
      </x:c>
      <x:c r="L460" s="19" t="n">
        <x:v>0.15</x:v>
      </x:c>
      <x:c r="M460" s="19"/>
      <x:c r="N460" s="15" t="str">
        <x:v>Must Do</x:v>
      </x:c>
      <x:c r="O460" s="15" t="str">
        <x:v>EU AI Act compliance Measures will not be met</x:v>
      </x:c>
      <x:c r="P460" s="15" t="str"/>
      <x:c r="Q460" s="15" t="str"/>
      <x:c r="R460" s="15" t="str"/>
      <x:c r="S460" s="15" t="str"/>
      <x:c r="T460" s="15" t="str"/>
    </x:row>
    <x:row r="461">
      <x:c r="A461" s="15" t="str">
        <x:v>Bu-284</x:v>
      </x:c>
      <x:c r="B461" s="15" t="str">
        <x:v>Bu-284</x:v>
      </x:c>
      <x:c r="C461" s="15" t="str">
        <x:v>1002379</x:v>
      </x:c>
      <x:c r="D461" s="15" t="str">
        <x:v>Bu</x:v>
      </x:c>
      <x:c r="E461" s="15" t="n">
        <x:v>590</x:v>
      </x:c>
      <x:c r="F461" s="15" t="str">
        <x:v>BU Led</x:v>
      </x:c>
      <x:c r="G461" s="15" t="str">
        <x:v>Personal Health (PH)</x:v>
      </x:c>
      <x:c r="H461" s="15" t="str">
        <x:v>27.1 Customer Engagement | Unified Commercial Collaboration &amp; Claims Management</x:v>
      </x:c>
      <x:c r="I461" s="15" t="str">
        <x:v>Carry Over</x:v>
      </x:c>
      <x:c r="J461" s="15" t="str">
        <x:v>New Feature</x:v>
      </x:c>
      <x:c r="K461" s="15" t="str">
        <x:v>Commercial IT</x:v>
      </x:c>
      <x:c r="L461" s="19" t="n">
        <x:v>0.3</x:v>
      </x:c>
      <x:c r="M461" s="19"/>
      <x:c r="N461" s="15" t="str">
        <x:v>Must Do</x:v>
      </x:c>
      <x:c r="O461" s="15" t="str"/>
      <x:c r="P461" s="15" t="str"/>
      <x:c r="Q461" s="15" t="str"/>
      <x:c r="R461" s="15" t="str"/>
      <x:c r="S461" s="15" t="str"/>
      <x:c r="T461" s="15" t="str"/>
    </x:row>
    <x:row r="462">
      <x:c r="A462" s="15" t="str">
        <x:v>Bu-285</x:v>
      </x:c>
      <x:c r="B462" s="15" t="str">
        <x:v>Bu-285</x:v>
      </x:c>
      <x:c r="C462" s="15" t="str"/>
      <x:c r="D462" s="15" t="str">
        <x:v>Bu</x:v>
      </x:c>
      <x:c r="E462" s="15" t="n">
        <x:v>591</x:v>
      </x:c>
      <x:c r="F462" s="15" t="str">
        <x:v>BU Led</x:v>
      </x:c>
      <x:c r="G462" s="15" t="str">
        <x:v>Personal Health (PH)</x:v>
      </x:c>
      <x:c r="H462" s="15" t="str">
        <x:v>27.2 RGM Decision Engine | Promo Effectiveness &amp; Trade Spend Mix Simulator</x:v>
      </x:c>
      <x:c r="I462" s="15" t="str">
        <x:v>New Initiative</x:v>
      </x:c>
      <x:c r="J462" s="15" t="str">
        <x:v>New Feature</x:v>
      </x:c>
      <x:c r="K462" s="15" t="str"/>
      <x:c r="L462" s="19" t="n">
        <x:v>0.9</x:v>
      </x:c>
      <x:c r="M462" s="19"/>
      <x:c r="N462" s="15" t="str">
        <x:v>Must Do</x:v>
      </x:c>
      <x:c r="O462" s="15" t="str">
        <x:v>Teams will continue making manual, backward-looking decisions, resulting in sub-optimal promotional ROI, inefficient trade-spend allocation, delayed overspend visibility, and missed growth and margin opportunities.</x:v>
      </x:c>
      <x:c r="P462" s="15" t="str">
        <x: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x:v>
      </x:c>
      <x:c r="Q462" s="15" t="str">
        <x:v>Unified RGM data layer integrating Vistex, RGM, GfK, RSD, and commercial data sources.</x:v>
      </x:c>
      <x:c r="R462" s="15" t="str"/>
      <x:c r="S462" s="15" t="str"/>
      <x:c r="T462" s="15" t="str"/>
    </x:row>
    <x:row r="463">
      <x:c r="A463" s="15" t="str">
        <x:v>Bu-286</x:v>
      </x:c>
      <x:c r="B463" s="15" t="str">
        <x:v>Bu-286</x:v>
      </x:c>
      <x:c r="C463" s="15" t="str"/>
      <x:c r="D463" s="15" t="str">
        <x:v>Bu</x:v>
      </x:c>
      <x:c r="E463" s="15" t="n">
        <x:v>596</x:v>
      </x:c>
      <x:c r="F463" s="15" t="str">
        <x:v>BU Led</x:v>
      </x:c>
      <x:c r="G463" s="15" t="str">
        <x:v>Personal Health (PH)</x:v>
      </x:c>
      <x:c r="H463" s="15" t="str">
        <x:v>3PL Transformation (Dual 3PL ) - India</x:v>
      </x:c>
      <x:c r="I463" s="15" t="str">
        <x:v>New Initiative</x:v>
      </x:c>
      <x:c r="J463" s="15" t="str">
        <x:v>Legal Fiscal, Regulatory &amp; Compliancy</x:v>
      </x:c>
      <x:c r="K463" s="15" t="str">
        <x:v>Integrated Supply Chain &amp; Finance</x:v>
      </x:c>
      <x:c r="L463" s="19" t="n">
        <x:v>0.175</x:v>
      </x:c>
      <x:c r="M463" s="19"/>
      <x:c r="N463" s="15" t="str">
        <x:v>Must Have</x:v>
      </x:c>
      <x:c r="O463" s="15" t="str">
        <x:v>Strategic distribution capability</x:v>
      </x:c>
      <x:c r="P463" s="15" t="str"/>
      <x:c r="Q463" s="15" t="str"/>
      <x:c r="R463" s="15" t="str"/>
      <x:c r="S463" s="15" t="str"/>
      <x:c r="T463" s="15" t="str"/>
    </x:row>
    <x:row r="464">
      <x:c r="A464" s="15" t="str">
        <x:v>Bu-287</x:v>
      </x:c>
      <x:c r="B464" s="15" t="str">
        <x:v>Bu-287</x:v>
      </x:c>
      <x:c r="C464" s="15" t="str"/>
      <x:c r="D464" s="15" t="str">
        <x:v>Bu</x:v>
      </x:c>
      <x:c r="E464" s="15" t="n">
        <x:v>597</x:v>
      </x:c>
      <x:c r="F464" s="15" t="str">
        <x:v>BU Led</x:v>
      </x:c>
      <x:c r="G464" s="15" t="str">
        <x:v>Personal Health (PH)</x:v>
      </x:c>
      <x:c r="H464" s="15" t="str">
        <x:v>72. O2C simplification: Smart Allocation &amp; Agentic AI</x:v>
      </x:c>
      <x:c r="I464" s="15" t="str">
        <x:v>Carry Over</x:v>
      </x:c>
      <x:c r="J464" s="15" t="str">
        <x:v>AI Enablement</x:v>
      </x:c>
      <x:c r="K464" s="15" t="str">
        <x:v>Integrated Supply Chain &amp; Finance</x:v>
      </x:c>
      <x:c r="L464" s="19" t="n">
        <x:v>1.08</x:v>
      </x:c>
      <x:c r="M464" s="19"/>
      <x:c r="N464" s="15" t="str">
        <x:v>Must Do</x:v>
      </x:c>
      <x:c r="O464" s="15" t="str">
        <x:v>Order Management will remain highly manual and fragmented, limiting touchless processing, productivity gains, scalable execution, and customer experience.</x:v>
      </x:c>
      <x:c r="P464" s="15" t="str">
        <x: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x:v>
      </x:c>
      <x:c r="Q464" s="15" t="str">
        <x:v>Key capabilities: 1) Smart Allocation MVP2 and scale up Smart Allocation model 2) Agentic AI MVP2 (mass order creation and change, enhanced resolution for incompletions) 3) Agentic AI MVP3 (dynamic correct., connecting with customer systems)</x:v>
      </x:c>
      <x:c r="R464" s="15" t="str">
        <x:v>1) IT resources for development and scale up (simultaneous activities) 2) Project Spine 3) Stage dependency – performance and stability of MVP1</x:v>
      </x:c>
      <x:c r="S464" s="15" t="str"/>
      <x:c r="T464" s="15" t="str"/>
    </x:row>
    <x:row r="465">
      <x:c r="A465" s="15" t="str">
        <x:v>Bu-288</x:v>
      </x:c>
      <x:c r="B465" s="15" t="str">
        <x:v>Bu-288</x:v>
      </x:c>
      <x:c r="C465" s="15" t="str"/>
      <x:c r="D465" s="15" t="str">
        <x:v>Bu</x:v>
      </x:c>
      <x:c r="E465" s="15" t="n">
        <x:v>601</x:v>
      </x:c>
      <x:c r="F465" s="15" t="str">
        <x:v>BU Led</x:v>
      </x:c>
      <x:c r="G465" s="15" t="str">
        <x:v>Personal Health (PH)</x:v>
      </x:c>
      <x:c r="H465" s="15" t="str">
        <x:v>94. PH ISC ring fenced budget + A/ ML Demand forecasting</x:v>
      </x:c>
      <x:c r="I465" s="15" t="str">
        <x:v>Carry Over</x:v>
      </x:c>
      <x:c r="J465" s="15" t="str">
        <x:v>Continous Improvement</x:v>
      </x:c>
      <x:c r="K465" s="15" t="str">
        <x:v>Integrated Supply Chain &amp; Finance</x:v>
      </x:c>
      <x:c r="L465" s="19" t="n">
        <x:v>1</x:v>
      </x:c>
      <x:c r="M465" s="19"/>
      <x:c r="N465" s="15" t="str">
        <x:v>Must Have</x:v>
      </x:c>
      <x:c r="O465" s="15" t="str">
        <x:v>No funds to address regional ISC demands during global events or mid-year regulatory asks</x:v>
      </x:c>
      <x:c r="P465" s="15" t="str">
        <x: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x:v>
      </x:c>
      <x:c r="Q465" s="15" t="str">
        <x:v>AI/ML Demand planning capabilities and automation</x:v>
      </x:c>
      <x:c r="R465" s="15" t="str"/>
      <x:c r="S465" s="15" t="str"/>
      <x:c r="T465" s="15" t="str"/>
    </x:row>
    <x:row r="466">
      <x:c r="A466" s="15" t="str">
        <x:v>Bu-289</x:v>
      </x:c>
      <x:c r="B466" s="15" t="str">
        <x:v>Bu-289</x:v>
      </x:c>
      <x:c r="C466" s="15" t="str"/>
      <x:c r="D466" s="15" t="str">
        <x:v>Bu</x:v>
      </x:c>
      <x:c r="E466" s="15" t="n">
        <x:v>603</x:v>
      </x:c>
      <x:c r="F466" s="15" t="str">
        <x:v>BU Led</x:v>
      </x:c>
      <x:c r="G466" s="15" t="str">
        <x:v>Personal Health (PH)</x:v>
      </x:c>
      <x:c r="H466" s="15" t="str">
        <x:v>Agentic regulatory pipeline</x:v>
      </x:c>
      <x:c r="I466" s="15" t="str">
        <x:v>New Initiative</x:v>
      </x:c>
      <x:c r="J466" s="15" t="str">
        <x:v>AI Enablement</x:v>
      </x:c>
      <x:c r="K466" s="15" t="str"/>
      <x:c r="L466" s="19" t="n">
        <x:v>0.1</x:v>
      </x:c>
      <x:c r="M466" s="19"/>
      <x:c r="N466" s="15" t="str">
        <x:v>Must Do</x:v>
      </x:c>
      <x:c r="O466" s="15" t="str">
        <x:v>Compliance risk</x:v>
      </x:c>
      <x:c r="P466" s="15" t="str"/>
      <x:c r="Q466" s="15" t="str"/>
      <x:c r="R466" s="15" t="str"/>
      <x:c r="S466" s="15" t="str"/>
      <x:c r="T466" s="15" t="str"/>
    </x:row>
    <x:row r="467">
      <x:c r="A467" s="15" t="str">
        <x:v>Bu-290</x:v>
      </x:c>
      <x:c r="B467" s="15" t="str">
        <x:v>Bu-290</x:v>
      </x:c>
      <x:c r="C467" s="15" t="str"/>
      <x:c r="D467" s="15" t="str">
        <x:v>Bu</x:v>
      </x:c>
      <x:c r="E467" s="15" t="n">
        <x:v>604</x:v>
      </x:c>
      <x:c r="F467" s="15" t="str">
        <x:v>BU Led</x:v>
      </x:c>
      <x:c r="G467" s="15" t="str">
        <x:v>Personal Health (PH)</x:v>
      </x:c>
      <x:c r="H467" s="15" t="str">
        <x:v>AI Ready Product Intelligence Foundation (aka Product Content data factory )</x:v>
      </x:c>
      <x:c r="I467" s="15" t="str">
        <x:v>New Initiative</x:v>
      </x:c>
      <x:c r="J467" s="15" t="str">
        <x:v>AI Enablement</x:v>
      </x:c>
      <x:c r="K467" s="15" t="str">
        <x:v>Innovation and Digital IT</x:v>
      </x:c>
      <x:c r="L467" s="19" t="n">
        <x:v>1</x:v>
      </x:c>
      <x:c r="M467" s="19"/>
      <x:c r="N467" s="15" t="str">
        <x:v>Must Do</x:v>
      </x:c>
      <x:c r="O467" s="15" t="str">
        <x:v>Delay in priority use cases, including ecommerce sales and conversion uplift through improved PDP content, faster deployment of AI use cases, and improved visibility in AI-led discovery. Critical element of PH AI Game Plan</x:v>
      </x:c>
      <x:c r="P467" s="15" t="str">
        <x:v>Build and scale the AI-ready Product Intelligence Foundation for Personal Health: a governed, reusable product knowledge layer that connects structured product, category, marketing, commercial, claims content into machine-readable assets.</x:v>
      </x:c>
      <x:c r="Q467" s="15" t="str">
        <x:v>Build and scale the AI-ready Product Intelligence Foundation as the first scaled implementation for multiple AI use cases.</x:v>
      </x:c>
      <x:c r="R467" s="15" t="str">
        <x:v>PH Data Lake/PRX/PCP + possibly other systems incl. PPL/PAL, Windchill &amp; SAP</x:v>
      </x:c>
      <x:c r="S467" s="15" t="str"/>
      <x:c r="T467" s="15" t="str"/>
    </x:row>
    <x:row r="468">
      <x:c r="A468" s="15" t="str">
        <x:v>Bu-291</x:v>
      </x:c>
      <x:c r="B468" s="15" t="str">
        <x:v>Bu-291</x:v>
      </x:c>
      <x:c r="C468" s="15" t="str"/>
      <x:c r="D468" s="15" t="str">
        <x:v>Bu</x:v>
      </x:c>
      <x:c r="E468" s="15" t="n">
        <x:v>609</x:v>
      </x:c>
      <x:c r="F468" s="15" t="str">
        <x:v>BU Led</x:v>
      </x:c>
      <x:c r="G468" s="15" t="str">
        <x:v>Personal Health (PH)</x:v>
      </x:c>
      <x:c r="H468" s="15" t="str">
        <x:v>AI Simplification &amp; Automation of Sustainability Documentation Workstream</x:v>
      </x:c>
      <x:c r="I468" s="15" t="str">
        <x:v>New Initiative</x:v>
      </x:c>
      <x:c r="J468" s="15" t="str">
        <x:v>AI Enablement</x:v>
      </x:c>
      <x:c r="K468" s="15" t="str"/>
      <x:c r="L468" s="19" t="n">
        <x:v>0</x:v>
      </x:c>
      <x:c r="M468" s="19"/>
      <x:c r="N468" s="15" t="str">
        <x:v>Deprioritised</x:v>
      </x:c>
      <x:c r="O468" s="15" t="str"/>
      <x:c r="P468" s="15" t="str"/>
      <x:c r="Q468" s="15" t="str"/>
      <x:c r="R468" s="15" t="str"/>
      <x:c r="S468" s="15" t="str"/>
      <x:c r="T468" s="15" t="str"/>
    </x:row>
    <x:row r="469">
      <x:c r="A469" s="15" t="str">
        <x:v>Bu-292</x:v>
      </x:c>
      <x:c r="B469" s="15" t="str">
        <x:v>Bu-292</x:v>
      </x:c>
      <x:c r="C469" s="15" t="str"/>
      <x:c r="D469" s="15" t="str">
        <x:v>Bu</x:v>
      </x:c>
      <x:c r="E469" s="15" t="n">
        <x:v>610</x:v>
      </x:c>
      <x:c r="F469" s="15" t="str">
        <x:v>BU Led</x:v>
      </x:c>
      <x:c r="G469" s="15" t="str">
        <x:v>Personal Health (PH)</x:v>
      </x:c>
      <x:c r="H469" s="15" t="str">
        <x:v>AI-enabling learning RnD organization</x:v>
      </x:c>
      <x:c r="I469" s="15" t="str">
        <x:v>New Initiative</x:v>
      </x:c>
      <x:c r="J469" s="15" t="str">
        <x:v>AI Enablement</x:v>
      </x:c>
      <x:c r="K469" s="15" t="str"/>
      <x:c r="L469" s="19" t="n">
        <x:v>0.065</x:v>
      </x:c>
      <x:c r="M469" s="19"/>
      <x:c r="N469" s="15" t="str">
        <x:v>Must Do</x:v>
      </x:c>
      <x:c r="O469" s="15" t="str"/>
      <x:c r="P469" s="15" t="str"/>
      <x:c r="Q469" s="15" t="str"/>
      <x:c r="R469" s="15" t="str"/>
      <x:c r="S469" s="15" t="str"/>
      <x:c r="T469" s="15" t="str"/>
    </x:row>
    <x:row r="470">
      <x:c r="A470" s="15" t="str">
        <x:v>Bu-293</x:v>
      </x:c>
      <x:c r="B470" s="15" t="str">
        <x:v>Bu-293</x:v>
      </x:c>
      <x:c r="C470" s="15" t="str"/>
      <x:c r="D470" s="15" t="str">
        <x:v>Bu</x:v>
      </x:c>
      <x:c r="E470" s="15" t="n">
        <x:v>611</x:v>
      </x:c>
      <x:c r="F470" s="15" t="str">
        <x:v>BU Led</x:v>
      </x:c>
      <x:c r="G470" s="15" t="str">
        <x:v>Personal Health (PH)</x:v>
      </x:c>
      <x:c r="H470" s="15" t="str">
        <x:v>Amazon Agentic Planning &amp; Simulation Hub</x:v>
      </x:c>
      <x:c r="I470" s="15" t="str">
        <x:v>New Initiative</x:v>
      </x:c>
      <x:c r="J470" s="15" t="str">
        <x:v>AI Enablement</x:v>
      </x:c>
      <x:c r="K470" s="15" t="str">
        <x:v>Innovation and Digital IT</x:v>
      </x:c>
      <x:c r="L470" s="19" t="n">
        <x:v>0.35</x:v>
      </x:c>
      <x:c r="M470" s="19"/>
      <x:c r="N470" s="15" t="str">
        <x:v>Must Have</x:v>
      </x:c>
      <x:c r="O470" s="15" t="str">
        <x:v>Continue working with Distributed data across sell-out, sell-in, inventory, ITM, promotions, media, budgets, and IGM/NPPM metrics.</x:v>
      </x:c>
      <x:c r="P470" s="15" t="str">
        <x:v>Transform Amazon planning from a manual, Excel-driven process into a centralized commercial planning and decision-support capability.</x:v>
      </x:c>
      <x:c r="Q470" s="15" t="str">
        <x:v>• Commercial Planning Foundation: centralize sell-out, sell-in, inventory, ITM, media, promotions, budgets, IGM/NPPM, and 3YA inputs into Qlik/SPT or a connected planning layer.</x:v>
      </x:c>
      <x:c r="R470" s="15" t="str"/>
      <x:c r="S470" s="15" t="str"/>
      <x:c r="T470" s="15" t="str"/>
    </x:row>
    <x:row r="471">
      <x:c r="A471" s="15" t="str">
        <x:v>Bu-294</x:v>
      </x:c>
      <x:c r="B471" s="15" t="str">
        <x:v>Bu-294</x:v>
      </x:c>
      <x:c r="C471" s="15" t="str"/>
      <x:c r="D471" s="15" t="str">
        <x:v>Bu</x:v>
      </x:c>
      <x:c r="E471" s="15" t="n">
        <x:v>616</x:v>
      </x:c>
      <x:c r="F471" s="15" t="str">
        <x:v>BU Led</x:v>
      </x:c>
      <x:c r="G471" s="15" t="str">
        <x:v>Personal Health (PH)</x:v>
      </x:c>
      <x:c r="H471" s="15" t="str">
        <x:v>Business application validation</x:v>
      </x:c>
      <x:c r="I471" s="15" t="str">
        <x:v>New Initiative</x:v>
      </x:c>
      <x:c r="J471" s="15" t="str">
        <x:v>Legal Fiscal, Regulatory &amp; Compliancy</x:v>
      </x:c>
      <x:c r="K471" s="15" t="str">
        <x:v>Innovation and Digital IT</x:v>
      </x:c>
      <x:c r="L471" s="19" t="n">
        <x:v>0.1</x:v>
      </x:c>
      <x:c r="M471" s="19"/>
      <x:c r="N471" s="15" t="str">
        <x:v>Must Do</x:v>
      </x:c>
      <x:c r="O471" s="15" t="str">
        <x:v>Non-Validated consumer facing applications</x:v>
      </x:c>
      <x:c r="P471" s="15" t="str"/>
      <x:c r="Q471" s="15" t="str"/>
      <x:c r="R471" s="15" t="str"/>
      <x:c r="S471" s="15" t="str"/>
      <x:c r="T471" s="15" t="str"/>
    </x:row>
    <x:row r="472">
      <x:c r="A472" s="15" t="str">
        <x:v>Bu-295</x:v>
      </x:c>
      <x:c r="B472" s="15" t="str">
        <x:v>Bu-295</x:v>
      </x:c>
      <x:c r="C472" s="15" t="str"/>
      <x:c r="D472" s="15" t="str">
        <x:v>Bu</x:v>
      </x:c>
      <x:c r="E472" s="15" t="n">
        <x:v>617</x:v>
      </x:c>
      <x:c r="F472" s="15" t="str">
        <x:v>BU Led</x:v>
      </x:c>
      <x:c r="G472" s="15" t="str">
        <x:v>Personal Health (PH)</x:v>
      </x:c>
      <x:c r="H472" s="15" t="str">
        <x:v>DFU Form Automation: Digital Workflow &amp; Data Governance Enablement</x:v>
      </x:c>
      <x:c r="I472" s="15" t="str">
        <x:v>New Initiative</x:v>
      </x:c>
      <x:c r="J472" s="15" t="str">
        <x:v>New Feature</x:v>
      </x:c>
      <x:c r="K472" s="15" t="str">
        <x:v>Innovation and Digital IT</x:v>
      </x:c>
      <x:c r="L472" s="19" t="n">
        <x:v>0.175</x:v>
      </x:c>
      <x:c r="M472" s="19"/>
      <x:c r="N472" s="15" t="str">
        <x:v>Must Do</x:v>
      </x:c>
      <x:c r="O472" s="15" t="str">
        <x:v>Continued manual effort and inefficiencies in DFU management. No single governed system for DFU management</x:v>
      </x:c>
      <x:c r="P472" s="15" t="str">
        <x: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x:v>
      </x:c>
      <x:c r="Q472" s="15" t="str">
        <x: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x:v>
      </x:c>
      <x:c r="R472" s="15" t="str">
        <x:v>Claims program (localization)</x:v>
      </x:c>
      <x:c r="S472" s="15" t="str"/>
      <x:c r="T472" s="15" t="str"/>
    </x:row>
    <x:row r="473">
      <x:c r="A473" s="15" t="str">
        <x:v>Bu-296</x:v>
      </x:c>
      <x:c r="B473" s="15" t="str">
        <x:v>Bu-296</x:v>
      </x:c>
      <x:c r="C473" s="15" t="str"/>
      <x:c r="D473" s="15" t="str">
        <x:v>Bu</x:v>
      </x:c>
      <x:c r="E473" s="15" t="n">
        <x:v>619</x:v>
      </x:c>
      <x:c r="F473" s="15" t="str">
        <x:v>BU Led</x:v>
      </x:c>
      <x:c r="G473" s="15" t="str">
        <x:v>Personal Health (PH)</x:v>
      </x:c>
      <x:c r="H473" s="15" t="str">
        <x:v>Direct Procurement – Digitalization &amp; Compliance (Horizontal)</x:v>
      </x:c>
      <x:c r="I473" s="15" t="str">
        <x:v>New Initiative</x:v>
      </x:c>
      <x:c r="J473" s="15" t="str">
        <x:v>Decomm/Replatforming</x:v>
      </x:c>
      <x:c r="K473" s="15" t="str"/>
      <x:c r="L473" s="19" t="n">
        <x:v>0</x:v>
      </x:c>
      <x:c r="M473" s="19"/>
      <x:c r="N473" s="15" t="str">
        <x:v>Deprioritised</x:v>
      </x:c>
      <x:c r="O473" s="15" t="str"/>
      <x:c r="P473" s="15" t="str"/>
      <x:c r="Q473" s="15" t="str"/>
      <x:c r="R473" s="15" t="str"/>
      <x:c r="S473" s="15" t="str"/>
      <x:c r="T473" s="15" t="str"/>
    </x:row>
    <x:row r="474">
      <x:c r="A474" s="15" t="str">
        <x:v>Bu-297</x:v>
      </x:c>
      <x:c r="B474" s="15" t="str">
        <x:v>Bu-297</x:v>
      </x:c>
      <x:c r="C474" s="15" t="str"/>
      <x:c r="D474" s="15" t="str">
        <x:v>Bu</x:v>
      </x:c>
      <x:c r="E474" s="15" t="n">
        <x:v>620</x:v>
      </x:c>
      <x:c r="F474" s="15" t="str">
        <x:v>BU Led</x:v>
      </x:c>
      <x:c r="G474" s="15" t="str">
        <x:v>Personal Health (PH)</x:v>
      </x:c>
      <x:c r="H474" s="15" t="str">
        <x:v>DPP - From Compliance to Growth, Trust &amp; Revenue Protection Platform</x:v>
      </x:c>
      <x:c r="I474" s="15" t="str">
        <x:v>New Initiative</x:v>
      </x:c>
      <x:c r="J474" s="15" t="str">
        <x:v>Legal Fiscal, Regulatory &amp; Compliancy</x:v>
      </x:c>
      <x:c r="K474" s="15" t="str">
        <x:v>Innovation and Digital IT</x:v>
      </x:c>
      <x:c r="L474" s="19" t="n">
        <x:v>0.3</x:v>
      </x:c>
      <x:c r="M474" s="19"/>
      <x:c r="N474" s="15" t="str">
        <x:v>Must Do</x:v>
      </x:c>
      <x:c r="O474" s="15" t="str">
        <x:v>Anti-Counterfeit measures will not be implemented loss of credibility for Philips</x:v>
      </x:c>
      <x:c r="P474" s="15" t="str"/>
      <x:c r="Q474" s="15" t="str"/>
      <x:c r="R474" s="15" t="str"/>
      <x:c r="S474" s="15" t="str"/>
      <x:c r="T474" s="15" t="str"/>
    </x:row>
    <x:row r="475">
      <x:c r="A475" s="15" t="str">
        <x:v>Bu-298</x:v>
      </x:c>
      <x:c r="B475" s="15" t="str">
        <x:v>Bu-298</x:v>
      </x:c>
      <x:c r="C475" s="15" t="str"/>
      <x:c r="D475" s="15" t="str">
        <x:v>Bu</x:v>
      </x:c>
      <x:c r="E475" s="15" t="n">
        <x:v>621</x:v>
      </x:c>
      <x:c r="F475" s="15" t="str">
        <x:v>BU Led</x:v>
      </x:c>
      <x:c r="G475" s="15" t="str">
        <x:v>Personal Health (PH)</x:v>
      </x:c>
      <x:c r="H475" s="15" t="str">
        <x:v>Drive conversion lift on Philips.com with AI-driven Digital analytics</x:v>
      </x:c>
      <x:c r="I475" s="15" t="str">
        <x:v>New Initiative</x:v>
      </x:c>
      <x:c r="J475" s="15" t="str">
        <x:v>New Feature</x:v>
      </x:c>
      <x:c r="K475" s="15" t="str"/>
      <x:c r="L475" s="19" t="n">
        <x:v>0</x:v>
      </x:c>
      <x:c r="M475" s="19"/>
      <x:c r="N475" s="15" t="str">
        <x:v>Deprioritised</x:v>
      </x:c>
      <x:c r="O475" s="15" t="str"/>
      <x:c r="P475" s="15" t="str"/>
      <x:c r="Q475" s="15" t="str"/>
      <x:c r="R475" s="15" t="str"/>
      <x:c r="S475" s="15" t="str"/>
      <x:c r="T475" s="15" t="str"/>
    </x:row>
    <x:row r="476">
      <x:c r="A476" s="15" t="str">
        <x:v>Bu-299</x:v>
      </x:c>
      <x:c r="B476" s="15" t="str">
        <x:v>Bu-299</x:v>
      </x:c>
      <x:c r="C476" s="15" t="str"/>
      <x:c r="D476" s="15" t="str">
        <x:v>Bu</x:v>
      </x:c>
      <x:c r="E476" s="15" t="n">
        <x:v>622</x:v>
      </x:c>
      <x:c r="F476" s="15" t="str">
        <x:v>BU Led</x:v>
      </x:c>
      <x:c r="G476" s="15" t="str">
        <x:v>Personal Health (PH)</x:v>
      </x:c>
      <x:c r="H476" s="15" t="str">
        <x:v>E2E Product Portfolio Mgt (Pulse)</x:v>
      </x:c>
      <x:c r="I476" s="15" t="str">
        <x:v>New Initiative</x:v>
      </x:c>
      <x:c r="J476" s="15" t="str"/>
      <x:c r="K476" s="15" t="str"/>
      <x:c r="L476" s="19" t="n">
        <x:v>0.25</x:v>
      </x:c>
      <x:c r="M476" s="19"/>
      <x:c r="N476" s="15" t="str">
        <x:v>Must Do</x:v>
      </x:c>
      <x:c r="O476" s="15" t="str">
        <x:v>Loss of productivity and project scope already delivered</x:v>
      </x:c>
      <x:c r="P476" s="15" t="str"/>
      <x:c r="Q476" s="15" t="str"/>
      <x:c r="R476" s="15" t="str"/>
      <x:c r="S476" s="15" t="str"/>
      <x:c r="T476" s="15" t="str"/>
    </x:row>
    <x:row r="477">
      <x:c r="A477" s="15" t="str">
        <x:v>Bu-300</x:v>
      </x:c>
      <x:c r="B477" s="15" t="str">
        <x:v>Bu-300</x:v>
      </x:c>
      <x:c r="C477" s="15" t="str"/>
      <x:c r="D477" s="15" t="str">
        <x:v>Bu</x:v>
      </x:c>
      <x:c r="E477" s="15" t="n">
        <x:v>623</x:v>
      </x:c>
      <x:c r="F477" s="15" t="str">
        <x:v>BU Led</x:v>
      </x:c>
      <x:c r="G477" s="15" t="str">
        <x:v>Personal Health (PH)</x:v>
      </x:c>
      <x:c r="H477" s="15" t="str">
        <x:v>E2E simplification of R&amp;D Purchase order Creation</x:v>
      </x:c>
      <x:c r="I477" s="15" t="str">
        <x:v>New Initiative</x:v>
      </x:c>
      <x:c r="J477" s="15" t="str"/>
      <x:c r="K477" s="15" t="str"/>
      <x:c r="L477" s="19" t="n">
        <x:v>0</x:v>
      </x:c>
      <x:c r="M477" s="19"/>
      <x:c r="N477" s="15" t="str">
        <x:v>Deprioritised</x:v>
      </x:c>
      <x:c r="O477" s="15" t="str"/>
      <x:c r="P477" s="15" t="str"/>
      <x:c r="Q477" s="15" t="str"/>
      <x:c r="R477" s="15" t="str"/>
      <x:c r="S477" s="15" t="str"/>
      <x:c r="T477" s="15" t="str"/>
    </x:row>
    <x:row r="478">
      <x:c r="A478" s="15" t="str">
        <x:v>Bu-301</x:v>
      </x:c>
      <x:c r="B478" s="15" t="str">
        <x:v>Bu-301</x:v>
      </x:c>
      <x:c r="C478" s="15" t="str"/>
      <x:c r="D478" s="15" t="str">
        <x:v>Bu</x:v>
      </x:c>
      <x:c r="E478" s="15" t="n">
        <x:v>624</x:v>
      </x:c>
      <x:c r="F478" s="15" t="str">
        <x:v>BU Led</x:v>
      </x:c>
      <x:c r="G478" s="15" t="str">
        <x:v>Personal Health (PH)</x:v>
      </x:c>
      <x:c r="H478" s="15" t="str">
        <x:v>Enabling marketing content automation: E2E Claims digitalization</x:v>
      </x:c>
      <x:c r="I478" s="15" t="str">
        <x:v>New Initiative</x:v>
      </x:c>
      <x:c r="J478" s="15" t="str"/>
      <x:c r="K478" s="15" t="str"/>
      <x:c r="L478" s="19" t="n">
        <x:v>0.2</x:v>
      </x:c>
      <x:c r="M478" s="19"/>
      <x:c r="N478" s="15" t="str">
        <x:v>Must Have</x:v>
      </x:c>
      <x:c r="O478" s="15" t="str">
        <x:v>90k in penalties and legal fees for using wrong claim per year (OneBlade example in Sweden) -&gt; Happens every 2 years, 45k per year</x:v>
      </x:c>
      <x:c r="P478" s="15" t="str"/>
      <x:c r="Q478" s="15" t="str"/>
      <x:c r="R478" s="15" t="str"/>
      <x:c r="S478" s="15" t="str"/>
      <x:c r="T478" s="15" t="str"/>
    </x:row>
    <x:row r="479">
      <x:c r="A479" s="15" t="str">
        <x:v>Bu-302</x:v>
      </x:c>
      <x:c r="B479" s="15" t="str">
        <x:v>Bu-302</x:v>
      </x:c>
      <x:c r="C479" s="15" t="str"/>
      <x:c r="D479" s="15" t="str">
        <x:v>Bu</x:v>
      </x:c>
      <x:c r="E479" s="15" t="n">
        <x:v>625</x:v>
      </x:c>
      <x:c r="F479" s="15" t="str">
        <x:v>BU Led</x:v>
      </x:c>
      <x:c r="G479" s="15" t="str">
        <x:v>Personal Health (PH)</x:v>
      </x:c>
      <x:c r="H479" s="15" t="str">
        <x:v>GEO Scorekeeper &amp; Source Decoder</x:v>
      </x:c>
      <x:c r="I479" s="15" t="str">
        <x:v>New Initiative</x:v>
      </x:c>
      <x:c r="J479" s="15" t="str"/>
      <x:c r="K479" s="15" t="str"/>
      <x:c r="L479" s="19" t="n">
        <x:v>0</x:v>
      </x:c>
      <x:c r="M479" s="19"/>
      <x:c r="N479" s="15" t="str">
        <x:v>Deprioritised</x:v>
      </x:c>
      <x:c r="O479" s="15" t="str"/>
      <x:c r="P479" s="15" t="str"/>
      <x:c r="Q479" s="15" t="str"/>
      <x:c r="R479" s="15" t="str"/>
      <x:c r="S479" s="15" t="str"/>
      <x:c r="T479" s="15" t="str"/>
    </x:row>
    <x:row r="480">
      <x:c r="A480" s="15" t="str">
        <x:v>Bu-303</x:v>
      </x:c>
      <x:c r="B480" s="15" t="str">
        <x:v>Bu-303</x:v>
      </x:c>
      <x:c r="C480" s="15" t="str"/>
      <x:c r="D480" s="15" t="str">
        <x:v>Bu</x:v>
      </x:c>
      <x:c r="E480" s="15" t="n">
        <x:v>626</x:v>
      </x:c>
      <x:c r="F480" s="15" t="str">
        <x:v>BU Led</x:v>
      </x:c>
      <x:c r="G480" s="15" t="str">
        <x:v>Personal Health (PH)</x:v>
      </x:c>
      <x:c r="H480" s="15" t="str">
        <x:v>Getting ready for Agentic Commerce</x:v>
      </x:c>
      <x:c r="I480" s="15" t="str">
        <x:v>New Initiative</x:v>
      </x:c>
      <x:c r="J480" s="15" t="str"/>
      <x:c r="K480" s="15" t="str"/>
      <x:c r="L480" s="19" t="n">
        <x:v>0.1</x:v>
      </x:c>
      <x:c r="M480" s="19"/>
      <x:c r="N480" s="15" t="str">
        <x:v>Must Do</x:v>
      </x:c>
      <x:c r="O480" s="15" t="str"/>
      <x:c r="P480" s="15" t="str"/>
      <x:c r="Q480" s="15" t="str"/>
      <x:c r="R480" s="15" t="str"/>
      <x:c r="S480" s="15" t="str"/>
      <x:c r="T480" s="15" t="str"/>
    </x:row>
    <x:row r="481">
      <x:c r="A481" s="15" t="str">
        <x:v>Bu-304</x:v>
      </x:c>
      <x:c r="B481" s="15" t="str">
        <x:v>Bu-304</x:v>
      </x:c>
      <x:c r="C481" s="15" t="str"/>
      <x:c r="D481" s="15" t="str">
        <x:v>Bu</x:v>
      </x:c>
      <x:c r="E481" s="15" t="n">
        <x:v>627</x:v>
      </x:c>
      <x:c r="F481" s="15" t="str">
        <x:v>BU Led</x:v>
      </x:c>
      <x:c r="G481" s="15" t="str">
        <x:v>Personal Health (PH)</x:v>
      </x:c>
      <x:c r="H481" s="15" t="str">
        <x:v>Global Retail Content Accelerator (PXM)</x:v>
      </x:c>
      <x:c r="I481" s="15" t="str">
        <x:v>New Initiative</x:v>
      </x:c>
      <x:c r="J481" s="15" t="str">
        <x:v>New Technology</x:v>
      </x:c>
      <x:c r="K481" s="15" t="str">
        <x:v>Innovation and Digital IT</x:v>
      </x:c>
      <x:c r="L481" s="19" t="n">
        <x:v>0.58</x:v>
      </x:c>
      <x:c r="M481" s="19"/>
      <x:c r="N481" s="15" t="str">
        <x:v>Must Do</x:v>
      </x:c>
      <x:c r="O481" s="15" t="str">
        <x: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x:v>
      </x:c>
      <x:c r="P481" s="15" t="str">
        <x: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x:v>
      </x:c>
      <x:c r="Q481" s="15" t="str">
        <x:v>Set-up and deployment PXM tool across our top 15* customers and relevant markets.</x:v>
      </x:c>
      <x:c r="R481" s="15" t="str">
        <x:v>PH Data Strategy and Azure Data Lake setup(PSE)</x:v>
      </x:c>
      <x:c r="S481" s="15" t="str"/>
      <x:c r="T481" s="15" t="str"/>
    </x:row>
    <x:row r="482">
      <x:c r="A482" s="15" t="str">
        <x:v>Bu-305</x:v>
      </x:c>
      <x:c r="B482" s="15" t="str">
        <x:v>Bu-305</x:v>
      </x:c>
      <x:c r="C482" s="15" t="str"/>
      <x:c r="D482" s="15" t="str">
        <x:v>Bu</x:v>
      </x:c>
      <x:c r="E482" s="15" t="n">
        <x:v>631</x:v>
      </x:c>
      <x:c r="F482" s="15" t="str">
        <x:v>BU Led</x:v>
      </x:c>
      <x:c r="G482" s="15" t="str">
        <x:v>Personal Health (PH)</x:v>
      </x:c>
      <x:c r="H482" s="15" t="str">
        <x:v>Global Trade Compliance (Horizontal)</x:v>
      </x:c>
      <x:c r="I482" s="15" t="str">
        <x:v>New Initiative</x:v>
      </x:c>
      <x:c r="J482" s="15" t="str"/>
      <x:c r="K482" s="15" t="str"/>
      <x:c r="L482" s="19" t="n">
        <x:v>0</x:v>
      </x:c>
      <x:c r="M482" s="19"/>
      <x:c r="N482" s="15" t="str">
        <x:v>Must Do</x:v>
      </x:c>
      <x:c r="O482" s="15" t="str"/>
      <x:c r="P482" s="15" t="str"/>
      <x:c r="Q482" s="15" t="str"/>
      <x:c r="R482" s="15" t="str"/>
      <x:c r="S482" s="15" t="str"/>
      <x:c r="T482" s="15" t="str"/>
    </x:row>
    <x:row r="483">
      <x:c r="A483" s="15" t="str">
        <x:v>Bu-306</x:v>
      </x:c>
      <x:c r="B483" s="15" t="str">
        <x:v>Bu-306</x:v>
      </x:c>
      <x:c r="C483" s="15" t="str"/>
      <x:c r="D483" s="15" t="str">
        <x:v>Bu</x:v>
      </x:c>
      <x:c r="E483" s="15" t="n">
        <x:v>632</x:v>
      </x:c>
      <x:c r="F483" s="15" t="str">
        <x:v>BU Led</x:v>
      </x:c>
      <x:c r="G483" s="15" t="str">
        <x:v>Personal Health (PH)</x:v>
      </x:c>
      <x:c r="H483" s="15" t="str">
        <x:v>Google Web analytics for D2C store</x:v>
      </x:c>
      <x:c r="I483" s="15" t="str">
        <x:v>New Initiative</x:v>
      </x:c>
      <x:c r="J483" s="15" t="str"/>
      <x:c r="K483" s="15" t="str"/>
      <x:c r="L483" s="19" t="n">
        <x:v>0</x:v>
      </x:c>
      <x:c r="M483" s="19"/>
      <x:c r="N483" s="15" t="str">
        <x:v>Deprioritised</x:v>
      </x:c>
      <x:c r="O483" s="15" t="str"/>
      <x:c r="P483" s="15" t="str"/>
      <x:c r="Q483" s="15" t="str"/>
      <x:c r="R483" s="15" t="str"/>
      <x:c r="S483" s="15" t="str"/>
      <x:c r="T483" s="15" t="str"/>
    </x:row>
    <x:row r="484">
      <x:c r="A484" s="15" t="str">
        <x:v>Bu-307</x:v>
      </x:c>
      <x:c r="B484" s="15" t="str">
        <x:v>Bu-307</x:v>
      </x:c>
      <x:c r="C484" s="15" t="str"/>
      <x:c r="D484" s="15" t="str">
        <x:v>Bu</x:v>
      </x:c>
      <x:c r="E484" s="15" t="n">
        <x:v>633</x:v>
      </x:c>
      <x:c r="F484" s="15" t="str">
        <x:v>BU Led</x:v>
      </x:c>
      <x:c r="G484" s="15" t="str">
        <x:v>Personal Health (PH)</x:v>
      </x:c>
      <x:c r="H484" s="15" t="str">
        <x:v>Innovation Roadmapping &amp; Programming</x:v>
      </x:c>
      <x:c r="I484" s="15" t="str">
        <x:v>New Initiative</x:v>
      </x:c>
      <x:c r="J484" s="15" t="str"/>
      <x:c r="K484" s="15" t="str"/>
      <x:c r="L484" s="19" t="n">
        <x:v>0</x:v>
      </x:c>
      <x:c r="M484" s="19"/>
      <x:c r="N484" s="15" t="str">
        <x:v>Deprioritised</x:v>
      </x:c>
      <x:c r="O484" s="15" t="str"/>
      <x:c r="P484" s="15" t="str"/>
      <x:c r="Q484" s="15" t="str"/>
      <x:c r="R484" s="15" t="str"/>
      <x:c r="S484" s="15" t="str"/>
      <x:c r="T484" s="15" t="str"/>
    </x:row>
    <x:row r="485">
      <x:c r="A485" s="15" t="str">
        <x:v>Bu-308</x:v>
      </x:c>
      <x:c r="B485" s="15" t="str">
        <x:v>Bu-308</x:v>
      </x:c>
      <x:c r="C485" s="15" t="str"/>
      <x:c r="D485" s="15" t="str">
        <x:v>Bu</x:v>
      </x:c>
      <x:c r="E485" s="15" t="n">
        <x:v>634</x:v>
      </x:c>
      <x:c r="F485" s="15" t="str">
        <x:v>BU Led</x:v>
      </x:c>
      <x:c r="G485" s="15" t="str">
        <x:v>Personal Health (PH)</x:v>
      </x:c>
      <x:c r="H485" s="15" t="str">
        <x:v>ISC Data Quality (Horizontal) &amp; IWD</x:v>
      </x:c>
      <x:c r="I485" s="15" t="str">
        <x:v>New Initiative</x:v>
      </x:c>
      <x:c r="J485" s="15" t="str"/>
      <x:c r="K485" s="15" t="str"/>
      <x:c r="L485" s="19" t="n">
        <x:v>0</x:v>
      </x:c>
      <x:c r="M485" s="19"/>
      <x:c r="N485" s="15" t="str">
        <x:v>Must Do</x:v>
      </x:c>
      <x:c r="O485" s="15" t="str"/>
      <x:c r="P485" s="15" t="str"/>
      <x:c r="Q485" s="15" t="str"/>
      <x:c r="R485" s="15" t="str"/>
      <x:c r="S485" s="15" t="str"/>
      <x:c r="T485" s="15" t="str"/>
    </x:row>
    <x:row r="486">
      <x:c r="A486" s="15" t="str">
        <x:v>Bu-309</x:v>
      </x:c>
      <x:c r="B486" s="15" t="str">
        <x:v>Bu-309</x:v>
      </x:c>
      <x:c r="C486" s="15" t="str"/>
      <x:c r="D486" s="15" t="str">
        <x:v>Bu</x:v>
      </x:c>
      <x:c r="E486" s="15" t="n">
        <x:v>635</x:v>
      </x:c>
      <x:c r="F486" s="15" t="str">
        <x:v>BU Led</x:v>
      </x:c>
      <x:c r="G486" s="15" t="str">
        <x:v>Personal Health (PH)</x:v>
      </x:c>
      <x:c r="H486" s="15" t="str">
        <x:v>KSA (SA11) New 3PL Partner Project</x:v>
      </x:c>
      <x:c r="I486" s="15" t="str">
        <x:v>New Initiative</x:v>
      </x:c>
      <x:c r="J486" s="15" t="str"/>
      <x:c r="K486" s="15" t="str">
        <x:v>Integrated Supply Chain &amp; Finance</x:v>
      </x:c>
      <x:c r="L486" s="19" t="n">
        <x:v>0.669</x:v>
      </x:c>
      <x:c r="M486" s="19"/>
      <x:c r="N486" s="15" t="str">
        <x:v>Must Have</x:v>
      </x:c>
      <x:c r="O486" s="15" t="str"/>
      <x:c r="P486" s="15" t="str"/>
      <x:c r="Q486" s="15" t="str"/>
      <x:c r="R486" s="15" t="str"/>
      <x:c r="S486" s="15" t="str"/>
      <x:c r="T486" s="15" t="str"/>
    </x:row>
    <x:row r="487">
      <x:c r="A487" s="15" t="str">
        <x:v>Bu-310</x:v>
      </x:c>
      <x:c r="B487" s="15" t="str">
        <x:v>Bu-310</x:v>
      </x:c>
      <x:c r="C487" s="15" t="str"/>
      <x:c r="D487" s="15" t="str">
        <x:v>Bu</x:v>
      </x:c>
      <x:c r="E487" s="15" t="n">
        <x:v>636</x:v>
      </x:c>
      <x:c r="F487" s="15" t="str">
        <x:v>BU Led</x:v>
      </x:c>
      <x:c r="G487" s="15" t="str">
        <x:v>Personal Health (PH)</x:v>
      </x:c>
      <x:c r="H487" s="15" t="str">
        <x:v>Labelling (IPL as a launch)</x:v>
      </x:c>
      <x:c r="I487" s="15" t="str">
        <x:v>New Initiative</x:v>
      </x:c>
      <x:c r="J487" s="15" t="str"/>
      <x:c r="K487" s="15" t="str"/>
      <x:c r="L487" s="19" t="n">
        <x:v>0</x:v>
      </x:c>
      <x:c r="M487" s="19"/>
      <x:c r="N487" s="15" t="str">
        <x:v>Deprioritised</x:v>
      </x:c>
      <x:c r="O487" s="15" t="str"/>
      <x:c r="P487" s="15" t="str"/>
      <x:c r="Q487" s="15" t="str"/>
      <x:c r="R487" s="15" t="str"/>
      <x:c r="S487" s="15" t="str"/>
      <x:c r="T487" s="15" t="str"/>
    </x:row>
    <x:row r="488">
      <x:c r="A488" s="15" t="str">
        <x:v>Bu-311</x:v>
      </x:c>
      <x:c r="B488" s="15" t="str">
        <x:v>Bu-311</x:v>
      </x:c>
      <x:c r="C488" s="15" t="str"/>
      <x:c r="D488" s="15" t="str">
        <x:v>Bu</x:v>
      </x:c>
      <x:c r="E488" s="15" t="n">
        <x:v>637</x:v>
      </x:c>
      <x:c r="F488" s="15" t="str">
        <x:v>BU Led</x:v>
      </x:c>
      <x:c r="G488" s="15" t="str">
        <x:v>Personal Health (PH)</x:v>
      </x:c>
      <x:c r="H488" s="15" t="str">
        <x:v>Performance Analytics</x:v>
      </x:c>
      <x:c r="I488" s="15" t="str">
        <x:v>New Initiative</x:v>
      </x:c>
      <x:c r="J488" s="15" t="str"/>
      <x:c r="K488" s="15" t="str"/>
      <x:c r="L488" s="19" t="n">
        <x:v>0.54</x:v>
      </x:c>
      <x:c r="M488" s="19"/>
      <x:c r="N488" s="15" t="str">
        <x:v>Must Do</x:v>
      </x:c>
      <x:c r="O488" s="15" t="str">
        <x:v>Usres continue across multiple dashbaords to track critical KPIs like sell out, pricing , distribution CMC &amp; Shopper insights</x:v>
      </x:c>
      <x:c r="P488" s="15" t="str">
        <x: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x:v>
      </x:c>
      <x:c r="Q488" s="15" t="str">
        <x:v>Launch BU AI agents for G&amp;B, OHC, and M&amp;CC to enable conversational business insights.</x:v>
      </x:c>
      <x:c r="R488" s="15" t="str"/>
      <x:c r="S488" s="15" t="str"/>
      <x:c r="T488" s="15" t="str"/>
    </x:row>
    <x:row r="489">
      <x:c r="A489" s="15" t="str">
        <x:v>Bu-312</x:v>
      </x:c>
      <x:c r="B489" s="15" t="str">
        <x:v>Bu-312</x:v>
      </x:c>
      <x:c r="C489" s="15" t="str"/>
      <x:c r="D489" s="15" t="str">
        <x:v>Bu</x:v>
      </x:c>
      <x:c r="E489" s="15" t="n">
        <x:v>641</x:v>
      </x:c>
      <x:c r="F489" s="15" t="str">
        <x:v>BU Led</x:v>
      </x:c>
      <x:c r="G489" s="15" t="str">
        <x:v>Personal Health (PH)</x:v>
      </x:c>
      <x:c r="H489" s="15" t="str">
        <x:v>PH Material Management (OMM) AI Program</x:v>
      </x:c>
      <x:c r="I489" s="15" t="str">
        <x:v>New Initiative</x:v>
      </x:c>
      <x:c r="J489" s="15" t="str"/>
      <x:c r="K489" s="15" t="str">
        <x:v>Integrated Supply Chain &amp; Finance</x:v>
      </x:c>
      <x:c r="L489" s="19" t="n">
        <x:v>0.19</x:v>
      </x:c>
      <x:c r="M489" s="19"/>
      <x:c r="N489" s="15" t="str">
        <x:v>Must Do</x:v>
      </x:c>
      <x:c r="O489" s="15" t="str"/>
      <x:c r="P489" s="15" t="str"/>
      <x:c r="Q489" s="15" t="str"/>
      <x:c r="R489" s="15" t="str"/>
      <x:c r="S489" s="15" t="str"/>
      <x:c r="T489" s="15" t="str"/>
    </x:row>
    <x:row r="490">
      <x:c r="A490" s="15" t="str">
        <x:v>Bu-313</x:v>
      </x:c>
      <x:c r="B490" s="15" t="str">
        <x:v>Bu-313</x:v>
      </x:c>
      <x:c r="C490" s="15" t="str"/>
      <x:c r="D490" s="15" t="str">
        <x:v>Bu</x:v>
      </x:c>
      <x:c r="E490" s="15" t="n">
        <x:v>642</x:v>
      </x:c>
      <x:c r="F490" s="15" t="str">
        <x:v>BU Led</x:v>
      </x:c>
      <x:c r="G490" s="15" t="str">
        <x:v>Personal Health (PH)</x:v>
      </x:c>
      <x:c r="H490" s="15" t="str">
        <x:v>Philips.com Growth Engine – Unlocking the value of our new platform</x:v>
      </x:c>
      <x:c r="I490" s="15" t="str">
        <x:v>New Initiative</x:v>
      </x:c>
      <x:c r="J490" s="15" t="str"/>
      <x:c r="K490" s="15" t="str"/>
      <x:c r="L490" s="19" t="n">
        <x:v>0.9</x:v>
      </x:c>
      <x:c r="M490" s="19"/>
      <x:c r="N490" s="15" t="str">
        <x:v>Must Do</x:v>
      </x:c>
      <x:c r="O490" s="15" t="str"/>
      <x:c r="P490" s="15" t="str"/>
      <x:c r="Q490" s="15" t="str"/>
      <x:c r="R490" s="15" t="str"/>
      <x:c r="S490" s="15" t="str"/>
      <x:c r="T490" s="15" t="str"/>
    </x:row>
    <x:row r="491">
      <x:c r="A491" s="15" t="str">
        <x:v>Bu-314</x:v>
      </x:c>
      <x:c r="B491" s="15" t="str">
        <x:v>Bu-314</x:v>
      </x:c>
      <x:c r="C491" s="15" t="str"/>
      <x:c r="D491" s="15" t="str">
        <x:v>Bu</x:v>
      </x:c>
      <x:c r="E491" s="15" t="n">
        <x:v>643</x:v>
      </x:c>
      <x:c r="F491" s="15" t="str">
        <x:v>BU Led</x:v>
      </x:c>
      <x:c r="G491" s="15" t="str">
        <x:v>Personal Health (PH)</x:v>
      </x:c>
      <x:c r="H491" s="15" t="str">
        <x:v>Powering the AI-Native Organization</x:v>
      </x:c>
      <x:c r="I491" s="15" t="str">
        <x:v>New Initiative</x:v>
      </x:c>
      <x:c r="J491" s="15" t="str"/>
      <x:c r="K491" s="15" t="str"/>
      <x:c r="L491" s="19" t="n">
        <x:v>0</x:v>
      </x:c>
      <x:c r="M491" s="19"/>
      <x:c r="N491" s="15" t="str">
        <x:v>Deprioritised</x:v>
      </x:c>
      <x:c r="O491" s="15" t="str"/>
      <x:c r="P491" s="15" t="str"/>
      <x:c r="Q491" s="15" t="str"/>
      <x:c r="R491" s="15" t="str"/>
      <x:c r="S491" s="15" t="str"/>
      <x:c r="T491" s="15" t="str"/>
    </x:row>
    <x:row r="492">
      <x:c r="A492" s="15" t="str">
        <x:v>Bu-315</x:v>
      </x:c>
      <x:c r="B492" s="15" t="str">
        <x:v>Bu-315</x:v>
      </x:c>
      <x:c r="C492" s="15" t="str"/>
      <x:c r="D492" s="15" t="str">
        <x:v>Bu</x:v>
      </x:c>
      <x:c r="E492" s="15" t="n">
        <x:v>644</x:v>
      </x:c>
      <x:c r="F492" s="15" t="str">
        <x:v>BU Led</x:v>
      </x:c>
      <x:c r="G492" s="15" t="str">
        <x:v>Personal Health (PH)</x:v>
      </x:c>
      <x:c r="H492" s="15" t="str">
        <x:v>Product Tester Platform: audit, stabilization &amp; future direction</x:v>
      </x:c>
      <x:c r="I492" s="15" t="str">
        <x:v>New Initiative</x:v>
      </x:c>
      <x:c r="J492" s="15" t="str"/>
      <x:c r="K492" s="15" t="str"/>
      <x:c r="L492" s="19" t="n">
        <x:v>0.2</x:v>
      </x:c>
      <x:c r="M492" s="19"/>
      <x:c r="N492" s="15" t="str">
        <x:v>Must Do</x:v>
      </x:c>
      <x:c r="O492" s="15" t="str"/>
      <x:c r="P492" s="15" t="str"/>
      <x:c r="Q492" s="15" t="str"/>
      <x:c r="R492" s="15" t="str"/>
      <x:c r="S492" s="15" t="str"/>
      <x:c r="T492" s="15" t="str"/>
    </x:row>
    <x:row r="493">
      <x:c r="A493" s="15" t="str">
        <x:v>Bu-316</x:v>
      </x:c>
      <x:c r="B493" s="15" t="str">
        <x:v>Bu-316</x:v>
      </x:c>
      <x:c r="C493" s="15" t="str"/>
      <x:c r="D493" s="15" t="str">
        <x:v>Bu</x:v>
      </x:c>
      <x:c r="E493" s="15" t="n">
        <x:v>645</x:v>
      </x:c>
      <x:c r="F493" s="15" t="str">
        <x:v>BU Led</x:v>
      </x:c>
      <x:c r="G493" s="15" t="str">
        <x:v>Personal Health (PH)</x:v>
      </x:c>
      <x:c r="H493" s="15" t="str">
        <x:v>RegMem in a Day</x:v>
      </x:c>
      <x:c r="I493" s="15" t="str">
        <x:v>New Initiative</x:v>
      </x:c>
      <x:c r="J493" s="15" t="str"/>
      <x:c r="K493" s="15" t="str">
        <x:v>Integrated Supply Chain &amp; Finance</x:v>
      </x:c>
      <x:c r="L493" s="19" t="n">
        <x:v>0.15</x:v>
      </x:c>
      <x:c r="M493" s="19"/>
      <x:c r="N493" s="15" t="str">
        <x:v>Must Do</x:v>
      </x:c>
      <x:c r="O493" s="15" t="str"/>
      <x:c r="P493" s="15" t="str"/>
      <x:c r="Q493" s="15" t="str"/>
      <x:c r="R493" s="15" t="str"/>
      <x:c r="S493" s="15" t="str"/>
      <x:c r="T493" s="15" t="str"/>
    </x:row>
    <x:row r="494">
      <x:c r="A494" s="15" t="str">
        <x:v>Bu-317</x:v>
      </x:c>
      <x:c r="B494" s="15" t="str">
        <x:v>Bu-317</x:v>
      </x:c>
      <x:c r="C494" s="15" t="str"/>
      <x:c r="D494" s="15" t="str">
        <x:v>Bu</x:v>
      </x:c>
      <x:c r="E494" s="15" t="n">
        <x:v>646</x:v>
      </x:c>
      <x:c r="F494" s="15" t="str">
        <x:v>BU Led</x:v>
      </x:c>
      <x:c r="G494" s="15" t="str">
        <x:v>Personal Health (PH)</x:v>
      </x:c>
      <x:c r="H494" s="15" t="str">
        <x:v>Sales &amp; Margin Agent</x:v>
      </x:c>
      <x:c r="I494" s="15" t="str">
        <x:v>New Initiative</x:v>
      </x:c>
      <x:c r="J494" s="15" t="str">
        <x:v>Continous Improvement</x:v>
      </x:c>
      <x:c r="K494" s="15" t="str">
        <x:v>Innovation and Digital IT</x:v>
      </x:c>
      <x:c r="L494" s="19" t="n">
        <x:v>0.05</x:v>
      </x:c>
      <x:c r="M494" s="19"/>
      <x:c r="N494" s="15" t="str">
        <x:v>Must Have</x:v>
      </x:c>
      <x:c r="O494" s="15" t="str">
        <x:v>Productivity loss</x:v>
      </x:c>
      <x:c r="P494" s="15" t="str">
        <x:v>To streamline the business decision-making process based on descriptive and prescriptive financials across PH. An AI agent that will support with instant answers to financial status and outlook of any product range and customer across PH.</x:v>
      </x:c>
      <x:c r="Q494" s="15" t="str">
        <x:v>Full implementation across BU’s and regions with clear RACI across PH</x:v>
      </x:c>
      <x:c r="R494" s="15" t="str"/>
      <x:c r="S494" s="15" t="str"/>
      <x:c r="T494" s="15" t="str"/>
    </x:row>
    <x:row r="495">
      <x:c r="A495" s="15" t="str">
        <x:v>Bu-318</x:v>
      </x:c>
      <x:c r="B495" s="15" t="str">
        <x:v>Bu-318</x:v>
      </x:c>
      <x:c r="C495" s="15" t="str"/>
      <x:c r="D495" s="15" t="str">
        <x:v>Bu</x:v>
      </x:c>
      <x:c r="E495" s="15" t="n">
        <x:v>647</x:v>
      </x:c>
      <x:c r="F495" s="15" t="str">
        <x:v>BU Led</x:v>
      </x:c>
      <x:c r="G495" s="15" t="str">
        <x:v>Personal Health (PH)</x:v>
      </x:c>
      <x:c r="H495" s="15" t="str">
        <x:v>Salsify to data lake integration</x:v>
      </x:c>
      <x:c r="I495" s="15" t="str">
        <x:v>New Initiative</x:v>
      </x:c>
      <x:c r="J495" s="15" t="str">
        <x:v>New Feature</x:v>
      </x:c>
      <x:c r="K495" s="15" t="str">
        <x:v>Innovation and Digital IT</x:v>
      </x:c>
      <x:c r="L495" s="19" t="n">
        <x:v>0.12</x:v>
      </x:c>
      <x:c r="M495" s="19"/>
      <x:c r="N495" s="15" t="str">
        <x:v>Must Do</x:v>
      </x:c>
      <x:c r="O495" s="15" t="str">
        <x:v>Risk Reduction</x:v>
      </x:c>
      <x:c r="P495" s="15" t="str">
        <x:v>Support regional GEO initiatives by resolving gaps in product data completeness.</x:v>
      </x:c>
      <x:c r="Q495" s="15" t="str">
        <x:v>Highlight Key capabilities required, any new licenses required? / any new contract required? Need to capture in Salsify logistical data, safety and compliance data, battery information, feature callouts, quality of product life attributes, product compatibility, etc.</x:v>
      </x:c>
      <x:c r="R495" s="15" t="str"/>
      <x:c r="S495" s="15" t="str"/>
      <x:c r="T495" s="15" t="str"/>
    </x:row>
    <x:row r="496">
      <x:c r="A496" s="15" t="str">
        <x:v>Bu-319</x:v>
      </x:c>
      <x:c r="B496" s="15" t="str">
        <x:v>Bu-319</x:v>
      </x:c>
      <x:c r="C496" s="15" t="str"/>
      <x:c r="D496" s="15" t="str">
        <x:v>Bu</x:v>
      </x:c>
      <x:c r="E496" s="15" t="n">
        <x:v>653</x:v>
      </x:c>
      <x:c r="F496" s="15" t="str">
        <x:v>BU Led</x:v>
      </x:c>
      <x:c r="G496" s="15" t="str">
        <x:v>Personal Health (PH)</x:v>
      </x:c>
      <x:c r="H496" s="15" t="str">
        <x:v>Telephony Transformation - End-of-Life Replacement</x:v>
      </x:c>
      <x:c r="I496" s="15" t="str">
        <x:v>New Initiative</x:v>
      </x:c>
      <x:c r="J496" s="15" t="str"/>
      <x:c r="K496" s="15" t="str"/>
      <x:c r="L496" s="19" t="n">
        <x:v>0.3</x:v>
      </x:c>
      <x:c r="M496" s="19"/>
      <x:c r="N496" s="15" t="str">
        <x:v>Must Have</x:v>
      </x:c>
      <x:c r="O496" s="15" t="str">
        <x:v>Care risks an unsupported CTI path and delayed voice-data foundation.</x:v>
      </x:c>
      <x:c r="P496" s="15" t="str">
        <x:v>Replace the current CTI path because support changes require a new telephony integration decision.</x:v>
      </x:c>
      <x:c r="Q496" s="15" t="str">
        <x:v>Validate and decide replacement option: AWS / Genesys / Salesforce Voice.</x:v>
      </x:c>
      <x:c r="R496" s="15" t="str">
        <x:v>XcellentCare; PVC; telephony decision</x:v>
      </x:c>
      <x:c r="S496" s="15" t="str"/>
      <x:c r="T496" s="15" t="str"/>
    </x:row>
    <x:row r="497">
      <x:c r="A497" s="15" t="str">
        <x:v>Bu-320</x:v>
      </x:c>
      <x:c r="B497" s="15" t="str">
        <x:v>Bu-320</x:v>
      </x:c>
      <x:c r="C497" s="15" t="str"/>
      <x:c r="D497" s="15" t="str">
        <x:v>Bu</x:v>
      </x:c>
      <x:c r="E497" s="15" t="n">
        <x:v>657</x:v>
      </x:c>
      <x:c r="F497" s="15" t="str">
        <x:v>BU Led</x:v>
      </x:c>
      <x:c r="G497" s="15" t="str">
        <x:v>Personal Health (PH)</x:v>
      </x:c>
      <x:c r="H497" s="15" t="str">
        <x:v>TikTok Automated Consignment Flow</x:v>
      </x:c>
      <x:c r="I497" s="15" t="str">
        <x:v>New Initiative</x:v>
      </x:c>
      <x:c r="J497" s="15" t="str"/>
      <x:c r="K497" s="15" t="str">
        <x:v>Integrated Supply Chain &amp; Finance</x:v>
      </x:c>
      <x:c r="L497" s="19" t="n">
        <x:v>0.245</x:v>
      </x:c>
      <x:c r="M497" s="19"/>
      <x:c r="N497" s="15" t="str">
        <x:v>Must Have</x:v>
      </x:c>
      <x:c r="O497" s="15" t="str">
        <x:v>Missing out on selling opportunities via popular social platoform like tiktok</x:v>
      </x:c>
      <x:c r="P497" s="15" t="str"/>
      <x:c r="Q497" s="15" t="str"/>
      <x:c r="R497" s="15" t="str"/>
      <x:c r="S497" s="15" t="str"/>
      <x:c r="T497" s="15" t="str"/>
    </x:row>
    <x:row r="498">
      <x:c r="A498" s="15" t="str">
        <x:v>Bu-321</x:v>
      </x:c>
      <x:c r="B498" s="15" t="str">
        <x:v>Bu-321</x:v>
      </x:c>
      <x:c r="C498" s="15" t="str"/>
      <x:c r="D498" s="15" t="str">
        <x:v>Bu</x:v>
      </x:c>
      <x:c r="E498" s="15" t="n">
        <x:v>658</x:v>
      </x:c>
      <x:c r="F498" s="15" t="str">
        <x:v>BU Led</x:v>
      </x:c>
      <x:c r="G498" s="15" t="str">
        <x:v>Personal Health (PH)</x:v>
      </x:c>
      <x:c r="H498" s="15" t="str">
        <x:v>Touchless Supply chain</x:v>
      </x:c>
      <x:c r="I498" s="15" t="str">
        <x:v>New Initiative</x:v>
      </x:c>
      <x:c r="J498" s="15" t="str"/>
      <x:c r="K498" s="15" t="str"/>
      <x:c r="L498" s="19" t="n">
        <x:v>0</x:v>
      </x:c>
      <x:c r="M498" s="19"/>
      <x:c r="N498" s="15" t="str">
        <x:v>Must Do</x:v>
      </x:c>
      <x:c r="O498" s="15" t="str"/>
      <x:c r="P498" s="15" t="str"/>
      <x:c r="Q498" s="15" t="str"/>
      <x:c r="R498" s="15" t="str"/>
      <x:c r="S498" s="15" t="str"/>
      <x:c r="T498" s="15" t="str"/>
    </x:row>
    <x:row r="499">
      <x:c r="A499" s="15" t="str">
        <x:v>Bu-322</x:v>
      </x:c>
      <x:c r="B499" s="15" t="str">
        <x:v>Bu-322</x:v>
      </x:c>
      <x:c r="C499" s="15" t="str"/>
      <x:c r="D499" s="15" t="str">
        <x:v>Bu</x:v>
      </x:c>
      <x:c r="E499" s="15" t="n">
        <x:v>659</x:v>
      </x:c>
      <x:c r="F499" s="15" t="str">
        <x:v>BU Led</x:v>
      </x:c>
      <x:c r="G499" s="15" t="str">
        <x:v>Ambulatory Monitoring and Diagnostics (AM&amp;D)</x:v>
      </x:c>
      <x:c r="H499" s="15" t="str">
        <x:v>Codebeamer Onboarding</x:v>
      </x:c>
      <x:c r="I499" s="15" t="str">
        <x:v>New Initiative</x:v>
      </x:c>
      <x:c r="J499" s="15" t="str">
        <x:v>Continous Improvement</x:v>
      </x:c>
      <x:c r="K499" s="15" t="str">
        <x:v>Innovation and Digital IT</x:v>
      </x:c>
      <x:c r="L499" s="19" t="n">
        <x:v>0.4</x:v>
      </x:c>
      <x:c r="M499" s="19"/>
      <x:c r="N499" s="15" t="str">
        <x:v>Must Have</x:v>
      </x:c>
      <x:c r="O499" s="15" t="str">
        <x:v>A document-centric PLM solution will delay our transition to a data-driven PLM tool, limiting automation, traceability, and end-to-end digitalization.</x:v>
      </x:c>
      <x:c r="P499" s="15" t="str">
        <x:v>Currently document based DDF and content is managed in various tools with significant manual effort. (One of the focus of Philips Elevate project.)</x:v>
      </x:c>
      <x:c r="Q499" s="15" t="str">
        <x: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x:v>
      </x:c>
      <x:c r="R499" s="15" t="str"/>
      <x:c r="S499" s="15" t="str"/>
      <x:c r="T499" s="15" t="str"/>
    </x:row>
    <x:row r="500">
      <x:c r="A500" s="15" t="str">
        <x:v>Bu-323</x:v>
      </x:c>
      <x:c r="B500" s="15" t="str">
        <x:v>Bu-323</x:v>
      </x:c>
      <x:c r="C500" s="15" t="str"/>
      <x:c r="D500" s="15" t="str">
        <x:v>Bu</x:v>
      </x:c>
      <x:c r="E500" s="15" t="n">
        <x:v>660</x:v>
      </x:c>
      <x:c r="F500" s="15" t="str">
        <x:v>BU Led</x:v>
      </x:c>
      <x:c r="G500" s="15" t="str">
        <x:v>Ambulatory Monitoring and Diagnostics (AM&amp;D)</x:v>
      </x:c>
      <x:c r="H500" s="15" t="str">
        <x:v>Windchill customization/integration to support automation</x:v>
      </x:c>
      <x:c r="I500" s="15" t="str">
        <x:v>Change &amp; Sustain</x:v>
      </x:c>
      <x:c r="J500" s="15" t="str">
        <x:v>Upgrades &amp; Enhancements</x:v>
      </x:c>
      <x:c r="K500" s="15" t="str">
        <x:v>Innovation and Digital IT</x:v>
      </x:c>
      <x:c r="L500" s="19" t="n">
        <x:v>0.025</x:v>
      </x:c>
      <x:c r="M500" s="19"/>
      <x:c r="N500" s="15" t="str">
        <x:v>Must Have</x:v>
      </x:c>
      <x:c r="O500" s="15" t="str">
        <x:v>Manual effort to update release documentation</x:v>
      </x:c>
      <x:c r="P500" s="15" t="str"/>
      <x:c r="Q500" s="15" t="str">
        <x:v>Reservation for enhancing automation from our CI/CD to Windchill</x:v>
      </x:c>
      <x:c r="R500" s="15" t="str"/>
      <x:c r="S500" s="15" t="str"/>
      <x:c r="T500" s="15" t="str"/>
    </x:row>
    <x:row r="501">
      <x:c r="A501" s="15" t="str">
        <x:v>Bu-324</x:v>
      </x:c>
      <x:c r="B501" s="15" t="str">
        <x:v>Bu-324</x:v>
      </x:c>
      <x:c r="C501" s="15" t="str"/>
      <x:c r="D501" s="15" t="str">
        <x:v>Bu</x:v>
      </x:c>
      <x:c r="E501" s="15" t="n">
        <x:v>661</x:v>
      </x:c>
      <x:c r="F501" s="15" t="str">
        <x:v>BU Led</x:v>
      </x:c>
      <x:c r="G501" s="15" t="str">
        <x:v>Ambulatory Monitoring and Diagnostics (AM&amp;D)</x:v>
      </x:c>
      <x:c r="H501" s="15" t="str">
        <x:v>Advanced resource and capacity management (PARP) Onboarding / Adoption</x:v>
      </x:c>
      <x:c r="I501" s="15" t="str">
        <x:v>Change &amp; Sustain</x:v>
      </x:c>
      <x:c r="J501" s="15" t="str">
        <x:v>Continous Improvement</x:v>
      </x:c>
      <x:c r="K501" s="15" t="str">
        <x:v>Innovation and Digital IT</x:v>
      </x:c>
      <x:c r="L501" s="19" t="n">
        <x:v>0.03</x:v>
      </x:c>
      <x:c r="M501" s="19"/>
      <x:c r="N501" s="15" t="str">
        <x:v>Must Have</x:v>
      </x:c>
      <x:c r="O501" s="15" t="str"/>
      <x:c r="P501" s="15" t="str"/>
      <x:c r="Q501" s="15" t="str">
        <x:v>Reservation for PARP adoption</x:v>
      </x:c>
      <x:c r="R501" s="15" t="str"/>
      <x:c r="S501" s="15" t="str"/>
      <x:c r="T501" s="15" t="str"/>
    </x:row>
    <x:row r="502">
      <x:c r="A502" s="15" t="str">
        <x:v>Bu-325</x:v>
      </x:c>
      <x:c r="B502" s="15" t="str">
        <x:v>Bu-325</x:v>
      </x:c>
      <x:c r="C502" s="15" t="str">
        <x:v>NEW</x:v>
      </x:c>
      <x:c r="D502" s="15" t="str">
        <x:v>Bu</x:v>
      </x:c>
      <x:c r="E502" s="15" t="n">
        <x:v>662</x:v>
      </x:c>
      <x:c r="F502" s="15" t="str">
        <x:v>BU Led</x:v>
      </x:c>
      <x:c r="G502" s="15" t="str">
        <x:v>CoE Marketing – HS (former DMEC)</x:v>
      </x:c>
      <x:c r="H502" s="15" t="str">
        <x:v>Hybris Feature Enhancements (Service Parts Capabilities, AI powered commerce, etc)</x:v>
      </x:c>
      <x:c r="I502" s="15" t="str"/>
      <x:c r="J502" s="15" t="str"/>
      <x:c r="K502" s="15" t="str">
        <x:v>Innovation and Digital IT</x:v>
      </x:c>
      <x:c r="L502" s="19" t="n">
        <x:v>0.5</x:v>
      </x:c>
      <x:c r="M502" s="19"/>
      <x:c r="N502" s="15" t="str">
        <x:v>Must Do</x:v>
      </x:c>
      <x:c r="O502" s="15" t="str">
        <x:v>Drive better customer purchase experience (OIT) - Revenue at risk without innovative solutions</x:v>
      </x:c>
      <x:c r="P502" s="15" t="str">
        <x:v>Headless eComm now offers the opportunity to deploy innovative solutions and new features, like product bundling with promotions and services and personalized commerce experience. Without these features we continue to lose available OIT</x:v>
      </x:c>
      <x:c r="Q502" s="15" t="str">
        <x:v>Development and expansion of existing tools (COVEO) to support enhanced search, personalization, service part check-out, and other eCommerce features to drive increased order value and OIT</x:v>
      </x:c>
      <x:c r="R502" s="15" t="str"/>
      <x:c r="S502" s="15" t="str"/>
      <x:c r="T502" s="15" t="str"/>
    </x:row>
    <x:row r="503">
      <x:c r="A503" s="15" t="str">
        <x:v>Bu-326</x:v>
      </x:c>
      <x:c r="B503" s="15" t="str">
        <x:v>Bu-326</x:v>
      </x:c>
      <x:c r="C503" s="15" t="str"/>
      <x:c r="D503" s="15" t="str">
        <x:v>Bu</x:v>
      </x:c>
      <x:c r="E503" s="15" t="n">
        <x:v>663</x:v>
      </x:c>
      <x:c r="F503" s="15" t="str">
        <x:v>BU Led</x:v>
      </x:c>
      <x:c r="G503" s="15" t="str"/>
      <x:c r="H503" s="15" t="str"/>
      <x:c r="I503" s="15" t="str"/>
      <x:c r="J503" s="15" t="str"/>
      <x:c r="K503" s="15" t="str"/>
      <x:c r="L503" s="19" t="n">
        <x:v>0</x:v>
      </x:c>
      <x:c r="M503" s="19"/>
      <x:c r="N503" s="15" t="str"/>
      <x:c r="O503" s="15" t="str"/>
      <x:c r="P503" s="15" t="str"/>
      <x:c r="Q503" s="15" t="str"/>
      <x:c r="R503" s="15" t="str"/>
      <x:c r="S503" s="15" t="str"/>
      <x:c r="T503" s="15" t="str"/>
    </x:row>
    <x:row r="504">
      <x:c r="A504" s="15" t="str">
        <x:v>Bu-327</x:v>
      </x:c>
      <x:c r="B504" s="15" t="str">
        <x:v>Bu-327</x:v>
      </x:c>
      <x:c r="C504" s="15" t="str"/>
      <x:c r="D504" s="15" t="str">
        <x:v>Bu</x:v>
      </x:c>
      <x:c r="E504" s="15" t="n">
        <x:v>664</x:v>
      </x:c>
      <x:c r="F504" s="15" t="str">
        <x:v>BU Led</x:v>
      </x:c>
      <x:c r="G504" s="15" t="str"/>
      <x:c r="H504" s="15" t="str"/>
      <x:c r="I504" s="15" t="str"/>
      <x:c r="J504" s="15" t="str"/>
      <x:c r="K504" s="15" t="str"/>
      <x:c r="L504" s="19" t="n">
        <x:v>0</x:v>
      </x:c>
      <x:c r="M504" s="19"/>
      <x:c r="N504" s="15" t="str"/>
      <x:c r="O504" s="15" t="str"/>
      <x:c r="P504" s="15" t="str"/>
      <x:c r="Q504" s="15" t="str"/>
      <x:c r="R504" s="15" t="str"/>
      <x:c r="S504" s="15" t="str"/>
      <x:c r="T504" s="15" t="str"/>
    </x:row>
    <x:row r="505">
      <x:c r="A505" s="15" t="str">
        <x:v>Bu-328</x:v>
      </x:c>
      <x:c r="B505" s="15" t="str">
        <x:v>Bu-328</x:v>
      </x:c>
      <x:c r="C505" s="15" t="str"/>
      <x:c r="D505" s="15" t="str">
        <x:v>Bu</x:v>
      </x:c>
      <x:c r="E505" s="15" t="n">
        <x:v>665</x:v>
      </x:c>
      <x:c r="F505" s="15" t="str">
        <x:v>BU Led</x:v>
      </x:c>
      <x:c r="G505" s="15" t="str"/>
      <x:c r="H505" s="15" t="str"/>
      <x:c r="I505" s="15" t="str"/>
      <x:c r="J505" s="15" t="str"/>
      <x:c r="K505" s="15" t="str"/>
      <x:c r="L505" s="19" t="n">
        <x:v>0</x:v>
      </x:c>
      <x:c r="M505" s="19"/>
      <x:c r="N505" s="15" t="str"/>
      <x:c r="O505" s="15" t="str"/>
      <x:c r="P505" s="15" t="str"/>
      <x:c r="Q505" s="15" t="str"/>
      <x:c r="R505" s="15" t="str"/>
      <x:c r="S505" s="15" t="str"/>
      <x:c r="T505" s="15" t="str"/>
    </x:row>
    <x:row r="506">
      <x:c r="A506" s="15" t="str">
        <x:v>Bu-329</x:v>
      </x:c>
      <x:c r="B506" s="15" t="str">
        <x:v>Bu-329</x:v>
      </x:c>
      <x:c r="C506" s="15" t="str"/>
      <x:c r="D506" s="15" t="str">
        <x:v>Bu</x:v>
      </x:c>
      <x:c r="E506" s="15" t="n">
        <x:v>666</x:v>
      </x:c>
      <x:c r="F506" s="15" t="str">
        <x:v>BU Led</x:v>
      </x:c>
      <x:c r="G506" s="15" t="str"/>
      <x:c r="H506" s="15" t="str"/>
      <x:c r="I506" s="15" t="str"/>
      <x:c r="J506" s="15" t="str"/>
      <x:c r="K506" s="15" t="str"/>
      <x:c r="L506" s="19" t="n">
        <x:v>0</x:v>
      </x:c>
      <x:c r="M506" s="19"/>
      <x:c r="N506" s="15" t="str"/>
      <x:c r="O506" s="15" t="str"/>
      <x:c r="P506" s="15" t="str"/>
      <x:c r="Q506" s="15" t="str"/>
      <x:c r="R506" s="15" t="str"/>
      <x:c r="S506" s="15" t="str"/>
      <x:c r="T506" s="15" t="str"/>
    </x:row>
    <x:row r="507">
      <x:c r="A507" s="15" t="str">
        <x:v>Bu-330</x:v>
      </x:c>
      <x:c r="B507" s="15" t="str">
        <x:v>Bu-330</x:v>
      </x:c>
      <x:c r="C507" s="15" t="str"/>
      <x:c r="D507" s="15" t="str">
        <x:v>Bu</x:v>
      </x:c>
      <x:c r="E507" s="15" t="n">
        <x:v>667</x:v>
      </x:c>
      <x:c r="F507" s="15" t="str">
        <x:v>BU Led</x:v>
      </x:c>
      <x:c r="G507" s="15" t="str">
        <x:v>Precision Diagnosis - Magnetic Resonance (MR)</x:v>
      </x:c>
      <x:c r="H507" s="15" t="str">
        <x:v>CoNQ data model &amp; reporting (warranty, field failures, returns)</x:v>
      </x:c>
      <x:c r="I507" s="15" t="str">
        <x:v>New Initiative</x:v>
      </x:c>
      <x:c r="J507" s="15" t="str"/>
      <x:c r="K507" s="15" t="str"/>
      <x:c r="L507" s="19" t="n">
        <x:v>0.45</x:v>
      </x:c>
      <x:c r="M507" s="19"/>
      <x:c r="N507" s="15" t="str"/>
      <x:c r="O507" s="15" t="str"/>
      <x:c r="P507" s="15" t="str"/>
      <x:c r="Q507" s="15" t="str">
        <x:v>CoNQ value is realised in O2C but the underlying data sits upstream in quality systems, leaving the largest O2C value pool unsized and unmanaged. A common data model is required to quantify the opportunity and track closure across the modalities</x:v>
      </x:c>
      <x:c r="R507" s="15" t="str"/>
      <x:c r="S507" s="15" t="str"/>
      <x:c r="T507" s="15" t="str"/>
    </x:row>
    <x:row r="508">
      <x:c r="A508" s="15" t="str">
        <x:v>Bu-331</x:v>
      </x:c>
      <x:c r="B508" s="15" t="str">
        <x:v>Bu-331</x:v>
      </x:c>
      <x:c r="C508" s="15" t="str"/>
      <x:c r="D508" s="15" t="str">
        <x:v>Bu</x:v>
      </x:c>
      <x:c r="E508" s="15" t="n">
        <x:v>668</x:v>
      </x:c>
      <x:c r="F508" s="15" t="str">
        <x:v>BU Led</x:v>
      </x:c>
      <x:c r="G508" s="15" t="str">
        <x:v>Precision Diagnosis - Magnetic Resonance (MR)</x:v>
      </x:c>
      <x:c r="H508" s="15" t="str">
        <x:v>AI Consumption &amp; Document Processing Optimization</x:v>
      </x:c>
      <x:c r="I508" s="15" t="str">
        <x:v>New Initiative</x:v>
      </x:c>
      <x:c r="J508" s="15" t="str"/>
      <x:c r="K508" s="15" t="str"/>
      <x:c r="L508" s="19" t="n">
        <x:v>0.05</x:v>
      </x:c>
      <x:c r="M508" s="19"/>
      <x:c r="N508" s="15" t="str"/>
      <x:c r="O508" s="15" t="str"/>
      <x:c r="P508" s="15" t="str"/>
      <x:c r="Q508" s="15" t="str">
        <x:v>Establish a reusable AI efficiency framework for PD focused on document intelligence, OCR consolidation, token optimization, model governance, and AI workload reuse. The program will identify and pilot opportunities to reduce AI processing costs. Supports Operational Data Enablement through reusable document-processing workflows and Accelerate Speed to Market by leveraging shared AI intelligence layers and reducing duplicated AI processing across the organization.</x:v>
      </x:c>
      <x:c r="R508" s="15" t="str"/>
      <x:c r="S508" s="15" t="str"/>
      <x:c r="T508" s="15" t="str"/>
    </x:row>
    <x:row r="509">
      <x:c r="A509" s="15" t="str">
        <x:v>Bu-332</x:v>
      </x:c>
      <x:c r="B509" s="15" t="str">
        <x:v>Bu-332</x:v>
      </x:c>
      <x:c r="C509" s="15" t="str"/>
      <x:c r="D509" s="15" t="str">
        <x:v>Bu</x:v>
      </x:c>
      <x:c r="E509" s="15" t="n">
        <x:v>669</x:v>
      </x:c>
      <x:c r="F509" s="15" t="str">
        <x:v>BU Led</x:v>
      </x:c>
      <x:c r="G509" s="15" t="str">
        <x:v>Precision Diagnosis - Magnetic Resonance (MR)</x:v>
      </x:c>
      <x:c r="H509" s="15" t="str">
        <x:v>Learning &amp; IFU Material creation optimzation</x:v>
      </x:c>
      <x:c r="I509" s="15" t="str">
        <x:v>New Initiative</x:v>
      </x:c>
      <x:c r="J509" s="15" t="str"/>
      <x:c r="K509" s="15" t="str"/>
      <x:c r="L509" s="19" t="n">
        <x:v>0.8</x:v>
      </x:c>
      <x:c r="M509" s="19"/>
      <x:c r="N509" s="15" t="str"/>
      <x:c r="O509" s="15" t="str"/>
      <x:c r="P509" s="15" t="str"/>
      <x:c r="Q509" s="15" t="str">
        <x:v>Creation and maintenance of training and Instructions for Use (IFU) content is largely manual, duplicated across teams, and resource intensive. Leveraging digital tools, AI-enabled content generation, and standardized processes will reduce authoring effort, improve consistency and compliance, accelerate content updates, and lower the total cost of ownership for learning and documentation assets across PD</x:v>
      </x:c>
      <x:c r="R509" s="15" t="str"/>
      <x:c r="S509" s="15" t="str"/>
      <x:c r="T509" s="15" t="str"/>
    </x:row>
    <x:row r="510">
      <x:c r="A510" s="15" t="str">
        <x:v>Bu-333</x:v>
      </x:c>
      <x:c r="B510" s="15" t="str">
        <x:v>Bu-333</x:v>
      </x:c>
      <x:c r="C510" s="15" t="str"/>
      <x:c r="D510" s="15" t="str">
        <x:v>Bu</x:v>
      </x:c>
      <x:c r="E510" s="15" t="n">
        <x:v>670</x:v>
      </x:c>
      <x:c r="F510" s="15" t="str">
        <x:v>BU Led</x:v>
      </x:c>
      <x:c r="G510" s="15" t="str">
        <x:v>Precision Diagnosis - Magnetic Resonance (MR)</x:v>
      </x:c>
      <x:c r="H510" s="15" t="str">
        <x:v>ISC connection &amp; cost visibility from SPS</x:v>
      </x:c>
      <x:c r="I510" s="15" t="str">
        <x:v>New Initiative</x:v>
      </x:c>
      <x:c r="J510" s="15" t="str"/>
      <x:c r="K510" s="15" t="str"/>
      <x:c r="L510" s="19" t="n">
        <x:v>0.4</x:v>
      </x:c>
      <x:c r="M510" s="19" t="n">
        <x:v>2</x:v>
      </x:c>
      <x:c r="N510" s="15" t="str"/>
      <x:c r="O510" s="15" t="str"/>
      <x:c r="P510" s="15" t="str"/>
      <x:c r="Q510" s="15" t="str">
        <x:v>There is no reliable line of sight from SPS and ISC cost data into O2C productivity, so savings have to be reconstructed manually every month and cannot be validated at source. Connecting the cost data is the structural enabler for every other O2C productivity commitment in 2027</x:v>
      </x:c>
      <x:c r="R510" s="15" t="str"/>
      <x:c r="S510" s="15" t="str"/>
      <x:c r="T510" s="15" t="str"/>
    </x:row>
    <x:row r="511">
      <x:c r="A511" s="15" t="str">
        <x:v>Bu-334</x:v>
      </x:c>
      <x:c r="B511" s="15" t="str">
        <x:v>Bu-334</x:v>
      </x:c>
      <x:c r="C511" s="15" t="str"/>
      <x:c r="D511" s="15" t="str">
        <x:v>Bu</x:v>
      </x:c>
      <x:c r="E511" s="15" t="n">
        <x:v>671</x:v>
      </x:c>
      <x:c r="F511" s="15" t="str">
        <x:v>BU Led</x:v>
      </x:c>
      <x:c r="G511" s="15" t="str">
        <x:v>Precision Diagnosis - Magnetic Resonance (MR)</x:v>
      </x:c>
      <x:c r="H511" s="15" t="str">
        <x:v>Logistics &amp; freight cost transparency (lane / mode / carrier level)</x:v>
      </x:c>
      <x:c r="I511" s="15" t="str">
        <x:v>New Initiative</x:v>
      </x:c>
      <x:c r="J511" s="15" t="str"/>
      <x:c r="K511" s="15" t="str"/>
      <x:c r="L511" s="19" t="n">
        <x:v>0.3</x:v>
      </x:c>
      <x:c r="M511" s="19" t="n">
        <x:v>2.5</x:v>
      </x:c>
      <x:c r="N511" s="15" t="str"/>
      <x:c r="O511" s="15" t="str"/>
      <x:c r="P511" s="15" t="str"/>
      <x:c r="Q511" s="15" t="str">
        <x:v>During 2026 logistics savings could not be traced to lane or carrier level, so closure actions were hard to substantiate and to re-forecast. Cost transparency at that level turns logistics from a reported number into a managed productivity lever</x:v>
      </x:c>
      <x:c r="R511" s="15" t="str"/>
      <x:c r="S511" s="15" t="str"/>
      <x:c r="T511" s="15" t="str"/>
    </x:row>
    <x:row r="512">
      <x:c r="A512" s="15" t="str">
        <x:v>Bu-335</x:v>
      </x:c>
      <x:c r="B512" s="15" t="str">
        <x:v>Bu-335</x:v>
      </x:c>
      <x:c r="C512" s="15" t="str"/>
      <x:c r="D512" s="15" t="str">
        <x:v>Bu</x:v>
      </x:c>
      <x:c r="E512" s="15" t="n">
        <x:v>672</x:v>
      </x:c>
      <x:c r="F512" s="15" t="str">
        <x:v>BU Led</x:v>
      </x:c>
      <x:c r="G512" s="15" t="str">
        <x:v>Precision Diagnosis - Magnetic Resonance (MR)</x:v>
      </x:c>
      <x:c r="H512" s="15" t="str">
        <x:v>MCoS cost transparency at quotation (service material cost visibility)</x:v>
      </x:c>
      <x:c r="I512" s="15" t="str">
        <x:v>New Initiative</x:v>
      </x:c>
      <x:c r="J512" s="15" t="str"/>
      <x:c r="K512" s="15" t="str"/>
      <x:c r="L512" s="19" t="n">
        <x:v>0.2</x:v>
      </x:c>
      <x:c r="M512" s="19" t="n">
        <x:v>1.5</x:v>
      </x:c>
      <x:c r="N512" s="15" t="str"/>
      <x:c r="O512" s="15" t="str"/>
      <x:c r="P512" s="15" t="str"/>
      <x:c r="Q512" s="15" t="str">
        <x:v>Quotations are today built on material cost data that is not current, so service deals are priced on an outdated MCoS view. Exposing the correct cost at the moment of request protects margin at the point of quoting and removes downstream rework</x:v>
      </x:c>
      <x:c r="R512" s="15" t="str"/>
      <x:c r="S512" s="15" t="str"/>
      <x:c r="T512" s="15" t="str"/>
    </x:row>
    <x:row r="513">
      <x:c r="A513" s="15" t="str">
        <x:v>Bu-336</x:v>
      </x:c>
      <x:c r="B513" s="15" t="str">
        <x:v>Bu-336</x:v>
      </x:c>
      <x:c r="C513" s="15" t="str"/>
      <x:c r="D513" s="15" t="str">
        <x:v>Bu</x:v>
      </x:c>
      <x:c r="E513" s="15" t="n">
        <x:v>673</x:v>
      </x:c>
      <x:c r="F513" s="15" t="str">
        <x:v>BU Led</x:v>
      </x:c>
      <x:c r="G513" s="15" t="str">
        <x:v>Precision Diagnosis - Magnetic Resonance (MR)</x:v>
      </x:c>
      <x:c r="H513" s="15" t="str">
        <x:v>Packaging cost improvement</x:v>
      </x:c>
      <x:c r="I513" s="15" t="str">
        <x:v>New Initiative</x:v>
      </x:c>
      <x:c r="J513" s="15" t="str"/>
      <x:c r="K513" s="15" t="str"/>
      <x:c r="L513" s="19" t="n">
        <x:v>0.2</x:v>
      </x:c>
      <x:c r="M513" s="19"/>
      <x:c r="N513" s="15" t="str"/>
      <x:c r="O513" s="15" t="str"/>
      <x:c r="P513" s="15" t="str"/>
      <x:c r="Q513" s="15" t="str">
        <x:v>Packaging costs are managed independently across PD businesses, resulting in limited visibility of benchmarks, missed standardization opportunities, and duplicated effort. A cross-PD assessment and external benchmarking program will identify design, material, logistics, and supplier optimization opportunities to reduce packaging costs while maintaining product protection and regulatory compliance.</x:v>
      </x:c>
      <x:c r="R513" s="15" t="str"/>
      <x:c r="S513" s="15" t="str"/>
      <x:c r="T513" s="15" t="str"/>
    </x:row>
    <x:row r="514">
      <x:c r="A514" s="15" t="str">
        <x:v>Bu-337</x:v>
      </x:c>
      <x:c r="B514" s="15" t="str">
        <x:v>Bu-337</x:v>
      </x:c>
      <x:c r="C514" s="15" t="str"/>
      <x:c r="D514" s="15" t="str">
        <x:v>Bu</x:v>
      </x:c>
      <x:c r="E514" s="15" t="n">
        <x:v>674</x:v>
      </x:c>
      <x:c r="F514" s="15" t="str">
        <x:v>BU Led</x:v>
      </x:c>
      <x:c r="G514" s="15" t="str">
        <x:v>Precision Diagnosis - Magnetic Resonance (MR)</x:v>
      </x:c>
      <x:c r="H514" s="15" t="str">
        <x:v>PD AI Use Case Factory (Hackathon Continuation Fund)</x:v>
      </x:c>
      <x:c r="I514" s="15" t="str">
        <x:v>New Initiative</x:v>
      </x:c>
      <x:c r="J514" s="15" t="str"/>
      <x:c r="K514" s="15" t="str"/>
      <x:c r="L514" s="19" t="n">
        <x:v>0.1</x:v>
      </x:c>
      <x:c r="M514" s="19" t="n">
        <x:v>0.5</x:v>
      </x:c>
      <x:c r="N514" s="15" t="str"/>
      <x:c r="O514" s="15" t="str"/>
      <x:c r="P514" s="15" t="str"/>
      <x:c r="Q514" s="15" t="str">
        <x:v>Provide infrastructure to scale the strongest hackathon ideas into real business solutions rather than one-time pilots. Supports Empower Employees with AI Tools by enabling AI-based workflow automation, standardizing execution, driving productivity improvements, and reducing cycle times through practical adoption of AI solutions across PD.</x:v>
      </x:c>
      <x:c r="R514" s="15" t="str"/>
      <x:c r="S514" s="15" t="str"/>
      <x:c r="T514" s="15" t="str"/>
    </x:row>
  </x:sheetData>
  <x:mergeCells>
    <x:mergeCell ref="A1:Q1"/>
    <x:mergeCell ref="A2:Q2"/>
  </x:mergeCells>
  <x:pageMargins left="0.7" right="0.7" top="0.75" bottom="0.75" header="0.3" footer="0.3"/>
</x:worksheet>
</file>

<file path=xl/worksheets/sheet7.xml><?xml version="1.0" encoding="utf-8"?>
<x:worksheet xmlns:x="http://schemas.openxmlformats.org/spreadsheetml/2006/main">
  <x:sheetPr>
    <x:tabColor rgb="FFE6A700"/>
  </x:sheetPr>
  <x:sheetViews>
    <x:sheetView showGridLines="0" workbookViewId="0">
      <x:pane ySplit="3" topLeftCell="A4" activePane="bottomLeft" state="frozen"/>
    </x:sheetView>
  </x:sheetViews>
  <x:sheetFormatPr defaultRowHeight="15"/>
  <x:cols>
    <x:col min="1" max="1" width="28" hidden="0" customWidth="1"/>
    <x:col min="2" max="2" width="28" hidden="0" customWidth="1"/>
    <x:col min="3" max="3" width="44" hidden="0" customWidth="1"/>
    <x:col min="4" max="4" width="44" hidden="0" customWidth="1"/>
    <x:col min="5" max="5" width="44" hidden="0" customWidth="1"/>
    <x:col min="6" max="6" width="44" hidden="0" customWidth="1"/>
  </x:cols>
  <x:sheetData>
    <x:row r="1" ht="34" customHeight="1">
      <x:c r="A1" s="3" t="str">
        <x:v>Scoring, Eligibility and Allocation Rules</x:v>
      </x:c>
      <x:c r="B1" s="3"/>
      <x:c r="C1" s="3"/>
      <x:c r="D1" s="3"/>
      <x:c r="E1" s="3"/>
      <x:c r="F1" s="3"/>
    </x:row>
    <x:row r="2" ht="30" customHeight="1">
      <x:c r="A2" s="7" t="str">
        <x:v>Configuration, evidence tiers and deterministic ordering used by both the Excel model and dashboard.</x:v>
      </x:c>
      <x:c r="B2" s="7"/>
      <x:c r="C2" s="7"/>
      <x:c r="D2" s="7"/>
      <x:c r="E2" s="7"/>
      <x:c r="F2" s="7"/>
    </x:row>
    <x:row r="3">
      <x:c r="A3" s="21"/>
      <x:c r="B3" s="21"/>
      <x:c r="C3" s="21"/>
      <x:c r="D3" s="21"/>
      <x:c r="E3" s="21"/>
      <x:c r="F3" s="21"/>
    </x:row>
    <x:row r="4">
      <x:c r="A4" s="12" t="str">
        <x:v>Merit dimension</x:v>
      </x:c>
      <x:c r="B4" s="12" t="str">
        <x:v>Maximum</x:v>
      </x:c>
      <x:c r="C4" s="12" t="str">
        <x:v>Rule</x:v>
      </x:c>
      <x:c r="D4" s="12" t="str">
        <x:v>Evidence</x:v>
      </x:c>
      <x:c r="E4" s="12" t="str">
        <x:v>Visible lever?</x:v>
      </x:c>
      <x:c r="F4" s="12" t="str">
        <x:v>Notes</x:v>
      </x:c>
    </x:row>
    <x:row r="5">
      <x:c r="A5" s="15" t="str">
        <x:v>Submitted benefit/request</x:v>
      </x:c>
      <x:c r="B5" s="15" t="n">
        <x:v>50</x:v>
      </x:c>
      <x:c r="C5" s="15" t="str">
        <x:v>&lt;1x 0; 1–&lt;2x 20; 2–&lt;3x 30; 3–&lt;5x 40; ≥5x 50</x:v>
      </x:c>
      <x:c r="D5" s="15" t="str">
        <x:v>Quantified Benefits and 2027 request</x:v>
      </x:c>
      <x:c r="E5" s="15" t="str">
        <x:v>No</x:v>
      </x:c>
      <x:c r="F5" s="15" t="str">
        <x:v>Submitted benefit is a claim, not approved cash flow</x:v>
      </x:c>
    </x:row>
    <x:row r="6">
      <x:c r="A6" s="15" t="str">
        <x:v>Submitted priority</x:v>
      </x:c>
      <x:c r="B6" s="15" t="n">
        <x:v>25</x:v>
      </x:c>
      <x:c r="C6" s="15" t="str">
        <x:v>Must Do 25; Must Have 18; Deprioritised 5; other 0</x:v>
      </x:c>
      <x:c r="D6" s="15" t="str">
        <x:v>Source priority</x:v>
      </x:c>
      <x:c r="E6" s="15" t="str">
        <x:v>No</x:v>
      </x:c>
      <x:c r="F6" s="15" t="str">
        <x:v>Does not create LFR</x:v>
      </x:c>
    </x:row>
    <x:row r="7">
      <x:c r="A7" s="15" t="str">
        <x:v>Captured Consequence</x:v>
      </x:c>
      <x:c r="B7" s="15" t="n">
        <x:v>15</x:v>
      </x:c>
      <x:c r="C7" s="15" t="str">
        <x:v>0 / 5 / 10 / 15 evidence tiers</x:v>
      </x:c>
      <x:c r="D7" s="15" t="str">
        <x:v>Impact and Cost of Not Doing; Problem Statement; Scope</x:v>
      </x:c>
      <x:c r="E7" s="15" t="str">
        <x:v>No</x:v>
      </x:c>
      <x:c r="F7" s="15" t="str">
        <x:v>Dependencies add no points</x:v>
      </x:c>
    </x:row>
    <x:row r="8">
      <x:c r="A8" s="15" t="str">
        <x:v>Decision Band</x:v>
      </x:c>
      <x:c r="B8" s="15" t="n">
        <x:v>10</x:v>
      </x:c>
      <x:c r="C8" s="15" t="str">
        <x:v>Healthy 10; Contain 6; blank/other 0</x:v>
      </x:c>
      <x:c r="D8" s="15" t="str">
        <x:v>Source Decision band</x:v>
      </x:c>
      <x:c r="E8" s="15" t="str">
        <x:v>No</x:v>
      </x:c>
      <x:c r="F8" s="15" t="str">
        <x:v>Do not recalculate waste dimensions</x:v>
      </x:c>
    </x:row>
    <x:row r="9">
      <x:c r="A9" s="15" t="str">
        <x:v>Minimum Merit Score</x:v>
      </x:c>
      <x:c r="B9" s="15" t="n">
        <x:v>100</x:v>
      </x:c>
      <x:c r="C9" s="15" t="str">
        <x:v>Default 45; ROI pool only</x:v>
      </x:c>
      <x:c r="D9" s="15" t="str">
        <x:v>Calculated score</x:v>
      </x:c>
      <x:c r="E9" s="15" t="str">
        <x:v>Advanced only</x:v>
      </x:c>
      <x:c r="F9" s="15" t="str">
        <x:v>Not a primary lever</x:v>
      </x:c>
    </x:row>
    <x:row r="10">
      <x:c r="A10" s="21"/>
      <x:c r="B10" s="21"/>
      <x:c r="C10" s="21"/>
      <x:c r="D10" s="21"/>
      <x:c r="E10" s="21"/>
      <x:c r="F10" s="21"/>
    </x:row>
    <x:row r="11">
      <x:c r="A11" s="21"/>
      <x:c r="B11" s="21"/>
      <x:c r="C11" s="21"/>
      <x:c r="D11" s="21"/>
      <x:c r="E11" s="21"/>
      <x:c r="F11" s="21"/>
    </x:row>
    <x:row r="12">
      <x:c r="A12" s="12" t="str">
        <x:v>Order</x:v>
      </x:c>
      <x:c r="B12" s="12" t="str">
        <x:v>Primary stage</x:v>
      </x:c>
      <x:c r="C12" s="12" t="str">
        <x:v>Membership</x:v>
      </x:c>
      <x:c r="D12" s="12" t="str">
        <x:v>Control</x:v>
      </x:c>
      <x:c r="E12" s="12" t="str">
        <x:v>Whole-initiative treatment</x:v>
      </x:c>
      <x:c r="F12" s="21"/>
    </x:row>
    <x:row r="13">
      <x:c r="A13" s="15" t="n">
        <x:v>1</x:v>
      </x:c>
      <x:c r="B13" s="15" t="str">
        <x:v>LFR</x:v>
      </x:c>
      <x:c r="C13" s="15" t="str">
        <x:v>P1/P2 Overall AOP decisions + EW-11/EW-65/EW-71</x:v>
      </x:c>
      <x:c r="D13" s="15" t="str">
        <x:v>% bucket or % Total AOP</x:v>
      </x:c>
      <x:c r="E13" s="15" t="str">
        <x:v>P1 → P2 → exceptions</x:v>
      </x:c>
      <x:c r="F13" s="21"/>
    </x:row>
    <x:row r="14">
      <x:c r="A14" s="15" t="n">
        <x:v>2</x:v>
      </x:c>
      <x:c r="B14" s="15" t="str">
        <x:v>Sustain Engineering</x:v>
      </x:c>
      <x:c r="C14" s="15" t="str">
        <x:v>Explicit source Change &amp; Sustain only; LFR removed</x:v>
      </x:c>
      <x:c r="D14" s="15" t="str">
        <x:v>% bucket or % Total AOP</x:v>
      </x:c>
      <x:c r="E14" s="15" t="str">
        <x:v>Merit order</x:v>
      </x:c>
      <x:c r="F14" s="21"/>
    </x:row>
    <x:row r="15">
      <x:c r="A15" s="15" t="n">
        <x:v>3</x:v>
      </x:c>
      <x:c r="B15" s="15" t="str">
        <x:v>Hygiene</x:v>
      </x:c>
      <x:c r="C15" s="15" t="str">
        <x:v>Approved Category values; earlier stages removed</x:v>
      </x:c>
      <x:c r="D15" s="15" t="str">
        <x:v>% bucket or % Total AOP</x:v>
      </x:c>
      <x:c r="E15" s="15" t="str">
        <x:v>Merit order</x:v>
      </x:c>
      <x:c r="F15" s="21"/>
    </x:row>
    <x:row r="16">
      <x:c r="A16" s="15" t="n">
        <x:v>4</x:v>
      </x:c>
      <x:c r="B16" s="15" t="str">
        <x:v>Carryover</x:v>
      </x:c>
      <x:c r="C16" s="15" t="str">
        <x:v>Remaining carryover with numeric benefit at threshold</x:v>
      </x:c>
      <x:c r="D16" s="15" t="str">
        <x:v>1x–5x+ ROI threshold</x:v>
      </x:c>
      <x:c r="E16" s="15" t="str">
        <x:v>ROI multiple then merit</x:v>
      </x:c>
      <x:c r="F16" s="21"/>
    </x:row>
    <x:row r="17">
      <x:c r="A17" s="15" t="n">
        <x:v>5</x:v>
      </x:c>
      <x:c r="B17" s="15" t="str">
        <x:v>ROI-Based Portfolio</x:v>
      </x:c>
      <x:c r="C17" s="15" t="str">
        <x:v>All remaining initiatives with numeric benefit</x:v>
      </x:c>
      <x:c r="D17" s="15" t="str">
        <x:v>Automatic remainder</x:v>
      </x:c>
      <x:c r="E17" s="15" t="str">
        <x:v>Merit order</x:v>
      </x:c>
      <x:c r="F17" s="21"/>
    </x:row>
    <x:row r="18">
      <x:c r="A18" s="21"/>
      <x:c r="B18" s="21"/>
      <x:c r="C18" s="21"/>
      <x:c r="D18" s="21"/>
      <x:c r="E18" s="21"/>
      <x:c r="F18" s="21"/>
    </x:row>
    <x:row r="19">
      <x:c r="A19" s="21"/>
      <x:c r="B19" s="21"/>
      <x:c r="C19" s="21"/>
      <x:c r="D19" s="21"/>
      <x:c r="E19" s="21"/>
      <x:c r="F19" s="21"/>
    </x:row>
    <x:row r="20">
      <x:c r="A20" s="12" t="str">
        <x:v>Captured Consequence</x:v>
      </x:c>
      <x:c r="B20" s="12" t="str">
        <x:v>Points</x:v>
      </x:c>
      <x:c r="C20" s="12" t="str">
        <x:v>Required evidence</x:v>
      </x:c>
      <x:c r="D20" s="12" t="str">
        <x:v>Source fields</x:v>
      </x:c>
      <x:c r="E20" s="12" t="str">
        <x:v>Stored output</x:v>
      </x:c>
      <x:c r="F20" s="12" t="str">
        <x:v>Review note</x:v>
      </x:c>
    </x:row>
    <x:row r="21">
      <x:c r="A21" s="15" t="str">
        <x:v>None</x:v>
      </x:c>
      <x:c r="B21" s="15" t="n">
        <x:v>0</x:v>
      </x:c>
      <x:c r="C21" s="15" t="str">
        <x:v>No usable content</x:v>
      </x:c>
      <x:c r="D21" s="15" t="str">
        <x:v>Impact / Problem / Scope</x:v>
      </x:c>
      <x:c r="E21" s="15" t="str">
        <x:v>Exact passages</x:v>
      </x:c>
      <x:c r="F21" s="15" t="str">
        <x:v>Never invent evidence</x:v>
      </x:c>
    </x:row>
    <x:row r="22">
      <x:c r="A22" s="15" t="str">
        <x:v>General</x:v>
      </x:c>
      <x:c r="B22" s="15" t="n">
        <x:v>5</x:v>
      </x:c>
      <x:c r="C22" s="15" t="str">
        <x:v>Consequence, problem or scope stated</x:v>
      </x:c>
      <x:c r="D22" s="15" t="str">
        <x:v>Impact / Problem / Scope</x:v>
      </x:c>
      <x:c r="E22" s="15" t="str">
        <x:v>Exact passages</x:v>
      </x:c>
      <x:c r="F22" s="15" t="str">
        <x:v>Harm unclear</x:v>
      </x:c>
    </x:row>
    <x:row r="23">
      <x:c r="A23" s="15" t="str">
        <x:v>Explicit harm</x:v>
      </x:c>
      <x:c r="B23" s="15" t="n">
        <x:v>10</x:v>
      </x:c>
      <x:c r="C23" s="15" t="str">
        <x:v>Affected activity/stakeholder and explicit harm</x:v>
      </x:c>
      <x:c r="D23" s="15" t="str">
        <x:v>Impact / Problem / Scope</x:v>
      </x:c>
      <x:c r="E23" s="15" t="str">
        <x:v>Exact passages</x:v>
      </x:c>
      <x:c r="F23" s="15" t="str">
        <x:v>Operational, compliance, customer, financial or delivery</x:v>
      </x:c>
    </x:row>
    <x:row r="24">
      <x:c r="A24" s="15" t="str">
        <x:v>Quantified / enterprise</x:v>
      </x:c>
      <x:c r="B24" s="15" t="n">
        <x:v>15</x:v>
      </x:c>
      <x:c r="C24" s="15" t="str">
        <x:v>Explicit harm plus quantified impact or enterprise reach</x:v>
      </x:c>
      <x:c r="D24" s="15" t="str">
        <x:v>Impact / Problem / Scope</x:v>
      </x:c>
      <x:c r="E24" s="15" t="str">
        <x:v>Exact passages</x:v>
      </x:c>
      <x:c r="F24" s="15" t="str">
        <x:v>Company-wide/global/multi-region accepted</x:v>
      </x:c>
    </x:row>
  </x:sheetData>
  <x:mergeCells>
    <x:mergeCell ref="A1:F1"/>
    <x:mergeCell ref="A2:F2"/>
  </x:mergeCells>
  <x:pageMargins left="0.7" right="0.7" top="0.75" bottom="0.75" header="0.3" footer="0.3"/>
</x:worksheet>
</file>

<file path=xl/worksheets/sheet8.xml><?xml version="1.0" encoding="utf-8"?>
<x:worksheet xmlns:x="http://schemas.openxmlformats.org/spreadsheetml/2006/main">
  <x:sheetPr>
    <x:tabColor rgb="FFC43D3D"/>
  </x:sheetPr>
  <x:sheetViews>
    <x:sheetView showGridLines="0" workbookViewId="0">
      <x:pane ySplit="3" topLeftCell="A4" activePane="bottomLeft" state="frozen"/>
    </x:sheetView>
  </x:sheetViews>
  <x:sheetFormatPr defaultRowHeight="15"/>
  <x:cols>
    <x:col min="1" max="1" width="35" hidden="0" customWidth="1"/>
    <x:col min="2" max="2" width="22" hidden="0" customWidth="1"/>
    <x:col min="3" max="3" width="22" hidden="0" customWidth="1"/>
    <x:col min="4" max="4" width="22" hidden="0" customWidth="1"/>
    <x:col min="5" max="5" width="22" hidden="0" customWidth="1"/>
    <x:col min="6" max="6" width="52" hidden="0" customWidth="1"/>
  </x:cols>
  <x:sheetData>
    <x:row r="1" ht="34" customHeight="1">
      <x:c r="A1" s="3" t="str">
        <x:v>Checks and Source Traceability</x:v>
      </x:c>
      <x:c r="B1" s="3"/>
      <x:c r="C1" s="3"/>
      <x:c r="D1" s="3"/>
      <x:c r="E1" s="3"/>
      <x:c r="F1" s="3"/>
    </x:row>
    <x:row r="2" ht="30" customHeight="1">
      <x:c r="A2" s="7" t="str">
        <x:v>All PASS checks reconcile the normalized source, allocation views and final scenario. Source fields remain traceable by sheet and row.</x:v>
      </x:c>
      <x:c r="B2" s="7"/>
      <x:c r="C2" s="7"/>
      <x:c r="D2" s="7"/>
      <x:c r="E2" s="7"/>
      <x:c r="F2" s="7"/>
    </x:row>
    <x:row r="3">
      <x:c r="A3" s="21"/>
      <x:c r="B3" s="21"/>
      <x:c r="C3" s="21"/>
      <x:c r="D3" s="21"/>
      <x:c r="E3" s="21"/>
      <x:c r="F3" s="21"/>
    </x:row>
    <x:row r="4">
      <x:c r="A4" s="12" t="str">
        <x:v>Check</x:v>
      </x:c>
      <x:c r="B4" s="12" t="str">
        <x:v>Expected</x:v>
      </x:c>
      <x:c r="C4" s="12" t="str">
        <x:v>Actual</x:v>
      </x:c>
      <x:c r="D4" s="12" t="str">
        <x:v>Variance</x:v>
      </x:c>
      <x:c r="E4" s="12" t="str">
        <x:v>Status</x:v>
      </x:c>
      <x:c r="F4" s="12" t="str">
        <x:v>Interpretation</x:v>
      </x:c>
    </x:row>
    <x:row r="5">
      <x:c r="A5" s="15" t="str">
        <x:v>Source record count</x:v>
      </x:c>
      <x:c r="B5" s="15" t="n">
        <x:v>509</x:v>
      </x:c>
      <x:c r="C5" s="15" t="n">
        <x:f>COUNTA('Source Data'!$A$6:$A$514)</x:f>
        <x:v>509</x:v>
      </x:c>
      <x:c r="D5" s="15" t="n">
        <x:f>IF(OR(NOT(ISNUMBER(B5)),NOT(ISNUMBER(C5))),"",C5-B5)</x:f>
        <x:v>0</x:v>
      </x:c>
      <x:c r="E5" s="15" t="str">
        <x:f>IF(ABS(D5)&lt;0.000001,"PASS","CHECK")</x:f>
        <x:v>PASS</x:v>
      </x:c>
      <x:c r="F5" s="15" t="str">
        <x:v>All normalized rows represented</x:v>
      </x:c>
    </x:row>
    <x:row r="6">
      <x:c r="A6" s="15" t="str">
        <x:v>Source requested M€</x:v>
      </x:c>
      <x:c r="B6" s="19" t="n">
        <x:v>279.595</x:v>
      </x:c>
      <x:c r="C6" s="19" t="n">
        <x:f>SUM('Source Data'!$L$6:$L$514)</x:f>
        <x:v>279.5949999999999</x:v>
      </x:c>
      <x:c r="D6" s="19" t="n">
        <x:f>IF(OR(NOT(ISNUMBER(B6)),NOT(ISNUMBER(C6))),"",C6-B6)</x:f>
        <x:v>-1.1368683772161603e-13</x:v>
      </x:c>
      <x:c r="E6" s="15" t="str">
        <x:f>IF(ABS(D6)&lt;0.000001,"PASS","CHECK")</x:f>
        <x:v>PASS</x:v>
      </x:c>
      <x:c r="F6" s="15" t="str">
        <x:v>Authoritative total</x:v>
      </x:c>
    </x:row>
    <x:row r="7">
      <x:c r="A7" s="15" t="str">
        <x:v>EW requested M€</x:v>
      </x:c>
      <x:c r="B7" s="19" t="n">
        <x:v>111.699</x:v>
      </x:c>
      <x:c r="C7" s="19" t="n">
        <x:f>SUMIF('Source Data'!$F$6:$F$514,"EW Led",'Source Data'!$L$6:$L$514)</x:f>
        <x:v>111.69899999999997</x:v>
      </x:c>
      <x:c r="D7" s="19" t="n">
        <x:f>IF(OR(NOT(ISNUMBER(B7)),NOT(ISNUMBER(C7))),"",C7-B7)</x:f>
        <x:v>-2.842170943040401e-14</x:v>
      </x:c>
      <x:c r="E7" s="15" t="str">
        <x:f>IF(ABS(D7)&lt;0.000001,"PASS","CHECK")</x:f>
        <x:v>PASS</x:v>
      </x:c>
      <x:c r="F7" s="15" t="str">
        <x:v>EW subtotal</x:v>
      </x:c>
    </x:row>
    <x:row r="8">
      <x:c r="A8" s="15" t="str">
        <x:v>BU requested M€</x:v>
      </x:c>
      <x:c r="B8" s="19" t="n">
        <x:v>167.896</x:v>
      </x:c>
      <x:c r="C8" s="19" t="n">
        <x:f>SUMIF('Source Data'!$F$6:$F$514,"BU Led",'Source Data'!$L$6:$L$514)</x:f>
        <x:v>167.89600000000013</x:v>
      </x:c>
      <x:c r="D8" s="19" t="n">
        <x:f>IF(OR(NOT(ISNUMBER(B8)),NOT(ISNUMBER(C8))),"",C8-B8)</x:f>
        <x:v>1.4210854715202004e-13</x:v>
      </x:c>
      <x:c r="E8" s="15" t="str">
        <x:f>IF(ABS(D8)&lt;0.000001,"PASS","CHECK")</x:f>
        <x:v>PASS</x:v>
      </x:c>
      <x:c r="F8" s="15" t="str">
        <x:v>BU subtotal</x:v>
      </x:c>
    </x:row>
    <x:row r="9">
      <x:c r="A9" s="15" t="str">
        <x:v>Model requested M€</x:v>
      </x:c>
      <x:c r="B9" s="19" t="n">
        <x:v>279.595</x:v>
      </x:c>
      <x:c r="C9" s="19" t="n">
        <x:f>SUM('Portfolio Model'!$E$6:$E$514)</x:f>
        <x:v>279.5950000000003</x:v>
      </x:c>
      <x:c r="D9" s="19" t="n">
        <x:f>IF(OR(NOT(ISNUMBER(B9)),NOT(ISNUMBER(C9))),"",C9-B9)</x:f>
        <x:v>2.8421709430404007e-13</x:v>
      </x:c>
      <x:c r="E9" s="15" t="str">
        <x:f>IF(ABS(D9)&lt;0.000001,"PASS","CHECK")</x:f>
        <x:v>PASS</x:v>
      </x:c>
      <x:c r="F9" s="15" t="str">
        <x:v>Portfolio equals source</x:v>
      </x:c>
    </x:row>
    <x:row r="10">
      <x:c r="A10" s="15" t="str">
        <x:v>Final = BU + EW</x:v>
      </x:c>
      <x:c r="B10" s="19" t="n">
        <x:v>0</x:v>
      </x:c>
      <x:c r="C10" s="19" t="n">
        <x:f>SUM('Portfolio Model'!$T$6:$T$514)-SUMIF('Portfolio Model'!$C$6:$C$514,"BU Led",'Portfolio Model'!$T$6:$T$514)-SUMIF('Portfolio Model'!$C$6:$C$514,"EW Led",'Portfolio Model'!$T$6:$T$514)</x:f>
        <x:v>2.842170943040401e-14</x:v>
      </x:c>
      <x:c r="D10" s="19" t="n">
        <x:f>IF(OR(NOT(ISNUMBER(B10)),NOT(ISNUMBER(C10))),"",C10-B10)</x:f>
        <x:v>2.842170943040401e-14</x:v>
      </x:c>
      <x:c r="E10" s="15" t="str">
        <x:f>IF(ABS(D10)&lt;0.000001,"PASS","CHECK")</x:f>
        <x:v>PASS</x:v>
      </x:c>
      <x:c r="F10" s="15" t="str">
        <x:v>No double allocation across views</x:v>
      </x:c>
    </x:row>
    <x:row r="11">
      <x:c r="A11" s="15" t="str">
        <x:v>Conference decisions missing reason</x:v>
      </x:c>
      <x:c r="B11" s="19" t="n">
        <x:v>0</x:v>
      </x:c>
      <x:c r="C11" s="19" t="n">
        <x:f>COUNTIFS('Portfolio Model'!$R$6:$R$514,"&lt;&gt;Automatic",'Portfolio Model'!$S$6:$S$514,"")</x:f>
        <x:v>0</x:v>
      </x:c>
      <x:c r="D11" s="19" t="n">
        <x:f>IF(OR(NOT(ISNUMBER(B11)),NOT(ISNUMBER(C11))),"",C11-B11)</x:f>
        <x:v>0</x:v>
      </x:c>
      <x:c r="E11" s="15" t="str">
        <x:f>IF(ABS(D11)&lt;0.000001,"PASS","CHECK")</x:f>
        <x:v>PASS</x:v>
      </x:c>
      <x:c r="F11" s="15" t="str">
        <x:v>Required before finalise</x:v>
      </x:c>
    </x:row>
    <x:row r="12">
      <x:c r="A12" s="15" t="str">
        <x:v>Over-budget variance M€</x:v>
      </x:c>
      <x:c r="B12" s="19" t="n">
        <x:v>0</x:v>
      </x:c>
      <x:c r="C12" s="19" t="n">
        <x:f>MAX(0,SUM('Portfolio Model'!$T$6:$T$514)-'Scenario Controls'!$B$6)</x:f>
        <x:v>2.592000000000027</x:v>
      </x:c>
      <x:c r="D12" s="19" t="n">
        <x:f>IF(OR(NOT(ISNUMBER(B12)),NOT(ISNUMBER(C12))),"",C12-B12)</x:f>
        <x:v>2.592000000000027</x:v>
      </x:c>
      <x:c r="E12" s="15" t="str">
        <x:f>IF(C12&gt;=0,"PASS","CHECK")</x:f>
        <x:v>PASS</x:v>
      </x:c>
      <x:c r="F12" s="15" t="str">
        <x:v>Visible; does not block finalisation</x:v>
      </x:c>
    </x:row>
    <x:row r="13">
      <x:c r="A13" s="15" t="str">
        <x:v>Source SHA-256</x:v>
      </x:c>
      <x:c r="B13" s="15" t="str">
        <x:v>4ca3c6d4295996c1ff3062d22679ef272ee88a38a6050e112014e5ce25e2ba89</x:v>
      </x:c>
      <x:c r="C13" s="15" t="str">
        <x:v>4ca3c6d4295996c1ff3062d22679ef272ee88a38a6050e112014e5ce25e2ba89</x:v>
      </x:c>
      <x:c r="D13" s="15" t="str"/>
      <x:c r="E13" s="15" t="str">
        <x:v>PASS</x:v>
      </x:c>
      <x:c r="F13" s="15" t="str">
        <x:v>Refresh invalidates stale decisions if hash changes</x:v>
      </x:c>
    </x:row>
    <x:row r="14">
      <x:c r="A14" s="21"/>
      <x:c r="B14" s="21"/>
      <x:c r="C14" s="21"/>
      <x:c r="D14" s="21"/>
      <x:c r="E14" s="21"/>
      <x:c r="F14" s="21"/>
    </x:row>
    <x:row r="15">
      <x:c r="A15" s="21"/>
      <x:c r="B15" s="21"/>
      <x:c r="C15" s="21"/>
      <x:c r="D15" s="21"/>
      <x:c r="E15" s="21"/>
      <x:c r="F15" s="21"/>
    </x:row>
    <x:row r="16">
      <x:c r="A16" s="12" t="str">
        <x:v>Source artifact</x:v>
      </x:c>
      <x:c r="B16" s="12" t="str">
        <x:v>Location / identity</x:v>
      </x:c>
      <x:c r="C16" s="21"/>
      <x:c r="D16" s="21"/>
      <x:c r="E16" s="21"/>
      <x:c r="F16" s="21"/>
    </x:row>
    <x:row r="17">
      <x:c r="A17" s="15" t="str">
        <x:v>Authoritative demand</x:v>
      </x:c>
      <x:c r="B17" s="15" t="str">
        <x:v>15926_IT AOP2027 Demand.xlsx</x:v>
      </x:c>
      <x:c r="C17" s="21"/>
      <x:c r="D17" s="21"/>
      <x:c r="E17" s="21"/>
      <x:c r="F17" s="21"/>
    </x:row>
    <x:row r="18">
      <x:c r="A18" s="15" t="str">
        <x:v>Source hash</x:v>
      </x:c>
      <x:c r="B18" s="15" t="str">
        <x:v>4ca3c6d4295996c1ff3062d22679ef272ee88a38a6050e112014e5ce25e2ba89</x:v>
      </x:c>
      <x:c r="C18" s="21"/>
      <x:c r="D18" s="21"/>
      <x:c r="E18" s="21"/>
      <x:c r="F18" s="21"/>
    </x:row>
    <x:row r="19">
      <x:c r="A19" s="15" t="str">
        <x:v>Normalized records</x:v>
      </x:c>
      <x:c r="B19" s="15" t="str">
        <x:v>509 rows; EW 111.699 M€; BU 167.896 M€</x:v>
      </x:c>
      <x:c r="C19" s="21"/>
      <x:c r="D19" s="21"/>
      <x:c r="E19" s="21"/>
      <x:c r="F19" s="21"/>
    </x:row>
    <x:row r="20">
      <x:c r="A20" s="15" t="str">
        <x:v>Engine</x:v>
      </x:c>
      <x:c r="B20" s="15" t="str">
        <x:v>AOP2027 Engine 2.0.0</x:v>
      </x:c>
      <x:c r="C20" s="21"/>
      <x:c r="D20" s="21"/>
      <x:c r="E20" s="21"/>
      <x:c r="F20" s="21"/>
    </x:row>
  </x:sheetData>
  <x:mergeCells>
    <x:mergeCell ref="A1:F1"/>
    <x:mergeCell ref="A2:F2"/>
  </x:mergeCells>
  <x:pageMargins left="0.7" right="0.7" top="0.75" bottom="0.75" header="0.3" footer="0.3"/>
</x:worksheet>
</file>