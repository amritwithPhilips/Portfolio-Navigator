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68675783764881" /></Relationships>
</file>

<file path=xl/workbook.xml><?xml version="1.0" encoding="utf-8"?>
<x:workbook xmlns:x="http://schemas.openxmlformats.org/spreadsheetml/2006/main">
  <x:sheets>
    <x:sheet xmlns:r="http://schemas.openxmlformats.org/officeDocument/2006/relationships" name="Overview" sheetId="1" r:id="R1bb0ab74f8db4773"/>
    <x:sheet xmlns:r="http://schemas.openxmlformats.org/officeDocument/2006/relationships" name="Scored demand" sheetId="2" r:id="R3e2ebd0cc43e46b8"/>
    <x:sheet xmlns:r="http://schemas.openxmlformats.org/officeDocument/2006/relationships" name="Demand details" sheetId="3" r:id="Rf5843b05e59f40c6"/>
    <x:sheet xmlns:r="http://schemas.openxmlformats.org/officeDocument/2006/relationships" name="Score settings" sheetId="4" r:id="R2ed9583a0b1d412a"/>
    <x:sheet xmlns:r="http://schemas.openxmlformats.org/officeDocument/2006/relationships" name="Scenario options" sheetId="5" r:id="R8da4c9d93bb049d7"/>
    <x:sheet xmlns:r="http://schemas.openxmlformats.org/officeDocument/2006/relationships" name="Data requirements" sheetId="6" r:id="Rdfedd787d26b41da"/>
    <x:sheet xmlns:r="http://schemas.openxmlformats.org/officeDocument/2006/relationships" name="Waste evidence" sheetId="7" r:id="R36fb2d9e80fb4c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quot; M€&quot;"/>
    <x:numFmt numFmtId="201" formatCode="0.0%"/>
    <x:numFmt numFmtId="202" formatCode="0.0"/>
    <x:numFmt numFmtId="203" formatCode="0"/>
  </x:numFmts>
  <x:fonts count="11">
    <x:font>
      <x:sz val="11"/>
      <x:name val="Carlito"/>
    </x:font>
    <x:font>
      <x:sz val="10"/>
      <x:color rgb="FF1A1F2B"/>
      <x:name val="Arial"/>
    </x:font>
    <x:font>
      <x:b/>
      <x:sz val="16"/>
      <x:color rgb="FF1A1F2B"/>
      <x:name val="Arial"/>
    </x:font>
    <x:font>
      <x:b/>
      <x:sz val="10"/>
      <x:color rgb="FFFFFFFF"/>
      <x:name val="Arial"/>
    </x:font>
    <x:font>
      <x:sz val="10"/>
      <x:name val="Arial"/>
    </x:font>
    <x:font>
      <x:b/>
      <x:sz val="16"/>
      <x:name val="Arial"/>
    </x:font>
    <x:font>
      <x:sz val="10"/>
      <x:color rgb="FFFFFFFF"/>
      <x:name val="Arial"/>
    </x:font>
    <x:font>
      <x:sz val="10"/>
      <x:color rgb="FF0B5ED7"/>
      <x:name val="Arial"/>
    </x:font>
    <x:font>
      <x:sz val="11"/>
      <x:name val="Arial"/>
    </x:font>
    <x:font>
      <x:b/>
      <x:sz val="18"/>
      <x:name val="Arial"/>
    </x:font>
    <x:font>
      <x:sz val="11"/>
      <x:color rgb="FFFFFFFF"/>
      <x:name val="Arial"/>
    </x:font>
  </x:fonts>
  <x:fills count="4">
    <x:fill>
      <x:patternFill patternType="none"/>
    </x:fill>
    <x:fill>
      <x:patternFill patternType="gray125"/>
    </x:fill>
    <x:fill>
      <x:patternFill patternType="solid">
        <x:fgColor rgb="FF00126E"/>
      </x:patternFill>
    </x:fill>
    <x:fill>
      <x:patternFill patternType="solid">
        <x:fgColor rgb="FFFFF2CC"/>
      </x:patternFill>
    </x:fill>
  </x:fills>
  <x:borders count="1">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0" fontId="1" fillId="0" borderId="0" xfId="0" applyNumberFormat="1" applyFont="1" applyFill="1" applyBorder="1"/>
    <x:xf numFmtId="0" fontId="1" fillId="0" borderId="0"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201" fontId="4" fillId="0" borderId="0" xfId="0" applyNumberFormat="1" applyFont="1" applyFill="1" applyBorder="1"/>
    <x:xf numFmtId="200" fontId="4" fillId="0" borderId="0" xfId="0" applyNumberFormat="1" applyFont="1" applyFill="1" applyBorder="1"/>
    <x:xf numFmtId="0" fontId="4" fillId="2" borderId="0" xfId="0" applyNumberFormat="1" applyFont="1" applyFill="1" applyBorder="1"/>
    <x:xf numFmtId="0" fontId="6" fillId="2" borderId="0" xfId="0" applyNumberFormat="1" applyFont="1" applyFill="1" applyBorder="1"/>
    <x:xf numFmtId="0" fontId="7" fillId="0" borderId="0" xfId="0" applyNumberFormat="1" applyFont="1" applyFill="1" applyBorder="1"/>
    <x:xf numFmtId="201" fontId="4" fillId="3" borderId="0" xfId="0" applyNumberFormat="1" applyFont="1" applyFill="1" applyBorder="1"/>
    <x:xf numFmtId="200" fontId="4" fillId="3" borderId="0" xfId="0" applyNumberFormat="1" applyFont="1" applyFill="1" applyBorder="1"/>
    <x:xf numFmtId="0" fontId="4" fillId="3" borderId="0" xfId="0" applyNumberFormat="1" applyFont="1" applyFill="1" applyBorder="1"/>
    <x:xf numFmtId="0" fontId="4" fillId="0" borderId="0" xfId="0" applyNumberFormat="1" applyFont="1" applyFill="1" applyBorder="1" applyAlignment="1">
      <x:alignment wrapText="1"/>
    </x:xf>
    <x:xf numFmtId="202" fontId="1" fillId="0" borderId="0" xfId="0" applyNumberFormat="1" applyFont="1" applyFill="1" applyBorder="1"/>
    <x:xf numFmtId="203" fontId="1" fillId="0" borderId="0" xfId="0" applyNumberFormat="1" applyFont="1" applyFill="1" applyBorder="1"/>
    <x:xf numFmtId="200" fontId="1" fillId="3" borderId="0" xfId="0" applyNumberFormat="1" applyFont="1" applyFill="1" applyBorder="1"/>
    <x:xf numFmtId="200" fontId="7" fillId="3" borderId="0" xfId="0" applyNumberFormat="1" applyFont="1" applyFill="1" applyBorder="1"/>
    <x:xf numFmtId="0" fontId="1" fillId="3" borderId="0" xfId="0" applyNumberFormat="1" applyFont="1" applyFill="1" applyBorder="1"/>
    <x:xf numFmtId="0" fontId="7" fillId="3" borderId="0" xfId="0" applyNumberFormat="1" applyFont="1" applyFill="1" applyBorder="1"/>
    <x:xf numFmtId="201" fontId="1"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200" fontId="8" fillId="0" borderId="0" xfId="0" applyNumberFormat="1" applyFont="1" applyFill="1" applyBorder="1"/>
    <x:xf numFmtId="202" fontId="8" fillId="0" borderId="0" xfId="0" applyNumberFormat="1" applyFont="1" applyFill="1" applyBorder="1"/>
    <x:xf numFmtId="0" fontId="8" fillId="0" borderId="0" xfId="0" applyNumberFormat="1" applyFont="1" applyFill="1" applyBorder="1" applyAlignment="1">
      <x:alignment wrapText="1"/>
    </x:xf>
    <x:xf numFmtId="200" fontId="8" fillId="0" borderId="0" xfId="0" applyNumberFormat="1" applyFont="1" applyFill="1" applyBorder="1" applyAlignment="1">
      <x:alignment wrapText="1"/>
    </x:xf>
    <x:xf numFmtId="202" fontId="8" fillId="0" borderId="0" xfId="0" applyNumberFormat="1" applyFont="1" applyFill="1" applyBorder="1" applyAlignment="1">
      <x:alignment wrapText="1"/>
    </x:xf>
    <x:xf numFmtId="0" fontId="8" fillId="2" borderId="0" xfId="0" applyNumberFormat="1" applyFont="1" applyFill="1" applyBorder="1" applyAlignment="1">
      <x:alignment wrapText="1"/>
    </x:xf>
    <x:xf numFmtId="0" fontId="10" fillId="2" borderId="0" xfId="0" applyNumberFormat="1" applyFont="1" applyFill="1" applyBorder="1" applyAlignment="1">
      <x:alignment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7"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2b66cae5a44ce2" /><Relationship Type="http://schemas.openxmlformats.org/officeDocument/2006/relationships/theme" Target="/xl/theme/theme1.xml" Id="R6c20bbdb33234a8d" /><Relationship Type="http://schemas.openxmlformats.org/officeDocument/2006/relationships/sharedStrings" Target="/xl/sharedStrings.xml" Id="Ra73940bde43c4ac6" /><Relationship Type="http://schemas.openxmlformats.org/officeDocument/2006/relationships/worksheet" Target="/xl/worksheets/sheet1.xml" Id="R1bb0ab74f8db4773" /><Relationship Type="http://schemas.openxmlformats.org/officeDocument/2006/relationships/worksheet" Target="/xl/worksheets/sheet2.xml" Id="R3e2ebd0cc43e46b8" /><Relationship Type="http://schemas.openxmlformats.org/officeDocument/2006/relationships/worksheet" Target="/xl/worksheets/sheet3.xml" Id="Rf5843b05e59f40c6" /><Relationship Type="http://schemas.openxmlformats.org/officeDocument/2006/relationships/worksheet" Target="/xl/worksheets/sheet4.xml" Id="R2ed9583a0b1d412a" /><Relationship Type="http://schemas.openxmlformats.org/officeDocument/2006/relationships/worksheet" Target="/xl/worksheets/sheet5.xml" Id="R8da4c9d93bb049d7" /><Relationship Type="http://schemas.openxmlformats.org/officeDocument/2006/relationships/worksheet" Target="/xl/worksheets/sheet6.xml" Id="Rdfedd787d26b41da" /><Relationship Type="http://schemas.openxmlformats.org/officeDocument/2006/relationships/worksheet" Target="/xl/worksheets/sheet7.xml" Id="R36fb2d9e80fb4c4b" /></Relationships>
</file>

<file path=xl/tables/table1.xml><?xml version="1.0" encoding="utf-8"?>
<x:table xmlns:x="http://schemas.openxmlformats.org/spreadsheetml/2006/main" id="2" name="ScoreddemandTable" displayName="ScoreddemandTable" ref="A3:AP509" headerRowCount="1" totalsRowCount="0" totalsRowShown="0">
  <x:tableColumns count="42">
    <x:tableColumn id="1" name="Record ID"/>
    <x:tableColumn id="2" name="Program name"/>
    <x:tableColumn id="3" name="Stream"/>
    <x:tableColumn id="4" name="Organisation"/>
    <x:tableColumn id="5" name="Requested M€"/>
    <x:tableColumn id="6" name="Agreed scope M€"/>
    <x:tableColumn id="7" name="Scoring investment M€"/>
    <x:tableColumn id="8" name="Numeric source benefit M€"/>
    <x:tableColumn id="9" name="Approved comparable benefit M€"/>
    <x:tableColumn id="10" name="Benefit class candidate"/>
    <x:tableColumn id="11" name="Comparable benefit M€"/>
    <x:tableColumn id="12" name="Recorded impact tier"/>
    <x:tableColumn id="13" name="Reviewed expected loss M€"/>
    <x:tableColumn id="14" name="Reviewed impact tier"/>
    <x:tableColumn id="15" name="Priority key"/>
    <x:tableColumn id="16" name="Category key"/>
    <x:tableColumn id="17" name="Investment area key"/>
    <x:tableColumn id="18" name="Waste band"/>
    <x:tableColumn id="19" name="Validated must do"/>
    <x:tableColumn id="20" name="Funding pool candidate"/>
    <x:tableColumn id="21" name="Reference priority"/>
    <x:tableColumn id="22" name="Reference category"/>
    <x:tableColumn id="23" name="Reference area"/>
    <x:tableColumn id="24" name="Reference benefits"/>
    <x:tableColumn id="25" name="Reference waste"/>
    <x:tableColumn id="26" name="Reference total"/>
    <x:tableColumn id="27" name="Reference band"/>
    <x:tableColumn id="28" name="Recommended priority"/>
    <x:tableColumn id="29" name="Recommended category"/>
    <x:tableColumn id="30" name="Recommended area"/>
    <x:tableColumn id="31" name="Recommended benefits"/>
    <x:tableColumn id="32" name="Recommended waste"/>
    <x:tableColumn id="33" name="Recommended impact and loss"/>
    <x:tableColumn id="34" name="Recommended total"/>
    <x:tableColumn id="35" name="Recommended band"/>
    <x:tableColumn id="36" name="Common merit rank"/>
    <x:tableColumn id="37" name="Decision readiness"/>
    <x:tableColumn id="38" name="Source risk exposure"/>
    <x:tableColumn id="39" name="Conference decision"/>
    <x:tableColumn id="40" name="Agreed funding M€"/>
    <x:tableColumn id="41" name="Decision reason"/>
    <x:tableColumn id="42" name="Scenario name"/>
  </x:tableColumns>
  <x:tableStyleInfo name="TableStyleMedium2" showFirstColumn="0" showLastColumn="0" showRowStripes="1" showColumnStripes="0"/>
</x:table>
</file>

<file path=xl/tables/table2.xml><?xml version="1.0" encoding="utf-8"?>
<x:table xmlns:x="http://schemas.openxmlformats.org/spreadsheetml/2006/main" id="1" name="DemanddetailsTable" displayName="DemanddetailsTable" ref="A3:AM509" headerRowCount="1" totalsRowCount="0" totalsRowShown="0">
  <x:tableColumns count="39">
    <x:tableColumn id="1" name="Record ID"/>
    <x:tableColumn id="2" name="Program name"/>
    <x:tableColumn id="3" name="Stream"/>
    <x:tableColumn id="4" name="Organisation"/>
    <x:tableColumn id="5" name="Planisware ID"/>
    <x:tableColumn id="6" name="Category"/>
    <x:tableColumn id="7" name="Investment area"/>
    <x:tableColumn id="8" name="Priority"/>
    <x:tableColumn id="9" name="New or carry over"/>
    <x:tableColumn id="10" name="Requested investment M€"/>
    <x:tableColumn id="11" name="Updated request M€"/>
    <x:tableColumn id="12" name="Carry over baselined M€"/>
    <x:tableColumn id="13" name="Handshaked M€"/>
    <x:tableColumn id="14" name="Prioritized in source M€"/>
    <x:tableColumn id="15" name="Numeric source benefit M€"/>
    <x:tableColumn id="16" name="Benefit text as supplied"/>
    <x:tableColumn id="17" name="Benefit classification candidate"/>
    <x:tableColumn id="18" name="Impact and cost of not doing"/>
    <x:tableColumn id="19" name="Problem statement"/>
    <x:tableColumn id="20" name="Scope"/>
    <x:tableColumn id="21" name="Dependencies"/>
    <x:tableColumn id="22" name="LFR year"/>
    <x:tableColumn id="23" name="LFR instrument name"/>
    <x:tableColumn id="24" name="Waste score"/>
    <x:tableColumn id="25" name="Waste band"/>
    <x:tableColumn id="26" name="Validated must do"/>
    <x:tableColumn id="27" name="Minimum viable scope assessment"/>
    <x:tableColumn id="28" name="Recorded impact tier"/>
    <x:tableColumn id="29" name="Risk exposure score"/>
    <x:tableColumn id="30" name="Risk priority tier"/>
    <x:tableColumn id="31" name="Overall AOP decision"/>
    <x:tableColumn id="32" name="Waste matching"/>
    <x:tableColumn id="33" name="Funding pool candidate"/>
    <x:tableColumn id="34" name="Source location"/>
    <x:tableColumn id="35" name="Category scoring key"/>
    <x:tableColumn id="36" name="Area scoring key"/>
    <x:tableColumn id="37" name="Priority scoring key"/>
    <x:tableColumn id="38" name="Missing permanent ID"/>
    <x:tableColumn id="39" name="Missing name"/>
  </x:tableColumns>
  <x:tableStyleInfo name="TableStyleMedium2" showFirstColumn="0" showLastColumn="0" showRowStripes="1" showColumnStripes="0"/>
</x:table>
</file>

<file path=xl/tables/table3.xml><?xml version="1.0" encoding="utf-8"?>
<x:table xmlns:x="http://schemas.openxmlformats.org/spreadsheetml/2006/main" id="3" name="ScenariooptionsTable" displayName="ScenariooptionsTable" ref="A3:I10" headerRowCount="1" totalsRowCount="0" totalsRowShown="0">
  <x:tableColumns count="9">
    <x:tableColumn id="1" name="Scenario"/>
    <x:tableColumn id="2" name="Envelope M€"/>
    <x:tableColumn id="3" name="LFR reservation"/>
    <x:tableColumn id="4" name="Change and Sustain"/>
    <x:tableColumn id="5" name="Region % of total"/>
    <x:tableColumn id="6" name="Common score floor"/>
    <x:tableColumn id="7" name="Scoring profile"/>
    <x:tableColumn id="8" name="Common pot rule"/>
    <x:tableColumn id="9" name="Interpretation"/>
  </x:tableColumns>
  <x:tableStyleInfo name="TableStyleMedium2" showFirstColumn="0" showLastColumn="0" showRowStripes="1" showColumnStripes="0"/>
</x:table>
</file>

<file path=xl/tables/table4.xml><?xml version="1.0" encoding="utf-8"?>
<x:table xmlns:x="http://schemas.openxmlformats.org/spreadsheetml/2006/main" id="4" name="DatarequirementsTable" displayName="DatarequirementsTable" ref="A3:F16" headerRowCount="1" totalsRowCount="0" totalsRowShown="0">
  <x:tableColumns count="6">
    <x:tableColumn id="1" name="Decision input"/>
    <x:tableColumn id="2" name="Current location"/>
    <x:tableColumn id="3" name="Availability"/>
    <x:tableColumn id="4" name="When required"/>
    <x:tableColumn id="5" name="Validation rule"/>
    <x:tableColumn id="6" name="Proposed accountable role"/>
  </x:tableColumns>
  <x:tableStyleInfo name="TableStyleMedium2" showFirstColumn="0" showLastColumn="0" showRowStripes="1" showColumnStripes="0"/>
</x:table>
</file>

<file path=xl/tables/table5.xml><?xml version="1.0" encoding="utf-8"?>
<x:table xmlns:x="http://schemas.openxmlformats.org/spreadsheetml/2006/main" id="5" name="WasteevidenceTable" displayName="WasteevidenceTable" ref="A3:N427" headerRowCount="1" totalsRowCount="0" totalsRowShown="0">
  <x:tableColumns count="14">
    <x:tableColumn id="1" name="Assessment reference"/>
    <x:tableColumn id="2" name="Initiative"/>
    <x:tableColumn id="3" name="Organisation"/>
    <x:tableColumn id="4" name="Waste score"/>
    <x:tableColumn id="5" name="Waste band"/>
    <x:tableColumn id="6" name="Validated must do"/>
    <x:tableColumn id="7" name="Minimum scope"/>
    <x:tableColumn id="8" name="Impact narrative"/>
    <x:tableColumn id="9" name="Likelihood narrative"/>
    <x:tableColumn id="10" name="Deadline narrative"/>
    <x:tableColumn id="11" name="Exposure"/>
    <x:tableColumn id="12" name="Priority tier"/>
    <x:tableColumn id="13" name="Overall AOP decision"/>
    <x:tableColumn id="14"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d3fc0ee3a14e29" /></Relationships>
</file>

<file path=xl/worksheets/_rels/sheet3.xml.rels>&#65279;<?xml version="1.0" encoding="utf-8"?><Relationships xmlns="http://schemas.openxmlformats.org/package/2006/relationships"><Relationship Type="http://schemas.openxmlformats.org/officeDocument/2006/relationships/table" Target="/xl/tables/table2.xml" Id="R73d1945af67149af" /></Relationships>
</file>

<file path=xl/worksheets/_rels/sheet5.xml.rels>&#65279;<?xml version="1.0" encoding="utf-8"?><Relationships xmlns="http://schemas.openxmlformats.org/package/2006/relationships"><Relationship Type="http://schemas.openxmlformats.org/officeDocument/2006/relationships/table" Target="/xl/tables/table3.xml" Id="Ra85444fef44743bc" /></Relationships>
</file>

<file path=xl/worksheets/_rels/sheet6.xml.rels>&#65279;<?xml version="1.0" encoding="utf-8"?><Relationships xmlns="http://schemas.openxmlformats.org/package/2006/relationships"><Relationship Type="http://schemas.openxmlformats.org/officeDocument/2006/relationships/table" Target="/xl/tables/table4.xml" Id="R3a1f766d88514923" /></Relationships>
</file>

<file path=xl/worksheets/_rels/sheet7.xml.rels>&#65279;<?xml version="1.0" encoding="utf-8"?><Relationships xmlns="http://schemas.openxmlformats.org/package/2006/relationships"><Relationship Type="http://schemas.openxmlformats.org/officeDocument/2006/relationships/table" Target="/xl/tables/table5.xml" Id="Rec11edcc2b2c4dd9" /></Relationships>
</file>

<file path=xl/worksheets/sheet1.xml><?xml version="1.0" encoding="utf-8"?>
<x:worksheet xmlns:x="http://schemas.openxmlformats.org/spreadsheetml/2006/main">
  <x:sheetViews>
    <x:sheetView showGridLines="0" workbookViewId="0"/>
  </x:sheetViews>
  <x:sheetFormatPr defaultRowHeight="15"/>
  <x:cols>
    <x:col min="1" max="1" width="44" hidden="0" customWidth="1"/>
    <x:col min="2" max="2" width="45" hidden="0" customWidth="1"/>
    <x:col min="3" max="3" width="86" hidden="0" customWidth="1"/>
  </x:cols>
  <x:sheetData>
    <x:row r="1" ht="32" customHeight="1">
      <x:c r="A1" s="28" t="str">
        <x:v>AOP 2027 scored demand</x:v>
      </x:c>
      <x:c r="B1" s="27"/>
      <x:c r="C1" s="27"/>
      <x:c r="D1" s="27"/>
      <x:c r="E1" s="27"/>
      <x:c r="F1" s="27"/>
    </x:row>
    <x:row r="2">
      <x:c r="A2" s="27" t="str">
        <x:v>Compare the submitted five-dimension framework with the recommended six-dimension profile. Money is in M€.</x:v>
      </x:c>
      <x:c r="B2" s="27"/>
      <x:c r="C2" s="27"/>
      <x:c r="D2" s="27"/>
      <x:c r="E2" s="27"/>
      <x:c r="F2" s="27"/>
    </x:row>
    <x:row r="3">
      <x:c r="A3" s="27"/>
      <x:c r="B3" s="27"/>
      <x:c r="C3" s="27"/>
      <x:c r="D3" s="27"/>
      <x:c r="E3" s="27"/>
      <x:c r="F3" s="27"/>
    </x:row>
    <x:row r="4">
      <x:c r="A4" s="35" t="str">
        <x:v>Measure</x:v>
      </x:c>
      <x:c r="B4" s="35" t="str">
        <x:v>Value</x:v>
      </x:c>
      <x:c r="C4" s="35" t="str">
        <x:v>Meaning</x:v>
      </x:c>
      <x:c r="D4" s="27"/>
      <x:c r="E4" s="27"/>
      <x:c r="F4" s="27"/>
    </x:row>
    <x:row r="5" ht="35" customHeight="1">
      <x:c r="A5" s="31" t="str">
        <x:v>Retained source records</x:v>
      </x:c>
      <x:c r="B5" s="31" t="n">
        <x:v>506</x:v>
      </x:c>
      <x:c r="C5" s="31" t="str">
        <x:v>Includes 25 unnamed source rows and four requests without item numbers</x:v>
      </x:c>
      <x:c r="D5" s="27"/>
      <x:c r="E5" s="27"/>
      <x:c r="F5" s="27"/>
    </x:row>
    <x:row r="6" ht="35" customHeight="1">
      <x:c r="A6" s="31" t="str">
        <x:v>Named demands</x:v>
      </x:c>
      <x:c r="B6" s="31" t="n">
        <x:v>481</x:v>
      </x:c>
      <x:c r="C6" s="31" t="str">
        <x:v>Receive provisional scores</x:v>
      </x:c>
      <x:c r="D6" s="27"/>
      <x:c r="E6" s="27"/>
      <x:c r="F6" s="27"/>
    </x:row>
    <x:row r="7" ht="35" customHeight="1">
      <x:c r="A7" s="31" t="str">
        <x:v>Requested investment M€</x:v>
      </x:c>
      <x:c r="B7" s="32" t="n">
        <x:f>SUM('Demand details'!J4:J509)</x:f>
        <x:v>279.99500000000023</x:v>
      </x:c>
      <x:c r="C7" s="31" t="str">
        <x:v>BU Demand plus all EW requests including four without item numbers</x:v>
      </x:c>
      <x:c r="D7" s="27"/>
      <x:c r="E7" s="27"/>
      <x:c r="F7" s="27"/>
    </x:row>
    <x:row r="8" ht="35" customHeight="1">
      <x:c r="A8" s="31" t="str">
        <x:v>BU Led request M€</x:v>
      </x:c>
      <x:c r="B8" s="32" t="n">
        <x:f>SUMIF('Demand details'!C4:C509,"BU Led",'Demand details'!J4:J509)</x:f>
        <x:v>167.89600000000013</x:v>
      </x:c>
      <x:c r="C8" s="31" t="str">
        <x:v>Source request basis</x:v>
      </x:c>
      <x:c r="D8" s="27"/>
      <x:c r="E8" s="27"/>
      <x:c r="F8" s="27"/>
    </x:row>
    <x:row r="9" ht="35" customHeight="1">
      <x:c r="A9" s="31" t="str">
        <x:v>EW request M€</x:v>
      </x:c>
      <x:c r="B9" s="32" t="n">
        <x:f>SUMIF('Demand details'!C4:C509,"EW",'Demand details'!J4:J509)</x:f>
        <x:v>112.09899999999998</x:v>
      </x:c>
      <x:c r="C9" s="31" t="str">
        <x:v>Includes 4.650 M€ without item numbers</x:v>
      </x:c>
      <x:c r="D9" s="27"/>
      <x:c r="E9" s="27"/>
      <x:c r="F9" s="27"/>
    </x:row>
    <x:row r="10" ht="35" customHeight="1">
      <x:c r="A10" s="31" t="str">
        <x:v>Reference score average</x:v>
      </x:c>
      <x:c r="B10" s="33" t="n">
        <x:f>AVERAGE('Scored demand'!Z4:Z509)</x:f>
        <x:v>62.775467775467774</x:v>
      </x:c>
      <x:c r="C10" s="31" t="str">
        <x:v>User supplied five dimensions; blanks retain supplied default points</x:v>
      </x:c>
      <x:c r="D10" s="27"/>
      <x:c r="E10" s="27"/>
      <x:c r="F10" s="27"/>
    </x:row>
    <x:row r="11" ht="35" customHeight="1">
      <x:c r="A11" s="31" t="str">
        <x:v>Recommended score average</x:v>
      </x:c>
      <x:c r="B11" s="33" t="n">
        <x:f>AVERAGE('Scored demand'!AH4:AH509)</x:f>
        <x:v>33.0500346500346</x:v>
      </x:c>
      <x:c r="C11" s="31" t="str">
        <x:v>Six dimensions; missing evidence adds no points</x:v>
      </x:c>
      <x:c r="D11" s="27"/>
      <x:c r="E11" s="27"/>
      <x:c r="F11" s="27"/>
    </x:row>
    <x:row r="12" ht="35" customHeight="1">
      <x:c r="A12" s="31" t="str">
        <x:v>Validated LFR matched request M€</x:v>
      </x:c>
      <x:c r="B12" s="32" t="n">
        <x:f>SUMIF('Demand details'!AG4:AG509,"LFR validated candidate",'Demand details'!J4:J509)</x:f>
        <x:v>18.507000000000005</x:v>
      </x:c>
      <x:c r="C12" s="31" t="str">
        <x:v>18.507 M€ current request, not yet a confirmed minimum-scope reserve</x:v>
      </x:c>
      <x:c r="D12" s="27"/>
      <x:c r="E12" s="27"/>
      <x:c r="F12" s="27"/>
    </x:row>
    <x:row r="13" ht="35" customHeight="1">
      <x:c r="A13" s="31" t="str">
        <x:v>Change and Sustain candidate request M€</x:v>
      </x:c>
      <x:c r="B13" s="32" t="n">
        <x:f>SUMIF('Demand details'!AG4:AG509,"Change and Sustain candidate",'Demand details'!J4:J509)</x:f>
        <x:v>30.347999999999995</x:v>
      </x:c>
      <x:c r="C13" s="31" t="str">
        <x:v>Includes CCB and explicitly labelled Change &amp; Sustain outside validated LFR</x:v>
      </x:c>
      <x:c r="D13" s="27"/>
      <x:c r="E13" s="27"/>
      <x:c r="F13" s="27"/>
    </x:row>
    <x:row r="14" ht="35" customHeight="1">
      <x:c r="A14" s="31" t="str">
        <x:v>Region candidate request M€</x:v>
      </x:c>
      <x:c r="B14" s="32" t="n">
        <x:f>SUMIF('Demand details'!AG4:AG509,"Region candidate",'Demand details'!J4:J509)</x:f>
        <x:v>8.354999999999999</x:v>
      </x:c>
      <x:c r="C14" s="31" t="str">
        <x:v>Outside earlier pools; classification needs Region confirmation</x:v>
      </x:c>
      <x:c r="D14" s="27"/>
      <x:c r="E14" s="27"/>
      <x:c r="F14" s="27"/>
    </x:row>
    <x:row r="15" ht="35" customHeight="1">
      <x:c r="A15" s="31" t="str">
        <x:v>Scoring weights total</x:v>
      </x:c>
      <x:c r="B15" s="31" t="n">
        <x:f>'Score settings'!D10</x:f>
        <x:v>100</x:v>
      </x:c>
      <x:c r="C15" s="31" t="str">
        <x:v>Both profiles must total 100</x:v>
      </x:c>
      <x:c r="D15" s="27"/>
      <x:c r="E15" s="27"/>
      <x:c r="F15" s="27"/>
    </x:row>
    <x:row r="16" ht="35" customHeight="1">
      <x:c r="A16" s="31" t="str">
        <x:v>Common pot minimum score</x:v>
      </x:c>
      <x:c r="B16" s="31" t="n">
        <x:f>'Score settings'!B59</x:f>
        <x:v>45</x:v>
      </x:c>
      <x:c r="C16" s="31" t="str">
        <x:v>Proposed 45; not an approval by itself</x:v>
      </x:c>
      <x:c r="D16" s="27"/>
      <x:c r="E16" s="27"/>
      <x:c r="F16" s="27"/>
    </x:row>
    <x:row r="17" ht="35" customHeight="1">
      <x:c r="A17" s="31"/>
      <x:c r="B17" s="31"/>
      <x:c r="C17" s="31"/>
      <x:c r="D17" s="27"/>
      <x:c r="E17" s="27"/>
      <x:c r="F17" s="27"/>
    </x:row>
    <x:row r="18" ht="35" customHeight="1">
      <x:c r="A18" s="31"/>
      <x:c r="B18" s="31"/>
      <x:c r="C18" s="31"/>
      <x:c r="D18" s="27"/>
      <x:c r="E18" s="27"/>
      <x:c r="F18" s="27"/>
    </x:row>
    <x:row r="19" ht="35" customHeight="1">
      <x:c r="A19" s="35" t="str">
        <x:v>Use</x:v>
      </x:c>
      <x:c r="B19" s="35" t="str">
        <x:v>Navigation</x:v>
      </x:c>
      <x:c r="C19" s="35" t="str">
        <x:v>Outcome</x:v>
      </x:c>
      <x:c r="D19" s="27"/>
      <x:c r="E19" s="27"/>
      <x:c r="F19" s="27"/>
    </x:row>
    <x:row r="20" ht="35" customHeight="1">
      <x:c r="A20" s="31" t="str">
        <x:v>Compare frameworks</x:v>
      </x:c>
      <x:c r="B20" s="31" t="str">
        <x:v>Scored demand</x:v>
      </x:c>
      <x:c r="C20" s="31" t="str">
        <x:v>Reference and recommended dimension totals, bands and common merit rank</x:v>
      </x:c>
      <x:c r="D20" s="27"/>
      <x:c r="E20" s="27"/>
      <x:c r="F20" s="27"/>
    </x:row>
    <x:row r="21" ht="35" customHeight="1">
      <x:c r="A21" s="31" t="str">
        <x:v>Configure scoring</x:v>
      </x:c>
      <x:c r="B21" s="31" t="str">
        <x:v>Score settings</x:v>
      </x:c>
      <x:c r="C21" s="31" t="str">
        <x:v>Edit weights, tiers, ratio boundaries, band thresholds and assumptions</x:v>
      </x:c>
      <x:c r="D21" s="27"/>
      <x:c r="E21" s="27"/>
      <x:c r="F21" s="27"/>
    </x:row>
    <x:row r="22" ht="35" customHeight="1">
      <x:c r="A22" s="31" t="str">
        <x:v>Review evidence</x:v>
      </x:c>
      <x:c r="B22" s="31" t="str">
        <x:v>Demand details and Waste evidence</x:v>
      </x:c>
      <x:c r="C22" s="31" t="str">
        <x:v>Preserved source narratives, source locations and conservative name matching</x:v>
      </x:c>
      <x:c r="D22" s="27"/>
      <x:c r="E22" s="27"/>
      <x:c r="F22" s="27"/>
    </x:row>
    <x:row r="23" ht="35" customHeight="1">
      <x:c r="A23" s="31" t="str">
        <x:v>Review conference choices</x:v>
      </x:c>
      <x:c r="B23" s="31" t="str">
        <x:v>Scenario options</x:v>
      </x:c>
      <x:c r="C23" s="31" t="str">
        <x:v>Recommended scenario definitions with explicit reservation semantics</x:v>
      </x:c>
      <x:c r="D23" s="27"/>
      <x:c r="E23" s="27"/>
      <x:c r="F23" s="27"/>
    </x:row>
    <x:row r="24" ht="35" customHeight="1">
      <x:c r="A24" s="31" t="str">
        <x:v>Record decisions</x:v>
      </x:c>
      <x:c r="B24" s="31" t="str">
        <x:v>Scored demand yellow inputs</x:v>
      </x:c>
      <x:c r="C24" s="31" t="str">
        <x:v>Scope amount, approved benefit, reviewed loss, impact and conference decision</x:v>
      </x:c>
      <x:c r="D24" s="27"/>
      <x:c r="E24" s="27"/>
      <x:c r="F24" s="27"/>
    </x:row>
    <x:row r="25" ht="35" customHeight="1">
      <x:c r="A25" s="31" t="str">
        <x:v>Prepare final data</x:v>
      </x:c>
      <x:c r="B25" s="31" t="str">
        <x:v>Data requirements</x:v>
      </x:c>
      <x:c r="C25" s="31" t="str">
        <x:v>Inputs and proposed owners needed before automatic funding approval</x:v>
      </x:c>
      <x:c r="D25" s="27"/>
      <x:c r="E25" s="27"/>
      <x:c r="F25" s="27"/>
    </x:row>
    <x:row r="26" ht="35" customHeight="1">
      <x:c r="A26" s="31"/>
      <x:c r="B26" s="31"/>
      <x:c r="C26" s="31"/>
      <x:c r="D26" s="27"/>
      <x:c r="E26" s="27"/>
      <x:c r="F26" s="27"/>
    </x:row>
    <x:row r="27" ht="35" customHeight="1">
      <x:c r="A27" s="31"/>
      <x:c r="B27" s="31"/>
      <x:c r="C27" s="31"/>
      <x:c r="D27" s="27"/>
      <x:c r="E27" s="27"/>
      <x:c r="F27" s="27"/>
    </x:row>
    <x:row r="28" ht="35" customHeight="1">
      <x:c r="A28" s="31" t="str">
        <x:v>Source workbook</x:v>
      </x:c>
      <x:c r="B28" s="31" t="str">
        <x:v>10926_IT AOP2027 Demand.xlsx</x:v>
      </x:c>
      <x:c r="C28" s="31" t="str">
        <x:v>Four demand and waste tabs; source file untouched</x:v>
      </x:c>
      <x:c r="D28" s="27"/>
      <x:c r="E28" s="27"/>
      <x:c r="F28" s="27"/>
    </x:row>
    <x:row r="29" ht="35" customHeight="1">
      <x:c r="A29" s="31" t="str">
        <x:v>Source interpretation</x:v>
      </x:c>
      <x:c r="B29" s="31" t="str">
        <x:v>506 source records; 481 named</x:v>
      </x:c>
      <x:c r="C29" s="31" t="str">
        <x:v>This differs from the 485-program HTML view; reconcile before final migration</x:v>
      </x:c>
      <x:c r="D29" s="27"/>
      <x:c r="E29" s="27"/>
      <x:c r="F29" s="27"/>
    </x:row>
    <x:row r="30" ht="35" customHeight="1">
      <x:c r="A30" s="31" t="str">
        <x:v>Score status</x:v>
      </x:c>
      <x:c r="B30" s="31" t="str">
        <x:v>Provisional source assessment</x:v>
      </x:c>
      <x:c r="C30" s="31" t="str">
        <x:v>Weights are policy proposals; monetary benefit units and loss estimates need review</x:v>
      </x:c>
      <x:c r="D30" s="27"/>
      <x:c r="E30" s="27"/>
      <x:c r="F30" s="27"/>
    </x:row>
    <x:row r="31" ht="35" customHeight="1">
      <x:c r="A31" s="31" t="str">
        <x:v>Funding status</x:v>
      </x:c>
      <x:c r="B31" s="31" t="str">
        <x:v>Scoring workbook, not allocation engine</x:v>
      </x:c>
      <x:c r="C31" s="31" t="str">
        <x:v>No automatic funding decisions are asserted by this workbook</x:v>
      </x:c>
      <x:c r="D31" s="27"/>
      <x:c r="E31" s="27"/>
      <x:c r="F31" s="27"/>
    </x:row>
    <x:row r="32">
      <x:c r="A32" s="27"/>
      <x:c r="B32" s="27"/>
      <x:c r="C32" s="27"/>
      <x:c r="D32" s="27"/>
      <x:c r="E32" s="27"/>
      <x:c r="F32" s="27"/>
    </x:row>
    <x:row r="33">
      <x:c r="A33" s="27"/>
      <x:c r="B33" s="27"/>
      <x:c r="C33" s="27"/>
      <x:c r="D33" s="27"/>
      <x:c r="E33" s="27"/>
      <x:c r="F33" s="27"/>
    </x:row>
    <x:row r="34">
      <x:c r="A34" s="27"/>
      <x:c r="B34" s="27"/>
      <x:c r="C34" s="27"/>
      <x:c r="D34" s="27"/>
      <x:c r="E34" s="27"/>
      <x:c r="F34" s="27"/>
    </x:row>
    <x:row r="35">
      <x:c r="A35" s="27"/>
      <x:c r="B35" s="27"/>
      <x:c r="C35" s="27"/>
      <x:c r="D35" s="27"/>
      <x:c r="E35" s="27"/>
      <x:c r="F35" s="27"/>
    </x:row>
    <x:row r="36">
      <x:c r="A36" s="27"/>
      <x:c r="B36" s="27"/>
      <x:c r="C36" s="27"/>
      <x:c r="D36" s="27"/>
      <x:c r="E36" s="27"/>
      <x:c r="F36" s="27"/>
    </x:row>
    <x:row r="37">
      <x:c r="A37" s="27"/>
      <x:c r="B37" s="27"/>
      <x:c r="C37" s="27"/>
      <x:c r="D37" s="27"/>
      <x:c r="E37" s="27"/>
      <x:c r="F37" s="27"/>
    </x:row>
    <x:row r="38">
      <x:c r="A38" s="27"/>
      <x:c r="B38" s="27"/>
      <x:c r="C38" s="27"/>
      <x:c r="D38" s="27"/>
      <x:c r="E38" s="27"/>
      <x:c r="F38" s="27"/>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4" hidden="0" customWidth="1"/>
    <x:col min="2" max="2" width="58" hidden="0" customWidth="1"/>
    <x:col min="3" max="3" width="17" hidden="0" customWidth="1"/>
    <x:col min="4" max="4" width="38" hidden="0" customWidth="1"/>
    <x:col min="5" max="5" width="17" hidden="0" customWidth="1"/>
    <x:col min="6" max="6" width="17" hidden="0" customWidth="1"/>
    <x:col min="7" max="7" width="17" hidden="0" customWidth="1"/>
    <x:col min="8" max="8" width="17" hidden="0" customWidth="1"/>
    <x:col min="9" max="9" width="17" hidden="0" customWidth="1"/>
    <x:col min="10" max="10" width="25"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32"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53" hidden="0" customWidth="1"/>
    <x:col min="38" max="38" width="17" hidden="0" customWidth="1"/>
    <x:col min="39" max="39" width="17" hidden="0" customWidth="1"/>
    <x:col min="40" max="40" width="17" hidden="0" customWidth="1"/>
    <x:col min="41" max="41" width="58" hidden="0" customWidth="1"/>
    <x:col min="42" max="42" width="17" hidden="0" customWidth="1"/>
  </x:cols>
  <x:sheetData>
    <x:row r="1" ht="32" customHeight="1">
      <x:c r="A1" s="2" t="str">
        <x:v>Scored demand</x:v>
      </x:c>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row>
    <x:row r="2">
      <x:c r="A2" s="1" t="str">
        <x:v>Reference reproduces the proposed five dimensions. Recommended adds cost of not doing and impact. Scores are provisional, not funding approvals.</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row>
    <x:row r="3" ht="42" customHeight="1">
      <x:c r="A3" s="6" t="str">
        <x:v>Record ID</x:v>
      </x:c>
      <x:c r="B3" s="6" t="str">
        <x:v>Program name</x:v>
      </x:c>
      <x:c r="C3" s="6" t="str">
        <x:v>Stream</x:v>
      </x:c>
      <x:c r="D3" s="6" t="str">
        <x:v>Organisation</x:v>
      </x:c>
      <x:c r="E3" s="6" t="str">
        <x:v>Requested M€</x:v>
      </x:c>
      <x:c r="F3" s="6" t="str">
        <x:v>Agreed scope M€</x:v>
      </x:c>
      <x:c r="G3" s="6" t="str">
        <x:v>Scoring investment M€</x:v>
      </x:c>
      <x:c r="H3" s="6" t="str">
        <x:v>Numeric source benefit M€</x:v>
      </x:c>
      <x:c r="I3" s="6" t="str">
        <x:v>Approved comparable benefit M€</x:v>
      </x:c>
      <x:c r="J3" s="6" t="str">
        <x:v>Benefit class candidate</x:v>
      </x:c>
      <x:c r="K3" s="6" t="str">
        <x:v>Comparable benefit M€</x:v>
      </x:c>
      <x:c r="L3" s="6" t="str">
        <x:v>Recorded impact tier</x:v>
      </x:c>
      <x:c r="M3" s="6" t="str">
        <x:v>Reviewed expected loss M€</x:v>
      </x:c>
      <x:c r="N3" s="6" t="str">
        <x:v>Reviewed impact tier</x:v>
      </x:c>
      <x:c r="O3" s="6" t="str">
        <x:v>Priority key</x:v>
      </x:c>
      <x:c r="P3" s="6" t="str">
        <x:v>Category key</x:v>
      </x:c>
      <x:c r="Q3" s="6" t="str">
        <x:v>Investment area key</x:v>
      </x:c>
      <x:c r="R3" s="6" t="str">
        <x:v>Waste band</x:v>
      </x:c>
      <x:c r="S3" s="6" t="str">
        <x:v>Validated must do</x:v>
      </x:c>
      <x:c r="T3" s="6" t="str">
        <x:v>Funding pool candidate</x:v>
      </x:c>
      <x:c r="U3" s="6" t="str">
        <x:v>Reference priority</x:v>
      </x:c>
      <x:c r="V3" s="6" t="str">
        <x:v>Reference category</x:v>
      </x:c>
      <x:c r="W3" s="6" t="str">
        <x:v>Reference area</x:v>
      </x:c>
      <x:c r="X3" s="6" t="str">
        <x:v>Reference benefits</x:v>
      </x:c>
      <x:c r="Y3" s="6" t="str">
        <x:v>Reference waste</x:v>
      </x:c>
      <x:c r="Z3" s="6" t="str">
        <x:v>Reference total</x:v>
      </x:c>
      <x:c r="AA3" s="6" t="str">
        <x:v>Reference band</x:v>
      </x:c>
      <x:c r="AB3" s="6" t="str">
        <x:v>Recommended priority</x:v>
      </x:c>
      <x:c r="AC3" s="6" t="str">
        <x:v>Recommended category</x:v>
      </x:c>
      <x:c r="AD3" s="6" t="str">
        <x:v>Recommended area</x:v>
      </x:c>
      <x:c r="AE3" s="6" t="str">
        <x:v>Recommended benefits</x:v>
      </x:c>
      <x:c r="AF3" s="6" t="str">
        <x:v>Recommended waste</x:v>
      </x:c>
      <x:c r="AG3" s="6" t="str">
        <x:v>Recommended impact and loss</x:v>
      </x:c>
      <x:c r="AH3" s="6" t="str">
        <x:v>Recommended total</x:v>
      </x:c>
      <x:c r="AI3" s="6" t="str">
        <x:v>Recommended band</x:v>
      </x:c>
      <x:c r="AJ3" s="6" t="str">
        <x:v>Common merit rank</x:v>
      </x:c>
      <x:c r="AK3" s="6" t="str">
        <x:v>Decision readiness</x:v>
      </x:c>
      <x:c r="AL3" s="6" t="str">
        <x:v>Source risk exposure</x:v>
      </x:c>
      <x:c r="AM3" s="6" t="str">
        <x:v>Conference decision</x:v>
      </x:c>
      <x:c r="AN3" s="6" t="str">
        <x:v>Agreed funding M€</x:v>
      </x:c>
      <x:c r="AO3" s="6" t="str">
        <x:v>Decision reason</x:v>
      </x:c>
      <x:c r="AP3" s="6" t="str">
        <x:v>Scenario name</x:v>
      </x:c>
    </x:row>
    <x:row r="4" ht="15" hidden="0" customHeight="1">
      <x:c r="A4" s="36" t="str">
        <x:v>Bu-01</x:v>
      </x:c>
      <x:c r="B4" s="37" t="str">
        <x:v>EI-IS-AI Service Excellence program - SPM--&gt; Microsoft Project Operations</x:v>
      </x:c>
      <x:c r="C4" s="36" t="str">
        <x:v>BU Led</x:v>
      </x:c>
      <x:c r="D4" s="36" t="str">
        <x:v>Enterprise Informatics (EI)</x:v>
      </x:c>
      <x:c r="E4" s="38" t="n">
        <x:v>1.3</x:v>
      </x:c>
      <x:c r="F4" s="39"/>
      <x:c r="G4" s="38" t="n">
        <x:f>IF(ISNUMBER(F4),F4,IF(E4="","",E4))</x:f>
        <x:v>1.3</x:v>
      </x:c>
      <x:c r="H4" s="38" t="n">
        <x:v>0.8</x:v>
      </x:c>
      <x:c r="I4" s="39"/>
      <x:c r="J4" s="36" t="str">
        <x:v>Cash savings</x:v>
      </x:c>
      <x:c r="K4" s="38" t="n">
        <x:f>IF(ISNUMBER(I4),I4,IF(OR(NOT(ISNUMBER(H4)),NOT(ISNUMBER(G4)),G4&lt;=0),"",IF(H4/G4&gt;='Score settings'!$B$58,"",IF(J4="Cash savings",H4,IF(J4="Revenue",H4*'Score settings'!$B$55,"")))))</x:f>
        <x:v>0.8</x:v>
      </x:c>
      <x:c r="L4" s="36"/>
      <x:c r="M4" s="39"/>
      <x:c r="N4" s="40"/>
      <x:c r="O4" s="36" t="str">
        <x:v>Must Do</x:v>
      </x:c>
      <x:c r="P4" s="36" t="str">
        <x:v>NewTech</x:v>
      </x:c>
      <x:c r="Q4" s="36" t="str">
        <x:v>Productivity</x:v>
      </x:c>
      <x:c r="R4" s="36" t="str">
        <x:v>NotAssessed</x:v>
      </x:c>
      <x:c r="S4" s="36" t="str"/>
      <x:c r="T4" s="36" t="str">
        <x:v>Common pot</x:v>
      </x:c>
      <x:c r="U4" s="41" t="n">
        <x:f>VLOOKUP("Priority|"&amp;O4,'Score settings'!$A$14:$C$43,2,FALSE)/'Score settings'!$B$4*'Score settings'!$C$4</x:f>
        <x:v>25</x:v>
      </x:c>
      <x:c r="V4" s="41" t="n">
        <x:f>VLOOKUP("Category|"&amp;P4,'Score settings'!$A$14:$C$43,2,FALSE)/'Score settings'!$B$5*'Score settings'!$C$5</x:f>
        <x:v>5</x:v>
      </x:c>
      <x:c r="W4" s="41" t="n">
        <x:f>VLOOKUP("Area|"&amp;Q4,'Score settings'!$A$14:$C$43,2,FALSE)/'Score settings'!$B$6*'Score settings'!$C$6</x:f>
        <x:v>10</x:v>
      </x:c>
      <x:c r="X4" s="41" t="n">
        <x:f>VLOOKUP("Benefits|"&amp;IF(AND(ISNUMBER(H4),H4&gt;0,ISNUMBER(G4),G4&gt;0),IF(H4/G4&gt;='Score settings'!$E$17,"3plus",IF(H4/G4&gt;='Score settings'!$E$16,"1.5to3",IF(H4/G4&gt;='Score settings'!$E$15,"0.5to1.5","positive"))),"None"),'Score settings'!$A$14:$C$43,2,FALSE)/'Score settings'!$B$7*'Score settings'!$C$7</x:f>
        <x:v>15</x:v>
      </x:c>
      <x:c r="Y4" s="41" t="n">
        <x:f>VLOOKUP("Waste|"&amp;R4,'Score settings'!$A$14:$C$43,2,FALSE)/'Score settings'!$B$8*'Score settings'!$C$8</x:f>
        <x:v>7</x:v>
      </x:c>
      <x:c r="Z4" s="41" t="n">
        <x:f>IF(B4="","",SUM(U4:Y4))</x:f>
        <x:v>62</x:v>
      </x:c>
      <x:c r="AA4" s="41" t="str">
        <x:f>IF(Z4="","Not scored",VLOOKUP(Z4,'Score settings'!$A$47:$C$50,2,TRUE))</x:f>
        <x:v>Strong</x:v>
      </x:c>
      <x:c r="AB4" s="41" t="n">
        <x:f>VLOOKUP("Priority|"&amp;O4,'Score settings'!$A$14:$C$43,3,FALSE)/'Score settings'!$B$4*'Score settings'!$D$4</x:f>
        <x:v>15</x:v>
      </x:c>
      <x:c r="AC4" s="41" t="n">
        <x:f>VLOOKUP("Category|"&amp;P4,'Score settings'!$A$14:$C$43,3,FALSE)/'Score settings'!$B$5*'Score settings'!$D$5</x:f>
        <x:v>2.5</x:v>
      </x:c>
      <x:c r="AD4" s="41" t="n">
        <x:f>VLOOKUP("Area|"&amp;Q4,'Score settings'!$A$14:$C$43,3,FALSE)/'Score settings'!$B$6*'Score settings'!$D$6</x:f>
        <x:v>6.666666666666666</x:v>
      </x:c>
      <x:c r="AE4" s="41" t="n">
        <x:f>VLOOKUP("Benefits|"&amp;IF(AND(ISNUMBER(K4),K4&gt;0,ISNUMBER(G4),G4&gt;0),IF(K4/G4&gt;='Score settings'!$E$17,"3plus",IF(K4/G4&gt;='Score settings'!$E$16,"1.5to3",IF(K4/G4&gt;='Score settings'!$E$15,"0.5to1.5","positive"))),"None"),'Score settings'!$A$14:$C$43,3,FALSE)/'Score settings'!$B$7*'Score settings'!$D$7</x:f>
        <x:v>18</x:v>
      </x:c>
      <x:c r="AF4" s="41" t="n">
        <x:f>VLOOKUP("Waste|"&amp;R4,'Score settings'!$A$14:$C$43,3,FALSE)/'Score settings'!$B$8*'Score settings'!$D$8</x:f>
        <x:v>0</x:v>
      </x:c>
      <x:c r="AG4" s="41" t="n">
        <x:f>(IF(AND(ISNUMBER(M4),M4&gt;0,ISNUMBER(G4),G4&gt;0),IF(M4/G4&gt;='Score settings'!$E$17,'Score settings'!$G$17,IF(M4/G4&gt;='Score settings'!$E$16,'Score settings'!$G$16,IF(M4/G4&gt;='Score settings'!$E$15,'Score settings'!$G$15,'Score settings'!$G$14))),0)/15*'Score settings'!$B$60+IFERROR(VLOOKUP(IF(ISNUMBER(N4),N4,IF(ISNUMBER(L4),L4,0)),'Score settings'!$E$22:$F$26,2,FALSE),0)/10*'Score settings'!$B$61)/'Score settings'!$B$9*'Score settings'!$D$9</x:f>
        <x:v>0</x:v>
      </x:c>
      <x:c r="AH4" s="41" t="n">
        <x:f>IF(B4="","",SUM(AB4:AG4))</x:f>
        <x:v>42.166666666666664</x:v>
      </x:c>
      <x:c r="AI4" s="41" t="str">
        <x:f>IF(NOT(ISNUMBER(AH4)),"Not scored",VLOOKUP(AH4,'Score settings'!$A$47:$C$50,3,TRUE))</x:f>
        <x:v>Discretionary</x:v>
      </x:c>
      <x:c r="AJ4" s="42" t="n">
        <x:f>IF(OR(NOT(ISNUMBER(AH4)),T4&lt;&gt;"Common pot"),"",COUNTIFS($T$4:$T$509,"Common pot",$AH$4:$AH$509,"&gt;"&amp;AH4)+1)</x:f>
        <x:v>84</x:v>
      </x:c>
      <x:c r="AK4" s="36" t="str">
        <x:f>IF(B4="","Name missing - not scored",IF(OR(NOT(ISNUMBER(G4)),G4&lt;=0),"Investment missing or zero - review",IF(0=1,"Permanent ID missing - reconcile",IF(AND(ISNUMBER(H4),H4/G4&gt;='Score settings'!$B$58,NOT(ISNUMBER(I4))),"Benefit units need review",IF(OR(R4="EXIT",R4="CHALLENGE"),"Waste decision requires scope resolution",IF("No exact waste match"&lt;&gt;"Name and organisation matched","Waste evidence match needs review","Provisional source score - confirm evidence"))))))</x:f>
        <x:v>Waste evidence match needs review</x:v>
      </x:c>
      <x:c r="AL4" s="36"/>
      <x:c r="AM4" s="40"/>
      <x:c r="AN4" s="39"/>
      <x:c r="AO4" s="40"/>
      <x:c r="AP4" s="40"/>
    </x:row>
    <x:row r="5" ht="15" hidden="0" customHeight="1">
      <x:c r="A5" s="36" t="str">
        <x:v>Bu-02</x:v>
      </x:c>
      <x:c r="B5" s="37" t="str">
        <x:v>Sensei Usage-to-Cash: Contract, Billing &amp; Invoice Automation</x:v>
      </x:c>
      <x:c r="C5" s="36" t="str">
        <x:v>BU Led</x:v>
      </x:c>
      <x:c r="D5" s="36" t="str">
        <x:v>Enterprise Informatics (EI)</x:v>
      </x:c>
      <x:c r="E5" s="38" t="n">
        <x:v>0.75</x:v>
      </x:c>
      <x:c r="F5" s="39"/>
      <x:c r="G5" s="38" t="n">
        <x:f>IF(ISNUMBER(F5),F5,IF(E5="","",E5))</x:f>
        <x:v>0.75</x:v>
      </x:c>
      <x:c r="H5" s="38" t="n">
        <x:v>0.5</x:v>
      </x:c>
      <x:c r="I5" s="39"/>
      <x:c r="J5" s="36" t="str">
        <x:v>Revenue</x:v>
      </x:c>
      <x:c r="K5" s="38" t="n">
        <x:f>IF(ISNUMBER(I5),I5,IF(OR(NOT(ISNUMBER(H5)),NOT(ISNUMBER(G5)),G5&lt;=0),"",IF(H5/G5&gt;='Score settings'!$B$58,"",IF(J5="Cash savings",H5,IF(J5="Revenue",H5*'Score settings'!$B$55,"")))))</x:f>
        <x:v>0.075</x:v>
      </x:c>
      <x:c r="L5" s="36"/>
      <x:c r="M5" s="39"/>
      <x:c r="N5" s="40"/>
      <x:c r="O5" s="36" t="str">
        <x:v>Must Do</x:v>
      </x:c>
      <x:c r="P5" s="36" t="str">
        <x:v>NewTech</x:v>
      </x:c>
      <x:c r="Q5" s="36" t="str">
        <x:v>Revenue</x:v>
      </x:c>
      <x:c r="R5" s="36" t="str">
        <x:v>NotAssessed</x:v>
      </x:c>
      <x:c r="S5" s="36" t="str"/>
      <x:c r="T5" s="36" t="str">
        <x:v>Common pot</x:v>
      </x:c>
      <x:c r="U5" s="41" t="n">
        <x:f>VLOOKUP("Priority|"&amp;O5,'Score settings'!$A$14:$C$43,2,FALSE)/'Score settings'!$B$4*'Score settings'!$C$4</x:f>
        <x:v>25</x:v>
      </x:c>
      <x:c r="V5" s="41" t="n">
        <x:f>VLOOKUP("Category|"&amp;P5,'Score settings'!$A$14:$C$43,2,FALSE)/'Score settings'!$B$5*'Score settings'!$C$5</x:f>
        <x:v>5</x:v>
      </x:c>
      <x:c r="W5" s="41" t="n">
        <x:f>VLOOKUP("Area|"&amp;Q5,'Score settings'!$A$14:$C$43,2,FALSE)/'Score settings'!$B$6*'Score settings'!$C$6</x:f>
        <x:v>11</x:v>
      </x:c>
      <x:c r="X5" s="41" t="n">
        <x:f>VLOOKUP("Benefits|"&amp;IF(AND(ISNUMBER(H5),H5&gt;0,ISNUMBER(G5),G5&gt;0),IF(H5/G5&gt;='Score settings'!$E$17,"3plus",IF(H5/G5&gt;='Score settings'!$E$16,"1.5to3",IF(H5/G5&gt;='Score settings'!$E$15,"0.5to1.5","positive"))),"None"),'Score settings'!$A$14:$C$43,2,FALSE)/'Score settings'!$B$7*'Score settings'!$C$7</x:f>
        <x:v>15</x:v>
      </x:c>
      <x:c r="Y5" s="41" t="n">
        <x:f>VLOOKUP("Waste|"&amp;R5,'Score settings'!$A$14:$C$43,2,FALSE)/'Score settings'!$B$8*'Score settings'!$C$8</x:f>
        <x:v>7</x:v>
      </x:c>
      <x:c r="Z5" s="41" t="n">
        <x:f>IF(B5="","",SUM(U5:Y5))</x:f>
        <x:v>63</x:v>
      </x:c>
      <x:c r="AA5" s="41" t="str">
        <x:f>IF(Z5="","Not scored",VLOOKUP(Z5,'Score settings'!$A$47:$C$50,2,TRUE))</x:f>
        <x:v>Strong</x:v>
      </x:c>
      <x:c r="AB5" s="41" t="n">
        <x:f>VLOOKUP("Priority|"&amp;O5,'Score settings'!$A$14:$C$43,3,FALSE)/'Score settings'!$B$4*'Score settings'!$D$4</x:f>
        <x:v>15</x:v>
      </x:c>
      <x:c r="AC5" s="41" t="n">
        <x:f>VLOOKUP("Category|"&amp;P5,'Score settings'!$A$14:$C$43,3,FALSE)/'Score settings'!$B$5*'Score settings'!$D$5</x:f>
        <x:v>2.5</x:v>
      </x:c>
      <x:c r="AD5" s="41" t="n">
        <x:f>VLOOKUP("Area|"&amp;Q5,'Score settings'!$A$14:$C$43,3,FALSE)/'Score settings'!$B$6*'Score settings'!$D$6</x:f>
        <x:v>7.333333333333333</x:v>
      </x:c>
      <x:c r="AE5" s="41" t="n">
        <x:f>VLOOKUP("Benefits|"&amp;IF(AND(ISNUMBER(K5),K5&gt;0,ISNUMBER(G5),G5&gt;0),IF(K5/G5&gt;='Score settings'!$E$17,"3plus",IF(K5/G5&gt;='Score settings'!$E$16,"1.5to3",IF(K5/G5&gt;='Score settings'!$E$15,"0.5to1.5","positive"))),"None"),'Score settings'!$A$14:$C$43,3,FALSE)/'Score settings'!$B$7*'Score settings'!$D$7</x:f>
        <x:v>12</x:v>
      </x:c>
      <x:c r="AF5" s="41" t="n">
        <x:f>VLOOKUP("Waste|"&amp;R5,'Score settings'!$A$14:$C$43,3,FALSE)/'Score settings'!$B$8*'Score settings'!$D$8</x:f>
        <x:v>0</x:v>
      </x:c>
      <x:c r="AG5" s="41" t="n">
        <x:f>(IF(AND(ISNUMBER(M5),M5&gt;0,ISNUMBER(G5),G5&gt;0),IF(M5/G5&gt;='Score settings'!$E$17,'Score settings'!$G$17,IF(M5/G5&gt;='Score settings'!$E$16,'Score settings'!$G$16,IF(M5/G5&gt;='Score settings'!$E$15,'Score settings'!$G$15,'Score settings'!$G$14))),0)/15*'Score settings'!$B$60+IFERROR(VLOOKUP(IF(ISNUMBER(N5),N5,IF(ISNUMBER(L5),L5,0)),'Score settings'!$E$22:$F$26,2,FALSE),0)/10*'Score settings'!$B$61)/'Score settings'!$B$9*'Score settings'!$D$9</x:f>
        <x:v>0</x:v>
      </x:c>
      <x:c r="AH5" s="41" t="n">
        <x:f>IF(B5="","",SUM(AB5:AG5))</x:f>
        <x:v>36.83333333333333</x:v>
      </x:c>
      <x:c r="AI5" s="41" t="str">
        <x:f>IF(NOT(ISNUMBER(AH5)),"Not scored",VLOOKUP(AH5,'Score settings'!$A$47:$C$50,3,TRUE))</x:f>
        <x:v>Discretionary</x:v>
      </x:c>
      <x:c r="AJ5" s="42" t="n">
        <x:f>IF(OR(NOT(ISNUMBER(AH5)),T5&lt;&gt;"Common pot"),"",COUNTIFS($T$4:$T$509,"Common pot",$AH$4:$AH$509,"&gt;"&amp;AH5)+1)</x:f>
        <x:v>128</x:v>
      </x:c>
      <x:c r="AK5" s="36" t="str">
        <x:f>IF(B5="","Name missing - not scored",IF(OR(NOT(ISNUMBER(G5)),G5&lt;=0),"Investment missing or zero - review",IF(0=1,"Permanent ID missing - reconcile",IF(AND(ISNUMBER(H5),H5/G5&gt;='Score settings'!$B$58,NOT(ISNUMBER(I5))),"Benefit units need review",IF(OR(R5="EXIT",R5="CHALLENGE"),"Waste decision requires scope resolution",IF("Name and organisation matched"&lt;&gt;"Name and organisation matched","Waste evidence match needs review","Provisional source score - confirm evidence"))))))</x:f>
        <x:v>Provisional source score - confirm evidence</x:v>
      </x:c>
      <x:c r="AL5" s="36"/>
      <x:c r="AM5" s="40"/>
      <x:c r="AN5" s="39"/>
      <x:c r="AO5" s="40"/>
      <x:c r="AP5" s="40"/>
    </x:row>
    <x:row r="6" ht="60" hidden="0" customHeight="1">
      <x:c r="A6" s="36" t="str">
        <x:v>Bu-03</x:v>
      </x:c>
      <x:c r="B6" s="37" t="str">
        <x:v>Service CLV (TechMax Enablement and eZCQ workflow with EMO integration, Rmeote Software Distribution Workflow), Complete NPSC requested by Service ISC
Budget request excludes payment to other enterprise systems like EMO, ITaaP, SAP, Trackwise for integration)</x:v>
      </x:c>
      <x:c r="C6" s="36" t="str">
        <x:v>BU Led</x:v>
      </x:c>
      <x:c r="D6" s="36" t="str">
        <x:v>Greater China (GRC)</x:v>
      </x:c>
      <x:c r="E6" s="38" t="n">
        <x:v>0.4</x:v>
      </x:c>
      <x:c r="F6" s="39"/>
      <x:c r="G6" s="38" t="n">
        <x:f>IF(ISNUMBER(F6),F6,IF(E6="","",E6))</x:f>
        <x:v>0.4</x:v>
      </x:c>
      <x:c r="H6" s="38" t="n">
        <x:v>2</x:v>
      </x:c>
      <x:c r="I6" s="39"/>
      <x:c r="J6" s="36" t="str">
        <x:v>Unclassified</x:v>
      </x:c>
      <x:c r="K6" s="38" t="str">
        <x:f>IF(ISNUMBER(I6),I6,IF(OR(NOT(ISNUMBER(H6)),NOT(ISNUMBER(G6)),G6&lt;=0),"",IF(H6/G6&gt;='Score settings'!$B$58,"",IF(J6="Cash savings",H6,IF(J6="Revenue",H6*'Score settings'!$B$55,"")))))</x:f>
      </x:c>
      <x:c r="L6" s="36"/>
      <x:c r="M6" s="39"/>
      <x:c r="N6" s="40"/>
      <x:c r="O6" s="36" t="str">
        <x:v>Must Have</x:v>
      </x:c>
      <x:c r="P6" s="36" t="str">
        <x:v>NewFeat</x:v>
      </x:c>
      <x:c r="Q6" s="36" t="str">
        <x:v>Blank</x:v>
      </x:c>
      <x:c r="R6" s="36" t="str">
        <x:v>NotAssessed</x:v>
      </x:c>
      <x:c r="S6" s="36" t="str"/>
      <x:c r="T6" s="36" t="str">
        <x:v>Region candidate</x:v>
      </x:c>
      <x:c r="U6" s="41" t="n">
        <x:f>VLOOKUP("Priority|"&amp;O6,'Score settings'!$A$14:$C$43,2,FALSE)/'Score settings'!$B$4*'Score settings'!$C$4</x:f>
        <x:v>18</x:v>
      </x:c>
      <x:c r="V6" s="41" t="n">
        <x:f>VLOOKUP("Category|"&amp;P6,'Score settings'!$A$14:$C$43,2,FALSE)/'Score settings'!$B$5*'Score settings'!$C$5</x:f>
        <x:v>6</x:v>
      </x:c>
      <x:c r="W6" s="41" t="n">
        <x:f>VLOOKUP("Area|"&amp;Q6,'Score settings'!$A$14:$C$43,2,FALSE)/'Score settings'!$B$6*'Score settings'!$C$6</x:f>
        <x:v>3</x:v>
      </x:c>
      <x:c r="X6" s="41" t="n">
        <x:f>VLOOKUP("Benefits|"&amp;IF(AND(ISNUMBER(H6),H6&gt;0,ISNUMBER(G6),G6&gt;0),IF(H6/G6&gt;='Score settings'!$E$17,"3plus",IF(H6/G6&gt;='Score settings'!$E$16,"1.5to3",IF(H6/G6&gt;='Score settings'!$E$15,"0.5to1.5","positive"))),"None"),'Score settings'!$A$14:$C$43,2,FALSE)/'Score settings'!$B$7*'Score settings'!$C$7</x:f>
        <x:v>25</x:v>
      </x:c>
      <x:c r="Y6" s="41" t="n">
        <x:f>VLOOKUP("Waste|"&amp;R6,'Score settings'!$A$14:$C$43,2,FALSE)/'Score settings'!$B$8*'Score settings'!$C$8</x:f>
        <x:v>7</x:v>
      </x:c>
      <x:c r="Z6" s="41" t="n">
        <x:f>IF(B6="","",SUM(U6:Y6))</x:f>
        <x:v>59</x:v>
      </x:c>
      <x:c r="AA6" s="41" t="str">
        <x:f>IF(Z6="","Not scored",VLOOKUP(Z6,'Score settings'!$A$47:$C$50,2,TRUE))</x:f>
        <x:v>Strong</x:v>
      </x:c>
      <x:c r="AB6" s="41" t="n">
        <x:f>VLOOKUP("Priority|"&amp;O6,'Score settings'!$A$14:$C$43,3,FALSE)/'Score settings'!$B$4*'Score settings'!$D$4</x:f>
        <x:v>10.799999999999999</x:v>
      </x:c>
      <x:c r="AC6" s="41" t="n">
        <x:f>VLOOKUP("Category|"&amp;P6,'Score settings'!$A$14:$C$43,3,FALSE)/'Score settings'!$B$5*'Score settings'!$D$5</x:f>
        <x:v>3</x:v>
      </x:c>
      <x:c r="AD6" s="41" t="n">
        <x:f>VLOOKUP("Area|"&amp;Q6,'Score settings'!$A$14:$C$43,3,FALSE)/'Score settings'!$B$6*'Score settings'!$D$6</x:f>
        <x:v>0</x:v>
      </x:c>
      <x:c r="AE6" s="41" t="n">
        <x:f>VLOOKUP("Benefits|"&amp;IF(AND(ISNUMBER(K6),K6&gt;0,ISNUMBER(G6),G6&gt;0),IF(K6/G6&gt;='Score settings'!$E$17,"3plus",IF(K6/G6&gt;='Score settings'!$E$16,"1.5to3",IF(K6/G6&gt;='Score settings'!$E$15,"0.5to1.5","positive"))),"None"),'Score settings'!$A$14:$C$43,3,FALSE)/'Score settings'!$B$7*'Score settings'!$D$7</x:f>
        <x:v>0</x:v>
      </x:c>
      <x:c r="AF6" s="41" t="n">
        <x:f>VLOOKUP("Waste|"&amp;R6,'Score settings'!$A$14:$C$43,3,FALSE)/'Score settings'!$B$8*'Score settings'!$D$8</x:f>
        <x:v>0</x:v>
      </x:c>
      <x:c r="AG6" s="41" t="n">
        <x:f>(IF(AND(ISNUMBER(M6),M6&gt;0,ISNUMBER(G6),G6&gt;0),IF(M6/G6&gt;='Score settings'!$E$17,'Score settings'!$G$17,IF(M6/G6&gt;='Score settings'!$E$16,'Score settings'!$G$16,IF(M6/G6&gt;='Score settings'!$E$15,'Score settings'!$G$15,'Score settings'!$G$14))),0)/15*'Score settings'!$B$60+IFERROR(VLOOKUP(IF(ISNUMBER(N6),N6,IF(ISNUMBER(L6),L6,0)),'Score settings'!$E$22:$F$26,2,FALSE),0)/10*'Score settings'!$B$61)/'Score settings'!$B$9*'Score settings'!$D$9</x:f>
        <x:v>0</x:v>
      </x:c>
      <x:c r="AH6" s="41" t="n">
        <x:f>IF(B6="","",SUM(AB6:AG6))</x:f>
        <x:v>13.799999999999999</x:v>
      </x:c>
      <x:c r="AI6" s="41" t="str">
        <x:f>IF(NOT(ISNUMBER(AH6)),"Not scored",VLOOKUP(AH6,'Score settings'!$A$47:$C$50,3,TRUE))</x:f>
        <x:v>Weak</x:v>
      </x:c>
      <x:c r="AJ6" s="42" t="str">
        <x:f>IF(OR(NOT(ISNUMBER(AH6)),T6&lt;&gt;"Common pot"),"",COUNTIFS($T$4:$T$509,"Common pot",$AH$4:$AH$509,"&gt;"&amp;AH6)+1)</x:f>
      </x:c>
      <x:c r="AK6" s="36" t="str">
        <x:f>IF(B6="","Name missing - not scored",IF(OR(NOT(ISNUMBER(G6)),G6&lt;=0),"Investment missing or zero - review",IF(0=1,"Permanent ID missing - reconcile",IF(AND(ISNUMBER(H6),H6/G6&gt;='Score settings'!$B$58,NOT(ISNUMBER(I6))),"Benefit units need review",IF(OR(R6="EXIT",R6="CHALLENGE"),"Waste decision requires scope resolution",IF("No exact waste match"&lt;&gt;"Name and organisation matched","Waste evidence match needs review","Provisional source score - confirm evidence"))))))</x:f>
        <x:v>Waste evidence match needs review</x:v>
      </x:c>
      <x:c r="AL6" s="36"/>
      <x:c r="AM6" s="40"/>
      <x:c r="AN6" s="39"/>
      <x:c r="AO6" s="40"/>
      <x:c r="AP6" s="40"/>
    </x:row>
    <x:row r="7" ht="15" hidden="0" customHeight="1">
      <x:c r="A7" s="36" t="str">
        <x:v>Bu-04</x:v>
      </x:c>
      <x:c r="B7" s="37" t="str">
        <x:v>2027 IGTD DATA and INSIGHTS</x:v>
      </x:c>
      <x:c r="C7" s="36" t="str">
        <x:v>BU Led</x:v>
      </x:c>
      <x:c r="D7" s="36" t="str">
        <x:v>Image Guided Therapy - Devices (IGT-D)</x:v>
      </x:c>
      <x:c r="E7" s="38" t="n">
        <x:v>0.345</x:v>
      </x:c>
      <x:c r="F7" s="39"/>
      <x:c r="G7" s="38" t="n">
        <x:f>IF(ISNUMBER(F7),F7,IF(E7="","",E7))</x:f>
        <x:v>0.345</x:v>
      </x:c>
      <x:c r="H7" s="38" t="n">
        <x:v>117</x:v>
      </x:c>
      <x:c r="I7" s="39"/>
      <x:c r="J7" s="36" t="str">
        <x:v>Revenue</x:v>
      </x:c>
      <x:c r="K7" s="38" t="str">
        <x:f>IF(ISNUMBER(I7),I7,IF(OR(NOT(ISNUMBER(H7)),NOT(ISNUMBER(G7)),G7&lt;=0),"",IF(H7/G7&gt;='Score settings'!$B$58,"",IF(J7="Cash savings",H7,IF(J7="Revenue",H7*'Score settings'!$B$55,"")))))</x:f>
      </x:c>
      <x:c r="L7" s="36"/>
      <x:c r="M7" s="39"/>
      <x:c r="N7" s="40"/>
      <x:c r="O7" s="36" t="str">
        <x:v>Must Do</x:v>
      </x:c>
      <x:c r="P7" s="36" t="str">
        <x:v>NewFeat</x:v>
      </x:c>
      <x:c r="Q7" s="36" t="str">
        <x:v>Revenue</x:v>
      </x:c>
      <x:c r="R7" s="36" t="str">
        <x:v>NotAssessed</x:v>
      </x:c>
      <x:c r="S7" s="36" t="str"/>
      <x:c r="T7" s="36" t="str">
        <x:v>Common pot</x:v>
      </x:c>
      <x:c r="U7" s="41" t="n">
        <x:f>VLOOKUP("Priority|"&amp;O7,'Score settings'!$A$14:$C$43,2,FALSE)/'Score settings'!$B$4*'Score settings'!$C$4</x:f>
        <x:v>25</x:v>
      </x:c>
      <x:c r="V7" s="41" t="n">
        <x:f>VLOOKUP("Category|"&amp;P7,'Score settings'!$A$14:$C$43,2,FALSE)/'Score settings'!$B$5*'Score settings'!$C$5</x:f>
        <x:v>6</x:v>
      </x:c>
      <x:c r="W7" s="41" t="n">
        <x:f>VLOOKUP("Area|"&amp;Q7,'Score settings'!$A$14:$C$43,2,FALSE)/'Score settings'!$B$6*'Score settings'!$C$6</x:f>
        <x:v>11</x:v>
      </x:c>
      <x:c r="X7" s="41" t="n">
        <x:f>VLOOKUP("Benefits|"&amp;IF(AND(ISNUMBER(H7),H7&gt;0,ISNUMBER(G7),G7&gt;0),IF(H7/G7&gt;='Score settings'!$E$17,"3plus",IF(H7/G7&gt;='Score settings'!$E$16,"1.5to3",IF(H7/G7&gt;='Score settings'!$E$15,"0.5to1.5","positive"))),"None"),'Score settings'!$A$14:$C$43,2,FALSE)/'Score settings'!$B$7*'Score settings'!$C$7</x:f>
        <x:v>25</x:v>
      </x:c>
      <x:c r="Y7" s="41" t="n">
        <x:f>VLOOKUP("Waste|"&amp;R7,'Score settings'!$A$14:$C$43,2,FALSE)/'Score settings'!$B$8*'Score settings'!$C$8</x:f>
        <x:v>7</x:v>
      </x:c>
      <x:c r="Z7" s="41" t="n">
        <x:f>IF(B7="","",SUM(U7:Y7))</x:f>
        <x:v>74</x:v>
      </x:c>
      <x:c r="AA7" s="41" t="str">
        <x:f>IF(Z7="","Not scored",VLOOKUP(Z7,'Score settings'!$A$47:$C$50,2,TRUE))</x:f>
        <x:v>Protected</x:v>
      </x:c>
      <x:c r="AB7" s="41" t="n">
        <x:f>VLOOKUP("Priority|"&amp;O7,'Score settings'!$A$14:$C$43,3,FALSE)/'Score settings'!$B$4*'Score settings'!$D$4</x:f>
        <x:v>15</x:v>
      </x:c>
      <x:c r="AC7" s="41" t="n">
        <x:f>VLOOKUP("Category|"&amp;P7,'Score settings'!$A$14:$C$43,3,FALSE)/'Score settings'!$B$5*'Score settings'!$D$5</x:f>
        <x:v>3</x:v>
      </x:c>
      <x:c r="AD7" s="41" t="n">
        <x:f>VLOOKUP("Area|"&amp;Q7,'Score settings'!$A$14:$C$43,3,FALSE)/'Score settings'!$B$6*'Score settings'!$D$6</x:f>
        <x:v>7.333333333333333</x:v>
      </x:c>
      <x:c r="AE7" s="41" t="n">
        <x:f>VLOOKUP("Benefits|"&amp;IF(AND(ISNUMBER(K7),K7&gt;0,ISNUMBER(G7),G7&gt;0),IF(K7/G7&gt;='Score settings'!$E$17,"3plus",IF(K7/G7&gt;='Score settings'!$E$16,"1.5to3",IF(K7/G7&gt;='Score settings'!$E$15,"0.5to1.5","positive"))),"None"),'Score settings'!$A$14:$C$43,3,FALSE)/'Score settings'!$B$7*'Score settings'!$D$7</x:f>
        <x:v>0</x:v>
      </x:c>
      <x:c r="AF7" s="41" t="n">
        <x:f>VLOOKUP("Waste|"&amp;R7,'Score settings'!$A$14:$C$43,3,FALSE)/'Score settings'!$B$8*'Score settings'!$D$8</x:f>
        <x:v>0</x:v>
      </x:c>
      <x:c r="AG7" s="41" t="n">
        <x:f>(IF(AND(ISNUMBER(M7),M7&gt;0,ISNUMBER(G7),G7&gt;0),IF(M7/G7&gt;='Score settings'!$E$17,'Score settings'!$G$17,IF(M7/G7&gt;='Score settings'!$E$16,'Score settings'!$G$16,IF(M7/G7&gt;='Score settings'!$E$15,'Score settings'!$G$15,'Score settings'!$G$14))),0)/15*'Score settings'!$B$60+IFERROR(VLOOKUP(IF(ISNUMBER(N7),N7,IF(ISNUMBER(L7),L7,0)),'Score settings'!$E$22:$F$26,2,FALSE),0)/10*'Score settings'!$B$61)/'Score settings'!$B$9*'Score settings'!$D$9</x:f>
        <x:v>0</x:v>
      </x:c>
      <x:c r="AH7" s="41" t="n">
        <x:f>IF(B7="","",SUM(AB7:AG7))</x:f>
        <x:v>25.333333333333332</x:v>
      </x:c>
      <x:c r="AI7" s="41" t="str">
        <x:f>IF(NOT(ISNUMBER(AH7)),"Not scored",VLOOKUP(AH7,'Score settings'!$A$47:$C$50,3,TRUE))</x:f>
        <x:v>Discretionary</x:v>
      </x:c>
      <x:c r="AJ7" s="42" t="n">
        <x:f>IF(OR(NOT(ISNUMBER(AH7)),T7&lt;&gt;"Common pot"),"",COUNTIFS($T$4:$T$509,"Common pot",$AH$4:$AH$509,"&gt;"&amp;AH7)+1)</x:f>
        <x:v>253</x:v>
      </x:c>
      <x:c r="AK7" s="36" t="str">
        <x:f>IF(B7="","Name missing - not scored",IF(OR(NOT(ISNUMBER(G7)),G7&lt;=0),"Investment missing or zero - review",IF(0=1,"Permanent ID missing - reconcile",IF(AND(ISNUMBER(H7),H7/G7&gt;='Score settings'!$B$58,NOT(ISNUMBER(I7))),"Benefit units need review",IF(OR(R7="EXIT",R7="CHALLENGE"),"Waste decision requires scope resolution",IF("Name and organisation matched"&lt;&gt;"Name and organisation matched","Waste evidence match needs review","Provisional source score - confirm evidence"))))))</x:f>
        <x:v>Benefit units need review</x:v>
      </x:c>
      <x:c r="AL7" s="36"/>
      <x:c r="AM7" s="40"/>
      <x:c r="AN7" s="39"/>
      <x:c r="AO7" s="40"/>
      <x:c r="AP7" s="40"/>
    </x:row>
    <x:row r="8" ht="15" hidden="0" customHeight="1">
      <x:c r="A8" s="36" t="str">
        <x:v>Bu-05</x:v>
      </x:c>
      <x:c r="B8" s="37" t="str"/>
      <x:c r="C8" s="36" t="str">
        <x:v>BU Led</x:v>
      </x:c>
      <x:c r="D8" s="36" t="str"/>
      <x:c r="E8" s="38"/>
      <x:c r="F8" s="39"/>
      <x:c r="G8" s="38" t="str">
        <x:f>IF(ISNUMBER(F8),F8,IF(E8="","",E8))</x:f>
      </x:c>
      <x:c r="H8" s="38"/>
      <x:c r="I8" s="39"/>
      <x:c r="J8" s="36" t="str">
        <x:v>Unclassified</x:v>
      </x:c>
      <x:c r="K8" s="38" t="str">
        <x:f>IF(ISNUMBER(I8),I8,IF(OR(NOT(ISNUMBER(H8)),NOT(ISNUMBER(G8)),G8&lt;=0),"",IF(H8/G8&gt;='Score settings'!$B$58,"",IF(J8="Cash savings",H8,IF(J8="Revenue",H8*'Score settings'!$B$55,"")))))</x:f>
      </x:c>
      <x:c r="L8" s="36"/>
      <x:c r="M8" s="39"/>
      <x:c r="N8" s="40"/>
      <x:c r="O8" s="36" t="str">
        <x:v>Blank</x:v>
      </x:c>
      <x:c r="P8" s="36" t="str">
        <x:v>Blank</x:v>
      </x:c>
      <x:c r="Q8" s="36" t="str">
        <x:v>Blank</x:v>
      </x:c>
      <x:c r="R8" s="36" t="str">
        <x:v>NotAssessed</x:v>
      </x:c>
      <x:c r="S8" s="36" t="str"/>
      <x:c r="T8" s="36" t="str">
        <x:v>Incomplete record</x:v>
      </x:c>
      <x:c r="U8" s="41" t="n">
        <x:f>VLOOKUP("Priority|"&amp;O8,'Score settings'!$A$14:$C$43,2,FALSE)/'Score settings'!$B$4*'Score settings'!$C$4</x:f>
        <x:v>10</x:v>
      </x:c>
      <x:c r="V8" s="41" t="n">
        <x:f>VLOOKUP("Category|"&amp;P8,'Score settings'!$A$14:$C$43,2,FALSE)/'Score settings'!$B$5*'Score settings'!$C$5</x:f>
        <x:v>4</x:v>
      </x:c>
      <x:c r="W8" s="41" t="n">
        <x:f>VLOOKUP("Area|"&amp;Q8,'Score settings'!$A$14:$C$43,2,FALSE)/'Score settings'!$B$6*'Score settings'!$C$6</x:f>
        <x:v>3</x:v>
      </x:c>
      <x:c r="X8" s="41" t="n">
        <x:f>VLOOKUP("Benefits|"&amp;IF(AND(ISNUMBER(H8),H8&gt;0,ISNUMBER(G8),G8&gt;0),IF(H8/G8&gt;='Score settings'!$E$17,"3plus",IF(H8/G8&gt;='Score settings'!$E$16,"1.5to3",IF(H8/G8&gt;='Score settings'!$E$15,"0.5to1.5","positive"))),"None"),'Score settings'!$A$14:$C$43,2,FALSE)/'Score settings'!$B$7*'Score settings'!$C$7</x:f>
        <x:v>5</x:v>
      </x:c>
      <x:c r="Y8" s="41" t="n">
        <x:f>VLOOKUP("Waste|"&amp;R8,'Score settings'!$A$14:$C$43,2,FALSE)/'Score settings'!$B$8*'Score settings'!$C$8</x:f>
        <x:v>7</x:v>
      </x:c>
      <x:c r="Z8" s="41" t="str">
        <x:f>IF(B8="","",SUM(U8:Y8))</x:f>
      </x:c>
      <x:c r="AA8" s="41" t="str">
        <x:f>IF(Z8="","Not scored",VLOOKUP(Z8,'Score settings'!$A$47:$C$50,2,TRUE))</x:f>
        <x:v>Not scored</x:v>
      </x:c>
      <x:c r="AB8" s="41" t="n">
        <x:f>VLOOKUP("Priority|"&amp;O8,'Score settings'!$A$14:$C$43,3,FALSE)/'Score settings'!$B$4*'Score settings'!$D$4</x:f>
        <x:v>0</x:v>
      </x:c>
      <x:c r="AC8" s="41" t="n">
        <x:f>VLOOKUP("Category|"&amp;P8,'Score settings'!$A$14:$C$43,3,FALSE)/'Score settings'!$B$5*'Score settings'!$D$5</x:f>
        <x:v>0</x:v>
      </x:c>
      <x:c r="AD8" s="41" t="n">
        <x:f>VLOOKUP("Area|"&amp;Q8,'Score settings'!$A$14:$C$43,3,FALSE)/'Score settings'!$B$6*'Score settings'!$D$6</x:f>
        <x:v>0</x:v>
      </x:c>
      <x:c r="AE8" s="41" t="n">
        <x:f>VLOOKUP("Benefits|"&amp;IF(AND(ISNUMBER(K8),K8&gt;0,ISNUMBER(G8),G8&gt;0),IF(K8/G8&gt;='Score settings'!$E$17,"3plus",IF(K8/G8&gt;='Score settings'!$E$16,"1.5to3",IF(K8/G8&gt;='Score settings'!$E$15,"0.5to1.5","positive"))),"None"),'Score settings'!$A$14:$C$43,3,FALSE)/'Score settings'!$B$7*'Score settings'!$D$7</x:f>
        <x:v>0</x:v>
      </x:c>
      <x:c r="AF8" s="41" t="n">
        <x:f>VLOOKUP("Waste|"&amp;R8,'Score settings'!$A$14:$C$43,3,FALSE)/'Score settings'!$B$8*'Score settings'!$D$8</x:f>
        <x:v>0</x:v>
      </x:c>
      <x:c r="AG8" s="41" t="n">
        <x:f>(IF(AND(ISNUMBER(M8),M8&gt;0,ISNUMBER(G8),G8&gt;0),IF(M8/G8&gt;='Score settings'!$E$17,'Score settings'!$G$17,IF(M8/G8&gt;='Score settings'!$E$16,'Score settings'!$G$16,IF(M8/G8&gt;='Score settings'!$E$15,'Score settings'!$G$15,'Score settings'!$G$14))),0)/15*'Score settings'!$B$60+IFERROR(VLOOKUP(IF(ISNUMBER(N8),N8,IF(ISNUMBER(L8),L8,0)),'Score settings'!$E$22:$F$26,2,FALSE),0)/10*'Score settings'!$B$61)/'Score settings'!$B$9*'Score settings'!$D$9</x:f>
        <x:v>0</x:v>
      </x:c>
      <x:c r="AH8" s="41" t="str">
        <x:f>IF(B8="","",SUM(AB8:AG8))</x:f>
      </x:c>
      <x:c r="AI8" s="41" t="str">
        <x:f>IF(NOT(ISNUMBER(AH8)),"Not scored",VLOOKUP(AH8,'Score settings'!$A$47:$C$50,3,TRUE))</x:f>
        <x:v>Not scored</x:v>
      </x:c>
      <x:c r="AJ8" s="42" t="str">
        <x:f>IF(OR(NOT(ISNUMBER(AH8)),T8&lt;&gt;"Common pot"),"",COUNTIFS($T$4:$T$509,"Common pot",$AH$4:$AH$509,"&gt;"&amp;AH8)+1)</x:f>
      </x:c>
      <x:c r="AK8" s="36" t="str">
        <x:f>IF(B8="","Name missing - not scored",IF(OR(NOT(ISNUMBER(G8)),G8&lt;=0),"Investment missing or zero - review",IF(0=1,"Permanent ID missing - reconcile",IF(AND(ISNUMBER(H8),H8/G8&gt;='Score settings'!$B$58,NOT(ISNUMBER(I8))),"Benefit units need review",IF(OR(R8="EXIT",R8="CHALLENGE"),"Waste decision requires scope resolution",IF("No exact waste match"&lt;&gt;"Name and organisation matched","Waste evidence match needs review","Provisional source score - confirm evidence"))))))</x:f>
        <x:v>Name missing - not scored</x:v>
      </x:c>
      <x:c r="AL8" s="36"/>
      <x:c r="AM8" s="40"/>
      <x:c r="AN8" s="39"/>
      <x:c r="AO8" s="40"/>
      <x:c r="AP8" s="40"/>
    </x:row>
    <x:row r="9" ht="15" hidden="0" customHeight="1">
      <x:c r="A9" s="36" t="str">
        <x:v>Bu-06</x:v>
      </x:c>
      <x:c r="B9" s="37" t="str">
        <x:v>Compliance - GTS</x:v>
      </x:c>
      <x:c r="C9" s="36" t="str">
        <x:v>BU Led</x:v>
      </x:c>
      <x:c r="D9" s="36" t="str">
        <x:v>Integrated Supply Chain (ISC)</x:v>
      </x:c>
      <x:c r="E9" s="38" t="n">
        <x:v>2.07</x:v>
      </x:c>
      <x:c r="F9" s="39"/>
      <x:c r="G9" s="38" t="n">
        <x:f>IF(ISNUMBER(F9),F9,IF(E9="","",E9))</x:f>
        <x:v>2.07</x:v>
      </x:c>
      <x:c r="H9" s="38"/>
      <x:c r="I9" s="39"/>
      <x:c r="J9" s="36" t="str">
        <x:v>Unclassified</x:v>
      </x:c>
      <x:c r="K9" s="38" t="str">
        <x:f>IF(ISNUMBER(I9),I9,IF(OR(NOT(ISNUMBER(H9)),NOT(ISNUMBER(G9)),G9&lt;=0),"",IF(H9/G9&gt;='Score settings'!$B$58,"",IF(J9="Cash savings",H9,IF(J9="Revenue",H9*'Score settings'!$B$55,"")))))</x:f>
      </x:c>
      <x:c r="L9" s="36"/>
      <x:c r="M9" s="39"/>
      <x:c r="N9" s="40"/>
      <x:c r="O9" s="36" t="str">
        <x:v>Must Do</x:v>
      </x:c>
      <x:c r="P9" s="36" t="str">
        <x:v>LFR</x:v>
      </x:c>
      <x:c r="Q9" s="36" t="str">
        <x:v>Blank</x:v>
      </x:c>
      <x:c r="R9" s="36" t="str">
        <x:v>HEALTHY</x:v>
      </x:c>
      <x:c r="S9" s="36" t="str"/>
      <x:c r="T9" s="36" t="str">
        <x:v>Common pot</x:v>
      </x:c>
      <x:c r="U9" s="41" t="n">
        <x:f>VLOOKUP("Priority|"&amp;O9,'Score settings'!$A$14:$C$43,2,FALSE)/'Score settings'!$B$4*'Score settings'!$C$4</x:f>
        <x:v>25</x:v>
      </x:c>
      <x:c r="V9" s="41" t="n">
        <x:f>VLOOKUP("Category|"&amp;P9,'Score settings'!$A$14:$C$43,2,FALSE)/'Score settings'!$B$5*'Score settings'!$C$5</x:f>
        <x:v>20</x:v>
      </x:c>
      <x:c r="W9" s="41" t="n">
        <x:f>VLOOKUP("Area|"&amp;Q9,'Score settings'!$A$14:$C$43,2,FALSE)/'Score settings'!$B$6*'Score settings'!$C$6</x:f>
        <x:v>3</x:v>
      </x:c>
      <x:c r="X9" s="41" t="n">
        <x:f>VLOOKUP("Benefits|"&amp;IF(AND(ISNUMBER(H9),H9&gt;0,ISNUMBER(G9),G9&gt;0),IF(H9/G9&gt;='Score settings'!$E$17,"3plus",IF(H9/G9&gt;='Score settings'!$E$16,"1.5to3",IF(H9/G9&gt;='Score settings'!$E$15,"0.5to1.5","positive"))),"None"),'Score settings'!$A$14:$C$43,2,FALSE)/'Score settings'!$B$7*'Score settings'!$C$7</x:f>
        <x:v>5</x:v>
      </x:c>
      <x:c r="Y9" s="41" t="n">
        <x:f>VLOOKUP("Waste|"&amp;R9,'Score settings'!$A$14:$C$43,2,FALSE)/'Score settings'!$B$8*'Score settings'!$C$8</x:f>
        <x:v>15</x:v>
      </x:c>
      <x:c r="Z9" s="41" t="n">
        <x:f>IF(B9="","",SUM(U9:Y9))</x:f>
        <x:v>68</x:v>
      </x:c>
      <x:c r="AA9" s="41" t="str">
        <x:f>IF(Z9="","Not scored",VLOOKUP(Z9,'Score settings'!$A$47:$C$50,2,TRUE))</x:f>
        <x:v>Protected</x:v>
      </x:c>
      <x:c r="AB9" s="41" t="n">
        <x:f>VLOOKUP("Priority|"&amp;O9,'Score settings'!$A$14:$C$43,3,FALSE)/'Score settings'!$B$4*'Score settings'!$D$4</x:f>
        <x:v>15</x:v>
      </x:c>
      <x:c r="AC9" s="41" t="n">
        <x:f>VLOOKUP("Category|"&amp;P9,'Score settings'!$A$14:$C$43,3,FALSE)/'Score settings'!$B$5*'Score settings'!$D$5</x:f>
        <x:v>10</x:v>
      </x:c>
      <x:c r="AD9" s="41" t="n">
        <x:f>VLOOKUP("Area|"&amp;Q9,'Score settings'!$A$14:$C$43,3,FALSE)/'Score settings'!$B$6*'Score settings'!$D$6</x:f>
        <x:v>0</x:v>
      </x:c>
      <x:c r="AE9" s="41" t="n">
        <x:f>VLOOKUP("Benefits|"&amp;IF(AND(ISNUMBER(K9),K9&gt;0,ISNUMBER(G9),G9&gt;0),IF(K9/G9&gt;='Score settings'!$E$17,"3plus",IF(K9/G9&gt;='Score settings'!$E$16,"1.5to3",IF(K9/G9&gt;='Score settings'!$E$15,"0.5to1.5","positive"))),"None"),'Score settings'!$A$14:$C$43,3,FALSE)/'Score settings'!$B$7*'Score settings'!$D$7</x:f>
        <x:v>0</x:v>
      </x:c>
      <x:c r="AF9" s="41" t="n">
        <x:f>VLOOKUP("Waste|"&amp;R9,'Score settings'!$A$14:$C$43,3,FALSE)/'Score settings'!$B$8*'Score settings'!$D$8</x:f>
        <x:v>10</x:v>
      </x:c>
      <x:c r="AG9" s="41" t="n">
        <x:f>(IF(AND(ISNUMBER(M9),M9&gt;0,ISNUMBER(G9),G9&gt;0),IF(M9/G9&gt;='Score settings'!$E$17,'Score settings'!$G$17,IF(M9/G9&gt;='Score settings'!$E$16,'Score settings'!$G$16,IF(M9/G9&gt;='Score settings'!$E$15,'Score settings'!$G$15,'Score settings'!$G$14))),0)/15*'Score settings'!$B$60+IFERROR(VLOOKUP(IF(ISNUMBER(N9),N9,IF(ISNUMBER(L9),L9,0)),'Score settings'!$E$22:$F$26,2,FALSE),0)/10*'Score settings'!$B$61)/'Score settings'!$B$9*'Score settings'!$D$9</x:f>
        <x:v>0</x:v>
      </x:c>
      <x:c r="AH9" s="41" t="n">
        <x:f>IF(B9="","",SUM(AB9:AG9))</x:f>
        <x:v>35</x:v>
      </x:c>
      <x:c r="AI9" s="41" t="str">
        <x:f>IF(NOT(ISNUMBER(AH9)),"Not scored",VLOOKUP(AH9,'Score settings'!$A$47:$C$50,3,TRUE))</x:f>
        <x:v>Discretionary</x:v>
      </x:c>
      <x:c r="AJ9" s="42" t="n">
        <x:f>IF(OR(NOT(ISNUMBER(AH9)),T9&lt;&gt;"Common pot"),"",COUNTIFS($T$4:$T$509,"Common pot",$AH$4:$AH$509,"&gt;"&amp;AH9)+1)</x:f>
        <x:v>142</x:v>
      </x:c>
      <x:c r="AK9" s="36" t="str">
        <x:f>IF(B9="","Name missing - not scored",IF(OR(NOT(ISNUMBER(G9)),G9&lt;=0),"Investment missing or zero - review",IF(0=1,"Permanent ID missing - reconcile",IF(AND(ISNUMBER(H9),H9/G9&gt;='Score settings'!$B$58,NOT(ISNUMBER(I9))),"Benefit units need review",IF(OR(R9="EXIT",R9="CHALLENGE"),"Waste decision requires scope resolution",IF("Name and organisation matched"&lt;&gt;"Name and organisation matched","Waste evidence match needs review","Provisional source score - confirm evidence"))))))</x:f>
        <x:v>Provisional source score - confirm evidence</x:v>
      </x:c>
      <x:c r="AL9" s="36"/>
      <x:c r="AM9" s="40"/>
      <x:c r="AN9" s="39"/>
      <x:c r="AO9" s="40"/>
      <x:c r="AP9" s="40"/>
    </x:row>
    <x:row r="10" ht="15" hidden="0" customHeight="1">
      <x:c r="A10" s="36" t="str">
        <x:v>Bu-07</x:v>
      </x:c>
      <x:c r="B10" s="37" t="str">
        <x:v>Implement Tech Enabled Integrated Planning</x:v>
      </x:c>
      <x:c r="C10" s="36" t="str">
        <x:v>BU Led</x:v>
      </x:c>
      <x:c r="D10" s="36" t="str">
        <x:v>Integrated Supply Chain (ISC)</x:v>
      </x:c>
      <x:c r="E10" s="38" t="n">
        <x:v>5.74</x:v>
      </x:c>
      <x:c r="F10" s="39"/>
      <x:c r="G10" s="38" t="n">
        <x:f>IF(ISNUMBER(F10),F10,IF(E10="","",E10))</x:f>
        <x:v>5.74</x:v>
      </x:c>
      <x:c r="H10" s="38"/>
      <x:c r="I10" s="39"/>
      <x:c r="J10" s="36" t="str">
        <x:v>Unclassified</x:v>
      </x:c>
      <x:c r="K10" s="38" t="str">
        <x:f>IF(ISNUMBER(I10),I10,IF(OR(NOT(ISNUMBER(H10)),NOT(ISNUMBER(G10)),G10&lt;=0),"",IF(H10/G10&gt;='Score settings'!$B$58,"",IF(J10="Cash savings",H10,IF(J10="Revenue",H10*'Score settings'!$B$55,"")))))</x:f>
      </x:c>
      <x:c r="L10" s="36"/>
      <x:c r="M10" s="39"/>
      <x:c r="N10" s="40"/>
      <x:c r="O10" s="36" t="str">
        <x:v>Must Do</x:v>
      </x:c>
      <x:c r="P10" s="36" t="str">
        <x:v>Blank</x:v>
      </x:c>
      <x:c r="Q10" s="36" t="str">
        <x:v>Blank</x:v>
      </x:c>
      <x:c r="R10" s="36" t="str">
        <x:v>HEALTHY</x:v>
      </x:c>
      <x:c r="S10" s="36" t="str"/>
      <x:c r="T10" s="36" t="str">
        <x:v>Common pot</x:v>
      </x:c>
      <x:c r="U10" s="41" t="n">
        <x:f>VLOOKUP("Priority|"&amp;O10,'Score settings'!$A$14:$C$43,2,FALSE)/'Score settings'!$B$4*'Score settings'!$C$4</x:f>
        <x:v>25</x:v>
      </x:c>
      <x:c r="V10" s="41" t="n">
        <x:f>VLOOKUP("Category|"&amp;P10,'Score settings'!$A$14:$C$43,2,FALSE)/'Score settings'!$B$5*'Score settings'!$C$5</x:f>
        <x:v>4</x:v>
      </x:c>
      <x:c r="W10" s="41" t="n">
        <x:f>VLOOKUP("Area|"&amp;Q10,'Score settings'!$A$14:$C$43,2,FALSE)/'Score settings'!$B$6*'Score settings'!$C$6</x:f>
        <x:v>3</x:v>
      </x:c>
      <x:c r="X10" s="41" t="n">
        <x:f>VLOOKUP("Benefits|"&amp;IF(AND(ISNUMBER(H10),H10&gt;0,ISNUMBER(G10),G10&gt;0),IF(H10/G10&gt;='Score settings'!$E$17,"3plus",IF(H10/G10&gt;='Score settings'!$E$16,"1.5to3",IF(H10/G10&gt;='Score settings'!$E$15,"0.5to1.5","positive"))),"None"),'Score settings'!$A$14:$C$43,2,FALSE)/'Score settings'!$B$7*'Score settings'!$C$7</x:f>
        <x:v>5</x:v>
      </x:c>
      <x:c r="Y10" s="41" t="n">
        <x:f>VLOOKUP("Waste|"&amp;R10,'Score settings'!$A$14:$C$43,2,FALSE)/'Score settings'!$B$8*'Score settings'!$C$8</x:f>
        <x:v>15</x:v>
      </x:c>
      <x:c r="Z10" s="41" t="n">
        <x:f>IF(B10="","",SUM(U10:Y10))</x:f>
        <x:v>52</x:v>
      </x:c>
      <x:c r="AA10" s="41" t="str">
        <x:f>IF(Z10="","Not scored",VLOOKUP(Z10,'Score settings'!$A$47:$C$50,2,TRUE))</x:f>
        <x:v>Strong</x:v>
      </x:c>
      <x:c r="AB10" s="41" t="n">
        <x:f>VLOOKUP("Priority|"&amp;O10,'Score settings'!$A$14:$C$43,3,FALSE)/'Score settings'!$B$4*'Score settings'!$D$4</x:f>
        <x:v>15</x:v>
      </x:c>
      <x:c r="AC10" s="41" t="n">
        <x:f>VLOOKUP("Category|"&amp;P10,'Score settings'!$A$14:$C$43,3,FALSE)/'Score settings'!$B$5*'Score settings'!$D$5</x:f>
        <x:v>0</x:v>
      </x:c>
      <x:c r="AD10" s="41" t="n">
        <x:f>VLOOKUP("Area|"&amp;Q10,'Score settings'!$A$14:$C$43,3,FALSE)/'Score settings'!$B$6*'Score settings'!$D$6</x:f>
        <x:v>0</x:v>
      </x:c>
      <x:c r="AE10" s="41" t="n">
        <x:f>VLOOKUP("Benefits|"&amp;IF(AND(ISNUMBER(K10),K10&gt;0,ISNUMBER(G10),G10&gt;0),IF(K10/G10&gt;='Score settings'!$E$17,"3plus",IF(K10/G10&gt;='Score settings'!$E$16,"1.5to3",IF(K10/G10&gt;='Score settings'!$E$15,"0.5to1.5","positive"))),"None"),'Score settings'!$A$14:$C$43,3,FALSE)/'Score settings'!$B$7*'Score settings'!$D$7</x:f>
        <x:v>0</x:v>
      </x:c>
      <x:c r="AF10" s="41" t="n">
        <x:f>VLOOKUP("Waste|"&amp;R10,'Score settings'!$A$14:$C$43,3,FALSE)/'Score settings'!$B$8*'Score settings'!$D$8</x:f>
        <x:v>10</x:v>
      </x:c>
      <x:c r="AG10" s="41" t="n">
        <x:f>(IF(AND(ISNUMBER(M10),M10&gt;0,ISNUMBER(G10),G10&gt;0),IF(M10/G10&gt;='Score settings'!$E$17,'Score settings'!$G$17,IF(M10/G10&gt;='Score settings'!$E$16,'Score settings'!$G$16,IF(M10/G10&gt;='Score settings'!$E$15,'Score settings'!$G$15,'Score settings'!$G$14))),0)/15*'Score settings'!$B$60+IFERROR(VLOOKUP(IF(ISNUMBER(N10),N10,IF(ISNUMBER(L10),L10,0)),'Score settings'!$E$22:$F$26,2,FALSE),0)/10*'Score settings'!$B$61)/'Score settings'!$B$9*'Score settings'!$D$9</x:f>
        <x:v>0</x:v>
      </x:c>
      <x:c r="AH10" s="41" t="n">
        <x:f>IF(B10="","",SUM(AB10:AG10))</x:f>
        <x:v>25</x:v>
      </x:c>
      <x:c r="AI10" s="41" t="str">
        <x:f>IF(NOT(ISNUMBER(AH10)),"Not scored",VLOOKUP(AH10,'Score settings'!$A$47:$C$50,3,TRUE))</x:f>
        <x:v>Discretionary</x:v>
      </x:c>
      <x:c r="AJ10" s="42" t="n">
        <x:f>IF(OR(NOT(ISNUMBER(AH10)),T10&lt;&gt;"Common pot"),"",COUNTIFS($T$4:$T$509,"Common pot",$AH$4:$AH$509,"&gt;"&amp;AH10)+1)</x:f>
        <x:v>264</x:v>
      </x:c>
      <x:c r="AK10" s="36" t="str">
        <x:f>IF(B10="","Name missing - not scored",IF(OR(NOT(ISNUMBER(G10)),G10&lt;=0),"Investment missing or zero - review",IF(0=1,"Permanent ID missing - reconcile",IF(AND(ISNUMBER(H10),H10/G10&gt;='Score settings'!$B$58,NOT(ISNUMBER(I10))),"Benefit units need review",IF(OR(R10="EXIT",R10="CHALLENGE"),"Waste decision requires scope resolution",IF("Name and organisation matched"&lt;&gt;"Name and organisation matched","Waste evidence match needs review","Provisional source score - confirm evidence"))))))</x:f>
        <x:v>Provisional source score - confirm evidence</x:v>
      </x:c>
      <x:c r="AL10" s="36"/>
      <x:c r="AM10" s="40"/>
      <x:c r="AN10" s="39"/>
      <x:c r="AO10" s="40"/>
      <x:c r="AP10" s="40"/>
    </x:row>
    <x:row r="11" ht="15" hidden="0" customHeight="1">
      <x:c r="A11" s="36" t="str">
        <x:v>Bu-08</x:v>
      </x:c>
      <x:c r="B11" s="37" t="str">
        <x:v>IWD capabilities improvements and cost reductions</x:v>
      </x:c>
      <x:c r="C11" s="36" t="str">
        <x:v>BU Led</x:v>
      </x:c>
      <x:c r="D11" s="36" t="str">
        <x:v>Integrated Supply Chain (ISC)</x:v>
      </x:c>
      <x:c r="E11" s="38" t="n">
        <x:v>0.14</x:v>
      </x:c>
      <x:c r="F11" s="39"/>
      <x:c r="G11" s="38" t="n">
        <x:f>IF(ISNUMBER(F11),F11,IF(E11="","",E11))</x:f>
        <x:v>0.14</x:v>
      </x:c>
      <x:c r="H11" s="38"/>
      <x:c r="I11" s="39"/>
      <x:c r="J11" s="36" t="str">
        <x:v>Unclassified</x:v>
      </x:c>
      <x:c r="K11" s="38" t="str">
        <x:f>IF(ISNUMBER(I11),I11,IF(OR(NOT(ISNUMBER(H11)),NOT(ISNUMBER(G11)),G11&lt;=0),"",IF(H11/G11&gt;='Score settings'!$B$58,"",IF(J11="Cash savings",H11,IF(J11="Revenue",H11*'Score settings'!$B$55,"")))))</x:f>
      </x:c>
      <x:c r="L11" s="36"/>
      <x:c r="M11" s="39"/>
      <x:c r="N11" s="40"/>
      <x:c r="O11" s="36" t="str">
        <x:v>Must Do</x:v>
      </x:c>
      <x:c r="P11" s="36" t="str">
        <x:v>Upgrades</x:v>
      </x:c>
      <x:c r="Q11" s="36" t="str">
        <x:v>Blank</x:v>
      </x:c>
      <x:c r="R11" s="36" t="str">
        <x:v>HEALTHY</x:v>
      </x:c>
      <x:c r="S11" s="36" t="str"/>
      <x:c r="T11" s="36" t="str">
        <x:v>Common pot</x:v>
      </x:c>
      <x:c r="U11" s="41" t="n">
        <x:f>VLOOKUP("Priority|"&amp;O11,'Score settings'!$A$14:$C$43,2,FALSE)/'Score settings'!$B$4*'Score settings'!$C$4</x:f>
        <x:v>25</x:v>
      </x:c>
      <x:c r="V11" s="41" t="n">
        <x:f>VLOOKUP("Category|"&amp;P11,'Score settings'!$A$14:$C$43,2,FALSE)/'Score settings'!$B$5*'Score settings'!$C$5</x:f>
        <x:v>10</x:v>
      </x:c>
      <x:c r="W11" s="41" t="n">
        <x:f>VLOOKUP("Area|"&amp;Q11,'Score settings'!$A$14:$C$43,2,FALSE)/'Score settings'!$B$6*'Score settings'!$C$6</x:f>
        <x:v>3</x:v>
      </x:c>
      <x:c r="X11" s="41" t="n">
        <x:f>VLOOKUP("Benefits|"&amp;IF(AND(ISNUMBER(H11),H11&gt;0,ISNUMBER(G11),G11&gt;0),IF(H11/G11&gt;='Score settings'!$E$17,"3plus",IF(H11/G11&gt;='Score settings'!$E$16,"1.5to3",IF(H11/G11&gt;='Score settings'!$E$15,"0.5to1.5","positive"))),"None"),'Score settings'!$A$14:$C$43,2,FALSE)/'Score settings'!$B$7*'Score settings'!$C$7</x:f>
        <x:v>5</x:v>
      </x:c>
      <x:c r="Y11" s="41" t="n">
        <x:f>VLOOKUP("Waste|"&amp;R11,'Score settings'!$A$14:$C$43,2,FALSE)/'Score settings'!$B$8*'Score settings'!$C$8</x:f>
        <x:v>15</x:v>
      </x:c>
      <x:c r="Z11" s="41" t="n">
        <x:f>IF(B11="","",SUM(U11:Y11))</x:f>
        <x:v>58</x:v>
      </x:c>
      <x:c r="AA11" s="41" t="str">
        <x:f>IF(Z11="","Not scored",VLOOKUP(Z11,'Score settings'!$A$47:$C$50,2,TRUE))</x:f>
        <x:v>Strong</x:v>
      </x:c>
      <x:c r="AB11" s="41" t="n">
        <x:f>VLOOKUP("Priority|"&amp;O11,'Score settings'!$A$14:$C$43,3,FALSE)/'Score settings'!$B$4*'Score settings'!$D$4</x:f>
        <x:v>15</x:v>
      </x:c>
      <x:c r="AC11" s="41" t="n">
        <x:f>VLOOKUP("Category|"&amp;P11,'Score settings'!$A$14:$C$43,3,FALSE)/'Score settings'!$B$5*'Score settings'!$D$5</x:f>
        <x:v>5</x:v>
      </x:c>
      <x:c r="AD11" s="41" t="n">
        <x:f>VLOOKUP("Area|"&amp;Q11,'Score settings'!$A$14:$C$43,3,FALSE)/'Score settings'!$B$6*'Score settings'!$D$6</x:f>
        <x:v>0</x:v>
      </x:c>
      <x:c r="AE11" s="41" t="n">
        <x:f>VLOOKUP("Benefits|"&amp;IF(AND(ISNUMBER(K11),K11&gt;0,ISNUMBER(G11),G11&gt;0),IF(K11/G11&gt;='Score settings'!$E$17,"3plus",IF(K11/G11&gt;='Score settings'!$E$16,"1.5to3",IF(K11/G11&gt;='Score settings'!$E$15,"0.5to1.5","positive"))),"None"),'Score settings'!$A$14:$C$43,3,FALSE)/'Score settings'!$B$7*'Score settings'!$D$7</x:f>
        <x:v>0</x:v>
      </x:c>
      <x:c r="AF11" s="41" t="n">
        <x:f>VLOOKUP("Waste|"&amp;R11,'Score settings'!$A$14:$C$43,3,FALSE)/'Score settings'!$B$8*'Score settings'!$D$8</x:f>
        <x:v>10</x:v>
      </x:c>
      <x:c r="AG11" s="41" t="n">
        <x:f>(IF(AND(ISNUMBER(M11),M11&gt;0,ISNUMBER(G11),G11&gt;0),IF(M11/G11&gt;='Score settings'!$E$17,'Score settings'!$G$17,IF(M11/G11&gt;='Score settings'!$E$16,'Score settings'!$G$16,IF(M11/G11&gt;='Score settings'!$E$15,'Score settings'!$G$15,'Score settings'!$G$14))),0)/15*'Score settings'!$B$60+IFERROR(VLOOKUP(IF(ISNUMBER(N11),N11,IF(ISNUMBER(L11),L11,0)),'Score settings'!$E$22:$F$26,2,FALSE),0)/10*'Score settings'!$B$61)/'Score settings'!$B$9*'Score settings'!$D$9</x:f>
        <x:v>0</x:v>
      </x:c>
      <x:c r="AH11" s="41" t="n">
        <x:f>IF(B11="","",SUM(AB11:AG11))</x:f>
        <x:v>30</x:v>
      </x:c>
      <x:c r="AI11" s="41" t="str">
        <x:f>IF(NOT(ISNUMBER(AH11)),"Not scored",VLOOKUP(AH11,'Score settings'!$A$47:$C$50,3,TRUE))</x:f>
        <x:v>Discretionary</x:v>
      </x:c>
      <x:c r="AJ11" s="42" t="n">
        <x:f>IF(OR(NOT(ISNUMBER(AH11)),T11&lt;&gt;"Common pot"),"",COUNTIFS($T$4:$T$509,"Common pot",$AH$4:$AH$509,"&gt;"&amp;AH11)+1)</x:f>
        <x:v>187</x:v>
      </x:c>
      <x:c r="AK11" s="36" t="str">
        <x:f>IF(B11="","Name missing - not scored",IF(OR(NOT(ISNUMBER(G11)),G11&lt;=0),"Investment missing or zero - review",IF(0=1,"Permanent ID missing - reconcile",IF(AND(ISNUMBER(H11),H11/G11&gt;='Score settings'!$B$58,NOT(ISNUMBER(I11))),"Benefit units need review",IF(OR(R11="EXIT",R11="CHALLENGE"),"Waste decision requires scope resolution",IF("Name and organisation matched"&lt;&gt;"Name and organisation matched","Waste evidence match needs review","Provisional source score - confirm evidence"))))))</x:f>
        <x:v>Provisional source score - confirm evidence</x:v>
      </x:c>
      <x:c r="AL11" s="36"/>
      <x:c r="AM11" s="40"/>
      <x:c r="AN11" s="39"/>
      <x:c r="AO11" s="40"/>
      <x:c r="AP11" s="40"/>
    </x:row>
    <x:row r="12" ht="15" hidden="0" customHeight="1">
      <x:c r="A12" s="36" t="str">
        <x:v>Bu-09</x:v>
      </x:c>
      <x:c r="B12" s="37" t="str">
        <x:v>Circular Lifecycle Solutions and Spare parts delivery</x:v>
      </x:c>
      <x:c r="C12" s="36" t="str">
        <x:v>BU Led</x:v>
      </x:c>
      <x:c r="D12" s="36" t="str">
        <x:v>Integrated Supply Chain (ISC)</x:v>
      </x:c>
      <x:c r="E12" s="38" t="n">
        <x:v>1.18</x:v>
      </x:c>
      <x:c r="F12" s="39"/>
      <x:c r="G12" s="38" t="n">
        <x:f>IF(ISNUMBER(F12),F12,IF(E12="","",E12))</x:f>
        <x:v>1.18</x:v>
      </x:c>
      <x:c r="H12" s="38"/>
      <x:c r="I12" s="39"/>
      <x:c r="J12" s="36" t="str">
        <x:v>Unclassified</x:v>
      </x:c>
      <x:c r="K12" s="38" t="str">
        <x:f>IF(ISNUMBER(I12),I12,IF(OR(NOT(ISNUMBER(H12)),NOT(ISNUMBER(G12)),G12&lt;=0),"",IF(H12/G12&gt;='Score settings'!$B$58,"",IF(J12="Cash savings",H12,IF(J12="Revenue",H12*'Score settings'!$B$55,"")))))</x:f>
      </x:c>
      <x:c r="L12" s="36"/>
      <x:c r="M12" s="39"/>
      <x:c r="N12" s="40"/>
      <x:c r="O12" s="36" t="str">
        <x:v>Must Do</x:v>
      </x:c>
      <x:c r="P12" s="36" t="str">
        <x:v>NewFeat</x:v>
      </x:c>
      <x:c r="Q12" s="36" t="str">
        <x:v>Blank</x:v>
      </x:c>
      <x:c r="R12" s="36" t="str">
        <x:v>HEALTHY</x:v>
      </x:c>
      <x:c r="S12" s="36" t="str"/>
      <x:c r="T12" s="36" t="str">
        <x:v>Common pot</x:v>
      </x:c>
      <x:c r="U12" s="41" t="n">
        <x:f>VLOOKUP("Priority|"&amp;O12,'Score settings'!$A$14:$C$43,2,FALSE)/'Score settings'!$B$4*'Score settings'!$C$4</x:f>
        <x:v>25</x:v>
      </x:c>
      <x:c r="V12" s="41" t="n">
        <x:f>VLOOKUP("Category|"&amp;P12,'Score settings'!$A$14:$C$43,2,FALSE)/'Score settings'!$B$5*'Score settings'!$C$5</x:f>
        <x:v>6</x:v>
      </x:c>
      <x:c r="W12" s="41" t="n">
        <x:f>VLOOKUP("Area|"&amp;Q12,'Score settings'!$A$14:$C$43,2,FALSE)/'Score settings'!$B$6*'Score settings'!$C$6</x:f>
        <x:v>3</x:v>
      </x:c>
      <x:c r="X12" s="41" t="n">
        <x:f>VLOOKUP("Benefits|"&amp;IF(AND(ISNUMBER(H12),H12&gt;0,ISNUMBER(G12),G12&gt;0),IF(H12/G12&gt;='Score settings'!$E$17,"3plus",IF(H12/G12&gt;='Score settings'!$E$16,"1.5to3",IF(H12/G12&gt;='Score settings'!$E$15,"0.5to1.5","positive"))),"None"),'Score settings'!$A$14:$C$43,2,FALSE)/'Score settings'!$B$7*'Score settings'!$C$7</x:f>
        <x:v>5</x:v>
      </x:c>
      <x:c r="Y12" s="41" t="n">
        <x:f>VLOOKUP("Waste|"&amp;R12,'Score settings'!$A$14:$C$43,2,FALSE)/'Score settings'!$B$8*'Score settings'!$C$8</x:f>
        <x:v>15</x:v>
      </x:c>
      <x:c r="Z12" s="41" t="n">
        <x:f>IF(B12="","",SUM(U12:Y12))</x:f>
        <x:v>54</x:v>
      </x:c>
      <x:c r="AA12" s="41" t="str">
        <x:f>IF(Z12="","Not scored",VLOOKUP(Z12,'Score settings'!$A$47:$C$50,2,TRUE))</x:f>
        <x:v>Strong</x:v>
      </x:c>
      <x:c r="AB12" s="41" t="n">
        <x:f>VLOOKUP("Priority|"&amp;O12,'Score settings'!$A$14:$C$43,3,FALSE)/'Score settings'!$B$4*'Score settings'!$D$4</x:f>
        <x:v>15</x:v>
      </x:c>
      <x:c r="AC12" s="41" t="n">
        <x:f>VLOOKUP("Category|"&amp;P12,'Score settings'!$A$14:$C$43,3,FALSE)/'Score settings'!$B$5*'Score settings'!$D$5</x:f>
        <x:v>3</x:v>
      </x:c>
      <x:c r="AD12" s="41" t="n">
        <x:f>VLOOKUP("Area|"&amp;Q12,'Score settings'!$A$14:$C$43,3,FALSE)/'Score settings'!$B$6*'Score settings'!$D$6</x:f>
        <x:v>0</x:v>
      </x:c>
      <x:c r="AE12" s="41" t="n">
        <x:f>VLOOKUP("Benefits|"&amp;IF(AND(ISNUMBER(K12),K12&gt;0,ISNUMBER(G12),G12&gt;0),IF(K12/G12&gt;='Score settings'!$E$17,"3plus",IF(K12/G12&gt;='Score settings'!$E$16,"1.5to3",IF(K12/G12&gt;='Score settings'!$E$15,"0.5to1.5","positive"))),"None"),'Score settings'!$A$14:$C$43,3,FALSE)/'Score settings'!$B$7*'Score settings'!$D$7</x:f>
        <x:v>0</x:v>
      </x:c>
      <x:c r="AF12" s="41" t="n">
        <x:f>VLOOKUP("Waste|"&amp;R12,'Score settings'!$A$14:$C$43,3,FALSE)/'Score settings'!$B$8*'Score settings'!$D$8</x:f>
        <x:v>10</x:v>
      </x:c>
      <x:c r="AG12" s="41" t="n">
        <x:f>(IF(AND(ISNUMBER(M12),M12&gt;0,ISNUMBER(G12),G12&gt;0),IF(M12/G12&gt;='Score settings'!$E$17,'Score settings'!$G$17,IF(M12/G12&gt;='Score settings'!$E$16,'Score settings'!$G$16,IF(M12/G12&gt;='Score settings'!$E$15,'Score settings'!$G$15,'Score settings'!$G$14))),0)/15*'Score settings'!$B$60+IFERROR(VLOOKUP(IF(ISNUMBER(N12),N12,IF(ISNUMBER(L12),L12,0)),'Score settings'!$E$22:$F$26,2,FALSE),0)/10*'Score settings'!$B$61)/'Score settings'!$B$9*'Score settings'!$D$9</x:f>
        <x:v>0</x:v>
      </x:c>
      <x:c r="AH12" s="41" t="n">
        <x:f>IF(B12="","",SUM(AB12:AG12))</x:f>
        <x:v>28</x:v>
      </x:c>
      <x:c r="AI12" s="41" t="str">
        <x:f>IF(NOT(ISNUMBER(AH12)),"Not scored",VLOOKUP(AH12,'Score settings'!$A$47:$C$50,3,TRUE))</x:f>
        <x:v>Discretionary</x:v>
      </x:c>
      <x:c r="AJ12" s="42" t="n">
        <x:f>IF(OR(NOT(ISNUMBER(AH12)),T12&lt;&gt;"Common pot"),"",COUNTIFS($T$4:$T$509,"Common pot",$AH$4:$AH$509,"&gt;"&amp;AH12)+1)</x:f>
        <x:v>206</x:v>
      </x:c>
      <x:c r="AK12" s="36" t="str">
        <x:f>IF(B12="","Name missing - not scored",IF(OR(NOT(ISNUMBER(G12)),G12&lt;=0),"Investment missing or zero - review",IF(0=1,"Permanent ID missing - reconcile",IF(AND(ISNUMBER(H12),H12/G12&gt;='Score settings'!$B$58,NOT(ISNUMBER(I12))),"Benefit units need review",IF(OR(R12="EXIT",R12="CHALLENGE"),"Waste decision requires scope resolution",IF("Name and organisation matched"&lt;&gt;"Name and organisation matched","Waste evidence match needs review","Provisional source score - confirm evidence"))))))</x:f>
        <x:v>Provisional source score - confirm evidence</x:v>
      </x:c>
      <x:c r="AL12" s="36"/>
      <x:c r="AM12" s="40"/>
      <x:c r="AN12" s="39"/>
      <x:c r="AO12" s="40"/>
      <x:c r="AP12" s="40"/>
    </x:row>
    <x:row r="13" ht="15" hidden="0" customHeight="1">
      <x:c r="A13" s="36" t="str">
        <x:v>Bu-10</x:v>
      </x:c>
      <x:c r="B13" s="37" t="str">
        <x:v>Master Data and Data Quality</x:v>
      </x:c>
      <x:c r="C13" s="36" t="str">
        <x:v>BU Led</x:v>
      </x:c>
      <x:c r="D13" s="36" t="str">
        <x:v>Integrated Supply Chain (ISC)</x:v>
      </x:c>
      <x:c r="E13" s="38" t="n">
        <x:v>1.07</x:v>
      </x:c>
      <x:c r="F13" s="39"/>
      <x:c r="G13" s="38" t="n">
        <x:f>IF(ISNUMBER(F13),F13,IF(E13="","",E13))</x:f>
        <x:v>1.07</x:v>
      </x:c>
      <x:c r="H13" s="38"/>
      <x:c r="I13" s="39"/>
      <x:c r="J13" s="36" t="str">
        <x:v>Unclassified</x:v>
      </x:c>
      <x:c r="K13" s="38" t="str">
        <x:f>IF(ISNUMBER(I13),I13,IF(OR(NOT(ISNUMBER(H13)),NOT(ISNUMBER(G13)),G13&lt;=0),"",IF(H13/G13&gt;='Score settings'!$B$58,"",IF(J13="Cash savings",H13,IF(J13="Revenue",H13*'Score settings'!$B$55,"")))))</x:f>
      </x:c>
      <x:c r="L13" s="36"/>
      <x:c r="M13" s="39"/>
      <x:c r="N13" s="40"/>
      <x:c r="O13" s="36" t="str">
        <x:v>Must Do</x:v>
      </x:c>
      <x:c r="P13" s="36" t="str">
        <x:v>NewFeat</x:v>
      </x:c>
      <x:c r="Q13" s="36" t="str">
        <x:v>Blank</x:v>
      </x:c>
      <x:c r="R13" s="36" t="str">
        <x:v>HEALTHY</x:v>
      </x:c>
      <x:c r="S13" s="36" t="str"/>
      <x:c r="T13" s="36" t="str">
        <x:v>Common pot</x:v>
      </x:c>
      <x:c r="U13" s="41" t="n">
        <x:f>VLOOKUP("Priority|"&amp;O13,'Score settings'!$A$14:$C$43,2,FALSE)/'Score settings'!$B$4*'Score settings'!$C$4</x:f>
        <x:v>25</x:v>
      </x:c>
      <x:c r="V13" s="41" t="n">
        <x:f>VLOOKUP("Category|"&amp;P13,'Score settings'!$A$14:$C$43,2,FALSE)/'Score settings'!$B$5*'Score settings'!$C$5</x:f>
        <x:v>6</x:v>
      </x:c>
      <x:c r="W13" s="41" t="n">
        <x:f>VLOOKUP("Area|"&amp;Q13,'Score settings'!$A$14:$C$43,2,FALSE)/'Score settings'!$B$6*'Score settings'!$C$6</x:f>
        <x:v>3</x:v>
      </x:c>
      <x:c r="X13" s="41" t="n">
        <x:f>VLOOKUP("Benefits|"&amp;IF(AND(ISNUMBER(H13),H13&gt;0,ISNUMBER(G13),G13&gt;0),IF(H13/G13&gt;='Score settings'!$E$17,"3plus",IF(H13/G13&gt;='Score settings'!$E$16,"1.5to3",IF(H13/G13&gt;='Score settings'!$E$15,"0.5to1.5","positive"))),"None"),'Score settings'!$A$14:$C$43,2,FALSE)/'Score settings'!$B$7*'Score settings'!$C$7</x:f>
        <x:v>5</x:v>
      </x:c>
      <x:c r="Y13" s="41" t="n">
        <x:f>VLOOKUP("Waste|"&amp;R13,'Score settings'!$A$14:$C$43,2,FALSE)/'Score settings'!$B$8*'Score settings'!$C$8</x:f>
        <x:v>15</x:v>
      </x:c>
      <x:c r="Z13" s="41" t="n">
        <x:f>IF(B13="","",SUM(U13:Y13))</x:f>
        <x:v>54</x:v>
      </x:c>
      <x:c r="AA13" s="41" t="str">
        <x:f>IF(Z13="","Not scored",VLOOKUP(Z13,'Score settings'!$A$47:$C$50,2,TRUE))</x:f>
        <x:v>Strong</x:v>
      </x:c>
      <x:c r="AB13" s="41" t="n">
        <x:f>VLOOKUP("Priority|"&amp;O13,'Score settings'!$A$14:$C$43,3,FALSE)/'Score settings'!$B$4*'Score settings'!$D$4</x:f>
        <x:v>15</x:v>
      </x:c>
      <x:c r="AC13" s="41" t="n">
        <x:f>VLOOKUP("Category|"&amp;P13,'Score settings'!$A$14:$C$43,3,FALSE)/'Score settings'!$B$5*'Score settings'!$D$5</x:f>
        <x:v>3</x:v>
      </x:c>
      <x:c r="AD13" s="41" t="n">
        <x:f>VLOOKUP("Area|"&amp;Q13,'Score settings'!$A$14:$C$43,3,FALSE)/'Score settings'!$B$6*'Score settings'!$D$6</x:f>
        <x:v>0</x:v>
      </x:c>
      <x:c r="AE13" s="41" t="n">
        <x:f>VLOOKUP("Benefits|"&amp;IF(AND(ISNUMBER(K13),K13&gt;0,ISNUMBER(G13),G13&gt;0),IF(K13/G13&gt;='Score settings'!$E$17,"3plus",IF(K13/G13&gt;='Score settings'!$E$16,"1.5to3",IF(K13/G13&gt;='Score settings'!$E$15,"0.5to1.5","positive"))),"None"),'Score settings'!$A$14:$C$43,3,FALSE)/'Score settings'!$B$7*'Score settings'!$D$7</x:f>
        <x:v>0</x:v>
      </x:c>
      <x:c r="AF13" s="41" t="n">
        <x:f>VLOOKUP("Waste|"&amp;R13,'Score settings'!$A$14:$C$43,3,FALSE)/'Score settings'!$B$8*'Score settings'!$D$8</x:f>
        <x:v>10</x:v>
      </x:c>
      <x:c r="AG13" s="41" t="n">
        <x:f>(IF(AND(ISNUMBER(M13),M13&gt;0,ISNUMBER(G13),G13&gt;0),IF(M13/G13&gt;='Score settings'!$E$17,'Score settings'!$G$17,IF(M13/G13&gt;='Score settings'!$E$16,'Score settings'!$G$16,IF(M13/G13&gt;='Score settings'!$E$15,'Score settings'!$G$15,'Score settings'!$G$14))),0)/15*'Score settings'!$B$60+IFERROR(VLOOKUP(IF(ISNUMBER(N13),N13,IF(ISNUMBER(L13),L13,0)),'Score settings'!$E$22:$F$26,2,FALSE),0)/10*'Score settings'!$B$61)/'Score settings'!$B$9*'Score settings'!$D$9</x:f>
        <x:v>0</x:v>
      </x:c>
      <x:c r="AH13" s="41" t="n">
        <x:f>IF(B13="","",SUM(AB13:AG13))</x:f>
        <x:v>28</x:v>
      </x:c>
      <x:c r="AI13" s="41" t="str">
        <x:f>IF(NOT(ISNUMBER(AH13)),"Not scored",VLOOKUP(AH13,'Score settings'!$A$47:$C$50,3,TRUE))</x:f>
        <x:v>Discretionary</x:v>
      </x:c>
      <x:c r="AJ13" s="42" t="n">
        <x:f>IF(OR(NOT(ISNUMBER(AH13)),T13&lt;&gt;"Common pot"),"",COUNTIFS($T$4:$T$509,"Common pot",$AH$4:$AH$509,"&gt;"&amp;AH13)+1)</x:f>
        <x:v>206</x:v>
      </x:c>
      <x:c r="AK13" s="36" t="str">
        <x:f>IF(B13="","Name missing - not scored",IF(OR(NOT(ISNUMBER(G13)),G13&lt;=0),"Investment missing or zero - review",IF(0=1,"Permanent ID missing - reconcile",IF(AND(ISNUMBER(H13),H13/G13&gt;='Score settings'!$B$58,NOT(ISNUMBER(I13))),"Benefit units need review",IF(OR(R13="EXIT",R13="CHALLENGE"),"Waste decision requires scope resolution",IF("Name and organisation matched"&lt;&gt;"Name and organisation matched","Waste evidence match needs review","Provisional source score - confirm evidence"))))))</x:f>
        <x:v>Provisional source score - confirm evidence</x:v>
      </x:c>
      <x:c r="AL13" s="36"/>
      <x:c r="AM13" s="40"/>
      <x:c r="AN13" s="39"/>
      <x:c r="AO13" s="40"/>
      <x:c r="AP13" s="40"/>
    </x:row>
    <x:row r="14" ht="15" hidden="0" customHeight="1">
      <x:c r="A14" s="36" t="str">
        <x:v>Bu-11</x:v>
      </x:c>
      <x:c r="B14" s="37" t="str">
        <x:v>Direct Procurement Transformation</x:v>
      </x:c>
      <x:c r="C14" s="36" t="str">
        <x:v>BU Led</x:v>
      </x:c>
      <x:c r="D14" s="36" t="str">
        <x:v>Integrated Supply Chain (ISC)</x:v>
      </x:c>
      <x:c r="E14" s="38" t="n">
        <x:v>7.03</x:v>
      </x:c>
      <x:c r="F14" s="39"/>
      <x:c r="G14" s="38" t="n">
        <x:f>IF(ISNUMBER(F14),F14,IF(E14="","",E14))</x:f>
        <x:v>7.03</x:v>
      </x:c>
      <x:c r="H14" s="38"/>
      <x:c r="I14" s="39"/>
      <x:c r="J14" s="36" t="str">
        <x:v>Unclassified</x:v>
      </x:c>
      <x:c r="K14" s="38" t="str">
        <x:f>IF(ISNUMBER(I14),I14,IF(OR(NOT(ISNUMBER(H14)),NOT(ISNUMBER(G14)),G14&lt;=0),"",IF(H14/G14&gt;='Score settings'!$B$58,"",IF(J14="Cash savings",H14,IF(J14="Revenue",H14*'Score settings'!$B$55,"")))))</x:f>
      </x:c>
      <x:c r="L14" s="36"/>
      <x:c r="M14" s="39"/>
      <x:c r="N14" s="40"/>
      <x:c r="O14" s="36" t="str">
        <x:v>Must Do</x:v>
      </x:c>
      <x:c r="P14" s="36" t="str">
        <x:v>NewFeat</x:v>
      </x:c>
      <x:c r="Q14" s="36" t="str">
        <x:v>Blank</x:v>
      </x:c>
      <x:c r="R14" s="36" t="str">
        <x:v>HEALTHY</x:v>
      </x:c>
      <x:c r="S14" s="36" t="str"/>
      <x:c r="T14" s="36" t="str">
        <x:v>Common pot</x:v>
      </x:c>
      <x:c r="U14" s="41" t="n">
        <x:f>VLOOKUP("Priority|"&amp;O14,'Score settings'!$A$14:$C$43,2,FALSE)/'Score settings'!$B$4*'Score settings'!$C$4</x:f>
        <x:v>25</x:v>
      </x:c>
      <x:c r="V14" s="41" t="n">
        <x:f>VLOOKUP("Category|"&amp;P14,'Score settings'!$A$14:$C$43,2,FALSE)/'Score settings'!$B$5*'Score settings'!$C$5</x:f>
        <x:v>6</x:v>
      </x:c>
      <x:c r="W14" s="41" t="n">
        <x:f>VLOOKUP("Area|"&amp;Q14,'Score settings'!$A$14:$C$43,2,FALSE)/'Score settings'!$B$6*'Score settings'!$C$6</x:f>
        <x:v>3</x:v>
      </x:c>
      <x:c r="X14" s="41" t="n">
        <x:f>VLOOKUP("Benefits|"&amp;IF(AND(ISNUMBER(H14),H14&gt;0,ISNUMBER(G14),G14&gt;0),IF(H14/G14&gt;='Score settings'!$E$17,"3plus",IF(H14/G14&gt;='Score settings'!$E$16,"1.5to3",IF(H14/G14&gt;='Score settings'!$E$15,"0.5to1.5","positive"))),"None"),'Score settings'!$A$14:$C$43,2,FALSE)/'Score settings'!$B$7*'Score settings'!$C$7</x:f>
        <x:v>5</x:v>
      </x:c>
      <x:c r="Y14" s="41" t="n">
        <x:f>VLOOKUP("Waste|"&amp;R14,'Score settings'!$A$14:$C$43,2,FALSE)/'Score settings'!$B$8*'Score settings'!$C$8</x:f>
        <x:v>15</x:v>
      </x:c>
      <x:c r="Z14" s="41" t="n">
        <x:f>IF(B14="","",SUM(U14:Y14))</x:f>
        <x:v>54</x:v>
      </x:c>
      <x:c r="AA14" s="41" t="str">
        <x:f>IF(Z14="","Not scored",VLOOKUP(Z14,'Score settings'!$A$47:$C$50,2,TRUE))</x:f>
        <x:v>Strong</x:v>
      </x:c>
      <x:c r="AB14" s="41" t="n">
        <x:f>VLOOKUP("Priority|"&amp;O14,'Score settings'!$A$14:$C$43,3,FALSE)/'Score settings'!$B$4*'Score settings'!$D$4</x:f>
        <x:v>15</x:v>
      </x:c>
      <x:c r="AC14" s="41" t="n">
        <x:f>VLOOKUP("Category|"&amp;P14,'Score settings'!$A$14:$C$43,3,FALSE)/'Score settings'!$B$5*'Score settings'!$D$5</x:f>
        <x:v>3</x:v>
      </x:c>
      <x:c r="AD14" s="41" t="n">
        <x:f>VLOOKUP("Area|"&amp;Q14,'Score settings'!$A$14:$C$43,3,FALSE)/'Score settings'!$B$6*'Score settings'!$D$6</x:f>
        <x:v>0</x:v>
      </x:c>
      <x:c r="AE14" s="41" t="n">
        <x:f>VLOOKUP("Benefits|"&amp;IF(AND(ISNUMBER(K14),K14&gt;0,ISNUMBER(G14),G14&gt;0),IF(K14/G14&gt;='Score settings'!$E$17,"3plus",IF(K14/G14&gt;='Score settings'!$E$16,"1.5to3",IF(K14/G14&gt;='Score settings'!$E$15,"0.5to1.5","positive"))),"None"),'Score settings'!$A$14:$C$43,3,FALSE)/'Score settings'!$B$7*'Score settings'!$D$7</x:f>
        <x:v>0</x:v>
      </x:c>
      <x:c r="AF14" s="41" t="n">
        <x:f>VLOOKUP("Waste|"&amp;R14,'Score settings'!$A$14:$C$43,3,FALSE)/'Score settings'!$B$8*'Score settings'!$D$8</x:f>
        <x:v>10</x:v>
      </x:c>
      <x:c r="AG14" s="41" t="n">
        <x:f>(IF(AND(ISNUMBER(M14),M14&gt;0,ISNUMBER(G14),G14&gt;0),IF(M14/G14&gt;='Score settings'!$E$17,'Score settings'!$G$17,IF(M14/G14&gt;='Score settings'!$E$16,'Score settings'!$G$16,IF(M14/G14&gt;='Score settings'!$E$15,'Score settings'!$G$15,'Score settings'!$G$14))),0)/15*'Score settings'!$B$60+IFERROR(VLOOKUP(IF(ISNUMBER(N14),N14,IF(ISNUMBER(L14),L14,0)),'Score settings'!$E$22:$F$26,2,FALSE),0)/10*'Score settings'!$B$61)/'Score settings'!$B$9*'Score settings'!$D$9</x:f>
        <x:v>0</x:v>
      </x:c>
      <x:c r="AH14" s="41" t="n">
        <x:f>IF(B14="","",SUM(AB14:AG14))</x:f>
        <x:v>28</x:v>
      </x:c>
      <x:c r="AI14" s="41" t="str">
        <x:f>IF(NOT(ISNUMBER(AH14)),"Not scored",VLOOKUP(AH14,'Score settings'!$A$47:$C$50,3,TRUE))</x:f>
        <x:v>Discretionary</x:v>
      </x:c>
      <x:c r="AJ14" s="42" t="n">
        <x:f>IF(OR(NOT(ISNUMBER(AH14)),T14&lt;&gt;"Common pot"),"",COUNTIFS($T$4:$T$509,"Common pot",$AH$4:$AH$509,"&gt;"&amp;AH14)+1)</x:f>
        <x:v>206</x:v>
      </x:c>
      <x:c r="AK14" s="36" t="str">
        <x:f>IF(B14="","Name missing - not scored",IF(OR(NOT(ISNUMBER(G14)),G14&lt;=0),"Investment missing or zero - review",IF(0=1,"Permanent ID missing - reconcile",IF(AND(ISNUMBER(H14),H14/G14&gt;='Score settings'!$B$58,NOT(ISNUMBER(I14))),"Benefit units need review",IF(OR(R14="EXIT",R14="CHALLENGE"),"Waste decision requires scope resolution",IF("Name and organisation matched"&lt;&gt;"Name and organisation matched","Waste evidence match needs review","Provisional source score - confirm evidence"))))))</x:f>
        <x:v>Provisional source score - confirm evidence</x:v>
      </x:c>
      <x:c r="AL14" s="36"/>
      <x:c r="AM14" s="40"/>
      <x:c r="AN14" s="39"/>
      <x:c r="AO14" s="40"/>
      <x:c r="AP14" s="40"/>
    </x:row>
    <x:row r="15" ht="15" hidden="0" customHeight="1">
      <x:c r="A15" s="36" t="str">
        <x:v>Bu-12</x:v>
      </x:c>
      <x:c r="B15" s="37" t="str">
        <x:v>Implement Integrated Planning Basics</x:v>
      </x:c>
      <x:c r="C15" s="36" t="str">
        <x:v>BU Led</x:v>
      </x:c>
      <x:c r="D15" s="36" t="str">
        <x:v>Integrated Supply Chain (ISC)</x:v>
      </x:c>
      <x:c r="E15" s="38" t="n">
        <x:v>0.5</x:v>
      </x:c>
      <x:c r="F15" s="39"/>
      <x:c r="G15" s="38" t="n">
        <x:f>IF(ISNUMBER(F15),F15,IF(E15="","",E15))</x:f>
        <x:v>0.5</x:v>
      </x:c>
      <x:c r="H15" s="38"/>
      <x:c r="I15" s="39"/>
      <x:c r="J15" s="36" t="str">
        <x:v>Unclassified</x:v>
      </x:c>
      <x:c r="K15" s="38" t="str">
        <x:f>IF(ISNUMBER(I15),I15,IF(OR(NOT(ISNUMBER(H15)),NOT(ISNUMBER(G15)),G15&lt;=0),"",IF(H15/G15&gt;='Score settings'!$B$58,"",IF(J15="Cash savings",H15,IF(J15="Revenue",H15*'Score settings'!$B$55,"")))))</x:f>
      </x:c>
      <x:c r="L15" s="36"/>
      <x:c r="M15" s="39"/>
      <x:c r="N15" s="40"/>
      <x:c r="O15" s="36" t="str">
        <x:v>Must Do</x:v>
      </x:c>
      <x:c r="P15" s="36" t="str">
        <x:v>NewFeat</x:v>
      </x:c>
      <x:c r="Q15" s="36" t="str">
        <x:v>Blank</x:v>
      </x:c>
      <x:c r="R15" s="36" t="str">
        <x:v>HEALTHY</x:v>
      </x:c>
      <x:c r="S15" s="36" t="str"/>
      <x:c r="T15" s="36" t="str">
        <x:v>Common pot</x:v>
      </x:c>
      <x:c r="U15" s="41" t="n">
        <x:f>VLOOKUP("Priority|"&amp;O15,'Score settings'!$A$14:$C$43,2,FALSE)/'Score settings'!$B$4*'Score settings'!$C$4</x:f>
        <x:v>25</x:v>
      </x:c>
      <x:c r="V15" s="41" t="n">
        <x:f>VLOOKUP("Category|"&amp;P15,'Score settings'!$A$14:$C$43,2,FALSE)/'Score settings'!$B$5*'Score settings'!$C$5</x:f>
        <x:v>6</x:v>
      </x:c>
      <x:c r="W15" s="41" t="n">
        <x:f>VLOOKUP("Area|"&amp;Q15,'Score settings'!$A$14:$C$43,2,FALSE)/'Score settings'!$B$6*'Score settings'!$C$6</x:f>
        <x:v>3</x:v>
      </x:c>
      <x:c r="X15" s="41" t="n">
        <x:f>VLOOKUP("Benefits|"&amp;IF(AND(ISNUMBER(H15),H15&gt;0,ISNUMBER(G15),G15&gt;0),IF(H15/G15&gt;='Score settings'!$E$17,"3plus",IF(H15/G15&gt;='Score settings'!$E$16,"1.5to3",IF(H15/G15&gt;='Score settings'!$E$15,"0.5to1.5","positive"))),"None"),'Score settings'!$A$14:$C$43,2,FALSE)/'Score settings'!$B$7*'Score settings'!$C$7</x:f>
        <x:v>5</x:v>
      </x:c>
      <x:c r="Y15" s="41" t="n">
        <x:f>VLOOKUP("Waste|"&amp;R15,'Score settings'!$A$14:$C$43,2,FALSE)/'Score settings'!$B$8*'Score settings'!$C$8</x:f>
        <x:v>15</x:v>
      </x:c>
      <x:c r="Z15" s="41" t="n">
        <x:f>IF(B15="","",SUM(U15:Y15))</x:f>
        <x:v>54</x:v>
      </x:c>
      <x:c r="AA15" s="41" t="str">
        <x:f>IF(Z15="","Not scored",VLOOKUP(Z15,'Score settings'!$A$47:$C$50,2,TRUE))</x:f>
        <x:v>Strong</x:v>
      </x:c>
      <x:c r="AB15" s="41" t="n">
        <x:f>VLOOKUP("Priority|"&amp;O15,'Score settings'!$A$14:$C$43,3,FALSE)/'Score settings'!$B$4*'Score settings'!$D$4</x:f>
        <x:v>15</x:v>
      </x:c>
      <x:c r="AC15" s="41" t="n">
        <x:f>VLOOKUP("Category|"&amp;P15,'Score settings'!$A$14:$C$43,3,FALSE)/'Score settings'!$B$5*'Score settings'!$D$5</x:f>
        <x:v>3</x:v>
      </x:c>
      <x:c r="AD15" s="41" t="n">
        <x:f>VLOOKUP("Area|"&amp;Q15,'Score settings'!$A$14:$C$43,3,FALSE)/'Score settings'!$B$6*'Score settings'!$D$6</x:f>
        <x:v>0</x:v>
      </x:c>
      <x:c r="AE15" s="41" t="n">
        <x:f>VLOOKUP("Benefits|"&amp;IF(AND(ISNUMBER(K15),K15&gt;0,ISNUMBER(G15),G15&gt;0),IF(K15/G15&gt;='Score settings'!$E$17,"3plus",IF(K15/G15&gt;='Score settings'!$E$16,"1.5to3",IF(K15/G15&gt;='Score settings'!$E$15,"0.5to1.5","positive"))),"None"),'Score settings'!$A$14:$C$43,3,FALSE)/'Score settings'!$B$7*'Score settings'!$D$7</x:f>
        <x:v>0</x:v>
      </x:c>
      <x:c r="AF15" s="41" t="n">
        <x:f>VLOOKUP("Waste|"&amp;R15,'Score settings'!$A$14:$C$43,3,FALSE)/'Score settings'!$B$8*'Score settings'!$D$8</x:f>
        <x:v>10</x:v>
      </x:c>
      <x:c r="AG15" s="41" t="n">
        <x:f>(IF(AND(ISNUMBER(M15),M15&gt;0,ISNUMBER(G15),G15&gt;0),IF(M15/G15&gt;='Score settings'!$E$17,'Score settings'!$G$17,IF(M15/G15&gt;='Score settings'!$E$16,'Score settings'!$G$16,IF(M15/G15&gt;='Score settings'!$E$15,'Score settings'!$G$15,'Score settings'!$G$14))),0)/15*'Score settings'!$B$60+IFERROR(VLOOKUP(IF(ISNUMBER(N15),N15,IF(ISNUMBER(L15),L15,0)),'Score settings'!$E$22:$F$26,2,FALSE),0)/10*'Score settings'!$B$61)/'Score settings'!$B$9*'Score settings'!$D$9</x:f>
        <x:v>0</x:v>
      </x:c>
      <x:c r="AH15" s="41" t="n">
        <x:f>IF(B15="","",SUM(AB15:AG15))</x:f>
        <x:v>28</x:v>
      </x:c>
      <x:c r="AI15" s="41" t="str">
        <x:f>IF(NOT(ISNUMBER(AH15)),"Not scored",VLOOKUP(AH15,'Score settings'!$A$47:$C$50,3,TRUE))</x:f>
        <x:v>Discretionary</x:v>
      </x:c>
      <x:c r="AJ15" s="42" t="n">
        <x:f>IF(OR(NOT(ISNUMBER(AH15)),T15&lt;&gt;"Common pot"),"",COUNTIFS($T$4:$T$509,"Common pot",$AH$4:$AH$509,"&gt;"&amp;AH15)+1)</x:f>
        <x:v>206</x:v>
      </x:c>
      <x:c r="AK15" s="36" t="str">
        <x:f>IF(B15="","Name missing - not scored",IF(OR(NOT(ISNUMBER(G15)),G15&lt;=0),"Investment missing or zero - review",IF(0=1,"Permanent ID missing - reconcile",IF(AND(ISNUMBER(H15),H15/G15&gt;='Score settings'!$B$58,NOT(ISNUMBER(I15))),"Benefit units need review",IF(OR(R15="EXIT",R15="CHALLENGE"),"Waste decision requires scope resolution",IF("Name and organisation matched"&lt;&gt;"Name and organisation matched","Waste evidence match needs review","Provisional source score - confirm evidence"))))))</x:f>
        <x:v>Provisional source score - confirm evidence</x:v>
      </x:c>
      <x:c r="AL15" s="36"/>
      <x:c r="AM15" s="40"/>
      <x:c r="AN15" s="39"/>
      <x:c r="AO15" s="40"/>
      <x:c r="AP15" s="40"/>
    </x:row>
    <x:row r="16" ht="15" hidden="0" customHeight="1">
      <x:c r="A16" s="36" t="str">
        <x:v>Bu-13</x:v>
      </x:c>
      <x:c r="B16" s="37" t="str">
        <x:v>HPM - P3S - MaaS Capability Program: Scaling</x:v>
      </x:c>
      <x:c r="C16" s="36" t="str">
        <x:v>BU Led</x:v>
      </x:c>
      <x:c r="D16" s="36" t="str">
        <x:v>Monitoring - HPM (MCH)</x:v>
      </x:c>
      <x:c r="E16" s="38" t="n">
        <x:v>5</x:v>
      </x:c>
      <x:c r="F16" s="39"/>
      <x:c r="G16" s="38" t="n">
        <x:f>IF(ISNUMBER(F16),F16,IF(E16="","",E16))</x:f>
        <x:v>5</x:v>
      </x:c>
      <x:c r="H16" s="38"/>
      <x:c r="I16" s="39"/>
      <x:c r="J16" s="36" t="str">
        <x:v>Revenue</x:v>
      </x:c>
      <x:c r="K16" s="38" t="str">
        <x:f>IF(ISNUMBER(I16),I16,IF(OR(NOT(ISNUMBER(H16)),NOT(ISNUMBER(G16)),G16&lt;=0),"",IF(H16/G16&gt;='Score settings'!$B$58,"",IF(J16="Cash savings",H16,IF(J16="Revenue",H16*'Score settings'!$B$55,"")))))</x:f>
      </x:c>
      <x:c r="L16" s="36"/>
      <x:c r="M16" s="39"/>
      <x:c r="N16" s="40"/>
      <x:c r="O16" s="36" t="str">
        <x:v>Must Do</x:v>
      </x:c>
      <x:c r="P16" s="36" t="str">
        <x:v>NewFeat</x:v>
      </x:c>
      <x:c r="Q16" s="36" t="str">
        <x:v>Revenue</x:v>
      </x:c>
      <x:c r="R16" s="36" t="str">
        <x:v>NotAssessed</x:v>
      </x:c>
      <x:c r="S16" s="36" t="str"/>
      <x:c r="T16" s="36" t="str">
        <x:v>Common pot</x:v>
      </x:c>
      <x:c r="U16" s="41" t="n">
        <x:f>VLOOKUP("Priority|"&amp;O16,'Score settings'!$A$14:$C$43,2,FALSE)/'Score settings'!$B$4*'Score settings'!$C$4</x:f>
        <x:v>25</x:v>
      </x:c>
      <x:c r="V16" s="41" t="n">
        <x:f>VLOOKUP("Category|"&amp;P16,'Score settings'!$A$14:$C$43,2,FALSE)/'Score settings'!$B$5*'Score settings'!$C$5</x:f>
        <x:v>6</x:v>
      </x:c>
      <x:c r="W16" s="41" t="n">
        <x:f>VLOOKUP("Area|"&amp;Q16,'Score settings'!$A$14:$C$43,2,FALSE)/'Score settings'!$B$6*'Score settings'!$C$6</x:f>
        <x:v>11</x:v>
      </x:c>
      <x:c r="X16" s="41" t="n">
        <x:f>VLOOKUP("Benefits|"&amp;IF(AND(ISNUMBER(H16),H16&gt;0,ISNUMBER(G16),G16&gt;0),IF(H16/G16&gt;='Score settings'!$E$17,"3plus",IF(H16/G16&gt;='Score settings'!$E$16,"1.5to3",IF(H16/G16&gt;='Score settings'!$E$15,"0.5to1.5","positive"))),"None"),'Score settings'!$A$14:$C$43,2,FALSE)/'Score settings'!$B$7*'Score settings'!$C$7</x:f>
        <x:v>5</x:v>
      </x:c>
      <x:c r="Y16" s="41" t="n">
        <x:f>VLOOKUP("Waste|"&amp;R16,'Score settings'!$A$14:$C$43,2,FALSE)/'Score settings'!$B$8*'Score settings'!$C$8</x:f>
        <x:v>7</x:v>
      </x:c>
      <x:c r="Z16" s="41" t="n">
        <x:f>IF(B16="","",SUM(U16:Y16))</x:f>
        <x:v>54</x:v>
      </x:c>
      <x:c r="AA16" s="41" t="str">
        <x:f>IF(Z16="","Not scored",VLOOKUP(Z16,'Score settings'!$A$47:$C$50,2,TRUE))</x:f>
        <x:v>Strong</x:v>
      </x:c>
      <x:c r="AB16" s="41" t="n">
        <x:f>VLOOKUP("Priority|"&amp;O16,'Score settings'!$A$14:$C$43,3,FALSE)/'Score settings'!$B$4*'Score settings'!$D$4</x:f>
        <x:v>15</x:v>
      </x:c>
      <x:c r="AC16" s="41" t="n">
        <x:f>VLOOKUP("Category|"&amp;P16,'Score settings'!$A$14:$C$43,3,FALSE)/'Score settings'!$B$5*'Score settings'!$D$5</x:f>
        <x:v>3</x:v>
      </x:c>
      <x:c r="AD16" s="41" t="n">
        <x:f>VLOOKUP("Area|"&amp;Q16,'Score settings'!$A$14:$C$43,3,FALSE)/'Score settings'!$B$6*'Score settings'!$D$6</x:f>
        <x:v>7.333333333333333</x:v>
      </x:c>
      <x:c r="AE16" s="41" t="n">
        <x:f>VLOOKUP("Benefits|"&amp;IF(AND(ISNUMBER(K16),K16&gt;0,ISNUMBER(G16),G16&gt;0),IF(K16/G16&gt;='Score settings'!$E$17,"3plus",IF(K16/G16&gt;='Score settings'!$E$16,"1.5to3",IF(K16/G16&gt;='Score settings'!$E$15,"0.5to1.5","positive"))),"None"),'Score settings'!$A$14:$C$43,3,FALSE)/'Score settings'!$B$7*'Score settings'!$D$7</x:f>
        <x:v>0</x:v>
      </x:c>
      <x:c r="AF16" s="41" t="n">
        <x:f>VLOOKUP("Waste|"&amp;R16,'Score settings'!$A$14:$C$43,3,FALSE)/'Score settings'!$B$8*'Score settings'!$D$8</x:f>
        <x:v>0</x:v>
      </x:c>
      <x:c r="AG16" s="41" t="n">
        <x:f>(IF(AND(ISNUMBER(M16),M16&gt;0,ISNUMBER(G16),G16&gt;0),IF(M16/G16&gt;='Score settings'!$E$17,'Score settings'!$G$17,IF(M16/G16&gt;='Score settings'!$E$16,'Score settings'!$G$16,IF(M16/G16&gt;='Score settings'!$E$15,'Score settings'!$G$15,'Score settings'!$G$14))),0)/15*'Score settings'!$B$60+IFERROR(VLOOKUP(IF(ISNUMBER(N16),N16,IF(ISNUMBER(L16),L16,0)),'Score settings'!$E$22:$F$26,2,FALSE),0)/10*'Score settings'!$B$61)/'Score settings'!$B$9*'Score settings'!$D$9</x:f>
        <x:v>0</x:v>
      </x:c>
      <x:c r="AH16" s="41" t="n">
        <x:f>IF(B16="","",SUM(AB16:AG16))</x:f>
        <x:v>25.333333333333332</x:v>
      </x:c>
      <x:c r="AI16" s="41" t="str">
        <x:f>IF(NOT(ISNUMBER(AH16)),"Not scored",VLOOKUP(AH16,'Score settings'!$A$47:$C$50,3,TRUE))</x:f>
        <x:v>Discretionary</x:v>
      </x:c>
      <x:c r="AJ16" s="42" t="n">
        <x:f>IF(OR(NOT(ISNUMBER(AH16)),T16&lt;&gt;"Common pot"),"",COUNTIFS($T$4:$T$509,"Common pot",$AH$4:$AH$509,"&gt;"&amp;AH16)+1)</x:f>
        <x:v>253</x:v>
      </x:c>
      <x:c r="AK16" s="36" t="str">
        <x:f>IF(B16="","Name missing - not scored",IF(OR(NOT(ISNUMBER(G16)),G16&lt;=0),"Investment missing or zero - review",IF(0=1,"Permanent ID missing - reconcile",IF(AND(ISNUMBER(H16),H16/G16&gt;='Score settings'!$B$58,NOT(ISNUMBER(I16))),"Benefit units need review",IF(OR(R16="EXIT",R16="CHALLENGE"),"Waste decision requires scope resolution",IF("Name and organisation matched"&lt;&gt;"Name and organisation matched","Waste evidence match needs review","Provisional source score - confirm evidence"))))))</x:f>
        <x:v>Provisional source score - confirm evidence</x:v>
      </x:c>
      <x:c r="AL16" s="36"/>
      <x:c r="AM16" s="40"/>
      <x:c r="AN16" s="39"/>
      <x:c r="AO16" s="40"/>
      <x:c r="AP16" s="40"/>
    </x:row>
    <x:row r="17" ht="15" hidden="0" customHeight="1">
      <x:c r="A17" s="36" t="str">
        <x:v>Bu-14</x:v>
      </x:c>
      <x:c r="B17" s="37" t="str">
        <x:v>HPM - Tariff Mitigation - long term (LTS-4 Late Customization)</x:v>
      </x:c>
      <x:c r="C17" s="36" t="str">
        <x:v>BU Led</x:v>
      </x:c>
      <x:c r="D17" s="36" t="str">
        <x:v>Monitoring - HPM (MCH)</x:v>
      </x:c>
      <x:c r="E17" s="38" t="n">
        <x:v>0.35</x:v>
      </x:c>
      <x:c r="F17" s="39"/>
      <x:c r="G17" s="38" t="n">
        <x:f>IF(ISNUMBER(F17),F17,IF(E17="","",E17))</x:f>
        <x:v>0.35</x:v>
      </x:c>
      <x:c r="H17" s="38"/>
      <x:c r="I17" s="39"/>
      <x:c r="J17" s="36" t="str">
        <x:v>Cash savings</x:v>
      </x:c>
      <x:c r="K17" s="38" t="str">
        <x:f>IF(ISNUMBER(I17),I17,IF(OR(NOT(ISNUMBER(H17)),NOT(ISNUMBER(G17)),G17&lt;=0),"",IF(H17/G17&gt;='Score settings'!$B$58,"",IF(J17="Cash savings",H17,IF(J17="Revenue",H17*'Score settings'!$B$55,"")))))</x:f>
      </x:c>
      <x:c r="L17" s="36"/>
      <x:c r="M17" s="39"/>
      <x:c r="N17" s="40"/>
      <x:c r="O17" s="36" t="str">
        <x:v>Must Do</x:v>
      </x:c>
      <x:c r="P17" s="36" t="str">
        <x:v>LFR</x:v>
      </x:c>
      <x:c r="Q17" s="36" t="str">
        <x:v>Productivity</x:v>
      </x:c>
      <x:c r="R17" s="36" t="str">
        <x:v>HEALTHY</x:v>
      </x:c>
      <x:c r="S17" s="36" t="str"/>
      <x:c r="T17" s="36" t="str">
        <x:v>Common pot</x:v>
      </x:c>
      <x:c r="U17" s="41" t="n">
        <x:f>VLOOKUP("Priority|"&amp;O17,'Score settings'!$A$14:$C$43,2,FALSE)/'Score settings'!$B$4*'Score settings'!$C$4</x:f>
        <x:v>25</x:v>
      </x:c>
      <x:c r="V17" s="41" t="n">
        <x:f>VLOOKUP("Category|"&amp;P17,'Score settings'!$A$14:$C$43,2,FALSE)/'Score settings'!$B$5*'Score settings'!$C$5</x:f>
        <x:v>20</x:v>
      </x:c>
      <x:c r="W17" s="41" t="n">
        <x:f>VLOOKUP("Area|"&amp;Q17,'Score settings'!$A$14:$C$43,2,FALSE)/'Score settings'!$B$6*'Score settings'!$C$6</x:f>
        <x:v>10</x:v>
      </x:c>
      <x:c r="X17" s="41" t="n">
        <x:f>VLOOKUP("Benefits|"&amp;IF(AND(ISNUMBER(H17),H17&gt;0,ISNUMBER(G17),G17&gt;0),IF(H17/G17&gt;='Score settings'!$E$17,"3plus",IF(H17/G17&gt;='Score settings'!$E$16,"1.5to3",IF(H17/G17&gt;='Score settings'!$E$15,"0.5to1.5","positive"))),"None"),'Score settings'!$A$14:$C$43,2,FALSE)/'Score settings'!$B$7*'Score settings'!$C$7</x:f>
        <x:v>5</x:v>
      </x:c>
      <x:c r="Y17" s="41" t="n">
        <x:f>VLOOKUP("Waste|"&amp;R17,'Score settings'!$A$14:$C$43,2,FALSE)/'Score settings'!$B$8*'Score settings'!$C$8</x:f>
        <x:v>15</x:v>
      </x:c>
      <x:c r="Z17" s="41" t="n">
        <x:f>IF(B17="","",SUM(U17:Y17))</x:f>
        <x:v>75</x:v>
      </x:c>
      <x:c r="AA17" s="41" t="str">
        <x:f>IF(Z17="","Not scored",VLOOKUP(Z17,'Score settings'!$A$47:$C$50,2,TRUE))</x:f>
        <x:v>Protected</x:v>
      </x:c>
      <x:c r="AB17" s="41" t="n">
        <x:f>VLOOKUP("Priority|"&amp;O17,'Score settings'!$A$14:$C$43,3,FALSE)/'Score settings'!$B$4*'Score settings'!$D$4</x:f>
        <x:v>15</x:v>
      </x:c>
      <x:c r="AC17" s="41" t="n">
        <x:f>VLOOKUP("Category|"&amp;P17,'Score settings'!$A$14:$C$43,3,FALSE)/'Score settings'!$B$5*'Score settings'!$D$5</x:f>
        <x:v>10</x:v>
      </x:c>
      <x:c r="AD17" s="41" t="n">
        <x:f>VLOOKUP("Area|"&amp;Q17,'Score settings'!$A$14:$C$43,3,FALSE)/'Score settings'!$B$6*'Score settings'!$D$6</x:f>
        <x:v>6.666666666666666</x:v>
      </x:c>
      <x:c r="AE17" s="41" t="n">
        <x:f>VLOOKUP("Benefits|"&amp;IF(AND(ISNUMBER(K17),K17&gt;0,ISNUMBER(G17),G17&gt;0),IF(K17/G17&gt;='Score settings'!$E$17,"3plus",IF(K17/G17&gt;='Score settings'!$E$16,"1.5to3",IF(K17/G17&gt;='Score settings'!$E$15,"0.5to1.5","positive"))),"None"),'Score settings'!$A$14:$C$43,3,FALSE)/'Score settings'!$B$7*'Score settings'!$D$7</x:f>
        <x:v>0</x:v>
      </x:c>
      <x:c r="AF17" s="41" t="n">
        <x:f>VLOOKUP("Waste|"&amp;R17,'Score settings'!$A$14:$C$43,3,FALSE)/'Score settings'!$B$8*'Score settings'!$D$8</x:f>
        <x:v>10</x:v>
      </x:c>
      <x:c r="AG17" s="41" t="n">
        <x:f>(IF(AND(ISNUMBER(M17),M17&gt;0,ISNUMBER(G17),G17&gt;0),IF(M17/G17&gt;='Score settings'!$E$17,'Score settings'!$G$17,IF(M17/G17&gt;='Score settings'!$E$16,'Score settings'!$G$16,IF(M17/G17&gt;='Score settings'!$E$15,'Score settings'!$G$15,'Score settings'!$G$14))),0)/15*'Score settings'!$B$60+IFERROR(VLOOKUP(IF(ISNUMBER(N17),N17,IF(ISNUMBER(L17),L17,0)),'Score settings'!$E$22:$F$26,2,FALSE),0)/10*'Score settings'!$B$61)/'Score settings'!$B$9*'Score settings'!$D$9</x:f>
        <x:v>0</x:v>
      </x:c>
      <x:c r="AH17" s="41" t="n">
        <x:f>IF(B17="","",SUM(AB17:AG17))</x:f>
        <x:v>41.666666666666664</x:v>
      </x:c>
      <x:c r="AI17" s="41" t="str">
        <x:f>IF(NOT(ISNUMBER(AH17)),"Not scored",VLOOKUP(AH17,'Score settings'!$A$47:$C$50,3,TRUE))</x:f>
        <x:v>Discretionary</x:v>
      </x:c>
      <x:c r="AJ17" s="42" t="n">
        <x:f>IF(OR(NOT(ISNUMBER(AH17)),T17&lt;&gt;"Common pot"),"",COUNTIFS($T$4:$T$509,"Common pot",$AH$4:$AH$509,"&gt;"&amp;AH17)+1)</x:f>
        <x:v>86</x:v>
      </x:c>
      <x:c r="AK17" s="36" t="str">
        <x:f>IF(B17="","Name missing - not scored",IF(OR(NOT(ISNUMBER(G17)),G17&lt;=0),"Investment missing or zero - review",IF(0=1,"Permanent ID missing - reconcile",IF(AND(ISNUMBER(H17),H17/G17&gt;='Score settings'!$B$58,NOT(ISNUMBER(I17))),"Benefit units need review",IF(OR(R17="EXIT",R17="CHALLENGE"),"Waste decision requires scope resolution",IF("Name and organisation matched"&lt;&gt;"Name and organisation matched","Waste evidence match needs review","Provisional source score - confirm evidence"))))))</x:f>
        <x:v>Provisional source score - confirm evidence</x:v>
      </x:c>
      <x:c r="AL17" s="36"/>
      <x:c r="AM17" s="40"/>
      <x:c r="AN17" s="39"/>
      <x:c r="AO17" s="40"/>
      <x:c r="AP17" s="40"/>
    </x:row>
    <x:row r="18" ht="15" hidden="0" customHeight="1">
      <x:c r="A18" s="36" t="str">
        <x:v>Bu-15</x:v>
      </x:c>
      <x:c r="B18" s="37" t="str">
        <x:v>HPM - Sofon Q2O automation</x:v>
      </x:c>
      <x:c r="C18" s="36" t="str">
        <x:v>BU Led</x:v>
      </x:c>
      <x:c r="D18" s="36" t="str">
        <x:v>Monitoring - HPM (MCH)</x:v>
      </x:c>
      <x:c r="E18" s="38" t="n">
        <x:v>0.2</x:v>
      </x:c>
      <x:c r="F18" s="39"/>
      <x:c r="G18" s="38" t="n">
        <x:f>IF(ISNUMBER(F18),F18,IF(E18="","",E18))</x:f>
        <x:v>0.2</x:v>
      </x:c>
      <x:c r="H18" s="38"/>
      <x:c r="I18" s="39"/>
      <x:c r="J18" s="36" t="str">
        <x:v>Cash savings</x:v>
      </x:c>
      <x:c r="K18" s="38" t="str">
        <x:f>IF(ISNUMBER(I18),I18,IF(OR(NOT(ISNUMBER(H18)),NOT(ISNUMBER(G18)),G18&lt;=0),"",IF(H18/G18&gt;='Score settings'!$B$58,"",IF(J18="Cash savings",H18,IF(J18="Revenue",H18*'Score settings'!$B$55,"")))))</x:f>
      </x:c>
      <x:c r="L18" s="36"/>
      <x:c r="M18" s="39"/>
      <x:c r="N18" s="40"/>
      <x:c r="O18" s="36" t="str">
        <x:v>Must Do</x:v>
      </x:c>
      <x:c r="P18" s="36" t="str">
        <x:v>NewTech</x:v>
      </x:c>
      <x:c r="Q18" s="36" t="str">
        <x:v>Productivity</x:v>
      </x:c>
      <x:c r="R18" s="36" t="str">
        <x:v>NotAssessed</x:v>
      </x:c>
      <x:c r="S18" s="36" t="str"/>
      <x:c r="T18" s="36" t="str">
        <x:v>Common pot</x:v>
      </x:c>
      <x:c r="U18" s="41" t="n">
        <x:f>VLOOKUP("Priority|"&amp;O18,'Score settings'!$A$14:$C$43,2,FALSE)/'Score settings'!$B$4*'Score settings'!$C$4</x:f>
        <x:v>25</x:v>
      </x:c>
      <x:c r="V18" s="41" t="n">
        <x:f>VLOOKUP("Category|"&amp;P18,'Score settings'!$A$14:$C$43,2,FALSE)/'Score settings'!$B$5*'Score settings'!$C$5</x:f>
        <x:v>5</x:v>
      </x:c>
      <x:c r="W18" s="41" t="n">
        <x:f>VLOOKUP("Area|"&amp;Q18,'Score settings'!$A$14:$C$43,2,FALSE)/'Score settings'!$B$6*'Score settings'!$C$6</x:f>
        <x:v>10</x:v>
      </x:c>
      <x:c r="X18" s="41" t="n">
        <x:f>VLOOKUP("Benefits|"&amp;IF(AND(ISNUMBER(H18),H18&gt;0,ISNUMBER(G18),G18&gt;0),IF(H18/G18&gt;='Score settings'!$E$17,"3plus",IF(H18/G18&gt;='Score settings'!$E$16,"1.5to3",IF(H18/G18&gt;='Score settings'!$E$15,"0.5to1.5","positive"))),"None"),'Score settings'!$A$14:$C$43,2,FALSE)/'Score settings'!$B$7*'Score settings'!$C$7</x:f>
        <x:v>5</x:v>
      </x:c>
      <x:c r="Y18" s="41" t="n">
        <x:f>VLOOKUP("Waste|"&amp;R18,'Score settings'!$A$14:$C$43,2,FALSE)/'Score settings'!$B$8*'Score settings'!$C$8</x:f>
        <x:v>7</x:v>
      </x:c>
      <x:c r="Z18" s="41" t="n">
        <x:f>IF(B18="","",SUM(U18:Y18))</x:f>
        <x:v>52</x:v>
      </x:c>
      <x:c r="AA18" s="41" t="str">
        <x:f>IF(Z18="","Not scored",VLOOKUP(Z18,'Score settings'!$A$47:$C$50,2,TRUE))</x:f>
        <x:v>Strong</x:v>
      </x:c>
      <x:c r="AB18" s="41" t="n">
        <x:f>VLOOKUP("Priority|"&amp;O18,'Score settings'!$A$14:$C$43,3,FALSE)/'Score settings'!$B$4*'Score settings'!$D$4</x:f>
        <x:v>15</x:v>
      </x:c>
      <x:c r="AC18" s="41" t="n">
        <x:f>VLOOKUP("Category|"&amp;P18,'Score settings'!$A$14:$C$43,3,FALSE)/'Score settings'!$B$5*'Score settings'!$D$5</x:f>
        <x:v>2.5</x:v>
      </x:c>
      <x:c r="AD18" s="41" t="n">
        <x:f>VLOOKUP("Area|"&amp;Q18,'Score settings'!$A$14:$C$43,3,FALSE)/'Score settings'!$B$6*'Score settings'!$D$6</x:f>
        <x:v>6.666666666666666</x:v>
      </x:c>
      <x:c r="AE18" s="41" t="n">
        <x:f>VLOOKUP("Benefits|"&amp;IF(AND(ISNUMBER(K18),K18&gt;0,ISNUMBER(G18),G18&gt;0),IF(K18/G18&gt;='Score settings'!$E$17,"3plus",IF(K18/G18&gt;='Score settings'!$E$16,"1.5to3",IF(K18/G18&gt;='Score settings'!$E$15,"0.5to1.5","positive"))),"None"),'Score settings'!$A$14:$C$43,3,FALSE)/'Score settings'!$B$7*'Score settings'!$D$7</x:f>
        <x:v>0</x:v>
      </x:c>
      <x:c r="AF18" s="41" t="n">
        <x:f>VLOOKUP("Waste|"&amp;R18,'Score settings'!$A$14:$C$43,3,FALSE)/'Score settings'!$B$8*'Score settings'!$D$8</x:f>
        <x:v>0</x:v>
      </x:c>
      <x:c r="AG18" s="41" t="n">
        <x:f>(IF(AND(ISNUMBER(M18),M18&gt;0,ISNUMBER(G18),G18&gt;0),IF(M18/G18&gt;='Score settings'!$E$17,'Score settings'!$G$17,IF(M18/G18&gt;='Score settings'!$E$16,'Score settings'!$G$16,IF(M18/G18&gt;='Score settings'!$E$15,'Score settings'!$G$15,'Score settings'!$G$14))),0)/15*'Score settings'!$B$60+IFERROR(VLOOKUP(IF(ISNUMBER(N18),N18,IF(ISNUMBER(L18),L18,0)),'Score settings'!$E$22:$F$26,2,FALSE),0)/10*'Score settings'!$B$61)/'Score settings'!$B$9*'Score settings'!$D$9</x:f>
        <x:v>0</x:v>
      </x:c>
      <x:c r="AH18" s="41" t="n">
        <x:f>IF(B18="","",SUM(AB18:AG18))</x:f>
        <x:v>24.166666666666664</x:v>
      </x:c>
      <x:c r="AI18" s="41" t="str">
        <x:f>IF(NOT(ISNUMBER(AH18)),"Not scored",VLOOKUP(AH18,'Score settings'!$A$47:$C$50,3,TRUE))</x:f>
        <x:v>Weak</x:v>
      </x:c>
      <x:c r="AJ18" s="42" t="n">
        <x:f>IF(OR(NOT(ISNUMBER(AH18)),T18&lt;&gt;"Common pot"),"",COUNTIFS($T$4:$T$509,"Common pot",$AH$4:$AH$509,"&gt;"&amp;AH18)+1)</x:f>
        <x:v>284</x:v>
      </x:c>
      <x:c r="AK18" s="36" t="str">
        <x:f>IF(B18="","Name missing - not scored",IF(OR(NOT(ISNUMBER(G18)),G18&lt;=0),"Investment missing or zero - review",IF(0=1,"Permanent ID missing - reconcile",IF(AND(ISNUMBER(H18),H18/G18&gt;='Score settings'!$B$58,NOT(ISNUMBER(I18))),"Benefit units need review",IF(OR(R18="EXIT",R18="CHALLENGE"),"Waste decision requires scope resolution",IF("Name and organisation matched"&lt;&gt;"Name and organisation matched","Waste evidence match needs review","Provisional source score - confirm evidence"))))))</x:f>
        <x:v>Provisional source score - confirm evidence</x:v>
      </x:c>
      <x:c r="AL18" s="36"/>
      <x:c r="AM18" s="40"/>
      <x:c r="AN18" s="39"/>
      <x:c r="AO18" s="40"/>
      <x:c r="AP18" s="40"/>
    </x:row>
    <x:row r="19" ht="15" hidden="0" customHeight="1">
      <x:c r="A19" s="36" t="str">
        <x:v>Bu-16</x:v>
      </x:c>
      <x:c r="B19" s="37" t="str">
        <x:v>HPM - AI capabilities</x:v>
      </x:c>
      <x:c r="C19" s="36" t="str">
        <x:v>BU Led</x:v>
      </x:c>
      <x:c r="D19" s="36" t="str">
        <x:v>Monitoring - HPM (MCH)</x:v>
      </x:c>
      <x:c r="E19" s="38" t="n">
        <x:v>0.5</x:v>
      </x:c>
      <x:c r="F19" s="39"/>
      <x:c r="G19" s="38" t="n">
        <x:f>IF(ISNUMBER(F19),F19,IF(E19="","",E19))</x:f>
        <x:v>0.5</x:v>
      </x:c>
      <x:c r="H19" s="38"/>
      <x:c r="I19" s="39"/>
      <x:c r="J19" s="36" t="str">
        <x:v>Cash savings</x:v>
      </x:c>
      <x:c r="K19" s="38" t="str">
        <x:f>IF(ISNUMBER(I19),I19,IF(OR(NOT(ISNUMBER(H19)),NOT(ISNUMBER(G19)),G19&lt;=0),"",IF(H19/G19&gt;='Score settings'!$B$58,"",IF(J19="Cash savings",H19,IF(J19="Revenue",H19*'Score settings'!$B$55,"")))))</x:f>
      </x:c>
      <x:c r="L19" s="36"/>
      <x:c r="M19" s="39"/>
      <x:c r="N19" s="40"/>
      <x:c r="O19" s="36" t="str">
        <x:v>Must Do</x:v>
      </x:c>
      <x:c r="P19" s="36" t="str">
        <x:v>NewFeat</x:v>
      </x:c>
      <x:c r="Q19" s="36" t="str">
        <x:v>Productivity</x:v>
      </x:c>
      <x:c r="R19" s="36" t="str">
        <x:v>NotAssessed</x:v>
      </x:c>
      <x:c r="S19" s="36" t="str"/>
      <x:c r="T19" s="36" t="str">
        <x:v>Common pot</x:v>
      </x:c>
      <x:c r="U19" s="41" t="n">
        <x:f>VLOOKUP("Priority|"&amp;O19,'Score settings'!$A$14:$C$43,2,FALSE)/'Score settings'!$B$4*'Score settings'!$C$4</x:f>
        <x:v>25</x:v>
      </x:c>
      <x:c r="V19" s="41" t="n">
        <x:f>VLOOKUP("Category|"&amp;P19,'Score settings'!$A$14:$C$43,2,FALSE)/'Score settings'!$B$5*'Score settings'!$C$5</x:f>
        <x:v>6</x:v>
      </x:c>
      <x:c r="W19" s="41" t="n">
        <x:f>VLOOKUP("Area|"&amp;Q19,'Score settings'!$A$14:$C$43,2,FALSE)/'Score settings'!$B$6*'Score settings'!$C$6</x:f>
        <x:v>10</x:v>
      </x:c>
      <x:c r="X19" s="41" t="n">
        <x:f>VLOOKUP("Benefits|"&amp;IF(AND(ISNUMBER(H19),H19&gt;0,ISNUMBER(G19),G19&gt;0),IF(H19/G19&gt;='Score settings'!$E$17,"3plus",IF(H19/G19&gt;='Score settings'!$E$16,"1.5to3",IF(H19/G19&gt;='Score settings'!$E$15,"0.5to1.5","positive"))),"None"),'Score settings'!$A$14:$C$43,2,FALSE)/'Score settings'!$B$7*'Score settings'!$C$7</x:f>
        <x:v>5</x:v>
      </x:c>
      <x:c r="Y19" s="41" t="n">
        <x:f>VLOOKUP("Waste|"&amp;R19,'Score settings'!$A$14:$C$43,2,FALSE)/'Score settings'!$B$8*'Score settings'!$C$8</x:f>
        <x:v>7</x:v>
      </x:c>
      <x:c r="Z19" s="41" t="n">
        <x:f>IF(B19="","",SUM(U19:Y19))</x:f>
        <x:v>53</x:v>
      </x:c>
      <x:c r="AA19" s="41" t="str">
        <x:f>IF(Z19="","Not scored",VLOOKUP(Z19,'Score settings'!$A$47:$C$50,2,TRUE))</x:f>
        <x:v>Strong</x:v>
      </x:c>
      <x:c r="AB19" s="41" t="n">
        <x:f>VLOOKUP("Priority|"&amp;O19,'Score settings'!$A$14:$C$43,3,FALSE)/'Score settings'!$B$4*'Score settings'!$D$4</x:f>
        <x:v>15</x:v>
      </x:c>
      <x:c r="AC19" s="41" t="n">
        <x:f>VLOOKUP("Category|"&amp;P19,'Score settings'!$A$14:$C$43,3,FALSE)/'Score settings'!$B$5*'Score settings'!$D$5</x:f>
        <x:v>3</x:v>
      </x:c>
      <x:c r="AD19" s="41" t="n">
        <x:f>VLOOKUP("Area|"&amp;Q19,'Score settings'!$A$14:$C$43,3,FALSE)/'Score settings'!$B$6*'Score settings'!$D$6</x:f>
        <x:v>6.666666666666666</x:v>
      </x:c>
      <x:c r="AE19" s="41" t="n">
        <x:f>VLOOKUP("Benefits|"&amp;IF(AND(ISNUMBER(K19),K19&gt;0,ISNUMBER(G19),G19&gt;0),IF(K19/G19&gt;='Score settings'!$E$17,"3plus",IF(K19/G19&gt;='Score settings'!$E$16,"1.5to3",IF(K19/G19&gt;='Score settings'!$E$15,"0.5to1.5","positive"))),"None"),'Score settings'!$A$14:$C$43,3,FALSE)/'Score settings'!$B$7*'Score settings'!$D$7</x:f>
        <x:v>0</x:v>
      </x:c>
      <x:c r="AF19" s="41" t="n">
        <x:f>VLOOKUP("Waste|"&amp;R19,'Score settings'!$A$14:$C$43,3,FALSE)/'Score settings'!$B$8*'Score settings'!$D$8</x:f>
        <x:v>0</x:v>
      </x:c>
      <x:c r="AG19" s="41" t="n">
        <x:f>(IF(AND(ISNUMBER(M19),M19&gt;0,ISNUMBER(G19),G19&gt;0),IF(M19/G19&gt;='Score settings'!$E$17,'Score settings'!$G$17,IF(M19/G19&gt;='Score settings'!$E$16,'Score settings'!$G$16,IF(M19/G19&gt;='Score settings'!$E$15,'Score settings'!$G$15,'Score settings'!$G$14))),0)/15*'Score settings'!$B$60+IFERROR(VLOOKUP(IF(ISNUMBER(N19),N19,IF(ISNUMBER(L19),L19,0)),'Score settings'!$E$22:$F$26,2,FALSE),0)/10*'Score settings'!$B$61)/'Score settings'!$B$9*'Score settings'!$D$9</x:f>
        <x:v>0</x:v>
      </x:c>
      <x:c r="AH19" s="41" t="n">
        <x:f>IF(B19="","",SUM(AB19:AG19))</x:f>
        <x:v>24.666666666666664</x:v>
      </x:c>
      <x:c r="AI19" s="41" t="str">
        <x:f>IF(NOT(ISNUMBER(AH19)),"Not scored",VLOOKUP(AH19,'Score settings'!$A$47:$C$50,3,TRUE))</x:f>
        <x:v>Weak</x:v>
      </x:c>
      <x:c r="AJ19" s="42" t="n">
        <x:f>IF(OR(NOT(ISNUMBER(AH19)),T19&lt;&gt;"Common pot"),"",COUNTIFS($T$4:$T$509,"Common pot",$AH$4:$AH$509,"&gt;"&amp;AH19)+1)</x:f>
        <x:v>280</x:v>
      </x:c>
      <x:c r="AK19" s="36" t="str">
        <x:f>IF(B19="","Name missing - not scored",IF(OR(NOT(ISNUMBER(G19)),G19&lt;=0),"Investment missing or zero - review",IF(0=1,"Permanent ID missing - reconcile",IF(AND(ISNUMBER(H19),H19/G19&gt;='Score settings'!$B$58,NOT(ISNUMBER(I19))),"Benefit units need review",IF(OR(R19="EXIT",R19="CHALLENGE"),"Waste decision requires scope resolution",IF("Name and organisation matched"&lt;&gt;"Name and organisation matched","Waste evidence match needs review","Provisional source score - confirm evidence"))))))</x:f>
        <x:v>Provisional source score - confirm evidence</x:v>
      </x:c>
      <x:c r="AL19" s="36"/>
      <x:c r="AM19" s="40"/>
      <x:c r="AN19" s="39"/>
      <x:c r="AO19" s="40"/>
      <x:c r="AP19" s="40"/>
    </x:row>
    <x:row r="20" ht="15" hidden="0" customHeight="1">
      <x:c r="A20" s="36" t="str">
        <x:v>Bu-17</x:v>
      </x:c>
      <x:c r="B20" s="37" t="str">
        <x:v>NAR Contract Execution and Compliance</x:v>
      </x:c>
      <x:c r="C20" s="36" t="str">
        <x:v>BU Led</x:v>
      </x:c>
      <x:c r="D20" s="36" t="str">
        <x:v>North America (NAR)</x:v>
      </x:c>
      <x:c r="E20" s="38" t="n">
        <x:v>0</x:v>
      </x:c>
      <x:c r="F20" s="39"/>
      <x:c r="G20" s="38" t="str">
        <x:f>IF(ISNUMBER(F20),F20,IF(E20="","",E20))</x:f>
      </x:c>
      <x:c r="H20" s="38"/>
      <x:c r="I20" s="39"/>
      <x:c r="J20" s="36" t="str">
        <x:v>Revenue</x:v>
      </x:c>
      <x:c r="K20" s="38" t="str">
        <x:f>IF(ISNUMBER(I20),I20,IF(OR(NOT(ISNUMBER(H20)),NOT(ISNUMBER(G20)),G20&lt;=0),"",IF(H20/G20&gt;='Score settings'!$B$58,"",IF(J20="Cash savings",H20,IF(J20="Revenue",H20*'Score settings'!$B$55,"")))))</x:f>
      </x:c>
      <x:c r="L20" s="36"/>
      <x:c r="M20" s="39"/>
      <x:c r="N20" s="40"/>
      <x:c r="O20" s="36" t="str">
        <x:v>Depri</x:v>
      </x:c>
      <x:c r="P20" s="36" t="str">
        <x:v>NewTech</x:v>
      </x:c>
      <x:c r="Q20" s="36" t="str">
        <x:v>Revenue</x:v>
      </x:c>
      <x:c r="R20" s="36" t="str">
        <x:v>NotAssessed</x:v>
      </x:c>
      <x:c r="S20" s="36" t="str"/>
      <x:c r="T20" s="36" t="str">
        <x:v>Region candidate</x:v>
      </x:c>
      <x:c r="U20" s="41" t="n">
        <x:f>VLOOKUP("Priority|"&amp;O20,'Score settings'!$A$14:$C$43,2,FALSE)/'Score settings'!$B$4*'Score settings'!$C$4</x:f>
        <x:v>5</x:v>
      </x:c>
      <x:c r="V20" s="41" t="n">
        <x:f>VLOOKUP("Category|"&amp;P20,'Score settings'!$A$14:$C$43,2,FALSE)/'Score settings'!$B$5*'Score settings'!$C$5</x:f>
        <x:v>5</x:v>
      </x:c>
      <x:c r="W20" s="41" t="n">
        <x:f>VLOOKUP("Area|"&amp;Q20,'Score settings'!$A$14:$C$43,2,FALSE)/'Score settings'!$B$6*'Score settings'!$C$6</x:f>
        <x:v>11</x:v>
      </x:c>
      <x:c r="X20" s="41" t="n">
        <x:f>VLOOKUP("Benefits|"&amp;IF(AND(ISNUMBER(H20),H20&gt;0,ISNUMBER(G20),G20&gt;0),IF(H20/G20&gt;='Score settings'!$E$17,"3plus",IF(H20/G20&gt;='Score settings'!$E$16,"1.5to3",IF(H20/G20&gt;='Score settings'!$E$15,"0.5to1.5","positive"))),"None"),'Score settings'!$A$14:$C$43,2,FALSE)/'Score settings'!$B$7*'Score settings'!$C$7</x:f>
        <x:v>5</x:v>
      </x:c>
      <x:c r="Y20" s="41" t="n">
        <x:f>VLOOKUP("Waste|"&amp;R20,'Score settings'!$A$14:$C$43,2,FALSE)/'Score settings'!$B$8*'Score settings'!$C$8</x:f>
        <x:v>7</x:v>
      </x:c>
      <x:c r="Z20" s="41" t="n">
        <x:f>IF(B20="","",SUM(U20:Y20))</x:f>
        <x:v>33</x:v>
      </x:c>
      <x:c r="AA20" s="41" t="str">
        <x:f>IF(Z20="","Not scored",VLOOKUP(Z20,'Score settings'!$A$47:$C$50,2,TRUE))</x:f>
        <x:v>Discretionary</x:v>
      </x:c>
      <x:c r="AB20" s="41" t="n">
        <x:f>VLOOKUP("Priority|"&amp;O20,'Score settings'!$A$14:$C$43,3,FALSE)/'Score settings'!$B$4*'Score settings'!$D$4</x:f>
        <x:v>3</x:v>
      </x:c>
      <x:c r="AC20" s="41" t="n">
        <x:f>VLOOKUP("Category|"&amp;P20,'Score settings'!$A$14:$C$43,3,FALSE)/'Score settings'!$B$5*'Score settings'!$D$5</x:f>
        <x:v>2.5</x:v>
      </x:c>
      <x:c r="AD20" s="41" t="n">
        <x:f>VLOOKUP("Area|"&amp;Q20,'Score settings'!$A$14:$C$43,3,FALSE)/'Score settings'!$B$6*'Score settings'!$D$6</x:f>
        <x:v>7.333333333333333</x:v>
      </x:c>
      <x:c r="AE20" s="41" t="n">
        <x:f>VLOOKUP("Benefits|"&amp;IF(AND(ISNUMBER(K20),K20&gt;0,ISNUMBER(G20),G20&gt;0),IF(K20/G20&gt;='Score settings'!$E$17,"3plus",IF(K20/G20&gt;='Score settings'!$E$16,"1.5to3",IF(K20/G20&gt;='Score settings'!$E$15,"0.5to1.5","positive"))),"None"),'Score settings'!$A$14:$C$43,3,FALSE)/'Score settings'!$B$7*'Score settings'!$D$7</x:f>
        <x:v>0</x:v>
      </x:c>
      <x:c r="AF20" s="41" t="n">
        <x:f>VLOOKUP("Waste|"&amp;R20,'Score settings'!$A$14:$C$43,3,FALSE)/'Score settings'!$B$8*'Score settings'!$D$8</x:f>
        <x:v>0</x:v>
      </x:c>
      <x:c r="AG20" s="41" t="n">
        <x:f>(IF(AND(ISNUMBER(M20),M20&gt;0,ISNUMBER(G20),G20&gt;0),IF(M20/G20&gt;='Score settings'!$E$17,'Score settings'!$G$17,IF(M20/G20&gt;='Score settings'!$E$16,'Score settings'!$G$16,IF(M20/G20&gt;='Score settings'!$E$15,'Score settings'!$G$15,'Score settings'!$G$14))),0)/15*'Score settings'!$B$60+IFERROR(VLOOKUP(IF(ISNUMBER(N20),N20,IF(ISNUMBER(L20),L20,0)),'Score settings'!$E$22:$F$26,2,FALSE),0)/10*'Score settings'!$B$61)/'Score settings'!$B$9*'Score settings'!$D$9</x:f>
        <x:v>0</x:v>
      </x:c>
      <x:c r="AH20" s="41" t="n">
        <x:f>IF(B20="","",SUM(AB20:AG20))</x:f>
        <x:v>12.833333333333332</x:v>
      </x:c>
      <x:c r="AI20" s="41" t="str">
        <x:f>IF(NOT(ISNUMBER(AH20)),"Not scored",VLOOKUP(AH20,'Score settings'!$A$47:$C$50,3,TRUE))</x:f>
        <x:v>Weak</x:v>
      </x:c>
      <x:c r="AJ20" s="42" t="str">
        <x:f>IF(OR(NOT(ISNUMBER(AH20)),T20&lt;&gt;"Common pot"),"",COUNTIFS($T$4:$T$509,"Common pot",$AH$4:$AH$509,"&gt;"&amp;AH20)+1)</x:f>
      </x:c>
      <x:c r="AK20" s="36" t="str">
        <x:f>IF(B20="","Name missing - not scored",IF(OR(NOT(ISNUMBER(G20)),G20&lt;=0),"Investment missing or zero - review",IF(0=1,"Permanent ID missing - reconcile",IF(AND(ISNUMBER(H20),H20/G20&gt;='Score settings'!$B$58,NOT(ISNUMBER(I20))),"Benefit units need review",IF(OR(R20="EXIT",R20="CHALLENGE"),"Waste decision requires scope resolution",IF("Name and organisation matched"&lt;&gt;"Name and organisation matched","Waste evidence match needs review","Provisional source score - confirm evidence"))))))</x:f>
        <x:v>Investment missing or zero - review</x:v>
      </x:c>
      <x:c r="AL20" s="36"/>
      <x:c r="AM20" s="40"/>
      <x:c r="AN20" s="39"/>
      <x:c r="AO20" s="40"/>
      <x:c r="AP20" s="40"/>
    </x:row>
    <x:row r="21" ht="15" hidden="0" customHeight="1">
      <x:c r="A21" s="36" t="str">
        <x:v>Bu-18</x:v>
      </x:c>
      <x:c r="B21" s="37" t="str">
        <x:v>06. Unlocking Digital Marketplaces: Expansion for future growth</x:v>
      </x:c>
      <x:c r="C21" s="36" t="str">
        <x:v>BU Led</x:v>
      </x:c>
      <x:c r="D21" s="36" t="str">
        <x:v>Personal Health (PH)</x:v>
      </x:c>
      <x:c r="E21" s="38" t="n">
        <x:v>0.2</x:v>
      </x:c>
      <x:c r="F21" s="39"/>
      <x:c r="G21" s="38" t="n">
        <x:f>IF(ISNUMBER(F21),F21,IF(E21="","",E21))</x:f>
        <x:v>0.2</x:v>
      </x:c>
      <x:c r="H21" s="38" t="n">
        <x:v>0.239</x:v>
      </x:c>
      <x:c r="I21" s="39"/>
      <x:c r="J21" s="36" t="str">
        <x:v>Revenue</x:v>
      </x:c>
      <x:c r="K21" s="38" t="n">
        <x:f>IF(ISNUMBER(I21),I21,IF(OR(NOT(ISNUMBER(H21)),NOT(ISNUMBER(G21)),G21&lt;=0),"",IF(H21/G21&gt;='Score settings'!$B$58,"",IF(J21="Cash savings",H21,IF(J21="Revenue",H21*'Score settings'!$B$55,"")))))</x:f>
        <x:v>0.03585</x:v>
      </x:c>
      <x:c r="L21" s="36"/>
      <x:c r="M21" s="39"/>
      <x:c r="N21" s="40"/>
      <x:c r="O21" s="36" t="str">
        <x:v>Must Do</x:v>
      </x:c>
      <x:c r="P21" s="36" t="str">
        <x:v>CI</x:v>
      </x:c>
      <x:c r="Q21" s="36" t="str">
        <x:v>Revenue</x:v>
      </x:c>
      <x:c r="R21" s="36" t="str">
        <x:v>NotAssessed</x:v>
      </x:c>
      <x:c r="S21" s="36" t="str"/>
      <x:c r="T21" s="36" t="str">
        <x:v>Common pot</x:v>
      </x:c>
      <x:c r="U21" s="41" t="n">
        <x:f>VLOOKUP("Priority|"&amp;O21,'Score settings'!$A$14:$C$43,2,FALSE)/'Score settings'!$B$4*'Score settings'!$C$4</x:f>
        <x:v>25</x:v>
      </x:c>
      <x:c r="V21" s="41" t="n">
        <x:f>VLOOKUP("Category|"&amp;P21,'Score settings'!$A$14:$C$43,2,FALSE)/'Score settings'!$B$5*'Score settings'!$C$5</x:f>
        <x:v>8</x:v>
      </x:c>
      <x:c r="W21" s="41" t="n">
        <x:f>VLOOKUP("Area|"&amp;Q21,'Score settings'!$A$14:$C$43,2,FALSE)/'Score settings'!$B$6*'Score settings'!$C$6</x:f>
        <x:v>11</x:v>
      </x:c>
      <x:c r="X21" s="41" t="n">
        <x:f>VLOOKUP("Benefits|"&amp;IF(AND(ISNUMBER(H21),H21&gt;0,ISNUMBER(G21),G21&gt;0),IF(H21/G21&gt;='Score settings'!$E$17,"3plus",IF(H21/G21&gt;='Score settings'!$E$16,"1.5to3",IF(H21/G21&gt;='Score settings'!$E$15,"0.5to1.5","positive"))),"None"),'Score settings'!$A$14:$C$43,2,FALSE)/'Score settings'!$B$7*'Score settings'!$C$7</x:f>
        <x:v>15</x:v>
      </x:c>
      <x:c r="Y21" s="41" t="n">
        <x:f>VLOOKUP("Waste|"&amp;R21,'Score settings'!$A$14:$C$43,2,FALSE)/'Score settings'!$B$8*'Score settings'!$C$8</x:f>
        <x:v>7</x:v>
      </x:c>
      <x:c r="Z21" s="41" t="n">
        <x:f>IF(B21="","",SUM(U21:Y21))</x:f>
        <x:v>66</x:v>
      </x:c>
      <x:c r="AA21" s="41" t="str">
        <x:f>IF(Z21="","Not scored",VLOOKUP(Z21,'Score settings'!$A$47:$C$50,2,TRUE))</x:f>
        <x:v>Protected</x:v>
      </x:c>
      <x:c r="AB21" s="41" t="n">
        <x:f>VLOOKUP("Priority|"&amp;O21,'Score settings'!$A$14:$C$43,3,FALSE)/'Score settings'!$B$4*'Score settings'!$D$4</x:f>
        <x:v>15</x:v>
      </x:c>
      <x:c r="AC21" s="41" t="n">
        <x:f>VLOOKUP("Category|"&amp;P21,'Score settings'!$A$14:$C$43,3,FALSE)/'Score settings'!$B$5*'Score settings'!$D$5</x:f>
        <x:v>4</x:v>
      </x:c>
      <x:c r="AD21" s="41" t="n">
        <x:f>VLOOKUP("Area|"&amp;Q21,'Score settings'!$A$14:$C$43,3,FALSE)/'Score settings'!$B$6*'Score settings'!$D$6</x:f>
        <x:v>7.333333333333333</x:v>
      </x:c>
      <x:c r="AE21" s="41" t="n">
        <x:f>VLOOKUP("Benefits|"&amp;IF(AND(ISNUMBER(K21),K21&gt;0,ISNUMBER(G21),G21&gt;0),IF(K21/G21&gt;='Score settings'!$E$17,"3plus",IF(K21/G21&gt;='Score settings'!$E$16,"1.5to3",IF(K21/G21&gt;='Score settings'!$E$15,"0.5to1.5","positive"))),"None"),'Score settings'!$A$14:$C$43,3,FALSE)/'Score settings'!$B$7*'Score settings'!$D$7</x:f>
        <x:v>12</x:v>
      </x:c>
      <x:c r="AF21" s="41" t="n">
        <x:f>VLOOKUP("Waste|"&amp;R21,'Score settings'!$A$14:$C$43,3,FALSE)/'Score settings'!$B$8*'Score settings'!$D$8</x:f>
        <x:v>0</x:v>
      </x:c>
      <x:c r="AG21" s="41" t="n">
        <x:f>(IF(AND(ISNUMBER(M21),M21&gt;0,ISNUMBER(G21),G21&gt;0),IF(M21/G21&gt;='Score settings'!$E$17,'Score settings'!$G$17,IF(M21/G21&gt;='Score settings'!$E$16,'Score settings'!$G$16,IF(M21/G21&gt;='Score settings'!$E$15,'Score settings'!$G$15,'Score settings'!$G$14))),0)/15*'Score settings'!$B$60+IFERROR(VLOOKUP(IF(ISNUMBER(N21),N21,IF(ISNUMBER(L21),L21,0)),'Score settings'!$E$22:$F$26,2,FALSE),0)/10*'Score settings'!$B$61)/'Score settings'!$B$9*'Score settings'!$D$9</x:f>
        <x:v>0</x:v>
      </x:c>
      <x:c r="AH21" s="41" t="n">
        <x:f>IF(B21="","",SUM(AB21:AG21))</x:f>
        <x:v>38.33333333333333</x:v>
      </x:c>
      <x:c r="AI21" s="41" t="str">
        <x:f>IF(NOT(ISNUMBER(AH21)),"Not scored",VLOOKUP(AH21,'Score settings'!$A$47:$C$50,3,TRUE))</x:f>
        <x:v>Discretionary</x:v>
      </x:c>
      <x:c r="AJ21" s="42" t="n">
        <x:f>IF(OR(NOT(ISNUMBER(AH21)),T21&lt;&gt;"Common pot"),"",COUNTIFS($T$4:$T$509,"Common pot",$AH$4:$AH$509,"&gt;"&amp;AH21)+1)</x:f>
        <x:v>110</x:v>
      </x:c>
      <x:c r="AK21" s="36" t="str">
        <x:f>IF(B21="","Name missing - not scored",IF(OR(NOT(ISNUMBER(G21)),G21&lt;=0),"Investment missing or zero - review",IF(0=1,"Permanent ID missing - reconcile",IF(AND(ISNUMBER(H21),H21/G21&gt;='Score settings'!$B$58,NOT(ISNUMBER(I21))),"Benefit units need review",IF(OR(R21="EXIT",R21="CHALLENGE"),"Waste decision requires scope resolution",IF("Name and organisation matched"&lt;&gt;"Name and organisation matched","Waste evidence match needs review","Provisional source score - confirm evidence"))))))</x:f>
        <x:v>Provisional source score - confirm evidence</x:v>
      </x:c>
      <x:c r="AL21" s="36"/>
      <x:c r="AM21" s="40"/>
      <x:c r="AN21" s="39"/>
      <x:c r="AO21" s="40"/>
      <x:c r="AP21" s="40"/>
    </x:row>
    <x:row r="22" ht="15" hidden="0" customHeight="1">
      <x:c r="A22" s="36" t="str">
        <x:v>Bu-19</x:v>
      </x:c>
      <x:c r="B22" s="37" t="str">
        <x:v>01. Unleashing the power of Subscriptions </x:v>
      </x:c>
      <x:c r="C22" s="36" t="str">
        <x:v>BU Led</x:v>
      </x:c>
      <x:c r="D22" s="36" t="str">
        <x:v>Personal Health (PH)</x:v>
      </x:c>
      <x:c r="E22" s="38" t="n">
        <x:v>0.1</x:v>
      </x:c>
      <x:c r="F22" s="39"/>
      <x:c r="G22" s="38" t="n">
        <x:f>IF(ISNUMBER(F22),F22,IF(E22="","",E22))</x:f>
        <x:v>0.1</x:v>
      </x:c>
      <x:c r="H22" s="38" t="n">
        <x:v>0.113</x:v>
      </x:c>
      <x:c r="I22" s="39"/>
      <x:c r="J22" s="36" t="str">
        <x:v>Revenue</x:v>
      </x:c>
      <x:c r="K22" s="38" t="n">
        <x:f>IF(ISNUMBER(I22),I22,IF(OR(NOT(ISNUMBER(H22)),NOT(ISNUMBER(G22)),G22&lt;=0),"",IF(H22/G22&gt;='Score settings'!$B$58,"",IF(J22="Cash savings",H22,IF(J22="Revenue",H22*'Score settings'!$B$55,"")))))</x:f>
        <x:v>0.01695</x:v>
      </x:c>
      <x:c r="L22" s="36"/>
      <x:c r="M22" s="39"/>
      <x:c r="N22" s="40"/>
      <x:c r="O22" s="36" t="str">
        <x:v>Must Do</x:v>
      </x:c>
      <x:c r="P22" s="36" t="str">
        <x:v>CI</x:v>
      </x:c>
      <x:c r="Q22" s="36" t="str">
        <x:v>Revenue</x:v>
      </x:c>
      <x:c r="R22" s="36" t="str">
        <x:v>NotAssessed</x:v>
      </x:c>
      <x:c r="S22" s="36" t="str"/>
      <x:c r="T22" s="36" t="str">
        <x:v>Common pot</x:v>
      </x:c>
      <x:c r="U22" s="41" t="n">
        <x:f>VLOOKUP("Priority|"&amp;O22,'Score settings'!$A$14:$C$43,2,FALSE)/'Score settings'!$B$4*'Score settings'!$C$4</x:f>
        <x:v>25</x:v>
      </x:c>
      <x:c r="V22" s="41" t="n">
        <x:f>VLOOKUP("Category|"&amp;P22,'Score settings'!$A$14:$C$43,2,FALSE)/'Score settings'!$B$5*'Score settings'!$C$5</x:f>
        <x:v>8</x:v>
      </x:c>
      <x:c r="W22" s="41" t="n">
        <x:f>VLOOKUP("Area|"&amp;Q22,'Score settings'!$A$14:$C$43,2,FALSE)/'Score settings'!$B$6*'Score settings'!$C$6</x:f>
        <x:v>11</x:v>
      </x:c>
      <x:c r="X22" s="41" t="n">
        <x:f>VLOOKUP("Benefits|"&amp;IF(AND(ISNUMBER(H22),H22&gt;0,ISNUMBER(G22),G22&gt;0),IF(H22/G22&gt;='Score settings'!$E$17,"3plus",IF(H22/G22&gt;='Score settings'!$E$16,"1.5to3",IF(H22/G22&gt;='Score settings'!$E$15,"0.5to1.5","positive"))),"None"),'Score settings'!$A$14:$C$43,2,FALSE)/'Score settings'!$B$7*'Score settings'!$C$7</x:f>
        <x:v>15</x:v>
      </x:c>
      <x:c r="Y22" s="41" t="n">
        <x:f>VLOOKUP("Waste|"&amp;R22,'Score settings'!$A$14:$C$43,2,FALSE)/'Score settings'!$B$8*'Score settings'!$C$8</x:f>
        <x:v>7</x:v>
      </x:c>
      <x:c r="Z22" s="41" t="n">
        <x:f>IF(B22="","",SUM(U22:Y22))</x:f>
        <x:v>66</x:v>
      </x:c>
      <x:c r="AA22" s="41" t="str">
        <x:f>IF(Z22="","Not scored",VLOOKUP(Z22,'Score settings'!$A$47:$C$50,2,TRUE))</x:f>
        <x:v>Protected</x:v>
      </x:c>
      <x:c r="AB22" s="41" t="n">
        <x:f>VLOOKUP("Priority|"&amp;O22,'Score settings'!$A$14:$C$43,3,FALSE)/'Score settings'!$B$4*'Score settings'!$D$4</x:f>
        <x:v>15</x:v>
      </x:c>
      <x:c r="AC22" s="41" t="n">
        <x:f>VLOOKUP("Category|"&amp;P22,'Score settings'!$A$14:$C$43,3,FALSE)/'Score settings'!$B$5*'Score settings'!$D$5</x:f>
        <x:v>4</x:v>
      </x:c>
      <x:c r="AD22" s="41" t="n">
        <x:f>VLOOKUP("Area|"&amp;Q22,'Score settings'!$A$14:$C$43,3,FALSE)/'Score settings'!$B$6*'Score settings'!$D$6</x:f>
        <x:v>7.333333333333333</x:v>
      </x:c>
      <x:c r="AE22" s="41" t="n">
        <x:f>VLOOKUP("Benefits|"&amp;IF(AND(ISNUMBER(K22),K22&gt;0,ISNUMBER(G22),G22&gt;0),IF(K22/G22&gt;='Score settings'!$E$17,"3plus",IF(K22/G22&gt;='Score settings'!$E$16,"1.5to3",IF(K22/G22&gt;='Score settings'!$E$15,"0.5to1.5","positive"))),"None"),'Score settings'!$A$14:$C$43,3,FALSE)/'Score settings'!$B$7*'Score settings'!$D$7</x:f>
        <x:v>12</x:v>
      </x:c>
      <x:c r="AF22" s="41" t="n">
        <x:f>VLOOKUP("Waste|"&amp;R22,'Score settings'!$A$14:$C$43,3,FALSE)/'Score settings'!$B$8*'Score settings'!$D$8</x:f>
        <x:v>0</x:v>
      </x:c>
      <x:c r="AG22" s="41" t="n">
        <x:f>(IF(AND(ISNUMBER(M22),M22&gt;0,ISNUMBER(G22),G22&gt;0),IF(M22/G22&gt;='Score settings'!$E$17,'Score settings'!$G$17,IF(M22/G22&gt;='Score settings'!$E$16,'Score settings'!$G$16,IF(M22/G22&gt;='Score settings'!$E$15,'Score settings'!$G$15,'Score settings'!$G$14))),0)/15*'Score settings'!$B$60+IFERROR(VLOOKUP(IF(ISNUMBER(N22),N22,IF(ISNUMBER(L22),L22,0)),'Score settings'!$E$22:$F$26,2,FALSE),0)/10*'Score settings'!$B$61)/'Score settings'!$B$9*'Score settings'!$D$9</x:f>
        <x:v>0</x:v>
      </x:c>
      <x:c r="AH22" s="41" t="n">
        <x:f>IF(B22="","",SUM(AB22:AG22))</x:f>
        <x:v>38.33333333333333</x:v>
      </x:c>
      <x:c r="AI22" s="41" t="str">
        <x:f>IF(NOT(ISNUMBER(AH22)),"Not scored",VLOOKUP(AH22,'Score settings'!$A$47:$C$50,3,TRUE))</x:f>
        <x:v>Discretionary</x:v>
      </x:c>
      <x:c r="AJ22" s="42" t="n">
        <x:f>IF(OR(NOT(ISNUMBER(AH22)),T22&lt;&gt;"Common pot"),"",COUNTIFS($T$4:$T$509,"Common pot",$AH$4:$AH$509,"&gt;"&amp;AH22)+1)</x:f>
        <x:v>110</x:v>
      </x:c>
      <x:c r="AK22" s="36" t="str">
        <x:f>IF(B22="","Name missing - not scored",IF(OR(NOT(ISNUMBER(G22)),G22&lt;=0),"Investment missing or zero - review",IF(0=1,"Permanent ID missing - reconcile",IF(AND(ISNUMBER(H22),H22/G22&gt;='Score settings'!$B$58,NOT(ISNUMBER(I22))),"Benefit units need review",IF(OR(R22="EXIT",R22="CHALLENGE"),"Waste decision requires scope resolution",IF("Name and organisation matched"&lt;&gt;"Name and organisation matched","Waste evidence match needs review","Provisional source score - confirm evidence"))))))</x:f>
        <x:v>Provisional source score - confirm evidence</x:v>
      </x:c>
      <x:c r="AL22" s="36"/>
      <x:c r="AM22" s="40"/>
      <x:c r="AN22" s="39"/>
      <x:c r="AO22" s="40"/>
      <x:c r="AP22" s="40"/>
    </x:row>
    <x:row r="23" ht="15" hidden="0" customHeight="1">
      <x:c r="A23" s="36" t="str">
        <x:v>Bu-20</x:v>
      </x:c>
      <x:c r="B23" s="37" t="str">
        <x:v>17.2 GCS/WCMS replacement</x:v>
      </x:c>
      <x:c r="C23" s="36" t="str">
        <x:v>BU Led</x:v>
      </x:c>
      <x:c r="D23" s="36" t="str">
        <x:v>Personal Health (PH)</x:v>
      </x:c>
      <x:c r="E23" s="38" t="n">
        <x:v>0.25</x:v>
      </x:c>
      <x:c r="F23" s="39"/>
      <x:c r="G23" s="38" t="n">
        <x:f>IF(ISNUMBER(F23),F23,IF(E23="","",E23))</x:f>
        <x:v>0.25</x:v>
      </x:c>
      <x:c r="H23" s="38"/>
      <x:c r="I23" s="39"/>
      <x:c r="J23" s="36" t="str">
        <x:v>Risk exposure</x:v>
      </x:c>
      <x:c r="K23" s="38" t="str">
        <x:f>IF(ISNUMBER(I23),I23,IF(OR(NOT(ISNUMBER(H23)),NOT(ISNUMBER(G23)),G23&lt;=0),"",IF(H23/G23&gt;='Score settings'!$B$58,"",IF(J23="Cash savings",H23,IF(J23="Revenue",H23*'Score settings'!$B$55,"")))))</x:f>
      </x:c>
      <x:c r="L23" s="36"/>
      <x:c r="M23" s="39"/>
      <x:c r="N23" s="40"/>
      <x:c r="O23" s="36" t="str">
        <x:v>Must Do</x:v>
      </x:c>
      <x:c r="P23" s="36" t="str">
        <x:v>NewTech</x:v>
      </x:c>
      <x:c r="Q23" s="36" t="str">
        <x:v>Compliance</x:v>
      </x:c>
      <x:c r="R23" s="36" t="str">
        <x:v>NotAssessed</x:v>
      </x:c>
      <x:c r="S23" s="36" t="str"/>
      <x:c r="T23" s="36" t="str">
        <x:v>Common pot</x:v>
      </x:c>
      <x:c r="U23" s="41" t="n">
        <x:f>VLOOKUP("Priority|"&amp;O23,'Score settings'!$A$14:$C$43,2,FALSE)/'Score settings'!$B$4*'Score settings'!$C$4</x:f>
        <x:v>25</x:v>
      </x:c>
      <x:c r="V23" s="41" t="n">
        <x:f>VLOOKUP("Category|"&amp;P23,'Score settings'!$A$14:$C$43,2,FALSE)/'Score settings'!$B$5*'Score settings'!$C$5</x:f>
        <x:v>5</x:v>
      </x:c>
      <x:c r="W23" s="41" t="n">
        <x:f>VLOOKUP("Area|"&amp;Q23,'Score settings'!$A$14:$C$43,2,FALSE)/'Score settings'!$B$6*'Score settings'!$C$6</x:f>
        <x:v>15</x:v>
      </x:c>
      <x:c r="X23" s="41" t="n">
        <x:f>VLOOKUP("Benefits|"&amp;IF(AND(ISNUMBER(H23),H23&gt;0,ISNUMBER(G23),G23&gt;0),IF(H23/G23&gt;='Score settings'!$E$17,"3plus",IF(H23/G23&gt;='Score settings'!$E$16,"1.5to3",IF(H23/G23&gt;='Score settings'!$E$15,"0.5to1.5","positive"))),"None"),'Score settings'!$A$14:$C$43,2,FALSE)/'Score settings'!$B$7*'Score settings'!$C$7</x:f>
        <x:v>5</x:v>
      </x:c>
      <x:c r="Y23" s="41" t="n">
        <x:f>VLOOKUP("Waste|"&amp;R23,'Score settings'!$A$14:$C$43,2,FALSE)/'Score settings'!$B$8*'Score settings'!$C$8</x:f>
        <x:v>7</x:v>
      </x:c>
      <x:c r="Z23" s="41" t="n">
        <x:f>IF(B23="","",SUM(U23:Y23))</x:f>
        <x:v>57</x:v>
      </x:c>
      <x:c r="AA23" s="41" t="str">
        <x:f>IF(Z23="","Not scored",VLOOKUP(Z23,'Score settings'!$A$47:$C$50,2,TRUE))</x:f>
        <x:v>Strong</x:v>
      </x:c>
      <x:c r="AB23" s="41" t="n">
        <x:f>VLOOKUP("Priority|"&amp;O23,'Score settings'!$A$14:$C$43,3,FALSE)/'Score settings'!$B$4*'Score settings'!$D$4</x:f>
        <x:v>15</x:v>
      </x:c>
      <x:c r="AC23" s="41" t="n">
        <x:f>VLOOKUP("Category|"&amp;P23,'Score settings'!$A$14:$C$43,3,FALSE)/'Score settings'!$B$5*'Score settings'!$D$5</x:f>
        <x:v>2.5</x:v>
      </x:c>
      <x:c r="AD23" s="41" t="n">
        <x:f>VLOOKUP("Area|"&amp;Q23,'Score settings'!$A$14:$C$43,3,FALSE)/'Score settings'!$B$6*'Score settings'!$D$6</x:f>
        <x:v>10</x:v>
      </x:c>
      <x:c r="AE23" s="41" t="n">
        <x:f>VLOOKUP("Benefits|"&amp;IF(AND(ISNUMBER(K23),K23&gt;0,ISNUMBER(G23),G23&gt;0),IF(K23/G23&gt;='Score settings'!$E$17,"3plus",IF(K23/G23&gt;='Score settings'!$E$16,"1.5to3",IF(K23/G23&gt;='Score settings'!$E$15,"0.5to1.5","positive"))),"None"),'Score settings'!$A$14:$C$43,3,FALSE)/'Score settings'!$B$7*'Score settings'!$D$7</x:f>
        <x:v>0</x:v>
      </x:c>
      <x:c r="AF23" s="41" t="n">
        <x:f>VLOOKUP("Waste|"&amp;R23,'Score settings'!$A$14:$C$43,3,FALSE)/'Score settings'!$B$8*'Score settings'!$D$8</x:f>
        <x:v>0</x:v>
      </x:c>
      <x:c r="AG23" s="41" t="n">
        <x:f>(IF(AND(ISNUMBER(M23),M23&gt;0,ISNUMBER(G23),G23&gt;0),IF(M23/G23&gt;='Score settings'!$E$17,'Score settings'!$G$17,IF(M23/G23&gt;='Score settings'!$E$16,'Score settings'!$G$16,IF(M23/G23&gt;='Score settings'!$E$15,'Score settings'!$G$15,'Score settings'!$G$14))),0)/15*'Score settings'!$B$60+IFERROR(VLOOKUP(IF(ISNUMBER(N23),N23,IF(ISNUMBER(L23),L23,0)),'Score settings'!$E$22:$F$26,2,FALSE),0)/10*'Score settings'!$B$61)/'Score settings'!$B$9*'Score settings'!$D$9</x:f>
        <x:v>0</x:v>
      </x:c>
      <x:c r="AH23" s="41" t="n">
        <x:f>IF(B23="","",SUM(AB23:AG23))</x:f>
        <x:v>27.5</x:v>
      </x:c>
      <x:c r="AI23" s="41" t="str">
        <x:f>IF(NOT(ISNUMBER(AH23)),"Not scored",VLOOKUP(AH23,'Score settings'!$A$47:$C$50,3,TRUE))</x:f>
        <x:v>Discretionary</x:v>
      </x:c>
      <x:c r="AJ23" s="42" t="n">
        <x:f>IF(OR(NOT(ISNUMBER(AH23)),T23&lt;&gt;"Common pot"),"",COUNTIFS($T$4:$T$509,"Common pot",$AH$4:$AH$509,"&gt;"&amp;AH23)+1)</x:f>
        <x:v>214</x:v>
      </x:c>
      <x:c r="AK23" s="36" t="str">
        <x:f>IF(B23="","Name missing - not scored",IF(OR(NOT(ISNUMBER(G23)),G23&lt;=0),"Investment missing or zero - review",IF(0=1,"Permanent ID missing - reconcile",IF(AND(ISNUMBER(H23),H23/G23&gt;='Score settings'!$B$58,NOT(ISNUMBER(I23))),"Benefit units need review",IF(OR(R23="EXIT",R23="CHALLENGE"),"Waste decision requires scope resolution",IF("Name and organisation matched"&lt;&gt;"Name and organisation matched","Waste evidence match needs review","Provisional source score - confirm evidence"))))))</x:f>
        <x:v>Provisional source score - confirm evidence</x:v>
      </x:c>
      <x:c r="AL23" s="36"/>
      <x:c r="AM23" s="40"/>
      <x:c r="AN23" s="39"/>
      <x:c r="AO23" s="40"/>
      <x:c r="AP23" s="40"/>
    </x:row>
    <x:row r="24" ht="15" hidden="0" customHeight="1">
      <x:c r="A24" s="36" t="str">
        <x:v>Bu-21</x:v>
      </x:c>
      <x:c r="B24" s="37" t="str">
        <x:v>13. Finish the ecommerce  brilliant basics</x:v>
      </x:c>
      <x:c r="C24" s="36" t="str">
        <x:v>BU Led</x:v>
      </x:c>
      <x:c r="D24" s="36" t="str">
        <x:v>Personal Health (PH)</x:v>
      </x:c>
      <x:c r="E24" s="38" t="n">
        <x:v>0.32</x:v>
      </x:c>
      <x:c r="F24" s="39"/>
      <x:c r="G24" s="38" t="n">
        <x:f>IF(ISNUMBER(F24),F24,IF(E24="","",E24))</x:f>
        <x:v>0.32</x:v>
      </x:c>
      <x:c r="H24" s="38" t="n">
        <x:v>0.679</x:v>
      </x:c>
      <x:c r="I24" s="39"/>
      <x:c r="J24" s="36" t="str">
        <x:v>Revenue</x:v>
      </x:c>
      <x:c r="K24" s="38" t="n">
        <x:f>IF(ISNUMBER(I24),I24,IF(OR(NOT(ISNUMBER(H24)),NOT(ISNUMBER(G24)),G24&lt;=0),"",IF(H24/G24&gt;='Score settings'!$B$58,"",IF(J24="Cash savings",H24,IF(J24="Revenue",H24*'Score settings'!$B$55,"")))))</x:f>
        <x:v>0.10185000000000001</x:v>
      </x:c>
      <x:c r="L24" s="36"/>
      <x:c r="M24" s="39"/>
      <x:c r="N24" s="40"/>
      <x:c r="O24" s="36" t="str">
        <x:v>Must Do</x:v>
      </x:c>
      <x:c r="P24" s="36" t="str">
        <x:v>CI</x:v>
      </x:c>
      <x:c r="Q24" s="36" t="str">
        <x:v>Revenue</x:v>
      </x:c>
      <x:c r="R24" s="36" t="str">
        <x:v>NotAssessed</x:v>
      </x:c>
      <x:c r="S24" s="36" t="str"/>
      <x:c r="T24" s="36" t="str">
        <x:v>Common pot</x:v>
      </x:c>
      <x:c r="U24" s="41" t="n">
        <x:f>VLOOKUP("Priority|"&amp;O24,'Score settings'!$A$14:$C$43,2,FALSE)/'Score settings'!$B$4*'Score settings'!$C$4</x:f>
        <x:v>25</x:v>
      </x:c>
      <x:c r="V24" s="41" t="n">
        <x:f>VLOOKUP("Category|"&amp;P24,'Score settings'!$A$14:$C$43,2,FALSE)/'Score settings'!$B$5*'Score settings'!$C$5</x:f>
        <x:v>8</x:v>
      </x:c>
      <x:c r="W24" s="41" t="n">
        <x:f>VLOOKUP("Area|"&amp;Q24,'Score settings'!$A$14:$C$43,2,FALSE)/'Score settings'!$B$6*'Score settings'!$C$6</x:f>
        <x:v>11</x:v>
      </x:c>
      <x:c r="X24" s="41" t="n">
        <x:f>VLOOKUP("Benefits|"&amp;IF(AND(ISNUMBER(H24),H24&gt;0,ISNUMBER(G24),G24&gt;0),IF(H24/G24&gt;='Score settings'!$E$17,"3plus",IF(H24/G24&gt;='Score settings'!$E$16,"1.5to3",IF(H24/G24&gt;='Score settings'!$E$15,"0.5to1.5","positive"))),"None"),'Score settings'!$A$14:$C$43,2,FALSE)/'Score settings'!$B$7*'Score settings'!$C$7</x:f>
        <x:v>20</x:v>
      </x:c>
      <x:c r="Y24" s="41" t="n">
        <x:f>VLOOKUP("Waste|"&amp;R24,'Score settings'!$A$14:$C$43,2,FALSE)/'Score settings'!$B$8*'Score settings'!$C$8</x:f>
        <x:v>7</x:v>
      </x:c>
      <x:c r="Z24" s="41" t="n">
        <x:f>IF(B24="","",SUM(U24:Y24))</x:f>
        <x:v>71</x:v>
      </x:c>
      <x:c r="AA24" s="41" t="str">
        <x:f>IF(Z24="","Not scored",VLOOKUP(Z24,'Score settings'!$A$47:$C$50,2,TRUE))</x:f>
        <x:v>Protected</x:v>
      </x:c>
      <x:c r="AB24" s="41" t="n">
        <x:f>VLOOKUP("Priority|"&amp;O24,'Score settings'!$A$14:$C$43,3,FALSE)/'Score settings'!$B$4*'Score settings'!$D$4</x:f>
        <x:v>15</x:v>
      </x:c>
      <x:c r="AC24" s="41" t="n">
        <x:f>VLOOKUP("Category|"&amp;P24,'Score settings'!$A$14:$C$43,3,FALSE)/'Score settings'!$B$5*'Score settings'!$D$5</x:f>
        <x:v>4</x:v>
      </x:c>
      <x:c r="AD24" s="41" t="n">
        <x:f>VLOOKUP("Area|"&amp;Q24,'Score settings'!$A$14:$C$43,3,FALSE)/'Score settings'!$B$6*'Score settings'!$D$6</x:f>
        <x:v>7.333333333333333</x:v>
      </x:c>
      <x:c r="AE24" s="41" t="n">
        <x:f>VLOOKUP("Benefits|"&amp;IF(AND(ISNUMBER(K24),K24&gt;0,ISNUMBER(G24),G24&gt;0),IF(K24/G24&gt;='Score settings'!$E$17,"3plus",IF(K24/G24&gt;='Score settings'!$E$16,"1.5to3",IF(K24/G24&gt;='Score settings'!$E$15,"0.5to1.5","positive"))),"None"),'Score settings'!$A$14:$C$43,3,FALSE)/'Score settings'!$B$7*'Score settings'!$D$7</x:f>
        <x:v>12</x:v>
      </x:c>
      <x:c r="AF24" s="41" t="n">
        <x:f>VLOOKUP("Waste|"&amp;R24,'Score settings'!$A$14:$C$43,3,FALSE)/'Score settings'!$B$8*'Score settings'!$D$8</x:f>
        <x:v>0</x:v>
      </x:c>
      <x:c r="AG24" s="41" t="n">
        <x:f>(IF(AND(ISNUMBER(M24),M24&gt;0,ISNUMBER(G24),G24&gt;0),IF(M24/G24&gt;='Score settings'!$E$17,'Score settings'!$G$17,IF(M24/G24&gt;='Score settings'!$E$16,'Score settings'!$G$16,IF(M24/G24&gt;='Score settings'!$E$15,'Score settings'!$G$15,'Score settings'!$G$14))),0)/15*'Score settings'!$B$60+IFERROR(VLOOKUP(IF(ISNUMBER(N24),N24,IF(ISNUMBER(L24),L24,0)),'Score settings'!$E$22:$F$26,2,FALSE),0)/10*'Score settings'!$B$61)/'Score settings'!$B$9*'Score settings'!$D$9</x:f>
        <x:v>0</x:v>
      </x:c>
      <x:c r="AH24" s="41" t="n">
        <x:f>IF(B24="","",SUM(AB24:AG24))</x:f>
        <x:v>38.33333333333333</x:v>
      </x:c>
      <x:c r="AI24" s="41" t="str">
        <x:f>IF(NOT(ISNUMBER(AH24)),"Not scored",VLOOKUP(AH24,'Score settings'!$A$47:$C$50,3,TRUE))</x:f>
        <x:v>Discretionary</x:v>
      </x:c>
      <x:c r="AJ24" s="42" t="n">
        <x:f>IF(OR(NOT(ISNUMBER(AH24)),T24&lt;&gt;"Common pot"),"",COUNTIFS($T$4:$T$509,"Common pot",$AH$4:$AH$509,"&gt;"&amp;AH24)+1)</x:f>
        <x:v>110</x:v>
      </x:c>
      <x:c r="AK24" s="36" t="str">
        <x:f>IF(B24="","Name missing - not scored",IF(OR(NOT(ISNUMBER(G24)),G24&lt;=0),"Investment missing or zero - review",IF(0=1,"Permanent ID missing - reconcile",IF(AND(ISNUMBER(H24),H24/G24&gt;='Score settings'!$B$58,NOT(ISNUMBER(I24))),"Benefit units need review",IF(OR(R24="EXIT",R24="CHALLENGE"),"Waste decision requires scope resolution",IF("Name and organisation matched"&lt;&gt;"Name and organisation matched","Waste evidence match needs review","Provisional source score - confirm evidence"))))))</x:f>
        <x:v>Provisional source score - confirm evidence</x:v>
      </x:c>
      <x:c r="AL24" s="36"/>
      <x:c r="AM24" s="40"/>
      <x:c r="AN24" s="39"/>
      <x:c r="AO24" s="40"/>
      <x:c r="AP24" s="40"/>
    </x:row>
    <x:row r="25" ht="15" hidden="0" customHeight="1">
      <x:c r="A25" s="36" t="str">
        <x:v>Bu-22</x:v>
      </x:c>
      <x:c r="B25" s="37" t="str">
        <x:v>03. Professionals / D2B2C</x:v>
      </x:c>
      <x:c r="C25" s="36" t="str">
        <x:v>BU Led</x:v>
      </x:c>
      <x:c r="D25" s="36" t="str">
        <x:v>Personal Health (PH)</x:v>
      </x:c>
      <x:c r="E25" s="38" t="n">
        <x:v>1</x:v>
      </x:c>
      <x:c r="F25" s="39"/>
      <x:c r="G25" s="38" t="n">
        <x:f>IF(ISNUMBER(F25),F25,IF(E25="","",E25))</x:f>
        <x:v>1</x:v>
      </x:c>
      <x:c r="H25" s="38" t="n">
        <x:v>5.053</x:v>
      </x:c>
      <x:c r="I25" s="39"/>
      <x:c r="J25" s="36" t="str">
        <x:v>Revenue</x:v>
      </x:c>
      <x:c r="K25" s="38" t="n">
        <x:f>IF(ISNUMBER(I25),I25,IF(OR(NOT(ISNUMBER(H25)),NOT(ISNUMBER(G25)),G25&lt;=0),"",IF(H25/G25&gt;='Score settings'!$B$58,"",IF(J25="Cash savings",H25,IF(J25="Revenue",H25*'Score settings'!$B$55,"")))))</x:f>
        <x:v>0.75795</x:v>
      </x:c>
      <x:c r="L25" s="36"/>
      <x:c r="M25" s="39"/>
      <x:c r="N25" s="40"/>
      <x:c r="O25" s="36" t="str">
        <x:v>Must Do</x:v>
      </x:c>
      <x:c r="P25" s="36" t="str">
        <x:v>Upgrades</x:v>
      </x:c>
      <x:c r="Q25" s="36" t="str">
        <x:v>Revenue</x:v>
      </x:c>
      <x:c r="R25" s="36" t="str">
        <x:v>NotAssessed</x:v>
      </x:c>
      <x:c r="S25" s="36" t="str"/>
      <x:c r="T25" s="36" t="str">
        <x:v>Common pot</x:v>
      </x:c>
      <x:c r="U25" s="41" t="n">
        <x:f>VLOOKUP("Priority|"&amp;O25,'Score settings'!$A$14:$C$43,2,FALSE)/'Score settings'!$B$4*'Score settings'!$C$4</x:f>
        <x:v>25</x:v>
      </x:c>
      <x:c r="V25" s="41" t="n">
        <x:f>VLOOKUP("Category|"&amp;P25,'Score settings'!$A$14:$C$43,2,FALSE)/'Score settings'!$B$5*'Score settings'!$C$5</x:f>
        <x:v>10</x:v>
      </x:c>
      <x:c r="W25" s="41" t="n">
        <x:f>VLOOKUP("Area|"&amp;Q25,'Score settings'!$A$14:$C$43,2,FALSE)/'Score settings'!$B$6*'Score settings'!$C$6</x:f>
        <x:v>11</x:v>
      </x:c>
      <x:c r="X25" s="41" t="n">
        <x:f>VLOOKUP("Benefits|"&amp;IF(AND(ISNUMBER(H25),H25&gt;0,ISNUMBER(G25),G25&gt;0),IF(H25/G25&gt;='Score settings'!$E$17,"3plus",IF(H25/G25&gt;='Score settings'!$E$16,"1.5to3",IF(H25/G25&gt;='Score settings'!$E$15,"0.5to1.5","positive"))),"None"),'Score settings'!$A$14:$C$43,2,FALSE)/'Score settings'!$B$7*'Score settings'!$C$7</x:f>
        <x:v>25</x:v>
      </x:c>
      <x:c r="Y25" s="41" t="n">
        <x:f>VLOOKUP("Waste|"&amp;R25,'Score settings'!$A$14:$C$43,2,FALSE)/'Score settings'!$B$8*'Score settings'!$C$8</x:f>
        <x:v>7</x:v>
      </x:c>
      <x:c r="Z25" s="41" t="n">
        <x:f>IF(B25="","",SUM(U25:Y25))</x:f>
        <x:v>78</x:v>
      </x:c>
      <x:c r="AA25" s="41" t="str">
        <x:f>IF(Z25="","Not scored",VLOOKUP(Z25,'Score settings'!$A$47:$C$50,2,TRUE))</x:f>
        <x:v>Protected</x:v>
      </x:c>
      <x:c r="AB25" s="41" t="n">
        <x:f>VLOOKUP("Priority|"&amp;O25,'Score settings'!$A$14:$C$43,3,FALSE)/'Score settings'!$B$4*'Score settings'!$D$4</x:f>
        <x:v>15</x:v>
      </x:c>
      <x:c r="AC25" s="41" t="n">
        <x:f>VLOOKUP("Category|"&amp;P25,'Score settings'!$A$14:$C$43,3,FALSE)/'Score settings'!$B$5*'Score settings'!$D$5</x:f>
        <x:v>5</x:v>
      </x:c>
      <x:c r="AD25" s="41" t="n">
        <x:f>VLOOKUP("Area|"&amp;Q25,'Score settings'!$A$14:$C$43,3,FALSE)/'Score settings'!$B$6*'Score settings'!$D$6</x:f>
        <x:v>7.333333333333333</x:v>
      </x:c>
      <x:c r="AE25" s="41" t="n">
        <x:f>VLOOKUP("Benefits|"&amp;IF(AND(ISNUMBER(K25),K25&gt;0,ISNUMBER(G25),G25&gt;0),IF(K25/G25&gt;='Score settings'!$E$17,"3plus",IF(K25/G25&gt;='Score settings'!$E$16,"1.5to3",IF(K25/G25&gt;='Score settings'!$E$15,"0.5to1.5","positive"))),"None"),'Score settings'!$A$14:$C$43,3,FALSE)/'Score settings'!$B$7*'Score settings'!$D$7</x:f>
        <x:v>18</x:v>
      </x:c>
      <x:c r="AF25" s="41" t="n">
        <x:f>VLOOKUP("Waste|"&amp;R25,'Score settings'!$A$14:$C$43,3,FALSE)/'Score settings'!$B$8*'Score settings'!$D$8</x:f>
        <x:v>0</x:v>
      </x:c>
      <x:c r="AG25" s="41" t="n">
        <x:f>(IF(AND(ISNUMBER(M25),M25&gt;0,ISNUMBER(G25),G25&gt;0),IF(M25/G25&gt;='Score settings'!$E$17,'Score settings'!$G$17,IF(M25/G25&gt;='Score settings'!$E$16,'Score settings'!$G$16,IF(M25/G25&gt;='Score settings'!$E$15,'Score settings'!$G$15,'Score settings'!$G$14))),0)/15*'Score settings'!$B$60+IFERROR(VLOOKUP(IF(ISNUMBER(N25),N25,IF(ISNUMBER(L25),L25,0)),'Score settings'!$E$22:$F$26,2,FALSE),0)/10*'Score settings'!$B$61)/'Score settings'!$B$9*'Score settings'!$D$9</x:f>
        <x:v>0</x:v>
      </x:c>
      <x:c r="AH25" s="41" t="n">
        <x:f>IF(B25="","",SUM(AB25:AG25))</x:f>
        <x:v>45.33333333333333</x:v>
      </x:c>
      <x:c r="AI25" s="41" t="str">
        <x:f>IF(NOT(ISNUMBER(AH25)),"Not scored",VLOOKUP(AH25,'Score settings'!$A$47:$C$50,3,TRUE))</x:f>
        <x:v>Strong</x:v>
      </x:c>
      <x:c r="AJ25" s="42" t="n">
        <x:f>IF(OR(NOT(ISNUMBER(AH25)),T25&lt;&gt;"Common pot"),"",COUNTIFS($T$4:$T$509,"Common pot",$AH$4:$AH$509,"&gt;"&amp;AH25)+1)</x:f>
        <x:v>65</x:v>
      </x:c>
      <x:c r="AK25" s="36" t="str">
        <x:f>IF(B25="","Name missing - not scored",IF(OR(NOT(ISNUMBER(G25)),G25&lt;=0),"Investment missing or zero - review",IF(0=1,"Permanent ID missing - reconcile",IF(AND(ISNUMBER(H25),H25/G25&gt;='Score settings'!$B$58,NOT(ISNUMBER(I25))),"Benefit units need review",IF(OR(R25="EXIT",R25="CHALLENGE"),"Waste decision requires scope resolution",IF("Name and organisation matched"&lt;&gt;"Name and organisation matched","Waste evidence match needs review","Provisional source score - confirm evidence"))))))</x:f>
        <x:v>Provisional source score - confirm evidence</x:v>
      </x:c>
      <x:c r="AL25" s="36"/>
      <x:c r="AM25" s="40"/>
      <x:c r="AN25" s="39"/>
      <x:c r="AO25" s="40"/>
      <x:c r="AP25" s="40"/>
    </x:row>
    <x:row r="26" ht="15" hidden="0" customHeight="1">
      <x:c r="A26" s="36" t="str">
        <x:v>Bu-23</x:v>
      </x:c>
      <x:c r="B26" s="37" t="str">
        <x:v>02. CRM | Building meaningful relationships</x:v>
      </x:c>
      <x:c r="C26" s="36" t="str">
        <x:v>BU Led</x:v>
      </x:c>
      <x:c r="D26" s="36" t="str">
        <x:v>Personal Health (PH)</x:v>
      </x:c>
      <x:c r="E26" s="38" t="n">
        <x:v>0.25</x:v>
      </x:c>
      <x:c r="F26" s="39"/>
      <x:c r="G26" s="38" t="n">
        <x:f>IF(ISNUMBER(F26),F26,IF(E26="","",E26))</x:f>
        <x:v>0.25</x:v>
      </x:c>
      <x:c r="H26" s="38" t="n">
        <x:v>1</x:v>
      </x:c>
      <x:c r="I26" s="39"/>
      <x:c r="J26" s="36" t="str">
        <x:v>Revenue</x:v>
      </x:c>
      <x:c r="K26" s="38" t="n">
        <x:f>IF(ISNUMBER(I26),I26,IF(OR(NOT(ISNUMBER(H26)),NOT(ISNUMBER(G26)),G26&lt;=0),"",IF(H26/G26&gt;='Score settings'!$B$58,"",IF(J26="Cash savings",H26,IF(J26="Revenue",H26*'Score settings'!$B$55,"")))))</x:f>
        <x:v>0.15</x:v>
      </x:c>
      <x:c r="L26" s="36"/>
      <x:c r="M26" s="39"/>
      <x:c r="N26" s="40"/>
      <x:c r="O26" s="36" t="str">
        <x:v>Must Do</x:v>
      </x:c>
      <x:c r="P26" s="36" t="str">
        <x:v>Upgrades</x:v>
      </x:c>
      <x:c r="Q26" s="36" t="str">
        <x:v>Revenue</x:v>
      </x:c>
      <x:c r="R26" s="36" t="str">
        <x:v>NotAssessed</x:v>
      </x:c>
      <x:c r="S26" s="36" t="str"/>
      <x:c r="T26" s="36" t="str">
        <x:v>Common pot</x:v>
      </x:c>
      <x:c r="U26" s="41" t="n">
        <x:f>VLOOKUP("Priority|"&amp;O26,'Score settings'!$A$14:$C$43,2,FALSE)/'Score settings'!$B$4*'Score settings'!$C$4</x:f>
        <x:v>25</x:v>
      </x:c>
      <x:c r="V26" s="41" t="n">
        <x:f>VLOOKUP("Category|"&amp;P26,'Score settings'!$A$14:$C$43,2,FALSE)/'Score settings'!$B$5*'Score settings'!$C$5</x:f>
        <x:v>10</x:v>
      </x:c>
      <x:c r="W26" s="41" t="n">
        <x:f>VLOOKUP("Area|"&amp;Q26,'Score settings'!$A$14:$C$43,2,FALSE)/'Score settings'!$B$6*'Score settings'!$C$6</x:f>
        <x:v>11</x:v>
      </x:c>
      <x:c r="X26" s="41" t="n">
        <x:f>VLOOKUP("Benefits|"&amp;IF(AND(ISNUMBER(H26),H26&gt;0,ISNUMBER(G26),G26&gt;0),IF(H26/G26&gt;='Score settings'!$E$17,"3plus",IF(H26/G26&gt;='Score settings'!$E$16,"1.5to3",IF(H26/G26&gt;='Score settings'!$E$15,"0.5to1.5","positive"))),"None"),'Score settings'!$A$14:$C$43,2,FALSE)/'Score settings'!$B$7*'Score settings'!$C$7</x:f>
        <x:v>25</x:v>
      </x:c>
      <x:c r="Y26" s="41" t="n">
        <x:f>VLOOKUP("Waste|"&amp;R26,'Score settings'!$A$14:$C$43,2,FALSE)/'Score settings'!$B$8*'Score settings'!$C$8</x:f>
        <x:v>7</x:v>
      </x:c>
      <x:c r="Z26" s="41" t="n">
        <x:f>IF(B26="","",SUM(U26:Y26))</x:f>
        <x:v>78</x:v>
      </x:c>
      <x:c r="AA26" s="41" t="str">
        <x:f>IF(Z26="","Not scored",VLOOKUP(Z26,'Score settings'!$A$47:$C$50,2,TRUE))</x:f>
        <x:v>Protected</x:v>
      </x:c>
      <x:c r="AB26" s="41" t="n">
        <x:f>VLOOKUP("Priority|"&amp;O26,'Score settings'!$A$14:$C$43,3,FALSE)/'Score settings'!$B$4*'Score settings'!$D$4</x:f>
        <x:v>15</x:v>
      </x:c>
      <x:c r="AC26" s="41" t="n">
        <x:f>VLOOKUP("Category|"&amp;P26,'Score settings'!$A$14:$C$43,3,FALSE)/'Score settings'!$B$5*'Score settings'!$D$5</x:f>
        <x:v>5</x:v>
      </x:c>
      <x:c r="AD26" s="41" t="n">
        <x:f>VLOOKUP("Area|"&amp;Q26,'Score settings'!$A$14:$C$43,3,FALSE)/'Score settings'!$B$6*'Score settings'!$D$6</x:f>
        <x:v>7.333333333333333</x:v>
      </x:c>
      <x:c r="AE26" s="41" t="n">
        <x:f>VLOOKUP("Benefits|"&amp;IF(AND(ISNUMBER(K26),K26&gt;0,ISNUMBER(G26),G26&gt;0),IF(K26/G26&gt;='Score settings'!$E$17,"3plus",IF(K26/G26&gt;='Score settings'!$E$16,"1.5to3",IF(K26/G26&gt;='Score settings'!$E$15,"0.5to1.5","positive"))),"None"),'Score settings'!$A$14:$C$43,3,FALSE)/'Score settings'!$B$7*'Score settings'!$D$7</x:f>
        <x:v>18</x:v>
      </x:c>
      <x:c r="AF26" s="41" t="n">
        <x:f>VLOOKUP("Waste|"&amp;R26,'Score settings'!$A$14:$C$43,3,FALSE)/'Score settings'!$B$8*'Score settings'!$D$8</x:f>
        <x:v>0</x:v>
      </x:c>
      <x:c r="AG26" s="41" t="n">
        <x:f>(IF(AND(ISNUMBER(M26),M26&gt;0,ISNUMBER(G26),G26&gt;0),IF(M26/G26&gt;='Score settings'!$E$17,'Score settings'!$G$17,IF(M26/G26&gt;='Score settings'!$E$16,'Score settings'!$G$16,IF(M26/G26&gt;='Score settings'!$E$15,'Score settings'!$G$15,'Score settings'!$G$14))),0)/15*'Score settings'!$B$60+IFERROR(VLOOKUP(IF(ISNUMBER(N26),N26,IF(ISNUMBER(L26),L26,0)),'Score settings'!$E$22:$F$26,2,FALSE),0)/10*'Score settings'!$B$61)/'Score settings'!$B$9*'Score settings'!$D$9</x:f>
        <x:v>0</x:v>
      </x:c>
      <x:c r="AH26" s="41" t="n">
        <x:f>IF(B26="","",SUM(AB26:AG26))</x:f>
        <x:v>45.33333333333333</x:v>
      </x:c>
      <x:c r="AI26" s="41" t="str">
        <x:f>IF(NOT(ISNUMBER(AH26)),"Not scored",VLOOKUP(AH26,'Score settings'!$A$47:$C$50,3,TRUE))</x:f>
        <x:v>Strong</x:v>
      </x:c>
      <x:c r="AJ26" s="42" t="n">
        <x:f>IF(OR(NOT(ISNUMBER(AH26)),T26&lt;&gt;"Common pot"),"",COUNTIFS($T$4:$T$509,"Common pot",$AH$4:$AH$509,"&gt;"&amp;AH26)+1)</x:f>
        <x:v>65</x:v>
      </x:c>
      <x:c r="AK26" s="36" t="str">
        <x:f>IF(B26="","Name missing - not scored",IF(OR(NOT(ISNUMBER(G26)),G26&lt;=0),"Investment missing or zero - review",IF(0=1,"Permanent ID missing - reconcile",IF(AND(ISNUMBER(H26),H26/G26&gt;='Score settings'!$B$58,NOT(ISNUMBER(I26))),"Benefit units need review",IF(OR(R26="EXIT",R26="CHALLENGE"),"Waste decision requires scope resolution",IF("Name and organisation matched"&lt;&gt;"Name and organisation matched","Waste evidence match needs review","Provisional source score - confirm evidence"))))))</x:f>
        <x:v>Provisional source score - confirm evidence</x:v>
      </x:c>
      <x:c r="AL26" s="36"/>
      <x:c r="AM26" s="40"/>
      <x:c r="AN26" s="39"/>
      <x:c r="AO26" s="40"/>
      <x:c r="AP26" s="40"/>
    </x:row>
    <x:row r="27" ht="15" hidden="0" customHeight="1">
      <x:c r="A27" s="36" t="str">
        <x:v>Bu-24</x:v>
      </x:c>
      <x:c r="B27" s="37" t="str">
        <x:v>22. PH Digitalization Innovation Process - Development</x:v>
      </x:c>
      <x:c r="C27" s="36" t="str">
        <x:v>BU Led</x:v>
      </x:c>
      <x:c r="D27" s="36" t="str">
        <x:v>Personal Health (PH)</x:v>
      </x:c>
      <x:c r="E27" s="38" t="n">
        <x:v>2.95</x:v>
      </x:c>
      <x:c r="F27" s="39"/>
      <x:c r="G27" s="38" t="n">
        <x:f>IF(ISNUMBER(F27),F27,IF(E27="","",E27))</x:f>
        <x:v>2.95</x:v>
      </x:c>
      <x:c r="H27" s="38" t="n">
        <x:v>7.628</x:v>
      </x:c>
      <x:c r="I27" s="39"/>
      <x:c r="J27" s="36" t="str">
        <x:v>Cash savings</x:v>
      </x:c>
      <x:c r="K27" s="38" t="n">
        <x:f>IF(ISNUMBER(I27),I27,IF(OR(NOT(ISNUMBER(H27)),NOT(ISNUMBER(G27)),G27&lt;=0),"",IF(H27/G27&gt;='Score settings'!$B$58,"",IF(J27="Cash savings",H27,IF(J27="Revenue",H27*'Score settings'!$B$55,"")))))</x:f>
        <x:v>7.628</x:v>
      </x:c>
      <x:c r="L27" s="36"/>
      <x:c r="M27" s="39"/>
      <x:c r="N27" s="40"/>
      <x:c r="O27" s="36" t="str">
        <x:v>Must Do</x:v>
      </x:c>
      <x:c r="P27" s="36" t="str">
        <x:v>NewFeat</x:v>
      </x:c>
      <x:c r="Q27" s="36" t="str">
        <x:v>Productivity</x:v>
      </x:c>
      <x:c r="R27" s="36" t="str">
        <x:v>NotAssessed</x:v>
      </x:c>
      <x:c r="S27" s="36" t="str"/>
      <x:c r="T27" s="36" t="str">
        <x:v>Common pot</x:v>
      </x:c>
      <x:c r="U27" s="41" t="n">
        <x:f>VLOOKUP("Priority|"&amp;O27,'Score settings'!$A$14:$C$43,2,FALSE)/'Score settings'!$B$4*'Score settings'!$C$4</x:f>
        <x:v>25</x:v>
      </x:c>
      <x:c r="V27" s="41" t="n">
        <x:f>VLOOKUP("Category|"&amp;P27,'Score settings'!$A$14:$C$43,2,FALSE)/'Score settings'!$B$5*'Score settings'!$C$5</x:f>
        <x:v>6</x:v>
      </x:c>
      <x:c r="W27" s="41" t="n">
        <x:f>VLOOKUP("Area|"&amp;Q27,'Score settings'!$A$14:$C$43,2,FALSE)/'Score settings'!$B$6*'Score settings'!$C$6</x:f>
        <x:v>10</x:v>
      </x:c>
      <x:c r="X27" s="41" t="n">
        <x:f>VLOOKUP("Benefits|"&amp;IF(AND(ISNUMBER(H27),H27&gt;0,ISNUMBER(G27),G27&gt;0),IF(H27/G27&gt;='Score settings'!$E$17,"3plus",IF(H27/G27&gt;='Score settings'!$E$16,"1.5to3",IF(H27/G27&gt;='Score settings'!$E$15,"0.5to1.5","positive"))),"None"),'Score settings'!$A$14:$C$43,2,FALSE)/'Score settings'!$B$7*'Score settings'!$C$7</x:f>
        <x:v>20</x:v>
      </x:c>
      <x:c r="Y27" s="41" t="n">
        <x:f>VLOOKUP("Waste|"&amp;R27,'Score settings'!$A$14:$C$43,2,FALSE)/'Score settings'!$B$8*'Score settings'!$C$8</x:f>
        <x:v>7</x:v>
      </x:c>
      <x:c r="Z27" s="41" t="n">
        <x:f>IF(B27="","",SUM(U27:Y27))</x:f>
        <x:v>68</x:v>
      </x:c>
      <x:c r="AA27" s="41" t="str">
        <x:f>IF(Z27="","Not scored",VLOOKUP(Z27,'Score settings'!$A$47:$C$50,2,TRUE))</x:f>
        <x:v>Protected</x:v>
      </x:c>
      <x:c r="AB27" s="41" t="n">
        <x:f>VLOOKUP("Priority|"&amp;O27,'Score settings'!$A$14:$C$43,3,FALSE)/'Score settings'!$B$4*'Score settings'!$D$4</x:f>
        <x:v>15</x:v>
      </x:c>
      <x:c r="AC27" s="41" t="n">
        <x:f>VLOOKUP("Category|"&amp;P27,'Score settings'!$A$14:$C$43,3,FALSE)/'Score settings'!$B$5*'Score settings'!$D$5</x:f>
        <x:v>3</x:v>
      </x:c>
      <x:c r="AD27" s="41" t="n">
        <x:f>VLOOKUP("Area|"&amp;Q27,'Score settings'!$A$14:$C$43,3,FALSE)/'Score settings'!$B$6*'Score settings'!$D$6</x:f>
        <x:v>6.666666666666666</x:v>
      </x:c>
      <x:c r="AE27" s="41" t="n">
        <x:f>VLOOKUP("Benefits|"&amp;IF(AND(ISNUMBER(K27),K27&gt;0,ISNUMBER(G27),G27&gt;0),IF(K27/G27&gt;='Score settings'!$E$17,"3plus",IF(K27/G27&gt;='Score settings'!$E$16,"1.5to3",IF(K27/G27&gt;='Score settings'!$E$15,"0.5to1.5","positive"))),"None"),'Score settings'!$A$14:$C$43,3,FALSE)/'Score settings'!$B$7*'Score settings'!$D$7</x:f>
        <x:v>24</x:v>
      </x:c>
      <x:c r="AF27" s="41" t="n">
        <x:f>VLOOKUP("Waste|"&amp;R27,'Score settings'!$A$14:$C$43,3,FALSE)/'Score settings'!$B$8*'Score settings'!$D$8</x:f>
        <x:v>0</x:v>
      </x:c>
      <x:c r="AG27" s="41" t="n">
        <x:f>(IF(AND(ISNUMBER(M27),M27&gt;0,ISNUMBER(G27),G27&gt;0),IF(M27/G27&gt;='Score settings'!$E$17,'Score settings'!$G$17,IF(M27/G27&gt;='Score settings'!$E$16,'Score settings'!$G$16,IF(M27/G27&gt;='Score settings'!$E$15,'Score settings'!$G$15,'Score settings'!$G$14))),0)/15*'Score settings'!$B$60+IFERROR(VLOOKUP(IF(ISNUMBER(N27),N27,IF(ISNUMBER(L27),L27,0)),'Score settings'!$E$22:$F$26,2,FALSE),0)/10*'Score settings'!$B$61)/'Score settings'!$B$9*'Score settings'!$D$9</x:f>
        <x:v>0</x:v>
      </x:c>
      <x:c r="AH27" s="41" t="n">
        <x:f>IF(B27="","",SUM(AB27:AG27))</x:f>
        <x:v>48.666666666666664</x:v>
      </x:c>
      <x:c r="AI27" s="41" t="str">
        <x:f>IF(NOT(ISNUMBER(AH27)),"Not scored",VLOOKUP(AH27,'Score settings'!$A$47:$C$50,3,TRUE))</x:f>
        <x:v>Strong</x:v>
      </x:c>
      <x:c r="AJ27" s="42" t="n">
        <x:f>IF(OR(NOT(ISNUMBER(AH27)),T27&lt;&gt;"Common pot"),"",COUNTIFS($T$4:$T$509,"Common pot",$AH$4:$AH$509,"&gt;"&amp;AH27)+1)</x:f>
        <x:v>53</x:v>
      </x:c>
      <x:c r="AK27" s="36" t="str">
        <x:f>IF(B27="","Name missing - not scored",IF(OR(NOT(ISNUMBER(G27)),G27&lt;=0),"Investment missing or zero - review",IF(0=1,"Permanent ID missing - reconcile",IF(AND(ISNUMBER(H27),H27/G27&gt;='Score settings'!$B$58,NOT(ISNUMBER(I27))),"Benefit units need review",IF(OR(R27="EXIT",R27="CHALLENGE"),"Waste decision requires scope resolution",IF("Name and organisation matched"&lt;&gt;"Name and organisation matched","Waste evidence match needs review","Provisional source score - confirm evidence"))))))</x:f>
        <x:v>Provisional source score - confirm evidence</x:v>
      </x:c>
      <x:c r="AL27" s="36"/>
      <x:c r="AM27" s="40"/>
      <x:c r="AN27" s="39"/>
      <x:c r="AO27" s="40"/>
      <x:c r="AP27" s="40"/>
    </x:row>
    <x:row r="28" ht="15" hidden="0" customHeight="1">
      <x:c r="A28" s="36" t="str">
        <x:v>Bu-25</x:v>
      </x:c>
      <x:c r="B28" s="37" t="str">
        <x:v>19 Consumer Care capabilities AI &amp; simplification &amp; Infotip replacement</x:v>
      </x:c>
      <x:c r="C28" s="36" t="str">
        <x:v>BU Led</x:v>
      </x:c>
      <x:c r="D28" s="36" t="str">
        <x:v>Personal Health (PH)</x:v>
      </x:c>
      <x:c r="E28" s="38" t="n">
        <x:v>1.68</x:v>
      </x:c>
      <x:c r="F28" s="39"/>
      <x:c r="G28" s="38" t="n">
        <x:f>IF(ISNUMBER(F28),F28,IF(E28="","",E28))</x:f>
        <x:v>1.68</x:v>
      </x:c>
      <x:c r="H28" s="38" t="n">
        <x:v>1.777</x:v>
      </x:c>
      <x:c r="I28" s="39"/>
      <x:c r="J28" s="36" t="str">
        <x:v>Revenue</x:v>
      </x:c>
      <x:c r="K28" s="38" t="n">
        <x:f>IF(ISNUMBER(I28),I28,IF(OR(NOT(ISNUMBER(H28)),NOT(ISNUMBER(G28)),G28&lt;=0),"",IF(H28/G28&gt;='Score settings'!$B$58,"",IF(J28="Cash savings",H28,IF(J28="Revenue",H28*'Score settings'!$B$55,"")))))</x:f>
        <x:v>0.26654999999999995</x:v>
      </x:c>
      <x:c r="L28" s="36"/>
      <x:c r="M28" s="39"/>
      <x:c r="N28" s="40"/>
      <x:c r="O28" s="36" t="str">
        <x:v>Must Do</x:v>
      </x:c>
      <x:c r="P28" s="36" t="str">
        <x:v>NewFeat</x:v>
      </x:c>
      <x:c r="Q28" s="36" t="str">
        <x:v>Revenue</x:v>
      </x:c>
      <x:c r="R28" s="36" t="str">
        <x:v>NotAssessed</x:v>
      </x:c>
      <x:c r="S28" s="36" t="str"/>
      <x:c r="T28" s="36" t="str">
        <x:v>Common pot</x:v>
      </x:c>
      <x:c r="U28" s="41" t="n">
        <x:f>VLOOKUP("Priority|"&amp;O28,'Score settings'!$A$14:$C$43,2,FALSE)/'Score settings'!$B$4*'Score settings'!$C$4</x:f>
        <x:v>25</x:v>
      </x:c>
      <x:c r="V28" s="41" t="n">
        <x:f>VLOOKUP("Category|"&amp;P28,'Score settings'!$A$14:$C$43,2,FALSE)/'Score settings'!$B$5*'Score settings'!$C$5</x:f>
        <x:v>6</x:v>
      </x:c>
      <x:c r="W28" s="41" t="n">
        <x:f>VLOOKUP("Area|"&amp;Q28,'Score settings'!$A$14:$C$43,2,FALSE)/'Score settings'!$B$6*'Score settings'!$C$6</x:f>
        <x:v>11</x:v>
      </x:c>
      <x:c r="X28" s="41" t="n">
        <x:f>VLOOKUP("Benefits|"&amp;IF(AND(ISNUMBER(H28),H28&gt;0,ISNUMBER(G28),G28&gt;0),IF(H28/G28&gt;='Score settings'!$E$17,"3plus",IF(H28/G28&gt;='Score settings'!$E$16,"1.5to3",IF(H28/G28&gt;='Score settings'!$E$15,"0.5to1.5","positive"))),"None"),'Score settings'!$A$14:$C$43,2,FALSE)/'Score settings'!$B$7*'Score settings'!$C$7</x:f>
        <x:v>15</x:v>
      </x:c>
      <x:c r="Y28" s="41" t="n">
        <x:f>VLOOKUP("Waste|"&amp;R28,'Score settings'!$A$14:$C$43,2,FALSE)/'Score settings'!$B$8*'Score settings'!$C$8</x:f>
        <x:v>7</x:v>
      </x:c>
      <x:c r="Z28" s="41" t="n">
        <x:f>IF(B28="","",SUM(U28:Y28))</x:f>
        <x:v>64</x:v>
      </x:c>
      <x:c r="AA28" s="41" t="str">
        <x:f>IF(Z28="","Not scored",VLOOKUP(Z28,'Score settings'!$A$47:$C$50,2,TRUE))</x:f>
        <x:v>Strong</x:v>
      </x:c>
      <x:c r="AB28" s="41" t="n">
        <x:f>VLOOKUP("Priority|"&amp;O28,'Score settings'!$A$14:$C$43,3,FALSE)/'Score settings'!$B$4*'Score settings'!$D$4</x:f>
        <x:v>15</x:v>
      </x:c>
      <x:c r="AC28" s="41" t="n">
        <x:f>VLOOKUP("Category|"&amp;P28,'Score settings'!$A$14:$C$43,3,FALSE)/'Score settings'!$B$5*'Score settings'!$D$5</x:f>
        <x:v>3</x:v>
      </x:c>
      <x:c r="AD28" s="41" t="n">
        <x:f>VLOOKUP("Area|"&amp;Q28,'Score settings'!$A$14:$C$43,3,FALSE)/'Score settings'!$B$6*'Score settings'!$D$6</x:f>
        <x:v>7.333333333333333</x:v>
      </x:c>
      <x:c r="AE28" s="41" t="n">
        <x:f>VLOOKUP("Benefits|"&amp;IF(AND(ISNUMBER(K28),K28&gt;0,ISNUMBER(G28),G28&gt;0),IF(K28/G28&gt;='Score settings'!$E$17,"3plus",IF(K28/G28&gt;='Score settings'!$E$16,"1.5to3",IF(K28/G28&gt;='Score settings'!$E$15,"0.5to1.5","positive"))),"None"),'Score settings'!$A$14:$C$43,3,FALSE)/'Score settings'!$B$7*'Score settings'!$D$7</x:f>
        <x:v>12</x:v>
      </x:c>
      <x:c r="AF28" s="41" t="n">
        <x:f>VLOOKUP("Waste|"&amp;R28,'Score settings'!$A$14:$C$43,3,FALSE)/'Score settings'!$B$8*'Score settings'!$D$8</x:f>
        <x:v>0</x:v>
      </x:c>
      <x:c r="AG28" s="41" t="n">
        <x:f>(IF(AND(ISNUMBER(M28),M28&gt;0,ISNUMBER(G28),G28&gt;0),IF(M28/G28&gt;='Score settings'!$E$17,'Score settings'!$G$17,IF(M28/G28&gt;='Score settings'!$E$16,'Score settings'!$G$16,IF(M28/G28&gt;='Score settings'!$E$15,'Score settings'!$G$15,'Score settings'!$G$14))),0)/15*'Score settings'!$B$60+IFERROR(VLOOKUP(IF(ISNUMBER(N28),N28,IF(ISNUMBER(L28),L28,0)),'Score settings'!$E$22:$F$26,2,FALSE),0)/10*'Score settings'!$B$61)/'Score settings'!$B$9*'Score settings'!$D$9</x:f>
        <x:v>0</x:v>
      </x:c>
      <x:c r="AH28" s="41" t="n">
        <x:f>IF(B28="","",SUM(AB28:AG28))</x:f>
        <x:v>37.33333333333333</x:v>
      </x:c>
      <x:c r="AI28" s="41" t="str">
        <x:f>IF(NOT(ISNUMBER(AH28)),"Not scored",VLOOKUP(AH28,'Score settings'!$A$47:$C$50,3,TRUE))</x:f>
        <x:v>Discretionary</x:v>
      </x:c>
      <x:c r="AJ28" s="42" t="n">
        <x:f>IF(OR(NOT(ISNUMBER(AH28)),T28&lt;&gt;"Common pot"),"",COUNTIFS($T$4:$T$509,"Common pot",$AH$4:$AH$509,"&gt;"&amp;AH28)+1)</x:f>
        <x:v>118</x:v>
      </x:c>
      <x:c r="AK28" s="36" t="str">
        <x:f>IF(B28="","Name missing - not scored",IF(OR(NOT(ISNUMBER(G28)),G28&lt;=0),"Investment missing or zero - review",IF(0=1,"Permanent ID missing - reconcile",IF(AND(ISNUMBER(H28),H28/G28&gt;='Score settings'!$B$58,NOT(ISNUMBER(I28))),"Benefit units need review",IF(OR(R28="EXIT",R28="CHALLENGE"),"Waste decision requires scope resolution",IF("No exact waste match"&lt;&gt;"Name and organisation matched","Waste evidence match needs review","Provisional source score - confirm evidence"))))))</x:f>
        <x:v>Waste evidence match needs review</x:v>
      </x:c>
      <x:c r="AL28" s="36"/>
      <x:c r="AM28" s="40"/>
      <x:c r="AN28" s="39"/>
      <x:c r="AO28" s="40"/>
      <x:c r="AP28" s="40"/>
    </x:row>
    <x:row r="29" ht="15" hidden="0" customHeight="1">
      <x:c r="A29" s="36" t="str">
        <x:v>Bu-26</x:v>
      </x:c>
      <x:c r="B29" s="37" t="str">
        <x:v>18. Product Content Excellence - Content Engine</x:v>
      </x:c>
      <x:c r="C29" s="36" t="str">
        <x:v>BU Led</x:v>
      </x:c>
      <x:c r="D29" s="36" t="str">
        <x:v>Personal Health (PH)</x:v>
      </x:c>
      <x:c r="E29" s="38" t="n">
        <x:v>0.9</x:v>
      </x:c>
      <x:c r="F29" s="39"/>
      <x:c r="G29" s="38" t="n">
        <x:f>IF(ISNUMBER(F29),F29,IF(E29="","",E29))</x:f>
        <x:v>0.9</x:v>
      </x:c>
      <x:c r="H29" s="38" t="n">
        <x:v>0.48</x:v>
      </x:c>
      <x:c r="I29" s="39"/>
      <x:c r="J29" s="36" t="str">
        <x:v>Cash savings</x:v>
      </x:c>
      <x:c r="K29" s="38" t="n">
        <x:f>IF(ISNUMBER(I29),I29,IF(OR(NOT(ISNUMBER(H29)),NOT(ISNUMBER(G29)),G29&lt;=0),"",IF(H29/G29&gt;='Score settings'!$B$58,"",IF(J29="Cash savings",H29,IF(J29="Revenue",H29*'Score settings'!$B$55,"")))))</x:f>
        <x:v>0.48</x:v>
      </x:c>
      <x:c r="L29" s="36"/>
      <x:c r="M29" s="39"/>
      <x:c r="N29" s="40"/>
      <x:c r="O29" s="36" t="str">
        <x:v>Must Do</x:v>
      </x:c>
      <x:c r="P29" s="36" t="str">
        <x:v>CI</x:v>
      </x:c>
      <x:c r="Q29" s="36" t="str">
        <x:v>Productivity</x:v>
      </x:c>
      <x:c r="R29" s="36" t="str">
        <x:v>NotAssessed</x:v>
      </x:c>
      <x:c r="S29" s="36" t="str"/>
      <x:c r="T29" s="36" t="str">
        <x:v>Common pot</x:v>
      </x:c>
      <x:c r="U29" s="41" t="n">
        <x:f>VLOOKUP("Priority|"&amp;O29,'Score settings'!$A$14:$C$43,2,FALSE)/'Score settings'!$B$4*'Score settings'!$C$4</x:f>
        <x:v>25</x:v>
      </x:c>
      <x:c r="V29" s="41" t="n">
        <x:f>VLOOKUP("Category|"&amp;P29,'Score settings'!$A$14:$C$43,2,FALSE)/'Score settings'!$B$5*'Score settings'!$C$5</x:f>
        <x:v>8</x:v>
      </x:c>
      <x:c r="W29" s="41" t="n">
        <x:f>VLOOKUP("Area|"&amp;Q29,'Score settings'!$A$14:$C$43,2,FALSE)/'Score settings'!$B$6*'Score settings'!$C$6</x:f>
        <x:v>10</x:v>
      </x:c>
      <x:c r="X29" s="41" t="n">
        <x:f>VLOOKUP("Benefits|"&amp;IF(AND(ISNUMBER(H29),H29&gt;0,ISNUMBER(G29),G29&gt;0),IF(H29/G29&gt;='Score settings'!$E$17,"3plus",IF(H29/G29&gt;='Score settings'!$E$16,"1.5to3",IF(H29/G29&gt;='Score settings'!$E$15,"0.5to1.5","positive"))),"None"),'Score settings'!$A$14:$C$43,2,FALSE)/'Score settings'!$B$7*'Score settings'!$C$7</x:f>
        <x:v>15</x:v>
      </x:c>
      <x:c r="Y29" s="41" t="n">
        <x:f>VLOOKUP("Waste|"&amp;R29,'Score settings'!$A$14:$C$43,2,FALSE)/'Score settings'!$B$8*'Score settings'!$C$8</x:f>
        <x:v>7</x:v>
      </x:c>
      <x:c r="Z29" s="41" t="n">
        <x:f>IF(B29="","",SUM(U29:Y29))</x:f>
        <x:v>65</x:v>
      </x:c>
      <x:c r="AA29" s="41" t="str">
        <x:f>IF(Z29="","Not scored",VLOOKUP(Z29,'Score settings'!$A$47:$C$50,2,TRUE))</x:f>
        <x:v>Protected</x:v>
      </x:c>
      <x:c r="AB29" s="41" t="n">
        <x:f>VLOOKUP("Priority|"&amp;O29,'Score settings'!$A$14:$C$43,3,FALSE)/'Score settings'!$B$4*'Score settings'!$D$4</x:f>
        <x:v>15</x:v>
      </x:c>
      <x:c r="AC29" s="41" t="n">
        <x:f>VLOOKUP("Category|"&amp;P29,'Score settings'!$A$14:$C$43,3,FALSE)/'Score settings'!$B$5*'Score settings'!$D$5</x:f>
        <x:v>4</x:v>
      </x:c>
      <x:c r="AD29" s="41" t="n">
        <x:f>VLOOKUP("Area|"&amp;Q29,'Score settings'!$A$14:$C$43,3,FALSE)/'Score settings'!$B$6*'Score settings'!$D$6</x:f>
        <x:v>6.666666666666666</x:v>
      </x:c>
      <x:c r="AE29" s="41" t="n">
        <x:f>VLOOKUP("Benefits|"&amp;IF(AND(ISNUMBER(K29),K29&gt;0,ISNUMBER(G29),G29&gt;0),IF(K29/G29&gt;='Score settings'!$E$17,"3plus",IF(K29/G29&gt;='Score settings'!$E$16,"1.5to3",IF(K29/G29&gt;='Score settings'!$E$15,"0.5to1.5","positive"))),"None"),'Score settings'!$A$14:$C$43,3,FALSE)/'Score settings'!$B$7*'Score settings'!$D$7</x:f>
        <x:v>18</x:v>
      </x:c>
      <x:c r="AF29" s="41" t="n">
        <x:f>VLOOKUP("Waste|"&amp;R29,'Score settings'!$A$14:$C$43,3,FALSE)/'Score settings'!$B$8*'Score settings'!$D$8</x:f>
        <x:v>0</x:v>
      </x:c>
      <x:c r="AG29" s="41" t="n">
        <x:f>(IF(AND(ISNUMBER(M29),M29&gt;0,ISNUMBER(G29),G29&gt;0),IF(M29/G29&gt;='Score settings'!$E$17,'Score settings'!$G$17,IF(M29/G29&gt;='Score settings'!$E$16,'Score settings'!$G$16,IF(M29/G29&gt;='Score settings'!$E$15,'Score settings'!$G$15,'Score settings'!$G$14))),0)/15*'Score settings'!$B$60+IFERROR(VLOOKUP(IF(ISNUMBER(N29),N29,IF(ISNUMBER(L29),L29,0)),'Score settings'!$E$22:$F$26,2,FALSE),0)/10*'Score settings'!$B$61)/'Score settings'!$B$9*'Score settings'!$D$9</x:f>
        <x:v>0</x:v>
      </x:c>
      <x:c r="AH29" s="41" t="n">
        <x:f>IF(B29="","",SUM(AB29:AG29))</x:f>
        <x:v>43.666666666666664</x:v>
      </x:c>
      <x:c r="AI29" s="41" t="str">
        <x:f>IF(NOT(ISNUMBER(AH29)),"Not scored",VLOOKUP(AH29,'Score settings'!$A$47:$C$50,3,TRUE))</x:f>
        <x:v>Discretionary</x:v>
      </x:c>
      <x:c r="AJ29" s="42" t="n">
        <x:f>IF(OR(NOT(ISNUMBER(AH29)),T29&lt;&gt;"Common pot"),"",COUNTIFS($T$4:$T$509,"Common pot",$AH$4:$AH$509,"&gt;"&amp;AH29)+1)</x:f>
        <x:v>73</x:v>
      </x:c>
      <x:c r="AK29" s="36" t="str">
        <x:f>IF(B29="","Name missing - not scored",IF(OR(NOT(ISNUMBER(G29)),G29&lt;=0),"Investment missing or zero - review",IF(0=1,"Permanent ID missing - reconcile",IF(AND(ISNUMBER(H29),H29/G29&gt;='Score settings'!$B$58,NOT(ISNUMBER(I29))),"Benefit units need review",IF(OR(R29="EXIT",R29="CHALLENGE"),"Waste decision requires scope resolution",IF("Name and organisation matched"&lt;&gt;"Name and organisation matched","Waste evidence match needs review","Provisional source score - confirm evidence"))))))</x:f>
        <x:v>Provisional source score - confirm evidence</x:v>
      </x:c>
      <x:c r="AL29" s="36"/>
      <x:c r="AM29" s="40"/>
      <x:c r="AN29" s="39"/>
      <x:c r="AO29" s="40"/>
      <x:c r="AP29" s="40"/>
    </x:row>
    <x:row r="30" ht="15" hidden="0" customHeight="1">
      <x:c r="A30" s="36" t="str">
        <x:v>Bu-27</x:v>
      </x:c>
      <x:c r="B30" s="37" t="str">
        <x:v>34. Retailer Sell-out Dashboard (RSD)</x:v>
      </x:c>
      <x:c r="C30" s="36" t="str">
        <x:v>BU Led</x:v>
      </x:c>
      <x:c r="D30" s="36" t="str">
        <x:v>Personal Health (PH)</x:v>
      </x:c>
      <x:c r="E30" s="38" t="n">
        <x:v>1.5</x:v>
      </x:c>
      <x:c r="F30" s="39"/>
      <x:c r="G30" s="38" t="n">
        <x:f>IF(ISNUMBER(F30),F30,IF(E30="","",E30))</x:f>
        <x:v>1.5</x:v>
      </x:c>
      <x:c r="H30" s="38" t="n">
        <x:v>5.273</x:v>
      </x:c>
      <x:c r="I30" s="39"/>
      <x:c r="J30" s="36" t="str">
        <x:v>Revenue</x:v>
      </x:c>
      <x:c r="K30" s="38" t="n">
        <x:f>IF(ISNUMBER(I30),I30,IF(OR(NOT(ISNUMBER(H30)),NOT(ISNUMBER(G30)),G30&lt;=0),"",IF(H30/G30&gt;='Score settings'!$B$58,"",IF(J30="Cash savings",H30,IF(J30="Revenue",H30*'Score settings'!$B$55,"")))))</x:f>
        <x:v>0.7909499999999999</x:v>
      </x:c>
      <x:c r="L30" s="36"/>
      <x:c r="M30" s="39"/>
      <x:c r="N30" s="40"/>
      <x:c r="O30" s="36" t="str">
        <x:v>Must Have</x:v>
      </x:c>
      <x:c r="P30" s="36" t="str">
        <x:v>CI</x:v>
      </x:c>
      <x:c r="Q30" s="36" t="str">
        <x:v>Revenue</x:v>
      </x:c>
      <x:c r="R30" s="36" t="str">
        <x:v>NotAssessed</x:v>
      </x:c>
      <x:c r="S30" s="36" t="str"/>
      <x:c r="T30" s="36" t="str">
        <x:v>Common pot</x:v>
      </x:c>
      <x:c r="U30" s="41" t="n">
        <x:f>VLOOKUP("Priority|"&amp;O30,'Score settings'!$A$14:$C$43,2,FALSE)/'Score settings'!$B$4*'Score settings'!$C$4</x:f>
        <x:v>18</x:v>
      </x:c>
      <x:c r="V30" s="41" t="n">
        <x:f>VLOOKUP("Category|"&amp;P30,'Score settings'!$A$14:$C$43,2,FALSE)/'Score settings'!$B$5*'Score settings'!$C$5</x:f>
        <x:v>8</x:v>
      </x:c>
      <x:c r="W30" s="41" t="n">
        <x:f>VLOOKUP("Area|"&amp;Q30,'Score settings'!$A$14:$C$43,2,FALSE)/'Score settings'!$B$6*'Score settings'!$C$6</x:f>
        <x:v>11</x:v>
      </x:c>
      <x:c r="X30" s="41" t="n">
        <x:f>VLOOKUP("Benefits|"&amp;IF(AND(ISNUMBER(H30),H30&gt;0,ISNUMBER(G30),G30&gt;0),IF(H30/G30&gt;='Score settings'!$E$17,"3plus",IF(H30/G30&gt;='Score settings'!$E$16,"1.5to3",IF(H30/G30&gt;='Score settings'!$E$15,"0.5to1.5","positive"))),"None"),'Score settings'!$A$14:$C$43,2,FALSE)/'Score settings'!$B$7*'Score settings'!$C$7</x:f>
        <x:v>25</x:v>
      </x:c>
      <x:c r="Y30" s="41" t="n">
        <x:f>VLOOKUP("Waste|"&amp;R30,'Score settings'!$A$14:$C$43,2,FALSE)/'Score settings'!$B$8*'Score settings'!$C$8</x:f>
        <x:v>7</x:v>
      </x:c>
      <x:c r="Z30" s="41" t="n">
        <x:f>IF(B30="","",SUM(U30:Y30))</x:f>
        <x:v>69</x:v>
      </x:c>
      <x:c r="AA30" s="41" t="str">
        <x:f>IF(Z30="","Not scored",VLOOKUP(Z30,'Score settings'!$A$47:$C$50,2,TRUE))</x:f>
        <x:v>Protected</x:v>
      </x:c>
      <x:c r="AB30" s="41" t="n">
        <x:f>VLOOKUP("Priority|"&amp;O30,'Score settings'!$A$14:$C$43,3,FALSE)/'Score settings'!$B$4*'Score settings'!$D$4</x:f>
        <x:v>10.799999999999999</x:v>
      </x:c>
      <x:c r="AC30" s="41" t="n">
        <x:f>VLOOKUP("Category|"&amp;P30,'Score settings'!$A$14:$C$43,3,FALSE)/'Score settings'!$B$5*'Score settings'!$D$5</x:f>
        <x:v>4</x:v>
      </x:c>
      <x:c r="AD30" s="41" t="n">
        <x:f>VLOOKUP("Area|"&amp;Q30,'Score settings'!$A$14:$C$43,3,FALSE)/'Score settings'!$B$6*'Score settings'!$D$6</x:f>
        <x:v>7.333333333333333</x:v>
      </x:c>
      <x:c r="AE30" s="41" t="n">
        <x:f>VLOOKUP("Benefits|"&amp;IF(AND(ISNUMBER(K30),K30&gt;0,ISNUMBER(G30),G30&gt;0),IF(K30/G30&gt;='Score settings'!$E$17,"3plus",IF(K30/G30&gt;='Score settings'!$E$16,"1.5to3",IF(K30/G30&gt;='Score settings'!$E$15,"0.5to1.5","positive"))),"None"),'Score settings'!$A$14:$C$43,3,FALSE)/'Score settings'!$B$7*'Score settings'!$D$7</x:f>
        <x:v>18</x:v>
      </x:c>
      <x:c r="AF30" s="41" t="n">
        <x:f>VLOOKUP("Waste|"&amp;R30,'Score settings'!$A$14:$C$43,3,FALSE)/'Score settings'!$B$8*'Score settings'!$D$8</x:f>
        <x:v>0</x:v>
      </x:c>
      <x:c r="AG30" s="41" t="n">
        <x:f>(IF(AND(ISNUMBER(M30),M30&gt;0,ISNUMBER(G30),G30&gt;0),IF(M30/G30&gt;='Score settings'!$E$17,'Score settings'!$G$17,IF(M30/G30&gt;='Score settings'!$E$16,'Score settings'!$G$16,IF(M30/G30&gt;='Score settings'!$E$15,'Score settings'!$G$15,'Score settings'!$G$14))),0)/15*'Score settings'!$B$60+IFERROR(VLOOKUP(IF(ISNUMBER(N30),N30,IF(ISNUMBER(L30),L30,0)),'Score settings'!$E$22:$F$26,2,FALSE),0)/10*'Score settings'!$B$61)/'Score settings'!$B$9*'Score settings'!$D$9</x:f>
        <x:v>0</x:v>
      </x:c>
      <x:c r="AH30" s="41" t="n">
        <x:f>IF(B30="","",SUM(AB30:AG30))</x:f>
        <x:v>40.13333333333333</x:v>
      </x:c>
      <x:c r="AI30" s="41" t="str">
        <x:f>IF(NOT(ISNUMBER(AH30)),"Not scored",VLOOKUP(AH30,'Score settings'!$A$47:$C$50,3,TRUE))</x:f>
        <x:v>Discretionary</x:v>
      </x:c>
      <x:c r="AJ30" s="42" t="n">
        <x:f>IF(OR(NOT(ISNUMBER(AH30)),T30&lt;&gt;"Common pot"),"",COUNTIFS($T$4:$T$509,"Common pot",$AH$4:$AH$509,"&gt;"&amp;AH30)+1)</x:f>
        <x:v>99</x:v>
      </x:c>
      <x:c r="AK30" s="36" t="str">
        <x:f>IF(B30="","Name missing - not scored",IF(OR(NOT(ISNUMBER(G30)),G30&lt;=0),"Investment missing or zero - review",IF(0=1,"Permanent ID missing - reconcile",IF(AND(ISNUMBER(H30),H30/G30&gt;='Score settings'!$B$58,NOT(ISNUMBER(I30))),"Benefit units need review",IF(OR(R30="EXIT",R30="CHALLENGE"),"Waste decision requires scope resolution",IF("Name and organisation matched"&lt;&gt;"Name and organisation matched","Waste evidence match needs review","Provisional source score - confirm evidence"))))))</x:f>
        <x:v>Provisional source score - confirm evidence</x:v>
      </x:c>
      <x:c r="AL30" s="36"/>
      <x:c r="AM30" s="40"/>
      <x:c r="AN30" s="39"/>
      <x:c r="AO30" s="40"/>
      <x:c r="AP30" s="40"/>
    </x:row>
    <x:row r="31" ht="15" hidden="0" customHeight="1">
      <x:c r="A31" s="36" t="str">
        <x:v>Bu-28</x:v>
      </x:c>
      <x:c r="B31" s="37" t="str">
        <x:v>27. Sales operations | Raise the norm in commercial excellence</x:v>
      </x:c>
      <x:c r="C31" s="36" t="str">
        <x:v>BU Led</x:v>
      </x:c>
      <x:c r="D31" s="36" t="str">
        <x:v>Personal Health (PH)</x:v>
      </x:c>
      <x:c r="E31" s="38" t="n">
        <x:v>1</x:v>
      </x:c>
      <x:c r="F31" s="39"/>
      <x:c r="G31" s="38" t="n">
        <x:f>IF(ISNUMBER(F31),F31,IF(E31="","",E31))</x:f>
        <x:v>1</x:v>
      </x:c>
      <x:c r="H31" s="38" t="n">
        <x:v>4.392</x:v>
      </x:c>
      <x:c r="I31" s="39"/>
      <x:c r="J31" s="36" t="str">
        <x:v>Revenue</x:v>
      </x:c>
      <x:c r="K31" s="38" t="n">
        <x:f>IF(ISNUMBER(I31),I31,IF(OR(NOT(ISNUMBER(H31)),NOT(ISNUMBER(G31)),G31&lt;=0),"",IF(H31/G31&gt;='Score settings'!$B$58,"",IF(J31="Cash savings",H31,IF(J31="Revenue",H31*'Score settings'!$B$55,"")))))</x:f>
        <x:v>0.6588</x:v>
      </x:c>
      <x:c r="L31" s="36"/>
      <x:c r="M31" s="39"/>
      <x:c r="N31" s="40"/>
      <x:c r="O31" s="36" t="str">
        <x:v>Must Do</x:v>
      </x:c>
      <x:c r="P31" s="36" t="str">
        <x:v>CI</x:v>
      </x:c>
      <x:c r="Q31" s="36" t="str">
        <x:v>Revenue</x:v>
      </x:c>
      <x:c r="R31" s="36" t="str">
        <x:v>NotAssessed</x:v>
      </x:c>
      <x:c r="S31" s="36" t="str"/>
      <x:c r="T31" s="36" t="str">
        <x:v>Common pot</x:v>
      </x:c>
      <x:c r="U31" s="41" t="n">
        <x:f>VLOOKUP("Priority|"&amp;O31,'Score settings'!$A$14:$C$43,2,FALSE)/'Score settings'!$B$4*'Score settings'!$C$4</x:f>
        <x:v>25</x:v>
      </x:c>
      <x:c r="V31" s="41" t="n">
        <x:f>VLOOKUP("Category|"&amp;P31,'Score settings'!$A$14:$C$43,2,FALSE)/'Score settings'!$B$5*'Score settings'!$C$5</x:f>
        <x:v>8</x:v>
      </x:c>
      <x:c r="W31" s="41" t="n">
        <x:f>VLOOKUP("Area|"&amp;Q31,'Score settings'!$A$14:$C$43,2,FALSE)/'Score settings'!$B$6*'Score settings'!$C$6</x:f>
        <x:v>11</x:v>
      </x:c>
      <x:c r="X31" s="41" t="n">
        <x:f>VLOOKUP("Benefits|"&amp;IF(AND(ISNUMBER(H31),H31&gt;0,ISNUMBER(G31),G31&gt;0),IF(H31/G31&gt;='Score settings'!$E$17,"3plus",IF(H31/G31&gt;='Score settings'!$E$16,"1.5to3",IF(H31/G31&gt;='Score settings'!$E$15,"0.5to1.5","positive"))),"None"),'Score settings'!$A$14:$C$43,2,FALSE)/'Score settings'!$B$7*'Score settings'!$C$7</x:f>
        <x:v>25</x:v>
      </x:c>
      <x:c r="Y31" s="41" t="n">
        <x:f>VLOOKUP("Waste|"&amp;R31,'Score settings'!$A$14:$C$43,2,FALSE)/'Score settings'!$B$8*'Score settings'!$C$8</x:f>
        <x:v>7</x:v>
      </x:c>
      <x:c r="Z31" s="41" t="n">
        <x:f>IF(B31="","",SUM(U31:Y31))</x:f>
        <x:v>76</x:v>
      </x:c>
      <x:c r="AA31" s="41" t="str">
        <x:f>IF(Z31="","Not scored",VLOOKUP(Z31,'Score settings'!$A$47:$C$50,2,TRUE))</x:f>
        <x:v>Protected</x:v>
      </x:c>
      <x:c r="AB31" s="41" t="n">
        <x:f>VLOOKUP("Priority|"&amp;O31,'Score settings'!$A$14:$C$43,3,FALSE)/'Score settings'!$B$4*'Score settings'!$D$4</x:f>
        <x:v>15</x:v>
      </x:c>
      <x:c r="AC31" s="41" t="n">
        <x:f>VLOOKUP("Category|"&amp;P31,'Score settings'!$A$14:$C$43,3,FALSE)/'Score settings'!$B$5*'Score settings'!$D$5</x:f>
        <x:v>4</x:v>
      </x:c>
      <x:c r="AD31" s="41" t="n">
        <x:f>VLOOKUP("Area|"&amp;Q31,'Score settings'!$A$14:$C$43,3,FALSE)/'Score settings'!$B$6*'Score settings'!$D$6</x:f>
        <x:v>7.333333333333333</x:v>
      </x:c>
      <x:c r="AE31" s="41" t="n">
        <x:f>VLOOKUP("Benefits|"&amp;IF(AND(ISNUMBER(K31),K31&gt;0,ISNUMBER(G31),G31&gt;0),IF(K31/G31&gt;='Score settings'!$E$17,"3plus",IF(K31/G31&gt;='Score settings'!$E$16,"1.5to3",IF(K31/G31&gt;='Score settings'!$E$15,"0.5to1.5","positive"))),"None"),'Score settings'!$A$14:$C$43,3,FALSE)/'Score settings'!$B$7*'Score settings'!$D$7</x:f>
        <x:v>18</x:v>
      </x:c>
      <x:c r="AF31" s="41" t="n">
        <x:f>VLOOKUP("Waste|"&amp;R31,'Score settings'!$A$14:$C$43,3,FALSE)/'Score settings'!$B$8*'Score settings'!$D$8</x:f>
        <x:v>0</x:v>
      </x:c>
      <x:c r="AG31" s="41" t="n">
        <x:f>(IF(AND(ISNUMBER(M31),M31&gt;0,ISNUMBER(G31),G31&gt;0),IF(M31/G31&gt;='Score settings'!$E$17,'Score settings'!$G$17,IF(M31/G31&gt;='Score settings'!$E$16,'Score settings'!$G$16,IF(M31/G31&gt;='Score settings'!$E$15,'Score settings'!$G$15,'Score settings'!$G$14))),0)/15*'Score settings'!$B$60+IFERROR(VLOOKUP(IF(ISNUMBER(N31),N31,IF(ISNUMBER(L31),L31,0)),'Score settings'!$E$22:$F$26,2,FALSE),0)/10*'Score settings'!$B$61)/'Score settings'!$B$9*'Score settings'!$D$9</x:f>
        <x:v>0</x:v>
      </x:c>
      <x:c r="AH31" s="41" t="n">
        <x:f>IF(B31="","",SUM(AB31:AG31))</x:f>
        <x:v>44.33333333333333</x:v>
      </x:c>
      <x:c r="AI31" s="41" t="str">
        <x:f>IF(NOT(ISNUMBER(AH31)),"Not scored",VLOOKUP(AH31,'Score settings'!$A$47:$C$50,3,TRUE))</x:f>
        <x:v>Discretionary</x:v>
      </x:c>
      <x:c r="AJ31" s="42" t="n">
        <x:f>IF(OR(NOT(ISNUMBER(AH31)),T31&lt;&gt;"Common pot"),"",COUNTIFS($T$4:$T$509,"Common pot",$AH$4:$AH$509,"&gt;"&amp;AH31)+1)</x:f>
        <x:v>67</x:v>
      </x:c>
      <x:c r="AK31" s="36" t="str">
        <x:f>IF(B31="","Name missing - not scored",IF(OR(NOT(ISNUMBER(G31)),G31&lt;=0),"Investment missing or zero - review",IF(0=1,"Permanent ID missing - reconcile",IF(AND(ISNUMBER(H31),H31/G31&gt;='Score settings'!$B$58,NOT(ISNUMBER(I31))),"Benefit units need review",IF(OR(R31="EXIT",R31="CHALLENGE"),"Waste decision requires scope resolution",IF("Name and organisation matched"&lt;&gt;"Name and organisation matched","Waste evidence match needs review","Provisional source score - confirm evidence"))))))</x:f>
        <x:v>Provisional source score - confirm evidence</x:v>
      </x:c>
      <x:c r="AL31" s="36"/>
      <x:c r="AM31" s="40"/>
      <x:c r="AN31" s="39"/>
      <x:c r="AO31" s="40"/>
      <x:c r="AP31" s="40"/>
    </x:row>
    <x:row r="32" ht="15" hidden="0" customHeight="1">
      <x:c r="A32" s="36" t="str">
        <x:v>Bu-29</x:v>
      </x:c>
      <x:c r="B32" s="37" t="str">
        <x:v>41. Accelerate Incremental Sales from Media Investments (MMM)</x:v>
      </x:c>
      <x:c r="C32" s="36" t="str">
        <x:v>BU Led</x:v>
      </x:c>
      <x:c r="D32" s="36" t="str">
        <x:v>Personal Health (PH)</x:v>
      </x:c>
      <x:c r="E32" s="38" t="n">
        <x:v>1.2</x:v>
      </x:c>
      <x:c r="F32" s="39"/>
      <x:c r="G32" s="38" t="n">
        <x:f>IF(ISNUMBER(F32),F32,IF(E32="","",E32))</x:f>
        <x:v>1.2</x:v>
      </x:c>
      <x:c r="H32" s="38" t="n">
        <x:v>3.697</x:v>
      </x:c>
      <x:c r="I32" s="39"/>
      <x:c r="J32" s="36" t="str">
        <x:v>Revenue</x:v>
      </x:c>
      <x:c r="K32" s="38" t="n">
        <x:f>IF(ISNUMBER(I32),I32,IF(OR(NOT(ISNUMBER(H32)),NOT(ISNUMBER(G32)),G32&lt;=0),"",IF(H32/G32&gt;='Score settings'!$B$58,"",IF(J32="Cash savings",H32,IF(J32="Revenue",H32*'Score settings'!$B$55,"")))))</x:f>
        <x:v>0.55455</x:v>
      </x:c>
      <x:c r="L32" s="36"/>
      <x:c r="M32" s="39"/>
      <x:c r="N32" s="40"/>
      <x:c r="O32" s="36" t="str">
        <x:v>Must Do</x:v>
      </x:c>
      <x:c r="P32" s="36" t="str">
        <x:v>CI</x:v>
      </x:c>
      <x:c r="Q32" s="36" t="str">
        <x:v>Revenue</x:v>
      </x:c>
      <x:c r="R32" s="36" t="str">
        <x:v>NotAssessed</x:v>
      </x:c>
      <x:c r="S32" s="36" t="str"/>
      <x:c r="T32" s="36" t="str">
        <x:v>Common pot</x:v>
      </x:c>
      <x:c r="U32" s="41" t="n">
        <x:f>VLOOKUP("Priority|"&amp;O32,'Score settings'!$A$14:$C$43,2,FALSE)/'Score settings'!$B$4*'Score settings'!$C$4</x:f>
        <x:v>25</x:v>
      </x:c>
      <x:c r="V32" s="41" t="n">
        <x:f>VLOOKUP("Category|"&amp;P32,'Score settings'!$A$14:$C$43,2,FALSE)/'Score settings'!$B$5*'Score settings'!$C$5</x:f>
        <x:v>8</x:v>
      </x:c>
      <x:c r="W32" s="41" t="n">
        <x:f>VLOOKUP("Area|"&amp;Q32,'Score settings'!$A$14:$C$43,2,FALSE)/'Score settings'!$B$6*'Score settings'!$C$6</x:f>
        <x:v>11</x:v>
      </x:c>
      <x:c r="X32" s="41" t="n">
        <x:f>VLOOKUP("Benefits|"&amp;IF(AND(ISNUMBER(H32),H32&gt;0,ISNUMBER(G32),G32&gt;0),IF(H32/G32&gt;='Score settings'!$E$17,"3plus",IF(H32/G32&gt;='Score settings'!$E$16,"1.5to3",IF(H32/G32&gt;='Score settings'!$E$15,"0.5to1.5","positive"))),"None"),'Score settings'!$A$14:$C$43,2,FALSE)/'Score settings'!$B$7*'Score settings'!$C$7</x:f>
        <x:v>25</x:v>
      </x:c>
      <x:c r="Y32" s="41" t="n">
        <x:f>VLOOKUP("Waste|"&amp;R32,'Score settings'!$A$14:$C$43,2,FALSE)/'Score settings'!$B$8*'Score settings'!$C$8</x:f>
        <x:v>7</x:v>
      </x:c>
      <x:c r="Z32" s="41" t="n">
        <x:f>IF(B32="","",SUM(U32:Y32))</x:f>
        <x:v>76</x:v>
      </x:c>
      <x:c r="AA32" s="41" t="str">
        <x:f>IF(Z32="","Not scored",VLOOKUP(Z32,'Score settings'!$A$47:$C$50,2,TRUE))</x:f>
        <x:v>Protected</x:v>
      </x:c>
      <x:c r="AB32" s="41" t="n">
        <x:f>VLOOKUP("Priority|"&amp;O32,'Score settings'!$A$14:$C$43,3,FALSE)/'Score settings'!$B$4*'Score settings'!$D$4</x:f>
        <x:v>15</x:v>
      </x:c>
      <x:c r="AC32" s="41" t="n">
        <x:f>VLOOKUP("Category|"&amp;P32,'Score settings'!$A$14:$C$43,3,FALSE)/'Score settings'!$B$5*'Score settings'!$D$5</x:f>
        <x:v>4</x:v>
      </x:c>
      <x:c r="AD32" s="41" t="n">
        <x:f>VLOOKUP("Area|"&amp;Q32,'Score settings'!$A$14:$C$43,3,FALSE)/'Score settings'!$B$6*'Score settings'!$D$6</x:f>
        <x:v>7.333333333333333</x:v>
      </x:c>
      <x:c r="AE32" s="41" t="n">
        <x:f>VLOOKUP("Benefits|"&amp;IF(AND(ISNUMBER(K32),K32&gt;0,ISNUMBER(G32),G32&gt;0),IF(K32/G32&gt;='Score settings'!$E$17,"3plus",IF(K32/G32&gt;='Score settings'!$E$16,"1.5to3",IF(K32/G32&gt;='Score settings'!$E$15,"0.5to1.5","positive"))),"None"),'Score settings'!$A$14:$C$43,3,FALSE)/'Score settings'!$B$7*'Score settings'!$D$7</x:f>
        <x:v>12</x:v>
      </x:c>
      <x:c r="AF32" s="41" t="n">
        <x:f>VLOOKUP("Waste|"&amp;R32,'Score settings'!$A$14:$C$43,3,FALSE)/'Score settings'!$B$8*'Score settings'!$D$8</x:f>
        <x:v>0</x:v>
      </x:c>
      <x:c r="AG32" s="41" t="n">
        <x:f>(IF(AND(ISNUMBER(M32),M32&gt;0,ISNUMBER(G32),G32&gt;0),IF(M32/G32&gt;='Score settings'!$E$17,'Score settings'!$G$17,IF(M32/G32&gt;='Score settings'!$E$16,'Score settings'!$G$16,IF(M32/G32&gt;='Score settings'!$E$15,'Score settings'!$G$15,'Score settings'!$G$14))),0)/15*'Score settings'!$B$60+IFERROR(VLOOKUP(IF(ISNUMBER(N32),N32,IF(ISNUMBER(L32),L32,0)),'Score settings'!$E$22:$F$26,2,FALSE),0)/10*'Score settings'!$B$61)/'Score settings'!$B$9*'Score settings'!$D$9</x:f>
        <x:v>0</x:v>
      </x:c>
      <x:c r="AH32" s="41" t="n">
        <x:f>IF(B32="","",SUM(AB32:AG32))</x:f>
        <x:v>38.33333333333333</x:v>
      </x:c>
      <x:c r="AI32" s="41" t="str">
        <x:f>IF(NOT(ISNUMBER(AH32)),"Not scored",VLOOKUP(AH32,'Score settings'!$A$47:$C$50,3,TRUE))</x:f>
        <x:v>Discretionary</x:v>
      </x:c>
      <x:c r="AJ32" s="42" t="n">
        <x:f>IF(OR(NOT(ISNUMBER(AH32)),T32&lt;&gt;"Common pot"),"",COUNTIFS($T$4:$T$509,"Common pot",$AH$4:$AH$509,"&gt;"&amp;AH32)+1)</x:f>
        <x:v>110</x:v>
      </x:c>
      <x:c r="AK32" s="36" t="str">
        <x:f>IF(B32="","Name missing - not scored",IF(OR(NOT(ISNUMBER(G32)),G32&lt;=0),"Investment missing or zero - review",IF(0=1,"Permanent ID missing - reconcile",IF(AND(ISNUMBER(H32),H32/G32&gt;='Score settings'!$B$58,NOT(ISNUMBER(I32))),"Benefit units need review",IF(OR(R32="EXIT",R32="CHALLENGE"),"Waste decision requires scope resolution",IF("Name and organisation matched"&lt;&gt;"Name and organisation matched","Waste evidence match needs review","Provisional source score - confirm evidence"))))))</x:f>
        <x:v>Provisional source score - confirm evidence</x:v>
      </x:c>
      <x:c r="AL32" s="36"/>
      <x:c r="AM32" s="40"/>
      <x:c r="AN32" s="39"/>
      <x:c r="AO32" s="40"/>
      <x:c r="AP32" s="40"/>
    </x:row>
    <x:row r="33" ht="15" hidden="0" customHeight="1">
      <x:c r="A33" s="36" t="str">
        <x:v>Bu-30</x:v>
      </x:c>
      <x:c r="B33" s="37" t="str">
        <x:v>07 Philips Store for Business</x:v>
      </x:c>
      <x:c r="C33" s="36" t="str">
        <x:v>BU Led</x:v>
      </x:c>
      <x:c r="D33" s="36" t="str">
        <x:v>Personal Health (PH)</x:v>
      </x:c>
      <x:c r="E33" s="38" t="n">
        <x:v>1.5</x:v>
      </x:c>
      <x:c r="F33" s="39"/>
      <x:c r="G33" s="38" t="n">
        <x:f>IF(ISNUMBER(F33),F33,IF(E33="","",E33))</x:f>
        <x:v>1.5</x:v>
      </x:c>
      <x:c r="H33" s="38" t="n">
        <x:v>1.015</x:v>
      </x:c>
      <x:c r="I33" s="39"/>
      <x:c r="J33" s="36" t="str">
        <x:v>Revenue</x:v>
      </x:c>
      <x:c r="K33" s="38" t="n">
        <x:f>IF(ISNUMBER(I33),I33,IF(OR(NOT(ISNUMBER(H33)),NOT(ISNUMBER(G33)),G33&lt;=0),"",IF(H33/G33&gt;='Score settings'!$B$58,"",IF(J33="Cash savings",H33,IF(J33="Revenue",H33*'Score settings'!$B$55,"")))))</x:f>
        <x:v>0.15224999999999997</x:v>
      </x:c>
      <x:c r="L33" s="36"/>
      <x:c r="M33" s="39"/>
      <x:c r="N33" s="40"/>
      <x:c r="O33" s="36" t="str">
        <x:v>Must Do</x:v>
      </x:c>
      <x:c r="P33" s="36" t="str">
        <x:v>Decomm</x:v>
      </x:c>
      <x:c r="Q33" s="36" t="str">
        <x:v>Revenue</x:v>
      </x:c>
      <x:c r="R33" s="36" t="str">
        <x:v>NotAssessed</x:v>
      </x:c>
      <x:c r="S33" s="36" t="str"/>
      <x:c r="T33" s="36" t="str">
        <x:v>Common pot</x:v>
      </x:c>
      <x:c r="U33" s="41" t="n">
        <x:f>VLOOKUP("Priority|"&amp;O33,'Score settings'!$A$14:$C$43,2,FALSE)/'Score settings'!$B$4*'Score settings'!$C$4</x:f>
        <x:v>25</x:v>
      </x:c>
      <x:c r="V33" s="41" t="n">
        <x:f>VLOOKUP("Category|"&amp;P33,'Score settings'!$A$14:$C$43,2,FALSE)/'Score settings'!$B$5*'Score settings'!$C$5</x:f>
        <x:v>17</x:v>
      </x:c>
      <x:c r="W33" s="41" t="n">
        <x:f>VLOOKUP("Area|"&amp;Q33,'Score settings'!$A$14:$C$43,2,FALSE)/'Score settings'!$B$6*'Score settings'!$C$6</x:f>
        <x:v>11</x:v>
      </x:c>
      <x:c r="X33" s="41" t="n">
        <x:f>VLOOKUP("Benefits|"&amp;IF(AND(ISNUMBER(H33),H33&gt;0,ISNUMBER(G33),G33&gt;0),IF(H33/G33&gt;='Score settings'!$E$17,"3plus",IF(H33/G33&gt;='Score settings'!$E$16,"1.5to3",IF(H33/G33&gt;='Score settings'!$E$15,"0.5to1.5","positive"))),"None"),'Score settings'!$A$14:$C$43,2,FALSE)/'Score settings'!$B$7*'Score settings'!$C$7</x:f>
        <x:v>15</x:v>
      </x:c>
      <x:c r="Y33" s="41" t="n">
        <x:f>VLOOKUP("Waste|"&amp;R33,'Score settings'!$A$14:$C$43,2,FALSE)/'Score settings'!$B$8*'Score settings'!$C$8</x:f>
        <x:v>7</x:v>
      </x:c>
      <x:c r="Z33" s="41" t="n">
        <x:f>IF(B33="","",SUM(U33:Y33))</x:f>
        <x:v>75</x:v>
      </x:c>
      <x:c r="AA33" s="41" t="str">
        <x:f>IF(Z33="","Not scored",VLOOKUP(Z33,'Score settings'!$A$47:$C$50,2,TRUE))</x:f>
        <x:v>Protected</x:v>
      </x:c>
      <x:c r="AB33" s="41" t="n">
        <x:f>VLOOKUP("Priority|"&amp;O33,'Score settings'!$A$14:$C$43,3,FALSE)/'Score settings'!$B$4*'Score settings'!$D$4</x:f>
        <x:v>15</x:v>
      </x:c>
      <x:c r="AC33" s="41" t="n">
        <x:f>VLOOKUP("Category|"&amp;P33,'Score settings'!$A$14:$C$43,3,FALSE)/'Score settings'!$B$5*'Score settings'!$D$5</x:f>
        <x:v>8.5</x:v>
      </x:c>
      <x:c r="AD33" s="41" t="n">
        <x:f>VLOOKUP("Area|"&amp;Q33,'Score settings'!$A$14:$C$43,3,FALSE)/'Score settings'!$B$6*'Score settings'!$D$6</x:f>
        <x:v>7.333333333333333</x:v>
      </x:c>
      <x:c r="AE33" s="41" t="n">
        <x:f>VLOOKUP("Benefits|"&amp;IF(AND(ISNUMBER(K33),K33&gt;0,ISNUMBER(G33),G33&gt;0),IF(K33/G33&gt;='Score settings'!$E$17,"3plus",IF(K33/G33&gt;='Score settings'!$E$16,"1.5to3",IF(K33/G33&gt;='Score settings'!$E$15,"0.5to1.5","positive"))),"None"),'Score settings'!$A$14:$C$43,3,FALSE)/'Score settings'!$B$7*'Score settings'!$D$7</x:f>
        <x:v>12</x:v>
      </x:c>
      <x:c r="AF33" s="41" t="n">
        <x:f>VLOOKUP("Waste|"&amp;R33,'Score settings'!$A$14:$C$43,3,FALSE)/'Score settings'!$B$8*'Score settings'!$D$8</x:f>
        <x:v>0</x:v>
      </x:c>
      <x:c r="AG33" s="41" t="n">
        <x:f>(IF(AND(ISNUMBER(M33),M33&gt;0,ISNUMBER(G33),G33&gt;0),IF(M33/G33&gt;='Score settings'!$E$17,'Score settings'!$G$17,IF(M33/G33&gt;='Score settings'!$E$16,'Score settings'!$G$16,IF(M33/G33&gt;='Score settings'!$E$15,'Score settings'!$G$15,'Score settings'!$G$14))),0)/15*'Score settings'!$B$60+IFERROR(VLOOKUP(IF(ISNUMBER(N33),N33,IF(ISNUMBER(L33),L33,0)),'Score settings'!$E$22:$F$26,2,FALSE),0)/10*'Score settings'!$B$61)/'Score settings'!$B$9*'Score settings'!$D$9</x:f>
        <x:v>0</x:v>
      </x:c>
      <x:c r="AH33" s="41" t="n">
        <x:f>IF(B33="","",SUM(AB33:AG33))</x:f>
        <x:v>42.83333333333333</x:v>
      </x:c>
      <x:c r="AI33" s="41" t="str">
        <x:f>IF(NOT(ISNUMBER(AH33)),"Not scored",VLOOKUP(AH33,'Score settings'!$A$47:$C$50,3,TRUE))</x:f>
        <x:v>Discretionary</x:v>
      </x:c>
      <x:c r="AJ33" s="42" t="n">
        <x:f>IF(OR(NOT(ISNUMBER(AH33)),T33&lt;&gt;"Common pot"),"",COUNTIFS($T$4:$T$509,"Common pot",$AH$4:$AH$509,"&gt;"&amp;AH33)+1)</x:f>
        <x:v>78</x:v>
      </x:c>
      <x:c r="AK33" s="36" t="str">
        <x:f>IF(B33="","Name missing - not scored",IF(OR(NOT(ISNUMBER(G33)),G33&lt;=0),"Investment missing or zero - review",IF(0=1,"Permanent ID missing - reconcile",IF(AND(ISNUMBER(H33),H33/G33&gt;='Score settings'!$B$58,NOT(ISNUMBER(I33))),"Benefit units need review",IF(OR(R33="EXIT",R33="CHALLENGE"),"Waste decision requires scope resolution",IF("Name and organisation matched"&lt;&gt;"Name and organisation matched","Waste evidence match needs review","Provisional source score - confirm evidence"))))))</x:f>
        <x:v>Provisional source score - confirm evidence</x:v>
      </x:c>
      <x:c r="AL33" s="36"/>
      <x:c r="AM33" s="40"/>
      <x:c r="AN33" s="39"/>
      <x:c r="AO33" s="40"/>
      <x:c r="AP33" s="40"/>
    </x:row>
    <x:row r="34" ht="15" hidden="0" customHeight="1">
      <x:c r="A34" s="36" t="str">
        <x:v>Bu-31</x:v>
      </x:c>
      <x:c r="B34" s="37" t="str">
        <x:v>31.1 E-Commerce Analytics &amp; Digital Shelf</x:v>
      </x:c>
      <x:c r="C34" s="36" t="str">
        <x:v>BU Led</x:v>
      </x:c>
      <x:c r="D34" s="36" t="str">
        <x:v>Personal Health (PH)</x:v>
      </x:c>
      <x:c r="E34" s="38" t="n">
        <x:v>0.22</x:v>
      </x:c>
      <x:c r="F34" s="39"/>
      <x:c r="G34" s="38" t="n">
        <x:f>IF(ISNUMBER(F34),F34,IF(E34="","",E34))</x:f>
        <x:v>0.22</x:v>
      </x:c>
      <x:c r="H34" s="38" t="n">
        <x:v>1.533</x:v>
      </x:c>
      <x:c r="I34" s="39"/>
      <x:c r="J34" s="36" t="str">
        <x:v>Revenue</x:v>
      </x:c>
      <x:c r="K34" s="38" t="n">
        <x:f>IF(ISNUMBER(I34),I34,IF(OR(NOT(ISNUMBER(H34)),NOT(ISNUMBER(G34)),G34&lt;=0),"",IF(H34/G34&gt;='Score settings'!$B$58,"",IF(J34="Cash savings",H34,IF(J34="Revenue",H34*'Score settings'!$B$55,"")))))</x:f>
        <x:v>0.22995</x:v>
      </x:c>
      <x:c r="L34" s="36"/>
      <x:c r="M34" s="39"/>
      <x:c r="N34" s="40"/>
      <x:c r="O34" s="36" t="str">
        <x:v>Must Do</x:v>
      </x:c>
      <x:c r="P34" s="36" t="str">
        <x:v>CI</x:v>
      </x:c>
      <x:c r="Q34" s="36" t="str">
        <x:v>Revenue</x:v>
      </x:c>
      <x:c r="R34" s="36" t="str">
        <x:v>NotAssessed</x:v>
      </x:c>
      <x:c r="S34" s="36" t="str"/>
      <x:c r="T34" s="36" t="str">
        <x:v>Common pot</x:v>
      </x:c>
      <x:c r="U34" s="41" t="n">
        <x:f>VLOOKUP("Priority|"&amp;O34,'Score settings'!$A$14:$C$43,2,FALSE)/'Score settings'!$B$4*'Score settings'!$C$4</x:f>
        <x:v>25</x:v>
      </x:c>
      <x:c r="V34" s="41" t="n">
        <x:f>VLOOKUP("Category|"&amp;P34,'Score settings'!$A$14:$C$43,2,FALSE)/'Score settings'!$B$5*'Score settings'!$C$5</x:f>
        <x:v>8</x:v>
      </x:c>
      <x:c r="W34" s="41" t="n">
        <x:f>VLOOKUP("Area|"&amp;Q34,'Score settings'!$A$14:$C$43,2,FALSE)/'Score settings'!$B$6*'Score settings'!$C$6</x:f>
        <x:v>11</x:v>
      </x:c>
      <x:c r="X34" s="41" t="n">
        <x:f>VLOOKUP("Benefits|"&amp;IF(AND(ISNUMBER(H34),H34&gt;0,ISNUMBER(G34),G34&gt;0),IF(H34/G34&gt;='Score settings'!$E$17,"3plus",IF(H34/G34&gt;='Score settings'!$E$16,"1.5to3",IF(H34/G34&gt;='Score settings'!$E$15,"0.5to1.5","positive"))),"None"),'Score settings'!$A$14:$C$43,2,FALSE)/'Score settings'!$B$7*'Score settings'!$C$7</x:f>
        <x:v>25</x:v>
      </x:c>
      <x:c r="Y34" s="41" t="n">
        <x:f>VLOOKUP("Waste|"&amp;R34,'Score settings'!$A$14:$C$43,2,FALSE)/'Score settings'!$B$8*'Score settings'!$C$8</x:f>
        <x:v>7</x:v>
      </x:c>
      <x:c r="Z34" s="41" t="n">
        <x:f>IF(B34="","",SUM(U34:Y34))</x:f>
        <x:v>76</x:v>
      </x:c>
      <x:c r="AA34" s="41" t="str">
        <x:f>IF(Z34="","Not scored",VLOOKUP(Z34,'Score settings'!$A$47:$C$50,2,TRUE))</x:f>
        <x:v>Protected</x:v>
      </x:c>
      <x:c r="AB34" s="41" t="n">
        <x:f>VLOOKUP("Priority|"&amp;O34,'Score settings'!$A$14:$C$43,3,FALSE)/'Score settings'!$B$4*'Score settings'!$D$4</x:f>
        <x:v>15</x:v>
      </x:c>
      <x:c r="AC34" s="41" t="n">
        <x:f>VLOOKUP("Category|"&amp;P34,'Score settings'!$A$14:$C$43,3,FALSE)/'Score settings'!$B$5*'Score settings'!$D$5</x:f>
        <x:v>4</x:v>
      </x:c>
      <x:c r="AD34" s="41" t="n">
        <x:f>VLOOKUP("Area|"&amp;Q34,'Score settings'!$A$14:$C$43,3,FALSE)/'Score settings'!$B$6*'Score settings'!$D$6</x:f>
        <x:v>7.333333333333333</x:v>
      </x:c>
      <x:c r="AE34" s="41" t="n">
        <x:f>VLOOKUP("Benefits|"&amp;IF(AND(ISNUMBER(K34),K34&gt;0,ISNUMBER(G34),G34&gt;0),IF(K34/G34&gt;='Score settings'!$E$17,"3plus",IF(K34/G34&gt;='Score settings'!$E$16,"1.5to3",IF(K34/G34&gt;='Score settings'!$E$15,"0.5to1.5","positive"))),"None"),'Score settings'!$A$14:$C$43,3,FALSE)/'Score settings'!$B$7*'Score settings'!$D$7</x:f>
        <x:v>18</x:v>
      </x:c>
      <x:c r="AF34" s="41" t="n">
        <x:f>VLOOKUP("Waste|"&amp;R34,'Score settings'!$A$14:$C$43,3,FALSE)/'Score settings'!$B$8*'Score settings'!$D$8</x:f>
        <x:v>0</x:v>
      </x:c>
      <x:c r="AG34" s="41" t="n">
        <x:f>(IF(AND(ISNUMBER(M34),M34&gt;0,ISNUMBER(G34),G34&gt;0),IF(M34/G34&gt;='Score settings'!$E$17,'Score settings'!$G$17,IF(M34/G34&gt;='Score settings'!$E$16,'Score settings'!$G$16,IF(M34/G34&gt;='Score settings'!$E$15,'Score settings'!$G$15,'Score settings'!$G$14))),0)/15*'Score settings'!$B$60+IFERROR(VLOOKUP(IF(ISNUMBER(N34),N34,IF(ISNUMBER(L34),L34,0)),'Score settings'!$E$22:$F$26,2,FALSE),0)/10*'Score settings'!$B$61)/'Score settings'!$B$9*'Score settings'!$D$9</x:f>
        <x:v>0</x:v>
      </x:c>
      <x:c r="AH34" s="41" t="n">
        <x:f>IF(B34="","",SUM(AB34:AG34))</x:f>
        <x:v>44.33333333333333</x:v>
      </x:c>
      <x:c r="AI34" s="41" t="str">
        <x:f>IF(NOT(ISNUMBER(AH34)),"Not scored",VLOOKUP(AH34,'Score settings'!$A$47:$C$50,3,TRUE))</x:f>
        <x:v>Discretionary</x:v>
      </x:c>
      <x:c r="AJ34" s="42" t="n">
        <x:f>IF(OR(NOT(ISNUMBER(AH34)),T34&lt;&gt;"Common pot"),"",COUNTIFS($T$4:$T$509,"Common pot",$AH$4:$AH$509,"&gt;"&amp;AH34)+1)</x:f>
        <x:v>67</x:v>
      </x:c>
      <x:c r="AK34" s="36" t="str">
        <x:f>IF(B34="","Name missing - not scored",IF(OR(NOT(ISNUMBER(G34)),G34&lt;=0),"Investment missing or zero - review",IF(0=1,"Permanent ID missing - reconcile",IF(AND(ISNUMBER(H34),H34/G34&gt;='Score settings'!$B$58,NOT(ISNUMBER(I34))),"Benefit units need review",IF(OR(R34="EXIT",R34="CHALLENGE"),"Waste decision requires scope resolution",IF("No exact waste match"&lt;&gt;"Name and organisation matched","Waste evidence match needs review","Provisional source score - confirm evidence"))))))</x:f>
        <x:v>Waste evidence match needs review</x:v>
      </x:c>
      <x:c r="AL34" s="36"/>
      <x:c r="AM34" s="40"/>
      <x:c r="AN34" s="39"/>
      <x:c r="AO34" s="40"/>
      <x:c r="AP34" s="40"/>
    </x:row>
    <x:row r="35" ht="15" hidden="0" customHeight="1">
      <x:c r="A35" s="36" t="str">
        <x:v>Bu-32</x:v>
      </x:c>
      <x:c r="B35" s="37" t="str">
        <x:v>30. COPAD (Customer One performance Analytics Dashboards)</x:v>
      </x:c>
      <x:c r="C35" s="36" t="str">
        <x:v>BU Led</x:v>
      </x:c>
      <x:c r="D35" s="36" t="str">
        <x:v>Personal Health (PH)</x:v>
      </x:c>
      <x:c r="E35" s="38" t="n">
        <x:v>0.2</x:v>
      </x:c>
      <x:c r="F35" s="39"/>
      <x:c r="G35" s="38" t="n">
        <x:f>IF(ISNUMBER(F35),F35,IF(E35="","",E35))</x:f>
        <x:v>0.2</x:v>
      </x:c>
      <x:c r="H35" s="38" t="n">
        <x:v>2.954</x:v>
      </x:c>
      <x:c r="I35" s="39"/>
      <x:c r="J35" s="36" t="str">
        <x:v>Revenue</x:v>
      </x:c>
      <x:c r="K35" s="38" t="n">
        <x:f>IF(ISNUMBER(I35),I35,IF(OR(NOT(ISNUMBER(H35)),NOT(ISNUMBER(G35)),G35&lt;=0),"",IF(H35/G35&gt;='Score settings'!$B$58,"",IF(J35="Cash savings",H35,IF(J35="Revenue",H35*'Score settings'!$B$55,"")))))</x:f>
        <x:v>0.4431</x:v>
      </x:c>
      <x:c r="L35" s="36"/>
      <x:c r="M35" s="39"/>
      <x:c r="N35" s="40"/>
      <x:c r="O35" s="36" t="str">
        <x:v>Must Do</x:v>
      </x:c>
      <x:c r="P35" s="36" t="str">
        <x:v>CI</x:v>
      </x:c>
      <x:c r="Q35" s="36" t="str">
        <x:v>Revenue</x:v>
      </x:c>
      <x:c r="R35" s="36" t="str">
        <x:v>NotAssessed</x:v>
      </x:c>
      <x:c r="S35" s="36" t="str"/>
      <x:c r="T35" s="36" t="str">
        <x:v>Common pot</x:v>
      </x:c>
      <x:c r="U35" s="41" t="n">
        <x:f>VLOOKUP("Priority|"&amp;O35,'Score settings'!$A$14:$C$43,2,FALSE)/'Score settings'!$B$4*'Score settings'!$C$4</x:f>
        <x:v>25</x:v>
      </x:c>
      <x:c r="V35" s="41" t="n">
        <x:f>VLOOKUP("Category|"&amp;P35,'Score settings'!$A$14:$C$43,2,FALSE)/'Score settings'!$B$5*'Score settings'!$C$5</x:f>
        <x:v>8</x:v>
      </x:c>
      <x:c r="W35" s="41" t="n">
        <x:f>VLOOKUP("Area|"&amp;Q35,'Score settings'!$A$14:$C$43,2,FALSE)/'Score settings'!$B$6*'Score settings'!$C$6</x:f>
        <x:v>11</x:v>
      </x:c>
      <x:c r="X35" s="41" t="n">
        <x:f>VLOOKUP("Benefits|"&amp;IF(AND(ISNUMBER(H35),H35&gt;0,ISNUMBER(G35),G35&gt;0),IF(H35/G35&gt;='Score settings'!$E$17,"3plus",IF(H35/G35&gt;='Score settings'!$E$16,"1.5to3",IF(H35/G35&gt;='Score settings'!$E$15,"0.5to1.5","positive"))),"None"),'Score settings'!$A$14:$C$43,2,FALSE)/'Score settings'!$B$7*'Score settings'!$C$7</x:f>
        <x:v>25</x:v>
      </x:c>
      <x:c r="Y35" s="41" t="n">
        <x:f>VLOOKUP("Waste|"&amp;R35,'Score settings'!$A$14:$C$43,2,FALSE)/'Score settings'!$B$8*'Score settings'!$C$8</x:f>
        <x:v>7</x:v>
      </x:c>
      <x:c r="Z35" s="41" t="n">
        <x:f>IF(B35="","",SUM(U35:Y35))</x:f>
        <x:v>76</x:v>
      </x:c>
      <x:c r="AA35" s="41" t="str">
        <x:f>IF(Z35="","Not scored",VLOOKUP(Z35,'Score settings'!$A$47:$C$50,2,TRUE))</x:f>
        <x:v>Protected</x:v>
      </x:c>
      <x:c r="AB35" s="41" t="n">
        <x:f>VLOOKUP("Priority|"&amp;O35,'Score settings'!$A$14:$C$43,3,FALSE)/'Score settings'!$B$4*'Score settings'!$D$4</x:f>
        <x:v>15</x:v>
      </x:c>
      <x:c r="AC35" s="41" t="n">
        <x:f>VLOOKUP("Category|"&amp;P35,'Score settings'!$A$14:$C$43,3,FALSE)/'Score settings'!$B$5*'Score settings'!$D$5</x:f>
        <x:v>4</x:v>
      </x:c>
      <x:c r="AD35" s="41" t="n">
        <x:f>VLOOKUP("Area|"&amp;Q35,'Score settings'!$A$14:$C$43,3,FALSE)/'Score settings'!$B$6*'Score settings'!$D$6</x:f>
        <x:v>7.333333333333333</x:v>
      </x:c>
      <x:c r="AE35" s="41" t="n">
        <x:f>VLOOKUP("Benefits|"&amp;IF(AND(ISNUMBER(K35),K35&gt;0,ISNUMBER(G35),G35&gt;0),IF(K35/G35&gt;='Score settings'!$E$17,"3plus",IF(K35/G35&gt;='Score settings'!$E$16,"1.5to3",IF(K35/G35&gt;='Score settings'!$E$15,"0.5to1.5","positive"))),"None"),'Score settings'!$A$14:$C$43,3,FALSE)/'Score settings'!$B$7*'Score settings'!$D$7</x:f>
        <x:v>24</x:v>
      </x:c>
      <x:c r="AF35" s="41" t="n">
        <x:f>VLOOKUP("Waste|"&amp;R35,'Score settings'!$A$14:$C$43,3,FALSE)/'Score settings'!$B$8*'Score settings'!$D$8</x:f>
        <x:v>0</x:v>
      </x:c>
      <x:c r="AG35" s="41" t="n">
        <x:f>(IF(AND(ISNUMBER(M35),M35&gt;0,ISNUMBER(G35),G35&gt;0),IF(M35/G35&gt;='Score settings'!$E$17,'Score settings'!$G$17,IF(M35/G35&gt;='Score settings'!$E$16,'Score settings'!$G$16,IF(M35/G35&gt;='Score settings'!$E$15,'Score settings'!$G$15,'Score settings'!$G$14))),0)/15*'Score settings'!$B$60+IFERROR(VLOOKUP(IF(ISNUMBER(N35),N35,IF(ISNUMBER(L35),L35,0)),'Score settings'!$E$22:$F$26,2,FALSE),0)/10*'Score settings'!$B$61)/'Score settings'!$B$9*'Score settings'!$D$9</x:f>
        <x:v>0</x:v>
      </x:c>
      <x:c r="AH35" s="41" t="n">
        <x:f>IF(B35="","",SUM(AB35:AG35))</x:f>
        <x:v>50.33333333333333</x:v>
      </x:c>
      <x:c r="AI35" s="41" t="str">
        <x:f>IF(NOT(ISNUMBER(AH35)),"Not scored",VLOOKUP(AH35,'Score settings'!$A$47:$C$50,3,TRUE))</x:f>
        <x:v>Strong</x:v>
      </x:c>
      <x:c r="AJ35" s="42" t="n">
        <x:f>IF(OR(NOT(ISNUMBER(AH35)),T35&lt;&gt;"Common pot"),"",COUNTIFS($T$4:$T$509,"Common pot",$AH$4:$AH$509,"&gt;"&amp;AH35)+1)</x:f>
        <x:v>47</x:v>
      </x:c>
      <x:c r="AK35" s="36" t="str">
        <x:f>IF(B35="","Name missing - not scored",IF(OR(NOT(ISNUMBER(G35)),G35&lt;=0),"Investment missing or zero - review",IF(0=1,"Permanent ID missing - reconcile",IF(AND(ISNUMBER(H35),H35/G35&gt;='Score settings'!$B$58,NOT(ISNUMBER(I35))),"Benefit units need review",IF(OR(R35="EXIT",R35="CHALLENGE"),"Waste decision requires scope resolution",IF("Name and organisation matched"&lt;&gt;"Name and organisation matched","Waste evidence match needs review","Provisional source score - confirm evidence"))))))</x:f>
        <x:v>Provisional source score - confirm evidence</x:v>
      </x:c>
      <x:c r="AL35" s="36"/>
      <x:c r="AM35" s="40"/>
      <x:c r="AN35" s="39"/>
      <x:c r="AO35" s="40"/>
      <x:c r="AP35" s="40"/>
    </x:row>
    <x:row r="36" ht="15" hidden="0" customHeight="1">
      <x:c r="A36" s="36" t="str">
        <x:v>Bu-33</x:v>
      </x:c>
      <x:c r="B36" s="37" t="str">
        <x:v>28. Social Care and Project Management</x:v>
      </x:c>
      <x:c r="C36" s="36" t="str">
        <x:v>BU Led</x:v>
      </x:c>
      <x:c r="D36" s="36" t="str">
        <x:v>Personal Health (PH)</x:v>
      </x:c>
      <x:c r="E36" s="38" t="n">
        <x:v>0.025</x:v>
      </x:c>
      <x:c r="F36" s="39"/>
      <x:c r="G36" s="38" t="n">
        <x:f>IF(ISNUMBER(F36),F36,IF(E36="","",E36))</x:f>
        <x:v>0.025</x:v>
      </x:c>
      <x:c r="H36" s="38" t="n">
        <x:v>0.283</x:v>
      </x:c>
      <x:c r="I36" s="39"/>
      <x:c r="J36" s="36" t="str">
        <x:v>Cash savings</x:v>
      </x:c>
      <x:c r="K36" s="38" t="n">
        <x:f>IF(ISNUMBER(I36),I36,IF(OR(NOT(ISNUMBER(H36)),NOT(ISNUMBER(G36)),G36&lt;=0),"",IF(H36/G36&gt;='Score settings'!$B$58,"",IF(J36="Cash savings",H36,IF(J36="Revenue",H36*'Score settings'!$B$55,"")))))</x:f>
        <x:v>0.283</x:v>
      </x:c>
      <x:c r="L36" s="36"/>
      <x:c r="M36" s="39"/>
      <x:c r="N36" s="40"/>
      <x:c r="O36" s="36" t="str">
        <x:v>Must Do</x:v>
      </x:c>
      <x:c r="P36" s="36" t="str">
        <x:v>Upgrades</x:v>
      </x:c>
      <x:c r="Q36" s="36" t="str">
        <x:v>Productivity</x:v>
      </x:c>
      <x:c r="R36" s="36" t="str">
        <x:v>NotAssessed</x:v>
      </x:c>
      <x:c r="S36" s="36" t="str"/>
      <x:c r="T36" s="36" t="str">
        <x:v>Common pot</x:v>
      </x:c>
      <x:c r="U36" s="41" t="n">
        <x:f>VLOOKUP("Priority|"&amp;O36,'Score settings'!$A$14:$C$43,2,FALSE)/'Score settings'!$B$4*'Score settings'!$C$4</x:f>
        <x:v>25</x:v>
      </x:c>
      <x:c r="V36" s="41" t="n">
        <x:f>VLOOKUP("Category|"&amp;P36,'Score settings'!$A$14:$C$43,2,FALSE)/'Score settings'!$B$5*'Score settings'!$C$5</x:f>
        <x:v>10</x:v>
      </x:c>
      <x:c r="W36" s="41" t="n">
        <x:f>VLOOKUP("Area|"&amp;Q36,'Score settings'!$A$14:$C$43,2,FALSE)/'Score settings'!$B$6*'Score settings'!$C$6</x:f>
        <x:v>10</x:v>
      </x:c>
      <x:c r="X36" s="41" t="n">
        <x:f>VLOOKUP("Benefits|"&amp;IF(AND(ISNUMBER(H36),H36&gt;0,ISNUMBER(G36),G36&gt;0),IF(H36/G36&gt;='Score settings'!$E$17,"3plus",IF(H36/G36&gt;='Score settings'!$E$16,"1.5to3",IF(H36/G36&gt;='Score settings'!$E$15,"0.5to1.5","positive"))),"None"),'Score settings'!$A$14:$C$43,2,FALSE)/'Score settings'!$B$7*'Score settings'!$C$7</x:f>
        <x:v>25</x:v>
      </x:c>
      <x:c r="Y36" s="41" t="n">
        <x:f>VLOOKUP("Waste|"&amp;R36,'Score settings'!$A$14:$C$43,2,FALSE)/'Score settings'!$B$8*'Score settings'!$C$8</x:f>
        <x:v>7</x:v>
      </x:c>
      <x:c r="Z36" s="41" t="n">
        <x:f>IF(B36="","",SUM(U36:Y36))</x:f>
        <x:v>77</x:v>
      </x:c>
      <x:c r="AA36" s="41" t="str">
        <x:f>IF(Z36="","Not scored",VLOOKUP(Z36,'Score settings'!$A$47:$C$50,2,TRUE))</x:f>
        <x:v>Protected</x:v>
      </x:c>
      <x:c r="AB36" s="41" t="n">
        <x:f>VLOOKUP("Priority|"&amp;O36,'Score settings'!$A$14:$C$43,3,FALSE)/'Score settings'!$B$4*'Score settings'!$D$4</x:f>
        <x:v>15</x:v>
      </x:c>
      <x:c r="AC36" s="41" t="n">
        <x:f>VLOOKUP("Category|"&amp;P36,'Score settings'!$A$14:$C$43,3,FALSE)/'Score settings'!$B$5*'Score settings'!$D$5</x:f>
        <x:v>5</x:v>
      </x:c>
      <x:c r="AD36" s="41" t="n">
        <x:f>VLOOKUP("Area|"&amp;Q36,'Score settings'!$A$14:$C$43,3,FALSE)/'Score settings'!$B$6*'Score settings'!$D$6</x:f>
        <x:v>6.666666666666666</x:v>
      </x:c>
      <x:c r="AE36" s="41" t="n">
        <x:f>VLOOKUP("Benefits|"&amp;IF(AND(ISNUMBER(K36),K36&gt;0,ISNUMBER(G36),G36&gt;0),IF(K36/G36&gt;='Score settings'!$E$17,"3plus",IF(K36/G36&gt;='Score settings'!$E$16,"1.5to3",IF(K36/G36&gt;='Score settings'!$E$15,"0.5to1.5","positive"))),"None"),'Score settings'!$A$14:$C$43,3,FALSE)/'Score settings'!$B$7*'Score settings'!$D$7</x:f>
        <x:v>30</x:v>
      </x:c>
      <x:c r="AF36" s="41" t="n">
        <x:f>VLOOKUP("Waste|"&amp;R36,'Score settings'!$A$14:$C$43,3,FALSE)/'Score settings'!$B$8*'Score settings'!$D$8</x:f>
        <x:v>0</x:v>
      </x:c>
      <x:c r="AG36" s="41" t="n">
        <x:f>(IF(AND(ISNUMBER(M36),M36&gt;0,ISNUMBER(G36),G36&gt;0),IF(M36/G36&gt;='Score settings'!$E$17,'Score settings'!$G$17,IF(M36/G36&gt;='Score settings'!$E$16,'Score settings'!$G$16,IF(M36/G36&gt;='Score settings'!$E$15,'Score settings'!$G$15,'Score settings'!$G$14))),0)/15*'Score settings'!$B$60+IFERROR(VLOOKUP(IF(ISNUMBER(N36),N36,IF(ISNUMBER(L36),L36,0)),'Score settings'!$E$22:$F$26,2,FALSE),0)/10*'Score settings'!$B$61)/'Score settings'!$B$9*'Score settings'!$D$9</x:f>
        <x:v>0</x:v>
      </x:c>
      <x:c r="AH36" s="41" t="n">
        <x:f>IF(B36="","",SUM(AB36:AG36))</x:f>
        <x:v>56.666666666666664</x:v>
      </x:c>
      <x:c r="AI36" s="41" t="str">
        <x:f>IF(NOT(ISNUMBER(AH36)),"Not scored",VLOOKUP(AH36,'Score settings'!$A$47:$C$50,3,TRUE))</x:f>
        <x:v>Strong</x:v>
      </x:c>
      <x:c r="AJ36" s="42" t="n">
        <x:f>IF(OR(NOT(ISNUMBER(AH36)),T36&lt;&gt;"Common pot"),"",COUNTIFS($T$4:$T$509,"Common pot",$AH$4:$AH$509,"&gt;"&amp;AH36)+1)</x:f>
        <x:v>29</x:v>
      </x:c>
      <x:c r="AK36" s="36" t="str">
        <x:f>IF(B36="","Name missing - not scored",IF(OR(NOT(ISNUMBER(G36)),G36&lt;=0),"Investment missing or zero - review",IF(0=1,"Permanent ID missing - reconcile",IF(AND(ISNUMBER(H36),H36/G36&gt;='Score settings'!$B$58,NOT(ISNUMBER(I36))),"Benefit units need review",IF(OR(R36="EXIT",R36="CHALLENGE"),"Waste decision requires scope resolution",IF("Name and organisation matched"&lt;&gt;"Name and organisation matched","Waste evidence match needs review","Provisional source score - confirm evidence"))))))</x:f>
        <x:v>Provisional source score - confirm evidence</x:v>
      </x:c>
      <x:c r="AL36" s="36"/>
      <x:c r="AM36" s="40"/>
      <x:c r="AN36" s="39"/>
      <x:c r="AO36" s="40"/>
      <x:c r="AP36" s="40"/>
    </x:row>
    <x:row r="37" ht="15" hidden="0" customHeight="1">
      <x:c r="A37" s="36" t="str">
        <x:v>Bu-34</x:v>
      </x:c>
      <x:c r="B37" s="37" t="str"/>
      <x:c r="C37" s="36" t="str">
        <x:v>BU Led</x:v>
      </x:c>
      <x:c r="D37" s="36" t="str"/>
      <x:c r="E37" s="38"/>
      <x:c r="F37" s="39"/>
      <x:c r="G37" s="38" t="str">
        <x:f>IF(ISNUMBER(F37),F37,IF(E37="","",E37))</x:f>
      </x:c>
      <x:c r="H37" s="38"/>
      <x:c r="I37" s="39"/>
      <x:c r="J37" s="36" t="str">
        <x:v>Revenue</x:v>
      </x:c>
      <x:c r="K37" s="38" t="str">
        <x:f>IF(ISNUMBER(I37),I37,IF(OR(NOT(ISNUMBER(H37)),NOT(ISNUMBER(G37)),G37&lt;=0),"",IF(H37/G37&gt;='Score settings'!$B$58,"",IF(J37="Cash savings",H37,IF(J37="Revenue",H37*'Score settings'!$B$55,"")))))</x:f>
      </x:c>
      <x:c r="L37" s="36"/>
      <x:c r="M37" s="39"/>
      <x:c r="N37" s="40"/>
      <x:c r="O37" s="36" t="str">
        <x:v>Blank</x:v>
      </x:c>
      <x:c r="P37" s="36" t="str">
        <x:v>Blank</x:v>
      </x:c>
      <x:c r="Q37" s="36" t="str">
        <x:v>Revenue</x:v>
      </x:c>
      <x:c r="R37" s="36" t="str">
        <x:v>NotAssessed</x:v>
      </x:c>
      <x:c r="S37" s="36" t="str"/>
      <x:c r="T37" s="36" t="str">
        <x:v>Incomplete record</x:v>
      </x:c>
      <x:c r="U37" s="41" t="n">
        <x:f>VLOOKUP("Priority|"&amp;O37,'Score settings'!$A$14:$C$43,2,FALSE)/'Score settings'!$B$4*'Score settings'!$C$4</x:f>
        <x:v>10</x:v>
      </x:c>
      <x:c r="V37" s="41" t="n">
        <x:f>VLOOKUP("Category|"&amp;P37,'Score settings'!$A$14:$C$43,2,FALSE)/'Score settings'!$B$5*'Score settings'!$C$5</x:f>
        <x:v>4</x:v>
      </x:c>
      <x:c r="W37" s="41" t="n">
        <x:f>VLOOKUP("Area|"&amp;Q37,'Score settings'!$A$14:$C$43,2,FALSE)/'Score settings'!$B$6*'Score settings'!$C$6</x:f>
        <x:v>11</x:v>
      </x:c>
      <x:c r="X37" s="41" t="n">
        <x:f>VLOOKUP("Benefits|"&amp;IF(AND(ISNUMBER(H37),H37&gt;0,ISNUMBER(G37),G37&gt;0),IF(H37/G37&gt;='Score settings'!$E$17,"3plus",IF(H37/G37&gt;='Score settings'!$E$16,"1.5to3",IF(H37/G37&gt;='Score settings'!$E$15,"0.5to1.5","positive"))),"None"),'Score settings'!$A$14:$C$43,2,FALSE)/'Score settings'!$B$7*'Score settings'!$C$7</x:f>
        <x:v>5</x:v>
      </x:c>
      <x:c r="Y37" s="41" t="n">
        <x:f>VLOOKUP("Waste|"&amp;R37,'Score settings'!$A$14:$C$43,2,FALSE)/'Score settings'!$B$8*'Score settings'!$C$8</x:f>
        <x:v>7</x:v>
      </x:c>
      <x:c r="Z37" s="41" t="str">
        <x:f>IF(B37="","",SUM(U37:Y37))</x:f>
      </x:c>
      <x:c r="AA37" s="41" t="str">
        <x:f>IF(Z37="","Not scored",VLOOKUP(Z37,'Score settings'!$A$47:$C$50,2,TRUE))</x:f>
        <x:v>Not scored</x:v>
      </x:c>
      <x:c r="AB37" s="41" t="n">
        <x:f>VLOOKUP("Priority|"&amp;O37,'Score settings'!$A$14:$C$43,3,FALSE)/'Score settings'!$B$4*'Score settings'!$D$4</x:f>
        <x:v>0</x:v>
      </x:c>
      <x:c r="AC37" s="41" t="n">
        <x:f>VLOOKUP("Category|"&amp;P37,'Score settings'!$A$14:$C$43,3,FALSE)/'Score settings'!$B$5*'Score settings'!$D$5</x:f>
        <x:v>0</x:v>
      </x:c>
      <x:c r="AD37" s="41" t="n">
        <x:f>VLOOKUP("Area|"&amp;Q37,'Score settings'!$A$14:$C$43,3,FALSE)/'Score settings'!$B$6*'Score settings'!$D$6</x:f>
        <x:v>7.333333333333333</x:v>
      </x:c>
      <x:c r="AE37" s="41" t="n">
        <x:f>VLOOKUP("Benefits|"&amp;IF(AND(ISNUMBER(K37),K37&gt;0,ISNUMBER(G37),G37&gt;0),IF(K37/G37&gt;='Score settings'!$E$17,"3plus",IF(K37/G37&gt;='Score settings'!$E$16,"1.5to3",IF(K37/G37&gt;='Score settings'!$E$15,"0.5to1.5","positive"))),"None"),'Score settings'!$A$14:$C$43,3,FALSE)/'Score settings'!$B$7*'Score settings'!$D$7</x:f>
        <x:v>0</x:v>
      </x:c>
      <x:c r="AF37" s="41" t="n">
        <x:f>VLOOKUP("Waste|"&amp;R37,'Score settings'!$A$14:$C$43,3,FALSE)/'Score settings'!$B$8*'Score settings'!$D$8</x:f>
        <x:v>0</x:v>
      </x:c>
      <x:c r="AG37" s="41" t="n">
        <x:f>(IF(AND(ISNUMBER(M37),M37&gt;0,ISNUMBER(G37),G37&gt;0),IF(M37/G37&gt;='Score settings'!$E$17,'Score settings'!$G$17,IF(M37/G37&gt;='Score settings'!$E$16,'Score settings'!$G$16,IF(M37/G37&gt;='Score settings'!$E$15,'Score settings'!$G$15,'Score settings'!$G$14))),0)/15*'Score settings'!$B$60+IFERROR(VLOOKUP(IF(ISNUMBER(N37),N37,IF(ISNUMBER(L37),L37,0)),'Score settings'!$E$22:$F$26,2,FALSE),0)/10*'Score settings'!$B$61)/'Score settings'!$B$9*'Score settings'!$D$9</x:f>
        <x:v>0</x:v>
      </x:c>
      <x:c r="AH37" s="41" t="str">
        <x:f>IF(B37="","",SUM(AB37:AG37))</x:f>
      </x:c>
      <x:c r="AI37" s="41" t="str">
        <x:f>IF(NOT(ISNUMBER(AH37)),"Not scored",VLOOKUP(AH37,'Score settings'!$A$47:$C$50,3,TRUE))</x:f>
        <x:v>Not scored</x:v>
      </x:c>
      <x:c r="AJ37" s="42" t="str">
        <x:f>IF(OR(NOT(ISNUMBER(AH37)),T37&lt;&gt;"Common pot"),"",COUNTIFS($T$4:$T$509,"Common pot",$AH$4:$AH$509,"&gt;"&amp;AH37)+1)</x:f>
      </x:c>
      <x:c r="AK37" s="36" t="str">
        <x:f>IF(B37="","Name missing - not scored",IF(OR(NOT(ISNUMBER(G37)),G37&lt;=0),"Investment missing or zero - review",IF(0=1,"Permanent ID missing - reconcile",IF(AND(ISNUMBER(H37),H37/G37&gt;='Score settings'!$B$58,NOT(ISNUMBER(I37))),"Benefit units need review",IF(OR(R37="EXIT",R37="CHALLENGE"),"Waste decision requires scope resolution",IF("No exact waste match"&lt;&gt;"Name and organisation matched","Waste evidence match needs review","Provisional source score - confirm evidence"))))))</x:f>
        <x:v>Name missing - not scored</x:v>
      </x:c>
      <x:c r="AL37" s="36"/>
      <x:c r="AM37" s="40"/>
      <x:c r="AN37" s="39"/>
      <x:c r="AO37" s="40"/>
      <x:c r="AP37" s="40"/>
    </x:row>
    <x:row r="38" ht="15" hidden="0" customHeight="1">
      <x:c r="A38" s="36" t="str">
        <x:v>Bu-35</x:v>
      </x:c>
      <x:c r="B38" s="37" t="str">
        <x:v>54. AI in Consumer Insights and Innovation</x:v>
      </x:c>
      <x:c r="C38" s="36" t="str">
        <x:v>BU Led</x:v>
      </x:c>
      <x:c r="D38" s="36" t="str">
        <x:v>Personal Health (PH)</x:v>
      </x:c>
      <x:c r="E38" s="38" t="n">
        <x:v>1</x:v>
      </x:c>
      <x:c r="F38" s="39"/>
      <x:c r="G38" s="38" t="n">
        <x:f>IF(ISNUMBER(F38),F38,IF(E38="","",E38))</x:f>
        <x:v>1</x:v>
      </x:c>
      <x:c r="H38" s="38" t="n">
        <x:v>3.57</x:v>
      </x:c>
      <x:c r="I38" s="39"/>
      <x:c r="J38" s="36" t="str">
        <x:v>Revenue</x:v>
      </x:c>
      <x:c r="K38" s="38" t="n">
        <x:f>IF(ISNUMBER(I38),I38,IF(OR(NOT(ISNUMBER(H38)),NOT(ISNUMBER(G38)),G38&lt;=0),"",IF(H38/G38&gt;='Score settings'!$B$58,"",IF(J38="Cash savings",H38,IF(J38="Revenue",H38*'Score settings'!$B$55,"")))))</x:f>
        <x:v>0.5355</x:v>
      </x:c>
      <x:c r="L38" s="36"/>
      <x:c r="M38" s="39"/>
      <x:c r="N38" s="40"/>
      <x:c r="O38" s="36" t="str">
        <x:v>Must Do</x:v>
      </x:c>
      <x:c r="P38" s="36" t="str">
        <x:v>AI</x:v>
      </x:c>
      <x:c r="Q38" s="36" t="str">
        <x:v>Revenue</x:v>
      </x:c>
      <x:c r="R38" s="36" t="str">
        <x:v>NotAssessed</x:v>
      </x:c>
      <x:c r="S38" s="36" t="str"/>
      <x:c r="T38" s="36" t="str">
        <x:v>Common pot</x:v>
      </x:c>
      <x:c r="U38" s="41" t="n">
        <x:f>VLOOKUP("Priority|"&amp;O38,'Score settings'!$A$14:$C$43,2,FALSE)/'Score settings'!$B$4*'Score settings'!$C$4</x:f>
        <x:v>25</x:v>
      </x:c>
      <x:c r="V38" s="41" t="n">
        <x:f>VLOOKUP("Category|"&amp;P38,'Score settings'!$A$14:$C$43,2,FALSE)/'Score settings'!$B$5*'Score settings'!$C$5</x:f>
        <x:v>16</x:v>
      </x:c>
      <x:c r="W38" s="41" t="n">
        <x:f>VLOOKUP("Area|"&amp;Q38,'Score settings'!$A$14:$C$43,2,FALSE)/'Score settings'!$B$6*'Score settings'!$C$6</x:f>
        <x:v>11</x:v>
      </x:c>
      <x:c r="X38" s="41" t="n">
        <x:f>VLOOKUP("Benefits|"&amp;IF(AND(ISNUMBER(H38),H38&gt;0,ISNUMBER(G38),G38&gt;0),IF(H38/G38&gt;='Score settings'!$E$17,"3plus",IF(H38/G38&gt;='Score settings'!$E$16,"1.5to3",IF(H38/G38&gt;='Score settings'!$E$15,"0.5to1.5","positive"))),"None"),'Score settings'!$A$14:$C$43,2,FALSE)/'Score settings'!$B$7*'Score settings'!$C$7</x:f>
        <x:v>25</x:v>
      </x:c>
      <x:c r="Y38" s="41" t="n">
        <x:f>VLOOKUP("Waste|"&amp;R38,'Score settings'!$A$14:$C$43,2,FALSE)/'Score settings'!$B$8*'Score settings'!$C$8</x:f>
        <x:v>7</x:v>
      </x:c>
      <x:c r="Z38" s="41" t="n">
        <x:f>IF(B38="","",SUM(U38:Y38))</x:f>
        <x:v>84</x:v>
      </x:c>
      <x:c r="AA38" s="41" t="str">
        <x:f>IF(Z38="","Not scored",VLOOKUP(Z38,'Score settings'!$A$47:$C$50,2,TRUE))</x:f>
        <x:v>Protected</x:v>
      </x:c>
      <x:c r="AB38" s="41" t="n">
        <x:f>VLOOKUP("Priority|"&amp;O38,'Score settings'!$A$14:$C$43,3,FALSE)/'Score settings'!$B$4*'Score settings'!$D$4</x:f>
        <x:v>15</x:v>
      </x:c>
      <x:c r="AC38" s="41" t="n">
        <x:f>VLOOKUP("Category|"&amp;P38,'Score settings'!$A$14:$C$43,3,FALSE)/'Score settings'!$B$5*'Score settings'!$D$5</x:f>
        <x:v>8</x:v>
      </x:c>
      <x:c r="AD38" s="41" t="n">
        <x:f>VLOOKUP("Area|"&amp;Q38,'Score settings'!$A$14:$C$43,3,FALSE)/'Score settings'!$B$6*'Score settings'!$D$6</x:f>
        <x:v>7.333333333333333</x:v>
      </x:c>
      <x:c r="AE38" s="41" t="n">
        <x:f>VLOOKUP("Benefits|"&amp;IF(AND(ISNUMBER(K38),K38&gt;0,ISNUMBER(G38),G38&gt;0),IF(K38/G38&gt;='Score settings'!$E$17,"3plus",IF(K38/G38&gt;='Score settings'!$E$16,"1.5to3",IF(K38/G38&gt;='Score settings'!$E$15,"0.5to1.5","positive"))),"None"),'Score settings'!$A$14:$C$43,3,FALSE)/'Score settings'!$B$7*'Score settings'!$D$7</x:f>
        <x:v>18</x:v>
      </x:c>
      <x:c r="AF38" s="41" t="n">
        <x:f>VLOOKUP("Waste|"&amp;R38,'Score settings'!$A$14:$C$43,3,FALSE)/'Score settings'!$B$8*'Score settings'!$D$8</x:f>
        <x:v>0</x:v>
      </x:c>
      <x:c r="AG38" s="41" t="n">
        <x:f>(IF(AND(ISNUMBER(M38),M38&gt;0,ISNUMBER(G38),G38&gt;0),IF(M38/G38&gt;='Score settings'!$E$17,'Score settings'!$G$17,IF(M38/G38&gt;='Score settings'!$E$16,'Score settings'!$G$16,IF(M38/G38&gt;='Score settings'!$E$15,'Score settings'!$G$15,'Score settings'!$G$14))),0)/15*'Score settings'!$B$60+IFERROR(VLOOKUP(IF(ISNUMBER(N38),N38,IF(ISNUMBER(L38),L38,0)),'Score settings'!$E$22:$F$26,2,FALSE),0)/10*'Score settings'!$B$61)/'Score settings'!$B$9*'Score settings'!$D$9</x:f>
        <x:v>0</x:v>
      </x:c>
      <x:c r="AH38" s="41" t="n">
        <x:f>IF(B38="","",SUM(AB38:AG38))</x:f>
        <x:v>48.33333333333333</x:v>
      </x:c>
      <x:c r="AI38" s="41" t="str">
        <x:f>IF(NOT(ISNUMBER(AH38)),"Not scored",VLOOKUP(AH38,'Score settings'!$A$47:$C$50,3,TRUE))</x:f>
        <x:v>Strong</x:v>
      </x:c>
      <x:c r="AJ38" s="42" t="n">
        <x:f>IF(OR(NOT(ISNUMBER(AH38)),T38&lt;&gt;"Common pot"),"",COUNTIFS($T$4:$T$509,"Common pot",$AH$4:$AH$509,"&gt;"&amp;AH38)+1)</x:f>
        <x:v>54</x:v>
      </x:c>
      <x:c r="AK38" s="36" t="str">
        <x:f>IF(B38="","Name missing - not scored",IF(OR(NOT(ISNUMBER(G38)),G38&lt;=0),"Investment missing or zero - review",IF(0=1,"Permanent ID missing - reconcile",IF(AND(ISNUMBER(H38),H38/G38&gt;='Score settings'!$B$58,NOT(ISNUMBER(I38))),"Benefit units need review",IF(OR(R38="EXIT",R38="CHALLENGE"),"Waste decision requires scope resolution",IF("Name and organisation matched"&lt;&gt;"Name and organisation matched","Waste evidence match needs review","Provisional source score - confirm evidence"))))))</x:f>
        <x:v>Provisional source score - confirm evidence</x:v>
      </x:c>
      <x:c r="AL38" s="36"/>
      <x:c r="AM38" s="40"/>
      <x:c r="AN38" s="39"/>
      <x:c r="AO38" s="40"/>
      <x:c r="AP38" s="40"/>
    </x:row>
    <x:row r="39" ht="15" hidden="0" customHeight="1">
      <x:c r="A39" s="36" t="str">
        <x:v>Bu-36</x:v>
      </x:c>
      <x:c r="B39" s="37" t="str">
        <x:v>58. Akamai replatforming (Identify &amp; Access Management)</x:v>
      </x:c>
      <x:c r="C39" s="36" t="str">
        <x:v>BU Led</x:v>
      </x:c>
      <x:c r="D39" s="36" t="str">
        <x:v>Personal Health (PH)</x:v>
      </x:c>
      <x:c r="E39" s="38" t="n">
        <x:v>1.27</x:v>
      </x:c>
      <x:c r="F39" s="39"/>
      <x:c r="G39" s="38" t="n">
        <x:f>IF(ISNUMBER(F39),F39,IF(E39="","",E39))</x:f>
        <x:v>1.27</x:v>
      </x:c>
      <x:c r="H39" s="38"/>
      <x:c r="I39" s="39"/>
      <x:c r="J39" s="36" t="str">
        <x:v>Risk exposure</x:v>
      </x:c>
      <x:c r="K39" s="38" t="str">
        <x:f>IF(ISNUMBER(I39),I39,IF(OR(NOT(ISNUMBER(H39)),NOT(ISNUMBER(G39)),G39&lt;=0),"",IF(H39/G39&gt;='Score settings'!$B$58,"",IF(J39="Cash savings",H39,IF(J39="Revenue",H39*'Score settings'!$B$55,"")))))</x:f>
      </x:c>
      <x:c r="L39" s="36"/>
      <x:c r="M39" s="39"/>
      <x:c r="N39" s="40"/>
      <x:c r="O39" s="36" t="str">
        <x:v>Must Do</x:v>
      </x:c>
      <x:c r="P39" s="36" t="str">
        <x:v>NewTech</x:v>
      </x:c>
      <x:c r="Q39" s="36" t="str">
        <x:v>Compliance</x:v>
      </x:c>
      <x:c r="R39" s="36" t="str">
        <x:v>NotAssessed</x:v>
      </x:c>
      <x:c r="S39" s="36" t="str"/>
      <x:c r="T39" s="36" t="str">
        <x:v>Common pot</x:v>
      </x:c>
      <x:c r="U39" s="41" t="n">
        <x:f>VLOOKUP("Priority|"&amp;O39,'Score settings'!$A$14:$C$43,2,FALSE)/'Score settings'!$B$4*'Score settings'!$C$4</x:f>
        <x:v>25</x:v>
      </x:c>
      <x:c r="V39" s="41" t="n">
        <x:f>VLOOKUP("Category|"&amp;P39,'Score settings'!$A$14:$C$43,2,FALSE)/'Score settings'!$B$5*'Score settings'!$C$5</x:f>
        <x:v>5</x:v>
      </x:c>
      <x:c r="W39" s="41" t="n">
        <x:f>VLOOKUP("Area|"&amp;Q39,'Score settings'!$A$14:$C$43,2,FALSE)/'Score settings'!$B$6*'Score settings'!$C$6</x:f>
        <x:v>15</x:v>
      </x:c>
      <x:c r="X39" s="41" t="n">
        <x:f>VLOOKUP("Benefits|"&amp;IF(AND(ISNUMBER(H39),H39&gt;0,ISNUMBER(G39),G39&gt;0),IF(H39/G39&gt;='Score settings'!$E$17,"3plus",IF(H39/G39&gt;='Score settings'!$E$16,"1.5to3",IF(H39/G39&gt;='Score settings'!$E$15,"0.5to1.5","positive"))),"None"),'Score settings'!$A$14:$C$43,2,FALSE)/'Score settings'!$B$7*'Score settings'!$C$7</x:f>
        <x:v>5</x:v>
      </x:c>
      <x:c r="Y39" s="41" t="n">
        <x:f>VLOOKUP("Waste|"&amp;R39,'Score settings'!$A$14:$C$43,2,FALSE)/'Score settings'!$B$8*'Score settings'!$C$8</x:f>
        <x:v>7</x:v>
      </x:c>
      <x:c r="Z39" s="41" t="n">
        <x:f>IF(B39="","",SUM(U39:Y39))</x:f>
        <x:v>57</x:v>
      </x:c>
      <x:c r="AA39" s="41" t="str">
        <x:f>IF(Z39="","Not scored",VLOOKUP(Z39,'Score settings'!$A$47:$C$50,2,TRUE))</x:f>
        <x:v>Strong</x:v>
      </x:c>
      <x:c r="AB39" s="41" t="n">
        <x:f>VLOOKUP("Priority|"&amp;O39,'Score settings'!$A$14:$C$43,3,FALSE)/'Score settings'!$B$4*'Score settings'!$D$4</x:f>
        <x:v>15</x:v>
      </x:c>
      <x:c r="AC39" s="41" t="n">
        <x:f>VLOOKUP("Category|"&amp;P39,'Score settings'!$A$14:$C$43,3,FALSE)/'Score settings'!$B$5*'Score settings'!$D$5</x:f>
        <x:v>2.5</x:v>
      </x:c>
      <x:c r="AD39" s="41" t="n">
        <x:f>VLOOKUP("Area|"&amp;Q39,'Score settings'!$A$14:$C$43,3,FALSE)/'Score settings'!$B$6*'Score settings'!$D$6</x:f>
        <x:v>10</x:v>
      </x:c>
      <x:c r="AE39" s="41" t="n">
        <x:f>VLOOKUP("Benefits|"&amp;IF(AND(ISNUMBER(K39),K39&gt;0,ISNUMBER(G39),G39&gt;0),IF(K39/G39&gt;='Score settings'!$E$17,"3plus",IF(K39/G39&gt;='Score settings'!$E$16,"1.5to3",IF(K39/G39&gt;='Score settings'!$E$15,"0.5to1.5","positive"))),"None"),'Score settings'!$A$14:$C$43,3,FALSE)/'Score settings'!$B$7*'Score settings'!$D$7</x:f>
        <x:v>0</x:v>
      </x:c>
      <x:c r="AF39" s="41" t="n">
        <x:f>VLOOKUP("Waste|"&amp;R39,'Score settings'!$A$14:$C$43,3,FALSE)/'Score settings'!$B$8*'Score settings'!$D$8</x:f>
        <x:v>0</x:v>
      </x:c>
      <x:c r="AG39" s="41" t="n">
        <x:f>(IF(AND(ISNUMBER(M39),M39&gt;0,ISNUMBER(G39),G39&gt;0),IF(M39/G39&gt;='Score settings'!$E$17,'Score settings'!$G$17,IF(M39/G39&gt;='Score settings'!$E$16,'Score settings'!$G$16,IF(M39/G39&gt;='Score settings'!$E$15,'Score settings'!$G$15,'Score settings'!$G$14))),0)/15*'Score settings'!$B$60+IFERROR(VLOOKUP(IF(ISNUMBER(N39),N39,IF(ISNUMBER(L39),L39,0)),'Score settings'!$E$22:$F$26,2,FALSE),0)/10*'Score settings'!$B$61)/'Score settings'!$B$9*'Score settings'!$D$9</x:f>
        <x:v>0</x:v>
      </x:c>
      <x:c r="AH39" s="41" t="n">
        <x:f>IF(B39="","",SUM(AB39:AG39))</x:f>
        <x:v>27.5</x:v>
      </x:c>
      <x:c r="AI39" s="41" t="str">
        <x:f>IF(NOT(ISNUMBER(AH39)),"Not scored",VLOOKUP(AH39,'Score settings'!$A$47:$C$50,3,TRUE))</x:f>
        <x:v>Discretionary</x:v>
      </x:c>
      <x:c r="AJ39" s="42" t="n">
        <x:f>IF(OR(NOT(ISNUMBER(AH39)),T39&lt;&gt;"Common pot"),"",COUNTIFS($T$4:$T$509,"Common pot",$AH$4:$AH$509,"&gt;"&amp;AH39)+1)</x:f>
        <x:v>214</x:v>
      </x:c>
      <x:c r="AK39" s="36" t="str">
        <x:f>IF(B39="","Name missing - not scored",IF(OR(NOT(ISNUMBER(G39)),G39&lt;=0),"Investment missing or zero - review",IF(0=1,"Permanent ID missing - reconcile",IF(AND(ISNUMBER(H39),H39/G39&gt;='Score settings'!$B$58,NOT(ISNUMBER(I39))),"Benefit units need review",IF(OR(R39="EXIT",R39="CHALLENGE"),"Waste decision requires scope resolution",IF("Name and organisation matched"&lt;&gt;"Name and organisation matched","Waste evidence match needs review","Provisional source score - confirm evidence"))))))</x:f>
        <x:v>Provisional source score - confirm evidence</x:v>
      </x:c>
      <x:c r="AL39" s="36"/>
      <x:c r="AM39" s="40"/>
      <x:c r="AN39" s="39"/>
      <x:c r="AO39" s="40"/>
      <x:c r="AP39" s="40"/>
    </x:row>
    <x:row r="40" ht="15" hidden="0" customHeight="1">
      <x:c r="A40" s="36" t="str">
        <x:v>Bu-37</x:v>
      </x:c>
      <x:c r="B40" s="37" t="str">
        <x:v>05. One AI-powered Translation Solution for PH</x:v>
      </x:c>
      <x:c r="C40" s="36" t="str">
        <x:v>BU Led</x:v>
      </x:c>
      <x:c r="D40" s="36" t="str">
        <x:v>Personal Health (PH)</x:v>
      </x:c>
      <x:c r="E40" s="38" t="n">
        <x:v>0.4</x:v>
      </x:c>
      <x:c r="F40" s="39"/>
      <x:c r="G40" s="38" t="n">
        <x:f>IF(ISNUMBER(F40),F40,IF(E40="","",E40))</x:f>
        <x:v>0.4</x:v>
      </x:c>
      <x:c r="H40" s="38" t="n">
        <x:v>0.15</x:v>
      </x:c>
      <x:c r="I40" s="39"/>
      <x:c r="J40" s="36" t="str">
        <x:v>Cash savings</x:v>
      </x:c>
      <x:c r="K40" s="38" t="n">
        <x:f>IF(ISNUMBER(I40),I40,IF(OR(NOT(ISNUMBER(H40)),NOT(ISNUMBER(G40)),G40&lt;=0),"",IF(H40/G40&gt;='Score settings'!$B$58,"",IF(J40="Cash savings",H40,IF(J40="Revenue",H40*'Score settings'!$B$55,"")))))</x:f>
        <x:v>0.15</x:v>
      </x:c>
      <x:c r="L40" s="36"/>
      <x:c r="M40" s="39"/>
      <x:c r="N40" s="40"/>
      <x:c r="O40" s="36" t="str">
        <x:v>Must Do</x:v>
      </x:c>
      <x:c r="P40" s="36" t="str">
        <x:v>AI</x:v>
      </x:c>
      <x:c r="Q40" s="36" t="str">
        <x:v>Productivity</x:v>
      </x:c>
      <x:c r="R40" s="36" t="str">
        <x:v>NotAssessed</x:v>
      </x:c>
      <x:c r="S40" s="36" t="str"/>
      <x:c r="T40" s="36" t="str">
        <x:v>Common pot</x:v>
      </x:c>
      <x:c r="U40" s="41" t="n">
        <x:f>VLOOKUP("Priority|"&amp;O40,'Score settings'!$A$14:$C$43,2,FALSE)/'Score settings'!$B$4*'Score settings'!$C$4</x:f>
        <x:v>25</x:v>
      </x:c>
      <x:c r="V40" s="41" t="n">
        <x:f>VLOOKUP("Category|"&amp;P40,'Score settings'!$A$14:$C$43,2,FALSE)/'Score settings'!$B$5*'Score settings'!$C$5</x:f>
        <x:v>16</x:v>
      </x:c>
      <x:c r="W40" s="41" t="n">
        <x:f>VLOOKUP("Area|"&amp;Q40,'Score settings'!$A$14:$C$43,2,FALSE)/'Score settings'!$B$6*'Score settings'!$C$6</x:f>
        <x:v>10</x:v>
      </x:c>
      <x:c r="X40" s="41" t="n">
        <x:f>VLOOKUP("Benefits|"&amp;IF(AND(ISNUMBER(H40),H40&gt;0,ISNUMBER(G40),G40&gt;0),IF(H40/G40&gt;='Score settings'!$E$17,"3plus",IF(H40/G40&gt;='Score settings'!$E$16,"1.5to3",IF(H40/G40&gt;='Score settings'!$E$15,"0.5to1.5","positive"))),"None"),'Score settings'!$A$14:$C$43,2,FALSE)/'Score settings'!$B$7*'Score settings'!$C$7</x:f>
        <x:v>10</x:v>
      </x:c>
      <x:c r="Y40" s="41" t="n">
        <x:f>VLOOKUP("Waste|"&amp;R40,'Score settings'!$A$14:$C$43,2,FALSE)/'Score settings'!$B$8*'Score settings'!$C$8</x:f>
        <x:v>7</x:v>
      </x:c>
      <x:c r="Z40" s="41" t="n">
        <x:f>IF(B40="","",SUM(U40:Y40))</x:f>
        <x:v>68</x:v>
      </x:c>
      <x:c r="AA40" s="41" t="str">
        <x:f>IF(Z40="","Not scored",VLOOKUP(Z40,'Score settings'!$A$47:$C$50,2,TRUE))</x:f>
        <x:v>Protected</x:v>
      </x:c>
      <x:c r="AB40" s="41" t="n">
        <x:f>VLOOKUP("Priority|"&amp;O40,'Score settings'!$A$14:$C$43,3,FALSE)/'Score settings'!$B$4*'Score settings'!$D$4</x:f>
        <x:v>15</x:v>
      </x:c>
      <x:c r="AC40" s="41" t="n">
        <x:f>VLOOKUP("Category|"&amp;P40,'Score settings'!$A$14:$C$43,3,FALSE)/'Score settings'!$B$5*'Score settings'!$D$5</x:f>
        <x:v>8</x:v>
      </x:c>
      <x:c r="AD40" s="41" t="n">
        <x:f>VLOOKUP("Area|"&amp;Q40,'Score settings'!$A$14:$C$43,3,FALSE)/'Score settings'!$B$6*'Score settings'!$D$6</x:f>
        <x:v>6.666666666666666</x:v>
      </x:c>
      <x:c r="AE40" s="41" t="n">
        <x:f>VLOOKUP("Benefits|"&amp;IF(AND(ISNUMBER(K40),K40&gt;0,ISNUMBER(G40),G40&gt;0),IF(K40/G40&gt;='Score settings'!$E$17,"3plus",IF(K40/G40&gt;='Score settings'!$E$16,"1.5to3",IF(K40/G40&gt;='Score settings'!$E$15,"0.5to1.5","positive"))),"None"),'Score settings'!$A$14:$C$43,3,FALSE)/'Score settings'!$B$7*'Score settings'!$D$7</x:f>
        <x:v>12</x:v>
      </x:c>
      <x:c r="AF40" s="41" t="n">
        <x:f>VLOOKUP("Waste|"&amp;R40,'Score settings'!$A$14:$C$43,3,FALSE)/'Score settings'!$B$8*'Score settings'!$D$8</x:f>
        <x:v>0</x:v>
      </x:c>
      <x:c r="AG40" s="41" t="n">
        <x:f>(IF(AND(ISNUMBER(M40),M40&gt;0,ISNUMBER(G40),G40&gt;0),IF(M40/G40&gt;='Score settings'!$E$17,'Score settings'!$G$17,IF(M40/G40&gt;='Score settings'!$E$16,'Score settings'!$G$16,IF(M40/G40&gt;='Score settings'!$E$15,'Score settings'!$G$15,'Score settings'!$G$14))),0)/15*'Score settings'!$B$60+IFERROR(VLOOKUP(IF(ISNUMBER(N40),N40,IF(ISNUMBER(L40),L40,0)),'Score settings'!$E$22:$F$26,2,FALSE),0)/10*'Score settings'!$B$61)/'Score settings'!$B$9*'Score settings'!$D$9</x:f>
        <x:v>0</x:v>
      </x:c>
      <x:c r="AH40" s="41" t="n">
        <x:f>IF(B40="","",SUM(AB40:AG40))</x:f>
        <x:v>41.666666666666664</x:v>
      </x:c>
      <x:c r="AI40" s="41" t="str">
        <x:f>IF(NOT(ISNUMBER(AH40)),"Not scored",VLOOKUP(AH40,'Score settings'!$A$47:$C$50,3,TRUE))</x:f>
        <x:v>Discretionary</x:v>
      </x:c>
      <x:c r="AJ40" s="42" t="n">
        <x:f>IF(OR(NOT(ISNUMBER(AH40)),T40&lt;&gt;"Common pot"),"",COUNTIFS($T$4:$T$509,"Common pot",$AH$4:$AH$509,"&gt;"&amp;AH40)+1)</x:f>
        <x:v>86</x:v>
      </x:c>
      <x:c r="AK40" s="36" t="str">
        <x:f>IF(B40="","Name missing - not scored",IF(OR(NOT(ISNUMBER(G40)),G40&lt;=0),"Investment missing or zero - review",IF(0=1,"Permanent ID missing - reconcile",IF(AND(ISNUMBER(H40),H40/G40&gt;='Score settings'!$B$58,NOT(ISNUMBER(I40))),"Benefit units need review",IF(OR(R40="EXIT",R40="CHALLENGE"),"Waste decision requires scope resolution",IF("Name and organisation matched"&lt;&gt;"Name and organisation matched","Waste evidence match needs review","Provisional source score - confirm evidence"))))))</x:f>
        <x:v>Provisional source score - confirm evidence</x:v>
      </x:c>
      <x:c r="AL40" s="36"/>
      <x:c r="AM40" s="40"/>
      <x:c r="AN40" s="39"/>
      <x:c r="AO40" s="40"/>
      <x:c r="AP40" s="40"/>
    </x:row>
    <x:row r="41" ht="15" hidden="0" customHeight="1">
      <x:c r="A41" s="36" t="str">
        <x:v>Bu-38</x:v>
      </x:c>
      <x:c r="B41" s="37" t="str">
        <x:v>32. PH ISC Analytics</x:v>
      </x:c>
      <x:c r="C41" s="36" t="str">
        <x:v>BU Led</x:v>
      </x:c>
      <x:c r="D41" s="36" t="str">
        <x:v>Personal Health (PH)</x:v>
      </x:c>
      <x:c r="E41" s="38" t="n">
        <x:v>0.638</x:v>
      </x:c>
      <x:c r="F41" s="39"/>
      <x:c r="G41" s="38" t="n">
        <x:f>IF(ISNUMBER(F41),F41,IF(E41="","",E41))</x:f>
        <x:v>0.638</x:v>
      </x:c>
      <x:c r="H41" s="38" t="n">
        <x:v>2.297</x:v>
      </x:c>
      <x:c r="I41" s="39"/>
      <x:c r="J41" s="36" t="str">
        <x:v>Revenue</x:v>
      </x:c>
      <x:c r="K41" s="38" t="n">
        <x:f>IF(ISNUMBER(I41),I41,IF(OR(NOT(ISNUMBER(H41)),NOT(ISNUMBER(G41)),G41&lt;=0),"",IF(H41/G41&gt;='Score settings'!$B$58,"",IF(J41="Cash savings",H41,IF(J41="Revenue",H41*'Score settings'!$B$55,"")))))</x:f>
        <x:v>0.34455</x:v>
      </x:c>
      <x:c r="L41" s="36"/>
      <x:c r="M41" s="39"/>
      <x:c r="N41" s="40"/>
      <x:c r="O41" s="36" t="str">
        <x:v>Must Do</x:v>
      </x:c>
      <x:c r="P41" s="36" t="str">
        <x:v>NewFeat</x:v>
      </x:c>
      <x:c r="Q41" s="36" t="str">
        <x:v>Revenue</x:v>
      </x:c>
      <x:c r="R41" s="36" t="str">
        <x:v>NotAssessed</x:v>
      </x:c>
      <x:c r="S41" s="36" t="str"/>
      <x:c r="T41" s="36" t="str">
        <x:v>Common pot</x:v>
      </x:c>
      <x:c r="U41" s="41" t="n">
        <x:f>VLOOKUP("Priority|"&amp;O41,'Score settings'!$A$14:$C$43,2,FALSE)/'Score settings'!$B$4*'Score settings'!$C$4</x:f>
        <x:v>25</x:v>
      </x:c>
      <x:c r="V41" s="41" t="n">
        <x:f>VLOOKUP("Category|"&amp;P41,'Score settings'!$A$14:$C$43,2,FALSE)/'Score settings'!$B$5*'Score settings'!$C$5</x:f>
        <x:v>6</x:v>
      </x:c>
      <x:c r="W41" s="41" t="n">
        <x:f>VLOOKUP("Area|"&amp;Q41,'Score settings'!$A$14:$C$43,2,FALSE)/'Score settings'!$B$6*'Score settings'!$C$6</x:f>
        <x:v>11</x:v>
      </x:c>
      <x:c r="X41" s="41" t="n">
        <x:f>VLOOKUP("Benefits|"&amp;IF(AND(ISNUMBER(H41),H41&gt;0,ISNUMBER(G41),G41&gt;0),IF(H41/G41&gt;='Score settings'!$E$17,"3plus",IF(H41/G41&gt;='Score settings'!$E$16,"1.5to3",IF(H41/G41&gt;='Score settings'!$E$15,"0.5to1.5","positive"))),"None"),'Score settings'!$A$14:$C$43,2,FALSE)/'Score settings'!$B$7*'Score settings'!$C$7</x:f>
        <x:v>25</x:v>
      </x:c>
      <x:c r="Y41" s="41" t="n">
        <x:f>VLOOKUP("Waste|"&amp;R41,'Score settings'!$A$14:$C$43,2,FALSE)/'Score settings'!$B$8*'Score settings'!$C$8</x:f>
        <x:v>7</x:v>
      </x:c>
      <x:c r="Z41" s="41" t="n">
        <x:f>IF(B41="","",SUM(U41:Y41))</x:f>
        <x:v>74</x:v>
      </x:c>
      <x:c r="AA41" s="41" t="str">
        <x:f>IF(Z41="","Not scored",VLOOKUP(Z41,'Score settings'!$A$47:$C$50,2,TRUE))</x:f>
        <x:v>Protected</x:v>
      </x:c>
      <x:c r="AB41" s="41" t="n">
        <x:f>VLOOKUP("Priority|"&amp;O41,'Score settings'!$A$14:$C$43,3,FALSE)/'Score settings'!$B$4*'Score settings'!$D$4</x:f>
        <x:v>15</x:v>
      </x:c>
      <x:c r="AC41" s="41" t="n">
        <x:f>VLOOKUP("Category|"&amp;P41,'Score settings'!$A$14:$C$43,3,FALSE)/'Score settings'!$B$5*'Score settings'!$D$5</x:f>
        <x:v>3</x:v>
      </x:c>
      <x:c r="AD41" s="41" t="n">
        <x:f>VLOOKUP("Area|"&amp;Q41,'Score settings'!$A$14:$C$43,3,FALSE)/'Score settings'!$B$6*'Score settings'!$D$6</x:f>
        <x:v>7.333333333333333</x:v>
      </x:c>
      <x:c r="AE41" s="41" t="n">
        <x:f>VLOOKUP("Benefits|"&amp;IF(AND(ISNUMBER(K41),K41&gt;0,ISNUMBER(G41),G41&gt;0),IF(K41/G41&gt;='Score settings'!$E$17,"3plus",IF(K41/G41&gt;='Score settings'!$E$16,"1.5to3",IF(K41/G41&gt;='Score settings'!$E$15,"0.5to1.5","positive"))),"None"),'Score settings'!$A$14:$C$43,3,FALSE)/'Score settings'!$B$7*'Score settings'!$D$7</x:f>
        <x:v>18</x:v>
      </x:c>
      <x:c r="AF41" s="41" t="n">
        <x:f>VLOOKUP("Waste|"&amp;R41,'Score settings'!$A$14:$C$43,3,FALSE)/'Score settings'!$B$8*'Score settings'!$D$8</x:f>
        <x:v>0</x:v>
      </x:c>
      <x:c r="AG41" s="41" t="n">
        <x:f>(IF(AND(ISNUMBER(M41),M41&gt;0,ISNUMBER(G41),G41&gt;0),IF(M41/G41&gt;='Score settings'!$E$17,'Score settings'!$G$17,IF(M41/G41&gt;='Score settings'!$E$16,'Score settings'!$G$16,IF(M41/G41&gt;='Score settings'!$E$15,'Score settings'!$G$15,'Score settings'!$G$14))),0)/15*'Score settings'!$B$60+IFERROR(VLOOKUP(IF(ISNUMBER(N41),N41,IF(ISNUMBER(L41),L41,0)),'Score settings'!$E$22:$F$26,2,FALSE),0)/10*'Score settings'!$B$61)/'Score settings'!$B$9*'Score settings'!$D$9</x:f>
        <x:v>0</x:v>
      </x:c>
      <x:c r="AH41" s="41" t="n">
        <x:f>IF(B41="","",SUM(AB41:AG41))</x:f>
        <x:v>43.33333333333333</x:v>
      </x:c>
      <x:c r="AI41" s="41" t="str">
        <x:f>IF(NOT(ISNUMBER(AH41)),"Not scored",VLOOKUP(AH41,'Score settings'!$A$47:$C$50,3,TRUE))</x:f>
        <x:v>Discretionary</x:v>
      </x:c>
      <x:c r="AJ41" s="42" t="n">
        <x:f>IF(OR(NOT(ISNUMBER(AH41)),T41&lt;&gt;"Common pot"),"",COUNTIFS($T$4:$T$509,"Common pot",$AH$4:$AH$509,"&gt;"&amp;AH41)+1)</x:f>
        <x:v>76</x:v>
      </x:c>
      <x:c r="AK41" s="36" t="str">
        <x:f>IF(B41="","Name missing - not scored",IF(OR(NOT(ISNUMBER(G41)),G41&lt;=0),"Investment missing or zero - review",IF(0=1,"Permanent ID missing - reconcile",IF(AND(ISNUMBER(H41),H41/G41&gt;='Score settings'!$B$58,NOT(ISNUMBER(I41))),"Benefit units need review",IF(OR(R41="EXIT",R41="CHALLENGE"),"Waste decision requires scope resolution",IF("Name and organisation matched"&lt;&gt;"Name and organisation matched","Waste evidence match needs review","Provisional source score - confirm evidence"))))))</x:f>
        <x:v>Provisional source score - confirm evidence</x:v>
      </x:c>
      <x:c r="AL41" s="36"/>
      <x:c r="AM41" s="40"/>
      <x:c r="AN41" s="39"/>
      <x:c r="AO41" s="40"/>
      <x:c r="AP41" s="40"/>
    </x:row>
    <x:row r="42" ht="15" hidden="0" customHeight="1">
      <x:c r="A42" s="36" t="str">
        <x:v>Bu-39</x:v>
      </x:c>
      <x:c r="B42" s="37" t="str">
        <x:v>09. Refurbishment: reverse set-up Supply Chain</x:v>
      </x:c>
      <x:c r="C42" s="36" t="str">
        <x:v>BU Led</x:v>
      </x:c>
      <x:c r="D42" s="36" t="str">
        <x:v>Personal Health (PH)</x:v>
      </x:c>
      <x:c r="E42" s="38"/>
      <x:c r="F42" s="39"/>
      <x:c r="G42" s="38" t="str">
        <x:f>IF(ISNUMBER(F42),F42,IF(E42="","",E42))</x:f>
      </x:c>
      <x:c r="H42" s="38" t="n">
        <x:v>2.096</x:v>
      </x:c>
      <x:c r="I42" s="39"/>
      <x:c r="J42" s="36" t="str">
        <x:v>Revenue</x:v>
      </x:c>
      <x:c r="K42" s="38" t="str">
        <x:f>IF(ISNUMBER(I42),I42,IF(OR(NOT(ISNUMBER(H42)),NOT(ISNUMBER(G42)),G42&lt;=0),"",IF(H42/G42&gt;='Score settings'!$B$58,"",IF(J42="Cash savings",H42,IF(J42="Revenue",H42*'Score settings'!$B$55,"")))))</x:f>
      </x:c>
      <x:c r="L42" s="36"/>
      <x:c r="M42" s="39"/>
      <x:c r="N42" s="40"/>
      <x:c r="O42" s="36" t="str">
        <x:v>Depri</x:v>
      </x:c>
      <x:c r="P42" s="36" t="str">
        <x:v>CI</x:v>
      </x:c>
      <x:c r="Q42" s="36" t="str">
        <x:v>Revenue</x:v>
      </x:c>
      <x:c r="R42" s="36" t="str">
        <x:v>HEALTHY</x:v>
      </x:c>
      <x:c r="S42" s="36" t="str"/>
      <x:c r="T42" s="36" t="str">
        <x:v>Common pot</x:v>
      </x:c>
      <x:c r="U42" s="41" t="n">
        <x:f>VLOOKUP("Priority|"&amp;O42,'Score settings'!$A$14:$C$43,2,FALSE)/'Score settings'!$B$4*'Score settings'!$C$4</x:f>
        <x:v>5</x:v>
      </x:c>
      <x:c r="V42" s="41" t="n">
        <x:f>VLOOKUP("Category|"&amp;P42,'Score settings'!$A$14:$C$43,2,FALSE)/'Score settings'!$B$5*'Score settings'!$C$5</x:f>
        <x:v>8</x:v>
      </x:c>
      <x:c r="W42" s="41" t="n">
        <x:f>VLOOKUP("Area|"&amp;Q42,'Score settings'!$A$14:$C$43,2,FALSE)/'Score settings'!$B$6*'Score settings'!$C$6</x:f>
        <x:v>11</x:v>
      </x:c>
      <x:c r="X42" s="41" t="n">
        <x:f>VLOOKUP("Benefits|"&amp;IF(AND(ISNUMBER(H42),H42&gt;0,ISNUMBER(G42),G42&gt;0),IF(H42/G42&gt;='Score settings'!$E$17,"3plus",IF(H42/G42&gt;='Score settings'!$E$16,"1.5to3",IF(H42/G42&gt;='Score settings'!$E$15,"0.5to1.5","positive"))),"None"),'Score settings'!$A$14:$C$43,2,FALSE)/'Score settings'!$B$7*'Score settings'!$C$7</x:f>
        <x:v>5</x:v>
      </x:c>
      <x:c r="Y42" s="41" t="n">
        <x:f>VLOOKUP("Waste|"&amp;R42,'Score settings'!$A$14:$C$43,2,FALSE)/'Score settings'!$B$8*'Score settings'!$C$8</x:f>
        <x:v>15</x:v>
      </x:c>
      <x:c r="Z42" s="41" t="n">
        <x:f>IF(B42="","",SUM(U42:Y42))</x:f>
        <x:v>44</x:v>
      </x:c>
      <x:c r="AA42" s="41" t="str">
        <x:f>IF(Z42="","Not scored",VLOOKUP(Z42,'Score settings'!$A$47:$C$50,2,TRUE))</x:f>
        <x:v>Discretionary</x:v>
      </x:c>
      <x:c r="AB42" s="41" t="n">
        <x:f>VLOOKUP("Priority|"&amp;O42,'Score settings'!$A$14:$C$43,3,FALSE)/'Score settings'!$B$4*'Score settings'!$D$4</x:f>
        <x:v>3</x:v>
      </x:c>
      <x:c r="AC42" s="41" t="n">
        <x:f>VLOOKUP("Category|"&amp;P42,'Score settings'!$A$14:$C$43,3,FALSE)/'Score settings'!$B$5*'Score settings'!$D$5</x:f>
        <x:v>4</x:v>
      </x:c>
      <x:c r="AD42" s="41" t="n">
        <x:f>VLOOKUP("Area|"&amp;Q42,'Score settings'!$A$14:$C$43,3,FALSE)/'Score settings'!$B$6*'Score settings'!$D$6</x:f>
        <x:v>7.333333333333333</x:v>
      </x:c>
      <x:c r="AE42" s="41" t="n">
        <x:f>VLOOKUP("Benefits|"&amp;IF(AND(ISNUMBER(K42),K42&gt;0,ISNUMBER(G42),G42&gt;0),IF(K42/G42&gt;='Score settings'!$E$17,"3plus",IF(K42/G42&gt;='Score settings'!$E$16,"1.5to3",IF(K42/G42&gt;='Score settings'!$E$15,"0.5to1.5","positive"))),"None"),'Score settings'!$A$14:$C$43,3,FALSE)/'Score settings'!$B$7*'Score settings'!$D$7</x:f>
        <x:v>0</x:v>
      </x:c>
      <x:c r="AF42" s="41" t="n">
        <x:f>VLOOKUP("Waste|"&amp;R42,'Score settings'!$A$14:$C$43,3,FALSE)/'Score settings'!$B$8*'Score settings'!$D$8</x:f>
        <x:v>10</x:v>
      </x:c>
      <x:c r="AG42" s="41" t="n">
        <x:f>(IF(AND(ISNUMBER(M42),M42&gt;0,ISNUMBER(G42),G42&gt;0),IF(M42/G42&gt;='Score settings'!$E$17,'Score settings'!$G$17,IF(M42/G42&gt;='Score settings'!$E$16,'Score settings'!$G$16,IF(M42/G42&gt;='Score settings'!$E$15,'Score settings'!$G$15,'Score settings'!$G$14))),0)/15*'Score settings'!$B$60+IFERROR(VLOOKUP(IF(ISNUMBER(N42),N42,IF(ISNUMBER(L42),L42,0)),'Score settings'!$E$22:$F$26,2,FALSE),0)/10*'Score settings'!$B$61)/'Score settings'!$B$9*'Score settings'!$D$9</x:f>
        <x:v>0</x:v>
      </x:c>
      <x:c r="AH42" s="41" t="n">
        <x:f>IF(B42="","",SUM(AB42:AG42))</x:f>
        <x:v>24.333333333333332</x:v>
      </x:c>
      <x:c r="AI42" s="41" t="str">
        <x:f>IF(NOT(ISNUMBER(AH42)),"Not scored",VLOOKUP(AH42,'Score settings'!$A$47:$C$50,3,TRUE))</x:f>
        <x:v>Weak</x:v>
      </x:c>
      <x:c r="AJ42" s="42" t="n">
        <x:f>IF(OR(NOT(ISNUMBER(AH42)),T42&lt;&gt;"Common pot"),"",COUNTIFS($T$4:$T$509,"Common pot",$AH$4:$AH$509,"&gt;"&amp;AH42)+1)</x:f>
        <x:v>283</x:v>
      </x:c>
      <x:c r="AK42" s="36" t="str">
        <x:f>IF(B42="","Name missing - not scored",IF(OR(NOT(ISNUMBER(G42)),G42&lt;=0),"Investment missing or zero - review",IF(0=1,"Permanent ID missing - reconcile",IF(AND(ISNUMBER(H42),H42/G42&gt;='Score settings'!$B$58,NOT(ISNUMBER(I42))),"Benefit units need review",IF(OR(R42="EXIT",R42="CHALLENGE"),"Waste decision requires scope resolution",IF("Name and organisation matched"&lt;&gt;"Name and organisation matched","Waste evidence match needs review","Provisional source score - confirm evidence"))))))</x:f>
        <x:v>Investment missing or zero - review</x:v>
      </x:c>
      <x:c r="AL42" s="36"/>
      <x:c r="AM42" s="40"/>
      <x:c r="AN42" s="39"/>
      <x:c r="AO42" s="40"/>
      <x:c r="AP42" s="40"/>
    </x:row>
    <x:row r="43" ht="15" hidden="0" customHeight="1">
      <x:c r="A43" s="36" t="str">
        <x:v>Bu-48</x:v>
      </x:c>
      <x:c r="B43" s="37" t="str">
        <x:v>STO Carryover Demand</x:v>
      </x:c>
      <x:c r="C43" s="36" t="str">
        <x:v>BU Led</x:v>
      </x:c>
      <x:c r="D43" s="36" t="str">
        <x:v>Service Transformation Office (STO)</x:v>
      </x:c>
      <x:c r="E43" s="38" t="n">
        <x:v>22.7</x:v>
      </x:c>
      <x:c r="F43" s="39"/>
      <x:c r="G43" s="38" t="n">
        <x:f>IF(ISNUMBER(F43),F43,IF(E43="","",E43))</x:f>
        <x:v>22.7</x:v>
      </x:c>
      <x:c r="H43" s="38"/>
      <x:c r="I43" s="39"/>
      <x:c r="J43" s="36" t="str">
        <x:v>Unclassified</x:v>
      </x:c>
      <x:c r="K43" s="38" t="str">
        <x:f>IF(ISNUMBER(I43),I43,IF(OR(NOT(ISNUMBER(H43)),NOT(ISNUMBER(G43)),G43&lt;=0),"",IF(H43/G43&gt;='Score settings'!$B$58,"",IF(J43="Cash savings",H43,IF(J43="Revenue",H43*'Score settings'!$B$55,"")))))</x:f>
      </x:c>
      <x:c r="L43" s="36"/>
      <x:c r="M43" s="39"/>
      <x:c r="N43" s="40"/>
      <x:c r="O43" s="36" t="str">
        <x:v>Blank</x:v>
      </x:c>
      <x:c r="P43" s="36" t="str">
        <x:v>Blank</x:v>
      </x:c>
      <x:c r="Q43" s="36" t="str">
        <x:v>Blank</x:v>
      </x:c>
      <x:c r="R43" s="36" t="str">
        <x:v>NotAssessed</x:v>
      </x:c>
      <x:c r="S43" s="36" t="str"/>
      <x:c r="T43" s="36" t="str">
        <x:v>Common pot</x:v>
      </x:c>
      <x:c r="U43" s="41" t="n">
        <x:f>VLOOKUP("Priority|"&amp;O43,'Score settings'!$A$14:$C$43,2,FALSE)/'Score settings'!$B$4*'Score settings'!$C$4</x:f>
        <x:v>10</x:v>
      </x:c>
      <x:c r="V43" s="41" t="n">
        <x:f>VLOOKUP("Category|"&amp;P43,'Score settings'!$A$14:$C$43,2,FALSE)/'Score settings'!$B$5*'Score settings'!$C$5</x:f>
        <x:v>4</x:v>
      </x:c>
      <x:c r="W43" s="41" t="n">
        <x:f>VLOOKUP("Area|"&amp;Q43,'Score settings'!$A$14:$C$43,2,FALSE)/'Score settings'!$B$6*'Score settings'!$C$6</x:f>
        <x:v>3</x:v>
      </x:c>
      <x:c r="X43" s="41" t="n">
        <x:f>VLOOKUP("Benefits|"&amp;IF(AND(ISNUMBER(H43),H43&gt;0,ISNUMBER(G43),G43&gt;0),IF(H43/G43&gt;='Score settings'!$E$17,"3plus",IF(H43/G43&gt;='Score settings'!$E$16,"1.5to3",IF(H43/G43&gt;='Score settings'!$E$15,"0.5to1.5","positive"))),"None"),'Score settings'!$A$14:$C$43,2,FALSE)/'Score settings'!$B$7*'Score settings'!$C$7</x:f>
        <x:v>5</x:v>
      </x:c>
      <x:c r="Y43" s="41" t="n">
        <x:f>VLOOKUP("Waste|"&amp;R43,'Score settings'!$A$14:$C$43,2,FALSE)/'Score settings'!$B$8*'Score settings'!$C$8</x:f>
        <x:v>7</x:v>
      </x:c>
      <x:c r="Z43" s="41" t="n">
        <x:f>IF(B43="","",SUM(U43:Y43))</x:f>
        <x:v>29</x:v>
      </x:c>
      <x:c r="AA43" s="41" t="str">
        <x:f>IF(Z43="","Not scored",VLOOKUP(Z43,'Score settings'!$A$47:$C$50,2,TRUE))</x:f>
        <x:v>Discretionary</x:v>
      </x:c>
      <x:c r="AB43" s="41" t="n">
        <x:f>VLOOKUP("Priority|"&amp;O43,'Score settings'!$A$14:$C$43,3,FALSE)/'Score settings'!$B$4*'Score settings'!$D$4</x:f>
        <x:v>0</x:v>
      </x:c>
      <x:c r="AC43" s="41" t="n">
        <x:f>VLOOKUP("Category|"&amp;P43,'Score settings'!$A$14:$C$43,3,FALSE)/'Score settings'!$B$5*'Score settings'!$D$5</x:f>
        <x:v>0</x:v>
      </x:c>
      <x:c r="AD43" s="41" t="n">
        <x:f>VLOOKUP("Area|"&amp;Q43,'Score settings'!$A$14:$C$43,3,FALSE)/'Score settings'!$B$6*'Score settings'!$D$6</x:f>
        <x:v>0</x:v>
      </x:c>
      <x:c r="AE43" s="41" t="n">
        <x:f>VLOOKUP("Benefits|"&amp;IF(AND(ISNUMBER(K43),K43&gt;0,ISNUMBER(G43),G43&gt;0),IF(K43/G43&gt;='Score settings'!$E$17,"3plus",IF(K43/G43&gt;='Score settings'!$E$16,"1.5to3",IF(K43/G43&gt;='Score settings'!$E$15,"0.5to1.5","positive"))),"None"),'Score settings'!$A$14:$C$43,3,FALSE)/'Score settings'!$B$7*'Score settings'!$D$7</x:f>
        <x:v>0</x:v>
      </x:c>
      <x:c r="AF43" s="41" t="n">
        <x:f>VLOOKUP("Waste|"&amp;R43,'Score settings'!$A$14:$C$43,3,FALSE)/'Score settings'!$B$8*'Score settings'!$D$8</x:f>
        <x:v>0</x:v>
      </x:c>
      <x:c r="AG43" s="41" t="n">
        <x:f>(IF(AND(ISNUMBER(M43),M43&gt;0,ISNUMBER(G43),G43&gt;0),IF(M43/G43&gt;='Score settings'!$E$17,'Score settings'!$G$17,IF(M43/G43&gt;='Score settings'!$E$16,'Score settings'!$G$16,IF(M43/G43&gt;='Score settings'!$E$15,'Score settings'!$G$15,'Score settings'!$G$14))),0)/15*'Score settings'!$B$60+IFERROR(VLOOKUP(IF(ISNUMBER(N43),N43,IF(ISNUMBER(L43),L43,0)),'Score settings'!$E$22:$F$26,2,FALSE),0)/10*'Score settings'!$B$61)/'Score settings'!$B$9*'Score settings'!$D$9</x:f>
        <x:v>0</x:v>
      </x:c>
      <x:c r="AH43" s="41" t="n">
        <x:f>IF(B43="","",SUM(AB43:AG43))</x:f>
        <x:v>0</x:v>
      </x:c>
      <x:c r="AI43" s="41" t="str">
        <x:f>IF(NOT(ISNUMBER(AH43)),"Not scored",VLOOKUP(AH43,'Score settings'!$A$47:$C$50,3,TRUE))</x:f>
        <x:v>Weak</x:v>
      </x:c>
      <x:c r="AJ43" s="42" t="n">
        <x:f>IF(OR(NOT(ISNUMBER(AH43)),T43&lt;&gt;"Common pot"),"",COUNTIFS($T$4:$T$509,"Common pot",$AH$4:$AH$509,"&gt;"&amp;AH43)+1)</x:f>
        <x:v>398</x:v>
      </x:c>
      <x:c r="AK43" s="36" t="str">
        <x:f>IF(B43="","Name missing - not scored",IF(OR(NOT(ISNUMBER(G43)),G43&lt;=0),"Investment missing or zero - review",IF(0=1,"Permanent ID missing - reconcile",IF(AND(ISNUMBER(H43),H43/G43&gt;='Score settings'!$B$58,NOT(ISNUMBER(I43))),"Benefit units need review",IF(OR(R43="EXIT",R43="CHALLENGE"),"Waste decision requires scope resolution",IF("Name and organisation matched"&lt;&gt;"Name and organisation matched","Waste evidence match needs review","Provisional source score - confirm evidence"))))))</x:f>
        <x:v>Provisional source score - confirm evidence</x:v>
      </x:c>
      <x:c r="AL43" s="36"/>
      <x:c r="AM43" s="40"/>
      <x:c r="AN43" s="39"/>
      <x:c r="AO43" s="40"/>
      <x:c r="AP43" s="40"/>
    </x:row>
    <x:row r="44" ht="15" hidden="0" customHeight="1">
      <x:c r="A44" s="36" t="str">
        <x:v>Bu-49</x:v>
      </x:c>
      <x:c r="B44" s="37" t="str">
        <x:v>Demand &amp; Supply Planning SRC</x:v>
      </x:c>
      <x:c r="C44" s="36" t="str">
        <x:v>BU Led</x:v>
      </x:c>
      <x:c r="D44" s="36" t="str">
        <x:v>Sleep &amp; Respiratory Care (SRC)</x:v>
      </x:c>
      <x:c r="E44" s="38" t="n">
        <x:v>1.7</x:v>
      </x:c>
      <x:c r="F44" s="39"/>
      <x:c r="G44" s="38" t="n">
        <x:f>IF(ISNUMBER(F44),F44,IF(E44="","",E44))</x:f>
        <x:v>1.7</x:v>
      </x:c>
      <x:c r="H44" s="38" t="n">
        <x:v>29.3</x:v>
      </x:c>
      <x:c r="I44" s="39"/>
      <x:c r="J44" s="36" t="str">
        <x:v>Cash savings</x:v>
      </x:c>
      <x:c r="K44" s="38" t="n">
        <x:f>IF(ISNUMBER(I44),I44,IF(OR(NOT(ISNUMBER(H44)),NOT(ISNUMBER(G44)),G44&lt;=0),"",IF(H44/G44&gt;='Score settings'!$B$58,"",IF(J44="Cash savings",H44,IF(J44="Revenue",H44*'Score settings'!$B$55,"")))))</x:f>
        <x:v>29.3</x:v>
      </x:c>
      <x:c r="L44" s="36"/>
      <x:c r="M44" s="39"/>
      <x:c r="N44" s="40"/>
      <x:c r="O44" s="36" t="str">
        <x:v>Must Do</x:v>
      </x:c>
      <x:c r="P44" s="36" t="str">
        <x:v>NewTech</x:v>
      </x:c>
      <x:c r="Q44" s="36" t="str">
        <x:v>Productivity</x:v>
      </x:c>
      <x:c r="R44" s="36" t="str">
        <x:v>HEALTHY</x:v>
      </x:c>
      <x:c r="S44" s="36" t="str"/>
      <x:c r="T44" s="36" t="str">
        <x:v>Common pot</x:v>
      </x:c>
      <x:c r="U44" s="41" t="n">
        <x:f>VLOOKUP("Priority|"&amp;O44,'Score settings'!$A$14:$C$43,2,FALSE)/'Score settings'!$B$4*'Score settings'!$C$4</x:f>
        <x:v>25</x:v>
      </x:c>
      <x:c r="V44" s="41" t="n">
        <x:f>VLOOKUP("Category|"&amp;P44,'Score settings'!$A$14:$C$43,2,FALSE)/'Score settings'!$B$5*'Score settings'!$C$5</x:f>
        <x:v>5</x:v>
      </x:c>
      <x:c r="W44" s="41" t="n">
        <x:f>VLOOKUP("Area|"&amp;Q44,'Score settings'!$A$14:$C$43,2,FALSE)/'Score settings'!$B$6*'Score settings'!$C$6</x:f>
        <x:v>10</x:v>
      </x:c>
      <x:c r="X44" s="41" t="n">
        <x:f>VLOOKUP("Benefits|"&amp;IF(AND(ISNUMBER(H44),H44&gt;0,ISNUMBER(G44),G44&gt;0),IF(H44/G44&gt;='Score settings'!$E$17,"3plus",IF(H44/G44&gt;='Score settings'!$E$16,"1.5to3",IF(H44/G44&gt;='Score settings'!$E$15,"0.5to1.5","positive"))),"None"),'Score settings'!$A$14:$C$43,2,FALSE)/'Score settings'!$B$7*'Score settings'!$C$7</x:f>
        <x:v>25</x:v>
      </x:c>
      <x:c r="Y44" s="41" t="n">
        <x:f>VLOOKUP("Waste|"&amp;R44,'Score settings'!$A$14:$C$43,2,FALSE)/'Score settings'!$B$8*'Score settings'!$C$8</x:f>
        <x:v>15</x:v>
      </x:c>
      <x:c r="Z44" s="41" t="n">
        <x:f>IF(B44="","",SUM(U44:Y44))</x:f>
        <x:v>80</x:v>
      </x:c>
      <x:c r="AA44" s="41" t="str">
        <x:f>IF(Z44="","Not scored",VLOOKUP(Z44,'Score settings'!$A$47:$C$50,2,TRUE))</x:f>
        <x:v>Protected</x:v>
      </x:c>
      <x:c r="AB44" s="41" t="n">
        <x:f>VLOOKUP("Priority|"&amp;O44,'Score settings'!$A$14:$C$43,3,FALSE)/'Score settings'!$B$4*'Score settings'!$D$4</x:f>
        <x:v>15</x:v>
      </x:c>
      <x:c r="AC44" s="41" t="n">
        <x:f>VLOOKUP("Category|"&amp;P44,'Score settings'!$A$14:$C$43,3,FALSE)/'Score settings'!$B$5*'Score settings'!$D$5</x:f>
        <x:v>2.5</x:v>
      </x:c>
      <x:c r="AD44" s="41" t="n">
        <x:f>VLOOKUP("Area|"&amp;Q44,'Score settings'!$A$14:$C$43,3,FALSE)/'Score settings'!$B$6*'Score settings'!$D$6</x:f>
        <x:v>6.666666666666666</x:v>
      </x:c>
      <x:c r="AE44" s="41" t="n">
        <x:f>VLOOKUP("Benefits|"&amp;IF(AND(ISNUMBER(K44),K44&gt;0,ISNUMBER(G44),G44&gt;0),IF(K44/G44&gt;='Score settings'!$E$17,"3plus",IF(K44/G44&gt;='Score settings'!$E$16,"1.5to3",IF(K44/G44&gt;='Score settings'!$E$15,"0.5to1.5","positive"))),"None"),'Score settings'!$A$14:$C$43,3,FALSE)/'Score settings'!$B$7*'Score settings'!$D$7</x:f>
        <x:v>30</x:v>
      </x:c>
      <x:c r="AF44" s="41" t="n">
        <x:f>VLOOKUP("Waste|"&amp;R44,'Score settings'!$A$14:$C$43,3,FALSE)/'Score settings'!$B$8*'Score settings'!$D$8</x:f>
        <x:v>10</x:v>
      </x:c>
      <x:c r="AG44" s="41" t="n">
        <x:f>(IF(AND(ISNUMBER(M44),M44&gt;0,ISNUMBER(G44),G44&gt;0),IF(M44/G44&gt;='Score settings'!$E$17,'Score settings'!$G$17,IF(M44/G44&gt;='Score settings'!$E$16,'Score settings'!$G$16,IF(M44/G44&gt;='Score settings'!$E$15,'Score settings'!$G$15,'Score settings'!$G$14))),0)/15*'Score settings'!$B$60+IFERROR(VLOOKUP(IF(ISNUMBER(N44),N44,IF(ISNUMBER(L44),L44,0)),'Score settings'!$E$22:$F$26,2,FALSE),0)/10*'Score settings'!$B$61)/'Score settings'!$B$9*'Score settings'!$D$9</x:f>
        <x:v>0</x:v>
      </x:c>
      <x:c r="AH44" s="41" t="n">
        <x:f>IF(B44="","",SUM(AB44:AG44))</x:f>
        <x:v>64.16666666666666</x:v>
      </x:c>
      <x:c r="AI44" s="41" t="str">
        <x:f>IF(NOT(ISNUMBER(AH44)),"Not scored",VLOOKUP(AH44,'Score settings'!$A$47:$C$50,3,TRUE))</x:f>
        <x:v>Strong</x:v>
      </x:c>
      <x:c r="AJ44" s="42" t="n">
        <x:f>IF(OR(NOT(ISNUMBER(AH44)),T44&lt;&gt;"Common pot"),"",COUNTIFS($T$4:$T$509,"Common pot",$AH$4:$AH$509,"&gt;"&amp;AH44)+1)</x:f>
        <x:v>11</x:v>
      </x:c>
      <x:c r="AK44" s="36" t="str">
        <x:f>IF(B44="","Name missing - not scored",IF(OR(NOT(ISNUMBER(G44)),G44&lt;=0),"Investment missing or zero - review",IF(0=1,"Permanent ID missing - reconcile",IF(AND(ISNUMBER(H44),H44/G44&gt;='Score settings'!$B$58,NOT(ISNUMBER(I44))),"Benefit units need review",IF(OR(R44="EXIT",R44="CHALLENGE"),"Waste decision requires scope resolution",IF("Name and organisation matched"&lt;&gt;"Name and organisation matched","Waste evidence match needs review","Provisional source score - confirm evidence"))))))</x:f>
        <x:v>Provisional source score - confirm evidence</x:v>
      </x:c>
      <x:c r="AL44" s="36"/>
      <x:c r="AM44" s="40"/>
      <x:c r="AN44" s="39"/>
      <x:c r="AO44" s="40"/>
      <x:c r="AP44" s="40"/>
    </x:row>
    <x:row r="45" ht="15" hidden="0" customHeight="1">
      <x:c r="A45" s="36" t="str">
        <x:v>Bu-50</x:v>
      </x:c>
      <x:c r="B45" s="37" t="str">
        <x:v>E2E NAM Re-entry Digital SRC</x:v>
      </x:c>
      <x:c r="C45" s="36" t="str">
        <x:v>BU Led</x:v>
      </x:c>
      <x:c r="D45" s="36" t="str">
        <x:v>Sleep &amp; Respiratory Care (SRC)</x:v>
      </x:c>
      <x:c r="E45" s="38" t="n">
        <x:v>1.95</x:v>
      </x:c>
      <x:c r="F45" s="39"/>
      <x:c r="G45" s="38" t="n">
        <x:f>IF(ISNUMBER(F45),F45,IF(E45="","",E45))</x:f>
        <x:v>1.95</x:v>
      </x:c>
      <x:c r="H45" s="38" t="n">
        <x:v>50</x:v>
      </x:c>
      <x:c r="I45" s="39"/>
      <x:c r="J45" s="36" t="str">
        <x:v>Revenue</x:v>
      </x:c>
      <x:c r="K45" s="38" t="n">
        <x:f>IF(ISNUMBER(I45),I45,IF(OR(NOT(ISNUMBER(H45)),NOT(ISNUMBER(G45)),G45&lt;=0),"",IF(H45/G45&gt;='Score settings'!$B$58,"",IF(J45="Cash savings",H45,IF(J45="Revenue",H45*'Score settings'!$B$55,"")))))</x:f>
        <x:v>7.5</x:v>
      </x:c>
      <x:c r="L45" s="36"/>
      <x:c r="M45" s="39"/>
      <x:c r="N45" s="40"/>
      <x:c r="O45" s="36" t="str">
        <x:v>Must Do</x:v>
      </x:c>
      <x:c r="P45" s="36" t="str">
        <x:v>NewTech</x:v>
      </x:c>
      <x:c r="Q45" s="36" t="str">
        <x:v>Revenue</x:v>
      </x:c>
      <x:c r="R45" s="36" t="str">
        <x:v>NotAssessed</x:v>
      </x:c>
      <x:c r="S45" s="36" t="str"/>
      <x:c r="T45" s="36" t="str">
        <x:v>Common pot</x:v>
      </x:c>
      <x:c r="U45" s="41" t="n">
        <x:f>VLOOKUP("Priority|"&amp;O45,'Score settings'!$A$14:$C$43,2,FALSE)/'Score settings'!$B$4*'Score settings'!$C$4</x:f>
        <x:v>25</x:v>
      </x:c>
      <x:c r="V45" s="41" t="n">
        <x:f>VLOOKUP("Category|"&amp;P45,'Score settings'!$A$14:$C$43,2,FALSE)/'Score settings'!$B$5*'Score settings'!$C$5</x:f>
        <x:v>5</x:v>
      </x:c>
      <x:c r="W45" s="41" t="n">
        <x:f>VLOOKUP("Area|"&amp;Q45,'Score settings'!$A$14:$C$43,2,FALSE)/'Score settings'!$B$6*'Score settings'!$C$6</x:f>
        <x:v>11</x:v>
      </x:c>
      <x:c r="X45" s="41" t="n">
        <x:f>VLOOKUP("Benefits|"&amp;IF(AND(ISNUMBER(H45),H45&gt;0,ISNUMBER(G45),G45&gt;0),IF(H45/G45&gt;='Score settings'!$E$17,"3plus",IF(H45/G45&gt;='Score settings'!$E$16,"1.5to3",IF(H45/G45&gt;='Score settings'!$E$15,"0.5to1.5","positive"))),"None"),'Score settings'!$A$14:$C$43,2,FALSE)/'Score settings'!$B$7*'Score settings'!$C$7</x:f>
        <x:v>25</x:v>
      </x:c>
      <x:c r="Y45" s="41" t="n">
        <x:f>VLOOKUP("Waste|"&amp;R45,'Score settings'!$A$14:$C$43,2,FALSE)/'Score settings'!$B$8*'Score settings'!$C$8</x:f>
        <x:v>7</x:v>
      </x:c>
      <x:c r="Z45" s="41" t="n">
        <x:f>IF(B45="","",SUM(U45:Y45))</x:f>
        <x:v>73</x:v>
      </x:c>
      <x:c r="AA45" s="41" t="str">
        <x:f>IF(Z45="","Not scored",VLOOKUP(Z45,'Score settings'!$A$47:$C$50,2,TRUE))</x:f>
        <x:v>Protected</x:v>
      </x:c>
      <x:c r="AB45" s="41" t="n">
        <x:f>VLOOKUP("Priority|"&amp;O45,'Score settings'!$A$14:$C$43,3,FALSE)/'Score settings'!$B$4*'Score settings'!$D$4</x:f>
        <x:v>15</x:v>
      </x:c>
      <x:c r="AC45" s="41" t="n">
        <x:f>VLOOKUP("Category|"&amp;P45,'Score settings'!$A$14:$C$43,3,FALSE)/'Score settings'!$B$5*'Score settings'!$D$5</x:f>
        <x:v>2.5</x:v>
      </x:c>
      <x:c r="AD45" s="41" t="n">
        <x:f>VLOOKUP("Area|"&amp;Q45,'Score settings'!$A$14:$C$43,3,FALSE)/'Score settings'!$B$6*'Score settings'!$D$6</x:f>
        <x:v>7.333333333333333</x:v>
      </x:c>
      <x:c r="AE45" s="41" t="n">
        <x:f>VLOOKUP("Benefits|"&amp;IF(AND(ISNUMBER(K45),K45&gt;0,ISNUMBER(G45),G45&gt;0),IF(K45/G45&gt;='Score settings'!$E$17,"3plus",IF(K45/G45&gt;='Score settings'!$E$16,"1.5to3",IF(K45/G45&gt;='Score settings'!$E$15,"0.5to1.5","positive"))),"None"),'Score settings'!$A$14:$C$43,3,FALSE)/'Score settings'!$B$7*'Score settings'!$D$7</x:f>
        <x:v>30</x:v>
      </x:c>
      <x:c r="AF45" s="41" t="n">
        <x:f>VLOOKUP("Waste|"&amp;R45,'Score settings'!$A$14:$C$43,3,FALSE)/'Score settings'!$B$8*'Score settings'!$D$8</x:f>
        <x:v>0</x:v>
      </x:c>
      <x:c r="AG45" s="41" t="n">
        <x:f>(IF(AND(ISNUMBER(M45),M45&gt;0,ISNUMBER(G45),G45&gt;0),IF(M45/G45&gt;='Score settings'!$E$17,'Score settings'!$G$17,IF(M45/G45&gt;='Score settings'!$E$16,'Score settings'!$G$16,IF(M45/G45&gt;='Score settings'!$E$15,'Score settings'!$G$15,'Score settings'!$G$14))),0)/15*'Score settings'!$B$60+IFERROR(VLOOKUP(IF(ISNUMBER(N45),N45,IF(ISNUMBER(L45),L45,0)),'Score settings'!$E$22:$F$26,2,FALSE),0)/10*'Score settings'!$B$61)/'Score settings'!$B$9*'Score settings'!$D$9</x:f>
        <x:v>0</x:v>
      </x:c>
      <x:c r="AH45" s="41" t="n">
        <x:f>IF(B45="","",SUM(AB45:AG45))</x:f>
        <x:v>54.83333333333333</x:v>
      </x:c>
      <x:c r="AI45" s="41" t="str">
        <x:f>IF(NOT(ISNUMBER(AH45)),"Not scored",VLOOKUP(AH45,'Score settings'!$A$47:$C$50,3,TRUE))</x:f>
        <x:v>Strong</x:v>
      </x:c>
      <x:c r="AJ45" s="42" t="n">
        <x:f>IF(OR(NOT(ISNUMBER(AH45)),T45&lt;&gt;"Common pot"),"",COUNTIFS($T$4:$T$509,"Common pot",$AH$4:$AH$509,"&gt;"&amp;AH45)+1)</x:f>
        <x:v>35</x:v>
      </x:c>
      <x:c r="AK45" s="36" t="str">
        <x:f>IF(B45="","Name missing - not scored",IF(OR(NOT(ISNUMBER(G45)),G45&lt;=0),"Investment missing or zero - review",IF(0=1,"Permanent ID missing - reconcile",IF(AND(ISNUMBER(H45),H45/G45&gt;='Score settings'!$B$58,NOT(ISNUMBER(I45))),"Benefit units need review",IF(OR(R45="EXIT",R45="CHALLENGE"),"Waste decision requires scope resolution",IF("Name and organisation matched"&lt;&gt;"Name and organisation matched","Waste evidence match needs review","Provisional source score - confirm evidence"))))))</x:f>
        <x:v>Provisional source score - confirm evidence</x:v>
      </x:c>
      <x:c r="AL45" s="36"/>
      <x:c r="AM45" s="40"/>
      <x:c r="AN45" s="39"/>
      <x:c r="AO45" s="40"/>
      <x:c r="AP45" s="40"/>
    </x:row>
    <x:row r="46" ht="15" hidden="0" customHeight="1">
      <x:c r="A46" s="36" t="str">
        <x:v>Bu-51</x:v>
      </x:c>
      <x:c r="B46" s="37" t="str">
        <x:v>Customer Service Management SRC</x:v>
      </x:c>
      <x:c r="C46" s="36" t="str">
        <x:v>BU Led</x:v>
      </x:c>
      <x:c r="D46" s="36" t="str">
        <x:v>Sleep &amp; Respiratory Care (SRC)</x:v>
      </x:c>
      <x:c r="E46" s="38" t="n">
        <x:v>1.825</x:v>
      </x:c>
      <x:c r="F46" s="39"/>
      <x:c r="G46" s="38" t="n">
        <x:f>IF(ISNUMBER(F46),F46,IF(E46="","",E46))</x:f>
        <x:v>1.825</x:v>
      </x:c>
      <x:c r="H46" s="38" t="n">
        <x:v>5</x:v>
      </x:c>
      <x:c r="I46" s="39"/>
      <x:c r="J46" s="36" t="str">
        <x:v>Risk exposure</x:v>
      </x:c>
      <x:c r="K46" s="38" t="str">
        <x:f>IF(ISNUMBER(I46),I46,IF(OR(NOT(ISNUMBER(H46)),NOT(ISNUMBER(G46)),G46&lt;=0),"",IF(H46/G46&gt;='Score settings'!$B$58,"",IF(J46="Cash savings",H46,IF(J46="Revenue",H46*'Score settings'!$B$55,"")))))</x:f>
      </x:c>
      <x:c r="L46" s="36" t="n">
        <x:v>5</x:v>
      </x:c>
      <x:c r="M46" s="39"/>
      <x:c r="N46" s="40"/>
      <x:c r="O46" s="36" t="str">
        <x:v>Must Do</x:v>
      </x:c>
      <x:c r="P46" s="36" t="str">
        <x:v>LFR</x:v>
      </x:c>
      <x:c r="Q46" s="36" t="str">
        <x:v>Compliance</x:v>
      </x:c>
      <x:c r="R46" s="36" t="str">
        <x:v>NotAssessed</x:v>
      </x:c>
      <x:c r="S46" s="36" t="str">
        <x:v>YES</x:v>
      </x:c>
      <x:c r="T46" s="36" t="str">
        <x:v>LFR validated candidate</x:v>
      </x:c>
      <x:c r="U46" s="41" t="n">
        <x:f>VLOOKUP("Priority|"&amp;O46,'Score settings'!$A$14:$C$43,2,FALSE)/'Score settings'!$B$4*'Score settings'!$C$4</x:f>
        <x:v>25</x:v>
      </x:c>
      <x:c r="V46" s="41" t="n">
        <x:f>VLOOKUP("Category|"&amp;P46,'Score settings'!$A$14:$C$43,2,FALSE)/'Score settings'!$B$5*'Score settings'!$C$5</x:f>
        <x:v>20</x:v>
      </x:c>
      <x:c r="W46" s="41" t="n">
        <x:f>VLOOKUP("Area|"&amp;Q46,'Score settings'!$A$14:$C$43,2,FALSE)/'Score settings'!$B$6*'Score settings'!$C$6</x:f>
        <x:v>15</x:v>
      </x:c>
      <x:c r="X46" s="41" t="n">
        <x:f>VLOOKUP("Benefits|"&amp;IF(AND(ISNUMBER(H46),H46&gt;0,ISNUMBER(G46),G46&gt;0),IF(H46/G46&gt;='Score settings'!$E$17,"3plus",IF(H46/G46&gt;='Score settings'!$E$16,"1.5to3",IF(H46/G46&gt;='Score settings'!$E$15,"0.5to1.5","positive"))),"None"),'Score settings'!$A$14:$C$43,2,FALSE)/'Score settings'!$B$7*'Score settings'!$C$7</x:f>
        <x:v>20</x:v>
      </x:c>
      <x:c r="Y46" s="41" t="n">
        <x:f>VLOOKUP("Waste|"&amp;R46,'Score settings'!$A$14:$C$43,2,FALSE)/'Score settings'!$B$8*'Score settings'!$C$8</x:f>
        <x:v>7</x:v>
      </x:c>
      <x:c r="Z46" s="41" t="n">
        <x:f>IF(B46="","",SUM(U46:Y46))</x:f>
        <x:v>87</x:v>
      </x:c>
      <x:c r="AA46" s="41" t="str">
        <x:f>IF(Z46="","Not scored",VLOOKUP(Z46,'Score settings'!$A$47:$C$50,2,TRUE))</x:f>
        <x:v>Protected</x:v>
      </x:c>
      <x:c r="AB46" s="41" t="n">
        <x:f>VLOOKUP("Priority|"&amp;O46,'Score settings'!$A$14:$C$43,3,FALSE)/'Score settings'!$B$4*'Score settings'!$D$4</x:f>
        <x:v>15</x:v>
      </x:c>
      <x:c r="AC46" s="41" t="n">
        <x:f>VLOOKUP("Category|"&amp;P46,'Score settings'!$A$14:$C$43,3,FALSE)/'Score settings'!$B$5*'Score settings'!$D$5</x:f>
        <x:v>10</x:v>
      </x:c>
      <x:c r="AD46" s="41" t="n">
        <x:f>VLOOKUP("Area|"&amp;Q46,'Score settings'!$A$14:$C$43,3,FALSE)/'Score settings'!$B$6*'Score settings'!$D$6</x:f>
        <x:v>10</x:v>
      </x:c>
      <x:c r="AE46" s="41" t="n">
        <x:f>VLOOKUP("Benefits|"&amp;IF(AND(ISNUMBER(K46),K46&gt;0,ISNUMBER(G46),G46&gt;0),IF(K46/G46&gt;='Score settings'!$E$17,"3plus",IF(K46/G46&gt;='Score settings'!$E$16,"1.5to3",IF(K46/G46&gt;='Score settings'!$E$15,"0.5to1.5","positive"))),"None"),'Score settings'!$A$14:$C$43,3,FALSE)/'Score settings'!$B$7*'Score settings'!$D$7</x:f>
        <x:v>0</x:v>
      </x:c>
      <x:c r="AF46" s="41" t="n">
        <x:f>VLOOKUP("Waste|"&amp;R46,'Score settings'!$A$14:$C$43,3,FALSE)/'Score settings'!$B$8*'Score settings'!$D$8</x:f>
        <x:v>0</x:v>
      </x:c>
      <x:c r="AG46" s="41" t="n">
        <x:f>(IF(AND(ISNUMBER(M46),M46&gt;0,ISNUMBER(G46),G46&gt;0),IF(M46/G46&gt;='Score settings'!$E$17,'Score settings'!$G$17,IF(M46/G46&gt;='Score settings'!$E$16,'Score settings'!$G$16,IF(M46/G46&gt;='Score settings'!$E$15,'Score settings'!$G$15,'Score settings'!$G$14))),0)/15*'Score settings'!$B$60+IFERROR(VLOOKUP(IF(ISNUMBER(N46),N46,IF(ISNUMBER(L46),L46,0)),'Score settings'!$E$22:$F$26,2,FALSE),0)/10*'Score settings'!$B$61)/'Score settings'!$B$9*'Score settings'!$D$9</x:f>
        <x:v>10</x:v>
      </x:c>
      <x:c r="AH46" s="41" t="n">
        <x:f>IF(B46="","",SUM(AB46:AG46))</x:f>
        <x:v>45</x:v>
      </x:c>
      <x:c r="AI46" s="41" t="str">
        <x:f>IF(NOT(ISNUMBER(AH46)),"Not scored",VLOOKUP(AH46,'Score settings'!$A$47:$C$50,3,TRUE))</x:f>
        <x:v>Strong</x:v>
      </x:c>
      <x:c r="AJ46" s="42" t="str">
        <x:f>IF(OR(NOT(ISNUMBER(AH46)),T46&lt;&gt;"Common pot"),"",COUNTIFS($T$4:$T$509,"Common pot",$AH$4:$AH$509,"&gt;"&amp;AH46)+1)</x:f>
      </x:c>
      <x:c r="AK46" s="36" t="str">
        <x:f>IF(B46="","Name missing - not scored",IF(OR(NOT(ISNUMBER(G46)),G46&lt;=0),"Investment missing or zero - review",IF(0=1,"Permanent ID missing - reconcile",IF(AND(ISNUMBER(H46),H46/G46&gt;='Score settings'!$B$58,NOT(ISNUMBER(I46))),"Benefit units need review",IF(OR(R46="EXIT",R46="CHALLENGE"),"Waste decision requires scope resolution",IF("Name and organisation matched"&lt;&gt;"Name and organisation matched","Waste evidence match needs review","Provisional source score - confirm evidence"))))))</x:f>
        <x:v>Provisional source score - confirm evidence</x:v>
      </x:c>
      <x:c r="AL46" s="36" t="n">
        <x:v>20</x:v>
      </x:c>
      <x:c r="AM46" s="40"/>
      <x:c r="AN46" s="39"/>
      <x:c r="AO46" s="40"/>
      <x:c r="AP46" s="40"/>
    </x:row>
    <x:row r="47" ht="15" hidden="0" customHeight="1">
      <x:c r="A47" s="36" t="str">
        <x:v>Bu-52</x:v>
      </x:c>
      <x:c r="B47" s="37" t="str">
        <x:v>Web Replatforming SRC - phase 2</x:v>
      </x:c>
      <x:c r="C47" s="36" t="str">
        <x:v>BU Led</x:v>
      </x:c>
      <x:c r="D47" s="36" t="str">
        <x:v>Sleep &amp; Respiratory Care (SRC)</x:v>
      </x:c>
      <x:c r="E47" s="38" t="n">
        <x:v>0.85</x:v>
      </x:c>
      <x:c r="F47" s="39"/>
      <x:c r="G47" s="38" t="n">
        <x:f>IF(ISNUMBER(F47),F47,IF(E47="","",E47))</x:f>
        <x:v>0.85</x:v>
      </x:c>
      <x:c r="H47" s="38"/>
      <x:c r="I47" s="39"/>
      <x:c r="J47" s="36" t="str">
        <x:v>Cash savings</x:v>
      </x:c>
      <x:c r="K47" s="38" t="str">
        <x:f>IF(ISNUMBER(I47),I47,IF(OR(NOT(ISNUMBER(H47)),NOT(ISNUMBER(G47)),G47&lt;=0),"",IF(H47/G47&gt;='Score settings'!$B$58,"",IF(J47="Cash savings",H47,IF(J47="Revenue",H47*'Score settings'!$B$55,"")))))</x:f>
      </x:c>
      <x:c r="L47" s="36"/>
      <x:c r="M47" s="39"/>
      <x:c r="N47" s="40"/>
      <x:c r="O47" s="36" t="str">
        <x:v>Must Do</x:v>
      </x:c>
      <x:c r="P47" s="36" t="str">
        <x:v>NewTech</x:v>
      </x:c>
      <x:c r="Q47" s="36" t="str">
        <x:v>Productivity</x:v>
      </x:c>
      <x:c r="R47" s="36" t="str">
        <x:v>NotAssessed</x:v>
      </x:c>
      <x:c r="S47" s="36" t="str"/>
      <x:c r="T47" s="36" t="str">
        <x:v>Common pot</x:v>
      </x:c>
      <x:c r="U47" s="41" t="n">
        <x:f>VLOOKUP("Priority|"&amp;O47,'Score settings'!$A$14:$C$43,2,FALSE)/'Score settings'!$B$4*'Score settings'!$C$4</x:f>
        <x:v>25</x:v>
      </x:c>
      <x:c r="V47" s="41" t="n">
        <x:f>VLOOKUP("Category|"&amp;P47,'Score settings'!$A$14:$C$43,2,FALSE)/'Score settings'!$B$5*'Score settings'!$C$5</x:f>
        <x:v>5</x:v>
      </x:c>
      <x:c r="W47" s="41" t="n">
        <x:f>VLOOKUP("Area|"&amp;Q47,'Score settings'!$A$14:$C$43,2,FALSE)/'Score settings'!$B$6*'Score settings'!$C$6</x:f>
        <x:v>10</x:v>
      </x:c>
      <x:c r="X47" s="41" t="n">
        <x:f>VLOOKUP("Benefits|"&amp;IF(AND(ISNUMBER(H47),H47&gt;0,ISNUMBER(G47),G47&gt;0),IF(H47/G47&gt;='Score settings'!$E$17,"3plus",IF(H47/G47&gt;='Score settings'!$E$16,"1.5to3",IF(H47/G47&gt;='Score settings'!$E$15,"0.5to1.5","positive"))),"None"),'Score settings'!$A$14:$C$43,2,FALSE)/'Score settings'!$B$7*'Score settings'!$C$7</x:f>
        <x:v>5</x:v>
      </x:c>
      <x:c r="Y47" s="41" t="n">
        <x:f>VLOOKUP("Waste|"&amp;R47,'Score settings'!$A$14:$C$43,2,FALSE)/'Score settings'!$B$8*'Score settings'!$C$8</x:f>
        <x:v>7</x:v>
      </x:c>
      <x:c r="Z47" s="41" t="n">
        <x:f>IF(B47="","",SUM(U47:Y47))</x:f>
        <x:v>52</x:v>
      </x:c>
      <x:c r="AA47" s="41" t="str">
        <x:f>IF(Z47="","Not scored",VLOOKUP(Z47,'Score settings'!$A$47:$C$50,2,TRUE))</x:f>
        <x:v>Strong</x:v>
      </x:c>
      <x:c r="AB47" s="41" t="n">
        <x:f>VLOOKUP("Priority|"&amp;O47,'Score settings'!$A$14:$C$43,3,FALSE)/'Score settings'!$B$4*'Score settings'!$D$4</x:f>
        <x:v>15</x:v>
      </x:c>
      <x:c r="AC47" s="41" t="n">
        <x:f>VLOOKUP("Category|"&amp;P47,'Score settings'!$A$14:$C$43,3,FALSE)/'Score settings'!$B$5*'Score settings'!$D$5</x:f>
        <x:v>2.5</x:v>
      </x:c>
      <x:c r="AD47" s="41" t="n">
        <x:f>VLOOKUP("Area|"&amp;Q47,'Score settings'!$A$14:$C$43,3,FALSE)/'Score settings'!$B$6*'Score settings'!$D$6</x:f>
        <x:v>6.666666666666666</x:v>
      </x:c>
      <x:c r="AE47" s="41" t="n">
        <x:f>VLOOKUP("Benefits|"&amp;IF(AND(ISNUMBER(K47),K47&gt;0,ISNUMBER(G47),G47&gt;0),IF(K47/G47&gt;='Score settings'!$E$17,"3plus",IF(K47/G47&gt;='Score settings'!$E$16,"1.5to3",IF(K47/G47&gt;='Score settings'!$E$15,"0.5to1.5","positive"))),"None"),'Score settings'!$A$14:$C$43,3,FALSE)/'Score settings'!$B$7*'Score settings'!$D$7</x:f>
        <x:v>0</x:v>
      </x:c>
      <x:c r="AF47" s="41" t="n">
        <x:f>VLOOKUP("Waste|"&amp;R47,'Score settings'!$A$14:$C$43,3,FALSE)/'Score settings'!$B$8*'Score settings'!$D$8</x:f>
        <x:v>0</x:v>
      </x:c>
      <x:c r="AG47" s="41" t="n">
        <x:f>(IF(AND(ISNUMBER(M47),M47&gt;0,ISNUMBER(G47),G47&gt;0),IF(M47/G47&gt;='Score settings'!$E$17,'Score settings'!$G$17,IF(M47/G47&gt;='Score settings'!$E$16,'Score settings'!$G$16,IF(M47/G47&gt;='Score settings'!$E$15,'Score settings'!$G$15,'Score settings'!$G$14))),0)/15*'Score settings'!$B$60+IFERROR(VLOOKUP(IF(ISNUMBER(N47),N47,IF(ISNUMBER(L47),L47,0)),'Score settings'!$E$22:$F$26,2,FALSE),0)/10*'Score settings'!$B$61)/'Score settings'!$B$9*'Score settings'!$D$9</x:f>
        <x:v>0</x:v>
      </x:c>
      <x:c r="AH47" s="41" t="n">
        <x:f>IF(B47="","",SUM(AB47:AG47))</x:f>
        <x:v>24.166666666666664</x:v>
      </x:c>
      <x:c r="AI47" s="41" t="str">
        <x:f>IF(NOT(ISNUMBER(AH47)),"Not scored",VLOOKUP(AH47,'Score settings'!$A$47:$C$50,3,TRUE))</x:f>
        <x:v>Weak</x:v>
      </x:c>
      <x:c r="AJ47" s="42" t="n">
        <x:f>IF(OR(NOT(ISNUMBER(AH47)),T47&lt;&gt;"Common pot"),"",COUNTIFS($T$4:$T$509,"Common pot",$AH$4:$AH$509,"&gt;"&amp;AH47)+1)</x:f>
        <x:v>284</x:v>
      </x:c>
      <x:c r="AK47" s="36" t="str">
        <x:f>IF(B47="","Name missing - not scored",IF(OR(NOT(ISNUMBER(G47)),G47&lt;=0),"Investment missing or zero - review",IF(0=1,"Permanent ID missing - reconcile",IF(AND(ISNUMBER(H47),H47/G47&gt;='Score settings'!$B$58,NOT(ISNUMBER(I47))),"Benefit units need review",IF(OR(R47="EXIT",R47="CHALLENGE"),"Waste decision requires scope resolution",IF("Name and organisation matched"&lt;&gt;"Name and organisation matched","Waste evidence match needs review","Provisional source score - confirm evidence"))))))</x:f>
        <x:v>Provisional source score - confirm evidence</x:v>
      </x:c>
      <x:c r="AL47" s="36"/>
      <x:c r="AM47" s="40"/>
      <x:c r="AN47" s="39"/>
      <x:c r="AO47" s="40"/>
      <x:c r="AP47" s="40"/>
    </x:row>
    <x:row r="48" ht="15" hidden="0" customHeight="1">
      <x:c r="A48" s="36" t="str">
        <x:v>Bu-53</x:v>
      </x:c>
      <x:c r="B48" s="37" t="str">
        <x:v>E2E Trade Item Integration</x:v>
      </x:c>
      <x:c r="C48" s="36" t="str">
        <x:v>BU Led</x:v>
      </x:c>
      <x:c r="D48" s="36" t="str">
        <x:v>Sleep &amp; Respiratory Care (SRC)</x:v>
      </x:c>
      <x:c r="E48" s="38" t="n">
        <x:v>0</x:v>
      </x:c>
      <x:c r="F48" s="39"/>
      <x:c r="G48" s="38" t="str">
        <x:f>IF(ISNUMBER(F48),F48,IF(E48="","",E48))</x:f>
      </x:c>
      <x:c r="H48" s="38"/>
      <x:c r="I48" s="39"/>
      <x:c r="J48" s="36" t="str">
        <x:v>Risk exposure</x:v>
      </x:c>
      <x:c r="K48" s="38" t="str">
        <x:f>IF(ISNUMBER(I48),I48,IF(OR(NOT(ISNUMBER(H48)),NOT(ISNUMBER(G48)),G48&lt;=0),"",IF(H48/G48&gt;='Score settings'!$B$58,"",IF(J48="Cash savings",H48,IF(J48="Revenue",H48*'Score settings'!$B$55,"")))))</x:f>
      </x:c>
      <x:c r="L48" s="36"/>
      <x:c r="M48" s="39"/>
      <x:c r="N48" s="40"/>
      <x:c r="O48" s="36" t="str">
        <x:v>Depri</x:v>
      </x:c>
      <x:c r="P48" s="36" t="str">
        <x:v>LFR</x:v>
      </x:c>
      <x:c r="Q48" s="36" t="str">
        <x:v>Compliance</x:v>
      </x:c>
      <x:c r="R48" s="36" t="str">
        <x:v>NotAssessed</x:v>
      </x:c>
      <x:c r="S48" s="36" t="str"/>
      <x:c r="T48" s="36" t="str">
        <x:v>Common pot</x:v>
      </x:c>
      <x:c r="U48" s="41" t="n">
        <x:f>VLOOKUP("Priority|"&amp;O48,'Score settings'!$A$14:$C$43,2,FALSE)/'Score settings'!$B$4*'Score settings'!$C$4</x:f>
        <x:v>5</x:v>
      </x:c>
      <x:c r="V48" s="41" t="n">
        <x:f>VLOOKUP("Category|"&amp;P48,'Score settings'!$A$14:$C$43,2,FALSE)/'Score settings'!$B$5*'Score settings'!$C$5</x:f>
        <x:v>20</x:v>
      </x:c>
      <x:c r="W48" s="41" t="n">
        <x:f>VLOOKUP("Area|"&amp;Q48,'Score settings'!$A$14:$C$43,2,FALSE)/'Score settings'!$B$6*'Score settings'!$C$6</x:f>
        <x:v>15</x:v>
      </x:c>
      <x:c r="X48" s="41" t="n">
        <x:f>VLOOKUP("Benefits|"&amp;IF(AND(ISNUMBER(H48),H48&gt;0,ISNUMBER(G48),G48&gt;0),IF(H48/G48&gt;='Score settings'!$E$17,"3plus",IF(H48/G48&gt;='Score settings'!$E$16,"1.5to3",IF(H48/G48&gt;='Score settings'!$E$15,"0.5to1.5","positive"))),"None"),'Score settings'!$A$14:$C$43,2,FALSE)/'Score settings'!$B$7*'Score settings'!$C$7</x:f>
        <x:v>5</x:v>
      </x:c>
      <x:c r="Y48" s="41" t="n">
        <x:f>VLOOKUP("Waste|"&amp;R48,'Score settings'!$A$14:$C$43,2,FALSE)/'Score settings'!$B$8*'Score settings'!$C$8</x:f>
        <x:v>7</x:v>
      </x:c>
      <x:c r="Z48" s="41" t="n">
        <x:f>IF(B48="","",SUM(U48:Y48))</x:f>
        <x:v>52</x:v>
      </x:c>
      <x:c r="AA48" s="41" t="str">
        <x:f>IF(Z48="","Not scored",VLOOKUP(Z48,'Score settings'!$A$47:$C$50,2,TRUE))</x:f>
        <x:v>Strong</x:v>
      </x:c>
      <x:c r="AB48" s="41" t="n">
        <x:f>VLOOKUP("Priority|"&amp;O48,'Score settings'!$A$14:$C$43,3,FALSE)/'Score settings'!$B$4*'Score settings'!$D$4</x:f>
        <x:v>3</x:v>
      </x:c>
      <x:c r="AC48" s="41" t="n">
        <x:f>VLOOKUP("Category|"&amp;P48,'Score settings'!$A$14:$C$43,3,FALSE)/'Score settings'!$B$5*'Score settings'!$D$5</x:f>
        <x:v>10</x:v>
      </x:c>
      <x:c r="AD48" s="41" t="n">
        <x:f>VLOOKUP("Area|"&amp;Q48,'Score settings'!$A$14:$C$43,3,FALSE)/'Score settings'!$B$6*'Score settings'!$D$6</x:f>
        <x:v>10</x:v>
      </x:c>
      <x:c r="AE48" s="41" t="n">
        <x:f>VLOOKUP("Benefits|"&amp;IF(AND(ISNUMBER(K48),K48&gt;0,ISNUMBER(G48),G48&gt;0),IF(K48/G48&gt;='Score settings'!$E$17,"3plus",IF(K48/G48&gt;='Score settings'!$E$16,"1.5to3",IF(K48/G48&gt;='Score settings'!$E$15,"0.5to1.5","positive"))),"None"),'Score settings'!$A$14:$C$43,3,FALSE)/'Score settings'!$B$7*'Score settings'!$D$7</x:f>
        <x:v>0</x:v>
      </x:c>
      <x:c r="AF48" s="41" t="n">
        <x:f>VLOOKUP("Waste|"&amp;R48,'Score settings'!$A$14:$C$43,3,FALSE)/'Score settings'!$B$8*'Score settings'!$D$8</x:f>
        <x:v>0</x:v>
      </x:c>
      <x:c r="AG48" s="41" t="n">
        <x:f>(IF(AND(ISNUMBER(M48),M48&gt;0,ISNUMBER(G48),G48&gt;0),IF(M48/G48&gt;='Score settings'!$E$17,'Score settings'!$G$17,IF(M48/G48&gt;='Score settings'!$E$16,'Score settings'!$G$16,IF(M48/G48&gt;='Score settings'!$E$15,'Score settings'!$G$15,'Score settings'!$G$14))),0)/15*'Score settings'!$B$60+IFERROR(VLOOKUP(IF(ISNUMBER(N48),N48,IF(ISNUMBER(L48),L48,0)),'Score settings'!$E$22:$F$26,2,FALSE),0)/10*'Score settings'!$B$61)/'Score settings'!$B$9*'Score settings'!$D$9</x:f>
        <x:v>0</x:v>
      </x:c>
      <x:c r="AH48" s="41" t="n">
        <x:f>IF(B48="","",SUM(AB48:AG48))</x:f>
        <x:v>23</x:v>
      </x:c>
      <x:c r="AI48" s="41" t="str">
        <x:f>IF(NOT(ISNUMBER(AH48)),"Not scored",VLOOKUP(AH48,'Score settings'!$A$47:$C$50,3,TRUE))</x:f>
        <x:v>Weak</x:v>
      </x:c>
      <x:c r="AJ48" s="42" t="n">
        <x:f>IF(OR(NOT(ISNUMBER(AH48)),T48&lt;&gt;"Common pot"),"",COUNTIFS($T$4:$T$509,"Common pot",$AH$4:$AH$509,"&gt;"&amp;AH48)+1)</x:f>
        <x:v>301</x:v>
      </x:c>
      <x:c r="AK48" s="36" t="str">
        <x:f>IF(B48="","Name missing - not scored",IF(OR(NOT(ISNUMBER(G48)),G48&lt;=0),"Investment missing or zero - review",IF(0=1,"Permanent ID missing - reconcile",IF(AND(ISNUMBER(H48),H48/G48&gt;='Score settings'!$B$58,NOT(ISNUMBER(I48))),"Benefit units need review",IF(OR(R48="EXIT",R48="CHALLENGE"),"Waste decision requires scope resolution",IF("No exact waste match"&lt;&gt;"Name and organisation matched","Waste evidence match needs review","Provisional source score - confirm evidence"))))))</x:f>
        <x:v>Investment missing or zero - review</x:v>
      </x:c>
      <x:c r="AL48" s="36"/>
      <x:c r="AM48" s="40"/>
      <x:c r="AN48" s="39"/>
      <x:c r="AO48" s="40"/>
      <x:c r="AP48" s="40"/>
    </x:row>
    <x:row r="49" ht="15" hidden="0" customHeight="1">
      <x:c r="A49" s="36" t="str">
        <x:v>Bu-54</x:v>
      </x:c>
      <x:c r="B49" s="37" t="str">
        <x:v>Procurement</x:v>
      </x:c>
      <x:c r="C49" s="36" t="str">
        <x:v>BU Led</x:v>
      </x:c>
      <x:c r="D49" s="36" t="str">
        <x:v>Integrated Supply Chain (ISC)</x:v>
      </x:c>
      <x:c r="E49" s="38" t="n">
        <x:v>0.22</x:v>
      </x:c>
      <x:c r="F49" s="39"/>
      <x:c r="G49" s="38" t="n">
        <x:f>IF(ISNUMBER(F49),F49,IF(E49="","",E49))</x:f>
        <x:v>0.22</x:v>
      </x:c>
      <x:c r="H49" s="38"/>
      <x:c r="I49" s="39"/>
      <x:c r="J49" s="36" t="str">
        <x:v>Unclassified</x:v>
      </x:c>
      <x:c r="K49" s="38" t="str">
        <x:f>IF(ISNUMBER(I49),I49,IF(OR(NOT(ISNUMBER(H49)),NOT(ISNUMBER(G49)),G49&lt;=0),"",IF(H49/G49&gt;='Score settings'!$B$58,"",IF(J49="Cash savings",H49,IF(J49="Revenue",H49*'Score settings'!$B$55,"")))))</x:f>
      </x:c>
      <x:c r="L49" s="36"/>
      <x:c r="M49" s="39"/>
      <x:c r="N49" s="40"/>
      <x:c r="O49" s="36" t="str">
        <x:v>Must Do</x:v>
      </x:c>
      <x:c r="P49" s="36" t="str">
        <x:v>Blank</x:v>
      </x:c>
      <x:c r="Q49" s="36" t="str">
        <x:v>Blank</x:v>
      </x:c>
      <x:c r="R49" s="36" t="str">
        <x:v>HEALTHY</x:v>
      </x:c>
      <x:c r="S49" s="36" t="str"/>
      <x:c r="T49" s="36" t="str">
        <x:v>Common pot</x:v>
      </x:c>
      <x:c r="U49" s="41" t="n">
        <x:f>VLOOKUP("Priority|"&amp;O49,'Score settings'!$A$14:$C$43,2,FALSE)/'Score settings'!$B$4*'Score settings'!$C$4</x:f>
        <x:v>25</x:v>
      </x:c>
      <x:c r="V49" s="41" t="n">
        <x:f>VLOOKUP("Category|"&amp;P49,'Score settings'!$A$14:$C$43,2,FALSE)/'Score settings'!$B$5*'Score settings'!$C$5</x:f>
        <x:v>4</x:v>
      </x:c>
      <x:c r="W49" s="41" t="n">
        <x:f>VLOOKUP("Area|"&amp;Q49,'Score settings'!$A$14:$C$43,2,FALSE)/'Score settings'!$B$6*'Score settings'!$C$6</x:f>
        <x:v>3</x:v>
      </x:c>
      <x:c r="X49" s="41" t="n">
        <x:f>VLOOKUP("Benefits|"&amp;IF(AND(ISNUMBER(H49),H49&gt;0,ISNUMBER(G49),G49&gt;0),IF(H49/G49&gt;='Score settings'!$E$17,"3plus",IF(H49/G49&gt;='Score settings'!$E$16,"1.5to3",IF(H49/G49&gt;='Score settings'!$E$15,"0.5to1.5","positive"))),"None"),'Score settings'!$A$14:$C$43,2,FALSE)/'Score settings'!$B$7*'Score settings'!$C$7</x:f>
        <x:v>5</x:v>
      </x:c>
      <x:c r="Y49" s="41" t="n">
        <x:f>VLOOKUP("Waste|"&amp;R49,'Score settings'!$A$14:$C$43,2,FALSE)/'Score settings'!$B$8*'Score settings'!$C$8</x:f>
        <x:v>15</x:v>
      </x:c>
      <x:c r="Z49" s="41" t="n">
        <x:f>IF(B49="","",SUM(U49:Y49))</x:f>
        <x:v>52</x:v>
      </x:c>
      <x:c r="AA49" s="41" t="str">
        <x:f>IF(Z49="","Not scored",VLOOKUP(Z49,'Score settings'!$A$47:$C$50,2,TRUE))</x:f>
        <x:v>Strong</x:v>
      </x:c>
      <x:c r="AB49" s="41" t="n">
        <x:f>VLOOKUP("Priority|"&amp;O49,'Score settings'!$A$14:$C$43,3,FALSE)/'Score settings'!$B$4*'Score settings'!$D$4</x:f>
        <x:v>15</x:v>
      </x:c>
      <x:c r="AC49" s="41" t="n">
        <x:f>VLOOKUP("Category|"&amp;P49,'Score settings'!$A$14:$C$43,3,FALSE)/'Score settings'!$B$5*'Score settings'!$D$5</x:f>
        <x:v>0</x:v>
      </x:c>
      <x:c r="AD49" s="41" t="n">
        <x:f>VLOOKUP("Area|"&amp;Q49,'Score settings'!$A$14:$C$43,3,FALSE)/'Score settings'!$B$6*'Score settings'!$D$6</x:f>
        <x:v>0</x:v>
      </x:c>
      <x:c r="AE49" s="41" t="n">
        <x:f>VLOOKUP("Benefits|"&amp;IF(AND(ISNUMBER(K49),K49&gt;0,ISNUMBER(G49),G49&gt;0),IF(K49/G49&gt;='Score settings'!$E$17,"3plus",IF(K49/G49&gt;='Score settings'!$E$16,"1.5to3",IF(K49/G49&gt;='Score settings'!$E$15,"0.5to1.5","positive"))),"None"),'Score settings'!$A$14:$C$43,3,FALSE)/'Score settings'!$B$7*'Score settings'!$D$7</x:f>
        <x:v>0</x:v>
      </x:c>
      <x:c r="AF49" s="41" t="n">
        <x:f>VLOOKUP("Waste|"&amp;R49,'Score settings'!$A$14:$C$43,3,FALSE)/'Score settings'!$B$8*'Score settings'!$D$8</x:f>
        <x:v>10</x:v>
      </x:c>
      <x:c r="AG49" s="41" t="n">
        <x:f>(IF(AND(ISNUMBER(M49),M49&gt;0,ISNUMBER(G49),G49&gt;0),IF(M49/G49&gt;='Score settings'!$E$17,'Score settings'!$G$17,IF(M49/G49&gt;='Score settings'!$E$16,'Score settings'!$G$16,IF(M49/G49&gt;='Score settings'!$E$15,'Score settings'!$G$15,'Score settings'!$G$14))),0)/15*'Score settings'!$B$60+IFERROR(VLOOKUP(IF(ISNUMBER(N49),N49,IF(ISNUMBER(L49),L49,0)),'Score settings'!$E$22:$F$26,2,FALSE),0)/10*'Score settings'!$B$61)/'Score settings'!$B$9*'Score settings'!$D$9</x:f>
        <x:v>0</x:v>
      </x:c>
      <x:c r="AH49" s="41" t="n">
        <x:f>IF(B49="","",SUM(AB49:AG49))</x:f>
        <x:v>25</x:v>
      </x:c>
      <x:c r="AI49" s="41" t="str">
        <x:f>IF(NOT(ISNUMBER(AH49)),"Not scored",VLOOKUP(AH49,'Score settings'!$A$47:$C$50,3,TRUE))</x:f>
        <x:v>Discretionary</x:v>
      </x:c>
      <x:c r="AJ49" s="42" t="n">
        <x:f>IF(OR(NOT(ISNUMBER(AH49)),T49&lt;&gt;"Common pot"),"",COUNTIFS($T$4:$T$509,"Common pot",$AH$4:$AH$509,"&gt;"&amp;AH49)+1)</x:f>
        <x:v>264</x:v>
      </x:c>
      <x:c r="AK49" s="36" t="str">
        <x:f>IF(B49="","Name missing - not scored",IF(OR(NOT(ISNUMBER(G49)),G49&lt;=0),"Investment missing or zero - review",IF(0=1,"Permanent ID missing - reconcile",IF(AND(ISNUMBER(H49),H49/G49&gt;='Score settings'!$B$58,NOT(ISNUMBER(I49))),"Benefit units need review",IF(OR(R49="EXIT",R49="CHALLENGE"),"Waste decision requires scope resolution",IF("Name and organisation matched"&lt;&gt;"Name and organisation matched","Waste evidence match needs review","Provisional source score - confirm evidence"))))))</x:f>
        <x:v>Provisional source score - confirm evidence</x:v>
      </x:c>
      <x:c r="AL49" s="36"/>
      <x:c r="AM49" s="40"/>
      <x:c r="AN49" s="39"/>
      <x:c r="AO49" s="40"/>
      <x:c r="AP49" s="40"/>
    </x:row>
    <x:row r="50" ht="15" hidden="0" customHeight="1">
      <x:c r="A50" s="36" t="str">
        <x:v>Bu-55</x:v>
      </x:c>
      <x:c r="B50" s="37" t="str">
        <x:v>D2B HS eCommerce 2025_26</x:v>
      </x:c>
      <x:c r="C50" s="36" t="str">
        <x:v>BU Led</x:v>
      </x:c>
      <x:c r="D50" s="36" t="str">
        <x:v>CoE Marketing – HS (former DMEC)​</x:v>
      </x:c>
      <x:c r="E50" s="38" t="n">
        <x:v>0.4</x:v>
      </x:c>
      <x:c r="F50" s="39"/>
      <x:c r="G50" s="38" t="n">
        <x:f>IF(ISNUMBER(F50),F50,IF(E50="","",E50))</x:f>
        <x:v>0.4</x:v>
      </x:c>
      <x:c r="H50" s="38" t="n">
        <x:v>3</x:v>
      </x:c>
      <x:c r="I50" s="39"/>
      <x:c r="J50" s="36" t="str">
        <x:v>Revenue</x:v>
      </x:c>
      <x:c r="K50" s="38" t="n">
        <x:f>IF(ISNUMBER(I50),I50,IF(OR(NOT(ISNUMBER(H50)),NOT(ISNUMBER(G50)),G50&lt;=0),"",IF(H50/G50&gt;='Score settings'!$B$58,"",IF(J50="Cash savings",H50,IF(J50="Revenue",H50*'Score settings'!$B$55,"")))))</x:f>
        <x:v>0.44999999999999996</x:v>
      </x:c>
      <x:c r="L50" s="36"/>
      <x:c r="M50" s="39"/>
      <x:c r="N50" s="40"/>
      <x:c r="O50" s="36" t="str">
        <x:v>Must Do</x:v>
      </x:c>
      <x:c r="P50" s="36" t="str">
        <x:v>CI</x:v>
      </x:c>
      <x:c r="Q50" s="36" t="str">
        <x:v>Revenue</x:v>
      </x:c>
      <x:c r="R50" s="36" t="str">
        <x:v>NotAssessed</x:v>
      </x:c>
      <x:c r="S50" s="36" t="str"/>
      <x:c r="T50" s="36" t="str">
        <x:v>Common pot</x:v>
      </x:c>
      <x:c r="U50" s="41" t="n">
        <x:f>VLOOKUP("Priority|"&amp;O50,'Score settings'!$A$14:$C$43,2,FALSE)/'Score settings'!$B$4*'Score settings'!$C$4</x:f>
        <x:v>25</x:v>
      </x:c>
      <x:c r="V50" s="41" t="n">
        <x:f>VLOOKUP("Category|"&amp;P50,'Score settings'!$A$14:$C$43,2,FALSE)/'Score settings'!$B$5*'Score settings'!$C$5</x:f>
        <x:v>8</x:v>
      </x:c>
      <x:c r="W50" s="41" t="n">
        <x:f>VLOOKUP("Area|"&amp;Q50,'Score settings'!$A$14:$C$43,2,FALSE)/'Score settings'!$B$6*'Score settings'!$C$6</x:f>
        <x:v>11</x:v>
      </x:c>
      <x:c r="X50" s="41" t="n">
        <x:f>VLOOKUP("Benefits|"&amp;IF(AND(ISNUMBER(H50),H50&gt;0,ISNUMBER(G50),G50&gt;0),IF(H50/G50&gt;='Score settings'!$E$17,"3plus",IF(H50/G50&gt;='Score settings'!$E$16,"1.5to3",IF(H50/G50&gt;='Score settings'!$E$15,"0.5to1.5","positive"))),"None"),'Score settings'!$A$14:$C$43,2,FALSE)/'Score settings'!$B$7*'Score settings'!$C$7</x:f>
        <x:v>25</x:v>
      </x:c>
      <x:c r="Y50" s="41" t="n">
        <x:f>VLOOKUP("Waste|"&amp;R50,'Score settings'!$A$14:$C$43,2,FALSE)/'Score settings'!$B$8*'Score settings'!$C$8</x:f>
        <x:v>7</x:v>
      </x:c>
      <x:c r="Z50" s="41" t="n">
        <x:f>IF(B50="","",SUM(U50:Y50))</x:f>
        <x:v>76</x:v>
      </x:c>
      <x:c r="AA50" s="41" t="str">
        <x:f>IF(Z50="","Not scored",VLOOKUP(Z50,'Score settings'!$A$47:$C$50,2,TRUE))</x:f>
        <x:v>Protected</x:v>
      </x:c>
      <x:c r="AB50" s="41" t="n">
        <x:f>VLOOKUP("Priority|"&amp;O50,'Score settings'!$A$14:$C$43,3,FALSE)/'Score settings'!$B$4*'Score settings'!$D$4</x:f>
        <x:v>15</x:v>
      </x:c>
      <x:c r="AC50" s="41" t="n">
        <x:f>VLOOKUP("Category|"&amp;P50,'Score settings'!$A$14:$C$43,3,FALSE)/'Score settings'!$B$5*'Score settings'!$D$5</x:f>
        <x:v>4</x:v>
      </x:c>
      <x:c r="AD50" s="41" t="n">
        <x:f>VLOOKUP("Area|"&amp;Q50,'Score settings'!$A$14:$C$43,3,FALSE)/'Score settings'!$B$6*'Score settings'!$D$6</x:f>
        <x:v>7.333333333333333</x:v>
      </x:c>
      <x:c r="AE50" s="41" t="n">
        <x:f>VLOOKUP("Benefits|"&amp;IF(AND(ISNUMBER(K50),K50&gt;0,ISNUMBER(G50),G50&gt;0),IF(K50/G50&gt;='Score settings'!$E$17,"3plus",IF(K50/G50&gt;='Score settings'!$E$16,"1.5to3",IF(K50/G50&gt;='Score settings'!$E$15,"0.5to1.5","positive"))),"None"),'Score settings'!$A$14:$C$43,3,FALSE)/'Score settings'!$B$7*'Score settings'!$D$7</x:f>
        <x:v>18</x:v>
      </x:c>
      <x:c r="AF50" s="41" t="n">
        <x:f>VLOOKUP("Waste|"&amp;R50,'Score settings'!$A$14:$C$43,3,FALSE)/'Score settings'!$B$8*'Score settings'!$D$8</x:f>
        <x:v>0</x:v>
      </x:c>
      <x:c r="AG50" s="41" t="n">
        <x:f>(IF(AND(ISNUMBER(M50),M50&gt;0,ISNUMBER(G50),G50&gt;0),IF(M50/G50&gt;='Score settings'!$E$17,'Score settings'!$G$17,IF(M50/G50&gt;='Score settings'!$E$16,'Score settings'!$G$16,IF(M50/G50&gt;='Score settings'!$E$15,'Score settings'!$G$15,'Score settings'!$G$14))),0)/15*'Score settings'!$B$60+IFERROR(VLOOKUP(IF(ISNUMBER(N50),N50,IF(ISNUMBER(L50),L50,0)),'Score settings'!$E$22:$F$26,2,FALSE),0)/10*'Score settings'!$B$61)/'Score settings'!$B$9*'Score settings'!$D$9</x:f>
        <x:v>0</x:v>
      </x:c>
      <x:c r="AH50" s="41" t="n">
        <x:f>IF(B50="","",SUM(AB50:AG50))</x:f>
        <x:v>44.33333333333333</x:v>
      </x:c>
      <x:c r="AI50" s="41" t="str">
        <x:f>IF(NOT(ISNUMBER(AH50)),"Not scored",VLOOKUP(AH50,'Score settings'!$A$47:$C$50,3,TRUE))</x:f>
        <x:v>Discretionary</x:v>
      </x:c>
      <x:c r="AJ50" s="42" t="n">
        <x:f>IF(OR(NOT(ISNUMBER(AH50)),T50&lt;&gt;"Common pot"),"",COUNTIFS($T$4:$T$509,"Common pot",$AH$4:$AH$509,"&gt;"&amp;AH50)+1)</x:f>
        <x:v>67</x:v>
      </x:c>
      <x:c r="AK50" s="36" t="str">
        <x:f>IF(B50="","Name missing - not scored",IF(OR(NOT(ISNUMBER(G50)),G50&lt;=0),"Investment missing or zero - review",IF(0=1,"Permanent ID missing - reconcile",IF(AND(ISNUMBER(H50),H50/G50&gt;='Score settings'!$B$58,NOT(ISNUMBER(I50))),"Benefit units need review",IF(OR(R50="EXIT",R50="CHALLENGE"),"Waste decision requires scope resolution",IF("Name and organisation matched"&lt;&gt;"Name and organisation matched","Waste evidence match needs review","Provisional source score - confirm evidence"))))))</x:f>
        <x:v>Provisional source score - confirm evidence</x:v>
      </x:c>
      <x:c r="AL50" s="36"/>
      <x:c r="AM50" s="40"/>
      <x:c r="AN50" s="39"/>
      <x:c r="AO50" s="40"/>
      <x:c r="AP50" s="40"/>
    </x:row>
    <x:row r="51" ht="15" hidden="0" customHeight="1">
      <x:c r="A51" s="36" t="str">
        <x:v>Bu-56</x:v>
      </x:c>
      <x:c r="B51" s="37" t="str"/>
      <x:c r="C51" s="36" t="str">
        <x:v>BU Led</x:v>
      </x:c>
      <x:c r="D51" s="36" t="str"/>
      <x:c r="E51" s="38"/>
      <x:c r="F51" s="39"/>
      <x:c r="G51" s="38" t="str">
        <x:f>IF(ISNUMBER(F51),F51,IF(E51="","",E51))</x:f>
      </x:c>
      <x:c r="H51" s="38"/>
      <x:c r="I51" s="39"/>
      <x:c r="J51" s="36" t="str">
        <x:v>Unclassified</x:v>
      </x:c>
      <x:c r="K51" s="38" t="str">
        <x:f>IF(ISNUMBER(I51),I51,IF(OR(NOT(ISNUMBER(H51)),NOT(ISNUMBER(G51)),G51&lt;=0),"",IF(H51/G51&gt;='Score settings'!$B$58,"",IF(J51="Cash savings",H51,IF(J51="Revenue",H51*'Score settings'!$B$55,"")))))</x:f>
      </x:c>
      <x:c r="L51" s="36"/>
      <x:c r="M51" s="39"/>
      <x:c r="N51" s="40"/>
      <x:c r="O51" s="36" t="str">
        <x:v>Blank</x:v>
      </x:c>
      <x:c r="P51" s="36" t="str">
        <x:v>Blank</x:v>
      </x:c>
      <x:c r="Q51" s="36" t="str">
        <x:v>Blank</x:v>
      </x:c>
      <x:c r="R51" s="36" t="str">
        <x:v>NotAssessed</x:v>
      </x:c>
      <x:c r="S51" s="36" t="str"/>
      <x:c r="T51" s="36" t="str">
        <x:v>Incomplete record</x:v>
      </x:c>
      <x:c r="U51" s="41" t="n">
        <x:f>VLOOKUP("Priority|"&amp;O51,'Score settings'!$A$14:$C$43,2,FALSE)/'Score settings'!$B$4*'Score settings'!$C$4</x:f>
        <x:v>10</x:v>
      </x:c>
      <x:c r="V51" s="41" t="n">
        <x:f>VLOOKUP("Category|"&amp;P51,'Score settings'!$A$14:$C$43,2,FALSE)/'Score settings'!$B$5*'Score settings'!$C$5</x:f>
        <x:v>4</x:v>
      </x:c>
      <x:c r="W51" s="41" t="n">
        <x:f>VLOOKUP("Area|"&amp;Q51,'Score settings'!$A$14:$C$43,2,FALSE)/'Score settings'!$B$6*'Score settings'!$C$6</x:f>
        <x:v>3</x:v>
      </x:c>
      <x:c r="X51" s="41" t="n">
        <x:f>VLOOKUP("Benefits|"&amp;IF(AND(ISNUMBER(H51),H51&gt;0,ISNUMBER(G51),G51&gt;0),IF(H51/G51&gt;='Score settings'!$E$17,"3plus",IF(H51/G51&gt;='Score settings'!$E$16,"1.5to3",IF(H51/G51&gt;='Score settings'!$E$15,"0.5to1.5","positive"))),"None"),'Score settings'!$A$14:$C$43,2,FALSE)/'Score settings'!$B$7*'Score settings'!$C$7</x:f>
        <x:v>5</x:v>
      </x:c>
      <x:c r="Y51" s="41" t="n">
        <x:f>VLOOKUP("Waste|"&amp;R51,'Score settings'!$A$14:$C$43,2,FALSE)/'Score settings'!$B$8*'Score settings'!$C$8</x:f>
        <x:v>7</x:v>
      </x:c>
      <x:c r="Z51" s="41" t="str">
        <x:f>IF(B51="","",SUM(U51:Y51))</x:f>
      </x:c>
      <x:c r="AA51" s="41" t="str">
        <x:f>IF(Z51="","Not scored",VLOOKUP(Z51,'Score settings'!$A$47:$C$50,2,TRUE))</x:f>
        <x:v>Not scored</x:v>
      </x:c>
      <x:c r="AB51" s="41" t="n">
        <x:f>VLOOKUP("Priority|"&amp;O51,'Score settings'!$A$14:$C$43,3,FALSE)/'Score settings'!$B$4*'Score settings'!$D$4</x:f>
        <x:v>0</x:v>
      </x:c>
      <x:c r="AC51" s="41" t="n">
        <x:f>VLOOKUP("Category|"&amp;P51,'Score settings'!$A$14:$C$43,3,FALSE)/'Score settings'!$B$5*'Score settings'!$D$5</x:f>
        <x:v>0</x:v>
      </x:c>
      <x:c r="AD51" s="41" t="n">
        <x:f>VLOOKUP("Area|"&amp;Q51,'Score settings'!$A$14:$C$43,3,FALSE)/'Score settings'!$B$6*'Score settings'!$D$6</x:f>
        <x:v>0</x:v>
      </x:c>
      <x:c r="AE51" s="41" t="n">
        <x:f>VLOOKUP("Benefits|"&amp;IF(AND(ISNUMBER(K51),K51&gt;0,ISNUMBER(G51),G51&gt;0),IF(K51/G51&gt;='Score settings'!$E$17,"3plus",IF(K51/G51&gt;='Score settings'!$E$16,"1.5to3",IF(K51/G51&gt;='Score settings'!$E$15,"0.5to1.5","positive"))),"None"),'Score settings'!$A$14:$C$43,3,FALSE)/'Score settings'!$B$7*'Score settings'!$D$7</x:f>
        <x:v>0</x:v>
      </x:c>
      <x:c r="AF51" s="41" t="n">
        <x:f>VLOOKUP("Waste|"&amp;R51,'Score settings'!$A$14:$C$43,3,FALSE)/'Score settings'!$B$8*'Score settings'!$D$8</x:f>
        <x:v>0</x:v>
      </x:c>
      <x:c r="AG51" s="41" t="n">
        <x:f>(IF(AND(ISNUMBER(M51),M51&gt;0,ISNUMBER(G51),G51&gt;0),IF(M51/G51&gt;='Score settings'!$E$17,'Score settings'!$G$17,IF(M51/G51&gt;='Score settings'!$E$16,'Score settings'!$G$16,IF(M51/G51&gt;='Score settings'!$E$15,'Score settings'!$G$15,'Score settings'!$G$14))),0)/15*'Score settings'!$B$60+IFERROR(VLOOKUP(IF(ISNUMBER(N51),N51,IF(ISNUMBER(L51),L51,0)),'Score settings'!$E$22:$F$26,2,FALSE),0)/10*'Score settings'!$B$61)/'Score settings'!$B$9*'Score settings'!$D$9</x:f>
        <x:v>0</x:v>
      </x:c>
      <x:c r="AH51" s="41" t="str">
        <x:f>IF(B51="","",SUM(AB51:AG51))</x:f>
      </x:c>
      <x:c r="AI51" s="41" t="str">
        <x:f>IF(NOT(ISNUMBER(AH51)),"Not scored",VLOOKUP(AH51,'Score settings'!$A$47:$C$50,3,TRUE))</x:f>
        <x:v>Not scored</x:v>
      </x:c>
      <x:c r="AJ51" s="42" t="str">
        <x:f>IF(OR(NOT(ISNUMBER(AH51)),T51&lt;&gt;"Common pot"),"",COUNTIFS($T$4:$T$509,"Common pot",$AH$4:$AH$509,"&gt;"&amp;AH51)+1)</x:f>
      </x:c>
      <x:c r="AK51" s="36" t="str">
        <x:f>IF(B51="","Name missing - not scored",IF(OR(NOT(ISNUMBER(G51)),G51&lt;=0),"Investment missing or zero - review",IF(0=1,"Permanent ID missing - reconcile",IF(AND(ISNUMBER(H51),H51/G51&gt;='Score settings'!$B$58,NOT(ISNUMBER(I51))),"Benefit units need review",IF(OR(R51="EXIT",R51="CHALLENGE"),"Waste decision requires scope resolution",IF("No exact waste match"&lt;&gt;"Name and organisation matched","Waste evidence match needs review","Provisional source score - confirm evidence"))))))</x:f>
        <x:v>Name missing - not scored</x:v>
      </x:c>
      <x:c r="AL51" s="36"/>
      <x:c r="AM51" s="40"/>
      <x:c r="AN51" s="39"/>
      <x:c r="AO51" s="40"/>
      <x:c r="AP51" s="40"/>
    </x:row>
    <x:row r="52" ht="15" hidden="0" customHeight="1">
      <x:c r="A52" s="36" t="str">
        <x:v>Bu-57</x:v>
      </x:c>
      <x:c r="B52" s="37" t="str">
        <x:v>Symphony Eye</x:v>
      </x:c>
      <x:c r="C52" s="36" t="str">
        <x:v>BU Led</x:v>
      </x:c>
      <x:c r="D52" s="36" t="str">
        <x:v>Image Guided Therapy - Systems (IGT-S)</x:v>
      </x:c>
      <x:c r="E52" s="38" t="n">
        <x:v>4</x:v>
      </x:c>
      <x:c r="F52" s="39"/>
      <x:c r="G52" s="38" t="n">
        <x:f>IF(ISNUMBER(F52),F52,IF(E52="","",E52))</x:f>
        <x:v>4</x:v>
      </x:c>
      <x:c r="H52" s="38" t="n">
        <x:v>202</x:v>
      </x:c>
      <x:c r="I52" s="39"/>
      <x:c r="J52" s="36" t="str">
        <x:v>Revenue</x:v>
      </x:c>
      <x:c r="K52" s="38" t="str">
        <x:f>IF(ISNUMBER(I52),I52,IF(OR(NOT(ISNUMBER(H52)),NOT(ISNUMBER(G52)),G52&lt;=0),"",IF(H52/G52&gt;='Score settings'!$B$58,"",IF(J52="Cash savings",H52,IF(J52="Revenue",H52*'Score settings'!$B$55,"")))))</x:f>
      </x:c>
      <x:c r="L52" s="36"/>
      <x:c r="M52" s="39"/>
      <x:c r="N52" s="40"/>
      <x:c r="O52" s="36" t="str">
        <x:v>Must Do</x:v>
      </x:c>
      <x:c r="P52" s="36" t="str">
        <x:v>NewFeat</x:v>
      </x:c>
      <x:c r="Q52" s="36" t="str">
        <x:v>Revenue</x:v>
      </x:c>
      <x:c r="R52" s="36" t="str">
        <x:v>HEALTHY</x:v>
      </x:c>
      <x:c r="S52" s="36" t="str"/>
      <x:c r="T52" s="36" t="str">
        <x:v>Common pot</x:v>
      </x:c>
      <x:c r="U52" s="41" t="n">
        <x:f>VLOOKUP("Priority|"&amp;O52,'Score settings'!$A$14:$C$43,2,FALSE)/'Score settings'!$B$4*'Score settings'!$C$4</x:f>
        <x:v>25</x:v>
      </x:c>
      <x:c r="V52" s="41" t="n">
        <x:f>VLOOKUP("Category|"&amp;P52,'Score settings'!$A$14:$C$43,2,FALSE)/'Score settings'!$B$5*'Score settings'!$C$5</x:f>
        <x:v>6</x:v>
      </x:c>
      <x:c r="W52" s="41" t="n">
        <x:f>VLOOKUP("Area|"&amp;Q52,'Score settings'!$A$14:$C$43,2,FALSE)/'Score settings'!$B$6*'Score settings'!$C$6</x:f>
        <x:v>11</x:v>
      </x:c>
      <x:c r="X52" s="41" t="n">
        <x:f>VLOOKUP("Benefits|"&amp;IF(AND(ISNUMBER(H52),H52&gt;0,ISNUMBER(G52),G52&gt;0),IF(H52/G52&gt;='Score settings'!$E$17,"3plus",IF(H52/G52&gt;='Score settings'!$E$16,"1.5to3",IF(H52/G52&gt;='Score settings'!$E$15,"0.5to1.5","positive"))),"None"),'Score settings'!$A$14:$C$43,2,FALSE)/'Score settings'!$B$7*'Score settings'!$C$7</x:f>
        <x:v>25</x:v>
      </x:c>
      <x:c r="Y52" s="41" t="n">
        <x:f>VLOOKUP("Waste|"&amp;R52,'Score settings'!$A$14:$C$43,2,FALSE)/'Score settings'!$B$8*'Score settings'!$C$8</x:f>
        <x:v>15</x:v>
      </x:c>
      <x:c r="Z52" s="41" t="n">
        <x:f>IF(B52="","",SUM(U52:Y52))</x:f>
        <x:v>82</x:v>
      </x:c>
      <x:c r="AA52" s="41" t="str">
        <x:f>IF(Z52="","Not scored",VLOOKUP(Z52,'Score settings'!$A$47:$C$50,2,TRUE))</x:f>
        <x:v>Protected</x:v>
      </x:c>
      <x:c r="AB52" s="41" t="n">
        <x:f>VLOOKUP("Priority|"&amp;O52,'Score settings'!$A$14:$C$43,3,FALSE)/'Score settings'!$B$4*'Score settings'!$D$4</x:f>
        <x:v>15</x:v>
      </x:c>
      <x:c r="AC52" s="41" t="n">
        <x:f>VLOOKUP("Category|"&amp;P52,'Score settings'!$A$14:$C$43,3,FALSE)/'Score settings'!$B$5*'Score settings'!$D$5</x:f>
        <x:v>3</x:v>
      </x:c>
      <x:c r="AD52" s="41" t="n">
        <x:f>VLOOKUP("Area|"&amp;Q52,'Score settings'!$A$14:$C$43,3,FALSE)/'Score settings'!$B$6*'Score settings'!$D$6</x:f>
        <x:v>7.333333333333333</x:v>
      </x:c>
      <x:c r="AE52" s="41" t="n">
        <x:f>VLOOKUP("Benefits|"&amp;IF(AND(ISNUMBER(K52),K52&gt;0,ISNUMBER(G52),G52&gt;0),IF(K52/G52&gt;='Score settings'!$E$17,"3plus",IF(K52/G52&gt;='Score settings'!$E$16,"1.5to3",IF(K52/G52&gt;='Score settings'!$E$15,"0.5to1.5","positive"))),"None"),'Score settings'!$A$14:$C$43,3,FALSE)/'Score settings'!$B$7*'Score settings'!$D$7</x:f>
        <x:v>0</x:v>
      </x:c>
      <x:c r="AF52" s="41" t="n">
        <x:f>VLOOKUP("Waste|"&amp;R52,'Score settings'!$A$14:$C$43,3,FALSE)/'Score settings'!$B$8*'Score settings'!$D$8</x:f>
        <x:v>10</x:v>
      </x:c>
      <x:c r="AG52" s="41" t="n">
        <x:f>(IF(AND(ISNUMBER(M52),M52&gt;0,ISNUMBER(G52),G52&gt;0),IF(M52/G52&gt;='Score settings'!$E$17,'Score settings'!$G$17,IF(M52/G52&gt;='Score settings'!$E$16,'Score settings'!$G$16,IF(M52/G52&gt;='Score settings'!$E$15,'Score settings'!$G$15,'Score settings'!$G$14))),0)/15*'Score settings'!$B$60+IFERROR(VLOOKUP(IF(ISNUMBER(N52),N52,IF(ISNUMBER(L52),L52,0)),'Score settings'!$E$22:$F$26,2,FALSE),0)/10*'Score settings'!$B$61)/'Score settings'!$B$9*'Score settings'!$D$9</x:f>
        <x:v>0</x:v>
      </x:c>
      <x:c r="AH52" s="41" t="n">
        <x:f>IF(B52="","",SUM(AB52:AG52))</x:f>
        <x:v>35.33333333333333</x:v>
      </x:c>
      <x:c r="AI52" s="41" t="str">
        <x:f>IF(NOT(ISNUMBER(AH52)),"Not scored",VLOOKUP(AH52,'Score settings'!$A$47:$C$50,3,TRUE))</x:f>
        <x:v>Discretionary</x:v>
      </x:c>
      <x:c r="AJ52" s="42" t="n">
        <x:f>IF(OR(NOT(ISNUMBER(AH52)),T52&lt;&gt;"Common pot"),"",COUNTIFS($T$4:$T$509,"Common pot",$AH$4:$AH$509,"&gt;"&amp;AH52)+1)</x:f>
        <x:v>141</x:v>
      </x:c>
      <x:c r="AK52" s="36" t="str">
        <x:f>IF(B52="","Name missing - not scored",IF(OR(NOT(ISNUMBER(G52)),G52&lt;=0),"Investment missing or zero - review",IF(0=1,"Permanent ID missing - reconcile",IF(AND(ISNUMBER(H52),H52/G52&gt;='Score settings'!$B$58,NOT(ISNUMBER(I52))),"Benefit units need review",IF(OR(R52="EXIT",R52="CHALLENGE"),"Waste decision requires scope resolution",IF("Name and organisation matched"&lt;&gt;"Name and organisation matched","Waste evidence match needs review","Provisional source score - confirm evidence"))))))</x:f>
        <x:v>Benefit units need review</x:v>
      </x:c>
      <x:c r="AL52" s="36"/>
      <x:c r="AM52" s="40"/>
      <x:c r="AN52" s="39"/>
      <x:c r="AO52" s="40"/>
      <x:c r="AP52" s="40"/>
    </x:row>
    <x:row r="53" ht="15" hidden="0" customHeight="1">
      <x:c r="A53" s="36" t="str">
        <x:v>Bu-58</x:v>
      </x:c>
      <x:c r="B53" s="37" t="str">
        <x:v>MI&amp;A Workbench program</x:v>
      </x:c>
      <x:c r="C53" s="36" t="str">
        <x:v>BU Led</x:v>
      </x:c>
      <x:c r="D53" s="36" t="str">
        <x:v>CoE Marketing – HS (former DMEC)​</x:v>
      </x:c>
      <x:c r="E53" s="38" t="n">
        <x:v>0.2</x:v>
      </x:c>
      <x:c r="F53" s="39"/>
      <x:c r="G53" s="38" t="n">
        <x:f>IF(ISNUMBER(F53),F53,IF(E53="","",E53))</x:f>
        <x:v>0.2</x:v>
      </x:c>
      <x:c r="H53" s="38"/>
      <x:c r="I53" s="39"/>
      <x:c r="J53" s="36" t="str">
        <x:v>Cash savings</x:v>
      </x:c>
      <x:c r="K53" s="38" t="str">
        <x:f>IF(ISNUMBER(I53),I53,IF(OR(NOT(ISNUMBER(H53)),NOT(ISNUMBER(G53)),G53&lt;=0),"",IF(H53/G53&gt;='Score settings'!$B$58,"",IF(J53="Cash savings",H53,IF(J53="Revenue",H53*'Score settings'!$B$55,"")))))</x:f>
      </x:c>
      <x:c r="L53" s="36"/>
      <x:c r="M53" s="39"/>
      <x:c r="N53" s="40"/>
      <x:c r="O53" s="36" t="str">
        <x:v>Must Do</x:v>
      </x:c>
      <x:c r="P53" s="36" t="str">
        <x:v>CI</x:v>
      </x:c>
      <x:c r="Q53" s="36" t="str">
        <x:v>ProcSimp</x:v>
      </x:c>
      <x:c r="R53" s="36" t="str">
        <x:v>NotAssessed</x:v>
      </x:c>
      <x:c r="S53" s="36" t="str"/>
      <x:c r="T53" s="36" t="str">
        <x:v>Common pot</x:v>
      </x:c>
      <x:c r="U53" s="41" t="n">
        <x:f>VLOOKUP("Priority|"&amp;O53,'Score settings'!$A$14:$C$43,2,FALSE)/'Score settings'!$B$4*'Score settings'!$C$4</x:f>
        <x:v>25</x:v>
      </x:c>
      <x:c r="V53" s="41" t="n">
        <x:f>VLOOKUP("Category|"&amp;P53,'Score settings'!$A$14:$C$43,2,FALSE)/'Score settings'!$B$5*'Score settings'!$C$5</x:f>
        <x:v>8</x:v>
      </x:c>
      <x:c r="W53" s="41" t="n">
        <x:f>VLOOKUP("Area|"&amp;Q53,'Score settings'!$A$14:$C$43,2,FALSE)/'Score settings'!$B$6*'Score settings'!$C$6</x:f>
        <x:v>12</x:v>
      </x:c>
      <x:c r="X53" s="41" t="n">
        <x:f>VLOOKUP("Benefits|"&amp;IF(AND(ISNUMBER(H53),H53&gt;0,ISNUMBER(G53),G53&gt;0),IF(H53/G53&gt;='Score settings'!$E$17,"3plus",IF(H53/G53&gt;='Score settings'!$E$16,"1.5to3",IF(H53/G53&gt;='Score settings'!$E$15,"0.5to1.5","positive"))),"None"),'Score settings'!$A$14:$C$43,2,FALSE)/'Score settings'!$B$7*'Score settings'!$C$7</x:f>
        <x:v>5</x:v>
      </x:c>
      <x:c r="Y53" s="41" t="n">
        <x:f>VLOOKUP("Waste|"&amp;R53,'Score settings'!$A$14:$C$43,2,FALSE)/'Score settings'!$B$8*'Score settings'!$C$8</x:f>
        <x:v>7</x:v>
      </x:c>
      <x:c r="Z53" s="41" t="n">
        <x:f>IF(B53="","",SUM(U53:Y53))</x:f>
        <x:v>57</x:v>
      </x:c>
      <x:c r="AA53" s="41" t="str">
        <x:f>IF(Z53="","Not scored",VLOOKUP(Z53,'Score settings'!$A$47:$C$50,2,TRUE))</x:f>
        <x:v>Strong</x:v>
      </x:c>
      <x:c r="AB53" s="41" t="n">
        <x:f>VLOOKUP("Priority|"&amp;O53,'Score settings'!$A$14:$C$43,3,FALSE)/'Score settings'!$B$4*'Score settings'!$D$4</x:f>
        <x:v>15</x:v>
      </x:c>
      <x:c r="AC53" s="41" t="n">
        <x:f>VLOOKUP("Category|"&amp;P53,'Score settings'!$A$14:$C$43,3,FALSE)/'Score settings'!$B$5*'Score settings'!$D$5</x:f>
        <x:v>4</x:v>
      </x:c>
      <x:c r="AD53" s="41" t="n">
        <x:f>VLOOKUP("Area|"&amp;Q53,'Score settings'!$A$14:$C$43,3,FALSE)/'Score settings'!$B$6*'Score settings'!$D$6</x:f>
        <x:v>8</x:v>
      </x:c>
      <x:c r="AE53" s="41" t="n">
        <x:f>VLOOKUP("Benefits|"&amp;IF(AND(ISNUMBER(K53),K53&gt;0,ISNUMBER(G53),G53&gt;0),IF(K53/G53&gt;='Score settings'!$E$17,"3plus",IF(K53/G53&gt;='Score settings'!$E$16,"1.5to3",IF(K53/G53&gt;='Score settings'!$E$15,"0.5to1.5","positive"))),"None"),'Score settings'!$A$14:$C$43,3,FALSE)/'Score settings'!$B$7*'Score settings'!$D$7</x:f>
        <x:v>0</x:v>
      </x:c>
      <x:c r="AF53" s="41" t="n">
        <x:f>VLOOKUP("Waste|"&amp;R53,'Score settings'!$A$14:$C$43,3,FALSE)/'Score settings'!$B$8*'Score settings'!$D$8</x:f>
        <x:v>0</x:v>
      </x:c>
      <x:c r="AG53" s="41" t="n">
        <x:f>(IF(AND(ISNUMBER(M53),M53&gt;0,ISNUMBER(G53),G53&gt;0),IF(M53/G53&gt;='Score settings'!$E$17,'Score settings'!$G$17,IF(M53/G53&gt;='Score settings'!$E$16,'Score settings'!$G$16,IF(M53/G53&gt;='Score settings'!$E$15,'Score settings'!$G$15,'Score settings'!$G$14))),0)/15*'Score settings'!$B$60+IFERROR(VLOOKUP(IF(ISNUMBER(N53),N53,IF(ISNUMBER(L53),L53,0)),'Score settings'!$E$22:$F$26,2,FALSE),0)/10*'Score settings'!$B$61)/'Score settings'!$B$9*'Score settings'!$D$9</x:f>
        <x:v>0</x:v>
      </x:c>
      <x:c r="AH53" s="41" t="n">
        <x:f>IF(B53="","",SUM(AB53:AG53))</x:f>
        <x:v>27</x:v>
      </x:c>
      <x:c r="AI53" s="41" t="str">
        <x:f>IF(NOT(ISNUMBER(AH53)),"Not scored",VLOOKUP(AH53,'Score settings'!$A$47:$C$50,3,TRUE))</x:f>
        <x:v>Discretionary</x:v>
      </x:c>
      <x:c r="AJ53" s="42" t="n">
        <x:f>IF(OR(NOT(ISNUMBER(AH53)),T53&lt;&gt;"Common pot"),"",COUNTIFS($T$4:$T$509,"Common pot",$AH$4:$AH$509,"&gt;"&amp;AH53)+1)</x:f>
        <x:v>224</x:v>
      </x:c>
      <x:c r="AK53" s="36" t="str">
        <x:f>IF(B53="","Name missing - not scored",IF(OR(NOT(ISNUMBER(G53)),G53&lt;=0),"Investment missing or zero - review",IF(0=1,"Permanent ID missing - reconcile",IF(AND(ISNUMBER(H53),H53/G53&gt;='Score settings'!$B$58,NOT(ISNUMBER(I53))),"Benefit units need review",IF(OR(R53="EXIT",R53="CHALLENGE"),"Waste decision requires scope resolution",IF("Name and organisation matched"&lt;&gt;"Name and organisation matched","Waste evidence match needs review","Provisional source score - confirm evidence"))))))</x:f>
        <x:v>Provisional source score - confirm evidence</x:v>
      </x:c>
      <x:c r="AL53" s="36"/>
      <x:c r="AM53" s="40"/>
      <x:c r="AN53" s="39"/>
      <x:c r="AO53" s="40"/>
      <x:c r="AP53" s="40"/>
    </x:row>
    <x:row r="54" ht="15" hidden="0" customHeight="1">
      <x:c r="A54" s="36" t="str">
        <x:v>Bu-59</x:v>
      </x:c>
      <x:c r="B54" s="37" t="str">
        <x:v>Event CoE_Data Quality, Visibility &amp; Simplification Program</x:v>
      </x:c>
      <x:c r="C54" s="36" t="str">
        <x:v>BU Led</x:v>
      </x:c>
      <x:c r="D54" s="36" t="str">
        <x:v>CoE Marketing – HS (former DMEC)​</x:v>
      </x:c>
      <x:c r="E54" s="38" t="n">
        <x:v>0.21</x:v>
      </x:c>
      <x:c r="F54" s="39"/>
      <x:c r="G54" s="38" t="n">
        <x:f>IF(ISNUMBER(F54),F54,IF(E54="","",E54))</x:f>
        <x:v>0.21</x:v>
      </x:c>
      <x:c r="H54" s="38"/>
      <x:c r="I54" s="39"/>
      <x:c r="J54" s="36" t="str">
        <x:v>Cash savings</x:v>
      </x:c>
      <x:c r="K54" s="38" t="str">
        <x:f>IF(ISNUMBER(I54),I54,IF(OR(NOT(ISNUMBER(H54)),NOT(ISNUMBER(G54)),G54&lt;=0),"",IF(H54/G54&gt;='Score settings'!$B$58,"",IF(J54="Cash savings",H54,IF(J54="Revenue",H54*'Score settings'!$B$55,"")))))</x:f>
      </x:c>
      <x:c r="L54" s="36"/>
      <x:c r="M54" s="39"/>
      <x:c r="N54" s="40"/>
      <x:c r="O54" s="36" t="str">
        <x:v>Must Do</x:v>
      </x:c>
      <x:c r="P54" s="36" t="str">
        <x:v>CI</x:v>
      </x:c>
      <x:c r="Q54" s="36" t="str">
        <x:v>ProcSimp</x:v>
      </x:c>
      <x:c r="R54" s="36" t="str">
        <x:v>NotAssessed</x:v>
      </x:c>
      <x:c r="S54" s="36" t="str"/>
      <x:c r="T54" s="36" t="str">
        <x:v>Common pot</x:v>
      </x:c>
      <x:c r="U54" s="41" t="n">
        <x:f>VLOOKUP("Priority|"&amp;O54,'Score settings'!$A$14:$C$43,2,FALSE)/'Score settings'!$B$4*'Score settings'!$C$4</x:f>
        <x:v>25</x:v>
      </x:c>
      <x:c r="V54" s="41" t="n">
        <x:f>VLOOKUP("Category|"&amp;P54,'Score settings'!$A$14:$C$43,2,FALSE)/'Score settings'!$B$5*'Score settings'!$C$5</x:f>
        <x:v>8</x:v>
      </x:c>
      <x:c r="W54" s="41" t="n">
        <x:f>VLOOKUP("Area|"&amp;Q54,'Score settings'!$A$14:$C$43,2,FALSE)/'Score settings'!$B$6*'Score settings'!$C$6</x:f>
        <x:v>12</x:v>
      </x:c>
      <x:c r="X54" s="41" t="n">
        <x:f>VLOOKUP("Benefits|"&amp;IF(AND(ISNUMBER(H54),H54&gt;0,ISNUMBER(G54),G54&gt;0),IF(H54/G54&gt;='Score settings'!$E$17,"3plus",IF(H54/G54&gt;='Score settings'!$E$16,"1.5to3",IF(H54/G54&gt;='Score settings'!$E$15,"0.5to1.5","positive"))),"None"),'Score settings'!$A$14:$C$43,2,FALSE)/'Score settings'!$B$7*'Score settings'!$C$7</x:f>
        <x:v>5</x:v>
      </x:c>
      <x:c r="Y54" s="41" t="n">
        <x:f>VLOOKUP("Waste|"&amp;R54,'Score settings'!$A$14:$C$43,2,FALSE)/'Score settings'!$B$8*'Score settings'!$C$8</x:f>
        <x:v>7</x:v>
      </x:c>
      <x:c r="Z54" s="41" t="n">
        <x:f>IF(B54="","",SUM(U54:Y54))</x:f>
        <x:v>57</x:v>
      </x:c>
      <x:c r="AA54" s="41" t="str">
        <x:f>IF(Z54="","Not scored",VLOOKUP(Z54,'Score settings'!$A$47:$C$50,2,TRUE))</x:f>
        <x:v>Strong</x:v>
      </x:c>
      <x:c r="AB54" s="41" t="n">
        <x:f>VLOOKUP("Priority|"&amp;O54,'Score settings'!$A$14:$C$43,3,FALSE)/'Score settings'!$B$4*'Score settings'!$D$4</x:f>
        <x:v>15</x:v>
      </x:c>
      <x:c r="AC54" s="41" t="n">
        <x:f>VLOOKUP("Category|"&amp;P54,'Score settings'!$A$14:$C$43,3,FALSE)/'Score settings'!$B$5*'Score settings'!$D$5</x:f>
        <x:v>4</x:v>
      </x:c>
      <x:c r="AD54" s="41" t="n">
        <x:f>VLOOKUP("Area|"&amp;Q54,'Score settings'!$A$14:$C$43,3,FALSE)/'Score settings'!$B$6*'Score settings'!$D$6</x:f>
        <x:v>8</x:v>
      </x:c>
      <x:c r="AE54" s="41" t="n">
        <x:f>VLOOKUP("Benefits|"&amp;IF(AND(ISNUMBER(K54),K54&gt;0,ISNUMBER(G54),G54&gt;0),IF(K54/G54&gt;='Score settings'!$E$17,"3plus",IF(K54/G54&gt;='Score settings'!$E$16,"1.5to3",IF(K54/G54&gt;='Score settings'!$E$15,"0.5to1.5","positive"))),"None"),'Score settings'!$A$14:$C$43,3,FALSE)/'Score settings'!$B$7*'Score settings'!$D$7</x:f>
        <x:v>0</x:v>
      </x:c>
      <x:c r="AF54" s="41" t="n">
        <x:f>VLOOKUP("Waste|"&amp;R54,'Score settings'!$A$14:$C$43,3,FALSE)/'Score settings'!$B$8*'Score settings'!$D$8</x:f>
        <x:v>0</x:v>
      </x:c>
      <x:c r="AG54" s="41" t="n">
        <x:f>(IF(AND(ISNUMBER(M54),M54&gt;0,ISNUMBER(G54),G54&gt;0),IF(M54/G54&gt;='Score settings'!$E$17,'Score settings'!$G$17,IF(M54/G54&gt;='Score settings'!$E$16,'Score settings'!$G$16,IF(M54/G54&gt;='Score settings'!$E$15,'Score settings'!$G$15,'Score settings'!$G$14))),0)/15*'Score settings'!$B$60+IFERROR(VLOOKUP(IF(ISNUMBER(N54),N54,IF(ISNUMBER(L54),L54,0)),'Score settings'!$E$22:$F$26,2,FALSE),0)/10*'Score settings'!$B$61)/'Score settings'!$B$9*'Score settings'!$D$9</x:f>
        <x:v>0</x:v>
      </x:c>
      <x:c r="AH54" s="41" t="n">
        <x:f>IF(B54="","",SUM(AB54:AG54))</x:f>
        <x:v>27</x:v>
      </x:c>
      <x:c r="AI54" s="41" t="str">
        <x:f>IF(NOT(ISNUMBER(AH54)),"Not scored",VLOOKUP(AH54,'Score settings'!$A$47:$C$50,3,TRUE))</x:f>
        <x:v>Discretionary</x:v>
      </x:c>
      <x:c r="AJ54" s="42" t="n">
        <x:f>IF(OR(NOT(ISNUMBER(AH54)),T54&lt;&gt;"Common pot"),"",COUNTIFS($T$4:$T$509,"Common pot",$AH$4:$AH$509,"&gt;"&amp;AH54)+1)</x:f>
        <x:v>224</x:v>
      </x:c>
      <x:c r="AK54" s="36" t="str">
        <x:f>IF(B54="","Name missing - not scored",IF(OR(NOT(ISNUMBER(G54)),G54&lt;=0),"Investment missing or zero - review",IF(0=1,"Permanent ID missing - reconcile",IF(AND(ISNUMBER(H54),H54/G54&gt;='Score settings'!$B$58,NOT(ISNUMBER(I54))),"Benefit units need review",IF(OR(R54="EXIT",R54="CHALLENGE"),"Waste decision requires scope resolution",IF("Name and organisation matched"&lt;&gt;"Name and organisation matched","Waste evidence match needs review","Provisional source score - confirm evidence"))))))</x:f>
        <x:v>Provisional source score - confirm evidence</x:v>
      </x:c>
      <x:c r="AL54" s="36"/>
      <x:c r="AM54" s="40"/>
      <x:c r="AN54" s="39"/>
      <x:c r="AO54" s="40"/>
      <x:c r="AP54" s="40"/>
    </x:row>
    <x:row r="55" ht="15" hidden="0" customHeight="1">
      <x:c r="A55" s="36" t="str">
        <x:v>Bu-60</x:v>
      </x:c>
      <x:c r="B55" s="37" t="str">
        <x:v>Symphony - Azurion NextGen</x:v>
      </x:c>
      <x:c r="C55" s="36" t="str">
        <x:v>BU Led</x:v>
      </x:c>
      <x:c r="D55" s="36" t="str">
        <x:v>Image Guided Therapy - Systems (IGT-S)</x:v>
      </x:c>
      <x:c r="E55" s="38" t="n">
        <x:v>2.8</x:v>
      </x:c>
      <x:c r="F55" s="39"/>
      <x:c r="G55" s="38" t="n">
        <x:f>IF(ISNUMBER(F55),F55,IF(E55="","",E55))</x:f>
        <x:v>2.8</x:v>
      </x:c>
      <x:c r="H55" s="38" t="n">
        <x:v>48</x:v>
      </x:c>
      <x:c r="I55" s="39"/>
      <x:c r="J55" s="36" t="str">
        <x:v>Revenue</x:v>
      </x:c>
      <x:c r="K55" s="38" t="n">
        <x:f>IF(ISNUMBER(I55),I55,IF(OR(NOT(ISNUMBER(H55)),NOT(ISNUMBER(G55)),G55&lt;=0),"",IF(H55/G55&gt;='Score settings'!$B$58,"",IF(J55="Cash savings",H55,IF(J55="Revenue",H55*'Score settings'!$B$55,"")))))</x:f>
        <x:v>7.199999999999999</x:v>
      </x:c>
      <x:c r="L55" s="36"/>
      <x:c r="M55" s="39"/>
      <x:c r="N55" s="40"/>
      <x:c r="O55" s="36" t="str">
        <x:v>Must Do</x:v>
      </x:c>
      <x:c r="P55" s="36" t="str">
        <x:v>NewFeat</x:v>
      </x:c>
      <x:c r="Q55" s="36" t="str">
        <x:v>Revenue</x:v>
      </x:c>
      <x:c r="R55" s="36" t="str">
        <x:v>HEALTHY</x:v>
      </x:c>
      <x:c r="S55" s="36" t="str"/>
      <x:c r="T55" s="36" t="str">
        <x:v>Common pot</x:v>
      </x:c>
      <x:c r="U55" s="41" t="n">
        <x:f>VLOOKUP("Priority|"&amp;O55,'Score settings'!$A$14:$C$43,2,FALSE)/'Score settings'!$B$4*'Score settings'!$C$4</x:f>
        <x:v>25</x:v>
      </x:c>
      <x:c r="V55" s="41" t="n">
        <x:f>VLOOKUP("Category|"&amp;P55,'Score settings'!$A$14:$C$43,2,FALSE)/'Score settings'!$B$5*'Score settings'!$C$5</x:f>
        <x:v>6</x:v>
      </x:c>
      <x:c r="W55" s="41" t="n">
        <x:f>VLOOKUP("Area|"&amp;Q55,'Score settings'!$A$14:$C$43,2,FALSE)/'Score settings'!$B$6*'Score settings'!$C$6</x:f>
        <x:v>11</x:v>
      </x:c>
      <x:c r="X55" s="41" t="n">
        <x:f>VLOOKUP("Benefits|"&amp;IF(AND(ISNUMBER(H55),H55&gt;0,ISNUMBER(G55),G55&gt;0),IF(H55/G55&gt;='Score settings'!$E$17,"3plus",IF(H55/G55&gt;='Score settings'!$E$16,"1.5to3",IF(H55/G55&gt;='Score settings'!$E$15,"0.5to1.5","positive"))),"None"),'Score settings'!$A$14:$C$43,2,FALSE)/'Score settings'!$B$7*'Score settings'!$C$7</x:f>
        <x:v>25</x:v>
      </x:c>
      <x:c r="Y55" s="41" t="n">
        <x:f>VLOOKUP("Waste|"&amp;R55,'Score settings'!$A$14:$C$43,2,FALSE)/'Score settings'!$B$8*'Score settings'!$C$8</x:f>
        <x:v>15</x:v>
      </x:c>
      <x:c r="Z55" s="41" t="n">
        <x:f>IF(B55="","",SUM(U55:Y55))</x:f>
        <x:v>82</x:v>
      </x:c>
      <x:c r="AA55" s="41" t="str">
        <x:f>IF(Z55="","Not scored",VLOOKUP(Z55,'Score settings'!$A$47:$C$50,2,TRUE))</x:f>
        <x:v>Protected</x:v>
      </x:c>
      <x:c r="AB55" s="41" t="n">
        <x:f>VLOOKUP("Priority|"&amp;O55,'Score settings'!$A$14:$C$43,3,FALSE)/'Score settings'!$B$4*'Score settings'!$D$4</x:f>
        <x:v>15</x:v>
      </x:c>
      <x:c r="AC55" s="41" t="n">
        <x:f>VLOOKUP("Category|"&amp;P55,'Score settings'!$A$14:$C$43,3,FALSE)/'Score settings'!$B$5*'Score settings'!$D$5</x:f>
        <x:v>3</x:v>
      </x:c>
      <x:c r="AD55" s="41" t="n">
        <x:f>VLOOKUP("Area|"&amp;Q55,'Score settings'!$A$14:$C$43,3,FALSE)/'Score settings'!$B$6*'Score settings'!$D$6</x:f>
        <x:v>7.333333333333333</x:v>
      </x:c>
      <x:c r="AE55" s="41" t="n">
        <x:f>VLOOKUP("Benefits|"&amp;IF(AND(ISNUMBER(K55),K55&gt;0,ISNUMBER(G55),G55&gt;0),IF(K55/G55&gt;='Score settings'!$E$17,"3plus",IF(K55/G55&gt;='Score settings'!$E$16,"1.5to3",IF(K55/G55&gt;='Score settings'!$E$15,"0.5to1.5","positive"))),"None"),'Score settings'!$A$14:$C$43,3,FALSE)/'Score settings'!$B$7*'Score settings'!$D$7</x:f>
        <x:v>24</x:v>
      </x:c>
      <x:c r="AF55" s="41" t="n">
        <x:f>VLOOKUP("Waste|"&amp;R55,'Score settings'!$A$14:$C$43,3,FALSE)/'Score settings'!$B$8*'Score settings'!$D$8</x:f>
        <x:v>10</x:v>
      </x:c>
      <x:c r="AG55" s="41" t="n">
        <x:f>(IF(AND(ISNUMBER(M55),M55&gt;0,ISNUMBER(G55),G55&gt;0),IF(M55/G55&gt;='Score settings'!$E$17,'Score settings'!$G$17,IF(M55/G55&gt;='Score settings'!$E$16,'Score settings'!$G$16,IF(M55/G55&gt;='Score settings'!$E$15,'Score settings'!$G$15,'Score settings'!$G$14))),0)/15*'Score settings'!$B$60+IFERROR(VLOOKUP(IF(ISNUMBER(N55),N55,IF(ISNUMBER(L55),L55,0)),'Score settings'!$E$22:$F$26,2,FALSE),0)/10*'Score settings'!$B$61)/'Score settings'!$B$9*'Score settings'!$D$9</x:f>
        <x:v>0</x:v>
      </x:c>
      <x:c r="AH55" s="41" t="n">
        <x:f>IF(B55="","",SUM(AB55:AG55))</x:f>
        <x:v>59.33333333333333</x:v>
      </x:c>
      <x:c r="AI55" s="41" t="str">
        <x:f>IF(NOT(ISNUMBER(AH55)),"Not scored",VLOOKUP(AH55,'Score settings'!$A$47:$C$50,3,TRUE))</x:f>
        <x:v>Strong</x:v>
      </x:c>
      <x:c r="AJ55" s="42" t="n">
        <x:f>IF(OR(NOT(ISNUMBER(AH55)),T55&lt;&gt;"Common pot"),"",COUNTIFS($T$4:$T$509,"Common pot",$AH$4:$AH$509,"&gt;"&amp;AH55)+1)</x:f>
        <x:v>21</x:v>
      </x:c>
      <x:c r="AK55" s="36" t="str">
        <x:f>IF(B55="","Name missing - not scored",IF(OR(NOT(ISNUMBER(G55)),G55&lt;=0),"Investment missing or zero - review",IF(0=1,"Permanent ID missing - reconcile",IF(AND(ISNUMBER(H55),H55/G55&gt;='Score settings'!$B$58,NOT(ISNUMBER(I55))),"Benefit units need review",IF(OR(R55="EXIT",R55="CHALLENGE"),"Waste decision requires scope resolution",IF("Name and organisation matched"&lt;&gt;"Name and organisation matched","Waste evidence match needs review","Provisional source score - confirm evidence"))))))</x:f>
        <x:v>Provisional source score - confirm evidence</x:v>
      </x:c>
      <x:c r="AL55" s="36"/>
      <x:c r="AM55" s="40"/>
      <x:c r="AN55" s="39"/>
      <x:c r="AO55" s="40"/>
      <x:c r="AP55" s="40"/>
    </x:row>
    <x:row r="56" ht="15" hidden="0" customHeight="1">
      <x:c r="A56" s="36" t="str">
        <x:v>Bu-61</x:v>
      </x:c>
      <x:c r="B56" s="37" t="str">
        <x:v>Entrepreneur Split</x:v>
      </x:c>
      <x:c r="C56" s="36" t="str">
        <x:v>BU Led</x:v>
      </x:c>
      <x:c r="D56" s="36" t="str">
        <x:v>Image Guided Therapy - Systems (IGT-S)</x:v>
      </x:c>
      <x:c r="E56" s="38" t="n">
        <x:v>0.7</x:v>
      </x:c>
      <x:c r="F56" s="39"/>
      <x:c r="G56" s="38" t="n">
        <x:f>IF(ISNUMBER(F56),F56,IF(E56="","",E56))</x:f>
        <x:v>0.7</x:v>
      </x:c>
      <x:c r="H56" s="38" t="n">
        <x:v>29.4</x:v>
      </x:c>
      <x:c r="I56" s="39"/>
      <x:c r="J56" s="36" t="str">
        <x:v>Risk exposure</x:v>
      </x:c>
      <x:c r="K56" s="38" t="str">
        <x:f>IF(ISNUMBER(I56),I56,IF(OR(NOT(ISNUMBER(H56)),NOT(ISNUMBER(G56)),G56&lt;=0),"",IF(H56/G56&gt;='Score settings'!$B$58,"",IF(J56="Cash savings",H56,IF(J56="Revenue",H56*'Score settings'!$B$55,"")))))</x:f>
      </x:c>
      <x:c r="L56" s="36" t="n">
        <x:v>4</x:v>
      </x:c>
      <x:c r="M56" s="39"/>
      <x:c r="N56" s="40"/>
      <x:c r="O56" s="36" t="str">
        <x:v>Must Do</x:v>
      </x:c>
      <x:c r="P56" s="36" t="str">
        <x:v>NewFeat</x:v>
      </x:c>
      <x:c r="Q56" s="36" t="str">
        <x:v>Compliance</x:v>
      </x:c>
      <x:c r="R56" s="36" t="str">
        <x:v>HEALTHY</x:v>
      </x:c>
      <x:c r="S56" s="36" t="str">
        <x:v>YES</x:v>
      </x:c>
      <x:c r="T56" s="36" t="str">
        <x:v>LFR validated candidate</x:v>
      </x:c>
      <x:c r="U56" s="41" t="n">
        <x:f>VLOOKUP("Priority|"&amp;O56,'Score settings'!$A$14:$C$43,2,FALSE)/'Score settings'!$B$4*'Score settings'!$C$4</x:f>
        <x:v>25</x:v>
      </x:c>
      <x:c r="V56" s="41" t="n">
        <x:f>VLOOKUP("Category|"&amp;P56,'Score settings'!$A$14:$C$43,2,FALSE)/'Score settings'!$B$5*'Score settings'!$C$5</x:f>
        <x:v>6</x:v>
      </x:c>
      <x:c r="W56" s="41" t="n">
        <x:f>VLOOKUP("Area|"&amp;Q56,'Score settings'!$A$14:$C$43,2,FALSE)/'Score settings'!$B$6*'Score settings'!$C$6</x:f>
        <x:v>15</x:v>
      </x:c>
      <x:c r="X56" s="41" t="n">
        <x:f>VLOOKUP("Benefits|"&amp;IF(AND(ISNUMBER(H56),H56&gt;0,ISNUMBER(G56),G56&gt;0),IF(H56/G56&gt;='Score settings'!$E$17,"3plus",IF(H56/G56&gt;='Score settings'!$E$16,"1.5to3",IF(H56/G56&gt;='Score settings'!$E$15,"0.5to1.5","positive"))),"None"),'Score settings'!$A$14:$C$43,2,FALSE)/'Score settings'!$B$7*'Score settings'!$C$7</x:f>
        <x:v>25</x:v>
      </x:c>
      <x:c r="Y56" s="41" t="n">
        <x:f>VLOOKUP("Waste|"&amp;R56,'Score settings'!$A$14:$C$43,2,FALSE)/'Score settings'!$B$8*'Score settings'!$C$8</x:f>
        <x:v>15</x:v>
      </x:c>
      <x:c r="Z56" s="41" t="n">
        <x:f>IF(B56="","",SUM(U56:Y56))</x:f>
        <x:v>86</x:v>
      </x:c>
      <x:c r="AA56" s="41" t="str">
        <x:f>IF(Z56="","Not scored",VLOOKUP(Z56,'Score settings'!$A$47:$C$50,2,TRUE))</x:f>
        <x:v>Protected</x:v>
      </x:c>
      <x:c r="AB56" s="41" t="n">
        <x:f>VLOOKUP("Priority|"&amp;O56,'Score settings'!$A$14:$C$43,3,FALSE)/'Score settings'!$B$4*'Score settings'!$D$4</x:f>
        <x:v>15</x:v>
      </x:c>
      <x:c r="AC56" s="41" t="n">
        <x:f>VLOOKUP("Category|"&amp;P56,'Score settings'!$A$14:$C$43,3,FALSE)/'Score settings'!$B$5*'Score settings'!$D$5</x:f>
        <x:v>3</x:v>
      </x:c>
      <x:c r="AD56" s="41" t="n">
        <x:f>VLOOKUP("Area|"&amp;Q56,'Score settings'!$A$14:$C$43,3,FALSE)/'Score settings'!$B$6*'Score settings'!$D$6</x:f>
        <x:v>10</x:v>
      </x:c>
      <x:c r="AE56" s="41" t="n">
        <x:f>VLOOKUP("Benefits|"&amp;IF(AND(ISNUMBER(K56),K56&gt;0,ISNUMBER(G56),G56&gt;0),IF(K56/G56&gt;='Score settings'!$E$17,"3plus",IF(K56/G56&gt;='Score settings'!$E$16,"1.5to3",IF(K56/G56&gt;='Score settings'!$E$15,"0.5to1.5","positive"))),"None"),'Score settings'!$A$14:$C$43,3,FALSE)/'Score settings'!$B$7*'Score settings'!$D$7</x:f>
        <x:v>0</x:v>
      </x:c>
      <x:c r="AF56" s="41" t="n">
        <x:f>VLOOKUP("Waste|"&amp;R56,'Score settings'!$A$14:$C$43,3,FALSE)/'Score settings'!$B$8*'Score settings'!$D$8</x:f>
        <x:v>10</x:v>
      </x:c>
      <x:c r="AG56" s="41" t="n">
        <x:f>(IF(AND(ISNUMBER(M56),M56&gt;0,ISNUMBER(G56),G56&gt;0),IF(M56/G56&gt;='Score settings'!$E$17,'Score settings'!$G$17,IF(M56/G56&gt;='Score settings'!$E$16,'Score settings'!$G$16,IF(M56/G56&gt;='Score settings'!$E$15,'Score settings'!$G$15,'Score settings'!$G$14))),0)/15*'Score settings'!$B$60+IFERROR(VLOOKUP(IF(ISNUMBER(N56),N56,IF(ISNUMBER(L56),L56,0)),'Score settings'!$E$22:$F$26,2,FALSE),0)/10*'Score settings'!$B$61)/'Score settings'!$B$9*'Score settings'!$D$9</x:f>
        <x:v>8</x:v>
      </x:c>
      <x:c r="AH56" s="41" t="n">
        <x:f>IF(B56="","",SUM(AB56:AG56))</x:f>
        <x:v>46</x:v>
      </x:c>
      <x:c r="AI56" s="41" t="str">
        <x:f>IF(NOT(ISNUMBER(AH56)),"Not scored",VLOOKUP(AH56,'Score settings'!$A$47:$C$50,3,TRUE))</x:f>
        <x:v>Strong</x:v>
      </x:c>
      <x:c r="AJ56" s="42" t="str">
        <x:f>IF(OR(NOT(ISNUMBER(AH56)),T56&lt;&gt;"Common pot"),"",COUNTIFS($T$4:$T$509,"Common pot",$AH$4:$AH$509,"&gt;"&amp;AH56)+1)</x:f>
      </x:c>
      <x:c r="AK56" s="36" t="str">
        <x:f>IF(B56="","Name missing - not scored",IF(OR(NOT(ISNUMBER(G56)),G56&lt;=0),"Investment missing or zero - review",IF(0=1,"Permanent ID missing - reconcile",IF(AND(ISNUMBER(H56),H56/G56&gt;='Score settings'!$B$58,NOT(ISNUMBER(I56))),"Benefit units need review",IF(OR(R56="EXIT",R56="CHALLENGE"),"Waste decision requires scope resolution",IF("Name and organisation matched"&lt;&gt;"Name and organisation matched","Waste evidence match needs review","Provisional source score - confirm evidence"))))))</x:f>
        <x:v>Provisional source score - confirm evidence</x:v>
      </x:c>
      <x:c r="AL56" s="36" t="n">
        <x:v>20</x:v>
      </x:c>
      <x:c r="AM56" s="40"/>
      <x:c r="AN56" s="39"/>
      <x:c r="AO56" s="40"/>
      <x:c r="AP56" s="40"/>
    </x:row>
    <x:row r="57" ht="15" hidden="0" customHeight="1">
      <x:c r="A57" s="36" t="str">
        <x:v>Bu-62</x:v>
      </x:c>
      <x:c r="B57" s="37" t="str"/>
      <x:c r="C57" s="36" t="str">
        <x:v>BU Led</x:v>
      </x:c>
      <x:c r="D57" s="36" t="str"/>
      <x:c r="E57" s="38"/>
      <x:c r="F57" s="39"/>
      <x:c r="G57" s="38" t="str">
        <x:f>IF(ISNUMBER(F57),F57,IF(E57="","",E57))</x:f>
      </x:c>
      <x:c r="H57" s="38"/>
      <x:c r="I57" s="39"/>
      <x:c r="J57" s="36" t="str">
        <x:v>Unclassified</x:v>
      </x:c>
      <x:c r="K57" s="38" t="str">
        <x:f>IF(ISNUMBER(I57),I57,IF(OR(NOT(ISNUMBER(H57)),NOT(ISNUMBER(G57)),G57&lt;=0),"",IF(H57/G57&gt;='Score settings'!$B$58,"",IF(J57="Cash savings",H57,IF(J57="Revenue",H57*'Score settings'!$B$55,"")))))</x:f>
      </x:c>
      <x:c r="L57" s="36"/>
      <x:c r="M57" s="39"/>
      <x:c r="N57" s="40"/>
      <x:c r="O57" s="36" t="str">
        <x:v>Blank</x:v>
      </x:c>
      <x:c r="P57" s="36" t="str">
        <x:v>Blank</x:v>
      </x:c>
      <x:c r="Q57" s="36" t="str">
        <x:v>Blank</x:v>
      </x:c>
      <x:c r="R57" s="36" t="str">
        <x:v>NotAssessed</x:v>
      </x:c>
      <x:c r="S57" s="36" t="str"/>
      <x:c r="T57" s="36" t="str">
        <x:v>Incomplete record</x:v>
      </x:c>
      <x:c r="U57" s="41" t="n">
        <x:f>VLOOKUP("Priority|"&amp;O57,'Score settings'!$A$14:$C$43,2,FALSE)/'Score settings'!$B$4*'Score settings'!$C$4</x:f>
        <x:v>10</x:v>
      </x:c>
      <x:c r="V57" s="41" t="n">
        <x:f>VLOOKUP("Category|"&amp;P57,'Score settings'!$A$14:$C$43,2,FALSE)/'Score settings'!$B$5*'Score settings'!$C$5</x:f>
        <x:v>4</x:v>
      </x:c>
      <x:c r="W57" s="41" t="n">
        <x:f>VLOOKUP("Area|"&amp;Q57,'Score settings'!$A$14:$C$43,2,FALSE)/'Score settings'!$B$6*'Score settings'!$C$6</x:f>
        <x:v>3</x:v>
      </x:c>
      <x:c r="X57" s="41" t="n">
        <x:f>VLOOKUP("Benefits|"&amp;IF(AND(ISNUMBER(H57),H57&gt;0,ISNUMBER(G57),G57&gt;0),IF(H57/G57&gt;='Score settings'!$E$17,"3plus",IF(H57/G57&gt;='Score settings'!$E$16,"1.5to3",IF(H57/G57&gt;='Score settings'!$E$15,"0.5to1.5","positive"))),"None"),'Score settings'!$A$14:$C$43,2,FALSE)/'Score settings'!$B$7*'Score settings'!$C$7</x:f>
        <x:v>5</x:v>
      </x:c>
      <x:c r="Y57" s="41" t="n">
        <x:f>VLOOKUP("Waste|"&amp;R57,'Score settings'!$A$14:$C$43,2,FALSE)/'Score settings'!$B$8*'Score settings'!$C$8</x:f>
        <x:v>7</x:v>
      </x:c>
      <x:c r="Z57" s="41" t="str">
        <x:f>IF(B57="","",SUM(U57:Y57))</x:f>
      </x:c>
      <x:c r="AA57" s="41" t="str">
        <x:f>IF(Z57="","Not scored",VLOOKUP(Z57,'Score settings'!$A$47:$C$50,2,TRUE))</x:f>
        <x:v>Not scored</x:v>
      </x:c>
      <x:c r="AB57" s="41" t="n">
        <x:f>VLOOKUP("Priority|"&amp;O57,'Score settings'!$A$14:$C$43,3,FALSE)/'Score settings'!$B$4*'Score settings'!$D$4</x:f>
        <x:v>0</x:v>
      </x:c>
      <x:c r="AC57" s="41" t="n">
        <x:f>VLOOKUP("Category|"&amp;P57,'Score settings'!$A$14:$C$43,3,FALSE)/'Score settings'!$B$5*'Score settings'!$D$5</x:f>
        <x:v>0</x:v>
      </x:c>
      <x:c r="AD57" s="41" t="n">
        <x:f>VLOOKUP("Area|"&amp;Q57,'Score settings'!$A$14:$C$43,3,FALSE)/'Score settings'!$B$6*'Score settings'!$D$6</x:f>
        <x:v>0</x:v>
      </x:c>
      <x:c r="AE57" s="41" t="n">
        <x:f>VLOOKUP("Benefits|"&amp;IF(AND(ISNUMBER(K57),K57&gt;0,ISNUMBER(G57),G57&gt;0),IF(K57/G57&gt;='Score settings'!$E$17,"3plus",IF(K57/G57&gt;='Score settings'!$E$16,"1.5to3",IF(K57/G57&gt;='Score settings'!$E$15,"0.5to1.5","positive"))),"None"),'Score settings'!$A$14:$C$43,3,FALSE)/'Score settings'!$B$7*'Score settings'!$D$7</x:f>
        <x:v>0</x:v>
      </x:c>
      <x:c r="AF57" s="41" t="n">
        <x:f>VLOOKUP("Waste|"&amp;R57,'Score settings'!$A$14:$C$43,3,FALSE)/'Score settings'!$B$8*'Score settings'!$D$8</x:f>
        <x:v>0</x:v>
      </x:c>
      <x:c r="AG57" s="41" t="n">
        <x:f>(IF(AND(ISNUMBER(M57),M57&gt;0,ISNUMBER(G57),G57&gt;0),IF(M57/G57&gt;='Score settings'!$E$17,'Score settings'!$G$17,IF(M57/G57&gt;='Score settings'!$E$16,'Score settings'!$G$16,IF(M57/G57&gt;='Score settings'!$E$15,'Score settings'!$G$15,'Score settings'!$G$14))),0)/15*'Score settings'!$B$60+IFERROR(VLOOKUP(IF(ISNUMBER(N57),N57,IF(ISNUMBER(L57),L57,0)),'Score settings'!$E$22:$F$26,2,FALSE),0)/10*'Score settings'!$B$61)/'Score settings'!$B$9*'Score settings'!$D$9</x:f>
        <x:v>0</x:v>
      </x:c>
      <x:c r="AH57" s="41" t="str">
        <x:f>IF(B57="","",SUM(AB57:AG57))</x:f>
      </x:c>
      <x:c r="AI57" s="41" t="str">
        <x:f>IF(NOT(ISNUMBER(AH57)),"Not scored",VLOOKUP(AH57,'Score settings'!$A$47:$C$50,3,TRUE))</x:f>
        <x:v>Not scored</x:v>
      </x:c>
      <x:c r="AJ57" s="42" t="str">
        <x:f>IF(OR(NOT(ISNUMBER(AH57)),T57&lt;&gt;"Common pot"),"",COUNTIFS($T$4:$T$509,"Common pot",$AH$4:$AH$509,"&gt;"&amp;AH57)+1)</x:f>
      </x:c>
      <x:c r="AK57" s="36" t="str">
        <x:f>IF(B57="","Name missing - not scored",IF(OR(NOT(ISNUMBER(G57)),G57&lt;=0),"Investment missing or zero - review",IF(0=1,"Permanent ID missing - reconcile",IF(AND(ISNUMBER(H57),H57/G57&gt;='Score settings'!$B$58,NOT(ISNUMBER(I57))),"Benefit units need review",IF(OR(R57="EXIT",R57="CHALLENGE"),"Waste decision requires scope resolution",IF("No exact waste match"&lt;&gt;"Name and organisation matched","Waste evidence match needs review","Provisional source score - confirm evidence"))))))</x:f>
        <x:v>Name missing - not scored</x:v>
      </x:c>
      <x:c r="AL57" s="36"/>
      <x:c r="AM57" s="40"/>
      <x:c r="AN57" s="39"/>
      <x:c r="AO57" s="40"/>
      <x:c r="AP57" s="40"/>
    </x:row>
    <x:row r="58" ht="15" hidden="0" customHeight="1">
      <x:c r="A58" s="36" t="str">
        <x:v>Bu-63</x:v>
      </x:c>
      <x:c r="B58" s="37" t="str">
        <x:v>Commercial Intelligence &amp; CRM KOL Management tool</x:v>
      </x:c>
      <x:c r="C58" s="36" t="str">
        <x:v>BU Led</x:v>
      </x:c>
      <x:c r="D58" s="36" t="str">
        <x:v>Image Guided Therapy - Systems (IGT-S)</x:v>
      </x:c>
      <x:c r="E58" s="38" t="n">
        <x:v>0.55</x:v>
      </x:c>
      <x:c r="F58" s="39"/>
      <x:c r="G58" s="38" t="n">
        <x:f>IF(ISNUMBER(F58),F58,IF(E58="","",E58))</x:f>
        <x:v>0.55</x:v>
      </x:c>
      <x:c r="H58" s="38" t="n">
        <x:v>9.6</x:v>
      </x:c>
      <x:c r="I58" s="39"/>
      <x:c r="J58" s="36" t="str">
        <x:v>Revenue</x:v>
      </x:c>
      <x:c r="K58" s="38" t="n">
        <x:f>IF(ISNUMBER(I58),I58,IF(OR(NOT(ISNUMBER(H58)),NOT(ISNUMBER(G58)),G58&lt;=0),"",IF(H58/G58&gt;='Score settings'!$B$58,"",IF(J58="Cash savings",H58,IF(J58="Revenue",H58*'Score settings'!$B$55,"")))))</x:f>
        <x:v>1.44</x:v>
      </x:c>
      <x:c r="L58" s="36"/>
      <x:c r="M58" s="39"/>
      <x:c r="N58" s="40"/>
      <x:c r="O58" s="36" t="str">
        <x:v>Must Do</x:v>
      </x:c>
      <x:c r="P58" s="36" t="str">
        <x:v>NewFeat</x:v>
      </x:c>
      <x:c r="Q58" s="36" t="str">
        <x:v>Revenue</x:v>
      </x:c>
      <x:c r="R58" s="36" t="str">
        <x:v>NotAssessed</x:v>
      </x:c>
      <x:c r="S58" s="36" t="str"/>
      <x:c r="T58" s="36" t="str">
        <x:v>Common pot</x:v>
      </x:c>
      <x:c r="U58" s="41" t="n">
        <x:f>VLOOKUP("Priority|"&amp;O58,'Score settings'!$A$14:$C$43,2,FALSE)/'Score settings'!$B$4*'Score settings'!$C$4</x:f>
        <x:v>25</x:v>
      </x:c>
      <x:c r="V58" s="41" t="n">
        <x:f>VLOOKUP("Category|"&amp;P58,'Score settings'!$A$14:$C$43,2,FALSE)/'Score settings'!$B$5*'Score settings'!$C$5</x:f>
        <x:v>6</x:v>
      </x:c>
      <x:c r="W58" s="41" t="n">
        <x:f>VLOOKUP("Area|"&amp;Q58,'Score settings'!$A$14:$C$43,2,FALSE)/'Score settings'!$B$6*'Score settings'!$C$6</x:f>
        <x:v>11</x:v>
      </x:c>
      <x:c r="X58" s="41" t="n">
        <x:f>VLOOKUP("Benefits|"&amp;IF(AND(ISNUMBER(H58),H58&gt;0,ISNUMBER(G58),G58&gt;0),IF(H58/G58&gt;='Score settings'!$E$17,"3plus",IF(H58/G58&gt;='Score settings'!$E$16,"1.5to3",IF(H58/G58&gt;='Score settings'!$E$15,"0.5to1.5","positive"))),"None"),'Score settings'!$A$14:$C$43,2,FALSE)/'Score settings'!$B$7*'Score settings'!$C$7</x:f>
        <x:v>25</x:v>
      </x:c>
      <x:c r="Y58" s="41" t="n">
        <x:f>VLOOKUP("Waste|"&amp;R58,'Score settings'!$A$14:$C$43,2,FALSE)/'Score settings'!$B$8*'Score settings'!$C$8</x:f>
        <x:v>7</x:v>
      </x:c>
      <x:c r="Z58" s="41" t="n">
        <x:f>IF(B58="","",SUM(U58:Y58))</x:f>
        <x:v>74</x:v>
      </x:c>
      <x:c r="AA58" s="41" t="str">
        <x:f>IF(Z58="","Not scored",VLOOKUP(Z58,'Score settings'!$A$47:$C$50,2,TRUE))</x:f>
        <x:v>Protected</x:v>
      </x:c>
      <x:c r="AB58" s="41" t="n">
        <x:f>VLOOKUP("Priority|"&amp;O58,'Score settings'!$A$14:$C$43,3,FALSE)/'Score settings'!$B$4*'Score settings'!$D$4</x:f>
        <x:v>15</x:v>
      </x:c>
      <x:c r="AC58" s="41" t="n">
        <x:f>VLOOKUP("Category|"&amp;P58,'Score settings'!$A$14:$C$43,3,FALSE)/'Score settings'!$B$5*'Score settings'!$D$5</x:f>
        <x:v>3</x:v>
      </x:c>
      <x:c r="AD58" s="41" t="n">
        <x:f>VLOOKUP("Area|"&amp;Q58,'Score settings'!$A$14:$C$43,3,FALSE)/'Score settings'!$B$6*'Score settings'!$D$6</x:f>
        <x:v>7.333333333333333</x:v>
      </x:c>
      <x:c r="AE58" s="41" t="n">
        <x:f>VLOOKUP("Benefits|"&amp;IF(AND(ISNUMBER(K58),K58&gt;0,ISNUMBER(G58),G58&gt;0),IF(K58/G58&gt;='Score settings'!$E$17,"3plus",IF(K58/G58&gt;='Score settings'!$E$16,"1.5to3",IF(K58/G58&gt;='Score settings'!$E$15,"0.5to1.5","positive"))),"None"),'Score settings'!$A$14:$C$43,3,FALSE)/'Score settings'!$B$7*'Score settings'!$D$7</x:f>
        <x:v>24</x:v>
      </x:c>
      <x:c r="AF58" s="41" t="n">
        <x:f>VLOOKUP("Waste|"&amp;R58,'Score settings'!$A$14:$C$43,3,FALSE)/'Score settings'!$B$8*'Score settings'!$D$8</x:f>
        <x:v>0</x:v>
      </x:c>
      <x:c r="AG58" s="41" t="n">
        <x:f>(IF(AND(ISNUMBER(M58),M58&gt;0,ISNUMBER(G58),G58&gt;0),IF(M58/G58&gt;='Score settings'!$E$17,'Score settings'!$G$17,IF(M58/G58&gt;='Score settings'!$E$16,'Score settings'!$G$16,IF(M58/G58&gt;='Score settings'!$E$15,'Score settings'!$G$15,'Score settings'!$G$14))),0)/15*'Score settings'!$B$60+IFERROR(VLOOKUP(IF(ISNUMBER(N58),N58,IF(ISNUMBER(L58),L58,0)),'Score settings'!$E$22:$F$26,2,FALSE),0)/10*'Score settings'!$B$61)/'Score settings'!$B$9*'Score settings'!$D$9</x:f>
        <x:v>0</x:v>
      </x:c>
      <x:c r="AH58" s="41" t="n">
        <x:f>IF(B58="","",SUM(AB58:AG58))</x:f>
        <x:v>49.33333333333333</x:v>
      </x:c>
      <x:c r="AI58" s="41" t="str">
        <x:f>IF(NOT(ISNUMBER(AH58)),"Not scored",VLOOKUP(AH58,'Score settings'!$A$47:$C$50,3,TRUE))</x:f>
        <x:v>Strong</x:v>
      </x:c>
      <x:c r="AJ58" s="42" t="n">
        <x:f>IF(OR(NOT(ISNUMBER(AH58)),T58&lt;&gt;"Common pot"),"",COUNTIFS($T$4:$T$509,"Common pot",$AH$4:$AH$509,"&gt;"&amp;AH58)+1)</x:f>
        <x:v>50</x:v>
      </x:c>
      <x:c r="AK58" s="36" t="str">
        <x:f>IF(B58="","Name missing - not scored",IF(OR(NOT(ISNUMBER(G58)),G58&lt;=0),"Investment missing or zero - review",IF(0=1,"Permanent ID missing - reconcile",IF(AND(ISNUMBER(H58),H58/G58&gt;='Score settings'!$B$58,NOT(ISNUMBER(I58))),"Benefit units need review",IF(OR(R58="EXIT",R58="CHALLENGE"),"Waste decision requires scope resolution",IF("No exact waste match"&lt;&gt;"Name and organisation matched","Waste evidence match needs review","Provisional source score - confirm evidence"))))))</x:f>
        <x:v>Waste evidence match needs review</x:v>
      </x:c>
      <x:c r="AL58" s="36"/>
      <x:c r="AM58" s="40"/>
      <x:c r="AN58" s="39"/>
      <x:c r="AO58" s="40"/>
      <x:c r="AP58" s="40"/>
    </x:row>
    <x:row r="59" ht="15" hidden="0" customHeight="1">
      <x:c r="A59" s="36" t="str">
        <x:v>Bu-64</x:v>
      </x:c>
      <x:c r="B59" s="37" t="str"/>
      <x:c r="C59" s="36" t="str">
        <x:v>BU Led</x:v>
      </x:c>
      <x:c r="D59" s="36" t="str"/>
      <x:c r="E59" s="38"/>
      <x:c r="F59" s="39"/>
      <x:c r="G59" s="38" t="str">
        <x:f>IF(ISNUMBER(F59),F59,IF(E59="","",E59))</x:f>
      </x:c>
      <x:c r="H59" s="38"/>
      <x:c r="I59" s="39"/>
      <x:c r="J59" s="36" t="str">
        <x:v>Unclassified</x:v>
      </x:c>
      <x:c r="K59" s="38" t="str">
        <x:f>IF(ISNUMBER(I59),I59,IF(OR(NOT(ISNUMBER(H59)),NOT(ISNUMBER(G59)),G59&lt;=0),"",IF(H59/G59&gt;='Score settings'!$B$58,"",IF(J59="Cash savings",H59,IF(J59="Revenue",H59*'Score settings'!$B$55,"")))))</x:f>
      </x:c>
      <x:c r="L59" s="36"/>
      <x:c r="M59" s="39"/>
      <x:c r="N59" s="40"/>
      <x:c r="O59" s="36" t="str">
        <x:v>Blank</x:v>
      </x:c>
      <x:c r="P59" s="36" t="str">
        <x:v>Blank</x:v>
      </x:c>
      <x:c r="Q59" s="36" t="str">
        <x:v>Blank</x:v>
      </x:c>
      <x:c r="R59" s="36" t="str">
        <x:v>NotAssessed</x:v>
      </x:c>
      <x:c r="S59" s="36" t="str"/>
      <x:c r="T59" s="36" t="str">
        <x:v>Incomplete record</x:v>
      </x:c>
      <x:c r="U59" s="41" t="n">
        <x:f>VLOOKUP("Priority|"&amp;O59,'Score settings'!$A$14:$C$43,2,FALSE)/'Score settings'!$B$4*'Score settings'!$C$4</x:f>
        <x:v>10</x:v>
      </x:c>
      <x:c r="V59" s="41" t="n">
        <x:f>VLOOKUP("Category|"&amp;P59,'Score settings'!$A$14:$C$43,2,FALSE)/'Score settings'!$B$5*'Score settings'!$C$5</x:f>
        <x:v>4</x:v>
      </x:c>
      <x:c r="W59" s="41" t="n">
        <x:f>VLOOKUP("Area|"&amp;Q59,'Score settings'!$A$14:$C$43,2,FALSE)/'Score settings'!$B$6*'Score settings'!$C$6</x:f>
        <x:v>3</x:v>
      </x:c>
      <x:c r="X59" s="41" t="n">
        <x:f>VLOOKUP("Benefits|"&amp;IF(AND(ISNUMBER(H59),H59&gt;0,ISNUMBER(G59),G59&gt;0),IF(H59/G59&gt;='Score settings'!$E$17,"3plus",IF(H59/G59&gt;='Score settings'!$E$16,"1.5to3",IF(H59/G59&gt;='Score settings'!$E$15,"0.5to1.5","positive"))),"None"),'Score settings'!$A$14:$C$43,2,FALSE)/'Score settings'!$B$7*'Score settings'!$C$7</x:f>
        <x:v>5</x:v>
      </x:c>
      <x:c r="Y59" s="41" t="n">
        <x:f>VLOOKUP("Waste|"&amp;R59,'Score settings'!$A$14:$C$43,2,FALSE)/'Score settings'!$B$8*'Score settings'!$C$8</x:f>
        <x:v>7</x:v>
      </x:c>
      <x:c r="Z59" s="41" t="str">
        <x:f>IF(B59="","",SUM(U59:Y59))</x:f>
      </x:c>
      <x:c r="AA59" s="41" t="str">
        <x:f>IF(Z59="","Not scored",VLOOKUP(Z59,'Score settings'!$A$47:$C$50,2,TRUE))</x:f>
        <x:v>Not scored</x:v>
      </x:c>
      <x:c r="AB59" s="41" t="n">
        <x:f>VLOOKUP("Priority|"&amp;O59,'Score settings'!$A$14:$C$43,3,FALSE)/'Score settings'!$B$4*'Score settings'!$D$4</x:f>
        <x:v>0</x:v>
      </x:c>
      <x:c r="AC59" s="41" t="n">
        <x:f>VLOOKUP("Category|"&amp;P59,'Score settings'!$A$14:$C$43,3,FALSE)/'Score settings'!$B$5*'Score settings'!$D$5</x:f>
        <x:v>0</x:v>
      </x:c>
      <x:c r="AD59" s="41" t="n">
        <x:f>VLOOKUP("Area|"&amp;Q59,'Score settings'!$A$14:$C$43,3,FALSE)/'Score settings'!$B$6*'Score settings'!$D$6</x:f>
        <x:v>0</x:v>
      </x:c>
      <x:c r="AE59" s="41" t="n">
        <x:f>VLOOKUP("Benefits|"&amp;IF(AND(ISNUMBER(K59),K59&gt;0,ISNUMBER(G59),G59&gt;0),IF(K59/G59&gt;='Score settings'!$E$17,"3plus",IF(K59/G59&gt;='Score settings'!$E$16,"1.5to3",IF(K59/G59&gt;='Score settings'!$E$15,"0.5to1.5","positive"))),"None"),'Score settings'!$A$14:$C$43,3,FALSE)/'Score settings'!$B$7*'Score settings'!$D$7</x:f>
        <x:v>0</x:v>
      </x:c>
      <x:c r="AF59" s="41" t="n">
        <x:f>VLOOKUP("Waste|"&amp;R59,'Score settings'!$A$14:$C$43,3,FALSE)/'Score settings'!$B$8*'Score settings'!$D$8</x:f>
        <x:v>0</x:v>
      </x:c>
      <x:c r="AG59" s="41" t="n">
        <x:f>(IF(AND(ISNUMBER(M59),M59&gt;0,ISNUMBER(G59),G59&gt;0),IF(M59/G59&gt;='Score settings'!$E$17,'Score settings'!$G$17,IF(M59/G59&gt;='Score settings'!$E$16,'Score settings'!$G$16,IF(M59/G59&gt;='Score settings'!$E$15,'Score settings'!$G$15,'Score settings'!$G$14))),0)/15*'Score settings'!$B$60+IFERROR(VLOOKUP(IF(ISNUMBER(N59),N59,IF(ISNUMBER(L59),L59,0)),'Score settings'!$E$22:$F$26,2,FALSE),0)/10*'Score settings'!$B$61)/'Score settings'!$B$9*'Score settings'!$D$9</x:f>
        <x:v>0</x:v>
      </x:c>
      <x:c r="AH59" s="41" t="str">
        <x:f>IF(B59="","",SUM(AB59:AG59))</x:f>
      </x:c>
      <x:c r="AI59" s="41" t="str">
        <x:f>IF(NOT(ISNUMBER(AH59)),"Not scored",VLOOKUP(AH59,'Score settings'!$A$47:$C$50,3,TRUE))</x:f>
        <x:v>Not scored</x:v>
      </x:c>
      <x:c r="AJ59" s="42" t="str">
        <x:f>IF(OR(NOT(ISNUMBER(AH59)),T59&lt;&gt;"Common pot"),"",COUNTIFS($T$4:$T$509,"Common pot",$AH$4:$AH$509,"&gt;"&amp;AH59)+1)</x:f>
      </x:c>
      <x:c r="AK59" s="36" t="str">
        <x:f>IF(B59="","Name missing - not scored",IF(OR(NOT(ISNUMBER(G59)),G59&lt;=0),"Investment missing or zero - review",IF(0=1,"Permanent ID missing - reconcile",IF(AND(ISNUMBER(H59),H59/G59&gt;='Score settings'!$B$58,NOT(ISNUMBER(I59))),"Benefit units need review",IF(OR(R59="EXIT",R59="CHALLENGE"),"Waste decision requires scope resolution",IF("No exact waste match"&lt;&gt;"Name and organisation matched","Waste evidence match needs review","Provisional source score - confirm evidence"))))))</x:f>
        <x:v>Name missing - not scored</x:v>
      </x:c>
      <x:c r="AL59" s="36"/>
      <x:c r="AM59" s="40"/>
      <x:c r="AN59" s="39"/>
      <x:c r="AO59" s="40"/>
      <x:c r="AP59" s="40"/>
    </x:row>
    <x:row r="60" ht="15" hidden="0" customHeight="1">
      <x:c r="A60" s="36" t="str">
        <x:v>Bu-65</x:v>
      </x:c>
      <x:c r="B60" s="37" t="str">
        <x:v>IR27#18 - Performance Split Automation Step 2</x:v>
      </x:c>
      <x:c r="C60" s="36" t="str">
        <x:v>BU Led</x:v>
      </x:c>
      <x:c r="D60" s="36" t="str">
        <x:v>International Regions (IR)</x:v>
      </x:c>
      <x:c r="E60" s="38" t="n">
        <x:v>0.2</x:v>
      </x:c>
      <x:c r="F60" s="39"/>
      <x:c r="G60" s="38" t="n">
        <x:f>IF(ISNUMBER(F60),F60,IF(E60="","",E60))</x:f>
        <x:v>0.2</x:v>
      </x:c>
      <x:c r="H60" s="38" t="n">
        <x:v>5</x:v>
      </x:c>
      <x:c r="I60" s="39"/>
      <x:c r="J60" s="36" t="str">
        <x:v>Cash savings</x:v>
      </x:c>
      <x:c r="K60" s="38" t="n">
        <x:f>IF(ISNUMBER(I60),I60,IF(OR(NOT(ISNUMBER(H60)),NOT(ISNUMBER(G60)),G60&lt;=0),"",IF(H60/G60&gt;='Score settings'!$B$58,"",IF(J60="Cash savings",H60,IF(J60="Revenue",H60*'Score settings'!$B$55,"")))))</x:f>
        <x:v>5</x:v>
      </x:c>
      <x:c r="L60" s="36"/>
      <x:c r="M60" s="39"/>
      <x:c r="N60" s="40"/>
      <x:c r="O60" s="36" t="str">
        <x:v>Must Do</x:v>
      </x:c>
      <x:c r="P60" s="36" t="str">
        <x:v>Upgrades</x:v>
      </x:c>
      <x:c r="Q60" s="36" t="str">
        <x:v>ProcSimp</x:v>
      </x:c>
      <x:c r="R60" s="36" t="str">
        <x:v>HEALTHY</x:v>
      </x:c>
      <x:c r="S60" s="36" t="str"/>
      <x:c r="T60" s="36" t="str">
        <x:v>Region candidate</x:v>
      </x:c>
      <x:c r="U60" s="41" t="n">
        <x:f>VLOOKUP("Priority|"&amp;O60,'Score settings'!$A$14:$C$43,2,FALSE)/'Score settings'!$B$4*'Score settings'!$C$4</x:f>
        <x:v>25</x:v>
      </x:c>
      <x:c r="V60" s="41" t="n">
        <x:f>VLOOKUP("Category|"&amp;P60,'Score settings'!$A$14:$C$43,2,FALSE)/'Score settings'!$B$5*'Score settings'!$C$5</x:f>
        <x:v>10</x:v>
      </x:c>
      <x:c r="W60" s="41" t="n">
        <x:f>VLOOKUP("Area|"&amp;Q60,'Score settings'!$A$14:$C$43,2,FALSE)/'Score settings'!$B$6*'Score settings'!$C$6</x:f>
        <x:v>12</x:v>
      </x:c>
      <x:c r="X60" s="41" t="n">
        <x:f>VLOOKUP("Benefits|"&amp;IF(AND(ISNUMBER(H60),H60&gt;0,ISNUMBER(G60),G60&gt;0),IF(H60/G60&gt;='Score settings'!$E$17,"3plus",IF(H60/G60&gt;='Score settings'!$E$16,"1.5to3",IF(H60/G60&gt;='Score settings'!$E$15,"0.5to1.5","positive"))),"None"),'Score settings'!$A$14:$C$43,2,FALSE)/'Score settings'!$B$7*'Score settings'!$C$7</x:f>
        <x:v>25</x:v>
      </x:c>
      <x:c r="Y60" s="41" t="n">
        <x:f>VLOOKUP("Waste|"&amp;R60,'Score settings'!$A$14:$C$43,2,FALSE)/'Score settings'!$B$8*'Score settings'!$C$8</x:f>
        <x:v>15</x:v>
      </x:c>
      <x:c r="Z60" s="41" t="n">
        <x:f>IF(B60="","",SUM(U60:Y60))</x:f>
        <x:v>87</x:v>
      </x:c>
      <x:c r="AA60" s="41" t="str">
        <x:f>IF(Z60="","Not scored",VLOOKUP(Z60,'Score settings'!$A$47:$C$50,2,TRUE))</x:f>
        <x:v>Protected</x:v>
      </x:c>
      <x:c r="AB60" s="41" t="n">
        <x:f>VLOOKUP("Priority|"&amp;O60,'Score settings'!$A$14:$C$43,3,FALSE)/'Score settings'!$B$4*'Score settings'!$D$4</x:f>
        <x:v>15</x:v>
      </x:c>
      <x:c r="AC60" s="41" t="n">
        <x:f>VLOOKUP("Category|"&amp;P60,'Score settings'!$A$14:$C$43,3,FALSE)/'Score settings'!$B$5*'Score settings'!$D$5</x:f>
        <x:v>5</x:v>
      </x:c>
      <x:c r="AD60" s="41" t="n">
        <x:f>VLOOKUP("Area|"&amp;Q60,'Score settings'!$A$14:$C$43,3,FALSE)/'Score settings'!$B$6*'Score settings'!$D$6</x:f>
        <x:v>8</x:v>
      </x:c>
      <x:c r="AE60" s="41" t="n">
        <x:f>VLOOKUP("Benefits|"&amp;IF(AND(ISNUMBER(K60),K60&gt;0,ISNUMBER(G60),G60&gt;0),IF(K60/G60&gt;='Score settings'!$E$17,"3plus",IF(K60/G60&gt;='Score settings'!$E$16,"1.5to3",IF(K60/G60&gt;='Score settings'!$E$15,"0.5to1.5","positive"))),"None"),'Score settings'!$A$14:$C$43,3,FALSE)/'Score settings'!$B$7*'Score settings'!$D$7</x:f>
        <x:v>30</x:v>
      </x:c>
      <x:c r="AF60" s="41" t="n">
        <x:f>VLOOKUP("Waste|"&amp;R60,'Score settings'!$A$14:$C$43,3,FALSE)/'Score settings'!$B$8*'Score settings'!$D$8</x:f>
        <x:v>10</x:v>
      </x:c>
      <x:c r="AG60" s="41" t="n">
        <x:f>(IF(AND(ISNUMBER(M60),M60&gt;0,ISNUMBER(G60),G60&gt;0),IF(M60/G60&gt;='Score settings'!$E$17,'Score settings'!$G$17,IF(M60/G60&gt;='Score settings'!$E$16,'Score settings'!$G$16,IF(M60/G60&gt;='Score settings'!$E$15,'Score settings'!$G$15,'Score settings'!$G$14))),0)/15*'Score settings'!$B$60+IFERROR(VLOOKUP(IF(ISNUMBER(N60),N60,IF(ISNUMBER(L60),L60,0)),'Score settings'!$E$22:$F$26,2,FALSE),0)/10*'Score settings'!$B$61)/'Score settings'!$B$9*'Score settings'!$D$9</x:f>
        <x:v>0</x:v>
      </x:c>
      <x:c r="AH60" s="41" t="n">
        <x:f>IF(B60="","",SUM(AB60:AG60))</x:f>
        <x:v>68</x:v>
      </x:c>
      <x:c r="AI60" s="41" t="str">
        <x:f>IF(NOT(ISNUMBER(AH60)),"Not scored",VLOOKUP(AH60,'Score settings'!$A$47:$C$50,3,TRUE))</x:f>
        <x:v>High alignment</x:v>
      </x:c>
      <x:c r="AJ60" s="42" t="str">
        <x:f>IF(OR(NOT(ISNUMBER(AH60)),T60&lt;&gt;"Common pot"),"",COUNTIFS($T$4:$T$509,"Common pot",$AH$4:$AH$509,"&gt;"&amp;AH60)+1)</x:f>
      </x:c>
      <x:c r="AK60" s="36" t="str">
        <x:f>IF(B60="","Name missing - not scored",IF(OR(NOT(ISNUMBER(G60)),G60&lt;=0),"Investment missing or zero - review",IF(0=1,"Permanent ID missing - reconcile",IF(AND(ISNUMBER(H60),H60/G60&gt;='Score settings'!$B$58,NOT(ISNUMBER(I60))),"Benefit units need review",IF(OR(R60="EXIT",R60="CHALLENGE"),"Waste decision requires scope resolution",IF("Name and organisation matched"&lt;&gt;"Name and organisation matched","Waste evidence match needs review","Provisional source score - confirm evidence"))))))</x:f>
        <x:v>Provisional source score - confirm evidence</x:v>
      </x:c>
      <x:c r="AL60" s="36"/>
      <x:c r="AM60" s="40"/>
      <x:c r="AN60" s="39"/>
      <x:c r="AO60" s="40"/>
      <x:c r="AP60" s="40"/>
    </x:row>
    <x:row r="61" ht="15" hidden="0" customHeight="1">
      <x:c r="A61" s="36" t="str">
        <x:v>Bu-66</x:v>
      </x:c>
      <x:c r="B61" s="37" t="str">
        <x:v>IR27#21 - AI in Commercial Excellence</x:v>
      </x:c>
      <x:c r="C61" s="36" t="str">
        <x:v>BU Led</x:v>
      </x:c>
      <x:c r="D61" s="36" t="str">
        <x:v>International Regions (IR)</x:v>
      </x:c>
      <x:c r="E61" s="38" t="n">
        <x:v>0.95</x:v>
      </x:c>
      <x:c r="F61" s="39"/>
      <x:c r="G61" s="38" t="n">
        <x:f>IF(ISNUMBER(F61),F61,IF(E61="","",E61))</x:f>
        <x:v>0.95</x:v>
      </x:c>
      <x:c r="H61" s="38" t="n">
        <x:v>735</x:v>
      </x:c>
      <x:c r="I61" s="39"/>
      <x:c r="J61" s="36" t="str">
        <x:v>Revenue</x:v>
      </x:c>
      <x:c r="K61" s="38" t="str">
        <x:f>IF(ISNUMBER(I61),I61,IF(OR(NOT(ISNUMBER(H61)),NOT(ISNUMBER(G61)),G61&lt;=0),"",IF(H61/G61&gt;='Score settings'!$B$58,"",IF(J61="Cash savings",H61,IF(J61="Revenue",H61*'Score settings'!$B$55,"")))))</x:f>
      </x:c>
      <x:c r="L61" s="36"/>
      <x:c r="M61" s="39"/>
      <x:c r="N61" s="40"/>
      <x:c r="O61" s="36" t="str">
        <x:v>Must Do</x:v>
      </x:c>
      <x:c r="P61" s="36" t="str">
        <x:v>NewFeat</x:v>
      </x:c>
      <x:c r="Q61" s="36" t="str">
        <x:v>Revenue</x:v>
      </x:c>
      <x:c r="R61" s="36" t="str">
        <x:v>NotAssessed</x:v>
      </x:c>
      <x:c r="S61" s="36" t="str"/>
      <x:c r="T61" s="36" t="str">
        <x:v>Region candidate</x:v>
      </x:c>
      <x:c r="U61" s="41" t="n">
        <x:f>VLOOKUP("Priority|"&amp;O61,'Score settings'!$A$14:$C$43,2,FALSE)/'Score settings'!$B$4*'Score settings'!$C$4</x:f>
        <x:v>25</x:v>
      </x:c>
      <x:c r="V61" s="41" t="n">
        <x:f>VLOOKUP("Category|"&amp;P61,'Score settings'!$A$14:$C$43,2,FALSE)/'Score settings'!$B$5*'Score settings'!$C$5</x:f>
        <x:v>6</x:v>
      </x:c>
      <x:c r="W61" s="41" t="n">
        <x:f>VLOOKUP("Area|"&amp;Q61,'Score settings'!$A$14:$C$43,2,FALSE)/'Score settings'!$B$6*'Score settings'!$C$6</x:f>
        <x:v>11</x:v>
      </x:c>
      <x:c r="X61" s="41" t="n">
        <x:f>VLOOKUP("Benefits|"&amp;IF(AND(ISNUMBER(H61),H61&gt;0,ISNUMBER(G61),G61&gt;0),IF(H61/G61&gt;='Score settings'!$E$17,"3plus",IF(H61/G61&gt;='Score settings'!$E$16,"1.5to3",IF(H61/G61&gt;='Score settings'!$E$15,"0.5to1.5","positive"))),"None"),'Score settings'!$A$14:$C$43,2,FALSE)/'Score settings'!$B$7*'Score settings'!$C$7</x:f>
        <x:v>25</x:v>
      </x:c>
      <x:c r="Y61" s="41" t="n">
        <x:f>VLOOKUP("Waste|"&amp;R61,'Score settings'!$A$14:$C$43,2,FALSE)/'Score settings'!$B$8*'Score settings'!$C$8</x:f>
        <x:v>7</x:v>
      </x:c>
      <x:c r="Z61" s="41" t="n">
        <x:f>IF(B61="","",SUM(U61:Y61))</x:f>
        <x:v>74</x:v>
      </x:c>
      <x:c r="AA61" s="41" t="str">
        <x:f>IF(Z61="","Not scored",VLOOKUP(Z61,'Score settings'!$A$47:$C$50,2,TRUE))</x:f>
        <x:v>Protected</x:v>
      </x:c>
      <x:c r="AB61" s="41" t="n">
        <x:f>VLOOKUP("Priority|"&amp;O61,'Score settings'!$A$14:$C$43,3,FALSE)/'Score settings'!$B$4*'Score settings'!$D$4</x:f>
        <x:v>15</x:v>
      </x:c>
      <x:c r="AC61" s="41" t="n">
        <x:f>VLOOKUP("Category|"&amp;P61,'Score settings'!$A$14:$C$43,3,FALSE)/'Score settings'!$B$5*'Score settings'!$D$5</x:f>
        <x:v>3</x:v>
      </x:c>
      <x:c r="AD61" s="41" t="n">
        <x:f>VLOOKUP("Area|"&amp;Q61,'Score settings'!$A$14:$C$43,3,FALSE)/'Score settings'!$B$6*'Score settings'!$D$6</x:f>
        <x:v>7.333333333333333</x:v>
      </x:c>
      <x:c r="AE61" s="41" t="n">
        <x:f>VLOOKUP("Benefits|"&amp;IF(AND(ISNUMBER(K61),K61&gt;0,ISNUMBER(G61),G61&gt;0),IF(K61/G61&gt;='Score settings'!$E$17,"3plus",IF(K61/G61&gt;='Score settings'!$E$16,"1.5to3",IF(K61/G61&gt;='Score settings'!$E$15,"0.5to1.5","positive"))),"None"),'Score settings'!$A$14:$C$43,3,FALSE)/'Score settings'!$B$7*'Score settings'!$D$7</x:f>
        <x:v>0</x:v>
      </x:c>
      <x:c r="AF61" s="41" t="n">
        <x:f>VLOOKUP("Waste|"&amp;R61,'Score settings'!$A$14:$C$43,3,FALSE)/'Score settings'!$B$8*'Score settings'!$D$8</x:f>
        <x:v>0</x:v>
      </x:c>
      <x:c r="AG61" s="41" t="n">
        <x:f>(IF(AND(ISNUMBER(M61),M61&gt;0,ISNUMBER(G61),G61&gt;0),IF(M61/G61&gt;='Score settings'!$E$17,'Score settings'!$G$17,IF(M61/G61&gt;='Score settings'!$E$16,'Score settings'!$G$16,IF(M61/G61&gt;='Score settings'!$E$15,'Score settings'!$G$15,'Score settings'!$G$14))),0)/15*'Score settings'!$B$60+IFERROR(VLOOKUP(IF(ISNUMBER(N61),N61,IF(ISNUMBER(L61),L61,0)),'Score settings'!$E$22:$F$26,2,FALSE),0)/10*'Score settings'!$B$61)/'Score settings'!$B$9*'Score settings'!$D$9</x:f>
        <x:v>0</x:v>
      </x:c>
      <x:c r="AH61" s="41" t="n">
        <x:f>IF(B61="","",SUM(AB61:AG61))</x:f>
        <x:v>25.333333333333332</x:v>
      </x:c>
      <x:c r="AI61" s="41" t="str">
        <x:f>IF(NOT(ISNUMBER(AH61)),"Not scored",VLOOKUP(AH61,'Score settings'!$A$47:$C$50,3,TRUE))</x:f>
        <x:v>Discretionary</x:v>
      </x:c>
      <x:c r="AJ61" s="42" t="str">
        <x:f>IF(OR(NOT(ISNUMBER(AH61)),T61&lt;&gt;"Common pot"),"",COUNTIFS($T$4:$T$509,"Common pot",$AH$4:$AH$509,"&gt;"&amp;AH61)+1)</x:f>
      </x:c>
      <x:c r="AK61" s="36" t="str">
        <x:f>IF(B61="","Name missing - not scored",IF(OR(NOT(ISNUMBER(G61)),G61&lt;=0),"Investment missing or zero - review",IF(0=1,"Permanent ID missing - reconcile",IF(AND(ISNUMBER(H61),H61/G61&gt;='Score settings'!$B$58,NOT(ISNUMBER(I61))),"Benefit units need review",IF(OR(R61="EXIT",R61="CHALLENGE"),"Waste decision requires scope resolution",IF("Name and organisation matched"&lt;&gt;"Name and organisation matched","Waste evidence match needs review","Provisional source score - confirm evidence"))))))</x:f>
        <x:v>Benefit units need review</x:v>
      </x:c>
      <x:c r="AL61" s="36"/>
      <x:c r="AM61" s="40"/>
      <x:c r="AN61" s="39"/>
      <x:c r="AO61" s="40"/>
      <x:c r="AP61" s="40"/>
    </x:row>
    <x:row r="62" ht="15" hidden="0" customHeight="1">
      <x:c r="A62" s="36" t="str">
        <x:v>Bu-67</x:v>
      </x:c>
      <x:c r="B62" s="37" t="str">
        <x:v>IR27#22 - Sales Incentives Auto-Credit</x:v>
      </x:c>
      <x:c r="C62" s="36" t="str">
        <x:v>BU Led</x:v>
      </x:c>
      <x:c r="D62" s="36" t="str">
        <x:v>International Regions (IR)</x:v>
      </x:c>
      <x:c r="E62" s="38" t="n">
        <x:v>0.25</x:v>
      </x:c>
      <x:c r="F62" s="39"/>
      <x:c r="G62" s="38" t="n">
        <x:f>IF(ISNUMBER(F62),F62,IF(E62="","",E62))</x:f>
        <x:v>0.25</x:v>
      </x:c>
      <x:c r="H62" s="38" t="n">
        <x:v>9</x:v>
      </x:c>
      <x:c r="I62" s="39"/>
      <x:c r="J62" s="36" t="str">
        <x:v>Revenue</x:v>
      </x:c>
      <x:c r="K62" s="38" t="n">
        <x:f>IF(ISNUMBER(I62),I62,IF(OR(NOT(ISNUMBER(H62)),NOT(ISNUMBER(G62)),G62&lt;=0),"",IF(H62/G62&gt;='Score settings'!$B$58,"",IF(J62="Cash savings",H62,IF(J62="Revenue",H62*'Score settings'!$B$55,"")))))</x:f>
        <x:v>1.3499999999999999</x:v>
      </x:c>
      <x:c r="L62" s="36"/>
      <x:c r="M62" s="39"/>
      <x:c r="N62" s="40"/>
      <x:c r="O62" s="36" t="str">
        <x:v>Must Have</x:v>
      </x:c>
      <x:c r="P62" s="36" t="str">
        <x:v>NewFeat</x:v>
      </x:c>
      <x:c r="Q62" s="36" t="str">
        <x:v>Revenue</x:v>
      </x:c>
      <x:c r="R62" s="36" t="str">
        <x:v>NotAssessed</x:v>
      </x:c>
      <x:c r="S62" s="36" t="str"/>
      <x:c r="T62" s="36" t="str">
        <x:v>Region candidate</x:v>
      </x:c>
      <x:c r="U62" s="41" t="n">
        <x:f>VLOOKUP("Priority|"&amp;O62,'Score settings'!$A$14:$C$43,2,FALSE)/'Score settings'!$B$4*'Score settings'!$C$4</x:f>
        <x:v>18</x:v>
      </x:c>
      <x:c r="V62" s="41" t="n">
        <x:f>VLOOKUP("Category|"&amp;P62,'Score settings'!$A$14:$C$43,2,FALSE)/'Score settings'!$B$5*'Score settings'!$C$5</x:f>
        <x:v>6</x:v>
      </x:c>
      <x:c r="W62" s="41" t="n">
        <x:f>VLOOKUP("Area|"&amp;Q62,'Score settings'!$A$14:$C$43,2,FALSE)/'Score settings'!$B$6*'Score settings'!$C$6</x:f>
        <x:v>11</x:v>
      </x:c>
      <x:c r="X62" s="41" t="n">
        <x:f>VLOOKUP("Benefits|"&amp;IF(AND(ISNUMBER(H62),H62&gt;0,ISNUMBER(G62),G62&gt;0),IF(H62/G62&gt;='Score settings'!$E$17,"3plus",IF(H62/G62&gt;='Score settings'!$E$16,"1.5to3",IF(H62/G62&gt;='Score settings'!$E$15,"0.5to1.5","positive"))),"None"),'Score settings'!$A$14:$C$43,2,FALSE)/'Score settings'!$B$7*'Score settings'!$C$7</x:f>
        <x:v>25</x:v>
      </x:c>
      <x:c r="Y62" s="41" t="n">
        <x:f>VLOOKUP("Waste|"&amp;R62,'Score settings'!$A$14:$C$43,2,FALSE)/'Score settings'!$B$8*'Score settings'!$C$8</x:f>
        <x:v>7</x:v>
      </x:c>
      <x:c r="Z62" s="41" t="n">
        <x:f>IF(B62="","",SUM(U62:Y62))</x:f>
        <x:v>67</x:v>
      </x:c>
      <x:c r="AA62" s="41" t="str">
        <x:f>IF(Z62="","Not scored",VLOOKUP(Z62,'Score settings'!$A$47:$C$50,2,TRUE))</x:f>
        <x:v>Protected</x:v>
      </x:c>
      <x:c r="AB62" s="41" t="n">
        <x:f>VLOOKUP("Priority|"&amp;O62,'Score settings'!$A$14:$C$43,3,FALSE)/'Score settings'!$B$4*'Score settings'!$D$4</x:f>
        <x:v>10.799999999999999</x:v>
      </x:c>
      <x:c r="AC62" s="41" t="n">
        <x:f>VLOOKUP("Category|"&amp;P62,'Score settings'!$A$14:$C$43,3,FALSE)/'Score settings'!$B$5*'Score settings'!$D$5</x:f>
        <x:v>3</x:v>
      </x:c>
      <x:c r="AD62" s="41" t="n">
        <x:f>VLOOKUP("Area|"&amp;Q62,'Score settings'!$A$14:$C$43,3,FALSE)/'Score settings'!$B$6*'Score settings'!$D$6</x:f>
        <x:v>7.333333333333333</x:v>
      </x:c>
      <x:c r="AE62" s="41" t="n">
        <x:f>VLOOKUP("Benefits|"&amp;IF(AND(ISNUMBER(K62),K62&gt;0,ISNUMBER(G62),G62&gt;0),IF(K62/G62&gt;='Score settings'!$E$17,"3plus",IF(K62/G62&gt;='Score settings'!$E$16,"1.5to3",IF(K62/G62&gt;='Score settings'!$E$15,"0.5to1.5","positive"))),"None"),'Score settings'!$A$14:$C$43,3,FALSE)/'Score settings'!$B$7*'Score settings'!$D$7</x:f>
        <x:v>30</x:v>
      </x:c>
      <x:c r="AF62" s="41" t="n">
        <x:f>VLOOKUP("Waste|"&amp;R62,'Score settings'!$A$14:$C$43,3,FALSE)/'Score settings'!$B$8*'Score settings'!$D$8</x:f>
        <x:v>0</x:v>
      </x:c>
      <x:c r="AG62" s="41" t="n">
        <x:f>(IF(AND(ISNUMBER(M62),M62&gt;0,ISNUMBER(G62),G62&gt;0),IF(M62/G62&gt;='Score settings'!$E$17,'Score settings'!$G$17,IF(M62/G62&gt;='Score settings'!$E$16,'Score settings'!$G$16,IF(M62/G62&gt;='Score settings'!$E$15,'Score settings'!$G$15,'Score settings'!$G$14))),0)/15*'Score settings'!$B$60+IFERROR(VLOOKUP(IF(ISNUMBER(N62),N62,IF(ISNUMBER(L62),L62,0)),'Score settings'!$E$22:$F$26,2,FALSE),0)/10*'Score settings'!$B$61)/'Score settings'!$B$9*'Score settings'!$D$9</x:f>
        <x:v>0</x:v>
      </x:c>
      <x:c r="AH62" s="41" t="n">
        <x:f>IF(B62="","",SUM(AB62:AG62))</x:f>
        <x:v>51.13333333333333</x:v>
      </x:c>
      <x:c r="AI62" s="41" t="str">
        <x:f>IF(NOT(ISNUMBER(AH62)),"Not scored",VLOOKUP(AH62,'Score settings'!$A$47:$C$50,3,TRUE))</x:f>
        <x:v>Strong</x:v>
      </x:c>
      <x:c r="AJ62" s="42" t="str">
        <x:f>IF(OR(NOT(ISNUMBER(AH62)),T62&lt;&gt;"Common pot"),"",COUNTIFS($T$4:$T$509,"Common pot",$AH$4:$AH$509,"&gt;"&amp;AH62)+1)</x:f>
      </x:c>
      <x:c r="AK62" s="36" t="str">
        <x:f>IF(B62="","Name missing - not scored",IF(OR(NOT(ISNUMBER(G62)),G62&lt;=0),"Investment missing or zero - review",IF(0=1,"Permanent ID missing - reconcile",IF(AND(ISNUMBER(H62),H62/G62&gt;='Score settings'!$B$58,NOT(ISNUMBER(I62))),"Benefit units need review",IF(OR(R62="EXIT",R62="CHALLENGE"),"Waste decision requires scope resolution",IF("Name and organisation matched"&lt;&gt;"Name and organisation matched","Waste evidence match needs review","Provisional source score - confirm evidence"))))))</x:f>
        <x:v>Provisional source score - confirm evidence</x:v>
      </x:c>
      <x:c r="AL62" s="36"/>
      <x:c r="AM62" s="40"/>
      <x:c r="AN62" s="39"/>
      <x:c r="AO62" s="40"/>
      <x:c r="AP62" s="40"/>
    </x:row>
    <x:row r="63" ht="15" hidden="0" customHeight="1">
      <x:c r="A63" s="36" t="str">
        <x:v>Bu-68</x:v>
      </x:c>
      <x:c r="B63" s="37" t="str">
        <x:v>IR27#23 - Sales Deals compliance</x:v>
      </x:c>
      <x:c r="C63" s="36" t="str">
        <x:v>BU Led</x:v>
      </x:c>
      <x:c r="D63" s="36" t="str">
        <x:v>International Regions (IR)</x:v>
      </x:c>
      <x:c r="E63" s="38" t="n">
        <x:v>0.1</x:v>
      </x:c>
      <x:c r="F63" s="39"/>
      <x:c r="G63" s="38" t="n">
        <x:f>IF(ISNUMBER(F63),F63,IF(E63="","",E63))</x:f>
        <x:v>0.1</x:v>
      </x:c>
      <x:c r="H63" s="38" t="n">
        <x:v>2500</x:v>
      </x:c>
      <x:c r="I63" s="39"/>
      <x:c r="J63" s="36" t="str">
        <x:v>Risk exposure</x:v>
      </x:c>
      <x:c r="K63" s="38" t="str">
        <x:f>IF(ISNUMBER(I63),I63,IF(OR(NOT(ISNUMBER(H63)),NOT(ISNUMBER(G63)),G63&lt;=0),"",IF(H63/G63&gt;='Score settings'!$B$58,"",IF(J63="Cash savings",H63,IF(J63="Revenue",H63*'Score settings'!$B$55,"")))))</x:f>
      </x:c>
      <x:c r="L63" s="36"/>
      <x:c r="M63" s="39"/>
      <x:c r="N63" s="40"/>
      <x:c r="O63" s="36" t="str">
        <x:v>Must Do</x:v>
      </x:c>
      <x:c r="P63" s="36" t="str">
        <x:v>LFR</x:v>
      </x:c>
      <x:c r="Q63" s="36" t="str">
        <x:v>Compliance</x:v>
      </x:c>
      <x:c r="R63" s="36" t="str">
        <x:v>NotAssessed</x:v>
      </x:c>
      <x:c r="S63" s="36" t="str"/>
      <x:c r="T63" s="36" t="str">
        <x:v>Region candidate</x:v>
      </x:c>
      <x:c r="U63" s="41" t="n">
        <x:f>VLOOKUP("Priority|"&amp;O63,'Score settings'!$A$14:$C$43,2,FALSE)/'Score settings'!$B$4*'Score settings'!$C$4</x:f>
        <x:v>25</x:v>
      </x:c>
      <x:c r="V63" s="41" t="n">
        <x:f>VLOOKUP("Category|"&amp;P63,'Score settings'!$A$14:$C$43,2,FALSE)/'Score settings'!$B$5*'Score settings'!$C$5</x:f>
        <x:v>20</x:v>
      </x:c>
      <x:c r="W63" s="41" t="n">
        <x:f>VLOOKUP("Area|"&amp;Q63,'Score settings'!$A$14:$C$43,2,FALSE)/'Score settings'!$B$6*'Score settings'!$C$6</x:f>
        <x:v>15</x:v>
      </x:c>
      <x:c r="X63" s="41" t="n">
        <x:f>VLOOKUP("Benefits|"&amp;IF(AND(ISNUMBER(H63),H63&gt;0,ISNUMBER(G63),G63&gt;0),IF(H63/G63&gt;='Score settings'!$E$17,"3plus",IF(H63/G63&gt;='Score settings'!$E$16,"1.5to3",IF(H63/G63&gt;='Score settings'!$E$15,"0.5to1.5","positive"))),"None"),'Score settings'!$A$14:$C$43,2,FALSE)/'Score settings'!$B$7*'Score settings'!$C$7</x:f>
        <x:v>25</x:v>
      </x:c>
      <x:c r="Y63" s="41" t="n">
        <x:f>VLOOKUP("Waste|"&amp;R63,'Score settings'!$A$14:$C$43,2,FALSE)/'Score settings'!$B$8*'Score settings'!$C$8</x:f>
        <x:v>7</x:v>
      </x:c>
      <x:c r="Z63" s="41" t="n">
        <x:f>IF(B63="","",SUM(U63:Y63))</x:f>
        <x:v>92</x:v>
      </x:c>
      <x:c r="AA63" s="41" t="str">
        <x:f>IF(Z63="","Not scored",VLOOKUP(Z63,'Score settings'!$A$47:$C$50,2,TRUE))</x:f>
        <x:v>Protected</x:v>
      </x:c>
      <x:c r="AB63" s="41" t="n">
        <x:f>VLOOKUP("Priority|"&amp;O63,'Score settings'!$A$14:$C$43,3,FALSE)/'Score settings'!$B$4*'Score settings'!$D$4</x:f>
        <x:v>15</x:v>
      </x:c>
      <x:c r="AC63" s="41" t="n">
        <x:f>VLOOKUP("Category|"&amp;P63,'Score settings'!$A$14:$C$43,3,FALSE)/'Score settings'!$B$5*'Score settings'!$D$5</x:f>
        <x:v>10</x:v>
      </x:c>
      <x:c r="AD63" s="41" t="n">
        <x:f>VLOOKUP("Area|"&amp;Q63,'Score settings'!$A$14:$C$43,3,FALSE)/'Score settings'!$B$6*'Score settings'!$D$6</x:f>
        <x:v>10</x:v>
      </x:c>
      <x:c r="AE63" s="41" t="n">
        <x:f>VLOOKUP("Benefits|"&amp;IF(AND(ISNUMBER(K63),K63&gt;0,ISNUMBER(G63),G63&gt;0),IF(K63/G63&gt;='Score settings'!$E$17,"3plus",IF(K63/G63&gt;='Score settings'!$E$16,"1.5to3",IF(K63/G63&gt;='Score settings'!$E$15,"0.5to1.5","positive"))),"None"),'Score settings'!$A$14:$C$43,3,FALSE)/'Score settings'!$B$7*'Score settings'!$D$7</x:f>
        <x:v>0</x:v>
      </x:c>
      <x:c r="AF63" s="41" t="n">
        <x:f>VLOOKUP("Waste|"&amp;R63,'Score settings'!$A$14:$C$43,3,FALSE)/'Score settings'!$B$8*'Score settings'!$D$8</x:f>
        <x:v>0</x:v>
      </x:c>
      <x:c r="AG63" s="41" t="n">
        <x:f>(IF(AND(ISNUMBER(M63),M63&gt;0,ISNUMBER(G63),G63&gt;0),IF(M63/G63&gt;='Score settings'!$E$17,'Score settings'!$G$17,IF(M63/G63&gt;='Score settings'!$E$16,'Score settings'!$G$16,IF(M63/G63&gt;='Score settings'!$E$15,'Score settings'!$G$15,'Score settings'!$G$14))),0)/15*'Score settings'!$B$60+IFERROR(VLOOKUP(IF(ISNUMBER(N63),N63,IF(ISNUMBER(L63),L63,0)),'Score settings'!$E$22:$F$26,2,FALSE),0)/10*'Score settings'!$B$61)/'Score settings'!$B$9*'Score settings'!$D$9</x:f>
        <x:v>0</x:v>
      </x:c>
      <x:c r="AH63" s="41" t="n">
        <x:f>IF(B63="","",SUM(AB63:AG63))</x:f>
        <x:v>35</x:v>
      </x:c>
      <x:c r="AI63" s="41" t="str">
        <x:f>IF(NOT(ISNUMBER(AH63)),"Not scored",VLOOKUP(AH63,'Score settings'!$A$47:$C$50,3,TRUE))</x:f>
        <x:v>Discretionary</x:v>
      </x:c>
      <x:c r="AJ63" s="42" t="str">
        <x:f>IF(OR(NOT(ISNUMBER(AH63)),T63&lt;&gt;"Common pot"),"",COUNTIFS($T$4:$T$509,"Common pot",$AH$4:$AH$509,"&gt;"&amp;AH63)+1)</x:f>
      </x:c>
      <x:c r="AK63" s="36" t="str">
        <x:f>IF(B63="","Name missing - not scored",IF(OR(NOT(ISNUMBER(G63)),G63&lt;=0),"Investment missing or zero - review",IF(0=1,"Permanent ID missing - reconcile",IF(AND(ISNUMBER(H63),H63/G63&gt;='Score settings'!$B$58,NOT(ISNUMBER(I63))),"Benefit units need review",IF(OR(R63="EXIT",R63="CHALLENGE"),"Waste decision requires scope resolution",IF("Name and organisation matched"&lt;&gt;"Name and organisation matched","Waste evidence match needs review","Provisional source score - confirm evidence"))))))</x:f>
        <x:v>Benefit units need review</x:v>
      </x:c>
      <x:c r="AL63" s="36"/>
      <x:c r="AM63" s="40"/>
      <x:c r="AN63" s="39"/>
      <x:c r="AO63" s="40"/>
      <x:c r="AP63" s="40"/>
    </x:row>
    <x:row r="64" ht="15" hidden="0" customHeight="1">
      <x:c r="A64" s="36" t="str">
        <x:v>Bu-69</x:v>
      </x:c>
      <x:c r="B64" s="37" t="str">
        <x:v>IR27#31 - Partner Central: Democratize Action to Allow Scale </x:v>
      </x:c>
      <x:c r="C64" s="36" t="str">
        <x:v>BU Led</x:v>
      </x:c>
      <x:c r="D64" s="36" t="str">
        <x:v>International Regions (IR)</x:v>
      </x:c>
      <x:c r="E64" s="38" t="n">
        <x:v>0.39</x:v>
      </x:c>
      <x:c r="F64" s="39"/>
      <x:c r="G64" s="38" t="n">
        <x:f>IF(ISNUMBER(F64),F64,IF(E64="","",E64))</x:f>
        <x:v>0.39</x:v>
      </x:c>
      <x:c r="H64" s="38" t="n">
        <x:v>5.6</x:v>
      </x:c>
      <x:c r="I64" s="39"/>
      <x:c r="J64" s="36" t="str">
        <x:v>Revenue</x:v>
      </x:c>
      <x:c r="K64" s="38" t="n">
        <x:f>IF(ISNUMBER(I64),I64,IF(OR(NOT(ISNUMBER(H64)),NOT(ISNUMBER(G64)),G64&lt;=0),"",IF(H64/G64&gt;='Score settings'!$B$58,"",IF(J64="Cash savings",H64,IF(J64="Revenue",H64*'Score settings'!$B$55,"")))))</x:f>
        <x:v>0.84</x:v>
      </x:c>
      <x:c r="L64" s="36"/>
      <x:c r="M64" s="39"/>
      <x:c r="N64" s="40"/>
      <x:c r="O64" s="36" t="str">
        <x:v>Must Do</x:v>
      </x:c>
      <x:c r="P64" s="36" t="str">
        <x:v>NewFeat</x:v>
      </x:c>
      <x:c r="Q64" s="36" t="str">
        <x:v>Revenue</x:v>
      </x:c>
      <x:c r="R64" s="36" t="str">
        <x:v>NotAssessed</x:v>
      </x:c>
      <x:c r="S64" s="36" t="str"/>
      <x:c r="T64" s="36" t="str">
        <x:v>Region candidate</x:v>
      </x:c>
      <x:c r="U64" s="41" t="n">
        <x:f>VLOOKUP("Priority|"&amp;O64,'Score settings'!$A$14:$C$43,2,FALSE)/'Score settings'!$B$4*'Score settings'!$C$4</x:f>
        <x:v>25</x:v>
      </x:c>
      <x:c r="V64" s="41" t="n">
        <x:f>VLOOKUP("Category|"&amp;P64,'Score settings'!$A$14:$C$43,2,FALSE)/'Score settings'!$B$5*'Score settings'!$C$5</x:f>
        <x:v>6</x:v>
      </x:c>
      <x:c r="W64" s="41" t="n">
        <x:f>VLOOKUP("Area|"&amp;Q64,'Score settings'!$A$14:$C$43,2,FALSE)/'Score settings'!$B$6*'Score settings'!$C$6</x:f>
        <x:v>11</x:v>
      </x:c>
      <x:c r="X64" s="41" t="n">
        <x:f>VLOOKUP("Benefits|"&amp;IF(AND(ISNUMBER(H64),H64&gt;0,ISNUMBER(G64),G64&gt;0),IF(H64/G64&gt;='Score settings'!$E$17,"3plus",IF(H64/G64&gt;='Score settings'!$E$16,"1.5to3",IF(H64/G64&gt;='Score settings'!$E$15,"0.5to1.5","positive"))),"None"),'Score settings'!$A$14:$C$43,2,FALSE)/'Score settings'!$B$7*'Score settings'!$C$7</x:f>
        <x:v>25</x:v>
      </x:c>
      <x:c r="Y64" s="41" t="n">
        <x:f>VLOOKUP("Waste|"&amp;R64,'Score settings'!$A$14:$C$43,2,FALSE)/'Score settings'!$B$8*'Score settings'!$C$8</x:f>
        <x:v>7</x:v>
      </x:c>
      <x:c r="Z64" s="41" t="n">
        <x:f>IF(B64="","",SUM(U64:Y64))</x:f>
        <x:v>74</x:v>
      </x:c>
      <x:c r="AA64" s="41" t="str">
        <x:f>IF(Z64="","Not scored",VLOOKUP(Z64,'Score settings'!$A$47:$C$50,2,TRUE))</x:f>
        <x:v>Protected</x:v>
      </x:c>
      <x:c r="AB64" s="41" t="n">
        <x:f>VLOOKUP("Priority|"&amp;O64,'Score settings'!$A$14:$C$43,3,FALSE)/'Score settings'!$B$4*'Score settings'!$D$4</x:f>
        <x:v>15</x:v>
      </x:c>
      <x:c r="AC64" s="41" t="n">
        <x:f>VLOOKUP("Category|"&amp;P64,'Score settings'!$A$14:$C$43,3,FALSE)/'Score settings'!$B$5*'Score settings'!$D$5</x:f>
        <x:v>3</x:v>
      </x:c>
      <x:c r="AD64" s="41" t="n">
        <x:f>VLOOKUP("Area|"&amp;Q64,'Score settings'!$A$14:$C$43,3,FALSE)/'Score settings'!$B$6*'Score settings'!$D$6</x:f>
        <x:v>7.333333333333333</x:v>
      </x:c>
      <x:c r="AE64" s="41" t="n">
        <x:f>VLOOKUP("Benefits|"&amp;IF(AND(ISNUMBER(K64),K64&gt;0,ISNUMBER(G64),G64&gt;0),IF(K64/G64&gt;='Score settings'!$E$17,"3plus",IF(K64/G64&gt;='Score settings'!$E$16,"1.5to3",IF(K64/G64&gt;='Score settings'!$E$15,"0.5to1.5","positive"))),"None"),'Score settings'!$A$14:$C$43,3,FALSE)/'Score settings'!$B$7*'Score settings'!$D$7</x:f>
        <x:v>24</x:v>
      </x:c>
      <x:c r="AF64" s="41" t="n">
        <x:f>VLOOKUP("Waste|"&amp;R64,'Score settings'!$A$14:$C$43,3,FALSE)/'Score settings'!$B$8*'Score settings'!$D$8</x:f>
        <x:v>0</x:v>
      </x:c>
      <x:c r="AG64" s="41" t="n">
        <x:f>(IF(AND(ISNUMBER(M64),M64&gt;0,ISNUMBER(G64),G64&gt;0),IF(M64/G64&gt;='Score settings'!$E$17,'Score settings'!$G$17,IF(M64/G64&gt;='Score settings'!$E$16,'Score settings'!$G$16,IF(M64/G64&gt;='Score settings'!$E$15,'Score settings'!$G$15,'Score settings'!$G$14))),0)/15*'Score settings'!$B$60+IFERROR(VLOOKUP(IF(ISNUMBER(N64),N64,IF(ISNUMBER(L64),L64,0)),'Score settings'!$E$22:$F$26,2,FALSE),0)/10*'Score settings'!$B$61)/'Score settings'!$B$9*'Score settings'!$D$9</x:f>
        <x:v>0</x:v>
      </x:c>
      <x:c r="AH64" s="41" t="n">
        <x:f>IF(B64="","",SUM(AB64:AG64))</x:f>
        <x:v>49.33333333333333</x:v>
      </x:c>
      <x:c r="AI64" s="41" t="str">
        <x:f>IF(NOT(ISNUMBER(AH64)),"Not scored",VLOOKUP(AH64,'Score settings'!$A$47:$C$50,3,TRUE))</x:f>
        <x:v>Strong</x:v>
      </x:c>
      <x:c r="AJ64" s="42" t="str">
        <x:f>IF(OR(NOT(ISNUMBER(AH64)),T64&lt;&gt;"Common pot"),"",COUNTIFS($T$4:$T$509,"Common pot",$AH$4:$AH$509,"&gt;"&amp;AH64)+1)</x:f>
      </x:c>
      <x:c r="AK64" s="36" t="str">
        <x:f>IF(B64="","Name missing - not scored",IF(OR(NOT(ISNUMBER(G64)),G64&lt;=0),"Investment missing or zero - review",IF(0=1,"Permanent ID missing - reconcile",IF(AND(ISNUMBER(H64),H64/G64&gt;='Score settings'!$B$58,NOT(ISNUMBER(I64))),"Benefit units need review",IF(OR(R64="EXIT",R64="CHALLENGE"),"Waste decision requires scope resolution",IF("Name and organisation matched"&lt;&gt;"Name and organisation matched","Waste evidence match needs review","Provisional source score - confirm evidence"))))))</x:f>
        <x:v>Provisional source score - confirm evidence</x:v>
      </x:c>
      <x:c r="AL64" s="36"/>
      <x:c r="AM64" s="40"/>
      <x:c r="AN64" s="39"/>
      <x:c r="AO64" s="40"/>
      <x:c r="AP64" s="40"/>
    </x:row>
    <x:row r="65" ht="15" hidden="0" customHeight="1">
      <x:c r="A65" s="36" t="str">
        <x:v>Bu-70</x:v>
      </x:c>
      <x:c r="B65" s="37" t="str">
        <x:v>IR27#32 - Partner Journeys to Drive Value Extraction</x:v>
      </x:c>
      <x:c r="C65" s="36" t="str">
        <x:v>BU Led</x:v>
      </x:c>
      <x:c r="D65" s="36" t="str">
        <x:v>International Regions (IR)</x:v>
      </x:c>
      <x:c r="E65" s="38" t="n">
        <x:v>0.27</x:v>
      </x:c>
      <x:c r="F65" s="39"/>
      <x:c r="G65" s="38" t="n">
        <x:f>IF(ISNUMBER(F65),F65,IF(E65="","",E65))</x:f>
        <x:v>0.27</x:v>
      </x:c>
      <x:c r="H65" s="38" t="n">
        <x:v>11.3</x:v>
      </x:c>
      <x:c r="I65" s="39"/>
      <x:c r="J65" s="36" t="str">
        <x:v>Revenue</x:v>
      </x:c>
      <x:c r="K65" s="38" t="n">
        <x:f>IF(ISNUMBER(I65),I65,IF(OR(NOT(ISNUMBER(H65)),NOT(ISNUMBER(G65)),G65&lt;=0),"",IF(H65/G65&gt;='Score settings'!$B$58,"",IF(J65="Cash savings",H65,IF(J65="Revenue",H65*'Score settings'!$B$55,"")))))</x:f>
        <x:v>1.695</x:v>
      </x:c>
      <x:c r="L65" s="36"/>
      <x:c r="M65" s="39"/>
      <x:c r="N65" s="40"/>
      <x:c r="O65" s="36" t="str">
        <x:v>Must Do</x:v>
      </x:c>
      <x:c r="P65" s="36" t="str">
        <x:v>NewFeat</x:v>
      </x:c>
      <x:c r="Q65" s="36" t="str">
        <x:v>Revenue</x:v>
      </x:c>
      <x:c r="R65" s="36" t="str">
        <x:v>NotAssessed</x:v>
      </x:c>
      <x:c r="S65" s="36" t="str"/>
      <x:c r="T65" s="36" t="str">
        <x:v>Region candidate</x:v>
      </x:c>
      <x:c r="U65" s="41" t="n">
        <x:f>VLOOKUP("Priority|"&amp;O65,'Score settings'!$A$14:$C$43,2,FALSE)/'Score settings'!$B$4*'Score settings'!$C$4</x:f>
        <x:v>25</x:v>
      </x:c>
      <x:c r="V65" s="41" t="n">
        <x:f>VLOOKUP("Category|"&amp;P65,'Score settings'!$A$14:$C$43,2,FALSE)/'Score settings'!$B$5*'Score settings'!$C$5</x:f>
        <x:v>6</x:v>
      </x:c>
      <x:c r="W65" s="41" t="n">
        <x:f>VLOOKUP("Area|"&amp;Q65,'Score settings'!$A$14:$C$43,2,FALSE)/'Score settings'!$B$6*'Score settings'!$C$6</x:f>
        <x:v>11</x:v>
      </x:c>
      <x:c r="X65" s="41" t="n">
        <x:f>VLOOKUP("Benefits|"&amp;IF(AND(ISNUMBER(H65),H65&gt;0,ISNUMBER(G65),G65&gt;0),IF(H65/G65&gt;='Score settings'!$E$17,"3plus",IF(H65/G65&gt;='Score settings'!$E$16,"1.5to3",IF(H65/G65&gt;='Score settings'!$E$15,"0.5to1.5","positive"))),"None"),'Score settings'!$A$14:$C$43,2,FALSE)/'Score settings'!$B$7*'Score settings'!$C$7</x:f>
        <x:v>25</x:v>
      </x:c>
      <x:c r="Y65" s="41" t="n">
        <x:f>VLOOKUP("Waste|"&amp;R65,'Score settings'!$A$14:$C$43,2,FALSE)/'Score settings'!$B$8*'Score settings'!$C$8</x:f>
        <x:v>7</x:v>
      </x:c>
      <x:c r="Z65" s="41" t="n">
        <x:f>IF(B65="","",SUM(U65:Y65))</x:f>
        <x:v>74</x:v>
      </x:c>
      <x:c r="AA65" s="41" t="str">
        <x:f>IF(Z65="","Not scored",VLOOKUP(Z65,'Score settings'!$A$47:$C$50,2,TRUE))</x:f>
        <x:v>Protected</x:v>
      </x:c>
      <x:c r="AB65" s="41" t="n">
        <x:f>VLOOKUP("Priority|"&amp;O65,'Score settings'!$A$14:$C$43,3,FALSE)/'Score settings'!$B$4*'Score settings'!$D$4</x:f>
        <x:v>15</x:v>
      </x:c>
      <x:c r="AC65" s="41" t="n">
        <x:f>VLOOKUP("Category|"&amp;P65,'Score settings'!$A$14:$C$43,3,FALSE)/'Score settings'!$B$5*'Score settings'!$D$5</x:f>
        <x:v>3</x:v>
      </x:c>
      <x:c r="AD65" s="41" t="n">
        <x:f>VLOOKUP("Area|"&amp;Q65,'Score settings'!$A$14:$C$43,3,FALSE)/'Score settings'!$B$6*'Score settings'!$D$6</x:f>
        <x:v>7.333333333333333</x:v>
      </x:c>
      <x:c r="AE65" s="41" t="n">
        <x:f>VLOOKUP("Benefits|"&amp;IF(AND(ISNUMBER(K65),K65&gt;0,ISNUMBER(G65),G65&gt;0),IF(K65/G65&gt;='Score settings'!$E$17,"3plus",IF(K65/G65&gt;='Score settings'!$E$16,"1.5to3",IF(K65/G65&gt;='Score settings'!$E$15,"0.5to1.5","positive"))),"None"),'Score settings'!$A$14:$C$43,3,FALSE)/'Score settings'!$B$7*'Score settings'!$D$7</x:f>
        <x:v>30</x:v>
      </x:c>
      <x:c r="AF65" s="41" t="n">
        <x:f>VLOOKUP("Waste|"&amp;R65,'Score settings'!$A$14:$C$43,3,FALSE)/'Score settings'!$B$8*'Score settings'!$D$8</x:f>
        <x:v>0</x:v>
      </x:c>
      <x:c r="AG65" s="41" t="n">
        <x:f>(IF(AND(ISNUMBER(M65),M65&gt;0,ISNUMBER(G65),G65&gt;0),IF(M65/G65&gt;='Score settings'!$E$17,'Score settings'!$G$17,IF(M65/G65&gt;='Score settings'!$E$16,'Score settings'!$G$16,IF(M65/G65&gt;='Score settings'!$E$15,'Score settings'!$G$15,'Score settings'!$G$14))),0)/15*'Score settings'!$B$60+IFERROR(VLOOKUP(IF(ISNUMBER(N65),N65,IF(ISNUMBER(L65),L65,0)),'Score settings'!$E$22:$F$26,2,FALSE),0)/10*'Score settings'!$B$61)/'Score settings'!$B$9*'Score settings'!$D$9</x:f>
        <x:v>0</x:v>
      </x:c>
      <x:c r="AH65" s="41" t="n">
        <x:f>IF(B65="","",SUM(AB65:AG65))</x:f>
        <x:v>55.33333333333333</x:v>
      </x:c>
      <x:c r="AI65" s="41" t="str">
        <x:f>IF(NOT(ISNUMBER(AH65)),"Not scored",VLOOKUP(AH65,'Score settings'!$A$47:$C$50,3,TRUE))</x:f>
        <x:v>Strong</x:v>
      </x:c>
      <x:c r="AJ65" s="42" t="str">
        <x:f>IF(OR(NOT(ISNUMBER(AH65)),T65&lt;&gt;"Common pot"),"",COUNTIFS($T$4:$T$509,"Common pot",$AH$4:$AH$509,"&gt;"&amp;AH65)+1)</x:f>
      </x:c>
      <x:c r="AK65" s="36" t="str">
        <x:f>IF(B65="","Name missing - not scored",IF(OR(NOT(ISNUMBER(G65)),G65&lt;=0),"Investment missing or zero - review",IF(0=1,"Permanent ID missing - reconcile",IF(AND(ISNUMBER(H65),H65/G65&gt;='Score settings'!$B$58,NOT(ISNUMBER(I65))),"Benefit units need review",IF(OR(R65="EXIT",R65="CHALLENGE"),"Waste decision requires scope resolution",IF("Name and organisation matched"&lt;&gt;"Name and organisation matched","Waste evidence match needs review","Provisional source score - confirm evidence"))))))</x:f>
        <x:v>Provisional source score - confirm evidence</x:v>
      </x:c>
      <x:c r="AL65" s="36"/>
      <x:c r="AM65" s="40"/>
      <x:c r="AN65" s="39"/>
      <x:c r="AO65" s="40"/>
      <x:c r="AP65" s="40"/>
    </x:row>
    <x:row r="66" ht="15" hidden="0" customHeight="1">
      <x:c r="A66" s="36" t="str">
        <x:v>Bu-71</x:v>
      </x:c>
      <x:c r="B66" s="37" t="str">
        <x:v>IR27#33 - Partner Data towards Commercial Action</x:v>
      </x:c>
      <x:c r="C66" s="36" t="str">
        <x:v>BU Led</x:v>
      </x:c>
      <x:c r="D66" s="36" t="str">
        <x:v>International Regions (IR)</x:v>
      </x:c>
      <x:c r="E66" s="38" t="n">
        <x:v>0.14</x:v>
      </x:c>
      <x:c r="F66" s="39"/>
      <x:c r="G66" s="38" t="n">
        <x:f>IF(ISNUMBER(F66),F66,IF(E66="","",E66))</x:f>
        <x:v>0.14</x:v>
      </x:c>
      <x:c r="H66" s="38" t="n">
        <x:v>11.9</x:v>
      </x:c>
      <x:c r="I66" s="39"/>
      <x:c r="J66" s="36" t="str">
        <x:v>Revenue</x:v>
      </x:c>
      <x:c r="K66" s="38" t="str">
        <x:f>IF(ISNUMBER(I66),I66,IF(OR(NOT(ISNUMBER(H66)),NOT(ISNUMBER(G66)),G66&lt;=0),"",IF(H66/G66&gt;='Score settings'!$B$58,"",IF(J66="Cash savings",H66,IF(J66="Revenue",H66*'Score settings'!$B$55,"")))))</x:f>
      </x:c>
      <x:c r="L66" s="36"/>
      <x:c r="M66" s="39"/>
      <x:c r="N66" s="40"/>
      <x:c r="O66" s="36" t="str">
        <x:v>Must Do</x:v>
      </x:c>
      <x:c r="P66" s="36" t="str">
        <x:v>NewFeat</x:v>
      </x:c>
      <x:c r="Q66" s="36" t="str">
        <x:v>Revenue</x:v>
      </x:c>
      <x:c r="R66" s="36" t="str">
        <x:v>NotAssessed</x:v>
      </x:c>
      <x:c r="S66" s="36" t="str"/>
      <x:c r="T66" s="36" t="str">
        <x:v>Region candidate</x:v>
      </x:c>
      <x:c r="U66" s="41" t="n">
        <x:f>VLOOKUP("Priority|"&amp;O66,'Score settings'!$A$14:$C$43,2,FALSE)/'Score settings'!$B$4*'Score settings'!$C$4</x:f>
        <x:v>25</x:v>
      </x:c>
      <x:c r="V66" s="41" t="n">
        <x:f>VLOOKUP("Category|"&amp;P66,'Score settings'!$A$14:$C$43,2,FALSE)/'Score settings'!$B$5*'Score settings'!$C$5</x:f>
        <x:v>6</x:v>
      </x:c>
      <x:c r="W66" s="41" t="n">
        <x:f>VLOOKUP("Area|"&amp;Q66,'Score settings'!$A$14:$C$43,2,FALSE)/'Score settings'!$B$6*'Score settings'!$C$6</x:f>
        <x:v>11</x:v>
      </x:c>
      <x:c r="X66" s="41" t="n">
        <x:f>VLOOKUP("Benefits|"&amp;IF(AND(ISNUMBER(H66),H66&gt;0,ISNUMBER(G66),G66&gt;0),IF(H66/G66&gt;='Score settings'!$E$17,"3plus",IF(H66/G66&gt;='Score settings'!$E$16,"1.5to3",IF(H66/G66&gt;='Score settings'!$E$15,"0.5to1.5","positive"))),"None"),'Score settings'!$A$14:$C$43,2,FALSE)/'Score settings'!$B$7*'Score settings'!$C$7</x:f>
        <x:v>25</x:v>
      </x:c>
      <x:c r="Y66" s="41" t="n">
        <x:f>VLOOKUP("Waste|"&amp;R66,'Score settings'!$A$14:$C$43,2,FALSE)/'Score settings'!$B$8*'Score settings'!$C$8</x:f>
        <x:v>7</x:v>
      </x:c>
      <x:c r="Z66" s="41" t="n">
        <x:f>IF(B66="","",SUM(U66:Y66))</x:f>
        <x:v>74</x:v>
      </x:c>
      <x:c r="AA66" s="41" t="str">
        <x:f>IF(Z66="","Not scored",VLOOKUP(Z66,'Score settings'!$A$47:$C$50,2,TRUE))</x:f>
        <x:v>Protected</x:v>
      </x:c>
      <x:c r="AB66" s="41" t="n">
        <x:f>VLOOKUP("Priority|"&amp;O66,'Score settings'!$A$14:$C$43,3,FALSE)/'Score settings'!$B$4*'Score settings'!$D$4</x:f>
        <x:v>15</x:v>
      </x:c>
      <x:c r="AC66" s="41" t="n">
        <x:f>VLOOKUP("Category|"&amp;P66,'Score settings'!$A$14:$C$43,3,FALSE)/'Score settings'!$B$5*'Score settings'!$D$5</x:f>
        <x:v>3</x:v>
      </x:c>
      <x:c r="AD66" s="41" t="n">
        <x:f>VLOOKUP("Area|"&amp;Q66,'Score settings'!$A$14:$C$43,3,FALSE)/'Score settings'!$B$6*'Score settings'!$D$6</x:f>
        <x:v>7.333333333333333</x:v>
      </x:c>
      <x:c r="AE66" s="41" t="n">
        <x:f>VLOOKUP("Benefits|"&amp;IF(AND(ISNUMBER(K66),K66&gt;0,ISNUMBER(G66),G66&gt;0),IF(K66/G66&gt;='Score settings'!$E$17,"3plus",IF(K66/G66&gt;='Score settings'!$E$16,"1.5to3",IF(K66/G66&gt;='Score settings'!$E$15,"0.5to1.5","positive"))),"None"),'Score settings'!$A$14:$C$43,3,FALSE)/'Score settings'!$B$7*'Score settings'!$D$7</x:f>
        <x:v>0</x:v>
      </x:c>
      <x:c r="AF66" s="41" t="n">
        <x:f>VLOOKUP("Waste|"&amp;R66,'Score settings'!$A$14:$C$43,3,FALSE)/'Score settings'!$B$8*'Score settings'!$D$8</x:f>
        <x:v>0</x:v>
      </x:c>
      <x:c r="AG66" s="41" t="n">
        <x:f>(IF(AND(ISNUMBER(M66),M66&gt;0,ISNUMBER(G66),G66&gt;0),IF(M66/G66&gt;='Score settings'!$E$17,'Score settings'!$G$17,IF(M66/G66&gt;='Score settings'!$E$16,'Score settings'!$G$16,IF(M66/G66&gt;='Score settings'!$E$15,'Score settings'!$G$15,'Score settings'!$G$14))),0)/15*'Score settings'!$B$60+IFERROR(VLOOKUP(IF(ISNUMBER(N66),N66,IF(ISNUMBER(L66),L66,0)),'Score settings'!$E$22:$F$26,2,FALSE),0)/10*'Score settings'!$B$61)/'Score settings'!$B$9*'Score settings'!$D$9</x:f>
        <x:v>0</x:v>
      </x:c>
      <x:c r="AH66" s="41" t="n">
        <x:f>IF(B66="","",SUM(AB66:AG66))</x:f>
        <x:v>25.333333333333332</x:v>
      </x:c>
      <x:c r="AI66" s="41" t="str">
        <x:f>IF(NOT(ISNUMBER(AH66)),"Not scored",VLOOKUP(AH66,'Score settings'!$A$47:$C$50,3,TRUE))</x:f>
        <x:v>Discretionary</x:v>
      </x:c>
      <x:c r="AJ66" s="42" t="str">
        <x:f>IF(OR(NOT(ISNUMBER(AH66)),T66&lt;&gt;"Common pot"),"",COUNTIFS($T$4:$T$509,"Common pot",$AH$4:$AH$509,"&gt;"&amp;AH66)+1)</x:f>
      </x:c>
      <x:c r="AK66" s="36" t="str">
        <x:f>IF(B66="","Name missing - not scored",IF(OR(NOT(ISNUMBER(G66)),G66&lt;=0),"Investment missing or zero - review",IF(0=1,"Permanent ID missing - reconcile",IF(AND(ISNUMBER(H66),H66/G66&gt;='Score settings'!$B$58,NOT(ISNUMBER(I66))),"Benefit units need review",IF(OR(R66="EXIT",R66="CHALLENGE"),"Waste decision requires scope resolution",IF("Name and organisation matched"&lt;&gt;"Name and organisation matched","Waste evidence match needs review","Provisional source score - confirm evidence"))))))</x:f>
        <x:v>Benefit units need review</x:v>
      </x:c>
      <x:c r="AL66" s="36"/>
      <x:c r="AM66" s="40"/>
      <x:c r="AN66" s="39"/>
      <x:c r="AO66" s="40"/>
      <x:c r="AP66" s="40"/>
    </x:row>
    <x:row r="67" ht="15" hidden="0" customHeight="1">
      <x:c r="A67" s="36" t="str">
        <x:v>Bu-72</x:v>
      </x:c>
      <x:c r="B67" s="37" t="str">
        <x:v>IR27#34 - Partner Central Consistency While Scaling</x:v>
      </x:c>
      <x:c r="C67" s="36" t="str">
        <x:v>BU Led</x:v>
      </x:c>
      <x:c r="D67" s="36" t="str">
        <x:v>International Regions (IR)</x:v>
      </x:c>
      <x:c r="E67" s="38" t="n">
        <x:v>0.14</x:v>
      </x:c>
      <x:c r="F67" s="39"/>
      <x:c r="G67" s="38" t="n">
        <x:f>IF(ISNUMBER(F67),F67,IF(E67="","",E67))</x:f>
        <x:v>0.14</x:v>
      </x:c>
      <x:c r="H67" s="38" t="n">
        <x:v>4.4</x:v>
      </x:c>
      <x:c r="I67" s="39"/>
      <x:c r="J67" s="36" t="str">
        <x:v>Risk exposure</x:v>
      </x:c>
      <x:c r="K67" s="38" t="str">
        <x:f>IF(ISNUMBER(I67),I67,IF(OR(NOT(ISNUMBER(H67)),NOT(ISNUMBER(G67)),G67&lt;=0),"",IF(H67/G67&gt;='Score settings'!$B$58,"",IF(J67="Cash savings",H67,IF(J67="Revenue",H67*'Score settings'!$B$55,"")))))</x:f>
      </x:c>
      <x:c r="L67" s="36"/>
      <x:c r="M67" s="39"/>
      <x:c r="N67" s="40"/>
      <x:c r="O67" s="36" t="str">
        <x:v>Must Do</x:v>
      </x:c>
      <x:c r="P67" s="36" t="str">
        <x:v>Upgrades</x:v>
      </x:c>
      <x:c r="Q67" s="36" t="str">
        <x:v>Compliance</x:v>
      </x:c>
      <x:c r="R67" s="36" t="str">
        <x:v>NotAssessed</x:v>
      </x:c>
      <x:c r="S67" s="36" t="str"/>
      <x:c r="T67" s="36" t="str">
        <x:v>Region candidate</x:v>
      </x:c>
      <x:c r="U67" s="41" t="n">
        <x:f>VLOOKUP("Priority|"&amp;O67,'Score settings'!$A$14:$C$43,2,FALSE)/'Score settings'!$B$4*'Score settings'!$C$4</x:f>
        <x:v>25</x:v>
      </x:c>
      <x:c r="V67" s="41" t="n">
        <x:f>VLOOKUP("Category|"&amp;P67,'Score settings'!$A$14:$C$43,2,FALSE)/'Score settings'!$B$5*'Score settings'!$C$5</x:f>
        <x:v>10</x:v>
      </x:c>
      <x:c r="W67" s="41" t="n">
        <x:f>VLOOKUP("Area|"&amp;Q67,'Score settings'!$A$14:$C$43,2,FALSE)/'Score settings'!$B$6*'Score settings'!$C$6</x:f>
        <x:v>15</x:v>
      </x:c>
      <x:c r="X67" s="41" t="n">
        <x:f>VLOOKUP("Benefits|"&amp;IF(AND(ISNUMBER(H67),H67&gt;0,ISNUMBER(G67),G67&gt;0),IF(H67/G67&gt;='Score settings'!$E$17,"3plus",IF(H67/G67&gt;='Score settings'!$E$16,"1.5to3",IF(H67/G67&gt;='Score settings'!$E$15,"0.5to1.5","positive"))),"None"),'Score settings'!$A$14:$C$43,2,FALSE)/'Score settings'!$B$7*'Score settings'!$C$7</x:f>
        <x:v>25</x:v>
      </x:c>
      <x:c r="Y67" s="41" t="n">
        <x:f>VLOOKUP("Waste|"&amp;R67,'Score settings'!$A$14:$C$43,2,FALSE)/'Score settings'!$B$8*'Score settings'!$C$8</x:f>
        <x:v>7</x:v>
      </x:c>
      <x:c r="Z67" s="41" t="n">
        <x:f>IF(B67="","",SUM(U67:Y67))</x:f>
        <x:v>82</x:v>
      </x:c>
      <x:c r="AA67" s="41" t="str">
        <x:f>IF(Z67="","Not scored",VLOOKUP(Z67,'Score settings'!$A$47:$C$50,2,TRUE))</x:f>
        <x:v>Protected</x:v>
      </x:c>
      <x:c r="AB67" s="41" t="n">
        <x:f>VLOOKUP("Priority|"&amp;O67,'Score settings'!$A$14:$C$43,3,FALSE)/'Score settings'!$B$4*'Score settings'!$D$4</x:f>
        <x:v>15</x:v>
      </x:c>
      <x:c r="AC67" s="41" t="n">
        <x:f>VLOOKUP("Category|"&amp;P67,'Score settings'!$A$14:$C$43,3,FALSE)/'Score settings'!$B$5*'Score settings'!$D$5</x:f>
        <x:v>5</x:v>
      </x:c>
      <x:c r="AD67" s="41" t="n">
        <x:f>VLOOKUP("Area|"&amp;Q67,'Score settings'!$A$14:$C$43,3,FALSE)/'Score settings'!$B$6*'Score settings'!$D$6</x:f>
        <x:v>10</x:v>
      </x:c>
      <x:c r="AE67" s="41" t="n">
        <x:f>VLOOKUP("Benefits|"&amp;IF(AND(ISNUMBER(K67),K67&gt;0,ISNUMBER(G67),G67&gt;0),IF(K67/G67&gt;='Score settings'!$E$17,"3plus",IF(K67/G67&gt;='Score settings'!$E$16,"1.5to3",IF(K67/G67&gt;='Score settings'!$E$15,"0.5to1.5","positive"))),"None"),'Score settings'!$A$14:$C$43,3,FALSE)/'Score settings'!$B$7*'Score settings'!$D$7</x:f>
        <x:v>0</x:v>
      </x:c>
      <x:c r="AF67" s="41" t="n">
        <x:f>VLOOKUP("Waste|"&amp;R67,'Score settings'!$A$14:$C$43,3,FALSE)/'Score settings'!$B$8*'Score settings'!$D$8</x:f>
        <x:v>0</x:v>
      </x:c>
      <x:c r="AG67" s="41" t="n">
        <x:f>(IF(AND(ISNUMBER(M67),M67&gt;0,ISNUMBER(G67),G67&gt;0),IF(M67/G67&gt;='Score settings'!$E$17,'Score settings'!$G$17,IF(M67/G67&gt;='Score settings'!$E$16,'Score settings'!$G$16,IF(M67/G67&gt;='Score settings'!$E$15,'Score settings'!$G$15,'Score settings'!$G$14))),0)/15*'Score settings'!$B$60+IFERROR(VLOOKUP(IF(ISNUMBER(N67),N67,IF(ISNUMBER(L67),L67,0)),'Score settings'!$E$22:$F$26,2,FALSE),0)/10*'Score settings'!$B$61)/'Score settings'!$B$9*'Score settings'!$D$9</x:f>
        <x:v>0</x:v>
      </x:c>
      <x:c r="AH67" s="41" t="n">
        <x:f>IF(B67="","",SUM(AB67:AG67))</x:f>
        <x:v>30</x:v>
      </x:c>
      <x:c r="AI67" s="41" t="str">
        <x:f>IF(NOT(ISNUMBER(AH67)),"Not scored",VLOOKUP(AH67,'Score settings'!$A$47:$C$50,3,TRUE))</x:f>
        <x:v>Discretionary</x:v>
      </x:c>
      <x:c r="AJ67" s="42" t="str">
        <x:f>IF(OR(NOT(ISNUMBER(AH67)),T67&lt;&gt;"Common pot"),"",COUNTIFS($T$4:$T$509,"Common pot",$AH$4:$AH$509,"&gt;"&amp;AH67)+1)</x:f>
      </x:c>
      <x:c r="AK67" s="36" t="str">
        <x:f>IF(B67="","Name missing - not scored",IF(OR(NOT(ISNUMBER(G67)),G67&lt;=0),"Investment missing or zero - review",IF(0=1,"Permanent ID missing - reconcile",IF(AND(ISNUMBER(H67),H67/G67&gt;='Score settings'!$B$58,NOT(ISNUMBER(I67))),"Benefit units need review",IF(OR(R67="EXIT",R67="CHALLENGE"),"Waste decision requires scope resolution",IF("Name and organisation matched"&lt;&gt;"Name and organisation matched","Waste evidence match needs review","Provisional source score - confirm evidence"))))))</x:f>
        <x:v>Provisional source score - confirm evidence</x:v>
      </x:c>
      <x:c r="AL67" s="36"/>
      <x:c r="AM67" s="40"/>
      <x:c r="AN67" s="39"/>
      <x:c r="AO67" s="40"/>
      <x:c r="AP67" s="40"/>
    </x:row>
    <x:row r="68" ht="15" hidden="0" customHeight="1">
      <x:c r="A68" s="36" t="str">
        <x:v>Bu-73</x:v>
      </x:c>
      <x:c r="B68" s="37" t="str">
        <x:v>IR27#35 - Partner: Scale Impact with Agile Publishing</x:v>
      </x:c>
      <x:c r="C68" s="36" t="str">
        <x:v>BU Led</x:v>
      </x:c>
      <x:c r="D68" s="36" t="str">
        <x:v>International Regions (IR)</x:v>
      </x:c>
      <x:c r="E68" s="38" t="n">
        <x:v>0.05</x:v>
      </x:c>
      <x:c r="F68" s="39"/>
      <x:c r="G68" s="38" t="n">
        <x:f>IF(ISNUMBER(F68),F68,IF(E68="","",E68))</x:f>
        <x:v>0.05</x:v>
      </x:c>
      <x:c r="H68" s="38" t="n">
        <x:v>5.6</x:v>
      </x:c>
      <x:c r="I68" s="39"/>
      <x:c r="J68" s="36" t="str">
        <x:v>Revenue</x:v>
      </x:c>
      <x:c r="K68" s="38" t="str">
        <x:f>IF(ISNUMBER(I68),I68,IF(OR(NOT(ISNUMBER(H68)),NOT(ISNUMBER(G68)),G68&lt;=0),"",IF(H68/G68&gt;='Score settings'!$B$58,"",IF(J68="Cash savings",H68,IF(J68="Revenue",H68*'Score settings'!$B$55,"")))))</x:f>
      </x:c>
      <x:c r="L68" s="36"/>
      <x:c r="M68" s="39"/>
      <x:c r="N68" s="40"/>
      <x:c r="O68" s="36" t="str">
        <x:v>Must Do</x:v>
      </x:c>
      <x:c r="P68" s="36" t="str">
        <x:v>NewFeat</x:v>
      </x:c>
      <x:c r="Q68" s="36" t="str">
        <x:v>Revenue</x:v>
      </x:c>
      <x:c r="R68" s="36" t="str">
        <x:v>NotAssessed</x:v>
      </x:c>
      <x:c r="S68" s="36" t="str"/>
      <x:c r="T68" s="36" t="str">
        <x:v>Region candidate</x:v>
      </x:c>
      <x:c r="U68" s="41" t="n">
        <x:f>VLOOKUP("Priority|"&amp;O68,'Score settings'!$A$14:$C$43,2,FALSE)/'Score settings'!$B$4*'Score settings'!$C$4</x:f>
        <x:v>25</x:v>
      </x:c>
      <x:c r="V68" s="41" t="n">
        <x:f>VLOOKUP("Category|"&amp;P68,'Score settings'!$A$14:$C$43,2,FALSE)/'Score settings'!$B$5*'Score settings'!$C$5</x:f>
        <x:v>6</x:v>
      </x:c>
      <x:c r="W68" s="41" t="n">
        <x:f>VLOOKUP("Area|"&amp;Q68,'Score settings'!$A$14:$C$43,2,FALSE)/'Score settings'!$B$6*'Score settings'!$C$6</x:f>
        <x:v>11</x:v>
      </x:c>
      <x:c r="X68" s="41" t="n">
        <x:f>VLOOKUP("Benefits|"&amp;IF(AND(ISNUMBER(H68),H68&gt;0,ISNUMBER(G68),G68&gt;0),IF(H68/G68&gt;='Score settings'!$E$17,"3plus",IF(H68/G68&gt;='Score settings'!$E$16,"1.5to3",IF(H68/G68&gt;='Score settings'!$E$15,"0.5to1.5","positive"))),"None"),'Score settings'!$A$14:$C$43,2,FALSE)/'Score settings'!$B$7*'Score settings'!$C$7</x:f>
        <x:v>25</x:v>
      </x:c>
      <x:c r="Y68" s="41" t="n">
        <x:f>VLOOKUP("Waste|"&amp;R68,'Score settings'!$A$14:$C$43,2,FALSE)/'Score settings'!$B$8*'Score settings'!$C$8</x:f>
        <x:v>7</x:v>
      </x:c>
      <x:c r="Z68" s="41" t="n">
        <x:f>IF(B68="","",SUM(U68:Y68))</x:f>
        <x:v>74</x:v>
      </x:c>
      <x:c r="AA68" s="41" t="str">
        <x:f>IF(Z68="","Not scored",VLOOKUP(Z68,'Score settings'!$A$47:$C$50,2,TRUE))</x:f>
        <x:v>Protected</x:v>
      </x:c>
      <x:c r="AB68" s="41" t="n">
        <x:f>VLOOKUP("Priority|"&amp;O68,'Score settings'!$A$14:$C$43,3,FALSE)/'Score settings'!$B$4*'Score settings'!$D$4</x:f>
        <x:v>15</x:v>
      </x:c>
      <x:c r="AC68" s="41" t="n">
        <x:f>VLOOKUP("Category|"&amp;P68,'Score settings'!$A$14:$C$43,3,FALSE)/'Score settings'!$B$5*'Score settings'!$D$5</x:f>
        <x:v>3</x:v>
      </x:c>
      <x:c r="AD68" s="41" t="n">
        <x:f>VLOOKUP("Area|"&amp;Q68,'Score settings'!$A$14:$C$43,3,FALSE)/'Score settings'!$B$6*'Score settings'!$D$6</x:f>
        <x:v>7.333333333333333</x:v>
      </x:c>
      <x:c r="AE68" s="41" t="n">
        <x:f>VLOOKUP("Benefits|"&amp;IF(AND(ISNUMBER(K68),K68&gt;0,ISNUMBER(G68),G68&gt;0),IF(K68/G68&gt;='Score settings'!$E$17,"3plus",IF(K68/G68&gt;='Score settings'!$E$16,"1.5to3",IF(K68/G68&gt;='Score settings'!$E$15,"0.5to1.5","positive"))),"None"),'Score settings'!$A$14:$C$43,3,FALSE)/'Score settings'!$B$7*'Score settings'!$D$7</x:f>
        <x:v>0</x:v>
      </x:c>
      <x:c r="AF68" s="41" t="n">
        <x:f>VLOOKUP("Waste|"&amp;R68,'Score settings'!$A$14:$C$43,3,FALSE)/'Score settings'!$B$8*'Score settings'!$D$8</x:f>
        <x:v>0</x:v>
      </x:c>
      <x:c r="AG68" s="41" t="n">
        <x:f>(IF(AND(ISNUMBER(M68),M68&gt;0,ISNUMBER(G68),G68&gt;0),IF(M68/G68&gt;='Score settings'!$E$17,'Score settings'!$G$17,IF(M68/G68&gt;='Score settings'!$E$16,'Score settings'!$G$16,IF(M68/G68&gt;='Score settings'!$E$15,'Score settings'!$G$15,'Score settings'!$G$14))),0)/15*'Score settings'!$B$60+IFERROR(VLOOKUP(IF(ISNUMBER(N68),N68,IF(ISNUMBER(L68),L68,0)),'Score settings'!$E$22:$F$26,2,FALSE),0)/10*'Score settings'!$B$61)/'Score settings'!$B$9*'Score settings'!$D$9</x:f>
        <x:v>0</x:v>
      </x:c>
      <x:c r="AH68" s="41" t="n">
        <x:f>IF(B68="","",SUM(AB68:AG68))</x:f>
        <x:v>25.333333333333332</x:v>
      </x:c>
      <x:c r="AI68" s="41" t="str">
        <x:f>IF(NOT(ISNUMBER(AH68)),"Not scored",VLOOKUP(AH68,'Score settings'!$A$47:$C$50,3,TRUE))</x:f>
        <x:v>Discretionary</x:v>
      </x:c>
      <x:c r="AJ68" s="42" t="str">
        <x:f>IF(OR(NOT(ISNUMBER(AH68)),T68&lt;&gt;"Common pot"),"",COUNTIFS($T$4:$T$509,"Common pot",$AH$4:$AH$509,"&gt;"&amp;AH68)+1)</x:f>
      </x:c>
      <x:c r="AK68" s="36" t="str">
        <x:f>IF(B68="","Name missing - not scored",IF(OR(NOT(ISNUMBER(G68)),G68&lt;=0),"Investment missing or zero - review",IF(0=1,"Permanent ID missing - reconcile",IF(AND(ISNUMBER(H68),H68/G68&gt;='Score settings'!$B$58,NOT(ISNUMBER(I68))),"Benefit units need review",IF(OR(R68="EXIT",R68="CHALLENGE"),"Waste decision requires scope resolution",IF("Name and organisation matched"&lt;&gt;"Name and organisation matched","Waste evidence match needs review","Provisional source score - confirm evidence"))))))</x:f>
        <x:v>Benefit units need review</x:v>
      </x:c>
      <x:c r="AL68" s="36"/>
      <x:c r="AM68" s="40"/>
      <x:c r="AN68" s="39"/>
      <x:c r="AO68" s="40"/>
      <x:c r="AP68" s="40"/>
    </x:row>
    <x:row r="69" ht="15" hidden="0" customHeight="1">
      <x:c r="A69" s="36" t="str">
        <x:v>Bu-74</x:v>
      </x:c>
      <x:c r="B69" s="37" t="str">
        <x:v>IR27#43 - D2B Configurable Product Mgt</x:v>
      </x:c>
      <x:c r="C69" s="36" t="str">
        <x:v>BU Led</x:v>
      </x:c>
      <x:c r="D69" s="36" t="str">
        <x:v>International Regions (IR)</x:v>
      </x:c>
      <x:c r="E69" s="38" t="n">
        <x:v>0.08</x:v>
      </x:c>
      <x:c r="F69" s="39"/>
      <x:c r="G69" s="38" t="n">
        <x:f>IF(ISNUMBER(F69),F69,IF(E69="","",E69))</x:f>
        <x:v>0.08</x:v>
      </x:c>
      <x:c r="H69" s="38" t="n">
        <x:v>5.95</x:v>
      </x:c>
      <x:c r="I69" s="39"/>
      <x:c r="J69" s="36" t="str">
        <x:v>Revenue</x:v>
      </x:c>
      <x:c r="K69" s="38" t="str">
        <x:f>IF(ISNUMBER(I69),I69,IF(OR(NOT(ISNUMBER(H69)),NOT(ISNUMBER(G69)),G69&lt;=0),"",IF(H69/G69&gt;='Score settings'!$B$58,"",IF(J69="Cash savings",H69,IF(J69="Revenue",H69*'Score settings'!$B$55,"")))))</x:f>
      </x:c>
      <x:c r="L69" s="36"/>
      <x:c r="M69" s="39"/>
      <x:c r="N69" s="40"/>
      <x:c r="O69" s="36" t="str">
        <x:v>Must Have</x:v>
      </x:c>
      <x:c r="P69" s="36" t="str">
        <x:v>Upgrades</x:v>
      </x:c>
      <x:c r="Q69" s="36" t="str">
        <x:v>Revenue</x:v>
      </x:c>
      <x:c r="R69" s="36" t="str">
        <x:v>NotAssessed</x:v>
      </x:c>
      <x:c r="S69" s="36" t="str"/>
      <x:c r="T69" s="36" t="str">
        <x:v>Change and Sustain candidate</x:v>
      </x:c>
      <x:c r="U69" s="41" t="n">
        <x:f>VLOOKUP("Priority|"&amp;O69,'Score settings'!$A$14:$C$43,2,FALSE)/'Score settings'!$B$4*'Score settings'!$C$4</x:f>
        <x:v>18</x:v>
      </x:c>
      <x:c r="V69" s="41" t="n">
        <x:f>VLOOKUP("Category|"&amp;P69,'Score settings'!$A$14:$C$43,2,FALSE)/'Score settings'!$B$5*'Score settings'!$C$5</x:f>
        <x:v>10</x:v>
      </x:c>
      <x:c r="W69" s="41" t="n">
        <x:f>VLOOKUP("Area|"&amp;Q69,'Score settings'!$A$14:$C$43,2,FALSE)/'Score settings'!$B$6*'Score settings'!$C$6</x:f>
        <x:v>11</x:v>
      </x:c>
      <x:c r="X69" s="41" t="n">
        <x:f>VLOOKUP("Benefits|"&amp;IF(AND(ISNUMBER(H69),H69&gt;0,ISNUMBER(G69),G69&gt;0),IF(H69/G69&gt;='Score settings'!$E$17,"3plus",IF(H69/G69&gt;='Score settings'!$E$16,"1.5to3",IF(H69/G69&gt;='Score settings'!$E$15,"0.5to1.5","positive"))),"None"),'Score settings'!$A$14:$C$43,2,FALSE)/'Score settings'!$B$7*'Score settings'!$C$7</x:f>
        <x:v>25</x:v>
      </x:c>
      <x:c r="Y69" s="41" t="n">
        <x:f>VLOOKUP("Waste|"&amp;R69,'Score settings'!$A$14:$C$43,2,FALSE)/'Score settings'!$B$8*'Score settings'!$C$8</x:f>
        <x:v>7</x:v>
      </x:c>
      <x:c r="Z69" s="41" t="n">
        <x:f>IF(B69="","",SUM(U69:Y69))</x:f>
        <x:v>71</x:v>
      </x:c>
      <x:c r="AA69" s="41" t="str">
        <x:f>IF(Z69="","Not scored",VLOOKUP(Z69,'Score settings'!$A$47:$C$50,2,TRUE))</x:f>
        <x:v>Protected</x:v>
      </x:c>
      <x:c r="AB69" s="41" t="n">
        <x:f>VLOOKUP("Priority|"&amp;O69,'Score settings'!$A$14:$C$43,3,FALSE)/'Score settings'!$B$4*'Score settings'!$D$4</x:f>
        <x:v>10.799999999999999</x:v>
      </x:c>
      <x:c r="AC69" s="41" t="n">
        <x:f>VLOOKUP("Category|"&amp;P69,'Score settings'!$A$14:$C$43,3,FALSE)/'Score settings'!$B$5*'Score settings'!$D$5</x:f>
        <x:v>5</x:v>
      </x:c>
      <x:c r="AD69" s="41" t="n">
        <x:f>VLOOKUP("Area|"&amp;Q69,'Score settings'!$A$14:$C$43,3,FALSE)/'Score settings'!$B$6*'Score settings'!$D$6</x:f>
        <x:v>7.333333333333333</x:v>
      </x:c>
      <x:c r="AE69" s="41" t="n">
        <x:f>VLOOKUP("Benefits|"&amp;IF(AND(ISNUMBER(K69),K69&gt;0,ISNUMBER(G69),G69&gt;0),IF(K69/G69&gt;='Score settings'!$E$17,"3plus",IF(K69/G69&gt;='Score settings'!$E$16,"1.5to3",IF(K69/G69&gt;='Score settings'!$E$15,"0.5to1.5","positive"))),"None"),'Score settings'!$A$14:$C$43,3,FALSE)/'Score settings'!$B$7*'Score settings'!$D$7</x:f>
        <x:v>0</x:v>
      </x:c>
      <x:c r="AF69" s="41" t="n">
        <x:f>VLOOKUP("Waste|"&amp;R69,'Score settings'!$A$14:$C$43,3,FALSE)/'Score settings'!$B$8*'Score settings'!$D$8</x:f>
        <x:v>0</x:v>
      </x:c>
      <x:c r="AG69" s="41" t="n">
        <x:f>(IF(AND(ISNUMBER(M69),M69&gt;0,ISNUMBER(G69),G69&gt;0),IF(M69/G69&gt;='Score settings'!$E$17,'Score settings'!$G$17,IF(M69/G69&gt;='Score settings'!$E$16,'Score settings'!$G$16,IF(M69/G69&gt;='Score settings'!$E$15,'Score settings'!$G$15,'Score settings'!$G$14))),0)/15*'Score settings'!$B$60+IFERROR(VLOOKUP(IF(ISNUMBER(N69),N69,IF(ISNUMBER(L69),L69,0)),'Score settings'!$E$22:$F$26,2,FALSE),0)/10*'Score settings'!$B$61)/'Score settings'!$B$9*'Score settings'!$D$9</x:f>
        <x:v>0</x:v>
      </x:c>
      <x:c r="AH69" s="41" t="n">
        <x:f>IF(B69="","",SUM(AB69:AG69))</x:f>
        <x:v>23.133333333333333</x:v>
      </x:c>
      <x:c r="AI69" s="41" t="str">
        <x:f>IF(NOT(ISNUMBER(AH69)),"Not scored",VLOOKUP(AH69,'Score settings'!$A$47:$C$50,3,TRUE))</x:f>
        <x:v>Weak</x:v>
      </x:c>
      <x:c r="AJ69" s="42" t="str">
        <x:f>IF(OR(NOT(ISNUMBER(AH69)),T69&lt;&gt;"Common pot"),"",COUNTIFS($T$4:$T$509,"Common pot",$AH$4:$AH$509,"&gt;"&amp;AH69)+1)</x:f>
      </x:c>
      <x:c r="AK69" s="36" t="str">
        <x:f>IF(B69="","Name missing - not scored",IF(OR(NOT(ISNUMBER(G69)),G69&lt;=0),"Investment missing or zero - review",IF(0=1,"Permanent ID missing - reconcile",IF(AND(ISNUMBER(H69),H69/G69&gt;='Score settings'!$B$58,NOT(ISNUMBER(I69))),"Benefit units need review",IF(OR(R69="EXIT",R69="CHALLENGE"),"Waste decision requires scope resolution",IF("Name and organisation matched"&lt;&gt;"Name and organisation matched","Waste evidence match needs review","Provisional source score - confirm evidence"))))))</x:f>
        <x:v>Benefit units need review</x:v>
      </x:c>
      <x:c r="AL69" s="36"/>
      <x:c r="AM69" s="40"/>
      <x:c r="AN69" s="39"/>
      <x:c r="AO69" s="40"/>
      <x:c r="AP69" s="40"/>
    </x:row>
    <x:row r="70" ht="15" hidden="0" customHeight="1">
      <x:c r="A70" s="36" t="str">
        <x:v>Bu-75</x:v>
      </x:c>
      <x:c r="B70" s="37" t="str">
        <x:v>IR27#44 - EDI Continuous Improvement incl BNL Peppol Orders</x:v>
      </x:c>
      <x:c r="C70" s="36" t="str">
        <x:v>BU Led</x:v>
      </x:c>
      <x:c r="D70" s="36" t="str">
        <x:v>International Regions (IR)</x:v>
      </x:c>
      <x:c r="E70" s="38" t="n">
        <x:v>0.078</x:v>
      </x:c>
      <x:c r="F70" s="39"/>
      <x:c r="G70" s="38" t="n">
        <x:f>IF(ISNUMBER(F70),F70,IF(E70="","",E70))</x:f>
        <x:v>0.078</x:v>
      </x:c>
      <x:c r="H70" s="38" t="n">
        <x:v>2.25</x:v>
      </x:c>
      <x:c r="I70" s="39"/>
      <x:c r="J70" s="36" t="str">
        <x:v>Cash savings</x:v>
      </x:c>
      <x:c r="K70" s="38" t="n">
        <x:f>IF(ISNUMBER(I70),I70,IF(OR(NOT(ISNUMBER(H70)),NOT(ISNUMBER(G70)),G70&lt;=0),"",IF(H70/G70&gt;='Score settings'!$B$58,"",IF(J70="Cash savings",H70,IF(J70="Revenue",H70*'Score settings'!$B$55,"")))))</x:f>
        <x:v>2.25</x:v>
      </x:c>
      <x:c r="L70" s="36"/>
      <x:c r="M70" s="39"/>
      <x:c r="N70" s="40"/>
      <x:c r="O70" s="36" t="str">
        <x:v>Must Do</x:v>
      </x:c>
      <x:c r="P70" s="36" t="str">
        <x:v>CI</x:v>
      </x:c>
      <x:c r="Q70" s="36" t="str">
        <x:v>ProcSimp</x:v>
      </x:c>
      <x:c r="R70" s="36" t="str">
        <x:v>NotAssessed</x:v>
      </x:c>
      <x:c r="S70" s="36" t="str"/>
      <x:c r="T70" s="36" t="str">
        <x:v>Change and Sustain candidate</x:v>
      </x:c>
      <x:c r="U70" s="41" t="n">
        <x:f>VLOOKUP("Priority|"&amp;O70,'Score settings'!$A$14:$C$43,2,FALSE)/'Score settings'!$B$4*'Score settings'!$C$4</x:f>
        <x:v>25</x:v>
      </x:c>
      <x:c r="V70" s="41" t="n">
        <x:f>VLOOKUP("Category|"&amp;P70,'Score settings'!$A$14:$C$43,2,FALSE)/'Score settings'!$B$5*'Score settings'!$C$5</x:f>
        <x:v>8</x:v>
      </x:c>
      <x:c r="W70" s="41" t="n">
        <x:f>VLOOKUP("Area|"&amp;Q70,'Score settings'!$A$14:$C$43,2,FALSE)/'Score settings'!$B$6*'Score settings'!$C$6</x:f>
        <x:v>12</x:v>
      </x:c>
      <x:c r="X70" s="41" t="n">
        <x:f>VLOOKUP("Benefits|"&amp;IF(AND(ISNUMBER(H70),H70&gt;0,ISNUMBER(G70),G70&gt;0),IF(H70/G70&gt;='Score settings'!$E$17,"3plus",IF(H70/G70&gt;='Score settings'!$E$16,"1.5to3",IF(H70/G70&gt;='Score settings'!$E$15,"0.5to1.5","positive"))),"None"),'Score settings'!$A$14:$C$43,2,FALSE)/'Score settings'!$B$7*'Score settings'!$C$7</x:f>
        <x:v>25</x:v>
      </x:c>
      <x:c r="Y70" s="41" t="n">
        <x:f>VLOOKUP("Waste|"&amp;R70,'Score settings'!$A$14:$C$43,2,FALSE)/'Score settings'!$B$8*'Score settings'!$C$8</x:f>
        <x:v>7</x:v>
      </x:c>
      <x:c r="Z70" s="41" t="n">
        <x:f>IF(B70="","",SUM(U70:Y70))</x:f>
        <x:v>77</x:v>
      </x:c>
      <x:c r="AA70" s="41" t="str">
        <x:f>IF(Z70="","Not scored",VLOOKUP(Z70,'Score settings'!$A$47:$C$50,2,TRUE))</x:f>
        <x:v>Protected</x:v>
      </x:c>
      <x:c r="AB70" s="41" t="n">
        <x:f>VLOOKUP("Priority|"&amp;O70,'Score settings'!$A$14:$C$43,3,FALSE)/'Score settings'!$B$4*'Score settings'!$D$4</x:f>
        <x:v>15</x:v>
      </x:c>
      <x:c r="AC70" s="41" t="n">
        <x:f>VLOOKUP("Category|"&amp;P70,'Score settings'!$A$14:$C$43,3,FALSE)/'Score settings'!$B$5*'Score settings'!$D$5</x:f>
        <x:v>4</x:v>
      </x:c>
      <x:c r="AD70" s="41" t="n">
        <x:f>VLOOKUP("Area|"&amp;Q70,'Score settings'!$A$14:$C$43,3,FALSE)/'Score settings'!$B$6*'Score settings'!$D$6</x:f>
        <x:v>8</x:v>
      </x:c>
      <x:c r="AE70" s="41" t="n">
        <x:f>VLOOKUP("Benefits|"&amp;IF(AND(ISNUMBER(K70),K70&gt;0,ISNUMBER(G70),G70&gt;0),IF(K70/G70&gt;='Score settings'!$E$17,"3plus",IF(K70/G70&gt;='Score settings'!$E$16,"1.5to3",IF(K70/G70&gt;='Score settings'!$E$15,"0.5to1.5","positive"))),"None"),'Score settings'!$A$14:$C$43,3,FALSE)/'Score settings'!$B$7*'Score settings'!$D$7</x:f>
        <x:v>30</x:v>
      </x:c>
      <x:c r="AF70" s="41" t="n">
        <x:f>VLOOKUP("Waste|"&amp;R70,'Score settings'!$A$14:$C$43,3,FALSE)/'Score settings'!$B$8*'Score settings'!$D$8</x:f>
        <x:v>0</x:v>
      </x:c>
      <x:c r="AG70" s="41" t="n">
        <x:f>(IF(AND(ISNUMBER(M70),M70&gt;0,ISNUMBER(G70),G70&gt;0),IF(M70/G70&gt;='Score settings'!$E$17,'Score settings'!$G$17,IF(M70/G70&gt;='Score settings'!$E$16,'Score settings'!$G$16,IF(M70/G70&gt;='Score settings'!$E$15,'Score settings'!$G$15,'Score settings'!$G$14))),0)/15*'Score settings'!$B$60+IFERROR(VLOOKUP(IF(ISNUMBER(N70),N70,IF(ISNUMBER(L70),L70,0)),'Score settings'!$E$22:$F$26,2,FALSE),0)/10*'Score settings'!$B$61)/'Score settings'!$B$9*'Score settings'!$D$9</x:f>
        <x:v>0</x:v>
      </x:c>
      <x:c r="AH70" s="41" t="n">
        <x:f>IF(B70="","",SUM(AB70:AG70))</x:f>
        <x:v>57</x:v>
      </x:c>
      <x:c r="AI70" s="41" t="str">
        <x:f>IF(NOT(ISNUMBER(AH70)),"Not scored",VLOOKUP(AH70,'Score settings'!$A$47:$C$50,3,TRUE))</x:f>
        <x:v>Strong</x:v>
      </x:c>
      <x:c r="AJ70" s="42" t="str">
        <x:f>IF(OR(NOT(ISNUMBER(AH70)),T70&lt;&gt;"Common pot"),"",COUNTIFS($T$4:$T$509,"Common pot",$AH$4:$AH$509,"&gt;"&amp;AH70)+1)</x:f>
      </x:c>
      <x:c r="AK70" s="36" t="str">
        <x:f>IF(B70="","Name missing - not scored",IF(OR(NOT(ISNUMBER(G70)),G70&lt;=0),"Investment missing or zero - review",IF(0=1,"Permanent ID missing - reconcile",IF(AND(ISNUMBER(H70),H70/G70&gt;='Score settings'!$B$58,NOT(ISNUMBER(I70))),"Benefit units need review",IF(OR(R70="EXIT",R70="CHALLENGE"),"Waste decision requires scope resolution",IF("Name and organisation matched"&lt;&gt;"Name and organisation matched","Waste evidence match needs review","Provisional source score - confirm evidence"))))))</x:f>
        <x:v>Provisional source score - confirm evidence</x:v>
      </x:c>
      <x:c r="AL70" s="36"/>
      <x:c r="AM70" s="40"/>
      <x:c r="AN70" s="39"/>
      <x:c r="AO70" s="40"/>
      <x:c r="AP70" s="40"/>
    </x:row>
    <x:row r="71" ht="24" hidden="0" customHeight="1">
      <x:c r="A71" s="36" t="str">
        <x:v>Bu-76</x:v>
      </x:c>
      <x:c r="B71" s="37" t="str">
        <x:v>IR27#60 - Supply Chain Excellence (in fact 3x Type 1: each 50K HPM SE, ULS DK, IGTD Italy) - create 3 lines?</x:v>
      </x:c>
      <x:c r="C71" s="36" t="str">
        <x:v>BU Led</x:v>
      </x:c>
      <x:c r="D71" s="36" t="str">
        <x:v>International Regions (IR)</x:v>
      </x:c>
      <x:c r="E71" s="38" t="n">
        <x:v>0.15</x:v>
      </x:c>
      <x:c r="F71" s="39"/>
      <x:c r="G71" s="38" t="n">
        <x:f>IF(ISNUMBER(F71),F71,IF(E71="","",E71))</x:f>
        <x:v>0.15</x:v>
      </x:c>
      <x:c r="H71" s="38" t="n">
        <x:v>128.25</x:v>
      </x:c>
      <x:c r="I71" s="39"/>
      <x:c r="J71" s="36" t="str">
        <x:v>Cash savings</x:v>
      </x:c>
      <x:c r="K71" s="38" t="str">
        <x:f>IF(ISNUMBER(I71),I71,IF(OR(NOT(ISNUMBER(H71)),NOT(ISNUMBER(G71)),G71&lt;=0),"",IF(H71/G71&gt;='Score settings'!$B$58,"",IF(J71="Cash savings",H71,IF(J71="Revenue",H71*'Score settings'!$B$55,"")))))</x:f>
      </x:c>
      <x:c r="L71" s="36"/>
      <x:c r="M71" s="39"/>
      <x:c r="N71" s="40"/>
      <x:c r="O71" s="36" t="str">
        <x:v>Must Do</x:v>
      </x:c>
      <x:c r="P71" s="36" t="str">
        <x:v>Upgrades</x:v>
      </x:c>
      <x:c r="Q71" s="36" t="str">
        <x:v>ProcSimp</x:v>
      </x:c>
      <x:c r="R71" s="36" t="str">
        <x:v>HEALTHY</x:v>
      </x:c>
      <x:c r="S71" s="36" t="str"/>
      <x:c r="T71" s="36" t="str">
        <x:v>Change and Sustain candidate</x:v>
      </x:c>
      <x:c r="U71" s="41" t="n">
        <x:f>VLOOKUP("Priority|"&amp;O71,'Score settings'!$A$14:$C$43,2,FALSE)/'Score settings'!$B$4*'Score settings'!$C$4</x:f>
        <x:v>25</x:v>
      </x:c>
      <x:c r="V71" s="41" t="n">
        <x:f>VLOOKUP("Category|"&amp;P71,'Score settings'!$A$14:$C$43,2,FALSE)/'Score settings'!$B$5*'Score settings'!$C$5</x:f>
        <x:v>10</x:v>
      </x:c>
      <x:c r="W71" s="41" t="n">
        <x:f>VLOOKUP("Area|"&amp;Q71,'Score settings'!$A$14:$C$43,2,FALSE)/'Score settings'!$B$6*'Score settings'!$C$6</x:f>
        <x:v>12</x:v>
      </x:c>
      <x:c r="X71" s="41" t="n">
        <x:f>VLOOKUP("Benefits|"&amp;IF(AND(ISNUMBER(H71),H71&gt;0,ISNUMBER(G71),G71&gt;0),IF(H71/G71&gt;='Score settings'!$E$17,"3plus",IF(H71/G71&gt;='Score settings'!$E$16,"1.5to3",IF(H71/G71&gt;='Score settings'!$E$15,"0.5to1.5","positive"))),"None"),'Score settings'!$A$14:$C$43,2,FALSE)/'Score settings'!$B$7*'Score settings'!$C$7</x:f>
        <x:v>25</x:v>
      </x:c>
      <x:c r="Y71" s="41" t="n">
        <x:f>VLOOKUP("Waste|"&amp;R71,'Score settings'!$A$14:$C$43,2,FALSE)/'Score settings'!$B$8*'Score settings'!$C$8</x:f>
        <x:v>15</x:v>
      </x:c>
      <x:c r="Z71" s="41" t="n">
        <x:f>IF(B71="","",SUM(U71:Y71))</x:f>
        <x:v>87</x:v>
      </x:c>
      <x:c r="AA71" s="41" t="str">
        <x:f>IF(Z71="","Not scored",VLOOKUP(Z71,'Score settings'!$A$47:$C$50,2,TRUE))</x:f>
        <x:v>Protected</x:v>
      </x:c>
      <x:c r="AB71" s="41" t="n">
        <x:f>VLOOKUP("Priority|"&amp;O71,'Score settings'!$A$14:$C$43,3,FALSE)/'Score settings'!$B$4*'Score settings'!$D$4</x:f>
        <x:v>15</x:v>
      </x:c>
      <x:c r="AC71" s="41" t="n">
        <x:f>VLOOKUP("Category|"&amp;P71,'Score settings'!$A$14:$C$43,3,FALSE)/'Score settings'!$B$5*'Score settings'!$D$5</x:f>
        <x:v>5</x:v>
      </x:c>
      <x:c r="AD71" s="41" t="n">
        <x:f>VLOOKUP("Area|"&amp;Q71,'Score settings'!$A$14:$C$43,3,FALSE)/'Score settings'!$B$6*'Score settings'!$D$6</x:f>
        <x:v>8</x:v>
      </x:c>
      <x:c r="AE71" s="41" t="n">
        <x:f>VLOOKUP("Benefits|"&amp;IF(AND(ISNUMBER(K71),K71&gt;0,ISNUMBER(G71),G71&gt;0),IF(K71/G71&gt;='Score settings'!$E$17,"3plus",IF(K71/G71&gt;='Score settings'!$E$16,"1.5to3",IF(K71/G71&gt;='Score settings'!$E$15,"0.5to1.5","positive"))),"None"),'Score settings'!$A$14:$C$43,3,FALSE)/'Score settings'!$B$7*'Score settings'!$D$7</x:f>
        <x:v>0</x:v>
      </x:c>
      <x:c r="AF71" s="41" t="n">
        <x:f>VLOOKUP("Waste|"&amp;R71,'Score settings'!$A$14:$C$43,3,FALSE)/'Score settings'!$B$8*'Score settings'!$D$8</x:f>
        <x:v>10</x:v>
      </x:c>
      <x:c r="AG71" s="41" t="n">
        <x:f>(IF(AND(ISNUMBER(M71),M71&gt;0,ISNUMBER(G71),G71&gt;0),IF(M71/G71&gt;='Score settings'!$E$17,'Score settings'!$G$17,IF(M71/G71&gt;='Score settings'!$E$16,'Score settings'!$G$16,IF(M71/G71&gt;='Score settings'!$E$15,'Score settings'!$G$15,'Score settings'!$G$14))),0)/15*'Score settings'!$B$60+IFERROR(VLOOKUP(IF(ISNUMBER(N71),N71,IF(ISNUMBER(L71),L71,0)),'Score settings'!$E$22:$F$26,2,FALSE),0)/10*'Score settings'!$B$61)/'Score settings'!$B$9*'Score settings'!$D$9</x:f>
        <x:v>0</x:v>
      </x:c>
      <x:c r="AH71" s="41" t="n">
        <x:f>IF(B71="","",SUM(AB71:AG71))</x:f>
        <x:v>38</x:v>
      </x:c>
      <x:c r="AI71" s="41" t="str">
        <x:f>IF(NOT(ISNUMBER(AH71)),"Not scored",VLOOKUP(AH71,'Score settings'!$A$47:$C$50,3,TRUE))</x:f>
        <x:v>Discretionary</x:v>
      </x:c>
      <x:c r="AJ71" s="42" t="str">
        <x:f>IF(OR(NOT(ISNUMBER(AH71)),T71&lt;&gt;"Common pot"),"",COUNTIFS($T$4:$T$509,"Common pot",$AH$4:$AH$509,"&gt;"&amp;AH71)+1)</x:f>
      </x:c>
      <x:c r="AK71" s="36" t="str">
        <x:f>IF(B71="","Name missing - not scored",IF(OR(NOT(ISNUMBER(G71)),G71&lt;=0),"Investment missing or zero - review",IF(0=1,"Permanent ID missing - reconcile",IF(AND(ISNUMBER(H71),H71/G71&gt;='Score settings'!$B$58,NOT(ISNUMBER(I71))),"Benefit units need review",IF(OR(R71="EXIT",R71="CHALLENGE"),"Waste decision requires scope resolution",IF("Name and organisation matched"&lt;&gt;"Name and organisation matched","Waste evidence match needs review","Provisional source score - confirm evidence"))))))</x:f>
        <x:v>Benefit units need review</x:v>
      </x:c>
      <x:c r="AL71" s="36"/>
      <x:c r="AM71" s="40"/>
      <x:c r="AN71" s="39"/>
      <x:c r="AO71" s="40"/>
      <x:c r="AP71" s="40"/>
    </x:row>
    <x:row r="72" ht="15" hidden="0" customHeight="1">
      <x:c r="A72" s="36" t="str">
        <x:v>Bu-77</x:v>
      </x:c>
      <x:c r="B72" s="37" t="str">
        <x:v>IR27#70 - SC IW&amp;D Excellence</x:v>
      </x:c>
      <x:c r="C72" s="36" t="str">
        <x:v>BU Led</x:v>
      </x:c>
      <x:c r="D72" s="36" t="str">
        <x:v>International Regions (IR)</x:v>
      </x:c>
      <x:c r="E72" s="38" t="n">
        <x:v>0</x:v>
      </x:c>
      <x:c r="F72" s="39"/>
      <x:c r="G72" s="38" t="str">
        <x:f>IF(ISNUMBER(F72),F72,IF(E72="","",E72))</x:f>
      </x:c>
      <x:c r="H72" s="38" t="n">
        <x:v>0.585</x:v>
      </x:c>
      <x:c r="I72" s="39"/>
      <x:c r="J72" s="36" t="str">
        <x:v>Cash savings</x:v>
      </x:c>
      <x:c r="K72" s="38" t="str">
        <x:f>IF(ISNUMBER(I72),I72,IF(OR(NOT(ISNUMBER(H72)),NOT(ISNUMBER(G72)),G72&lt;=0),"",IF(H72/G72&gt;='Score settings'!$B$58,"",IF(J72="Cash savings",H72,IF(J72="Revenue",H72*'Score settings'!$B$55,"")))))</x:f>
      </x:c>
      <x:c r="L72" s="36"/>
      <x:c r="M72" s="39"/>
      <x:c r="N72" s="40"/>
      <x:c r="O72" s="36" t="str">
        <x:v>Depri</x:v>
      </x:c>
      <x:c r="P72" s="36" t="str">
        <x:v>Upgrades</x:v>
      </x:c>
      <x:c r="Q72" s="36" t="str">
        <x:v>ProcSimp</x:v>
      </x:c>
      <x:c r="R72" s="36" t="str">
        <x:v>HEALTHY</x:v>
      </x:c>
      <x:c r="S72" s="36" t="str"/>
      <x:c r="T72" s="36" t="str">
        <x:v>Change and Sustain candidate</x:v>
      </x:c>
      <x:c r="U72" s="41" t="n">
        <x:f>VLOOKUP("Priority|"&amp;O72,'Score settings'!$A$14:$C$43,2,FALSE)/'Score settings'!$B$4*'Score settings'!$C$4</x:f>
        <x:v>5</x:v>
      </x:c>
      <x:c r="V72" s="41" t="n">
        <x:f>VLOOKUP("Category|"&amp;P72,'Score settings'!$A$14:$C$43,2,FALSE)/'Score settings'!$B$5*'Score settings'!$C$5</x:f>
        <x:v>10</x:v>
      </x:c>
      <x:c r="W72" s="41" t="n">
        <x:f>VLOOKUP("Area|"&amp;Q72,'Score settings'!$A$14:$C$43,2,FALSE)/'Score settings'!$B$6*'Score settings'!$C$6</x:f>
        <x:v>12</x:v>
      </x:c>
      <x:c r="X72" s="41" t="n">
        <x:f>VLOOKUP("Benefits|"&amp;IF(AND(ISNUMBER(H72),H72&gt;0,ISNUMBER(G72),G72&gt;0),IF(H72/G72&gt;='Score settings'!$E$17,"3plus",IF(H72/G72&gt;='Score settings'!$E$16,"1.5to3",IF(H72/G72&gt;='Score settings'!$E$15,"0.5to1.5","positive"))),"None"),'Score settings'!$A$14:$C$43,2,FALSE)/'Score settings'!$B$7*'Score settings'!$C$7</x:f>
        <x:v>5</x:v>
      </x:c>
      <x:c r="Y72" s="41" t="n">
        <x:f>VLOOKUP("Waste|"&amp;R72,'Score settings'!$A$14:$C$43,2,FALSE)/'Score settings'!$B$8*'Score settings'!$C$8</x:f>
        <x:v>15</x:v>
      </x:c>
      <x:c r="Z72" s="41" t="n">
        <x:f>IF(B72="","",SUM(U72:Y72))</x:f>
        <x:v>47</x:v>
      </x:c>
      <x:c r="AA72" s="41" t="str">
        <x:f>IF(Z72="","Not scored",VLOOKUP(Z72,'Score settings'!$A$47:$C$50,2,TRUE))</x:f>
        <x:v>Strong</x:v>
      </x:c>
      <x:c r="AB72" s="41" t="n">
        <x:f>VLOOKUP("Priority|"&amp;O72,'Score settings'!$A$14:$C$43,3,FALSE)/'Score settings'!$B$4*'Score settings'!$D$4</x:f>
        <x:v>3</x:v>
      </x:c>
      <x:c r="AC72" s="41" t="n">
        <x:f>VLOOKUP("Category|"&amp;P72,'Score settings'!$A$14:$C$43,3,FALSE)/'Score settings'!$B$5*'Score settings'!$D$5</x:f>
        <x:v>5</x:v>
      </x:c>
      <x:c r="AD72" s="41" t="n">
        <x:f>VLOOKUP("Area|"&amp;Q72,'Score settings'!$A$14:$C$43,3,FALSE)/'Score settings'!$B$6*'Score settings'!$D$6</x:f>
        <x:v>8</x:v>
      </x:c>
      <x:c r="AE72" s="41" t="n">
        <x:f>VLOOKUP("Benefits|"&amp;IF(AND(ISNUMBER(K72),K72&gt;0,ISNUMBER(G72),G72&gt;0),IF(K72/G72&gt;='Score settings'!$E$17,"3plus",IF(K72/G72&gt;='Score settings'!$E$16,"1.5to3",IF(K72/G72&gt;='Score settings'!$E$15,"0.5to1.5","positive"))),"None"),'Score settings'!$A$14:$C$43,3,FALSE)/'Score settings'!$B$7*'Score settings'!$D$7</x:f>
        <x:v>0</x:v>
      </x:c>
      <x:c r="AF72" s="41" t="n">
        <x:f>VLOOKUP("Waste|"&amp;R72,'Score settings'!$A$14:$C$43,3,FALSE)/'Score settings'!$B$8*'Score settings'!$D$8</x:f>
        <x:v>10</x:v>
      </x:c>
      <x:c r="AG72" s="41" t="n">
        <x:f>(IF(AND(ISNUMBER(M72),M72&gt;0,ISNUMBER(G72),G72&gt;0),IF(M72/G72&gt;='Score settings'!$E$17,'Score settings'!$G$17,IF(M72/G72&gt;='Score settings'!$E$16,'Score settings'!$G$16,IF(M72/G72&gt;='Score settings'!$E$15,'Score settings'!$G$15,'Score settings'!$G$14))),0)/15*'Score settings'!$B$60+IFERROR(VLOOKUP(IF(ISNUMBER(N72),N72,IF(ISNUMBER(L72),L72,0)),'Score settings'!$E$22:$F$26,2,FALSE),0)/10*'Score settings'!$B$61)/'Score settings'!$B$9*'Score settings'!$D$9</x:f>
        <x:v>0</x:v>
      </x:c>
      <x:c r="AH72" s="41" t="n">
        <x:f>IF(B72="","",SUM(AB72:AG72))</x:f>
        <x:v>26</x:v>
      </x:c>
      <x:c r="AI72" s="41" t="str">
        <x:f>IF(NOT(ISNUMBER(AH72)),"Not scored",VLOOKUP(AH72,'Score settings'!$A$47:$C$50,3,TRUE))</x:f>
        <x:v>Discretionary</x:v>
      </x:c>
      <x:c r="AJ72" s="42" t="str">
        <x:f>IF(OR(NOT(ISNUMBER(AH72)),T72&lt;&gt;"Common pot"),"",COUNTIFS($T$4:$T$509,"Common pot",$AH$4:$AH$509,"&gt;"&amp;AH72)+1)</x:f>
      </x:c>
      <x:c r="AK72" s="36" t="str">
        <x:f>IF(B72="","Name missing - not scored",IF(OR(NOT(ISNUMBER(G72)),G72&lt;=0),"Investment missing or zero - review",IF(0=1,"Permanent ID missing - reconcile",IF(AND(ISNUMBER(H72),H72/G72&gt;='Score settings'!$B$58,NOT(ISNUMBER(I72))),"Benefit units need review",IF(OR(R72="EXIT",R72="CHALLENGE"),"Waste decision requires scope resolution",IF("Name and organisation matched"&lt;&gt;"Name and organisation matched","Waste evidence match needs review","Provisional source score - confirm evidence"))))))</x:f>
        <x:v>Investment missing or zero - review</x:v>
      </x:c>
      <x:c r="AL72" s="36"/>
      <x:c r="AM72" s="40"/>
      <x:c r="AN72" s="39"/>
      <x:c r="AO72" s="40"/>
      <x:c r="AP72" s="40"/>
    </x:row>
    <x:row r="73" ht="15" hidden="0" customHeight="1">
      <x:c r="A73" s="36" t="str">
        <x:v>Bu-78</x:v>
      </x:c>
      <x:c r="B73" s="37" t="str">
        <x:v>(idle)</x:v>
      </x:c>
      <x:c r="C73" s="36" t="str">
        <x:v>BU Led</x:v>
      </x:c>
      <x:c r="D73" s="36" t="str">
        <x:v>International Regions (IR)</x:v>
      </x:c>
      <x:c r="E73" s="38"/>
      <x:c r="F73" s="39"/>
      <x:c r="G73" s="38" t="str">
        <x:f>IF(ISNUMBER(F73),F73,IF(E73="","",E73))</x:f>
      </x:c>
      <x:c r="H73" s="38"/>
      <x:c r="I73" s="39"/>
      <x:c r="J73" s="36" t="str">
        <x:v>Unclassified</x:v>
      </x:c>
      <x:c r="K73" s="38" t="str">
        <x:f>IF(ISNUMBER(I73),I73,IF(OR(NOT(ISNUMBER(H73)),NOT(ISNUMBER(G73)),G73&lt;=0),"",IF(H73/G73&gt;='Score settings'!$B$58,"",IF(J73="Cash savings",H73,IF(J73="Revenue",H73*'Score settings'!$B$55,"")))))</x:f>
      </x:c>
      <x:c r="L73" s="36"/>
      <x:c r="M73" s="39"/>
      <x:c r="N73" s="40"/>
      <x:c r="O73" s="36" t="str">
        <x:v>Depri</x:v>
      </x:c>
      <x:c r="P73" s="36" t="str">
        <x:v>Blank</x:v>
      </x:c>
      <x:c r="Q73" s="36" t="str">
        <x:v>Blank</x:v>
      </x:c>
      <x:c r="R73" s="36" t="str">
        <x:v>NotAssessed</x:v>
      </x:c>
      <x:c r="S73" s="36" t="str"/>
      <x:c r="T73" s="36" t="str">
        <x:v>Region candidate</x:v>
      </x:c>
      <x:c r="U73" s="41" t="n">
        <x:f>VLOOKUP("Priority|"&amp;O73,'Score settings'!$A$14:$C$43,2,FALSE)/'Score settings'!$B$4*'Score settings'!$C$4</x:f>
        <x:v>5</x:v>
      </x:c>
      <x:c r="V73" s="41" t="n">
        <x:f>VLOOKUP("Category|"&amp;P73,'Score settings'!$A$14:$C$43,2,FALSE)/'Score settings'!$B$5*'Score settings'!$C$5</x:f>
        <x:v>4</x:v>
      </x:c>
      <x:c r="W73" s="41" t="n">
        <x:f>VLOOKUP("Area|"&amp;Q73,'Score settings'!$A$14:$C$43,2,FALSE)/'Score settings'!$B$6*'Score settings'!$C$6</x:f>
        <x:v>3</x:v>
      </x:c>
      <x:c r="X73" s="41" t="n">
        <x:f>VLOOKUP("Benefits|"&amp;IF(AND(ISNUMBER(H73),H73&gt;0,ISNUMBER(G73),G73&gt;0),IF(H73/G73&gt;='Score settings'!$E$17,"3plus",IF(H73/G73&gt;='Score settings'!$E$16,"1.5to3",IF(H73/G73&gt;='Score settings'!$E$15,"0.5to1.5","positive"))),"None"),'Score settings'!$A$14:$C$43,2,FALSE)/'Score settings'!$B$7*'Score settings'!$C$7</x:f>
        <x:v>5</x:v>
      </x:c>
      <x:c r="Y73" s="41" t="n">
        <x:f>VLOOKUP("Waste|"&amp;R73,'Score settings'!$A$14:$C$43,2,FALSE)/'Score settings'!$B$8*'Score settings'!$C$8</x:f>
        <x:v>7</x:v>
      </x:c>
      <x:c r="Z73" s="41" t="n">
        <x:f>IF(B73="","",SUM(U73:Y73))</x:f>
        <x:v>24</x:v>
      </x:c>
      <x:c r="AA73" s="41" t="str">
        <x:f>IF(Z73="","Not scored",VLOOKUP(Z73,'Score settings'!$A$47:$C$50,2,TRUE))</x:f>
        <x:v>Weak</x:v>
      </x:c>
      <x:c r="AB73" s="41" t="n">
        <x:f>VLOOKUP("Priority|"&amp;O73,'Score settings'!$A$14:$C$43,3,FALSE)/'Score settings'!$B$4*'Score settings'!$D$4</x:f>
        <x:v>3</x:v>
      </x:c>
      <x:c r="AC73" s="41" t="n">
        <x:f>VLOOKUP("Category|"&amp;P73,'Score settings'!$A$14:$C$43,3,FALSE)/'Score settings'!$B$5*'Score settings'!$D$5</x:f>
        <x:v>0</x:v>
      </x:c>
      <x:c r="AD73" s="41" t="n">
        <x:f>VLOOKUP("Area|"&amp;Q73,'Score settings'!$A$14:$C$43,3,FALSE)/'Score settings'!$B$6*'Score settings'!$D$6</x:f>
        <x:v>0</x:v>
      </x:c>
      <x:c r="AE73" s="41" t="n">
        <x:f>VLOOKUP("Benefits|"&amp;IF(AND(ISNUMBER(K73),K73&gt;0,ISNUMBER(G73),G73&gt;0),IF(K73/G73&gt;='Score settings'!$E$17,"3plus",IF(K73/G73&gt;='Score settings'!$E$16,"1.5to3",IF(K73/G73&gt;='Score settings'!$E$15,"0.5to1.5","positive"))),"None"),'Score settings'!$A$14:$C$43,3,FALSE)/'Score settings'!$B$7*'Score settings'!$D$7</x:f>
        <x:v>0</x:v>
      </x:c>
      <x:c r="AF73" s="41" t="n">
        <x:f>VLOOKUP("Waste|"&amp;R73,'Score settings'!$A$14:$C$43,3,FALSE)/'Score settings'!$B$8*'Score settings'!$D$8</x:f>
        <x:v>0</x:v>
      </x:c>
      <x:c r="AG73" s="41" t="n">
        <x:f>(IF(AND(ISNUMBER(M73),M73&gt;0,ISNUMBER(G73),G73&gt;0),IF(M73/G73&gt;='Score settings'!$E$17,'Score settings'!$G$17,IF(M73/G73&gt;='Score settings'!$E$16,'Score settings'!$G$16,IF(M73/G73&gt;='Score settings'!$E$15,'Score settings'!$G$15,'Score settings'!$G$14))),0)/15*'Score settings'!$B$60+IFERROR(VLOOKUP(IF(ISNUMBER(N73),N73,IF(ISNUMBER(L73),L73,0)),'Score settings'!$E$22:$F$26,2,FALSE),0)/10*'Score settings'!$B$61)/'Score settings'!$B$9*'Score settings'!$D$9</x:f>
        <x:v>0</x:v>
      </x:c>
      <x:c r="AH73" s="41" t="n">
        <x:f>IF(B73="","",SUM(AB73:AG73))</x:f>
        <x:v>3</x:v>
      </x:c>
      <x:c r="AI73" s="41" t="str">
        <x:f>IF(NOT(ISNUMBER(AH73)),"Not scored",VLOOKUP(AH73,'Score settings'!$A$47:$C$50,3,TRUE))</x:f>
        <x:v>Weak</x:v>
      </x:c>
      <x:c r="AJ73" s="42" t="str">
        <x:f>IF(OR(NOT(ISNUMBER(AH73)),T73&lt;&gt;"Common pot"),"",COUNTIFS($T$4:$T$509,"Common pot",$AH$4:$AH$509,"&gt;"&amp;AH73)+1)</x:f>
      </x:c>
      <x:c r="AK73" s="36" t="str">
        <x:f>IF(B73="","Name missing - not scored",IF(OR(NOT(ISNUMBER(G73)),G73&lt;=0),"Investment missing or zero - review",IF(0=1,"Permanent ID missing - reconcile",IF(AND(ISNUMBER(H73),H73/G73&gt;='Score settings'!$B$58,NOT(ISNUMBER(I73))),"Benefit units need review",IF(OR(R73="EXIT",R73="CHALLENGE"),"Waste decision requires scope resolution",IF("Name and organisation matched"&lt;&gt;"Name and organisation matched","Waste evidence match needs review","Provisional source score - confirm evidence"))))))</x:f>
        <x:v>Investment missing or zero - review</x:v>
      </x:c>
      <x:c r="AL73" s="36"/>
      <x:c r="AM73" s="40"/>
      <x:c r="AN73" s="39"/>
      <x:c r="AO73" s="40"/>
      <x:c r="AP73" s="40"/>
    </x:row>
    <x:row r="74" ht="15" hidden="0" customHeight="1">
      <x:c r="A74" s="36" t="str">
        <x:v>Bu-79</x:v>
      </x:c>
      <x:c r="B74" s="37" t="str">
        <x:v>IR27#14 - ORU KSA APM 'Kafu' </x:v>
      </x:c>
      <x:c r="C74" s="36" t="str">
        <x:v>BU Led</x:v>
      </x:c>
      <x:c r="D74" s="36" t="str">
        <x:v>International Regions (IR)</x:v>
      </x:c>
      <x:c r="E74" s="38" t="n">
        <x:v>0.15</x:v>
      </x:c>
      <x:c r="F74" s="39"/>
      <x:c r="G74" s="38" t="n">
        <x:f>IF(ISNUMBER(F74),F74,IF(E74="","",E74))</x:f>
        <x:v>0.15</x:v>
      </x:c>
      <x:c r="H74" s="38" t="n">
        <x:v>60</x:v>
      </x:c>
      <x:c r="I74" s="39"/>
      <x:c r="J74" s="36" t="str">
        <x:v>Cash savings</x:v>
      </x:c>
      <x:c r="K74" s="38" t="str">
        <x:f>IF(ISNUMBER(I74),I74,IF(OR(NOT(ISNUMBER(H74)),NOT(ISNUMBER(G74)),G74&lt;=0),"",IF(H74/G74&gt;='Score settings'!$B$58,"",IF(J74="Cash savings",H74,IF(J74="Revenue",H74*'Score settings'!$B$55,"")))))</x:f>
      </x:c>
      <x:c r="L74" s="36"/>
      <x:c r="M74" s="39"/>
      <x:c r="N74" s="40"/>
      <x:c r="O74" s="36" t="str">
        <x:v>Must Do</x:v>
      </x:c>
      <x:c r="P74" s="36" t="str">
        <x:v>NewFeat</x:v>
      </x:c>
      <x:c r="Q74" s="36" t="str">
        <x:v>ProcSimp</x:v>
      </x:c>
      <x:c r="R74" s="36" t="str">
        <x:v>HEALTHY</x:v>
      </x:c>
      <x:c r="S74" s="36" t="str"/>
      <x:c r="T74" s="36" t="str">
        <x:v>Region candidate</x:v>
      </x:c>
      <x:c r="U74" s="41" t="n">
        <x:f>VLOOKUP("Priority|"&amp;O74,'Score settings'!$A$14:$C$43,2,FALSE)/'Score settings'!$B$4*'Score settings'!$C$4</x:f>
        <x:v>25</x:v>
      </x:c>
      <x:c r="V74" s="41" t="n">
        <x:f>VLOOKUP("Category|"&amp;P74,'Score settings'!$A$14:$C$43,2,FALSE)/'Score settings'!$B$5*'Score settings'!$C$5</x:f>
        <x:v>6</x:v>
      </x:c>
      <x:c r="W74" s="41" t="n">
        <x:f>VLOOKUP("Area|"&amp;Q74,'Score settings'!$A$14:$C$43,2,FALSE)/'Score settings'!$B$6*'Score settings'!$C$6</x:f>
        <x:v>12</x:v>
      </x:c>
      <x:c r="X74" s="41" t="n">
        <x:f>VLOOKUP("Benefits|"&amp;IF(AND(ISNUMBER(H74),H74&gt;0,ISNUMBER(G74),G74&gt;0),IF(H74/G74&gt;='Score settings'!$E$17,"3plus",IF(H74/G74&gt;='Score settings'!$E$16,"1.5to3",IF(H74/G74&gt;='Score settings'!$E$15,"0.5to1.5","positive"))),"None"),'Score settings'!$A$14:$C$43,2,FALSE)/'Score settings'!$B$7*'Score settings'!$C$7</x:f>
        <x:v>25</x:v>
      </x:c>
      <x:c r="Y74" s="41" t="n">
        <x:f>VLOOKUP("Waste|"&amp;R74,'Score settings'!$A$14:$C$43,2,FALSE)/'Score settings'!$B$8*'Score settings'!$C$8</x:f>
        <x:v>15</x:v>
      </x:c>
      <x:c r="Z74" s="41" t="n">
        <x:f>IF(B74="","",SUM(U74:Y74))</x:f>
        <x:v>83</x:v>
      </x:c>
      <x:c r="AA74" s="41" t="str">
        <x:f>IF(Z74="","Not scored",VLOOKUP(Z74,'Score settings'!$A$47:$C$50,2,TRUE))</x:f>
        <x:v>Protected</x:v>
      </x:c>
      <x:c r="AB74" s="41" t="n">
        <x:f>VLOOKUP("Priority|"&amp;O74,'Score settings'!$A$14:$C$43,3,FALSE)/'Score settings'!$B$4*'Score settings'!$D$4</x:f>
        <x:v>15</x:v>
      </x:c>
      <x:c r="AC74" s="41" t="n">
        <x:f>VLOOKUP("Category|"&amp;P74,'Score settings'!$A$14:$C$43,3,FALSE)/'Score settings'!$B$5*'Score settings'!$D$5</x:f>
        <x:v>3</x:v>
      </x:c>
      <x:c r="AD74" s="41" t="n">
        <x:f>VLOOKUP("Area|"&amp;Q74,'Score settings'!$A$14:$C$43,3,FALSE)/'Score settings'!$B$6*'Score settings'!$D$6</x:f>
        <x:v>8</x:v>
      </x:c>
      <x:c r="AE74" s="41" t="n">
        <x:f>VLOOKUP("Benefits|"&amp;IF(AND(ISNUMBER(K74),K74&gt;0,ISNUMBER(G74),G74&gt;0),IF(K74/G74&gt;='Score settings'!$E$17,"3plus",IF(K74/G74&gt;='Score settings'!$E$16,"1.5to3",IF(K74/G74&gt;='Score settings'!$E$15,"0.5to1.5","positive"))),"None"),'Score settings'!$A$14:$C$43,3,FALSE)/'Score settings'!$B$7*'Score settings'!$D$7</x:f>
        <x:v>0</x:v>
      </x:c>
      <x:c r="AF74" s="41" t="n">
        <x:f>VLOOKUP("Waste|"&amp;R74,'Score settings'!$A$14:$C$43,3,FALSE)/'Score settings'!$B$8*'Score settings'!$D$8</x:f>
        <x:v>10</x:v>
      </x:c>
      <x:c r="AG74" s="41" t="n">
        <x:f>(IF(AND(ISNUMBER(M74),M74&gt;0,ISNUMBER(G74),G74&gt;0),IF(M74/G74&gt;='Score settings'!$E$17,'Score settings'!$G$17,IF(M74/G74&gt;='Score settings'!$E$16,'Score settings'!$G$16,IF(M74/G74&gt;='Score settings'!$E$15,'Score settings'!$G$15,'Score settings'!$G$14))),0)/15*'Score settings'!$B$60+IFERROR(VLOOKUP(IF(ISNUMBER(N74),N74,IF(ISNUMBER(L74),L74,0)),'Score settings'!$E$22:$F$26,2,FALSE),0)/10*'Score settings'!$B$61)/'Score settings'!$B$9*'Score settings'!$D$9</x:f>
        <x:v>0</x:v>
      </x:c>
      <x:c r="AH74" s="41" t="n">
        <x:f>IF(B74="","",SUM(AB74:AG74))</x:f>
        <x:v>36</x:v>
      </x:c>
      <x:c r="AI74" s="41" t="str">
        <x:f>IF(NOT(ISNUMBER(AH74)),"Not scored",VLOOKUP(AH74,'Score settings'!$A$47:$C$50,3,TRUE))</x:f>
        <x:v>Discretionary</x:v>
      </x:c>
      <x:c r="AJ74" s="42" t="str">
        <x:f>IF(OR(NOT(ISNUMBER(AH74)),T74&lt;&gt;"Common pot"),"",COUNTIFS($T$4:$T$509,"Common pot",$AH$4:$AH$509,"&gt;"&amp;AH74)+1)</x:f>
      </x:c>
      <x:c r="AK74" s="36" t="str">
        <x:f>IF(B74="","Name missing - not scored",IF(OR(NOT(ISNUMBER(G74)),G74&lt;=0),"Investment missing or zero - review",IF(0=1,"Permanent ID missing - reconcile",IF(AND(ISNUMBER(H74),H74/G74&gt;='Score settings'!$B$58,NOT(ISNUMBER(I74))),"Benefit units need review",IF(OR(R74="EXIT",R74="CHALLENGE"),"Waste decision requires scope resolution",IF("Name and organisation matched"&lt;&gt;"Name and organisation matched","Waste evidence match needs review","Provisional source score - confirm evidence"))))))</x:f>
        <x:v>Benefit units need review</x:v>
      </x:c>
      <x:c r="AL74" s="36"/>
      <x:c r="AM74" s="40"/>
      <x:c r="AN74" s="39"/>
      <x:c r="AO74" s="40"/>
      <x:c r="AP74" s="40"/>
    </x:row>
    <x:row r="75" ht="24" hidden="0" customHeight="1">
      <x:c r="A75" s="36" t="str">
        <x:v>Bu-80</x:v>
      </x:c>
      <x:c r="B75" s="37" t="str">
        <x:v>IR27#15 - ORU extension requirement (too early to submit/judge, ballpark 500K, Exco discussion proceeding)</x:v>
      </x:c>
      <x:c r="C75" s="36" t="str">
        <x:v>BU Led</x:v>
      </x:c>
      <x:c r="D75" s="36" t="str">
        <x:v>International Regions (IR)</x:v>
      </x:c>
      <x:c r="E75" s="38" t="n">
        <x:v>0</x:v>
      </x:c>
      <x:c r="F75" s="39"/>
      <x:c r="G75" s="38" t="str">
        <x:f>IF(ISNUMBER(F75),F75,IF(E75="","",E75))</x:f>
      </x:c>
      <x:c r="H75" s="38"/>
      <x:c r="I75" s="39"/>
      <x:c r="J75" s="36" t="str">
        <x:v>Cash savings</x:v>
      </x:c>
      <x:c r="K75" s="38" t="str">
        <x:f>IF(ISNUMBER(I75),I75,IF(OR(NOT(ISNUMBER(H75)),NOT(ISNUMBER(G75)),G75&lt;=0),"",IF(H75/G75&gt;='Score settings'!$B$58,"",IF(J75="Cash savings",H75,IF(J75="Revenue",H75*'Score settings'!$B$55,"")))))</x:f>
      </x:c>
      <x:c r="L75" s="36"/>
      <x:c r="M75" s="39"/>
      <x:c r="N75" s="40"/>
      <x:c r="O75" s="36" t="str">
        <x:v>Depri</x:v>
      </x:c>
      <x:c r="P75" s="36" t="str">
        <x:v>NewFeat</x:v>
      </x:c>
      <x:c r="Q75" s="36" t="str">
        <x:v>ProcSimp</x:v>
      </x:c>
      <x:c r="R75" s="36" t="str">
        <x:v>HEALTHY</x:v>
      </x:c>
      <x:c r="S75" s="36" t="str"/>
      <x:c r="T75" s="36" t="str">
        <x:v>Region candidate</x:v>
      </x:c>
      <x:c r="U75" s="41" t="n">
        <x:f>VLOOKUP("Priority|"&amp;O75,'Score settings'!$A$14:$C$43,2,FALSE)/'Score settings'!$B$4*'Score settings'!$C$4</x:f>
        <x:v>5</x:v>
      </x:c>
      <x:c r="V75" s="41" t="n">
        <x:f>VLOOKUP("Category|"&amp;P75,'Score settings'!$A$14:$C$43,2,FALSE)/'Score settings'!$B$5*'Score settings'!$C$5</x:f>
        <x:v>6</x:v>
      </x:c>
      <x:c r="W75" s="41" t="n">
        <x:f>VLOOKUP("Area|"&amp;Q75,'Score settings'!$A$14:$C$43,2,FALSE)/'Score settings'!$B$6*'Score settings'!$C$6</x:f>
        <x:v>12</x:v>
      </x:c>
      <x:c r="X75" s="41" t="n">
        <x:f>VLOOKUP("Benefits|"&amp;IF(AND(ISNUMBER(H75),H75&gt;0,ISNUMBER(G75),G75&gt;0),IF(H75/G75&gt;='Score settings'!$E$17,"3plus",IF(H75/G75&gt;='Score settings'!$E$16,"1.5to3",IF(H75/G75&gt;='Score settings'!$E$15,"0.5to1.5","positive"))),"None"),'Score settings'!$A$14:$C$43,2,FALSE)/'Score settings'!$B$7*'Score settings'!$C$7</x:f>
        <x:v>5</x:v>
      </x:c>
      <x:c r="Y75" s="41" t="n">
        <x:f>VLOOKUP("Waste|"&amp;R75,'Score settings'!$A$14:$C$43,2,FALSE)/'Score settings'!$B$8*'Score settings'!$C$8</x:f>
        <x:v>15</x:v>
      </x:c>
      <x:c r="Z75" s="41" t="n">
        <x:f>IF(B75="","",SUM(U75:Y75))</x:f>
        <x:v>43</x:v>
      </x:c>
      <x:c r="AA75" s="41" t="str">
        <x:f>IF(Z75="","Not scored",VLOOKUP(Z75,'Score settings'!$A$47:$C$50,2,TRUE))</x:f>
        <x:v>Discretionary</x:v>
      </x:c>
      <x:c r="AB75" s="41" t="n">
        <x:f>VLOOKUP("Priority|"&amp;O75,'Score settings'!$A$14:$C$43,3,FALSE)/'Score settings'!$B$4*'Score settings'!$D$4</x:f>
        <x:v>3</x:v>
      </x:c>
      <x:c r="AC75" s="41" t="n">
        <x:f>VLOOKUP("Category|"&amp;P75,'Score settings'!$A$14:$C$43,3,FALSE)/'Score settings'!$B$5*'Score settings'!$D$5</x:f>
        <x:v>3</x:v>
      </x:c>
      <x:c r="AD75" s="41" t="n">
        <x:f>VLOOKUP("Area|"&amp;Q75,'Score settings'!$A$14:$C$43,3,FALSE)/'Score settings'!$B$6*'Score settings'!$D$6</x:f>
        <x:v>8</x:v>
      </x:c>
      <x:c r="AE75" s="41" t="n">
        <x:f>VLOOKUP("Benefits|"&amp;IF(AND(ISNUMBER(K75),K75&gt;0,ISNUMBER(G75),G75&gt;0),IF(K75/G75&gt;='Score settings'!$E$17,"3plus",IF(K75/G75&gt;='Score settings'!$E$16,"1.5to3",IF(K75/G75&gt;='Score settings'!$E$15,"0.5to1.5","positive"))),"None"),'Score settings'!$A$14:$C$43,3,FALSE)/'Score settings'!$B$7*'Score settings'!$D$7</x:f>
        <x:v>0</x:v>
      </x:c>
      <x:c r="AF75" s="41" t="n">
        <x:f>VLOOKUP("Waste|"&amp;R75,'Score settings'!$A$14:$C$43,3,FALSE)/'Score settings'!$B$8*'Score settings'!$D$8</x:f>
        <x:v>10</x:v>
      </x:c>
      <x:c r="AG75" s="41" t="n">
        <x:f>(IF(AND(ISNUMBER(M75),M75&gt;0,ISNUMBER(G75),G75&gt;0),IF(M75/G75&gt;='Score settings'!$E$17,'Score settings'!$G$17,IF(M75/G75&gt;='Score settings'!$E$16,'Score settings'!$G$16,IF(M75/G75&gt;='Score settings'!$E$15,'Score settings'!$G$15,'Score settings'!$G$14))),0)/15*'Score settings'!$B$60+IFERROR(VLOOKUP(IF(ISNUMBER(N75),N75,IF(ISNUMBER(L75),L75,0)),'Score settings'!$E$22:$F$26,2,FALSE),0)/10*'Score settings'!$B$61)/'Score settings'!$B$9*'Score settings'!$D$9</x:f>
        <x:v>0</x:v>
      </x:c>
      <x:c r="AH75" s="41" t="n">
        <x:f>IF(B75="","",SUM(AB75:AG75))</x:f>
        <x:v>24</x:v>
      </x:c>
      <x:c r="AI75" s="41" t="str">
        <x:f>IF(NOT(ISNUMBER(AH75)),"Not scored",VLOOKUP(AH75,'Score settings'!$A$47:$C$50,3,TRUE))</x:f>
        <x:v>Weak</x:v>
      </x:c>
      <x:c r="AJ75" s="42" t="str">
        <x:f>IF(OR(NOT(ISNUMBER(AH75)),T75&lt;&gt;"Common pot"),"",COUNTIFS($T$4:$T$509,"Common pot",$AH$4:$AH$509,"&gt;"&amp;AH75)+1)</x:f>
      </x:c>
      <x:c r="AK75" s="36" t="str">
        <x:f>IF(B75="","Name missing - not scored",IF(OR(NOT(ISNUMBER(G75)),G75&lt;=0),"Investment missing or zero - review",IF(0=1,"Permanent ID missing - reconcile",IF(AND(ISNUMBER(H75),H75/G75&gt;='Score settings'!$B$58,NOT(ISNUMBER(I75))),"Benefit units need review",IF(OR(R75="EXIT",R75="CHALLENGE"),"Waste decision requires scope resolution",IF("Name and organisation matched"&lt;&gt;"Name and organisation matched","Waste evidence match needs review","Provisional source score - confirm evidence"))))))</x:f>
        <x:v>Investment missing or zero - review</x:v>
      </x:c>
      <x:c r="AL75" s="36"/>
      <x:c r="AM75" s="40"/>
      <x:c r="AN75" s="39"/>
      <x:c r="AO75" s="40"/>
      <x:c r="AP75" s="40"/>
    </x:row>
    <x:row r="76" ht="15" hidden="0" customHeight="1">
      <x:c r="A76" s="36" t="str">
        <x:v>Bu-81</x:v>
      </x:c>
      <x:c r="B76" s="37" t="str">
        <x:v>Data Analytics &amp; IB Fix2Perform</x:v>
      </x:c>
      <x:c r="C76" s="36" t="str">
        <x:v>BU Led</x:v>
      </x:c>
      <x:c r="D76" s="36" t="str">
        <x:v>Image Guided Therapy - Systems (IGT-S)</x:v>
      </x:c>
      <x:c r="E76" s="38" t="n">
        <x:v>0.85</x:v>
      </x:c>
      <x:c r="F76" s="39"/>
      <x:c r="G76" s="38" t="n">
        <x:f>IF(ISNUMBER(F76),F76,IF(E76="","",E76))</x:f>
        <x:v>0.85</x:v>
      </x:c>
      <x:c r="H76" s="38" t="n">
        <x:v>10.3</x:v>
      </x:c>
      <x:c r="I76" s="39"/>
      <x:c r="J76" s="36" t="str">
        <x:v>Risk exposure</x:v>
      </x:c>
      <x:c r="K76" s="38" t="str">
        <x:f>IF(ISNUMBER(I76),I76,IF(OR(NOT(ISNUMBER(H76)),NOT(ISNUMBER(G76)),G76&lt;=0),"",IF(H76/G76&gt;='Score settings'!$B$58,"",IF(J76="Cash savings",H76,IF(J76="Revenue",H76*'Score settings'!$B$55,"")))))</x:f>
      </x:c>
      <x:c r="L76" s="36" t="n">
        <x:v>3</x:v>
      </x:c>
      <x:c r="M76" s="39"/>
      <x:c r="N76" s="40"/>
      <x:c r="O76" s="36" t="str">
        <x:v>Must Do</x:v>
      </x:c>
      <x:c r="P76" s="36" t="str">
        <x:v>NewFeat</x:v>
      </x:c>
      <x:c r="Q76" s="36" t="str">
        <x:v>Compliance</x:v>
      </x:c>
      <x:c r="R76" s="36" t="str">
        <x:v>HEALTHY</x:v>
      </x:c>
      <x:c r="S76" s="36" t="str">
        <x:v>NO</x:v>
      </x:c>
      <x:c r="T76" s="36" t="str">
        <x:v>Common pot</x:v>
      </x:c>
      <x:c r="U76" s="41" t="n">
        <x:f>VLOOKUP("Priority|"&amp;O76,'Score settings'!$A$14:$C$43,2,FALSE)/'Score settings'!$B$4*'Score settings'!$C$4</x:f>
        <x:v>25</x:v>
      </x:c>
      <x:c r="V76" s="41" t="n">
        <x:f>VLOOKUP("Category|"&amp;P76,'Score settings'!$A$14:$C$43,2,FALSE)/'Score settings'!$B$5*'Score settings'!$C$5</x:f>
        <x:v>6</x:v>
      </x:c>
      <x:c r="W76" s="41" t="n">
        <x:f>VLOOKUP("Area|"&amp;Q76,'Score settings'!$A$14:$C$43,2,FALSE)/'Score settings'!$B$6*'Score settings'!$C$6</x:f>
        <x:v>15</x:v>
      </x:c>
      <x:c r="X76" s="41" t="n">
        <x:f>VLOOKUP("Benefits|"&amp;IF(AND(ISNUMBER(H76),H76&gt;0,ISNUMBER(G76),G76&gt;0),IF(H76/G76&gt;='Score settings'!$E$17,"3plus",IF(H76/G76&gt;='Score settings'!$E$16,"1.5to3",IF(H76/G76&gt;='Score settings'!$E$15,"0.5to1.5","positive"))),"None"),'Score settings'!$A$14:$C$43,2,FALSE)/'Score settings'!$B$7*'Score settings'!$C$7</x:f>
        <x:v>25</x:v>
      </x:c>
      <x:c r="Y76" s="41" t="n">
        <x:f>VLOOKUP("Waste|"&amp;R76,'Score settings'!$A$14:$C$43,2,FALSE)/'Score settings'!$B$8*'Score settings'!$C$8</x:f>
        <x:v>15</x:v>
      </x:c>
      <x:c r="Z76" s="41" t="n">
        <x:f>IF(B76="","",SUM(U76:Y76))</x:f>
        <x:v>86</x:v>
      </x:c>
      <x:c r="AA76" s="41" t="str">
        <x:f>IF(Z76="","Not scored",VLOOKUP(Z76,'Score settings'!$A$47:$C$50,2,TRUE))</x:f>
        <x:v>Protected</x:v>
      </x:c>
      <x:c r="AB76" s="41" t="n">
        <x:f>VLOOKUP("Priority|"&amp;O76,'Score settings'!$A$14:$C$43,3,FALSE)/'Score settings'!$B$4*'Score settings'!$D$4</x:f>
        <x:v>15</x:v>
      </x:c>
      <x:c r="AC76" s="41" t="n">
        <x:f>VLOOKUP("Category|"&amp;P76,'Score settings'!$A$14:$C$43,3,FALSE)/'Score settings'!$B$5*'Score settings'!$D$5</x:f>
        <x:v>3</x:v>
      </x:c>
      <x:c r="AD76" s="41" t="n">
        <x:f>VLOOKUP("Area|"&amp;Q76,'Score settings'!$A$14:$C$43,3,FALSE)/'Score settings'!$B$6*'Score settings'!$D$6</x:f>
        <x:v>10</x:v>
      </x:c>
      <x:c r="AE76" s="41" t="n">
        <x:f>VLOOKUP("Benefits|"&amp;IF(AND(ISNUMBER(K76),K76&gt;0,ISNUMBER(G76),G76&gt;0),IF(K76/G76&gt;='Score settings'!$E$17,"3plus",IF(K76/G76&gt;='Score settings'!$E$16,"1.5to3",IF(K76/G76&gt;='Score settings'!$E$15,"0.5to1.5","positive"))),"None"),'Score settings'!$A$14:$C$43,3,FALSE)/'Score settings'!$B$7*'Score settings'!$D$7</x:f>
        <x:v>0</x:v>
      </x:c>
      <x:c r="AF76" s="41" t="n">
        <x:f>VLOOKUP("Waste|"&amp;R76,'Score settings'!$A$14:$C$43,3,FALSE)/'Score settings'!$B$8*'Score settings'!$D$8</x:f>
        <x:v>10</x:v>
      </x:c>
      <x:c r="AG76" s="41" t="n">
        <x:f>(IF(AND(ISNUMBER(M76),M76&gt;0,ISNUMBER(G76),G76&gt;0),IF(M76/G76&gt;='Score settings'!$E$17,'Score settings'!$G$17,IF(M76/G76&gt;='Score settings'!$E$16,'Score settings'!$G$16,IF(M76/G76&gt;='Score settings'!$E$15,'Score settings'!$G$15,'Score settings'!$G$14))),0)/15*'Score settings'!$B$60+IFERROR(VLOOKUP(IF(ISNUMBER(N76),N76,IF(ISNUMBER(L76),L76,0)),'Score settings'!$E$22:$F$26,2,FALSE),0)/10*'Score settings'!$B$61)/'Score settings'!$B$9*'Score settings'!$D$9</x:f>
        <x:v>6</x:v>
      </x:c>
      <x:c r="AH76" s="41" t="n">
        <x:f>IF(B76="","",SUM(AB76:AG76))</x:f>
        <x:v>44</x:v>
      </x:c>
      <x:c r="AI76" s="41" t="str">
        <x:f>IF(NOT(ISNUMBER(AH76)),"Not scored",VLOOKUP(AH76,'Score settings'!$A$47:$C$50,3,TRUE))</x:f>
        <x:v>Discretionary</x:v>
      </x:c>
      <x:c r="AJ76" s="42" t="n">
        <x:f>IF(OR(NOT(ISNUMBER(AH76)),T76&lt;&gt;"Common pot"),"",COUNTIFS($T$4:$T$509,"Common pot",$AH$4:$AH$509,"&gt;"&amp;AH76)+1)</x:f>
        <x:v>72</x:v>
      </x:c>
      <x:c r="AK76" s="36" t="str">
        <x:f>IF(B76="","Name missing - not scored",IF(OR(NOT(ISNUMBER(G76)),G76&lt;=0),"Investment missing or zero - review",IF(0=1,"Permanent ID missing - reconcile",IF(AND(ISNUMBER(H76),H76/G76&gt;='Score settings'!$B$58,NOT(ISNUMBER(I76))),"Benefit units need review",IF(OR(R76="EXIT",R76="CHALLENGE"),"Waste decision requires scope resolution",IF("Name and organisation matched"&lt;&gt;"Name and organisation matched","Waste evidence match needs review","Provisional source score - confirm evidence"))))))</x:f>
        <x:v>Provisional source score - confirm evidence</x:v>
      </x:c>
      <x:c r="AL76" s="36" t="n">
        <x:v>12</x:v>
      </x:c>
      <x:c r="AM76" s="40"/>
      <x:c r="AN76" s="39"/>
      <x:c r="AO76" s="40"/>
      <x:c r="AP76" s="40"/>
    </x:row>
    <x:row r="77" ht="15" hidden="0" customHeight="1">
      <x:c r="A77" s="36" t="str">
        <x:v>Bu-82</x:v>
      </x:c>
      <x:c r="B77" s="37" t="str">
        <x:v>IGTS AI 2027</x:v>
      </x:c>
      <x:c r="C77" s="36" t="str">
        <x:v>BU Led</x:v>
      </x:c>
      <x:c r="D77" s="36" t="str">
        <x:v>Image Guided Therapy - Systems (IGT-S)</x:v>
      </x:c>
      <x:c r="E77" s="38" t="n">
        <x:v>2.468</x:v>
      </x:c>
      <x:c r="F77" s="39"/>
      <x:c r="G77" s="38" t="n">
        <x:f>IF(ISNUMBER(F77),F77,IF(E77="","",E77))</x:f>
        <x:v>2.468</x:v>
      </x:c>
      <x:c r="H77" s="38" t="n">
        <x:v>42</x:v>
      </x:c>
      <x:c r="I77" s="39"/>
      <x:c r="J77" s="36" t="str">
        <x:v>Cash savings</x:v>
      </x:c>
      <x:c r="K77" s="38" t="n">
        <x:f>IF(ISNUMBER(I77),I77,IF(OR(NOT(ISNUMBER(H77)),NOT(ISNUMBER(G77)),G77&lt;=0),"",IF(H77/G77&gt;='Score settings'!$B$58,"",IF(J77="Cash savings",H77,IF(J77="Revenue",H77*'Score settings'!$B$55,"")))))</x:f>
        <x:v>42</x:v>
      </x:c>
      <x:c r="L77" s="36"/>
      <x:c r="M77" s="39"/>
      <x:c r="N77" s="40"/>
      <x:c r="O77" s="36" t="str">
        <x:v>Must Do</x:v>
      </x:c>
      <x:c r="P77" s="36" t="str">
        <x:v>NewFeat</x:v>
      </x:c>
      <x:c r="Q77" s="36" t="str">
        <x:v>Productivity</x:v>
      </x:c>
      <x:c r="R77" s="36" t="str">
        <x:v>HEALTHY</x:v>
      </x:c>
      <x:c r="S77" s="36" t="str"/>
      <x:c r="T77" s="36" t="str">
        <x:v>Common pot</x:v>
      </x:c>
      <x:c r="U77" s="41" t="n">
        <x:f>VLOOKUP("Priority|"&amp;O77,'Score settings'!$A$14:$C$43,2,FALSE)/'Score settings'!$B$4*'Score settings'!$C$4</x:f>
        <x:v>25</x:v>
      </x:c>
      <x:c r="V77" s="41" t="n">
        <x:f>VLOOKUP("Category|"&amp;P77,'Score settings'!$A$14:$C$43,2,FALSE)/'Score settings'!$B$5*'Score settings'!$C$5</x:f>
        <x:v>6</x:v>
      </x:c>
      <x:c r="W77" s="41" t="n">
        <x:f>VLOOKUP("Area|"&amp;Q77,'Score settings'!$A$14:$C$43,2,FALSE)/'Score settings'!$B$6*'Score settings'!$C$6</x:f>
        <x:v>10</x:v>
      </x:c>
      <x:c r="X77" s="41" t="n">
        <x:f>VLOOKUP("Benefits|"&amp;IF(AND(ISNUMBER(H77),H77&gt;0,ISNUMBER(G77),G77&gt;0),IF(H77/G77&gt;='Score settings'!$E$17,"3plus",IF(H77/G77&gt;='Score settings'!$E$16,"1.5to3",IF(H77/G77&gt;='Score settings'!$E$15,"0.5to1.5","positive"))),"None"),'Score settings'!$A$14:$C$43,2,FALSE)/'Score settings'!$B$7*'Score settings'!$C$7</x:f>
        <x:v>25</x:v>
      </x:c>
      <x:c r="Y77" s="41" t="n">
        <x:f>VLOOKUP("Waste|"&amp;R77,'Score settings'!$A$14:$C$43,2,FALSE)/'Score settings'!$B$8*'Score settings'!$C$8</x:f>
        <x:v>15</x:v>
      </x:c>
      <x:c r="Z77" s="41" t="n">
        <x:f>IF(B77="","",SUM(U77:Y77))</x:f>
        <x:v>81</x:v>
      </x:c>
      <x:c r="AA77" s="41" t="str">
        <x:f>IF(Z77="","Not scored",VLOOKUP(Z77,'Score settings'!$A$47:$C$50,2,TRUE))</x:f>
        <x:v>Protected</x:v>
      </x:c>
      <x:c r="AB77" s="41" t="n">
        <x:f>VLOOKUP("Priority|"&amp;O77,'Score settings'!$A$14:$C$43,3,FALSE)/'Score settings'!$B$4*'Score settings'!$D$4</x:f>
        <x:v>15</x:v>
      </x:c>
      <x:c r="AC77" s="41" t="n">
        <x:f>VLOOKUP("Category|"&amp;P77,'Score settings'!$A$14:$C$43,3,FALSE)/'Score settings'!$B$5*'Score settings'!$D$5</x:f>
        <x:v>3</x:v>
      </x:c>
      <x:c r="AD77" s="41" t="n">
        <x:f>VLOOKUP("Area|"&amp;Q77,'Score settings'!$A$14:$C$43,3,FALSE)/'Score settings'!$B$6*'Score settings'!$D$6</x:f>
        <x:v>6.666666666666666</x:v>
      </x:c>
      <x:c r="AE77" s="41" t="n">
        <x:f>VLOOKUP("Benefits|"&amp;IF(AND(ISNUMBER(K77),K77&gt;0,ISNUMBER(G77),G77&gt;0),IF(K77/G77&gt;='Score settings'!$E$17,"3plus",IF(K77/G77&gt;='Score settings'!$E$16,"1.5to3",IF(K77/G77&gt;='Score settings'!$E$15,"0.5to1.5","positive"))),"None"),'Score settings'!$A$14:$C$43,3,FALSE)/'Score settings'!$B$7*'Score settings'!$D$7</x:f>
        <x:v>30</x:v>
      </x:c>
      <x:c r="AF77" s="41" t="n">
        <x:f>VLOOKUP("Waste|"&amp;R77,'Score settings'!$A$14:$C$43,3,FALSE)/'Score settings'!$B$8*'Score settings'!$D$8</x:f>
        <x:v>10</x:v>
      </x:c>
      <x:c r="AG77" s="41" t="n">
        <x:f>(IF(AND(ISNUMBER(M77),M77&gt;0,ISNUMBER(G77),G77&gt;0),IF(M77/G77&gt;='Score settings'!$E$17,'Score settings'!$G$17,IF(M77/G77&gt;='Score settings'!$E$16,'Score settings'!$G$16,IF(M77/G77&gt;='Score settings'!$E$15,'Score settings'!$G$15,'Score settings'!$G$14))),0)/15*'Score settings'!$B$60+IFERROR(VLOOKUP(IF(ISNUMBER(N77),N77,IF(ISNUMBER(L77),L77,0)),'Score settings'!$E$22:$F$26,2,FALSE),0)/10*'Score settings'!$B$61)/'Score settings'!$B$9*'Score settings'!$D$9</x:f>
        <x:v>0</x:v>
      </x:c>
      <x:c r="AH77" s="41" t="n">
        <x:f>IF(B77="","",SUM(AB77:AG77))</x:f>
        <x:v>64.66666666666666</x:v>
      </x:c>
      <x:c r="AI77" s="41" t="str">
        <x:f>IF(NOT(ISNUMBER(AH77)),"Not scored",VLOOKUP(AH77,'Score settings'!$A$47:$C$50,3,TRUE))</x:f>
        <x:v>Strong</x:v>
      </x:c>
      <x:c r="AJ77" s="42" t="n">
        <x:f>IF(OR(NOT(ISNUMBER(AH77)),T77&lt;&gt;"Common pot"),"",COUNTIFS($T$4:$T$509,"Common pot",$AH$4:$AH$509,"&gt;"&amp;AH77)+1)</x:f>
        <x:v>10</x:v>
      </x:c>
      <x:c r="AK77" s="36" t="str">
        <x:f>IF(B77="","Name missing - not scored",IF(OR(NOT(ISNUMBER(G77)),G77&lt;=0),"Investment missing or zero - review",IF(0=1,"Permanent ID missing - reconcile",IF(AND(ISNUMBER(H77),H77/G77&gt;='Score settings'!$B$58,NOT(ISNUMBER(I77))),"Benefit units need review",IF(OR(R77="EXIT",R77="CHALLENGE"),"Waste decision requires scope resolution",IF("Name and organisation matched"&lt;&gt;"Name and organisation matched","Waste evidence match needs review","Provisional source score - confirm evidence"))))))</x:f>
        <x:v>Provisional source score - confirm evidence</x:v>
      </x:c>
      <x:c r="AL77" s="36"/>
      <x:c r="AM77" s="40"/>
      <x:c r="AN77" s="39"/>
      <x:c r="AO77" s="40"/>
      <x:c r="AP77" s="40"/>
    </x:row>
    <x:row r="78" ht="15" hidden="0" customHeight="1">
      <x:c r="A78" s="36" t="str">
        <x:v>Bu-83</x:v>
      </x:c>
      <x:c r="B78" s="37" t="str">
        <x:v>M&amp;A PMI Matrix</x:v>
      </x:c>
      <x:c r="C78" s="36" t="str">
        <x:v>BU Led</x:v>
      </x:c>
      <x:c r="D78" s="36" t="str">
        <x:v>Group Innovation &amp; Strategy ​</x:v>
      </x:c>
      <x:c r="E78" s="38" t="n">
        <x:v>0.01</x:v>
      </x:c>
      <x:c r="F78" s="39"/>
      <x:c r="G78" s="38" t="n">
        <x:f>IF(ISNUMBER(F78),F78,IF(E78="","",E78))</x:f>
        <x:v>0.01</x:v>
      </x:c>
      <x:c r="H78" s="38"/>
      <x:c r="I78" s="39"/>
      <x:c r="J78" s="36" t="str">
        <x:v>Cash savings</x:v>
      </x:c>
      <x:c r="K78" s="38" t="str">
        <x:f>IF(ISNUMBER(I78),I78,IF(OR(NOT(ISNUMBER(H78)),NOT(ISNUMBER(G78)),G78&lt;=0),"",IF(H78/G78&gt;='Score settings'!$B$58,"",IF(J78="Cash savings",H78,IF(J78="Revenue",H78*'Score settings'!$B$55,"")))))</x:f>
      </x:c>
      <x:c r="L78" s="36"/>
      <x:c r="M78" s="39"/>
      <x:c r="N78" s="40"/>
      <x:c r="O78" s="36" t="str">
        <x:v>Must Do</x:v>
      </x:c>
      <x:c r="P78" s="36" t="str">
        <x:v>Blank</x:v>
      </x:c>
      <x:c r="Q78" s="36" t="str">
        <x:v>ProcSimp</x:v>
      </x:c>
      <x:c r="R78" s="36" t="str">
        <x:v>NotAssessed</x:v>
      </x:c>
      <x:c r="S78" s="36" t="str"/>
      <x:c r="T78" s="36" t="str">
        <x:v>Common pot</x:v>
      </x:c>
      <x:c r="U78" s="41" t="n">
        <x:f>VLOOKUP("Priority|"&amp;O78,'Score settings'!$A$14:$C$43,2,FALSE)/'Score settings'!$B$4*'Score settings'!$C$4</x:f>
        <x:v>25</x:v>
      </x:c>
      <x:c r="V78" s="41" t="n">
        <x:f>VLOOKUP("Category|"&amp;P78,'Score settings'!$A$14:$C$43,2,FALSE)/'Score settings'!$B$5*'Score settings'!$C$5</x:f>
        <x:v>4</x:v>
      </x:c>
      <x:c r="W78" s="41" t="n">
        <x:f>VLOOKUP("Area|"&amp;Q78,'Score settings'!$A$14:$C$43,2,FALSE)/'Score settings'!$B$6*'Score settings'!$C$6</x:f>
        <x:v>12</x:v>
      </x:c>
      <x:c r="X78" s="41" t="n">
        <x:f>VLOOKUP("Benefits|"&amp;IF(AND(ISNUMBER(H78),H78&gt;0,ISNUMBER(G78),G78&gt;0),IF(H78/G78&gt;='Score settings'!$E$17,"3plus",IF(H78/G78&gt;='Score settings'!$E$16,"1.5to3",IF(H78/G78&gt;='Score settings'!$E$15,"0.5to1.5","positive"))),"None"),'Score settings'!$A$14:$C$43,2,FALSE)/'Score settings'!$B$7*'Score settings'!$C$7</x:f>
        <x:v>5</x:v>
      </x:c>
      <x:c r="Y78" s="41" t="n">
        <x:f>VLOOKUP("Waste|"&amp;R78,'Score settings'!$A$14:$C$43,2,FALSE)/'Score settings'!$B$8*'Score settings'!$C$8</x:f>
        <x:v>7</x:v>
      </x:c>
      <x:c r="Z78" s="41" t="n">
        <x:f>IF(B78="","",SUM(U78:Y78))</x:f>
        <x:v>53</x:v>
      </x:c>
      <x:c r="AA78" s="41" t="str">
        <x:f>IF(Z78="","Not scored",VLOOKUP(Z78,'Score settings'!$A$47:$C$50,2,TRUE))</x:f>
        <x:v>Strong</x:v>
      </x:c>
      <x:c r="AB78" s="41" t="n">
        <x:f>VLOOKUP("Priority|"&amp;O78,'Score settings'!$A$14:$C$43,3,FALSE)/'Score settings'!$B$4*'Score settings'!$D$4</x:f>
        <x:v>15</x:v>
      </x:c>
      <x:c r="AC78" s="41" t="n">
        <x:f>VLOOKUP("Category|"&amp;P78,'Score settings'!$A$14:$C$43,3,FALSE)/'Score settings'!$B$5*'Score settings'!$D$5</x:f>
        <x:v>0</x:v>
      </x:c>
      <x:c r="AD78" s="41" t="n">
        <x:f>VLOOKUP("Area|"&amp;Q78,'Score settings'!$A$14:$C$43,3,FALSE)/'Score settings'!$B$6*'Score settings'!$D$6</x:f>
        <x:v>8</x:v>
      </x:c>
      <x:c r="AE78" s="41" t="n">
        <x:f>VLOOKUP("Benefits|"&amp;IF(AND(ISNUMBER(K78),K78&gt;0,ISNUMBER(G78),G78&gt;0),IF(K78/G78&gt;='Score settings'!$E$17,"3plus",IF(K78/G78&gt;='Score settings'!$E$16,"1.5to3",IF(K78/G78&gt;='Score settings'!$E$15,"0.5to1.5","positive"))),"None"),'Score settings'!$A$14:$C$43,3,FALSE)/'Score settings'!$B$7*'Score settings'!$D$7</x:f>
        <x:v>0</x:v>
      </x:c>
      <x:c r="AF78" s="41" t="n">
        <x:f>VLOOKUP("Waste|"&amp;R78,'Score settings'!$A$14:$C$43,3,FALSE)/'Score settings'!$B$8*'Score settings'!$D$8</x:f>
        <x:v>0</x:v>
      </x:c>
      <x:c r="AG78" s="41" t="n">
        <x:f>(IF(AND(ISNUMBER(M78),M78&gt;0,ISNUMBER(G78),G78&gt;0),IF(M78/G78&gt;='Score settings'!$E$17,'Score settings'!$G$17,IF(M78/G78&gt;='Score settings'!$E$16,'Score settings'!$G$16,IF(M78/G78&gt;='Score settings'!$E$15,'Score settings'!$G$15,'Score settings'!$G$14))),0)/15*'Score settings'!$B$60+IFERROR(VLOOKUP(IF(ISNUMBER(N78),N78,IF(ISNUMBER(L78),L78,0)),'Score settings'!$E$22:$F$26,2,FALSE),0)/10*'Score settings'!$B$61)/'Score settings'!$B$9*'Score settings'!$D$9</x:f>
        <x:v>0</x:v>
      </x:c>
      <x:c r="AH78" s="41" t="n">
        <x:f>IF(B78="","",SUM(AB78:AG78))</x:f>
        <x:v>23</x:v>
      </x:c>
      <x:c r="AI78" s="41" t="str">
        <x:f>IF(NOT(ISNUMBER(AH78)),"Not scored",VLOOKUP(AH78,'Score settings'!$A$47:$C$50,3,TRUE))</x:f>
        <x:v>Weak</x:v>
      </x:c>
      <x:c r="AJ78" s="42" t="n">
        <x:f>IF(OR(NOT(ISNUMBER(AH78)),T78&lt;&gt;"Common pot"),"",COUNTIFS($T$4:$T$509,"Common pot",$AH$4:$AH$509,"&gt;"&amp;AH78)+1)</x:f>
        <x:v>301</x:v>
      </x:c>
      <x:c r="AK78" s="36" t="str">
        <x:f>IF(B78="","Name missing - not scored",IF(OR(NOT(ISNUMBER(G78)),G78&lt;=0),"Investment missing or zero - review",IF(0=1,"Permanent ID missing - reconcile",IF(AND(ISNUMBER(H78),H78/G78&gt;='Score settings'!$B$58,NOT(ISNUMBER(I78))),"Benefit units need review",IF(OR(R78="EXIT",R78="CHALLENGE"),"Waste decision requires scope resolution",IF("Name and organisation matched"&lt;&gt;"Name and organisation matched","Waste evidence match needs review","Provisional source score - confirm evidence"))))))</x:f>
        <x:v>Provisional source score - confirm evidence</x:v>
      </x:c>
      <x:c r="AL78" s="36"/>
      <x:c r="AM78" s="40"/>
      <x:c r="AN78" s="39"/>
      <x:c r="AO78" s="40"/>
      <x:c r="AP78" s="40"/>
    </x:row>
    <x:row r="79" ht="15" hidden="0" customHeight="1">
      <x:c r="A79" s="36" t="str">
        <x:v>Bu-84</x:v>
      </x:c>
      <x:c r="B79" s="37" t="str">
        <x:v>M&amp;A PMI Helios</x:v>
      </x:c>
      <x:c r="C79" s="36" t="str">
        <x:v>BU Led</x:v>
      </x:c>
      <x:c r="D79" s="36" t="str">
        <x:v>Image Guided Therapy - Devices (IGT-D)</x:v>
      </x:c>
      <x:c r="E79" s="38" t="n">
        <x:v>3.18</x:v>
      </x:c>
      <x:c r="F79" s="39"/>
      <x:c r="G79" s="38" t="n">
        <x:f>IF(ISNUMBER(F79),F79,IF(E79="","",E79))</x:f>
        <x:v>3.18</x:v>
      </x:c>
      <x:c r="H79" s="38"/>
      <x:c r="I79" s="39"/>
      <x:c r="J79" s="36" t="str">
        <x:v>Revenue</x:v>
      </x:c>
      <x:c r="K79" s="38" t="str">
        <x:f>IF(ISNUMBER(I79),I79,IF(OR(NOT(ISNUMBER(H79)),NOT(ISNUMBER(G79)),G79&lt;=0),"",IF(H79/G79&gt;='Score settings'!$B$58,"",IF(J79="Cash savings",H79,IF(J79="Revenue",H79*'Score settings'!$B$55,"")))))</x:f>
      </x:c>
      <x:c r="L79" s="36"/>
      <x:c r="M79" s="39"/>
      <x:c r="N79" s="40"/>
      <x:c r="O79" s="36" t="str">
        <x:v>Must Do</x:v>
      </x:c>
      <x:c r="P79" s="36" t="str">
        <x:v>Blank</x:v>
      </x:c>
      <x:c r="Q79" s="36" t="str">
        <x:v>Revenue</x:v>
      </x:c>
      <x:c r="R79" s="36" t="str">
        <x:v>NotAssessed</x:v>
      </x:c>
      <x:c r="S79" s="36" t="str"/>
      <x:c r="T79" s="36" t="str">
        <x:v>Common pot</x:v>
      </x:c>
      <x:c r="U79" s="41" t="n">
        <x:f>VLOOKUP("Priority|"&amp;O79,'Score settings'!$A$14:$C$43,2,FALSE)/'Score settings'!$B$4*'Score settings'!$C$4</x:f>
        <x:v>25</x:v>
      </x:c>
      <x:c r="V79" s="41" t="n">
        <x:f>VLOOKUP("Category|"&amp;P79,'Score settings'!$A$14:$C$43,2,FALSE)/'Score settings'!$B$5*'Score settings'!$C$5</x:f>
        <x:v>4</x:v>
      </x:c>
      <x:c r="W79" s="41" t="n">
        <x:f>VLOOKUP("Area|"&amp;Q79,'Score settings'!$A$14:$C$43,2,FALSE)/'Score settings'!$B$6*'Score settings'!$C$6</x:f>
        <x:v>11</x:v>
      </x:c>
      <x:c r="X79" s="41" t="n">
        <x:f>VLOOKUP("Benefits|"&amp;IF(AND(ISNUMBER(H79),H79&gt;0,ISNUMBER(G79),G79&gt;0),IF(H79/G79&gt;='Score settings'!$E$17,"3plus",IF(H79/G79&gt;='Score settings'!$E$16,"1.5to3",IF(H79/G79&gt;='Score settings'!$E$15,"0.5to1.5","positive"))),"None"),'Score settings'!$A$14:$C$43,2,FALSE)/'Score settings'!$B$7*'Score settings'!$C$7</x:f>
        <x:v>5</x:v>
      </x:c>
      <x:c r="Y79" s="41" t="n">
        <x:f>VLOOKUP("Waste|"&amp;R79,'Score settings'!$A$14:$C$43,2,FALSE)/'Score settings'!$B$8*'Score settings'!$C$8</x:f>
        <x:v>7</x:v>
      </x:c>
      <x:c r="Z79" s="41" t="n">
        <x:f>IF(B79="","",SUM(U79:Y79))</x:f>
        <x:v>52</x:v>
      </x:c>
      <x:c r="AA79" s="41" t="str">
        <x:f>IF(Z79="","Not scored",VLOOKUP(Z79,'Score settings'!$A$47:$C$50,2,TRUE))</x:f>
        <x:v>Strong</x:v>
      </x:c>
      <x:c r="AB79" s="41" t="n">
        <x:f>VLOOKUP("Priority|"&amp;O79,'Score settings'!$A$14:$C$43,3,FALSE)/'Score settings'!$B$4*'Score settings'!$D$4</x:f>
        <x:v>15</x:v>
      </x:c>
      <x:c r="AC79" s="41" t="n">
        <x:f>VLOOKUP("Category|"&amp;P79,'Score settings'!$A$14:$C$43,3,FALSE)/'Score settings'!$B$5*'Score settings'!$D$5</x:f>
        <x:v>0</x:v>
      </x:c>
      <x:c r="AD79" s="41" t="n">
        <x:f>VLOOKUP("Area|"&amp;Q79,'Score settings'!$A$14:$C$43,3,FALSE)/'Score settings'!$B$6*'Score settings'!$D$6</x:f>
        <x:v>7.333333333333333</x:v>
      </x:c>
      <x:c r="AE79" s="41" t="n">
        <x:f>VLOOKUP("Benefits|"&amp;IF(AND(ISNUMBER(K79),K79&gt;0,ISNUMBER(G79),G79&gt;0),IF(K79/G79&gt;='Score settings'!$E$17,"3plus",IF(K79/G79&gt;='Score settings'!$E$16,"1.5to3",IF(K79/G79&gt;='Score settings'!$E$15,"0.5to1.5","positive"))),"None"),'Score settings'!$A$14:$C$43,3,FALSE)/'Score settings'!$B$7*'Score settings'!$D$7</x:f>
        <x:v>0</x:v>
      </x:c>
      <x:c r="AF79" s="41" t="n">
        <x:f>VLOOKUP("Waste|"&amp;R79,'Score settings'!$A$14:$C$43,3,FALSE)/'Score settings'!$B$8*'Score settings'!$D$8</x:f>
        <x:v>0</x:v>
      </x:c>
      <x:c r="AG79" s="41" t="n">
        <x:f>(IF(AND(ISNUMBER(M79),M79&gt;0,ISNUMBER(G79),G79&gt;0),IF(M79/G79&gt;='Score settings'!$E$17,'Score settings'!$G$17,IF(M79/G79&gt;='Score settings'!$E$16,'Score settings'!$G$16,IF(M79/G79&gt;='Score settings'!$E$15,'Score settings'!$G$15,'Score settings'!$G$14))),0)/15*'Score settings'!$B$60+IFERROR(VLOOKUP(IF(ISNUMBER(N79),N79,IF(ISNUMBER(L79),L79,0)),'Score settings'!$E$22:$F$26,2,FALSE),0)/10*'Score settings'!$B$61)/'Score settings'!$B$9*'Score settings'!$D$9</x:f>
        <x:v>0</x:v>
      </x:c>
      <x:c r="AH79" s="41" t="n">
        <x:f>IF(B79="","",SUM(AB79:AG79))</x:f>
        <x:v>22.333333333333332</x:v>
      </x:c>
      <x:c r="AI79" s="41" t="str">
        <x:f>IF(NOT(ISNUMBER(AH79)),"Not scored",VLOOKUP(AH79,'Score settings'!$A$47:$C$50,3,TRUE))</x:f>
        <x:v>Weak</x:v>
      </x:c>
      <x:c r="AJ79" s="42" t="n">
        <x:f>IF(OR(NOT(ISNUMBER(AH79)),T79&lt;&gt;"Common pot"),"",COUNTIFS($T$4:$T$509,"Common pot",$AH$4:$AH$509,"&gt;"&amp;AH79)+1)</x:f>
        <x:v>330</x:v>
      </x:c>
      <x:c r="AK79" s="36" t="str">
        <x:f>IF(B79="","Name missing - not scored",IF(OR(NOT(ISNUMBER(G79)),G79&lt;=0),"Investment missing or zero - review",IF(0=1,"Permanent ID missing - reconcile",IF(AND(ISNUMBER(H79),H79/G79&gt;='Score settings'!$B$58,NOT(ISNUMBER(I79))),"Benefit units need review",IF(OR(R79="EXIT",R79="CHALLENGE"),"Waste decision requires scope resolution",IF("Name and organisation matched"&lt;&gt;"Name and organisation matched","Waste evidence match needs review","Provisional source score - confirm evidence"))))))</x:f>
        <x:v>Provisional source score - confirm evidence</x:v>
      </x:c>
      <x:c r="AL79" s="36"/>
      <x:c r="AM79" s="40"/>
      <x:c r="AN79" s="39"/>
      <x:c r="AO79" s="40"/>
      <x:c r="AP79" s="40"/>
    </x:row>
    <x:row r="80" ht="15" hidden="0" customHeight="1">
      <x:c r="A80" s="36" t="str">
        <x:v>Bu-85</x:v>
      </x:c>
      <x:c r="B80" s="37" t="str">
        <x:v>M&amp;A PMI HeartStream</x:v>
      </x:c>
      <x:c r="C80" s="36" t="str">
        <x:v>BU Led</x:v>
      </x:c>
      <x:c r="D80" s="36" t="str">
        <x:v>Monitoring - HPM (MCH)</x:v>
      </x:c>
      <x:c r="E80" s="38" t="n">
        <x:v>1.5</x:v>
      </x:c>
      <x:c r="F80" s="39"/>
      <x:c r="G80" s="38" t="n">
        <x:f>IF(ISNUMBER(F80),F80,IF(E80="","",E80))</x:f>
        <x:v>1.5</x:v>
      </x:c>
      <x:c r="H80" s="38"/>
      <x:c r="I80" s="39"/>
      <x:c r="J80" s="36" t="str">
        <x:v>Cash savings</x:v>
      </x:c>
      <x:c r="K80" s="38" t="str">
        <x:f>IF(ISNUMBER(I80),I80,IF(OR(NOT(ISNUMBER(H80)),NOT(ISNUMBER(G80)),G80&lt;=0),"",IF(H80/G80&gt;='Score settings'!$B$58,"",IF(J80="Cash savings",H80,IF(J80="Revenue",H80*'Score settings'!$B$55,"")))))</x:f>
      </x:c>
      <x:c r="L80" s="36"/>
      <x:c r="M80" s="39"/>
      <x:c r="N80" s="40"/>
      <x:c r="O80" s="36" t="str">
        <x:v>Must Do</x:v>
      </x:c>
      <x:c r="P80" s="36" t="str">
        <x:v>Blank</x:v>
      </x:c>
      <x:c r="Q80" s="36" t="str">
        <x:v>Productivity</x:v>
      </x:c>
      <x:c r="R80" s="36" t="str">
        <x:v>NotAssessed</x:v>
      </x:c>
      <x:c r="S80" s="36" t="str"/>
      <x:c r="T80" s="36" t="str">
        <x:v>Common pot</x:v>
      </x:c>
      <x:c r="U80" s="41" t="n">
        <x:f>VLOOKUP("Priority|"&amp;O80,'Score settings'!$A$14:$C$43,2,FALSE)/'Score settings'!$B$4*'Score settings'!$C$4</x:f>
        <x:v>25</x:v>
      </x:c>
      <x:c r="V80" s="41" t="n">
        <x:f>VLOOKUP("Category|"&amp;P80,'Score settings'!$A$14:$C$43,2,FALSE)/'Score settings'!$B$5*'Score settings'!$C$5</x:f>
        <x:v>4</x:v>
      </x:c>
      <x:c r="W80" s="41" t="n">
        <x:f>VLOOKUP("Area|"&amp;Q80,'Score settings'!$A$14:$C$43,2,FALSE)/'Score settings'!$B$6*'Score settings'!$C$6</x:f>
        <x:v>10</x:v>
      </x:c>
      <x:c r="X80" s="41" t="n">
        <x:f>VLOOKUP("Benefits|"&amp;IF(AND(ISNUMBER(H80),H80&gt;0,ISNUMBER(G80),G80&gt;0),IF(H80/G80&gt;='Score settings'!$E$17,"3plus",IF(H80/G80&gt;='Score settings'!$E$16,"1.5to3",IF(H80/G80&gt;='Score settings'!$E$15,"0.5to1.5","positive"))),"None"),'Score settings'!$A$14:$C$43,2,FALSE)/'Score settings'!$B$7*'Score settings'!$C$7</x:f>
        <x:v>5</x:v>
      </x:c>
      <x:c r="Y80" s="41" t="n">
        <x:f>VLOOKUP("Waste|"&amp;R80,'Score settings'!$A$14:$C$43,2,FALSE)/'Score settings'!$B$8*'Score settings'!$C$8</x:f>
        <x:v>7</x:v>
      </x:c>
      <x:c r="Z80" s="41" t="n">
        <x:f>IF(B80="","",SUM(U80:Y80))</x:f>
        <x:v>51</x:v>
      </x:c>
      <x:c r="AA80" s="41" t="str">
        <x:f>IF(Z80="","Not scored",VLOOKUP(Z80,'Score settings'!$A$47:$C$50,2,TRUE))</x:f>
        <x:v>Strong</x:v>
      </x:c>
      <x:c r="AB80" s="41" t="n">
        <x:f>VLOOKUP("Priority|"&amp;O80,'Score settings'!$A$14:$C$43,3,FALSE)/'Score settings'!$B$4*'Score settings'!$D$4</x:f>
        <x:v>15</x:v>
      </x:c>
      <x:c r="AC80" s="41" t="n">
        <x:f>VLOOKUP("Category|"&amp;P80,'Score settings'!$A$14:$C$43,3,FALSE)/'Score settings'!$B$5*'Score settings'!$D$5</x:f>
        <x:v>0</x:v>
      </x:c>
      <x:c r="AD80" s="41" t="n">
        <x:f>VLOOKUP("Area|"&amp;Q80,'Score settings'!$A$14:$C$43,3,FALSE)/'Score settings'!$B$6*'Score settings'!$D$6</x:f>
        <x:v>6.666666666666666</x:v>
      </x:c>
      <x:c r="AE80" s="41" t="n">
        <x:f>VLOOKUP("Benefits|"&amp;IF(AND(ISNUMBER(K80),K80&gt;0,ISNUMBER(G80),G80&gt;0),IF(K80/G80&gt;='Score settings'!$E$17,"3plus",IF(K80/G80&gt;='Score settings'!$E$16,"1.5to3",IF(K80/G80&gt;='Score settings'!$E$15,"0.5to1.5","positive"))),"None"),'Score settings'!$A$14:$C$43,3,FALSE)/'Score settings'!$B$7*'Score settings'!$D$7</x:f>
        <x:v>0</x:v>
      </x:c>
      <x:c r="AF80" s="41" t="n">
        <x:f>VLOOKUP("Waste|"&amp;R80,'Score settings'!$A$14:$C$43,3,FALSE)/'Score settings'!$B$8*'Score settings'!$D$8</x:f>
        <x:v>0</x:v>
      </x:c>
      <x:c r="AG80" s="41" t="n">
        <x:f>(IF(AND(ISNUMBER(M80),M80&gt;0,ISNUMBER(G80),G80&gt;0),IF(M80/G80&gt;='Score settings'!$E$17,'Score settings'!$G$17,IF(M80/G80&gt;='Score settings'!$E$16,'Score settings'!$G$16,IF(M80/G80&gt;='Score settings'!$E$15,'Score settings'!$G$15,'Score settings'!$G$14))),0)/15*'Score settings'!$B$60+IFERROR(VLOOKUP(IF(ISNUMBER(N80),N80,IF(ISNUMBER(L80),L80,0)),'Score settings'!$E$22:$F$26,2,FALSE),0)/10*'Score settings'!$B$61)/'Score settings'!$B$9*'Score settings'!$D$9</x:f>
        <x:v>0</x:v>
      </x:c>
      <x:c r="AH80" s="41" t="n">
        <x:f>IF(B80="","",SUM(AB80:AG80))</x:f>
        <x:v>21.666666666666664</x:v>
      </x:c>
      <x:c r="AI80" s="41" t="str">
        <x:f>IF(NOT(ISNUMBER(AH80)),"Not scored",VLOOKUP(AH80,'Score settings'!$A$47:$C$50,3,TRUE))</x:f>
        <x:v>Weak</x:v>
      </x:c>
      <x:c r="AJ80" s="42" t="n">
        <x:f>IF(OR(NOT(ISNUMBER(AH80)),T80&lt;&gt;"Common pot"),"",COUNTIFS($T$4:$T$509,"Common pot",$AH$4:$AH$509,"&gt;"&amp;AH80)+1)</x:f>
        <x:v>338</x:v>
      </x:c>
      <x:c r="AK80" s="36" t="str">
        <x:f>IF(B80="","Name missing - not scored",IF(OR(NOT(ISNUMBER(G80)),G80&lt;=0),"Investment missing or zero - review",IF(0=1,"Permanent ID missing - reconcile",IF(AND(ISNUMBER(H80),H80/G80&gt;='Score settings'!$B$58,NOT(ISNUMBER(I80))),"Benefit units need review",IF(OR(R80="EXIT",R80="CHALLENGE"),"Waste decision requires scope resolution",IF("Name and organisation matched"&lt;&gt;"Name and organisation matched","Waste evidence match needs review","Provisional source score - confirm evidence"))))))</x:f>
        <x:v>Provisional source score - confirm evidence</x:v>
      </x:c>
      <x:c r="AL80" s="36"/>
      <x:c r="AM80" s="40"/>
      <x:c r="AN80" s="39"/>
      <x:c r="AO80" s="40"/>
      <x:c r="AP80" s="40"/>
    </x:row>
    <x:row r="81" ht="15" hidden="0" customHeight="1">
      <x:c r="A81" s="36" t="str">
        <x:v>Bu-86</x:v>
      </x:c>
      <x:c r="B81" s="37" t="str">
        <x:v>M&amp;A PMI Everest Change Request</x:v>
      </x:c>
      <x:c r="C81" s="36" t="str">
        <x:v>BU Led</x:v>
      </x:c>
      <x:c r="D81" s="36" t="str">
        <x:v>Monitoring - HPM (MCH)</x:v>
      </x:c>
      <x:c r="E81" s="38" t="n">
        <x:v>0.5</x:v>
      </x:c>
      <x:c r="F81" s="39"/>
      <x:c r="G81" s="38" t="n">
        <x:f>IF(ISNUMBER(F81),F81,IF(E81="","",E81))</x:f>
        <x:v>0.5</x:v>
      </x:c>
      <x:c r="H81" s="38"/>
      <x:c r="I81" s="39"/>
      <x:c r="J81" s="36" t="str">
        <x:v>Cash savings</x:v>
      </x:c>
      <x:c r="K81" s="38" t="str">
        <x:f>IF(ISNUMBER(I81),I81,IF(OR(NOT(ISNUMBER(H81)),NOT(ISNUMBER(G81)),G81&lt;=0),"",IF(H81/G81&gt;='Score settings'!$B$58,"",IF(J81="Cash savings",H81,IF(J81="Revenue",H81*'Score settings'!$B$55,"")))))</x:f>
      </x:c>
      <x:c r="L81" s="36"/>
      <x:c r="M81" s="39"/>
      <x:c r="N81" s="40"/>
      <x:c r="O81" s="36" t="str">
        <x:v>Must Do</x:v>
      </x:c>
      <x:c r="P81" s="36" t="str">
        <x:v>Blank</x:v>
      </x:c>
      <x:c r="Q81" s="36" t="str">
        <x:v>Productivity</x:v>
      </x:c>
      <x:c r="R81" s="36" t="str">
        <x:v>NotAssessed</x:v>
      </x:c>
      <x:c r="S81" s="36" t="str"/>
      <x:c r="T81" s="36" t="str">
        <x:v>Common pot</x:v>
      </x:c>
      <x:c r="U81" s="41" t="n">
        <x:f>VLOOKUP("Priority|"&amp;O81,'Score settings'!$A$14:$C$43,2,FALSE)/'Score settings'!$B$4*'Score settings'!$C$4</x:f>
        <x:v>25</x:v>
      </x:c>
      <x:c r="V81" s="41" t="n">
        <x:f>VLOOKUP("Category|"&amp;P81,'Score settings'!$A$14:$C$43,2,FALSE)/'Score settings'!$B$5*'Score settings'!$C$5</x:f>
        <x:v>4</x:v>
      </x:c>
      <x:c r="W81" s="41" t="n">
        <x:f>VLOOKUP("Area|"&amp;Q81,'Score settings'!$A$14:$C$43,2,FALSE)/'Score settings'!$B$6*'Score settings'!$C$6</x:f>
        <x:v>10</x:v>
      </x:c>
      <x:c r="X81" s="41" t="n">
        <x:f>VLOOKUP("Benefits|"&amp;IF(AND(ISNUMBER(H81),H81&gt;0,ISNUMBER(G81),G81&gt;0),IF(H81/G81&gt;='Score settings'!$E$17,"3plus",IF(H81/G81&gt;='Score settings'!$E$16,"1.5to3",IF(H81/G81&gt;='Score settings'!$E$15,"0.5to1.5","positive"))),"None"),'Score settings'!$A$14:$C$43,2,FALSE)/'Score settings'!$B$7*'Score settings'!$C$7</x:f>
        <x:v>5</x:v>
      </x:c>
      <x:c r="Y81" s="41" t="n">
        <x:f>VLOOKUP("Waste|"&amp;R81,'Score settings'!$A$14:$C$43,2,FALSE)/'Score settings'!$B$8*'Score settings'!$C$8</x:f>
        <x:v>7</x:v>
      </x:c>
      <x:c r="Z81" s="41" t="n">
        <x:f>IF(B81="","",SUM(U81:Y81))</x:f>
        <x:v>51</x:v>
      </x:c>
      <x:c r="AA81" s="41" t="str">
        <x:f>IF(Z81="","Not scored",VLOOKUP(Z81,'Score settings'!$A$47:$C$50,2,TRUE))</x:f>
        <x:v>Strong</x:v>
      </x:c>
      <x:c r="AB81" s="41" t="n">
        <x:f>VLOOKUP("Priority|"&amp;O81,'Score settings'!$A$14:$C$43,3,FALSE)/'Score settings'!$B$4*'Score settings'!$D$4</x:f>
        <x:v>15</x:v>
      </x:c>
      <x:c r="AC81" s="41" t="n">
        <x:f>VLOOKUP("Category|"&amp;P81,'Score settings'!$A$14:$C$43,3,FALSE)/'Score settings'!$B$5*'Score settings'!$D$5</x:f>
        <x:v>0</x:v>
      </x:c>
      <x:c r="AD81" s="41" t="n">
        <x:f>VLOOKUP("Area|"&amp;Q81,'Score settings'!$A$14:$C$43,3,FALSE)/'Score settings'!$B$6*'Score settings'!$D$6</x:f>
        <x:v>6.666666666666666</x:v>
      </x:c>
      <x:c r="AE81" s="41" t="n">
        <x:f>VLOOKUP("Benefits|"&amp;IF(AND(ISNUMBER(K81),K81&gt;0,ISNUMBER(G81),G81&gt;0),IF(K81/G81&gt;='Score settings'!$E$17,"3plus",IF(K81/G81&gt;='Score settings'!$E$16,"1.5to3",IF(K81/G81&gt;='Score settings'!$E$15,"0.5to1.5","positive"))),"None"),'Score settings'!$A$14:$C$43,3,FALSE)/'Score settings'!$B$7*'Score settings'!$D$7</x:f>
        <x:v>0</x:v>
      </x:c>
      <x:c r="AF81" s="41" t="n">
        <x:f>VLOOKUP("Waste|"&amp;R81,'Score settings'!$A$14:$C$43,3,FALSE)/'Score settings'!$B$8*'Score settings'!$D$8</x:f>
        <x:v>0</x:v>
      </x:c>
      <x:c r="AG81" s="41" t="n">
        <x:f>(IF(AND(ISNUMBER(M81),M81&gt;0,ISNUMBER(G81),G81&gt;0),IF(M81/G81&gt;='Score settings'!$E$17,'Score settings'!$G$17,IF(M81/G81&gt;='Score settings'!$E$16,'Score settings'!$G$16,IF(M81/G81&gt;='Score settings'!$E$15,'Score settings'!$G$15,'Score settings'!$G$14))),0)/15*'Score settings'!$B$60+IFERROR(VLOOKUP(IF(ISNUMBER(N81),N81,IF(ISNUMBER(L81),L81,0)),'Score settings'!$E$22:$F$26,2,FALSE),0)/10*'Score settings'!$B$61)/'Score settings'!$B$9*'Score settings'!$D$9</x:f>
        <x:v>0</x:v>
      </x:c>
      <x:c r="AH81" s="41" t="n">
        <x:f>IF(B81="","",SUM(AB81:AG81))</x:f>
        <x:v>21.666666666666664</x:v>
      </x:c>
      <x:c r="AI81" s="41" t="str">
        <x:f>IF(NOT(ISNUMBER(AH81)),"Not scored",VLOOKUP(AH81,'Score settings'!$A$47:$C$50,3,TRUE))</x:f>
        <x:v>Weak</x:v>
      </x:c>
      <x:c r="AJ81" s="42" t="n">
        <x:f>IF(OR(NOT(ISNUMBER(AH81)),T81&lt;&gt;"Common pot"),"",COUNTIFS($T$4:$T$509,"Common pot",$AH$4:$AH$509,"&gt;"&amp;AH81)+1)</x:f>
        <x:v>338</x:v>
      </x:c>
      <x:c r="AK81" s="36" t="str">
        <x:f>IF(B81="","Name missing - not scored",IF(OR(NOT(ISNUMBER(G81)),G81&lt;=0),"Investment missing or zero - review",IF(0=1,"Permanent ID missing - reconcile",IF(AND(ISNUMBER(H81),H81/G81&gt;='Score settings'!$B$58,NOT(ISNUMBER(I81))),"Benefit units need review",IF(OR(R81="EXIT",R81="CHALLENGE"),"Waste decision requires scope resolution",IF("Name and organisation matched"&lt;&gt;"Name and organisation matched","Waste evidence match needs review","Provisional source score - confirm evidence"))))))</x:f>
        <x:v>Provisional source score - confirm evidence</x:v>
      </x:c>
      <x:c r="AL81" s="36"/>
      <x:c r="AM81" s="40"/>
      <x:c r="AN81" s="39"/>
      <x:c r="AO81" s="40"/>
      <x:c r="AP81" s="40"/>
    </x:row>
    <x:row r="82" ht="15" hidden="0" customHeight="1">
      <x:c r="A82" s="36" t="str">
        <x:v>Bu-87</x:v>
      </x:c>
      <x:c r="B82" s="37" t="str">
        <x:v>NAR Commercial Excellence</x:v>
      </x:c>
      <x:c r="C82" s="36" t="str">
        <x:v>BU Led</x:v>
      </x:c>
      <x:c r="D82" s="36" t="str">
        <x:v>North America (NAR)</x:v>
      </x:c>
      <x:c r="E82" s="38" t="n">
        <x:v>3.5</x:v>
      </x:c>
      <x:c r="F82" s="39"/>
      <x:c r="G82" s="38" t="n">
        <x:f>IF(ISNUMBER(F82),F82,IF(E82="","",E82))</x:f>
        <x:v>3.5</x:v>
      </x:c>
      <x:c r="H82" s="38" t="n">
        <x:v>14</x:v>
      </x:c>
      <x:c r="I82" s="39"/>
      <x:c r="J82" s="36" t="str">
        <x:v>Revenue</x:v>
      </x:c>
      <x:c r="K82" s="38" t="n">
        <x:f>IF(ISNUMBER(I82),I82,IF(OR(NOT(ISNUMBER(H82)),NOT(ISNUMBER(G82)),G82&lt;=0),"",IF(H82/G82&gt;='Score settings'!$B$58,"",IF(J82="Cash savings",H82,IF(J82="Revenue",H82*'Score settings'!$B$55,"")))))</x:f>
        <x:v>2.1</x:v>
      </x:c>
      <x:c r="L82" s="36" t="n">
        <x:v>4</x:v>
      </x:c>
      <x:c r="M82" s="39"/>
      <x:c r="N82" s="40"/>
      <x:c r="O82" s="36" t="str">
        <x:v>Must Do</x:v>
      </x:c>
      <x:c r="P82" s="36" t="str">
        <x:v>NewTech</x:v>
      </x:c>
      <x:c r="Q82" s="36" t="str">
        <x:v>Revenue</x:v>
      </x:c>
      <x:c r="R82" s="36" t="str">
        <x:v>HEALTHY</x:v>
      </x:c>
      <x:c r="S82" s="36" t="str">
        <x:v>NO</x:v>
      </x:c>
      <x:c r="T82" s="36" t="str">
        <x:v>Region candidate</x:v>
      </x:c>
      <x:c r="U82" s="41" t="n">
        <x:f>VLOOKUP("Priority|"&amp;O82,'Score settings'!$A$14:$C$43,2,FALSE)/'Score settings'!$B$4*'Score settings'!$C$4</x:f>
        <x:v>25</x:v>
      </x:c>
      <x:c r="V82" s="41" t="n">
        <x:f>VLOOKUP("Category|"&amp;P82,'Score settings'!$A$14:$C$43,2,FALSE)/'Score settings'!$B$5*'Score settings'!$C$5</x:f>
        <x:v>5</x:v>
      </x:c>
      <x:c r="W82" s="41" t="n">
        <x:f>VLOOKUP("Area|"&amp;Q82,'Score settings'!$A$14:$C$43,2,FALSE)/'Score settings'!$B$6*'Score settings'!$C$6</x:f>
        <x:v>11</x:v>
      </x:c>
      <x:c r="X82" s="41" t="n">
        <x:f>VLOOKUP("Benefits|"&amp;IF(AND(ISNUMBER(H82),H82&gt;0,ISNUMBER(G82),G82&gt;0),IF(H82/G82&gt;='Score settings'!$E$17,"3plus",IF(H82/G82&gt;='Score settings'!$E$16,"1.5to3",IF(H82/G82&gt;='Score settings'!$E$15,"0.5to1.5","positive"))),"None"),'Score settings'!$A$14:$C$43,2,FALSE)/'Score settings'!$B$7*'Score settings'!$C$7</x:f>
        <x:v>25</x:v>
      </x:c>
      <x:c r="Y82" s="41" t="n">
        <x:f>VLOOKUP("Waste|"&amp;R82,'Score settings'!$A$14:$C$43,2,FALSE)/'Score settings'!$B$8*'Score settings'!$C$8</x:f>
        <x:v>15</x:v>
      </x:c>
      <x:c r="Z82" s="41" t="n">
        <x:f>IF(B82="","",SUM(U82:Y82))</x:f>
        <x:v>81</x:v>
      </x:c>
      <x:c r="AA82" s="41" t="str">
        <x:f>IF(Z82="","Not scored",VLOOKUP(Z82,'Score settings'!$A$47:$C$50,2,TRUE))</x:f>
        <x:v>Protected</x:v>
      </x:c>
      <x:c r="AB82" s="41" t="n">
        <x:f>VLOOKUP("Priority|"&amp;O82,'Score settings'!$A$14:$C$43,3,FALSE)/'Score settings'!$B$4*'Score settings'!$D$4</x:f>
        <x:v>15</x:v>
      </x:c>
      <x:c r="AC82" s="41" t="n">
        <x:f>VLOOKUP("Category|"&amp;P82,'Score settings'!$A$14:$C$43,3,FALSE)/'Score settings'!$B$5*'Score settings'!$D$5</x:f>
        <x:v>2.5</x:v>
      </x:c>
      <x:c r="AD82" s="41" t="n">
        <x:f>VLOOKUP("Area|"&amp;Q82,'Score settings'!$A$14:$C$43,3,FALSE)/'Score settings'!$B$6*'Score settings'!$D$6</x:f>
        <x:v>7.333333333333333</x:v>
      </x:c>
      <x:c r="AE82" s="41" t="n">
        <x:f>VLOOKUP("Benefits|"&amp;IF(AND(ISNUMBER(K82),K82&gt;0,ISNUMBER(G82),G82&gt;0),IF(K82/G82&gt;='Score settings'!$E$17,"3plus",IF(K82/G82&gt;='Score settings'!$E$16,"1.5to3",IF(K82/G82&gt;='Score settings'!$E$15,"0.5to1.5","positive"))),"None"),'Score settings'!$A$14:$C$43,3,FALSE)/'Score settings'!$B$7*'Score settings'!$D$7</x:f>
        <x:v>18</x:v>
      </x:c>
      <x:c r="AF82" s="41" t="n">
        <x:f>VLOOKUP("Waste|"&amp;R82,'Score settings'!$A$14:$C$43,3,FALSE)/'Score settings'!$B$8*'Score settings'!$D$8</x:f>
        <x:v>10</x:v>
      </x:c>
      <x:c r="AG82" s="41" t="n">
        <x:f>(IF(AND(ISNUMBER(M82),M82&gt;0,ISNUMBER(G82),G82&gt;0),IF(M82/G82&gt;='Score settings'!$E$17,'Score settings'!$G$17,IF(M82/G82&gt;='Score settings'!$E$16,'Score settings'!$G$16,IF(M82/G82&gt;='Score settings'!$E$15,'Score settings'!$G$15,'Score settings'!$G$14))),0)/15*'Score settings'!$B$60+IFERROR(VLOOKUP(IF(ISNUMBER(N82),N82,IF(ISNUMBER(L82),L82,0)),'Score settings'!$E$22:$F$26,2,FALSE),0)/10*'Score settings'!$B$61)/'Score settings'!$B$9*'Score settings'!$D$9</x:f>
        <x:v>8</x:v>
      </x:c>
      <x:c r="AH82" s="41" t="n">
        <x:f>IF(B82="","",SUM(AB82:AG82))</x:f>
        <x:v>60.83333333333333</x:v>
      </x:c>
      <x:c r="AI82" s="41" t="str">
        <x:f>IF(NOT(ISNUMBER(AH82)),"Not scored",VLOOKUP(AH82,'Score settings'!$A$47:$C$50,3,TRUE))</x:f>
        <x:v>Strong</x:v>
      </x:c>
      <x:c r="AJ82" s="42" t="str">
        <x:f>IF(OR(NOT(ISNUMBER(AH82)),T82&lt;&gt;"Common pot"),"",COUNTIFS($T$4:$T$509,"Common pot",$AH$4:$AH$509,"&gt;"&amp;AH82)+1)</x:f>
      </x:c>
      <x:c r="AK82" s="36" t="str">
        <x:f>IF(B82="","Name missing - not scored",IF(OR(NOT(ISNUMBER(G82)),G82&lt;=0),"Investment missing or zero - review",IF(0=1,"Permanent ID missing - reconcile",IF(AND(ISNUMBER(H82),H82/G82&gt;='Score settings'!$B$58,NOT(ISNUMBER(I82))),"Benefit units need review",IF(OR(R82="EXIT",R82="CHALLENGE"),"Waste decision requires scope resolution",IF("Name and organisation matched"&lt;&gt;"Name and organisation matched","Waste evidence match needs review","Provisional source score - confirm evidence"))))))</x:f>
        <x:v>Provisional source score - confirm evidence</x:v>
      </x:c>
      <x:c r="AL82" s="36" t="n">
        <x:v>16</x:v>
      </x:c>
      <x:c r="AM82" s="40"/>
      <x:c r="AN82" s="39"/>
      <x:c r="AO82" s="40"/>
      <x:c r="AP82" s="40"/>
    </x:row>
    <x:row r="83" ht="15" hidden="0" customHeight="1">
      <x:c r="A83" s="36" t="str">
        <x:v>Bu-88</x:v>
      </x:c>
      <x:c r="B83" s="37" t="str"/>
      <x:c r="C83" s="36" t="str">
        <x:v>BU Led</x:v>
      </x:c>
      <x:c r="D83" s="36" t="str"/>
      <x:c r="E83" s="38"/>
      <x:c r="F83" s="39"/>
      <x:c r="G83" s="38" t="str">
        <x:f>IF(ISNUMBER(F83),F83,IF(E83="","",E83))</x:f>
      </x:c>
      <x:c r="H83" s="38"/>
      <x:c r="I83" s="39"/>
      <x:c r="J83" s="36" t="str">
        <x:v>Unclassified</x:v>
      </x:c>
      <x:c r="K83" s="38" t="str">
        <x:f>IF(ISNUMBER(I83),I83,IF(OR(NOT(ISNUMBER(H83)),NOT(ISNUMBER(G83)),G83&lt;=0),"",IF(H83/G83&gt;='Score settings'!$B$58,"",IF(J83="Cash savings",H83,IF(J83="Revenue",H83*'Score settings'!$B$55,"")))))</x:f>
      </x:c>
      <x:c r="L83" s="36"/>
      <x:c r="M83" s="39"/>
      <x:c r="N83" s="40"/>
      <x:c r="O83" s="36" t="str">
        <x:v>Blank</x:v>
      </x:c>
      <x:c r="P83" s="36" t="str">
        <x:v>Blank</x:v>
      </x:c>
      <x:c r="Q83" s="36" t="str">
        <x:v>Blank</x:v>
      </x:c>
      <x:c r="R83" s="36" t="str">
        <x:v>NotAssessed</x:v>
      </x:c>
      <x:c r="S83" s="36" t="str"/>
      <x:c r="T83" s="36" t="str">
        <x:v>Incomplete record</x:v>
      </x:c>
      <x:c r="U83" s="41" t="n">
        <x:f>VLOOKUP("Priority|"&amp;O83,'Score settings'!$A$14:$C$43,2,FALSE)/'Score settings'!$B$4*'Score settings'!$C$4</x:f>
        <x:v>10</x:v>
      </x:c>
      <x:c r="V83" s="41" t="n">
        <x:f>VLOOKUP("Category|"&amp;P83,'Score settings'!$A$14:$C$43,2,FALSE)/'Score settings'!$B$5*'Score settings'!$C$5</x:f>
        <x:v>4</x:v>
      </x:c>
      <x:c r="W83" s="41" t="n">
        <x:f>VLOOKUP("Area|"&amp;Q83,'Score settings'!$A$14:$C$43,2,FALSE)/'Score settings'!$B$6*'Score settings'!$C$6</x:f>
        <x:v>3</x:v>
      </x:c>
      <x:c r="X83" s="41" t="n">
        <x:f>VLOOKUP("Benefits|"&amp;IF(AND(ISNUMBER(H83),H83&gt;0,ISNUMBER(G83),G83&gt;0),IF(H83/G83&gt;='Score settings'!$E$17,"3plus",IF(H83/G83&gt;='Score settings'!$E$16,"1.5to3",IF(H83/G83&gt;='Score settings'!$E$15,"0.5to1.5","positive"))),"None"),'Score settings'!$A$14:$C$43,2,FALSE)/'Score settings'!$B$7*'Score settings'!$C$7</x:f>
        <x:v>5</x:v>
      </x:c>
      <x:c r="Y83" s="41" t="n">
        <x:f>VLOOKUP("Waste|"&amp;R83,'Score settings'!$A$14:$C$43,2,FALSE)/'Score settings'!$B$8*'Score settings'!$C$8</x:f>
        <x:v>7</x:v>
      </x:c>
      <x:c r="Z83" s="41" t="str">
        <x:f>IF(B83="","",SUM(U83:Y83))</x:f>
      </x:c>
      <x:c r="AA83" s="41" t="str">
        <x:f>IF(Z83="","Not scored",VLOOKUP(Z83,'Score settings'!$A$47:$C$50,2,TRUE))</x:f>
        <x:v>Not scored</x:v>
      </x:c>
      <x:c r="AB83" s="41" t="n">
        <x:f>VLOOKUP("Priority|"&amp;O83,'Score settings'!$A$14:$C$43,3,FALSE)/'Score settings'!$B$4*'Score settings'!$D$4</x:f>
        <x:v>0</x:v>
      </x:c>
      <x:c r="AC83" s="41" t="n">
        <x:f>VLOOKUP("Category|"&amp;P83,'Score settings'!$A$14:$C$43,3,FALSE)/'Score settings'!$B$5*'Score settings'!$D$5</x:f>
        <x:v>0</x:v>
      </x:c>
      <x:c r="AD83" s="41" t="n">
        <x:f>VLOOKUP("Area|"&amp;Q83,'Score settings'!$A$14:$C$43,3,FALSE)/'Score settings'!$B$6*'Score settings'!$D$6</x:f>
        <x:v>0</x:v>
      </x:c>
      <x:c r="AE83" s="41" t="n">
        <x:f>VLOOKUP("Benefits|"&amp;IF(AND(ISNUMBER(K83),K83&gt;0,ISNUMBER(G83),G83&gt;0),IF(K83/G83&gt;='Score settings'!$E$17,"3plus",IF(K83/G83&gt;='Score settings'!$E$16,"1.5to3",IF(K83/G83&gt;='Score settings'!$E$15,"0.5to1.5","positive"))),"None"),'Score settings'!$A$14:$C$43,3,FALSE)/'Score settings'!$B$7*'Score settings'!$D$7</x:f>
        <x:v>0</x:v>
      </x:c>
      <x:c r="AF83" s="41" t="n">
        <x:f>VLOOKUP("Waste|"&amp;R83,'Score settings'!$A$14:$C$43,3,FALSE)/'Score settings'!$B$8*'Score settings'!$D$8</x:f>
        <x:v>0</x:v>
      </x:c>
      <x:c r="AG83" s="41" t="n">
        <x:f>(IF(AND(ISNUMBER(M83),M83&gt;0,ISNUMBER(G83),G83&gt;0),IF(M83/G83&gt;='Score settings'!$E$17,'Score settings'!$G$17,IF(M83/G83&gt;='Score settings'!$E$16,'Score settings'!$G$16,IF(M83/G83&gt;='Score settings'!$E$15,'Score settings'!$G$15,'Score settings'!$G$14))),0)/15*'Score settings'!$B$60+IFERROR(VLOOKUP(IF(ISNUMBER(N83),N83,IF(ISNUMBER(L83),L83,0)),'Score settings'!$E$22:$F$26,2,FALSE),0)/10*'Score settings'!$B$61)/'Score settings'!$B$9*'Score settings'!$D$9</x:f>
        <x:v>0</x:v>
      </x:c>
      <x:c r="AH83" s="41" t="str">
        <x:f>IF(B83="","",SUM(AB83:AG83))</x:f>
      </x:c>
      <x:c r="AI83" s="41" t="str">
        <x:f>IF(NOT(ISNUMBER(AH83)),"Not scored",VLOOKUP(AH83,'Score settings'!$A$47:$C$50,3,TRUE))</x:f>
        <x:v>Not scored</x:v>
      </x:c>
      <x:c r="AJ83" s="42" t="str">
        <x:f>IF(OR(NOT(ISNUMBER(AH83)),T83&lt;&gt;"Common pot"),"",COUNTIFS($T$4:$T$509,"Common pot",$AH$4:$AH$509,"&gt;"&amp;AH83)+1)</x:f>
      </x:c>
      <x:c r="AK83" s="36" t="str">
        <x:f>IF(B83="","Name missing - not scored",IF(OR(NOT(ISNUMBER(G83)),G83&lt;=0),"Investment missing or zero - review",IF(0=1,"Permanent ID missing - reconcile",IF(AND(ISNUMBER(H83),H83/G83&gt;='Score settings'!$B$58,NOT(ISNUMBER(I83))),"Benefit units need review",IF(OR(R83="EXIT",R83="CHALLENGE"),"Waste decision requires scope resolution",IF("No exact waste match"&lt;&gt;"Name and organisation matched","Waste evidence match needs review","Provisional source score - confirm evidence"))))))</x:f>
        <x:v>Name missing - not scored</x:v>
      </x:c>
      <x:c r="AL83" s="36"/>
      <x:c r="AM83" s="40"/>
      <x:c r="AN83" s="39"/>
      <x:c r="AO83" s="40"/>
      <x:c r="AP83" s="40"/>
    </x:row>
    <x:row r="84" ht="15" hidden="0" customHeight="1">
      <x:c r="A84" s="36" t="str">
        <x:v>Bu-89</x:v>
      </x:c>
      <x:c r="B84" s="37" t="str">
        <x:v>Estore Headless and transformation</x:v>
      </x:c>
      <x:c r="C84" s="36" t="str">
        <x:v>BU Led</x:v>
      </x:c>
      <x:c r="D84" s="36" t="str">
        <x:v>Sleep &amp; Respiratory Care (SRC)</x:v>
      </x:c>
      <x:c r="E84" s="38" t="n">
        <x:v>0</x:v>
      </x:c>
      <x:c r="F84" s="39"/>
      <x:c r="G84" s="38" t="str">
        <x:f>IF(ISNUMBER(F84),F84,IF(E84="","",E84))</x:f>
      </x:c>
      <x:c r="H84" s="38"/>
      <x:c r="I84" s="39"/>
      <x:c r="J84" s="36" t="str">
        <x:v>Cash savings</x:v>
      </x:c>
      <x:c r="K84" s="38" t="str">
        <x:f>IF(ISNUMBER(I84),I84,IF(OR(NOT(ISNUMBER(H84)),NOT(ISNUMBER(G84)),G84&lt;=0),"",IF(H84/G84&gt;='Score settings'!$B$58,"",IF(J84="Cash savings",H84,IF(J84="Revenue",H84*'Score settings'!$B$55,"")))))</x:f>
      </x:c>
      <x:c r="L84" s="36"/>
      <x:c r="M84" s="39"/>
      <x:c r="N84" s="40"/>
      <x:c r="O84" s="36" t="str">
        <x:v>Must Do</x:v>
      </x:c>
      <x:c r="P84" s="36" t="str">
        <x:v>Decomm</x:v>
      </x:c>
      <x:c r="Q84" s="36" t="str">
        <x:v>Productivity</x:v>
      </x:c>
      <x:c r="R84" s="36" t="str">
        <x:v>NotAssessed</x:v>
      </x:c>
      <x:c r="S84" s="36" t="str"/>
      <x:c r="T84" s="36" t="str">
        <x:v>Common pot</x:v>
      </x:c>
      <x:c r="U84" s="41" t="n">
        <x:f>VLOOKUP("Priority|"&amp;O84,'Score settings'!$A$14:$C$43,2,FALSE)/'Score settings'!$B$4*'Score settings'!$C$4</x:f>
        <x:v>25</x:v>
      </x:c>
      <x:c r="V84" s="41" t="n">
        <x:f>VLOOKUP("Category|"&amp;P84,'Score settings'!$A$14:$C$43,2,FALSE)/'Score settings'!$B$5*'Score settings'!$C$5</x:f>
        <x:v>17</x:v>
      </x:c>
      <x:c r="W84" s="41" t="n">
        <x:f>VLOOKUP("Area|"&amp;Q84,'Score settings'!$A$14:$C$43,2,FALSE)/'Score settings'!$B$6*'Score settings'!$C$6</x:f>
        <x:v>10</x:v>
      </x:c>
      <x:c r="X84" s="41" t="n">
        <x:f>VLOOKUP("Benefits|"&amp;IF(AND(ISNUMBER(H84),H84&gt;0,ISNUMBER(G84),G84&gt;0),IF(H84/G84&gt;='Score settings'!$E$17,"3plus",IF(H84/G84&gt;='Score settings'!$E$16,"1.5to3",IF(H84/G84&gt;='Score settings'!$E$15,"0.5to1.5","positive"))),"None"),'Score settings'!$A$14:$C$43,2,FALSE)/'Score settings'!$B$7*'Score settings'!$C$7</x:f>
        <x:v>5</x:v>
      </x:c>
      <x:c r="Y84" s="41" t="n">
        <x:f>VLOOKUP("Waste|"&amp;R84,'Score settings'!$A$14:$C$43,2,FALSE)/'Score settings'!$B$8*'Score settings'!$C$8</x:f>
        <x:v>7</x:v>
      </x:c>
      <x:c r="Z84" s="41" t="n">
        <x:f>IF(B84="","",SUM(U84:Y84))</x:f>
        <x:v>64</x:v>
      </x:c>
      <x:c r="AA84" s="41" t="str">
        <x:f>IF(Z84="","Not scored",VLOOKUP(Z84,'Score settings'!$A$47:$C$50,2,TRUE))</x:f>
        <x:v>Strong</x:v>
      </x:c>
      <x:c r="AB84" s="41" t="n">
        <x:f>VLOOKUP("Priority|"&amp;O84,'Score settings'!$A$14:$C$43,3,FALSE)/'Score settings'!$B$4*'Score settings'!$D$4</x:f>
        <x:v>15</x:v>
      </x:c>
      <x:c r="AC84" s="41" t="n">
        <x:f>VLOOKUP("Category|"&amp;P84,'Score settings'!$A$14:$C$43,3,FALSE)/'Score settings'!$B$5*'Score settings'!$D$5</x:f>
        <x:v>8.5</x:v>
      </x:c>
      <x:c r="AD84" s="41" t="n">
        <x:f>VLOOKUP("Area|"&amp;Q84,'Score settings'!$A$14:$C$43,3,FALSE)/'Score settings'!$B$6*'Score settings'!$D$6</x:f>
        <x:v>6.666666666666666</x:v>
      </x:c>
      <x:c r="AE84" s="41" t="n">
        <x:f>VLOOKUP("Benefits|"&amp;IF(AND(ISNUMBER(K84),K84&gt;0,ISNUMBER(G84),G84&gt;0),IF(K84/G84&gt;='Score settings'!$E$17,"3plus",IF(K84/G84&gt;='Score settings'!$E$16,"1.5to3",IF(K84/G84&gt;='Score settings'!$E$15,"0.5to1.5","positive"))),"None"),'Score settings'!$A$14:$C$43,3,FALSE)/'Score settings'!$B$7*'Score settings'!$D$7</x:f>
        <x:v>0</x:v>
      </x:c>
      <x:c r="AF84" s="41" t="n">
        <x:f>VLOOKUP("Waste|"&amp;R84,'Score settings'!$A$14:$C$43,3,FALSE)/'Score settings'!$B$8*'Score settings'!$D$8</x:f>
        <x:v>0</x:v>
      </x:c>
      <x:c r="AG84" s="41" t="n">
        <x:f>(IF(AND(ISNUMBER(M84),M84&gt;0,ISNUMBER(G84),G84&gt;0),IF(M84/G84&gt;='Score settings'!$E$17,'Score settings'!$G$17,IF(M84/G84&gt;='Score settings'!$E$16,'Score settings'!$G$16,IF(M84/G84&gt;='Score settings'!$E$15,'Score settings'!$G$15,'Score settings'!$G$14))),0)/15*'Score settings'!$B$60+IFERROR(VLOOKUP(IF(ISNUMBER(N84),N84,IF(ISNUMBER(L84),L84,0)),'Score settings'!$E$22:$F$26,2,FALSE),0)/10*'Score settings'!$B$61)/'Score settings'!$B$9*'Score settings'!$D$9</x:f>
        <x:v>0</x:v>
      </x:c>
      <x:c r="AH84" s="41" t="n">
        <x:f>IF(B84="","",SUM(AB84:AG84))</x:f>
        <x:v>30.166666666666664</x:v>
      </x:c>
      <x:c r="AI84" s="41" t="str">
        <x:f>IF(NOT(ISNUMBER(AH84)),"Not scored",VLOOKUP(AH84,'Score settings'!$A$47:$C$50,3,TRUE))</x:f>
        <x:v>Discretionary</x:v>
      </x:c>
      <x:c r="AJ84" s="42" t="n">
        <x:f>IF(OR(NOT(ISNUMBER(AH84)),T84&lt;&gt;"Common pot"),"",COUNTIFS($T$4:$T$509,"Common pot",$AH$4:$AH$509,"&gt;"&amp;AH84)+1)</x:f>
        <x:v>184</x:v>
      </x:c>
      <x:c r="AK84" s="36" t="str">
        <x:f>IF(B84="","Name missing - not scored",IF(OR(NOT(ISNUMBER(G84)),G84&lt;=0),"Investment missing or zero - review",IF(0=1,"Permanent ID missing - reconcile",IF(AND(ISNUMBER(H84),H84/G84&gt;='Score settings'!$B$58,NOT(ISNUMBER(I84))),"Benefit units need review",IF(OR(R84="EXIT",R84="CHALLENGE"),"Waste decision requires scope resolution",IF("Name and organisation matched"&lt;&gt;"Name and organisation matched","Waste evidence match needs review","Provisional source score - confirm evidence"))))))</x:f>
        <x:v>Investment missing or zero - review</x:v>
      </x:c>
      <x:c r="AL84" s="36"/>
      <x:c r="AM84" s="40"/>
      <x:c r="AN84" s="39"/>
      <x:c r="AO84" s="40"/>
      <x:c r="AP84" s="40"/>
    </x:row>
    <x:row r="85" ht="15" hidden="0" customHeight="1">
      <x:c r="A85" s="36" t="str">
        <x:v>Bu-90</x:v>
      </x:c>
      <x:c r="B85" s="37" t="str">
        <x:v>SRC PPL Tree</x:v>
      </x:c>
      <x:c r="C85" s="36" t="str">
        <x:v>BU Led</x:v>
      </x:c>
      <x:c r="D85" s="36" t="str">
        <x:v>Sleep &amp; Respiratory Care (SRC)</x:v>
      </x:c>
      <x:c r="E85" s="38" t="n">
        <x:v>0</x:v>
      </x:c>
      <x:c r="F85" s="39"/>
      <x:c r="G85" s="38" t="str">
        <x:f>IF(ISNUMBER(F85),F85,IF(E85="","",E85))</x:f>
      </x:c>
      <x:c r="H85" s="38" t="n">
        <x:v>50</x:v>
      </x:c>
      <x:c r="I85" s="39"/>
      <x:c r="J85" s="36" t="str">
        <x:v>Cash savings</x:v>
      </x:c>
      <x:c r="K85" s="38" t="str">
        <x:f>IF(ISNUMBER(I85),I85,IF(OR(NOT(ISNUMBER(H85)),NOT(ISNUMBER(G85)),G85&lt;=0),"",IF(H85/G85&gt;='Score settings'!$B$58,"",IF(J85="Cash savings",H85,IF(J85="Revenue",H85*'Score settings'!$B$55,"")))))</x:f>
      </x:c>
      <x:c r="L85" s="36"/>
      <x:c r="M85" s="39"/>
      <x:c r="N85" s="40"/>
      <x:c r="O85" s="36" t="str">
        <x:v>Must Do</x:v>
      </x:c>
      <x:c r="P85" s="36" t="str">
        <x:v>NewFeat</x:v>
      </x:c>
      <x:c r="Q85" s="36" t="str">
        <x:v>ProcSimp</x:v>
      </x:c>
      <x:c r="R85" s="36" t="str">
        <x:v>NotAssessed</x:v>
      </x:c>
      <x:c r="S85" s="36" t="str"/>
      <x:c r="T85" s="36" t="str">
        <x:v>Common pot</x:v>
      </x:c>
      <x:c r="U85" s="41" t="n">
        <x:f>VLOOKUP("Priority|"&amp;O85,'Score settings'!$A$14:$C$43,2,FALSE)/'Score settings'!$B$4*'Score settings'!$C$4</x:f>
        <x:v>25</x:v>
      </x:c>
      <x:c r="V85" s="41" t="n">
        <x:f>VLOOKUP("Category|"&amp;P85,'Score settings'!$A$14:$C$43,2,FALSE)/'Score settings'!$B$5*'Score settings'!$C$5</x:f>
        <x:v>6</x:v>
      </x:c>
      <x:c r="W85" s="41" t="n">
        <x:f>VLOOKUP("Area|"&amp;Q85,'Score settings'!$A$14:$C$43,2,FALSE)/'Score settings'!$B$6*'Score settings'!$C$6</x:f>
        <x:v>12</x:v>
      </x:c>
      <x:c r="X85" s="41" t="n">
        <x:f>VLOOKUP("Benefits|"&amp;IF(AND(ISNUMBER(H85),H85&gt;0,ISNUMBER(G85),G85&gt;0),IF(H85/G85&gt;='Score settings'!$E$17,"3plus",IF(H85/G85&gt;='Score settings'!$E$16,"1.5to3",IF(H85/G85&gt;='Score settings'!$E$15,"0.5to1.5","positive"))),"None"),'Score settings'!$A$14:$C$43,2,FALSE)/'Score settings'!$B$7*'Score settings'!$C$7</x:f>
        <x:v>5</x:v>
      </x:c>
      <x:c r="Y85" s="41" t="n">
        <x:f>VLOOKUP("Waste|"&amp;R85,'Score settings'!$A$14:$C$43,2,FALSE)/'Score settings'!$B$8*'Score settings'!$C$8</x:f>
        <x:v>7</x:v>
      </x:c>
      <x:c r="Z85" s="41" t="n">
        <x:f>IF(B85="","",SUM(U85:Y85))</x:f>
        <x:v>55</x:v>
      </x:c>
      <x:c r="AA85" s="41" t="str">
        <x:f>IF(Z85="","Not scored",VLOOKUP(Z85,'Score settings'!$A$47:$C$50,2,TRUE))</x:f>
        <x:v>Strong</x:v>
      </x:c>
      <x:c r="AB85" s="41" t="n">
        <x:f>VLOOKUP("Priority|"&amp;O85,'Score settings'!$A$14:$C$43,3,FALSE)/'Score settings'!$B$4*'Score settings'!$D$4</x:f>
        <x:v>15</x:v>
      </x:c>
      <x:c r="AC85" s="41" t="n">
        <x:f>VLOOKUP("Category|"&amp;P85,'Score settings'!$A$14:$C$43,3,FALSE)/'Score settings'!$B$5*'Score settings'!$D$5</x:f>
        <x:v>3</x:v>
      </x:c>
      <x:c r="AD85" s="41" t="n">
        <x:f>VLOOKUP("Area|"&amp;Q85,'Score settings'!$A$14:$C$43,3,FALSE)/'Score settings'!$B$6*'Score settings'!$D$6</x:f>
        <x:v>8</x:v>
      </x:c>
      <x:c r="AE85" s="41" t="n">
        <x:f>VLOOKUP("Benefits|"&amp;IF(AND(ISNUMBER(K85),K85&gt;0,ISNUMBER(G85),G85&gt;0),IF(K85/G85&gt;='Score settings'!$E$17,"3plus",IF(K85/G85&gt;='Score settings'!$E$16,"1.5to3",IF(K85/G85&gt;='Score settings'!$E$15,"0.5to1.5","positive"))),"None"),'Score settings'!$A$14:$C$43,3,FALSE)/'Score settings'!$B$7*'Score settings'!$D$7</x:f>
        <x:v>0</x:v>
      </x:c>
      <x:c r="AF85" s="41" t="n">
        <x:f>VLOOKUP("Waste|"&amp;R85,'Score settings'!$A$14:$C$43,3,FALSE)/'Score settings'!$B$8*'Score settings'!$D$8</x:f>
        <x:v>0</x:v>
      </x:c>
      <x:c r="AG85" s="41" t="n">
        <x:f>(IF(AND(ISNUMBER(M85),M85&gt;0,ISNUMBER(G85),G85&gt;0),IF(M85/G85&gt;='Score settings'!$E$17,'Score settings'!$G$17,IF(M85/G85&gt;='Score settings'!$E$16,'Score settings'!$G$16,IF(M85/G85&gt;='Score settings'!$E$15,'Score settings'!$G$15,'Score settings'!$G$14))),0)/15*'Score settings'!$B$60+IFERROR(VLOOKUP(IF(ISNUMBER(N85),N85,IF(ISNUMBER(L85),L85,0)),'Score settings'!$E$22:$F$26,2,FALSE),0)/10*'Score settings'!$B$61)/'Score settings'!$B$9*'Score settings'!$D$9</x:f>
        <x:v>0</x:v>
      </x:c>
      <x:c r="AH85" s="41" t="n">
        <x:f>IF(B85="","",SUM(AB85:AG85))</x:f>
        <x:v>26</x:v>
      </x:c>
      <x:c r="AI85" s="41" t="str">
        <x:f>IF(NOT(ISNUMBER(AH85)),"Not scored",VLOOKUP(AH85,'Score settings'!$A$47:$C$50,3,TRUE))</x:f>
        <x:v>Discretionary</x:v>
      </x:c>
      <x:c r="AJ85" s="42" t="n">
        <x:f>IF(OR(NOT(ISNUMBER(AH85)),T85&lt;&gt;"Common pot"),"",COUNTIFS($T$4:$T$509,"Common pot",$AH$4:$AH$509,"&gt;"&amp;AH85)+1)</x:f>
        <x:v>237</x:v>
      </x:c>
      <x:c r="AK85" s="36" t="str">
        <x:f>IF(B85="","Name missing - not scored",IF(OR(NOT(ISNUMBER(G85)),G85&lt;=0),"Investment missing or zero - review",IF(0=1,"Permanent ID missing - reconcile",IF(AND(ISNUMBER(H85),H85/G85&gt;='Score settings'!$B$58,NOT(ISNUMBER(I85))),"Benefit units need review",IF(OR(R85="EXIT",R85="CHALLENGE"),"Waste decision requires scope resolution",IF("Name and organisation matched"&lt;&gt;"Name and organisation matched","Waste evidence match needs review","Provisional source score - confirm evidence"))))))</x:f>
        <x:v>Investment missing or zero - review</x:v>
      </x:c>
      <x:c r="AL85" s="36"/>
      <x:c r="AM85" s="40"/>
      <x:c r="AN85" s="39"/>
      <x:c r="AO85" s="40"/>
      <x:c r="AP85" s="40"/>
    </x:row>
    <x:row r="86" ht="15" hidden="0" customHeight="1">
      <x:c r="A86" s="36" t="str">
        <x:v>Bu-91</x:v>
      </x:c>
      <x:c r="B86" s="37" t="str">
        <x:v>SRC Integrated Portal</x:v>
      </x:c>
      <x:c r="C86" s="36" t="str">
        <x:v>BU Led</x:v>
      </x:c>
      <x:c r="D86" s="36" t="str">
        <x:v>Sleep &amp; Respiratory Care (SRC)</x:v>
      </x:c>
      <x:c r="E86" s="38" t="n">
        <x:v>0</x:v>
      </x:c>
      <x:c r="F86" s="39"/>
      <x:c r="G86" s="38" t="str">
        <x:f>IF(ISNUMBER(F86),F86,IF(E86="","",E86))</x:f>
      </x:c>
      <x:c r="H86" s="38" t="n">
        <x:v>50</x:v>
      </x:c>
      <x:c r="I86" s="39"/>
      <x:c r="J86" s="36" t="str">
        <x:v>Revenue</x:v>
      </x:c>
      <x:c r="K86" s="38" t="str">
        <x:f>IF(ISNUMBER(I86),I86,IF(OR(NOT(ISNUMBER(H86)),NOT(ISNUMBER(G86)),G86&lt;=0),"",IF(H86/G86&gt;='Score settings'!$B$58,"",IF(J86="Cash savings",H86,IF(J86="Revenue",H86*'Score settings'!$B$55,"")))))</x:f>
      </x:c>
      <x:c r="L86" s="36"/>
      <x:c r="M86" s="39"/>
      <x:c r="N86" s="40"/>
      <x:c r="O86" s="36" t="str">
        <x:v>Must Do</x:v>
      </x:c>
      <x:c r="P86" s="36" t="str">
        <x:v>NewTech</x:v>
      </x:c>
      <x:c r="Q86" s="36" t="str">
        <x:v>Revenue</x:v>
      </x:c>
      <x:c r="R86" s="36" t="str">
        <x:v>NotAssessed</x:v>
      </x:c>
      <x:c r="S86" s="36" t="str"/>
      <x:c r="T86" s="36" t="str">
        <x:v>Common pot</x:v>
      </x:c>
      <x:c r="U86" s="41" t="n">
        <x:f>VLOOKUP("Priority|"&amp;O86,'Score settings'!$A$14:$C$43,2,FALSE)/'Score settings'!$B$4*'Score settings'!$C$4</x:f>
        <x:v>25</x:v>
      </x:c>
      <x:c r="V86" s="41" t="n">
        <x:f>VLOOKUP("Category|"&amp;P86,'Score settings'!$A$14:$C$43,2,FALSE)/'Score settings'!$B$5*'Score settings'!$C$5</x:f>
        <x:v>5</x:v>
      </x:c>
      <x:c r="W86" s="41" t="n">
        <x:f>VLOOKUP("Area|"&amp;Q86,'Score settings'!$A$14:$C$43,2,FALSE)/'Score settings'!$B$6*'Score settings'!$C$6</x:f>
        <x:v>11</x:v>
      </x:c>
      <x:c r="X86" s="41" t="n">
        <x:f>VLOOKUP("Benefits|"&amp;IF(AND(ISNUMBER(H86),H86&gt;0,ISNUMBER(G86),G86&gt;0),IF(H86/G86&gt;='Score settings'!$E$17,"3plus",IF(H86/G86&gt;='Score settings'!$E$16,"1.5to3",IF(H86/G86&gt;='Score settings'!$E$15,"0.5to1.5","positive"))),"None"),'Score settings'!$A$14:$C$43,2,FALSE)/'Score settings'!$B$7*'Score settings'!$C$7</x:f>
        <x:v>5</x:v>
      </x:c>
      <x:c r="Y86" s="41" t="n">
        <x:f>VLOOKUP("Waste|"&amp;R86,'Score settings'!$A$14:$C$43,2,FALSE)/'Score settings'!$B$8*'Score settings'!$C$8</x:f>
        <x:v>7</x:v>
      </x:c>
      <x:c r="Z86" s="41" t="n">
        <x:f>IF(B86="","",SUM(U86:Y86))</x:f>
        <x:v>53</x:v>
      </x:c>
      <x:c r="AA86" s="41" t="str">
        <x:f>IF(Z86="","Not scored",VLOOKUP(Z86,'Score settings'!$A$47:$C$50,2,TRUE))</x:f>
        <x:v>Strong</x:v>
      </x:c>
      <x:c r="AB86" s="41" t="n">
        <x:f>VLOOKUP("Priority|"&amp;O86,'Score settings'!$A$14:$C$43,3,FALSE)/'Score settings'!$B$4*'Score settings'!$D$4</x:f>
        <x:v>15</x:v>
      </x:c>
      <x:c r="AC86" s="41" t="n">
        <x:f>VLOOKUP("Category|"&amp;P86,'Score settings'!$A$14:$C$43,3,FALSE)/'Score settings'!$B$5*'Score settings'!$D$5</x:f>
        <x:v>2.5</x:v>
      </x:c>
      <x:c r="AD86" s="41" t="n">
        <x:f>VLOOKUP("Area|"&amp;Q86,'Score settings'!$A$14:$C$43,3,FALSE)/'Score settings'!$B$6*'Score settings'!$D$6</x:f>
        <x:v>7.333333333333333</x:v>
      </x:c>
      <x:c r="AE86" s="41" t="n">
        <x:f>VLOOKUP("Benefits|"&amp;IF(AND(ISNUMBER(K86),K86&gt;0,ISNUMBER(G86),G86&gt;0),IF(K86/G86&gt;='Score settings'!$E$17,"3plus",IF(K86/G86&gt;='Score settings'!$E$16,"1.5to3",IF(K86/G86&gt;='Score settings'!$E$15,"0.5to1.5","positive"))),"None"),'Score settings'!$A$14:$C$43,3,FALSE)/'Score settings'!$B$7*'Score settings'!$D$7</x:f>
        <x:v>0</x:v>
      </x:c>
      <x:c r="AF86" s="41" t="n">
        <x:f>VLOOKUP("Waste|"&amp;R86,'Score settings'!$A$14:$C$43,3,FALSE)/'Score settings'!$B$8*'Score settings'!$D$8</x:f>
        <x:v>0</x:v>
      </x:c>
      <x:c r="AG86" s="41" t="n">
        <x:f>(IF(AND(ISNUMBER(M86),M86&gt;0,ISNUMBER(G86),G86&gt;0),IF(M86/G86&gt;='Score settings'!$E$17,'Score settings'!$G$17,IF(M86/G86&gt;='Score settings'!$E$16,'Score settings'!$G$16,IF(M86/G86&gt;='Score settings'!$E$15,'Score settings'!$G$15,'Score settings'!$G$14))),0)/15*'Score settings'!$B$60+IFERROR(VLOOKUP(IF(ISNUMBER(N86),N86,IF(ISNUMBER(L86),L86,0)),'Score settings'!$E$22:$F$26,2,FALSE),0)/10*'Score settings'!$B$61)/'Score settings'!$B$9*'Score settings'!$D$9</x:f>
        <x:v>0</x:v>
      </x:c>
      <x:c r="AH86" s="41" t="n">
        <x:f>IF(B86="","",SUM(AB86:AG86))</x:f>
        <x:v>24.833333333333332</x:v>
      </x:c>
      <x:c r="AI86" s="41" t="str">
        <x:f>IF(NOT(ISNUMBER(AH86)),"Not scored",VLOOKUP(AH86,'Score settings'!$A$47:$C$50,3,TRUE))</x:f>
        <x:v>Weak</x:v>
      </x:c>
      <x:c r="AJ86" s="42" t="n">
        <x:f>IF(OR(NOT(ISNUMBER(AH86)),T86&lt;&gt;"Common pot"),"",COUNTIFS($T$4:$T$509,"Common pot",$AH$4:$AH$509,"&gt;"&amp;AH86)+1)</x:f>
        <x:v>269</x:v>
      </x:c>
      <x:c r="AK86" s="36" t="str">
        <x:f>IF(B86="","Name missing - not scored",IF(OR(NOT(ISNUMBER(G86)),G86&lt;=0),"Investment missing or zero - review",IF(0=1,"Permanent ID missing - reconcile",IF(AND(ISNUMBER(H86),H86/G86&gt;='Score settings'!$B$58,NOT(ISNUMBER(I86))),"Benefit units need review",IF(OR(R86="EXIT",R86="CHALLENGE"),"Waste decision requires scope resolution",IF("Name and organisation matched"&lt;&gt;"Name and organisation matched","Waste evidence match needs review","Provisional source score - confirm evidence"))))))</x:f>
        <x:v>Investment missing or zero - review</x:v>
      </x:c>
      <x:c r="AL86" s="36"/>
      <x:c r="AM86" s="40"/>
      <x:c r="AN86" s="39"/>
      <x:c r="AO86" s="40"/>
      <x:c r="AP86" s="40"/>
    </x:row>
    <x:row r="87" ht="15" hidden="0" customHeight="1">
      <x:c r="A87" s="36" t="str">
        <x:v>Bu-92</x:v>
      </x:c>
      <x:c r="B87" s="37" t="str">
        <x:v>Website - New Functionality</x:v>
      </x:c>
      <x:c r="C87" s="36" t="str">
        <x:v>BU Led</x:v>
      </x:c>
      <x:c r="D87" s="36" t="str">
        <x:v>Sleep &amp; Respiratory Care (SRC)</x:v>
      </x:c>
      <x:c r="E87" s="38" t="n">
        <x:v>0</x:v>
      </x:c>
      <x:c r="F87" s="39"/>
      <x:c r="G87" s="38" t="str">
        <x:f>IF(ISNUMBER(F87),F87,IF(E87="","",E87))</x:f>
      </x:c>
      <x:c r="H87" s="38" t="n">
        <x:v>50</x:v>
      </x:c>
      <x:c r="I87" s="39"/>
      <x:c r="J87" s="36" t="str">
        <x:v>Revenue</x:v>
      </x:c>
      <x:c r="K87" s="38" t="str">
        <x:f>IF(ISNUMBER(I87),I87,IF(OR(NOT(ISNUMBER(H87)),NOT(ISNUMBER(G87)),G87&lt;=0),"",IF(H87/G87&gt;='Score settings'!$B$58,"",IF(J87="Cash savings",H87,IF(J87="Revenue",H87*'Score settings'!$B$55,"")))))</x:f>
      </x:c>
      <x:c r="L87" s="36"/>
      <x:c r="M87" s="39"/>
      <x:c r="N87" s="40"/>
      <x:c r="O87" s="36" t="str">
        <x:v>Must Do</x:v>
      </x:c>
      <x:c r="P87" s="36" t="str">
        <x:v>NewFeat</x:v>
      </x:c>
      <x:c r="Q87" s="36" t="str">
        <x:v>Revenue</x:v>
      </x:c>
      <x:c r="R87" s="36" t="str">
        <x:v>NotAssessed</x:v>
      </x:c>
      <x:c r="S87" s="36" t="str"/>
      <x:c r="T87" s="36" t="str">
        <x:v>Common pot</x:v>
      </x:c>
      <x:c r="U87" s="41" t="n">
        <x:f>VLOOKUP("Priority|"&amp;O87,'Score settings'!$A$14:$C$43,2,FALSE)/'Score settings'!$B$4*'Score settings'!$C$4</x:f>
        <x:v>25</x:v>
      </x:c>
      <x:c r="V87" s="41" t="n">
        <x:f>VLOOKUP("Category|"&amp;P87,'Score settings'!$A$14:$C$43,2,FALSE)/'Score settings'!$B$5*'Score settings'!$C$5</x:f>
        <x:v>6</x:v>
      </x:c>
      <x:c r="W87" s="41" t="n">
        <x:f>VLOOKUP("Area|"&amp;Q87,'Score settings'!$A$14:$C$43,2,FALSE)/'Score settings'!$B$6*'Score settings'!$C$6</x:f>
        <x:v>11</x:v>
      </x:c>
      <x:c r="X87" s="41" t="n">
        <x:f>VLOOKUP("Benefits|"&amp;IF(AND(ISNUMBER(H87),H87&gt;0,ISNUMBER(G87),G87&gt;0),IF(H87/G87&gt;='Score settings'!$E$17,"3plus",IF(H87/G87&gt;='Score settings'!$E$16,"1.5to3",IF(H87/G87&gt;='Score settings'!$E$15,"0.5to1.5","positive"))),"None"),'Score settings'!$A$14:$C$43,2,FALSE)/'Score settings'!$B$7*'Score settings'!$C$7</x:f>
        <x:v>5</x:v>
      </x:c>
      <x:c r="Y87" s="41" t="n">
        <x:f>VLOOKUP("Waste|"&amp;R87,'Score settings'!$A$14:$C$43,2,FALSE)/'Score settings'!$B$8*'Score settings'!$C$8</x:f>
        <x:v>7</x:v>
      </x:c>
      <x:c r="Z87" s="41" t="n">
        <x:f>IF(B87="","",SUM(U87:Y87))</x:f>
        <x:v>54</x:v>
      </x:c>
      <x:c r="AA87" s="41" t="str">
        <x:f>IF(Z87="","Not scored",VLOOKUP(Z87,'Score settings'!$A$47:$C$50,2,TRUE))</x:f>
        <x:v>Strong</x:v>
      </x:c>
      <x:c r="AB87" s="41" t="n">
        <x:f>VLOOKUP("Priority|"&amp;O87,'Score settings'!$A$14:$C$43,3,FALSE)/'Score settings'!$B$4*'Score settings'!$D$4</x:f>
        <x:v>15</x:v>
      </x:c>
      <x:c r="AC87" s="41" t="n">
        <x:f>VLOOKUP("Category|"&amp;P87,'Score settings'!$A$14:$C$43,3,FALSE)/'Score settings'!$B$5*'Score settings'!$D$5</x:f>
        <x:v>3</x:v>
      </x:c>
      <x:c r="AD87" s="41" t="n">
        <x:f>VLOOKUP("Area|"&amp;Q87,'Score settings'!$A$14:$C$43,3,FALSE)/'Score settings'!$B$6*'Score settings'!$D$6</x:f>
        <x:v>7.333333333333333</x:v>
      </x:c>
      <x:c r="AE87" s="41" t="n">
        <x:f>VLOOKUP("Benefits|"&amp;IF(AND(ISNUMBER(K87),K87&gt;0,ISNUMBER(G87),G87&gt;0),IF(K87/G87&gt;='Score settings'!$E$17,"3plus",IF(K87/G87&gt;='Score settings'!$E$16,"1.5to3",IF(K87/G87&gt;='Score settings'!$E$15,"0.5to1.5","positive"))),"None"),'Score settings'!$A$14:$C$43,3,FALSE)/'Score settings'!$B$7*'Score settings'!$D$7</x:f>
        <x:v>0</x:v>
      </x:c>
      <x:c r="AF87" s="41" t="n">
        <x:f>VLOOKUP("Waste|"&amp;R87,'Score settings'!$A$14:$C$43,3,FALSE)/'Score settings'!$B$8*'Score settings'!$D$8</x:f>
        <x:v>0</x:v>
      </x:c>
      <x:c r="AG87" s="41" t="n">
        <x:f>(IF(AND(ISNUMBER(M87),M87&gt;0,ISNUMBER(G87),G87&gt;0),IF(M87/G87&gt;='Score settings'!$E$17,'Score settings'!$G$17,IF(M87/G87&gt;='Score settings'!$E$16,'Score settings'!$G$16,IF(M87/G87&gt;='Score settings'!$E$15,'Score settings'!$G$15,'Score settings'!$G$14))),0)/15*'Score settings'!$B$60+IFERROR(VLOOKUP(IF(ISNUMBER(N87),N87,IF(ISNUMBER(L87),L87,0)),'Score settings'!$E$22:$F$26,2,FALSE),0)/10*'Score settings'!$B$61)/'Score settings'!$B$9*'Score settings'!$D$9</x:f>
        <x:v>0</x:v>
      </x:c>
      <x:c r="AH87" s="41" t="n">
        <x:f>IF(B87="","",SUM(AB87:AG87))</x:f>
        <x:v>25.333333333333332</x:v>
      </x:c>
      <x:c r="AI87" s="41" t="str">
        <x:f>IF(NOT(ISNUMBER(AH87)),"Not scored",VLOOKUP(AH87,'Score settings'!$A$47:$C$50,3,TRUE))</x:f>
        <x:v>Discretionary</x:v>
      </x:c>
      <x:c r="AJ87" s="42" t="n">
        <x:f>IF(OR(NOT(ISNUMBER(AH87)),T87&lt;&gt;"Common pot"),"",COUNTIFS($T$4:$T$509,"Common pot",$AH$4:$AH$509,"&gt;"&amp;AH87)+1)</x:f>
        <x:v>253</x:v>
      </x:c>
      <x:c r="AK87" s="36" t="str">
        <x:f>IF(B87="","Name missing - not scored",IF(OR(NOT(ISNUMBER(G87)),G87&lt;=0),"Investment missing or zero - review",IF(0=1,"Permanent ID missing - reconcile",IF(AND(ISNUMBER(H87),H87/G87&gt;='Score settings'!$B$58,NOT(ISNUMBER(I87))),"Benefit units need review",IF(OR(R87="EXIT",R87="CHALLENGE"),"Waste decision requires scope resolution",IF("No exact waste match"&lt;&gt;"Name and organisation matched","Waste evidence match needs review","Provisional source score - confirm evidence"))))))</x:f>
        <x:v>Investment missing or zero - review</x:v>
      </x:c>
      <x:c r="AL87" s="36"/>
      <x:c r="AM87" s="40"/>
      <x:c r="AN87" s="39"/>
      <x:c r="AO87" s="40"/>
      <x:c r="AP87" s="40"/>
    </x:row>
    <x:row r="88" ht="15" hidden="0" customHeight="1">
      <x:c r="A88" s="36" t="str">
        <x:v>Bu-93</x:v>
      </x:c>
      <x:c r="B88" s="37" t="str">
        <x:v>Salsify Integration</x:v>
      </x:c>
      <x:c r="C88" s="36" t="str">
        <x:v>BU Led</x:v>
      </x:c>
      <x:c r="D88" s="36" t="str">
        <x:v>Sleep &amp; Respiratory Care (SRC)</x:v>
      </x:c>
      <x:c r="E88" s="38" t="n">
        <x:v>0</x:v>
      </x:c>
      <x:c r="F88" s="39"/>
      <x:c r="G88" s="38" t="str">
        <x:f>IF(ISNUMBER(F88),F88,IF(E88="","",E88))</x:f>
      </x:c>
      <x:c r="H88" s="38"/>
      <x:c r="I88" s="39"/>
      <x:c r="J88" s="36" t="str">
        <x:v>Cash savings</x:v>
      </x:c>
      <x:c r="K88" s="38" t="str">
        <x:f>IF(ISNUMBER(I88),I88,IF(OR(NOT(ISNUMBER(H88)),NOT(ISNUMBER(G88)),G88&lt;=0),"",IF(H88/G88&gt;='Score settings'!$B$58,"",IF(J88="Cash savings",H88,IF(J88="Revenue",H88*'Score settings'!$B$55,"")))))</x:f>
      </x:c>
      <x:c r="L88" s="36"/>
      <x:c r="M88" s="39"/>
      <x:c r="N88" s="40"/>
      <x:c r="O88" s="36" t="str">
        <x:v>Must Do</x:v>
      </x:c>
      <x:c r="P88" s="36" t="str">
        <x:v>CI</x:v>
      </x:c>
      <x:c r="Q88" s="36" t="str">
        <x:v>ProcSimp</x:v>
      </x:c>
      <x:c r="R88" s="36" t="str">
        <x:v>NotAssessed</x:v>
      </x:c>
      <x:c r="S88" s="36" t="str"/>
      <x:c r="T88" s="36" t="str">
        <x:v>Common pot</x:v>
      </x:c>
      <x:c r="U88" s="41" t="n">
        <x:f>VLOOKUP("Priority|"&amp;O88,'Score settings'!$A$14:$C$43,2,FALSE)/'Score settings'!$B$4*'Score settings'!$C$4</x:f>
        <x:v>25</x:v>
      </x:c>
      <x:c r="V88" s="41" t="n">
        <x:f>VLOOKUP("Category|"&amp;P88,'Score settings'!$A$14:$C$43,2,FALSE)/'Score settings'!$B$5*'Score settings'!$C$5</x:f>
        <x:v>8</x:v>
      </x:c>
      <x:c r="W88" s="41" t="n">
        <x:f>VLOOKUP("Area|"&amp;Q88,'Score settings'!$A$14:$C$43,2,FALSE)/'Score settings'!$B$6*'Score settings'!$C$6</x:f>
        <x:v>12</x:v>
      </x:c>
      <x:c r="X88" s="41" t="n">
        <x:f>VLOOKUP("Benefits|"&amp;IF(AND(ISNUMBER(H88),H88&gt;0,ISNUMBER(G88),G88&gt;0),IF(H88/G88&gt;='Score settings'!$E$17,"3plus",IF(H88/G88&gt;='Score settings'!$E$16,"1.5to3",IF(H88/G88&gt;='Score settings'!$E$15,"0.5to1.5","positive"))),"None"),'Score settings'!$A$14:$C$43,2,FALSE)/'Score settings'!$B$7*'Score settings'!$C$7</x:f>
        <x:v>5</x:v>
      </x:c>
      <x:c r="Y88" s="41" t="n">
        <x:f>VLOOKUP("Waste|"&amp;R88,'Score settings'!$A$14:$C$43,2,FALSE)/'Score settings'!$B$8*'Score settings'!$C$8</x:f>
        <x:v>7</x:v>
      </x:c>
      <x:c r="Z88" s="41" t="n">
        <x:f>IF(B88="","",SUM(U88:Y88))</x:f>
        <x:v>57</x:v>
      </x:c>
      <x:c r="AA88" s="41" t="str">
        <x:f>IF(Z88="","Not scored",VLOOKUP(Z88,'Score settings'!$A$47:$C$50,2,TRUE))</x:f>
        <x:v>Strong</x:v>
      </x:c>
      <x:c r="AB88" s="41" t="n">
        <x:f>VLOOKUP("Priority|"&amp;O88,'Score settings'!$A$14:$C$43,3,FALSE)/'Score settings'!$B$4*'Score settings'!$D$4</x:f>
        <x:v>15</x:v>
      </x:c>
      <x:c r="AC88" s="41" t="n">
        <x:f>VLOOKUP("Category|"&amp;P88,'Score settings'!$A$14:$C$43,3,FALSE)/'Score settings'!$B$5*'Score settings'!$D$5</x:f>
        <x:v>4</x:v>
      </x:c>
      <x:c r="AD88" s="41" t="n">
        <x:f>VLOOKUP("Area|"&amp;Q88,'Score settings'!$A$14:$C$43,3,FALSE)/'Score settings'!$B$6*'Score settings'!$D$6</x:f>
        <x:v>8</x:v>
      </x:c>
      <x:c r="AE88" s="41" t="n">
        <x:f>VLOOKUP("Benefits|"&amp;IF(AND(ISNUMBER(K88),K88&gt;0,ISNUMBER(G88),G88&gt;0),IF(K88/G88&gt;='Score settings'!$E$17,"3plus",IF(K88/G88&gt;='Score settings'!$E$16,"1.5to3",IF(K88/G88&gt;='Score settings'!$E$15,"0.5to1.5","positive"))),"None"),'Score settings'!$A$14:$C$43,3,FALSE)/'Score settings'!$B$7*'Score settings'!$D$7</x:f>
        <x:v>0</x:v>
      </x:c>
      <x:c r="AF88" s="41" t="n">
        <x:f>VLOOKUP("Waste|"&amp;R88,'Score settings'!$A$14:$C$43,3,FALSE)/'Score settings'!$B$8*'Score settings'!$D$8</x:f>
        <x:v>0</x:v>
      </x:c>
      <x:c r="AG88" s="41" t="n">
        <x:f>(IF(AND(ISNUMBER(M88),M88&gt;0,ISNUMBER(G88),G88&gt;0),IF(M88/G88&gt;='Score settings'!$E$17,'Score settings'!$G$17,IF(M88/G88&gt;='Score settings'!$E$16,'Score settings'!$G$16,IF(M88/G88&gt;='Score settings'!$E$15,'Score settings'!$G$15,'Score settings'!$G$14))),0)/15*'Score settings'!$B$60+IFERROR(VLOOKUP(IF(ISNUMBER(N88),N88,IF(ISNUMBER(L88),L88,0)),'Score settings'!$E$22:$F$26,2,FALSE),0)/10*'Score settings'!$B$61)/'Score settings'!$B$9*'Score settings'!$D$9</x:f>
        <x:v>0</x:v>
      </x:c>
      <x:c r="AH88" s="41" t="n">
        <x:f>IF(B88="","",SUM(AB88:AG88))</x:f>
        <x:v>27</x:v>
      </x:c>
      <x:c r="AI88" s="41" t="str">
        <x:f>IF(NOT(ISNUMBER(AH88)),"Not scored",VLOOKUP(AH88,'Score settings'!$A$47:$C$50,3,TRUE))</x:f>
        <x:v>Discretionary</x:v>
      </x:c>
      <x:c r="AJ88" s="42" t="n">
        <x:f>IF(OR(NOT(ISNUMBER(AH88)),T88&lt;&gt;"Common pot"),"",COUNTIFS($T$4:$T$509,"Common pot",$AH$4:$AH$509,"&gt;"&amp;AH88)+1)</x:f>
        <x:v>224</x:v>
      </x:c>
      <x:c r="AK88" s="36" t="str">
        <x:f>IF(B88="","Name missing - not scored",IF(OR(NOT(ISNUMBER(G88)),G88&lt;=0),"Investment missing or zero - review",IF(0=1,"Permanent ID missing - reconcile",IF(AND(ISNUMBER(H88),H88/G88&gt;='Score settings'!$B$58,NOT(ISNUMBER(I88))),"Benefit units need review",IF(OR(R88="EXIT",R88="CHALLENGE"),"Waste decision requires scope resolution",IF("Name and organisation matched"&lt;&gt;"Name and organisation matched","Waste evidence match needs review","Provisional source score - confirm evidence"))))))</x:f>
        <x:v>Investment missing or zero - review</x:v>
      </x:c>
      <x:c r="AL88" s="36"/>
      <x:c r="AM88" s="40"/>
      <x:c r="AN88" s="39"/>
      <x:c r="AO88" s="40"/>
      <x:c r="AP88" s="40"/>
    </x:row>
    <x:row r="89" ht="15" hidden="0" customHeight="1">
      <x:c r="A89" s="36" t="str">
        <x:v>Bu-94</x:v>
      </x:c>
      <x:c r="B89" s="37" t="str">
        <x:v>Content Syndication - SRC</x:v>
      </x:c>
      <x:c r="C89" s="36" t="str">
        <x:v>BU Led</x:v>
      </x:c>
      <x:c r="D89" s="36" t="str">
        <x:v>Sleep &amp; Respiratory Care (SRC)</x:v>
      </x:c>
      <x:c r="E89" s="38" t="n">
        <x:v>0.15</x:v>
      </x:c>
      <x:c r="F89" s="39"/>
      <x:c r="G89" s="38" t="n">
        <x:f>IF(ISNUMBER(F89),F89,IF(E89="","",E89))</x:f>
        <x:v>0.15</x:v>
      </x:c>
      <x:c r="H89" s="38"/>
      <x:c r="I89" s="39"/>
      <x:c r="J89" s="36" t="str">
        <x:v>Revenue</x:v>
      </x:c>
      <x:c r="K89" s="38" t="str">
        <x:f>IF(ISNUMBER(I89),I89,IF(OR(NOT(ISNUMBER(H89)),NOT(ISNUMBER(G89)),G89&lt;=0),"",IF(H89/G89&gt;='Score settings'!$B$58,"",IF(J89="Cash savings",H89,IF(J89="Revenue",H89*'Score settings'!$B$55,"")))))</x:f>
      </x:c>
      <x:c r="L89" s="36"/>
      <x:c r="M89" s="39"/>
      <x:c r="N89" s="40"/>
      <x:c r="O89" s="36" t="str">
        <x:v>Must Do</x:v>
      </x:c>
      <x:c r="P89" s="36" t="str">
        <x:v>NewTech</x:v>
      </x:c>
      <x:c r="Q89" s="36" t="str">
        <x:v>Revenue</x:v>
      </x:c>
      <x:c r="R89" s="36" t="str">
        <x:v>NotAssessed</x:v>
      </x:c>
      <x:c r="S89" s="36" t="str"/>
      <x:c r="T89" s="36" t="str">
        <x:v>Common pot</x:v>
      </x:c>
      <x:c r="U89" s="41" t="n">
        <x:f>VLOOKUP("Priority|"&amp;O89,'Score settings'!$A$14:$C$43,2,FALSE)/'Score settings'!$B$4*'Score settings'!$C$4</x:f>
        <x:v>25</x:v>
      </x:c>
      <x:c r="V89" s="41" t="n">
        <x:f>VLOOKUP("Category|"&amp;P89,'Score settings'!$A$14:$C$43,2,FALSE)/'Score settings'!$B$5*'Score settings'!$C$5</x:f>
        <x:v>5</x:v>
      </x:c>
      <x:c r="W89" s="41" t="n">
        <x:f>VLOOKUP("Area|"&amp;Q89,'Score settings'!$A$14:$C$43,2,FALSE)/'Score settings'!$B$6*'Score settings'!$C$6</x:f>
        <x:v>11</x:v>
      </x:c>
      <x:c r="X89" s="41" t="n">
        <x:f>VLOOKUP("Benefits|"&amp;IF(AND(ISNUMBER(H89),H89&gt;0,ISNUMBER(G89),G89&gt;0),IF(H89/G89&gt;='Score settings'!$E$17,"3plus",IF(H89/G89&gt;='Score settings'!$E$16,"1.5to3",IF(H89/G89&gt;='Score settings'!$E$15,"0.5to1.5","positive"))),"None"),'Score settings'!$A$14:$C$43,2,FALSE)/'Score settings'!$B$7*'Score settings'!$C$7</x:f>
        <x:v>5</x:v>
      </x:c>
      <x:c r="Y89" s="41" t="n">
        <x:f>VLOOKUP("Waste|"&amp;R89,'Score settings'!$A$14:$C$43,2,FALSE)/'Score settings'!$B$8*'Score settings'!$C$8</x:f>
        <x:v>7</x:v>
      </x:c>
      <x:c r="Z89" s="41" t="n">
        <x:f>IF(B89="","",SUM(U89:Y89))</x:f>
        <x:v>53</x:v>
      </x:c>
      <x:c r="AA89" s="41" t="str">
        <x:f>IF(Z89="","Not scored",VLOOKUP(Z89,'Score settings'!$A$47:$C$50,2,TRUE))</x:f>
        <x:v>Strong</x:v>
      </x:c>
      <x:c r="AB89" s="41" t="n">
        <x:f>VLOOKUP("Priority|"&amp;O89,'Score settings'!$A$14:$C$43,3,FALSE)/'Score settings'!$B$4*'Score settings'!$D$4</x:f>
        <x:v>15</x:v>
      </x:c>
      <x:c r="AC89" s="41" t="n">
        <x:f>VLOOKUP("Category|"&amp;P89,'Score settings'!$A$14:$C$43,3,FALSE)/'Score settings'!$B$5*'Score settings'!$D$5</x:f>
        <x:v>2.5</x:v>
      </x:c>
      <x:c r="AD89" s="41" t="n">
        <x:f>VLOOKUP("Area|"&amp;Q89,'Score settings'!$A$14:$C$43,3,FALSE)/'Score settings'!$B$6*'Score settings'!$D$6</x:f>
        <x:v>7.333333333333333</x:v>
      </x:c>
      <x:c r="AE89" s="41" t="n">
        <x:f>VLOOKUP("Benefits|"&amp;IF(AND(ISNUMBER(K89),K89&gt;0,ISNUMBER(G89),G89&gt;0),IF(K89/G89&gt;='Score settings'!$E$17,"3plus",IF(K89/G89&gt;='Score settings'!$E$16,"1.5to3",IF(K89/G89&gt;='Score settings'!$E$15,"0.5to1.5","positive"))),"None"),'Score settings'!$A$14:$C$43,3,FALSE)/'Score settings'!$B$7*'Score settings'!$D$7</x:f>
        <x:v>0</x:v>
      </x:c>
      <x:c r="AF89" s="41" t="n">
        <x:f>VLOOKUP("Waste|"&amp;R89,'Score settings'!$A$14:$C$43,3,FALSE)/'Score settings'!$B$8*'Score settings'!$D$8</x:f>
        <x:v>0</x:v>
      </x:c>
      <x:c r="AG89" s="41" t="n">
        <x:f>(IF(AND(ISNUMBER(M89),M89&gt;0,ISNUMBER(G89),G89&gt;0),IF(M89/G89&gt;='Score settings'!$E$17,'Score settings'!$G$17,IF(M89/G89&gt;='Score settings'!$E$16,'Score settings'!$G$16,IF(M89/G89&gt;='Score settings'!$E$15,'Score settings'!$G$15,'Score settings'!$G$14))),0)/15*'Score settings'!$B$60+IFERROR(VLOOKUP(IF(ISNUMBER(N89),N89,IF(ISNUMBER(L89),L89,0)),'Score settings'!$E$22:$F$26,2,FALSE),0)/10*'Score settings'!$B$61)/'Score settings'!$B$9*'Score settings'!$D$9</x:f>
        <x:v>0</x:v>
      </x:c>
      <x:c r="AH89" s="41" t="n">
        <x:f>IF(B89="","",SUM(AB89:AG89))</x:f>
        <x:v>24.833333333333332</x:v>
      </x:c>
      <x:c r="AI89" s="41" t="str">
        <x:f>IF(NOT(ISNUMBER(AH89)),"Not scored",VLOOKUP(AH89,'Score settings'!$A$47:$C$50,3,TRUE))</x:f>
        <x:v>Weak</x:v>
      </x:c>
      <x:c r="AJ89" s="42" t="n">
        <x:f>IF(OR(NOT(ISNUMBER(AH89)),T89&lt;&gt;"Common pot"),"",COUNTIFS($T$4:$T$509,"Common pot",$AH$4:$AH$509,"&gt;"&amp;AH89)+1)</x:f>
        <x:v>269</x:v>
      </x:c>
      <x:c r="AK89" s="36" t="str">
        <x:f>IF(B89="","Name missing - not scored",IF(OR(NOT(ISNUMBER(G89)),G89&lt;=0),"Investment missing or zero - review",IF(0=1,"Permanent ID missing - reconcile",IF(AND(ISNUMBER(H89),H89/G89&gt;='Score settings'!$B$58,NOT(ISNUMBER(I89))),"Benefit units need review",IF(OR(R89="EXIT",R89="CHALLENGE"),"Waste decision requires scope resolution",IF("Name and organisation matched"&lt;&gt;"Name and organisation matched","Waste evidence match needs review","Provisional source score - confirm evidence"))))))</x:f>
        <x:v>Provisional source score - confirm evidence</x:v>
      </x:c>
      <x:c r="AL89" s="36"/>
      <x:c r="AM89" s="40"/>
      <x:c r="AN89" s="39"/>
      <x:c r="AO89" s="40"/>
      <x:c r="AP89" s="40"/>
    </x:row>
    <x:row r="90" ht="15" hidden="0" customHeight="1">
      <x:c r="A90" s="36" t="str">
        <x:v>Bu-95</x:v>
      </x:c>
      <x:c r="B90" s="37" t="str">
        <x:v>Supply Planning and Demand Planning (BY)</x:v>
      </x:c>
      <x:c r="C90" s="36" t="str">
        <x:v>BU Led</x:v>
      </x:c>
      <x:c r="D90" s="36" t="str">
        <x:v>Sleep &amp; Respiratory Care (SRC)</x:v>
      </x:c>
      <x:c r="E90" s="38" t="n">
        <x:v>0</x:v>
      </x:c>
      <x:c r="F90" s="39"/>
      <x:c r="G90" s="38" t="str">
        <x:f>IF(ISNUMBER(F90),F90,IF(E90="","",E90))</x:f>
      </x:c>
      <x:c r="H90" s="38" t="n">
        <x:v>29.3</x:v>
      </x:c>
      <x:c r="I90" s="39"/>
      <x:c r="J90" s="36" t="str">
        <x:v>Cash savings</x:v>
      </x:c>
      <x:c r="K90" s="38" t="str">
        <x:f>IF(ISNUMBER(I90),I90,IF(OR(NOT(ISNUMBER(H90)),NOT(ISNUMBER(G90)),G90&lt;=0),"",IF(H90/G90&gt;='Score settings'!$B$58,"",IF(J90="Cash savings",H90,IF(J90="Revenue",H90*'Score settings'!$B$55,"")))))</x:f>
      </x:c>
      <x:c r="L90" s="36"/>
      <x:c r="M90" s="39"/>
      <x:c r="N90" s="40"/>
      <x:c r="O90" s="36" t="str">
        <x:v>Must Do</x:v>
      </x:c>
      <x:c r="P90" s="36" t="str">
        <x:v>NewTech</x:v>
      </x:c>
      <x:c r="Q90" s="36" t="str">
        <x:v>Productivity</x:v>
      </x:c>
      <x:c r="R90" s="36" t="str">
        <x:v>NotAssessed</x:v>
      </x:c>
      <x:c r="S90" s="36" t="str"/>
      <x:c r="T90" s="36" t="str">
        <x:v>Common pot</x:v>
      </x:c>
      <x:c r="U90" s="41" t="n">
        <x:f>VLOOKUP("Priority|"&amp;O90,'Score settings'!$A$14:$C$43,2,FALSE)/'Score settings'!$B$4*'Score settings'!$C$4</x:f>
        <x:v>25</x:v>
      </x:c>
      <x:c r="V90" s="41" t="n">
        <x:f>VLOOKUP("Category|"&amp;P90,'Score settings'!$A$14:$C$43,2,FALSE)/'Score settings'!$B$5*'Score settings'!$C$5</x:f>
        <x:v>5</x:v>
      </x:c>
      <x:c r="W90" s="41" t="n">
        <x:f>VLOOKUP("Area|"&amp;Q90,'Score settings'!$A$14:$C$43,2,FALSE)/'Score settings'!$B$6*'Score settings'!$C$6</x:f>
        <x:v>10</x:v>
      </x:c>
      <x:c r="X90" s="41" t="n">
        <x:f>VLOOKUP("Benefits|"&amp;IF(AND(ISNUMBER(H90),H90&gt;0,ISNUMBER(G90),G90&gt;0),IF(H90/G90&gt;='Score settings'!$E$17,"3plus",IF(H90/G90&gt;='Score settings'!$E$16,"1.5to3",IF(H90/G90&gt;='Score settings'!$E$15,"0.5to1.5","positive"))),"None"),'Score settings'!$A$14:$C$43,2,FALSE)/'Score settings'!$B$7*'Score settings'!$C$7</x:f>
        <x:v>5</x:v>
      </x:c>
      <x:c r="Y90" s="41" t="n">
        <x:f>VLOOKUP("Waste|"&amp;R90,'Score settings'!$A$14:$C$43,2,FALSE)/'Score settings'!$B$8*'Score settings'!$C$8</x:f>
        <x:v>7</x:v>
      </x:c>
      <x:c r="Z90" s="41" t="n">
        <x:f>IF(B90="","",SUM(U90:Y90))</x:f>
        <x:v>52</x:v>
      </x:c>
      <x:c r="AA90" s="41" t="str">
        <x:f>IF(Z90="","Not scored",VLOOKUP(Z90,'Score settings'!$A$47:$C$50,2,TRUE))</x:f>
        <x:v>Strong</x:v>
      </x:c>
      <x:c r="AB90" s="41" t="n">
        <x:f>VLOOKUP("Priority|"&amp;O90,'Score settings'!$A$14:$C$43,3,FALSE)/'Score settings'!$B$4*'Score settings'!$D$4</x:f>
        <x:v>15</x:v>
      </x:c>
      <x:c r="AC90" s="41" t="n">
        <x:f>VLOOKUP("Category|"&amp;P90,'Score settings'!$A$14:$C$43,3,FALSE)/'Score settings'!$B$5*'Score settings'!$D$5</x:f>
        <x:v>2.5</x:v>
      </x:c>
      <x:c r="AD90" s="41" t="n">
        <x:f>VLOOKUP("Area|"&amp;Q90,'Score settings'!$A$14:$C$43,3,FALSE)/'Score settings'!$B$6*'Score settings'!$D$6</x:f>
        <x:v>6.666666666666666</x:v>
      </x:c>
      <x:c r="AE90" s="41" t="n">
        <x:f>VLOOKUP("Benefits|"&amp;IF(AND(ISNUMBER(K90),K90&gt;0,ISNUMBER(G90),G90&gt;0),IF(K90/G90&gt;='Score settings'!$E$17,"3plus",IF(K90/G90&gt;='Score settings'!$E$16,"1.5to3",IF(K90/G90&gt;='Score settings'!$E$15,"0.5to1.5","positive"))),"None"),'Score settings'!$A$14:$C$43,3,FALSE)/'Score settings'!$B$7*'Score settings'!$D$7</x:f>
        <x:v>0</x:v>
      </x:c>
      <x:c r="AF90" s="41" t="n">
        <x:f>VLOOKUP("Waste|"&amp;R90,'Score settings'!$A$14:$C$43,3,FALSE)/'Score settings'!$B$8*'Score settings'!$D$8</x:f>
        <x:v>0</x:v>
      </x:c>
      <x:c r="AG90" s="41" t="n">
        <x:f>(IF(AND(ISNUMBER(M90),M90&gt;0,ISNUMBER(G90),G90&gt;0),IF(M90/G90&gt;='Score settings'!$E$17,'Score settings'!$G$17,IF(M90/G90&gt;='Score settings'!$E$16,'Score settings'!$G$16,IF(M90/G90&gt;='Score settings'!$E$15,'Score settings'!$G$15,'Score settings'!$G$14))),0)/15*'Score settings'!$B$60+IFERROR(VLOOKUP(IF(ISNUMBER(N90),N90,IF(ISNUMBER(L90),L90,0)),'Score settings'!$E$22:$F$26,2,FALSE),0)/10*'Score settings'!$B$61)/'Score settings'!$B$9*'Score settings'!$D$9</x:f>
        <x:v>0</x:v>
      </x:c>
      <x:c r="AH90" s="41" t="n">
        <x:f>IF(B90="","",SUM(AB90:AG90))</x:f>
        <x:v>24.166666666666664</x:v>
      </x:c>
      <x:c r="AI90" s="41" t="str">
        <x:f>IF(NOT(ISNUMBER(AH90)),"Not scored",VLOOKUP(AH90,'Score settings'!$A$47:$C$50,3,TRUE))</x:f>
        <x:v>Weak</x:v>
      </x:c>
      <x:c r="AJ90" s="42" t="n">
        <x:f>IF(OR(NOT(ISNUMBER(AH90)),T90&lt;&gt;"Common pot"),"",COUNTIFS($T$4:$T$509,"Common pot",$AH$4:$AH$509,"&gt;"&amp;AH90)+1)</x:f>
        <x:v>284</x:v>
      </x:c>
      <x:c r="AK90" s="36" t="str">
        <x:f>IF(B90="","Name missing - not scored",IF(OR(NOT(ISNUMBER(G90)),G90&lt;=0),"Investment missing or zero - review",IF(0=1,"Permanent ID missing - reconcile",IF(AND(ISNUMBER(H90),H90/G90&gt;='Score settings'!$B$58,NOT(ISNUMBER(I90))),"Benefit units need review",IF(OR(R90="EXIT",R90="CHALLENGE"),"Waste decision requires scope resolution",IF("No exact waste match"&lt;&gt;"Name and organisation matched","Waste evidence match needs review","Provisional source score - confirm evidence"))))))</x:f>
        <x:v>Investment missing or zero - review</x:v>
      </x:c>
      <x:c r="AL90" s="36"/>
      <x:c r="AM90" s="40"/>
      <x:c r="AN90" s="39"/>
      <x:c r="AO90" s="40"/>
      <x:c r="AP90" s="40"/>
    </x:row>
    <x:row r="91" ht="15" hidden="0" customHeight="1">
      <x:c r="A91" s="36" t="str">
        <x:v>Bu-96</x:v>
      </x:c>
      <x:c r="B91" s="37" t="str">
        <x:v>ISC Lanscape Transformation</x:v>
      </x:c>
      <x:c r="C91" s="36" t="str">
        <x:v>BU Led</x:v>
      </x:c>
      <x:c r="D91" s="36" t="str">
        <x:v>Sleep &amp; Respiratory Care (SRC)</x:v>
      </x:c>
      <x:c r="E91" s="38" t="n">
        <x:v>0.6</x:v>
      </x:c>
      <x:c r="F91" s="39"/>
      <x:c r="G91" s="38" t="n">
        <x:f>IF(ISNUMBER(F91),F91,IF(E91="","",E91))</x:f>
        <x:v>0.6</x:v>
      </x:c>
      <x:c r="H91" s="38" t="n">
        <x:v>2.5</x:v>
      </x:c>
      <x:c r="I91" s="39"/>
      <x:c r="J91" s="36" t="str">
        <x:v>Cash savings</x:v>
      </x:c>
      <x:c r="K91" s="38" t="n">
        <x:f>IF(ISNUMBER(I91),I91,IF(OR(NOT(ISNUMBER(H91)),NOT(ISNUMBER(G91)),G91&lt;=0),"",IF(H91/G91&gt;='Score settings'!$B$58,"",IF(J91="Cash savings",H91,IF(J91="Revenue",H91*'Score settings'!$B$55,"")))))</x:f>
        <x:v>2.5</x:v>
      </x:c>
      <x:c r="L91" s="36"/>
      <x:c r="M91" s="39"/>
      <x:c r="N91" s="40"/>
      <x:c r="O91" s="36" t="str">
        <x:v>Must Do</x:v>
      </x:c>
      <x:c r="P91" s="36" t="str">
        <x:v>LFR</x:v>
      </x:c>
      <x:c r="Q91" s="36" t="str">
        <x:v>Productivity</x:v>
      </x:c>
      <x:c r="R91" s="36" t="str">
        <x:v>HEALTHY</x:v>
      </x:c>
      <x:c r="S91" s="36" t="str"/>
      <x:c r="T91" s="36" t="str">
        <x:v>Common pot</x:v>
      </x:c>
      <x:c r="U91" s="41" t="n">
        <x:f>VLOOKUP("Priority|"&amp;O91,'Score settings'!$A$14:$C$43,2,FALSE)/'Score settings'!$B$4*'Score settings'!$C$4</x:f>
        <x:v>25</x:v>
      </x:c>
      <x:c r="V91" s="41" t="n">
        <x:f>VLOOKUP("Category|"&amp;P91,'Score settings'!$A$14:$C$43,2,FALSE)/'Score settings'!$B$5*'Score settings'!$C$5</x:f>
        <x:v>20</x:v>
      </x:c>
      <x:c r="W91" s="41" t="n">
        <x:f>VLOOKUP("Area|"&amp;Q91,'Score settings'!$A$14:$C$43,2,FALSE)/'Score settings'!$B$6*'Score settings'!$C$6</x:f>
        <x:v>10</x:v>
      </x:c>
      <x:c r="X91" s="41" t="n">
        <x:f>VLOOKUP("Benefits|"&amp;IF(AND(ISNUMBER(H91),H91&gt;0,ISNUMBER(G91),G91&gt;0),IF(H91/G91&gt;='Score settings'!$E$17,"3plus",IF(H91/G91&gt;='Score settings'!$E$16,"1.5to3",IF(H91/G91&gt;='Score settings'!$E$15,"0.5to1.5","positive"))),"None"),'Score settings'!$A$14:$C$43,2,FALSE)/'Score settings'!$B$7*'Score settings'!$C$7</x:f>
        <x:v>25</x:v>
      </x:c>
      <x:c r="Y91" s="41" t="n">
        <x:f>VLOOKUP("Waste|"&amp;R91,'Score settings'!$A$14:$C$43,2,FALSE)/'Score settings'!$B$8*'Score settings'!$C$8</x:f>
        <x:v>15</x:v>
      </x:c>
      <x:c r="Z91" s="41" t="n">
        <x:f>IF(B91="","",SUM(U91:Y91))</x:f>
        <x:v>95</x:v>
      </x:c>
      <x:c r="AA91" s="41" t="str">
        <x:f>IF(Z91="","Not scored",VLOOKUP(Z91,'Score settings'!$A$47:$C$50,2,TRUE))</x:f>
        <x:v>Protected</x:v>
      </x:c>
      <x:c r="AB91" s="41" t="n">
        <x:f>VLOOKUP("Priority|"&amp;O91,'Score settings'!$A$14:$C$43,3,FALSE)/'Score settings'!$B$4*'Score settings'!$D$4</x:f>
        <x:v>15</x:v>
      </x:c>
      <x:c r="AC91" s="41" t="n">
        <x:f>VLOOKUP("Category|"&amp;P91,'Score settings'!$A$14:$C$43,3,FALSE)/'Score settings'!$B$5*'Score settings'!$D$5</x:f>
        <x:v>10</x:v>
      </x:c>
      <x:c r="AD91" s="41" t="n">
        <x:f>VLOOKUP("Area|"&amp;Q91,'Score settings'!$A$14:$C$43,3,FALSE)/'Score settings'!$B$6*'Score settings'!$D$6</x:f>
        <x:v>6.666666666666666</x:v>
      </x:c>
      <x:c r="AE91" s="41" t="n">
        <x:f>VLOOKUP("Benefits|"&amp;IF(AND(ISNUMBER(K91),K91&gt;0,ISNUMBER(G91),G91&gt;0),IF(K91/G91&gt;='Score settings'!$E$17,"3plus",IF(K91/G91&gt;='Score settings'!$E$16,"1.5to3",IF(K91/G91&gt;='Score settings'!$E$15,"0.5to1.5","positive"))),"None"),'Score settings'!$A$14:$C$43,3,FALSE)/'Score settings'!$B$7*'Score settings'!$D$7</x:f>
        <x:v>30</x:v>
      </x:c>
      <x:c r="AF91" s="41" t="n">
        <x:f>VLOOKUP("Waste|"&amp;R91,'Score settings'!$A$14:$C$43,3,FALSE)/'Score settings'!$B$8*'Score settings'!$D$8</x:f>
        <x:v>10</x:v>
      </x:c>
      <x:c r="AG91" s="41" t="n">
        <x:f>(IF(AND(ISNUMBER(M91),M91&gt;0,ISNUMBER(G91),G91&gt;0),IF(M91/G91&gt;='Score settings'!$E$17,'Score settings'!$G$17,IF(M91/G91&gt;='Score settings'!$E$16,'Score settings'!$G$16,IF(M91/G91&gt;='Score settings'!$E$15,'Score settings'!$G$15,'Score settings'!$G$14))),0)/15*'Score settings'!$B$60+IFERROR(VLOOKUP(IF(ISNUMBER(N91),N91,IF(ISNUMBER(L91),L91,0)),'Score settings'!$E$22:$F$26,2,FALSE),0)/10*'Score settings'!$B$61)/'Score settings'!$B$9*'Score settings'!$D$9</x:f>
        <x:v>0</x:v>
      </x:c>
      <x:c r="AH91" s="41" t="n">
        <x:f>IF(B91="","",SUM(AB91:AG91))</x:f>
        <x:v>71.66666666666666</x:v>
      </x:c>
      <x:c r="AI91" s="41" t="str">
        <x:f>IF(NOT(ISNUMBER(AH91)),"Not scored",VLOOKUP(AH91,'Score settings'!$A$47:$C$50,3,TRUE))</x:f>
        <x:v>High alignment</x:v>
      </x:c>
      <x:c r="AJ91" s="42" t="n">
        <x:f>IF(OR(NOT(ISNUMBER(AH91)),T91&lt;&gt;"Common pot"),"",COUNTIFS($T$4:$T$509,"Common pot",$AH$4:$AH$509,"&gt;"&amp;AH91)+1)</x:f>
        <x:v>1</x:v>
      </x:c>
      <x:c r="AK91" s="36" t="str">
        <x:f>IF(B91="","Name missing - not scored",IF(OR(NOT(ISNUMBER(G91)),G91&lt;=0),"Investment missing or zero - review",IF(0=1,"Permanent ID missing - reconcile",IF(AND(ISNUMBER(H91),H91/G91&gt;='Score settings'!$B$58,NOT(ISNUMBER(I91))),"Benefit units need review",IF(OR(R91="EXIT",R91="CHALLENGE"),"Waste decision requires scope resolution",IF("Name and organisation matched"&lt;&gt;"Name and organisation matched","Waste evidence match needs review","Provisional source score - confirm evidence"))))))</x:f>
        <x:v>Provisional source score - confirm evidence</x:v>
      </x:c>
      <x:c r="AL91" s="36"/>
      <x:c r="AM91" s="40"/>
      <x:c r="AN91" s="39"/>
      <x:c r="AO91" s="40"/>
      <x:c r="AP91" s="40"/>
    </x:row>
    <x:row r="92" ht="15" hidden="0" customHeight="1">
      <x:c r="A92" s="36" t="str">
        <x:v>Bu-97</x:v>
      </x:c>
      <x:c r="B92" s="37" t="str">
        <x:v>Contract Lifecycle Management</x:v>
      </x:c>
      <x:c r="C92" s="36" t="str">
        <x:v>BU Led</x:v>
      </x:c>
      <x:c r="D92" s="36" t="str">
        <x:v>Sleep &amp; Respiratory Care (SRC)</x:v>
      </x:c>
      <x:c r="E92" s="38" t="n">
        <x:v>0.27</x:v>
      </x:c>
      <x:c r="F92" s="39"/>
      <x:c r="G92" s="38" t="n">
        <x:f>IF(ISNUMBER(F92),F92,IF(E92="","",E92))</x:f>
        <x:v>0.27</x:v>
      </x:c>
      <x:c r="H92" s="38" t="n">
        <x:v>2.5</x:v>
      </x:c>
      <x:c r="I92" s="39"/>
      <x:c r="J92" s="36" t="str">
        <x:v>Risk exposure</x:v>
      </x:c>
      <x:c r="K92" s="38" t="str">
        <x:f>IF(ISNUMBER(I92),I92,IF(OR(NOT(ISNUMBER(H92)),NOT(ISNUMBER(G92)),G92&lt;=0),"",IF(H92/G92&gt;='Score settings'!$B$58,"",IF(J92="Cash savings",H92,IF(J92="Revenue",H92*'Score settings'!$B$55,"")))))</x:f>
      </x:c>
      <x:c r="L92" s="36" t="n">
        <x:v>4</x:v>
      </x:c>
      <x:c r="M92" s="39"/>
      <x:c r="N92" s="40"/>
      <x:c r="O92" s="36" t="str">
        <x:v>Must Do</x:v>
      </x:c>
      <x:c r="P92" s="36" t="str">
        <x:v>LFR</x:v>
      </x:c>
      <x:c r="Q92" s="36" t="str">
        <x:v>Compliance</x:v>
      </x:c>
      <x:c r="R92" s="36" t="str">
        <x:v>NotAssessed</x:v>
      </x:c>
      <x:c r="S92" s="36" t="str">
        <x:v>YES</x:v>
      </x:c>
      <x:c r="T92" s="36" t="str">
        <x:v>LFR validated candidate</x:v>
      </x:c>
      <x:c r="U92" s="41" t="n">
        <x:f>VLOOKUP("Priority|"&amp;O92,'Score settings'!$A$14:$C$43,2,FALSE)/'Score settings'!$B$4*'Score settings'!$C$4</x:f>
        <x:v>25</x:v>
      </x:c>
      <x:c r="V92" s="41" t="n">
        <x:f>VLOOKUP("Category|"&amp;P92,'Score settings'!$A$14:$C$43,2,FALSE)/'Score settings'!$B$5*'Score settings'!$C$5</x:f>
        <x:v>20</x:v>
      </x:c>
      <x:c r="W92" s="41" t="n">
        <x:f>VLOOKUP("Area|"&amp;Q92,'Score settings'!$A$14:$C$43,2,FALSE)/'Score settings'!$B$6*'Score settings'!$C$6</x:f>
        <x:v>15</x:v>
      </x:c>
      <x:c r="X92" s="41" t="n">
        <x:f>VLOOKUP("Benefits|"&amp;IF(AND(ISNUMBER(H92),H92&gt;0,ISNUMBER(G92),G92&gt;0),IF(H92/G92&gt;='Score settings'!$E$17,"3plus",IF(H92/G92&gt;='Score settings'!$E$16,"1.5to3",IF(H92/G92&gt;='Score settings'!$E$15,"0.5to1.5","positive"))),"None"),'Score settings'!$A$14:$C$43,2,FALSE)/'Score settings'!$B$7*'Score settings'!$C$7</x:f>
        <x:v>25</x:v>
      </x:c>
      <x:c r="Y92" s="41" t="n">
        <x:f>VLOOKUP("Waste|"&amp;R92,'Score settings'!$A$14:$C$43,2,FALSE)/'Score settings'!$B$8*'Score settings'!$C$8</x:f>
        <x:v>7</x:v>
      </x:c>
      <x:c r="Z92" s="41" t="n">
        <x:f>IF(B92="","",SUM(U92:Y92))</x:f>
        <x:v>92</x:v>
      </x:c>
      <x:c r="AA92" s="41" t="str">
        <x:f>IF(Z92="","Not scored",VLOOKUP(Z92,'Score settings'!$A$47:$C$50,2,TRUE))</x:f>
        <x:v>Protected</x:v>
      </x:c>
      <x:c r="AB92" s="41" t="n">
        <x:f>VLOOKUP("Priority|"&amp;O92,'Score settings'!$A$14:$C$43,3,FALSE)/'Score settings'!$B$4*'Score settings'!$D$4</x:f>
        <x:v>15</x:v>
      </x:c>
      <x:c r="AC92" s="41" t="n">
        <x:f>VLOOKUP("Category|"&amp;P92,'Score settings'!$A$14:$C$43,3,FALSE)/'Score settings'!$B$5*'Score settings'!$D$5</x:f>
        <x:v>10</x:v>
      </x:c>
      <x:c r="AD92" s="41" t="n">
        <x:f>VLOOKUP("Area|"&amp;Q92,'Score settings'!$A$14:$C$43,3,FALSE)/'Score settings'!$B$6*'Score settings'!$D$6</x:f>
        <x:v>10</x:v>
      </x:c>
      <x:c r="AE92" s="41" t="n">
        <x:f>VLOOKUP("Benefits|"&amp;IF(AND(ISNUMBER(K92),K92&gt;0,ISNUMBER(G92),G92&gt;0),IF(K92/G92&gt;='Score settings'!$E$17,"3plus",IF(K92/G92&gt;='Score settings'!$E$16,"1.5to3",IF(K92/G92&gt;='Score settings'!$E$15,"0.5to1.5","positive"))),"None"),'Score settings'!$A$14:$C$43,3,FALSE)/'Score settings'!$B$7*'Score settings'!$D$7</x:f>
        <x:v>0</x:v>
      </x:c>
      <x:c r="AF92" s="41" t="n">
        <x:f>VLOOKUP("Waste|"&amp;R92,'Score settings'!$A$14:$C$43,3,FALSE)/'Score settings'!$B$8*'Score settings'!$D$8</x:f>
        <x:v>0</x:v>
      </x:c>
      <x:c r="AG92" s="41" t="n">
        <x:f>(IF(AND(ISNUMBER(M92),M92&gt;0,ISNUMBER(G92),G92&gt;0),IF(M92/G92&gt;='Score settings'!$E$17,'Score settings'!$G$17,IF(M92/G92&gt;='Score settings'!$E$16,'Score settings'!$G$16,IF(M92/G92&gt;='Score settings'!$E$15,'Score settings'!$G$15,'Score settings'!$G$14))),0)/15*'Score settings'!$B$60+IFERROR(VLOOKUP(IF(ISNUMBER(N92),N92,IF(ISNUMBER(L92),L92,0)),'Score settings'!$E$22:$F$26,2,FALSE),0)/10*'Score settings'!$B$61)/'Score settings'!$B$9*'Score settings'!$D$9</x:f>
        <x:v>8</x:v>
      </x:c>
      <x:c r="AH92" s="41" t="n">
        <x:f>IF(B92="","",SUM(AB92:AG92))</x:f>
        <x:v>43</x:v>
      </x:c>
      <x:c r="AI92" s="41" t="str">
        <x:f>IF(NOT(ISNUMBER(AH92)),"Not scored",VLOOKUP(AH92,'Score settings'!$A$47:$C$50,3,TRUE))</x:f>
        <x:v>Discretionary</x:v>
      </x:c>
      <x:c r="AJ92" s="42" t="str">
        <x:f>IF(OR(NOT(ISNUMBER(AH92)),T92&lt;&gt;"Common pot"),"",COUNTIFS($T$4:$T$509,"Common pot",$AH$4:$AH$509,"&gt;"&amp;AH92)+1)</x:f>
      </x:c>
      <x:c r="AK92" s="36" t="str">
        <x:f>IF(B92="","Name missing - not scored",IF(OR(NOT(ISNUMBER(G92)),G92&lt;=0),"Investment missing or zero - review",IF(0=1,"Permanent ID missing - reconcile",IF(AND(ISNUMBER(H92),H92/G92&gt;='Score settings'!$B$58,NOT(ISNUMBER(I92))),"Benefit units need review",IF(OR(R92="EXIT",R92="CHALLENGE"),"Waste decision requires scope resolution",IF("Name and organisation matched"&lt;&gt;"Name and organisation matched","Waste evidence match needs review","Provisional source score - confirm evidence"))))))</x:f>
        <x:v>Provisional source score - confirm evidence</x:v>
      </x:c>
      <x:c r="AL92" s="36" t="n">
        <x:v>16</x:v>
      </x:c>
      <x:c r="AM92" s="40"/>
      <x:c r="AN92" s="39"/>
      <x:c r="AO92" s="40"/>
      <x:c r="AP92" s="40"/>
    </x:row>
    <x:row r="93" ht="15" hidden="0" customHeight="1">
      <x:c r="A93" s="36" t="str">
        <x:v>Bu-98</x:v>
      </x:c>
      <x:c r="B93" s="37" t="str">
        <x:v>ISC CRs</x:v>
      </x:c>
      <x:c r="C93" s="36" t="str">
        <x:v>BU Led</x:v>
      </x:c>
      <x:c r="D93" s="36" t="str">
        <x:v>Sleep &amp; Respiratory Care (SRC)</x:v>
      </x:c>
      <x:c r="E93" s="38" t="n">
        <x:v>0.1</x:v>
      </x:c>
      <x:c r="F93" s="39"/>
      <x:c r="G93" s="38" t="n">
        <x:f>IF(ISNUMBER(F93),F93,IF(E93="","",E93))</x:f>
        <x:v>0.1</x:v>
      </x:c>
      <x:c r="H93" s="38" t="n">
        <x:v>0.5</x:v>
      </x:c>
      <x:c r="I93" s="39"/>
      <x:c r="J93" s="36" t="str">
        <x:v>Cash savings</x:v>
      </x:c>
      <x:c r="K93" s="38" t="n">
        <x:f>IF(ISNUMBER(I93),I93,IF(OR(NOT(ISNUMBER(H93)),NOT(ISNUMBER(G93)),G93&lt;=0),"",IF(H93/G93&gt;='Score settings'!$B$58,"",IF(J93="Cash savings",H93,IF(J93="Revenue",H93*'Score settings'!$B$55,"")))))</x:f>
        <x:v>0.5</x:v>
      </x:c>
      <x:c r="L93" s="36"/>
      <x:c r="M93" s="39"/>
      <x:c r="N93" s="40"/>
      <x:c r="O93" s="36" t="str">
        <x:v>Must Do</x:v>
      </x:c>
      <x:c r="P93" s="36" t="str">
        <x:v>CI</x:v>
      </x:c>
      <x:c r="Q93" s="36" t="str">
        <x:v>ProcSimp</x:v>
      </x:c>
      <x:c r="R93" s="36" t="str">
        <x:v>HEALTHY</x:v>
      </x:c>
      <x:c r="S93" s="36" t="str"/>
      <x:c r="T93" s="36" t="str">
        <x:v>Common pot</x:v>
      </x:c>
      <x:c r="U93" s="41" t="n">
        <x:f>VLOOKUP("Priority|"&amp;O93,'Score settings'!$A$14:$C$43,2,FALSE)/'Score settings'!$B$4*'Score settings'!$C$4</x:f>
        <x:v>25</x:v>
      </x:c>
      <x:c r="V93" s="41" t="n">
        <x:f>VLOOKUP("Category|"&amp;P93,'Score settings'!$A$14:$C$43,2,FALSE)/'Score settings'!$B$5*'Score settings'!$C$5</x:f>
        <x:v>8</x:v>
      </x:c>
      <x:c r="W93" s="41" t="n">
        <x:f>VLOOKUP("Area|"&amp;Q93,'Score settings'!$A$14:$C$43,2,FALSE)/'Score settings'!$B$6*'Score settings'!$C$6</x:f>
        <x:v>12</x:v>
      </x:c>
      <x:c r="X93" s="41" t="n">
        <x:f>VLOOKUP("Benefits|"&amp;IF(AND(ISNUMBER(H93),H93&gt;0,ISNUMBER(G93),G93&gt;0),IF(H93/G93&gt;='Score settings'!$E$17,"3plus",IF(H93/G93&gt;='Score settings'!$E$16,"1.5to3",IF(H93/G93&gt;='Score settings'!$E$15,"0.5to1.5","positive"))),"None"),'Score settings'!$A$14:$C$43,2,FALSE)/'Score settings'!$B$7*'Score settings'!$C$7</x:f>
        <x:v>25</x:v>
      </x:c>
      <x:c r="Y93" s="41" t="n">
        <x:f>VLOOKUP("Waste|"&amp;R93,'Score settings'!$A$14:$C$43,2,FALSE)/'Score settings'!$B$8*'Score settings'!$C$8</x:f>
        <x:v>15</x:v>
      </x:c>
      <x:c r="Z93" s="41" t="n">
        <x:f>IF(B93="","",SUM(U93:Y93))</x:f>
        <x:v>85</x:v>
      </x:c>
      <x:c r="AA93" s="41" t="str">
        <x:f>IF(Z93="","Not scored",VLOOKUP(Z93,'Score settings'!$A$47:$C$50,2,TRUE))</x:f>
        <x:v>Protected</x:v>
      </x:c>
      <x:c r="AB93" s="41" t="n">
        <x:f>VLOOKUP("Priority|"&amp;O93,'Score settings'!$A$14:$C$43,3,FALSE)/'Score settings'!$B$4*'Score settings'!$D$4</x:f>
        <x:v>15</x:v>
      </x:c>
      <x:c r="AC93" s="41" t="n">
        <x:f>VLOOKUP("Category|"&amp;P93,'Score settings'!$A$14:$C$43,3,FALSE)/'Score settings'!$B$5*'Score settings'!$D$5</x:f>
        <x:v>4</x:v>
      </x:c>
      <x:c r="AD93" s="41" t="n">
        <x:f>VLOOKUP("Area|"&amp;Q93,'Score settings'!$A$14:$C$43,3,FALSE)/'Score settings'!$B$6*'Score settings'!$D$6</x:f>
        <x:v>8</x:v>
      </x:c>
      <x:c r="AE93" s="41" t="n">
        <x:f>VLOOKUP("Benefits|"&amp;IF(AND(ISNUMBER(K93),K93&gt;0,ISNUMBER(G93),G93&gt;0),IF(K93/G93&gt;='Score settings'!$E$17,"3plus",IF(K93/G93&gt;='Score settings'!$E$16,"1.5to3",IF(K93/G93&gt;='Score settings'!$E$15,"0.5to1.5","positive"))),"None"),'Score settings'!$A$14:$C$43,3,FALSE)/'Score settings'!$B$7*'Score settings'!$D$7</x:f>
        <x:v>30</x:v>
      </x:c>
      <x:c r="AF93" s="41" t="n">
        <x:f>VLOOKUP("Waste|"&amp;R93,'Score settings'!$A$14:$C$43,3,FALSE)/'Score settings'!$B$8*'Score settings'!$D$8</x:f>
        <x:v>10</x:v>
      </x:c>
      <x:c r="AG93" s="41" t="n">
        <x:f>(IF(AND(ISNUMBER(M93),M93&gt;0,ISNUMBER(G93),G93&gt;0),IF(M93/G93&gt;='Score settings'!$E$17,'Score settings'!$G$17,IF(M93/G93&gt;='Score settings'!$E$16,'Score settings'!$G$16,IF(M93/G93&gt;='Score settings'!$E$15,'Score settings'!$G$15,'Score settings'!$G$14))),0)/15*'Score settings'!$B$60+IFERROR(VLOOKUP(IF(ISNUMBER(N93),N93,IF(ISNUMBER(L93),L93,0)),'Score settings'!$E$22:$F$26,2,FALSE),0)/10*'Score settings'!$B$61)/'Score settings'!$B$9*'Score settings'!$D$9</x:f>
        <x:v>0</x:v>
      </x:c>
      <x:c r="AH93" s="41" t="n">
        <x:f>IF(B93="","",SUM(AB93:AG93))</x:f>
        <x:v>67</x:v>
      </x:c>
      <x:c r="AI93" s="41" t="str">
        <x:f>IF(NOT(ISNUMBER(AH93)),"Not scored",VLOOKUP(AH93,'Score settings'!$A$47:$C$50,3,TRUE))</x:f>
        <x:v>High alignment</x:v>
      </x:c>
      <x:c r="AJ93" s="42" t="n">
        <x:f>IF(OR(NOT(ISNUMBER(AH93)),T93&lt;&gt;"Common pot"),"",COUNTIFS($T$4:$T$509,"Common pot",$AH$4:$AH$509,"&gt;"&amp;AH93)+1)</x:f>
        <x:v>4</x:v>
      </x:c>
      <x:c r="AK93" s="36" t="str">
        <x:f>IF(B93="","Name missing - not scored",IF(OR(NOT(ISNUMBER(G93)),G93&lt;=0),"Investment missing or zero - review",IF(0=1,"Permanent ID missing - reconcile",IF(AND(ISNUMBER(H93),H93/G93&gt;='Score settings'!$B$58,NOT(ISNUMBER(I93))),"Benefit units need review",IF(OR(R93="EXIT",R93="CHALLENGE"),"Waste decision requires scope resolution",IF("Name and organisation matched"&lt;&gt;"Name and organisation matched","Waste evidence match needs review","Provisional source score - confirm evidence"))))))</x:f>
        <x:v>Provisional source score - confirm evidence</x:v>
      </x:c>
      <x:c r="AL93" s="36"/>
      <x:c r="AM93" s="40"/>
      <x:c r="AN93" s="39"/>
      <x:c r="AO93" s="40"/>
      <x:c r="AP93" s="40"/>
    </x:row>
    <x:row r="94" ht="15" hidden="0" customHeight="1">
      <x:c r="A94" s="36" t="str">
        <x:v>Bu-99</x:v>
      </x:c>
      <x:c r="B94" s="37" t="str">
        <x:v>Rotech  Virtual Org (CPG in BY)</x:v>
      </x:c>
      <x:c r="C94" s="36" t="str">
        <x:v>BU Led</x:v>
      </x:c>
      <x:c r="D94" s="36" t="str">
        <x:v>Sleep &amp; Respiratory Care (SRC)</x:v>
      </x:c>
      <x:c r="E94" s="38" t="n">
        <x:v>0.1</x:v>
      </x:c>
      <x:c r="F94" s="39"/>
      <x:c r="G94" s="38" t="n">
        <x:f>IF(ISNUMBER(F94),F94,IF(E94="","",E94))</x:f>
        <x:v>0.1</x:v>
      </x:c>
      <x:c r="H94" s="38" t="n">
        <x:v>38</x:v>
      </x:c>
      <x:c r="I94" s="39"/>
      <x:c r="J94" s="36" t="str">
        <x:v>Cash savings</x:v>
      </x:c>
      <x:c r="K94" s="38" t="str">
        <x:f>IF(ISNUMBER(I94),I94,IF(OR(NOT(ISNUMBER(H94)),NOT(ISNUMBER(G94)),G94&lt;=0),"",IF(H94/G94&gt;='Score settings'!$B$58,"",IF(J94="Cash savings",H94,IF(J94="Revenue",H94*'Score settings'!$B$55,"")))))</x:f>
      </x:c>
      <x:c r="L94" s="36"/>
      <x:c r="M94" s="39"/>
      <x:c r="N94" s="40"/>
      <x:c r="O94" s="36" t="str">
        <x:v>Must Do</x:v>
      </x:c>
      <x:c r="P94" s="36" t="str">
        <x:v>CI</x:v>
      </x:c>
      <x:c r="Q94" s="36" t="str">
        <x:v>ProcSimp</x:v>
      </x:c>
      <x:c r="R94" s="36" t="str">
        <x:v>NotAssessed</x:v>
      </x:c>
      <x:c r="S94" s="36" t="str"/>
      <x:c r="T94" s="36" t="str">
        <x:v>Common pot</x:v>
      </x:c>
      <x:c r="U94" s="41" t="n">
        <x:f>VLOOKUP("Priority|"&amp;O94,'Score settings'!$A$14:$C$43,2,FALSE)/'Score settings'!$B$4*'Score settings'!$C$4</x:f>
        <x:v>25</x:v>
      </x:c>
      <x:c r="V94" s="41" t="n">
        <x:f>VLOOKUP("Category|"&amp;P94,'Score settings'!$A$14:$C$43,2,FALSE)/'Score settings'!$B$5*'Score settings'!$C$5</x:f>
        <x:v>8</x:v>
      </x:c>
      <x:c r="W94" s="41" t="n">
        <x:f>VLOOKUP("Area|"&amp;Q94,'Score settings'!$A$14:$C$43,2,FALSE)/'Score settings'!$B$6*'Score settings'!$C$6</x:f>
        <x:v>12</x:v>
      </x:c>
      <x:c r="X94" s="41" t="n">
        <x:f>VLOOKUP("Benefits|"&amp;IF(AND(ISNUMBER(H94),H94&gt;0,ISNUMBER(G94),G94&gt;0),IF(H94/G94&gt;='Score settings'!$E$17,"3plus",IF(H94/G94&gt;='Score settings'!$E$16,"1.5to3",IF(H94/G94&gt;='Score settings'!$E$15,"0.5to1.5","positive"))),"None"),'Score settings'!$A$14:$C$43,2,FALSE)/'Score settings'!$B$7*'Score settings'!$C$7</x:f>
        <x:v>25</x:v>
      </x:c>
      <x:c r="Y94" s="41" t="n">
        <x:f>VLOOKUP("Waste|"&amp;R94,'Score settings'!$A$14:$C$43,2,FALSE)/'Score settings'!$B$8*'Score settings'!$C$8</x:f>
        <x:v>7</x:v>
      </x:c>
      <x:c r="Z94" s="41" t="n">
        <x:f>IF(B94="","",SUM(U94:Y94))</x:f>
        <x:v>77</x:v>
      </x:c>
      <x:c r="AA94" s="41" t="str">
        <x:f>IF(Z94="","Not scored",VLOOKUP(Z94,'Score settings'!$A$47:$C$50,2,TRUE))</x:f>
        <x:v>Protected</x:v>
      </x:c>
      <x:c r="AB94" s="41" t="n">
        <x:f>VLOOKUP("Priority|"&amp;O94,'Score settings'!$A$14:$C$43,3,FALSE)/'Score settings'!$B$4*'Score settings'!$D$4</x:f>
        <x:v>15</x:v>
      </x:c>
      <x:c r="AC94" s="41" t="n">
        <x:f>VLOOKUP("Category|"&amp;P94,'Score settings'!$A$14:$C$43,3,FALSE)/'Score settings'!$B$5*'Score settings'!$D$5</x:f>
        <x:v>4</x:v>
      </x:c>
      <x:c r="AD94" s="41" t="n">
        <x:f>VLOOKUP("Area|"&amp;Q94,'Score settings'!$A$14:$C$43,3,FALSE)/'Score settings'!$B$6*'Score settings'!$D$6</x:f>
        <x:v>8</x:v>
      </x:c>
      <x:c r="AE94" s="41" t="n">
        <x:f>VLOOKUP("Benefits|"&amp;IF(AND(ISNUMBER(K94),K94&gt;0,ISNUMBER(G94),G94&gt;0),IF(K94/G94&gt;='Score settings'!$E$17,"3plus",IF(K94/G94&gt;='Score settings'!$E$16,"1.5to3",IF(K94/G94&gt;='Score settings'!$E$15,"0.5to1.5","positive"))),"None"),'Score settings'!$A$14:$C$43,3,FALSE)/'Score settings'!$B$7*'Score settings'!$D$7</x:f>
        <x:v>0</x:v>
      </x:c>
      <x:c r="AF94" s="41" t="n">
        <x:f>VLOOKUP("Waste|"&amp;R94,'Score settings'!$A$14:$C$43,3,FALSE)/'Score settings'!$B$8*'Score settings'!$D$8</x:f>
        <x:v>0</x:v>
      </x:c>
      <x:c r="AG94" s="41" t="n">
        <x:f>(IF(AND(ISNUMBER(M94),M94&gt;0,ISNUMBER(G94),G94&gt;0),IF(M94/G94&gt;='Score settings'!$E$17,'Score settings'!$G$17,IF(M94/G94&gt;='Score settings'!$E$16,'Score settings'!$G$16,IF(M94/G94&gt;='Score settings'!$E$15,'Score settings'!$G$15,'Score settings'!$G$14))),0)/15*'Score settings'!$B$60+IFERROR(VLOOKUP(IF(ISNUMBER(N94),N94,IF(ISNUMBER(L94),L94,0)),'Score settings'!$E$22:$F$26,2,FALSE),0)/10*'Score settings'!$B$61)/'Score settings'!$B$9*'Score settings'!$D$9</x:f>
        <x:v>0</x:v>
      </x:c>
      <x:c r="AH94" s="41" t="n">
        <x:f>IF(B94="","",SUM(AB94:AG94))</x:f>
        <x:v>27</x:v>
      </x:c>
      <x:c r="AI94" s="41" t="str">
        <x:f>IF(NOT(ISNUMBER(AH94)),"Not scored",VLOOKUP(AH94,'Score settings'!$A$47:$C$50,3,TRUE))</x:f>
        <x:v>Discretionary</x:v>
      </x:c>
      <x:c r="AJ94" s="42" t="n">
        <x:f>IF(OR(NOT(ISNUMBER(AH94)),T94&lt;&gt;"Common pot"),"",COUNTIFS($T$4:$T$509,"Common pot",$AH$4:$AH$509,"&gt;"&amp;AH94)+1)</x:f>
        <x:v>224</x:v>
      </x:c>
      <x:c r="AK94" s="36" t="str">
        <x:f>IF(B94="","Name missing - not scored",IF(OR(NOT(ISNUMBER(G94)),G94&lt;=0),"Investment missing or zero - review",IF(0=1,"Permanent ID missing - reconcile",IF(AND(ISNUMBER(H94),H94/G94&gt;='Score settings'!$B$58,NOT(ISNUMBER(I94))),"Benefit units need review",IF(OR(R94="EXIT",R94="CHALLENGE"),"Waste decision requires scope resolution",IF("Name and organisation matched"&lt;&gt;"Name and organisation matched","Waste evidence match needs review","Provisional source score - confirm evidence"))))))</x:f>
        <x:v>Benefit units need review</x:v>
      </x:c>
      <x:c r="AL94" s="36"/>
      <x:c r="AM94" s="40"/>
      <x:c r="AN94" s="39"/>
      <x:c r="AO94" s="40"/>
      <x:c r="AP94" s="40"/>
    </x:row>
    <x:row r="95" ht="15" hidden="0" customHeight="1">
      <x:c r="A95" s="36" t="str">
        <x:v>Bu-100</x:v>
      </x:c>
      <x:c r="B95" s="37" t="str">
        <x:v>ATP Changes</x:v>
      </x:c>
      <x:c r="C95" s="36" t="str">
        <x:v>BU Led</x:v>
      </x:c>
      <x:c r="D95" s="36" t="str">
        <x:v>Sleep &amp; Respiratory Care (SRC)</x:v>
      </x:c>
      <x:c r="E95" s="38" t="n">
        <x:v>0</x:v>
      </x:c>
      <x:c r="F95" s="39"/>
      <x:c r="G95" s="38" t="str">
        <x:f>IF(ISNUMBER(F95),F95,IF(E95="","",E95))</x:f>
      </x:c>
      <x:c r="H95" s="38" t="n">
        <x:v>1.5</x:v>
      </x:c>
      <x:c r="I95" s="39"/>
      <x:c r="J95" s="36" t="str">
        <x:v>Revenue</x:v>
      </x:c>
      <x:c r="K95" s="38" t="str">
        <x:f>IF(ISNUMBER(I95),I95,IF(OR(NOT(ISNUMBER(H95)),NOT(ISNUMBER(G95)),G95&lt;=0),"",IF(H95/G95&gt;='Score settings'!$B$58,"",IF(J95="Cash savings",H95,IF(J95="Revenue",H95*'Score settings'!$B$55,"")))))</x:f>
      </x:c>
      <x:c r="L95" s="36"/>
      <x:c r="M95" s="39"/>
      <x:c r="N95" s="40"/>
      <x:c r="O95" s="36" t="str">
        <x:v>Must Do</x:v>
      </x:c>
      <x:c r="P95" s="36" t="str">
        <x:v>NewFeat</x:v>
      </x:c>
      <x:c r="Q95" s="36" t="str">
        <x:v>Revenue</x:v>
      </x:c>
      <x:c r="R95" s="36" t="str">
        <x:v>NotAssessed</x:v>
      </x:c>
      <x:c r="S95" s="36" t="str"/>
      <x:c r="T95" s="36" t="str">
        <x:v>Common pot</x:v>
      </x:c>
      <x:c r="U95" s="41" t="n">
        <x:f>VLOOKUP("Priority|"&amp;O95,'Score settings'!$A$14:$C$43,2,FALSE)/'Score settings'!$B$4*'Score settings'!$C$4</x:f>
        <x:v>25</x:v>
      </x:c>
      <x:c r="V95" s="41" t="n">
        <x:f>VLOOKUP("Category|"&amp;P95,'Score settings'!$A$14:$C$43,2,FALSE)/'Score settings'!$B$5*'Score settings'!$C$5</x:f>
        <x:v>6</x:v>
      </x:c>
      <x:c r="W95" s="41" t="n">
        <x:f>VLOOKUP("Area|"&amp;Q95,'Score settings'!$A$14:$C$43,2,FALSE)/'Score settings'!$B$6*'Score settings'!$C$6</x:f>
        <x:v>11</x:v>
      </x:c>
      <x:c r="X95" s="41" t="n">
        <x:f>VLOOKUP("Benefits|"&amp;IF(AND(ISNUMBER(H95),H95&gt;0,ISNUMBER(G95),G95&gt;0),IF(H95/G95&gt;='Score settings'!$E$17,"3plus",IF(H95/G95&gt;='Score settings'!$E$16,"1.5to3",IF(H95/G95&gt;='Score settings'!$E$15,"0.5to1.5","positive"))),"None"),'Score settings'!$A$14:$C$43,2,FALSE)/'Score settings'!$B$7*'Score settings'!$C$7</x:f>
        <x:v>5</x:v>
      </x:c>
      <x:c r="Y95" s="41" t="n">
        <x:f>VLOOKUP("Waste|"&amp;R95,'Score settings'!$A$14:$C$43,2,FALSE)/'Score settings'!$B$8*'Score settings'!$C$8</x:f>
        <x:v>7</x:v>
      </x:c>
      <x:c r="Z95" s="41" t="n">
        <x:f>IF(B95="","",SUM(U95:Y95))</x:f>
        <x:v>54</x:v>
      </x:c>
      <x:c r="AA95" s="41" t="str">
        <x:f>IF(Z95="","Not scored",VLOOKUP(Z95,'Score settings'!$A$47:$C$50,2,TRUE))</x:f>
        <x:v>Strong</x:v>
      </x:c>
      <x:c r="AB95" s="41" t="n">
        <x:f>VLOOKUP("Priority|"&amp;O95,'Score settings'!$A$14:$C$43,3,FALSE)/'Score settings'!$B$4*'Score settings'!$D$4</x:f>
        <x:v>15</x:v>
      </x:c>
      <x:c r="AC95" s="41" t="n">
        <x:f>VLOOKUP("Category|"&amp;P95,'Score settings'!$A$14:$C$43,3,FALSE)/'Score settings'!$B$5*'Score settings'!$D$5</x:f>
        <x:v>3</x:v>
      </x:c>
      <x:c r="AD95" s="41" t="n">
        <x:f>VLOOKUP("Area|"&amp;Q95,'Score settings'!$A$14:$C$43,3,FALSE)/'Score settings'!$B$6*'Score settings'!$D$6</x:f>
        <x:v>7.333333333333333</x:v>
      </x:c>
      <x:c r="AE95" s="41" t="n">
        <x:f>VLOOKUP("Benefits|"&amp;IF(AND(ISNUMBER(K95),K95&gt;0,ISNUMBER(G95),G95&gt;0),IF(K95/G95&gt;='Score settings'!$E$17,"3plus",IF(K95/G95&gt;='Score settings'!$E$16,"1.5to3",IF(K95/G95&gt;='Score settings'!$E$15,"0.5to1.5","positive"))),"None"),'Score settings'!$A$14:$C$43,3,FALSE)/'Score settings'!$B$7*'Score settings'!$D$7</x:f>
        <x:v>0</x:v>
      </x:c>
      <x:c r="AF95" s="41" t="n">
        <x:f>VLOOKUP("Waste|"&amp;R95,'Score settings'!$A$14:$C$43,3,FALSE)/'Score settings'!$B$8*'Score settings'!$D$8</x:f>
        <x:v>0</x:v>
      </x:c>
      <x:c r="AG95" s="41" t="n">
        <x:f>(IF(AND(ISNUMBER(M95),M95&gt;0,ISNUMBER(G95),G95&gt;0),IF(M95/G95&gt;='Score settings'!$E$17,'Score settings'!$G$17,IF(M95/G95&gt;='Score settings'!$E$16,'Score settings'!$G$16,IF(M95/G95&gt;='Score settings'!$E$15,'Score settings'!$G$15,'Score settings'!$G$14))),0)/15*'Score settings'!$B$60+IFERROR(VLOOKUP(IF(ISNUMBER(N95),N95,IF(ISNUMBER(L95),L95,0)),'Score settings'!$E$22:$F$26,2,FALSE),0)/10*'Score settings'!$B$61)/'Score settings'!$B$9*'Score settings'!$D$9</x:f>
        <x:v>0</x:v>
      </x:c>
      <x:c r="AH95" s="41" t="n">
        <x:f>IF(B95="","",SUM(AB95:AG95))</x:f>
        <x:v>25.333333333333332</x:v>
      </x:c>
      <x:c r="AI95" s="41" t="str">
        <x:f>IF(NOT(ISNUMBER(AH95)),"Not scored",VLOOKUP(AH95,'Score settings'!$A$47:$C$50,3,TRUE))</x:f>
        <x:v>Discretionary</x:v>
      </x:c>
      <x:c r="AJ95" s="42" t="n">
        <x:f>IF(OR(NOT(ISNUMBER(AH95)),T95&lt;&gt;"Common pot"),"",COUNTIFS($T$4:$T$509,"Common pot",$AH$4:$AH$509,"&gt;"&amp;AH95)+1)</x:f>
        <x:v>253</x:v>
      </x:c>
      <x:c r="AK95" s="36" t="str">
        <x:f>IF(B95="","Name missing - not scored",IF(OR(NOT(ISNUMBER(G95)),G95&lt;=0),"Investment missing or zero - review",IF(0=1,"Permanent ID missing - reconcile",IF(AND(ISNUMBER(H95),H95/G95&gt;='Score settings'!$B$58,NOT(ISNUMBER(I95))),"Benefit units need review",IF(OR(R95="EXIT",R95="CHALLENGE"),"Waste decision requires scope resolution",IF("Name and organisation matched"&lt;&gt;"Name and organisation matched","Waste evidence match needs review","Provisional source score - confirm evidence"))))))</x:f>
        <x:v>Investment missing or zero - review</x:v>
      </x:c>
      <x:c r="AL95" s="36"/>
      <x:c r="AM95" s="40"/>
      <x:c r="AN95" s="39"/>
      <x:c r="AO95" s="40"/>
      <x:c r="AP95" s="40"/>
    </x:row>
    <x:row r="96" ht="15" hidden="0" customHeight="1">
      <x:c r="A96" s="36" t="str">
        <x:v>Bu-101</x:v>
      </x:c>
      <x:c r="B96" s="37" t="str">
        <x:v>Kimball/Smoke changes </x:v>
      </x:c>
      <x:c r="C96" s="36" t="str">
        <x:v>BU Led</x:v>
      </x:c>
      <x:c r="D96" s="36" t="str">
        <x:v>Sleep &amp; Respiratory Care (SRC)</x:v>
      </x:c>
      <x:c r="E96" s="38" t="n">
        <x:v>0.1</x:v>
      </x:c>
      <x:c r="F96" s="39"/>
      <x:c r="G96" s="38" t="n">
        <x:f>IF(ISNUMBER(F96),F96,IF(E96="","",E96))</x:f>
        <x:v>0.1</x:v>
      </x:c>
      <x:c r="H96" s="38" t="n">
        <x:v>5.9</x:v>
      </x:c>
      <x:c r="I96" s="39"/>
      <x:c r="J96" s="36" t="str">
        <x:v>Risk exposure</x:v>
      </x:c>
      <x:c r="K96" s="38" t="str">
        <x:f>IF(ISNUMBER(I96),I96,IF(OR(NOT(ISNUMBER(H96)),NOT(ISNUMBER(G96)),G96&lt;=0),"",IF(H96/G96&gt;='Score settings'!$B$58,"",IF(J96="Cash savings",H96,IF(J96="Revenue",H96*'Score settings'!$B$55,"")))))</x:f>
      </x:c>
      <x:c r="L96" s="36" t="n">
        <x:v>5</x:v>
      </x:c>
      <x:c r="M96" s="39"/>
      <x:c r="N96" s="40"/>
      <x:c r="O96" s="36" t="str">
        <x:v>Must Do</x:v>
      </x:c>
      <x:c r="P96" s="36" t="str">
        <x:v>LFR</x:v>
      </x:c>
      <x:c r="Q96" s="36" t="str">
        <x:v>Compliance</x:v>
      </x:c>
      <x:c r="R96" s="36" t="str">
        <x:v>HEALTHY</x:v>
      </x:c>
      <x:c r="S96" s="36" t="str">
        <x:v>YES</x:v>
      </x:c>
      <x:c r="T96" s="36" t="str">
        <x:v>LFR validated candidate</x:v>
      </x:c>
      <x:c r="U96" s="41" t="n">
        <x:f>VLOOKUP("Priority|"&amp;O96,'Score settings'!$A$14:$C$43,2,FALSE)/'Score settings'!$B$4*'Score settings'!$C$4</x:f>
        <x:v>25</x:v>
      </x:c>
      <x:c r="V96" s="41" t="n">
        <x:f>VLOOKUP("Category|"&amp;P96,'Score settings'!$A$14:$C$43,2,FALSE)/'Score settings'!$B$5*'Score settings'!$C$5</x:f>
        <x:v>20</x:v>
      </x:c>
      <x:c r="W96" s="41" t="n">
        <x:f>VLOOKUP("Area|"&amp;Q96,'Score settings'!$A$14:$C$43,2,FALSE)/'Score settings'!$B$6*'Score settings'!$C$6</x:f>
        <x:v>15</x:v>
      </x:c>
      <x:c r="X96" s="41" t="n">
        <x:f>VLOOKUP("Benefits|"&amp;IF(AND(ISNUMBER(H96),H96&gt;0,ISNUMBER(G96),G96&gt;0),IF(H96/G96&gt;='Score settings'!$E$17,"3plus",IF(H96/G96&gt;='Score settings'!$E$16,"1.5to3",IF(H96/G96&gt;='Score settings'!$E$15,"0.5to1.5","positive"))),"None"),'Score settings'!$A$14:$C$43,2,FALSE)/'Score settings'!$B$7*'Score settings'!$C$7</x:f>
        <x:v>25</x:v>
      </x:c>
      <x:c r="Y96" s="41" t="n">
        <x:f>VLOOKUP("Waste|"&amp;R96,'Score settings'!$A$14:$C$43,2,FALSE)/'Score settings'!$B$8*'Score settings'!$C$8</x:f>
        <x:v>15</x:v>
      </x:c>
      <x:c r="Z96" s="41" t="n">
        <x:f>IF(B96="","",SUM(U96:Y96))</x:f>
        <x:v>100</x:v>
      </x:c>
      <x:c r="AA96" s="41" t="str">
        <x:f>IF(Z96="","Not scored",VLOOKUP(Z96,'Score settings'!$A$47:$C$50,2,TRUE))</x:f>
        <x:v>Protected</x:v>
      </x:c>
      <x:c r="AB96" s="41" t="n">
        <x:f>VLOOKUP("Priority|"&amp;O96,'Score settings'!$A$14:$C$43,3,FALSE)/'Score settings'!$B$4*'Score settings'!$D$4</x:f>
        <x:v>15</x:v>
      </x:c>
      <x:c r="AC96" s="41" t="n">
        <x:f>VLOOKUP("Category|"&amp;P96,'Score settings'!$A$14:$C$43,3,FALSE)/'Score settings'!$B$5*'Score settings'!$D$5</x:f>
        <x:v>10</x:v>
      </x:c>
      <x:c r="AD96" s="41" t="n">
        <x:f>VLOOKUP("Area|"&amp;Q96,'Score settings'!$A$14:$C$43,3,FALSE)/'Score settings'!$B$6*'Score settings'!$D$6</x:f>
        <x:v>10</x:v>
      </x:c>
      <x:c r="AE96" s="41" t="n">
        <x:f>VLOOKUP("Benefits|"&amp;IF(AND(ISNUMBER(K96),K96&gt;0,ISNUMBER(G96),G96&gt;0),IF(K96/G96&gt;='Score settings'!$E$17,"3plus",IF(K96/G96&gt;='Score settings'!$E$16,"1.5to3",IF(K96/G96&gt;='Score settings'!$E$15,"0.5to1.5","positive"))),"None"),'Score settings'!$A$14:$C$43,3,FALSE)/'Score settings'!$B$7*'Score settings'!$D$7</x:f>
        <x:v>0</x:v>
      </x:c>
      <x:c r="AF96" s="41" t="n">
        <x:f>VLOOKUP("Waste|"&amp;R96,'Score settings'!$A$14:$C$43,3,FALSE)/'Score settings'!$B$8*'Score settings'!$D$8</x:f>
        <x:v>10</x:v>
      </x:c>
      <x:c r="AG96" s="41" t="n">
        <x:f>(IF(AND(ISNUMBER(M96),M96&gt;0,ISNUMBER(G96),G96&gt;0),IF(M96/G96&gt;='Score settings'!$E$17,'Score settings'!$G$17,IF(M96/G96&gt;='Score settings'!$E$16,'Score settings'!$G$16,IF(M96/G96&gt;='Score settings'!$E$15,'Score settings'!$G$15,'Score settings'!$G$14))),0)/15*'Score settings'!$B$60+IFERROR(VLOOKUP(IF(ISNUMBER(N96),N96,IF(ISNUMBER(L96),L96,0)),'Score settings'!$E$22:$F$26,2,FALSE),0)/10*'Score settings'!$B$61)/'Score settings'!$B$9*'Score settings'!$D$9</x:f>
        <x:v>10</x:v>
      </x:c>
      <x:c r="AH96" s="41" t="n">
        <x:f>IF(B96="","",SUM(AB96:AG96))</x:f>
        <x:v>55</x:v>
      </x:c>
      <x:c r="AI96" s="41" t="str">
        <x:f>IF(NOT(ISNUMBER(AH96)),"Not scored",VLOOKUP(AH96,'Score settings'!$A$47:$C$50,3,TRUE))</x:f>
        <x:v>Strong</x:v>
      </x:c>
      <x:c r="AJ96" s="42" t="str">
        <x:f>IF(OR(NOT(ISNUMBER(AH96)),T96&lt;&gt;"Common pot"),"",COUNTIFS($T$4:$T$509,"Common pot",$AH$4:$AH$509,"&gt;"&amp;AH96)+1)</x:f>
      </x:c>
      <x:c r="AK96" s="36" t="str">
        <x:f>IF(B96="","Name missing - not scored",IF(OR(NOT(ISNUMBER(G96)),G96&lt;=0),"Investment missing or zero - review",IF(0=1,"Permanent ID missing - reconcile",IF(AND(ISNUMBER(H96),H96/G96&gt;='Score settings'!$B$58,NOT(ISNUMBER(I96))),"Benefit units need review",IF(OR(R96="EXIT",R96="CHALLENGE"),"Waste decision requires scope resolution",IF("Name and organisation matched"&lt;&gt;"Name and organisation matched","Waste evidence match needs review","Provisional source score - confirm evidence"))))))</x:f>
        <x:v>Benefit units need review</x:v>
      </x:c>
      <x:c r="AL96" s="36" t="n">
        <x:v>20</x:v>
      </x:c>
      <x:c r="AM96" s="40"/>
      <x:c r="AN96" s="39"/>
      <x:c r="AO96" s="40"/>
      <x:c r="AP96" s="40"/>
    </x:row>
    <x:row r="97" ht="15" hidden="0" customHeight="1">
      <x:c r="A97" s="36" t="str">
        <x:v>Bu-102</x:v>
      </x:c>
      <x:c r="B97" s="37" t="str">
        <x:v>CRM (MSD) Phase 2</x:v>
      </x:c>
      <x:c r="C97" s="36" t="str">
        <x:v>BU Led</x:v>
      </x:c>
      <x:c r="D97" s="36" t="str">
        <x:v>Sleep &amp; Respiratory Care (SRC)</x:v>
      </x:c>
      <x:c r="E97" s="38" t="n">
        <x:v>0</x:v>
      </x:c>
      <x:c r="F97" s="39"/>
      <x:c r="G97" s="38" t="str">
        <x:f>IF(ISNUMBER(F97),F97,IF(E97="","",E97))</x:f>
      </x:c>
      <x:c r="H97" s="38" t="n">
        <x:v>5</x:v>
      </x:c>
      <x:c r="I97" s="39"/>
      <x:c r="J97" s="36" t="str">
        <x:v>Risk exposure</x:v>
      </x:c>
      <x:c r="K97" s="38" t="str">
        <x:f>IF(ISNUMBER(I97),I97,IF(OR(NOT(ISNUMBER(H97)),NOT(ISNUMBER(G97)),G97&lt;=0),"",IF(H97/G97&gt;='Score settings'!$B$58,"",IF(J97="Cash savings",H97,IF(J97="Revenue",H97*'Score settings'!$B$55,"")))))</x:f>
      </x:c>
      <x:c r="L97" s="36"/>
      <x:c r="M97" s="39"/>
      <x:c r="N97" s="40"/>
      <x:c r="O97" s="36" t="str">
        <x:v>Must Do</x:v>
      </x:c>
      <x:c r="P97" s="36" t="str">
        <x:v>LFR</x:v>
      </x:c>
      <x:c r="Q97" s="36" t="str">
        <x:v>Compliance</x:v>
      </x:c>
      <x:c r="R97" s="36" t="str">
        <x:v>NotAssessed</x:v>
      </x:c>
      <x:c r="S97" s="36" t="str"/>
      <x:c r="T97" s="36" t="str">
        <x:v>Common pot</x:v>
      </x:c>
      <x:c r="U97" s="41" t="n">
        <x:f>VLOOKUP("Priority|"&amp;O97,'Score settings'!$A$14:$C$43,2,FALSE)/'Score settings'!$B$4*'Score settings'!$C$4</x:f>
        <x:v>25</x:v>
      </x:c>
      <x:c r="V97" s="41" t="n">
        <x:f>VLOOKUP("Category|"&amp;P97,'Score settings'!$A$14:$C$43,2,FALSE)/'Score settings'!$B$5*'Score settings'!$C$5</x:f>
        <x:v>20</x:v>
      </x:c>
      <x:c r="W97" s="41" t="n">
        <x:f>VLOOKUP("Area|"&amp;Q97,'Score settings'!$A$14:$C$43,2,FALSE)/'Score settings'!$B$6*'Score settings'!$C$6</x:f>
        <x:v>15</x:v>
      </x:c>
      <x:c r="X97" s="41" t="n">
        <x:f>VLOOKUP("Benefits|"&amp;IF(AND(ISNUMBER(H97),H97&gt;0,ISNUMBER(G97),G97&gt;0),IF(H97/G97&gt;='Score settings'!$E$17,"3plus",IF(H97/G97&gt;='Score settings'!$E$16,"1.5to3",IF(H97/G97&gt;='Score settings'!$E$15,"0.5to1.5","positive"))),"None"),'Score settings'!$A$14:$C$43,2,FALSE)/'Score settings'!$B$7*'Score settings'!$C$7</x:f>
        <x:v>5</x:v>
      </x:c>
      <x:c r="Y97" s="41" t="n">
        <x:f>VLOOKUP("Waste|"&amp;R97,'Score settings'!$A$14:$C$43,2,FALSE)/'Score settings'!$B$8*'Score settings'!$C$8</x:f>
        <x:v>7</x:v>
      </x:c>
      <x:c r="Z97" s="41" t="n">
        <x:f>IF(B97="","",SUM(U97:Y97))</x:f>
        <x:v>72</x:v>
      </x:c>
      <x:c r="AA97" s="41" t="str">
        <x:f>IF(Z97="","Not scored",VLOOKUP(Z97,'Score settings'!$A$47:$C$50,2,TRUE))</x:f>
        <x:v>Protected</x:v>
      </x:c>
      <x:c r="AB97" s="41" t="n">
        <x:f>VLOOKUP("Priority|"&amp;O97,'Score settings'!$A$14:$C$43,3,FALSE)/'Score settings'!$B$4*'Score settings'!$D$4</x:f>
        <x:v>15</x:v>
      </x:c>
      <x:c r="AC97" s="41" t="n">
        <x:f>VLOOKUP("Category|"&amp;P97,'Score settings'!$A$14:$C$43,3,FALSE)/'Score settings'!$B$5*'Score settings'!$D$5</x:f>
        <x:v>10</x:v>
      </x:c>
      <x:c r="AD97" s="41" t="n">
        <x:f>VLOOKUP("Area|"&amp;Q97,'Score settings'!$A$14:$C$43,3,FALSE)/'Score settings'!$B$6*'Score settings'!$D$6</x:f>
        <x:v>10</x:v>
      </x:c>
      <x:c r="AE97" s="41" t="n">
        <x:f>VLOOKUP("Benefits|"&amp;IF(AND(ISNUMBER(K97),K97&gt;0,ISNUMBER(G97),G97&gt;0),IF(K97/G97&gt;='Score settings'!$E$17,"3plus",IF(K97/G97&gt;='Score settings'!$E$16,"1.5to3",IF(K97/G97&gt;='Score settings'!$E$15,"0.5to1.5","positive"))),"None"),'Score settings'!$A$14:$C$43,3,FALSE)/'Score settings'!$B$7*'Score settings'!$D$7</x:f>
        <x:v>0</x:v>
      </x:c>
      <x:c r="AF97" s="41" t="n">
        <x:f>VLOOKUP("Waste|"&amp;R97,'Score settings'!$A$14:$C$43,3,FALSE)/'Score settings'!$B$8*'Score settings'!$D$8</x:f>
        <x:v>0</x:v>
      </x:c>
      <x:c r="AG97" s="41" t="n">
        <x:f>(IF(AND(ISNUMBER(M97),M97&gt;0,ISNUMBER(G97),G97&gt;0),IF(M97/G97&gt;='Score settings'!$E$17,'Score settings'!$G$17,IF(M97/G97&gt;='Score settings'!$E$16,'Score settings'!$G$16,IF(M97/G97&gt;='Score settings'!$E$15,'Score settings'!$G$15,'Score settings'!$G$14))),0)/15*'Score settings'!$B$60+IFERROR(VLOOKUP(IF(ISNUMBER(N97),N97,IF(ISNUMBER(L97),L97,0)),'Score settings'!$E$22:$F$26,2,FALSE),0)/10*'Score settings'!$B$61)/'Score settings'!$B$9*'Score settings'!$D$9</x:f>
        <x:v>0</x:v>
      </x:c>
      <x:c r="AH97" s="41" t="n">
        <x:f>IF(B97="","",SUM(AB97:AG97))</x:f>
        <x:v>35</x:v>
      </x:c>
      <x:c r="AI97" s="41" t="str">
        <x:f>IF(NOT(ISNUMBER(AH97)),"Not scored",VLOOKUP(AH97,'Score settings'!$A$47:$C$50,3,TRUE))</x:f>
        <x:v>Discretionary</x:v>
      </x:c>
      <x:c r="AJ97" s="42" t="n">
        <x:f>IF(OR(NOT(ISNUMBER(AH97)),T97&lt;&gt;"Common pot"),"",COUNTIFS($T$4:$T$509,"Common pot",$AH$4:$AH$509,"&gt;"&amp;AH97)+1)</x:f>
        <x:v>142</x:v>
      </x:c>
      <x:c r="AK97" s="36" t="str">
        <x:f>IF(B97="","Name missing - not scored",IF(OR(NOT(ISNUMBER(G97)),G97&lt;=0),"Investment missing or zero - review",IF(0=1,"Permanent ID missing - reconcile",IF(AND(ISNUMBER(H97),H97/G97&gt;='Score settings'!$B$58,NOT(ISNUMBER(I97))),"Benefit units need review",IF(OR(R97="EXIT",R97="CHALLENGE"),"Waste decision requires scope resolution",IF("No exact waste match"&lt;&gt;"Name and organisation matched","Waste evidence match needs review","Provisional source score - confirm evidence"))))))</x:f>
        <x:v>Investment missing or zero - review</x:v>
      </x:c>
      <x:c r="AL97" s="36"/>
      <x:c r="AM97" s="40"/>
      <x:c r="AN97" s="39"/>
      <x:c r="AO97" s="40"/>
      <x:c r="AP97" s="40"/>
    </x:row>
    <x:row r="98" ht="15" hidden="0" customHeight="1">
      <x:c r="A98" s="36" t="str">
        <x:v>Bu-103</x:v>
      </x:c>
      <x:c r="B98" s="37" t="str">
        <x:v>3rd Party Inventory and Hold status update from SAP/PRD</x:v>
      </x:c>
      <x:c r="C98" s="36" t="str">
        <x:v>BU Led</x:v>
      </x:c>
      <x:c r="D98" s="36" t="str">
        <x:v>Sleep &amp; Respiratory Care (SRC)</x:v>
      </x:c>
      <x:c r="E98" s="38" t="n">
        <x:v>0.2</x:v>
      </x:c>
      <x:c r="F98" s="39"/>
      <x:c r="G98" s="38" t="n">
        <x:f>IF(ISNUMBER(F98),F98,IF(E98="","",E98))</x:f>
        <x:v>0.2</x:v>
      </x:c>
      <x:c r="H98" s="38"/>
      <x:c r="I98" s="39"/>
      <x:c r="J98" s="36" t="str">
        <x:v>Risk exposure</x:v>
      </x:c>
      <x:c r="K98" s="38" t="str">
        <x:f>IF(ISNUMBER(I98),I98,IF(OR(NOT(ISNUMBER(H98)),NOT(ISNUMBER(G98)),G98&lt;=0),"",IF(H98/G98&gt;='Score settings'!$B$58,"",IF(J98="Cash savings",H98,IF(J98="Revenue",H98*'Score settings'!$B$55,"")))))</x:f>
      </x:c>
      <x:c r="L98" s="36" t="n">
        <x:v>5</x:v>
      </x:c>
      <x:c r="M98" s="39"/>
      <x:c r="N98" s="40"/>
      <x:c r="O98" s="36" t="str">
        <x:v>Must Do</x:v>
      </x:c>
      <x:c r="P98" s="36" t="str">
        <x:v>LFR</x:v>
      </x:c>
      <x:c r="Q98" s="36" t="str">
        <x:v>Compliance</x:v>
      </x:c>
      <x:c r="R98" s="36" t="str">
        <x:v>HEALTHY</x:v>
      </x:c>
      <x:c r="S98" s="36" t="str">
        <x:v>YES</x:v>
      </x:c>
      <x:c r="T98" s="36" t="str">
        <x:v>LFR validated candidate</x:v>
      </x:c>
      <x:c r="U98" s="41" t="n">
        <x:f>VLOOKUP("Priority|"&amp;O98,'Score settings'!$A$14:$C$43,2,FALSE)/'Score settings'!$B$4*'Score settings'!$C$4</x:f>
        <x:v>25</x:v>
      </x:c>
      <x:c r="V98" s="41" t="n">
        <x:f>VLOOKUP("Category|"&amp;P98,'Score settings'!$A$14:$C$43,2,FALSE)/'Score settings'!$B$5*'Score settings'!$C$5</x:f>
        <x:v>20</x:v>
      </x:c>
      <x:c r="W98" s="41" t="n">
        <x:f>VLOOKUP("Area|"&amp;Q98,'Score settings'!$A$14:$C$43,2,FALSE)/'Score settings'!$B$6*'Score settings'!$C$6</x:f>
        <x:v>15</x:v>
      </x:c>
      <x:c r="X98" s="41" t="n">
        <x:f>VLOOKUP("Benefits|"&amp;IF(AND(ISNUMBER(H98),H98&gt;0,ISNUMBER(G98),G98&gt;0),IF(H98/G98&gt;='Score settings'!$E$17,"3plus",IF(H98/G98&gt;='Score settings'!$E$16,"1.5to3",IF(H98/G98&gt;='Score settings'!$E$15,"0.5to1.5","positive"))),"None"),'Score settings'!$A$14:$C$43,2,FALSE)/'Score settings'!$B$7*'Score settings'!$C$7</x:f>
        <x:v>5</x:v>
      </x:c>
      <x:c r="Y98" s="41" t="n">
        <x:f>VLOOKUP("Waste|"&amp;R98,'Score settings'!$A$14:$C$43,2,FALSE)/'Score settings'!$B$8*'Score settings'!$C$8</x:f>
        <x:v>15</x:v>
      </x:c>
      <x:c r="Z98" s="41" t="n">
        <x:f>IF(B98="","",SUM(U98:Y98))</x:f>
        <x:v>80</x:v>
      </x:c>
      <x:c r="AA98" s="41" t="str">
        <x:f>IF(Z98="","Not scored",VLOOKUP(Z98,'Score settings'!$A$47:$C$50,2,TRUE))</x:f>
        <x:v>Protected</x:v>
      </x:c>
      <x:c r="AB98" s="41" t="n">
        <x:f>VLOOKUP("Priority|"&amp;O98,'Score settings'!$A$14:$C$43,3,FALSE)/'Score settings'!$B$4*'Score settings'!$D$4</x:f>
        <x:v>15</x:v>
      </x:c>
      <x:c r="AC98" s="41" t="n">
        <x:f>VLOOKUP("Category|"&amp;P98,'Score settings'!$A$14:$C$43,3,FALSE)/'Score settings'!$B$5*'Score settings'!$D$5</x:f>
        <x:v>10</x:v>
      </x:c>
      <x:c r="AD98" s="41" t="n">
        <x:f>VLOOKUP("Area|"&amp;Q98,'Score settings'!$A$14:$C$43,3,FALSE)/'Score settings'!$B$6*'Score settings'!$D$6</x:f>
        <x:v>10</x:v>
      </x:c>
      <x:c r="AE98" s="41" t="n">
        <x:f>VLOOKUP("Benefits|"&amp;IF(AND(ISNUMBER(K98),K98&gt;0,ISNUMBER(G98),G98&gt;0),IF(K98/G98&gt;='Score settings'!$E$17,"3plus",IF(K98/G98&gt;='Score settings'!$E$16,"1.5to3",IF(K98/G98&gt;='Score settings'!$E$15,"0.5to1.5","positive"))),"None"),'Score settings'!$A$14:$C$43,3,FALSE)/'Score settings'!$B$7*'Score settings'!$D$7</x:f>
        <x:v>0</x:v>
      </x:c>
      <x:c r="AF98" s="41" t="n">
        <x:f>VLOOKUP("Waste|"&amp;R98,'Score settings'!$A$14:$C$43,3,FALSE)/'Score settings'!$B$8*'Score settings'!$D$8</x:f>
        <x:v>10</x:v>
      </x:c>
      <x:c r="AG98" s="41" t="n">
        <x:f>(IF(AND(ISNUMBER(M98),M98&gt;0,ISNUMBER(G98),G98&gt;0),IF(M98/G98&gt;='Score settings'!$E$17,'Score settings'!$G$17,IF(M98/G98&gt;='Score settings'!$E$16,'Score settings'!$G$16,IF(M98/G98&gt;='Score settings'!$E$15,'Score settings'!$G$15,'Score settings'!$G$14))),0)/15*'Score settings'!$B$60+IFERROR(VLOOKUP(IF(ISNUMBER(N98),N98,IF(ISNUMBER(L98),L98,0)),'Score settings'!$E$22:$F$26,2,FALSE),0)/10*'Score settings'!$B$61)/'Score settings'!$B$9*'Score settings'!$D$9</x:f>
        <x:v>10</x:v>
      </x:c>
      <x:c r="AH98" s="41" t="n">
        <x:f>IF(B98="","",SUM(AB98:AG98))</x:f>
        <x:v>55</x:v>
      </x:c>
      <x:c r="AI98" s="41" t="str">
        <x:f>IF(NOT(ISNUMBER(AH98)),"Not scored",VLOOKUP(AH98,'Score settings'!$A$47:$C$50,3,TRUE))</x:f>
        <x:v>Strong</x:v>
      </x:c>
      <x:c r="AJ98" s="42" t="str">
        <x:f>IF(OR(NOT(ISNUMBER(AH98)),T98&lt;&gt;"Common pot"),"",COUNTIFS($T$4:$T$509,"Common pot",$AH$4:$AH$509,"&gt;"&amp;AH98)+1)</x:f>
      </x:c>
      <x:c r="AK98" s="36" t="str">
        <x:f>IF(B98="","Name missing - not scored",IF(OR(NOT(ISNUMBER(G98)),G98&lt;=0),"Investment missing or zero - review",IF(0=1,"Permanent ID missing - reconcile",IF(AND(ISNUMBER(H98),H98/G98&gt;='Score settings'!$B$58,NOT(ISNUMBER(I98))),"Benefit units need review",IF(OR(R98="EXIT",R98="CHALLENGE"),"Waste decision requires scope resolution",IF("Name and organisation matched"&lt;&gt;"Name and organisation matched","Waste evidence match needs review","Provisional source score - confirm evidence"))))))</x:f>
        <x:v>Provisional source score - confirm evidence</x:v>
      </x:c>
      <x:c r="AL98" s="36" t="n">
        <x:v>20</x:v>
      </x:c>
      <x:c r="AM98" s="40"/>
      <x:c r="AN98" s="39"/>
      <x:c r="AO98" s="40"/>
      <x:c r="AP98" s="40"/>
    </x:row>
    <x:row r="99" ht="15" hidden="0" customHeight="1">
      <x:c r="A99" s="36" t="str">
        <x:v>Bu-104</x:v>
      </x:c>
      <x:c r="B99" s="37" t="str">
        <x:v>Windchil C&amp;CM</x:v>
      </x:c>
      <x:c r="C99" s="36" t="str">
        <x:v>BU Led</x:v>
      </x:c>
      <x:c r="D99" s="36" t="str">
        <x:v>Sleep &amp; Respiratory Care (SRC)</x:v>
      </x:c>
      <x:c r="E99" s="38" t="n">
        <x:v>1.655</x:v>
      </x:c>
      <x:c r="F99" s="39"/>
      <x:c r="G99" s="38" t="n">
        <x:f>IF(ISNUMBER(F99),F99,IF(E99="","",E99))</x:f>
        <x:v>1.655</x:v>
      </x:c>
      <x:c r="H99" s="38"/>
      <x:c r="I99" s="39"/>
      <x:c r="J99" s="36" t="str">
        <x:v>Risk exposure</x:v>
      </x:c>
      <x:c r="K99" s="38" t="str">
        <x:f>IF(ISNUMBER(I99),I99,IF(OR(NOT(ISNUMBER(H99)),NOT(ISNUMBER(G99)),G99&lt;=0),"",IF(H99/G99&gt;='Score settings'!$B$58,"",IF(J99="Cash savings",H99,IF(J99="Revenue",H99*'Score settings'!$B$55,"")))))</x:f>
      </x:c>
      <x:c r="L99" s="36" t="n">
        <x:v>5</x:v>
      </x:c>
      <x:c r="M99" s="39"/>
      <x:c r="N99" s="40"/>
      <x:c r="O99" s="36" t="str">
        <x:v>Must Do</x:v>
      </x:c>
      <x:c r="P99" s="36" t="str">
        <x:v>LFR</x:v>
      </x:c>
      <x:c r="Q99" s="36" t="str">
        <x:v>Compliance</x:v>
      </x:c>
      <x:c r="R99" s="36" t="str">
        <x:v>NotAssessed</x:v>
      </x:c>
      <x:c r="S99" s="36" t="str">
        <x:v>YES</x:v>
      </x:c>
      <x:c r="T99" s="36" t="str">
        <x:v>LFR validated candidate</x:v>
      </x:c>
      <x:c r="U99" s="41" t="n">
        <x:f>VLOOKUP("Priority|"&amp;O99,'Score settings'!$A$14:$C$43,2,FALSE)/'Score settings'!$B$4*'Score settings'!$C$4</x:f>
        <x:v>25</x:v>
      </x:c>
      <x:c r="V99" s="41" t="n">
        <x:f>VLOOKUP("Category|"&amp;P99,'Score settings'!$A$14:$C$43,2,FALSE)/'Score settings'!$B$5*'Score settings'!$C$5</x:f>
        <x:v>20</x:v>
      </x:c>
      <x:c r="W99" s="41" t="n">
        <x:f>VLOOKUP("Area|"&amp;Q99,'Score settings'!$A$14:$C$43,2,FALSE)/'Score settings'!$B$6*'Score settings'!$C$6</x:f>
        <x:v>15</x:v>
      </x:c>
      <x:c r="X99" s="41" t="n">
        <x:f>VLOOKUP("Benefits|"&amp;IF(AND(ISNUMBER(H99),H99&gt;0,ISNUMBER(G99),G99&gt;0),IF(H99/G99&gt;='Score settings'!$E$17,"3plus",IF(H99/G99&gt;='Score settings'!$E$16,"1.5to3",IF(H99/G99&gt;='Score settings'!$E$15,"0.5to1.5","positive"))),"None"),'Score settings'!$A$14:$C$43,2,FALSE)/'Score settings'!$B$7*'Score settings'!$C$7</x:f>
        <x:v>5</x:v>
      </x:c>
      <x:c r="Y99" s="41" t="n">
        <x:f>VLOOKUP("Waste|"&amp;R99,'Score settings'!$A$14:$C$43,2,FALSE)/'Score settings'!$B$8*'Score settings'!$C$8</x:f>
        <x:v>7</x:v>
      </x:c>
      <x:c r="Z99" s="41" t="n">
        <x:f>IF(B99="","",SUM(U99:Y99))</x:f>
        <x:v>72</x:v>
      </x:c>
      <x:c r="AA99" s="41" t="str">
        <x:f>IF(Z99="","Not scored",VLOOKUP(Z99,'Score settings'!$A$47:$C$50,2,TRUE))</x:f>
        <x:v>Protected</x:v>
      </x:c>
      <x:c r="AB99" s="41" t="n">
        <x:f>VLOOKUP("Priority|"&amp;O99,'Score settings'!$A$14:$C$43,3,FALSE)/'Score settings'!$B$4*'Score settings'!$D$4</x:f>
        <x:v>15</x:v>
      </x:c>
      <x:c r="AC99" s="41" t="n">
        <x:f>VLOOKUP("Category|"&amp;P99,'Score settings'!$A$14:$C$43,3,FALSE)/'Score settings'!$B$5*'Score settings'!$D$5</x:f>
        <x:v>10</x:v>
      </x:c>
      <x:c r="AD99" s="41" t="n">
        <x:f>VLOOKUP("Area|"&amp;Q99,'Score settings'!$A$14:$C$43,3,FALSE)/'Score settings'!$B$6*'Score settings'!$D$6</x:f>
        <x:v>10</x:v>
      </x:c>
      <x:c r="AE99" s="41" t="n">
        <x:f>VLOOKUP("Benefits|"&amp;IF(AND(ISNUMBER(K99),K99&gt;0,ISNUMBER(G99),G99&gt;0),IF(K99/G99&gt;='Score settings'!$E$17,"3plus",IF(K99/G99&gt;='Score settings'!$E$16,"1.5to3",IF(K99/G99&gt;='Score settings'!$E$15,"0.5to1.5","positive"))),"None"),'Score settings'!$A$14:$C$43,3,FALSE)/'Score settings'!$B$7*'Score settings'!$D$7</x:f>
        <x:v>0</x:v>
      </x:c>
      <x:c r="AF99" s="41" t="n">
        <x:f>VLOOKUP("Waste|"&amp;R99,'Score settings'!$A$14:$C$43,3,FALSE)/'Score settings'!$B$8*'Score settings'!$D$8</x:f>
        <x:v>0</x:v>
      </x:c>
      <x:c r="AG99" s="41" t="n">
        <x:f>(IF(AND(ISNUMBER(M99),M99&gt;0,ISNUMBER(G99),G99&gt;0),IF(M99/G99&gt;='Score settings'!$E$17,'Score settings'!$G$17,IF(M99/G99&gt;='Score settings'!$E$16,'Score settings'!$G$16,IF(M99/G99&gt;='Score settings'!$E$15,'Score settings'!$G$15,'Score settings'!$G$14))),0)/15*'Score settings'!$B$60+IFERROR(VLOOKUP(IF(ISNUMBER(N99),N99,IF(ISNUMBER(L99),L99,0)),'Score settings'!$E$22:$F$26,2,FALSE),0)/10*'Score settings'!$B$61)/'Score settings'!$B$9*'Score settings'!$D$9</x:f>
        <x:v>10</x:v>
      </x:c>
      <x:c r="AH99" s="41" t="n">
        <x:f>IF(B99="","",SUM(AB99:AG99))</x:f>
        <x:v>45</x:v>
      </x:c>
      <x:c r="AI99" s="41" t="str">
        <x:f>IF(NOT(ISNUMBER(AH99)),"Not scored",VLOOKUP(AH99,'Score settings'!$A$47:$C$50,3,TRUE))</x:f>
        <x:v>Strong</x:v>
      </x:c>
      <x:c r="AJ99" s="42" t="str">
        <x:f>IF(OR(NOT(ISNUMBER(AH99)),T99&lt;&gt;"Common pot"),"",COUNTIFS($T$4:$T$509,"Common pot",$AH$4:$AH$509,"&gt;"&amp;AH99)+1)</x:f>
      </x:c>
      <x:c r="AK99" s="36" t="str">
        <x:f>IF(B99="","Name missing - not scored",IF(OR(NOT(ISNUMBER(G99)),G99&lt;=0),"Investment missing or zero - review",IF(0=1,"Permanent ID missing - reconcile",IF(AND(ISNUMBER(H99),H99/G99&gt;='Score settings'!$B$58,NOT(ISNUMBER(I99))),"Benefit units need review",IF(OR(R99="EXIT",R99="CHALLENGE"),"Waste decision requires scope resolution",IF("Name and organisation matched"&lt;&gt;"Name and organisation matched","Waste evidence match needs review","Provisional source score - confirm evidence"))))))</x:f>
        <x:v>Provisional source score - confirm evidence</x:v>
      </x:c>
      <x:c r="AL99" s="36" t="n">
        <x:v>20</x:v>
      </x:c>
      <x:c r="AM99" s="40"/>
      <x:c r="AN99" s="39"/>
      <x:c r="AO99" s="40"/>
      <x:c r="AP99" s="40"/>
    </x:row>
    <x:row r="100" ht="15" hidden="0" customHeight="1">
      <x:c r="A100" s="36" t="str">
        <x:v>Bu-105</x:v>
      </x:c>
      <x:c r="B100" s="37" t="str">
        <x:v>QMS Roles Standardization (Lumen) and Job Catalog alignment</x:v>
      </x:c>
      <x:c r="C100" s="36" t="str">
        <x:v>BU Led</x:v>
      </x:c>
      <x:c r="D100" s="36" t="str">
        <x:v>Sleep &amp; Respiratory Care (SRC)</x:v>
      </x:c>
      <x:c r="E100" s="38" t="n">
        <x:v>0.04</x:v>
      </x:c>
      <x:c r="F100" s="39"/>
      <x:c r="G100" s="38" t="n">
        <x:f>IF(ISNUMBER(F100),F100,IF(E100="","",E100))</x:f>
        <x:v>0.04</x:v>
      </x:c>
      <x:c r="H100" s="38"/>
      <x:c r="I100" s="39"/>
      <x:c r="J100" s="36" t="str">
        <x:v>Risk exposure</x:v>
      </x:c>
      <x:c r="K100" s="38" t="str">
        <x:f>IF(ISNUMBER(I100),I100,IF(OR(NOT(ISNUMBER(H100)),NOT(ISNUMBER(G100)),G100&lt;=0),"",IF(H100/G100&gt;='Score settings'!$B$58,"",IF(J100="Cash savings",H100,IF(J100="Revenue",H100*'Score settings'!$B$55,"")))))</x:f>
      </x:c>
      <x:c r="L100" s="36" t="n">
        <x:v>3</x:v>
      </x:c>
      <x:c r="M100" s="39"/>
      <x:c r="N100" s="40"/>
      <x:c r="O100" s="36" t="str">
        <x:v>Must Have</x:v>
      </x:c>
      <x:c r="P100" s="36" t="str">
        <x:v>LFR</x:v>
      </x:c>
      <x:c r="Q100" s="36" t="str">
        <x:v>Compliance</x:v>
      </x:c>
      <x:c r="R100" s="36" t="str">
        <x:v>NotAssessed</x:v>
      </x:c>
      <x:c r="S100" s="36" t="str">
        <x:v>YES</x:v>
      </x:c>
      <x:c r="T100" s="36" t="str">
        <x:v>LFR validated candidate</x:v>
      </x:c>
      <x:c r="U100" s="41" t="n">
        <x:f>VLOOKUP("Priority|"&amp;O100,'Score settings'!$A$14:$C$43,2,FALSE)/'Score settings'!$B$4*'Score settings'!$C$4</x:f>
        <x:v>18</x:v>
      </x:c>
      <x:c r="V100" s="41" t="n">
        <x:f>VLOOKUP("Category|"&amp;P100,'Score settings'!$A$14:$C$43,2,FALSE)/'Score settings'!$B$5*'Score settings'!$C$5</x:f>
        <x:v>20</x:v>
      </x:c>
      <x:c r="W100" s="41" t="n">
        <x:f>VLOOKUP("Area|"&amp;Q100,'Score settings'!$A$14:$C$43,2,FALSE)/'Score settings'!$B$6*'Score settings'!$C$6</x:f>
        <x:v>15</x:v>
      </x:c>
      <x:c r="X100" s="41" t="n">
        <x:f>VLOOKUP("Benefits|"&amp;IF(AND(ISNUMBER(H100),H100&gt;0,ISNUMBER(G100),G100&gt;0),IF(H100/G100&gt;='Score settings'!$E$17,"3plus",IF(H100/G100&gt;='Score settings'!$E$16,"1.5to3",IF(H100/G100&gt;='Score settings'!$E$15,"0.5to1.5","positive"))),"None"),'Score settings'!$A$14:$C$43,2,FALSE)/'Score settings'!$B$7*'Score settings'!$C$7</x:f>
        <x:v>5</x:v>
      </x:c>
      <x:c r="Y100" s="41" t="n">
        <x:f>VLOOKUP("Waste|"&amp;R100,'Score settings'!$A$14:$C$43,2,FALSE)/'Score settings'!$B$8*'Score settings'!$C$8</x:f>
        <x:v>7</x:v>
      </x:c>
      <x:c r="Z100" s="41" t="n">
        <x:f>IF(B100="","",SUM(U100:Y100))</x:f>
        <x:v>65</x:v>
      </x:c>
      <x:c r="AA100" s="41" t="str">
        <x:f>IF(Z100="","Not scored",VLOOKUP(Z100,'Score settings'!$A$47:$C$50,2,TRUE))</x:f>
        <x:v>Protected</x:v>
      </x:c>
      <x:c r="AB100" s="41" t="n">
        <x:f>VLOOKUP("Priority|"&amp;O100,'Score settings'!$A$14:$C$43,3,FALSE)/'Score settings'!$B$4*'Score settings'!$D$4</x:f>
        <x:v>10.799999999999999</x:v>
      </x:c>
      <x:c r="AC100" s="41" t="n">
        <x:f>VLOOKUP("Category|"&amp;P100,'Score settings'!$A$14:$C$43,3,FALSE)/'Score settings'!$B$5*'Score settings'!$D$5</x:f>
        <x:v>10</x:v>
      </x:c>
      <x:c r="AD100" s="41" t="n">
        <x:f>VLOOKUP("Area|"&amp;Q100,'Score settings'!$A$14:$C$43,3,FALSE)/'Score settings'!$B$6*'Score settings'!$D$6</x:f>
        <x:v>10</x:v>
      </x:c>
      <x:c r="AE100" s="41" t="n">
        <x:f>VLOOKUP("Benefits|"&amp;IF(AND(ISNUMBER(K100),K100&gt;0,ISNUMBER(G100),G100&gt;0),IF(K100/G100&gt;='Score settings'!$E$17,"3plus",IF(K100/G100&gt;='Score settings'!$E$16,"1.5to3",IF(K100/G100&gt;='Score settings'!$E$15,"0.5to1.5","positive"))),"None"),'Score settings'!$A$14:$C$43,3,FALSE)/'Score settings'!$B$7*'Score settings'!$D$7</x:f>
        <x:v>0</x:v>
      </x:c>
      <x:c r="AF100" s="41" t="n">
        <x:f>VLOOKUP("Waste|"&amp;R100,'Score settings'!$A$14:$C$43,3,FALSE)/'Score settings'!$B$8*'Score settings'!$D$8</x:f>
        <x:v>0</x:v>
      </x:c>
      <x:c r="AG100" s="41" t="n">
        <x:f>(IF(AND(ISNUMBER(M100),M100&gt;0,ISNUMBER(G100),G100&gt;0),IF(M100/G100&gt;='Score settings'!$E$17,'Score settings'!$G$17,IF(M100/G100&gt;='Score settings'!$E$16,'Score settings'!$G$16,IF(M100/G100&gt;='Score settings'!$E$15,'Score settings'!$G$15,'Score settings'!$G$14))),0)/15*'Score settings'!$B$60+IFERROR(VLOOKUP(IF(ISNUMBER(N100),N100,IF(ISNUMBER(L100),L100,0)),'Score settings'!$E$22:$F$26,2,FALSE),0)/10*'Score settings'!$B$61)/'Score settings'!$B$9*'Score settings'!$D$9</x:f>
        <x:v>6</x:v>
      </x:c>
      <x:c r="AH100" s="41" t="n">
        <x:f>IF(B100="","",SUM(AB100:AG100))</x:f>
        <x:v>36.8</x:v>
      </x:c>
      <x:c r="AI100" s="41" t="str">
        <x:f>IF(NOT(ISNUMBER(AH100)),"Not scored",VLOOKUP(AH100,'Score settings'!$A$47:$C$50,3,TRUE))</x:f>
        <x:v>Discretionary</x:v>
      </x:c>
      <x:c r="AJ100" s="42" t="str">
        <x:f>IF(OR(NOT(ISNUMBER(AH100)),T100&lt;&gt;"Common pot"),"",COUNTIFS($T$4:$T$509,"Common pot",$AH$4:$AH$509,"&gt;"&amp;AH100)+1)</x:f>
      </x:c>
      <x:c r="AK100" s="36" t="str">
        <x:f>IF(B100="","Name missing - not scored",IF(OR(NOT(ISNUMBER(G100)),G100&lt;=0),"Investment missing or zero - review",IF(0=1,"Permanent ID missing - reconcile",IF(AND(ISNUMBER(H100),H100/G100&gt;='Score settings'!$B$58,NOT(ISNUMBER(I100))),"Benefit units need review",IF(OR(R100="EXIT",R100="CHALLENGE"),"Waste decision requires scope resolution",IF("Name and organisation matched"&lt;&gt;"Name and organisation matched","Waste evidence match needs review","Provisional source score - confirm evidence"))))))</x:f>
        <x:v>Provisional source score - confirm evidence</x:v>
      </x:c>
      <x:c r="AL100" s="36" t="n">
        <x:v>12</x:v>
      </x:c>
      <x:c r="AM100" s="40"/>
      <x:c r="AN100" s="39"/>
      <x:c r="AO100" s="40"/>
      <x:c r="AP100" s="40"/>
    </x:row>
    <x:row r="101" ht="15" hidden="0" customHeight="1">
      <x:c r="A101" s="36" t="str">
        <x:v>Bu-106</x:v>
      </x:c>
      <x:c r="B101" s="37" t="str">
        <x:v>Mammoth migration TEDS to Cornerstone (Wave 5)</x:v>
      </x:c>
      <x:c r="C101" s="36" t="str">
        <x:v>BU Led</x:v>
      </x:c>
      <x:c r="D101" s="36" t="str">
        <x:v>Sleep &amp; Respiratory Care (SRC)</x:v>
      </x:c>
      <x:c r="E101" s="38" t="n">
        <x:v>0.01</x:v>
      </x:c>
      <x:c r="F101" s="39"/>
      <x:c r="G101" s="38" t="n">
        <x:f>IF(ISNUMBER(F101),F101,IF(E101="","",E101))</x:f>
        <x:v>0.01</x:v>
      </x:c>
      <x:c r="H101" s="38"/>
      <x:c r="I101" s="39"/>
      <x:c r="J101" s="36" t="str">
        <x:v>Risk exposure</x:v>
      </x:c>
      <x:c r="K101" s="38" t="str">
        <x:f>IF(ISNUMBER(I101),I101,IF(OR(NOT(ISNUMBER(H101)),NOT(ISNUMBER(G101)),G101&lt;=0),"",IF(H101/G101&gt;='Score settings'!$B$58,"",IF(J101="Cash savings",H101,IF(J101="Revenue",H101*'Score settings'!$B$55,"")))))</x:f>
      </x:c>
      <x:c r="L101" s="36" t="n">
        <x:v>3</x:v>
      </x:c>
      <x:c r="M101" s="39"/>
      <x:c r="N101" s="40"/>
      <x:c r="O101" s="36" t="str">
        <x:v>Must Have</x:v>
      </x:c>
      <x:c r="P101" s="36" t="str">
        <x:v>LFR</x:v>
      </x:c>
      <x:c r="Q101" s="36" t="str">
        <x:v>Compliance</x:v>
      </x:c>
      <x:c r="R101" s="36" t="str">
        <x:v>NotAssessed</x:v>
      </x:c>
      <x:c r="S101" s="36" t="str">
        <x:v>YES</x:v>
      </x:c>
      <x:c r="T101" s="36" t="str">
        <x:v>LFR validated candidate</x:v>
      </x:c>
      <x:c r="U101" s="41" t="n">
        <x:f>VLOOKUP("Priority|"&amp;O101,'Score settings'!$A$14:$C$43,2,FALSE)/'Score settings'!$B$4*'Score settings'!$C$4</x:f>
        <x:v>18</x:v>
      </x:c>
      <x:c r="V101" s="41" t="n">
        <x:f>VLOOKUP("Category|"&amp;P101,'Score settings'!$A$14:$C$43,2,FALSE)/'Score settings'!$B$5*'Score settings'!$C$5</x:f>
        <x:v>20</x:v>
      </x:c>
      <x:c r="W101" s="41" t="n">
        <x:f>VLOOKUP("Area|"&amp;Q101,'Score settings'!$A$14:$C$43,2,FALSE)/'Score settings'!$B$6*'Score settings'!$C$6</x:f>
        <x:v>15</x:v>
      </x:c>
      <x:c r="X101" s="41" t="n">
        <x:f>VLOOKUP("Benefits|"&amp;IF(AND(ISNUMBER(H101),H101&gt;0,ISNUMBER(G101),G101&gt;0),IF(H101/G101&gt;='Score settings'!$E$17,"3plus",IF(H101/G101&gt;='Score settings'!$E$16,"1.5to3",IF(H101/G101&gt;='Score settings'!$E$15,"0.5to1.5","positive"))),"None"),'Score settings'!$A$14:$C$43,2,FALSE)/'Score settings'!$B$7*'Score settings'!$C$7</x:f>
        <x:v>5</x:v>
      </x:c>
      <x:c r="Y101" s="41" t="n">
        <x:f>VLOOKUP("Waste|"&amp;R101,'Score settings'!$A$14:$C$43,2,FALSE)/'Score settings'!$B$8*'Score settings'!$C$8</x:f>
        <x:v>7</x:v>
      </x:c>
      <x:c r="Z101" s="41" t="n">
        <x:f>IF(B101="","",SUM(U101:Y101))</x:f>
        <x:v>65</x:v>
      </x:c>
      <x:c r="AA101" s="41" t="str">
        <x:f>IF(Z101="","Not scored",VLOOKUP(Z101,'Score settings'!$A$47:$C$50,2,TRUE))</x:f>
        <x:v>Protected</x:v>
      </x:c>
      <x:c r="AB101" s="41" t="n">
        <x:f>VLOOKUP("Priority|"&amp;O101,'Score settings'!$A$14:$C$43,3,FALSE)/'Score settings'!$B$4*'Score settings'!$D$4</x:f>
        <x:v>10.799999999999999</x:v>
      </x:c>
      <x:c r="AC101" s="41" t="n">
        <x:f>VLOOKUP("Category|"&amp;P101,'Score settings'!$A$14:$C$43,3,FALSE)/'Score settings'!$B$5*'Score settings'!$D$5</x:f>
        <x:v>10</x:v>
      </x:c>
      <x:c r="AD101" s="41" t="n">
        <x:f>VLOOKUP("Area|"&amp;Q101,'Score settings'!$A$14:$C$43,3,FALSE)/'Score settings'!$B$6*'Score settings'!$D$6</x:f>
        <x:v>10</x:v>
      </x:c>
      <x:c r="AE101" s="41" t="n">
        <x:f>VLOOKUP("Benefits|"&amp;IF(AND(ISNUMBER(K101),K101&gt;0,ISNUMBER(G101),G101&gt;0),IF(K101/G101&gt;='Score settings'!$E$17,"3plus",IF(K101/G101&gt;='Score settings'!$E$16,"1.5to3",IF(K101/G101&gt;='Score settings'!$E$15,"0.5to1.5","positive"))),"None"),'Score settings'!$A$14:$C$43,3,FALSE)/'Score settings'!$B$7*'Score settings'!$D$7</x:f>
        <x:v>0</x:v>
      </x:c>
      <x:c r="AF101" s="41" t="n">
        <x:f>VLOOKUP("Waste|"&amp;R101,'Score settings'!$A$14:$C$43,3,FALSE)/'Score settings'!$B$8*'Score settings'!$D$8</x:f>
        <x:v>0</x:v>
      </x:c>
      <x:c r="AG101" s="41" t="n">
        <x:f>(IF(AND(ISNUMBER(M101),M101&gt;0,ISNUMBER(G101),G101&gt;0),IF(M101/G101&gt;='Score settings'!$E$17,'Score settings'!$G$17,IF(M101/G101&gt;='Score settings'!$E$16,'Score settings'!$G$16,IF(M101/G101&gt;='Score settings'!$E$15,'Score settings'!$G$15,'Score settings'!$G$14))),0)/15*'Score settings'!$B$60+IFERROR(VLOOKUP(IF(ISNUMBER(N101),N101,IF(ISNUMBER(L101),L101,0)),'Score settings'!$E$22:$F$26,2,FALSE),0)/10*'Score settings'!$B$61)/'Score settings'!$B$9*'Score settings'!$D$9</x:f>
        <x:v>6</x:v>
      </x:c>
      <x:c r="AH101" s="41" t="n">
        <x:f>IF(B101="","",SUM(AB101:AG101))</x:f>
        <x:v>36.8</x:v>
      </x:c>
      <x:c r="AI101" s="41" t="str">
        <x:f>IF(NOT(ISNUMBER(AH101)),"Not scored",VLOOKUP(AH101,'Score settings'!$A$47:$C$50,3,TRUE))</x:f>
        <x:v>Discretionary</x:v>
      </x:c>
      <x:c r="AJ101" s="42" t="str">
        <x:f>IF(OR(NOT(ISNUMBER(AH101)),T101&lt;&gt;"Common pot"),"",COUNTIFS($T$4:$T$509,"Common pot",$AH$4:$AH$509,"&gt;"&amp;AH101)+1)</x:f>
      </x:c>
      <x:c r="AK101" s="36" t="str">
        <x:f>IF(B101="","Name missing - not scored",IF(OR(NOT(ISNUMBER(G101)),G101&lt;=0),"Investment missing or zero - review",IF(0=1,"Permanent ID missing - reconcile",IF(AND(ISNUMBER(H101),H101/G101&gt;='Score settings'!$B$58,NOT(ISNUMBER(I101))),"Benefit units need review",IF(OR(R101="EXIT",R101="CHALLENGE"),"Waste decision requires scope resolution",IF("Name and organisation matched"&lt;&gt;"Name and organisation matched","Waste evidence match needs review","Provisional source score - confirm evidence"))))))</x:f>
        <x:v>Provisional source score - confirm evidence</x:v>
      </x:c>
      <x:c r="AL101" s="36" t="n">
        <x:v>12</x:v>
      </x:c>
      <x:c r="AM101" s="40"/>
      <x:c r="AN101" s="39"/>
      <x:c r="AO101" s="40"/>
      <x:c r="AP101" s="40"/>
    </x:row>
    <x:row r="102" ht="15" hidden="0" customHeight="1">
      <x:c r="A102" s="36" t="str">
        <x:v>Bu-107</x:v>
      </x:c>
      <x:c r="B102" s="37" t="str">
        <x:v>Catalogue Phase 2</x:v>
      </x:c>
      <x:c r="C102" s="36" t="str">
        <x:v>BU Led</x:v>
      </x:c>
      <x:c r="D102" s="36" t="str">
        <x:v>Sleep &amp; Respiratory Care (SRC)</x:v>
      </x:c>
      <x:c r="E102" s="38" t="n">
        <x:v>0</x:v>
      </x:c>
      <x:c r="F102" s="39"/>
      <x:c r="G102" s="38" t="str">
        <x:f>IF(ISNUMBER(F102),F102,IF(E102="","",E102))</x:f>
      </x:c>
      <x:c r="H102" s="38" t="n">
        <x:v>50</x:v>
      </x:c>
      <x:c r="I102" s="39"/>
      <x:c r="J102" s="36" t="str">
        <x:v>Revenue</x:v>
      </x:c>
      <x:c r="K102" s="38" t="str">
        <x:f>IF(ISNUMBER(I102),I102,IF(OR(NOT(ISNUMBER(H102)),NOT(ISNUMBER(G102)),G102&lt;=0),"",IF(H102/G102&gt;='Score settings'!$B$58,"",IF(J102="Cash savings",H102,IF(J102="Revenue",H102*'Score settings'!$B$55,"")))))</x:f>
      </x:c>
      <x:c r="L102" s="36"/>
      <x:c r="M102" s="39"/>
      <x:c r="N102" s="40"/>
      <x:c r="O102" s="36" t="str">
        <x:v>Must Do</x:v>
      </x:c>
      <x:c r="P102" s="36" t="str">
        <x:v>NewFeat</x:v>
      </x:c>
      <x:c r="Q102" s="36" t="str">
        <x:v>Revenue</x:v>
      </x:c>
      <x:c r="R102" s="36" t="str">
        <x:v>NotAssessed</x:v>
      </x:c>
      <x:c r="S102" s="36" t="str"/>
      <x:c r="T102" s="36" t="str">
        <x:v>Common pot</x:v>
      </x:c>
      <x:c r="U102" s="41" t="n">
        <x:f>VLOOKUP("Priority|"&amp;O102,'Score settings'!$A$14:$C$43,2,FALSE)/'Score settings'!$B$4*'Score settings'!$C$4</x:f>
        <x:v>25</x:v>
      </x:c>
      <x:c r="V102" s="41" t="n">
        <x:f>VLOOKUP("Category|"&amp;P102,'Score settings'!$A$14:$C$43,2,FALSE)/'Score settings'!$B$5*'Score settings'!$C$5</x:f>
        <x:v>6</x:v>
      </x:c>
      <x:c r="W102" s="41" t="n">
        <x:f>VLOOKUP("Area|"&amp;Q102,'Score settings'!$A$14:$C$43,2,FALSE)/'Score settings'!$B$6*'Score settings'!$C$6</x:f>
        <x:v>11</x:v>
      </x:c>
      <x:c r="X102" s="41" t="n">
        <x:f>VLOOKUP("Benefits|"&amp;IF(AND(ISNUMBER(H102),H102&gt;0,ISNUMBER(G102),G102&gt;0),IF(H102/G102&gt;='Score settings'!$E$17,"3plus",IF(H102/G102&gt;='Score settings'!$E$16,"1.5to3",IF(H102/G102&gt;='Score settings'!$E$15,"0.5to1.5","positive"))),"None"),'Score settings'!$A$14:$C$43,2,FALSE)/'Score settings'!$B$7*'Score settings'!$C$7</x:f>
        <x:v>5</x:v>
      </x:c>
      <x:c r="Y102" s="41" t="n">
        <x:f>VLOOKUP("Waste|"&amp;R102,'Score settings'!$A$14:$C$43,2,FALSE)/'Score settings'!$B$8*'Score settings'!$C$8</x:f>
        <x:v>7</x:v>
      </x:c>
      <x:c r="Z102" s="41" t="n">
        <x:f>IF(B102="","",SUM(U102:Y102))</x:f>
        <x:v>54</x:v>
      </x:c>
      <x:c r="AA102" s="41" t="str">
        <x:f>IF(Z102="","Not scored",VLOOKUP(Z102,'Score settings'!$A$47:$C$50,2,TRUE))</x:f>
        <x:v>Strong</x:v>
      </x:c>
      <x:c r="AB102" s="41" t="n">
        <x:f>VLOOKUP("Priority|"&amp;O102,'Score settings'!$A$14:$C$43,3,FALSE)/'Score settings'!$B$4*'Score settings'!$D$4</x:f>
        <x:v>15</x:v>
      </x:c>
      <x:c r="AC102" s="41" t="n">
        <x:f>VLOOKUP("Category|"&amp;P102,'Score settings'!$A$14:$C$43,3,FALSE)/'Score settings'!$B$5*'Score settings'!$D$5</x:f>
        <x:v>3</x:v>
      </x:c>
      <x:c r="AD102" s="41" t="n">
        <x:f>VLOOKUP("Area|"&amp;Q102,'Score settings'!$A$14:$C$43,3,FALSE)/'Score settings'!$B$6*'Score settings'!$D$6</x:f>
        <x:v>7.333333333333333</x:v>
      </x:c>
      <x:c r="AE102" s="41" t="n">
        <x:f>VLOOKUP("Benefits|"&amp;IF(AND(ISNUMBER(K102),K102&gt;0,ISNUMBER(G102),G102&gt;0),IF(K102/G102&gt;='Score settings'!$E$17,"3plus",IF(K102/G102&gt;='Score settings'!$E$16,"1.5to3",IF(K102/G102&gt;='Score settings'!$E$15,"0.5to1.5","positive"))),"None"),'Score settings'!$A$14:$C$43,3,FALSE)/'Score settings'!$B$7*'Score settings'!$D$7</x:f>
        <x:v>0</x:v>
      </x:c>
      <x:c r="AF102" s="41" t="n">
        <x:f>VLOOKUP("Waste|"&amp;R102,'Score settings'!$A$14:$C$43,3,FALSE)/'Score settings'!$B$8*'Score settings'!$D$8</x:f>
        <x:v>0</x:v>
      </x:c>
      <x:c r="AG102" s="41" t="n">
        <x:f>(IF(AND(ISNUMBER(M102),M102&gt;0,ISNUMBER(G102),G102&gt;0),IF(M102/G102&gt;='Score settings'!$E$17,'Score settings'!$G$17,IF(M102/G102&gt;='Score settings'!$E$16,'Score settings'!$G$16,IF(M102/G102&gt;='Score settings'!$E$15,'Score settings'!$G$15,'Score settings'!$G$14))),0)/15*'Score settings'!$B$60+IFERROR(VLOOKUP(IF(ISNUMBER(N102),N102,IF(ISNUMBER(L102),L102,0)),'Score settings'!$E$22:$F$26,2,FALSE),0)/10*'Score settings'!$B$61)/'Score settings'!$B$9*'Score settings'!$D$9</x:f>
        <x:v>0</x:v>
      </x:c>
      <x:c r="AH102" s="41" t="n">
        <x:f>IF(B102="","",SUM(AB102:AG102))</x:f>
        <x:v>25.333333333333332</x:v>
      </x:c>
      <x:c r="AI102" s="41" t="str">
        <x:f>IF(NOT(ISNUMBER(AH102)),"Not scored",VLOOKUP(AH102,'Score settings'!$A$47:$C$50,3,TRUE))</x:f>
        <x:v>Discretionary</x:v>
      </x:c>
      <x:c r="AJ102" s="42" t="n">
        <x:f>IF(OR(NOT(ISNUMBER(AH102)),T102&lt;&gt;"Common pot"),"",COUNTIFS($T$4:$T$509,"Common pot",$AH$4:$AH$509,"&gt;"&amp;AH102)+1)</x:f>
        <x:v>253</x:v>
      </x:c>
      <x:c r="AK102" s="36" t="str">
        <x:f>IF(B102="","Name missing - not scored",IF(OR(NOT(ISNUMBER(G102)),G102&lt;=0),"Investment missing or zero - review",IF(0=1,"Permanent ID missing - reconcile",IF(AND(ISNUMBER(H102),H102/G102&gt;='Score settings'!$B$58,NOT(ISNUMBER(I102))),"Benefit units need review",IF(OR(R102="EXIT",R102="CHALLENGE"),"Waste decision requires scope resolution",IF("Name and organisation matched"&lt;&gt;"Name and organisation matched","Waste evidence match needs review","Provisional source score - confirm evidence"))))))</x:f>
        <x:v>Investment missing or zero - review</x:v>
      </x:c>
      <x:c r="AL102" s="36"/>
      <x:c r="AM102" s="40"/>
      <x:c r="AN102" s="39"/>
      <x:c r="AO102" s="40"/>
      <x:c r="AP102" s="40"/>
    </x:row>
    <x:row r="103" ht="15" hidden="0" customHeight="1">
      <x:c r="A103" s="36" t="str">
        <x:v>Bu-108</x:v>
      </x:c>
      <x:c r="B103" s="37" t="str">
        <x:v>Automation of offline sales process</x:v>
      </x:c>
      <x:c r="C103" s="36" t="str">
        <x:v>BU Led</x:v>
      </x:c>
      <x:c r="D103" s="36" t="str">
        <x:v>Sleep &amp; Respiratory Care (SRC)</x:v>
      </x:c>
      <x:c r="E103" s="38" t="n">
        <x:v>0.1</x:v>
      </x:c>
      <x:c r="F103" s="39"/>
      <x:c r="G103" s="38" t="n">
        <x:f>IF(ISNUMBER(F103),F103,IF(E103="","",E103))</x:f>
        <x:v>0.1</x:v>
      </x:c>
      <x:c r="H103" s="38" t="n">
        <x:v>0.2</x:v>
      </x:c>
      <x:c r="I103" s="39"/>
      <x:c r="J103" s="36" t="str">
        <x:v>Cash savings</x:v>
      </x:c>
      <x:c r="K103" s="38" t="n">
        <x:f>IF(ISNUMBER(I103),I103,IF(OR(NOT(ISNUMBER(H103)),NOT(ISNUMBER(G103)),G103&lt;=0),"",IF(H103/G103&gt;='Score settings'!$B$58,"",IF(J103="Cash savings",H103,IF(J103="Revenue",H103*'Score settings'!$B$55,"")))))</x:f>
        <x:v>0.2</x:v>
      </x:c>
      <x:c r="L103" s="36"/>
      <x:c r="M103" s="39"/>
      <x:c r="N103" s="40"/>
      <x:c r="O103" s="36" t="str">
        <x:v>Must Have</x:v>
      </x:c>
      <x:c r="P103" s="36" t="str">
        <x:v>CI</x:v>
      </x:c>
      <x:c r="Q103" s="36" t="str">
        <x:v>Productivity</x:v>
      </x:c>
      <x:c r="R103" s="36" t="str">
        <x:v>NotAssessed</x:v>
      </x:c>
      <x:c r="S103" s="36" t="str"/>
      <x:c r="T103" s="36" t="str">
        <x:v>Common pot</x:v>
      </x:c>
      <x:c r="U103" s="41" t="n">
        <x:f>VLOOKUP("Priority|"&amp;O103,'Score settings'!$A$14:$C$43,2,FALSE)/'Score settings'!$B$4*'Score settings'!$C$4</x:f>
        <x:v>18</x:v>
      </x:c>
      <x:c r="V103" s="41" t="n">
        <x:f>VLOOKUP("Category|"&amp;P103,'Score settings'!$A$14:$C$43,2,FALSE)/'Score settings'!$B$5*'Score settings'!$C$5</x:f>
        <x:v>8</x:v>
      </x:c>
      <x:c r="W103" s="41" t="n">
        <x:f>VLOOKUP("Area|"&amp;Q103,'Score settings'!$A$14:$C$43,2,FALSE)/'Score settings'!$B$6*'Score settings'!$C$6</x:f>
        <x:v>10</x:v>
      </x:c>
      <x:c r="X103" s="41" t="n">
        <x:f>VLOOKUP("Benefits|"&amp;IF(AND(ISNUMBER(H103),H103&gt;0,ISNUMBER(G103),G103&gt;0),IF(H103/G103&gt;='Score settings'!$E$17,"3plus",IF(H103/G103&gt;='Score settings'!$E$16,"1.5to3",IF(H103/G103&gt;='Score settings'!$E$15,"0.5to1.5","positive"))),"None"),'Score settings'!$A$14:$C$43,2,FALSE)/'Score settings'!$B$7*'Score settings'!$C$7</x:f>
        <x:v>20</x:v>
      </x:c>
      <x:c r="Y103" s="41" t="n">
        <x:f>VLOOKUP("Waste|"&amp;R103,'Score settings'!$A$14:$C$43,2,FALSE)/'Score settings'!$B$8*'Score settings'!$C$8</x:f>
        <x:v>7</x:v>
      </x:c>
      <x:c r="Z103" s="41" t="n">
        <x:f>IF(B103="","",SUM(U103:Y103))</x:f>
        <x:v>63</x:v>
      </x:c>
      <x:c r="AA103" s="41" t="str">
        <x:f>IF(Z103="","Not scored",VLOOKUP(Z103,'Score settings'!$A$47:$C$50,2,TRUE))</x:f>
        <x:v>Strong</x:v>
      </x:c>
      <x:c r="AB103" s="41" t="n">
        <x:f>VLOOKUP("Priority|"&amp;O103,'Score settings'!$A$14:$C$43,3,FALSE)/'Score settings'!$B$4*'Score settings'!$D$4</x:f>
        <x:v>10.799999999999999</x:v>
      </x:c>
      <x:c r="AC103" s="41" t="n">
        <x:f>VLOOKUP("Category|"&amp;P103,'Score settings'!$A$14:$C$43,3,FALSE)/'Score settings'!$B$5*'Score settings'!$D$5</x:f>
        <x:v>4</x:v>
      </x:c>
      <x:c r="AD103" s="41" t="n">
        <x:f>VLOOKUP("Area|"&amp;Q103,'Score settings'!$A$14:$C$43,3,FALSE)/'Score settings'!$B$6*'Score settings'!$D$6</x:f>
        <x:v>6.666666666666666</x:v>
      </x:c>
      <x:c r="AE103" s="41" t="n">
        <x:f>VLOOKUP("Benefits|"&amp;IF(AND(ISNUMBER(K103),K103&gt;0,ISNUMBER(G103),G103&gt;0),IF(K103/G103&gt;='Score settings'!$E$17,"3plus",IF(K103/G103&gt;='Score settings'!$E$16,"1.5to3",IF(K103/G103&gt;='Score settings'!$E$15,"0.5to1.5","positive"))),"None"),'Score settings'!$A$14:$C$43,3,FALSE)/'Score settings'!$B$7*'Score settings'!$D$7</x:f>
        <x:v>24</x:v>
      </x:c>
      <x:c r="AF103" s="41" t="n">
        <x:f>VLOOKUP("Waste|"&amp;R103,'Score settings'!$A$14:$C$43,3,FALSE)/'Score settings'!$B$8*'Score settings'!$D$8</x:f>
        <x:v>0</x:v>
      </x:c>
      <x:c r="AG103" s="41" t="n">
        <x:f>(IF(AND(ISNUMBER(M103),M103&gt;0,ISNUMBER(G103),G103&gt;0),IF(M103/G103&gt;='Score settings'!$E$17,'Score settings'!$G$17,IF(M103/G103&gt;='Score settings'!$E$16,'Score settings'!$G$16,IF(M103/G103&gt;='Score settings'!$E$15,'Score settings'!$G$15,'Score settings'!$G$14))),0)/15*'Score settings'!$B$60+IFERROR(VLOOKUP(IF(ISNUMBER(N103),N103,IF(ISNUMBER(L103),L103,0)),'Score settings'!$E$22:$F$26,2,FALSE),0)/10*'Score settings'!$B$61)/'Score settings'!$B$9*'Score settings'!$D$9</x:f>
        <x:v>0</x:v>
      </x:c>
      <x:c r="AH103" s="41" t="n">
        <x:f>IF(B103="","",SUM(AB103:AG103))</x:f>
        <x:v>45.46666666666667</x:v>
      </x:c>
      <x:c r="AI103" s="41" t="str">
        <x:f>IF(NOT(ISNUMBER(AH103)),"Not scored",VLOOKUP(AH103,'Score settings'!$A$47:$C$50,3,TRUE))</x:f>
        <x:v>Strong</x:v>
      </x:c>
      <x:c r="AJ103" s="42" t="n">
        <x:f>IF(OR(NOT(ISNUMBER(AH103)),T103&lt;&gt;"Common pot"),"",COUNTIFS($T$4:$T$509,"Common pot",$AH$4:$AH$509,"&gt;"&amp;AH103)+1)</x:f>
        <x:v>64</x:v>
      </x:c>
      <x:c r="AK103" s="36" t="str">
        <x:f>IF(B103="","Name missing - not scored",IF(OR(NOT(ISNUMBER(G103)),G103&lt;=0),"Investment missing or zero - review",IF(0=1,"Permanent ID missing - reconcile",IF(AND(ISNUMBER(H103),H103/G103&gt;='Score settings'!$B$58,NOT(ISNUMBER(I103))),"Benefit units need review",IF(OR(R103="EXIT",R103="CHALLENGE"),"Waste decision requires scope resolution",IF("Name and organisation matched"&lt;&gt;"Name and organisation matched","Waste evidence match needs review","Provisional source score - confirm evidence"))))))</x:f>
        <x:v>Provisional source score - confirm evidence</x:v>
      </x:c>
      <x:c r="AL103" s="36"/>
      <x:c r="AM103" s="40"/>
      <x:c r="AN103" s="39"/>
      <x:c r="AO103" s="40"/>
      <x:c r="AP103" s="40"/>
    </x:row>
    <x:row r="104" ht="15" hidden="0" customHeight="1">
      <x:c r="A104" s="36" t="str">
        <x:v>Bu-109</x:v>
      </x:c>
      <x:c r="B104" s="37" t="str">
        <x:v>SAP changes CD related</x:v>
      </x:c>
      <x:c r="C104" s="36" t="str">
        <x:v>BU Led</x:v>
      </x:c>
      <x:c r="D104" s="36" t="str">
        <x:v>Sleep &amp; Respiratory Care (SRC)</x:v>
      </x:c>
      <x:c r="E104" s="38" t="n">
        <x:v>0.3</x:v>
      </x:c>
      <x:c r="F104" s="39"/>
      <x:c r="G104" s="38" t="n">
        <x:f>IF(ISNUMBER(F104),F104,IF(E104="","",E104))</x:f>
        <x:v>0.3</x:v>
      </x:c>
      <x:c r="H104" s="38"/>
      <x:c r="I104" s="39"/>
      <x:c r="J104" s="36" t="str">
        <x:v>Risk exposure</x:v>
      </x:c>
      <x:c r="K104" s="38" t="str">
        <x:f>IF(ISNUMBER(I104),I104,IF(OR(NOT(ISNUMBER(H104)),NOT(ISNUMBER(G104)),G104&lt;=0),"",IF(H104/G104&gt;='Score settings'!$B$58,"",IF(J104="Cash savings",H104,IF(J104="Revenue",H104*'Score settings'!$B$55,"")))))</x:f>
      </x:c>
      <x:c r="L104" s="36"/>
      <x:c r="M104" s="39"/>
      <x:c r="N104" s="40"/>
      <x:c r="O104" s="36" t="str">
        <x:v>Must Do</x:v>
      </x:c>
      <x:c r="P104" s="36" t="str">
        <x:v>LFR</x:v>
      </x:c>
      <x:c r="Q104" s="36" t="str">
        <x:v>Compliance</x:v>
      </x:c>
      <x:c r="R104" s="36" t="str">
        <x:v>NotAssessed</x:v>
      </x:c>
      <x:c r="S104" s="36" t="str"/>
      <x:c r="T104" s="36" t="str">
        <x:v>Common pot</x:v>
      </x:c>
      <x:c r="U104" s="41" t="n">
        <x:f>VLOOKUP("Priority|"&amp;O104,'Score settings'!$A$14:$C$43,2,FALSE)/'Score settings'!$B$4*'Score settings'!$C$4</x:f>
        <x:v>25</x:v>
      </x:c>
      <x:c r="V104" s="41" t="n">
        <x:f>VLOOKUP("Category|"&amp;P104,'Score settings'!$A$14:$C$43,2,FALSE)/'Score settings'!$B$5*'Score settings'!$C$5</x:f>
        <x:v>20</x:v>
      </x:c>
      <x:c r="W104" s="41" t="n">
        <x:f>VLOOKUP("Area|"&amp;Q104,'Score settings'!$A$14:$C$43,2,FALSE)/'Score settings'!$B$6*'Score settings'!$C$6</x:f>
        <x:v>15</x:v>
      </x:c>
      <x:c r="X104" s="41" t="n">
        <x:f>VLOOKUP("Benefits|"&amp;IF(AND(ISNUMBER(H104),H104&gt;0,ISNUMBER(G104),G104&gt;0),IF(H104/G104&gt;='Score settings'!$E$17,"3plus",IF(H104/G104&gt;='Score settings'!$E$16,"1.5to3",IF(H104/G104&gt;='Score settings'!$E$15,"0.5to1.5","positive"))),"None"),'Score settings'!$A$14:$C$43,2,FALSE)/'Score settings'!$B$7*'Score settings'!$C$7</x:f>
        <x:v>5</x:v>
      </x:c>
      <x:c r="Y104" s="41" t="n">
        <x:f>VLOOKUP("Waste|"&amp;R104,'Score settings'!$A$14:$C$43,2,FALSE)/'Score settings'!$B$8*'Score settings'!$C$8</x:f>
        <x:v>7</x:v>
      </x:c>
      <x:c r="Z104" s="41" t="n">
        <x:f>IF(B104="","",SUM(U104:Y104))</x:f>
        <x:v>72</x:v>
      </x:c>
      <x:c r="AA104" s="41" t="str">
        <x:f>IF(Z104="","Not scored",VLOOKUP(Z104,'Score settings'!$A$47:$C$50,2,TRUE))</x:f>
        <x:v>Protected</x:v>
      </x:c>
      <x:c r="AB104" s="41" t="n">
        <x:f>VLOOKUP("Priority|"&amp;O104,'Score settings'!$A$14:$C$43,3,FALSE)/'Score settings'!$B$4*'Score settings'!$D$4</x:f>
        <x:v>15</x:v>
      </x:c>
      <x:c r="AC104" s="41" t="n">
        <x:f>VLOOKUP("Category|"&amp;P104,'Score settings'!$A$14:$C$43,3,FALSE)/'Score settings'!$B$5*'Score settings'!$D$5</x:f>
        <x:v>10</x:v>
      </x:c>
      <x:c r="AD104" s="41" t="n">
        <x:f>VLOOKUP("Area|"&amp;Q104,'Score settings'!$A$14:$C$43,3,FALSE)/'Score settings'!$B$6*'Score settings'!$D$6</x:f>
        <x:v>10</x:v>
      </x:c>
      <x:c r="AE104" s="41" t="n">
        <x:f>VLOOKUP("Benefits|"&amp;IF(AND(ISNUMBER(K104),K104&gt;0,ISNUMBER(G104),G104&gt;0),IF(K104/G104&gt;='Score settings'!$E$17,"3plus",IF(K104/G104&gt;='Score settings'!$E$16,"1.5to3",IF(K104/G104&gt;='Score settings'!$E$15,"0.5to1.5","positive"))),"None"),'Score settings'!$A$14:$C$43,3,FALSE)/'Score settings'!$B$7*'Score settings'!$D$7</x:f>
        <x:v>0</x:v>
      </x:c>
      <x:c r="AF104" s="41" t="n">
        <x:f>VLOOKUP("Waste|"&amp;R104,'Score settings'!$A$14:$C$43,3,FALSE)/'Score settings'!$B$8*'Score settings'!$D$8</x:f>
        <x:v>0</x:v>
      </x:c>
      <x:c r="AG104" s="41" t="n">
        <x:f>(IF(AND(ISNUMBER(M104),M104&gt;0,ISNUMBER(G104),G104&gt;0),IF(M104/G104&gt;='Score settings'!$E$17,'Score settings'!$G$17,IF(M104/G104&gt;='Score settings'!$E$16,'Score settings'!$G$16,IF(M104/G104&gt;='Score settings'!$E$15,'Score settings'!$G$15,'Score settings'!$G$14))),0)/15*'Score settings'!$B$60+IFERROR(VLOOKUP(IF(ISNUMBER(N104),N104,IF(ISNUMBER(L104),L104,0)),'Score settings'!$E$22:$F$26,2,FALSE),0)/10*'Score settings'!$B$61)/'Score settings'!$B$9*'Score settings'!$D$9</x:f>
        <x:v>0</x:v>
      </x:c>
      <x:c r="AH104" s="41" t="n">
        <x:f>IF(B104="","",SUM(AB104:AG104))</x:f>
        <x:v>35</x:v>
      </x:c>
      <x:c r="AI104" s="41" t="str">
        <x:f>IF(NOT(ISNUMBER(AH104)),"Not scored",VLOOKUP(AH104,'Score settings'!$A$47:$C$50,3,TRUE))</x:f>
        <x:v>Discretionary</x:v>
      </x:c>
      <x:c r="AJ104" s="42" t="n">
        <x:f>IF(OR(NOT(ISNUMBER(AH104)),T104&lt;&gt;"Common pot"),"",COUNTIFS($T$4:$T$509,"Common pot",$AH$4:$AH$509,"&gt;"&amp;AH104)+1)</x:f>
        <x:v>142</x:v>
      </x:c>
      <x:c r="AK104" s="36" t="str">
        <x:f>IF(B104="","Name missing - not scored",IF(OR(NOT(ISNUMBER(G104)),G104&lt;=0),"Investment missing or zero - review",IF(0=1,"Permanent ID missing - reconcile",IF(AND(ISNUMBER(H104),H104/G104&gt;='Score settings'!$B$58,NOT(ISNUMBER(I104))),"Benefit units need review",IF(OR(R104="EXIT",R104="CHALLENGE"),"Waste decision requires scope resolution",IF("No exact waste match"&lt;&gt;"Name and organisation matched","Waste evidence match needs review","Provisional source score - confirm evidence"))))))</x:f>
        <x:v>Waste evidence match needs review</x:v>
      </x:c>
      <x:c r="AL104" s="36"/>
      <x:c r="AM104" s="40"/>
      <x:c r="AN104" s="39"/>
      <x:c r="AO104" s="40"/>
      <x:c r="AP104" s="40"/>
    </x:row>
    <x:row r="105" ht="15" hidden="0" customHeight="1">
      <x:c r="A105" s="36" t="str">
        <x:v>Bu-110</x:v>
      </x:c>
      <x:c r="B105" s="37" t="str">
        <x:v>Commercial Transformation 2027</x:v>
      </x:c>
      <x:c r="C105" s="36" t="str">
        <x:v>BU Led</x:v>
      </x:c>
      <x:c r="D105" s="36" t="str">
        <x:v>Sleep &amp; Respiratory Care (SRC)</x:v>
      </x:c>
      <x:c r="E105" s="38" t="n">
        <x:v>0.502</x:v>
      </x:c>
      <x:c r="F105" s="39"/>
      <x:c r="G105" s="38" t="n">
        <x:f>IF(ISNUMBER(F105),F105,IF(E105="","",E105))</x:f>
        <x:v>0.502</x:v>
      </x:c>
      <x:c r="H105" s="38" t="n">
        <x:v>1.25</x:v>
      </x:c>
      <x:c r="I105" s="39"/>
      <x:c r="J105" s="36" t="str">
        <x:v>Revenue</x:v>
      </x:c>
      <x:c r="K105" s="38" t="n">
        <x:f>IF(ISNUMBER(I105),I105,IF(OR(NOT(ISNUMBER(H105)),NOT(ISNUMBER(G105)),G105&lt;=0),"",IF(H105/G105&gt;='Score settings'!$B$58,"",IF(J105="Cash savings",H105,IF(J105="Revenue",H105*'Score settings'!$B$55,"")))))</x:f>
        <x:v>0.1875</x:v>
      </x:c>
      <x:c r="L105" s="36"/>
      <x:c r="M105" s="39"/>
      <x:c r="N105" s="40"/>
      <x:c r="O105" s="36" t="str">
        <x:v>Must Do</x:v>
      </x:c>
      <x:c r="P105" s="36" t="str">
        <x:v>NewFeat</x:v>
      </x:c>
      <x:c r="Q105" s="36" t="str">
        <x:v>Revenue</x:v>
      </x:c>
      <x:c r="R105" s="36" t="str">
        <x:v>NotAssessed</x:v>
      </x:c>
      <x:c r="S105" s="36" t="str"/>
      <x:c r="T105" s="36" t="str">
        <x:v>Common pot</x:v>
      </x:c>
      <x:c r="U105" s="41" t="n">
        <x:f>VLOOKUP("Priority|"&amp;O105,'Score settings'!$A$14:$C$43,2,FALSE)/'Score settings'!$B$4*'Score settings'!$C$4</x:f>
        <x:v>25</x:v>
      </x:c>
      <x:c r="V105" s="41" t="n">
        <x:f>VLOOKUP("Category|"&amp;P105,'Score settings'!$A$14:$C$43,2,FALSE)/'Score settings'!$B$5*'Score settings'!$C$5</x:f>
        <x:v>6</x:v>
      </x:c>
      <x:c r="W105" s="41" t="n">
        <x:f>VLOOKUP("Area|"&amp;Q105,'Score settings'!$A$14:$C$43,2,FALSE)/'Score settings'!$B$6*'Score settings'!$C$6</x:f>
        <x:v>11</x:v>
      </x:c>
      <x:c r="X105" s="41" t="n">
        <x:f>VLOOKUP("Benefits|"&amp;IF(AND(ISNUMBER(H105),H105&gt;0,ISNUMBER(G105),G105&gt;0),IF(H105/G105&gt;='Score settings'!$E$17,"3plus",IF(H105/G105&gt;='Score settings'!$E$16,"1.5to3",IF(H105/G105&gt;='Score settings'!$E$15,"0.5to1.5","positive"))),"None"),'Score settings'!$A$14:$C$43,2,FALSE)/'Score settings'!$B$7*'Score settings'!$C$7</x:f>
        <x:v>20</x:v>
      </x:c>
      <x:c r="Y105" s="41" t="n">
        <x:f>VLOOKUP("Waste|"&amp;R105,'Score settings'!$A$14:$C$43,2,FALSE)/'Score settings'!$B$8*'Score settings'!$C$8</x:f>
        <x:v>7</x:v>
      </x:c>
      <x:c r="Z105" s="41" t="n">
        <x:f>IF(B105="","",SUM(U105:Y105))</x:f>
        <x:v>69</x:v>
      </x:c>
      <x:c r="AA105" s="41" t="str">
        <x:f>IF(Z105="","Not scored",VLOOKUP(Z105,'Score settings'!$A$47:$C$50,2,TRUE))</x:f>
        <x:v>Protected</x:v>
      </x:c>
      <x:c r="AB105" s="41" t="n">
        <x:f>VLOOKUP("Priority|"&amp;O105,'Score settings'!$A$14:$C$43,3,FALSE)/'Score settings'!$B$4*'Score settings'!$D$4</x:f>
        <x:v>15</x:v>
      </x:c>
      <x:c r="AC105" s="41" t="n">
        <x:f>VLOOKUP("Category|"&amp;P105,'Score settings'!$A$14:$C$43,3,FALSE)/'Score settings'!$B$5*'Score settings'!$D$5</x:f>
        <x:v>3</x:v>
      </x:c>
      <x:c r="AD105" s="41" t="n">
        <x:f>VLOOKUP("Area|"&amp;Q105,'Score settings'!$A$14:$C$43,3,FALSE)/'Score settings'!$B$6*'Score settings'!$D$6</x:f>
        <x:v>7.333333333333333</x:v>
      </x:c>
      <x:c r="AE105" s="41" t="n">
        <x:f>VLOOKUP("Benefits|"&amp;IF(AND(ISNUMBER(K105),K105&gt;0,ISNUMBER(G105),G105&gt;0),IF(K105/G105&gt;='Score settings'!$E$17,"3plus",IF(K105/G105&gt;='Score settings'!$E$16,"1.5to3",IF(K105/G105&gt;='Score settings'!$E$15,"0.5to1.5","positive"))),"None"),'Score settings'!$A$14:$C$43,3,FALSE)/'Score settings'!$B$7*'Score settings'!$D$7</x:f>
        <x:v>12</x:v>
      </x:c>
      <x:c r="AF105" s="41" t="n">
        <x:f>VLOOKUP("Waste|"&amp;R105,'Score settings'!$A$14:$C$43,3,FALSE)/'Score settings'!$B$8*'Score settings'!$D$8</x:f>
        <x:v>0</x:v>
      </x:c>
      <x:c r="AG105" s="41" t="n">
        <x:f>(IF(AND(ISNUMBER(M105),M105&gt;0,ISNUMBER(G105),G105&gt;0),IF(M105/G105&gt;='Score settings'!$E$17,'Score settings'!$G$17,IF(M105/G105&gt;='Score settings'!$E$16,'Score settings'!$G$16,IF(M105/G105&gt;='Score settings'!$E$15,'Score settings'!$G$15,'Score settings'!$G$14))),0)/15*'Score settings'!$B$60+IFERROR(VLOOKUP(IF(ISNUMBER(N105),N105,IF(ISNUMBER(L105),L105,0)),'Score settings'!$E$22:$F$26,2,FALSE),0)/10*'Score settings'!$B$61)/'Score settings'!$B$9*'Score settings'!$D$9</x:f>
        <x:v>0</x:v>
      </x:c>
      <x:c r="AH105" s="41" t="n">
        <x:f>IF(B105="","",SUM(AB105:AG105))</x:f>
        <x:v>37.33333333333333</x:v>
      </x:c>
      <x:c r="AI105" s="41" t="str">
        <x:f>IF(NOT(ISNUMBER(AH105)),"Not scored",VLOOKUP(AH105,'Score settings'!$A$47:$C$50,3,TRUE))</x:f>
        <x:v>Discretionary</x:v>
      </x:c>
      <x:c r="AJ105" s="42" t="n">
        <x:f>IF(OR(NOT(ISNUMBER(AH105)),T105&lt;&gt;"Common pot"),"",COUNTIFS($T$4:$T$509,"Common pot",$AH$4:$AH$509,"&gt;"&amp;AH105)+1)</x:f>
        <x:v>118</x:v>
      </x:c>
      <x:c r="AK105" s="36" t="str">
        <x:f>IF(B105="","Name missing - not scored",IF(OR(NOT(ISNUMBER(G105)),G105&lt;=0),"Investment missing or zero - review",IF(0=1,"Permanent ID missing - reconcile",IF(AND(ISNUMBER(H105),H105/G105&gt;='Score settings'!$B$58,NOT(ISNUMBER(I105))),"Benefit units need review",IF(OR(R105="EXIT",R105="CHALLENGE"),"Waste decision requires scope resolution",IF("Name and organisation matched"&lt;&gt;"Name and organisation matched","Waste evidence match needs review","Provisional source score - confirm evidence"))))))</x:f>
        <x:v>Provisional source score - confirm evidence</x:v>
      </x:c>
      <x:c r="AL105" s="36"/>
      <x:c r="AM105" s="40"/>
      <x:c r="AN105" s="39"/>
      <x:c r="AO105" s="40"/>
      <x:c r="AP105" s="40"/>
    </x:row>
    <x:row r="106" ht="15" hidden="0" customHeight="1">
      <x:c r="A106" s="36" t="str">
        <x:v>Bu-111</x:v>
      </x:c>
      <x:c r="B106" s="37" t="str">
        <x:v>Project Nexus 2027</x:v>
      </x:c>
      <x:c r="C106" s="36" t="str">
        <x:v>BU Led</x:v>
      </x:c>
      <x:c r="D106" s="36" t="str">
        <x:v>Sleep &amp; Respiratory Care (SRC)</x:v>
      </x:c>
      <x:c r="E106" s="38" t="n">
        <x:v>0.534</x:v>
      </x:c>
      <x:c r="F106" s="39"/>
      <x:c r="G106" s="38" t="n">
        <x:f>IF(ISNUMBER(F106),F106,IF(E106="","",E106))</x:f>
        <x:v>0.534</x:v>
      </x:c>
      <x:c r="H106" s="38" t="n">
        <x:v>1.5</x:v>
      </x:c>
      <x:c r="I106" s="39"/>
      <x:c r="J106" s="36" t="str">
        <x:v>Revenue</x:v>
      </x:c>
      <x:c r="K106" s="38" t="n">
        <x:f>IF(ISNUMBER(I106),I106,IF(OR(NOT(ISNUMBER(H106)),NOT(ISNUMBER(G106)),G106&lt;=0),"",IF(H106/G106&gt;='Score settings'!$B$58,"",IF(J106="Cash savings",H106,IF(J106="Revenue",H106*'Score settings'!$B$55,"")))))</x:f>
        <x:v>0.22499999999999998</x:v>
      </x:c>
      <x:c r="L106" s="36"/>
      <x:c r="M106" s="39"/>
      <x:c r="N106" s="40"/>
      <x:c r="O106" s="36" t="str">
        <x:v>Must Do</x:v>
      </x:c>
      <x:c r="P106" s="36" t="str">
        <x:v>NewFeat</x:v>
      </x:c>
      <x:c r="Q106" s="36" t="str">
        <x:v>Revenue</x:v>
      </x:c>
      <x:c r="R106" s="36" t="str">
        <x:v>NotAssessed</x:v>
      </x:c>
      <x:c r="S106" s="36" t="str"/>
      <x:c r="T106" s="36" t="str">
        <x:v>Common pot</x:v>
      </x:c>
      <x:c r="U106" s="41" t="n">
        <x:f>VLOOKUP("Priority|"&amp;O106,'Score settings'!$A$14:$C$43,2,FALSE)/'Score settings'!$B$4*'Score settings'!$C$4</x:f>
        <x:v>25</x:v>
      </x:c>
      <x:c r="V106" s="41" t="n">
        <x:f>VLOOKUP("Category|"&amp;P106,'Score settings'!$A$14:$C$43,2,FALSE)/'Score settings'!$B$5*'Score settings'!$C$5</x:f>
        <x:v>6</x:v>
      </x:c>
      <x:c r="W106" s="41" t="n">
        <x:f>VLOOKUP("Area|"&amp;Q106,'Score settings'!$A$14:$C$43,2,FALSE)/'Score settings'!$B$6*'Score settings'!$C$6</x:f>
        <x:v>11</x:v>
      </x:c>
      <x:c r="X106" s="41" t="n">
        <x:f>VLOOKUP("Benefits|"&amp;IF(AND(ISNUMBER(H106),H106&gt;0,ISNUMBER(G106),G106&gt;0),IF(H106/G106&gt;='Score settings'!$E$17,"3plus",IF(H106/G106&gt;='Score settings'!$E$16,"1.5to3",IF(H106/G106&gt;='Score settings'!$E$15,"0.5to1.5","positive"))),"None"),'Score settings'!$A$14:$C$43,2,FALSE)/'Score settings'!$B$7*'Score settings'!$C$7</x:f>
        <x:v>20</x:v>
      </x:c>
      <x:c r="Y106" s="41" t="n">
        <x:f>VLOOKUP("Waste|"&amp;R106,'Score settings'!$A$14:$C$43,2,FALSE)/'Score settings'!$B$8*'Score settings'!$C$8</x:f>
        <x:v>7</x:v>
      </x:c>
      <x:c r="Z106" s="41" t="n">
        <x:f>IF(B106="","",SUM(U106:Y106))</x:f>
        <x:v>69</x:v>
      </x:c>
      <x:c r="AA106" s="41" t="str">
        <x:f>IF(Z106="","Not scored",VLOOKUP(Z106,'Score settings'!$A$47:$C$50,2,TRUE))</x:f>
        <x:v>Protected</x:v>
      </x:c>
      <x:c r="AB106" s="41" t="n">
        <x:f>VLOOKUP("Priority|"&amp;O106,'Score settings'!$A$14:$C$43,3,FALSE)/'Score settings'!$B$4*'Score settings'!$D$4</x:f>
        <x:v>15</x:v>
      </x:c>
      <x:c r="AC106" s="41" t="n">
        <x:f>VLOOKUP("Category|"&amp;P106,'Score settings'!$A$14:$C$43,3,FALSE)/'Score settings'!$B$5*'Score settings'!$D$5</x:f>
        <x:v>3</x:v>
      </x:c>
      <x:c r="AD106" s="41" t="n">
        <x:f>VLOOKUP("Area|"&amp;Q106,'Score settings'!$A$14:$C$43,3,FALSE)/'Score settings'!$B$6*'Score settings'!$D$6</x:f>
        <x:v>7.333333333333333</x:v>
      </x:c>
      <x:c r="AE106" s="41" t="n">
        <x:f>VLOOKUP("Benefits|"&amp;IF(AND(ISNUMBER(K106),K106&gt;0,ISNUMBER(G106),G106&gt;0),IF(K106/G106&gt;='Score settings'!$E$17,"3plus",IF(K106/G106&gt;='Score settings'!$E$16,"1.5to3",IF(K106/G106&gt;='Score settings'!$E$15,"0.5to1.5","positive"))),"None"),'Score settings'!$A$14:$C$43,3,FALSE)/'Score settings'!$B$7*'Score settings'!$D$7</x:f>
        <x:v>12</x:v>
      </x:c>
      <x:c r="AF106" s="41" t="n">
        <x:f>VLOOKUP("Waste|"&amp;R106,'Score settings'!$A$14:$C$43,3,FALSE)/'Score settings'!$B$8*'Score settings'!$D$8</x:f>
        <x:v>0</x:v>
      </x:c>
      <x:c r="AG106" s="41" t="n">
        <x:f>(IF(AND(ISNUMBER(M106),M106&gt;0,ISNUMBER(G106),G106&gt;0),IF(M106/G106&gt;='Score settings'!$E$17,'Score settings'!$G$17,IF(M106/G106&gt;='Score settings'!$E$16,'Score settings'!$G$16,IF(M106/G106&gt;='Score settings'!$E$15,'Score settings'!$G$15,'Score settings'!$G$14))),0)/15*'Score settings'!$B$60+IFERROR(VLOOKUP(IF(ISNUMBER(N106),N106,IF(ISNUMBER(L106),L106,0)),'Score settings'!$E$22:$F$26,2,FALSE),0)/10*'Score settings'!$B$61)/'Score settings'!$B$9*'Score settings'!$D$9</x:f>
        <x:v>0</x:v>
      </x:c>
      <x:c r="AH106" s="41" t="n">
        <x:f>IF(B106="","",SUM(AB106:AG106))</x:f>
        <x:v>37.33333333333333</x:v>
      </x:c>
      <x:c r="AI106" s="41" t="str">
        <x:f>IF(NOT(ISNUMBER(AH106)),"Not scored",VLOOKUP(AH106,'Score settings'!$A$47:$C$50,3,TRUE))</x:f>
        <x:v>Discretionary</x:v>
      </x:c>
      <x:c r="AJ106" s="42" t="n">
        <x:f>IF(OR(NOT(ISNUMBER(AH106)),T106&lt;&gt;"Common pot"),"",COUNTIFS($T$4:$T$509,"Common pot",$AH$4:$AH$509,"&gt;"&amp;AH106)+1)</x:f>
        <x:v>118</x:v>
      </x:c>
      <x:c r="AK106" s="36" t="str">
        <x:f>IF(B106="","Name missing - not scored",IF(OR(NOT(ISNUMBER(G106)),G106&lt;=0),"Investment missing or zero - review",IF(0=1,"Permanent ID missing - reconcile",IF(AND(ISNUMBER(H106),H106/G106&gt;='Score settings'!$B$58,NOT(ISNUMBER(I106))),"Benefit units need review",IF(OR(R106="EXIT",R106="CHALLENGE"),"Waste decision requires scope resolution",IF("Name and organisation matched"&lt;&gt;"Name and organisation matched","Waste evidence match needs review","Provisional source score - confirm evidence"))))))</x:f>
        <x:v>Provisional source score - confirm evidence</x:v>
      </x:c>
      <x:c r="AL106" s="36"/>
      <x:c r="AM106" s="40"/>
      <x:c r="AN106" s="39"/>
      <x:c r="AO106" s="40"/>
      <x:c r="AP106" s="40"/>
    </x:row>
    <x:row r="107" ht="15" hidden="0" customHeight="1">
      <x:c r="A107" s="36" t="str">
        <x:v>Bu-112</x:v>
      </x:c>
      <x:c r="B107" s="37" t="str">
        <x:v>ISC and CS Transformation 2027</x:v>
      </x:c>
      <x:c r="C107" s="36" t="str">
        <x:v>BU Led</x:v>
      </x:c>
      <x:c r="D107" s="36" t="str">
        <x:v>Sleep &amp; Respiratory Care (SRC)</x:v>
      </x:c>
      <x:c r="E107" s="38" t="n">
        <x:v>0.513</x:v>
      </x:c>
      <x:c r="F107" s="39"/>
      <x:c r="G107" s="38" t="n">
        <x:f>IF(ISNUMBER(F107),F107,IF(E107="","",E107))</x:f>
        <x:v>0.513</x:v>
      </x:c>
      <x:c r="H107" s="38" t="n">
        <x:v>1.25</x:v>
      </x:c>
      <x:c r="I107" s="39"/>
      <x:c r="J107" s="36" t="str">
        <x:v>Revenue</x:v>
      </x:c>
      <x:c r="K107" s="38" t="n">
        <x:f>IF(ISNUMBER(I107),I107,IF(OR(NOT(ISNUMBER(H107)),NOT(ISNUMBER(G107)),G107&lt;=0),"",IF(H107/G107&gt;='Score settings'!$B$58,"",IF(J107="Cash savings",H107,IF(J107="Revenue",H107*'Score settings'!$B$55,"")))))</x:f>
        <x:v>0.1875</x:v>
      </x:c>
      <x:c r="L107" s="36"/>
      <x:c r="M107" s="39"/>
      <x:c r="N107" s="40"/>
      <x:c r="O107" s="36" t="str">
        <x:v>Must Do</x:v>
      </x:c>
      <x:c r="P107" s="36" t="str">
        <x:v>NewFeat</x:v>
      </x:c>
      <x:c r="Q107" s="36" t="str">
        <x:v>Revenue</x:v>
      </x:c>
      <x:c r="R107" s="36" t="str">
        <x:v>NotAssessed</x:v>
      </x:c>
      <x:c r="S107" s="36" t="str"/>
      <x:c r="T107" s="36" t="str">
        <x:v>Common pot</x:v>
      </x:c>
      <x:c r="U107" s="41" t="n">
        <x:f>VLOOKUP("Priority|"&amp;O107,'Score settings'!$A$14:$C$43,2,FALSE)/'Score settings'!$B$4*'Score settings'!$C$4</x:f>
        <x:v>25</x:v>
      </x:c>
      <x:c r="V107" s="41" t="n">
        <x:f>VLOOKUP("Category|"&amp;P107,'Score settings'!$A$14:$C$43,2,FALSE)/'Score settings'!$B$5*'Score settings'!$C$5</x:f>
        <x:v>6</x:v>
      </x:c>
      <x:c r="W107" s="41" t="n">
        <x:f>VLOOKUP("Area|"&amp;Q107,'Score settings'!$A$14:$C$43,2,FALSE)/'Score settings'!$B$6*'Score settings'!$C$6</x:f>
        <x:v>11</x:v>
      </x:c>
      <x:c r="X107" s="41" t="n">
        <x:f>VLOOKUP("Benefits|"&amp;IF(AND(ISNUMBER(H107),H107&gt;0,ISNUMBER(G107),G107&gt;0),IF(H107/G107&gt;='Score settings'!$E$17,"3plus",IF(H107/G107&gt;='Score settings'!$E$16,"1.5to3",IF(H107/G107&gt;='Score settings'!$E$15,"0.5to1.5","positive"))),"None"),'Score settings'!$A$14:$C$43,2,FALSE)/'Score settings'!$B$7*'Score settings'!$C$7</x:f>
        <x:v>20</x:v>
      </x:c>
      <x:c r="Y107" s="41" t="n">
        <x:f>VLOOKUP("Waste|"&amp;R107,'Score settings'!$A$14:$C$43,2,FALSE)/'Score settings'!$B$8*'Score settings'!$C$8</x:f>
        <x:v>7</x:v>
      </x:c>
      <x:c r="Z107" s="41" t="n">
        <x:f>IF(B107="","",SUM(U107:Y107))</x:f>
        <x:v>69</x:v>
      </x:c>
      <x:c r="AA107" s="41" t="str">
        <x:f>IF(Z107="","Not scored",VLOOKUP(Z107,'Score settings'!$A$47:$C$50,2,TRUE))</x:f>
        <x:v>Protected</x:v>
      </x:c>
      <x:c r="AB107" s="41" t="n">
        <x:f>VLOOKUP("Priority|"&amp;O107,'Score settings'!$A$14:$C$43,3,FALSE)/'Score settings'!$B$4*'Score settings'!$D$4</x:f>
        <x:v>15</x:v>
      </x:c>
      <x:c r="AC107" s="41" t="n">
        <x:f>VLOOKUP("Category|"&amp;P107,'Score settings'!$A$14:$C$43,3,FALSE)/'Score settings'!$B$5*'Score settings'!$D$5</x:f>
        <x:v>3</x:v>
      </x:c>
      <x:c r="AD107" s="41" t="n">
        <x:f>VLOOKUP("Area|"&amp;Q107,'Score settings'!$A$14:$C$43,3,FALSE)/'Score settings'!$B$6*'Score settings'!$D$6</x:f>
        <x:v>7.333333333333333</x:v>
      </x:c>
      <x:c r="AE107" s="41" t="n">
        <x:f>VLOOKUP("Benefits|"&amp;IF(AND(ISNUMBER(K107),K107&gt;0,ISNUMBER(G107),G107&gt;0),IF(K107/G107&gt;='Score settings'!$E$17,"3plus",IF(K107/G107&gt;='Score settings'!$E$16,"1.5to3",IF(K107/G107&gt;='Score settings'!$E$15,"0.5to1.5","positive"))),"None"),'Score settings'!$A$14:$C$43,3,FALSE)/'Score settings'!$B$7*'Score settings'!$D$7</x:f>
        <x:v>12</x:v>
      </x:c>
      <x:c r="AF107" s="41" t="n">
        <x:f>VLOOKUP("Waste|"&amp;R107,'Score settings'!$A$14:$C$43,3,FALSE)/'Score settings'!$B$8*'Score settings'!$D$8</x:f>
        <x:v>0</x:v>
      </x:c>
      <x:c r="AG107" s="41" t="n">
        <x:f>(IF(AND(ISNUMBER(M107),M107&gt;0,ISNUMBER(G107),G107&gt;0),IF(M107/G107&gt;='Score settings'!$E$17,'Score settings'!$G$17,IF(M107/G107&gt;='Score settings'!$E$16,'Score settings'!$G$16,IF(M107/G107&gt;='Score settings'!$E$15,'Score settings'!$G$15,'Score settings'!$G$14))),0)/15*'Score settings'!$B$60+IFERROR(VLOOKUP(IF(ISNUMBER(N107),N107,IF(ISNUMBER(L107),L107,0)),'Score settings'!$E$22:$F$26,2,FALSE),0)/10*'Score settings'!$B$61)/'Score settings'!$B$9*'Score settings'!$D$9</x:f>
        <x:v>0</x:v>
      </x:c>
      <x:c r="AH107" s="41" t="n">
        <x:f>IF(B107="","",SUM(AB107:AG107))</x:f>
        <x:v>37.33333333333333</x:v>
      </x:c>
      <x:c r="AI107" s="41" t="str">
        <x:f>IF(NOT(ISNUMBER(AH107)),"Not scored",VLOOKUP(AH107,'Score settings'!$A$47:$C$50,3,TRUE))</x:f>
        <x:v>Discretionary</x:v>
      </x:c>
      <x:c r="AJ107" s="42" t="n">
        <x:f>IF(OR(NOT(ISNUMBER(AH107)),T107&lt;&gt;"Common pot"),"",COUNTIFS($T$4:$T$509,"Common pot",$AH$4:$AH$509,"&gt;"&amp;AH107)+1)</x:f>
        <x:v>118</x:v>
      </x:c>
      <x:c r="AK107" s="36" t="str">
        <x:f>IF(B107="","Name missing - not scored",IF(OR(NOT(ISNUMBER(G107)),G107&lt;=0),"Investment missing or zero - review",IF(0=1,"Permanent ID missing - reconcile",IF(AND(ISNUMBER(H107),H107/G107&gt;='Score settings'!$B$58,NOT(ISNUMBER(I107))),"Benefit units need review",IF(OR(R107="EXIT",R107="CHALLENGE"),"Waste decision requires scope resolution",IF("Name and organisation matched"&lt;&gt;"Name and organisation matched","Waste evidence match needs review","Provisional source score - confirm evidence"))))))</x:f>
        <x:v>Provisional source score - confirm evidence</x:v>
      </x:c>
      <x:c r="AL107" s="36"/>
      <x:c r="AM107" s="40"/>
      <x:c r="AN107" s="39"/>
      <x:c r="AO107" s="40"/>
      <x:c r="AP107" s="40"/>
    </x:row>
    <x:row r="108" ht="15" hidden="0" customHeight="1">
      <x:c r="A108" s="36" t="str">
        <x:v>Bu-113</x:v>
      </x:c>
      <x:c r="B108" s="37" t="str">
        <x:v>Sales &amp; Marketing Transformation 2027</x:v>
      </x:c>
      <x:c r="C108" s="36" t="str">
        <x:v>BU Led</x:v>
      </x:c>
      <x:c r="D108" s="36" t="str">
        <x:v>Sleep &amp; Respiratory Care (SRC)</x:v>
      </x:c>
      <x:c r="E108" s="38" t="n">
        <x:v>0.501</x:v>
      </x:c>
      <x:c r="F108" s="39"/>
      <x:c r="G108" s="38" t="n">
        <x:f>IF(ISNUMBER(F108),F108,IF(E108="","",E108))</x:f>
        <x:v>0.501</x:v>
      </x:c>
      <x:c r="H108" s="38" t="n">
        <x:v>1.7</x:v>
      </x:c>
      <x:c r="I108" s="39"/>
      <x:c r="J108" s="36" t="str">
        <x:v>Revenue</x:v>
      </x:c>
      <x:c r="K108" s="38" t="n">
        <x:f>IF(ISNUMBER(I108),I108,IF(OR(NOT(ISNUMBER(H108)),NOT(ISNUMBER(G108)),G108&lt;=0),"",IF(H108/G108&gt;='Score settings'!$B$58,"",IF(J108="Cash savings",H108,IF(J108="Revenue",H108*'Score settings'!$B$55,"")))))</x:f>
        <x:v>0.255</x:v>
      </x:c>
      <x:c r="L108" s="36"/>
      <x:c r="M108" s="39"/>
      <x:c r="N108" s="40"/>
      <x:c r="O108" s="36" t="str">
        <x:v>Must Do</x:v>
      </x:c>
      <x:c r="P108" s="36" t="str">
        <x:v>NewFeat</x:v>
      </x:c>
      <x:c r="Q108" s="36" t="str">
        <x:v>Revenue</x:v>
      </x:c>
      <x:c r="R108" s="36" t="str">
        <x:v>NotAssessed</x:v>
      </x:c>
      <x:c r="S108" s="36" t="str"/>
      <x:c r="T108" s="36" t="str">
        <x:v>Common pot</x:v>
      </x:c>
      <x:c r="U108" s="41" t="n">
        <x:f>VLOOKUP("Priority|"&amp;O108,'Score settings'!$A$14:$C$43,2,FALSE)/'Score settings'!$B$4*'Score settings'!$C$4</x:f>
        <x:v>25</x:v>
      </x:c>
      <x:c r="V108" s="41" t="n">
        <x:f>VLOOKUP("Category|"&amp;P108,'Score settings'!$A$14:$C$43,2,FALSE)/'Score settings'!$B$5*'Score settings'!$C$5</x:f>
        <x:v>6</x:v>
      </x:c>
      <x:c r="W108" s="41" t="n">
        <x:f>VLOOKUP("Area|"&amp;Q108,'Score settings'!$A$14:$C$43,2,FALSE)/'Score settings'!$B$6*'Score settings'!$C$6</x:f>
        <x:v>11</x:v>
      </x:c>
      <x:c r="X108" s="41" t="n">
        <x:f>VLOOKUP("Benefits|"&amp;IF(AND(ISNUMBER(H108),H108&gt;0,ISNUMBER(G108),G108&gt;0),IF(H108/G108&gt;='Score settings'!$E$17,"3plus",IF(H108/G108&gt;='Score settings'!$E$16,"1.5to3",IF(H108/G108&gt;='Score settings'!$E$15,"0.5to1.5","positive"))),"None"),'Score settings'!$A$14:$C$43,2,FALSE)/'Score settings'!$B$7*'Score settings'!$C$7</x:f>
        <x:v>25</x:v>
      </x:c>
      <x:c r="Y108" s="41" t="n">
        <x:f>VLOOKUP("Waste|"&amp;R108,'Score settings'!$A$14:$C$43,2,FALSE)/'Score settings'!$B$8*'Score settings'!$C$8</x:f>
        <x:v>7</x:v>
      </x:c>
      <x:c r="Z108" s="41" t="n">
        <x:f>IF(B108="","",SUM(U108:Y108))</x:f>
        <x:v>74</x:v>
      </x:c>
      <x:c r="AA108" s="41" t="str">
        <x:f>IF(Z108="","Not scored",VLOOKUP(Z108,'Score settings'!$A$47:$C$50,2,TRUE))</x:f>
        <x:v>Protected</x:v>
      </x:c>
      <x:c r="AB108" s="41" t="n">
        <x:f>VLOOKUP("Priority|"&amp;O108,'Score settings'!$A$14:$C$43,3,FALSE)/'Score settings'!$B$4*'Score settings'!$D$4</x:f>
        <x:v>15</x:v>
      </x:c>
      <x:c r="AC108" s="41" t="n">
        <x:f>VLOOKUP("Category|"&amp;P108,'Score settings'!$A$14:$C$43,3,FALSE)/'Score settings'!$B$5*'Score settings'!$D$5</x:f>
        <x:v>3</x:v>
      </x:c>
      <x:c r="AD108" s="41" t="n">
        <x:f>VLOOKUP("Area|"&amp;Q108,'Score settings'!$A$14:$C$43,3,FALSE)/'Score settings'!$B$6*'Score settings'!$D$6</x:f>
        <x:v>7.333333333333333</x:v>
      </x:c>
      <x:c r="AE108" s="41" t="n">
        <x:f>VLOOKUP("Benefits|"&amp;IF(AND(ISNUMBER(K108),K108&gt;0,ISNUMBER(G108),G108&gt;0),IF(K108/G108&gt;='Score settings'!$E$17,"3plus",IF(K108/G108&gt;='Score settings'!$E$16,"1.5to3",IF(K108/G108&gt;='Score settings'!$E$15,"0.5to1.5","positive"))),"None"),'Score settings'!$A$14:$C$43,3,FALSE)/'Score settings'!$B$7*'Score settings'!$D$7</x:f>
        <x:v>18</x:v>
      </x:c>
      <x:c r="AF108" s="41" t="n">
        <x:f>VLOOKUP("Waste|"&amp;R108,'Score settings'!$A$14:$C$43,3,FALSE)/'Score settings'!$B$8*'Score settings'!$D$8</x:f>
        <x:v>0</x:v>
      </x:c>
      <x:c r="AG108" s="41" t="n">
        <x:f>(IF(AND(ISNUMBER(M108),M108&gt;0,ISNUMBER(G108),G108&gt;0),IF(M108/G108&gt;='Score settings'!$E$17,'Score settings'!$G$17,IF(M108/G108&gt;='Score settings'!$E$16,'Score settings'!$G$16,IF(M108/G108&gt;='Score settings'!$E$15,'Score settings'!$G$15,'Score settings'!$G$14))),0)/15*'Score settings'!$B$60+IFERROR(VLOOKUP(IF(ISNUMBER(N108),N108,IF(ISNUMBER(L108),L108,0)),'Score settings'!$E$22:$F$26,2,FALSE),0)/10*'Score settings'!$B$61)/'Score settings'!$B$9*'Score settings'!$D$9</x:f>
        <x:v>0</x:v>
      </x:c>
      <x:c r="AH108" s="41" t="n">
        <x:f>IF(B108="","",SUM(AB108:AG108))</x:f>
        <x:v>43.33333333333333</x:v>
      </x:c>
      <x:c r="AI108" s="41" t="str">
        <x:f>IF(NOT(ISNUMBER(AH108)),"Not scored",VLOOKUP(AH108,'Score settings'!$A$47:$C$50,3,TRUE))</x:f>
        <x:v>Discretionary</x:v>
      </x:c>
      <x:c r="AJ108" s="42" t="n">
        <x:f>IF(OR(NOT(ISNUMBER(AH108)),T108&lt;&gt;"Common pot"),"",COUNTIFS($T$4:$T$509,"Common pot",$AH$4:$AH$509,"&gt;"&amp;AH108)+1)</x:f>
        <x:v>76</x:v>
      </x:c>
      <x:c r="AK108" s="36" t="str">
        <x:f>IF(B108="","Name missing - not scored",IF(OR(NOT(ISNUMBER(G108)),G108&lt;=0),"Investment missing or zero - review",IF(0=1,"Permanent ID missing - reconcile",IF(AND(ISNUMBER(H108),H108/G108&gt;='Score settings'!$B$58,NOT(ISNUMBER(I108))),"Benefit units need review",IF(OR(R108="EXIT",R108="CHALLENGE"),"Waste decision requires scope resolution",IF("Name and organisation matched"&lt;&gt;"Name and organisation matched","Waste evidence match needs review","Provisional source score - confirm evidence"))))))</x:f>
        <x:v>Provisional source score - confirm evidence</x:v>
      </x:c>
      <x:c r="AL108" s="36"/>
      <x:c r="AM108" s="40"/>
      <x:c r="AN108" s="39"/>
      <x:c r="AO108" s="40"/>
      <x:c r="AP108" s="40"/>
    </x:row>
    <x:row r="109" ht="15" hidden="0" customHeight="1">
      <x:c r="A109" s="36" t="str">
        <x:v>Bu-114</x:v>
      </x:c>
      <x:c r="B109" s="37" t="str">
        <x:v>Project Keystone 2027</x:v>
      </x:c>
      <x:c r="C109" s="36" t="str">
        <x:v>BU Led</x:v>
      </x:c>
      <x:c r="D109" s="36" t="str">
        <x:v>Sleep &amp; Respiratory Care (SRC)</x:v>
      </x:c>
      <x:c r="E109" s="38" t="n">
        <x:v>0.6</x:v>
      </x:c>
      <x:c r="F109" s="39"/>
      <x:c r="G109" s="38" t="n">
        <x:f>IF(ISNUMBER(F109),F109,IF(E109="","",E109))</x:f>
        <x:v>0.6</x:v>
      </x:c>
      <x:c r="H109" s="38" t="n">
        <x:v>1.8</x:v>
      </x:c>
      <x:c r="I109" s="39"/>
      <x:c r="J109" s="36" t="str">
        <x:v>Revenue</x:v>
      </x:c>
      <x:c r="K109" s="38" t="n">
        <x:f>IF(ISNUMBER(I109),I109,IF(OR(NOT(ISNUMBER(H109)),NOT(ISNUMBER(G109)),G109&lt;=0),"",IF(H109/G109&gt;='Score settings'!$B$58,"",IF(J109="Cash savings",H109,IF(J109="Revenue",H109*'Score settings'!$B$55,"")))))</x:f>
        <x:v>0.27</x:v>
      </x:c>
      <x:c r="L109" s="36"/>
      <x:c r="M109" s="39"/>
      <x:c r="N109" s="40"/>
      <x:c r="O109" s="36" t="str">
        <x:v>Must Do</x:v>
      </x:c>
      <x:c r="P109" s="36" t="str">
        <x:v>NewFeat</x:v>
      </x:c>
      <x:c r="Q109" s="36" t="str">
        <x:v>Revenue</x:v>
      </x:c>
      <x:c r="R109" s="36" t="str">
        <x:v>NotAssessed</x:v>
      </x:c>
      <x:c r="S109" s="36" t="str"/>
      <x:c r="T109" s="36" t="str">
        <x:v>Common pot</x:v>
      </x:c>
      <x:c r="U109" s="41" t="n">
        <x:f>VLOOKUP("Priority|"&amp;O109,'Score settings'!$A$14:$C$43,2,FALSE)/'Score settings'!$B$4*'Score settings'!$C$4</x:f>
        <x:v>25</x:v>
      </x:c>
      <x:c r="V109" s="41" t="n">
        <x:f>VLOOKUP("Category|"&amp;P109,'Score settings'!$A$14:$C$43,2,FALSE)/'Score settings'!$B$5*'Score settings'!$C$5</x:f>
        <x:v>6</x:v>
      </x:c>
      <x:c r="W109" s="41" t="n">
        <x:f>VLOOKUP("Area|"&amp;Q109,'Score settings'!$A$14:$C$43,2,FALSE)/'Score settings'!$B$6*'Score settings'!$C$6</x:f>
        <x:v>11</x:v>
      </x:c>
      <x:c r="X109" s="41" t="n">
        <x:f>VLOOKUP("Benefits|"&amp;IF(AND(ISNUMBER(H109),H109&gt;0,ISNUMBER(G109),G109&gt;0),IF(H109/G109&gt;='Score settings'!$E$17,"3plus",IF(H109/G109&gt;='Score settings'!$E$16,"1.5to3",IF(H109/G109&gt;='Score settings'!$E$15,"0.5to1.5","positive"))),"None"),'Score settings'!$A$14:$C$43,2,FALSE)/'Score settings'!$B$7*'Score settings'!$C$7</x:f>
        <x:v>25</x:v>
      </x:c>
      <x:c r="Y109" s="41" t="n">
        <x:f>VLOOKUP("Waste|"&amp;R109,'Score settings'!$A$14:$C$43,2,FALSE)/'Score settings'!$B$8*'Score settings'!$C$8</x:f>
        <x:v>7</x:v>
      </x:c>
      <x:c r="Z109" s="41" t="n">
        <x:f>IF(B109="","",SUM(U109:Y109))</x:f>
        <x:v>74</x:v>
      </x:c>
      <x:c r="AA109" s="41" t="str">
        <x:f>IF(Z109="","Not scored",VLOOKUP(Z109,'Score settings'!$A$47:$C$50,2,TRUE))</x:f>
        <x:v>Protected</x:v>
      </x:c>
      <x:c r="AB109" s="41" t="n">
        <x:f>VLOOKUP("Priority|"&amp;O109,'Score settings'!$A$14:$C$43,3,FALSE)/'Score settings'!$B$4*'Score settings'!$D$4</x:f>
        <x:v>15</x:v>
      </x:c>
      <x:c r="AC109" s="41" t="n">
        <x:f>VLOOKUP("Category|"&amp;P109,'Score settings'!$A$14:$C$43,3,FALSE)/'Score settings'!$B$5*'Score settings'!$D$5</x:f>
        <x:v>3</x:v>
      </x:c>
      <x:c r="AD109" s="41" t="n">
        <x:f>VLOOKUP("Area|"&amp;Q109,'Score settings'!$A$14:$C$43,3,FALSE)/'Score settings'!$B$6*'Score settings'!$D$6</x:f>
        <x:v>7.333333333333333</x:v>
      </x:c>
      <x:c r="AE109" s="41" t="n">
        <x:f>VLOOKUP("Benefits|"&amp;IF(AND(ISNUMBER(K109),K109&gt;0,ISNUMBER(G109),G109&gt;0),IF(K109/G109&gt;='Score settings'!$E$17,"3plus",IF(K109/G109&gt;='Score settings'!$E$16,"1.5to3",IF(K109/G109&gt;='Score settings'!$E$15,"0.5to1.5","positive"))),"None"),'Score settings'!$A$14:$C$43,3,FALSE)/'Score settings'!$B$7*'Score settings'!$D$7</x:f>
        <x:v>12</x:v>
      </x:c>
      <x:c r="AF109" s="41" t="n">
        <x:f>VLOOKUP("Waste|"&amp;R109,'Score settings'!$A$14:$C$43,3,FALSE)/'Score settings'!$B$8*'Score settings'!$D$8</x:f>
        <x:v>0</x:v>
      </x:c>
      <x:c r="AG109" s="41" t="n">
        <x:f>(IF(AND(ISNUMBER(M109),M109&gt;0,ISNUMBER(G109),G109&gt;0),IF(M109/G109&gt;='Score settings'!$E$17,'Score settings'!$G$17,IF(M109/G109&gt;='Score settings'!$E$16,'Score settings'!$G$16,IF(M109/G109&gt;='Score settings'!$E$15,'Score settings'!$G$15,'Score settings'!$G$14))),0)/15*'Score settings'!$B$60+IFERROR(VLOOKUP(IF(ISNUMBER(N109),N109,IF(ISNUMBER(L109),L109,0)),'Score settings'!$E$22:$F$26,2,FALSE),0)/10*'Score settings'!$B$61)/'Score settings'!$B$9*'Score settings'!$D$9</x:f>
        <x:v>0</x:v>
      </x:c>
      <x:c r="AH109" s="41" t="n">
        <x:f>IF(B109="","",SUM(AB109:AG109))</x:f>
        <x:v>37.33333333333333</x:v>
      </x:c>
      <x:c r="AI109" s="41" t="str">
        <x:f>IF(NOT(ISNUMBER(AH109)),"Not scored",VLOOKUP(AH109,'Score settings'!$A$47:$C$50,3,TRUE))</x:f>
        <x:v>Discretionary</x:v>
      </x:c>
      <x:c r="AJ109" s="42" t="n">
        <x:f>IF(OR(NOT(ISNUMBER(AH109)),T109&lt;&gt;"Common pot"),"",COUNTIFS($T$4:$T$509,"Common pot",$AH$4:$AH$509,"&gt;"&amp;AH109)+1)</x:f>
        <x:v>118</x:v>
      </x:c>
      <x:c r="AK109" s="36" t="str">
        <x:f>IF(B109="","Name missing - not scored",IF(OR(NOT(ISNUMBER(G109)),G109&lt;=0),"Investment missing or zero - review",IF(0=1,"Permanent ID missing - reconcile",IF(AND(ISNUMBER(H109),H109/G109&gt;='Score settings'!$B$58,NOT(ISNUMBER(I109))),"Benefit units need review",IF(OR(R109="EXIT",R109="CHALLENGE"),"Waste decision requires scope resolution",IF("Name and organisation matched"&lt;&gt;"Name and organisation matched","Waste evidence match needs review","Provisional source score - confirm evidence"))))))</x:f>
        <x:v>Provisional source score - confirm evidence</x:v>
      </x:c>
      <x:c r="AL109" s="36"/>
      <x:c r="AM109" s="40"/>
      <x:c r="AN109" s="39"/>
      <x:c r="AO109" s="40"/>
      <x:c r="AP109" s="40"/>
    </x:row>
    <x:row r="110" ht="15" hidden="0" customHeight="1">
      <x:c r="A110" s="36" t="str">
        <x:v>Bu-115</x:v>
      </x:c>
      <x:c r="B110" s="37" t="str">
        <x:v>SFDC NAM Changes</x:v>
      </x:c>
      <x:c r="C110" s="36" t="str">
        <x:v>BU Led</x:v>
      </x:c>
      <x:c r="D110" s="36" t="str">
        <x:v>Sleep &amp; Respiratory Care (SRC)</x:v>
      </x:c>
      <x:c r="E110" s="38" t="n">
        <x:v>0.08</x:v>
      </x:c>
      <x:c r="F110" s="39"/>
      <x:c r="G110" s="38" t="n">
        <x:f>IF(ISNUMBER(F110),F110,IF(E110="","",E110))</x:f>
        <x:v>0.08</x:v>
      </x:c>
      <x:c r="H110" s="38" t="n">
        <x:v>0.25</x:v>
      </x:c>
      <x:c r="I110" s="39"/>
      <x:c r="J110" s="36" t="str">
        <x:v>Cash savings</x:v>
      </x:c>
      <x:c r="K110" s="38" t="n">
        <x:f>IF(ISNUMBER(I110),I110,IF(OR(NOT(ISNUMBER(H110)),NOT(ISNUMBER(G110)),G110&lt;=0),"",IF(H110/G110&gt;='Score settings'!$B$58,"",IF(J110="Cash savings",H110,IF(J110="Revenue",H110*'Score settings'!$B$55,"")))))</x:f>
        <x:v>0.25</x:v>
      </x:c>
      <x:c r="L110" s="36"/>
      <x:c r="M110" s="39"/>
      <x:c r="N110" s="40"/>
      <x:c r="O110" s="36" t="str">
        <x:v>Must Do</x:v>
      </x:c>
      <x:c r="P110" s="36" t="str">
        <x:v>CI</x:v>
      </x:c>
      <x:c r="Q110" s="36" t="str">
        <x:v>Productivity</x:v>
      </x:c>
      <x:c r="R110" s="36" t="str">
        <x:v>NotAssessed</x:v>
      </x:c>
      <x:c r="S110" s="36" t="str"/>
      <x:c r="T110" s="36" t="str">
        <x:v>Common pot</x:v>
      </x:c>
      <x:c r="U110" s="41" t="n">
        <x:f>VLOOKUP("Priority|"&amp;O110,'Score settings'!$A$14:$C$43,2,FALSE)/'Score settings'!$B$4*'Score settings'!$C$4</x:f>
        <x:v>25</x:v>
      </x:c>
      <x:c r="V110" s="41" t="n">
        <x:f>VLOOKUP("Category|"&amp;P110,'Score settings'!$A$14:$C$43,2,FALSE)/'Score settings'!$B$5*'Score settings'!$C$5</x:f>
        <x:v>8</x:v>
      </x:c>
      <x:c r="W110" s="41" t="n">
        <x:f>VLOOKUP("Area|"&amp;Q110,'Score settings'!$A$14:$C$43,2,FALSE)/'Score settings'!$B$6*'Score settings'!$C$6</x:f>
        <x:v>10</x:v>
      </x:c>
      <x:c r="X110" s="41" t="n">
        <x:f>VLOOKUP("Benefits|"&amp;IF(AND(ISNUMBER(H110),H110&gt;0,ISNUMBER(G110),G110&gt;0),IF(H110/G110&gt;='Score settings'!$E$17,"3plus",IF(H110/G110&gt;='Score settings'!$E$16,"1.5to3",IF(H110/G110&gt;='Score settings'!$E$15,"0.5to1.5","positive"))),"None"),'Score settings'!$A$14:$C$43,2,FALSE)/'Score settings'!$B$7*'Score settings'!$C$7</x:f>
        <x:v>25</x:v>
      </x:c>
      <x:c r="Y110" s="41" t="n">
        <x:f>VLOOKUP("Waste|"&amp;R110,'Score settings'!$A$14:$C$43,2,FALSE)/'Score settings'!$B$8*'Score settings'!$C$8</x:f>
        <x:v>7</x:v>
      </x:c>
      <x:c r="Z110" s="41" t="n">
        <x:f>IF(B110="","",SUM(U110:Y110))</x:f>
        <x:v>75</x:v>
      </x:c>
      <x:c r="AA110" s="41" t="str">
        <x:f>IF(Z110="","Not scored",VLOOKUP(Z110,'Score settings'!$A$47:$C$50,2,TRUE))</x:f>
        <x:v>Protected</x:v>
      </x:c>
      <x:c r="AB110" s="41" t="n">
        <x:f>VLOOKUP("Priority|"&amp;O110,'Score settings'!$A$14:$C$43,3,FALSE)/'Score settings'!$B$4*'Score settings'!$D$4</x:f>
        <x:v>15</x:v>
      </x:c>
      <x:c r="AC110" s="41" t="n">
        <x:f>VLOOKUP("Category|"&amp;P110,'Score settings'!$A$14:$C$43,3,FALSE)/'Score settings'!$B$5*'Score settings'!$D$5</x:f>
        <x:v>4</x:v>
      </x:c>
      <x:c r="AD110" s="41" t="n">
        <x:f>VLOOKUP("Area|"&amp;Q110,'Score settings'!$A$14:$C$43,3,FALSE)/'Score settings'!$B$6*'Score settings'!$D$6</x:f>
        <x:v>6.666666666666666</x:v>
      </x:c>
      <x:c r="AE110" s="41" t="n">
        <x:f>VLOOKUP("Benefits|"&amp;IF(AND(ISNUMBER(K110),K110&gt;0,ISNUMBER(G110),G110&gt;0),IF(K110/G110&gt;='Score settings'!$E$17,"3plus",IF(K110/G110&gt;='Score settings'!$E$16,"1.5to3",IF(K110/G110&gt;='Score settings'!$E$15,"0.5to1.5","positive"))),"None"),'Score settings'!$A$14:$C$43,3,FALSE)/'Score settings'!$B$7*'Score settings'!$D$7</x:f>
        <x:v>30</x:v>
      </x:c>
      <x:c r="AF110" s="41" t="n">
        <x:f>VLOOKUP("Waste|"&amp;R110,'Score settings'!$A$14:$C$43,3,FALSE)/'Score settings'!$B$8*'Score settings'!$D$8</x:f>
        <x:v>0</x:v>
      </x:c>
      <x:c r="AG110" s="41" t="n">
        <x:f>(IF(AND(ISNUMBER(M110),M110&gt;0,ISNUMBER(G110),G110&gt;0),IF(M110/G110&gt;='Score settings'!$E$17,'Score settings'!$G$17,IF(M110/G110&gt;='Score settings'!$E$16,'Score settings'!$G$16,IF(M110/G110&gt;='Score settings'!$E$15,'Score settings'!$G$15,'Score settings'!$G$14))),0)/15*'Score settings'!$B$60+IFERROR(VLOOKUP(IF(ISNUMBER(N110),N110,IF(ISNUMBER(L110),L110,0)),'Score settings'!$E$22:$F$26,2,FALSE),0)/10*'Score settings'!$B$61)/'Score settings'!$B$9*'Score settings'!$D$9</x:f>
        <x:v>0</x:v>
      </x:c>
      <x:c r="AH110" s="41" t="n">
        <x:f>IF(B110="","",SUM(AB110:AG110))</x:f>
        <x:v>55.666666666666664</x:v>
      </x:c>
      <x:c r="AI110" s="41" t="str">
        <x:f>IF(NOT(ISNUMBER(AH110)),"Not scored",VLOOKUP(AH110,'Score settings'!$A$47:$C$50,3,TRUE))</x:f>
        <x:v>Strong</x:v>
      </x:c>
      <x:c r="AJ110" s="42" t="n">
        <x:f>IF(OR(NOT(ISNUMBER(AH110)),T110&lt;&gt;"Common pot"),"",COUNTIFS($T$4:$T$509,"Common pot",$AH$4:$AH$509,"&gt;"&amp;AH110)+1)</x:f>
        <x:v>32</x:v>
      </x:c>
      <x:c r="AK110" s="36" t="str">
        <x:f>IF(B110="","Name missing - not scored",IF(OR(NOT(ISNUMBER(G110)),G110&lt;=0),"Investment missing or zero - review",IF(0=1,"Permanent ID missing - reconcile",IF(AND(ISNUMBER(H110),H110/G110&gt;='Score settings'!$B$58,NOT(ISNUMBER(I110))),"Benefit units need review",IF(OR(R110="EXIT",R110="CHALLENGE"),"Waste decision requires scope resolution",IF("Name and organisation matched"&lt;&gt;"Name and organisation matched","Waste evidence match needs review","Provisional source score - confirm evidence"))))))</x:f>
        <x:v>Provisional source score - confirm evidence</x:v>
      </x:c>
      <x:c r="AL110" s="36"/>
      <x:c r="AM110" s="40"/>
      <x:c r="AN110" s="39"/>
      <x:c r="AO110" s="40"/>
      <x:c r="AP110" s="40"/>
    </x:row>
    <x:row r="111" ht="15" hidden="0" customHeight="1">
      <x:c r="A111" s="36" t="str">
        <x:v>Bu-116</x:v>
      </x:c>
      <x:c r="B111" s="37" t="str">
        <x:v>SRC Uno Analytics</x:v>
      </x:c>
      <x:c r="C111" s="36" t="str">
        <x:v>BU Led</x:v>
      </x:c>
      <x:c r="D111" s="36" t="str">
        <x:v>Sleep &amp; Respiratory Care (SRC)</x:v>
      </x:c>
      <x:c r="E111" s="38" t="n">
        <x:v>0.08</x:v>
      </x:c>
      <x:c r="F111" s="39"/>
      <x:c r="G111" s="38" t="n">
        <x:f>IF(ISNUMBER(F111),F111,IF(E111="","",E111))</x:f>
        <x:v>0.08</x:v>
      </x:c>
      <x:c r="H111" s="38"/>
      <x:c r="I111" s="39"/>
      <x:c r="J111" s="36" t="str">
        <x:v>Risk exposure</x:v>
      </x:c>
      <x:c r="K111" s="38" t="str">
        <x:f>IF(ISNUMBER(I111),I111,IF(OR(NOT(ISNUMBER(H111)),NOT(ISNUMBER(G111)),G111&lt;=0),"",IF(H111/G111&gt;='Score settings'!$B$58,"",IF(J111="Cash savings",H111,IF(J111="Revenue",H111*'Score settings'!$B$55,"")))))</x:f>
      </x:c>
      <x:c r="L111" s="36" t="n">
        <x:v>5</x:v>
      </x:c>
      <x:c r="M111" s="39"/>
      <x:c r="N111" s="40"/>
      <x:c r="O111" s="36" t="str">
        <x:v>Must Do</x:v>
      </x:c>
      <x:c r="P111" s="36" t="str">
        <x:v>LFR</x:v>
      </x:c>
      <x:c r="Q111" s="36" t="str">
        <x:v>Compliance</x:v>
      </x:c>
      <x:c r="R111" s="36" t="str">
        <x:v>NotAssessed</x:v>
      </x:c>
      <x:c r="S111" s="36" t="str">
        <x:v>YES</x:v>
      </x:c>
      <x:c r="T111" s="36" t="str">
        <x:v>LFR validated candidate</x:v>
      </x:c>
      <x:c r="U111" s="41" t="n">
        <x:f>VLOOKUP("Priority|"&amp;O111,'Score settings'!$A$14:$C$43,2,FALSE)/'Score settings'!$B$4*'Score settings'!$C$4</x:f>
        <x:v>25</x:v>
      </x:c>
      <x:c r="V111" s="41" t="n">
        <x:f>VLOOKUP("Category|"&amp;P111,'Score settings'!$A$14:$C$43,2,FALSE)/'Score settings'!$B$5*'Score settings'!$C$5</x:f>
        <x:v>20</x:v>
      </x:c>
      <x:c r="W111" s="41" t="n">
        <x:f>VLOOKUP("Area|"&amp;Q111,'Score settings'!$A$14:$C$43,2,FALSE)/'Score settings'!$B$6*'Score settings'!$C$6</x:f>
        <x:v>15</x:v>
      </x:c>
      <x:c r="X111" s="41" t="n">
        <x:f>VLOOKUP("Benefits|"&amp;IF(AND(ISNUMBER(H111),H111&gt;0,ISNUMBER(G111),G111&gt;0),IF(H111/G111&gt;='Score settings'!$E$17,"3plus",IF(H111/G111&gt;='Score settings'!$E$16,"1.5to3",IF(H111/G111&gt;='Score settings'!$E$15,"0.5to1.5","positive"))),"None"),'Score settings'!$A$14:$C$43,2,FALSE)/'Score settings'!$B$7*'Score settings'!$C$7</x:f>
        <x:v>5</x:v>
      </x:c>
      <x:c r="Y111" s="41" t="n">
        <x:f>VLOOKUP("Waste|"&amp;R111,'Score settings'!$A$14:$C$43,2,FALSE)/'Score settings'!$B$8*'Score settings'!$C$8</x:f>
        <x:v>7</x:v>
      </x:c>
      <x:c r="Z111" s="41" t="n">
        <x:f>IF(B111="","",SUM(U111:Y111))</x:f>
        <x:v>72</x:v>
      </x:c>
      <x:c r="AA111" s="41" t="str">
        <x:f>IF(Z111="","Not scored",VLOOKUP(Z111,'Score settings'!$A$47:$C$50,2,TRUE))</x:f>
        <x:v>Protected</x:v>
      </x:c>
      <x:c r="AB111" s="41" t="n">
        <x:f>VLOOKUP("Priority|"&amp;O111,'Score settings'!$A$14:$C$43,3,FALSE)/'Score settings'!$B$4*'Score settings'!$D$4</x:f>
        <x:v>15</x:v>
      </x:c>
      <x:c r="AC111" s="41" t="n">
        <x:f>VLOOKUP("Category|"&amp;P111,'Score settings'!$A$14:$C$43,3,FALSE)/'Score settings'!$B$5*'Score settings'!$D$5</x:f>
        <x:v>10</x:v>
      </x:c>
      <x:c r="AD111" s="41" t="n">
        <x:f>VLOOKUP("Area|"&amp;Q111,'Score settings'!$A$14:$C$43,3,FALSE)/'Score settings'!$B$6*'Score settings'!$D$6</x:f>
        <x:v>10</x:v>
      </x:c>
      <x:c r="AE111" s="41" t="n">
        <x:f>VLOOKUP("Benefits|"&amp;IF(AND(ISNUMBER(K111),K111&gt;0,ISNUMBER(G111),G111&gt;0),IF(K111/G111&gt;='Score settings'!$E$17,"3plus",IF(K111/G111&gt;='Score settings'!$E$16,"1.5to3",IF(K111/G111&gt;='Score settings'!$E$15,"0.5to1.5","positive"))),"None"),'Score settings'!$A$14:$C$43,3,FALSE)/'Score settings'!$B$7*'Score settings'!$D$7</x:f>
        <x:v>0</x:v>
      </x:c>
      <x:c r="AF111" s="41" t="n">
        <x:f>VLOOKUP("Waste|"&amp;R111,'Score settings'!$A$14:$C$43,3,FALSE)/'Score settings'!$B$8*'Score settings'!$D$8</x:f>
        <x:v>0</x:v>
      </x:c>
      <x:c r="AG111" s="41" t="n">
        <x:f>(IF(AND(ISNUMBER(M111),M111&gt;0,ISNUMBER(G111),G111&gt;0),IF(M111/G111&gt;='Score settings'!$E$17,'Score settings'!$G$17,IF(M111/G111&gt;='Score settings'!$E$16,'Score settings'!$G$16,IF(M111/G111&gt;='Score settings'!$E$15,'Score settings'!$G$15,'Score settings'!$G$14))),0)/15*'Score settings'!$B$60+IFERROR(VLOOKUP(IF(ISNUMBER(N111),N111,IF(ISNUMBER(L111),L111,0)),'Score settings'!$E$22:$F$26,2,FALSE),0)/10*'Score settings'!$B$61)/'Score settings'!$B$9*'Score settings'!$D$9</x:f>
        <x:v>10</x:v>
      </x:c>
      <x:c r="AH111" s="41" t="n">
        <x:f>IF(B111="","",SUM(AB111:AG111))</x:f>
        <x:v>45</x:v>
      </x:c>
      <x:c r="AI111" s="41" t="str">
        <x:f>IF(NOT(ISNUMBER(AH111)),"Not scored",VLOOKUP(AH111,'Score settings'!$A$47:$C$50,3,TRUE))</x:f>
        <x:v>Strong</x:v>
      </x:c>
      <x:c r="AJ111" s="42" t="str">
        <x:f>IF(OR(NOT(ISNUMBER(AH111)),T111&lt;&gt;"Common pot"),"",COUNTIFS($T$4:$T$509,"Common pot",$AH$4:$AH$509,"&gt;"&amp;AH111)+1)</x:f>
      </x:c>
      <x:c r="AK111" s="36" t="str">
        <x:f>IF(B111="","Name missing - not scored",IF(OR(NOT(ISNUMBER(G111)),G111&lt;=0),"Investment missing or zero - review",IF(0=1,"Permanent ID missing - reconcile",IF(AND(ISNUMBER(H111),H111/G111&gt;='Score settings'!$B$58,NOT(ISNUMBER(I111))),"Benefit units need review",IF(OR(R111="EXIT",R111="CHALLENGE"),"Waste decision requires scope resolution",IF("Name and organisation matched"&lt;&gt;"Name and organisation matched","Waste evidence match needs review","Provisional source score - confirm evidence"))))))</x:f>
        <x:v>Provisional source score - confirm evidence</x:v>
      </x:c>
      <x:c r="AL111" s="36" t="n">
        <x:v>20</x:v>
      </x:c>
      <x:c r="AM111" s="40"/>
      <x:c r="AN111" s="39"/>
      <x:c r="AO111" s="40"/>
      <x:c r="AP111" s="40"/>
    </x:row>
    <x:row r="112" ht="15" hidden="0" customHeight="1">
      <x:c r="A112" s="36" t="str">
        <x:v>Bu-117</x:v>
      </x:c>
      <x:c r="B112" s="37" t="str">
        <x:v>SRC Uno Data Lake</x:v>
      </x:c>
      <x:c r="C112" s="36" t="str">
        <x:v>BU Led</x:v>
      </x:c>
      <x:c r="D112" s="36" t="str">
        <x:v>Sleep &amp; Respiratory Care (SRC)</x:v>
      </x:c>
      <x:c r="E112" s="38" t="n">
        <x:v>0.13</x:v>
      </x:c>
      <x:c r="F112" s="39"/>
      <x:c r="G112" s="38" t="n">
        <x:f>IF(ISNUMBER(F112),F112,IF(E112="","",E112))</x:f>
        <x:v>0.13</x:v>
      </x:c>
      <x:c r="H112" s="38"/>
      <x:c r="I112" s="39"/>
      <x:c r="J112" s="36" t="str">
        <x:v>Risk exposure</x:v>
      </x:c>
      <x:c r="K112" s="38" t="str">
        <x:f>IF(ISNUMBER(I112),I112,IF(OR(NOT(ISNUMBER(H112)),NOT(ISNUMBER(G112)),G112&lt;=0),"",IF(H112/G112&gt;='Score settings'!$B$58,"",IF(J112="Cash savings",H112,IF(J112="Revenue",H112*'Score settings'!$B$55,"")))))</x:f>
      </x:c>
      <x:c r="L112" s="36" t="n">
        <x:v>5</x:v>
      </x:c>
      <x:c r="M112" s="39"/>
      <x:c r="N112" s="40"/>
      <x:c r="O112" s="36" t="str">
        <x:v>Must Do</x:v>
      </x:c>
      <x:c r="P112" s="36" t="str">
        <x:v>LFR</x:v>
      </x:c>
      <x:c r="Q112" s="36" t="str">
        <x:v>Compliance</x:v>
      </x:c>
      <x:c r="R112" s="36" t="str">
        <x:v>NotAssessed</x:v>
      </x:c>
      <x:c r="S112" s="36" t="str">
        <x:v>YES</x:v>
      </x:c>
      <x:c r="T112" s="36" t="str">
        <x:v>LFR validated candidate</x:v>
      </x:c>
      <x:c r="U112" s="41" t="n">
        <x:f>VLOOKUP("Priority|"&amp;O112,'Score settings'!$A$14:$C$43,2,FALSE)/'Score settings'!$B$4*'Score settings'!$C$4</x:f>
        <x:v>25</x:v>
      </x:c>
      <x:c r="V112" s="41" t="n">
        <x:f>VLOOKUP("Category|"&amp;P112,'Score settings'!$A$14:$C$43,2,FALSE)/'Score settings'!$B$5*'Score settings'!$C$5</x:f>
        <x:v>20</x:v>
      </x:c>
      <x:c r="W112" s="41" t="n">
        <x:f>VLOOKUP("Area|"&amp;Q112,'Score settings'!$A$14:$C$43,2,FALSE)/'Score settings'!$B$6*'Score settings'!$C$6</x:f>
        <x:v>15</x:v>
      </x:c>
      <x:c r="X112" s="41" t="n">
        <x:f>VLOOKUP("Benefits|"&amp;IF(AND(ISNUMBER(H112),H112&gt;0,ISNUMBER(G112),G112&gt;0),IF(H112/G112&gt;='Score settings'!$E$17,"3plus",IF(H112/G112&gt;='Score settings'!$E$16,"1.5to3",IF(H112/G112&gt;='Score settings'!$E$15,"0.5to1.5","positive"))),"None"),'Score settings'!$A$14:$C$43,2,FALSE)/'Score settings'!$B$7*'Score settings'!$C$7</x:f>
        <x:v>5</x:v>
      </x:c>
      <x:c r="Y112" s="41" t="n">
        <x:f>VLOOKUP("Waste|"&amp;R112,'Score settings'!$A$14:$C$43,2,FALSE)/'Score settings'!$B$8*'Score settings'!$C$8</x:f>
        <x:v>7</x:v>
      </x:c>
      <x:c r="Z112" s="41" t="n">
        <x:f>IF(B112="","",SUM(U112:Y112))</x:f>
        <x:v>72</x:v>
      </x:c>
      <x:c r="AA112" s="41" t="str">
        <x:f>IF(Z112="","Not scored",VLOOKUP(Z112,'Score settings'!$A$47:$C$50,2,TRUE))</x:f>
        <x:v>Protected</x:v>
      </x:c>
      <x:c r="AB112" s="41" t="n">
        <x:f>VLOOKUP("Priority|"&amp;O112,'Score settings'!$A$14:$C$43,3,FALSE)/'Score settings'!$B$4*'Score settings'!$D$4</x:f>
        <x:v>15</x:v>
      </x:c>
      <x:c r="AC112" s="41" t="n">
        <x:f>VLOOKUP("Category|"&amp;P112,'Score settings'!$A$14:$C$43,3,FALSE)/'Score settings'!$B$5*'Score settings'!$D$5</x:f>
        <x:v>10</x:v>
      </x:c>
      <x:c r="AD112" s="41" t="n">
        <x:f>VLOOKUP("Area|"&amp;Q112,'Score settings'!$A$14:$C$43,3,FALSE)/'Score settings'!$B$6*'Score settings'!$D$6</x:f>
        <x:v>10</x:v>
      </x:c>
      <x:c r="AE112" s="41" t="n">
        <x:f>VLOOKUP("Benefits|"&amp;IF(AND(ISNUMBER(K112),K112&gt;0,ISNUMBER(G112),G112&gt;0),IF(K112/G112&gt;='Score settings'!$E$17,"3plus",IF(K112/G112&gt;='Score settings'!$E$16,"1.5to3",IF(K112/G112&gt;='Score settings'!$E$15,"0.5to1.5","positive"))),"None"),'Score settings'!$A$14:$C$43,3,FALSE)/'Score settings'!$B$7*'Score settings'!$D$7</x:f>
        <x:v>0</x:v>
      </x:c>
      <x:c r="AF112" s="41" t="n">
        <x:f>VLOOKUP("Waste|"&amp;R112,'Score settings'!$A$14:$C$43,3,FALSE)/'Score settings'!$B$8*'Score settings'!$D$8</x:f>
        <x:v>0</x:v>
      </x:c>
      <x:c r="AG112" s="41" t="n">
        <x:f>(IF(AND(ISNUMBER(M112),M112&gt;0,ISNUMBER(G112),G112&gt;0),IF(M112/G112&gt;='Score settings'!$E$17,'Score settings'!$G$17,IF(M112/G112&gt;='Score settings'!$E$16,'Score settings'!$G$16,IF(M112/G112&gt;='Score settings'!$E$15,'Score settings'!$G$15,'Score settings'!$G$14))),0)/15*'Score settings'!$B$60+IFERROR(VLOOKUP(IF(ISNUMBER(N112),N112,IF(ISNUMBER(L112),L112,0)),'Score settings'!$E$22:$F$26,2,FALSE),0)/10*'Score settings'!$B$61)/'Score settings'!$B$9*'Score settings'!$D$9</x:f>
        <x:v>10</x:v>
      </x:c>
      <x:c r="AH112" s="41" t="n">
        <x:f>IF(B112="","",SUM(AB112:AG112))</x:f>
        <x:v>45</x:v>
      </x:c>
      <x:c r="AI112" s="41" t="str">
        <x:f>IF(NOT(ISNUMBER(AH112)),"Not scored",VLOOKUP(AH112,'Score settings'!$A$47:$C$50,3,TRUE))</x:f>
        <x:v>Strong</x:v>
      </x:c>
      <x:c r="AJ112" s="42" t="str">
        <x:f>IF(OR(NOT(ISNUMBER(AH112)),T112&lt;&gt;"Common pot"),"",COUNTIFS($T$4:$T$509,"Common pot",$AH$4:$AH$509,"&gt;"&amp;AH112)+1)</x:f>
      </x:c>
      <x:c r="AK112" s="36" t="str">
        <x:f>IF(B112="","Name missing - not scored",IF(OR(NOT(ISNUMBER(G112)),G112&lt;=0),"Investment missing or zero - review",IF(0=1,"Permanent ID missing - reconcile",IF(AND(ISNUMBER(H112),H112/G112&gt;='Score settings'!$B$58,NOT(ISNUMBER(I112))),"Benefit units need review",IF(OR(R112="EXIT",R112="CHALLENGE"),"Waste decision requires scope resolution",IF("Name and organisation matched"&lt;&gt;"Name and organisation matched","Waste evidence match needs review","Provisional source score - confirm evidence"))))))</x:f>
        <x:v>Provisional source score - confirm evidence</x:v>
      </x:c>
      <x:c r="AL112" s="36" t="n">
        <x:v>20</x:v>
      </x:c>
      <x:c r="AM112" s="40"/>
      <x:c r="AN112" s="39"/>
      <x:c r="AO112" s="40"/>
      <x:c r="AP112" s="40"/>
    </x:row>
    <x:row r="113" ht="15" hidden="0" customHeight="1">
      <x:c r="A113" s="36" t="str">
        <x:v>Bu-118</x:v>
      </x:c>
      <x:c r="B113" s="37" t="str">
        <x:v>Planisware/PARP, QlikSense/ADL, cPLM (Windchill)</x:v>
      </x:c>
      <x:c r="C113" s="36" t="str">
        <x:v>BU Led</x:v>
      </x:c>
      <x:c r="D113" s="36" t="str">
        <x:v>Image Guided Therapy - Systems (IGT-S)</x:v>
      </x:c>
      <x:c r="E113" s="38" t="n">
        <x:v>0.515</x:v>
      </x:c>
      <x:c r="F113" s="39"/>
      <x:c r="G113" s="38" t="n">
        <x:f>IF(ISNUMBER(F113),F113,IF(E113="","",E113))</x:f>
        <x:v>0.515</x:v>
      </x:c>
      <x:c r="H113" s="38" t="n">
        <x:v>1.723</x:v>
      </x:c>
      <x:c r="I113" s="39"/>
      <x:c r="J113" s="36" t="str">
        <x:v>Cash savings</x:v>
      </x:c>
      <x:c r="K113" s="38" t="n">
        <x:f>IF(ISNUMBER(I113),I113,IF(OR(NOT(ISNUMBER(H113)),NOT(ISNUMBER(G113)),G113&lt;=0),"",IF(H113/G113&gt;='Score settings'!$B$58,"",IF(J113="Cash savings",H113,IF(J113="Revenue",H113*'Score settings'!$B$55,"")))))</x:f>
        <x:v>1.723</x:v>
      </x:c>
      <x:c r="L113" s="36"/>
      <x:c r="M113" s="39"/>
      <x:c r="N113" s="40"/>
      <x:c r="O113" s="36" t="str">
        <x:v>Must Have</x:v>
      </x:c>
      <x:c r="P113" s="36" t="str">
        <x:v>NewFeat</x:v>
      </x:c>
      <x:c r="Q113" s="36" t="str">
        <x:v>Productivity</x:v>
      </x:c>
      <x:c r="R113" s="36" t="str">
        <x:v>NotAssessed</x:v>
      </x:c>
      <x:c r="S113" s="36" t="str"/>
      <x:c r="T113" s="36" t="str">
        <x:v>Common pot</x:v>
      </x:c>
      <x:c r="U113" s="41" t="n">
        <x:f>VLOOKUP("Priority|"&amp;O113,'Score settings'!$A$14:$C$43,2,FALSE)/'Score settings'!$B$4*'Score settings'!$C$4</x:f>
        <x:v>18</x:v>
      </x:c>
      <x:c r="V113" s="41" t="n">
        <x:f>VLOOKUP("Category|"&amp;P113,'Score settings'!$A$14:$C$43,2,FALSE)/'Score settings'!$B$5*'Score settings'!$C$5</x:f>
        <x:v>6</x:v>
      </x:c>
      <x:c r="W113" s="41" t="n">
        <x:f>VLOOKUP("Area|"&amp;Q113,'Score settings'!$A$14:$C$43,2,FALSE)/'Score settings'!$B$6*'Score settings'!$C$6</x:f>
        <x:v>10</x:v>
      </x:c>
      <x:c r="X113" s="41" t="n">
        <x:f>VLOOKUP("Benefits|"&amp;IF(AND(ISNUMBER(H113),H113&gt;0,ISNUMBER(G113),G113&gt;0),IF(H113/G113&gt;='Score settings'!$E$17,"3plus",IF(H113/G113&gt;='Score settings'!$E$16,"1.5to3",IF(H113/G113&gt;='Score settings'!$E$15,"0.5to1.5","positive"))),"None"),'Score settings'!$A$14:$C$43,2,FALSE)/'Score settings'!$B$7*'Score settings'!$C$7</x:f>
        <x:v>25</x:v>
      </x:c>
      <x:c r="Y113" s="41" t="n">
        <x:f>VLOOKUP("Waste|"&amp;R113,'Score settings'!$A$14:$C$43,2,FALSE)/'Score settings'!$B$8*'Score settings'!$C$8</x:f>
        <x:v>7</x:v>
      </x:c>
      <x:c r="Z113" s="41" t="n">
        <x:f>IF(B113="","",SUM(U113:Y113))</x:f>
        <x:v>66</x:v>
      </x:c>
      <x:c r="AA113" s="41" t="str">
        <x:f>IF(Z113="","Not scored",VLOOKUP(Z113,'Score settings'!$A$47:$C$50,2,TRUE))</x:f>
        <x:v>Protected</x:v>
      </x:c>
      <x:c r="AB113" s="41" t="n">
        <x:f>VLOOKUP("Priority|"&amp;O113,'Score settings'!$A$14:$C$43,3,FALSE)/'Score settings'!$B$4*'Score settings'!$D$4</x:f>
        <x:v>10.799999999999999</x:v>
      </x:c>
      <x:c r="AC113" s="41" t="n">
        <x:f>VLOOKUP("Category|"&amp;P113,'Score settings'!$A$14:$C$43,3,FALSE)/'Score settings'!$B$5*'Score settings'!$D$5</x:f>
        <x:v>3</x:v>
      </x:c>
      <x:c r="AD113" s="41" t="n">
        <x:f>VLOOKUP("Area|"&amp;Q113,'Score settings'!$A$14:$C$43,3,FALSE)/'Score settings'!$B$6*'Score settings'!$D$6</x:f>
        <x:v>6.666666666666666</x:v>
      </x:c>
      <x:c r="AE113" s="41" t="n">
        <x:f>VLOOKUP("Benefits|"&amp;IF(AND(ISNUMBER(K113),K113&gt;0,ISNUMBER(G113),G113&gt;0),IF(K113/G113&gt;='Score settings'!$E$17,"3plus",IF(K113/G113&gt;='Score settings'!$E$16,"1.5to3",IF(K113/G113&gt;='Score settings'!$E$15,"0.5to1.5","positive"))),"None"),'Score settings'!$A$14:$C$43,3,FALSE)/'Score settings'!$B$7*'Score settings'!$D$7</x:f>
        <x:v>30</x:v>
      </x:c>
      <x:c r="AF113" s="41" t="n">
        <x:f>VLOOKUP("Waste|"&amp;R113,'Score settings'!$A$14:$C$43,3,FALSE)/'Score settings'!$B$8*'Score settings'!$D$8</x:f>
        <x:v>0</x:v>
      </x:c>
      <x:c r="AG113" s="41" t="n">
        <x:f>(IF(AND(ISNUMBER(M113),M113&gt;0,ISNUMBER(G113),G113&gt;0),IF(M113/G113&gt;='Score settings'!$E$17,'Score settings'!$G$17,IF(M113/G113&gt;='Score settings'!$E$16,'Score settings'!$G$16,IF(M113/G113&gt;='Score settings'!$E$15,'Score settings'!$G$15,'Score settings'!$G$14))),0)/15*'Score settings'!$B$60+IFERROR(VLOOKUP(IF(ISNUMBER(N113),N113,IF(ISNUMBER(L113),L113,0)),'Score settings'!$E$22:$F$26,2,FALSE),0)/10*'Score settings'!$B$61)/'Score settings'!$B$9*'Score settings'!$D$9</x:f>
        <x:v>0</x:v>
      </x:c>
      <x:c r="AH113" s="41" t="n">
        <x:f>IF(B113="","",SUM(AB113:AG113))</x:f>
        <x:v>50.46666666666667</x:v>
      </x:c>
      <x:c r="AI113" s="41" t="str">
        <x:f>IF(NOT(ISNUMBER(AH113)),"Not scored",VLOOKUP(AH113,'Score settings'!$A$47:$C$50,3,TRUE))</x:f>
        <x:v>Strong</x:v>
      </x:c>
      <x:c r="AJ113" s="42" t="n">
        <x:f>IF(OR(NOT(ISNUMBER(AH113)),T113&lt;&gt;"Common pot"),"",COUNTIFS($T$4:$T$509,"Common pot",$AH$4:$AH$509,"&gt;"&amp;AH113)+1)</x:f>
        <x:v>45</x:v>
      </x:c>
      <x:c r="AK113" s="36" t="str">
        <x:f>IF(B113="","Name missing - not scored",IF(OR(NOT(ISNUMBER(G113)),G113&lt;=0),"Investment missing or zero - review",IF(0=1,"Permanent ID missing - reconcile",IF(AND(ISNUMBER(H113),H113/G113&gt;='Score settings'!$B$58,NOT(ISNUMBER(I113))),"Benefit units need review",IF(OR(R113="EXIT",R113="CHALLENGE"),"Waste decision requires scope resolution",IF("No exact waste match"&lt;&gt;"Name and organisation matched","Waste evidence match needs review","Provisional source score - confirm evidence"))))))</x:f>
        <x:v>Waste evidence match needs review</x:v>
      </x:c>
      <x:c r="AL113" s="36"/>
      <x:c r="AM113" s="40"/>
      <x:c r="AN113" s="39"/>
      <x:c r="AO113" s="40"/>
      <x:c r="AP113" s="40"/>
    </x:row>
    <x:row r="114" ht="15" hidden="0" customHeight="1">
      <x:c r="A114" s="36" t="str">
        <x:v>Bu-119</x:v>
      </x:c>
      <x:c r="B114" s="37" t="str"/>
      <x:c r="C114" s="36" t="str">
        <x:v>BU Led</x:v>
      </x:c>
      <x:c r="D114" s="36" t="str"/>
      <x:c r="E114" s="38"/>
      <x:c r="F114" s="39"/>
      <x:c r="G114" s="38" t="str">
        <x:f>IF(ISNUMBER(F114),F114,IF(E114="","",E114))</x:f>
      </x:c>
      <x:c r="H114" s="38"/>
      <x:c r="I114" s="39"/>
      <x:c r="J114" s="36" t="str">
        <x:v>Unclassified</x:v>
      </x:c>
      <x:c r="K114" s="38" t="str">
        <x:f>IF(ISNUMBER(I114),I114,IF(OR(NOT(ISNUMBER(H114)),NOT(ISNUMBER(G114)),G114&lt;=0),"",IF(H114/G114&gt;='Score settings'!$B$58,"",IF(J114="Cash savings",H114,IF(J114="Revenue",H114*'Score settings'!$B$55,"")))))</x:f>
      </x:c>
      <x:c r="L114" s="36"/>
      <x:c r="M114" s="39"/>
      <x:c r="N114" s="40"/>
      <x:c r="O114" s="36" t="str">
        <x:v>Blank</x:v>
      </x:c>
      <x:c r="P114" s="36" t="str">
        <x:v>Blank</x:v>
      </x:c>
      <x:c r="Q114" s="36" t="str">
        <x:v>Blank</x:v>
      </x:c>
      <x:c r="R114" s="36" t="str">
        <x:v>NotAssessed</x:v>
      </x:c>
      <x:c r="S114" s="36" t="str"/>
      <x:c r="T114" s="36" t="str">
        <x:v>Incomplete record</x:v>
      </x:c>
      <x:c r="U114" s="41" t="n">
        <x:f>VLOOKUP("Priority|"&amp;O114,'Score settings'!$A$14:$C$43,2,FALSE)/'Score settings'!$B$4*'Score settings'!$C$4</x:f>
        <x:v>10</x:v>
      </x:c>
      <x:c r="V114" s="41" t="n">
        <x:f>VLOOKUP("Category|"&amp;P114,'Score settings'!$A$14:$C$43,2,FALSE)/'Score settings'!$B$5*'Score settings'!$C$5</x:f>
        <x:v>4</x:v>
      </x:c>
      <x:c r="W114" s="41" t="n">
        <x:f>VLOOKUP("Area|"&amp;Q114,'Score settings'!$A$14:$C$43,2,FALSE)/'Score settings'!$B$6*'Score settings'!$C$6</x:f>
        <x:v>3</x:v>
      </x:c>
      <x:c r="X114" s="41" t="n">
        <x:f>VLOOKUP("Benefits|"&amp;IF(AND(ISNUMBER(H114),H114&gt;0,ISNUMBER(G114),G114&gt;0),IF(H114/G114&gt;='Score settings'!$E$17,"3plus",IF(H114/G114&gt;='Score settings'!$E$16,"1.5to3",IF(H114/G114&gt;='Score settings'!$E$15,"0.5to1.5","positive"))),"None"),'Score settings'!$A$14:$C$43,2,FALSE)/'Score settings'!$B$7*'Score settings'!$C$7</x:f>
        <x:v>5</x:v>
      </x:c>
      <x:c r="Y114" s="41" t="n">
        <x:f>VLOOKUP("Waste|"&amp;R114,'Score settings'!$A$14:$C$43,2,FALSE)/'Score settings'!$B$8*'Score settings'!$C$8</x:f>
        <x:v>7</x:v>
      </x:c>
      <x:c r="Z114" s="41" t="str">
        <x:f>IF(B114="","",SUM(U114:Y114))</x:f>
      </x:c>
      <x:c r="AA114" s="41" t="str">
        <x:f>IF(Z114="","Not scored",VLOOKUP(Z114,'Score settings'!$A$47:$C$50,2,TRUE))</x:f>
        <x:v>Not scored</x:v>
      </x:c>
      <x:c r="AB114" s="41" t="n">
        <x:f>VLOOKUP("Priority|"&amp;O114,'Score settings'!$A$14:$C$43,3,FALSE)/'Score settings'!$B$4*'Score settings'!$D$4</x:f>
        <x:v>0</x:v>
      </x:c>
      <x:c r="AC114" s="41" t="n">
        <x:f>VLOOKUP("Category|"&amp;P114,'Score settings'!$A$14:$C$43,3,FALSE)/'Score settings'!$B$5*'Score settings'!$D$5</x:f>
        <x:v>0</x:v>
      </x:c>
      <x:c r="AD114" s="41" t="n">
        <x:f>VLOOKUP("Area|"&amp;Q114,'Score settings'!$A$14:$C$43,3,FALSE)/'Score settings'!$B$6*'Score settings'!$D$6</x:f>
        <x:v>0</x:v>
      </x:c>
      <x:c r="AE114" s="41" t="n">
        <x:f>VLOOKUP("Benefits|"&amp;IF(AND(ISNUMBER(K114),K114&gt;0,ISNUMBER(G114),G114&gt;0),IF(K114/G114&gt;='Score settings'!$E$17,"3plus",IF(K114/G114&gt;='Score settings'!$E$16,"1.5to3",IF(K114/G114&gt;='Score settings'!$E$15,"0.5to1.5","positive"))),"None"),'Score settings'!$A$14:$C$43,3,FALSE)/'Score settings'!$B$7*'Score settings'!$D$7</x:f>
        <x:v>0</x:v>
      </x:c>
      <x:c r="AF114" s="41" t="n">
        <x:f>VLOOKUP("Waste|"&amp;R114,'Score settings'!$A$14:$C$43,3,FALSE)/'Score settings'!$B$8*'Score settings'!$D$8</x:f>
        <x:v>0</x:v>
      </x:c>
      <x:c r="AG114" s="41" t="n">
        <x:f>(IF(AND(ISNUMBER(M114),M114&gt;0,ISNUMBER(G114),G114&gt;0),IF(M114/G114&gt;='Score settings'!$E$17,'Score settings'!$G$17,IF(M114/G114&gt;='Score settings'!$E$16,'Score settings'!$G$16,IF(M114/G114&gt;='Score settings'!$E$15,'Score settings'!$G$15,'Score settings'!$G$14))),0)/15*'Score settings'!$B$60+IFERROR(VLOOKUP(IF(ISNUMBER(N114),N114,IF(ISNUMBER(L114),L114,0)),'Score settings'!$E$22:$F$26,2,FALSE),0)/10*'Score settings'!$B$61)/'Score settings'!$B$9*'Score settings'!$D$9</x:f>
        <x:v>0</x:v>
      </x:c>
      <x:c r="AH114" s="41" t="str">
        <x:f>IF(B114="","",SUM(AB114:AG114))</x:f>
      </x:c>
      <x:c r="AI114" s="41" t="str">
        <x:f>IF(NOT(ISNUMBER(AH114)),"Not scored",VLOOKUP(AH114,'Score settings'!$A$47:$C$50,3,TRUE))</x:f>
        <x:v>Not scored</x:v>
      </x:c>
      <x:c r="AJ114" s="42" t="str">
        <x:f>IF(OR(NOT(ISNUMBER(AH114)),T114&lt;&gt;"Common pot"),"",COUNTIFS($T$4:$T$509,"Common pot",$AH$4:$AH$509,"&gt;"&amp;AH114)+1)</x:f>
      </x:c>
      <x:c r="AK114" s="36" t="str">
        <x:f>IF(B114="","Name missing - not scored",IF(OR(NOT(ISNUMBER(G114)),G114&lt;=0),"Investment missing or zero - review",IF(0=1,"Permanent ID missing - reconcile",IF(AND(ISNUMBER(H114),H114/G114&gt;='Score settings'!$B$58,NOT(ISNUMBER(I114))),"Benefit units need review",IF(OR(R114="EXIT",R114="CHALLENGE"),"Waste decision requires scope resolution",IF("No exact waste match"&lt;&gt;"Name and organisation matched","Waste evidence match needs review","Provisional source score - confirm evidence"))))))</x:f>
        <x:v>Name missing - not scored</x:v>
      </x:c>
      <x:c r="AL114" s="36"/>
      <x:c r="AM114" s="40"/>
      <x:c r="AN114" s="39"/>
      <x:c r="AO114" s="40"/>
      <x:c r="AP114" s="40"/>
    </x:row>
    <x:row r="115" ht="15" hidden="0" customHeight="1">
      <x:c r="A115" s="36" t="str">
        <x:v>Bu-120</x:v>
      </x:c>
      <x:c r="B115" s="37" t="str"/>
      <x:c r="C115" s="36" t="str">
        <x:v>BU Led</x:v>
      </x:c>
      <x:c r="D115" s="36" t="str"/>
      <x:c r="E115" s="38"/>
      <x:c r="F115" s="39"/>
      <x:c r="G115" s="38" t="str">
        <x:f>IF(ISNUMBER(F115),F115,IF(E115="","",E115))</x:f>
      </x:c>
      <x:c r="H115" s="38"/>
      <x:c r="I115" s="39"/>
      <x:c r="J115" s="36" t="str">
        <x:v>Unclassified</x:v>
      </x:c>
      <x:c r="K115" s="38" t="str">
        <x:f>IF(ISNUMBER(I115),I115,IF(OR(NOT(ISNUMBER(H115)),NOT(ISNUMBER(G115)),G115&lt;=0),"",IF(H115/G115&gt;='Score settings'!$B$58,"",IF(J115="Cash savings",H115,IF(J115="Revenue",H115*'Score settings'!$B$55,"")))))</x:f>
      </x:c>
      <x:c r="L115" s="36"/>
      <x:c r="M115" s="39"/>
      <x:c r="N115" s="40"/>
      <x:c r="O115" s="36" t="str">
        <x:v>Blank</x:v>
      </x:c>
      <x:c r="P115" s="36" t="str">
        <x:v>Blank</x:v>
      </x:c>
      <x:c r="Q115" s="36" t="str">
        <x:v>Blank</x:v>
      </x:c>
      <x:c r="R115" s="36" t="str">
        <x:v>NotAssessed</x:v>
      </x:c>
      <x:c r="S115" s="36" t="str"/>
      <x:c r="T115" s="36" t="str">
        <x:v>Incomplete record</x:v>
      </x:c>
      <x:c r="U115" s="41" t="n">
        <x:f>VLOOKUP("Priority|"&amp;O115,'Score settings'!$A$14:$C$43,2,FALSE)/'Score settings'!$B$4*'Score settings'!$C$4</x:f>
        <x:v>10</x:v>
      </x:c>
      <x:c r="V115" s="41" t="n">
        <x:f>VLOOKUP("Category|"&amp;P115,'Score settings'!$A$14:$C$43,2,FALSE)/'Score settings'!$B$5*'Score settings'!$C$5</x:f>
        <x:v>4</x:v>
      </x:c>
      <x:c r="W115" s="41" t="n">
        <x:f>VLOOKUP("Area|"&amp;Q115,'Score settings'!$A$14:$C$43,2,FALSE)/'Score settings'!$B$6*'Score settings'!$C$6</x:f>
        <x:v>3</x:v>
      </x:c>
      <x:c r="X115" s="41" t="n">
        <x:f>VLOOKUP("Benefits|"&amp;IF(AND(ISNUMBER(H115),H115&gt;0,ISNUMBER(G115),G115&gt;0),IF(H115/G115&gt;='Score settings'!$E$17,"3plus",IF(H115/G115&gt;='Score settings'!$E$16,"1.5to3",IF(H115/G115&gt;='Score settings'!$E$15,"0.5to1.5","positive"))),"None"),'Score settings'!$A$14:$C$43,2,FALSE)/'Score settings'!$B$7*'Score settings'!$C$7</x:f>
        <x:v>5</x:v>
      </x:c>
      <x:c r="Y115" s="41" t="n">
        <x:f>VLOOKUP("Waste|"&amp;R115,'Score settings'!$A$14:$C$43,2,FALSE)/'Score settings'!$B$8*'Score settings'!$C$8</x:f>
        <x:v>7</x:v>
      </x:c>
      <x:c r="Z115" s="41" t="str">
        <x:f>IF(B115="","",SUM(U115:Y115))</x:f>
      </x:c>
      <x:c r="AA115" s="41" t="str">
        <x:f>IF(Z115="","Not scored",VLOOKUP(Z115,'Score settings'!$A$47:$C$50,2,TRUE))</x:f>
        <x:v>Not scored</x:v>
      </x:c>
      <x:c r="AB115" s="41" t="n">
        <x:f>VLOOKUP("Priority|"&amp;O115,'Score settings'!$A$14:$C$43,3,FALSE)/'Score settings'!$B$4*'Score settings'!$D$4</x:f>
        <x:v>0</x:v>
      </x:c>
      <x:c r="AC115" s="41" t="n">
        <x:f>VLOOKUP("Category|"&amp;P115,'Score settings'!$A$14:$C$43,3,FALSE)/'Score settings'!$B$5*'Score settings'!$D$5</x:f>
        <x:v>0</x:v>
      </x:c>
      <x:c r="AD115" s="41" t="n">
        <x:f>VLOOKUP("Area|"&amp;Q115,'Score settings'!$A$14:$C$43,3,FALSE)/'Score settings'!$B$6*'Score settings'!$D$6</x:f>
        <x:v>0</x:v>
      </x:c>
      <x:c r="AE115" s="41" t="n">
        <x:f>VLOOKUP("Benefits|"&amp;IF(AND(ISNUMBER(K115),K115&gt;0,ISNUMBER(G115),G115&gt;0),IF(K115/G115&gt;='Score settings'!$E$17,"3plus",IF(K115/G115&gt;='Score settings'!$E$16,"1.5to3",IF(K115/G115&gt;='Score settings'!$E$15,"0.5to1.5","positive"))),"None"),'Score settings'!$A$14:$C$43,3,FALSE)/'Score settings'!$B$7*'Score settings'!$D$7</x:f>
        <x:v>0</x:v>
      </x:c>
      <x:c r="AF115" s="41" t="n">
        <x:f>VLOOKUP("Waste|"&amp;R115,'Score settings'!$A$14:$C$43,3,FALSE)/'Score settings'!$B$8*'Score settings'!$D$8</x:f>
        <x:v>0</x:v>
      </x:c>
      <x:c r="AG115" s="41" t="n">
        <x:f>(IF(AND(ISNUMBER(M115),M115&gt;0,ISNUMBER(G115),G115&gt;0),IF(M115/G115&gt;='Score settings'!$E$17,'Score settings'!$G$17,IF(M115/G115&gt;='Score settings'!$E$16,'Score settings'!$G$16,IF(M115/G115&gt;='Score settings'!$E$15,'Score settings'!$G$15,'Score settings'!$G$14))),0)/15*'Score settings'!$B$60+IFERROR(VLOOKUP(IF(ISNUMBER(N115),N115,IF(ISNUMBER(L115),L115,0)),'Score settings'!$E$22:$F$26,2,FALSE),0)/10*'Score settings'!$B$61)/'Score settings'!$B$9*'Score settings'!$D$9</x:f>
        <x:v>0</x:v>
      </x:c>
      <x:c r="AH115" s="41" t="str">
        <x:f>IF(B115="","",SUM(AB115:AG115))</x:f>
      </x:c>
      <x:c r="AI115" s="41" t="str">
        <x:f>IF(NOT(ISNUMBER(AH115)),"Not scored",VLOOKUP(AH115,'Score settings'!$A$47:$C$50,3,TRUE))</x:f>
        <x:v>Not scored</x:v>
      </x:c>
      <x:c r="AJ115" s="42" t="str">
        <x:f>IF(OR(NOT(ISNUMBER(AH115)),T115&lt;&gt;"Common pot"),"",COUNTIFS($T$4:$T$509,"Common pot",$AH$4:$AH$509,"&gt;"&amp;AH115)+1)</x:f>
      </x:c>
      <x:c r="AK115" s="36" t="str">
        <x:f>IF(B115="","Name missing - not scored",IF(OR(NOT(ISNUMBER(G115)),G115&lt;=0),"Investment missing or zero - review",IF(0=1,"Permanent ID missing - reconcile",IF(AND(ISNUMBER(H115),H115/G115&gt;='Score settings'!$B$58,NOT(ISNUMBER(I115))),"Benefit units need review",IF(OR(R115="EXIT",R115="CHALLENGE"),"Waste decision requires scope resolution",IF("No exact waste match"&lt;&gt;"Name and organisation matched","Waste evidence match needs review","Provisional source score - confirm evidence"))))))</x:f>
        <x:v>Name missing - not scored</x:v>
      </x:c>
      <x:c r="AL115" s="36"/>
      <x:c r="AM115" s="40"/>
      <x:c r="AN115" s="39"/>
      <x:c r="AO115" s="40"/>
      <x:c r="AP115" s="40"/>
    </x:row>
    <x:row r="116" ht="15" hidden="0" customHeight="1">
      <x:c r="A116" s="36" t="str">
        <x:v>Bu-121</x:v>
      </x:c>
      <x:c r="B116" s="37" t="str"/>
      <x:c r="C116" s="36" t="str">
        <x:v>BU Led</x:v>
      </x:c>
      <x:c r="D116" s="36" t="str"/>
      <x:c r="E116" s="38"/>
      <x:c r="F116" s="39"/>
      <x:c r="G116" s="38" t="str">
        <x:f>IF(ISNUMBER(F116),F116,IF(E116="","",E116))</x:f>
      </x:c>
      <x:c r="H116" s="38"/>
      <x:c r="I116" s="39"/>
      <x:c r="J116" s="36" t="str">
        <x:v>Unclassified</x:v>
      </x:c>
      <x:c r="K116" s="38" t="str">
        <x:f>IF(ISNUMBER(I116),I116,IF(OR(NOT(ISNUMBER(H116)),NOT(ISNUMBER(G116)),G116&lt;=0),"",IF(H116/G116&gt;='Score settings'!$B$58,"",IF(J116="Cash savings",H116,IF(J116="Revenue",H116*'Score settings'!$B$55,"")))))</x:f>
      </x:c>
      <x:c r="L116" s="36"/>
      <x:c r="M116" s="39"/>
      <x:c r="N116" s="40"/>
      <x:c r="O116" s="36" t="str">
        <x:v>Blank</x:v>
      </x:c>
      <x:c r="P116" s="36" t="str">
        <x:v>Blank</x:v>
      </x:c>
      <x:c r="Q116" s="36" t="str">
        <x:v>Blank</x:v>
      </x:c>
      <x:c r="R116" s="36" t="str">
        <x:v>NotAssessed</x:v>
      </x:c>
      <x:c r="S116" s="36" t="str"/>
      <x:c r="T116" s="36" t="str">
        <x:v>Incomplete record</x:v>
      </x:c>
      <x:c r="U116" s="41" t="n">
        <x:f>VLOOKUP("Priority|"&amp;O116,'Score settings'!$A$14:$C$43,2,FALSE)/'Score settings'!$B$4*'Score settings'!$C$4</x:f>
        <x:v>10</x:v>
      </x:c>
      <x:c r="V116" s="41" t="n">
        <x:f>VLOOKUP("Category|"&amp;P116,'Score settings'!$A$14:$C$43,2,FALSE)/'Score settings'!$B$5*'Score settings'!$C$5</x:f>
        <x:v>4</x:v>
      </x:c>
      <x:c r="W116" s="41" t="n">
        <x:f>VLOOKUP("Area|"&amp;Q116,'Score settings'!$A$14:$C$43,2,FALSE)/'Score settings'!$B$6*'Score settings'!$C$6</x:f>
        <x:v>3</x:v>
      </x:c>
      <x:c r="X116" s="41" t="n">
        <x:f>VLOOKUP("Benefits|"&amp;IF(AND(ISNUMBER(H116),H116&gt;0,ISNUMBER(G116),G116&gt;0),IF(H116/G116&gt;='Score settings'!$E$17,"3plus",IF(H116/G116&gt;='Score settings'!$E$16,"1.5to3",IF(H116/G116&gt;='Score settings'!$E$15,"0.5to1.5","positive"))),"None"),'Score settings'!$A$14:$C$43,2,FALSE)/'Score settings'!$B$7*'Score settings'!$C$7</x:f>
        <x:v>5</x:v>
      </x:c>
      <x:c r="Y116" s="41" t="n">
        <x:f>VLOOKUP("Waste|"&amp;R116,'Score settings'!$A$14:$C$43,2,FALSE)/'Score settings'!$B$8*'Score settings'!$C$8</x:f>
        <x:v>7</x:v>
      </x:c>
      <x:c r="Z116" s="41" t="str">
        <x:f>IF(B116="","",SUM(U116:Y116))</x:f>
      </x:c>
      <x:c r="AA116" s="41" t="str">
        <x:f>IF(Z116="","Not scored",VLOOKUP(Z116,'Score settings'!$A$47:$C$50,2,TRUE))</x:f>
        <x:v>Not scored</x:v>
      </x:c>
      <x:c r="AB116" s="41" t="n">
        <x:f>VLOOKUP("Priority|"&amp;O116,'Score settings'!$A$14:$C$43,3,FALSE)/'Score settings'!$B$4*'Score settings'!$D$4</x:f>
        <x:v>0</x:v>
      </x:c>
      <x:c r="AC116" s="41" t="n">
        <x:f>VLOOKUP("Category|"&amp;P116,'Score settings'!$A$14:$C$43,3,FALSE)/'Score settings'!$B$5*'Score settings'!$D$5</x:f>
        <x:v>0</x:v>
      </x:c>
      <x:c r="AD116" s="41" t="n">
        <x:f>VLOOKUP("Area|"&amp;Q116,'Score settings'!$A$14:$C$43,3,FALSE)/'Score settings'!$B$6*'Score settings'!$D$6</x:f>
        <x:v>0</x:v>
      </x:c>
      <x:c r="AE116" s="41" t="n">
        <x:f>VLOOKUP("Benefits|"&amp;IF(AND(ISNUMBER(K116),K116&gt;0,ISNUMBER(G116),G116&gt;0),IF(K116/G116&gt;='Score settings'!$E$17,"3plus",IF(K116/G116&gt;='Score settings'!$E$16,"1.5to3",IF(K116/G116&gt;='Score settings'!$E$15,"0.5to1.5","positive"))),"None"),'Score settings'!$A$14:$C$43,3,FALSE)/'Score settings'!$B$7*'Score settings'!$D$7</x:f>
        <x:v>0</x:v>
      </x:c>
      <x:c r="AF116" s="41" t="n">
        <x:f>VLOOKUP("Waste|"&amp;R116,'Score settings'!$A$14:$C$43,3,FALSE)/'Score settings'!$B$8*'Score settings'!$D$8</x:f>
        <x:v>0</x:v>
      </x:c>
      <x:c r="AG116" s="41" t="n">
        <x:f>(IF(AND(ISNUMBER(M116),M116&gt;0,ISNUMBER(G116),G116&gt;0),IF(M116/G116&gt;='Score settings'!$E$17,'Score settings'!$G$17,IF(M116/G116&gt;='Score settings'!$E$16,'Score settings'!$G$16,IF(M116/G116&gt;='Score settings'!$E$15,'Score settings'!$G$15,'Score settings'!$G$14))),0)/15*'Score settings'!$B$60+IFERROR(VLOOKUP(IF(ISNUMBER(N116),N116,IF(ISNUMBER(L116),L116,0)),'Score settings'!$E$22:$F$26,2,FALSE),0)/10*'Score settings'!$B$61)/'Score settings'!$B$9*'Score settings'!$D$9</x:f>
        <x:v>0</x:v>
      </x:c>
      <x:c r="AH116" s="41" t="str">
        <x:f>IF(B116="","",SUM(AB116:AG116))</x:f>
      </x:c>
      <x:c r="AI116" s="41" t="str">
        <x:f>IF(NOT(ISNUMBER(AH116)),"Not scored",VLOOKUP(AH116,'Score settings'!$A$47:$C$50,3,TRUE))</x:f>
        <x:v>Not scored</x:v>
      </x:c>
      <x:c r="AJ116" s="42" t="str">
        <x:f>IF(OR(NOT(ISNUMBER(AH116)),T116&lt;&gt;"Common pot"),"",COUNTIFS($T$4:$T$509,"Common pot",$AH$4:$AH$509,"&gt;"&amp;AH116)+1)</x:f>
      </x:c>
      <x:c r="AK116" s="36" t="str">
        <x:f>IF(B116="","Name missing - not scored",IF(OR(NOT(ISNUMBER(G116)),G116&lt;=0),"Investment missing or zero - review",IF(0=1,"Permanent ID missing - reconcile",IF(AND(ISNUMBER(H116),H116/G116&gt;='Score settings'!$B$58,NOT(ISNUMBER(I116))),"Benefit units need review",IF(OR(R116="EXIT",R116="CHALLENGE"),"Waste decision requires scope resolution",IF("No exact waste match"&lt;&gt;"Name and organisation matched","Waste evidence match needs review","Provisional source score - confirm evidence"))))))</x:f>
        <x:v>Name missing - not scored</x:v>
      </x:c>
      <x:c r="AL116" s="36"/>
      <x:c r="AM116" s="40"/>
      <x:c r="AN116" s="39"/>
      <x:c r="AO116" s="40"/>
      <x:c r="AP116" s="40"/>
    </x:row>
    <x:row r="117" ht="15" hidden="0" customHeight="1">
      <x:c r="A117" s="36" t="str">
        <x:v>Bu-122</x:v>
      </x:c>
      <x:c r="B117" s="37" t="str"/>
      <x:c r="C117" s="36" t="str">
        <x:v>BU Led</x:v>
      </x:c>
      <x:c r="D117" s="36" t="str">
        <x:v>Service Transformation Office (STO)</x:v>
      </x:c>
      <x:c r="E117" s="38"/>
      <x:c r="F117" s="39"/>
      <x:c r="G117" s="38" t="str">
        <x:f>IF(ISNUMBER(F117),F117,IF(E117="","",E117))</x:f>
      </x:c>
      <x:c r="H117" s="38"/>
      <x:c r="I117" s="39"/>
      <x:c r="J117" s="36" t="str">
        <x:v>Unclassified</x:v>
      </x:c>
      <x:c r="K117" s="38" t="str">
        <x:f>IF(ISNUMBER(I117),I117,IF(OR(NOT(ISNUMBER(H117)),NOT(ISNUMBER(G117)),G117&lt;=0),"",IF(H117/G117&gt;='Score settings'!$B$58,"",IF(J117="Cash savings",H117,IF(J117="Revenue",H117*'Score settings'!$B$55,"")))))</x:f>
      </x:c>
      <x:c r="L117" s="36"/>
      <x:c r="M117" s="39"/>
      <x:c r="N117" s="40"/>
      <x:c r="O117" s="36" t="str">
        <x:v>Blank</x:v>
      </x:c>
      <x:c r="P117" s="36" t="str">
        <x:v>Blank</x:v>
      </x:c>
      <x:c r="Q117" s="36" t="str">
        <x:v>Blank</x:v>
      </x:c>
      <x:c r="R117" s="36" t="str">
        <x:v>NotAssessed</x:v>
      </x:c>
      <x:c r="S117" s="36" t="str"/>
      <x:c r="T117" s="36" t="str">
        <x:v>Incomplete record</x:v>
      </x:c>
      <x:c r="U117" s="41" t="n">
        <x:f>VLOOKUP("Priority|"&amp;O117,'Score settings'!$A$14:$C$43,2,FALSE)/'Score settings'!$B$4*'Score settings'!$C$4</x:f>
        <x:v>10</x:v>
      </x:c>
      <x:c r="V117" s="41" t="n">
        <x:f>VLOOKUP("Category|"&amp;P117,'Score settings'!$A$14:$C$43,2,FALSE)/'Score settings'!$B$5*'Score settings'!$C$5</x:f>
        <x:v>4</x:v>
      </x:c>
      <x:c r="W117" s="41" t="n">
        <x:f>VLOOKUP("Area|"&amp;Q117,'Score settings'!$A$14:$C$43,2,FALSE)/'Score settings'!$B$6*'Score settings'!$C$6</x:f>
        <x:v>3</x:v>
      </x:c>
      <x:c r="X117" s="41" t="n">
        <x:f>VLOOKUP("Benefits|"&amp;IF(AND(ISNUMBER(H117),H117&gt;0,ISNUMBER(G117),G117&gt;0),IF(H117/G117&gt;='Score settings'!$E$17,"3plus",IF(H117/G117&gt;='Score settings'!$E$16,"1.5to3",IF(H117/G117&gt;='Score settings'!$E$15,"0.5to1.5","positive"))),"None"),'Score settings'!$A$14:$C$43,2,FALSE)/'Score settings'!$B$7*'Score settings'!$C$7</x:f>
        <x:v>5</x:v>
      </x:c>
      <x:c r="Y117" s="41" t="n">
        <x:f>VLOOKUP("Waste|"&amp;R117,'Score settings'!$A$14:$C$43,2,FALSE)/'Score settings'!$B$8*'Score settings'!$C$8</x:f>
        <x:v>7</x:v>
      </x:c>
      <x:c r="Z117" s="41" t="str">
        <x:f>IF(B117="","",SUM(U117:Y117))</x:f>
      </x:c>
      <x:c r="AA117" s="41" t="str">
        <x:f>IF(Z117="","Not scored",VLOOKUP(Z117,'Score settings'!$A$47:$C$50,2,TRUE))</x:f>
        <x:v>Not scored</x:v>
      </x:c>
      <x:c r="AB117" s="41" t="n">
        <x:f>VLOOKUP("Priority|"&amp;O117,'Score settings'!$A$14:$C$43,3,FALSE)/'Score settings'!$B$4*'Score settings'!$D$4</x:f>
        <x:v>0</x:v>
      </x:c>
      <x:c r="AC117" s="41" t="n">
        <x:f>VLOOKUP("Category|"&amp;P117,'Score settings'!$A$14:$C$43,3,FALSE)/'Score settings'!$B$5*'Score settings'!$D$5</x:f>
        <x:v>0</x:v>
      </x:c>
      <x:c r="AD117" s="41" t="n">
        <x:f>VLOOKUP("Area|"&amp;Q117,'Score settings'!$A$14:$C$43,3,FALSE)/'Score settings'!$B$6*'Score settings'!$D$6</x:f>
        <x:v>0</x:v>
      </x:c>
      <x:c r="AE117" s="41" t="n">
        <x:f>VLOOKUP("Benefits|"&amp;IF(AND(ISNUMBER(K117),K117&gt;0,ISNUMBER(G117),G117&gt;0),IF(K117/G117&gt;='Score settings'!$E$17,"3plus",IF(K117/G117&gt;='Score settings'!$E$16,"1.5to3",IF(K117/G117&gt;='Score settings'!$E$15,"0.5to1.5","positive"))),"None"),'Score settings'!$A$14:$C$43,3,FALSE)/'Score settings'!$B$7*'Score settings'!$D$7</x:f>
        <x:v>0</x:v>
      </x:c>
      <x:c r="AF117" s="41" t="n">
        <x:f>VLOOKUP("Waste|"&amp;R117,'Score settings'!$A$14:$C$43,3,FALSE)/'Score settings'!$B$8*'Score settings'!$D$8</x:f>
        <x:v>0</x:v>
      </x:c>
      <x:c r="AG117" s="41" t="n">
        <x:f>(IF(AND(ISNUMBER(M117),M117&gt;0,ISNUMBER(G117),G117&gt;0),IF(M117/G117&gt;='Score settings'!$E$17,'Score settings'!$G$17,IF(M117/G117&gt;='Score settings'!$E$16,'Score settings'!$G$16,IF(M117/G117&gt;='Score settings'!$E$15,'Score settings'!$G$15,'Score settings'!$G$14))),0)/15*'Score settings'!$B$60+IFERROR(VLOOKUP(IF(ISNUMBER(N117),N117,IF(ISNUMBER(L117),L117,0)),'Score settings'!$E$22:$F$26,2,FALSE),0)/10*'Score settings'!$B$61)/'Score settings'!$B$9*'Score settings'!$D$9</x:f>
        <x:v>0</x:v>
      </x:c>
      <x:c r="AH117" s="41" t="str">
        <x:f>IF(B117="","",SUM(AB117:AG117))</x:f>
      </x:c>
      <x:c r="AI117" s="41" t="str">
        <x:f>IF(NOT(ISNUMBER(AH117)),"Not scored",VLOOKUP(AH117,'Score settings'!$A$47:$C$50,3,TRUE))</x:f>
        <x:v>Not scored</x:v>
      </x:c>
      <x:c r="AJ117" s="42" t="str">
        <x:f>IF(OR(NOT(ISNUMBER(AH117)),T117&lt;&gt;"Common pot"),"",COUNTIFS($T$4:$T$509,"Common pot",$AH$4:$AH$509,"&gt;"&amp;AH117)+1)</x:f>
      </x:c>
      <x:c r="AK117" s="36" t="str">
        <x:f>IF(B117="","Name missing - not scored",IF(OR(NOT(ISNUMBER(G117)),G117&lt;=0),"Investment missing or zero - review",IF(0=1,"Permanent ID missing - reconcile",IF(AND(ISNUMBER(H117),H117/G117&gt;='Score settings'!$B$58,NOT(ISNUMBER(I117))),"Benefit units need review",IF(OR(R117="EXIT",R117="CHALLENGE"),"Waste decision requires scope resolution",IF("No exact waste match"&lt;&gt;"Name and organisation matched","Waste evidence match needs review","Provisional source score - confirm evidence"))))))</x:f>
        <x:v>Name missing - not scored</x:v>
      </x:c>
      <x:c r="AL117" s="36"/>
      <x:c r="AM117" s="40"/>
      <x:c r="AN117" s="39"/>
      <x:c r="AO117" s="40"/>
      <x:c r="AP117" s="40"/>
    </x:row>
    <x:row r="118" ht="15" hidden="0" customHeight="1">
      <x:c r="A118" s="36" t="str">
        <x:v>Bu-123</x:v>
      </x:c>
      <x:c r="B118" s="37" t="str">
        <x:v>TrueContext replacement</x:v>
      </x:c>
      <x:c r="C118" s="36" t="str">
        <x:v>BU Led</x:v>
      </x:c>
      <x:c r="D118" s="36" t="str">
        <x:v>Service Transformation Office (STO)</x:v>
      </x:c>
      <x:c r="E118" s="38" t="n">
        <x:v>0.7</x:v>
      </x:c>
      <x:c r="F118" s="39"/>
      <x:c r="G118" s="38" t="n">
        <x:f>IF(ISNUMBER(F118),F118,IF(E118="","",E118))</x:f>
        <x:v>0.7</x:v>
      </x:c>
      <x:c r="H118" s="38"/>
      <x:c r="I118" s="39"/>
      <x:c r="J118" s="36" t="str">
        <x:v>Unclassified</x:v>
      </x:c>
      <x:c r="K118" s="38" t="str">
        <x:f>IF(ISNUMBER(I118),I118,IF(OR(NOT(ISNUMBER(H118)),NOT(ISNUMBER(G118)),G118&lt;=0),"",IF(H118/G118&gt;='Score settings'!$B$58,"",IF(J118="Cash savings",H118,IF(J118="Revenue",H118*'Score settings'!$B$55,"")))))</x:f>
      </x:c>
      <x:c r="L118" s="36"/>
      <x:c r="M118" s="39"/>
      <x:c r="N118" s="40"/>
      <x:c r="O118" s="36" t="str">
        <x:v>Blank</x:v>
      </x:c>
      <x:c r="P118" s="36" t="str">
        <x:v>Decomm</x:v>
      </x:c>
      <x:c r="Q118" s="36" t="str">
        <x:v>Blank</x:v>
      </x:c>
      <x:c r="R118" s="36" t="str">
        <x:v>NotAssessed</x:v>
      </x:c>
      <x:c r="S118" s="36" t="str"/>
      <x:c r="T118" s="36" t="str">
        <x:v>Common pot</x:v>
      </x:c>
      <x:c r="U118" s="41" t="n">
        <x:f>VLOOKUP("Priority|"&amp;O118,'Score settings'!$A$14:$C$43,2,FALSE)/'Score settings'!$B$4*'Score settings'!$C$4</x:f>
        <x:v>10</x:v>
      </x:c>
      <x:c r="V118" s="41" t="n">
        <x:f>VLOOKUP("Category|"&amp;P118,'Score settings'!$A$14:$C$43,2,FALSE)/'Score settings'!$B$5*'Score settings'!$C$5</x:f>
        <x:v>17</x:v>
      </x:c>
      <x:c r="W118" s="41" t="n">
        <x:f>VLOOKUP("Area|"&amp;Q118,'Score settings'!$A$14:$C$43,2,FALSE)/'Score settings'!$B$6*'Score settings'!$C$6</x:f>
        <x:v>3</x:v>
      </x:c>
      <x:c r="X118" s="41" t="n">
        <x:f>VLOOKUP("Benefits|"&amp;IF(AND(ISNUMBER(H118),H118&gt;0,ISNUMBER(G118),G118&gt;0),IF(H118/G118&gt;='Score settings'!$E$17,"3plus",IF(H118/G118&gt;='Score settings'!$E$16,"1.5to3",IF(H118/G118&gt;='Score settings'!$E$15,"0.5to1.5","positive"))),"None"),'Score settings'!$A$14:$C$43,2,FALSE)/'Score settings'!$B$7*'Score settings'!$C$7</x:f>
        <x:v>5</x:v>
      </x:c>
      <x:c r="Y118" s="41" t="n">
        <x:f>VLOOKUP("Waste|"&amp;R118,'Score settings'!$A$14:$C$43,2,FALSE)/'Score settings'!$B$8*'Score settings'!$C$8</x:f>
        <x:v>7</x:v>
      </x:c>
      <x:c r="Z118" s="41" t="n">
        <x:f>IF(B118="","",SUM(U118:Y118))</x:f>
        <x:v>42</x:v>
      </x:c>
      <x:c r="AA118" s="41" t="str">
        <x:f>IF(Z118="","Not scored",VLOOKUP(Z118,'Score settings'!$A$47:$C$50,2,TRUE))</x:f>
        <x:v>Discretionary</x:v>
      </x:c>
      <x:c r="AB118" s="41" t="n">
        <x:f>VLOOKUP("Priority|"&amp;O118,'Score settings'!$A$14:$C$43,3,FALSE)/'Score settings'!$B$4*'Score settings'!$D$4</x:f>
        <x:v>0</x:v>
      </x:c>
      <x:c r="AC118" s="41" t="n">
        <x:f>VLOOKUP("Category|"&amp;P118,'Score settings'!$A$14:$C$43,3,FALSE)/'Score settings'!$B$5*'Score settings'!$D$5</x:f>
        <x:v>8.5</x:v>
      </x:c>
      <x:c r="AD118" s="41" t="n">
        <x:f>VLOOKUP("Area|"&amp;Q118,'Score settings'!$A$14:$C$43,3,FALSE)/'Score settings'!$B$6*'Score settings'!$D$6</x:f>
        <x:v>0</x:v>
      </x:c>
      <x:c r="AE118" s="41" t="n">
        <x:f>VLOOKUP("Benefits|"&amp;IF(AND(ISNUMBER(K118),K118&gt;0,ISNUMBER(G118),G118&gt;0),IF(K118/G118&gt;='Score settings'!$E$17,"3plus",IF(K118/G118&gt;='Score settings'!$E$16,"1.5to3",IF(K118/G118&gt;='Score settings'!$E$15,"0.5to1.5","positive"))),"None"),'Score settings'!$A$14:$C$43,3,FALSE)/'Score settings'!$B$7*'Score settings'!$D$7</x:f>
        <x:v>0</x:v>
      </x:c>
      <x:c r="AF118" s="41" t="n">
        <x:f>VLOOKUP("Waste|"&amp;R118,'Score settings'!$A$14:$C$43,3,FALSE)/'Score settings'!$B$8*'Score settings'!$D$8</x:f>
        <x:v>0</x:v>
      </x:c>
      <x:c r="AG118" s="41" t="n">
        <x:f>(IF(AND(ISNUMBER(M118),M118&gt;0,ISNUMBER(G118),G118&gt;0),IF(M118/G118&gt;='Score settings'!$E$17,'Score settings'!$G$17,IF(M118/G118&gt;='Score settings'!$E$16,'Score settings'!$G$16,IF(M118/G118&gt;='Score settings'!$E$15,'Score settings'!$G$15,'Score settings'!$G$14))),0)/15*'Score settings'!$B$60+IFERROR(VLOOKUP(IF(ISNUMBER(N118),N118,IF(ISNUMBER(L118),L118,0)),'Score settings'!$E$22:$F$26,2,FALSE),0)/10*'Score settings'!$B$61)/'Score settings'!$B$9*'Score settings'!$D$9</x:f>
        <x:v>0</x:v>
      </x:c>
      <x:c r="AH118" s="41" t="n">
        <x:f>IF(B118="","",SUM(AB118:AG118))</x:f>
        <x:v>8.5</x:v>
      </x:c>
      <x:c r="AI118" s="41" t="str">
        <x:f>IF(NOT(ISNUMBER(AH118)),"Not scored",VLOOKUP(AH118,'Score settings'!$A$47:$C$50,3,TRUE))</x:f>
        <x:v>Weak</x:v>
      </x:c>
      <x:c r="AJ118" s="42" t="n">
        <x:f>IF(OR(NOT(ISNUMBER(AH118)),T118&lt;&gt;"Common pot"),"",COUNTIFS($T$4:$T$509,"Common pot",$AH$4:$AH$509,"&gt;"&amp;AH118)+1)</x:f>
        <x:v>394</x:v>
      </x:c>
      <x:c r="AK118" s="36" t="str">
        <x:f>IF(B118="","Name missing - not scored",IF(OR(NOT(ISNUMBER(G118)),G118&lt;=0),"Investment missing or zero - review",IF(0=1,"Permanent ID missing - reconcile",IF(AND(ISNUMBER(H118),H118/G118&gt;='Score settings'!$B$58,NOT(ISNUMBER(I118))),"Benefit units need review",IF(OR(R118="EXIT",R118="CHALLENGE"),"Waste decision requires scope resolution",IF("Name and organisation matched"&lt;&gt;"Name and organisation matched","Waste evidence match needs review","Provisional source score - confirm evidence"))))))</x:f>
        <x:v>Provisional source score - confirm evidence</x:v>
      </x:c>
      <x:c r="AL118" s="36"/>
      <x:c r="AM118" s="40"/>
      <x:c r="AN118" s="39"/>
      <x:c r="AO118" s="40"/>
      <x:c r="AP118" s="40"/>
    </x:row>
    <x:row r="119" ht="15" hidden="0" customHeight="1">
      <x:c r="A119" s="36" t="str">
        <x:v>Bu-124</x:v>
      </x:c>
      <x:c r="B119" s="37" t="str">
        <x:v>Decisions replacement</x:v>
      </x:c>
      <x:c r="C119" s="36" t="str">
        <x:v>BU Led</x:v>
      </x:c>
      <x:c r="D119" s="36" t="str">
        <x:v>Service Transformation Office (STO)</x:v>
      </x:c>
      <x:c r="E119" s="38" t="n">
        <x:v>0.1</x:v>
      </x:c>
      <x:c r="F119" s="39"/>
      <x:c r="G119" s="38" t="n">
        <x:f>IF(ISNUMBER(F119),F119,IF(E119="","",E119))</x:f>
        <x:v>0.1</x:v>
      </x:c>
      <x:c r="H119" s="38"/>
      <x:c r="I119" s="39"/>
      <x:c r="J119" s="36" t="str">
        <x:v>Unclassified</x:v>
      </x:c>
      <x:c r="K119" s="38" t="str">
        <x:f>IF(ISNUMBER(I119),I119,IF(OR(NOT(ISNUMBER(H119)),NOT(ISNUMBER(G119)),G119&lt;=0),"",IF(H119/G119&gt;='Score settings'!$B$58,"",IF(J119="Cash savings",H119,IF(J119="Revenue",H119*'Score settings'!$B$55,"")))))</x:f>
      </x:c>
      <x:c r="L119" s="36"/>
      <x:c r="M119" s="39"/>
      <x:c r="N119" s="40"/>
      <x:c r="O119" s="36" t="str">
        <x:v>Blank</x:v>
      </x:c>
      <x:c r="P119" s="36" t="str">
        <x:v>Decomm</x:v>
      </x:c>
      <x:c r="Q119" s="36" t="str">
        <x:v>Blank</x:v>
      </x:c>
      <x:c r="R119" s="36" t="str">
        <x:v>NotAssessed</x:v>
      </x:c>
      <x:c r="S119" s="36" t="str"/>
      <x:c r="T119" s="36" t="str">
        <x:v>Common pot</x:v>
      </x:c>
      <x:c r="U119" s="41" t="n">
        <x:f>VLOOKUP("Priority|"&amp;O119,'Score settings'!$A$14:$C$43,2,FALSE)/'Score settings'!$B$4*'Score settings'!$C$4</x:f>
        <x:v>10</x:v>
      </x:c>
      <x:c r="V119" s="41" t="n">
        <x:f>VLOOKUP("Category|"&amp;P119,'Score settings'!$A$14:$C$43,2,FALSE)/'Score settings'!$B$5*'Score settings'!$C$5</x:f>
        <x:v>17</x:v>
      </x:c>
      <x:c r="W119" s="41" t="n">
        <x:f>VLOOKUP("Area|"&amp;Q119,'Score settings'!$A$14:$C$43,2,FALSE)/'Score settings'!$B$6*'Score settings'!$C$6</x:f>
        <x:v>3</x:v>
      </x:c>
      <x:c r="X119" s="41" t="n">
        <x:f>VLOOKUP("Benefits|"&amp;IF(AND(ISNUMBER(H119),H119&gt;0,ISNUMBER(G119),G119&gt;0),IF(H119/G119&gt;='Score settings'!$E$17,"3plus",IF(H119/G119&gt;='Score settings'!$E$16,"1.5to3",IF(H119/G119&gt;='Score settings'!$E$15,"0.5to1.5","positive"))),"None"),'Score settings'!$A$14:$C$43,2,FALSE)/'Score settings'!$B$7*'Score settings'!$C$7</x:f>
        <x:v>5</x:v>
      </x:c>
      <x:c r="Y119" s="41" t="n">
        <x:f>VLOOKUP("Waste|"&amp;R119,'Score settings'!$A$14:$C$43,2,FALSE)/'Score settings'!$B$8*'Score settings'!$C$8</x:f>
        <x:v>7</x:v>
      </x:c>
      <x:c r="Z119" s="41" t="n">
        <x:f>IF(B119="","",SUM(U119:Y119))</x:f>
        <x:v>42</x:v>
      </x:c>
      <x:c r="AA119" s="41" t="str">
        <x:f>IF(Z119="","Not scored",VLOOKUP(Z119,'Score settings'!$A$47:$C$50,2,TRUE))</x:f>
        <x:v>Discretionary</x:v>
      </x:c>
      <x:c r="AB119" s="41" t="n">
        <x:f>VLOOKUP("Priority|"&amp;O119,'Score settings'!$A$14:$C$43,3,FALSE)/'Score settings'!$B$4*'Score settings'!$D$4</x:f>
        <x:v>0</x:v>
      </x:c>
      <x:c r="AC119" s="41" t="n">
        <x:f>VLOOKUP("Category|"&amp;P119,'Score settings'!$A$14:$C$43,3,FALSE)/'Score settings'!$B$5*'Score settings'!$D$5</x:f>
        <x:v>8.5</x:v>
      </x:c>
      <x:c r="AD119" s="41" t="n">
        <x:f>VLOOKUP("Area|"&amp;Q119,'Score settings'!$A$14:$C$43,3,FALSE)/'Score settings'!$B$6*'Score settings'!$D$6</x:f>
        <x:v>0</x:v>
      </x:c>
      <x:c r="AE119" s="41" t="n">
        <x:f>VLOOKUP("Benefits|"&amp;IF(AND(ISNUMBER(K119),K119&gt;0,ISNUMBER(G119),G119&gt;0),IF(K119/G119&gt;='Score settings'!$E$17,"3plus",IF(K119/G119&gt;='Score settings'!$E$16,"1.5to3",IF(K119/G119&gt;='Score settings'!$E$15,"0.5to1.5","positive"))),"None"),'Score settings'!$A$14:$C$43,3,FALSE)/'Score settings'!$B$7*'Score settings'!$D$7</x:f>
        <x:v>0</x:v>
      </x:c>
      <x:c r="AF119" s="41" t="n">
        <x:f>VLOOKUP("Waste|"&amp;R119,'Score settings'!$A$14:$C$43,3,FALSE)/'Score settings'!$B$8*'Score settings'!$D$8</x:f>
        <x:v>0</x:v>
      </x:c>
      <x:c r="AG119" s="41" t="n">
        <x:f>(IF(AND(ISNUMBER(M119),M119&gt;0,ISNUMBER(G119),G119&gt;0),IF(M119/G119&gt;='Score settings'!$E$17,'Score settings'!$G$17,IF(M119/G119&gt;='Score settings'!$E$16,'Score settings'!$G$16,IF(M119/G119&gt;='Score settings'!$E$15,'Score settings'!$G$15,'Score settings'!$G$14))),0)/15*'Score settings'!$B$60+IFERROR(VLOOKUP(IF(ISNUMBER(N119),N119,IF(ISNUMBER(L119),L119,0)),'Score settings'!$E$22:$F$26,2,FALSE),0)/10*'Score settings'!$B$61)/'Score settings'!$B$9*'Score settings'!$D$9</x:f>
        <x:v>0</x:v>
      </x:c>
      <x:c r="AH119" s="41" t="n">
        <x:f>IF(B119="","",SUM(AB119:AG119))</x:f>
        <x:v>8.5</x:v>
      </x:c>
      <x:c r="AI119" s="41" t="str">
        <x:f>IF(NOT(ISNUMBER(AH119)),"Not scored",VLOOKUP(AH119,'Score settings'!$A$47:$C$50,3,TRUE))</x:f>
        <x:v>Weak</x:v>
      </x:c>
      <x:c r="AJ119" s="42" t="n">
        <x:f>IF(OR(NOT(ISNUMBER(AH119)),T119&lt;&gt;"Common pot"),"",COUNTIFS($T$4:$T$509,"Common pot",$AH$4:$AH$509,"&gt;"&amp;AH119)+1)</x:f>
        <x:v>394</x:v>
      </x:c>
      <x:c r="AK119" s="36" t="str">
        <x:f>IF(B119="","Name missing - not scored",IF(OR(NOT(ISNUMBER(G119)),G119&lt;=0),"Investment missing or zero - review",IF(0=1,"Permanent ID missing - reconcile",IF(AND(ISNUMBER(H119),H119/G119&gt;='Score settings'!$B$58,NOT(ISNUMBER(I119))),"Benefit units need review",IF(OR(R119="EXIT",R119="CHALLENGE"),"Waste decision requires scope resolution",IF("Name and organisation matched"&lt;&gt;"Name and organisation matched","Waste evidence match needs review","Provisional source score - confirm evidence"))))))</x:f>
        <x:v>Provisional source score - confirm evidence</x:v>
      </x:c>
      <x:c r="AL119" s="36"/>
      <x:c r="AM119" s="40"/>
      <x:c r="AN119" s="39"/>
      <x:c r="AO119" s="40"/>
      <x:c r="AP119" s="40"/>
    </x:row>
    <x:row r="120" ht="15" hidden="0" customHeight="1">
      <x:c r="A120" s="36" t="str">
        <x:v>Bu-125</x:v>
      </x:c>
      <x:c r="B120" s="37" t="str">
        <x:v>PS Cloud replacement</x:v>
      </x:c>
      <x:c r="C120" s="36" t="str">
        <x:v>BU Led</x:v>
      </x:c>
      <x:c r="D120" s="36" t="str">
        <x:v>Service Transformation Office (STO)</x:v>
      </x:c>
      <x:c r="E120" s="38" t="n">
        <x:v>0.7</x:v>
      </x:c>
      <x:c r="F120" s="39"/>
      <x:c r="G120" s="38" t="n">
        <x:f>IF(ISNUMBER(F120),F120,IF(E120="","",E120))</x:f>
        <x:v>0.7</x:v>
      </x:c>
      <x:c r="H120" s="38"/>
      <x:c r="I120" s="39"/>
      <x:c r="J120" s="36" t="str">
        <x:v>Unclassified</x:v>
      </x:c>
      <x:c r="K120" s="38" t="str">
        <x:f>IF(ISNUMBER(I120),I120,IF(OR(NOT(ISNUMBER(H120)),NOT(ISNUMBER(G120)),G120&lt;=0),"",IF(H120/G120&gt;='Score settings'!$B$58,"",IF(J120="Cash savings",H120,IF(J120="Revenue",H120*'Score settings'!$B$55,"")))))</x:f>
      </x:c>
      <x:c r="L120" s="36"/>
      <x:c r="M120" s="39"/>
      <x:c r="N120" s="40"/>
      <x:c r="O120" s="36" t="str">
        <x:v>Blank</x:v>
      </x:c>
      <x:c r="P120" s="36" t="str">
        <x:v>Decomm</x:v>
      </x:c>
      <x:c r="Q120" s="36" t="str">
        <x:v>Blank</x:v>
      </x:c>
      <x:c r="R120" s="36" t="str">
        <x:v>NotAssessed</x:v>
      </x:c>
      <x:c r="S120" s="36" t="str"/>
      <x:c r="T120" s="36" t="str">
        <x:v>Common pot</x:v>
      </x:c>
      <x:c r="U120" s="41" t="n">
        <x:f>VLOOKUP("Priority|"&amp;O120,'Score settings'!$A$14:$C$43,2,FALSE)/'Score settings'!$B$4*'Score settings'!$C$4</x:f>
        <x:v>10</x:v>
      </x:c>
      <x:c r="V120" s="41" t="n">
        <x:f>VLOOKUP("Category|"&amp;P120,'Score settings'!$A$14:$C$43,2,FALSE)/'Score settings'!$B$5*'Score settings'!$C$5</x:f>
        <x:v>17</x:v>
      </x:c>
      <x:c r="W120" s="41" t="n">
        <x:f>VLOOKUP("Area|"&amp;Q120,'Score settings'!$A$14:$C$43,2,FALSE)/'Score settings'!$B$6*'Score settings'!$C$6</x:f>
        <x:v>3</x:v>
      </x:c>
      <x:c r="X120" s="41" t="n">
        <x:f>VLOOKUP("Benefits|"&amp;IF(AND(ISNUMBER(H120),H120&gt;0,ISNUMBER(G120),G120&gt;0),IF(H120/G120&gt;='Score settings'!$E$17,"3plus",IF(H120/G120&gt;='Score settings'!$E$16,"1.5to3",IF(H120/G120&gt;='Score settings'!$E$15,"0.5to1.5","positive"))),"None"),'Score settings'!$A$14:$C$43,2,FALSE)/'Score settings'!$B$7*'Score settings'!$C$7</x:f>
        <x:v>5</x:v>
      </x:c>
      <x:c r="Y120" s="41" t="n">
        <x:f>VLOOKUP("Waste|"&amp;R120,'Score settings'!$A$14:$C$43,2,FALSE)/'Score settings'!$B$8*'Score settings'!$C$8</x:f>
        <x:v>7</x:v>
      </x:c>
      <x:c r="Z120" s="41" t="n">
        <x:f>IF(B120="","",SUM(U120:Y120))</x:f>
        <x:v>42</x:v>
      </x:c>
      <x:c r="AA120" s="41" t="str">
        <x:f>IF(Z120="","Not scored",VLOOKUP(Z120,'Score settings'!$A$47:$C$50,2,TRUE))</x:f>
        <x:v>Discretionary</x:v>
      </x:c>
      <x:c r="AB120" s="41" t="n">
        <x:f>VLOOKUP("Priority|"&amp;O120,'Score settings'!$A$14:$C$43,3,FALSE)/'Score settings'!$B$4*'Score settings'!$D$4</x:f>
        <x:v>0</x:v>
      </x:c>
      <x:c r="AC120" s="41" t="n">
        <x:f>VLOOKUP("Category|"&amp;P120,'Score settings'!$A$14:$C$43,3,FALSE)/'Score settings'!$B$5*'Score settings'!$D$5</x:f>
        <x:v>8.5</x:v>
      </x:c>
      <x:c r="AD120" s="41" t="n">
        <x:f>VLOOKUP("Area|"&amp;Q120,'Score settings'!$A$14:$C$43,3,FALSE)/'Score settings'!$B$6*'Score settings'!$D$6</x:f>
        <x:v>0</x:v>
      </x:c>
      <x:c r="AE120" s="41" t="n">
        <x:f>VLOOKUP("Benefits|"&amp;IF(AND(ISNUMBER(K120),K120&gt;0,ISNUMBER(G120),G120&gt;0),IF(K120/G120&gt;='Score settings'!$E$17,"3plus",IF(K120/G120&gt;='Score settings'!$E$16,"1.5to3",IF(K120/G120&gt;='Score settings'!$E$15,"0.5to1.5","positive"))),"None"),'Score settings'!$A$14:$C$43,3,FALSE)/'Score settings'!$B$7*'Score settings'!$D$7</x:f>
        <x:v>0</x:v>
      </x:c>
      <x:c r="AF120" s="41" t="n">
        <x:f>VLOOKUP("Waste|"&amp;R120,'Score settings'!$A$14:$C$43,3,FALSE)/'Score settings'!$B$8*'Score settings'!$D$8</x:f>
        <x:v>0</x:v>
      </x:c>
      <x:c r="AG120" s="41" t="n">
        <x:f>(IF(AND(ISNUMBER(M120),M120&gt;0,ISNUMBER(G120),G120&gt;0),IF(M120/G120&gt;='Score settings'!$E$17,'Score settings'!$G$17,IF(M120/G120&gt;='Score settings'!$E$16,'Score settings'!$G$16,IF(M120/G120&gt;='Score settings'!$E$15,'Score settings'!$G$15,'Score settings'!$G$14))),0)/15*'Score settings'!$B$60+IFERROR(VLOOKUP(IF(ISNUMBER(N120),N120,IF(ISNUMBER(L120),L120,0)),'Score settings'!$E$22:$F$26,2,FALSE),0)/10*'Score settings'!$B$61)/'Score settings'!$B$9*'Score settings'!$D$9</x:f>
        <x:v>0</x:v>
      </x:c>
      <x:c r="AH120" s="41" t="n">
        <x:f>IF(B120="","",SUM(AB120:AG120))</x:f>
        <x:v>8.5</x:v>
      </x:c>
      <x:c r="AI120" s="41" t="str">
        <x:f>IF(NOT(ISNUMBER(AH120)),"Not scored",VLOOKUP(AH120,'Score settings'!$A$47:$C$50,3,TRUE))</x:f>
        <x:v>Weak</x:v>
      </x:c>
      <x:c r="AJ120" s="42" t="n">
        <x:f>IF(OR(NOT(ISNUMBER(AH120)),T120&lt;&gt;"Common pot"),"",COUNTIFS($T$4:$T$509,"Common pot",$AH$4:$AH$509,"&gt;"&amp;AH120)+1)</x:f>
        <x:v>394</x:v>
      </x:c>
      <x:c r="AK120" s="36" t="str">
        <x:f>IF(B120="","Name missing - not scored",IF(OR(NOT(ISNUMBER(G120)),G120&lt;=0),"Investment missing or zero - review",IF(0=1,"Permanent ID missing - reconcile",IF(AND(ISNUMBER(H120),H120/G120&gt;='Score settings'!$B$58,NOT(ISNUMBER(I120))),"Benefit units need review",IF(OR(R120="EXIT",R120="CHALLENGE"),"Waste decision requires scope resolution",IF("Name and organisation matched"&lt;&gt;"Name and organisation matched","Waste evidence match needs review","Provisional source score - confirm evidence"))))))</x:f>
        <x:v>Provisional source score - confirm evidence</x:v>
      </x:c>
      <x:c r="AL120" s="36"/>
      <x:c r="AM120" s="40"/>
      <x:c r="AN120" s="39"/>
      <x:c r="AO120" s="40"/>
      <x:c r="AP120" s="40"/>
    </x:row>
    <x:row r="121" ht="15" hidden="0" customHeight="1">
      <x:c r="A121" s="36" t="str">
        <x:v>Bu-126</x:v>
      </x:c>
      <x:c r="B121" s="37" t="str">
        <x:v>Incenter replacement</x:v>
      </x:c>
      <x:c r="C121" s="36" t="str">
        <x:v>BU Led</x:v>
      </x:c>
      <x:c r="D121" s="36" t="str">
        <x:v>Service Transformation Office (STO)</x:v>
      </x:c>
      <x:c r="E121" s="38" t="n">
        <x:v>0.8</x:v>
      </x:c>
      <x:c r="F121" s="39"/>
      <x:c r="G121" s="38" t="n">
        <x:f>IF(ISNUMBER(F121),F121,IF(E121="","",E121))</x:f>
        <x:v>0.8</x:v>
      </x:c>
      <x:c r="H121" s="38"/>
      <x:c r="I121" s="39"/>
      <x:c r="J121" s="36" t="str">
        <x:v>Unclassified</x:v>
      </x:c>
      <x:c r="K121" s="38" t="str">
        <x:f>IF(ISNUMBER(I121),I121,IF(OR(NOT(ISNUMBER(H121)),NOT(ISNUMBER(G121)),G121&lt;=0),"",IF(H121/G121&gt;='Score settings'!$B$58,"",IF(J121="Cash savings",H121,IF(J121="Revenue",H121*'Score settings'!$B$55,"")))))</x:f>
      </x:c>
      <x:c r="L121" s="36"/>
      <x:c r="M121" s="39"/>
      <x:c r="N121" s="40"/>
      <x:c r="O121" s="36" t="str">
        <x:v>Blank</x:v>
      </x:c>
      <x:c r="P121" s="36" t="str">
        <x:v>Decomm</x:v>
      </x:c>
      <x:c r="Q121" s="36" t="str">
        <x:v>Blank</x:v>
      </x:c>
      <x:c r="R121" s="36" t="str">
        <x:v>NotAssessed</x:v>
      </x:c>
      <x:c r="S121" s="36" t="str"/>
      <x:c r="T121" s="36" t="str">
        <x:v>Common pot</x:v>
      </x:c>
      <x:c r="U121" s="41" t="n">
        <x:f>VLOOKUP("Priority|"&amp;O121,'Score settings'!$A$14:$C$43,2,FALSE)/'Score settings'!$B$4*'Score settings'!$C$4</x:f>
        <x:v>10</x:v>
      </x:c>
      <x:c r="V121" s="41" t="n">
        <x:f>VLOOKUP("Category|"&amp;P121,'Score settings'!$A$14:$C$43,2,FALSE)/'Score settings'!$B$5*'Score settings'!$C$5</x:f>
        <x:v>17</x:v>
      </x:c>
      <x:c r="W121" s="41" t="n">
        <x:f>VLOOKUP("Area|"&amp;Q121,'Score settings'!$A$14:$C$43,2,FALSE)/'Score settings'!$B$6*'Score settings'!$C$6</x:f>
        <x:v>3</x:v>
      </x:c>
      <x:c r="X121" s="41" t="n">
        <x:f>VLOOKUP("Benefits|"&amp;IF(AND(ISNUMBER(H121),H121&gt;0,ISNUMBER(G121),G121&gt;0),IF(H121/G121&gt;='Score settings'!$E$17,"3plus",IF(H121/G121&gt;='Score settings'!$E$16,"1.5to3",IF(H121/G121&gt;='Score settings'!$E$15,"0.5to1.5","positive"))),"None"),'Score settings'!$A$14:$C$43,2,FALSE)/'Score settings'!$B$7*'Score settings'!$C$7</x:f>
        <x:v>5</x:v>
      </x:c>
      <x:c r="Y121" s="41" t="n">
        <x:f>VLOOKUP("Waste|"&amp;R121,'Score settings'!$A$14:$C$43,2,FALSE)/'Score settings'!$B$8*'Score settings'!$C$8</x:f>
        <x:v>7</x:v>
      </x:c>
      <x:c r="Z121" s="41" t="n">
        <x:f>IF(B121="","",SUM(U121:Y121))</x:f>
        <x:v>42</x:v>
      </x:c>
      <x:c r="AA121" s="41" t="str">
        <x:f>IF(Z121="","Not scored",VLOOKUP(Z121,'Score settings'!$A$47:$C$50,2,TRUE))</x:f>
        <x:v>Discretionary</x:v>
      </x:c>
      <x:c r="AB121" s="41" t="n">
        <x:f>VLOOKUP("Priority|"&amp;O121,'Score settings'!$A$14:$C$43,3,FALSE)/'Score settings'!$B$4*'Score settings'!$D$4</x:f>
        <x:v>0</x:v>
      </x:c>
      <x:c r="AC121" s="41" t="n">
        <x:f>VLOOKUP("Category|"&amp;P121,'Score settings'!$A$14:$C$43,3,FALSE)/'Score settings'!$B$5*'Score settings'!$D$5</x:f>
        <x:v>8.5</x:v>
      </x:c>
      <x:c r="AD121" s="41" t="n">
        <x:f>VLOOKUP("Area|"&amp;Q121,'Score settings'!$A$14:$C$43,3,FALSE)/'Score settings'!$B$6*'Score settings'!$D$6</x:f>
        <x:v>0</x:v>
      </x:c>
      <x:c r="AE121" s="41" t="n">
        <x:f>VLOOKUP("Benefits|"&amp;IF(AND(ISNUMBER(K121),K121&gt;0,ISNUMBER(G121),G121&gt;0),IF(K121/G121&gt;='Score settings'!$E$17,"3plus",IF(K121/G121&gt;='Score settings'!$E$16,"1.5to3",IF(K121/G121&gt;='Score settings'!$E$15,"0.5to1.5","positive"))),"None"),'Score settings'!$A$14:$C$43,3,FALSE)/'Score settings'!$B$7*'Score settings'!$D$7</x:f>
        <x:v>0</x:v>
      </x:c>
      <x:c r="AF121" s="41" t="n">
        <x:f>VLOOKUP("Waste|"&amp;R121,'Score settings'!$A$14:$C$43,3,FALSE)/'Score settings'!$B$8*'Score settings'!$D$8</x:f>
        <x:v>0</x:v>
      </x:c>
      <x:c r="AG121" s="41" t="n">
        <x:f>(IF(AND(ISNUMBER(M121),M121&gt;0,ISNUMBER(G121),G121&gt;0),IF(M121/G121&gt;='Score settings'!$E$17,'Score settings'!$G$17,IF(M121/G121&gt;='Score settings'!$E$16,'Score settings'!$G$16,IF(M121/G121&gt;='Score settings'!$E$15,'Score settings'!$G$15,'Score settings'!$G$14))),0)/15*'Score settings'!$B$60+IFERROR(VLOOKUP(IF(ISNUMBER(N121),N121,IF(ISNUMBER(L121),L121,0)),'Score settings'!$E$22:$F$26,2,FALSE),0)/10*'Score settings'!$B$61)/'Score settings'!$B$9*'Score settings'!$D$9</x:f>
        <x:v>0</x:v>
      </x:c>
      <x:c r="AH121" s="41" t="n">
        <x:f>IF(B121="","",SUM(AB121:AG121))</x:f>
        <x:v>8.5</x:v>
      </x:c>
      <x:c r="AI121" s="41" t="str">
        <x:f>IF(NOT(ISNUMBER(AH121)),"Not scored",VLOOKUP(AH121,'Score settings'!$A$47:$C$50,3,TRUE))</x:f>
        <x:v>Weak</x:v>
      </x:c>
      <x:c r="AJ121" s="42" t="n">
        <x:f>IF(OR(NOT(ISNUMBER(AH121)),T121&lt;&gt;"Common pot"),"",COUNTIFS($T$4:$T$509,"Common pot",$AH$4:$AH$509,"&gt;"&amp;AH121)+1)</x:f>
        <x:v>394</x:v>
      </x:c>
      <x:c r="AK121" s="36" t="str">
        <x:f>IF(B121="","Name missing - not scored",IF(OR(NOT(ISNUMBER(G121)),G121&lt;=0),"Investment missing or zero - review",IF(0=1,"Permanent ID missing - reconcile",IF(AND(ISNUMBER(H121),H121/G121&gt;='Score settings'!$B$58,NOT(ISNUMBER(I121))),"Benefit units need review",IF(OR(R121="EXIT",R121="CHALLENGE"),"Waste decision requires scope resolution",IF("Name and organisation matched"&lt;&gt;"Name and organisation matched","Waste evidence match needs review","Provisional source score - confirm evidence"))))))</x:f>
        <x:v>Provisional source score - confirm evidence</x:v>
      </x:c>
      <x:c r="AL121" s="36"/>
      <x:c r="AM121" s="40"/>
      <x:c r="AN121" s="39"/>
      <x:c r="AO121" s="40"/>
      <x:c r="AP121" s="40"/>
    </x:row>
    <x:row r="122" ht="15" hidden="0" customHeight="1">
      <x:c r="A122" s="36" t="str">
        <x:v>Bu-127</x:v>
      </x:c>
      <x:c r="B122" s="37" t="str">
        <x:v>Probe Repair</x:v>
      </x:c>
      <x:c r="C122" s="36" t="str">
        <x:v>BU Led</x:v>
      </x:c>
      <x:c r="D122" s="36" t="str">
        <x:v>Precision Diagnosis - Ultrasound (PDU)</x:v>
      </x:c>
      <x:c r="E122" s="38" t="n">
        <x:v>0.25</x:v>
      </x:c>
      <x:c r="F122" s="39"/>
      <x:c r="G122" s="38" t="n">
        <x:f>IF(ISNUMBER(F122),F122,IF(E122="","",E122))</x:f>
        <x:v>0.25</x:v>
      </x:c>
      <x:c r="H122" s="38"/>
      <x:c r="I122" s="39"/>
      <x:c r="J122" s="36" t="str">
        <x:v>Revenue</x:v>
      </x:c>
      <x:c r="K122" s="38" t="str">
        <x:f>IF(ISNUMBER(I122),I122,IF(OR(NOT(ISNUMBER(H122)),NOT(ISNUMBER(G122)),G122&lt;=0),"",IF(H122/G122&gt;='Score settings'!$B$58,"",IF(J122="Cash savings",H122,IF(J122="Revenue",H122*'Score settings'!$B$55,"")))))</x:f>
      </x:c>
      <x:c r="L122" s="36"/>
      <x:c r="M122" s="39"/>
      <x:c r="N122" s="40"/>
      <x:c r="O122" s="36" t="str">
        <x:v>Must Do</x:v>
      </x:c>
      <x:c r="P122" s="36" t="str">
        <x:v>NewFeat</x:v>
      </x:c>
      <x:c r="Q122" s="36" t="str">
        <x:v>Revenue</x:v>
      </x:c>
      <x:c r="R122" s="36" t="str">
        <x:v>NotAssessed</x:v>
      </x:c>
      <x:c r="S122" s="36" t="str"/>
      <x:c r="T122" s="36" t="str">
        <x:v>Common pot</x:v>
      </x:c>
      <x:c r="U122" s="41" t="n">
        <x:f>VLOOKUP("Priority|"&amp;O122,'Score settings'!$A$14:$C$43,2,FALSE)/'Score settings'!$B$4*'Score settings'!$C$4</x:f>
        <x:v>25</x:v>
      </x:c>
      <x:c r="V122" s="41" t="n">
        <x:f>VLOOKUP("Category|"&amp;P122,'Score settings'!$A$14:$C$43,2,FALSE)/'Score settings'!$B$5*'Score settings'!$C$5</x:f>
        <x:v>6</x:v>
      </x:c>
      <x:c r="W122" s="41" t="n">
        <x:f>VLOOKUP("Area|"&amp;Q122,'Score settings'!$A$14:$C$43,2,FALSE)/'Score settings'!$B$6*'Score settings'!$C$6</x:f>
        <x:v>11</x:v>
      </x:c>
      <x:c r="X122" s="41" t="n">
        <x:f>VLOOKUP("Benefits|"&amp;IF(AND(ISNUMBER(H122),H122&gt;0,ISNUMBER(G122),G122&gt;0),IF(H122/G122&gt;='Score settings'!$E$17,"3plus",IF(H122/G122&gt;='Score settings'!$E$16,"1.5to3",IF(H122/G122&gt;='Score settings'!$E$15,"0.5to1.5","positive"))),"None"),'Score settings'!$A$14:$C$43,2,FALSE)/'Score settings'!$B$7*'Score settings'!$C$7</x:f>
        <x:v>5</x:v>
      </x:c>
      <x:c r="Y122" s="41" t="n">
        <x:f>VLOOKUP("Waste|"&amp;R122,'Score settings'!$A$14:$C$43,2,FALSE)/'Score settings'!$B$8*'Score settings'!$C$8</x:f>
        <x:v>7</x:v>
      </x:c>
      <x:c r="Z122" s="41" t="n">
        <x:f>IF(B122="","",SUM(U122:Y122))</x:f>
        <x:v>54</x:v>
      </x:c>
      <x:c r="AA122" s="41" t="str">
        <x:f>IF(Z122="","Not scored",VLOOKUP(Z122,'Score settings'!$A$47:$C$50,2,TRUE))</x:f>
        <x:v>Strong</x:v>
      </x:c>
      <x:c r="AB122" s="41" t="n">
        <x:f>VLOOKUP("Priority|"&amp;O122,'Score settings'!$A$14:$C$43,3,FALSE)/'Score settings'!$B$4*'Score settings'!$D$4</x:f>
        <x:v>15</x:v>
      </x:c>
      <x:c r="AC122" s="41" t="n">
        <x:f>VLOOKUP("Category|"&amp;P122,'Score settings'!$A$14:$C$43,3,FALSE)/'Score settings'!$B$5*'Score settings'!$D$5</x:f>
        <x:v>3</x:v>
      </x:c>
      <x:c r="AD122" s="41" t="n">
        <x:f>VLOOKUP("Area|"&amp;Q122,'Score settings'!$A$14:$C$43,3,FALSE)/'Score settings'!$B$6*'Score settings'!$D$6</x:f>
        <x:v>7.333333333333333</x:v>
      </x:c>
      <x:c r="AE122" s="41" t="n">
        <x:f>VLOOKUP("Benefits|"&amp;IF(AND(ISNUMBER(K122),K122&gt;0,ISNUMBER(G122),G122&gt;0),IF(K122/G122&gt;='Score settings'!$E$17,"3plus",IF(K122/G122&gt;='Score settings'!$E$16,"1.5to3",IF(K122/G122&gt;='Score settings'!$E$15,"0.5to1.5","positive"))),"None"),'Score settings'!$A$14:$C$43,3,FALSE)/'Score settings'!$B$7*'Score settings'!$D$7</x:f>
        <x:v>0</x:v>
      </x:c>
      <x:c r="AF122" s="41" t="n">
        <x:f>VLOOKUP("Waste|"&amp;R122,'Score settings'!$A$14:$C$43,3,FALSE)/'Score settings'!$B$8*'Score settings'!$D$8</x:f>
        <x:v>0</x:v>
      </x:c>
      <x:c r="AG122" s="41" t="n">
        <x:f>(IF(AND(ISNUMBER(M122),M122&gt;0,ISNUMBER(G122),G122&gt;0),IF(M122/G122&gt;='Score settings'!$E$17,'Score settings'!$G$17,IF(M122/G122&gt;='Score settings'!$E$16,'Score settings'!$G$16,IF(M122/G122&gt;='Score settings'!$E$15,'Score settings'!$G$15,'Score settings'!$G$14))),0)/15*'Score settings'!$B$60+IFERROR(VLOOKUP(IF(ISNUMBER(N122),N122,IF(ISNUMBER(L122),L122,0)),'Score settings'!$E$22:$F$26,2,FALSE),0)/10*'Score settings'!$B$61)/'Score settings'!$B$9*'Score settings'!$D$9</x:f>
        <x:v>0</x:v>
      </x:c>
      <x:c r="AH122" s="41" t="n">
        <x:f>IF(B122="","",SUM(AB122:AG122))</x:f>
        <x:v>25.333333333333332</x:v>
      </x:c>
      <x:c r="AI122" s="41" t="str">
        <x:f>IF(NOT(ISNUMBER(AH122)),"Not scored",VLOOKUP(AH122,'Score settings'!$A$47:$C$50,3,TRUE))</x:f>
        <x:v>Discretionary</x:v>
      </x:c>
      <x:c r="AJ122" s="42" t="n">
        <x:f>IF(OR(NOT(ISNUMBER(AH122)),T122&lt;&gt;"Common pot"),"",COUNTIFS($T$4:$T$509,"Common pot",$AH$4:$AH$509,"&gt;"&amp;AH122)+1)</x:f>
        <x:v>253</x:v>
      </x:c>
      <x:c r="AK122" s="36" t="str">
        <x:f>IF(B122="","Name missing - not scored",IF(OR(NOT(ISNUMBER(G122)),G122&lt;=0),"Investment missing or zero - review",IF(0=1,"Permanent ID missing - reconcile",IF(AND(ISNUMBER(H122),H122/G122&gt;='Score settings'!$B$58,NOT(ISNUMBER(I122))),"Benefit units need review",IF(OR(R122="EXIT",R122="CHALLENGE"),"Waste decision requires scope resolution",IF("Name and organisation matched"&lt;&gt;"Name and organisation matched","Waste evidence match needs review","Provisional source score - confirm evidence"))))))</x:f>
        <x:v>Provisional source score - confirm evidence</x:v>
      </x:c>
      <x:c r="AL122" s="36"/>
      <x:c r="AM122" s="40"/>
      <x:c r="AN122" s="39"/>
      <x:c r="AO122" s="40"/>
      <x:c r="AP122" s="40"/>
    </x:row>
    <x:row r="123" ht="15" hidden="0" customHeight="1">
      <x:c r="A123" s="36" t="str">
        <x:v>Bu-128</x:v>
      </x:c>
      <x:c r="B123" s="37" t="str">
        <x:v>Ultrasound Simplification</x:v>
      </x:c>
      <x:c r="C123" s="36" t="str">
        <x:v>BU Led</x:v>
      </x:c>
      <x:c r="D123" s="36" t="str">
        <x:v>Precision Diagnosis - Ultrasound (PDU)</x:v>
      </x:c>
      <x:c r="E123" s="38" t="n">
        <x:v>0.45</x:v>
      </x:c>
      <x:c r="F123" s="39"/>
      <x:c r="G123" s="38" t="n">
        <x:f>IF(ISNUMBER(F123),F123,IF(E123="","",E123))</x:f>
        <x:v>0.45</x:v>
      </x:c>
      <x:c r="H123" s="38"/>
      <x:c r="I123" s="39"/>
      <x:c r="J123" s="36" t="str">
        <x:v>Cash savings</x:v>
      </x:c>
      <x:c r="K123" s="38" t="str">
        <x:f>IF(ISNUMBER(I123),I123,IF(OR(NOT(ISNUMBER(H123)),NOT(ISNUMBER(G123)),G123&lt;=0),"",IF(H123/G123&gt;='Score settings'!$B$58,"",IF(J123="Cash savings",H123,IF(J123="Revenue",H123*'Score settings'!$B$55,"")))))</x:f>
      </x:c>
      <x:c r="L123" s="36"/>
      <x:c r="M123" s="39"/>
      <x:c r="N123" s="40"/>
      <x:c r="O123" s="36" t="str">
        <x:v>Must Do</x:v>
      </x:c>
      <x:c r="P123" s="36" t="str">
        <x:v>CI</x:v>
      </x:c>
      <x:c r="Q123" s="36" t="str">
        <x:v>ProcSimp</x:v>
      </x:c>
      <x:c r="R123" s="36" t="str">
        <x:v>HEALTHY</x:v>
      </x:c>
      <x:c r="S123" s="36" t="str"/>
      <x:c r="T123" s="36" t="str">
        <x:v>Common pot</x:v>
      </x:c>
      <x:c r="U123" s="41" t="n">
        <x:f>VLOOKUP("Priority|"&amp;O123,'Score settings'!$A$14:$C$43,2,FALSE)/'Score settings'!$B$4*'Score settings'!$C$4</x:f>
        <x:v>25</x:v>
      </x:c>
      <x:c r="V123" s="41" t="n">
        <x:f>VLOOKUP("Category|"&amp;P123,'Score settings'!$A$14:$C$43,2,FALSE)/'Score settings'!$B$5*'Score settings'!$C$5</x:f>
        <x:v>8</x:v>
      </x:c>
      <x:c r="W123" s="41" t="n">
        <x:f>VLOOKUP("Area|"&amp;Q123,'Score settings'!$A$14:$C$43,2,FALSE)/'Score settings'!$B$6*'Score settings'!$C$6</x:f>
        <x:v>12</x:v>
      </x:c>
      <x:c r="X123" s="41" t="n">
        <x:f>VLOOKUP("Benefits|"&amp;IF(AND(ISNUMBER(H123),H123&gt;0,ISNUMBER(G123),G123&gt;0),IF(H123/G123&gt;='Score settings'!$E$17,"3plus",IF(H123/G123&gt;='Score settings'!$E$16,"1.5to3",IF(H123/G123&gt;='Score settings'!$E$15,"0.5to1.5","positive"))),"None"),'Score settings'!$A$14:$C$43,2,FALSE)/'Score settings'!$B$7*'Score settings'!$C$7</x:f>
        <x:v>5</x:v>
      </x:c>
      <x:c r="Y123" s="41" t="n">
        <x:f>VLOOKUP("Waste|"&amp;R123,'Score settings'!$A$14:$C$43,2,FALSE)/'Score settings'!$B$8*'Score settings'!$C$8</x:f>
        <x:v>15</x:v>
      </x:c>
      <x:c r="Z123" s="41" t="n">
        <x:f>IF(B123="","",SUM(U123:Y123))</x:f>
        <x:v>65</x:v>
      </x:c>
      <x:c r="AA123" s="41" t="str">
        <x:f>IF(Z123="","Not scored",VLOOKUP(Z123,'Score settings'!$A$47:$C$50,2,TRUE))</x:f>
        <x:v>Protected</x:v>
      </x:c>
      <x:c r="AB123" s="41" t="n">
        <x:f>VLOOKUP("Priority|"&amp;O123,'Score settings'!$A$14:$C$43,3,FALSE)/'Score settings'!$B$4*'Score settings'!$D$4</x:f>
        <x:v>15</x:v>
      </x:c>
      <x:c r="AC123" s="41" t="n">
        <x:f>VLOOKUP("Category|"&amp;P123,'Score settings'!$A$14:$C$43,3,FALSE)/'Score settings'!$B$5*'Score settings'!$D$5</x:f>
        <x:v>4</x:v>
      </x:c>
      <x:c r="AD123" s="41" t="n">
        <x:f>VLOOKUP("Area|"&amp;Q123,'Score settings'!$A$14:$C$43,3,FALSE)/'Score settings'!$B$6*'Score settings'!$D$6</x:f>
        <x:v>8</x:v>
      </x:c>
      <x:c r="AE123" s="41" t="n">
        <x:f>VLOOKUP("Benefits|"&amp;IF(AND(ISNUMBER(K123),K123&gt;0,ISNUMBER(G123),G123&gt;0),IF(K123/G123&gt;='Score settings'!$E$17,"3plus",IF(K123/G123&gt;='Score settings'!$E$16,"1.5to3",IF(K123/G123&gt;='Score settings'!$E$15,"0.5to1.5","positive"))),"None"),'Score settings'!$A$14:$C$43,3,FALSE)/'Score settings'!$B$7*'Score settings'!$D$7</x:f>
        <x:v>0</x:v>
      </x:c>
      <x:c r="AF123" s="41" t="n">
        <x:f>VLOOKUP("Waste|"&amp;R123,'Score settings'!$A$14:$C$43,3,FALSE)/'Score settings'!$B$8*'Score settings'!$D$8</x:f>
        <x:v>10</x:v>
      </x:c>
      <x:c r="AG123" s="41" t="n">
        <x:f>(IF(AND(ISNUMBER(M123),M123&gt;0,ISNUMBER(G123),G123&gt;0),IF(M123/G123&gt;='Score settings'!$E$17,'Score settings'!$G$17,IF(M123/G123&gt;='Score settings'!$E$16,'Score settings'!$G$16,IF(M123/G123&gt;='Score settings'!$E$15,'Score settings'!$G$15,'Score settings'!$G$14))),0)/15*'Score settings'!$B$60+IFERROR(VLOOKUP(IF(ISNUMBER(N123),N123,IF(ISNUMBER(L123),L123,0)),'Score settings'!$E$22:$F$26,2,FALSE),0)/10*'Score settings'!$B$61)/'Score settings'!$B$9*'Score settings'!$D$9</x:f>
        <x:v>0</x:v>
      </x:c>
      <x:c r="AH123" s="41" t="n">
        <x:f>IF(B123="","",SUM(AB123:AG123))</x:f>
        <x:v>37</x:v>
      </x:c>
      <x:c r="AI123" s="41" t="str">
        <x:f>IF(NOT(ISNUMBER(AH123)),"Not scored",VLOOKUP(AH123,'Score settings'!$A$47:$C$50,3,TRUE))</x:f>
        <x:v>Discretionary</x:v>
      </x:c>
      <x:c r="AJ123" s="42" t="n">
        <x:f>IF(OR(NOT(ISNUMBER(AH123)),T123&lt;&gt;"Common pot"),"",COUNTIFS($T$4:$T$509,"Common pot",$AH$4:$AH$509,"&gt;"&amp;AH123)+1)</x:f>
        <x:v>123</x:v>
      </x:c>
      <x:c r="AK123" s="36" t="str">
        <x:f>IF(B123="","Name missing - not scored",IF(OR(NOT(ISNUMBER(G123)),G123&lt;=0),"Investment missing or zero - review",IF(0=1,"Permanent ID missing - reconcile",IF(AND(ISNUMBER(H123),H123/G123&gt;='Score settings'!$B$58,NOT(ISNUMBER(I123))),"Benefit units need review",IF(OR(R123="EXIT",R123="CHALLENGE"),"Waste decision requires scope resolution",IF("Name and organisation matched"&lt;&gt;"Name and organisation matched","Waste evidence match needs review","Provisional source score - confirm evidence"))))))</x:f>
        <x:v>Provisional source score - confirm evidence</x:v>
      </x:c>
      <x:c r="AL123" s="36"/>
      <x:c r="AM123" s="40"/>
      <x:c r="AN123" s="39"/>
      <x:c r="AO123" s="40"/>
      <x:c r="AP123" s="40"/>
    </x:row>
    <x:row r="124" ht="15" hidden="0" customHeight="1">
      <x:c r="A124" s="36" t="str">
        <x:v>Bu-129</x:v>
      </x:c>
      <x:c r="B124" s="37" t="str">
        <x:v>Ultrasound Data &amp; AI</x:v>
      </x:c>
      <x:c r="C124" s="36" t="str">
        <x:v>BU Led</x:v>
      </x:c>
      <x:c r="D124" s="36" t="str">
        <x:v>Precision Diagnosis - Ultrasound (PDU)</x:v>
      </x:c>
      <x:c r="E124" s="38" t="n">
        <x:v>0.3</x:v>
      </x:c>
      <x:c r="F124" s="39"/>
      <x:c r="G124" s="38" t="n">
        <x:f>IF(ISNUMBER(F124),F124,IF(E124="","",E124))</x:f>
        <x:v>0.3</x:v>
      </x:c>
      <x:c r="H124" s="38"/>
      <x:c r="I124" s="39"/>
      <x:c r="J124" s="36" t="str">
        <x:v>Cash savings</x:v>
      </x:c>
      <x:c r="K124" s="38" t="str">
        <x:f>IF(ISNUMBER(I124),I124,IF(OR(NOT(ISNUMBER(H124)),NOT(ISNUMBER(G124)),G124&lt;=0),"",IF(H124/G124&gt;='Score settings'!$B$58,"",IF(J124="Cash savings",H124,IF(J124="Revenue",H124*'Score settings'!$B$55,"")))))</x:f>
      </x:c>
      <x:c r="L124" s="36"/>
      <x:c r="M124" s="39"/>
      <x:c r="N124" s="40"/>
      <x:c r="O124" s="36" t="str">
        <x:v>Must Do</x:v>
      </x:c>
      <x:c r="P124" s="36" t="str">
        <x:v>AI</x:v>
      </x:c>
      <x:c r="Q124" s="36" t="str">
        <x:v>ProcSimp</x:v>
      </x:c>
      <x:c r="R124" s="36" t="str">
        <x:v>HEALTHY</x:v>
      </x:c>
      <x:c r="S124" s="36" t="str"/>
      <x:c r="T124" s="36" t="str">
        <x:v>Common pot</x:v>
      </x:c>
      <x:c r="U124" s="41" t="n">
        <x:f>VLOOKUP("Priority|"&amp;O124,'Score settings'!$A$14:$C$43,2,FALSE)/'Score settings'!$B$4*'Score settings'!$C$4</x:f>
        <x:v>25</x:v>
      </x:c>
      <x:c r="V124" s="41" t="n">
        <x:f>VLOOKUP("Category|"&amp;P124,'Score settings'!$A$14:$C$43,2,FALSE)/'Score settings'!$B$5*'Score settings'!$C$5</x:f>
        <x:v>16</x:v>
      </x:c>
      <x:c r="W124" s="41" t="n">
        <x:f>VLOOKUP("Area|"&amp;Q124,'Score settings'!$A$14:$C$43,2,FALSE)/'Score settings'!$B$6*'Score settings'!$C$6</x:f>
        <x:v>12</x:v>
      </x:c>
      <x:c r="X124" s="41" t="n">
        <x:f>VLOOKUP("Benefits|"&amp;IF(AND(ISNUMBER(H124),H124&gt;0,ISNUMBER(G124),G124&gt;0),IF(H124/G124&gt;='Score settings'!$E$17,"3plus",IF(H124/G124&gt;='Score settings'!$E$16,"1.5to3",IF(H124/G124&gt;='Score settings'!$E$15,"0.5to1.5","positive"))),"None"),'Score settings'!$A$14:$C$43,2,FALSE)/'Score settings'!$B$7*'Score settings'!$C$7</x:f>
        <x:v>5</x:v>
      </x:c>
      <x:c r="Y124" s="41" t="n">
        <x:f>VLOOKUP("Waste|"&amp;R124,'Score settings'!$A$14:$C$43,2,FALSE)/'Score settings'!$B$8*'Score settings'!$C$8</x:f>
        <x:v>15</x:v>
      </x:c>
      <x:c r="Z124" s="41" t="n">
        <x:f>IF(B124="","",SUM(U124:Y124))</x:f>
        <x:v>73</x:v>
      </x:c>
      <x:c r="AA124" s="41" t="str">
        <x:f>IF(Z124="","Not scored",VLOOKUP(Z124,'Score settings'!$A$47:$C$50,2,TRUE))</x:f>
        <x:v>Protected</x:v>
      </x:c>
      <x:c r="AB124" s="41" t="n">
        <x:f>VLOOKUP("Priority|"&amp;O124,'Score settings'!$A$14:$C$43,3,FALSE)/'Score settings'!$B$4*'Score settings'!$D$4</x:f>
        <x:v>15</x:v>
      </x:c>
      <x:c r="AC124" s="41" t="n">
        <x:f>VLOOKUP("Category|"&amp;P124,'Score settings'!$A$14:$C$43,3,FALSE)/'Score settings'!$B$5*'Score settings'!$D$5</x:f>
        <x:v>8</x:v>
      </x:c>
      <x:c r="AD124" s="41" t="n">
        <x:f>VLOOKUP("Area|"&amp;Q124,'Score settings'!$A$14:$C$43,3,FALSE)/'Score settings'!$B$6*'Score settings'!$D$6</x:f>
        <x:v>8</x:v>
      </x:c>
      <x:c r="AE124" s="41" t="n">
        <x:f>VLOOKUP("Benefits|"&amp;IF(AND(ISNUMBER(K124),K124&gt;0,ISNUMBER(G124),G124&gt;0),IF(K124/G124&gt;='Score settings'!$E$17,"3plus",IF(K124/G124&gt;='Score settings'!$E$16,"1.5to3",IF(K124/G124&gt;='Score settings'!$E$15,"0.5to1.5","positive"))),"None"),'Score settings'!$A$14:$C$43,3,FALSE)/'Score settings'!$B$7*'Score settings'!$D$7</x:f>
        <x:v>0</x:v>
      </x:c>
      <x:c r="AF124" s="41" t="n">
        <x:f>VLOOKUP("Waste|"&amp;R124,'Score settings'!$A$14:$C$43,3,FALSE)/'Score settings'!$B$8*'Score settings'!$D$8</x:f>
        <x:v>10</x:v>
      </x:c>
      <x:c r="AG124" s="41" t="n">
        <x:f>(IF(AND(ISNUMBER(M124),M124&gt;0,ISNUMBER(G124),G124&gt;0),IF(M124/G124&gt;='Score settings'!$E$17,'Score settings'!$G$17,IF(M124/G124&gt;='Score settings'!$E$16,'Score settings'!$G$16,IF(M124/G124&gt;='Score settings'!$E$15,'Score settings'!$G$15,'Score settings'!$G$14))),0)/15*'Score settings'!$B$60+IFERROR(VLOOKUP(IF(ISNUMBER(N124),N124,IF(ISNUMBER(L124),L124,0)),'Score settings'!$E$22:$F$26,2,FALSE),0)/10*'Score settings'!$B$61)/'Score settings'!$B$9*'Score settings'!$D$9</x:f>
        <x:v>0</x:v>
      </x:c>
      <x:c r="AH124" s="41" t="n">
        <x:f>IF(B124="","",SUM(AB124:AG124))</x:f>
        <x:v>41</x:v>
      </x:c>
      <x:c r="AI124" s="41" t="str">
        <x:f>IF(NOT(ISNUMBER(AH124)),"Not scored",VLOOKUP(AH124,'Score settings'!$A$47:$C$50,3,TRUE))</x:f>
        <x:v>Discretionary</x:v>
      </x:c>
      <x:c r="AJ124" s="42" t="n">
        <x:f>IF(OR(NOT(ISNUMBER(AH124)),T124&lt;&gt;"Common pot"),"",COUNTIFS($T$4:$T$509,"Common pot",$AH$4:$AH$509,"&gt;"&amp;AH124)+1)</x:f>
        <x:v>89</x:v>
      </x:c>
      <x:c r="AK124" s="36" t="str">
        <x:f>IF(B124="","Name missing - not scored",IF(OR(NOT(ISNUMBER(G124)),G124&lt;=0),"Investment missing or zero - review",IF(0=1,"Permanent ID missing - reconcile",IF(AND(ISNUMBER(H124),H124/G124&gt;='Score settings'!$B$58,NOT(ISNUMBER(I124))),"Benefit units need review",IF(OR(R124="EXIT",R124="CHALLENGE"),"Waste decision requires scope resolution",IF("Name and organisation matched"&lt;&gt;"Name and organisation matched","Waste evidence match needs review","Provisional source score - confirm evidence"))))))</x:f>
        <x:v>Provisional source score - confirm evidence</x:v>
      </x:c>
      <x:c r="AL124" s="36"/>
      <x:c r="AM124" s="40"/>
      <x:c r="AN124" s="39"/>
      <x:c r="AO124" s="40"/>
      <x:c r="AP124" s="40"/>
    </x:row>
    <x:row r="125" ht="15" hidden="0" customHeight="1">
      <x:c r="A125" s="36" t="str">
        <x:v>Bu-130</x:v>
      </x:c>
      <x:c r="B125" s="37" t="str">
        <x:v>LEM: LEM Onboarding and Change Requests</x:v>
      </x:c>
      <x:c r="C125" s="36" t="str">
        <x:v>BU Led</x:v>
      </x:c>
      <x:c r="D125" s="36" t="str">
        <x:v>Enterprise Informatics (EI)</x:v>
      </x:c>
      <x:c r="E125" s="38" t="n">
        <x:v>0.35</x:v>
      </x:c>
      <x:c r="F125" s="39"/>
      <x:c r="G125" s="38" t="n">
        <x:f>IF(ISNUMBER(F125),F125,IF(E125="","",E125))</x:f>
        <x:v>0.35</x:v>
      </x:c>
      <x:c r="H125" s="38"/>
      <x:c r="I125" s="39"/>
      <x:c r="J125" s="36" t="str">
        <x:v>Cash savings</x:v>
      </x:c>
      <x:c r="K125" s="38" t="str">
        <x:f>IF(ISNUMBER(I125),I125,IF(OR(NOT(ISNUMBER(H125)),NOT(ISNUMBER(G125)),G125&lt;=0),"",IF(H125/G125&gt;='Score settings'!$B$58,"",IF(J125="Cash savings",H125,IF(J125="Revenue",H125*'Score settings'!$B$55,"")))))</x:f>
      </x:c>
      <x:c r="L125" s="36"/>
      <x:c r="M125" s="39"/>
      <x:c r="N125" s="40"/>
      <x:c r="O125" s="36" t="str">
        <x:v>Must Do</x:v>
      </x:c>
      <x:c r="P125" s="36" t="str">
        <x:v>NewTech</x:v>
      </x:c>
      <x:c r="Q125" s="36" t="str">
        <x:v>ProcSimp</x:v>
      </x:c>
      <x:c r="R125" s="36" t="str">
        <x:v>NotAssessed</x:v>
      </x:c>
      <x:c r="S125" s="36" t="str"/>
      <x:c r="T125" s="36" t="str">
        <x:v>Common pot</x:v>
      </x:c>
      <x:c r="U125" s="41" t="n">
        <x:f>VLOOKUP("Priority|"&amp;O125,'Score settings'!$A$14:$C$43,2,FALSE)/'Score settings'!$B$4*'Score settings'!$C$4</x:f>
        <x:v>25</x:v>
      </x:c>
      <x:c r="V125" s="41" t="n">
        <x:f>VLOOKUP("Category|"&amp;P125,'Score settings'!$A$14:$C$43,2,FALSE)/'Score settings'!$B$5*'Score settings'!$C$5</x:f>
        <x:v>5</x:v>
      </x:c>
      <x:c r="W125" s="41" t="n">
        <x:f>VLOOKUP("Area|"&amp;Q125,'Score settings'!$A$14:$C$43,2,FALSE)/'Score settings'!$B$6*'Score settings'!$C$6</x:f>
        <x:v>12</x:v>
      </x:c>
      <x:c r="X125" s="41" t="n">
        <x:f>VLOOKUP("Benefits|"&amp;IF(AND(ISNUMBER(H125),H125&gt;0,ISNUMBER(G125),G125&gt;0),IF(H125/G125&gt;='Score settings'!$E$17,"3plus",IF(H125/G125&gt;='Score settings'!$E$16,"1.5to3",IF(H125/G125&gt;='Score settings'!$E$15,"0.5to1.5","positive"))),"None"),'Score settings'!$A$14:$C$43,2,FALSE)/'Score settings'!$B$7*'Score settings'!$C$7</x:f>
        <x:v>5</x:v>
      </x:c>
      <x:c r="Y125" s="41" t="n">
        <x:f>VLOOKUP("Waste|"&amp;R125,'Score settings'!$A$14:$C$43,2,FALSE)/'Score settings'!$B$8*'Score settings'!$C$8</x:f>
        <x:v>7</x:v>
      </x:c>
      <x:c r="Z125" s="41" t="n">
        <x:f>IF(B125="","",SUM(U125:Y125))</x:f>
        <x:v>54</x:v>
      </x:c>
      <x:c r="AA125" s="41" t="str">
        <x:f>IF(Z125="","Not scored",VLOOKUP(Z125,'Score settings'!$A$47:$C$50,2,TRUE))</x:f>
        <x:v>Strong</x:v>
      </x:c>
      <x:c r="AB125" s="41" t="n">
        <x:f>VLOOKUP("Priority|"&amp;O125,'Score settings'!$A$14:$C$43,3,FALSE)/'Score settings'!$B$4*'Score settings'!$D$4</x:f>
        <x:v>15</x:v>
      </x:c>
      <x:c r="AC125" s="41" t="n">
        <x:f>VLOOKUP("Category|"&amp;P125,'Score settings'!$A$14:$C$43,3,FALSE)/'Score settings'!$B$5*'Score settings'!$D$5</x:f>
        <x:v>2.5</x:v>
      </x:c>
      <x:c r="AD125" s="41" t="n">
        <x:f>VLOOKUP("Area|"&amp;Q125,'Score settings'!$A$14:$C$43,3,FALSE)/'Score settings'!$B$6*'Score settings'!$D$6</x:f>
        <x:v>8</x:v>
      </x:c>
      <x:c r="AE125" s="41" t="n">
        <x:f>VLOOKUP("Benefits|"&amp;IF(AND(ISNUMBER(K125),K125&gt;0,ISNUMBER(G125),G125&gt;0),IF(K125/G125&gt;='Score settings'!$E$17,"3plus",IF(K125/G125&gt;='Score settings'!$E$16,"1.5to3",IF(K125/G125&gt;='Score settings'!$E$15,"0.5to1.5","positive"))),"None"),'Score settings'!$A$14:$C$43,3,FALSE)/'Score settings'!$B$7*'Score settings'!$D$7</x:f>
        <x:v>0</x:v>
      </x:c>
      <x:c r="AF125" s="41" t="n">
        <x:f>VLOOKUP("Waste|"&amp;R125,'Score settings'!$A$14:$C$43,3,FALSE)/'Score settings'!$B$8*'Score settings'!$D$8</x:f>
        <x:v>0</x:v>
      </x:c>
      <x:c r="AG125" s="41" t="n">
        <x:f>(IF(AND(ISNUMBER(M125),M125&gt;0,ISNUMBER(G125),G125&gt;0),IF(M125/G125&gt;='Score settings'!$E$17,'Score settings'!$G$17,IF(M125/G125&gt;='Score settings'!$E$16,'Score settings'!$G$16,IF(M125/G125&gt;='Score settings'!$E$15,'Score settings'!$G$15,'Score settings'!$G$14))),0)/15*'Score settings'!$B$60+IFERROR(VLOOKUP(IF(ISNUMBER(N125),N125,IF(ISNUMBER(L125),L125,0)),'Score settings'!$E$22:$F$26,2,FALSE),0)/10*'Score settings'!$B$61)/'Score settings'!$B$9*'Score settings'!$D$9</x:f>
        <x:v>0</x:v>
      </x:c>
      <x:c r="AH125" s="41" t="n">
        <x:f>IF(B125="","",SUM(AB125:AG125))</x:f>
        <x:v>25.5</x:v>
      </x:c>
      <x:c r="AI125" s="41" t="str">
        <x:f>IF(NOT(ISNUMBER(AH125)),"Not scored",VLOOKUP(AH125,'Score settings'!$A$47:$C$50,3,TRUE))</x:f>
        <x:v>Discretionary</x:v>
      </x:c>
      <x:c r="AJ125" s="42" t="n">
        <x:f>IF(OR(NOT(ISNUMBER(AH125)),T125&lt;&gt;"Common pot"),"",COUNTIFS($T$4:$T$509,"Common pot",$AH$4:$AH$509,"&gt;"&amp;AH125)+1)</x:f>
        <x:v>250</x:v>
      </x:c>
      <x:c r="AK125" s="36" t="str">
        <x:f>IF(B125="","Name missing - not scored",IF(OR(NOT(ISNUMBER(G125)),G125&lt;=0),"Investment missing or zero - review",IF(0=1,"Permanent ID missing - reconcile",IF(AND(ISNUMBER(H125),H125/G125&gt;='Score settings'!$B$58,NOT(ISNUMBER(I125))),"Benefit units need review",IF(OR(R125="EXIT",R125="CHALLENGE"),"Waste decision requires scope resolution",IF("Name and organisation matched"&lt;&gt;"Name and organisation matched","Waste evidence match needs review","Provisional source score - confirm evidence"))))))</x:f>
        <x:v>Provisional source score - confirm evidence</x:v>
      </x:c>
      <x:c r="AL125" s="36"/>
      <x:c r="AM125" s="40"/>
      <x:c r="AN125" s="39"/>
      <x:c r="AO125" s="40"/>
      <x:c r="AP125" s="40"/>
    </x:row>
    <x:row r="126" ht="24" hidden="0" customHeight="1">
      <x:c r="A126" s="36" t="str">
        <x:v>Bu-131</x:v>
      </x:c>
      <x:c r="B126" s="37" t="str">
        <x:v>Commercial - Quoting, Revenue, Subscription Management non Sensei Systems</x:v>
      </x:c>
      <x:c r="C126" s="36" t="str">
        <x:v>BU Led</x:v>
      </x:c>
      <x:c r="D126" s="36" t="str">
        <x:v>Enterprise Informatics (EI)</x:v>
      </x:c>
      <x:c r="E126" s="38" t="n">
        <x:v>0.5</x:v>
      </x:c>
      <x:c r="F126" s="39"/>
      <x:c r="G126" s="38" t="n">
        <x:f>IF(ISNUMBER(F126),F126,IF(E126="","",E126))</x:f>
        <x:v>0.5</x:v>
      </x:c>
      <x:c r="H126" s="38"/>
      <x:c r="I126" s="39"/>
      <x:c r="J126" s="36" t="str">
        <x:v>Cash savings</x:v>
      </x:c>
      <x:c r="K126" s="38" t="str">
        <x:f>IF(ISNUMBER(I126),I126,IF(OR(NOT(ISNUMBER(H126)),NOT(ISNUMBER(G126)),G126&lt;=0),"",IF(H126/G126&gt;='Score settings'!$B$58,"",IF(J126="Cash savings",H126,IF(J126="Revenue",H126*'Score settings'!$B$55,"")))))</x:f>
      </x:c>
      <x:c r="L126" s="36"/>
      <x:c r="M126" s="39"/>
      <x:c r="N126" s="40"/>
      <x:c r="O126" s="36" t="str">
        <x:v>Must Do</x:v>
      </x:c>
      <x:c r="P126" s="36" t="str">
        <x:v>CI</x:v>
      </x:c>
      <x:c r="Q126" s="36" t="str">
        <x:v>ProcSimp</x:v>
      </x:c>
      <x:c r="R126" s="36" t="str">
        <x:v>NotAssessed</x:v>
      </x:c>
      <x:c r="S126" s="36" t="str"/>
      <x:c r="T126" s="36" t="str">
        <x:v>Common pot</x:v>
      </x:c>
      <x:c r="U126" s="41" t="n">
        <x:f>VLOOKUP("Priority|"&amp;O126,'Score settings'!$A$14:$C$43,2,FALSE)/'Score settings'!$B$4*'Score settings'!$C$4</x:f>
        <x:v>25</x:v>
      </x:c>
      <x:c r="V126" s="41" t="n">
        <x:f>VLOOKUP("Category|"&amp;P126,'Score settings'!$A$14:$C$43,2,FALSE)/'Score settings'!$B$5*'Score settings'!$C$5</x:f>
        <x:v>8</x:v>
      </x:c>
      <x:c r="W126" s="41" t="n">
        <x:f>VLOOKUP("Area|"&amp;Q126,'Score settings'!$A$14:$C$43,2,FALSE)/'Score settings'!$B$6*'Score settings'!$C$6</x:f>
        <x:v>12</x:v>
      </x:c>
      <x:c r="X126" s="41" t="n">
        <x:f>VLOOKUP("Benefits|"&amp;IF(AND(ISNUMBER(H126),H126&gt;0,ISNUMBER(G126),G126&gt;0),IF(H126/G126&gt;='Score settings'!$E$17,"3plus",IF(H126/G126&gt;='Score settings'!$E$16,"1.5to3",IF(H126/G126&gt;='Score settings'!$E$15,"0.5to1.5","positive"))),"None"),'Score settings'!$A$14:$C$43,2,FALSE)/'Score settings'!$B$7*'Score settings'!$C$7</x:f>
        <x:v>5</x:v>
      </x:c>
      <x:c r="Y126" s="41" t="n">
        <x:f>VLOOKUP("Waste|"&amp;R126,'Score settings'!$A$14:$C$43,2,FALSE)/'Score settings'!$B$8*'Score settings'!$C$8</x:f>
        <x:v>7</x:v>
      </x:c>
      <x:c r="Z126" s="41" t="n">
        <x:f>IF(B126="","",SUM(U126:Y126))</x:f>
        <x:v>57</x:v>
      </x:c>
      <x:c r="AA126" s="41" t="str">
        <x:f>IF(Z126="","Not scored",VLOOKUP(Z126,'Score settings'!$A$47:$C$50,2,TRUE))</x:f>
        <x:v>Strong</x:v>
      </x:c>
      <x:c r="AB126" s="41" t="n">
        <x:f>VLOOKUP("Priority|"&amp;O126,'Score settings'!$A$14:$C$43,3,FALSE)/'Score settings'!$B$4*'Score settings'!$D$4</x:f>
        <x:v>15</x:v>
      </x:c>
      <x:c r="AC126" s="41" t="n">
        <x:f>VLOOKUP("Category|"&amp;P126,'Score settings'!$A$14:$C$43,3,FALSE)/'Score settings'!$B$5*'Score settings'!$D$5</x:f>
        <x:v>4</x:v>
      </x:c>
      <x:c r="AD126" s="41" t="n">
        <x:f>VLOOKUP("Area|"&amp;Q126,'Score settings'!$A$14:$C$43,3,FALSE)/'Score settings'!$B$6*'Score settings'!$D$6</x:f>
        <x:v>8</x:v>
      </x:c>
      <x:c r="AE126" s="41" t="n">
        <x:f>VLOOKUP("Benefits|"&amp;IF(AND(ISNUMBER(K126),K126&gt;0,ISNUMBER(G126),G126&gt;0),IF(K126/G126&gt;='Score settings'!$E$17,"3plus",IF(K126/G126&gt;='Score settings'!$E$16,"1.5to3",IF(K126/G126&gt;='Score settings'!$E$15,"0.5to1.5","positive"))),"None"),'Score settings'!$A$14:$C$43,3,FALSE)/'Score settings'!$B$7*'Score settings'!$D$7</x:f>
        <x:v>0</x:v>
      </x:c>
      <x:c r="AF126" s="41" t="n">
        <x:f>VLOOKUP("Waste|"&amp;R126,'Score settings'!$A$14:$C$43,3,FALSE)/'Score settings'!$B$8*'Score settings'!$D$8</x:f>
        <x:v>0</x:v>
      </x:c>
      <x:c r="AG126" s="41" t="n">
        <x:f>(IF(AND(ISNUMBER(M126),M126&gt;0,ISNUMBER(G126),G126&gt;0),IF(M126/G126&gt;='Score settings'!$E$17,'Score settings'!$G$17,IF(M126/G126&gt;='Score settings'!$E$16,'Score settings'!$G$16,IF(M126/G126&gt;='Score settings'!$E$15,'Score settings'!$G$15,'Score settings'!$G$14))),0)/15*'Score settings'!$B$60+IFERROR(VLOOKUP(IF(ISNUMBER(N126),N126,IF(ISNUMBER(L126),L126,0)),'Score settings'!$E$22:$F$26,2,FALSE),0)/10*'Score settings'!$B$61)/'Score settings'!$B$9*'Score settings'!$D$9</x:f>
        <x:v>0</x:v>
      </x:c>
      <x:c r="AH126" s="41" t="n">
        <x:f>IF(B126="","",SUM(AB126:AG126))</x:f>
        <x:v>27</x:v>
      </x:c>
      <x:c r="AI126" s="41" t="str">
        <x:f>IF(NOT(ISNUMBER(AH126)),"Not scored",VLOOKUP(AH126,'Score settings'!$A$47:$C$50,3,TRUE))</x:f>
        <x:v>Discretionary</x:v>
      </x:c>
      <x:c r="AJ126" s="42" t="n">
        <x:f>IF(OR(NOT(ISNUMBER(AH126)),T126&lt;&gt;"Common pot"),"",COUNTIFS($T$4:$T$509,"Common pot",$AH$4:$AH$509,"&gt;"&amp;AH126)+1)</x:f>
        <x:v>224</x:v>
      </x:c>
      <x:c r="AK126" s="36" t="str">
        <x:f>IF(B126="","Name missing - not scored",IF(OR(NOT(ISNUMBER(G126)),G126&lt;=0),"Investment missing or zero - review",IF(0=1,"Permanent ID missing - reconcile",IF(AND(ISNUMBER(H126),H126/G126&gt;='Score settings'!$B$58,NOT(ISNUMBER(I126))),"Benefit units need review",IF(OR(R126="EXIT",R126="CHALLENGE"),"Waste decision requires scope resolution",IF("Name and organisation matched"&lt;&gt;"Name and organisation matched","Waste evidence match needs review","Provisional source score - confirm evidence"))))))</x:f>
        <x:v>Provisional source score - confirm evidence</x:v>
      </x:c>
      <x:c r="AL126" s="36"/>
      <x:c r="AM126" s="40"/>
      <x:c r="AN126" s="39"/>
      <x:c r="AO126" s="40"/>
      <x:c r="AP126" s="40"/>
    </x:row>
    <x:row r="127" ht="15" hidden="0" customHeight="1">
      <x:c r="A127" s="36" t="str">
        <x:v>Bu-132</x:v>
      </x:c>
      <x:c r="B127" s="37" t="str">
        <x:v>Install Base : Commercial Install-Base Intelligence</x:v>
      </x:c>
      <x:c r="C127" s="36" t="str">
        <x:v>BU Led</x:v>
      </x:c>
      <x:c r="D127" s="36" t="str">
        <x:v>Enterprise Informatics (EI)</x:v>
      </x:c>
      <x:c r="E127" s="38" t="n">
        <x:v>0.6</x:v>
      </x:c>
      <x:c r="F127" s="39"/>
      <x:c r="G127" s="38" t="n">
        <x:f>IF(ISNUMBER(F127),F127,IF(E127="","",E127))</x:f>
        <x:v>0.6</x:v>
      </x:c>
      <x:c r="H127" s="38" t="n">
        <x:v>0.5</x:v>
      </x:c>
      <x:c r="I127" s="39"/>
      <x:c r="J127" s="36" t="str">
        <x:v>Revenue</x:v>
      </x:c>
      <x:c r="K127" s="38" t="n">
        <x:f>IF(ISNUMBER(I127),I127,IF(OR(NOT(ISNUMBER(H127)),NOT(ISNUMBER(G127)),G127&lt;=0),"",IF(H127/G127&gt;='Score settings'!$B$58,"",IF(J127="Cash savings",H127,IF(J127="Revenue",H127*'Score settings'!$B$55,"")))))</x:f>
        <x:v>0.075</x:v>
      </x:c>
      <x:c r="L127" s="36"/>
      <x:c r="M127" s="39"/>
      <x:c r="N127" s="40"/>
      <x:c r="O127" s="36" t="str">
        <x:v>Must Do</x:v>
      </x:c>
      <x:c r="P127" s="36" t="str">
        <x:v>AI</x:v>
      </x:c>
      <x:c r="Q127" s="36" t="str">
        <x:v>Revenue</x:v>
      </x:c>
      <x:c r="R127" s="36" t="str">
        <x:v>NotAssessed</x:v>
      </x:c>
      <x:c r="S127" s="36" t="str"/>
      <x:c r="T127" s="36" t="str">
        <x:v>Common pot</x:v>
      </x:c>
      <x:c r="U127" s="41" t="n">
        <x:f>VLOOKUP("Priority|"&amp;O127,'Score settings'!$A$14:$C$43,2,FALSE)/'Score settings'!$B$4*'Score settings'!$C$4</x:f>
        <x:v>25</x:v>
      </x:c>
      <x:c r="V127" s="41" t="n">
        <x:f>VLOOKUP("Category|"&amp;P127,'Score settings'!$A$14:$C$43,2,FALSE)/'Score settings'!$B$5*'Score settings'!$C$5</x:f>
        <x:v>16</x:v>
      </x:c>
      <x:c r="W127" s="41" t="n">
        <x:f>VLOOKUP("Area|"&amp;Q127,'Score settings'!$A$14:$C$43,2,FALSE)/'Score settings'!$B$6*'Score settings'!$C$6</x:f>
        <x:v>11</x:v>
      </x:c>
      <x:c r="X127" s="41" t="n">
        <x:f>VLOOKUP("Benefits|"&amp;IF(AND(ISNUMBER(H127),H127&gt;0,ISNUMBER(G127),G127&gt;0),IF(H127/G127&gt;='Score settings'!$E$17,"3plus",IF(H127/G127&gt;='Score settings'!$E$16,"1.5to3",IF(H127/G127&gt;='Score settings'!$E$15,"0.5to1.5","positive"))),"None"),'Score settings'!$A$14:$C$43,2,FALSE)/'Score settings'!$B$7*'Score settings'!$C$7</x:f>
        <x:v>15</x:v>
      </x:c>
      <x:c r="Y127" s="41" t="n">
        <x:f>VLOOKUP("Waste|"&amp;R127,'Score settings'!$A$14:$C$43,2,FALSE)/'Score settings'!$B$8*'Score settings'!$C$8</x:f>
        <x:v>7</x:v>
      </x:c>
      <x:c r="Z127" s="41" t="n">
        <x:f>IF(B127="","",SUM(U127:Y127))</x:f>
        <x:v>74</x:v>
      </x:c>
      <x:c r="AA127" s="41" t="str">
        <x:f>IF(Z127="","Not scored",VLOOKUP(Z127,'Score settings'!$A$47:$C$50,2,TRUE))</x:f>
        <x:v>Protected</x:v>
      </x:c>
      <x:c r="AB127" s="41" t="n">
        <x:f>VLOOKUP("Priority|"&amp;O127,'Score settings'!$A$14:$C$43,3,FALSE)/'Score settings'!$B$4*'Score settings'!$D$4</x:f>
        <x:v>15</x:v>
      </x:c>
      <x:c r="AC127" s="41" t="n">
        <x:f>VLOOKUP("Category|"&amp;P127,'Score settings'!$A$14:$C$43,3,FALSE)/'Score settings'!$B$5*'Score settings'!$D$5</x:f>
        <x:v>8</x:v>
      </x:c>
      <x:c r="AD127" s="41" t="n">
        <x:f>VLOOKUP("Area|"&amp;Q127,'Score settings'!$A$14:$C$43,3,FALSE)/'Score settings'!$B$6*'Score settings'!$D$6</x:f>
        <x:v>7.333333333333333</x:v>
      </x:c>
      <x:c r="AE127" s="41" t="n">
        <x:f>VLOOKUP("Benefits|"&amp;IF(AND(ISNUMBER(K127),K127&gt;0,ISNUMBER(G127),G127&gt;0),IF(K127/G127&gt;='Score settings'!$E$17,"3plus",IF(K127/G127&gt;='Score settings'!$E$16,"1.5to3",IF(K127/G127&gt;='Score settings'!$E$15,"0.5to1.5","positive"))),"None"),'Score settings'!$A$14:$C$43,3,FALSE)/'Score settings'!$B$7*'Score settings'!$D$7</x:f>
        <x:v>12</x:v>
      </x:c>
      <x:c r="AF127" s="41" t="n">
        <x:f>VLOOKUP("Waste|"&amp;R127,'Score settings'!$A$14:$C$43,3,FALSE)/'Score settings'!$B$8*'Score settings'!$D$8</x:f>
        <x:v>0</x:v>
      </x:c>
      <x:c r="AG127" s="41" t="n">
        <x:f>(IF(AND(ISNUMBER(M127),M127&gt;0,ISNUMBER(G127),G127&gt;0),IF(M127/G127&gt;='Score settings'!$E$17,'Score settings'!$G$17,IF(M127/G127&gt;='Score settings'!$E$16,'Score settings'!$G$16,IF(M127/G127&gt;='Score settings'!$E$15,'Score settings'!$G$15,'Score settings'!$G$14))),0)/15*'Score settings'!$B$60+IFERROR(VLOOKUP(IF(ISNUMBER(N127),N127,IF(ISNUMBER(L127),L127,0)),'Score settings'!$E$22:$F$26,2,FALSE),0)/10*'Score settings'!$B$61)/'Score settings'!$B$9*'Score settings'!$D$9</x:f>
        <x:v>0</x:v>
      </x:c>
      <x:c r="AH127" s="41" t="n">
        <x:f>IF(B127="","",SUM(AB127:AG127))</x:f>
        <x:v>42.33333333333333</x:v>
      </x:c>
      <x:c r="AI127" s="41" t="str">
        <x:f>IF(NOT(ISNUMBER(AH127)),"Not scored",VLOOKUP(AH127,'Score settings'!$A$47:$C$50,3,TRUE))</x:f>
        <x:v>Discretionary</x:v>
      </x:c>
      <x:c r="AJ127" s="42" t="n">
        <x:f>IF(OR(NOT(ISNUMBER(AH127)),T127&lt;&gt;"Common pot"),"",COUNTIFS($T$4:$T$509,"Common pot",$AH$4:$AH$509,"&gt;"&amp;AH127)+1)</x:f>
        <x:v>79</x:v>
      </x:c>
      <x:c r="AK127" s="36" t="str">
        <x:f>IF(B127="","Name missing - not scored",IF(OR(NOT(ISNUMBER(G127)),G127&lt;=0),"Investment missing or zero - review",IF(0=1,"Permanent ID missing - reconcile",IF(AND(ISNUMBER(H127),H127/G127&gt;='Score settings'!$B$58,NOT(ISNUMBER(I127))),"Benefit units need review",IF(OR(R127="EXIT",R127="CHALLENGE"),"Waste decision requires scope resolution",IF("No exact waste match"&lt;&gt;"Name and organisation matched","Waste evidence match needs review","Provisional source score - confirm evidence"))))))</x:f>
        <x:v>Waste evidence match needs review</x:v>
      </x:c>
      <x:c r="AL127" s="36"/>
      <x:c r="AM127" s="40"/>
      <x:c r="AN127" s="39"/>
      <x:c r="AO127" s="40"/>
      <x:c r="AP127" s="40"/>
    </x:row>
    <x:row r="128" ht="15" hidden="0" customHeight="1">
      <x:c r="A128" s="36" t="str">
        <x:v>Bu-133</x:v>
      </x:c>
      <x:c r="B128" s="37" t="str">
        <x:v>Install Base : Data Foundation and Service Updates</x:v>
      </x:c>
      <x:c r="C128" s="36" t="str">
        <x:v>BU Led</x:v>
      </x:c>
      <x:c r="D128" s="36" t="str">
        <x:v>Enterprise Informatics (EI)</x:v>
      </x:c>
      <x:c r="E128" s="38" t="n">
        <x:v>0.6</x:v>
      </x:c>
      <x:c r="F128" s="39"/>
      <x:c r="G128" s="38" t="n">
        <x:f>IF(ISNUMBER(F128),F128,IF(E128="","",E128))</x:f>
        <x:v>0.6</x:v>
      </x:c>
      <x:c r="H128" s="38" t="n">
        <x:v>0.25</x:v>
      </x:c>
      <x:c r="I128" s="39"/>
      <x:c r="J128" s="36" t="str">
        <x:v>Revenue</x:v>
      </x:c>
      <x:c r="K128" s="38" t="n">
        <x:f>IF(ISNUMBER(I128),I128,IF(OR(NOT(ISNUMBER(H128)),NOT(ISNUMBER(G128)),G128&lt;=0),"",IF(H128/G128&gt;='Score settings'!$B$58,"",IF(J128="Cash savings",H128,IF(J128="Revenue",H128*'Score settings'!$B$55,"")))))</x:f>
        <x:v>0.0375</x:v>
      </x:c>
      <x:c r="L128" s="36"/>
      <x:c r="M128" s="39"/>
      <x:c r="N128" s="40"/>
      <x:c r="O128" s="36" t="str">
        <x:v>Must Do</x:v>
      </x:c>
      <x:c r="P128" s="36" t="str">
        <x:v>AI</x:v>
      </x:c>
      <x:c r="Q128" s="36" t="str">
        <x:v>Revenue</x:v>
      </x:c>
      <x:c r="R128" s="36" t="str">
        <x:v>NotAssessed</x:v>
      </x:c>
      <x:c r="S128" s="36" t="str"/>
      <x:c r="T128" s="36" t="str">
        <x:v>Common pot</x:v>
      </x:c>
      <x:c r="U128" s="41" t="n">
        <x:f>VLOOKUP("Priority|"&amp;O128,'Score settings'!$A$14:$C$43,2,FALSE)/'Score settings'!$B$4*'Score settings'!$C$4</x:f>
        <x:v>25</x:v>
      </x:c>
      <x:c r="V128" s="41" t="n">
        <x:f>VLOOKUP("Category|"&amp;P128,'Score settings'!$A$14:$C$43,2,FALSE)/'Score settings'!$B$5*'Score settings'!$C$5</x:f>
        <x:v>16</x:v>
      </x:c>
      <x:c r="W128" s="41" t="n">
        <x:f>VLOOKUP("Area|"&amp;Q128,'Score settings'!$A$14:$C$43,2,FALSE)/'Score settings'!$B$6*'Score settings'!$C$6</x:f>
        <x:v>11</x:v>
      </x:c>
      <x:c r="X128" s="41" t="n">
        <x:f>VLOOKUP("Benefits|"&amp;IF(AND(ISNUMBER(H128),H128&gt;0,ISNUMBER(G128),G128&gt;0),IF(H128/G128&gt;='Score settings'!$E$17,"3plus",IF(H128/G128&gt;='Score settings'!$E$16,"1.5to3",IF(H128/G128&gt;='Score settings'!$E$15,"0.5to1.5","positive"))),"None"),'Score settings'!$A$14:$C$43,2,FALSE)/'Score settings'!$B$7*'Score settings'!$C$7</x:f>
        <x:v>10</x:v>
      </x:c>
      <x:c r="Y128" s="41" t="n">
        <x:f>VLOOKUP("Waste|"&amp;R128,'Score settings'!$A$14:$C$43,2,FALSE)/'Score settings'!$B$8*'Score settings'!$C$8</x:f>
        <x:v>7</x:v>
      </x:c>
      <x:c r="Z128" s="41" t="n">
        <x:f>IF(B128="","",SUM(U128:Y128))</x:f>
        <x:v>69</x:v>
      </x:c>
      <x:c r="AA128" s="41" t="str">
        <x:f>IF(Z128="","Not scored",VLOOKUP(Z128,'Score settings'!$A$47:$C$50,2,TRUE))</x:f>
        <x:v>Protected</x:v>
      </x:c>
      <x:c r="AB128" s="41" t="n">
        <x:f>VLOOKUP("Priority|"&amp;O128,'Score settings'!$A$14:$C$43,3,FALSE)/'Score settings'!$B$4*'Score settings'!$D$4</x:f>
        <x:v>15</x:v>
      </x:c>
      <x:c r="AC128" s="41" t="n">
        <x:f>VLOOKUP("Category|"&amp;P128,'Score settings'!$A$14:$C$43,3,FALSE)/'Score settings'!$B$5*'Score settings'!$D$5</x:f>
        <x:v>8</x:v>
      </x:c>
      <x:c r="AD128" s="41" t="n">
        <x:f>VLOOKUP("Area|"&amp;Q128,'Score settings'!$A$14:$C$43,3,FALSE)/'Score settings'!$B$6*'Score settings'!$D$6</x:f>
        <x:v>7.333333333333333</x:v>
      </x:c>
      <x:c r="AE128" s="41" t="n">
        <x:f>VLOOKUP("Benefits|"&amp;IF(AND(ISNUMBER(K128),K128&gt;0,ISNUMBER(G128),G128&gt;0),IF(K128/G128&gt;='Score settings'!$E$17,"3plus",IF(K128/G128&gt;='Score settings'!$E$16,"1.5to3",IF(K128/G128&gt;='Score settings'!$E$15,"0.5to1.5","positive"))),"None"),'Score settings'!$A$14:$C$43,3,FALSE)/'Score settings'!$B$7*'Score settings'!$D$7</x:f>
        <x:v>12</x:v>
      </x:c>
      <x:c r="AF128" s="41" t="n">
        <x:f>VLOOKUP("Waste|"&amp;R128,'Score settings'!$A$14:$C$43,3,FALSE)/'Score settings'!$B$8*'Score settings'!$D$8</x:f>
        <x:v>0</x:v>
      </x:c>
      <x:c r="AG128" s="41" t="n">
        <x:f>(IF(AND(ISNUMBER(M128),M128&gt;0,ISNUMBER(G128),G128&gt;0),IF(M128/G128&gt;='Score settings'!$E$17,'Score settings'!$G$17,IF(M128/G128&gt;='Score settings'!$E$16,'Score settings'!$G$16,IF(M128/G128&gt;='Score settings'!$E$15,'Score settings'!$G$15,'Score settings'!$G$14))),0)/15*'Score settings'!$B$60+IFERROR(VLOOKUP(IF(ISNUMBER(N128),N128,IF(ISNUMBER(L128),L128,0)),'Score settings'!$E$22:$F$26,2,FALSE),0)/10*'Score settings'!$B$61)/'Score settings'!$B$9*'Score settings'!$D$9</x:f>
        <x:v>0</x:v>
      </x:c>
      <x:c r="AH128" s="41" t="n">
        <x:f>IF(B128="","",SUM(AB128:AG128))</x:f>
        <x:v>42.33333333333333</x:v>
      </x:c>
      <x:c r="AI128" s="41" t="str">
        <x:f>IF(NOT(ISNUMBER(AH128)),"Not scored",VLOOKUP(AH128,'Score settings'!$A$47:$C$50,3,TRUE))</x:f>
        <x:v>Discretionary</x:v>
      </x:c>
      <x:c r="AJ128" s="42" t="n">
        <x:f>IF(OR(NOT(ISNUMBER(AH128)),T128&lt;&gt;"Common pot"),"",COUNTIFS($T$4:$T$509,"Common pot",$AH$4:$AH$509,"&gt;"&amp;AH128)+1)</x:f>
        <x:v>79</x:v>
      </x:c>
      <x:c r="AK128" s="36" t="str">
        <x:f>IF(B128="","Name missing - not scored",IF(OR(NOT(ISNUMBER(G128)),G128&lt;=0),"Investment missing or zero - review",IF(0=1,"Permanent ID missing - reconcile",IF(AND(ISNUMBER(H128),H128/G128&gt;='Score settings'!$B$58,NOT(ISNUMBER(I128))),"Benefit units need review",IF(OR(R128="EXIT",R128="CHALLENGE"),"Waste decision requires scope resolution",IF("No exact waste match"&lt;&gt;"Name and organisation matched","Waste evidence match needs review","Provisional source score - confirm evidence"))))))</x:f>
        <x:v>Waste evidence match needs review</x:v>
      </x:c>
      <x:c r="AL128" s="36"/>
      <x:c r="AM128" s="40"/>
      <x:c r="AN128" s="39"/>
      <x:c r="AO128" s="40"/>
      <x:c r="AP128" s="40"/>
    </x:row>
    <x:row r="129" ht="15" hidden="0" customHeight="1">
      <x:c r="A129" s="36" t="str">
        <x:v>Bu-134</x:v>
      </x:c>
      <x:c r="B129" s="37" t="str">
        <x:v>Install Base : Technical foundation </x:v>
      </x:c>
      <x:c r="C129" s="36" t="str">
        <x:v>BU Led</x:v>
      </x:c>
      <x:c r="D129" s="36" t="str">
        <x:v>Enterprise Informatics (EI)</x:v>
      </x:c>
      <x:c r="E129" s="38" t="n">
        <x:v>0.3</x:v>
      </x:c>
      <x:c r="F129" s="39"/>
      <x:c r="G129" s="38" t="n">
        <x:f>IF(ISNUMBER(F129),F129,IF(E129="","",E129))</x:f>
        <x:v>0.3</x:v>
      </x:c>
      <x:c r="H129" s="38" t="n">
        <x:v>0.25</x:v>
      </x:c>
      <x:c r="I129" s="39"/>
      <x:c r="J129" s="36" t="str">
        <x:v>Revenue</x:v>
      </x:c>
      <x:c r="K129" s="38" t="n">
        <x:f>IF(ISNUMBER(I129),I129,IF(OR(NOT(ISNUMBER(H129)),NOT(ISNUMBER(G129)),G129&lt;=0),"",IF(H129/G129&gt;='Score settings'!$B$58,"",IF(J129="Cash savings",H129,IF(J129="Revenue",H129*'Score settings'!$B$55,"")))))</x:f>
        <x:v>0.0375</x:v>
      </x:c>
      <x:c r="L129" s="36"/>
      <x:c r="M129" s="39"/>
      <x:c r="N129" s="40"/>
      <x:c r="O129" s="36" t="str">
        <x:v>Must Do</x:v>
      </x:c>
      <x:c r="P129" s="36" t="str">
        <x:v>AI</x:v>
      </x:c>
      <x:c r="Q129" s="36" t="str">
        <x:v>Revenue</x:v>
      </x:c>
      <x:c r="R129" s="36" t="str">
        <x:v>NotAssessed</x:v>
      </x:c>
      <x:c r="S129" s="36" t="str"/>
      <x:c r="T129" s="36" t="str">
        <x:v>Common pot</x:v>
      </x:c>
      <x:c r="U129" s="41" t="n">
        <x:f>VLOOKUP("Priority|"&amp;O129,'Score settings'!$A$14:$C$43,2,FALSE)/'Score settings'!$B$4*'Score settings'!$C$4</x:f>
        <x:v>25</x:v>
      </x:c>
      <x:c r="V129" s="41" t="n">
        <x:f>VLOOKUP("Category|"&amp;P129,'Score settings'!$A$14:$C$43,2,FALSE)/'Score settings'!$B$5*'Score settings'!$C$5</x:f>
        <x:v>16</x:v>
      </x:c>
      <x:c r="W129" s="41" t="n">
        <x:f>VLOOKUP("Area|"&amp;Q129,'Score settings'!$A$14:$C$43,2,FALSE)/'Score settings'!$B$6*'Score settings'!$C$6</x:f>
        <x:v>11</x:v>
      </x:c>
      <x:c r="X129" s="41" t="n">
        <x:f>VLOOKUP("Benefits|"&amp;IF(AND(ISNUMBER(H129),H129&gt;0,ISNUMBER(G129),G129&gt;0),IF(H129/G129&gt;='Score settings'!$E$17,"3plus",IF(H129/G129&gt;='Score settings'!$E$16,"1.5to3",IF(H129/G129&gt;='Score settings'!$E$15,"0.5to1.5","positive"))),"None"),'Score settings'!$A$14:$C$43,2,FALSE)/'Score settings'!$B$7*'Score settings'!$C$7</x:f>
        <x:v>15</x:v>
      </x:c>
      <x:c r="Y129" s="41" t="n">
        <x:f>VLOOKUP("Waste|"&amp;R129,'Score settings'!$A$14:$C$43,2,FALSE)/'Score settings'!$B$8*'Score settings'!$C$8</x:f>
        <x:v>7</x:v>
      </x:c>
      <x:c r="Z129" s="41" t="n">
        <x:f>IF(B129="","",SUM(U129:Y129))</x:f>
        <x:v>74</x:v>
      </x:c>
      <x:c r="AA129" s="41" t="str">
        <x:f>IF(Z129="","Not scored",VLOOKUP(Z129,'Score settings'!$A$47:$C$50,2,TRUE))</x:f>
        <x:v>Protected</x:v>
      </x:c>
      <x:c r="AB129" s="41" t="n">
        <x:f>VLOOKUP("Priority|"&amp;O129,'Score settings'!$A$14:$C$43,3,FALSE)/'Score settings'!$B$4*'Score settings'!$D$4</x:f>
        <x:v>15</x:v>
      </x:c>
      <x:c r="AC129" s="41" t="n">
        <x:f>VLOOKUP("Category|"&amp;P129,'Score settings'!$A$14:$C$43,3,FALSE)/'Score settings'!$B$5*'Score settings'!$D$5</x:f>
        <x:v>8</x:v>
      </x:c>
      <x:c r="AD129" s="41" t="n">
        <x:f>VLOOKUP("Area|"&amp;Q129,'Score settings'!$A$14:$C$43,3,FALSE)/'Score settings'!$B$6*'Score settings'!$D$6</x:f>
        <x:v>7.333333333333333</x:v>
      </x:c>
      <x:c r="AE129" s="41" t="n">
        <x:f>VLOOKUP("Benefits|"&amp;IF(AND(ISNUMBER(K129),K129&gt;0,ISNUMBER(G129),G129&gt;0),IF(K129/G129&gt;='Score settings'!$E$17,"3plus",IF(K129/G129&gt;='Score settings'!$E$16,"1.5to3",IF(K129/G129&gt;='Score settings'!$E$15,"0.5to1.5","positive"))),"None"),'Score settings'!$A$14:$C$43,3,FALSE)/'Score settings'!$B$7*'Score settings'!$D$7</x:f>
        <x:v>12</x:v>
      </x:c>
      <x:c r="AF129" s="41" t="n">
        <x:f>VLOOKUP("Waste|"&amp;R129,'Score settings'!$A$14:$C$43,3,FALSE)/'Score settings'!$B$8*'Score settings'!$D$8</x:f>
        <x:v>0</x:v>
      </x:c>
      <x:c r="AG129" s="41" t="n">
        <x:f>(IF(AND(ISNUMBER(M129),M129&gt;0,ISNUMBER(G129),G129&gt;0),IF(M129/G129&gt;='Score settings'!$E$17,'Score settings'!$G$17,IF(M129/G129&gt;='Score settings'!$E$16,'Score settings'!$G$16,IF(M129/G129&gt;='Score settings'!$E$15,'Score settings'!$G$15,'Score settings'!$G$14))),0)/15*'Score settings'!$B$60+IFERROR(VLOOKUP(IF(ISNUMBER(N129),N129,IF(ISNUMBER(L129),L129,0)),'Score settings'!$E$22:$F$26,2,FALSE),0)/10*'Score settings'!$B$61)/'Score settings'!$B$9*'Score settings'!$D$9</x:f>
        <x:v>0</x:v>
      </x:c>
      <x:c r="AH129" s="41" t="n">
        <x:f>IF(B129="","",SUM(AB129:AG129))</x:f>
        <x:v>42.33333333333333</x:v>
      </x:c>
      <x:c r="AI129" s="41" t="str">
        <x:f>IF(NOT(ISNUMBER(AH129)),"Not scored",VLOOKUP(AH129,'Score settings'!$A$47:$C$50,3,TRUE))</x:f>
        <x:v>Discretionary</x:v>
      </x:c>
      <x:c r="AJ129" s="42" t="n">
        <x:f>IF(OR(NOT(ISNUMBER(AH129)),T129&lt;&gt;"Common pot"),"",COUNTIFS($T$4:$T$509,"Common pot",$AH$4:$AH$509,"&gt;"&amp;AH129)+1)</x:f>
        <x:v>79</x:v>
      </x:c>
      <x:c r="AK129" s="36" t="str">
        <x:f>IF(B129="","Name missing - not scored",IF(OR(NOT(ISNUMBER(G129)),G129&lt;=0),"Investment missing or zero - review",IF(0=1,"Permanent ID missing - reconcile",IF(AND(ISNUMBER(H129),H129/G129&gt;='Score settings'!$B$58,NOT(ISNUMBER(I129))),"Benefit units need review",IF(OR(R129="EXIT",R129="CHALLENGE"),"Waste decision requires scope resolution",IF("No exact waste match"&lt;&gt;"Name and organisation matched","Waste evidence match needs review","Provisional source score - confirm evidence"))))))</x:f>
        <x:v>Waste evidence match needs review</x:v>
      </x:c>
      <x:c r="AL129" s="36"/>
      <x:c r="AM129" s="40"/>
      <x:c r="AN129" s="39"/>
      <x:c r="AO129" s="40"/>
      <x:c r="AP129" s="40"/>
    </x:row>
    <x:row r="130" ht="15" hidden="0" customHeight="1">
      <x:c r="A130" s="36" t="str">
        <x:v>Bu-135</x:v>
      </x:c>
      <x:c r="B130" s="37" t="str">
        <x:v>Sensei Onboarding Regions and Products</x:v>
      </x:c>
      <x:c r="C130" s="36" t="str">
        <x:v>BU Led</x:v>
      </x:c>
      <x:c r="D130" s="36" t="str">
        <x:v>Enterprise Informatics (EI)</x:v>
      </x:c>
      <x:c r="E130" s="38" t="n">
        <x:v>0.75</x:v>
      </x:c>
      <x:c r="F130" s="39"/>
      <x:c r="G130" s="38" t="n">
        <x:f>IF(ISNUMBER(F130),F130,IF(E130="","",E130))</x:f>
        <x:v>0.75</x:v>
      </x:c>
      <x:c r="H130" s="38" t="n">
        <x:v>0.5</x:v>
      </x:c>
      <x:c r="I130" s="39"/>
      <x:c r="J130" s="36" t="str">
        <x:v>Cash savings</x:v>
      </x:c>
      <x:c r="K130" s="38" t="n">
        <x:f>IF(ISNUMBER(I130),I130,IF(OR(NOT(ISNUMBER(H130)),NOT(ISNUMBER(G130)),G130&lt;=0),"",IF(H130/G130&gt;='Score settings'!$B$58,"",IF(J130="Cash savings",H130,IF(J130="Revenue",H130*'Score settings'!$B$55,"")))))</x:f>
        <x:v>0.5</x:v>
      </x:c>
      <x:c r="L130" s="36"/>
      <x:c r="M130" s="39"/>
      <x:c r="N130" s="40"/>
      <x:c r="O130" s="36" t="str">
        <x:v>Must Do</x:v>
      </x:c>
      <x:c r="P130" s="36" t="str">
        <x:v>AI</x:v>
      </x:c>
      <x:c r="Q130" s="36" t="str">
        <x:v>Productivity</x:v>
      </x:c>
      <x:c r="R130" s="36" t="str">
        <x:v>NotAssessed</x:v>
      </x:c>
      <x:c r="S130" s="36" t="str"/>
      <x:c r="T130" s="36" t="str">
        <x:v>Common pot</x:v>
      </x:c>
      <x:c r="U130" s="41" t="n">
        <x:f>VLOOKUP("Priority|"&amp;O130,'Score settings'!$A$14:$C$43,2,FALSE)/'Score settings'!$B$4*'Score settings'!$C$4</x:f>
        <x:v>25</x:v>
      </x:c>
      <x:c r="V130" s="41" t="n">
        <x:f>VLOOKUP("Category|"&amp;P130,'Score settings'!$A$14:$C$43,2,FALSE)/'Score settings'!$B$5*'Score settings'!$C$5</x:f>
        <x:v>16</x:v>
      </x:c>
      <x:c r="W130" s="41" t="n">
        <x:f>VLOOKUP("Area|"&amp;Q130,'Score settings'!$A$14:$C$43,2,FALSE)/'Score settings'!$B$6*'Score settings'!$C$6</x:f>
        <x:v>10</x:v>
      </x:c>
      <x:c r="X130" s="41" t="n">
        <x:f>VLOOKUP("Benefits|"&amp;IF(AND(ISNUMBER(H130),H130&gt;0,ISNUMBER(G130),G130&gt;0),IF(H130/G130&gt;='Score settings'!$E$17,"3plus",IF(H130/G130&gt;='Score settings'!$E$16,"1.5to3",IF(H130/G130&gt;='Score settings'!$E$15,"0.5to1.5","positive"))),"None"),'Score settings'!$A$14:$C$43,2,FALSE)/'Score settings'!$B$7*'Score settings'!$C$7</x:f>
        <x:v>15</x:v>
      </x:c>
      <x:c r="Y130" s="41" t="n">
        <x:f>VLOOKUP("Waste|"&amp;R130,'Score settings'!$A$14:$C$43,2,FALSE)/'Score settings'!$B$8*'Score settings'!$C$8</x:f>
        <x:v>7</x:v>
      </x:c>
      <x:c r="Z130" s="41" t="n">
        <x:f>IF(B130="","",SUM(U130:Y130))</x:f>
        <x:v>73</x:v>
      </x:c>
      <x:c r="AA130" s="41" t="str">
        <x:f>IF(Z130="","Not scored",VLOOKUP(Z130,'Score settings'!$A$47:$C$50,2,TRUE))</x:f>
        <x:v>Protected</x:v>
      </x:c>
      <x:c r="AB130" s="41" t="n">
        <x:f>VLOOKUP("Priority|"&amp;O130,'Score settings'!$A$14:$C$43,3,FALSE)/'Score settings'!$B$4*'Score settings'!$D$4</x:f>
        <x:v>15</x:v>
      </x:c>
      <x:c r="AC130" s="41" t="n">
        <x:f>VLOOKUP("Category|"&amp;P130,'Score settings'!$A$14:$C$43,3,FALSE)/'Score settings'!$B$5*'Score settings'!$D$5</x:f>
        <x:v>8</x:v>
      </x:c>
      <x:c r="AD130" s="41" t="n">
        <x:f>VLOOKUP("Area|"&amp;Q130,'Score settings'!$A$14:$C$43,3,FALSE)/'Score settings'!$B$6*'Score settings'!$D$6</x:f>
        <x:v>6.666666666666666</x:v>
      </x:c>
      <x:c r="AE130" s="41" t="n">
        <x:f>VLOOKUP("Benefits|"&amp;IF(AND(ISNUMBER(K130),K130&gt;0,ISNUMBER(G130),G130&gt;0),IF(K130/G130&gt;='Score settings'!$E$17,"3plus",IF(K130/G130&gt;='Score settings'!$E$16,"1.5to3",IF(K130/G130&gt;='Score settings'!$E$15,"0.5to1.5","positive"))),"None"),'Score settings'!$A$14:$C$43,3,FALSE)/'Score settings'!$B$7*'Score settings'!$D$7</x:f>
        <x:v>18</x:v>
      </x:c>
      <x:c r="AF130" s="41" t="n">
        <x:f>VLOOKUP("Waste|"&amp;R130,'Score settings'!$A$14:$C$43,3,FALSE)/'Score settings'!$B$8*'Score settings'!$D$8</x:f>
        <x:v>0</x:v>
      </x:c>
      <x:c r="AG130" s="41" t="n">
        <x:f>(IF(AND(ISNUMBER(M130),M130&gt;0,ISNUMBER(G130),G130&gt;0),IF(M130/G130&gt;='Score settings'!$E$17,'Score settings'!$G$17,IF(M130/G130&gt;='Score settings'!$E$16,'Score settings'!$G$16,IF(M130/G130&gt;='Score settings'!$E$15,'Score settings'!$G$15,'Score settings'!$G$14))),0)/15*'Score settings'!$B$60+IFERROR(VLOOKUP(IF(ISNUMBER(N130),N130,IF(ISNUMBER(L130),L130,0)),'Score settings'!$E$22:$F$26,2,FALSE),0)/10*'Score settings'!$B$61)/'Score settings'!$B$9*'Score settings'!$D$9</x:f>
        <x:v>0</x:v>
      </x:c>
      <x:c r="AH130" s="41" t="n">
        <x:f>IF(B130="","",SUM(AB130:AG130))</x:f>
        <x:v>47.666666666666664</x:v>
      </x:c>
      <x:c r="AI130" s="41" t="str">
        <x:f>IF(NOT(ISNUMBER(AH130)),"Not scored",VLOOKUP(AH130,'Score settings'!$A$47:$C$50,3,TRUE))</x:f>
        <x:v>Strong</x:v>
      </x:c>
      <x:c r="AJ130" s="42" t="n">
        <x:f>IF(OR(NOT(ISNUMBER(AH130)),T130&lt;&gt;"Common pot"),"",COUNTIFS($T$4:$T$509,"Common pot",$AH$4:$AH$509,"&gt;"&amp;AH130)+1)</x:f>
        <x:v>55</x:v>
      </x:c>
      <x:c r="AK130" s="36" t="str">
        <x:f>IF(B130="","Name missing - not scored",IF(OR(NOT(ISNUMBER(G130)),G130&lt;=0),"Investment missing or zero - review",IF(0=1,"Permanent ID missing - reconcile",IF(AND(ISNUMBER(H130),H130/G130&gt;='Score settings'!$B$58,NOT(ISNUMBER(I130))),"Benefit units need review",IF(OR(R130="EXIT",R130="CHALLENGE"),"Waste decision requires scope resolution",IF("No exact waste match"&lt;&gt;"Name and organisation matched","Waste evidence match needs review","Provisional source score - confirm evidence"))))))</x:f>
        <x:v>Waste evidence match needs review</x:v>
      </x:c>
      <x:c r="AL130" s="36"/>
      <x:c r="AM130" s="40"/>
      <x:c r="AN130" s="39"/>
      <x:c r="AO130" s="40"/>
      <x:c r="AP130" s="40"/>
    </x:row>
    <x:row r="131" ht="15" hidden="0" customHeight="1">
      <x:c r="A131" s="36" t="str">
        <x:v>Bu-136</x:v>
      </x:c>
      <x:c r="B131" s="37" t="str">
        <x:v>Commercial Excellence Program - GtM and Channel CRM</x:v>
      </x:c>
      <x:c r="C131" s="36" t="str">
        <x:v>BU Led</x:v>
      </x:c>
      <x:c r="D131" s="36" t="str">
        <x:v>Enterprise Informatics (EI)</x:v>
      </x:c>
      <x:c r="E131" s="38" t="n">
        <x:v>0.2</x:v>
      </x:c>
      <x:c r="F131" s="39"/>
      <x:c r="G131" s="38" t="n">
        <x:f>IF(ISNUMBER(F131),F131,IF(E131="","",E131))</x:f>
        <x:v>0.2</x:v>
      </x:c>
      <x:c r="H131" s="38"/>
      <x:c r="I131" s="39"/>
      <x:c r="J131" s="36" t="str">
        <x:v>Unclassified</x:v>
      </x:c>
      <x:c r="K131" s="38" t="str">
        <x:f>IF(ISNUMBER(I131),I131,IF(OR(NOT(ISNUMBER(H131)),NOT(ISNUMBER(G131)),G131&lt;=0),"",IF(H131/G131&gt;='Score settings'!$B$58,"",IF(J131="Cash savings",H131,IF(J131="Revenue",H131*'Score settings'!$B$55,"")))))</x:f>
      </x:c>
      <x:c r="L131" s="36"/>
      <x:c r="M131" s="39"/>
      <x:c r="N131" s="40"/>
      <x:c r="O131" s="36" t="str">
        <x:v>Must Have</x:v>
      </x:c>
      <x:c r="P131" s="36" t="str">
        <x:v>NewFeat</x:v>
      </x:c>
      <x:c r="Q131" s="36" t="str">
        <x:v>Blank</x:v>
      </x:c>
      <x:c r="R131" s="36" t="str">
        <x:v>NotAssessed</x:v>
      </x:c>
      <x:c r="S131" s="36" t="str"/>
      <x:c r="T131" s="36" t="str">
        <x:v>Common pot</x:v>
      </x:c>
      <x:c r="U131" s="41" t="n">
        <x:f>VLOOKUP("Priority|"&amp;O131,'Score settings'!$A$14:$C$43,2,FALSE)/'Score settings'!$B$4*'Score settings'!$C$4</x:f>
        <x:v>18</x:v>
      </x:c>
      <x:c r="V131" s="41" t="n">
        <x:f>VLOOKUP("Category|"&amp;P131,'Score settings'!$A$14:$C$43,2,FALSE)/'Score settings'!$B$5*'Score settings'!$C$5</x:f>
        <x:v>6</x:v>
      </x:c>
      <x:c r="W131" s="41" t="n">
        <x:f>VLOOKUP("Area|"&amp;Q131,'Score settings'!$A$14:$C$43,2,FALSE)/'Score settings'!$B$6*'Score settings'!$C$6</x:f>
        <x:v>3</x:v>
      </x:c>
      <x:c r="X131" s="41" t="n">
        <x:f>VLOOKUP("Benefits|"&amp;IF(AND(ISNUMBER(H131),H131&gt;0,ISNUMBER(G131),G131&gt;0),IF(H131/G131&gt;='Score settings'!$E$17,"3plus",IF(H131/G131&gt;='Score settings'!$E$16,"1.5to3",IF(H131/G131&gt;='Score settings'!$E$15,"0.5to1.5","positive"))),"None"),'Score settings'!$A$14:$C$43,2,FALSE)/'Score settings'!$B$7*'Score settings'!$C$7</x:f>
        <x:v>5</x:v>
      </x:c>
      <x:c r="Y131" s="41" t="n">
        <x:f>VLOOKUP("Waste|"&amp;R131,'Score settings'!$A$14:$C$43,2,FALSE)/'Score settings'!$B$8*'Score settings'!$C$8</x:f>
        <x:v>7</x:v>
      </x:c>
      <x:c r="Z131" s="41" t="n">
        <x:f>IF(B131="","",SUM(U131:Y131))</x:f>
        <x:v>39</x:v>
      </x:c>
      <x:c r="AA131" s="41" t="str">
        <x:f>IF(Z131="","Not scored",VLOOKUP(Z131,'Score settings'!$A$47:$C$50,2,TRUE))</x:f>
        <x:v>Discretionary</x:v>
      </x:c>
      <x:c r="AB131" s="41" t="n">
        <x:f>VLOOKUP("Priority|"&amp;O131,'Score settings'!$A$14:$C$43,3,FALSE)/'Score settings'!$B$4*'Score settings'!$D$4</x:f>
        <x:v>10.799999999999999</x:v>
      </x:c>
      <x:c r="AC131" s="41" t="n">
        <x:f>VLOOKUP("Category|"&amp;P131,'Score settings'!$A$14:$C$43,3,FALSE)/'Score settings'!$B$5*'Score settings'!$D$5</x:f>
        <x:v>3</x:v>
      </x:c>
      <x:c r="AD131" s="41" t="n">
        <x:f>VLOOKUP("Area|"&amp;Q131,'Score settings'!$A$14:$C$43,3,FALSE)/'Score settings'!$B$6*'Score settings'!$D$6</x:f>
        <x:v>0</x:v>
      </x:c>
      <x:c r="AE131" s="41" t="n">
        <x:f>VLOOKUP("Benefits|"&amp;IF(AND(ISNUMBER(K131),K131&gt;0,ISNUMBER(G131),G131&gt;0),IF(K131/G131&gt;='Score settings'!$E$17,"3plus",IF(K131/G131&gt;='Score settings'!$E$16,"1.5to3",IF(K131/G131&gt;='Score settings'!$E$15,"0.5to1.5","positive"))),"None"),'Score settings'!$A$14:$C$43,3,FALSE)/'Score settings'!$B$7*'Score settings'!$D$7</x:f>
        <x:v>0</x:v>
      </x:c>
      <x:c r="AF131" s="41" t="n">
        <x:f>VLOOKUP("Waste|"&amp;R131,'Score settings'!$A$14:$C$43,3,FALSE)/'Score settings'!$B$8*'Score settings'!$D$8</x:f>
        <x:v>0</x:v>
      </x:c>
      <x:c r="AG131" s="41" t="n">
        <x:f>(IF(AND(ISNUMBER(M131),M131&gt;0,ISNUMBER(G131),G131&gt;0),IF(M131/G131&gt;='Score settings'!$E$17,'Score settings'!$G$17,IF(M131/G131&gt;='Score settings'!$E$16,'Score settings'!$G$16,IF(M131/G131&gt;='Score settings'!$E$15,'Score settings'!$G$15,'Score settings'!$G$14))),0)/15*'Score settings'!$B$60+IFERROR(VLOOKUP(IF(ISNUMBER(N131),N131,IF(ISNUMBER(L131),L131,0)),'Score settings'!$E$22:$F$26,2,FALSE),0)/10*'Score settings'!$B$61)/'Score settings'!$B$9*'Score settings'!$D$9</x:f>
        <x:v>0</x:v>
      </x:c>
      <x:c r="AH131" s="41" t="n">
        <x:f>IF(B131="","",SUM(AB131:AG131))</x:f>
        <x:v>13.799999999999999</x:v>
      </x:c>
      <x:c r="AI131" s="41" t="str">
        <x:f>IF(NOT(ISNUMBER(AH131)),"Not scored",VLOOKUP(AH131,'Score settings'!$A$47:$C$50,3,TRUE))</x:f>
        <x:v>Weak</x:v>
      </x:c>
      <x:c r="AJ131" s="42" t="n">
        <x:f>IF(OR(NOT(ISNUMBER(AH131)),T131&lt;&gt;"Common pot"),"",COUNTIFS($T$4:$T$509,"Common pot",$AH$4:$AH$509,"&gt;"&amp;AH131)+1)</x:f>
        <x:v>368</x:v>
      </x:c>
      <x:c r="AK131" s="36" t="str">
        <x:f>IF(B131="","Name missing - not scored",IF(OR(NOT(ISNUMBER(G131)),G131&lt;=0),"Investment missing or zero - review",IF(0=1,"Permanent ID missing - reconcile",IF(AND(ISNUMBER(H131),H131/G131&gt;='Score settings'!$B$58,NOT(ISNUMBER(I131))),"Benefit units need review",IF(OR(R131="EXIT",R131="CHALLENGE"),"Waste decision requires scope resolution",IF("Name and organisation matched"&lt;&gt;"Name and organisation matched","Waste evidence match needs review","Provisional source score - confirm evidence"))))))</x:f>
        <x:v>Provisional source score - confirm evidence</x:v>
      </x:c>
      <x:c r="AL131" s="36"/>
      <x:c r="AM131" s="40"/>
      <x:c r="AN131" s="39"/>
      <x:c r="AO131" s="40"/>
      <x:c r="AP131" s="40"/>
    </x:row>
    <x:row r="132" ht="15" hidden="0" customHeight="1">
      <x:c r="A132" s="36" t="str">
        <x:v>Bu-137</x:v>
      </x:c>
      <x:c r="B132" s="37" t="str">
        <x:v>Innovation Excellence Team - R&amp;D Support</x:v>
      </x:c>
      <x:c r="C132" s="36" t="str">
        <x:v>BU Led</x:v>
      </x:c>
      <x:c r="D132" s="36" t="str">
        <x:v>Enterprise Informatics (EI)</x:v>
      </x:c>
      <x:c r="E132" s="38" t="n">
        <x:v>0.6</x:v>
      </x:c>
      <x:c r="F132" s="39"/>
      <x:c r="G132" s="38" t="n">
        <x:f>IF(ISNUMBER(F132),F132,IF(E132="","",E132))</x:f>
        <x:v>0.6</x:v>
      </x:c>
      <x:c r="H132" s="38" t="n">
        <x:v>1</x:v>
      </x:c>
      <x:c r="I132" s="39"/>
      <x:c r="J132" s="36" t="str">
        <x:v>Cash savings</x:v>
      </x:c>
      <x:c r="K132" s="38" t="n">
        <x:f>IF(ISNUMBER(I132),I132,IF(OR(NOT(ISNUMBER(H132)),NOT(ISNUMBER(G132)),G132&lt;=0),"",IF(H132/G132&gt;='Score settings'!$B$58,"",IF(J132="Cash savings",H132,IF(J132="Revenue",H132*'Score settings'!$B$55,"")))))</x:f>
        <x:v>1</x:v>
      </x:c>
      <x:c r="L132" s="36"/>
      <x:c r="M132" s="39"/>
      <x:c r="N132" s="40"/>
      <x:c r="O132" s="36" t="str">
        <x:v>Must Do</x:v>
      </x:c>
      <x:c r="P132" s="36" t="str">
        <x:v>AI</x:v>
      </x:c>
      <x:c r="Q132" s="36" t="str">
        <x:v>Productivity</x:v>
      </x:c>
      <x:c r="R132" s="36" t="str">
        <x:v>NotAssessed</x:v>
      </x:c>
      <x:c r="S132" s="36" t="str"/>
      <x:c r="T132" s="36" t="str">
        <x:v>Common pot</x:v>
      </x:c>
      <x:c r="U132" s="41" t="n">
        <x:f>VLOOKUP("Priority|"&amp;O132,'Score settings'!$A$14:$C$43,2,FALSE)/'Score settings'!$B$4*'Score settings'!$C$4</x:f>
        <x:v>25</x:v>
      </x:c>
      <x:c r="V132" s="41" t="n">
        <x:f>VLOOKUP("Category|"&amp;P132,'Score settings'!$A$14:$C$43,2,FALSE)/'Score settings'!$B$5*'Score settings'!$C$5</x:f>
        <x:v>16</x:v>
      </x:c>
      <x:c r="W132" s="41" t="n">
        <x:f>VLOOKUP("Area|"&amp;Q132,'Score settings'!$A$14:$C$43,2,FALSE)/'Score settings'!$B$6*'Score settings'!$C$6</x:f>
        <x:v>10</x:v>
      </x:c>
      <x:c r="X132" s="41" t="n">
        <x:f>VLOOKUP("Benefits|"&amp;IF(AND(ISNUMBER(H132),H132&gt;0,ISNUMBER(G132),G132&gt;0),IF(H132/G132&gt;='Score settings'!$E$17,"3plus",IF(H132/G132&gt;='Score settings'!$E$16,"1.5to3",IF(H132/G132&gt;='Score settings'!$E$15,"0.5to1.5","positive"))),"None"),'Score settings'!$A$14:$C$43,2,FALSE)/'Score settings'!$B$7*'Score settings'!$C$7</x:f>
        <x:v>20</x:v>
      </x:c>
      <x:c r="Y132" s="41" t="n">
        <x:f>VLOOKUP("Waste|"&amp;R132,'Score settings'!$A$14:$C$43,2,FALSE)/'Score settings'!$B$8*'Score settings'!$C$8</x:f>
        <x:v>7</x:v>
      </x:c>
      <x:c r="Z132" s="41" t="n">
        <x:f>IF(B132="","",SUM(U132:Y132))</x:f>
        <x:v>78</x:v>
      </x:c>
      <x:c r="AA132" s="41" t="str">
        <x:f>IF(Z132="","Not scored",VLOOKUP(Z132,'Score settings'!$A$47:$C$50,2,TRUE))</x:f>
        <x:v>Protected</x:v>
      </x:c>
      <x:c r="AB132" s="41" t="n">
        <x:f>VLOOKUP("Priority|"&amp;O132,'Score settings'!$A$14:$C$43,3,FALSE)/'Score settings'!$B$4*'Score settings'!$D$4</x:f>
        <x:v>15</x:v>
      </x:c>
      <x:c r="AC132" s="41" t="n">
        <x:f>VLOOKUP("Category|"&amp;P132,'Score settings'!$A$14:$C$43,3,FALSE)/'Score settings'!$B$5*'Score settings'!$D$5</x:f>
        <x:v>8</x:v>
      </x:c>
      <x:c r="AD132" s="41" t="n">
        <x:f>VLOOKUP("Area|"&amp;Q132,'Score settings'!$A$14:$C$43,3,FALSE)/'Score settings'!$B$6*'Score settings'!$D$6</x:f>
        <x:v>6.666666666666666</x:v>
      </x:c>
      <x:c r="AE132" s="41" t="n">
        <x:f>VLOOKUP("Benefits|"&amp;IF(AND(ISNUMBER(K132),K132&gt;0,ISNUMBER(G132),G132&gt;0),IF(K132/G132&gt;='Score settings'!$E$17,"3plus",IF(K132/G132&gt;='Score settings'!$E$16,"1.5to3",IF(K132/G132&gt;='Score settings'!$E$15,"0.5to1.5","positive"))),"None"),'Score settings'!$A$14:$C$43,3,FALSE)/'Score settings'!$B$7*'Score settings'!$D$7</x:f>
        <x:v>24</x:v>
      </x:c>
      <x:c r="AF132" s="41" t="n">
        <x:f>VLOOKUP("Waste|"&amp;R132,'Score settings'!$A$14:$C$43,3,FALSE)/'Score settings'!$B$8*'Score settings'!$D$8</x:f>
        <x:v>0</x:v>
      </x:c>
      <x:c r="AG132" s="41" t="n">
        <x:f>(IF(AND(ISNUMBER(M132),M132&gt;0,ISNUMBER(G132),G132&gt;0),IF(M132/G132&gt;='Score settings'!$E$17,'Score settings'!$G$17,IF(M132/G132&gt;='Score settings'!$E$16,'Score settings'!$G$16,IF(M132/G132&gt;='Score settings'!$E$15,'Score settings'!$G$15,'Score settings'!$G$14))),0)/15*'Score settings'!$B$60+IFERROR(VLOOKUP(IF(ISNUMBER(N132),N132,IF(ISNUMBER(L132),L132,0)),'Score settings'!$E$22:$F$26,2,FALSE),0)/10*'Score settings'!$B$61)/'Score settings'!$B$9*'Score settings'!$D$9</x:f>
        <x:v>0</x:v>
      </x:c>
      <x:c r="AH132" s="41" t="n">
        <x:f>IF(B132="","",SUM(AB132:AG132))</x:f>
        <x:v>53.666666666666664</x:v>
      </x:c>
      <x:c r="AI132" s="41" t="str">
        <x:f>IF(NOT(ISNUMBER(AH132)),"Not scored",VLOOKUP(AH132,'Score settings'!$A$47:$C$50,3,TRUE))</x:f>
        <x:v>Strong</x:v>
      </x:c>
      <x:c r="AJ132" s="42" t="n">
        <x:f>IF(OR(NOT(ISNUMBER(AH132)),T132&lt;&gt;"Common pot"),"",COUNTIFS($T$4:$T$509,"Common pot",$AH$4:$AH$509,"&gt;"&amp;AH132)+1)</x:f>
        <x:v>38</x:v>
      </x:c>
      <x:c r="AK132" s="36" t="str">
        <x:f>IF(B132="","Name missing - not scored",IF(OR(NOT(ISNUMBER(G132)),G132&lt;=0),"Investment missing or zero - review",IF(0=1,"Permanent ID missing - reconcile",IF(AND(ISNUMBER(H132),H132/G132&gt;='Score settings'!$B$58,NOT(ISNUMBER(I132))),"Benefit units need review",IF(OR(R132="EXIT",R132="CHALLENGE"),"Waste decision requires scope resolution",IF("Name and organisation matched"&lt;&gt;"Name and organisation matched","Waste evidence match needs review","Provisional source score - confirm evidence"))))))</x:f>
        <x:v>Provisional source score - confirm evidence</x:v>
      </x:c>
      <x:c r="AL132" s="36"/>
      <x:c r="AM132" s="40"/>
      <x:c r="AN132" s="39"/>
      <x:c r="AO132" s="40"/>
      <x:c r="AP132" s="40"/>
    </x:row>
    <x:row r="133" ht="15" hidden="0" customHeight="1">
      <x:c r="A133" s="36" t="str">
        <x:v>Bu-138</x:v>
      </x:c>
      <x:c r="B133" s="37" t="str">
        <x:v>Data &amp; Analytics Program</x:v>
      </x:c>
      <x:c r="C133" s="36" t="str">
        <x:v>BU Led</x:v>
      </x:c>
      <x:c r="D133" s="36" t="str">
        <x:v>Enterprise Informatics (EI)</x:v>
      </x:c>
      <x:c r="E133" s="38" t="n">
        <x:v>0.95</x:v>
      </x:c>
      <x:c r="F133" s="39"/>
      <x:c r="G133" s="38" t="n">
        <x:f>IF(ISNUMBER(F133),F133,IF(E133="","",E133))</x:f>
        <x:v>0.95</x:v>
      </x:c>
      <x:c r="H133" s="38" t="n">
        <x:v>1</x:v>
      </x:c>
      <x:c r="I133" s="39"/>
      <x:c r="J133" s="36" t="str">
        <x:v>Cash savings</x:v>
      </x:c>
      <x:c r="K133" s="38" t="n">
        <x:f>IF(ISNUMBER(I133),I133,IF(OR(NOT(ISNUMBER(H133)),NOT(ISNUMBER(G133)),G133&lt;=0),"",IF(H133/G133&gt;='Score settings'!$B$58,"",IF(J133="Cash savings",H133,IF(J133="Revenue",H133*'Score settings'!$B$55,"")))))</x:f>
        <x:v>1</x:v>
      </x:c>
      <x:c r="L133" s="36"/>
      <x:c r="M133" s="39"/>
      <x:c r="N133" s="40"/>
      <x:c r="O133" s="36" t="str">
        <x:v>Must Do</x:v>
      </x:c>
      <x:c r="P133" s="36" t="str">
        <x:v>AI</x:v>
      </x:c>
      <x:c r="Q133" s="36" t="str">
        <x:v>Productivity</x:v>
      </x:c>
      <x:c r="R133" s="36" t="str">
        <x:v>NotAssessed</x:v>
      </x:c>
      <x:c r="S133" s="36" t="str"/>
      <x:c r="T133" s="36" t="str">
        <x:v>Common pot</x:v>
      </x:c>
      <x:c r="U133" s="41" t="n">
        <x:f>VLOOKUP("Priority|"&amp;O133,'Score settings'!$A$14:$C$43,2,FALSE)/'Score settings'!$B$4*'Score settings'!$C$4</x:f>
        <x:v>25</x:v>
      </x:c>
      <x:c r="V133" s="41" t="n">
        <x:f>VLOOKUP("Category|"&amp;P133,'Score settings'!$A$14:$C$43,2,FALSE)/'Score settings'!$B$5*'Score settings'!$C$5</x:f>
        <x:v>16</x:v>
      </x:c>
      <x:c r="W133" s="41" t="n">
        <x:f>VLOOKUP("Area|"&amp;Q133,'Score settings'!$A$14:$C$43,2,FALSE)/'Score settings'!$B$6*'Score settings'!$C$6</x:f>
        <x:v>10</x:v>
      </x:c>
      <x:c r="X133" s="41" t="n">
        <x:f>VLOOKUP("Benefits|"&amp;IF(AND(ISNUMBER(H133),H133&gt;0,ISNUMBER(G133),G133&gt;0),IF(H133/G133&gt;='Score settings'!$E$17,"3plus",IF(H133/G133&gt;='Score settings'!$E$16,"1.5to3",IF(H133/G133&gt;='Score settings'!$E$15,"0.5to1.5","positive"))),"None"),'Score settings'!$A$14:$C$43,2,FALSE)/'Score settings'!$B$7*'Score settings'!$C$7</x:f>
        <x:v>15</x:v>
      </x:c>
      <x:c r="Y133" s="41" t="n">
        <x:f>VLOOKUP("Waste|"&amp;R133,'Score settings'!$A$14:$C$43,2,FALSE)/'Score settings'!$B$8*'Score settings'!$C$8</x:f>
        <x:v>7</x:v>
      </x:c>
      <x:c r="Z133" s="41" t="n">
        <x:f>IF(B133="","",SUM(U133:Y133))</x:f>
        <x:v>73</x:v>
      </x:c>
      <x:c r="AA133" s="41" t="str">
        <x:f>IF(Z133="","Not scored",VLOOKUP(Z133,'Score settings'!$A$47:$C$50,2,TRUE))</x:f>
        <x:v>Protected</x:v>
      </x:c>
      <x:c r="AB133" s="41" t="n">
        <x:f>VLOOKUP("Priority|"&amp;O133,'Score settings'!$A$14:$C$43,3,FALSE)/'Score settings'!$B$4*'Score settings'!$D$4</x:f>
        <x:v>15</x:v>
      </x:c>
      <x:c r="AC133" s="41" t="n">
        <x:f>VLOOKUP("Category|"&amp;P133,'Score settings'!$A$14:$C$43,3,FALSE)/'Score settings'!$B$5*'Score settings'!$D$5</x:f>
        <x:v>8</x:v>
      </x:c>
      <x:c r="AD133" s="41" t="n">
        <x:f>VLOOKUP("Area|"&amp;Q133,'Score settings'!$A$14:$C$43,3,FALSE)/'Score settings'!$B$6*'Score settings'!$D$6</x:f>
        <x:v>6.666666666666666</x:v>
      </x:c>
      <x:c r="AE133" s="41" t="n">
        <x:f>VLOOKUP("Benefits|"&amp;IF(AND(ISNUMBER(K133),K133&gt;0,ISNUMBER(G133),G133&gt;0),IF(K133/G133&gt;='Score settings'!$E$17,"3plus",IF(K133/G133&gt;='Score settings'!$E$16,"1.5to3",IF(K133/G133&gt;='Score settings'!$E$15,"0.5to1.5","positive"))),"None"),'Score settings'!$A$14:$C$43,3,FALSE)/'Score settings'!$B$7*'Score settings'!$D$7</x:f>
        <x:v>18</x:v>
      </x:c>
      <x:c r="AF133" s="41" t="n">
        <x:f>VLOOKUP("Waste|"&amp;R133,'Score settings'!$A$14:$C$43,3,FALSE)/'Score settings'!$B$8*'Score settings'!$D$8</x:f>
        <x:v>0</x:v>
      </x:c>
      <x:c r="AG133" s="41" t="n">
        <x:f>(IF(AND(ISNUMBER(M133),M133&gt;0,ISNUMBER(G133),G133&gt;0),IF(M133/G133&gt;='Score settings'!$E$17,'Score settings'!$G$17,IF(M133/G133&gt;='Score settings'!$E$16,'Score settings'!$G$16,IF(M133/G133&gt;='Score settings'!$E$15,'Score settings'!$G$15,'Score settings'!$G$14))),0)/15*'Score settings'!$B$60+IFERROR(VLOOKUP(IF(ISNUMBER(N133),N133,IF(ISNUMBER(L133),L133,0)),'Score settings'!$E$22:$F$26,2,FALSE),0)/10*'Score settings'!$B$61)/'Score settings'!$B$9*'Score settings'!$D$9</x:f>
        <x:v>0</x:v>
      </x:c>
      <x:c r="AH133" s="41" t="n">
        <x:f>IF(B133="","",SUM(AB133:AG133))</x:f>
        <x:v>47.666666666666664</x:v>
      </x:c>
      <x:c r="AI133" s="41" t="str">
        <x:f>IF(NOT(ISNUMBER(AH133)),"Not scored",VLOOKUP(AH133,'Score settings'!$A$47:$C$50,3,TRUE))</x:f>
        <x:v>Strong</x:v>
      </x:c>
      <x:c r="AJ133" s="42" t="n">
        <x:f>IF(OR(NOT(ISNUMBER(AH133)),T133&lt;&gt;"Common pot"),"",COUNTIFS($T$4:$T$509,"Common pot",$AH$4:$AH$509,"&gt;"&amp;AH133)+1)</x:f>
        <x:v>55</x:v>
      </x:c>
      <x:c r="AK133" s="36" t="str">
        <x:f>IF(B133="","Name missing - not scored",IF(OR(NOT(ISNUMBER(G133)),G133&lt;=0),"Investment missing or zero - review",IF(0=1,"Permanent ID missing - reconcile",IF(AND(ISNUMBER(H133),H133/G133&gt;='Score settings'!$B$58,NOT(ISNUMBER(I133))),"Benefit units need review",IF(OR(R133="EXIT",R133="CHALLENGE"),"Waste decision requires scope resolution",IF("Name and organisation matched"&lt;&gt;"Name and organisation matched","Waste evidence match needs review","Provisional source score - confirm evidence"))))))</x:f>
        <x:v>Provisional source score - confirm evidence</x:v>
      </x:c>
      <x:c r="AL133" s="36"/>
      <x:c r="AM133" s="40"/>
      <x:c r="AN133" s="39"/>
      <x:c r="AO133" s="40"/>
      <x:c r="AP133" s="40"/>
    </x:row>
    <x:row r="134" ht="15" hidden="0" customHeight="1">
      <x:c r="A134" s="36" t="str">
        <x:v>Bu-139</x:v>
      </x:c>
      <x:c r="B134" s="37" t="str">
        <x:v>Small Changes</x:v>
      </x:c>
      <x:c r="C134" s="36" t="str">
        <x:v>BU Led</x:v>
      </x:c>
      <x:c r="D134" s="36" t="str">
        <x:v>Enterprise Informatics (EI)</x:v>
      </x:c>
      <x:c r="E134" s="38" t="n">
        <x:v>0.25</x:v>
      </x:c>
      <x:c r="F134" s="39"/>
      <x:c r="G134" s="38" t="n">
        <x:f>IF(ISNUMBER(F134),F134,IF(E134="","",E134))</x:f>
        <x:v>0.25</x:v>
      </x:c>
      <x:c r="H134" s="38"/>
      <x:c r="I134" s="39"/>
      <x:c r="J134" s="36" t="str">
        <x:v>Cash savings</x:v>
      </x:c>
      <x:c r="K134" s="38" t="str">
        <x:f>IF(ISNUMBER(I134),I134,IF(OR(NOT(ISNUMBER(H134)),NOT(ISNUMBER(G134)),G134&lt;=0),"",IF(H134/G134&gt;='Score settings'!$B$58,"",IF(J134="Cash savings",H134,IF(J134="Revenue",H134*'Score settings'!$B$55,"")))))</x:f>
      </x:c>
      <x:c r="L134" s="36"/>
      <x:c r="M134" s="39"/>
      <x:c r="N134" s="40"/>
      <x:c r="O134" s="36" t="str">
        <x:v>Must Have</x:v>
      </x:c>
      <x:c r="P134" s="36" t="str">
        <x:v>CI</x:v>
      </x:c>
      <x:c r="Q134" s="36" t="str">
        <x:v>ProcSimp</x:v>
      </x:c>
      <x:c r="R134" s="36" t="str">
        <x:v>NotAssessed</x:v>
      </x:c>
      <x:c r="S134" s="36" t="str"/>
      <x:c r="T134" s="36" t="str">
        <x:v>Common pot</x:v>
      </x:c>
      <x:c r="U134" s="41" t="n">
        <x:f>VLOOKUP("Priority|"&amp;O134,'Score settings'!$A$14:$C$43,2,FALSE)/'Score settings'!$B$4*'Score settings'!$C$4</x:f>
        <x:v>18</x:v>
      </x:c>
      <x:c r="V134" s="41" t="n">
        <x:f>VLOOKUP("Category|"&amp;P134,'Score settings'!$A$14:$C$43,2,FALSE)/'Score settings'!$B$5*'Score settings'!$C$5</x:f>
        <x:v>8</x:v>
      </x:c>
      <x:c r="W134" s="41" t="n">
        <x:f>VLOOKUP("Area|"&amp;Q134,'Score settings'!$A$14:$C$43,2,FALSE)/'Score settings'!$B$6*'Score settings'!$C$6</x:f>
        <x:v>12</x:v>
      </x:c>
      <x:c r="X134" s="41" t="n">
        <x:f>VLOOKUP("Benefits|"&amp;IF(AND(ISNUMBER(H134),H134&gt;0,ISNUMBER(G134),G134&gt;0),IF(H134/G134&gt;='Score settings'!$E$17,"3plus",IF(H134/G134&gt;='Score settings'!$E$16,"1.5to3",IF(H134/G134&gt;='Score settings'!$E$15,"0.5to1.5","positive"))),"None"),'Score settings'!$A$14:$C$43,2,FALSE)/'Score settings'!$B$7*'Score settings'!$C$7</x:f>
        <x:v>5</x:v>
      </x:c>
      <x:c r="Y134" s="41" t="n">
        <x:f>VLOOKUP("Waste|"&amp;R134,'Score settings'!$A$14:$C$43,2,FALSE)/'Score settings'!$B$8*'Score settings'!$C$8</x:f>
        <x:v>7</x:v>
      </x:c>
      <x:c r="Z134" s="41" t="n">
        <x:f>IF(B134="","",SUM(U134:Y134))</x:f>
        <x:v>50</x:v>
      </x:c>
      <x:c r="AA134" s="41" t="str">
        <x:f>IF(Z134="","Not scored",VLOOKUP(Z134,'Score settings'!$A$47:$C$50,2,TRUE))</x:f>
        <x:v>Strong</x:v>
      </x:c>
      <x:c r="AB134" s="41" t="n">
        <x:f>VLOOKUP("Priority|"&amp;O134,'Score settings'!$A$14:$C$43,3,FALSE)/'Score settings'!$B$4*'Score settings'!$D$4</x:f>
        <x:v>10.799999999999999</x:v>
      </x:c>
      <x:c r="AC134" s="41" t="n">
        <x:f>VLOOKUP("Category|"&amp;P134,'Score settings'!$A$14:$C$43,3,FALSE)/'Score settings'!$B$5*'Score settings'!$D$5</x:f>
        <x:v>4</x:v>
      </x:c>
      <x:c r="AD134" s="41" t="n">
        <x:f>VLOOKUP("Area|"&amp;Q134,'Score settings'!$A$14:$C$43,3,FALSE)/'Score settings'!$B$6*'Score settings'!$D$6</x:f>
        <x:v>8</x:v>
      </x:c>
      <x:c r="AE134" s="41" t="n">
        <x:f>VLOOKUP("Benefits|"&amp;IF(AND(ISNUMBER(K134),K134&gt;0,ISNUMBER(G134),G134&gt;0),IF(K134/G134&gt;='Score settings'!$E$17,"3plus",IF(K134/G134&gt;='Score settings'!$E$16,"1.5to3",IF(K134/G134&gt;='Score settings'!$E$15,"0.5to1.5","positive"))),"None"),'Score settings'!$A$14:$C$43,3,FALSE)/'Score settings'!$B$7*'Score settings'!$D$7</x:f>
        <x:v>0</x:v>
      </x:c>
      <x:c r="AF134" s="41" t="n">
        <x:f>VLOOKUP("Waste|"&amp;R134,'Score settings'!$A$14:$C$43,3,FALSE)/'Score settings'!$B$8*'Score settings'!$D$8</x:f>
        <x:v>0</x:v>
      </x:c>
      <x:c r="AG134" s="41" t="n">
        <x:f>(IF(AND(ISNUMBER(M134),M134&gt;0,ISNUMBER(G134),G134&gt;0),IF(M134/G134&gt;='Score settings'!$E$17,'Score settings'!$G$17,IF(M134/G134&gt;='Score settings'!$E$16,'Score settings'!$G$16,IF(M134/G134&gt;='Score settings'!$E$15,'Score settings'!$G$15,'Score settings'!$G$14))),0)/15*'Score settings'!$B$60+IFERROR(VLOOKUP(IF(ISNUMBER(N134),N134,IF(ISNUMBER(L134),L134,0)),'Score settings'!$E$22:$F$26,2,FALSE),0)/10*'Score settings'!$B$61)/'Score settings'!$B$9*'Score settings'!$D$9</x:f>
        <x:v>0</x:v>
      </x:c>
      <x:c r="AH134" s="41" t="n">
        <x:f>IF(B134="","",SUM(AB134:AG134))</x:f>
        <x:v>22.799999999999997</x:v>
      </x:c>
      <x:c r="AI134" s="41" t="str">
        <x:f>IF(NOT(ISNUMBER(AH134)),"Not scored",VLOOKUP(AH134,'Score settings'!$A$47:$C$50,3,TRUE))</x:f>
        <x:v>Weak</x:v>
      </x:c>
      <x:c r="AJ134" s="42" t="n">
        <x:f>IF(OR(NOT(ISNUMBER(AH134)),T134&lt;&gt;"Common pot"),"",COUNTIFS($T$4:$T$509,"Common pot",$AH$4:$AH$509,"&gt;"&amp;AH134)+1)</x:f>
        <x:v>318</x:v>
      </x:c>
      <x:c r="AK134" s="36" t="str">
        <x:f>IF(B134="","Name missing - not scored",IF(OR(NOT(ISNUMBER(G134)),G134&lt;=0),"Investment missing or zero - review",IF(0=1,"Permanent ID missing - reconcile",IF(AND(ISNUMBER(H134),H134/G134&gt;='Score settings'!$B$58,NOT(ISNUMBER(I134))),"Benefit units need review",IF(OR(R134="EXIT",R134="CHALLENGE"),"Waste decision requires scope resolution",IF("Name and organisation matched"&lt;&gt;"Name and organisation matched","Waste evidence match needs review","Provisional source score - confirm evidence"))))))</x:f>
        <x:v>Provisional source score - confirm evidence</x:v>
      </x:c>
      <x:c r="AL134" s="36"/>
      <x:c r="AM134" s="40"/>
      <x:c r="AN134" s="39"/>
      <x:c r="AO134" s="40"/>
      <x:c r="AP134" s="40"/>
    </x:row>
    <x:row r="135" ht="15" hidden="0" customHeight="1">
      <x:c r="A135" s="36" t="str">
        <x:v>Bu-140</x:v>
      </x:c>
      <x:c r="B135" s="37" t="str">
        <x:v>EI-IS-AI TomTec OEM</x:v>
      </x:c>
      <x:c r="C135" s="36" t="str">
        <x:v>BU Led</x:v>
      </x:c>
      <x:c r="D135" s="36" t="str">
        <x:v>Enterprise Informatics (EI)</x:v>
      </x:c>
      <x:c r="E135" s="38" t="n">
        <x:v>0.1</x:v>
      </x:c>
      <x:c r="F135" s="39"/>
      <x:c r="G135" s="38" t="n">
        <x:f>IF(ISNUMBER(F135),F135,IF(E135="","",E135))</x:f>
        <x:v>0.1</x:v>
      </x:c>
      <x:c r="H135" s="38"/>
      <x:c r="I135" s="39"/>
      <x:c r="J135" s="36" t="str">
        <x:v>Cash savings</x:v>
      </x:c>
      <x:c r="K135" s="38" t="str">
        <x:f>IF(ISNUMBER(I135),I135,IF(OR(NOT(ISNUMBER(H135)),NOT(ISNUMBER(G135)),G135&lt;=0),"",IF(H135/G135&gt;='Score settings'!$B$58,"",IF(J135="Cash savings",H135,IF(J135="Revenue",H135*'Score settings'!$B$55,"")))))</x:f>
      </x:c>
      <x:c r="L135" s="36"/>
      <x:c r="M135" s="39"/>
      <x:c r="N135" s="40"/>
      <x:c r="O135" s="36" t="str">
        <x:v>Must Do</x:v>
      </x:c>
      <x:c r="P135" s="36" t="str">
        <x:v>Upgrades</x:v>
      </x:c>
      <x:c r="Q135" s="36" t="str">
        <x:v>ProcSimp</x:v>
      </x:c>
      <x:c r="R135" s="36" t="str">
        <x:v>NotAssessed</x:v>
      </x:c>
      <x:c r="S135" s="36" t="str"/>
      <x:c r="T135" s="36" t="str">
        <x:v>Common pot</x:v>
      </x:c>
      <x:c r="U135" s="41" t="n">
        <x:f>VLOOKUP("Priority|"&amp;O135,'Score settings'!$A$14:$C$43,2,FALSE)/'Score settings'!$B$4*'Score settings'!$C$4</x:f>
        <x:v>25</x:v>
      </x:c>
      <x:c r="V135" s="41" t="n">
        <x:f>VLOOKUP("Category|"&amp;P135,'Score settings'!$A$14:$C$43,2,FALSE)/'Score settings'!$B$5*'Score settings'!$C$5</x:f>
        <x:v>10</x:v>
      </x:c>
      <x:c r="W135" s="41" t="n">
        <x:f>VLOOKUP("Area|"&amp;Q135,'Score settings'!$A$14:$C$43,2,FALSE)/'Score settings'!$B$6*'Score settings'!$C$6</x:f>
        <x:v>12</x:v>
      </x:c>
      <x:c r="X135" s="41" t="n">
        <x:f>VLOOKUP("Benefits|"&amp;IF(AND(ISNUMBER(H135),H135&gt;0,ISNUMBER(G135),G135&gt;0),IF(H135/G135&gt;='Score settings'!$E$17,"3plus",IF(H135/G135&gt;='Score settings'!$E$16,"1.5to3",IF(H135/G135&gt;='Score settings'!$E$15,"0.5to1.5","positive"))),"None"),'Score settings'!$A$14:$C$43,2,FALSE)/'Score settings'!$B$7*'Score settings'!$C$7</x:f>
        <x:v>5</x:v>
      </x:c>
      <x:c r="Y135" s="41" t="n">
        <x:f>VLOOKUP("Waste|"&amp;R135,'Score settings'!$A$14:$C$43,2,FALSE)/'Score settings'!$B$8*'Score settings'!$C$8</x:f>
        <x:v>7</x:v>
      </x:c>
      <x:c r="Z135" s="41" t="n">
        <x:f>IF(B135="","",SUM(U135:Y135))</x:f>
        <x:v>59</x:v>
      </x:c>
      <x:c r="AA135" s="41" t="str">
        <x:f>IF(Z135="","Not scored",VLOOKUP(Z135,'Score settings'!$A$47:$C$50,2,TRUE))</x:f>
        <x:v>Strong</x:v>
      </x:c>
      <x:c r="AB135" s="41" t="n">
        <x:f>VLOOKUP("Priority|"&amp;O135,'Score settings'!$A$14:$C$43,3,FALSE)/'Score settings'!$B$4*'Score settings'!$D$4</x:f>
        <x:v>15</x:v>
      </x:c>
      <x:c r="AC135" s="41" t="n">
        <x:f>VLOOKUP("Category|"&amp;P135,'Score settings'!$A$14:$C$43,3,FALSE)/'Score settings'!$B$5*'Score settings'!$D$5</x:f>
        <x:v>5</x:v>
      </x:c>
      <x:c r="AD135" s="41" t="n">
        <x:f>VLOOKUP("Area|"&amp;Q135,'Score settings'!$A$14:$C$43,3,FALSE)/'Score settings'!$B$6*'Score settings'!$D$6</x:f>
        <x:v>8</x:v>
      </x:c>
      <x:c r="AE135" s="41" t="n">
        <x:f>VLOOKUP("Benefits|"&amp;IF(AND(ISNUMBER(K135),K135&gt;0,ISNUMBER(G135),G135&gt;0),IF(K135/G135&gt;='Score settings'!$E$17,"3plus",IF(K135/G135&gt;='Score settings'!$E$16,"1.5to3",IF(K135/G135&gt;='Score settings'!$E$15,"0.5to1.5","positive"))),"None"),'Score settings'!$A$14:$C$43,3,FALSE)/'Score settings'!$B$7*'Score settings'!$D$7</x:f>
        <x:v>0</x:v>
      </x:c>
      <x:c r="AF135" s="41" t="n">
        <x:f>VLOOKUP("Waste|"&amp;R135,'Score settings'!$A$14:$C$43,3,FALSE)/'Score settings'!$B$8*'Score settings'!$D$8</x:f>
        <x:v>0</x:v>
      </x:c>
      <x:c r="AG135" s="41" t="n">
        <x:f>(IF(AND(ISNUMBER(M135),M135&gt;0,ISNUMBER(G135),G135&gt;0),IF(M135/G135&gt;='Score settings'!$E$17,'Score settings'!$G$17,IF(M135/G135&gt;='Score settings'!$E$16,'Score settings'!$G$16,IF(M135/G135&gt;='Score settings'!$E$15,'Score settings'!$G$15,'Score settings'!$G$14))),0)/15*'Score settings'!$B$60+IFERROR(VLOOKUP(IF(ISNUMBER(N135),N135,IF(ISNUMBER(L135),L135,0)),'Score settings'!$E$22:$F$26,2,FALSE),0)/10*'Score settings'!$B$61)/'Score settings'!$B$9*'Score settings'!$D$9</x:f>
        <x:v>0</x:v>
      </x:c>
      <x:c r="AH135" s="41" t="n">
        <x:f>IF(B135="","",SUM(AB135:AG135))</x:f>
        <x:v>28</x:v>
      </x:c>
      <x:c r="AI135" s="41" t="str">
        <x:f>IF(NOT(ISNUMBER(AH135)),"Not scored",VLOOKUP(AH135,'Score settings'!$A$47:$C$50,3,TRUE))</x:f>
        <x:v>Discretionary</x:v>
      </x:c>
      <x:c r="AJ135" s="42" t="n">
        <x:f>IF(OR(NOT(ISNUMBER(AH135)),T135&lt;&gt;"Common pot"),"",COUNTIFS($T$4:$T$509,"Common pot",$AH$4:$AH$509,"&gt;"&amp;AH135)+1)</x:f>
        <x:v>206</x:v>
      </x:c>
      <x:c r="AK135" s="36" t="str">
        <x:f>IF(B135="","Name missing - not scored",IF(OR(NOT(ISNUMBER(G135)),G135&lt;=0),"Investment missing or zero - review",IF(0=1,"Permanent ID missing - reconcile",IF(AND(ISNUMBER(H135),H135/G135&gt;='Score settings'!$B$58,NOT(ISNUMBER(I135))),"Benefit units need review",IF(OR(R135="EXIT",R135="CHALLENGE"),"Waste decision requires scope resolution",IF("Name and organisation matched"&lt;&gt;"Name and organisation matched","Waste evidence match needs review","Provisional source score - confirm evidence"))))))</x:f>
        <x:v>Provisional source score - confirm evidence</x:v>
      </x:c>
      <x:c r="AL135" s="36"/>
      <x:c r="AM135" s="40"/>
      <x:c r="AN135" s="39"/>
      <x:c r="AO135" s="40"/>
      <x:c r="AP135" s="40"/>
    </x:row>
    <x:row r="136" ht="15" hidden="0" customHeight="1">
      <x:c r="A136" s="36" t="str">
        <x:v>Bu-141</x:v>
      </x:c>
      <x:c r="B136" s="37" t="str">
        <x:v>AI License + Cloud Enablement projects</x:v>
      </x:c>
      <x:c r="C136" s="36" t="str">
        <x:v>BU Led</x:v>
      </x:c>
      <x:c r="D136" s="36" t="str">
        <x:v>Enterprise Informatics (EI)</x:v>
      </x:c>
      <x:c r="E136" s="38" t="n">
        <x:v>0.7</x:v>
      </x:c>
      <x:c r="F136" s="39"/>
      <x:c r="G136" s="38" t="n">
        <x:f>IF(ISNUMBER(F136),F136,IF(E136="","",E136))</x:f>
        <x:v>0.7</x:v>
      </x:c>
      <x:c r="H136" s="38"/>
      <x:c r="I136" s="39"/>
      <x:c r="J136" s="36" t="str">
        <x:v>Cash savings</x:v>
      </x:c>
      <x:c r="K136" s="38" t="str">
        <x:f>IF(ISNUMBER(I136),I136,IF(OR(NOT(ISNUMBER(H136)),NOT(ISNUMBER(G136)),G136&lt;=0),"",IF(H136/G136&gt;='Score settings'!$B$58,"",IF(J136="Cash savings",H136,IF(J136="Revenue",H136*'Score settings'!$B$55,"")))))</x:f>
      </x:c>
      <x:c r="L136" s="36"/>
      <x:c r="M136" s="39"/>
      <x:c r="N136" s="40"/>
      <x:c r="O136" s="36" t="str">
        <x:v>Must Do</x:v>
      </x:c>
      <x:c r="P136" s="36" t="str">
        <x:v>AI</x:v>
      </x:c>
      <x:c r="Q136" s="36" t="str">
        <x:v>Productivity</x:v>
      </x:c>
      <x:c r="R136" s="36" t="str">
        <x:v>NotAssessed</x:v>
      </x:c>
      <x:c r="S136" s="36" t="str"/>
      <x:c r="T136" s="36" t="str">
        <x:v>Common pot</x:v>
      </x:c>
      <x:c r="U136" s="41" t="n">
        <x:f>VLOOKUP("Priority|"&amp;O136,'Score settings'!$A$14:$C$43,2,FALSE)/'Score settings'!$B$4*'Score settings'!$C$4</x:f>
        <x:v>25</x:v>
      </x:c>
      <x:c r="V136" s="41" t="n">
        <x:f>VLOOKUP("Category|"&amp;P136,'Score settings'!$A$14:$C$43,2,FALSE)/'Score settings'!$B$5*'Score settings'!$C$5</x:f>
        <x:v>16</x:v>
      </x:c>
      <x:c r="W136" s="41" t="n">
        <x:f>VLOOKUP("Area|"&amp;Q136,'Score settings'!$A$14:$C$43,2,FALSE)/'Score settings'!$B$6*'Score settings'!$C$6</x:f>
        <x:v>10</x:v>
      </x:c>
      <x:c r="X136" s="41" t="n">
        <x:f>VLOOKUP("Benefits|"&amp;IF(AND(ISNUMBER(H136),H136&gt;0,ISNUMBER(G136),G136&gt;0),IF(H136/G136&gt;='Score settings'!$E$17,"3plus",IF(H136/G136&gt;='Score settings'!$E$16,"1.5to3",IF(H136/G136&gt;='Score settings'!$E$15,"0.5to1.5","positive"))),"None"),'Score settings'!$A$14:$C$43,2,FALSE)/'Score settings'!$B$7*'Score settings'!$C$7</x:f>
        <x:v>5</x:v>
      </x:c>
      <x:c r="Y136" s="41" t="n">
        <x:f>VLOOKUP("Waste|"&amp;R136,'Score settings'!$A$14:$C$43,2,FALSE)/'Score settings'!$B$8*'Score settings'!$C$8</x:f>
        <x:v>7</x:v>
      </x:c>
      <x:c r="Z136" s="41" t="n">
        <x:f>IF(B136="","",SUM(U136:Y136))</x:f>
        <x:v>63</x:v>
      </x:c>
      <x:c r="AA136" s="41" t="str">
        <x:f>IF(Z136="","Not scored",VLOOKUP(Z136,'Score settings'!$A$47:$C$50,2,TRUE))</x:f>
        <x:v>Strong</x:v>
      </x:c>
      <x:c r="AB136" s="41" t="n">
        <x:f>VLOOKUP("Priority|"&amp;O136,'Score settings'!$A$14:$C$43,3,FALSE)/'Score settings'!$B$4*'Score settings'!$D$4</x:f>
        <x:v>15</x:v>
      </x:c>
      <x:c r="AC136" s="41" t="n">
        <x:f>VLOOKUP("Category|"&amp;P136,'Score settings'!$A$14:$C$43,3,FALSE)/'Score settings'!$B$5*'Score settings'!$D$5</x:f>
        <x:v>8</x:v>
      </x:c>
      <x:c r="AD136" s="41" t="n">
        <x:f>VLOOKUP("Area|"&amp;Q136,'Score settings'!$A$14:$C$43,3,FALSE)/'Score settings'!$B$6*'Score settings'!$D$6</x:f>
        <x:v>6.666666666666666</x:v>
      </x:c>
      <x:c r="AE136" s="41" t="n">
        <x:f>VLOOKUP("Benefits|"&amp;IF(AND(ISNUMBER(K136),K136&gt;0,ISNUMBER(G136),G136&gt;0),IF(K136/G136&gt;='Score settings'!$E$17,"3plus",IF(K136/G136&gt;='Score settings'!$E$16,"1.5to3",IF(K136/G136&gt;='Score settings'!$E$15,"0.5to1.5","positive"))),"None"),'Score settings'!$A$14:$C$43,3,FALSE)/'Score settings'!$B$7*'Score settings'!$D$7</x:f>
        <x:v>0</x:v>
      </x:c>
      <x:c r="AF136" s="41" t="n">
        <x:f>VLOOKUP("Waste|"&amp;R136,'Score settings'!$A$14:$C$43,3,FALSE)/'Score settings'!$B$8*'Score settings'!$D$8</x:f>
        <x:v>0</x:v>
      </x:c>
      <x:c r="AG136" s="41" t="n">
        <x:f>(IF(AND(ISNUMBER(M136),M136&gt;0,ISNUMBER(G136),G136&gt;0),IF(M136/G136&gt;='Score settings'!$E$17,'Score settings'!$G$17,IF(M136/G136&gt;='Score settings'!$E$16,'Score settings'!$G$16,IF(M136/G136&gt;='Score settings'!$E$15,'Score settings'!$G$15,'Score settings'!$G$14))),0)/15*'Score settings'!$B$60+IFERROR(VLOOKUP(IF(ISNUMBER(N136),N136,IF(ISNUMBER(L136),L136,0)),'Score settings'!$E$22:$F$26,2,FALSE),0)/10*'Score settings'!$B$61)/'Score settings'!$B$9*'Score settings'!$D$9</x:f>
        <x:v>0</x:v>
      </x:c>
      <x:c r="AH136" s="41" t="n">
        <x:f>IF(B136="","",SUM(AB136:AG136))</x:f>
        <x:v>29.666666666666664</x:v>
      </x:c>
      <x:c r="AI136" s="41" t="str">
        <x:f>IF(NOT(ISNUMBER(AH136)),"Not scored",VLOOKUP(AH136,'Score settings'!$A$47:$C$50,3,TRUE))</x:f>
        <x:v>Discretionary</x:v>
      </x:c>
      <x:c r="AJ136" s="42" t="n">
        <x:f>IF(OR(NOT(ISNUMBER(AH136)),T136&lt;&gt;"Common pot"),"",COUNTIFS($T$4:$T$509,"Common pot",$AH$4:$AH$509,"&gt;"&amp;AH136)+1)</x:f>
        <x:v>189</x:v>
      </x:c>
      <x:c r="AK136" s="36" t="str">
        <x:f>IF(B136="","Name missing - not scored",IF(OR(NOT(ISNUMBER(G136)),G136&lt;=0),"Investment missing or zero - review",IF(0=1,"Permanent ID missing - reconcile",IF(AND(ISNUMBER(H136),H136/G136&gt;='Score settings'!$B$58,NOT(ISNUMBER(I136))),"Benefit units need review",IF(OR(R136="EXIT",R136="CHALLENGE"),"Waste decision requires scope resolution",IF("Name and organisation matched"&lt;&gt;"Name and organisation matched","Waste evidence match needs review","Provisional source score - confirm evidence"))))))</x:f>
        <x:v>Provisional source score - confirm evidence</x:v>
      </x:c>
      <x:c r="AL136" s="36"/>
      <x:c r="AM136" s="40"/>
      <x:c r="AN136" s="39"/>
      <x:c r="AO136" s="40"/>
      <x:c r="AP136" s="40"/>
    </x:row>
    <x:row r="137" ht="15" hidden="0" customHeight="1">
      <x:c r="A137" s="36" t="str">
        <x:v>Bu-142</x:v>
      </x:c>
      <x:c r="B137" s="37" t="str">
        <x:v>Service Now : Proactive Service Operations &amp; Digital Self-Service at the Edge</x:v>
      </x:c>
      <x:c r="C137" s="36" t="str">
        <x:v>BU Led</x:v>
      </x:c>
      <x:c r="D137" s="36" t="str">
        <x:v>Enterprise Informatics (EI)</x:v>
      </x:c>
      <x:c r="E137" s="38" t="n">
        <x:v>0.8</x:v>
      </x:c>
      <x:c r="F137" s="39"/>
      <x:c r="G137" s="38" t="n">
        <x:f>IF(ISNUMBER(F137),F137,IF(E137="","",E137))</x:f>
        <x:v>0.8</x:v>
      </x:c>
      <x:c r="H137" s="38" t="n">
        <x:v>0.5</x:v>
      </x:c>
      <x:c r="I137" s="39"/>
      <x:c r="J137" s="36" t="str">
        <x:v>Cash savings</x:v>
      </x:c>
      <x:c r="K137" s="38" t="n">
        <x:f>IF(ISNUMBER(I137),I137,IF(OR(NOT(ISNUMBER(H137)),NOT(ISNUMBER(G137)),G137&lt;=0),"",IF(H137/G137&gt;='Score settings'!$B$58,"",IF(J137="Cash savings",H137,IF(J137="Revenue",H137*'Score settings'!$B$55,"")))))</x:f>
        <x:v>0.5</x:v>
      </x:c>
      <x:c r="L137" s="36"/>
      <x:c r="M137" s="39"/>
      <x:c r="N137" s="40"/>
      <x:c r="O137" s="36" t="str">
        <x:v>Must Do</x:v>
      </x:c>
      <x:c r="P137" s="36" t="str">
        <x:v>AI</x:v>
      </x:c>
      <x:c r="Q137" s="36" t="str">
        <x:v>Productivity</x:v>
      </x:c>
      <x:c r="R137" s="36" t="str">
        <x:v>NotAssessed</x:v>
      </x:c>
      <x:c r="S137" s="36" t="str"/>
      <x:c r="T137" s="36" t="str">
        <x:v>Common pot</x:v>
      </x:c>
      <x:c r="U137" s="41" t="n">
        <x:f>VLOOKUP("Priority|"&amp;O137,'Score settings'!$A$14:$C$43,2,FALSE)/'Score settings'!$B$4*'Score settings'!$C$4</x:f>
        <x:v>25</x:v>
      </x:c>
      <x:c r="V137" s="41" t="n">
        <x:f>VLOOKUP("Category|"&amp;P137,'Score settings'!$A$14:$C$43,2,FALSE)/'Score settings'!$B$5*'Score settings'!$C$5</x:f>
        <x:v>16</x:v>
      </x:c>
      <x:c r="W137" s="41" t="n">
        <x:f>VLOOKUP("Area|"&amp;Q137,'Score settings'!$A$14:$C$43,2,FALSE)/'Score settings'!$B$6*'Score settings'!$C$6</x:f>
        <x:v>10</x:v>
      </x:c>
      <x:c r="X137" s="41" t="n">
        <x:f>VLOOKUP("Benefits|"&amp;IF(AND(ISNUMBER(H137),H137&gt;0,ISNUMBER(G137),G137&gt;0),IF(H137/G137&gt;='Score settings'!$E$17,"3plus",IF(H137/G137&gt;='Score settings'!$E$16,"1.5to3",IF(H137/G137&gt;='Score settings'!$E$15,"0.5to1.5","positive"))),"None"),'Score settings'!$A$14:$C$43,2,FALSE)/'Score settings'!$B$7*'Score settings'!$C$7</x:f>
        <x:v>15</x:v>
      </x:c>
      <x:c r="Y137" s="41" t="n">
        <x:f>VLOOKUP("Waste|"&amp;R137,'Score settings'!$A$14:$C$43,2,FALSE)/'Score settings'!$B$8*'Score settings'!$C$8</x:f>
        <x:v>7</x:v>
      </x:c>
      <x:c r="Z137" s="41" t="n">
        <x:f>IF(B137="","",SUM(U137:Y137))</x:f>
        <x:v>73</x:v>
      </x:c>
      <x:c r="AA137" s="41" t="str">
        <x:f>IF(Z137="","Not scored",VLOOKUP(Z137,'Score settings'!$A$47:$C$50,2,TRUE))</x:f>
        <x:v>Protected</x:v>
      </x:c>
      <x:c r="AB137" s="41" t="n">
        <x:f>VLOOKUP("Priority|"&amp;O137,'Score settings'!$A$14:$C$43,3,FALSE)/'Score settings'!$B$4*'Score settings'!$D$4</x:f>
        <x:v>15</x:v>
      </x:c>
      <x:c r="AC137" s="41" t="n">
        <x:f>VLOOKUP("Category|"&amp;P137,'Score settings'!$A$14:$C$43,3,FALSE)/'Score settings'!$B$5*'Score settings'!$D$5</x:f>
        <x:v>8</x:v>
      </x:c>
      <x:c r="AD137" s="41" t="n">
        <x:f>VLOOKUP("Area|"&amp;Q137,'Score settings'!$A$14:$C$43,3,FALSE)/'Score settings'!$B$6*'Score settings'!$D$6</x:f>
        <x:v>6.666666666666666</x:v>
      </x:c>
      <x:c r="AE137" s="41" t="n">
        <x:f>VLOOKUP("Benefits|"&amp;IF(AND(ISNUMBER(K137),K137&gt;0,ISNUMBER(G137),G137&gt;0),IF(K137/G137&gt;='Score settings'!$E$17,"3plus",IF(K137/G137&gt;='Score settings'!$E$16,"1.5to3",IF(K137/G137&gt;='Score settings'!$E$15,"0.5to1.5","positive"))),"None"),'Score settings'!$A$14:$C$43,3,FALSE)/'Score settings'!$B$7*'Score settings'!$D$7</x:f>
        <x:v>18</x:v>
      </x:c>
      <x:c r="AF137" s="41" t="n">
        <x:f>VLOOKUP("Waste|"&amp;R137,'Score settings'!$A$14:$C$43,3,FALSE)/'Score settings'!$B$8*'Score settings'!$D$8</x:f>
        <x:v>0</x:v>
      </x:c>
      <x:c r="AG137" s="41" t="n">
        <x:f>(IF(AND(ISNUMBER(M137),M137&gt;0,ISNUMBER(G137),G137&gt;0),IF(M137/G137&gt;='Score settings'!$E$17,'Score settings'!$G$17,IF(M137/G137&gt;='Score settings'!$E$16,'Score settings'!$G$16,IF(M137/G137&gt;='Score settings'!$E$15,'Score settings'!$G$15,'Score settings'!$G$14))),0)/15*'Score settings'!$B$60+IFERROR(VLOOKUP(IF(ISNUMBER(N137),N137,IF(ISNUMBER(L137),L137,0)),'Score settings'!$E$22:$F$26,2,FALSE),0)/10*'Score settings'!$B$61)/'Score settings'!$B$9*'Score settings'!$D$9</x:f>
        <x:v>0</x:v>
      </x:c>
      <x:c r="AH137" s="41" t="n">
        <x:f>IF(B137="","",SUM(AB137:AG137))</x:f>
        <x:v>47.666666666666664</x:v>
      </x:c>
      <x:c r="AI137" s="41" t="str">
        <x:f>IF(NOT(ISNUMBER(AH137)),"Not scored",VLOOKUP(AH137,'Score settings'!$A$47:$C$50,3,TRUE))</x:f>
        <x:v>Strong</x:v>
      </x:c>
      <x:c r="AJ137" s="42" t="n">
        <x:f>IF(OR(NOT(ISNUMBER(AH137)),T137&lt;&gt;"Common pot"),"",COUNTIFS($T$4:$T$509,"Common pot",$AH$4:$AH$509,"&gt;"&amp;AH137)+1)</x:f>
        <x:v>55</x:v>
      </x:c>
      <x:c r="AK137" s="36" t="str">
        <x:f>IF(B137="","Name missing - not scored",IF(OR(NOT(ISNUMBER(G137)),G137&lt;=0),"Investment missing or zero - review",IF(0=1,"Permanent ID missing - reconcile",IF(AND(ISNUMBER(H137),H137/G137&gt;='Score settings'!$B$58,NOT(ISNUMBER(I137))),"Benefit units need review",IF(OR(R137="EXIT",R137="CHALLENGE"),"Waste decision requires scope resolution",IF("Name and organisation matched"&lt;&gt;"Name and organisation matched","Waste evidence match needs review","Provisional source score - confirm evidence"))))))</x:f>
        <x:v>Provisional source score - confirm evidence</x:v>
      </x:c>
      <x:c r="AL137" s="36"/>
      <x:c r="AM137" s="40"/>
      <x:c r="AN137" s="39"/>
      <x:c r="AO137" s="40"/>
      <x:c r="AP137" s="40"/>
    </x:row>
    <x:row r="138" ht="15" hidden="0" customHeight="1">
      <x:c r="A138" s="36" t="str">
        <x:v>Bu-143</x:v>
      </x:c>
      <x:c r="B138" s="37" t="str">
        <x:v>Service Now : Fundamentals and Change Requests</x:v>
      </x:c>
      <x:c r="C138" s="36" t="str">
        <x:v>BU Led</x:v>
      </x:c>
      <x:c r="D138" s="36" t="str">
        <x:v>Enterprise Informatics (EI)</x:v>
      </x:c>
      <x:c r="E138" s="38" t="n">
        <x:v>0.65</x:v>
      </x:c>
      <x:c r="F138" s="39"/>
      <x:c r="G138" s="38" t="n">
        <x:f>IF(ISNUMBER(F138),F138,IF(E138="","",E138))</x:f>
        <x:v>0.65</x:v>
      </x:c>
      <x:c r="H138" s="38"/>
      <x:c r="I138" s="39"/>
      <x:c r="J138" s="36" t="str">
        <x:v>Cash savings</x:v>
      </x:c>
      <x:c r="K138" s="38" t="str">
        <x:f>IF(ISNUMBER(I138),I138,IF(OR(NOT(ISNUMBER(H138)),NOT(ISNUMBER(G138)),G138&lt;=0),"",IF(H138/G138&gt;='Score settings'!$B$58,"",IF(J138="Cash savings",H138,IF(J138="Revenue",H138*'Score settings'!$B$55,"")))))</x:f>
      </x:c>
      <x:c r="L138" s="36"/>
      <x:c r="M138" s="39"/>
      <x:c r="N138" s="40"/>
      <x:c r="O138" s="36" t="str">
        <x:v>Must Do</x:v>
      </x:c>
      <x:c r="P138" s="36" t="str">
        <x:v>NewFeat</x:v>
      </x:c>
      <x:c r="Q138" s="36" t="str">
        <x:v>ProcSimp</x:v>
      </x:c>
      <x:c r="R138" s="36" t="str">
        <x:v>NotAssessed</x:v>
      </x:c>
      <x:c r="S138" s="36" t="str"/>
      <x:c r="T138" s="36" t="str">
        <x:v>Common pot</x:v>
      </x:c>
      <x:c r="U138" s="41" t="n">
        <x:f>VLOOKUP("Priority|"&amp;O138,'Score settings'!$A$14:$C$43,2,FALSE)/'Score settings'!$B$4*'Score settings'!$C$4</x:f>
        <x:v>25</x:v>
      </x:c>
      <x:c r="V138" s="41" t="n">
        <x:f>VLOOKUP("Category|"&amp;P138,'Score settings'!$A$14:$C$43,2,FALSE)/'Score settings'!$B$5*'Score settings'!$C$5</x:f>
        <x:v>6</x:v>
      </x:c>
      <x:c r="W138" s="41" t="n">
        <x:f>VLOOKUP("Area|"&amp;Q138,'Score settings'!$A$14:$C$43,2,FALSE)/'Score settings'!$B$6*'Score settings'!$C$6</x:f>
        <x:v>12</x:v>
      </x:c>
      <x:c r="X138" s="41" t="n">
        <x:f>VLOOKUP("Benefits|"&amp;IF(AND(ISNUMBER(H138),H138&gt;0,ISNUMBER(G138),G138&gt;0),IF(H138/G138&gt;='Score settings'!$E$17,"3plus",IF(H138/G138&gt;='Score settings'!$E$16,"1.5to3",IF(H138/G138&gt;='Score settings'!$E$15,"0.5to1.5","positive"))),"None"),'Score settings'!$A$14:$C$43,2,FALSE)/'Score settings'!$B$7*'Score settings'!$C$7</x:f>
        <x:v>5</x:v>
      </x:c>
      <x:c r="Y138" s="41" t="n">
        <x:f>VLOOKUP("Waste|"&amp;R138,'Score settings'!$A$14:$C$43,2,FALSE)/'Score settings'!$B$8*'Score settings'!$C$8</x:f>
        <x:v>7</x:v>
      </x:c>
      <x:c r="Z138" s="41" t="n">
        <x:f>IF(B138="","",SUM(U138:Y138))</x:f>
        <x:v>55</x:v>
      </x:c>
      <x:c r="AA138" s="41" t="str">
        <x:f>IF(Z138="","Not scored",VLOOKUP(Z138,'Score settings'!$A$47:$C$50,2,TRUE))</x:f>
        <x:v>Strong</x:v>
      </x:c>
      <x:c r="AB138" s="41" t="n">
        <x:f>VLOOKUP("Priority|"&amp;O138,'Score settings'!$A$14:$C$43,3,FALSE)/'Score settings'!$B$4*'Score settings'!$D$4</x:f>
        <x:v>15</x:v>
      </x:c>
      <x:c r="AC138" s="41" t="n">
        <x:f>VLOOKUP("Category|"&amp;P138,'Score settings'!$A$14:$C$43,3,FALSE)/'Score settings'!$B$5*'Score settings'!$D$5</x:f>
        <x:v>3</x:v>
      </x:c>
      <x:c r="AD138" s="41" t="n">
        <x:f>VLOOKUP("Area|"&amp;Q138,'Score settings'!$A$14:$C$43,3,FALSE)/'Score settings'!$B$6*'Score settings'!$D$6</x:f>
        <x:v>8</x:v>
      </x:c>
      <x:c r="AE138" s="41" t="n">
        <x:f>VLOOKUP("Benefits|"&amp;IF(AND(ISNUMBER(K138),K138&gt;0,ISNUMBER(G138),G138&gt;0),IF(K138/G138&gt;='Score settings'!$E$17,"3plus",IF(K138/G138&gt;='Score settings'!$E$16,"1.5to3",IF(K138/G138&gt;='Score settings'!$E$15,"0.5to1.5","positive"))),"None"),'Score settings'!$A$14:$C$43,3,FALSE)/'Score settings'!$B$7*'Score settings'!$D$7</x:f>
        <x:v>0</x:v>
      </x:c>
      <x:c r="AF138" s="41" t="n">
        <x:f>VLOOKUP("Waste|"&amp;R138,'Score settings'!$A$14:$C$43,3,FALSE)/'Score settings'!$B$8*'Score settings'!$D$8</x:f>
        <x:v>0</x:v>
      </x:c>
      <x:c r="AG138" s="41" t="n">
        <x:f>(IF(AND(ISNUMBER(M138),M138&gt;0,ISNUMBER(G138),G138&gt;0),IF(M138/G138&gt;='Score settings'!$E$17,'Score settings'!$G$17,IF(M138/G138&gt;='Score settings'!$E$16,'Score settings'!$G$16,IF(M138/G138&gt;='Score settings'!$E$15,'Score settings'!$G$15,'Score settings'!$G$14))),0)/15*'Score settings'!$B$60+IFERROR(VLOOKUP(IF(ISNUMBER(N138),N138,IF(ISNUMBER(L138),L138,0)),'Score settings'!$E$22:$F$26,2,FALSE),0)/10*'Score settings'!$B$61)/'Score settings'!$B$9*'Score settings'!$D$9</x:f>
        <x:v>0</x:v>
      </x:c>
      <x:c r="AH138" s="41" t="n">
        <x:f>IF(B138="","",SUM(AB138:AG138))</x:f>
        <x:v>26</x:v>
      </x:c>
      <x:c r="AI138" s="41" t="str">
        <x:f>IF(NOT(ISNUMBER(AH138)),"Not scored",VLOOKUP(AH138,'Score settings'!$A$47:$C$50,3,TRUE))</x:f>
        <x:v>Discretionary</x:v>
      </x:c>
      <x:c r="AJ138" s="42" t="n">
        <x:f>IF(OR(NOT(ISNUMBER(AH138)),T138&lt;&gt;"Common pot"),"",COUNTIFS($T$4:$T$509,"Common pot",$AH$4:$AH$509,"&gt;"&amp;AH138)+1)</x:f>
        <x:v>237</x:v>
      </x:c>
      <x:c r="AK138" s="36" t="str">
        <x:f>IF(B138="","Name missing - not scored",IF(OR(NOT(ISNUMBER(G138)),G138&lt;=0),"Investment missing or zero - review",IF(0=1,"Permanent ID missing - reconcile",IF(AND(ISNUMBER(H138),H138/G138&gt;='Score settings'!$B$58,NOT(ISNUMBER(I138))),"Benefit units need review",IF(OR(R138="EXIT",R138="CHALLENGE"),"Waste decision requires scope resolution",IF("Name and organisation matched"&lt;&gt;"Name and organisation matched","Waste evidence match needs review","Provisional source score - confirm evidence"))))))</x:f>
        <x:v>Provisional source score - confirm evidence</x:v>
      </x:c>
      <x:c r="AL138" s="36"/>
      <x:c r="AM138" s="40"/>
      <x:c r="AN138" s="39"/>
      <x:c r="AO138" s="40"/>
      <x:c r="AP138" s="40"/>
    </x:row>
    <x:row r="139" ht="24" hidden="0" customHeight="1">
      <x:c r="A139" s="36" t="str">
        <x:v>Bu-144</x:v>
      </x:c>
      <x:c r="B139" s="37" t="str">
        <x:v>Sercie Now AI Initiatives :Intelligent Contact Centre &amp; Intelligent Omnichannel Service</x:v>
      </x:c>
      <x:c r="C139" s="36" t="str">
        <x:v>BU Led</x:v>
      </x:c>
      <x:c r="D139" s="36" t="str">
        <x:v>Enterprise Informatics (EI)</x:v>
      </x:c>
      <x:c r="E139" s="38" t="n">
        <x:v>0.8</x:v>
      </x:c>
      <x:c r="F139" s="39"/>
      <x:c r="G139" s="38" t="n">
        <x:f>IF(ISNUMBER(F139),F139,IF(E139="","",E139))</x:f>
        <x:v>0.8</x:v>
      </x:c>
      <x:c r="H139" s="38" t="n">
        <x:v>0.5</x:v>
      </x:c>
      <x:c r="I139" s="39"/>
      <x:c r="J139" s="36" t="str">
        <x:v>Cash savings</x:v>
      </x:c>
      <x:c r="K139" s="38" t="n">
        <x:f>IF(ISNUMBER(I139),I139,IF(OR(NOT(ISNUMBER(H139)),NOT(ISNUMBER(G139)),G139&lt;=0),"",IF(H139/G139&gt;='Score settings'!$B$58,"",IF(J139="Cash savings",H139,IF(J139="Revenue",H139*'Score settings'!$B$55,"")))))</x:f>
        <x:v>0.5</x:v>
      </x:c>
      <x:c r="L139" s="36"/>
      <x:c r="M139" s="39"/>
      <x:c r="N139" s="40"/>
      <x:c r="O139" s="36" t="str">
        <x:v>Must Do</x:v>
      </x:c>
      <x:c r="P139" s="36" t="str">
        <x:v>AI</x:v>
      </x:c>
      <x:c r="Q139" s="36" t="str">
        <x:v>Productivity</x:v>
      </x:c>
      <x:c r="R139" s="36" t="str">
        <x:v>NotAssessed</x:v>
      </x:c>
      <x:c r="S139" s="36" t="str"/>
      <x:c r="T139" s="36" t="str">
        <x:v>Common pot</x:v>
      </x:c>
      <x:c r="U139" s="41" t="n">
        <x:f>VLOOKUP("Priority|"&amp;O139,'Score settings'!$A$14:$C$43,2,FALSE)/'Score settings'!$B$4*'Score settings'!$C$4</x:f>
        <x:v>25</x:v>
      </x:c>
      <x:c r="V139" s="41" t="n">
        <x:f>VLOOKUP("Category|"&amp;P139,'Score settings'!$A$14:$C$43,2,FALSE)/'Score settings'!$B$5*'Score settings'!$C$5</x:f>
        <x:v>16</x:v>
      </x:c>
      <x:c r="W139" s="41" t="n">
        <x:f>VLOOKUP("Area|"&amp;Q139,'Score settings'!$A$14:$C$43,2,FALSE)/'Score settings'!$B$6*'Score settings'!$C$6</x:f>
        <x:v>10</x:v>
      </x:c>
      <x:c r="X139" s="41" t="n">
        <x:f>VLOOKUP("Benefits|"&amp;IF(AND(ISNUMBER(H139),H139&gt;0,ISNUMBER(G139),G139&gt;0),IF(H139/G139&gt;='Score settings'!$E$17,"3plus",IF(H139/G139&gt;='Score settings'!$E$16,"1.5to3",IF(H139/G139&gt;='Score settings'!$E$15,"0.5to1.5","positive"))),"None"),'Score settings'!$A$14:$C$43,2,FALSE)/'Score settings'!$B$7*'Score settings'!$C$7</x:f>
        <x:v>15</x:v>
      </x:c>
      <x:c r="Y139" s="41" t="n">
        <x:f>VLOOKUP("Waste|"&amp;R139,'Score settings'!$A$14:$C$43,2,FALSE)/'Score settings'!$B$8*'Score settings'!$C$8</x:f>
        <x:v>7</x:v>
      </x:c>
      <x:c r="Z139" s="41" t="n">
        <x:f>IF(B139="","",SUM(U139:Y139))</x:f>
        <x:v>73</x:v>
      </x:c>
      <x:c r="AA139" s="41" t="str">
        <x:f>IF(Z139="","Not scored",VLOOKUP(Z139,'Score settings'!$A$47:$C$50,2,TRUE))</x:f>
        <x:v>Protected</x:v>
      </x:c>
      <x:c r="AB139" s="41" t="n">
        <x:f>VLOOKUP("Priority|"&amp;O139,'Score settings'!$A$14:$C$43,3,FALSE)/'Score settings'!$B$4*'Score settings'!$D$4</x:f>
        <x:v>15</x:v>
      </x:c>
      <x:c r="AC139" s="41" t="n">
        <x:f>VLOOKUP("Category|"&amp;P139,'Score settings'!$A$14:$C$43,3,FALSE)/'Score settings'!$B$5*'Score settings'!$D$5</x:f>
        <x:v>8</x:v>
      </x:c>
      <x:c r="AD139" s="41" t="n">
        <x:f>VLOOKUP("Area|"&amp;Q139,'Score settings'!$A$14:$C$43,3,FALSE)/'Score settings'!$B$6*'Score settings'!$D$6</x:f>
        <x:v>6.666666666666666</x:v>
      </x:c>
      <x:c r="AE139" s="41" t="n">
        <x:f>VLOOKUP("Benefits|"&amp;IF(AND(ISNUMBER(K139),K139&gt;0,ISNUMBER(G139),G139&gt;0),IF(K139/G139&gt;='Score settings'!$E$17,"3plus",IF(K139/G139&gt;='Score settings'!$E$16,"1.5to3",IF(K139/G139&gt;='Score settings'!$E$15,"0.5to1.5","positive"))),"None"),'Score settings'!$A$14:$C$43,3,FALSE)/'Score settings'!$B$7*'Score settings'!$D$7</x:f>
        <x:v>18</x:v>
      </x:c>
      <x:c r="AF139" s="41" t="n">
        <x:f>VLOOKUP("Waste|"&amp;R139,'Score settings'!$A$14:$C$43,3,FALSE)/'Score settings'!$B$8*'Score settings'!$D$8</x:f>
        <x:v>0</x:v>
      </x:c>
      <x:c r="AG139" s="41" t="n">
        <x:f>(IF(AND(ISNUMBER(M139),M139&gt;0,ISNUMBER(G139),G139&gt;0),IF(M139/G139&gt;='Score settings'!$E$17,'Score settings'!$G$17,IF(M139/G139&gt;='Score settings'!$E$16,'Score settings'!$G$16,IF(M139/G139&gt;='Score settings'!$E$15,'Score settings'!$G$15,'Score settings'!$G$14))),0)/15*'Score settings'!$B$60+IFERROR(VLOOKUP(IF(ISNUMBER(N139),N139,IF(ISNUMBER(L139),L139,0)),'Score settings'!$E$22:$F$26,2,FALSE),0)/10*'Score settings'!$B$61)/'Score settings'!$B$9*'Score settings'!$D$9</x:f>
        <x:v>0</x:v>
      </x:c>
      <x:c r="AH139" s="41" t="n">
        <x:f>IF(B139="","",SUM(AB139:AG139))</x:f>
        <x:v>47.666666666666664</x:v>
      </x:c>
      <x:c r="AI139" s="41" t="str">
        <x:f>IF(NOT(ISNUMBER(AH139)),"Not scored",VLOOKUP(AH139,'Score settings'!$A$47:$C$50,3,TRUE))</x:f>
        <x:v>Strong</x:v>
      </x:c>
      <x:c r="AJ139" s="42" t="n">
        <x:f>IF(OR(NOT(ISNUMBER(AH139)),T139&lt;&gt;"Common pot"),"",COUNTIFS($T$4:$T$509,"Common pot",$AH$4:$AH$509,"&gt;"&amp;AH139)+1)</x:f>
        <x:v>55</x:v>
      </x:c>
      <x:c r="AK139" s="36" t="str">
        <x:f>IF(B139="","Name missing - not scored",IF(OR(NOT(ISNUMBER(G139)),G139&lt;=0),"Investment missing or zero - review",IF(0=1,"Permanent ID missing - reconcile",IF(AND(ISNUMBER(H139),H139/G139&gt;='Score settings'!$B$58,NOT(ISNUMBER(I139))),"Benefit units need review",IF(OR(R139="EXIT",R139="CHALLENGE"),"Waste decision requires scope resolution",IF("Name and organisation matched"&lt;&gt;"Name and organisation matched","Waste evidence match needs review","Provisional source score - confirm evidence"))))))</x:f>
        <x:v>Provisional source score - confirm evidence</x:v>
      </x:c>
      <x:c r="AL139" s="36"/>
      <x:c r="AM139" s="40"/>
      <x:c r="AN139" s="39"/>
      <x:c r="AO139" s="40"/>
      <x:c r="AP139" s="40"/>
    </x:row>
    <x:row r="140" ht="24" hidden="0" customHeight="1">
      <x:c r="A140" s="36" t="str">
        <x:v>Bu-145</x:v>
      </x:c>
      <x:c r="B140" s="37" t="str">
        <x:v>Service Now: Agentic Workspace for Service &amp; Demand- and Skills-Based Workforce Orchestration</x:v>
      </x:c>
      <x:c r="C140" s="36" t="str">
        <x:v>BU Led</x:v>
      </x:c>
      <x:c r="D140" s="36" t="str">
        <x:v>Enterprise Informatics (EI)</x:v>
      </x:c>
      <x:c r="E140" s="38" t="n">
        <x:v>0.75</x:v>
      </x:c>
      <x:c r="F140" s="39"/>
      <x:c r="G140" s="38" t="n">
        <x:f>IF(ISNUMBER(F140),F140,IF(E140="","",E140))</x:f>
        <x:v>0.75</x:v>
      </x:c>
      <x:c r="H140" s="38" t="n">
        <x:v>0.5</x:v>
      </x:c>
      <x:c r="I140" s="39"/>
      <x:c r="J140" s="36" t="str">
        <x:v>Cash savings</x:v>
      </x:c>
      <x:c r="K140" s="38" t="n">
        <x:f>IF(ISNUMBER(I140),I140,IF(OR(NOT(ISNUMBER(H140)),NOT(ISNUMBER(G140)),G140&lt;=0),"",IF(H140/G140&gt;='Score settings'!$B$58,"",IF(J140="Cash savings",H140,IF(J140="Revenue",H140*'Score settings'!$B$55,"")))))</x:f>
        <x:v>0.5</x:v>
      </x:c>
      <x:c r="L140" s="36"/>
      <x:c r="M140" s="39"/>
      <x:c r="N140" s="40"/>
      <x:c r="O140" s="36" t="str">
        <x:v>Must Do</x:v>
      </x:c>
      <x:c r="P140" s="36" t="str">
        <x:v>AI</x:v>
      </x:c>
      <x:c r="Q140" s="36" t="str">
        <x:v>Productivity</x:v>
      </x:c>
      <x:c r="R140" s="36" t="str">
        <x:v>NotAssessed</x:v>
      </x:c>
      <x:c r="S140" s="36" t="str"/>
      <x:c r="T140" s="36" t="str">
        <x:v>Common pot</x:v>
      </x:c>
      <x:c r="U140" s="41" t="n">
        <x:f>VLOOKUP("Priority|"&amp;O140,'Score settings'!$A$14:$C$43,2,FALSE)/'Score settings'!$B$4*'Score settings'!$C$4</x:f>
        <x:v>25</x:v>
      </x:c>
      <x:c r="V140" s="41" t="n">
        <x:f>VLOOKUP("Category|"&amp;P140,'Score settings'!$A$14:$C$43,2,FALSE)/'Score settings'!$B$5*'Score settings'!$C$5</x:f>
        <x:v>16</x:v>
      </x:c>
      <x:c r="W140" s="41" t="n">
        <x:f>VLOOKUP("Area|"&amp;Q140,'Score settings'!$A$14:$C$43,2,FALSE)/'Score settings'!$B$6*'Score settings'!$C$6</x:f>
        <x:v>10</x:v>
      </x:c>
      <x:c r="X140" s="41" t="n">
        <x:f>VLOOKUP("Benefits|"&amp;IF(AND(ISNUMBER(H140),H140&gt;0,ISNUMBER(G140),G140&gt;0),IF(H140/G140&gt;='Score settings'!$E$17,"3plus",IF(H140/G140&gt;='Score settings'!$E$16,"1.5to3",IF(H140/G140&gt;='Score settings'!$E$15,"0.5to1.5","positive"))),"None"),'Score settings'!$A$14:$C$43,2,FALSE)/'Score settings'!$B$7*'Score settings'!$C$7</x:f>
        <x:v>15</x:v>
      </x:c>
      <x:c r="Y140" s="41" t="n">
        <x:f>VLOOKUP("Waste|"&amp;R140,'Score settings'!$A$14:$C$43,2,FALSE)/'Score settings'!$B$8*'Score settings'!$C$8</x:f>
        <x:v>7</x:v>
      </x:c>
      <x:c r="Z140" s="41" t="n">
        <x:f>IF(B140="","",SUM(U140:Y140))</x:f>
        <x:v>73</x:v>
      </x:c>
      <x:c r="AA140" s="41" t="str">
        <x:f>IF(Z140="","Not scored",VLOOKUP(Z140,'Score settings'!$A$47:$C$50,2,TRUE))</x:f>
        <x:v>Protected</x:v>
      </x:c>
      <x:c r="AB140" s="41" t="n">
        <x:f>VLOOKUP("Priority|"&amp;O140,'Score settings'!$A$14:$C$43,3,FALSE)/'Score settings'!$B$4*'Score settings'!$D$4</x:f>
        <x:v>15</x:v>
      </x:c>
      <x:c r="AC140" s="41" t="n">
        <x:f>VLOOKUP("Category|"&amp;P140,'Score settings'!$A$14:$C$43,3,FALSE)/'Score settings'!$B$5*'Score settings'!$D$5</x:f>
        <x:v>8</x:v>
      </x:c>
      <x:c r="AD140" s="41" t="n">
        <x:f>VLOOKUP("Area|"&amp;Q140,'Score settings'!$A$14:$C$43,3,FALSE)/'Score settings'!$B$6*'Score settings'!$D$6</x:f>
        <x:v>6.666666666666666</x:v>
      </x:c>
      <x:c r="AE140" s="41" t="n">
        <x:f>VLOOKUP("Benefits|"&amp;IF(AND(ISNUMBER(K140),K140&gt;0,ISNUMBER(G140),G140&gt;0),IF(K140/G140&gt;='Score settings'!$E$17,"3plus",IF(K140/G140&gt;='Score settings'!$E$16,"1.5to3",IF(K140/G140&gt;='Score settings'!$E$15,"0.5to1.5","positive"))),"None"),'Score settings'!$A$14:$C$43,3,FALSE)/'Score settings'!$B$7*'Score settings'!$D$7</x:f>
        <x:v>18</x:v>
      </x:c>
      <x:c r="AF140" s="41" t="n">
        <x:f>VLOOKUP("Waste|"&amp;R140,'Score settings'!$A$14:$C$43,3,FALSE)/'Score settings'!$B$8*'Score settings'!$D$8</x:f>
        <x:v>0</x:v>
      </x:c>
      <x:c r="AG140" s="41" t="n">
        <x:f>(IF(AND(ISNUMBER(M140),M140&gt;0,ISNUMBER(G140),G140&gt;0),IF(M140/G140&gt;='Score settings'!$E$17,'Score settings'!$G$17,IF(M140/G140&gt;='Score settings'!$E$16,'Score settings'!$G$16,IF(M140/G140&gt;='Score settings'!$E$15,'Score settings'!$G$15,'Score settings'!$G$14))),0)/15*'Score settings'!$B$60+IFERROR(VLOOKUP(IF(ISNUMBER(N140),N140,IF(ISNUMBER(L140),L140,0)),'Score settings'!$E$22:$F$26,2,FALSE),0)/10*'Score settings'!$B$61)/'Score settings'!$B$9*'Score settings'!$D$9</x:f>
        <x:v>0</x:v>
      </x:c>
      <x:c r="AH140" s="41" t="n">
        <x:f>IF(B140="","",SUM(AB140:AG140))</x:f>
        <x:v>47.666666666666664</x:v>
      </x:c>
      <x:c r="AI140" s="41" t="str">
        <x:f>IF(NOT(ISNUMBER(AH140)),"Not scored",VLOOKUP(AH140,'Score settings'!$A$47:$C$50,3,TRUE))</x:f>
        <x:v>Strong</x:v>
      </x:c>
      <x:c r="AJ140" s="42" t="n">
        <x:f>IF(OR(NOT(ISNUMBER(AH140)),T140&lt;&gt;"Common pot"),"",COUNTIFS($T$4:$T$509,"Common pot",$AH$4:$AH$509,"&gt;"&amp;AH140)+1)</x:f>
        <x:v>55</x:v>
      </x:c>
      <x:c r="AK140" s="36" t="str">
        <x:f>IF(B140="","Name missing - not scored",IF(OR(NOT(ISNUMBER(G140)),G140&lt;=0),"Investment missing or zero - review",IF(0=1,"Permanent ID missing - reconcile",IF(AND(ISNUMBER(H140),H140/G140&gt;='Score settings'!$B$58,NOT(ISNUMBER(I140))),"Benefit units need review",IF(OR(R140="EXIT",R140="CHALLENGE"),"Waste decision requires scope resolution",IF("Name and organisation matched"&lt;&gt;"Name and organisation matched","Waste evidence match needs review","Provisional source score - confirm evidence"))))))</x:f>
        <x:v>Provisional source score - confirm evidence</x:v>
      </x:c>
      <x:c r="AL140" s="36"/>
      <x:c r="AM140" s="40"/>
      <x:c r="AN140" s="39"/>
      <x:c r="AO140" s="40"/>
      <x:c r="AP140" s="40"/>
    </x:row>
    <x:row r="141" ht="15" hidden="0" customHeight="1">
      <x:c r="A141" s="36" t="str">
        <x:v>Bu-146</x:v>
      </x:c>
      <x:c r="B141" s="37" t="str">
        <x:v>Service Operations : Sensei</x:v>
      </x:c>
      <x:c r="C141" s="36" t="str">
        <x:v>BU Led</x:v>
      </x:c>
      <x:c r="D141" s="36" t="str">
        <x:v>Enterprise Informatics (EI)</x:v>
      </x:c>
      <x:c r="E141" s="38" t="n">
        <x:v>0.5</x:v>
      </x:c>
      <x:c r="F141" s="39"/>
      <x:c r="G141" s="38" t="n">
        <x:f>IF(ISNUMBER(F141),F141,IF(E141="","",E141))</x:f>
        <x:v>0.5</x:v>
      </x:c>
      <x:c r="H141" s="38"/>
      <x:c r="I141" s="39"/>
      <x:c r="J141" s="36" t="str">
        <x:v>Unclassified</x:v>
      </x:c>
      <x:c r="K141" s="38" t="str">
        <x:f>IF(ISNUMBER(I141),I141,IF(OR(NOT(ISNUMBER(H141)),NOT(ISNUMBER(G141)),G141&lt;=0),"",IF(H141/G141&gt;='Score settings'!$B$58,"",IF(J141="Cash savings",H141,IF(J141="Revenue",H141*'Score settings'!$B$55,"")))))</x:f>
      </x:c>
      <x:c r="L141" s="36"/>
      <x:c r="M141" s="39"/>
      <x:c r="N141" s="40"/>
      <x:c r="O141" s="36" t="str">
        <x:v>Must Do</x:v>
      </x:c>
      <x:c r="P141" s="36" t="str">
        <x:v>Blank</x:v>
      </x:c>
      <x:c r="Q141" s="36" t="str">
        <x:v>Blank</x:v>
      </x:c>
      <x:c r="R141" s="36" t="str">
        <x:v>NotAssessed</x:v>
      </x:c>
      <x:c r="S141" s="36" t="str"/>
      <x:c r="T141" s="36" t="str">
        <x:v>Common pot</x:v>
      </x:c>
      <x:c r="U141" s="41" t="n">
        <x:f>VLOOKUP("Priority|"&amp;O141,'Score settings'!$A$14:$C$43,2,FALSE)/'Score settings'!$B$4*'Score settings'!$C$4</x:f>
        <x:v>25</x:v>
      </x:c>
      <x:c r="V141" s="41" t="n">
        <x:f>VLOOKUP("Category|"&amp;P141,'Score settings'!$A$14:$C$43,2,FALSE)/'Score settings'!$B$5*'Score settings'!$C$5</x:f>
        <x:v>4</x:v>
      </x:c>
      <x:c r="W141" s="41" t="n">
        <x:f>VLOOKUP("Area|"&amp;Q141,'Score settings'!$A$14:$C$43,2,FALSE)/'Score settings'!$B$6*'Score settings'!$C$6</x:f>
        <x:v>3</x:v>
      </x:c>
      <x:c r="X141" s="41" t="n">
        <x:f>VLOOKUP("Benefits|"&amp;IF(AND(ISNUMBER(H141),H141&gt;0,ISNUMBER(G141),G141&gt;0),IF(H141/G141&gt;='Score settings'!$E$17,"3plus",IF(H141/G141&gt;='Score settings'!$E$16,"1.5to3",IF(H141/G141&gt;='Score settings'!$E$15,"0.5to1.5","positive"))),"None"),'Score settings'!$A$14:$C$43,2,FALSE)/'Score settings'!$B$7*'Score settings'!$C$7</x:f>
        <x:v>5</x:v>
      </x:c>
      <x:c r="Y141" s="41" t="n">
        <x:f>VLOOKUP("Waste|"&amp;R141,'Score settings'!$A$14:$C$43,2,FALSE)/'Score settings'!$B$8*'Score settings'!$C$8</x:f>
        <x:v>7</x:v>
      </x:c>
      <x:c r="Z141" s="41" t="n">
        <x:f>IF(B141="","",SUM(U141:Y141))</x:f>
        <x:v>44</x:v>
      </x:c>
      <x:c r="AA141" s="41" t="str">
        <x:f>IF(Z141="","Not scored",VLOOKUP(Z141,'Score settings'!$A$47:$C$50,2,TRUE))</x:f>
        <x:v>Discretionary</x:v>
      </x:c>
      <x:c r="AB141" s="41" t="n">
        <x:f>VLOOKUP("Priority|"&amp;O141,'Score settings'!$A$14:$C$43,3,FALSE)/'Score settings'!$B$4*'Score settings'!$D$4</x:f>
        <x:v>15</x:v>
      </x:c>
      <x:c r="AC141" s="41" t="n">
        <x:f>VLOOKUP("Category|"&amp;P141,'Score settings'!$A$14:$C$43,3,FALSE)/'Score settings'!$B$5*'Score settings'!$D$5</x:f>
        <x:v>0</x:v>
      </x:c>
      <x:c r="AD141" s="41" t="n">
        <x:f>VLOOKUP("Area|"&amp;Q141,'Score settings'!$A$14:$C$43,3,FALSE)/'Score settings'!$B$6*'Score settings'!$D$6</x:f>
        <x:v>0</x:v>
      </x:c>
      <x:c r="AE141" s="41" t="n">
        <x:f>VLOOKUP("Benefits|"&amp;IF(AND(ISNUMBER(K141),K141&gt;0,ISNUMBER(G141),G141&gt;0),IF(K141/G141&gt;='Score settings'!$E$17,"3plus",IF(K141/G141&gt;='Score settings'!$E$16,"1.5to3",IF(K141/G141&gt;='Score settings'!$E$15,"0.5to1.5","positive"))),"None"),'Score settings'!$A$14:$C$43,3,FALSE)/'Score settings'!$B$7*'Score settings'!$D$7</x:f>
        <x:v>0</x:v>
      </x:c>
      <x:c r="AF141" s="41" t="n">
        <x:f>VLOOKUP("Waste|"&amp;R141,'Score settings'!$A$14:$C$43,3,FALSE)/'Score settings'!$B$8*'Score settings'!$D$8</x:f>
        <x:v>0</x:v>
      </x:c>
      <x:c r="AG141" s="41" t="n">
        <x:f>(IF(AND(ISNUMBER(M141),M141&gt;0,ISNUMBER(G141),G141&gt;0),IF(M141/G141&gt;='Score settings'!$E$17,'Score settings'!$G$17,IF(M141/G141&gt;='Score settings'!$E$16,'Score settings'!$G$16,IF(M141/G141&gt;='Score settings'!$E$15,'Score settings'!$G$15,'Score settings'!$G$14))),0)/15*'Score settings'!$B$60+IFERROR(VLOOKUP(IF(ISNUMBER(N141),N141,IF(ISNUMBER(L141),L141,0)),'Score settings'!$E$22:$F$26,2,FALSE),0)/10*'Score settings'!$B$61)/'Score settings'!$B$9*'Score settings'!$D$9</x:f>
        <x:v>0</x:v>
      </x:c>
      <x:c r="AH141" s="41" t="n">
        <x:f>IF(B141="","",SUM(AB141:AG141))</x:f>
        <x:v>15</x:v>
      </x:c>
      <x:c r="AI141" s="41" t="str">
        <x:f>IF(NOT(ISNUMBER(AH141)),"Not scored",VLOOKUP(AH141,'Score settings'!$A$47:$C$50,3,TRUE))</x:f>
        <x:v>Weak</x:v>
      </x:c>
      <x:c r="AJ141" s="42" t="n">
        <x:f>IF(OR(NOT(ISNUMBER(AH141)),T141&lt;&gt;"Common pot"),"",COUNTIFS($T$4:$T$509,"Common pot",$AH$4:$AH$509,"&gt;"&amp;AH141)+1)</x:f>
        <x:v>364</x:v>
      </x:c>
      <x:c r="AK141" s="36" t="str">
        <x:f>IF(B141="","Name missing - not scored",IF(OR(NOT(ISNUMBER(G141)),G141&lt;=0),"Investment missing or zero - review",IF(0=1,"Permanent ID missing - reconcile",IF(AND(ISNUMBER(H141),H141/G141&gt;='Score settings'!$B$58,NOT(ISNUMBER(I141))),"Benefit units need review",IF(OR(R141="EXIT",R141="CHALLENGE"),"Waste decision requires scope resolution",IF("Name and organisation matched"&lt;&gt;"Name and organisation matched","Waste evidence match needs review","Provisional source score - confirm evidence"))))))</x:f>
        <x:v>Provisional source score - confirm evidence</x:v>
      </x:c>
      <x:c r="AL141" s="36"/>
      <x:c r="AM141" s="40"/>
      <x:c r="AN141" s="39"/>
      <x:c r="AO141" s="40"/>
      <x:c r="AP141" s="40"/>
    </x:row>
    <x:row r="142" ht="15" hidden="0" customHeight="1">
      <x:c r="A142" s="36" t="str">
        <x:v>Bu-147</x:v>
      </x:c>
      <x:c r="B142" s="37" t="str">
        <x:v>Service Operations : Microsoft Project Operations</x:v>
      </x:c>
      <x:c r="C142" s="36" t="str">
        <x:v>BU Led</x:v>
      </x:c>
      <x:c r="D142" s="36" t="str">
        <x:v>Enterprise Informatics (EI)</x:v>
      </x:c>
      <x:c r="E142" s="38" t="n">
        <x:v>0.3</x:v>
      </x:c>
      <x:c r="F142" s="39"/>
      <x:c r="G142" s="38" t="n">
        <x:f>IF(ISNUMBER(F142),F142,IF(E142="","",E142))</x:f>
        <x:v>0.3</x:v>
      </x:c>
      <x:c r="H142" s="38"/>
      <x:c r="I142" s="39"/>
      <x:c r="J142" s="36" t="str">
        <x:v>Unclassified</x:v>
      </x:c>
      <x:c r="K142" s="38" t="str">
        <x:f>IF(ISNUMBER(I142),I142,IF(OR(NOT(ISNUMBER(H142)),NOT(ISNUMBER(G142)),G142&lt;=0),"",IF(H142/G142&gt;='Score settings'!$B$58,"",IF(J142="Cash savings",H142,IF(J142="Revenue",H142*'Score settings'!$B$55,"")))))</x:f>
      </x:c>
      <x:c r="L142" s="36"/>
      <x:c r="M142" s="39"/>
      <x:c r="N142" s="40"/>
      <x:c r="O142" s="36" t="str">
        <x:v>Must Do</x:v>
      </x:c>
      <x:c r="P142" s="36" t="str">
        <x:v>Blank</x:v>
      </x:c>
      <x:c r="Q142" s="36" t="str">
        <x:v>Blank</x:v>
      </x:c>
      <x:c r="R142" s="36" t="str">
        <x:v>NotAssessed</x:v>
      </x:c>
      <x:c r="S142" s="36" t="str"/>
      <x:c r="T142" s="36" t="str">
        <x:v>Common pot</x:v>
      </x:c>
      <x:c r="U142" s="41" t="n">
        <x:f>VLOOKUP("Priority|"&amp;O142,'Score settings'!$A$14:$C$43,2,FALSE)/'Score settings'!$B$4*'Score settings'!$C$4</x:f>
        <x:v>25</x:v>
      </x:c>
      <x:c r="V142" s="41" t="n">
        <x:f>VLOOKUP("Category|"&amp;P142,'Score settings'!$A$14:$C$43,2,FALSE)/'Score settings'!$B$5*'Score settings'!$C$5</x:f>
        <x:v>4</x:v>
      </x:c>
      <x:c r="W142" s="41" t="n">
        <x:f>VLOOKUP("Area|"&amp;Q142,'Score settings'!$A$14:$C$43,2,FALSE)/'Score settings'!$B$6*'Score settings'!$C$6</x:f>
        <x:v>3</x:v>
      </x:c>
      <x:c r="X142" s="41" t="n">
        <x:f>VLOOKUP("Benefits|"&amp;IF(AND(ISNUMBER(H142),H142&gt;0,ISNUMBER(G142),G142&gt;0),IF(H142/G142&gt;='Score settings'!$E$17,"3plus",IF(H142/G142&gt;='Score settings'!$E$16,"1.5to3",IF(H142/G142&gt;='Score settings'!$E$15,"0.5to1.5","positive"))),"None"),'Score settings'!$A$14:$C$43,2,FALSE)/'Score settings'!$B$7*'Score settings'!$C$7</x:f>
        <x:v>5</x:v>
      </x:c>
      <x:c r="Y142" s="41" t="n">
        <x:f>VLOOKUP("Waste|"&amp;R142,'Score settings'!$A$14:$C$43,2,FALSE)/'Score settings'!$B$8*'Score settings'!$C$8</x:f>
        <x:v>7</x:v>
      </x:c>
      <x:c r="Z142" s="41" t="n">
        <x:f>IF(B142="","",SUM(U142:Y142))</x:f>
        <x:v>44</x:v>
      </x:c>
      <x:c r="AA142" s="41" t="str">
        <x:f>IF(Z142="","Not scored",VLOOKUP(Z142,'Score settings'!$A$47:$C$50,2,TRUE))</x:f>
        <x:v>Discretionary</x:v>
      </x:c>
      <x:c r="AB142" s="41" t="n">
        <x:f>VLOOKUP("Priority|"&amp;O142,'Score settings'!$A$14:$C$43,3,FALSE)/'Score settings'!$B$4*'Score settings'!$D$4</x:f>
        <x:v>15</x:v>
      </x:c>
      <x:c r="AC142" s="41" t="n">
        <x:f>VLOOKUP("Category|"&amp;P142,'Score settings'!$A$14:$C$43,3,FALSE)/'Score settings'!$B$5*'Score settings'!$D$5</x:f>
        <x:v>0</x:v>
      </x:c>
      <x:c r="AD142" s="41" t="n">
        <x:f>VLOOKUP("Area|"&amp;Q142,'Score settings'!$A$14:$C$43,3,FALSE)/'Score settings'!$B$6*'Score settings'!$D$6</x:f>
        <x:v>0</x:v>
      </x:c>
      <x:c r="AE142" s="41" t="n">
        <x:f>VLOOKUP("Benefits|"&amp;IF(AND(ISNUMBER(K142),K142&gt;0,ISNUMBER(G142),G142&gt;0),IF(K142/G142&gt;='Score settings'!$E$17,"3plus",IF(K142/G142&gt;='Score settings'!$E$16,"1.5to3",IF(K142/G142&gt;='Score settings'!$E$15,"0.5to1.5","positive"))),"None"),'Score settings'!$A$14:$C$43,3,FALSE)/'Score settings'!$B$7*'Score settings'!$D$7</x:f>
        <x:v>0</x:v>
      </x:c>
      <x:c r="AF142" s="41" t="n">
        <x:f>VLOOKUP("Waste|"&amp;R142,'Score settings'!$A$14:$C$43,3,FALSE)/'Score settings'!$B$8*'Score settings'!$D$8</x:f>
        <x:v>0</x:v>
      </x:c>
      <x:c r="AG142" s="41" t="n">
        <x:f>(IF(AND(ISNUMBER(M142),M142&gt;0,ISNUMBER(G142),G142&gt;0),IF(M142/G142&gt;='Score settings'!$E$17,'Score settings'!$G$17,IF(M142/G142&gt;='Score settings'!$E$16,'Score settings'!$G$16,IF(M142/G142&gt;='Score settings'!$E$15,'Score settings'!$G$15,'Score settings'!$G$14))),0)/15*'Score settings'!$B$60+IFERROR(VLOOKUP(IF(ISNUMBER(N142),N142,IF(ISNUMBER(L142),L142,0)),'Score settings'!$E$22:$F$26,2,FALSE),0)/10*'Score settings'!$B$61)/'Score settings'!$B$9*'Score settings'!$D$9</x:f>
        <x:v>0</x:v>
      </x:c>
      <x:c r="AH142" s="41" t="n">
        <x:f>IF(B142="","",SUM(AB142:AG142))</x:f>
        <x:v>15</x:v>
      </x:c>
      <x:c r="AI142" s="41" t="str">
        <x:f>IF(NOT(ISNUMBER(AH142)),"Not scored",VLOOKUP(AH142,'Score settings'!$A$47:$C$50,3,TRUE))</x:f>
        <x:v>Weak</x:v>
      </x:c>
      <x:c r="AJ142" s="42" t="n">
        <x:f>IF(OR(NOT(ISNUMBER(AH142)),T142&lt;&gt;"Common pot"),"",COUNTIFS($T$4:$T$509,"Common pot",$AH$4:$AH$509,"&gt;"&amp;AH142)+1)</x:f>
        <x:v>364</x:v>
      </x:c>
      <x:c r="AK142" s="36" t="str">
        <x:f>IF(B142="","Name missing - not scored",IF(OR(NOT(ISNUMBER(G142)),G142&lt;=0),"Investment missing or zero - review",IF(0=1,"Permanent ID missing - reconcile",IF(AND(ISNUMBER(H142),H142/G142&gt;='Score settings'!$B$58,NOT(ISNUMBER(I142))),"Benefit units need review",IF(OR(R142="EXIT",R142="CHALLENGE"),"Waste decision requires scope resolution",IF("Name and organisation matched"&lt;&gt;"Name and organisation matched","Waste evidence match needs review","Provisional source score - confirm evidence"))))))</x:f>
        <x:v>Provisional source score - confirm evidence</x:v>
      </x:c>
      <x:c r="AL142" s="36"/>
      <x:c r="AM142" s="40"/>
      <x:c r="AN142" s="39"/>
      <x:c r="AO142" s="40"/>
      <x:c r="AP142" s="40"/>
    </x:row>
    <x:row r="143" ht="15" hidden="0" customHeight="1">
      <x:c r="A143" s="36" t="str">
        <x:v>Bu-148</x:v>
      </x:c>
      <x:c r="B143" s="37" t="str">
        <x:v>Service Operations : Ignite</x:v>
      </x:c>
      <x:c r="C143" s="36" t="str">
        <x:v>BU Led</x:v>
      </x:c>
      <x:c r="D143" s="36" t="str">
        <x:v>Enterprise Informatics (EI)</x:v>
      </x:c>
      <x:c r="E143" s="38" t="n">
        <x:v>0.25</x:v>
      </x:c>
      <x:c r="F143" s="39"/>
      <x:c r="G143" s="38" t="n">
        <x:f>IF(ISNUMBER(F143),F143,IF(E143="","",E143))</x:f>
        <x:v>0.25</x:v>
      </x:c>
      <x:c r="H143" s="38"/>
      <x:c r="I143" s="39"/>
      <x:c r="J143" s="36" t="str">
        <x:v>Unclassified</x:v>
      </x:c>
      <x:c r="K143" s="38" t="str">
        <x:f>IF(ISNUMBER(I143),I143,IF(OR(NOT(ISNUMBER(H143)),NOT(ISNUMBER(G143)),G143&lt;=0),"",IF(H143/G143&gt;='Score settings'!$B$58,"",IF(J143="Cash savings",H143,IF(J143="Revenue",H143*'Score settings'!$B$55,"")))))</x:f>
      </x:c>
      <x:c r="L143" s="36"/>
      <x:c r="M143" s="39"/>
      <x:c r="N143" s="40"/>
      <x:c r="O143" s="36" t="str">
        <x:v>Must Do</x:v>
      </x:c>
      <x:c r="P143" s="36" t="str">
        <x:v>Blank</x:v>
      </x:c>
      <x:c r="Q143" s="36" t="str">
        <x:v>Blank</x:v>
      </x:c>
      <x:c r="R143" s="36" t="str">
        <x:v>NotAssessed</x:v>
      </x:c>
      <x:c r="S143" s="36" t="str"/>
      <x:c r="T143" s="36" t="str">
        <x:v>Common pot</x:v>
      </x:c>
      <x:c r="U143" s="41" t="n">
        <x:f>VLOOKUP("Priority|"&amp;O143,'Score settings'!$A$14:$C$43,2,FALSE)/'Score settings'!$B$4*'Score settings'!$C$4</x:f>
        <x:v>25</x:v>
      </x:c>
      <x:c r="V143" s="41" t="n">
        <x:f>VLOOKUP("Category|"&amp;P143,'Score settings'!$A$14:$C$43,2,FALSE)/'Score settings'!$B$5*'Score settings'!$C$5</x:f>
        <x:v>4</x:v>
      </x:c>
      <x:c r="W143" s="41" t="n">
        <x:f>VLOOKUP("Area|"&amp;Q143,'Score settings'!$A$14:$C$43,2,FALSE)/'Score settings'!$B$6*'Score settings'!$C$6</x:f>
        <x:v>3</x:v>
      </x:c>
      <x:c r="X143" s="41" t="n">
        <x:f>VLOOKUP("Benefits|"&amp;IF(AND(ISNUMBER(H143),H143&gt;0,ISNUMBER(G143),G143&gt;0),IF(H143/G143&gt;='Score settings'!$E$17,"3plus",IF(H143/G143&gt;='Score settings'!$E$16,"1.5to3",IF(H143/G143&gt;='Score settings'!$E$15,"0.5to1.5","positive"))),"None"),'Score settings'!$A$14:$C$43,2,FALSE)/'Score settings'!$B$7*'Score settings'!$C$7</x:f>
        <x:v>5</x:v>
      </x:c>
      <x:c r="Y143" s="41" t="n">
        <x:f>VLOOKUP("Waste|"&amp;R143,'Score settings'!$A$14:$C$43,2,FALSE)/'Score settings'!$B$8*'Score settings'!$C$8</x:f>
        <x:v>7</x:v>
      </x:c>
      <x:c r="Z143" s="41" t="n">
        <x:f>IF(B143="","",SUM(U143:Y143))</x:f>
        <x:v>44</x:v>
      </x:c>
      <x:c r="AA143" s="41" t="str">
        <x:f>IF(Z143="","Not scored",VLOOKUP(Z143,'Score settings'!$A$47:$C$50,2,TRUE))</x:f>
        <x:v>Discretionary</x:v>
      </x:c>
      <x:c r="AB143" s="41" t="n">
        <x:f>VLOOKUP("Priority|"&amp;O143,'Score settings'!$A$14:$C$43,3,FALSE)/'Score settings'!$B$4*'Score settings'!$D$4</x:f>
        <x:v>15</x:v>
      </x:c>
      <x:c r="AC143" s="41" t="n">
        <x:f>VLOOKUP("Category|"&amp;P143,'Score settings'!$A$14:$C$43,3,FALSE)/'Score settings'!$B$5*'Score settings'!$D$5</x:f>
        <x:v>0</x:v>
      </x:c>
      <x:c r="AD143" s="41" t="n">
        <x:f>VLOOKUP("Area|"&amp;Q143,'Score settings'!$A$14:$C$43,3,FALSE)/'Score settings'!$B$6*'Score settings'!$D$6</x:f>
        <x:v>0</x:v>
      </x:c>
      <x:c r="AE143" s="41" t="n">
        <x:f>VLOOKUP("Benefits|"&amp;IF(AND(ISNUMBER(K143),K143&gt;0,ISNUMBER(G143),G143&gt;0),IF(K143/G143&gt;='Score settings'!$E$17,"3plus",IF(K143/G143&gt;='Score settings'!$E$16,"1.5to3",IF(K143/G143&gt;='Score settings'!$E$15,"0.5to1.5","positive"))),"None"),'Score settings'!$A$14:$C$43,3,FALSE)/'Score settings'!$B$7*'Score settings'!$D$7</x:f>
        <x:v>0</x:v>
      </x:c>
      <x:c r="AF143" s="41" t="n">
        <x:f>VLOOKUP("Waste|"&amp;R143,'Score settings'!$A$14:$C$43,3,FALSE)/'Score settings'!$B$8*'Score settings'!$D$8</x:f>
        <x:v>0</x:v>
      </x:c>
      <x:c r="AG143" s="41" t="n">
        <x:f>(IF(AND(ISNUMBER(M143),M143&gt;0,ISNUMBER(G143),G143&gt;0),IF(M143/G143&gt;='Score settings'!$E$17,'Score settings'!$G$17,IF(M143/G143&gt;='Score settings'!$E$16,'Score settings'!$G$16,IF(M143/G143&gt;='Score settings'!$E$15,'Score settings'!$G$15,'Score settings'!$G$14))),0)/15*'Score settings'!$B$60+IFERROR(VLOOKUP(IF(ISNUMBER(N143),N143,IF(ISNUMBER(L143),L143,0)),'Score settings'!$E$22:$F$26,2,FALSE),0)/10*'Score settings'!$B$61)/'Score settings'!$B$9*'Score settings'!$D$9</x:f>
        <x:v>0</x:v>
      </x:c>
      <x:c r="AH143" s="41" t="n">
        <x:f>IF(B143="","",SUM(AB143:AG143))</x:f>
        <x:v>15</x:v>
      </x:c>
      <x:c r="AI143" s="41" t="str">
        <x:f>IF(NOT(ISNUMBER(AH143)),"Not scored",VLOOKUP(AH143,'Score settings'!$A$47:$C$50,3,TRUE))</x:f>
        <x:v>Weak</x:v>
      </x:c>
      <x:c r="AJ143" s="42" t="n">
        <x:f>IF(OR(NOT(ISNUMBER(AH143)),T143&lt;&gt;"Common pot"),"",COUNTIFS($T$4:$T$509,"Common pot",$AH$4:$AH$509,"&gt;"&amp;AH143)+1)</x:f>
        <x:v>364</x:v>
      </x:c>
      <x:c r="AK143" s="36" t="str">
        <x:f>IF(B143="","Name missing - not scored",IF(OR(NOT(ISNUMBER(G143)),G143&lt;=0),"Investment missing or zero - review",IF(0=1,"Permanent ID missing - reconcile",IF(AND(ISNUMBER(H143),H143/G143&gt;='Score settings'!$B$58,NOT(ISNUMBER(I143))),"Benefit units need review",IF(OR(R143="EXIT",R143="CHALLENGE"),"Waste decision requires scope resolution",IF("Name and organisation matched"&lt;&gt;"Name and organisation matched","Waste evidence match needs review","Provisional source score - confirm evidence"))))))</x:f>
        <x:v>Provisional source score - confirm evidence</x:v>
      </x:c>
      <x:c r="AL143" s="36"/>
      <x:c r="AM143" s="40"/>
      <x:c r="AN143" s="39"/>
      <x:c r="AO143" s="40"/>
      <x:c r="AP143" s="40"/>
    </x:row>
    <x:row r="144" ht="15" hidden="0" customHeight="1">
      <x:c r="A144" s="36" t="str">
        <x:v>Bu-149</x:v>
      </x:c>
      <x:c r="B144" s="37" t="str">
        <x:v>LEM Factory Less Process for software provisioning</x:v>
      </x:c>
      <x:c r="C144" s="36" t="str">
        <x:v>BU Led</x:v>
      </x:c>
      <x:c r="D144" s="36" t="str">
        <x:v>Enterprise Informatics (EI)</x:v>
      </x:c>
      <x:c r="E144" s="38" t="n">
        <x:v>0.45</x:v>
      </x:c>
      <x:c r="F144" s="39"/>
      <x:c r="G144" s="38" t="n">
        <x:f>IF(ISNUMBER(F144),F144,IF(E144="","",E144))</x:f>
        <x:v>0.45</x:v>
      </x:c>
      <x:c r="H144" s="38"/>
      <x:c r="I144" s="39"/>
      <x:c r="J144" s="36" t="str">
        <x:v>Cash savings</x:v>
      </x:c>
      <x:c r="K144" s="38" t="str">
        <x:f>IF(ISNUMBER(I144),I144,IF(OR(NOT(ISNUMBER(H144)),NOT(ISNUMBER(G144)),G144&lt;=0),"",IF(H144/G144&gt;='Score settings'!$B$58,"",IF(J144="Cash savings",H144,IF(J144="Revenue",H144*'Score settings'!$B$55,"")))))</x:f>
      </x:c>
      <x:c r="L144" s="36"/>
      <x:c r="M144" s="39"/>
      <x:c r="N144" s="40"/>
      <x:c r="O144" s="36" t="str">
        <x:v>Must Do</x:v>
      </x:c>
      <x:c r="P144" s="36" t="str">
        <x:v>AI</x:v>
      </x:c>
      <x:c r="Q144" s="36" t="str">
        <x:v>ProcSimp</x:v>
      </x:c>
      <x:c r="R144" s="36" t="str">
        <x:v>NotAssessed</x:v>
      </x:c>
      <x:c r="S144" s="36" t="str"/>
      <x:c r="T144" s="36" t="str">
        <x:v>Common pot</x:v>
      </x:c>
      <x:c r="U144" s="41" t="n">
        <x:f>VLOOKUP("Priority|"&amp;O144,'Score settings'!$A$14:$C$43,2,FALSE)/'Score settings'!$B$4*'Score settings'!$C$4</x:f>
        <x:v>25</x:v>
      </x:c>
      <x:c r="V144" s="41" t="n">
        <x:f>VLOOKUP("Category|"&amp;P144,'Score settings'!$A$14:$C$43,2,FALSE)/'Score settings'!$B$5*'Score settings'!$C$5</x:f>
        <x:v>16</x:v>
      </x:c>
      <x:c r="W144" s="41" t="n">
        <x:f>VLOOKUP("Area|"&amp;Q144,'Score settings'!$A$14:$C$43,2,FALSE)/'Score settings'!$B$6*'Score settings'!$C$6</x:f>
        <x:v>12</x:v>
      </x:c>
      <x:c r="X144" s="41" t="n">
        <x:f>VLOOKUP("Benefits|"&amp;IF(AND(ISNUMBER(H144),H144&gt;0,ISNUMBER(G144),G144&gt;0),IF(H144/G144&gt;='Score settings'!$E$17,"3plus",IF(H144/G144&gt;='Score settings'!$E$16,"1.5to3",IF(H144/G144&gt;='Score settings'!$E$15,"0.5to1.5","positive"))),"None"),'Score settings'!$A$14:$C$43,2,FALSE)/'Score settings'!$B$7*'Score settings'!$C$7</x:f>
        <x:v>5</x:v>
      </x:c>
      <x:c r="Y144" s="41" t="n">
        <x:f>VLOOKUP("Waste|"&amp;R144,'Score settings'!$A$14:$C$43,2,FALSE)/'Score settings'!$B$8*'Score settings'!$C$8</x:f>
        <x:v>7</x:v>
      </x:c>
      <x:c r="Z144" s="41" t="n">
        <x:f>IF(B144="","",SUM(U144:Y144))</x:f>
        <x:v>65</x:v>
      </x:c>
      <x:c r="AA144" s="41" t="str">
        <x:f>IF(Z144="","Not scored",VLOOKUP(Z144,'Score settings'!$A$47:$C$50,2,TRUE))</x:f>
        <x:v>Protected</x:v>
      </x:c>
      <x:c r="AB144" s="41" t="n">
        <x:f>VLOOKUP("Priority|"&amp;O144,'Score settings'!$A$14:$C$43,3,FALSE)/'Score settings'!$B$4*'Score settings'!$D$4</x:f>
        <x:v>15</x:v>
      </x:c>
      <x:c r="AC144" s="41" t="n">
        <x:f>VLOOKUP("Category|"&amp;P144,'Score settings'!$A$14:$C$43,3,FALSE)/'Score settings'!$B$5*'Score settings'!$D$5</x:f>
        <x:v>8</x:v>
      </x:c>
      <x:c r="AD144" s="41" t="n">
        <x:f>VLOOKUP("Area|"&amp;Q144,'Score settings'!$A$14:$C$43,3,FALSE)/'Score settings'!$B$6*'Score settings'!$D$6</x:f>
        <x:v>8</x:v>
      </x:c>
      <x:c r="AE144" s="41" t="n">
        <x:f>VLOOKUP("Benefits|"&amp;IF(AND(ISNUMBER(K144),K144&gt;0,ISNUMBER(G144),G144&gt;0),IF(K144/G144&gt;='Score settings'!$E$17,"3plus",IF(K144/G144&gt;='Score settings'!$E$16,"1.5to3",IF(K144/G144&gt;='Score settings'!$E$15,"0.5to1.5","positive"))),"None"),'Score settings'!$A$14:$C$43,3,FALSE)/'Score settings'!$B$7*'Score settings'!$D$7</x:f>
        <x:v>0</x:v>
      </x:c>
      <x:c r="AF144" s="41" t="n">
        <x:f>VLOOKUP("Waste|"&amp;R144,'Score settings'!$A$14:$C$43,3,FALSE)/'Score settings'!$B$8*'Score settings'!$D$8</x:f>
        <x:v>0</x:v>
      </x:c>
      <x:c r="AG144" s="41" t="n">
        <x:f>(IF(AND(ISNUMBER(M144),M144&gt;0,ISNUMBER(G144),G144&gt;0),IF(M144/G144&gt;='Score settings'!$E$17,'Score settings'!$G$17,IF(M144/G144&gt;='Score settings'!$E$16,'Score settings'!$G$16,IF(M144/G144&gt;='Score settings'!$E$15,'Score settings'!$G$15,'Score settings'!$G$14))),0)/15*'Score settings'!$B$60+IFERROR(VLOOKUP(IF(ISNUMBER(N144),N144,IF(ISNUMBER(L144),L144,0)),'Score settings'!$E$22:$F$26,2,FALSE),0)/10*'Score settings'!$B$61)/'Score settings'!$B$9*'Score settings'!$D$9</x:f>
        <x:v>0</x:v>
      </x:c>
      <x:c r="AH144" s="41" t="n">
        <x:f>IF(B144="","",SUM(AB144:AG144))</x:f>
        <x:v>31</x:v>
      </x:c>
      <x:c r="AI144" s="41" t="str">
        <x:f>IF(NOT(ISNUMBER(AH144)),"Not scored",VLOOKUP(AH144,'Score settings'!$A$47:$C$50,3,TRUE))</x:f>
        <x:v>Discretionary</x:v>
      </x:c>
      <x:c r="AJ144" s="42" t="n">
        <x:f>IF(OR(NOT(ISNUMBER(AH144)),T144&lt;&gt;"Common pot"),"",COUNTIFS($T$4:$T$509,"Common pot",$AH$4:$AH$509,"&gt;"&amp;AH144)+1)</x:f>
        <x:v>179</x:v>
      </x:c>
      <x:c r="AK144" s="36" t="str">
        <x:f>IF(B144="","Name missing - not scored",IF(OR(NOT(ISNUMBER(G144)),G144&lt;=0),"Investment missing or zero - review",IF(0=1,"Permanent ID missing - reconcile",IF(AND(ISNUMBER(H144),H144/G144&gt;='Score settings'!$B$58,NOT(ISNUMBER(I144))),"Benefit units need review",IF(OR(R144="EXIT",R144="CHALLENGE"),"Waste decision requires scope resolution",IF("No exact waste match"&lt;&gt;"Name and organisation matched","Waste evidence match needs review","Provisional source score - confirm evidence"))))))</x:f>
        <x:v>Waste evidence match needs review</x:v>
      </x:c>
      <x:c r="AL144" s="36"/>
      <x:c r="AM144" s="40"/>
      <x:c r="AN144" s="39"/>
      <x:c r="AO144" s="40"/>
      <x:c r="AP144" s="40"/>
    </x:row>
    <x:row r="145" ht="15" hidden="0" customHeight="1">
      <x:c r="A145" s="36" t="str">
        <x:v>Bu-150</x:v>
      </x:c>
      <x:c r="B145" s="37" t="str">
        <x:v>COSAC Transition to PIL</x:v>
      </x:c>
      <x:c r="C145" s="36" t="str">
        <x:v>BU Led</x:v>
      </x:c>
      <x:c r="D145" s="36" t="str">
        <x:v>Precision Diagnosis - Magnetic Resonance (MR)</x:v>
      </x:c>
      <x:c r="E145" s="38" t="n">
        <x:v>0.7</x:v>
      </x:c>
      <x:c r="F145" s="39"/>
      <x:c r="G145" s="38" t="n">
        <x:f>IF(ISNUMBER(F145),F145,IF(E145="","",E145))</x:f>
        <x:v>0.7</x:v>
      </x:c>
      <x:c r="H145" s="38"/>
      <x:c r="I145" s="39"/>
      <x:c r="J145" s="36" t="str">
        <x:v>Cash savings</x:v>
      </x:c>
      <x:c r="K145" s="38" t="str">
        <x:f>IF(ISNUMBER(I145),I145,IF(OR(NOT(ISNUMBER(H145)),NOT(ISNUMBER(G145)),G145&lt;=0),"",IF(H145/G145&gt;='Score settings'!$B$58,"",IF(J145="Cash savings",H145,IF(J145="Revenue",H145*'Score settings'!$B$55,"")))))</x:f>
      </x:c>
      <x:c r="L145" s="36"/>
      <x:c r="M145" s="39"/>
      <x:c r="N145" s="40"/>
      <x:c r="O145" s="36" t="str">
        <x:v>Must Do</x:v>
      </x:c>
      <x:c r="P145" s="36" t="str">
        <x:v>NewFeat</x:v>
      </x:c>
      <x:c r="Q145" s="36" t="str">
        <x:v>ProcSimp</x:v>
      </x:c>
      <x:c r="R145" s="36" t="str">
        <x:v>NotAssessed</x:v>
      </x:c>
      <x:c r="S145" s="36" t="str"/>
      <x:c r="T145" s="36" t="str">
        <x:v>Common pot</x:v>
      </x:c>
      <x:c r="U145" s="41" t="n">
        <x:f>VLOOKUP("Priority|"&amp;O145,'Score settings'!$A$14:$C$43,2,FALSE)/'Score settings'!$B$4*'Score settings'!$C$4</x:f>
        <x:v>25</x:v>
      </x:c>
      <x:c r="V145" s="41" t="n">
        <x:f>VLOOKUP("Category|"&amp;P145,'Score settings'!$A$14:$C$43,2,FALSE)/'Score settings'!$B$5*'Score settings'!$C$5</x:f>
        <x:v>6</x:v>
      </x:c>
      <x:c r="W145" s="41" t="n">
        <x:f>VLOOKUP("Area|"&amp;Q145,'Score settings'!$A$14:$C$43,2,FALSE)/'Score settings'!$B$6*'Score settings'!$C$6</x:f>
        <x:v>12</x:v>
      </x:c>
      <x:c r="X145" s="41" t="n">
        <x:f>VLOOKUP("Benefits|"&amp;IF(AND(ISNUMBER(H145),H145&gt;0,ISNUMBER(G145),G145&gt;0),IF(H145/G145&gt;='Score settings'!$E$17,"3plus",IF(H145/G145&gt;='Score settings'!$E$16,"1.5to3",IF(H145/G145&gt;='Score settings'!$E$15,"0.5to1.5","positive"))),"None"),'Score settings'!$A$14:$C$43,2,FALSE)/'Score settings'!$B$7*'Score settings'!$C$7</x:f>
        <x:v>5</x:v>
      </x:c>
      <x:c r="Y145" s="41" t="n">
        <x:f>VLOOKUP("Waste|"&amp;R145,'Score settings'!$A$14:$C$43,2,FALSE)/'Score settings'!$B$8*'Score settings'!$C$8</x:f>
        <x:v>7</x:v>
      </x:c>
      <x:c r="Z145" s="41" t="n">
        <x:f>IF(B145="","",SUM(U145:Y145))</x:f>
        <x:v>55</x:v>
      </x:c>
      <x:c r="AA145" s="41" t="str">
        <x:f>IF(Z145="","Not scored",VLOOKUP(Z145,'Score settings'!$A$47:$C$50,2,TRUE))</x:f>
        <x:v>Strong</x:v>
      </x:c>
      <x:c r="AB145" s="41" t="n">
        <x:f>VLOOKUP("Priority|"&amp;O145,'Score settings'!$A$14:$C$43,3,FALSE)/'Score settings'!$B$4*'Score settings'!$D$4</x:f>
        <x:v>15</x:v>
      </x:c>
      <x:c r="AC145" s="41" t="n">
        <x:f>VLOOKUP("Category|"&amp;P145,'Score settings'!$A$14:$C$43,3,FALSE)/'Score settings'!$B$5*'Score settings'!$D$5</x:f>
        <x:v>3</x:v>
      </x:c>
      <x:c r="AD145" s="41" t="n">
        <x:f>VLOOKUP("Area|"&amp;Q145,'Score settings'!$A$14:$C$43,3,FALSE)/'Score settings'!$B$6*'Score settings'!$D$6</x:f>
        <x:v>8</x:v>
      </x:c>
      <x:c r="AE145" s="41" t="n">
        <x:f>VLOOKUP("Benefits|"&amp;IF(AND(ISNUMBER(K145),K145&gt;0,ISNUMBER(G145),G145&gt;0),IF(K145/G145&gt;='Score settings'!$E$17,"3plus",IF(K145/G145&gt;='Score settings'!$E$16,"1.5to3",IF(K145/G145&gt;='Score settings'!$E$15,"0.5to1.5","positive"))),"None"),'Score settings'!$A$14:$C$43,3,FALSE)/'Score settings'!$B$7*'Score settings'!$D$7</x:f>
        <x:v>0</x:v>
      </x:c>
      <x:c r="AF145" s="41" t="n">
        <x:f>VLOOKUP("Waste|"&amp;R145,'Score settings'!$A$14:$C$43,3,FALSE)/'Score settings'!$B$8*'Score settings'!$D$8</x:f>
        <x:v>0</x:v>
      </x:c>
      <x:c r="AG145" s="41" t="n">
        <x:f>(IF(AND(ISNUMBER(M145),M145&gt;0,ISNUMBER(G145),G145&gt;0),IF(M145/G145&gt;='Score settings'!$E$17,'Score settings'!$G$17,IF(M145/G145&gt;='Score settings'!$E$16,'Score settings'!$G$16,IF(M145/G145&gt;='Score settings'!$E$15,'Score settings'!$G$15,'Score settings'!$G$14))),0)/15*'Score settings'!$B$60+IFERROR(VLOOKUP(IF(ISNUMBER(N145),N145,IF(ISNUMBER(L145),L145,0)),'Score settings'!$E$22:$F$26,2,FALSE),0)/10*'Score settings'!$B$61)/'Score settings'!$B$9*'Score settings'!$D$9</x:f>
        <x:v>0</x:v>
      </x:c>
      <x:c r="AH145" s="41" t="n">
        <x:f>IF(B145="","",SUM(AB145:AG145))</x:f>
        <x:v>26</x:v>
      </x:c>
      <x:c r="AI145" s="41" t="str">
        <x:f>IF(NOT(ISNUMBER(AH145)),"Not scored",VLOOKUP(AH145,'Score settings'!$A$47:$C$50,3,TRUE))</x:f>
        <x:v>Discretionary</x:v>
      </x:c>
      <x:c r="AJ145" s="42" t="n">
        <x:f>IF(OR(NOT(ISNUMBER(AH145)),T145&lt;&gt;"Common pot"),"",COUNTIFS($T$4:$T$509,"Common pot",$AH$4:$AH$509,"&gt;"&amp;AH145)+1)</x:f>
        <x:v>237</x:v>
      </x:c>
      <x:c r="AK145" s="36" t="str">
        <x:f>IF(B145="","Name missing - not scored",IF(OR(NOT(ISNUMBER(G145)),G145&lt;=0),"Investment missing or zero - review",IF(0=1,"Permanent ID missing - reconcile",IF(AND(ISNUMBER(H145),H145/G145&gt;='Score settings'!$B$58,NOT(ISNUMBER(I145))),"Benefit units need review",IF(OR(R145="EXIT",R145="CHALLENGE"),"Waste decision requires scope resolution",IF("No exact waste match"&lt;&gt;"Name and organisation matched","Waste evidence match needs review","Provisional source score - confirm evidence"))))))</x:f>
        <x:v>Waste evidence match needs review</x:v>
      </x:c>
      <x:c r="AL145" s="36"/>
      <x:c r="AM145" s="40"/>
      <x:c r="AN145" s="39"/>
      <x:c r="AO145" s="40"/>
      <x:c r="AP145" s="40"/>
    </x:row>
    <x:row r="146" ht="15" hidden="0" customHeight="1">
      <x:c r="A146" s="36" t="str">
        <x:v>Bu-151</x:v>
      </x:c>
      <x:c r="B146" s="37" t="str"/>
      <x:c r="C146" s="36" t="str">
        <x:v>BU Led</x:v>
      </x:c>
      <x:c r="D146" s="36" t="str">
        <x:v>Precision Diagnosis - Magnetic Resonance (MR)</x:v>
      </x:c>
      <x:c r="E146" s="38"/>
      <x:c r="F146" s="39"/>
      <x:c r="G146" s="38" t="str">
        <x:f>IF(ISNUMBER(F146),F146,IF(E146="","",E146))</x:f>
      </x:c>
      <x:c r="H146" s="38"/>
      <x:c r="I146" s="39"/>
      <x:c r="J146" s="36" t="str">
        <x:v>Unclassified</x:v>
      </x:c>
      <x:c r="K146" s="38" t="str">
        <x:f>IF(ISNUMBER(I146),I146,IF(OR(NOT(ISNUMBER(H146)),NOT(ISNUMBER(G146)),G146&lt;=0),"",IF(H146/G146&gt;='Score settings'!$B$58,"",IF(J146="Cash savings",H146,IF(J146="Revenue",H146*'Score settings'!$B$55,"")))))</x:f>
      </x:c>
      <x:c r="L146" s="36"/>
      <x:c r="M146" s="39"/>
      <x:c r="N146" s="40"/>
      <x:c r="O146" s="36" t="str">
        <x:v>Blank</x:v>
      </x:c>
      <x:c r="P146" s="36" t="str">
        <x:v>Blank</x:v>
      </x:c>
      <x:c r="Q146" s="36" t="str">
        <x:v>Blank</x:v>
      </x:c>
      <x:c r="R146" s="36" t="str">
        <x:v>NotAssessed</x:v>
      </x:c>
      <x:c r="S146" s="36" t="str"/>
      <x:c r="T146" s="36" t="str">
        <x:v>Incomplete record</x:v>
      </x:c>
      <x:c r="U146" s="41" t="n">
        <x:f>VLOOKUP("Priority|"&amp;O146,'Score settings'!$A$14:$C$43,2,FALSE)/'Score settings'!$B$4*'Score settings'!$C$4</x:f>
        <x:v>10</x:v>
      </x:c>
      <x:c r="V146" s="41" t="n">
        <x:f>VLOOKUP("Category|"&amp;P146,'Score settings'!$A$14:$C$43,2,FALSE)/'Score settings'!$B$5*'Score settings'!$C$5</x:f>
        <x:v>4</x:v>
      </x:c>
      <x:c r="W146" s="41" t="n">
        <x:f>VLOOKUP("Area|"&amp;Q146,'Score settings'!$A$14:$C$43,2,FALSE)/'Score settings'!$B$6*'Score settings'!$C$6</x:f>
        <x:v>3</x:v>
      </x:c>
      <x:c r="X146" s="41" t="n">
        <x:f>VLOOKUP("Benefits|"&amp;IF(AND(ISNUMBER(H146),H146&gt;0,ISNUMBER(G146),G146&gt;0),IF(H146/G146&gt;='Score settings'!$E$17,"3plus",IF(H146/G146&gt;='Score settings'!$E$16,"1.5to3",IF(H146/G146&gt;='Score settings'!$E$15,"0.5to1.5","positive"))),"None"),'Score settings'!$A$14:$C$43,2,FALSE)/'Score settings'!$B$7*'Score settings'!$C$7</x:f>
        <x:v>5</x:v>
      </x:c>
      <x:c r="Y146" s="41" t="n">
        <x:f>VLOOKUP("Waste|"&amp;R146,'Score settings'!$A$14:$C$43,2,FALSE)/'Score settings'!$B$8*'Score settings'!$C$8</x:f>
        <x:v>7</x:v>
      </x:c>
      <x:c r="Z146" s="41" t="str">
        <x:f>IF(B146="","",SUM(U146:Y146))</x:f>
      </x:c>
      <x:c r="AA146" s="41" t="str">
        <x:f>IF(Z146="","Not scored",VLOOKUP(Z146,'Score settings'!$A$47:$C$50,2,TRUE))</x:f>
        <x:v>Not scored</x:v>
      </x:c>
      <x:c r="AB146" s="41" t="n">
        <x:f>VLOOKUP("Priority|"&amp;O146,'Score settings'!$A$14:$C$43,3,FALSE)/'Score settings'!$B$4*'Score settings'!$D$4</x:f>
        <x:v>0</x:v>
      </x:c>
      <x:c r="AC146" s="41" t="n">
        <x:f>VLOOKUP("Category|"&amp;P146,'Score settings'!$A$14:$C$43,3,FALSE)/'Score settings'!$B$5*'Score settings'!$D$5</x:f>
        <x:v>0</x:v>
      </x:c>
      <x:c r="AD146" s="41" t="n">
        <x:f>VLOOKUP("Area|"&amp;Q146,'Score settings'!$A$14:$C$43,3,FALSE)/'Score settings'!$B$6*'Score settings'!$D$6</x:f>
        <x:v>0</x:v>
      </x:c>
      <x:c r="AE146" s="41" t="n">
        <x:f>VLOOKUP("Benefits|"&amp;IF(AND(ISNUMBER(K146),K146&gt;0,ISNUMBER(G146),G146&gt;0),IF(K146/G146&gt;='Score settings'!$E$17,"3plus",IF(K146/G146&gt;='Score settings'!$E$16,"1.5to3",IF(K146/G146&gt;='Score settings'!$E$15,"0.5to1.5","positive"))),"None"),'Score settings'!$A$14:$C$43,3,FALSE)/'Score settings'!$B$7*'Score settings'!$D$7</x:f>
        <x:v>0</x:v>
      </x:c>
      <x:c r="AF146" s="41" t="n">
        <x:f>VLOOKUP("Waste|"&amp;R146,'Score settings'!$A$14:$C$43,3,FALSE)/'Score settings'!$B$8*'Score settings'!$D$8</x:f>
        <x:v>0</x:v>
      </x:c>
      <x:c r="AG146" s="41" t="n">
        <x:f>(IF(AND(ISNUMBER(M146),M146&gt;0,ISNUMBER(G146),G146&gt;0),IF(M146/G146&gt;='Score settings'!$E$17,'Score settings'!$G$17,IF(M146/G146&gt;='Score settings'!$E$16,'Score settings'!$G$16,IF(M146/G146&gt;='Score settings'!$E$15,'Score settings'!$G$15,'Score settings'!$G$14))),0)/15*'Score settings'!$B$60+IFERROR(VLOOKUP(IF(ISNUMBER(N146),N146,IF(ISNUMBER(L146),L146,0)),'Score settings'!$E$22:$F$26,2,FALSE),0)/10*'Score settings'!$B$61)/'Score settings'!$B$9*'Score settings'!$D$9</x:f>
        <x:v>0</x:v>
      </x:c>
      <x:c r="AH146" s="41" t="str">
        <x:f>IF(B146="","",SUM(AB146:AG146))</x:f>
      </x:c>
      <x:c r="AI146" s="41" t="str">
        <x:f>IF(NOT(ISNUMBER(AH146)),"Not scored",VLOOKUP(AH146,'Score settings'!$A$47:$C$50,3,TRUE))</x:f>
        <x:v>Not scored</x:v>
      </x:c>
      <x:c r="AJ146" s="42" t="str">
        <x:f>IF(OR(NOT(ISNUMBER(AH146)),T146&lt;&gt;"Common pot"),"",COUNTIFS($T$4:$T$509,"Common pot",$AH$4:$AH$509,"&gt;"&amp;AH146)+1)</x:f>
      </x:c>
      <x:c r="AK146" s="36" t="str">
        <x:f>IF(B146="","Name missing - not scored",IF(OR(NOT(ISNUMBER(G146)),G146&lt;=0),"Investment missing or zero - review",IF(0=1,"Permanent ID missing - reconcile",IF(AND(ISNUMBER(H146),H146/G146&gt;='Score settings'!$B$58,NOT(ISNUMBER(I146))),"Benefit units need review",IF(OR(R146="EXIT",R146="CHALLENGE"),"Waste decision requires scope resolution",IF("No exact waste match"&lt;&gt;"Name and organisation matched","Waste evidence match needs review","Provisional source score - confirm evidence"))))))</x:f>
        <x:v>Name missing - not scored</x:v>
      </x:c>
      <x:c r="AL146" s="36"/>
      <x:c r="AM146" s="40"/>
      <x:c r="AN146" s="39"/>
      <x:c r="AO146" s="40"/>
      <x:c r="AP146" s="40"/>
    </x:row>
    <x:row r="147" ht="15" hidden="0" customHeight="1">
      <x:c r="A147" s="36" t="str">
        <x:v>Bu-152</x:v>
      </x:c>
      <x:c r="B147" s="37" t="str">
        <x:v>PRISM - Product, Regulatory, Installed Base, Services Metrics unified</x:v>
      </x:c>
      <x:c r="C147" s="36" t="str">
        <x:v>BU Led</x:v>
      </x:c>
      <x:c r="D147" s="36" t="str">
        <x:v>Precision Diagnosis - Magnetic Resonance (MR)</x:v>
      </x:c>
      <x:c r="E147" s="38" t="n">
        <x:v>0.336</x:v>
      </x:c>
      <x:c r="F147" s="39"/>
      <x:c r="G147" s="38" t="n">
        <x:f>IF(ISNUMBER(F147),F147,IF(E147="","",E147))</x:f>
        <x:v>0.336</x:v>
      </x:c>
      <x:c r="H147" s="38"/>
      <x:c r="I147" s="39"/>
      <x:c r="J147" s="36" t="str">
        <x:v>Risk exposure</x:v>
      </x:c>
      <x:c r="K147" s="38" t="str">
        <x:f>IF(ISNUMBER(I147),I147,IF(OR(NOT(ISNUMBER(H147)),NOT(ISNUMBER(G147)),G147&lt;=0),"",IF(H147/G147&gt;='Score settings'!$B$58,"",IF(J147="Cash savings",H147,IF(J147="Revenue",H147*'Score settings'!$B$55,"")))))</x:f>
      </x:c>
      <x:c r="L147" s="36"/>
      <x:c r="M147" s="39"/>
      <x:c r="N147" s="40"/>
      <x:c r="O147" s="36" t="str">
        <x:v>Must Have</x:v>
      </x:c>
      <x:c r="P147" s="36" t="str">
        <x:v>LFR</x:v>
      </x:c>
      <x:c r="Q147" s="36" t="str">
        <x:v>Compliance</x:v>
      </x:c>
      <x:c r="R147" s="36" t="str">
        <x:v>NotAssessed</x:v>
      </x:c>
      <x:c r="S147" s="36" t="str"/>
      <x:c r="T147" s="36" t="str">
        <x:v>Common pot</x:v>
      </x:c>
      <x:c r="U147" s="41" t="n">
        <x:f>VLOOKUP("Priority|"&amp;O147,'Score settings'!$A$14:$C$43,2,FALSE)/'Score settings'!$B$4*'Score settings'!$C$4</x:f>
        <x:v>18</x:v>
      </x:c>
      <x:c r="V147" s="41" t="n">
        <x:f>VLOOKUP("Category|"&amp;P147,'Score settings'!$A$14:$C$43,2,FALSE)/'Score settings'!$B$5*'Score settings'!$C$5</x:f>
        <x:v>20</x:v>
      </x:c>
      <x:c r="W147" s="41" t="n">
        <x:f>VLOOKUP("Area|"&amp;Q147,'Score settings'!$A$14:$C$43,2,FALSE)/'Score settings'!$B$6*'Score settings'!$C$6</x:f>
        <x:v>15</x:v>
      </x:c>
      <x:c r="X147" s="41" t="n">
        <x:f>VLOOKUP("Benefits|"&amp;IF(AND(ISNUMBER(H147),H147&gt;0,ISNUMBER(G147),G147&gt;0),IF(H147/G147&gt;='Score settings'!$E$17,"3plus",IF(H147/G147&gt;='Score settings'!$E$16,"1.5to3",IF(H147/G147&gt;='Score settings'!$E$15,"0.5to1.5","positive"))),"None"),'Score settings'!$A$14:$C$43,2,FALSE)/'Score settings'!$B$7*'Score settings'!$C$7</x:f>
        <x:v>5</x:v>
      </x:c>
      <x:c r="Y147" s="41" t="n">
        <x:f>VLOOKUP("Waste|"&amp;R147,'Score settings'!$A$14:$C$43,2,FALSE)/'Score settings'!$B$8*'Score settings'!$C$8</x:f>
        <x:v>7</x:v>
      </x:c>
      <x:c r="Z147" s="41" t="n">
        <x:f>IF(B147="","",SUM(U147:Y147))</x:f>
        <x:v>65</x:v>
      </x:c>
      <x:c r="AA147" s="41" t="str">
        <x:f>IF(Z147="","Not scored",VLOOKUP(Z147,'Score settings'!$A$47:$C$50,2,TRUE))</x:f>
        <x:v>Protected</x:v>
      </x:c>
      <x:c r="AB147" s="41" t="n">
        <x:f>VLOOKUP("Priority|"&amp;O147,'Score settings'!$A$14:$C$43,3,FALSE)/'Score settings'!$B$4*'Score settings'!$D$4</x:f>
        <x:v>10.799999999999999</x:v>
      </x:c>
      <x:c r="AC147" s="41" t="n">
        <x:f>VLOOKUP("Category|"&amp;P147,'Score settings'!$A$14:$C$43,3,FALSE)/'Score settings'!$B$5*'Score settings'!$D$5</x:f>
        <x:v>10</x:v>
      </x:c>
      <x:c r="AD147" s="41" t="n">
        <x:f>VLOOKUP("Area|"&amp;Q147,'Score settings'!$A$14:$C$43,3,FALSE)/'Score settings'!$B$6*'Score settings'!$D$6</x:f>
        <x:v>10</x:v>
      </x:c>
      <x:c r="AE147" s="41" t="n">
        <x:f>VLOOKUP("Benefits|"&amp;IF(AND(ISNUMBER(K147),K147&gt;0,ISNUMBER(G147),G147&gt;0),IF(K147/G147&gt;='Score settings'!$E$17,"3plus",IF(K147/G147&gt;='Score settings'!$E$16,"1.5to3",IF(K147/G147&gt;='Score settings'!$E$15,"0.5to1.5","positive"))),"None"),'Score settings'!$A$14:$C$43,3,FALSE)/'Score settings'!$B$7*'Score settings'!$D$7</x:f>
        <x:v>0</x:v>
      </x:c>
      <x:c r="AF147" s="41" t="n">
        <x:f>VLOOKUP("Waste|"&amp;R147,'Score settings'!$A$14:$C$43,3,FALSE)/'Score settings'!$B$8*'Score settings'!$D$8</x:f>
        <x:v>0</x:v>
      </x:c>
      <x:c r="AG147" s="41" t="n">
        <x:f>(IF(AND(ISNUMBER(M147),M147&gt;0,ISNUMBER(G147),G147&gt;0),IF(M147/G147&gt;='Score settings'!$E$17,'Score settings'!$G$17,IF(M147/G147&gt;='Score settings'!$E$16,'Score settings'!$G$16,IF(M147/G147&gt;='Score settings'!$E$15,'Score settings'!$G$15,'Score settings'!$G$14))),0)/15*'Score settings'!$B$60+IFERROR(VLOOKUP(IF(ISNUMBER(N147),N147,IF(ISNUMBER(L147),L147,0)),'Score settings'!$E$22:$F$26,2,FALSE),0)/10*'Score settings'!$B$61)/'Score settings'!$B$9*'Score settings'!$D$9</x:f>
        <x:v>0</x:v>
      </x:c>
      <x:c r="AH147" s="41" t="n">
        <x:f>IF(B147="","",SUM(AB147:AG147))</x:f>
        <x:v>30.799999999999997</x:v>
      </x:c>
      <x:c r="AI147" s="41" t="str">
        <x:f>IF(NOT(ISNUMBER(AH147)),"Not scored",VLOOKUP(AH147,'Score settings'!$A$47:$C$50,3,TRUE))</x:f>
        <x:v>Discretionary</x:v>
      </x:c>
      <x:c r="AJ147" s="42" t="n">
        <x:f>IF(OR(NOT(ISNUMBER(AH147)),T147&lt;&gt;"Common pot"),"",COUNTIFS($T$4:$T$509,"Common pot",$AH$4:$AH$509,"&gt;"&amp;AH147)+1)</x:f>
        <x:v>180</x:v>
      </x:c>
      <x:c r="AK147" s="36" t="str">
        <x:f>IF(B147="","Name missing - not scored",IF(OR(NOT(ISNUMBER(G147)),G147&lt;=0),"Investment missing or zero - review",IF(0=1,"Permanent ID missing - reconcile",IF(AND(ISNUMBER(H147),H147/G147&gt;='Score settings'!$B$58,NOT(ISNUMBER(I147))),"Benefit units need review",IF(OR(R147="EXIT",R147="CHALLENGE"),"Waste decision requires scope resolution",IF("Name and organisation matched"&lt;&gt;"Name and organisation matched","Waste evidence match needs review","Provisional source score - confirm evidence"))))))</x:f>
        <x:v>Provisional source score - confirm evidence</x:v>
      </x:c>
      <x:c r="AL147" s="36"/>
      <x:c r="AM147" s="40"/>
      <x:c r="AN147" s="39"/>
      <x:c r="AO147" s="40"/>
      <x:c r="AP147" s="40"/>
    </x:row>
    <x:row r="148" ht="15" hidden="0" customHeight="1">
      <x:c r="A148" s="36" t="str">
        <x:v>Bu-153</x:v>
      </x:c>
      <x:c r="B148" s="37" t="str">
        <x:v>Product Information Management</x:v>
      </x:c>
      <x:c r="C148" s="36" t="str">
        <x:v>BU Led</x:v>
      </x:c>
      <x:c r="D148" s="36" t="str">
        <x:v>Precision Diagnosis - Magnetic Resonance (MR)</x:v>
      </x:c>
      <x:c r="E148" s="38" t="n">
        <x:v>0.1</x:v>
      </x:c>
      <x:c r="F148" s="39"/>
      <x:c r="G148" s="38" t="n">
        <x:f>IF(ISNUMBER(F148),F148,IF(E148="","",E148))</x:f>
        <x:v>0.1</x:v>
      </x:c>
      <x:c r="H148" s="38"/>
      <x:c r="I148" s="39"/>
      <x:c r="J148" s="36" t="str">
        <x:v>Revenue</x:v>
      </x:c>
      <x:c r="K148" s="38" t="str">
        <x:f>IF(ISNUMBER(I148),I148,IF(OR(NOT(ISNUMBER(H148)),NOT(ISNUMBER(G148)),G148&lt;=0),"",IF(H148/G148&gt;='Score settings'!$B$58,"",IF(J148="Cash savings",H148,IF(J148="Revenue",H148*'Score settings'!$B$55,"")))))</x:f>
      </x:c>
      <x:c r="L148" s="36"/>
      <x:c r="M148" s="39"/>
      <x:c r="N148" s="40"/>
      <x:c r="O148" s="36" t="str">
        <x:v>Must Have</x:v>
      </x:c>
      <x:c r="P148" s="36" t="str">
        <x:v>Upgrades</x:v>
      </x:c>
      <x:c r="Q148" s="36" t="str">
        <x:v>Revenue</x:v>
      </x:c>
      <x:c r="R148" s="36" t="str">
        <x:v>NotAssessed</x:v>
      </x:c>
      <x:c r="S148" s="36" t="str"/>
      <x:c r="T148" s="36" t="str">
        <x:v>Common pot</x:v>
      </x:c>
      <x:c r="U148" s="41" t="n">
        <x:f>VLOOKUP("Priority|"&amp;O148,'Score settings'!$A$14:$C$43,2,FALSE)/'Score settings'!$B$4*'Score settings'!$C$4</x:f>
        <x:v>18</x:v>
      </x:c>
      <x:c r="V148" s="41" t="n">
        <x:f>VLOOKUP("Category|"&amp;P148,'Score settings'!$A$14:$C$43,2,FALSE)/'Score settings'!$B$5*'Score settings'!$C$5</x:f>
        <x:v>10</x:v>
      </x:c>
      <x:c r="W148" s="41" t="n">
        <x:f>VLOOKUP("Area|"&amp;Q148,'Score settings'!$A$14:$C$43,2,FALSE)/'Score settings'!$B$6*'Score settings'!$C$6</x:f>
        <x:v>11</x:v>
      </x:c>
      <x:c r="X148" s="41" t="n">
        <x:f>VLOOKUP("Benefits|"&amp;IF(AND(ISNUMBER(H148),H148&gt;0,ISNUMBER(G148),G148&gt;0),IF(H148/G148&gt;='Score settings'!$E$17,"3plus",IF(H148/G148&gt;='Score settings'!$E$16,"1.5to3",IF(H148/G148&gt;='Score settings'!$E$15,"0.5to1.5","positive"))),"None"),'Score settings'!$A$14:$C$43,2,FALSE)/'Score settings'!$B$7*'Score settings'!$C$7</x:f>
        <x:v>5</x:v>
      </x:c>
      <x:c r="Y148" s="41" t="n">
        <x:f>VLOOKUP("Waste|"&amp;R148,'Score settings'!$A$14:$C$43,2,FALSE)/'Score settings'!$B$8*'Score settings'!$C$8</x:f>
        <x:v>7</x:v>
      </x:c>
      <x:c r="Z148" s="41" t="n">
        <x:f>IF(B148="","",SUM(U148:Y148))</x:f>
        <x:v>51</x:v>
      </x:c>
      <x:c r="AA148" s="41" t="str">
        <x:f>IF(Z148="","Not scored",VLOOKUP(Z148,'Score settings'!$A$47:$C$50,2,TRUE))</x:f>
        <x:v>Strong</x:v>
      </x:c>
      <x:c r="AB148" s="41" t="n">
        <x:f>VLOOKUP("Priority|"&amp;O148,'Score settings'!$A$14:$C$43,3,FALSE)/'Score settings'!$B$4*'Score settings'!$D$4</x:f>
        <x:v>10.799999999999999</x:v>
      </x:c>
      <x:c r="AC148" s="41" t="n">
        <x:f>VLOOKUP("Category|"&amp;P148,'Score settings'!$A$14:$C$43,3,FALSE)/'Score settings'!$B$5*'Score settings'!$D$5</x:f>
        <x:v>5</x:v>
      </x:c>
      <x:c r="AD148" s="41" t="n">
        <x:f>VLOOKUP("Area|"&amp;Q148,'Score settings'!$A$14:$C$43,3,FALSE)/'Score settings'!$B$6*'Score settings'!$D$6</x:f>
        <x:v>7.333333333333333</x:v>
      </x:c>
      <x:c r="AE148" s="41" t="n">
        <x:f>VLOOKUP("Benefits|"&amp;IF(AND(ISNUMBER(K148),K148&gt;0,ISNUMBER(G148),G148&gt;0),IF(K148/G148&gt;='Score settings'!$E$17,"3plus",IF(K148/G148&gt;='Score settings'!$E$16,"1.5to3",IF(K148/G148&gt;='Score settings'!$E$15,"0.5to1.5","positive"))),"None"),'Score settings'!$A$14:$C$43,3,FALSE)/'Score settings'!$B$7*'Score settings'!$D$7</x:f>
        <x:v>0</x:v>
      </x:c>
      <x:c r="AF148" s="41" t="n">
        <x:f>VLOOKUP("Waste|"&amp;R148,'Score settings'!$A$14:$C$43,3,FALSE)/'Score settings'!$B$8*'Score settings'!$D$8</x:f>
        <x:v>0</x:v>
      </x:c>
      <x:c r="AG148" s="41" t="n">
        <x:f>(IF(AND(ISNUMBER(M148),M148&gt;0,ISNUMBER(G148),G148&gt;0),IF(M148/G148&gt;='Score settings'!$E$17,'Score settings'!$G$17,IF(M148/G148&gt;='Score settings'!$E$16,'Score settings'!$G$16,IF(M148/G148&gt;='Score settings'!$E$15,'Score settings'!$G$15,'Score settings'!$G$14))),0)/15*'Score settings'!$B$60+IFERROR(VLOOKUP(IF(ISNUMBER(N148),N148,IF(ISNUMBER(L148),L148,0)),'Score settings'!$E$22:$F$26,2,FALSE),0)/10*'Score settings'!$B$61)/'Score settings'!$B$9*'Score settings'!$D$9</x:f>
        <x:v>0</x:v>
      </x:c>
      <x:c r="AH148" s="41" t="n">
        <x:f>IF(B148="","",SUM(AB148:AG148))</x:f>
        <x:v>23.133333333333333</x:v>
      </x:c>
      <x:c r="AI148" s="41" t="str">
        <x:f>IF(NOT(ISNUMBER(AH148)),"Not scored",VLOOKUP(AH148,'Score settings'!$A$47:$C$50,3,TRUE))</x:f>
        <x:v>Weak</x:v>
      </x:c>
      <x:c r="AJ148" s="42" t="n">
        <x:f>IF(OR(NOT(ISNUMBER(AH148)),T148&lt;&gt;"Common pot"),"",COUNTIFS($T$4:$T$509,"Common pot",$AH$4:$AH$509,"&gt;"&amp;AH148)+1)</x:f>
        <x:v>300</x:v>
      </x:c>
      <x:c r="AK148" s="36" t="str">
        <x:f>IF(B148="","Name missing - not scored",IF(OR(NOT(ISNUMBER(G148)),G148&lt;=0),"Investment missing or zero - review",IF(0=1,"Permanent ID missing - reconcile",IF(AND(ISNUMBER(H148),H148/G148&gt;='Score settings'!$B$58,NOT(ISNUMBER(I148))),"Benefit units need review",IF(OR(R148="EXIT",R148="CHALLENGE"),"Waste decision requires scope resolution",IF("No exact waste match"&lt;&gt;"Name and organisation matched","Waste evidence match needs review","Provisional source score - confirm evidence"))))))</x:f>
        <x:v>Waste evidence match needs review</x:v>
      </x:c>
      <x:c r="AL148" s="36"/>
      <x:c r="AM148" s="40"/>
      <x:c r="AN148" s="39"/>
      <x:c r="AO148" s="40"/>
      <x:c r="AP148" s="40"/>
    </x:row>
    <x:row r="149" ht="15" hidden="0" customHeight="1">
      <x:c r="A149" s="36" t="str">
        <x:v>Bu-154</x:v>
      </x:c>
      <x:c r="B149" s="37" t="str">
        <x:v>Sentinel LDK integration into BU SW </x:v>
      </x:c>
      <x:c r="C149" s="36" t="str">
        <x:v>BU Led</x:v>
      </x:c>
      <x:c r="D149" s="36" t="str">
        <x:v>Precision Diagnosis - Magnetic Resonance (MR)</x:v>
      </x:c>
      <x:c r="E149" s="38" t="n">
        <x:v>0.4</x:v>
      </x:c>
      <x:c r="F149" s="39"/>
      <x:c r="G149" s="38" t="n">
        <x:f>IF(ISNUMBER(F149),F149,IF(E149="","",E149))</x:f>
        <x:v>0.4</x:v>
      </x:c>
      <x:c r="H149" s="38"/>
      <x:c r="I149" s="39"/>
      <x:c r="J149" s="36" t="str">
        <x:v>Cash savings</x:v>
      </x:c>
      <x:c r="K149" s="38" t="str">
        <x:f>IF(ISNUMBER(I149),I149,IF(OR(NOT(ISNUMBER(H149)),NOT(ISNUMBER(G149)),G149&lt;=0),"",IF(H149/G149&gt;='Score settings'!$B$58,"",IF(J149="Cash savings",H149,IF(J149="Revenue",H149*'Score settings'!$B$55,"")))))</x:f>
      </x:c>
      <x:c r="L149" s="36"/>
      <x:c r="M149" s="39"/>
      <x:c r="N149" s="40"/>
      <x:c r="O149" s="36" t="str">
        <x:v>Must Have</x:v>
      </x:c>
      <x:c r="P149" s="36" t="str">
        <x:v>Upgrades</x:v>
      </x:c>
      <x:c r="Q149" s="36" t="str">
        <x:v>ProcSimp</x:v>
      </x:c>
      <x:c r="R149" s="36" t="str">
        <x:v>NotAssessed</x:v>
      </x:c>
      <x:c r="S149" s="36" t="str"/>
      <x:c r="T149" s="36" t="str">
        <x:v>Common pot</x:v>
      </x:c>
      <x:c r="U149" s="41" t="n">
        <x:f>VLOOKUP("Priority|"&amp;O149,'Score settings'!$A$14:$C$43,2,FALSE)/'Score settings'!$B$4*'Score settings'!$C$4</x:f>
        <x:v>18</x:v>
      </x:c>
      <x:c r="V149" s="41" t="n">
        <x:f>VLOOKUP("Category|"&amp;P149,'Score settings'!$A$14:$C$43,2,FALSE)/'Score settings'!$B$5*'Score settings'!$C$5</x:f>
        <x:v>10</x:v>
      </x:c>
      <x:c r="W149" s="41" t="n">
        <x:f>VLOOKUP("Area|"&amp;Q149,'Score settings'!$A$14:$C$43,2,FALSE)/'Score settings'!$B$6*'Score settings'!$C$6</x:f>
        <x:v>12</x:v>
      </x:c>
      <x:c r="X149" s="41" t="n">
        <x:f>VLOOKUP("Benefits|"&amp;IF(AND(ISNUMBER(H149),H149&gt;0,ISNUMBER(G149),G149&gt;0),IF(H149/G149&gt;='Score settings'!$E$17,"3plus",IF(H149/G149&gt;='Score settings'!$E$16,"1.5to3",IF(H149/G149&gt;='Score settings'!$E$15,"0.5to1.5","positive"))),"None"),'Score settings'!$A$14:$C$43,2,FALSE)/'Score settings'!$B$7*'Score settings'!$C$7</x:f>
        <x:v>5</x:v>
      </x:c>
      <x:c r="Y149" s="41" t="n">
        <x:f>VLOOKUP("Waste|"&amp;R149,'Score settings'!$A$14:$C$43,2,FALSE)/'Score settings'!$B$8*'Score settings'!$C$8</x:f>
        <x:v>7</x:v>
      </x:c>
      <x:c r="Z149" s="41" t="n">
        <x:f>IF(B149="","",SUM(U149:Y149))</x:f>
        <x:v>52</x:v>
      </x:c>
      <x:c r="AA149" s="41" t="str">
        <x:f>IF(Z149="","Not scored",VLOOKUP(Z149,'Score settings'!$A$47:$C$50,2,TRUE))</x:f>
        <x:v>Strong</x:v>
      </x:c>
      <x:c r="AB149" s="41" t="n">
        <x:f>VLOOKUP("Priority|"&amp;O149,'Score settings'!$A$14:$C$43,3,FALSE)/'Score settings'!$B$4*'Score settings'!$D$4</x:f>
        <x:v>10.799999999999999</x:v>
      </x:c>
      <x:c r="AC149" s="41" t="n">
        <x:f>VLOOKUP("Category|"&amp;P149,'Score settings'!$A$14:$C$43,3,FALSE)/'Score settings'!$B$5*'Score settings'!$D$5</x:f>
        <x:v>5</x:v>
      </x:c>
      <x:c r="AD149" s="41" t="n">
        <x:f>VLOOKUP("Area|"&amp;Q149,'Score settings'!$A$14:$C$43,3,FALSE)/'Score settings'!$B$6*'Score settings'!$D$6</x:f>
        <x:v>8</x:v>
      </x:c>
      <x:c r="AE149" s="41" t="n">
        <x:f>VLOOKUP("Benefits|"&amp;IF(AND(ISNUMBER(K149),K149&gt;0,ISNUMBER(G149),G149&gt;0),IF(K149/G149&gt;='Score settings'!$E$17,"3plus",IF(K149/G149&gt;='Score settings'!$E$16,"1.5to3",IF(K149/G149&gt;='Score settings'!$E$15,"0.5to1.5","positive"))),"None"),'Score settings'!$A$14:$C$43,3,FALSE)/'Score settings'!$B$7*'Score settings'!$D$7</x:f>
        <x:v>0</x:v>
      </x:c>
      <x:c r="AF149" s="41" t="n">
        <x:f>VLOOKUP("Waste|"&amp;R149,'Score settings'!$A$14:$C$43,3,FALSE)/'Score settings'!$B$8*'Score settings'!$D$8</x:f>
        <x:v>0</x:v>
      </x:c>
      <x:c r="AG149" s="41" t="n">
        <x:f>(IF(AND(ISNUMBER(M149),M149&gt;0,ISNUMBER(G149),G149&gt;0),IF(M149/G149&gt;='Score settings'!$E$17,'Score settings'!$G$17,IF(M149/G149&gt;='Score settings'!$E$16,'Score settings'!$G$16,IF(M149/G149&gt;='Score settings'!$E$15,'Score settings'!$G$15,'Score settings'!$G$14))),0)/15*'Score settings'!$B$60+IFERROR(VLOOKUP(IF(ISNUMBER(N149),N149,IF(ISNUMBER(L149),L149,0)),'Score settings'!$E$22:$F$26,2,FALSE),0)/10*'Score settings'!$B$61)/'Score settings'!$B$9*'Score settings'!$D$9</x:f>
        <x:v>0</x:v>
      </x:c>
      <x:c r="AH149" s="41" t="n">
        <x:f>IF(B149="","",SUM(AB149:AG149))</x:f>
        <x:v>23.799999999999997</x:v>
      </x:c>
      <x:c r="AI149" s="41" t="str">
        <x:f>IF(NOT(ISNUMBER(AH149)),"Not scored",VLOOKUP(AH149,'Score settings'!$A$47:$C$50,3,TRUE))</x:f>
        <x:v>Weak</x:v>
      </x:c>
      <x:c r="AJ149" s="42" t="n">
        <x:f>IF(OR(NOT(ISNUMBER(AH149)),T149&lt;&gt;"Common pot"),"",COUNTIFS($T$4:$T$509,"Common pot",$AH$4:$AH$509,"&gt;"&amp;AH149)+1)</x:f>
        <x:v>289</x:v>
      </x:c>
      <x:c r="AK149" s="36" t="str">
        <x:f>IF(B149="","Name missing - not scored",IF(OR(NOT(ISNUMBER(G149)),G149&lt;=0),"Investment missing or zero - review",IF(0=1,"Permanent ID missing - reconcile",IF(AND(ISNUMBER(H149),H149/G149&gt;='Score settings'!$B$58,NOT(ISNUMBER(I149))),"Benefit units need review",IF(OR(R149="EXIT",R149="CHALLENGE"),"Waste decision requires scope resolution",IF("No exact waste match"&lt;&gt;"Name and organisation matched","Waste evidence match needs review","Provisional source score - confirm evidence"))))))</x:f>
        <x:v>Waste evidence match needs review</x:v>
      </x:c>
      <x:c r="AL149" s="36"/>
      <x:c r="AM149" s="40"/>
      <x:c r="AN149" s="39"/>
      <x:c r="AO149" s="40"/>
      <x:c r="AP149" s="40"/>
    </x:row>
    <x:row r="150" ht="15" hidden="0" customHeight="1">
      <x:c r="A150" s="36" t="str">
        <x:v>Bu-155</x:v>
      </x:c>
      <x:c r="B150" s="37" t="str">
        <x:v>BU Existing Project CR's (ALM - Workpath, Viva goals)</x:v>
      </x:c>
      <x:c r="C150" s="36" t="str">
        <x:v>BU Led</x:v>
      </x:c>
      <x:c r="D150" s="36" t="str">
        <x:v>Precision Diagnosis - Magnetic Resonance (MR)</x:v>
      </x:c>
      <x:c r="E150" s="38" t="n">
        <x:v>0.335</x:v>
      </x:c>
      <x:c r="F150" s="39"/>
      <x:c r="G150" s="38" t="n">
        <x:f>IF(ISNUMBER(F150),F150,IF(E150="","",E150))</x:f>
        <x:v>0.335</x:v>
      </x:c>
      <x:c r="H150" s="38"/>
      <x:c r="I150" s="39"/>
      <x:c r="J150" s="36" t="str">
        <x:v>Cash savings</x:v>
      </x:c>
      <x:c r="K150" s="38" t="str">
        <x:f>IF(ISNUMBER(I150),I150,IF(OR(NOT(ISNUMBER(H150)),NOT(ISNUMBER(G150)),G150&lt;=0),"",IF(H150/G150&gt;='Score settings'!$B$58,"",IF(J150="Cash savings",H150,IF(J150="Revenue",H150*'Score settings'!$B$55,"")))))</x:f>
      </x:c>
      <x:c r="L150" s="36"/>
      <x:c r="M150" s="39"/>
      <x:c r="N150" s="40"/>
      <x:c r="O150" s="36" t="str">
        <x:v>Must Have</x:v>
      </x:c>
      <x:c r="P150" s="36" t="str">
        <x:v>CI</x:v>
      </x:c>
      <x:c r="Q150" s="36" t="str">
        <x:v>ProcSimp</x:v>
      </x:c>
      <x:c r="R150" s="36" t="str">
        <x:v>NotAssessed</x:v>
      </x:c>
      <x:c r="S150" s="36" t="str"/>
      <x:c r="T150" s="36" t="str">
        <x:v>Common pot</x:v>
      </x:c>
      <x:c r="U150" s="41" t="n">
        <x:f>VLOOKUP("Priority|"&amp;O150,'Score settings'!$A$14:$C$43,2,FALSE)/'Score settings'!$B$4*'Score settings'!$C$4</x:f>
        <x:v>18</x:v>
      </x:c>
      <x:c r="V150" s="41" t="n">
        <x:f>VLOOKUP("Category|"&amp;P150,'Score settings'!$A$14:$C$43,2,FALSE)/'Score settings'!$B$5*'Score settings'!$C$5</x:f>
        <x:v>8</x:v>
      </x:c>
      <x:c r="W150" s="41" t="n">
        <x:f>VLOOKUP("Area|"&amp;Q150,'Score settings'!$A$14:$C$43,2,FALSE)/'Score settings'!$B$6*'Score settings'!$C$6</x:f>
        <x:v>12</x:v>
      </x:c>
      <x:c r="X150" s="41" t="n">
        <x:f>VLOOKUP("Benefits|"&amp;IF(AND(ISNUMBER(H150),H150&gt;0,ISNUMBER(G150),G150&gt;0),IF(H150/G150&gt;='Score settings'!$E$17,"3plus",IF(H150/G150&gt;='Score settings'!$E$16,"1.5to3",IF(H150/G150&gt;='Score settings'!$E$15,"0.5to1.5","positive"))),"None"),'Score settings'!$A$14:$C$43,2,FALSE)/'Score settings'!$B$7*'Score settings'!$C$7</x:f>
        <x:v>5</x:v>
      </x:c>
      <x:c r="Y150" s="41" t="n">
        <x:f>VLOOKUP("Waste|"&amp;R150,'Score settings'!$A$14:$C$43,2,FALSE)/'Score settings'!$B$8*'Score settings'!$C$8</x:f>
        <x:v>7</x:v>
      </x:c>
      <x:c r="Z150" s="41" t="n">
        <x:f>IF(B150="","",SUM(U150:Y150))</x:f>
        <x:v>50</x:v>
      </x:c>
      <x:c r="AA150" s="41" t="str">
        <x:f>IF(Z150="","Not scored",VLOOKUP(Z150,'Score settings'!$A$47:$C$50,2,TRUE))</x:f>
        <x:v>Strong</x:v>
      </x:c>
      <x:c r="AB150" s="41" t="n">
        <x:f>VLOOKUP("Priority|"&amp;O150,'Score settings'!$A$14:$C$43,3,FALSE)/'Score settings'!$B$4*'Score settings'!$D$4</x:f>
        <x:v>10.799999999999999</x:v>
      </x:c>
      <x:c r="AC150" s="41" t="n">
        <x:f>VLOOKUP("Category|"&amp;P150,'Score settings'!$A$14:$C$43,3,FALSE)/'Score settings'!$B$5*'Score settings'!$D$5</x:f>
        <x:v>4</x:v>
      </x:c>
      <x:c r="AD150" s="41" t="n">
        <x:f>VLOOKUP("Area|"&amp;Q150,'Score settings'!$A$14:$C$43,3,FALSE)/'Score settings'!$B$6*'Score settings'!$D$6</x:f>
        <x:v>8</x:v>
      </x:c>
      <x:c r="AE150" s="41" t="n">
        <x:f>VLOOKUP("Benefits|"&amp;IF(AND(ISNUMBER(K150),K150&gt;0,ISNUMBER(G150),G150&gt;0),IF(K150/G150&gt;='Score settings'!$E$17,"3plus",IF(K150/G150&gt;='Score settings'!$E$16,"1.5to3",IF(K150/G150&gt;='Score settings'!$E$15,"0.5to1.5","positive"))),"None"),'Score settings'!$A$14:$C$43,3,FALSE)/'Score settings'!$B$7*'Score settings'!$D$7</x:f>
        <x:v>0</x:v>
      </x:c>
      <x:c r="AF150" s="41" t="n">
        <x:f>VLOOKUP("Waste|"&amp;R150,'Score settings'!$A$14:$C$43,3,FALSE)/'Score settings'!$B$8*'Score settings'!$D$8</x:f>
        <x:v>0</x:v>
      </x:c>
      <x:c r="AG150" s="41" t="n">
        <x:f>(IF(AND(ISNUMBER(M150),M150&gt;0,ISNUMBER(G150),G150&gt;0),IF(M150/G150&gt;='Score settings'!$E$17,'Score settings'!$G$17,IF(M150/G150&gt;='Score settings'!$E$16,'Score settings'!$G$16,IF(M150/G150&gt;='Score settings'!$E$15,'Score settings'!$G$15,'Score settings'!$G$14))),0)/15*'Score settings'!$B$60+IFERROR(VLOOKUP(IF(ISNUMBER(N150),N150,IF(ISNUMBER(L150),L150,0)),'Score settings'!$E$22:$F$26,2,FALSE),0)/10*'Score settings'!$B$61)/'Score settings'!$B$9*'Score settings'!$D$9</x:f>
        <x:v>0</x:v>
      </x:c>
      <x:c r="AH150" s="41" t="n">
        <x:f>IF(B150="","",SUM(AB150:AG150))</x:f>
        <x:v>22.799999999999997</x:v>
      </x:c>
      <x:c r="AI150" s="41" t="str">
        <x:f>IF(NOT(ISNUMBER(AH150)),"Not scored",VLOOKUP(AH150,'Score settings'!$A$47:$C$50,3,TRUE))</x:f>
        <x:v>Weak</x:v>
      </x:c>
      <x:c r="AJ150" s="42" t="n">
        <x:f>IF(OR(NOT(ISNUMBER(AH150)),T150&lt;&gt;"Common pot"),"",COUNTIFS($T$4:$T$509,"Common pot",$AH$4:$AH$509,"&gt;"&amp;AH150)+1)</x:f>
        <x:v>318</x:v>
      </x:c>
      <x:c r="AK150" s="36" t="str">
        <x:f>IF(B150="","Name missing - not scored",IF(OR(NOT(ISNUMBER(G150)),G150&lt;=0),"Investment missing or zero - review",IF(0=1,"Permanent ID missing - reconcile",IF(AND(ISNUMBER(H150),H150/G150&gt;='Score settings'!$B$58,NOT(ISNUMBER(I150))),"Benefit units need review",IF(OR(R150="EXIT",R150="CHALLENGE"),"Waste decision requires scope resolution",IF("No exact waste match"&lt;&gt;"Name and organisation matched","Waste evidence match needs review","Provisional source score - confirm evidence"))))))</x:f>
        <x:v>Waste evidence match needs review</x:v>
      </x:c>
      <x:c r="AL150" s="36"/>
      <x:c r="AM150" s="40"/>
      <x:c r="AN150" s="39"/>
      <x:c r="AO150" s="40"/>
      <x:c r="AP150" s="40"/>
    </x:row>
    <x:row r="151" ht="15" hidden="0" customHeight="1">
      <x:c r="A151" s="36" t="str">
        <x:v>Bu-156</x:v>
      </x:c>
      <x:c r="B151" s="37" t="str">
        <x:v>Agentic AI solutions for service (POCs)</x:v>
      </x:c>
      <x:c r="C151" s="36" t="str">
        <x:v>BU Led</x:v>
      </x:c>
      <x:c r="D151" s="36" t="str">
        <x:v>Precision Diagnosis - Magnetic Resonance (MR)</x:v>
      </x:c>
      <x:c r="E151" s="38" t="n">
        <x:v>0.2</x:v>
      </x:c>
      <x:c r="F151" s="39"/>
      <x:c r="G151" s="38" t="n">
        <x:f>IF(ISNUMBER(F151),F151,IF(E151="","",E151))</x:f>
        <x:v>0.2</x:v>
      </x:c>
      <x:c r="H151" s="38"/>
      <x:c r="I151" s="39"/>
      <x:c r="J151" s="36" t="str">
        <x:v>Cash savings</x:v>
      </x:c>
      <x:c r="K151" s="38" t="str">
        <x:f>IF(ISNUMBER(I151),I151,IF(OR(NOT(ISNUMBER(H151)),NOT(ISNUMBER(G151)),G151&lt;=0),"",IF(H151/G151&gt;='Score settings'!$B$58,"",IF(J151="Cash savings",H151,IF(J151="Revenue",H151*'Score settings'!$B$55,"")))))</x:f>
      </x:c>
      <x:c r="L151" s="36"/>
      <x:c r="M151" s="39"/>
      <x:c r="N151" s="40"/>
      <x:c r="O151" s="36" t="str">
        <x:v>Must Have</x:v>
      </x:c>
      <x:c r="P151" s="36" t="str">
        <x:v>CI</x:v>
      </x:c>
      <x:c r="Q151" s="36" t="str">
        <x:v>ProcSimp</x:v>
      </x:c>
      <x:c r="R151" s="36" t="str">
        <x:v>NotAssessed</x:v>
      </x:c>
      <x:c r="S151" s="36" t="str"/>
      <x:c r="T151" s="36" t="str">
        <x:v>Common pot</x:v>
      </x:c>
      <x:c r="U151" s="41" t="n">
        <x:f>VLOOKUP("Priority|"&amp;O151,'Score settings'!$A$14:$C$43,2,FALSE)/'Score settings'!$B$4*'Score settings'!$C$4</x:f>
        <x:v>18</x:v>
      </x:c>
      <x:c r="V151" s="41" t="n">
        <x:f>VLOOKUP("Category|"&amp;P151,'Score settings'!$A$14:$C$43,2,FALSE)/'Score settings'!$B$5*'Score settings'!$C$5</x:f>
        <x:v>8</x:v>
      </x:c>
      <x:c r="W151" s="41" t="n">
        <x:f>VLOOKUP("Area|"&amp;Q151,'Score settings'!$A$14:$C$43,2,FALSE)/'Score settings'!$B$6*'Score settings'!$C$6</x:f>
        <x:v>12</x:v>
      </x:c>
      <x:c r="X151" s="41" t="n">
        <x:f>VLOOKUP("Benefits|"&amp;IF(AND(ISNUMBER(H151),H151&gt;0,ISNUMBER(G151),G151&gt;0),IF(H151/G151&gt;='Score settings'!$E$17,"3plus",IF(H151/G151&gt;='Score settings'!$E$16,"1.5to3",IF(H151/G151&gt;='Score settings'!$E$15,"0.5to1.5","positive"))),"None"),'Score settings'!$A$14:$C$43,2,FALSE)/'Score settings'!$B$7*'Score settings'!$C$7</x:f>
        <x:v>5</x:v>
      </x:c>
      <x:c r="Y151" s="41" t="n">
        <x:f>VLOOKUP("Waste|"&amp;R151,'Score settings'!$A$14:$C$43,2,FALSE)/'Score settings'!$B$8*'Score settings'!$C$8</x:f>
        <x:v>7</x:v>
      </x:c>
      <x:c r="Z151" s="41" t="n">
        <x:f>IF(B151="","",SUM(U151:Y151))</x:f>
        <x:v>50</x:v>
      </x:c>
      <x:c r="AA151" s="41" t="str">
        <x:f>IF(Z151="","Not scored",VLOOKUP(Z151,'Score settings'!$A$47:$C$50,2,TRUE))</x:f>
        <x:v>Strong</x:v>
      </x:c>
      <x:c r="AB151" s="41" t="n">
        <x:f>VLOOKUP("Priority|"&amp;O151,'Score settings'!$A$14:$C$43,3,FALSE)/'Score settings'!$B$4*'Score settings'!$D$4</x:f>
        <x:v>10.799999999999999</x:v>
      </x:c>
      <x:c r="AC151" s="41" t="n">
        <x:f>VLOOKUP("Category|"&amp;P151,'Score settings'!$A$14:$C$43,3,FALSE)/'Score settings'!$B$5*'Score settings'!$D$5</x:f>
        <x:v>4</x:v>
      </x:c>
      <x:c r="AD151" s="41" t="n">
        <x:f>VLOOKUP("Area|"&amp;Q151,'Score settings'!$A$14:$C$43,3,FALSE)/'Score settings'!$B$6*'Score settings'!$D$6</x:f>
        <x:v>8</x:v>
      </x:c>
      <x:c r="AE151" s="41" t="n">
        <x:f>VLOOKUP("Benefits|"&amp;IF(AND(ISNUMBER(K151),K151&gt;0,ISNUMBER(G151),G151&gt;0),IF(K151/G151&gt;='Score settings'!$E$17,"3plus",IF(K151/G151&gt;='Score settings'!$E$16,"1.5to3",IF(K151/G151&gt;='Score settings'!$E$15,"0.5to1.5","positive"))),"None"),'Score settings'!$A$14:$C$43,3,FALSE)/'Score settings'!$B$7*'Score settings'!$D$7</x:f>
        <x:v>0</x:v>
      </x:c>
      <x:c r="AF151" s="41" t="n">
        <x:f>VLOOKUP("Waste|"&amp;R151,'Score settings'!$A$14:$C$43,3,FALSE)/'Score settings'!$B$8*'Score settings'!$D$8</x:f>
        <x:v>0</x:v>
      </x:c>
      <x:c r="AG151" s="41" t="n">
        <x:f>(IF(AND(ISNUMBER(M151),M151&gt;0,ISNUMBER(G151),G151&gt;0),IF(M151/G151&gt;='Score settings'!$E$17,'Score settings'!$G$17,IF(M151/G151&gt;='Score settings'!$E$16,'Score settings'!$G$16,IF(M151/G151&gt;='Score settings'!$E$15,'Score settings'!$G$15,'Score settings'!$G$14))),0)/15*'Score settings'!$B$60+IFERROR(VLOOKUP(IF(ISNUMBER(N151),N151,IF(ISNUMBER(L151),L151,0)),'Score settings'!$E$22:$F$26,2,FALSE),0)/10*'Score settings'!$B$61)/'Score settings'!$B$9*'Score settings'!$D$9</x:f>
        <x:v>0</x:v>
      </x:c>
      <x:c r="AH151" s="41" t="n">
        <x:f>IF(B151="","",SUM(AB151:AG151))</x:f>
        <x:v>22.799999999999997</x:v>
      </x:c>
      <x:c r="AI151" s="41" t="str">
        <x:f>IF(NOT(ISNUMBER(AH151)),"Not scored",VLOOKUP(AH151,'Score settings'!$A$47:$C$50,3,TRUE))</x:f>
        <x:v>Weak</x:v>
      </x:c>
      <x:c r="AJ151" s="42" t="n">
        <x:f>IF(OR(NOT(ISNUMBER(AH151)),T151&lt;&gt;"Common pot"),"",COUNTIFS($T$4:$T$509,"Common pot",$AH$4:$AH$509,"&gt;"&amp;AH151)+1)</x:f>
        <x:v>318</x:v>
      </x:c>
      <x:c r="AK151" s="36" t="str">
        <x:f>IF(B151="","Name missing - not scored",IF(OR(NOT(ISNUMBER(G151)),G151&lt;=0),"Investment missing or zero - review",IF(0=1,"Permanent ID missing - reconcile",IF(AND(ISNUMBER(H151),H151/G151&gt;='Score settings'!$B$58,NOT(ISNUMBER(I151))),"Benefit units need review",IF(OR(R151="EXIT",R151="CHALLENGE"),"Waste decision requires scope resolution",IF("No exact waste match"&lt;&gt;"Name and organisation matched","Waste evidence match needs review","Provisional source score - confirm evidence"))))))</x:f>
        <x:v>Waste evidence match needs review</x:v>
      </x:c>
      <x:c r="AL151" s="36"/>
      <x:c r="AM151" s="40"/>
      <x:c r="AN151" s="39"/>
      <x:c r="AO151" s="40"/>
      <x:c r="AP151" s="40"/>
    </x:row>
    <x:row r="152" ht="15" hidden="0" customHeight="1">
      <x:c r="A152" s="36" t="str">
        <x:v>Bu-157</x:v>
      </x:c>
      <x:c r="B152" s="37" t="str">
        <x:v>I2M Clinical Science Contracting (ORION/Ensight) CR's</x:v>
      </x:c>
      <x:c r="C152" s="36" t="str">
        <x:v>BU Led</x:v>
      </x:c>
      <x:c r="D152" s="36" t="str">
        <x:v>Precision Diagnosis - Magnetic Resonance (MR)</x:v>
      </x:c>
      <x:c r="E152" s="38" t="n">
        <x:v>0.075</x:v>
      </x:c>
      <x:c r="F152" s="39"/>
      <x:c r="G152" s="38" t="n">
        <x:f>IF(ISNUMBER(F152),F152,IF(E152="","",E152))</x:f>
        <x:v>0.075</x:v>
      </x:c>
      <x:c r="H152" s="38"/>
      <x:c r="I152" s="39"/>
      <x:c r="J152" s="36" t="str">
        <x:v>Cash savings</x:v>
      </x:c>
      <x:c r="K152" s="38" t="str">
        <x:f>IF(ISNUMBER(I152),I152,IF(OR(NOT(ISNUMBER(H152)),NOT(ISNUMBER(G152)),G152&lt;=0),"",IF(H152/G152&gt;='Score settings'!$B$58,"",IF(J152="Cash savings",H152,IF(J152="Revenue",H152*'Score settings'!$B$55,"")))))</x:f>
      </x:c>
      <x:c r="L152" s="36"/>
      <x:c r="M152" s="39"/>
      <x:c r="N152" s="40"/>
      <x:c r="O152" s="36" t="str">
        <x:v>Must Have</x:v>
      </x:c>
      <x:c r="P152" s="36" t="str">
        <x:v>Upgrades</x:v>
      </x:c>
      <x:c r="Q152" s="36" t="str">
        <x:v>ProcSimp</x:v>
      </x:c>
      <x:c r="R152" s="36" t="str">
        <x:v>NotAssessed</x:v>
      </x:c>
      <x:c r="S152" s="36" t="str"/>
      <x:c r="T152" s="36" t="str">
        <x:v>Common pot</x:v>
      </x:c>
      <x:c r="U152" s="41" t="n">
        <x:f>VLOOKUP("Priority|"&amp;O152,'Score settings'!$A$14:$C$43,2,FALSE)/'Score settings'!$B$4*'Score settings'!$C$4</x:f>
        <x:v>18</x:v>
      </x:c>
      <x:c r="V152" s="41" t="n">
        <x:f>VLOOKUP("Category|"&amp;P152,'Score settings'!$A$14:$C$43,2,FALSE)/'Score settings'!$B$5*'Score settings'!$C$5</x:f>
        <x:v>10</x:v>
      </x:c>
      <x:c r="W152" s="41" t="n">
        <x:f>VLOOKUP("Area|"&amp;Q152,'Score settings'!$A$14:$C$43,2,FALSE)/'Score settings'!$B$6*'Score settings'!$C$6</x:f>
        <x:v>12</x:v>
      </x:c>
      <x:c r="X152" s="41" t="n">
        <x:f>VLOOKUP("Benefits|"&amp;IF(AND(ISNUMBER(H152),H152&gt;0,ISNUMBER(G152),G152&gt;0),IF(H152/G152&gt;='Score settings'!$E$17,"3plus",IF(H152/G152&gt;='Score settings'!$E$16,"1.5to3",IF(H152/G152&gt;='Score settings'!$E$15,"0.5to1.5","positive"))),"None"),'Score settings'!$A$14:$C$43,2,FALSE)/'Score settings'!$B$7*'Score settings'!$C$7</x:f>
        <x:v>5</x:v>
      </x:c>
      <x:c r="Y152" s="41" t="n">
        <x:f>VLOOKUP("Waste|"&amp;R152,'Score settings'!$A$14:$C$43,2,FALSE)/'Score settings'!$B$8*'Score settings'!$C$8</x:f>
        <x:v>7</x:v>
      </x:c>
      <x:c r="Z152" s="41" t="n">
        <x:f>IF(B152="","",SUM(U152:Y152))</x:f>
        <x:v>52</x:v>
      </x:c>
      <x:c r="AA152" s="41" t="str">
        <x:f>IF(Z152="","Not scored",VLOOKUP(Z152,'Score settings'!$A$47:$C$50,2,TRUE))</x:f>
        <x:v>Strong</x:v>
      </x:c>
      <x:c r="AB152" s="41" t="n">
        <x:f>VLOOKUP("Priority|"&amp;O152,'Score settings'!$A$14:$C$43,3,FALSE)/'Score settings'!$B$4*'Score settings'!$D$4</x:f>
        <x:v>10.799999999999999</x:v>
      </x:c>
      <x:c r="AC152" s="41" t="n">
        <x:f>VLOOKUP("Category|"&amp;P152,'Score settings'!$A$14:$C$43,3,FALSE)/'Score settings'!$B$5*'Score settings'!$D$5</x:f>
        <x:v>5</x:v>
      </x:c>
      <x:c r="AD152" s="41" t="n">
        <x:f>VLOOKUP("Area|"&amp;Q152,'Score settings'!$A$14:$C$43,3,FALSE)/'Score settings'!$B$6*'Score settings'!$D$6</x:f>
        <x:v>8</x:v>
      </x:c>
      <x:c r="AE152" s="41" t="n">
        <x:f>VLOOKUP("Benefits|"&amp;IF(AND(ISNUMBER(K152),K152&gt;0,ISNUMBER(G152),G152&gt;0),IF(K152/G152&gt;='Score settings'!$E$17,"3plus",IF(K152/G152&gt;='Score settings'!$E$16,"1.5to3",IF(K152/G152&gt;='Score settings'!$E$15,"0.5to1.5","positive"))),"None"),'Score settings'!$A$14:$C$43,3,FALSE)/'Score settings'!$B$7*'Score settings'!$D$7</x:f>
        <x:v>0</x:v>
      </x:c>
      <x:c r="AF152" s="41" t="n">
        <x:f>VLOOKUP("Waste|"&amp;R152,'Score settings'!$A$14:$C$43,3,FALSE)/'Score settings'!$B$8*'Score settings'!$D$8</x:f>
        <x:v>0</x:v>
      </x:c>
      <x:c r="AG152" s="41" t="n">
        <x:f>(IF(AND(ISNUMBER(M152),M152&gt;0,ISNUMBER(G152),G152&gt;0),IF(M152/G152&gt;='Score settings'!$E$17,'Score settings'!$G$17,IF(M152/G152&gt;='Score settings'!$E$16,'Score settings'!$G$16,IF(M152/G152&gt;='Score settings'!$E$15,'Score settings'!$G$15,'Score settings'!$G$14))),0)/15*'Score settings'!$B$60+IFERROR(VLOOKUP(IF(ISNUMBER(N152),N152,IF(ISNUMBER(L152),L152,0)),'Score settings'!$E$22:$F$26,2,FALSE),0)/10*'Score settings'!$B$61)/'Score settings'!$B$9*'Score settings'!$D$9</x:f>
        <x:v>0</x:v>
      </x:c>
      <x:c r="AH152" s="41" t="n">
        <x:f>IF(B152="","",SUM(AB152:AG152))</x:f>
        <x:v>23.799999999999997</x:v>
      </x:c>
      <x:c r="AI152" s="41" t="str">
        <x:f>IF(NOT(ISNUMBER(AH152)),"Not scored",VLOOKUP(AH152,'Score settings'!$A$47:$C$50,3,TRUE))</x:f>
        <x:v>Weak</x:v>
      </x:c>
      <x:c r="AJ152" s="42" t="n">
        <x:f>IF(OR(NOT(ISNUMBER(AH152)),T152&lt;&gt;"Common pot"),"",COUNTIFS($T$4:$T$509,"Common pot",$AH$4:$AH$509,"&gt;"&amp;AH152)+1)</x:f>
        <x:v>289</x:v>
      </x:c>
      <x:c r="AK152" s="36" t="str">
        <x:f>IF(B152="","Name missing - not scored",IF(OR(NOT(ISNUMBER(G152)),G152&lt;=0),"Investment missing or zero - review",IF(0=1,"Permanent ID missing - reconcile",IF(AND(ISNUMBER(H152),H152/G152&gt;='Score settings'!$B$58,NOT(ISNUMBER(I152))),"Benefit units need review",IF(OR(R152="EXIT",R152="CHALLENGE"),"Waste decision requires scope resolution",IF("No exact waste match"&lt;&gt;"Name and organisation matched","Waste evidence match needs review","Provisional source score - confirm evidence"))))))</x:f>
        <x:v>Waste evidence match needs review</x:v>
      </x:c>
      <x:c r="AL152" s="36"/>
      <x:c r="AM152" s="40"/>
      <x:c r="AN152" s="39"/>
      <x:c r="AO152" s="40"/>
      <x:c r="AP152" s="40"/>
    </x:row>
    <x:row r="153" ht="24" hidden="0" customHeight="1">
      <x:c r="A153" s="36" t="str">
        <x:v>Bu-158</x:v>
      </x:c>
      <x:c r="B153" s="37" t="str">
        <x:v>Sentinel LEM deployment for CT/AMI (OKM – Order Key Manager) - STO 400K</x:v>
      </x:c>
      <x:c r="C153" s="36" t="str">
        <x:v>BU Led</x:v>
      </x:c>
      <x:c r="D153" s="36" t="str">
        <x:v>Precision Diagnosis - Computed Tomography (CT)</x:v>
      </x:c>
      <x:c r="E153" s="38" t="n">
        <x:v>0.25</x:v>
      </x:c>
      <x:c r="F153" s="39"/>
      <x:c r="G153" s="38" t="n">
        <x:f>IF(ISNUMBER(F153),F153,IF(E153="","",E153))</x:f>
        <x:v>0.25</x:v>
      </x:c>
      <x:c r="H153" s="38"/>
      <x:c r="I153" s="39"/>
      <x:c r="J153" s="36" t="str">
        <x:v>Cash savings</x:v>
      </x:c>
      <x:c r="K153" s="38" t="str">
        <x:f>IF(ISNUMBER(I153),I153,IF(OR(NOT(ISNUMBER(H153)),NOT(ISNUMBER(G153)),G153&lt;=0),"",IF(H153/G153&gt;='Score settings'!$B$58,"",IF(J153="Cash savings",H153,IF(J153="Revenue",H153*'Score settings'!$B$55,"")))))</x:f>
      </x:c>
      <x:c r="L153" s="36"/>
      <x:c r="M153" s="39"/>
      <x:c r="N153" s="40"/>
      <x:c r="O153" s="36" t="str">
        <x:v>Must Have</x:v>
      </x:c>
      <x:c r="P153" s="36" t="str">
        <x:v>Upgrades</x:v>
      </x:c>
      <x:c r="Q153" s="36" t="str">
        <x:v>ProcSimp</x:v>
      </x:c>
      <x:c r="R153" s="36" t="str">
        <x:v>NotAssessed</x:v>
      </x:c>
      <x:c r="S153" s="36" t="str"/>
      <x:c r="T153" s="36" t="str">
        <x:v>Common pot</x:v>
      </x:c>
      <x:c r="U153" s="41" t="n">
        <x:f>VLOOKUP("Priority|"&amp;O153,'Score settings'!$A$14:$C$43,2,FALSE)/'Score settings'!$B$4*'Score settings'!$C$4</x:f>
        <x:v>18</x:v>
      </x:c>
      <x:c r="V153" s="41" t="n">
        <x:f>VLOOKUP("Category|"&amp;P153,'Score settings'!$A$14:$C$43,2,FALSE)/'Score settings'!$B$5*'Score settings'!$C$5</x:f>
        <x:v>10</x:v>
      </x:c>
      <x:c r="W153" s="41" t="n">
        <x:f>VLOOKUP("Area|"&amp;Q153,'Score settings'!$A$14:$C$43,2,FALSE)/'Score settings'!$B$6*'Score settings'!$C$6</x:f>
        <x:v>12</x:v>
      </x:c>
      <x:c r="X153" s="41" t="n">
        <x:f>VLOOKUP("Benefits|"&amp;IF(AND(ISNUMBER(H153),H153&gt;0,ISNUMBER(G153),G153&gt;0),IF(H153/G153&gt;='Score settings'!$E$17,"3plus",IF(H153/G153&gt;='Score settings'!$E$16,"1.5to3",IF(H153/G153&gt;='Score settings'!$E$15,"0.5to1.5","positive"))),"None"),'Score settings'!$A$14:$C$43,2,FALSE)/'Score settings'!$B$7*'Score settings'!$C$7</x:f>
        <x:v>5</x:v>
      </x:c>
      <x:c r="Y153" s="41" t="n">
        <x:f>VLOOKUP("Waste|"&amp;R153,'Score settings'!$A$14:$C$43,2,FALSE)/'Score settings'!$B$8*'Score settings'!$C$8</x:f>
        <x:v>7</x:v>
      </x:c>
      <x:c r="Z153" s="41" t="n">
        <x:f>IF(B153="","",SUM(U153:Y153))</x:f>
        <x:v>52</x:v>
      </x:c>
      <x:c r="AA153" s="41" t="str">
        <x:f>IF(Z153="","Not scored",VLOOKUP(Z153,'Score settings'!$A$47:$C$50,2,TRUE))</x:f>
        <x:v>Strong</x:v>
      </x:c>
      <x:c r="AB153" s="41" t="n">
        <x:f>VLOOKUP("Priority|"&amp;O153,'Score settings'!$A$14:$C$43,3,FALSE)/'Score settings'!$B$4*'Score settings'!$D$4</x:f>
        <x:v>10.799999999999999</x:v>
      </x:c>
      <x:c r="AC153" s="41" t="n">
        <x:f>VLOOKUP("Category|"&amp;P153,'Score settings'!$A$14:$C$43,3,FALSE)/'Score settings'!$B$5*'Score settings'!$D$5</x:f>
        <x:v>5</x:v>
      </x:c>
      <x:c r="AD153" s="41" t="n">
        <x:f>VLOOKUP("Area|"&amp;Q153,'Score settings'!$A$14:$C$43,3,FALSE)/'Score settings'!$B$6*'Score settings'!$D$6</x:f>
        <x:v>8</x:v>
      </x:c>
      <x:c r="AE153" s="41" t="n">
        <x:f>VLOOKUP("Benefits|"&amp;IF(AND(ISNUMBER(K153),K153&gt;0,ISNUMBER(G153),G153&gt;0),IF(K153/G153&gt;='Score settings'!$E$17,"3plus",IF(K153/G153&gt;='Score settings'!$E$16,"1.5to3",IF(K153/G153&gt;='Score settings'!$E$15,"0.5to1.5","positive"))),"None"),'Score settings'!$A$14:$C$43,3,FALSE)/'Score settings'!$B$7*'Score settings'!$D$7</x:f>
        <x:v>0</x:v>
      </x:c>
      <x:c r="AF153" s="41" t="n">
        <x:f>VLOOKUP("Waste|"&amp;R153,'Score settings'!$A$14:$C$43,3,FALSE)/'Score settings'!$B$8*'Score settings'!$D$8</x:f>
        <x:v>0</x:v>
      </x:c>
      <x:c r="AG153" s="41" t="n">
        <x:f>(IF(AND(ISNUMBER(M153),M153&gt;0,ISNUMBER(G153),G153&gt;0),IF(M153/G153&gt;='Score settings'!$E$17,'Score settings'!$G$17,IF(M153/G153&gt;='Score settings'!$E$16,'Score settings'!$G$16,IF(M153/G153&gt;='Score settings'!$E$15,'Score settings'!$G$15,'Score settings'!$G$14))),0)/15*'Score settings'!$B$60+IFERROR(VLOOKUP(IF(ISNUMBER(N153),N153,IF(ISNUMBER(L153),L153,0)),'Score settings'!$E$22:$F$26,2,FALSE),0)/10*'Score settings'!$B$61)/'Score settings'!$B$9*'Score settings'!$D$9</x:f>
        <x:v>0</x:v>
      </x:c>
      <x:c r="AH153" s="41" t="n">
        <x:f>IF(B153="","",SUM(AB153:AG153))</x:f>
        <x:v>23.799999999999997</x:v>
      </x:c>
      <x:c r="AI153" s="41" t="str">
        <x:f>IF(NOT(ISNUMBER(AH153)),"Not scored",VLOOKUP(AH153,'Score settings'!$A$47:$C$50,3,TRUE))</x:f>
        <x:v>Weak</x:v>
      </x:c>
      <x:c r="AJ153" s="42" t="n">
        <x:f>IF(OR(NOT(ISNUMBER(AH153)),T153&lt;&gt;"Common pot"),"",COUNTIFS($T$4:$T$509,"Common pot",$AH$4:$AH$509,"&gt;"&amp;AH153)+1)</x:f>
        <x:v>289</x:v>
      </x:c>
      <x:c r="AK153" s="36" t="str">
        <x:f>IF(B153="","Name missing - not scored",IF(OR(NOT(ISNUMBER(G153)),G153&lt;=0),"Investment missing or zero - review",IF(0=1,"Permanent ID missing - reconcile",IF(AND(ISNUMBER(H153),H153/G153&gt;='Score settings'!$B$58,NOT(ISNUMBER(I153))),"Benefit units need review",IF(OR(R153="EXIT",R153="CHALLENGE"),"Waste decision requires scope resolution",IF("Name and organisation matched"&lt;&gt;"Name and organisation matched","Waste evidence match needs review","Provisional source score - confirm evidence"))))))</x:f>
        <x:v>Provisional source score - confirm evidence</x:v>
      </x:c>
      <x:c r="AL153" s="36"/>
      <x:c r="AM153" s="40"/>
      <x:c r="AN153" s="39"/>
      <x:c r="AO153" s="40"/>
      <x:c r="AP153" s="40"/>
    </x:row>
    <x:row r="154" ht="15" hidden="0" customHeight="1">
      <x:c r="A154" s="36" t="str">
        <x:v>Bu-159</x:v>
      </x:c>
      <x:c r="B154" s="37" t="str">
        <x:v>I2M PLM (Windchill) CR's</x:v>
      </x:c>
      <x:c r="C154" s="36" t="str">
        <x:v>BU Led</x:v>
      </x:c>
      <x:c r="D154" s="36" t="str">
        <x:v>Precision Diagnosis - Magnetic Resonance (MR)</x:v>
      </x:c>
      <x:c r="E154" s="38" t="n">
        <x:v>0.3</x:v>
      </x:c>
      <x:c r="F154" s="39"/>
      <x:c r="G154" s="38" t="n">
        <x:f>IF(ISNUMBER(F154),F154,IF(E154="","",E154))</x:f>
        <x:v>0.3</x:v>
      </x:c>
      <x:c r="H154" s="38"/>
      <x:c r="I154" s="39"/>
      <x:c r="J154" s="36" t="str">
        <x:v>Cash savings</x:v>
      </x:c>
      <x:c r="K154" s="38" t="str">
        <x:f>IF(ISNUMBER(I154),I154,IF(OR(NOT(ISNUMBER(H154)),NOT(ISNUMBER(G154)),G154&lt;=0),"",IF(H154/G154&gt;='Score settings'!$B$58,"",IF(J154="Cash savings",H154,IF(J154="Revenue",H154*'Score settings'!$B$55,"")))))</x:f>
      </x:c>
      <x:c r="L154" s="36"/>
      <x:c r="M154" s="39"/>
      <x:c r="N154" s="40"/>
      <x:c r="O154" s="36" t="str">
        <x:v>Must Have</x:v>
      </x:c>
      <x:c r="P154" s="36" t="str">
        <x:v>Upgrades</x:v>
      </x:c>
      <x:c r="Q154" s="36" t="str">
        <x:v>ProcSimp</x:v>
      </x:c>
      <x:c r="R154" s="36" t="str">
        <x:v>NotAssessed</x:v>
      </x:c>
      <x:c r="S154" s="36" t="str"/>
      <x:c r="T154" s="36" t="str">
        <x:v>Change and Sustain candidate</x:v>
      </x:c>
      <x:c r="U154" s="41" t="n">
        <x:f>VLOOKUP("Priority|"&amp;O154,'Score settings'!$A$14:$C$43,2,FALSE)/'Score settings'!$B$4*'Score settings'!$C$4</x:f>
        <x:v>18</x:v>
      </x:c>
      <x:c r="V154" s="41" t="n">
        <x:f>VLOOKUP("Category|"&amp;P154,'Score settings'!$A$14:$C$43,2,FALSE)/'Score settings'!$B$5*'Score settings'!$C$5</x:f>
        <x:v>10</x:v>
      </x:c>
      <x:c r="W154" s="41" t="n">
        <x:f>VLOOKUP("Area|"&amp;Q154,'Score settings'!$A$14:$C$43,2,FALSE)/'Score settings'!$B$6*'Score settings'!$C$6</x:f>
        <x:v>12</x:v>
      </x:c>
      <x:c r="X154" s="41" t="n">
        <x:f>VLOOKUP("Benefits|"&amp;IF(AND(ISNUMBER(H154),H154&gt;0,ISNUMBER(G154),G154&gt;0),IF(H154/G154&gt;='Score settings'!$E$17,"3plus",IF(H154/G154&gt;='Score settings'!$E$16,"1.5to3",IF(H154/G154&gt;='Score settings'!$E$15,"0.5to1.5","positive"))),"None"),'Score settings'!$A$14:$C$43,2,FALSE)/'Score settings'!$B$7*'Score settings'!$C$7</x:f>
        <x:v>5</x:v>
      </x:c>
      <x:c r="Y154" s="41" t="n">
        <x:f>VLOOKUP("Waste|"&amp;R154,'Score settings'!$A$14:$C$43,2,FALSE)/'Score settings'!$B$8*'Score settings'!$C$8</x:f>
        <x:v>7</x:v>
      </x:c>
      <x:c r="Z154" s="41" t="n">
        <x:f>IF(B154="","",SUM(U154:Y154))</x:f>
        <x:v>52</x:v>
      </x:c>
      <x:c r="AA154" s="41" t="str">
        <x:f>IF(Z154="","Not scored",VLOOKUP(Z154,'Score settings'!$A$47:$C$50,2,TRUE))</x:f>
        <x:v>Strong</x:v>
      </x:c>
      <x:c r="AB154" s="41" t="n">
        <x:f>VLOOKUP("Priority|"&amp;O154,'Score settings'!$A$14:$C$43,3,FALSE)/'Score settings'!$B$4*'Score settings'!$D$4</x:f>
        <x:v>10.799999999999999</x:v>
      </x:c>
      <x:c r="AC154" s="41" t="n">
        <x:f>VLOOKUP("Category|"&amp;P154,'Score settings'!$A$14:$C$43,3,FALSE)/'Score settings'!$B$5*'Score settings'!$D$5</x:f>
        <x:v>5</x:v>
      </x:c>
      <x:c r="AD154" s="41" t="n">
        <x:f>VLOOKUP("Area|"&amp;Q154,'Score settings'!$A$14:$C$43,3,FALSE)/'Score settings'!$B$6*'Score settings'!$D$6</x:f>
        <x:v>8</x:v>
      </x:c>
      <x:c r="AE154" s="41" t="n">
        <x:f>VLOOKUP("Benefits|"&amp;IF(AND(ISNUMBER(K154),K154&gt;0,ISNUMBER(G154),G154&gt;0),IF(K154/G154&gt;='Score settings'!$E$17,"3plus",IF(K154/G154&gt;='Score settings'!$E$16,"1.5to3",IF(K154/G154&gt;='Score settings'!$E$15,"0.5to1.5","positive"))),"None"),'Score settings'!$A$14:$C$43,3,FALSE)/'Score settings'!$B$7*'Score settings'!$D$7</x:f>
        <x:v>0</x:v>
      </x:c>
      <x:c r="AF154" s="41" t="n">
        <x:f>VLOOKUP("Waste|"&amp;R154,'Score settings'!$A$14:$C$43,3,FALSE)/'Score settings'!$B$8*'Score settings'!$D$8</x:f>
        <x:v>0</x:v>
      </x:c>
      <x:c r="AG154" s="41" t="n">
        <x:f>(IF(AND(ISNUMBER(M154),M154&gt;0,ISNUMBER(G154),G154&gt;0),IF(M154/G154&gt;='Score settings'!$E$17,'Score settings'!$G$17,IF(M154/G154&gt;='Score settings'!$E$16,'Score settings'!$G$16,IF(M154/G154&gt;='Score settings'!$E$15,'Score settings'!$G$15,'Score settings'!$G$14))),0)/15*'Score settings'!$B$60+IFERROR(VLOOKUP(IF(ISNUMBER(N154),N154,IF(ISNUMBER(L154),L154,0)),'Score settings'!$E$22:$F$26,2,FALSE),0)/10*'Score settings'!$B$61)/'Score settings'!$B$9*'Score settings'!$D$9</x:f>
        <x:v>0</x:v>
      </x:c>
      <x:c r="AH154" s="41" t="n">
        <x:f>IF(B154="","",SUM(AB154:AG154))</x:f>
        <x:v>23.799999999999997</x:v>
      </x:c>
      <x:c r="AI154" s="41" t="str">
        <x:f>IF(NOT(ISNUMBER(AH154)),"Not scored",VLOOKUP(AH154,'Score settings'!$A$47:$C$50,3,TRUE))</x:f>
        <x:v>Weak</x:v>
      </x:c>
      <x:c r="AJ154" s="42" t="str">
        <x:f>IF(OR(NOT(ISNUMBER(AH154)),T154&lt;&gt;"Common pot"),"",COUNTIFS($T$4:$T$509,"Common pot",$AH$4:$AH$509,"&gt;"&amp;AH154)+1)</x:f>
      </x:c>
      <x:c r="AK154" s="36" t="str">
        <x:f>IF(B154="","Name missing - not scored",IF(OR(NOT(ISNUMBER(G154)),G154&lt;=0),"Investment missing or zero - review",IF(0=1,"Permanent ID missing - reconcile",IF(AND(ISNUMBER(H154),H154/G154&gt;='Score settings'!$B$58,NOT(ISNUMBER(I154))),"Benefit units need review",IF(OR(R154="EXIT",R154="CHALLENGE"),"Waste decision requires scope resolution",IF("Name and organisation matched"&lt;&gt;"Name and organisation matched","Waste evidence match needs review","Provisional source score - confirm evidence"))))))</x:f>
        <x:v>Provisional source score - confirm evidence</x:v>
      </x:c>
      <x:c r="AL154" s="36"/>
      <x:c r="AM154" s="40"/>
      <x:c r="AN154" s="39"/>
      <x:c r="AO154" s="40"/>
      <x:c r="AP154" s="40"/>
    </x:row>
    <x:row r="155" ht="15" hidden="0" customHeight="1">
      <x:c r="A155" s="36" t="str">
        <x:v>Bu-160</x:v>
      </x:c>
      <x:c r="B155" s="37" t="str">
        <x:v>MR Mobile Apps CR's (MR - Imaging app v2) SI</x:v>
      </x:c>
      <x:c r="C155" s="36" t="str">
        <x:v>BU Led</x:v>
      </x:c>
      <x:c r="D155" s="36" t="str">
        <x:v>Precision Diagnosis - Magnetic Resonance (MR)</x:v>
      </x:c>
      <x:c r="E155" s="38" t="n">
        <x:v>0.35</x:v>
      </x:c>
      <x:c r="F155" s="39"/>
      <x:c r="G155" s="38" t="n">
        <x:f>IF(ISNUMBER(F155),F155,IF(E155="","",E155))</x:f>
        <x:v>0.35</x:v>
      </x:c>
      <x:c r="H155" s="38"/>
      <x:c r="I155" s="39"/>
      <x:c r="J155" s="36" t="str">
        <x:v>Cash savings</x:v>
      </x:c>
      <x:c r="K155" s="38" t="str">
        <x:f>IF(ISNUMBER(I155),I155,IF(OR(NOT(ISNUMBER(H155)),NOT(ISNUMBER(G155)),G155&lt;=0),"",IF(H155/G155&gt;='Score settings'!$B$58,"",IF(J155="Cash savings",H155,IF(J155="Revenue",H155*'Score settings'!$B$55,"")))))</x:f>
      </x:c>
      <x:c r="L155" s="36"/>
      <x:c r="M155" s="39"/>
      <x:c r="N155" s="40"/>
      <x:c r="O155" s="36" t="str">
        <x:v>Must Have</x:v>
      </x:c>
      <x:c r="P155" s="36" t="str">
        <x:v>CI</x:v>
      </x:c>
      <x:c r="Q155" s="36" t="str">
        <x:v>ProcSimp</x:v>
      </x:c>
      <x:c r="R155" s="36" t="str">
        <x:v>NotAssessed</x:v>
      </x:c>
      <x:c r="S155" s="36" t="str"/>
      <x:c r="T155" s="36" t="str">
        <x:v>Common pot</x:v>
      </x:c>
      <x:c r="U155" s="41" t="n">
        <x:f>VLOOKUP("Priority|"&amp;O155,'Score settings'!$A$14:$C$43,2,FALSE)/'Score settings'!$B$4*'Score settings'!$C$4</x:f>
        <x:v>18</x:v>
      </x:c>
      <x:c r="V155" s="41" t="n">
        <x:f>VLOOKUP("Category|"&amp;P155,'Score settings'!$A$14:$C$43,2,FALSE)/'Score settings'!$B$5*'Score settings'!$C$5</x:f>
        <x:v>8</x:v>
      </x:c>
      <x:c r="W155" s="41" t="n">
        <x:f>VLOOKUP("Area|"&amp;Q155,'Score settings'!$A$14:$C$43,2,FALSE)/'Score settings'!$B$6*'Score settings'!$C$6</x:f>
        <x:v>12</x:v>
      </x:c>
      <x:c r="X155" s="41" t="n">
        <x:f>VLOOKUP("Benefits|"&amp;IF(AND(ISNUMBER(H155),H155&gt;0,ISNUMBER(G155),G155&gt;0),IF(H155/G155&gt;='Score settings'!$E$17,"3plus",IF(H155/G155&gt;='Score settings'!$E$16,"1.5to3",IF(H155/G155&gt;='Score settings'!$E$15,"0.5to1.5","positive"))),"None"),'Score settings'!$A$14:$C$43,2,FALSE)/'Score settings'!$B$7*'Score settings'!$C$7</x:f>
        <x:v>5</x:v>
      </x:c>
      <x:c r="Y155" s="41" t="n">
        <x:f>VLOOKUP("Waste|"&amp;R155,'Score settings'!$A$14:$C$43,2,FALSE)/'Score settings'!$B$8*'Score settings'!$C$8</x:f>
        <x:v>7</x:v>
      </x:c>
      <x:c r="Z155" s="41" t="n">
        <x:f>IF(B155="","",SUM(U155:Y155))</x:f>
        <x:v>50</x:v>
      </x:c>
      <x:c r="AA155" s="41" t="str">
        <x:f>IF(Z155="","Not scored",VLOOKUP(Z155,'Score settings'!$A$47:$C$50,2,TRUE))</x:f>
        <x:v>Strong</x:v>
      </x:c>
      <x:c r="AB155" s="41" t="n">
        <x:f>VLOOKUP("Priority|"&amp;O155,'Score settings'!$A$14:$C$43,3,FALSE)/'Score settings'!$B$4*'Score settings'!$D$4</x:f>
        <x:v>10.799999999999999</x:v>
      </x:c>
      <x:c r="AC155" s="41" t="n">
        <x:f>VLOOKUP("Category|"&amp;P155,'Score settings'!$A$14:$C$43,3,FALSE)/'Score settings'!$B$5*'Score settings'!$D$5</x:f>
        <x:v>4</x:v>
      </x:c>
      <x:c r="AD155" s="41" t="n">
        <x:f>VLOOKUP("Area|"&amp;Q155,'Score settings'!$A$14:$C$43,3,FALSE)/'Score settings'!$B$6*'Score settings'!$D$6</x:f>
        <x:v>8</x:v>
      </x:c>
      <x:c r="AE155" s="41" t="n">
        <x:f>VLOOKUP("Benefits|"&amp;IF(AND(ISNUMBER(K155),K155&gt;0,ISNUMBER(G155),G155&gt;0),IF(K155/G155&gt;='Score settings'!$E$17,"3plus",IF(K155/G155&gt;='Score settings'!$E$16,"1.5to3",IF(K155/G155&gt;='Score settings'!$E$15,"0.5to1.5","positive"))),"None"),'Score settings'!$A$14:$C$43,3,FALSE)/'Score settings'!$B$7*'Score settings'!$D$7</x:f>
        <x:v>0</x:v>
      </x:c>
      <x:c r="AF155" s="41" t="n">
        <x:f>VLOOKUP("Waste|"&amp;R155,'Score settings'!$A$14:$C$43,3,FALSE)/'Score settings'!$B$8*'Score settings'!$D$8</x:f>
        <x:v>0</x:v>
      </x:c>
      <x:c r="AG155" s="41" t="n">
        <x:f>(IF(AND(ISNUMBER(M155),M155&gt;0,ISNUMBER(G155),G155&gt;0),IF(M155/G155&gt;='Score settings'!$E$17,'Score settings'!$G$17,IF(M155/G155&gt;='Score settings'!$E$16,'Score settings'!$G$16,IF(M155/G155&gt;='Score settings'!$E$15,'Score settings'!$G$15,'Score settings'!$G$14))),0)/15*'Score settings'!$B$60+IFERROR(VLOOKUP(IF(ISNUMBER(N155),N155,IF(ISNUMBER(L155),L155,0)),'Score settings'!$E$22:$F$26,2,FALSE),0)/10*'Score settings'!$B$61)/'Score settings'!$B$9*'Score settings'!$D$9</x:f>
        <x:v>0</x:v>
      </x:c>
      <x:c r="AH155" s="41" t="n">
        <x:f>IF(B155="","",SUM(AB155:AG155))</x:f>
        <x:v>22.799999999999997</x:v>
      </x:c>
      <x:c r="AI155" s="41" t="str">
        <x:f>IF(NOT(ISNUMBER(AH155)),"Not scored",VLOOKUP(AH155,'Score settings'!$A$47:$C$50,3,TRUE))</x:f>
        <x:v>Weak</x:v>
      </x:c>
      <x:c r="AJ155" s="42" t="n">
        <x:f>IF(OR(NOT(ISNUMBER(AH155)),T155&lt;&gt;"Common pot"),"",COUNTIFS($T$4:$T$509,"Common pot",$AH$4:$AH$509,"&gt;"&amp;AH155)+1)</x:f>
        <x:v>318</x:v>
      </x:c>
      <x:c r="AK155" s="36" t="str">
        <x:f>IF(B155="","Name missing - not scored",IF(OR(NOT(ISNUMBER(G155)),G155&lt;=0),"Investment missing or zero - review",IF(0=1,"Permanent ID missing - reconcile",IF(AND(ISNUMBER(H155),H155/G155&gt;='Score settings'!$B$58,NOT(ISNUMBER(I155))),"Benefit units need review",IF(OR(R155="EXIT",R155="CHALLENGE"),"Waste decision requires scope resolution",IF("No exact waste match"&lt;&gt;"Name and organisation matched","Waste evidence match needs review","Provisional source score - confirm evidence"))))))</x:f>
        <x:v>Waste evidence match needs review</x:v>
      </x:c>
      <x:c r="AL155" s="36"/>
      <x:c r="AM155" s="40"/>
      <x:c r="AN155" s="39"/>
      <x:c r="AO155" s="40"/>
      <x:c r="AP155" s="40"/>
    </x:row>
    <x:row r="156" ht="15" hidden="0" customHeight="1">
      <x:c r="A156" s="36" t="str">
        <x:v>Bu-161</x:v>
      </x:c>
      <x:c r="B156" s="37" t="str">
        <x:v>Spaniel 13 | Mobile MRI Support</x:v>
      </x:c>
      <x:c r="C156" s="36" t="str">
        <x:v>BU Led</x:v>
      </x:c>
      <x:c r="D156" s="36" t="str">
        <x:v>Precision Diagnosis - Magnetic Resonance (MR)</x:v>
      </x:c>
      <x:c r="E156" s="38" t="n">
        <x:v>0.16</x:v>
      </x:c>
      <x:c r="F156" s="39"/>
      <x:c r="G156" s="38" t="n">
        <x:f>IF(ISNUMBER(F156),F156,IF(E156="","",E156))</x:f>
        <x:v>0.16</x:v>
      </x:c>
      <x:c r="H156" s="38"/>
      <x:c r="I156" s="39"/>
      <x:c r="J156" s="36" t="str">
        <x:v>Cash savings</x:v>
      </x:c>
      <x:c r="K156" s="38" t="str">
        <x:f>IF(ISNUMBER(I156),I156,IF(OR(NOT(ISNUMBER(H156)),NOT(ISNUMBER(G156)),G156&lt;=0),"",IF(H156/G156&gt;='Score settings'!$B$58,"",IF(J156="Cash savings",H156,IF(J156="Revenue",H156*'Score settings'!$B$55,"")))))</x:f>
      </x:c>
      <x:c r="L156" s="36"/>
      <x:c r="M156" s="39"/>
      <x:c r="N156" s="40"/>
      <x:c r="O156" s="36" t="str">
        <x:v>Must Do</x:v>
      </x:c>
      <x:c r="P156" s="36" t="str">
        <x:v>CI</x:v>
      </x:c>
      <x:c r="Q156" s="36" t="str">
        <x:v>ProcSimp</x:v>
      </x:c>
      <x:c r="R156" s="36" t="str">
        <x:v>NotAssessed</x:v>
      </x:c>
      <x:c r="S156" s="36" t="str"/>
      <x:c r="T156" s="36" t="str">
        <x:v>Common pot</x:v>
      </x:c>
      <x:c r="U156" s="41" t="n">
        <x:f>VLOOKUP("Priority|"&amp;O156,'Score settings'!$A$14:$C$43,2,FALSE)/'Score settings'!$B$4*'Score settings'!$C$4</x:f>
        <x:v>25</x:v>
      </x:c>
      <x:c r="V156" s="41" t="n">
        <x:f>VLOOKUP("Category|"&amp;P156,'Score settings'!$A$14:$C$43,2,FALSE)/'Score settings'!$B$5*'Score settings'!$C$5</x:f>
        <x:v>8</x:v>
      </x:c>
      <x:c r="W156" s="41" t="n">
        <x:f>VLOOKUP("Area|"&amp;Q156,'Score settings'!$A$14:$C$43,2,FALSE)/'Score settings'!$B$6*'Score settings'!$C$6</x:f>
        <x:v>12</x:v>
      </x:c>
      <x:c r="X156" s="41" t="n">
        <x:f>VLOOKUP("Benefits|"&amp;IF(AND(ISNUMBER(H156),H156&gt;0,ISNUMBER(G156),G156&gt;0),IF(H156/G156&gt;='Score settings'!$E$17,"3plus",IF(H156/G156&gt;='Score settings'!$E$16,"1.5to3",IF(H156/G156&gt;='Score settings'!$E$15,"0.5to1.5","positive"))),"None"),'Score settings'!$A$14:$C$43,2,FALSE)/'Score settings'!$B$7*'Score settings'!$C$7</x:f>
        <x:v>5</x:v>
      </x:c>
      <x:c r="Y156" s="41" t="n">
        <x:f>VLOOKUP("Waste|"&amp;R156,'Score settings'!$A$14:$C$43,2,FALSE)/'Score settings'!$B$8*'Score settings'!$C$8</x:f>
        <x:v>7</x:v>
      </x:c>
      <x:c r="Z156" s="41" t="n">
        <x:f>IF(B156="","",SUM(U156:Y156))</x:f>
        <x:v>57</x:v>
      </x:c>
      <x:c r="AA156" s="41" t="str">
        <x:f>IF(Z156="","Not scored",VLOOKUP(Z156,'Score settings'!$A$47:$C$50,2,TRUE))</x:f>
        <x:v>Strong</x:v>
      </x:c>
      <x:c r="AB156" s="41" t="n">
        <x:f>VLOOKUP("Priority|"&amp;O156,'Score settings'!$A$14:$C$43,3,FALSE)/'Score settings'!$B$4*'Score settings'!$D$4</x:f>
        <x:v>15</x:v>
      </x:c>
      <x:c r="AC156" s="41" t="n">
        <x:f>VLOOKUP("Category|"&amp;P156,'Score settings'!$A$14:$C$43,3,FALSE)/'Score settings'!$B$5*'Score settings'!$D$5</x:f>
        <x:v>4</x:v>
      </x:c>
      <x:c r="AD156" s="41" t="n">
        <x:f>VLOOKUP("Area|"&amp;Q156,'Score settings'!$A$14:$C$43,3,FALSE)/'Score settings'!$B$6*'Score settings'!$D$6</x:f>
        <x:v>8</x:v>
      </x:c>
      <x:c r="AE156" s="41" t="n">
        <x:f>VLOOKUP("Benefits|"&amp;IF(AND(ISNUMBER(K156),K156&gt;0,ISNUMBER(G156),G156&gt;0),IF(K156/G156&gt;='Score settings'!$E$17,"3plus",IF(K156/G156&gt;='Score settings'!$E$16,"1.5to3",IF(K156/G156&gt;='Score settings'!$E$15,"0.5to1.5","positive"))),"None"),'Score settings'!$A$14:$C$43,3,FALSE)/'Score settings'!$B$7*'Score settings'!$D$7</x:f>
        <x:v>0</x:v>
      </x:c>
      <x:c r="AF156" s="41" t="n">
        <x:f>VLOOKUP("Waste|"&amp;R156,'Score settings'!$A$14:$C$43,3,FALSE)/'Score settings'!$B$8*'Score settings'!$D$8</x:f>
        <x:v>0</x:v>
      </x:c>
      <x:c r="AG156" s="41" t="n">
        <x:f>(IF(AND(ISNUMBER(M156),M156&gt;0,ISNUMBER(G156),G156&gt;0),IF(M156/G156&gt;='Score settings'!$E$17,'Score settings'!$G$17,IF(M156/G156&gt;='Score settings'!$E$16,'Score settings'!$G$16,IF(M156/G156&gt;='Score settings'!$E$15,'Score settings'!$G$15,'Score settings'!$G$14))),0)/15*'Score settings'!$B$60+IFERROR(VLOOKUP(IF(ISNUMBER(N156),N156,IF(ISNUMBER(L156),L156,0)),'Score settings'!$E$22:$F$26,2,FALSE),0)/10*'Score settings'!$B$61)/'Score settings'!$B$9*'Score settings'!$D$9</x:f>
        <x:v>0</x:v>
      </x:c>
      <x:c r="AH156" s="41" t="n">
        <x:f>IF(B156="","",SUM(AB156:AG156))</x:f>
        <x:v>27</x:v>
      </x:c>
      <x:c r="AI156" s="41" t="str">
        <x:f>IF(NOT(ISNUMBER(AH156)),"Not scored",VLOOKUP(AH156,'Score settings'!$A$47:$C$50,3,TRUE))</x:f>
        <x:v>Discretionary</x:v>
      </x:c>
      <x:c r="AJ156" s="42" t="n">
        <x:f>IF(OR(NOT(ISNUMBER(AH156)),T156&lt;&gt;"Common pot"),"",COUNTIFS($T$4:$T$509,"Common pot",$AH$4:$AH$509,"&gt;"&amp;AH156)+1)</x:f>
        <x:v>224</x:v>
      </x:c>
      <x:c r="AK156" s="36" t="str">
        <x:f>IF(B156="","Name missing - not scored",IF(OR(NOT(ISNUMBER(G156)),G156&lt;=0),"Investment missing or zero - review",IF(0=1,"Permanent ID missing - reconcile",IF(AND(ISNUMBER(H156),H156/G156&gt;='Score settings'!$B$58,NOT(ISNUMBER(I156))),"Benefit units need review",IF(OR(R156="EXIT",R156="CHALLENGE"),"Waste decision requires scope resolution",IF("Name and organisation matched"&lt;&gt;"Name and organisation matched","Waste evidence match needs review","Provisional source score - confirm evidence"))))))</x:f>
        <x:v>Provisional source score - confirm evidence</x:v>
      </x:c>
      <x:c r="AL156" s="36"/>
      <x:c r="AM156" s="40"/>
      <x:c r="AN156" s="39"/>
      <x:c r="AO156" s="40"/>
      <x:c r="AP156" s="40"/>
    </x:row>
    <x:row r="157" ht="15" hidden="0" customHeight="1">
      <x:c r="A157" s="36" t="str">
        <x:v>Bu-162</x:v>
      </x:c>
      <x:c r="B157" s="37" t="str">
        <x:v>Spaniel 12 | MR subscription for Indirect channel</x:v>
      </x:c>
      <x:c r="C157" s="36" t="str">
        <x:v>BU Led</x:v>
      </x:c>
      <x:c r="D157" s="36" t="str">
        <x:v>Precision Diagnosis - Magnetic Resonance (MR)</x:v>
      </x:c>
      <x:c r="E157" s="38" t="n">
        <x:v>0.05</x:v>
      </x:c>
      <x:c r="F157" s="39"/>
      <x:c r="G157" s="38" t="n">
        <x:f>IF(ISNUMBER(F157),F157,IF(E157="","",E157))</x:f>
        <x:v>0.05</x:v>
      </x:c>
      <x:c r="H157" s="38"/>
      <x:c r="I157" s="39"/>
      <x:c r="J157" s="36" t="str">
        <x:v>Revenue</x:v>
      </x:c>
      <x:c r="K157" s="38" t="str">
        <x:f>IF(ISNUMBER(I157),I157,IF(OR(NOT(ISNUMBER(H157)),NOT(ISNUMBER(G157)),G157&lt;=0),"",IF(H157/G157&gt;='Score settings'!$B$58,"",IF(J157="Cash savings",H157,IF(J157="Revenue",H157*'Score settings'!$B$55,"")))))</x:f>
      </x:c>
      <x:c r="L157" s="36"/>
      <x:c r="M157" s="39"/>
      <x:c r="N157" s="40"/>
      <x:c r="O157" s="36" t="str">
        <x:v>Must Do</x:v>
      </x:c>
      <x:c r="P157" s="36" t="str">
        <x:v>NewFeat</x:v>
      </x:c>
      <x:c r="Q157" s="36" t="str">
        <x:v>Revenue</x:v>
      </x:c>
      <x:c r="R157" s="36" t="str">
        <x:v>NotAssessed</x:v>
      </x:c>
      <x:c r="S157" s="36" t="str"/>
      <x:c r="T157" s="36" t="str">
        <x:v>Common pot</x:v>
      </x:c>
      <x:c r="U157" s="41" t="n">
        <x:f>VLOOKUP("Priority|"&amp;O157,'Score settings'!$A$14:$C$43,2,FALSE)/'Score settings'!$B$4*'Score settings'!$C$4</x:f>
        <x:v>25</x:v>
      </x:c>
      <x:c r="V157" s="41" t="n">
        <x:f>VLOOKUP("Category|"&amp;P157,'Score settings'!$A$14:$C$43,2,FALSE)/'Score settings'!$B$5*'Score settings'!$C$5</x:f>
        <x:v>6</x:v>
      </x:c>
      <x:c r="W157" s="41" t="n">
        <x:f>VLOOKUP("Area|"&amp;Q157,'Score settings'!$A$14:$C$43,2,FALSE)/'Score settings'!$B$6*'Score settings'!$C$6</x:f>
        <x:v>11</x:v>
      </x:c>
      <x:c r="X157" s="41" t="n">
        <x:f>VLOOKUP("Benefits|"&amp;IF(AND(ISNUMBER(H157),H157&gt;0,ISNUMBER(G157),G157&gt;0),IF(H157/G157&gt;='Score settings'!$E$17,"3plus",IF(H157/G157&gt;='Score settings'!$E$16,"1.5to3",IF(H157/G157&gt;='Score settings'!$E$15,"0.5to1.5","positive"))),"None"),'Score settings'!$A$14:$C$43,2,FALSE)/'Score settings'!$B$7*'Score settings'!$C$7</x:f>
        <x:v>5</x:v>
      </x:c>
      <x:c r="Y157" s="41" t="n">
        <x:f>VLOOKUP("Waste|"&amp;R157,'Score settings'!$A$14:$C$43,2,FALSE)/'Score settings'!$B$8*'Score settings'!$C$8</x:f>
        <x:v>7</x:v>
      </x:c>
      <x:c r="Z157" s="41" t="n">
        <x:f>IF(B157="","",SUM(U157:Y157))</x:f>
        <x:v>54</x:v>
      </x:c>
      <x:c r="AA157" s="41" t="str">
        <x:f>IF(Z157="","Not scored",VLOOKUP(Z157,'Score settings'!$A$47:$C$50,2,TRUE))</x:f>
        <x:v>Strong</x:v>
      </x:c>
      <x:c r="AB157" s="41" t="n">
        <x:f>VLOOKUP("Priority|"&amp;O157,'Score settings'!$A$14:$C$43,3,FALSE)/'Score settings'!$B$4*'Score settings'!$D$4</x:f>
        <x:v>15</x:v>
      </x:c>
      <x:c r="AC157" s="41" t="n">
        <x:f>VLOOKUP("Category|"&amp;P157,'Score settings'!$A$14:$C$43,3,FALSE)/'Score settings'!$B$5*'Score settings'!$D$5</x:f>
        <x:v>3</x:v>
      </x:c>
      <x:c r="AD157" s="41" t="n">
        <x:f>VLOOKUP("Area|"&amp;Q157,'Score settings'!$A$14:$C$43,3,FALSE)/'Score settings'!$B$6*'Score settings'!$D$6</x:f>
        <x:v>7.333333333333333</x:v>
      </x:c>
      <x:c r="AE157" s="41" t="n">
        <x:f>VLOOKUP("Benefits|"&amp;IF(AND(ISNUMBER(K157),K157&gt;0,ISNUMBER(G157),G157&gt;0),IF(K157/G157&gt;='Score settings'!$E$17,"3plus",IF(K157/G157&gt;='Score settings'!$E$16,"1.5to3",IF(K157/G157&gt;='Score settings'!$E$15,"0.5to1.5","positive"))),"None"),'Score settings'!$A$14:$C$43,3,FALSE)/'Score settings'!$B$7*'Score settings'!$D$7</x:f>
        <x:v>0</x:v>
      </x:c>
      <x:c r="AF157" s="41" t="n">
        <x:f>VLOOKUP("Waste|"&amp;R157,'Score settings'!$A$14:$C$43,3,FALSE)/'Score settings'!$B$8*'Score settings'!$D$8</x:f>
        <x:v>0</x:v>
      </x:c>
      <x:c r="AG157" s="41" t="n">
        <x:f>(IF(AND(ISNUMBER(M157),M157&gt;0,ISNUMBER(G157),G157&gt;0),IF(M157/G157&gt;='Score settings'!$E$17,'Score settings'!$G$17,IF(M157/G157&gt;='Score settings'!$E$16,'Score settings'!$G$16,IF(M157/G157&gt;='Score settings'!$E$15,'Score settings'!$G$15,'Score settings'!$G$14))),0)/15*'Score settings'!$B$60+IFERROR(VLOOKUP(IF(ISNUMBER(N157),N157,IF(ISNUMBER(L157),L157,0)),'Score settings'!$E$22:$F$26,2,FALSE),0)/10*'Score settings'!$B$61)/'Score settings'!$B$9*'Score settings'!$D$9</x:f>
        <x:v>0</x:v>
      </x:c>
      <x:c r="AH157" s="41" t="n">
        <x:f>IF(B157="","",SUM(AB157:AG157))</x:f>
        <x:v>25.333333333333332</x:v>
      </x:c>
      <x:c r="AI157" s="41" t="str">
        <x:f>IF(NOT(ISNUMBER(AH157)),"Not scored",VLOOKUP(AH157,'Score settings'!$A$47:$C$50,3,TRUE))</x:f>
        <x:v>Discretionary</x:v>
      </x:c>
      <x:c r="AJ157" s="42" t="n">
        <x:f>IF(OR(NOT(ISNUMBER(AH157)),T157&lt;&gt;"Common pot"),"",COUNTIFS($T$4:$T$509,"Common pot",$AH$4:$AH$509,"&gt;"&amp;AH157)+1)</x:f>
        <x:v>253</x:v>
      </x:c>
      <x:c r="AK157" s="36" t="str">
        <x:f>IF(B157="","Name missing - not scored",IF(OR(NOT(ISNUMBER(G157)),G157&lt;=0),"Investment missing or zero - review",IF(0=1,"Permanent ID missing - reconcile",IF(AND(ISNUMBER(H157),H157/G157&gt;='Score settings'!$B$58,NOT(ISNUMBER(I157))),"Benefit units need review",IF(OR(R157="EXIT",R157="CHALLENGE"),"Waste decision requires scope resolution",IF("Name and organisation matched"&lt;&gt;"Name and organisation matched","Waste evidence match needs review","Provisional source score - confirm evidence"))))))</x:f>
        <x:v>Provisional source score - confirm evidence</x:v>
      </x:c>
      <x:c r="AL157" s="36"/>
      <x:c r="AM157" s="40"/>
      <x:c r="AN157" s="39"/>
      <x:c r="AO157" s="40"/>
      <x:c r="AP157" s="40"/>
    </x:row>
    <x:row r="158" ht="15" hidden="0" customHeight="1">
      <x:c r="A158" s="36" t="str">
        <x:v>Bu-163</x:v>
      </x:c>
      <x:c r="B158" s="37" t="str">
        <x:v>Sales Text | VSM &amp; PS | Sales text process E2E</x:v>
      </x:c>
      <x:c r="C158" s="36" t="str">
        <x:v>BU Led</x:v>
      </x:c>
      <x:c r="D158" s="36" t="str">
        <x:v>Precision Diagnosis - Magnetic Resonance (MR)</x:v>
      </x:c>
      <x:c r="E158" s="38" t="n">
        <x:v>0.15</x:v>
      </x:c>
      <x:c r="F158" s="39"/>
      <x:c r="G158" s="38" t="n">
        <x:f>IF(ISNUMBER(F158),F158,IF(E158="","",E158))</x:f>
        <x:v>0.15</x:v>
      </x:c>
      <x:c r="H158" s="38"/>
      <x:c r="I158" s="39"/>
      <x:c r="J158" s="36" t="str">
        <x:v>Cash savings</x:v>
      </x:c>
      <x:c r="K158" s="38" t="str">
        <x:f>IF(ISNUMBER(I158),I158,IF(OR(NOT(ISNUMBER(H158)),NOT(ISNUMBER(G158)),G158&lt;=0),"",IF(H158/G158&gt;='Score settings'!$B$58,"",IF(J158="Cash savings",H158,IF(J158="Revenue",H158*'Score settings'!$B$55,"")))))</x:f>
      </x:c>
      <x:c r="L158" s="36"/>
      <x:c r="M158" s="39"/>
      <x:c r="N158" s="40"/>
      <x:c r="O158" s="36" t="str">
        <x:v>Must Have</x:v>
      </x:c>
      <x:c r="P158" s="36" t="str">
        <x:v>CI</x:v>
      </x:c>
      <x:c r="Q158" s="36" t="str">
        <x:v>ProcSimp</x:v>
      </x:c>
      <x:c r="R158" s="36" t="str">
        <x:v>NotAssessed</x:v>
      </x:c>
      <x:c r="S158" s="36" t="str"/>
      <x:c r="T158" s="36" t="str">
        <x:v>Common pot</x:v>
      </x:c>
      <x:c r="U158" s="41" t="n">
        <x:f>VLOOKUP("Priority|"&amp;O158,'Score settings'!$A$14:$C$43,2,FALSE)/'Score settings'!$B$4*'Score settings'!$C$4</x:f>
        <x:v>18</x:v>
      </x:c>
      <x:c r="V158" s="41" t="n">
        <x:f>VLOOKUP("Category|"&amp;P158,'Score settings'!$A$14:$C$43,2,FALSE)/'Score settings'!$B$5*'Score settings'!$C$5</x:f>
        <x:v>8</x:v>
      </x:c>
      <x:c r="W158" s="41" t="n">
        <x:f>VLOOKUP("Area|"&amp;Q158,'Score settings'!$A$14:$C$43,2,FALSE)/'Score settings'!$B$6*'Score settings'!$C$6</x:f>
        <x:v>12</x:v>
      </x:c>
      <x:c r="X158" s="41" t="n">
        <x:f>VLOOKUP("Benefits|"&amp;IF(AND(ISNUMBER(H158),H158&gt;0,ISNUMBER(G158),G158&gt;0),IF(H158/G158&gt;='Score settings'!$E$17,"3plus",IF(H158/G158&gt;='Score settings'!$E$16,"1.5to3",IF(H158/G158&gt;='Score settings'!$E$15,"0.5to1.5","positive"))),"None"),'Score settings'!$A$14:$C$43,2,FALSE)/'Score settings'!$B$7*'Score settings'!$C$7</x:f>
        <x:v>5</x:v>
      </x:c>
      <x:c r="Y158" s="41" t="n">
        <x:f>VLOOKUP("Waste|"&amp;R158,'Score settings'!$A$14:$C$43,2,FALSE)/'Score settings'!$B$8*'Score settings'!$C$8</x:f>
        <x:v>7</x:v>
      </x:c>
      <x:c r="Z158" s="41" t="n">
        <x:f>IF(B158="","",SUM(U158:Y158))</x:f>
        <x:v>50</x:v>
      </x:c>
      <x:c r="AA158" s="41" t="str">
        <x:f>IF(Z158="","Not scored",VLOOKUP(Z158,'Score settings'!$A$47:$C$50,2,TRUE))</x:f>
        <x:v>Strong</x:v>
      </x:c>
      <x:c r="AB158" s="41" t="n">
        <x:f>VLOOKUP("Priority|"&amp;O158,'Score settings'!$A$14:$C$43,3,FALSE)/'Score settings'!$B$4*'Score settings'!$D$4</x:f>
        <x:v>10.799999999999999</x:v>
      </x:c>
      <x:c r="AC158" s="41" t="n">
        <x:f>VLOOKUP("Category|"&amp;P158,'Score settings'!$A$14:$C$43,3,FALSE)/'Score settings'!$B$5*'Score settings'!$D$5</x:f>
        <x:v>4</x:v>
      </x:c>
      <x:c r="AD158" s="41" t="n">
        <x:f>VLOOKUP("Area|"&amp;Q158,'Score settings'!$A$14:$C$43,3,FALSE)/'Score settings'!$B$6*'Score settings'!$D$6</x:f>
        <x:v>8</x:v>
      </x:c>
      <x:c r="AE158" s="41" t="n">
        <x:f>VLOOKUP("Benefits|"&amp;IF(AND(ISNUMBER(K158),K158&gt;0,ISNUMBER(G158),G158&gt;0),IF(K158/G158&gt;='Score settings'!$E$17,"3plus",IF(K158/G158&gt;='Score settings'!$E$16,"1.5to3",IF(K158/G158&gt;='Score settings'!$E$15,"0.5to1.5","positive"))),"None"),'Score settings'!$A$14:$C$43,3,FALSE)/'Score settings'!$B$7*'Score settings'!$D$7</x:f>
        <x:v>0</x:v>
      </x:c>
      <x:c r="AF158" s="41" t="n">
        <x:f>VLOOKUP("Waste|"&amp;R158,'Score settings'!$A$14:$C$43,3,FALSE)/'Score settings'!$B$8*'Score settings'!$D$8</x:f>
        <x:v>0</x:v>
      </x:c>
      <x:c r="AG158" s="41" t="n">
        <x:f>(IF(AND(ISNUMBER(M158),M158&gt;0,ISNUMBER(G158),G158&gt;0),IF(M158/G158&gt;='Score settings'!$E$17,'Score settings'!$G$17,IF(M158/G158&gt;='Score settings'!$E$16,'Score settings'!$G$16,IF(M158/G158&gt;='Score settings'!$E$15,'Score settings'!$G$15,'Score settings'!$G$14))),0)/15*'Score settings'!$B$60+IFERROR(VLOOKUP(IF(ISNUMBER(N158),N158,IF(ISNUMBER(L158),L158,0)),'Score settings'!$E$22:$F$26,2,FALSE),0)/10*'Score settings'!$B$61)/'Score settings'!$B$9*'Score settings'!$D$9</x:f>
        <x:v>0</x:v>
      </x:c>
      <x:c r="AH158" s="41" t="n">
        <x:f>IF(B158="","",SUM(AB158:AG158))</x:f>
        <x:v>22.799999999999997</x:v>
      </x:c>
      <x:c r="AI158" s="41" t="str">
        <x:f>IF(NOT(ISNUMBER(AH158)),"Not scored",VLOOKUP(AH158,'Score settings'!$A$47:$C$50,3,TRUE))</x:f>
        <x:v>Weak</x:v>
      </x:c>
      <x:c r="AJ158" s="42" t="n">
        <x:f>IF(OR(NOT(ISNUMBER(AH158)),T158&lt;&gt;"Common pot"),"",COUNTIFS($T$4:$T$509,"Common pot",$AH$4:$AH$509,"&gt;"&amp;AH158)+1)</x:f>
        <x:v>318</x:v>
      </x:c>
      <x:c r="AK158" s="36" t="str">
        <x:f>IF(B158="","Name missing - not scored",IF(OR(NOT(ISNUMBER(G158)),G158&lt;=0),"Investment missing or zero - review",IF(0=1,"Permanent ID missing - reconcile",IF(AND(ISNUMBER(H158),H158/G158&gt;='Score settings'!$B$58,NOT(ISNUMBER(I158))),"Benefit units need review",IF(OR(R158="EXIT",R158="CHALLENGE"),"Waste decision requires scope resolution",IF("Name and organisation matched"&lt;&gt;"Name and organisation matched","Waste evidence match needs review","Provisional source score - confirm evidence"))))))</x:f>
        <x:v>Provisional source score - confirm evidence</x:v>
      </x:c>
      <x:c r="AL158" s="36"/>
      <x:c r="AM158" s="40"/>
      <x:c r="AN158" s="39"/>
      <x:c r="AO158" s="40"/>
      <x:c r="AP158" s="40"/>
    </x:row>
    <x:row r="159" ht="15" hidden="0" customHeight="1">
      <x:c r="A159" s="36" t="str">
        <x:v>Bu-164</x:v>
      </x:c>
      <x:c r="B159" s="37" t="str">
        <x:v>Commercial Catalogue | 6NCs optimization | Solution for GTIN</x:v>
      </x:c>
      <x:c r="C159" s="36" t="str">
        <x:v>BU Led</x:v>
      </x:c>
      <x:c r="D159" s="36" t="str">
        <x:v>Precision Diagnosis - Magnetic Resonance (MR)</x:v>
      </x:c>
      <x:c r="E159" s="38" t="n">
        <x:v>0.2</x:v>
      </x:c>
      <x:c r="F159" s="39"/>
      <x:c r="G159" s="38" t="n">
        <x:f>IF(ISNUMBER(F159),F159,IF(E159="","",E159))</x:f>
        <x:v>0.2</x:v>
      </x:c>
      <x:c r="H159" s="38"/>
      <x:c r="I159" s="39"/>
      <x:c r="J159" s="36" t="str">
        <x:v>Cash savings</x:v>
      </x:c>
      <x:c r="K159" s="38" t="str">
        <x:f>IF(ISNUMBER(I159),I159,IF(OR(NOT(ISNUMBER(H159)),NOT(ISNUMBER(G159)),G159&lt;=0),"",IF(H159/G159&gt;='Score settings'!$B$58,"",IF(J159="Cash savings",H159,IF(J159="Revenue",H159*'Score settings'!$B$55,"")))))</x:f>
      </x:c>
      <x:c r="L159" s="36"/>
      <x:c r="M159" s="39"/>
      <x:c r="N159" s="40"/>
      <x:c r="O159" s="36" t="str">
        <x:v>Must Do</x:v>
      </x:c>
      <x:c r="P159" s="36" t="str">
        <x:v>NewFeat</x:v>
      </x:c>
      <x:c r="Q159" s="36" t="str">
        <x:v>ProcSimp</x:v>
      </x:c>
      <x:c r="R159" s="36" t="str">
        <x:v>NotAssessed</x:v>
      </x:c>
      <x:c r="S159" s="36" t="str"/>
      <x:c r="T159" s="36" t="str">
        <x:v>Common pot</x:v>
      </x:c>
      <x:c r="U159" s="41" t="n">
        <x:f>VLOOKUP("Priority|"&amp;O159,'Score settings'!$A$14:$C$43,2,FALSE)/'Score settings'!$B$4*'Score settings'!$C$4</x:f>
        <x:v>25</x:v>
      </x:c>
      <x:c r="V159" s="41" t="n">
        <x:f>VLOOKUP("Category|"&amp;P159,'Score settings'!$A$14:$C$43,2,FALSE)/'Score settings'!$B$5*'Score settings'!$C$5</x:f>
        <x:v>6</x:v>
      </x:c>
      <x:c r="W159" s="41" t="n">
        <x:f>VLOOKUP("Area|"&amp;Q159,'Score settings'!$A$14:$C$43,2,FALSE)/'Score settings'!$B$6*'Score settings'!$C$6</x:f>
        <x:v>12</x:v>
      </x:c>
      <x:c r="X159" s="41" t="n">
        <x:f>VLOOKUP("Benefits|"&amp;IF(AND(ISNUMBER(H159),H159&gt;0,ISNUMBER(G159),G159&gt;0),IF(H159/G159&gt;='Score settings'!$E$17,"3plus",IF(H159/G159&gt;='Score settings'!$E$16,"1.5to3",IF(H159/G159&gt;='Score settings'!$E$15,"0.5to1.5","positive"))),"None"),'Score settings'!$A$14:$C$43,2,FALSE)/'Score settings'!$B$7*'Score settings'!$C$7</x:f>
        <x:v>5</x:v>
      </x:c>
      <x:c r="Y159" s="41" t="n">
        <x:f>VLOOKUP("Waste|"&amp;R159,'Score settings'!$A$14:$C$43,2,FALSE)/'Score settings'!$B$8*'Score settings'!$C$8</x:f>
        <x:v>7</x:v>
      </x:c>
      <x:c r="Z159" s="41" t="n">
        <x:f>IF(B159="","",SUM(U159:Y159))</x:f>
        <x:v>55</x:v>
      </x:c>
      <x:c r="AA159" s="41" t="str">
        <x:f>IF(Z159="","Not scored",VLOOKUP(Z159,'Score settings'!$A$47:$C$50,2,TRUE))</x:f>
        <x:v>Strong</x:v>
      </x:c>
      <x:c r="AB159" s="41" t="n">
        <x:f>VLOOKUP("Priority|"&amp;O159,'Score settings'!$A$14:$C$43,3,FALSE)/'Score settings'!$B$4*'Score settings'!$D$4</x:f>
        <x:v>15</x:v>
      </x:c>
      <x:c r="AC159" s="41" t="n">
        <x:f>VLOOKUP("Category|"&amp;P159,'Score settings'!$A$14:$C$43,3,FALSE)/'Score settings'!$B$5*'Score settings'!$D$5</x:f>
        <x:v>3</x:v>
      </x:c>
      <x:c r="AD159" s="41" t="n">
        <x:f>VLOOKUP("Area|"&amp;Q159,'Score settings'!$A$14:$C$43,3,FALSE)/'Score settings'!$B$6*'Score settings'!$D$6</x:f>
        <x:v>8</x:v>
      </x:c>
      <x:c r="AE159" s="41" t="n">
        <x:f>VLOOKUP("Benefits|"&amp;IF(AND(ISNUMBER(K159),K159&gt;0,ISNUMBER(G159),G159&gt;0),IF(K159/G159&gt;='Score settings'!$E$17,"3plus",IF(K159/G159&gt;='Score settings'!$E$16,"1.5to3",IF(K159/G159&gt;='Score settings'!$E$15,"0.5to1.5","positive"))),"None"),'Score settings'!$A$14:$C$43,3,FALSE)/'Score settings'!$B$7*'Score settings'!$D$7</x:f>
        <x:v>0</x:v>
      </x:c>
      <x:c r="AF159" s="41" t="n">
        <x:f>VLOOKUP("Waste|"&amp;R159,'Score settings'!$A$14:$C$43,3,FALSE)/'Score settings'!$B$8*'Score settings'!$D$8</x:f>
        <x:v>0</x:v>
      </x:c>
      <x:c r="AG159" s="41" t="n">
        <x:f>(IF(AND(ISNUMBER(M159),M159&gt;0,ISNUMBER(G159),G159&gt;0),IF(M159/G159&gt;='Score settings'!$E$17,'Score settings'!$G$17,IF(M159/G159&gt;='Score settings'!$E$16,'Score settings'!$G$16,IF(M159/G159&gt;='Score settings'!$E$15,'Score settings'!$G$15,'Score settings'!$G$14))),0)/15*'Score settings'!$B$60+IFERROR(VLOOKUP(IF(ISNUMBER(N159),N159,IF(ISNUMBER(L159),L159,0)),'Score settings'!$E$22:$F$26,2,FALSE),0)/10*'Score settings'!$B$61)/'Score settings'!$B$9*'Score settings'!$D$9</x:f>
        <x:v>0</x:v>
      </x:c>
      <x:c r="AH159" s="41" t="n">
        <x:f>IF(B159="","",SUM(AB159:AG159))</x:f>
        <x:v>26</x:v>
      </x:c>
      <x:c r="AI159" s="41" t="str">
        <x:f>IF(NOT(ISNUMBER(AH159)),"Not scored",VLOOKUP(AH159,'Score settings'!$A$47:$C$50,3,TRUE))</x:f>
        <x:v>Discretionary</x:v>
      </x:c>
      <x:c r="AJ159" s="42" t="n">
        <x:f>IF(OR(NOT(ISNUMBER(AH159)),T159&lt;&gt;"Common pot"),"",COUNTIFS($T$4:$T$509,"Common pot",$AH$4:$AH$509,"&gt;"&amp;AH159)+1)</x:f>
        <x:v>237</x:v>
      </x:c>
      <x:c r="AK159" s="36" t="str">
        <x:f>IF(B159="","Name missing - not scored",IF(OR(NOT(ISNUMBER(G159)),G159&lt;=0),"Investment missing or zero - review",IF(0=1,"Permanent ID missing - reconcile",IF(AND(ISNUMBER(H159),H159/G159&gt;='Score settings'!$B$58,NOT(ISNUMBER(I159))),"Benefit units need review",IF(OR(R159="EXIT",R159="CHALLENGE"),"Waste decision requires scope resolution",IF("Name and organisation matched"&lt;&gt;"Name and organisation matched","Waste evidence match needs review","Provisional source score - confirm evidence"))))))</x:f>
        <x:v>Provisional source score - confirm evidence</x:v>
      </x:c>
      <x:c r="AL159" s="36"/>
      <x:c r="AM159" s="40"/>
      <x:c r="AN159" s="39"/>
      <x:c r="AO159" s="40"/>
      <x:c r="AP159" s="40"/>
    </x:row>
    <x:row r="160" ht="15" hidden="0" customHeight="1">
      <x:c r="A160" s="36" t="str">
        <x:v>Bu-165</x:v>
      </x:c>
      <x:c r="B160" s="37" t="str">
        <x:v>Spaniel 4 &amp; 5 | 3P SW PPP Business Model Archetype MVP </x:v>
      </x:c>
      <x:c r="C160" s="36" t="str">
        <x:v>BU Led</x:v>
      </x:c>
      <x:c r="D160" s="36" t="str">
        <x:v>Precision Diagnosis - Magnetic Resonance (MR)</x:v>
      </x:c>
      <x:c r="E160" s="38" t="n">
        <x:v>0.25</x:v>
      </x:c>
      <x:c r="F160" s="39"/>
      <x:c r="G160" s="38" t="n">
        <x:f>IF(ISNUMBER(F160),F160,IF(E160="","",E160))</x:f>
        <x:v>0.25</x:v>
      </x:c>
      <x:c r="H160" s="38"/>
      <x:c r="I160" s="39"/>
      <x:c r="J160" s="36" t="str">
        <x:v>Cash savings</x:v>
      </x:c>
      <x:c r="K160" s="38" t="str">
        <x:f>IF(ISNUMBER(I160),I160,IF(OR(NOT(ISNUMBER(H160)),NOT(ISNUMBER(G160)),G160&lt;=0),"",IF(H160/G160&gt;='Score settings'!$B$58,"",IF(J160="Cash savings",H160,IF(J160="Revenue",H160*'Score settings'!$B$55,"")))))</x:f>
      </x:c>
      <x:c r="L160" s="36"/>
      <x:c r="M160" s="39"/>
      <x:c r="N160" s="40"/>
      <x:c r="O160" s="36" t="str">
        <x:v>Must Do</x:v>
      </x:c>
      <x:c r="P160" s="36" t="str">
        <x:v>NewFeat</x:v>
      </x:c>
      <x:c r="Q160" s="36" t="str">
        <x:v>ProcSimp</x:v>
      </x:c>
      <x:c r="R160" s="36" t="str">
        <x:v>NotAssessed</x:v>
      </x:c>
      <x:c r="S160" s="36" t="str"/>
      <x:c r="T160" s="36" t="str">
        <x:v>Common pot</x:v>
      </x:c>
      <x:c r="U160" s="41" t="n">
        <x:f>VLOOKUP("Priority|"&amp;O160,'Score settings'!$A$14:$C$43,2,FALSE)/'Score settings'!$B$4*'Score settings'!$C$4</x:f>
        <x:v>25</x:v>
      </x:c>
      <x:c r="V160" s="41" t="n">
        <x:f>VLOOKUP("Category|"&amp;P160,'Score settings'!$A$14:$C$43,2,FALSE)/'Score settings'!$B$5*'Score settings'!$C$5</x:f>
        <x:v>6</x:v>
      </x:c>
      <x:c r="W160" s="41" t="n">
        <x:f>VLOOKUP("Area|"&amp;Q160,'Score settings'!$A$14:$C$43,2,FALSE)/'Score settings'!$B$6*'Score settings'!$C$6</x:f>
        <x:v>12</x:v>
      </x:c>
      <x:c r="X160" s="41" t="n">
        <x:f>VLOOKUP("Benefits|"&amp;IF(AND(ISNUMBER(H160),H160&gt;0,ISNUMBER(G160),G160&gt;0),IF(H160/G160&gt;='Score settings'!$E$17,"3plus",IF(H160/G160&gt;='Score settings'!$E$16,"1.5to3",IF(H160/G160&gt;='Score settings'!$E$15,"0.5to1.5","positive"))),"None"),'Score settings'!$A$14:$C$43,2,FALSE)/'Score settings'!$B$7*'Score settings'!$C$7</x:f>
        <x:v>5</x:v>
      </x:c>
      <x:c r="Y160" s="41" t="n">
        <x:f>VLOOKUP("Waste|"&amp;R160,'Score settings'!$A$14:$C$43,2,FALSE)/'Score settings'!$B$8*'Score settings'!$C$8</x:f>
        <x:v>7</x:v>
      </x:c>
      <x:c r="Z160" s="41" t="n">
        <x:f>IF(B160="","",SUM(U160:Y160))</x:f>
        <x:v>55</x:v>
      </x:c>
      <x:c r="AA160" s="41" t="str">
        <x:f>IF(Z160="","Not scored",VLOOKUP(Z160,'Score settings'!$A$47:$C$50,2,TRUE))</x:f>
        <x:v>Strong</x:v>
      </x:c>
      <x:c r="AB160" s="41" t="n">
        <x:f>VLOOKUP("Priority|"&amp;O160,'Score settings'!$A$14:$C$43,3,FALSE)/'Score settings'!$B$4*'Score settings'!$D$4</x:f>
        <x:v>15</x:v>
      </x:c>
      <x:c r="AC160" s="41" t="n">
        <x:f>VLOOKUP("Category|"&amp;P160,'Score settings'!$A$14:$C$43,3,FALSE)/'Score settings'!$B$5*'Score settings'!$D$5</x:f>
        <x:v>3</x:v>
      </x:c>
      <x:c r="AD160" s="41" t="n">
        <x:f>VLOOKUP("Area|"&amp;Q160,'Score settings'!$A$14:$C$43,3,FALSE)/'Score settings'!$B$6*'Score settings'!$D$6</x:f>
        <x:v>8</x:v>
      </x:c>
      <x:c r="AE160" s="41" t="n">
        <x:f>VLOOKUP("Benefits|"&amp;IF(AND(ISNUMBER(K160),K160&gt;0,ISNUMBER(G160),G160&gt;0),IF(K160/G160&gt;='Score settings'!$E$17,"3plus",IF(K160/G160&gt;='Score settings'!$E$16,"1.5to3",IF(K160/G160&gt;='Score settings'!$E$15,"0.5to1.5","positive"))),"None"),'Score settings'!$A$14:$C$43,3,FALSE)/'Score settings'!$B$7*'Score settings'!$D$7</x:f>
        <x:v>0</x:v>
      </x:c>
      <x:c r="AF160" s="41" t="n">
        <x:f>VLOOKUP("Waste|"&amp;R160,'Score settings'!$A$14:$C$43,3,FALSE)/'Score settings'!$B$8*'Score settings'!$D$8</x:f>
        <x:v>0</x:v>
      </x:c>
      <x:c r="AG160" s="41" t="n">
        <x:f>(IF(AND(ISNUMBER(M160),M160&gt;0,ISNUMBER(G160),G160&gt;0),IF(M160/G160&gt;='Score settings'!$E$17,'Score settings'!$G$17,IF(M160/G160&gt;='Score settings'!$E$16,'Score settings'!$G$16,IF(M160/G160&gt;='Score settings'!$E$15,'Score settings'!$G$15,'Score settings'!$G$14))),0)/15*'Score settings'!$B$60+IFERROR(VLOOKUP(IF(ISNUMBER(N160),N160,IF(ISNUMBER(L160),L160,0)),'Score settings'!$E$22:$F$26,2,FALSE),0)/10*'Score settings'!$B$61)/'Score settings'!$B$9*'Score settings'!$D$9</x:f>
        <x:v>0</x:v>
      </x:c>
      <x:c r="AH160" s="41" t="n">
        <x:f>IF(B160="","",SUM(AB160:AG160))</x:f>
        <x:v>26</x:v>
      </x:c>
      <x:c r="AI160" s="41" t="str">
        <x:f>IF(NOT(ISNUMBER(AH160)),"Not scored",VLOOKUP(AH160,'Score settings'!$A$47:$C$50,3,TRUE))</x:f>
        <x:v>Discretionary</x:v>
      </x:c>
      <x:c r="AJ160" s="42" t="n">
        <x:f>IF(OR(NOT(ISNUMBER(AH160)),T160&lt;&gt;"Common pot"),"",COUNTIFS($T$4:$T$509,"Common pot",$AH$4:$AH$509,"&gt;"&amp;AH160)+1)</x:f>
        <x:v>237</x:v>
      </x:c>
      <x:c r="AK160" s="36" t="str">
        <x:f>IF(B160="","Name missing - not scored",IF(OR(NOT(ISNUMBER(G160)),G160&lt;=0),"Investment missing or zero - review",IF(0=1,"Permanent ID missing - reconcile",IF(AND(ISNUMBER(H160),H160/G160&gt;='Score settings'!$B$58,NOT(ISNUMBER(I160))),"Benefit units need review",IF(OR(R160="EXIT",R160="CHALLENGE"),"Waste decision requires scope resolution",IF("Name and organisation matched"&lt;&gt;"Name and organisation matched","Waste evidence match needs review","Provisional source score - confirm evidence"))))))</x:f>
        <x:v>Provisional source score - confirm evidence</x:v>
      </x:c>
      <x:c r="AL160" s="36"/>
      <x:c r="AM160" s="40"/>
      <x:c r="AN160" s="39"/>
      <x:c r="AO160" s="40"/>
      <x:c r="AP160" s="40"/>
    </x:row>
    <x:row r="161" ht="15" hidden="0" customHeight="1">
      <x:c r="A161" s="36" t="str">
        <x:v>Bu-166</x:v>
      </x:c>
      <x:c r="B161" s="37" t="str">
        <x:v>Pricing | Pricing tooling maturity assessment - Road-map</x:v>
      </x:c>
      <x:c r="C161" s="36" t="str">
        <x:v>BU Led</x:v>
      </x:c>
      <x:c r="D161" s="36" t="str">
        <x:v>Precision Diagnosis - Magnetic Resonance (MR)</x:v>
      </x:c>
      <x:c r="E161" s="38" t="n">
        <x:v>0.05</x:v>
      </x:c>
      <x:c r="F161" s="39"/>
      <x:c r="G161" s="38" t="n">
        <x:f>IF(ISNUMBER(F161),F161,IF(E161="","",E161))</x:f>
        <x:v>0.05</x:v>
      </x:c>
      <x:c r="H161" s="38"/>
      <x:c r="I161" s="39"/>
      <x:c r="J161" s="36" t="str">
        <x:v>Risk exposure</x:v>
      </x:c>
      <x:c r="K161" s="38" t="str">
        <x:f>IF(ISNUMBER(I161),I161,IF(OR(NOT(ISNUMBER(H161)),NOT(ISNUMBER(G161)),G161&lt;=0),"",IF(H161/G161&gt;='Score settings'!$B$58,"",IF(J161="Cash savings",H161,IF(J161="Revenue",H161*'Score settings'!$B$55,"")))))</x:f>
      </x:c>
      <x:c r="L161" s="36"/>
      <x:c r="M161" s="39"/>
      <x:c r="N161" s="40"/>
      <x:c r="O161" s="36" t="str">
        <x:v>Must Have</x:v>
      </x:c>
      <x:c r="P161" s="36" t="str">
        <x:v>NewTech</x:v>
      </x:c>
      <x:c r="Q161" s="36" t="str">
        <x:v>Compliance</x:v>
      </x:c>
      <x:c r="R161" s="36" t="str">
        <x:v>NotAssessed</x:v>
      </x:c>
      <x:c r="S161" s="36" t="str"/>
      <x:c r="T161" s="36" t="str">
        <x:v>Common pot</x:v>
      </x:c>
      <x:c r="U161" s="41" t="n">
        <x:f>VLOOKUP("Priority|"&amp;O161,'Score settings'!$A$14:$C$43,2,FALSE)/'Score settings'!$B$4*'Score settings'!$C$4</x:f>
        <x:v>18</x:v>
      </x:c>
      <x:c r="V161" s="41" t="n">
        <x:f>VLOOKUP("Category|"&amp;P161,'Score settings'!$A$14:$C$43,2,FALSE)/'Score settings'!$B$5*'Score settings'!$C$5</x:f>
        <x:v>5</x:v>
      </x:c>
      <x:c r="W161" s="41" t="n">
        <x:f>VLOOKUP("Area|"&amp;Q161,'Score settings'!$A$14:$C$43,2,FALSE)/'Score settings'!$B$6*'Score settings'!$C$6</x:f>
        <x:v>15</x:v>
      </x:c>
      <x:c r="X161" s="41" t="n">
        <x:f>VLOOKUP("Benefits|"&amp;IF(AND(ISNUMBER(H161),H161&gt;0,ISNUMBER(G161),G161&gt;0),IF(H161/G161&gt;='Score settings'!$E$17,"3plus",IF(H161/G161&gt;='Score settings'!$E$16,"1.5to3",IF(H161/G161&gt;='Score settings'!$E$15,"0.5to1.5","positive"))),"None"),'Score settings'!$A$14:$C$43,2,FALSE)/'Score settings'!$B$7*'Score settings'!$C$7</x:f>
        <x:v>5</x:v>
      </x:c>
      <x:c r="Y161" s="41" t="n">
        <x:f>VLOOKUP("Waste|"&amp;R161,'Score settings'!$A$14:$C$43,2,FALSE)/'Score settings'!$B$8*'Score settings'!$C$8</x:f>
        <x:v>7</x:v>
      </x:c>
      <x:c r="Z161" s="41" t="n">
        <x:f>IF(B161="","",SUM(U161:Y161))</x:f>
        <x:v>50</x:v>
      </x:c>
      <x:c r="AA161" s="41" t="str">
        <x:f>IF(Z161="","Not scored",VLOOKUP(Z161,'Score settings'!$A$47:$C$50,2,TRUE))</x:f>
        <x:v>Strong</x:v>
      </x:c>
      <x:c r="AB161" s="41" t="n">
        <x:f>VLOOKUP("Priority|"&amp;O161,'Score settings'!$A$14:$C$43,3,FALSE)/'Score settings'!$B$4*'Score settings'!$D$4</x:f>
        <x:v>10.799999999999999</x:v>
      </x:c>
      <x:c r="AC161" s="41" t="n">
        <x:f>VLOOKUP("Category|"&amp;P161,'Score settings'!$A$14:$C$43,3,FALSE)/'Score settings'!$B$5*'Score settings'!$D$5</x:f>
        <x:v>2.5</x:v>
      </x:c>
      <x:c r="AD161" s="41" t="n">
        <x:f>VLOOKUP("Area|"&amp;Q161,'Score settings'!$A$14:$C$43,3,FALSE)/'Score settings'!$B$6*'Score settings'!$D$6</x:f>
        <x:v>10</x:v>
      </x:c>
      <x:c r="AE161" s="41" t="n">
        <x:f>VLOOKUP("Benefits|"&amp;IF(AND(ISNUMBER(K161),K161&gt;0,ISNUMBER(G161),G161&gt;0),IF(K161/G161&gt;='Score settings'!$E$17,"3plus",IF(K161/G161&gt;='Score settings'!$E$16,"1.5to3",IF(K161/G161&gt;='Score settings'!$E$15,"0.5to1.5","positive"))),"None"),'Score settings'!$A$14:$C$43,3,FALSE)/'Score settings'!$B$7*'Score settings'!$D$7</x:f>
        <x:v>0</x:v>
      </x:c>
      <x:c r="AF161" s="41" t="n">
        <x:f>VLOOKUP("Waste|"&amp;R161,'Score settings'!$A$14:$C$43,3,FALSE)/'Score settings'!$B$8*'Score settings'!$D$8</x:f>
        <x:v>0</x:v>
      </x:c>
      <x:c r="AG161" s="41" t="n">
        <x:f>(IF(AND(ISNUMBER(M161),M161&gt;0,ISNUMBER(G161),G161&gt;0),IF(M161/G161&gt;='Score settings'!$E$17,'Score settings'!$G$17,IF(M161/G161&gt;='Score settings'!$E$16,'Score settings'!$G$16,IF(M161/G161&gt;='Score settings'!$E$15,'Score settings'!$G$15,'Score settings'!$G$14))),0)/15*'Score settings'!$B$60+IFERROR(VLOOKUP(IF(ISNUMBER(N161),N161,IF(ISNUMBER(L161),L161,0)),'Score settings'!$E$22:$F$26,2,FALSE),0)/10*'Score settings'!$B$61)/'Score settings'!$B$9*'Score settings'!$D$9</x:f>
        <x:v>0</x:v>
      </x:c>
      <x:c r="AH161" s="41" t="n">
        <x:f>IF(B161="","",SUM(AB161:AG161))</x:f>
        <x:v>23.299999999999997</x:v>
      </x:c>
      <x:c r="AI161" s="41" t="str">
        <x:f>IF(NOT(ISNUMBER(AH161)),"Not scored",VLOOKUP(AH161,'Score settings'!$A$47:$C$50,3,TRUE))</x:f>
        <x:v>Weak</x:v>
      </x:c>
      <x:c r="AJ161" s="42" t="n">
        <x:f>IF(OR(NOT(ISNUMBER(AH161)),T161&lt;&gt;"Common pot"),"",COUNTIFS($T$4:$T$509,"Common pot",$AH$4:$AH$509,"&gt;"&amp;AH161)+1)</x:f>
        <x:v>299</x:v>
      </x:c>
      <x:c r="AK161" s="36" t="str">
        <x:f>IF(B161="","Name missing - not scored",IF(OR(NOT(ISNUMBER(G161)),G161&lt;=0),"Investment missing or zero - review",IF(0=1,"Permanent ID missing - reconcile",IF(AND(ISNUMBER(H161),H161/G161&gt;='Score settings'!$B$58,NOT(ISNUMBER(I161))),"Benefit units need review",IF(OR(R161="EXIT",R161="CHALLENGE"),"Waste decision requires scope resolution",IF("Name and organisation matched"&lt;&gt;"Name and organisation matched","Waste evidence match needs review","Provisional source score - confirm evidence"))))))</x:f>
        <x:v>Provisional source score - confirm evidence</x:v>
      </x:c>
      <x:c r="AL161" s="36"/>
      <x:c r="AM161" s="40"/>
      <x:c r="AN161" s="39"/>
      <x:c r="AO161" s="40"/>
      <x:c r="AP161" s="40"/>
    </x:row>
    <x:row r="162" ht="15" hidden="0" customHeight="1">
      <x:c r="A162" s="36" t="str">
        <x:v>Bu-167</x:v>
      </x:c>
      <x:c r="B162" s="37" t="str">
        <x:v>Regulatory submissions simplification | Document creation &amp; management</x:v>
      </x:c>
      <x:c r="C162" s="36" t="str">
        <x:v>BU Led</x:v>
      </x:c>
      <x:c r="D162" s="36" t="str">
        <x:v>Precision Diagnosis - Magnetic Resonance (MR)</x:v>
      </x:c>
      <x:c r="E162" s="38" t="n">
        <x:v>0.03</x:v>
      </x:c>
      <x:c r="F162" s="39"/>
      <x:c r="G162" s="38" t="n">
        <x:f>IF(ISNUMBER(F162),F162,IF(E162="","",E162))</x:f>
        <x:v>0.03</x:v>
      </x:c>
      <x:c r="H162" s="38"/>
      <x:c r="I162" s="39"/>
      <x:c r="J162" s="36" t="str">
        <x:v>Cash savings</x:v>
      </x:c>
      <x:c r="K162" s="38" t="str">
        <x:f>IF(ISNUMBER(I162),I162,IF(OR(NOT(ISNUMBER(H162)),NOT(ISNUMBER(G162)),G162&lt;=0),"",IF(H162/G162&gt;='Score settings'!$B$58,"",IF(J162="Cash savings",H162,IF(J162="Revenue",H162*'Score settings'!$B$55,"")))))</x:f>
      </x:c>
      <x:c r="L162" s="36"/>
      <x:c r="M162" s="39"/>
      <x:c r="N162" s="40"/>
      <x:c r="O162" s="36" t="str">
        <x:v>Must Have</x:v>
      </x:c>
      <x:c r="P162" s="36" t="str">
        <x:v>CI</x:v>
      </x:c>
      <x:c r="Q162" s="36" t="str">
        <x:v>ProcSimp</x:v>
      </x:c>
      <x:c r="R162" s="36" t="str">
        <x:v>NotAssessed</x:v>
      </x:c>
      <x:c r="S162" s="36" t="str"/>
      <x:c r="T162" s="36" t="str">
        <x:v>Common pot</x:v>
      </x:c>
      <x:c r="U162" s="41" t="n">
        <x:f>VLOOKUP("Priority|"&amp;O162,'Score settings'!$A$14:$C$43,2,FALSE)/'Score settings'!$B$4*'Score settings'!$C$4</x:f>
        <x:v>18</x:v>
      </x:c>
      <x:c r="V162" s="41" t="n">
        <x:f>VLOOKUP("Category|"&amp;P162,'Score settings'!$A$14:$C$43,2,FALSE)/'Score settings'!$B$5*'Score settings'!$C$5</x:f>
        <x:v>8</x:v>
      </x:c>
      <x:c r="W162" s="41" t="n">
        <x:f>VLOOKUP("Area|"&amp;Q162,'Score settings'!$A$14:$C$43,2,FALSE)/'Score settings'!$B$6*'Score settings'!$C$6</x:f>
        <x:v>12</x:v>
      </x:c>
      <x:c r="X162" s="41" t="n">
        <x:f>VLOOKUP("Benefits|"&amp;IF(AND(ISNUMBER(H162),H162&gt;0,ISNUMBER(G162),G162&gt;0),IF(H162/G162&gt;='Score settings'!$E$17,"3plus",IF(H162/G162&gt;='Score settings'!$E$16,"1.5to3",IF(H162/G162&gt;='Score settings'!$E$15,"0.5to1.5","positive"))),"None"),'Score settings'!$A$14:$C$43,2,FALSE)/'Score settings'!$B$7*'Score settings'!$C$7</x:f>
        <x:v>5</x:v>
      </x:c>
      <x:c r="Y162" s="41" t="n">
        <x:f>VLOOKUP("Waste|"&amp;R162,'Score settings'!$A$14:$C$43,2,FALSE)/'Score settings'!$B$8*'Score settings'!$C$8</x:f>
        <x:v>7</x:v>
      </x:c>
      <x:c r="Z162" s="41" t="n">
        <x:f>IF(B162="","",SUM(U162:Y162))</x:f>
        <x:v>50</x:v>
      </x:c>
      <x:c r="AA162" s="41" t="str">
        <x:f>IF(Z162="","Not scored",VLOOKUP(Z162,'Score settings'!$A$47:$C$50,2,TRUE))</x:f>
        <x:v>Strong</x:v>
      </x:c>
      <x:c r="AB162" s="41" t="n">
        <x:f>VLOOKUP("Priority|"&amp;O162,'Score settings'!$A$14:$C$43,3,FALSE)/'Score settings'!$B$4*'Score settings'!$D$4</x:f>
        <x:v>10.799999999999999</x:v>
      </x:c>
      <x:c r="AC162" s="41" t="n">
        <x:f>VLOOKUP("Category|"&amp;P162,'Score settings'!$A$14:$C$43,3,FALSE)/'Score settings'!$B$5*'Score settings'!$D$5</x:f>
        <x:v>4</x:v>
      </x:c>
      <x:c r="AD162" s="41" t="n">
        <x:f>VLOOKUP("Area|"&amp;Q162,'Score settings'!$A$14:$C$43,3,FALSE)/'Score settings'!$B$6*'Score settings'!$D$6</x:f>
        <x:v>8</x:v>
      </x:c>
      <x:c r="AE162" s="41" t="n">
        <x:f>VLOOKUP("Benefits|"&amp;IF(AND(ISNUMBER(K162),K162&gt;0,ISNUMBER(G162),G162&gt;0),IF(K162/G162&gt;='Score settings'!$E$17,"3plus",IF(K162/G162&gt;='Score settings'!$E$16,"1.5to3",IF(K162/G162&gt;='Score settings'!$E$15,"0.5to1.5","positive"))),"None"),'Score settings'!$A$14:$C$43,3,FALSE)/'Score settings'!$B$7*'Score settings'!$D$7</x:f>
        <x:v>0</x:v>
      </x:c>
      <x:c r="AF162" s="41" t="n">
        <x:f>VLOOKUP("Waste|"&amp;R162,'Score settings'!$A$14:$C$43,3,FALSE)/'Score settings'!$B$8*'Score settings'!$D$8</x:f>
        <x:v>0</x:v>
      </x:c>
      <x:c r="AG162" s="41" t="n">
        <x:f>(IF(AND(ISNUMBER(M162),M162&gt;0,ISNUMBER(G162),G162&gt;0),IF(M162/G162&gt;='Score settings'!$E$17,'Score settings'!$G$17,IF(M162/G162&gt;='Score settings'!$E$16,'Score settings'!$G$16,IF(M162/G162&gt;='Score settings'!$E$15,'Score settings'!$G$15,'Score settings'!$G$14))),0)/15*'Score settings'!$B$60+IFERROR(VLOOKUP(IF(ISNUMBER(N162),N162,IF(ISNUMBER(L162),L162,0)),'Score settings'!$E$22:$F$26,2,FALSE),0)/10*'Score settings'!$B$61)/'Score settings'!$B$9*'Score settings'!$D$9</x:f>
        <x:v>0</x:v>
      </x:c>
      <x:c r="AH162" s="41" t="n">
        <x:f>IF(B162="","",SUM(AB162:AG162))</x:f>
        <x:v>22.799999999999997</x:v>
      </x:c>
      <x:c r="AI162" s="41" t="str">
        <x:f>IF(NOT(ISNUMBER(AH162)),"Not scored",VLOOKUP(AH162,'Score settings'!$A$47:$C$50,3,TRUE))</x:f>
        <x:v>Weak</x:v>
      </x:c>
      <x:c r="AJ162" s="42" t="n">
        <x:f>IF(OR(NOT(ISNUMBER(AH162)),T162&lt;&gt;"Common pot"),"",COUNTIFS($T$4:$T$509,"Common pot",$AH$4:$AH$509,"&gt;"&amp;AH162)+1)</x:f>
        <x:v>318</x:v>
      </x:c>
      <x:c r="AK162" s="36" t="str">
        <x:f>IF(B162="","Name missing - not scored",IF(OR(NOT(ISNUMBER(G162)),G162&lt;=0),"Investment missing or zero - review",IF(0=1,"Permanent ID missing - reconcile",IF(AND(ISNUMBER(H162),H162/G162&gt;='Score settings'!$B$58,NOT(ISNUMBER(I162))),"Benefit units need review",IF(OR(R162="EXIT",R162="CHALLENGE"),"Waste decision requires scope resolution",IF("Name and organisation matched"&lt;&gt;"Name and organisation matched","Waste evidence match needs review","Provisional source score - confirm evidence"))))))</x:f>
        <x:v>Provisional source score - confirm evidence</x:v>
      </x:c>
      <x:c r="AL162" s="36"/>
      <x:c r="AM162" s="40"/>
      <x:c r="AN162" s="39"/>
      <x:c r="AO162" s="40"/>
      <x:c r="AP162" s="40"/>
    </x:row>
    <x:row r="163" ht="15" hidden="0" customHeight="1">
      <x:c r="A163" s="36" t="str">
        <x:v>Bu-168</x:v>
      </x:c>
      <x:c r="B163" s="37" t="str">
        <x:v>Localised Label release</x:v>
      </x:c>
      <x:c r="C163" s="36" t="str">
        <x:v>BU Led</x:v>
      </x:c>
      <x:c r="D163" s="36" t="str">
        <x:v>Precision Diagnosis - Magnetic Resonance (MR)</x:v>
      </x:c>
      <x:c r="E163" s="38" t="n">
        <x:v>0.05</x:v>
      </x:c>
      <x:c r="F163" s="39"/>
      <x:c r="G163" s="38" t="n">
        <x:f>IF(ISNUMBER(F163),F163,IF(E163="","",E163))</x:f>
        <x:v>0.05</x:v>
      </x:c>
      <x:c r="H163" s="38"/>
      <x:c r="I163" s="39"/>
      <x:c r="J163" s="36" t="str">
        <x:v>Cash savings</x:v>
      </x:c>
      <x:c r="K163" s="38" t="str">
        <x:f>IF(ISNUMBER(I163),I163,IF(OR(NOT(ISNUMBER(H163)),NOT(ISNUMBER(G163)),G163&lt;=0),"",IF(H163/G163&gt;='Score settings'!$B$58,"",IF(J163="Cash savings",H163,IF(J163="Revenue",H163*'Score settings'!$B$55,"")))))</x:f>
      </x:c>
      <x:c r="L163" s="36"/>
      <x:c r="M163" s="39"/>
      <x:c r="N163" s="40"/>
      <x:c r="O163" s="36" t="str">
        <x:v>Must Have</x:v>
      </x:c>
      <x:c r="P163" s="36" t="str">
        <x:v>CI</x:v>
      </x:c>
      <x:c r="Q163" s="36" t="str">
        <x:v>ProcSimp</x:v>
      </x:c>
      <x:c r="R163" s="36" t="str">
        <x:v>NotAssessed</x:v>
      </x:c>
      <x:c r="S163" s="36" t="str"/>
      <x:c r="T163" s="36" t="str">
        <x:v>Common pot</x:v>
      </x:c>
      <x:c r="U163" s="41" t="n">
        <x:f>VLOOKUP("Priority|"&amp;O163,'Score settings'!$A$14:$C$43,2,FALSE)/'Score settings'!$B$4*'Score settings'!$C$4</x:f>
        <x:v>18</x:v>
      </x:c>
      <x:c r="V163" s="41" t="n">
        <x:f>VLOOKUP("Category|"&amp;P163,'Score settings'!$A$14:$C$43,2,FALSE)/'Score settings'!$B$5*'Score settings'!$C$5</x:f>
        <x:v>8</x:v>
      </x:c>
      <x:c r="W163" s="41" t="n">
        <x:f>VLOOKUP("Area|"&amp;Q163,'Score settings'!$A$14:$C$43,2,FALSE)/'Score settings'!$B$6*'Score settings'!$C$6</x:f>
        <x:v>12</x:v>
      </x:c>
      <x:c r="X163" s="41" t="n">
        <x:f>VLOOKUP("Benefits|"&amp;IF(AND(ISNUMBER(H163),H163&gt;0,ISNUMBER(G163),G163&gt;0),IF(H163/G163&gt;='Score settings'!$E$17,"3plus",IF(H163/G163&gt;='Score settings'!$E$16,"1.5to3",IF(H163/G163&gt;='Score settings'!$E$15,"0.5to1.5","positive"))),"None"),'Score settings'!$A$14:$C$43,2,FALSE)/'Score settings'!$B$7*'Score settings'!$C$7</x:f>
        <x:v>5</x:v>
      </x:c>
      <x:c r="Y163" s="41" t="n">
        <x:f>VLOOKUP("Waste|"&amp;R163,'Score settings'!$A$14:$C$43,2,FALSE)/'Score settings'!$B$8*'Score settings'!$C$8</x:f>
        <x:v>7</x:v>
      </x:c>
      <x:c r="Z163" s="41" t="n">
        <x:f>IF(B163="","",SUM(U163:Y163))</x:f>
        <x:v>50</x:v>
      </x:c>
      <x:c r="AA163" s="41" t="str">
        <x:f>IF(Z163="","Not scored",VLOOKUP(Z163,'Score settings'!$A$47:$C$50,2,TRUE))</x:f>
        <x:v>Strong</x:v>
      </x:c>
      <x:c r="AB163" s="41" t="n">
        <x:f>VLOOKUP("Priority|"&amp;O163,'Score settings'!$A$14:$C$43,3,FALSE)/'Score settings'!$B$4*'Score settings'!$D$4</x:f>
        <x:v>10.799999999999999</x:v>
      </x:c>
      <x:c r="AC163" s="41" t="n">
        <x:f>VLOOKUP("Category|"&amp;P163,'Score settings'!$A$14:$C$43,3,FALSE)/'Score settings'!$B$5*'Score settings'!$D$5</x:f>
        <x:v>4</x:v>
      </x:c>
      <x:c r="AD163" s="41" t="n">
        <x:f>VLOOKUP("Area|"&amp;Q163,'Score settings'!$A$14:$C$43,3,FALSE)/'Score settings'!$B$6*'Score settings'!$D$6</x:f>
        <x:v>8</x:v>
      </x:c>
      <x:c r="AE163" s="41" t="n">
        <x:f>VLOOKUP("Benefits|"&amp;IF(AND(ISNUMBER(K163),K163&gt;0,ISNUMBER(G163),G163&gt;0),IF(K163/G163&gt;='Score settings'!$E$17,"3plus",IF(K163/G163&gt;='Score settings'!$E$16,"1.5to3",IF(K163/G163&gt;='Score settings'!$E$15,"0.5to1.5","positive"))),"None"),'Score settings'!$A$14:$C$43,3,FALSE)/'Score settings'!$B$7*'Score settings'!$D$7</x:f>
        <x:v>0</x:v>
      </x:c>
      <x:c r="AF163" s="41" t="n">
        <x:f>VLOOKUP("Waste|"&amp;R163,'Score settings'!$A$14:$C$43,3,FALSE)/'Score settings'!$B$8*'Score settings'!$D$8</x:f>
        <x:v>0</x:v>
      </x:c>
      <x:c r="AG163" s="41" t="n">
        <x:f>(IF(AND(ISNUMBER(M163),M163&gt;0,ISNUMBER(G163),G163&gt;0),IF(M163/G163&gt;='Score settings'!$E$17,'Score settings'!$G$17,IF(M163/G163&gt;='Score settings'!$E$16,'Score settings'!$G$16,IF(M163/G163&gt;='Score settings'!$E$15,'Score settings'!$G$15,'Score settings'!$G$14))),0)/15*'Score settings'!$B$60+IFERROR(VLOOKUP(IF(ISNUMBER(N163),N163,IF(ISNUMBER(L163),L163,0)),'Score settings'!$E$22:$F$26,2,FALSE),0)/10*'Score settings'!$B$61)/'Score settings'!$B$9*'Score settings'!$D$9</x:f>
        <x:v>0</x:v>
      </x:c>
      <x:c r="AH163" s="41" t="n">
        <x:f>IF(B163="","",SUM(AB163:AG163))</x:f>
        <x:v>22.799999999999997</x:v>
      </x:c>
      <x:c r="AI163" s="41" t="str">
        <x:f>IF(NOT(ISNUMBER(AH163)),"Not scored",VLOOKUP(AH163,'Score settings'!$A$47:$C$50,3,TRUE))</x:f>
        <x:v>Weak</x:v>
      </x:c>
      <x:c r="AJ163" s="42" t="n">
        <x:f>IF(OR(NOT(ISNUMBER(AH163)),T163&lt;&gt;"Common pot"),"",COUNTIFS($T$4:$T$509,"Common pot",$AH$4:$AH$509,"&gt;"&amp;AH163)+1)</x:f>
        <x:v>318</x:v>
      </x:c>
      <x:c r="AK163" s="36" t="str">
        <x:f>IF(B163="","Name missing - not scored",IF(OR(NOT(ISNUMBER(G163)),G163&lt;=0),"Investment missing or zero - review",IF(0=1,"Permanent ID missing - reconcile",IF(AND(ISNUMBER(H163),H163/G163&gt;='Score settings'!$B$58,NOT(ISNUMBER(I163))),"Benefit units need review",IF(OR(R163="EXIT",R163="CHALLENGE"),"Waste decision requires scope resolution",IF("Name and organisation matched"&lt;&gt;"Name and organisation matched","Waste evidence match needs review","Provisional source score - confirm evidence"))))))</x:f>
        <x:v>Provisional source score - confirm evidence</x:v>
      </x:c>
      <x:c r="AL163" s="36"/>
      <x:c r="AM163" s="40"/>
      <x:c r="AN163" s="39"/>
      <x:c r="AO163" s="40"/>
      <x:c r="AP163" s="40"/>
    </x:row>
    <x:row r="164" ht="15" hidden="0" customHeight="1">
      <x:c r="A164" s="36" t="str">
        <x:v>Bu-169</x:v>
      </x:c>
      <x:c r="B164" s="37" t="str">
        <x:v>I2M  Planisware CT AI Solutions</x:v>
      </x:c>
      <x:c r="C164" s="36" t="str">
        <x:v>BU Led</x:v>
      </x:c>
      <x:c r="D164" s="36" t="str">
        <x:v>Precision Diagnosis - Computed Tomography (CT)</x:v>
      </x:c>
      <x:c r="E164" s="38" t="n">
        <x:v>0.65</x:v>
      </x:c>
      <x:c r="F164" s="39"/>
      <x:c r="G164" s="38" t="n">
        <x:f>IF(ISNUMBER(F164),F164,IF(E164="","",E164))</x:f>
        <x:v>0.65</x:v>
      </x:c>
      <x:c r="H164" s="38"/>
      <x:c r="I164" s="39"/>
      <x:c r="J164" s="36" t="str">
        <x:v>Cash savings</x:v>
      </x:c>
      <x:c r="K164" s="38" t="str">
        <x:f>IF(ISNUMBER(I164),I164,IF(OR(NOT(ISNUMBER(H164)),NOT(ISNUMBER(G164)),G164&lt;=0),"",IF(H164/G164&gt;='Score settings'!$B$58,"",IF(J164="Cash savings",H164,IF(J164="Revenue",H164*'Score settings'!$B$55,"")))))</x:f>
      </x:c>
      <x:c r="L164" s="36"/>
      <x:c r="M164" s="39"/>
      <x:c r="N164" s="40"/>
      <x:c r="O164" s="36" t="str">
        <x:v>Must Have</x:v>
      </x:c>
      <x:c r="P164" s="36" t="str">
        <x:v>AI</x:v>
      </x:c>
      <x:c r="Q164" s="36" t="str">
        <x:v>ProcSimp</x:v>
      </x:c>
      <x:c r="R164" s="36" t="str">
        <x:v>NotAssessed</x:v>
      </x:c>
      <x:c r="S164" s="36" t="str"/>
      <x:c r="T164" s="36" t="str">
        <x:v>Common pot</x:v>
      </x:c>
      <x:c r="U164" s="41" t="n">
        <x:f>VLOOKUP("Priority|"&amp;O164,'Score settings'!$A$14:$C$43,2,FALSE)/'Score settings'!$B$4*'Score settings'!$C$4</x:f>
        <x:v>18</x:v>
      </x:c>
      <x:c r="V164" s="41" t="n">
        <x:f>VLOOKUP("Category|"&amp;P164,'Score settings'!$A$14:$C$43,2,FALSE)/'Score settings'!$B$5*'Score settings'!$C$5</x:f>
        <x:v>16</x:v>
      </x:c>
      <x:c r="W164" s="41" t="n">
        <x:f>VLOOKUP("Area|"&amp;Q164,'Score settings'!$A$14:$C$43,2,FALSE)/'Score settings'!$B$6*'Score settings'!$C$6</x:f>
        <x:v>12</x:v>
      </x:c>
      <x:c r="X164" s="41" t="n">
        <x:f>VLOOKUP("Benefits|"&amp;IF(AND(ISNUMBER(H164),H164&gt;0,ISNUMBER(G164),G164&gt;0),IF(H164/G164&gt;='Score settings'!$E$17,"3plus",IF(H164/G164&gt;='Score settings'!$E$16,"1.5to3",IF(H164/G164&gt;='Score settings'!$E$15,"0.5to1.5","positive"))),"None"),'Score settings'!$A$14:$C$43,2,FALSE)/'Score settings'!$B$7*'Score settings'!$C$7</x:f>
        <x:v>5</x:v>
      </x:c>
      <x:c r="Y164" s="41" t="n">
        <x:f>VLOOKUP("Waste|"&amp;R164,'Score settings'!$A$14:$C$43,2,FALSE)/'Score settings'!$B$8*'Score settings'!$C$8</x:f>
        <x:v>7</x:v>
      </x:c>
      <x:c r="Z164" s="41" t="n">
        <x:f>IF(B164="","",SUM(U164:Y164))</x:f>
        <x:v>58</x:v>
      </x:c>
      <x:c r="AA164" s="41" t="str">
        <x:f>IF(Z164="","Not scored",VLOOKUP(Z164,'Score settings'!$A$47:$C$50,2,TRUE))</x:f>
        <x:v>Strong</x:v>
      </x:c>
      <x:c r="AB164" s="41" t="n">
        <x:f>VLOOKUP("Priority|"&amp;O164,'Score settings'!$A$14:$C$43,3,FALSE)/'Score settings'!$B$4*'Score settings'!$D$4</x:f>
        <x:v>10.799999999999999</x:v>
      </x:c>
      <x:c r="AC164" s="41" t="n">
        <x:f>VLOOKUP("Category|"&amp;P164,'Score settings'!$A$14:$C$43,3,FALSE)/'Score settings'!$B$5*'Score settings'!$D$5</x:f>
        <x:v>8</x:v>
      </x:c>
      <x:c r="AD164" s="41" t="n">
        <x:f>VLOOKUP("Area|"&amp;Q164,'Score settings'!$A$14:$C$43,3,FALSE)/'Score settings'!$B$6*'Score settings'!$D$6</x:f>
        <x:v>8</x:v>
      </x:c>
      <x:c r="AE164" s="41" t="n">
        <x:f>VLOOKUP("Benefits|"&amp;IF(AND(ISNUMBER(K164),K164&gt;0,ISNUMBER(G164),G164&gt;0),IF(K164/G164&gt;='Score settings'!$E$17,"3plus",IF(K164/G164&gt;='Score settings'!$E$16,"1.5to3",IF(K164/G164&gt;='Score settings'!$E$15,"0.5to1.5","positive"))),"None"),'Score settings'!$A$14:$C$43,3,FALSE)/'Score settings'!$B$7*'Score settings'!$D$7</x:f>
        <x:v>0</x:v>
      </x:c>
      <x:c r="AF164" s="41" t="n">
        <x:f>VLOOKUP("Waste|"&amp;R164,'Score settings'!$A$14:$C$43,3,FALSE)/'Score settings'!$B$8*'Score settings'!$D$8</x:f>
        <x:v>0</x:v>
      </x:c>
      <x:c r="AG164" s="41" t="n">
        <x:f>(IF(AND(ISNUMBER(M164),M164&gt;0,ISNUMBER(G164),G164&gt;0),IF(M164/G164&gt;='Score settings'!$E$17,'Score settings'!$G$17,IF(M164/G164&gt;='Score settings'!$E$16,'Score settings'!$G$16,IF(M164/G164&gt;='Score settings'!$E$15,'Score settings'!$G$15,'Score settings'!$G$14))),0)/15*'Score settings'!$B$60+IFERROR(VLOOKUP(IF(ISNUMBER(N164),N164,IF(ISNUMBER(L164),L164,0)),'Score settings'!$E$22:$F$26,2,FALSE),0)/10*'Score settings'!$B$61)/'Score settings'!$B$9*'Score settings'!$D$9</x:f>
        <x:v>0</x:v>
      </x:c>
      <x:c r="AH164" s="41" t="n">
        <x:f>IF(B164="","",SUM(AB164:AG164))</x:f>
        <x:v>26.799999999999997</x:v>
      </x:c>
      <x:c r="AI164" s="41" t="str">
        <x:f>IF(NOT(ISNUMBER(AH164)),"Not scored",VLOOKUP(AH164,'Score settings'!$A$47:$C$50,3,TRUE))</x:f>
        <x:v>Discretionary</x:v>
      </x:c>
      <x:c r="AJ164" s="42" t="n">
        <x:f>IF(OR(NOT(ISNUMBER(AH164)),T164&lt;&gt;"Common pot"),"",COUNTIFS($T$4:$T$509,"Common pot",$AH$4:$AH$509,"&gt;"&amp;AH164)+1)</x:f>
        <x:v>230</x:v>
      </x:c>
      <x:c r="AK164" s="36" t="str">
        <x:f>IF(B164="","Name missing - not scored",IF(OR(NOT(ISNUMBER(G164)),G164&lt;=0),"Investment missing or zero - review",IF(0=1,"Permanent ID missing - reconcile",IF(AND(ISNUMBER(H164),H164/G164&gt;='Score settings'!$B$58,NOT(ISNUMBER(I164))),"Benefit units need review",IF(OR(R164="EXIT",R164="CHALLENGE"),"Waste decision requires scope resolution",IF("Name and organisation matched"&lt;&gt;"Name and organisation matched","Waste evidence match needs review","Provisional source score - confirm evidence"))))))</x:f>
        <x:v>Provisional source score - confirm evidence</x:v>
      </x:c>
      <x:c r="AL164" s="36"/>
      <x:c r="AM164" s="40"/>
      <x:c r="AN164" s="39"/>
      <x:c r="AO164" s="40"/>
      <x:c r="AP164" s="40"/>
    </x:row>
    <x:row r="165" ht="15" hidden="0" customHeight="1">
      <x:c r="A165" s="36" t="str">
        <x:v>Bu-170</x:v>
      </x:c>
      <x:c r="B165" s="37" t="str">
        <x:v>Insourcing Scanbuddy App.</x:v>
      </x:c>
      <x:c r="C165" s="36" t="str">
        <x:v>BU Led</x:v>
      </x:c>
      <x:c r="D165" s="36" t="str">
        <x:v>Precision Diagnosis - Magnetic Resonance (MR)</x:v>
      </x:c>
      <x:c r="E165" s="38" t="n">
        <x:v>0.2</x:v>
      </x:c>
      <x:c r="F165" s="39"/>
      <x:c r="G165" s="38" t="n">
        <x:f>IF(ISNUMBER(F165),F165,IF(E165="","",E165))</x:f>
        <x:v>0.2</x:v>
      </x:c>
      <x:c r="H165" s="38"/>
      <x:c r="I165" s="39"/>
      <x:c r="J165" s="36" t="str">
        <x:v>Cash savings</x:v>
      </x:c>
      <x:c r="K165" s="38" t="str">
        <x:f>IF(ISNUMBER(I165),I165,IF(OR(NOT(ISNUMBER(H165)),NOT(ISNUMBER(G165)),G165&lt;=0),"",IF(H165/G165&gt;='Score settings'!$B$58,"",IF(J165="Cash savings",H165,IF(J165="Revenue",H165*'Score settings'!$B$55,"")))))</x:f>
      </x:c>
      <x:c r="L165" s="36"/>
      <x:c r="M165" s="39"/>
      <x:c r="N165" s="40"/>
      <x:c r="O165" s="36" t="str">
        <x:v>Must Have</x:v>
      </x:c>
      <x:c r="P165" s="36" t="str">
        <x:v>Upgrades</x:v>
      </x:c>
      <x:c r="Q165" s="36" t="str">
        <x:v>ProcSimp</x:v>
      </x:c>
      <x:c r="R165" s="36" t="str">
        <x:v>NotAssessed</x:v>
      </x:c>
      <x:c r="S165" s="36" t="str"/>
      <x:c r="T165" s="36" t="str">
        <x:v>Common pot</x:v>
      </x:c>
      <x:c r="U165" s="41" t="n">
        <x:f>VLOOKUP("Priority|"&amp;O165,'Score settings'!$A$14:$C$43,2,FALSE)/'Score settings'!$B$4*'Score settings'!$C$4</x:f>
        <x:v>18</x:v>
      </x:c>
      <x:c r="V165" s="41" t="n">
        <x:f>VLOOKUP("Category|"&amp;P165,'Score settings'!$A$14:$C$43,2,FALSE)/'Score settings'!$B$5*'Score settings'!$C$5</x:f>
        <x:v>10</x:v>
      </x:c>
      <x:c r="W165" s="41" t="n">
        <x:f>VLOOKUP("Area|"&amp;Q165,'Score settings'!$A$14:$C$43,2,FALSE)/'Score settings'!$B$6*'Score settings'!$C$6</x:f>
        <x:v>12</x:v>
      </x:c>
      <x:c r="X165" s="41" t="n">
        <x:f>VLOOKUP("Benefits|"&amp;IF(AND(ISNUMBER(H165),H165&gt;0,ISNUMBER(G165),G165&gt;0),IF(H165/G165&gt;='Score settings'!$E$17,"3plus",IF(H165/G165&gt;='Score settings'!$E$16,"1.5to3",IF(H165/G165&gt;='Score settings'!$E$15,"0.5to1.5","positive"))),"None"),'Score settings'!$A$14:$C$43,2,FALSE)/'Score settings'!$B$7*'Score settings'!$C$7</x:f>
        <x:v>5</x:v>
      </x:c>
      <x:c r="Y165" s="41" t="n">
        <x:f>VLOOKUP("Waste|"&amp;R165,'Score settings'!$A$14:$C$43,2,FALSE)/'Score settings'!$B$8*'Score settings'!$C$8</x:f>
        <x:v>7</x:v>
      </x:c>
      <x:c r="Z165" s="41" t="n">
        <x:f>IF(B165="","",SUM(U165:Y165))</x:f>
        <x:v>52</x:v>
      </x:c>
      <x:c r="AA165" s="41" t="str">
        <x:f>IF(Z165="","Not scored",VLOOKUP(Z165,'Score settings'!$A$47:$C$50,2,TRUE))</x:f>
        <x:v>Strong</x:v>
      </x:c>
      <x:c r="AB165" s="41" t="n">
        <x:f>VLOOKUP("Priority|"&amp;O165,'Score settings'!$A$14:$C$43,3,FALSE)/'Score settings'!$B$4*'Score settings'!$D$4</x:f>
        <x:v>10.799999999999999</x:v>
      </x:c>
      <x:c r="AC165" s="41" t="n">
        <x:f>VLOOKUP("Category|"&amp;P165,'Score settings'!$A$14:$C$43,3,FALSE)/'Score settings'!$B$5*'Score settings'!$D$5</x:f>
        <x:v>5</x:v>
      </x:c>
      <x:c r="AD165" s="41" t="n">
        <x:f>VLOOKUP("Area|"&amp;Q165,'Score settings'!$A$14:$C$43,3,FALSE)/'Score settings'!$B$6*'Score settings'!$D$6</x:f>
        <x:v>8</x:v>
      </x:c>
      <x:c r="AE165" s="41" t="n">
        <x:f>VLOOKUP("Benefits|"&amp;IF(AND(ISNUMBER(K165),K165&gt;0,ISNUMBER(G165),G165&gt;0),IF(K165/G165&gt;='Score settings'!$E$17,"3plus",IF(K165/G165&gt;='Score settings'!$E$16,"1.5to3",IF(K165/G165&gt;='Score settings'!$E$15,"0.5to1.5","positive"))),"None"),'Score settings'!$A$14:$C$43,3,FALSE)/'Score settings'!$B$7*'Score settings'!$D$7</x:f>
        <x:v>0</x:v>
      </x:c>
      <x:c r="AF165" s="41" t="n">
        <x:f>VLOOKUP("Waste|"&amp;R165,'Score settings'!$A$14:$C$43,3,FALSE)/'Score settings'!$B$8*'Score settings'!$D$8</x:f>
        <x:v>0</x:v>
      </x:c>
      <x:c r="AG165" s="41" t="n">
        <x:f>(IF(AND(ISNUMBER(M165),M165&gt;0,ISNUMBER(G165),G165&gt;0),IF(M165/G165&gt;='Score settings'!$E$17,'Score settings'!$G$17,IF(M165/G165&gt;='Score settings'!$E$16,'Score settings'!$G$16,IF(M165/G165&gt;='Score settings'!$E$15,'Score settings'!$G$15,'Score settings'!$G$14))),0)/15*'Score settings'!$B$60+IFERROR(VLOOKUP(IF(ISNUMBER(N165),N165,IF(ISNUMBER(L165),L165,0)),'Score settings'!$E$22:$F$26,2,FALSE),0)/10*'Score settings'!$B$61)/'Score settings'!$B$9*'Score settings'!$D$9</x:f>
        <x:v>0</x:v>
      </x:c>
      <x:c r="AH165" s="41" t="n">
        <x:f>IF(B165="","",SUM(AB165:AG165))</x:f>
        <x:v>23.799999999999997</x:v>
      </x:c>
      <x:c r="AI165" s="41" t="str">
        <x:f>IF(NOT(ISNUMBER(AH165)),"Not scored",VLOOKUP(AH165,'Score settings'!$A$47:$C$50,3,TRUE))</x:f>
        <x:v>Weak</x:v>
      </x:c>
      <x:c r="AJ165" s="42" t="n">
        <x:f>IF(OR(NOT(ISNUMBER(AH165)),T165&lt;&gt;"Common pot"),"",COUNTIFS($T$4:$T$509,"Common pot",$AH$4:$AH$509,"&gt;"&amp;AH165)+1)</x:f>
        <x:v>289</x:v>
      </x:c>
      <x:c r="AK165" s="36" t="str">
        <x:f>IF(B165="","Name missing - not scored",IF(OR(NOT(ISNUMBER(G165)),G165&lt;=0),"Investment missing or zero - review",IF(0=1,"Permanent ID missing - reconcile",IF(AND(ISNUMBER(H165),H165/G165&gt;='Score settings'!$B$58,NOT(ISNUMBER(I165))),"Benefit units need review",IF(OR(R165="EXIT",R165="CHALLENGE"),"Waste decision requires scope resolution",IF("Name and organisation matched"&lt;&gt;"Name and organisation matched","Waste evidence match needs review","Provisional source score - confirm evidence"))))))</x:f>
        <x:v>Provisional source score - confirm evidence</x:v>
      </x:c>
      <x:c r="AL165" s="36"/>
      <x:c r="AM165" s="40"/>
      <x:c r="AN165" s="39"/>
      <x:c r="AO165" s="40"/>
      <x:c r="AP165" s="40"/>
    </x:row>
    <x:row r="166" ht="15" hidden="0" customHeight="1">
      <x:c r="A166" s="36" t="str">
        <x:v>Bu-171</x:v>
      </x:c>
      <x:c r="B166" s="37" t="str">
        <x:v>PS: EOS/EOL management (IB)</x:v>
      </x:c>
      <x:c r="C166" s="36" t="str">
        <x:v>BU Led</x:v>
      </x:c>
      <x:c r="D166" s="36" t="str">
        <x:v>Precision Diagnosis - Magnetic Resonance (MR)</x:v>
      </x:c>
      <x:c r="E166" s="38" t="n">
        <x:v>0.1</x:v>
      </x:c>
      <x:c r="F166" s="39"/>
      <x:c r="G166" s="38" t="n">
        <x:f>IF(ISNUMBER(F166),F166,IF(E166="","",E166))</x:f>
        <x:v>0.1</x:v>
      </x:c>
      <x:c r="H166" s="38"/>
      <x:c r="I166" s="39"/>
      <x:c r="J166" s="36" t="str">
        <x:v>Risk exposure</x:v>
      </x:c>
      <x:c r="K166" s="38" t="str">
        <x:f>IF(ISNUMBER(I166),I166,IF(OR(NOT(ISNUMBER(H166)),NOT(ISNUMBER(G166)),G166&lt;=0),"",IF(H166/G166&gt;='Score settings'!$B$58,"",IF(J166="Cash savings",H166,IF(J166="Revenue",H166*'Score settings'!$B$55,"")))))</x:f>
      </x:c>
      <x:c r="L166" s="36"/>
      <x:c r="M166" s="39"/>
      <x:c r="N166" s="40"/>
      <x:c r="O166" s="36" t="str">
        <x:v>Must Have</x:v>
      </x:c>
      <x:c r="P166" s="36" t="str">
        <x:v>CI</x:v>
      </x:c>
      <x:c r="Q166" s="36" t="str">
        <x:v>Compliance</x:v>
      </x:c>
      <x:c r="R166" s="36" t="str">
        <x:v>NotAssessed</x:v>
      </x:c>
      <x:c r="S166" s="36" t="str"/>
      <x:c r="T166" s="36" t="str">
        <x:v>Common pot</x:v>
      </x:c>
      <x:c r="U166" s="41" t="n">
        <x:f>VLOOKUP("Priority|"&amp;O166,'Score settings'!$A$14:$C$43,2,FALSE)/'Score settings'!$B$4*'Score settings'!$C$4</x:f>
        <x:v>18</x:v>
      </x:c>
      <x:c r="V166" s="41" t="n">
        <x:f>VLOOKUP("Category|"&amp;P166,'Score settings'!$A$14:$C$43,2,FALSE)/'Score settings'!$B$5*'Score settings'!$C$5</x:f>
        <x:v>8</x:v>
      </x:c>
      <x:c r="W166" s="41" t="n">
        <x:f>VLOOKUP("Area|"&amp;Q166,'Score settings'!$A$14:$C$43,2,FALSE)/'Score settings'!$B$6*'Score settings'!$C$6</x:f>
        <x:v>15</x:v>
      </x:c>
      <x:c r="X166" s="41" t="n">
        <x:f>VLOOKUP("Benefits|"&amp;IF(AND(ISNUMBER(H166),H166&gt;0,ISNUMBER(G166),G166&gt;0),IF(H166/G166&gt;='Score settings'!$E$17,"3plus",IF(H166/G166&gt;='Score settings'!$E$16,"1.5to3",IF(H166/G166&gt;='Score settings'!$E$15,"0.5to1.5","positive"))),"None"),'Score settings'!$A$14:$C$43,2,FALSE)/'Score settings'!$B$7*'Score settings'!$C$7</x:f>
        <x:v>5</x:v>
      </x:c>
      <x:c r="Y166" s="41" t="n">
        <x:f>VLOOKUP("Waste|"&amp;R166,'Score settings'!$A$14:$C$43,2,FALSE)/'Score settings'!$B$8*'Score settings'!$C$8</x:f>
        <x:v>7</x:v>
      </x:c>
      <x:c r="Z166" s="41" t="n">
        <x:f>IF(B166="","",SUM(U166:Y166))</x:f>
        <x:v>53</x:v>
      </x:c>
      <x:c r="AA166" s="41" t="str">
        <x:f>IF(Z166="","Not scored",VLOOKUP(Z166,'Score settings'!$A$47:$C$50,2,TRUE))</x:f>
        <x:v>Strong</x:v>
      </x:c>
      <x:c r="AB166" s="41" t="n">
        <x:f>VLOOKUP("Priority|"&amp;O166,'Score settings'!$A$14:$C$43,3,FALSE)/'Score settings'!$B$4*'Score settings'!$D$4</x:f>
        <x:v>10.799999999999999</x:v>
      </x:c>
      <x:c r="AC166" s="41" t="n">
        <x:f>VLOOKUP("Category|"&amp;P166,'Score settings'!$A$14:$C$43,3,FALSE)/'Score settings'!$B$5*'Score settings'!$D$5</x:f>
        <x:v>4</x:v>
      </x:c>
      <x:c r="AD166" s="41" t="n">
        <x:f>VLOOKUP("Area|"&amp;Q166,'Score settings'!$A$14:$C$43,3,FALSE)/'Score settings'!$B$6*'Score settings'!$D$6</x:f>
        <x:v>10</x:v>
      </x:c>
      <x:c r="AE166" s="41" t="n">
        <x:f>VLOOKUP("Benefits|"&amp;IF(AND(ISNUMBER(K166),K166&gt;0,ISNUMBER(G166),G166&gt;0),IF(K166/G166&gt;='Score settings'!$E$17,"3plus",IF(K166/G166&gt;='Score settings'!$E$16,"1.5to3",IF(K166/G166&gt;='Score settings'!$E$15,"0.5to1.5","positive"))),"None"),'Score settings'!$A$14:$C$43,3,FALSE)/'Score settings'!$B$7*'Score settings'!$D$7</x:f>
        <x:v>0</x:v>
      </x:c>
      <x:c r="AF166" s="41" t="n">
        <x:f>VLOOKUP("Waste|"&amp;R166,'Score settings'!$A$14:$C$43,3,FALSE)/'Score settings'!$B$8*'Score settings'!$D$8</x:f>
        <x:v>0</x:v>
      </x:c>
      <x:c r="AG166" s="41" t="n">
        <x:f>(IF(AND(ISNUMBER(M166),M166&gt;0,ISNUMBER(G166),G166&gt;0),IF(M166/G166&gt;='Score settings'!$E$17,'Score settings'!$G$17,IF(M166/G166&gt;='Score settings'!$E$16,'Score settings'!$G$16,IF(M166/G166&gt;='Score settings'!$E$15,'Score settings'!$G$15,'Score settings'!$G$14))),0)/15*'Score settings'!$B$60+IFERROR(VLOOKUP(IF(ISNUMBER(N166),N166,IF(ISNUMBER(L166),L166,0)),'Score settings'!$E$22:$F$26,2,FALSE),0)/10*'Score settings'!$B$61)/'Score settings'!$B$9*'Score settings'!$D$9</x:f>
        <x:v>0</x:v>
      </x:c>
      <x:c r="AH166" s="41" t="n">
        <x:f>IF(B166="","",SUM(AB166:AG166))</x:f>
        <x:v>24.799999999999997</x:v>
      </x:c>
      <x:c r="AI166" s="41" t="str">
        <x:f>IF(NOT(ISNUMBER(AH166)),"Not scored",VLOOKUP(AH166,'Score settings'!$A$47:$C$50,3,TRUE))</x:f>
        <x:v>Weak</x:v>
      </x:c>
      <x:c r="AJ166" s="42" t="n">
        <x:f>IF(OR(NOT(ISNUMBER(AH166)),T166&lt;&gt;"Common pot"),"",COUNTIFS($T$4:$T$509,"Common pot",$AH$4:$AH$509,"&gt;"&amp;AH166)+1)</x:f>
        <x:v>278</x:v>
      </x:c>
      <x:c r="AK166" s="36" t="str">
        <x:f>IF(B166="","Name missing - not scored",IF(OR(NOT(ISNUMBER(G166)),G166&lt;=0),"Investment missing or zero - review",IF(0=1,"Permanent ID missing - reconcile",IF(AND(ISNUMBER(H166),H166/G166&gt;='Score settings'!$B$58,NOT(ISNUMBER(I166))),"Benefit units need review",IF(OR(R166="EXIT",R166="CHALLENGE"),"Waste decision requires scope resolution",IF("Name and organisation matched"&lt;&gt;"Name and organisation matched","Waste evidence match needs review","Provisional source score - confirm evidence"))))))</x:f>
        <x:v>Provisional source score - confirm evidence</x:v>
      </x:c>
      <x:c r="AL166" s="36"/>
      <x:c r="AM166" s="40"/>
      <x:c r="AN166" s="39"/>
      <x:c r="AO166" s="40"/>
      <x:c r="AP166" s="40"/>
    </x:row>
    <x:row r="167" ht="15" hidden="0" customHeight="1">
      <x:c r="A167" s="36" t="str">
        <x:v>Bu-172</x:v>
      </x:c>
      <x:c r="B167" s="37" t="str">
        <x:v>MR Req2Res Type 1 </x:v>
      </x:c>
      <x:c r="C167" s="36" t="str">
        <x:v>BU Led</x:v>
      </x:c>
      <x:c r="D167" s="36" t="str">
        <x:v>Precision Diagnosis - Magnetic Resonance (MR)</x:v>
      </x:c>
      <x:c r="E167" s="38" t="n">
        <x:v>0.58</x:v>
      </x:c>
      <x:c r="F167" s="39"/>
      <x:c r="G167" s="38" t="n">
        <x:f>IF(ISNUMBER(F167),F167,IF(E167="","",E167))</x:f>
        <x:v>0.58</x:v>
      </x:c>
      <x:c r="H167" s="38"/>
      <x:c r="I167" s="39"/>
      <x:c r="J167" s="36" t="str">
        <x:v>Revenue</x:v>
      </x:c>
      <x:c r="K167" s="38" t="str">
        <x:f>IF(ISNUMBER(I167),I167,IF(OR(NOT(ISNUMBER(H167)),NOT(ISNUMBER(G167)),G167&lt;=0),"",IF(H167/G167&gt;='Score settings'!$B$58,"",IF(J167="Cash savings",H167,IF(J167="Revenue",H167*'Score settings'!$B$55,"")))))</x:f>
      </x:c>
      <x:c r="L167" s="36"/>
      <x:c r="M167" s="39"/>
      <x:c r="N167" s="40"/>
      <x:c r="O167" s="36" t="str">
        <x:v>Must Do</x:v>
      </x:c>
      <x:c r="P167" s="36" t="str">
        <x:v>CI</x:v>
      </x:c>
      <x:c r="Q167" s="36" t="str">
        <x:v>Revenue</x:v>
      </x:c>
      <x:c r="R167" s="36" t="str">
        <x:v>NotAssessed</x:v>
      </x:c>
      <x:c r="S167" s="36" t="str"/>
      <x:c r="T167" s="36" t="str">
        <x:v>Common pot</x:v>
      </x:c>
      <x:c r="U167" s="41" t="n">
        <x:f>VLOOKUP("Priority|"&amp;O167,'Score settings'!$A$14:$C$43,2,FALSE)/'Score settings'!$B$4*'Score settings'!$C$4</x:f>
        <x:v>25</x:v>
      </x:c>
      <x:c r="V167" s="41" t="n">
        <x:f>VLOOKUP("Category|"&amp;P167,'Score settings'!$A$14:$C$43,2,FALSE)/'Score settings'!$B$5*'Score settings'!$C$5</x:f>
        <x:v>8</x:v>
      </x:c>
      <x:c r="W167" s="41" t="n">
        <x:f>VLOOKUP("Area|"&amp;Q167,'Score settings'!$A$14:$C$43,2,FALSE)/'Score settings'!$B$6*'Score settings'!$C$6</x:f>
        <x:v>11</x:v>
      </x:c>
      <x:c r="X167" s="41" t="n">
        <x:f>VLOOKUP("Benefits|"&amp;IF(AND(ISNUMBER(H167),H167&gt;0,ISNUMBER(G167),G167&gt;0),IF(H167/G167&gt;='Score settings'!$E$17,"3plus",IF(H167/G167&gt;='Score settings'!$E$16,"1.5to3",IF(H167/G167&gt;='Score settings'!$E$15,"0.5to1.5","positive"))),"None"),'Score settings'!$A$14:$C$43,2,FALSE)/'Score settings'!$B$7*'Score settings'!$C$7</x:f>
        <x:v>5</x:v>
      </x:c>
      <x:c r="Y167" s="41" t="n">
        <x:f>VLOOKUP("Waste|"&amp;R167,'Score settings'!$A$14:$C$43,2,FALSE)/'Score settings'!$B$8*'Score settings'!$C$8</x:f>
        <x:v>7</x:v>
      </x:c>
      <x:c r="Z167" s="41" t="n">
        <x:f>IF(B167="","",SUM(U167:Y167))</x:f>
        <x:v>56</x:v>
      </x:c>
      <x:c r="AA167" s="41" t="str">
        <x:f>IF(Z167="","Not scored",VLOOKUP(Z167,'Score settings'!$A$47:$C$50,2,TRUE))</x:f>
        <x:v>Strong</x:v>
      </x:c>
      <x:c r="AB167" s="41" t="n">
        <x:f>VLOOKUP("Priority|"&amp;O167,'Score settings'!$A$14:$C$43,3,FALSE)/'Score settings'!$B$4*'Score settings'!$D$4</x:f>
        <x:v>15</x:v>
      </x:c>
      <x:c r="AC167" s="41" t="n">
        <x:f>VLOOKUP("Category|"&amp;P167,'Score settings'!$A$14:$C$43,3,FALSE)/'Score settings'!$B$5*'Score settings'!$D$5</x:f>
        <x:v>4</x:v>
      </x:c>
      <x:c r="AD167" s="41" t="n">
        <x:f>VLOOKUP("Area|"&amp;Q167,'Score settings'!$A$14:$C$43,3,FALSE)/'Score settings'!$B$6*'Score settings'!$D$6</x:f>
        <x:v>7.333333333333333</x:v>
      </x:c>
      <x:c r="AE167" s="41" t="n">
        <x:f>VLOOKUP("Benefits|"&amp;IF(AND(ISNUMBER(K167),K167&gt;0,ISNUMBER(G167),G167&gt;0),IF(K167/G167&gt;='Score settings'!$E$17,"3plus",IF(K167/G167&gt;='Score settings'!$E$16,"1.5to3",IF(K167/G167&gt;='Score settings'!$E$15,"0.5to1.5","positive"))),"None"),'Score settings'!$A$14:$C$43,3,FALSE)/'Score settings'!$B$7*'Score settings'!$D$7</x:f>
        <x:v>0</x:v>
      </x:c>
      <x:c r="AF167" s="41" t="n">
        <x:f>VLOOKUP("Waste|"&amp;R167,'Score settings'!$A$14:$C$43,3,FALSE)/'Score settings'!$B$8*'Score settings'!$D$8</x:f>
        <x:v>0</x:v>
      </x:c>
      <x:c r="AG167" s="41" t="n">
        <x:f>(IF(AND(ISNUMBER(M167),M167&gt;0,ISNUMBER(G167),G167&gt;0),IF(M167/G167&gt;='Score settings'!$E$17,'Score settings'!$G$17,IF(M167/G167&gt;='Score settings'!$E$16,'Score settings'!$G$16,IF(M167/G167&gt;='Score settings'!$E$15,'Score settings'!$G$15,'Score settings'!$G$14))),0)/15*'Score settings'!$B$60+IFERROR(VLOOKUP(IF(ISNUMBER(N167),N167,IF(ISNUMBER(L167),L167,0)),'Score settings'!$E$22:$F$26,2,FALSE),0)/10*'Score settings'!$B$61)/'Score settings'!$B$9*'Score settings'!$D$9</x:f>
        <x:v>0</x:v>
      </x:c>
      <x:c r="AH167" s="41" t="n">
        <x:f>IF(B167="","",SUM(AB167:AG167))</x:f>
        <x:v>26.333333333333332</x:v>
      </x:c>
      <x:c r="AI167" s="41" t="str">
        <x:f>IF(NOT(ISNUMBER(AH167)),"Not scored",VLOOKUP(AH167,'Score settings'!$A$47:$C$50,3,TRUE))</x:f>
        <x:v>Discretionary</x:v>
      </x:c>
      <x:c r="AJ167" s="42" t="n">
        <x:f>IF(OR(NOT(ISNUMBER(AH167)),T167&lt;&gt;"Common pot"),"",COUNTIFS($T$4:$T$509,"Common pot",$AH$4:$AH$509,"&gt;"&amp;AH167)+1)</x:f>
        <x:v>235</x:v>
      </x:c>
      <x:c r="AK167" s="36" t="str">
        <x:f>IF(B167="","Name missing - not scored",IF(OR(NOT(ISNUMBER(G167)),G167&lt;=0),"Investment missing or zero - review",IF(0=1,"Permanent ID missing - reconcile",IF(AND(ISNUMBER(H167),H167/G167&gt;='Score settings'!$B$58,NOT(ISNUMBER(I167))),"Benefit units need review",IF(OR(R167="EXIT",R167="CHALLENGE"),"Waste decision requires scope resolution",IF("Name and organisation matched"&lt;&gt;"Name and organisation matched","Waste evidence match needs review","Provisional source score - confirm evidence"))))))</x:f>
        <x:v>Provisional source score - confirm evidence</x:v>
      </x:c>
      <x:c r="AL167" s="36"/>
      <x:c r="AM167" s="40"/>
      <x:c r="AN167" s="39"/>
      <x:c r="AO167" s="40"/>
      <x:c r="AP167" s="40"/>
    </x:row>
    <x:row r="168" ht="15" hidden="0" customHeight="1">
      <x:c r="A168" s="36" t="str">
        <x:v>Bu-173</x:v>
      </x:c>
      <x:c r="B168" s="37" t="str">
        <x:v>3PP | 3rd party partners program </x:v>
      </x:c>
      <x:c r="C168" s="36" t="str">
        <x:v>BU Led</x:v>
      </x:c>
      <x:c r="D168" s="36" t="str">
        <x:v>Precision Diagnosis - Magnetic Resonance (MR)</x:v>
      </x:c>
      <x:c r="E168" s="38" t="n">
        <x:v>0.85</x:v>
      </x:c>
      <x:c r="F168" s="39"/>
      <x:c r="G168" s="38" t="n">
        <x:f>IF(ISNUMBER(F168),F168,IF(E168="","",E168))</x:f>
        <x:v>0.85</x:v>
      </x:c>
      <x:c r="H168" s="38"/>
      <x:c r="I168" s="39"/>
      <x:c r="J168" s="36" t="str">
        <x:v>Revenue</x:v>
      </x:c>
      <x:c r="K168" s="38" t="str">
        <x:f>IF(ISNUMBER(I168),I168,IF(OR(NOT(ISNUMBER(H168)),NOT(ISNUMBER(G168)),G168&lt;=0),"",IF(H168/G168&gt;='Score settings'!$B$58,"",IF(J168="Cash savings",H168,IF(J168="Revenue",H168*'Score settings'!$B$55,"")))))</x:f>
      </x:c>
      <x:c r="L168" s="36"/>
      <x:c r="M168" s="39"/>
      <x:c r="N168" s="40"/>
      <x:c r="O168" s="36" t="str">
        <x:v>Must Do</x:v>
      </x:c>
      <x:c r="P168" s="36" t="str">
        <x:v>NewFeat</x:v>
      </x:c>
      <x:c r="Q168" s="36" t="str">
        <x:v>Revenue</x:v>
      </x:c>
      <x:c r="R168" s="36" t="str">
        <x:v>NotAssessed</x:v>
      </x:c>
      <x:c r="S168" s="36" t="str"/>
      <x:c r="T168" s="36" t="str">
        <x:v>Common pot</x:v>
      </x:c>
      <x:c r="U168" s="41" t="n">
        <x:f>VLOOKUP("Priority|"&amp;O168,'Score settings'!$A$14:$C$43,2,FALSE)/'Score settings'!$B$4*'Score settings'!$C$4</x:f>
        <x:v>25</x:v>
      </x:c>
      <x:c r="V168" s="41" t="n">
        <x:f>VLOOKUP("Category|"&amp;P168,'Score settings'!$A$14:$C$43,2,FALSE)/'Score settings'!$B$5*'Score settings'!$C$5</x:f>
        <x:v>6</x:v>
      </x:c>
      <x:c r="W168" s="41" t="n">
        <x:f>VLOOKUP("Area|"&amp;Q168,'Score settings'!$A$14:$C$43,2,FALSE)/'Score settings'!$B$6*'Score settings'!$C$6</x:f>
        <x:v>11</x:v>
      </x:c>
      <x:c r="X168" s="41" t="n">
        <x:f>VLOOKUP("Benefits|"&amp;IF(AND(ISNUMBER(H168),H168&gt;0,ISNUMBER(G168),G168&gt;0),IF(H168/G168&gt;='Score settings'!$E$17,"3plus",IF(H168/G168&gt;='Score settings'!$E$16,"1.5to3",IF(H168/G168&gt;='Score settings'!$E$15,"0.5to1.5","positive"))),"None"),'Score settings'!$A$14:$C$43,2,FALSE)/'Score settings'!$B$7*'Score settings'!$C$7</x:f>
        <x:v>5</x:v>
      </x:c>
      <x:c r="Y168" s="41" t="n">
        <x:f>VLOOKUP("Waste|"&amp;R168,'Score settings'!$A$14:$C$43,2,FALSE)/'Score settings'!$B$8*'Score settings'!$C$8</x:f>
        <x:v>7</x:v>
      </x:c>
      <x:c r="Z168" s="41" t="n">
        <x:f>IF(B168="","",SUM(U168:Y168))</x:f>
        <x:v>54</x:v>
      </x:c>
      <x:c r="AA168" s="41" t="str">
        <x:f>IF(Z168="","Not scored",VLOOKUP(Z168,'Score settings'!$A$47:$C$50,2,TRUE))</x:f>
        <x:v>Strong</x:v>
      </x:c>
      <x:c r="AB168" s="41" t="n">
        <x:f>VLOOKUP("Priority|"&amp;O168,'Score settings'!$A$14:$C$43,3,FALSE)/'Score settings'!$B$4*'Score settings'!$D$4</x:f>
        <x:v>15</x:v>
      </x:c>
      <x:c r="AC168" s="41" t="n">
        <x:f>VLOOKUP("Category|"&amp;P168,'Score settings'!$A$14:$C$43,3,FALSE)/'Score settings'!$B$5*'Score settings'!$D$5</x:f>
        <x:v>3</x:v>
      </x:c>
      <x:c r="AD168" s="41" t="n">
        <x:f>VLOOKUP("Area|"&amp;Q168,'Score settings'!$A$14:$C$43,3,FALSE)/'Score settings'!$B$6*'Score settings'!$D$6</x:f>
        <x:v>7.333333333333333</x:v>
      </x:c>
      <x:c r="AE168" s="41" t="n">
        <x:f>VLOOKUP("Benefits|"&amp;IF(AND(ISNUMBER(K168),K168&gt;0,ISNUMBER(G168),G168&gt;0),IF(K168/G168&gt;='Score settings'!$E$17,"3plus",IF(K168/G168&gt;='Score settings'!$E$16,"1.5to3",IF(K168/G168&gt;='Score settings'!$E$15,"0.5to1.5","positive"))),"None"),'Score settings'!$A$14:$C$43,3,FALSE)/'Score settings'!$B$7*'Score settings'!$D$7</x:f>
        <x:v>0</x:v>
      </x:c>
      <x:c r="AF168" s="41" t="n">
        <x:f>VLOOKUP("Waste|"&amp;R168,'Score settings'!$A$14:$C$43,3,FALSE)/'Score settings'!$B$8*'Score settings'!$D$8</x:f>
        <x:v>0</x:v>
      </x:c>
      <x:c r="AG168" s="41" t="n">
        <x:f>(IF(AND(ISNUMBER(M168),M168&gt;0,ISNUMBER(G168),G168&gt;0),IF(M168/G168&gt;='Score settings'!$E$17,'Score settings'!$G$17,IF(M168/G168&gt;='Score settings'!$E$16,'Score settings'!$G$16,IF(M168/G168&gt;='Score settings'!$E$15,'Score settings'!$G$15,'Score settings'!$G$14))),0)/15*'Score settings'!$B$60+IFERROR(VLOOKUP(IF(ISNUMBER(N168),N168,IF(ISNUMBER(L168),L168,0)),'Score settings'!$E$22:$F$26,2,FALSE),0)/10*'Score settings'!$B$61)/'Score settings'!$B$9*'Score settings'!$D$9</x:f>
        <x:v>0</x:v>
      </x:c>
      <x:c r="AH168" s="41" t="n">
        <x:f>IF(B168="","",SUM(AB168:AG168))</x:f>
        <x:v>25.333333333333332</x:v>
      </x:c>
      <x:c r="AI168" s="41" t="str">
        <x:f>IF(NOT(ISNUMBER(AH168)),"Not scored",VLOOKUP(AH168,'Score settings'!$A$47:$C$50,3,TRUE))</x:f>
        <x:v>Discretionary</x:v>
      </x:c>
      <x:c r="AJ168" s="42" t="n">
        <x:f>IF(OR(NOT(ISNUMBER(AH168)),T168&lt;&gt;"Common pot"),"",COUNTIFS($T$4:$T$509,"Common pot",$AH$4:$AH$509,"&gt;"&amp;AH168)+1)</x:f>
        <x:v>253</x:v>
      </x:c>
      <x:c r="AK168" s="36" t="str">
        <x:f>IF(B168="","Name missing - not scored",IF(OR(NOT(ISNUMBER(G168)),G168&lt;=0),"Investment missing or zero - review",IF(0=1,"Permanent ID missing - reconcile",IF(AND(ISNUMBER(H168),H168/G168&gt;='Score settings'!$B$58,NOT(ISNUMBER(I168))),"Benefit units need review",IF(OR(R168="EXIT",R168="CHALLENGE"),"Waste decision requires scope resolution",IF("Name and organisation matched"&lt;&gt;"Name and organisation matched","Waste evidence match needs review","Provisional source score - confirm evidence"))))))</x:f>
        <x:v>Provisional source score - confirm evidence</x:v>
      </x:c>
      <x:c r="AL168" s="36"/>
      <x:c r="AM168" s="40"/>
      <x:c r="AN168" s="39"/>
      <x:c r="AO168" s="40"/>
      <x:c r="AP168" s="40"/>
    </x:row>
    <x:row r="169" ht="15" hidden="0" customHeight="1">
      <x:c r="A169" s="36" t="str">
        <x:v>Bu-174</x:v>
      </x:c>
      <x:c r="B169" s="37" t="str">
        <x:v>Sensei for quoting (AI solution)</x:v>
      </x:c>
      <x:c r="C169" s="36" t="str">
        <x:v>BU Led</x:v>
      </x:c>
      <x:c r="D169" s="36" t="str">
        <x:v>Precision Diagnosis - Magnetic Resonance (MR)</x:v>
      </x:c>
      <x:c r="E169" s="38" t="n">
        <x:v>1</x:v>
      </x:c>
      <x:c r="F169" s="39"/>
      <x:c r="G169" s="38" t="n">
        <x:f>IF(ISNUMBER(F169),F169,IF(E169="","",E169))</x:f>
        <x:v>1</x:v>
      </x:c>
      <x:c r="H169" s="38"/>
      <x:c r="I169" s="39"/>
      <x:c r="J169" s="36" t="str">
        <x:v>Cash savings</x:v>
      </x:c>
      <x:c r="K169" s="38" t="str">
        <x:f>IF(ISNUMBER(I169),I169,IF(OR(NOT(ISNUMBER(H169)),NOT(ISNUMBER(G169)),G169&lt;=0),"",IF(H169/G169&gt;='Score settings'!$B$58,"",IF(J169="Cash savings",H169,IF(J169="Revenue",H169*'Score settings'!$B$55,"")))))</x:f>
      </x:c>
      <x:c r="L169" s="36"/>
      <x:c r="M169" s="39"/>
      <x:c r="N169" s="40"/>
      <x:c r="O169" s="36" t="str">
        <x:v>Must Do</x:v>
      </x:c>
      <x:c r="P169" s="36" t="str">
        <x:v>AI</x:v>
      </x:c>
      <x:c r="Q169" s="36" t="str">
        <x:v>Productivity</x:v>
      </x:c>
      <x:c r="R169" s="36" t="str">
        <x:v>NotAssessed</x:v>
      </x:c>
      <x:c r="S169" s="36" t="str"/>
      <x:c r="T169" s="36" t="str">
        <x:v>Common pot</x:v>
      </x:c>
      <x:c r="U169" s="41" t="n">
        <x:f>VLOOKUP("Priority|"&amp;O169,'Score settings'!$A$14:$C$43,2,FALSE)/'Score settings'!$B$4*'Score settings'!$C$4</x:f>
        <x:v>25</x:v>
      </x:c>
      <x:c r="V169" s="41" t="n">
        <x:f>VLOOKUP("Category|"&amp;P169,'Score settings'!$A$14:$C$43,2,FALSE)/'Score settings'!$B$5*'Score settings'!$C$5</x:f>
        <x:v>16</x:v>
      </x:c>
      <x:c r="W169" s="41" t="n">
        <x:f>VLOOKUP("Area|"&amp;Q169,'Score settings'!$A$14:$C$43,2,FALSE)/'Score settings'!$B$6*'Score settings'!$C$6</x:f>
        <x:v>10</x:v>
      </x:c>
      <x:c r="X169" s="41" t="n">
        <x:f>VLOOKUP("Benefits|"&amp;IF(AND(ISNUMBER(H169),H169&gt;0,ISNUMBER(G169),G169&gt;0),IF(H169/G169&gt;='Score settings'!$E$17,"3plus",IF(H169/G169&gt;='Score settings'!$E$16,"1.5to3",IF(H169/G169&gt;='Score settings'!$E$15,"0.5to1.5","positive"))),"None"),'Score settings'!$A$14:$C$43,2,FALSE)/'Score settings'!$B$7*'Score settings'!$C$7</x:f>
        <x:v>5</x:v>
      </x:c>
      <x:c r="Y169" s="41" t="n">
        <x:f>VLOOKUP("Waste|"&amp;R169,'Score settings'!$A$14:$C$43,2,FALSE)/'Score settings'!$B$8*'Score settings'!$C$8</x:f>
        <x:v>7</x:v>
      </x:c>
      <x:c r="Z169" s="41" t="n">
        <x:f>IF(B169="","",SUM(U169:Y169))</x:f>
        <x:v>63</x:v>
      </x:c>
      <x:c r="AA169" s="41" t="str">
        <x:f>IF(Z169="","Not scored",VLOOKUP(Z169,'Score settings'!$A$47:$C$50,2,TRUE))</x:f>
        <x:v>Strong</x:v>
      </x:c>
      <x:c r="AB169" s="41" t="n">
        <x:f>VLOOKUP("Priority|"&amp;O169,'Score settings'!$A$14:$C$43,3,FALSE)/'Score settings'!$B$4*'Score settings'!$D$4</x:f>
        <x:v>15</x:v>
      </x:c>
      <x:c r="AC169" s="41" t="n">
        <x:f>VLOOKUP("Category|"&amp;P169,'Score settings'!$A$14:$C$43,3,FALSE)/'Score settings'!$B$5*'Score settings'!$D$5</x:f>
        <x:v>8</x:v>
      </x:c>
      <x:c r="AD169" s="41" t="n">
        <x:f>VLOOKUP("Area|"&amp;Q169,'Score settings'!$A$14:$C$43,3,FALSE)/'Score settings'!$B$6*'Score settings'!$D$6</x:f>
        <x:v>6.666666666666666</x:v>
      </x:c>
      <x:c r="AE169" s="41" t="n">
        <x:f>VLOOKUP("Benefits|"&amp;IF(AND(ISNUMBER(K169),K169&gt;0,ISNUMBER(G169),G169&gt;0),IF(K169/G169&gt;='Score settings'!$E$17,"3plus",IF(K169/G169&gt;='Score settings'!$E$16,"1.5to3",IF(K169/G169&gt;='Score settings'!$E$15,"0.5to1.5","positive"))),"None"),'Score settings'!$A$14:$C$43,3,FALSE)/'Score settings'!$B$7*'Score settings'!$D$7</x:f>
        <x:v>0</x:v>
      </x:c>
      <x:c r="AF169" s="41" t="n">
        <x:f>VLOOKUP("Waste|"&amp;R169,'Score settings'!$A$14:$C$43,3,FALSE)/'Score settings'!$B$8*'Score settings'!$D$8</x:f>
        <x:v>0</x:v>
      </x:c>
      <x:c r="AG169" s="41" t="n">
        <x:f>(IF(AND(ISNUMBER(M169),M169&gt;0,ISNUMBER(G169),G169&gt;0),IF(M169/G169&gt;='Score settings'!$E$17,'Score settings'!$G$17,IF(M169/G169&gt;='Score settings'!$E$16,'Score settings'!$G$16,IF(M169/G169&gt;='Score settings'!$E$15,'Score settings'!$G$15,'Score settings'!$G$14))),0)/15*'Score settings'!$B$60+IFERROR(VLOOKUP(IF(ISNUMBER(N169),N169,IF(ISNUMBER(L169),L169,0)),'Score settings'!$E$22:$F$26,2,FALSE),0)/10*'Score settings'!$B$61)/'Score settings'!$B$9*'Score settings'!$D$9</x:f>
        <x:v>0</x:v>
      </x:c>
      <x:c r="AH169" s="41" t="n">
        <x:f>IF(B169="","",SUM(AB169:AG169))</x:f>
        <x:v>29.666666666666664</x:v>
      </x:c>
      <x:c r="AI169" s="41" t="str">
        <x:f>IF(NOT(ISNUMBER(AH169)),"Not scored",VLOOKUP(AH169,'Score settings'!$A$47:$C$50,3,TRUE))</x:f>
        <x:v>Discretionary</x:v>
      </x:c>
      <x:c r="AJ169" s="42" t="n">
        <x:f>IF(OR(NOT(ISNUMBER(AH169)),T169&lt;&gt;"Common pot"),"",COUNTIFS($T$4:$T$509,"Common pot",$AH$4:$AH$509,"&gt;"&amp;AH169)+1)</x:f>
        <x:v>189</x:v>
      </x:c>
      <x:c r="AK169" s="36" t="str">
        <x:f>IF(B169="","Name missing - not scored",IF(OR(NOT(ISNUMBER(G169)),G169&lt;=0),"Investment missing or zero - review",IF(0=1,"Permanent ID missing - reconcile",IF(AND(ISNUMBER(H169),H169/G169&gt;='Score settings'!$B$58,NOT(ISNUMBER(I169))),"Benefit units need review",IF(OR(R169="EXIT",R169="CHALLENGE"),"Waste decision requires scope resolution",IF("Name and organisation matched"&lt;&gt;"Name and organisation matched","Waste evidence match needs review","Provisional source score - confirm evidence"))))))</x:f>
        <x:v>Provisional source score - confirm evidence</x:v>
      </x:c>
      <x:c r="AL169" s="36"/>
      <x:c r="AM169" s="40"/>
      <x:c r="AN169" s="39"/>
      <x:c r="AO169" s="40"/>
      <x:c r="AP169" s="40"/>
    </x:row>
    <x:row r="170" ht="15" hidden="0" customHeight="1">
      <x:c r="A170" s="36" t="str">
        <x:v>Bu-175</x:v>
      </x:c>
      <x:c r="B170" s="37" t="str">
        <x:v>I2M Program/Portfolio/Project Management (Planisware) CR's</x:v>
      </x:c>
      <x:c r="C170" s="36" t="str">
        <x:v>BU Led</x:v>
      </x:c>
      <x:c r="D170" s="36" t="str">
        <x:v>Precision Diagnosis - Magnetic Resonance (MR)</x:v>
      </x:c>
      <x:c r="E170" s="38" t="n">
        <x:v>0.075</x:v>
      </x:c>
      <x:c r="F170" s="39"/>
      <x:c r="G170" s="38" t="n">
        <x:f>IF(ISNUMBER(F170),F170,IF(E170="","",E170))</x:f>
        <x:v>0.075</x:v>
      </x:c>
      <x:c r="H170" s="38"/>
      <x:c r="I170" s="39"/>
      <x:c r="J170" s="36" t="str">
        <x:v>Cash savings</x:v>
      </x:c>
      <x:c r="K170" s="38" t="str">
        <x:f>IF(ISNUMBER(I170),I170,IF(OR(NOT(ISNUMBER(H170)),NOT(ISNUMBER(G170)),G170&lt;=0),"",IF(H170/G170&gt;='Score settings'!$B$58,"",IF(J170="Cash savings",H170,IF(J170="Revenue",H170*'Score settings'!$B$55,"")))))</x:f>
      </x:c>
      <x:c r="L170" s="36"/>
      <x:c r="M170" s="39"/>
      <x:c r="N170" s="40"/>
      <x:c r="O170" s="36" t="str">
        <x:v>Must Have</x:v>
      </x:c>
      <x:c r="P170" s="36" t="str">
        <x:v>Upgrades</x:v>
      </x:c>
      <x:c r="Q170" s="36" t="str">
        <x:v>ProcSimp</x:v>
      </x:c>
      <x:c r="R170" s="36" t="str">
        <x:v>NotAssessed</x:v>
      </x:c>
      <x:c r="S170" s="36" t="str"/>
      <x:c r="T170" s="36" t="str">
        <x:v>Common pot</x:v>
      </x:c>
      <x:c r="U170" s="41" t="n">
        <x:f>VLOOKUP("Priority|"&amp;O170,'Score settings'!$A$14:$C$43,2,FALSE)/'Score settings'!$B$4*'Score settings'!$C$4</x:f>
        <x:v>18</x:v>
      </x:c>
      <x:c r="V170" s="41" t="n">
        <x:f>VLOOKUP("Category|"&amp;P170,'Score settings'!$A$14:$C$43,2,FALSE)/'Score settings'!$B$5*'Score settings'!$C$5</x:f>
        <x:v>10</x:v>
      </x:c>
      <x:c r="W170" s="41" t="n">
        <x:f>VLOOKUP("Area|"&amp;Q170,'Score settings'!$A$14:$C$43,2,FALSE)/'Score settings'!$B$6*'Score settings'!$C$6</x:f>
        <x:v>12</x:v>
      </x:c>
      <x:c r="X170" s="41" t="n">
        <x:f>VLOOKUP("Benefits|"&amp;IF(AND(ISNUMBER(H170),H170&gt;0,ISNUMBER(G170),G170&gt;0),IF(H170/G170&gt;='Score settings'!$E$17,"3plus",IF(H170/G170&gt;='Score settings'!$E$16,"1.5to3",IF(H170/G170&gt;='Score settings'!$E$15,"0.5to1.5","positive"))),"None"),'Score settings'!$A$14:$C$43,2,FALSE)/'Score settings'!$B$7*'Score settings'!$C$7</x:f>
        <x:v>5</x:v>
      </x:c>
      <x:c r="Y170" s="41" t="n">
        <x:f>VLOOKUP("Waste|"&amp;R170,'Score settings'!$A$14:$C$43,2,FALSE)/'Score settings'!$B$8*'Score settings'!$C$8</x:f>
        <x:v>7</x:v>
      </x:c>
      <x:c r="Z170" s="41" t="n">
        <x:f>IF(B170="","",SUM(U170:Y170))</x:f>
        <x:v>52</x:v>
      </x:c>
      <x:c r="AA170" s="41" t="str">
        <x:f>IF(Z170="","Not scored",VLOOKUP(Z170,'Score settings'!$A$47:$C$50,2,TRUE))</x:f>
        <x:v>Strong</x:v>
      </x:c>
      <x:c r="AB170" s="41" t="n">
        <x:f>VLOOKUP("Priority|"&amp;O170,'Score settings'!$A$14:$C$43,3,FALSE)/'Score settings'!$B$4*'Score settings'!$D$4</x:f>
        <x:v>10.799999999999999</x:v>
      </x:c>
      <x:c r="AC170" s="41" t="n">
        <x:f>VLOOKUP("Category|"&amp;P170,'Score settings'!$A$14:$C$43,3,FALSE)/'Score settings'!$B$5*'Score settings'!$D$5</x:f>
        <x:v>5</x:v>
      </x:c>
      <x:c r="AD170" s="41" t="n">
        <x:f>VLOOKUP("Area|"&amp;Q170,'Score settings'!$A$14:$C$43,3,FALSE)/'Score settings'!$B$6*'Score settings'!$D$6</x:f>
        <x:v>8</x:v>
      </x:c>
      <x:c r="AE170" s="41" t="n">
        <x:f>VLOOKUP("Benefits|"&amp;IF(AND(ISNUMBER(K170),K170&gt;0,ISNUMBER(G170),G170&gt;0),IF(K170/G170&gt;='Score settings'!$E$17,"3plus",IF(K170/G170&gt;='Score settings'!$E$16,"1.5to3",IF(K170/G170&gt;='Score settings'!$E$15,"0.5to1.5","positive"))),"None"),'Score settings'!$A$14:$C$43,3,FALSE)/'Score settings'!$B$7*'Score settings'!$D$7</x:f>
        <x:v>0</x:v>
      </x:c>
      <x:c r="AF170" s="41" t="n">
        <x:f>VLOOKUP("Waste|"&amp;R170,'Score settings'!$A$14:$C$43,3,FALSE)/'Score settings'!$B$8*'Score settings'!$D$8</x:f>
        <x:v>0</x:v>
      </x:c>
      <x:c r="AG170" s="41" t="n">
        <x:f>(IF(AND(ISNUMBER(M170),M170&gt;0,ISNUMBER(G170),G170&gt;0),IF(M170/G170&gt;='Score settings'!$E$17,'Score settings'!$G$17,IF(M170/G170&gt;='Score settings'!$E$16,'Score settings'!$G$16,IF(M170/G170&gt;='Score settings'!$E$15,'Score settings'!$G$15,'Score settings'!$G$14))),0)/15*'Score settings'!$B$60+IFERROR(VLOOKUP(IF(ISNUMBER(N170),N170,IF(ISNUMBER(L170),L170,0)),'Score settings'!$E$22:$F$26,2,FALSE),0)/10*'Score settings'!$B$61)/'Score settings'!$B$9*'Score settings'!$D$9</x:f>
        <x:v>0</x:v>
      </x:c>
      <x:c r="AH170" s="41" t="n">
        <x:f>IF(B170="","",SUM(AB170:AG170))</x:f>
        <x:v>23.799999999999997</x:v>
      </x:c>
      <x:c r="AI170" s="41" t="str">
        <x:f>IF(NOT(ISNUMBER(AH170)),"Not scored",VLOOKUP(AH170,'Score settings'!$A$47:$C$50,3,TRUE))</x:f>
        <x:v>Weak</x:v>
      </x:c>
      <x:c r="AJ170" s="42" t="n">
        <x:f>IF(OR(NOT(ISNUMBER(AH170)),T170&lt;&gt;"Common pot"),"",COUNTIFS($T$4:$T$509,"Common pot",$AH$4:$AH$509,"&gt;"&amp;AH170)+1)</x:f>
        <x:v>289</x:v>
      </x:c>
      <x:c r="AK170" s="36" t="str">
        <x:f>IF(B170="","Name missing - not scored",IF(OR(NOT(ISNUMBER(G170)),G170&lt;=0),"Investment missing or zero - review",IF(0=1,"Permanent ID missing - reconcile",IF(AND(ISNUMBER(H170),H170/G170&gt;='Score settings'!$B$58,NOT(ISNUMBER(I170))),"Benefit units need review",IF(OR(R170="EXIT",R170="CHALLENGE"),"Waste decision requires scope resolution",IF("Name and organisation matched"&lt;&gt;"Name and organisation matched","Waste evidence match needs review","Provisional source score - confirm evidence"))))))</x:f>
        <x:v>Provisional source score - confirm evidence</x:v>
      </x:c>
      <x:c r="AL170" s="36"/>
      <x:c r="AM170" s="40"/>
      <x:c r="AN170" s="39"/>
      <x:c r="AO170" s="40"/>
      <x:c r="AP170" s="40"/>
    </x:row>
    <x:row r="171" ht="15" hidden="0" customHeight="1">
      <x:c r="A171" s="36" t="str">
        <x:v>Bu-176</x:v>
      </x:c>
      <x:c r="B171" s="37" t="str">
        <x:v>I2M Engineering Tooling CR's &amp; Licenses</x:v>
      </x:c>
      <x:c r="C171" s="36" t="str">
        <x:v>BU Led</x:v>
      </x:c>
      <x:c r="D171" s="36" t="str">
        <x:v>Precision Diagnosis - Magnetic Resonance (MR)</x:v>
      </x:c>
      <x:c r="E171" s="38" t="n">
        <x:v>0.736</x:v>
      </x:c>
      <x:c r="F171" s="39"/>
      <x:c r="G171" s="38" t="n">
        <x:f>IF(ISNUMBER(F171),F171,IF(E171="","",E171))</x:f>
        <x:v>0.736</x:v>
      </x:c>
      <x:c r="H171" s="38"/>
      <x:c r="I171" s="39"/>
      <x:c r="J171" s="36" t="str">
        <x:v>Risk exposure</x:v>
      </x:c>
      <x:c r="K171" s="38" t="str">
        <x:f>IF(ISNUMBER(I171),I171,IF(OR(NOT(ISNUMBER(H171)),NOT(ISNUMBER(G171)),G171&lt;=0),"",IF(H171/G171&gt;='Score settings'!$B$58,"",IF(J171="Cash savings",H171,IF(J171="Revenue",H171*'Score settings'!$B$55,"")))))</x:f>
      </x:c>
      <x:c r="L171" s="36"/>
      <x:c r="M171" s="39"/>
      <x:c r="N171" s="40"/>
      <x:c r="O171" s="36" t="str">
        <x:v>Must Do</x:v>
      </x:c>
      <x:c r="P171" s="36" t="str">
        <x:v>CI</x:v>
      </x:c>
      <x:c r="Q171" s="36" t="str">
        <x:v>Compliance</x:v>
      </x:c>
      <x:c r="R171" s="36" t="str">
        <x:v>NotAssessed</x:v>
      </x:c>
      <x:c r="S171" s="36" t="str"/>
      <x:c r="T171" s="36" t="str">
        <x:v>Common pot</x:v>
      </x:c>
      <x:c r="U171" s="41" t="n">
        <x:f>VLOOKUP("Priority|"&amp;O171,'Score settings'!$A$14:$C$43,2,FALSE)/'Score settings'!$B$4*'Score settings'!$C$4</x:f>
        <x:v>25</x:v>
      </x:c>
      <x:c r="V171" s="41" t="n">
        <x:f>VLOOKUP("Category|"&amp;P171,'Score settings'!$A$14:$C$43,2,FALSE)/'Score settings'!$B$5*'Score settings'!$C$5</x:f>
        <x:v>8</x:v>
      </x:c>
      <x:c r="W171" s="41" t="n">
        <x:f>VLOOKUP("Area|"&amp;Q171,'Score settings'!$A$14:$C$43,2,FALSE)/'Score settings'!$B$6*'Score settings'!$C$6</x:f>
        <x:v>15</x:v>
      </x:c>
      <x:c r="X171" s="41" t="n">
        <x:f>VLOOKUP("Benefits|"&amp;IF(AND(ISNUMBER(H171),H171&gt;0,ISNUMBER(G171),G171&gt;0),IF(H171/G171&gt;='Score settings'!$E$17,"3plus",IF(H171/G171&gt;='Score settings'!$E$16,"1.5to3",IF(H171/G171&gt;='Score settings'!$E$15,"0.5to1.5","positive"))),"None"),'Score settings'!$A$14:$C$43,2,FALSE)/'Score settings'!$B$7*'Score settings'!$C$7</x:f>
        <x:v>5</x:v>
      </x:c>
      <x:c r="Y171" s="41" t="n">
        <x:f>VLOOKUP("Waste|"&amp;R171,'Score settings'!$A$14:$C$43,2,FALSE)/'Score settings'!$B$8*'Score settings'!$C$8</x:f>
        <x:v>7</x:v>
      </x:c>
      <x:c r="Z171" s="41" t="n">
        <x:f>IF(B171="","",SUM(U171:Y171))</x:f>
        <x:v>60</x:v>
      </x:c>
      <x:c r="AA171" s="41" t="str">
        <x:f>IF(Z171="","Not scored",VLOOKUP(Z171,'Score settings'!$A$47:$C$50,2,TRUE))</x:f>
        <x:v>Strong</x:v>
      </x:c>
      <x:c r="AB171" s="41" t="n">
        <x:f>VLOOKUP("Priority|"&amp;O171,'Score settings'!$A$14:$C$43,3,FALSE)/'Score settings'!$B$4*'Score settings'!$D$4</x:f>
        <x:v>15</x:v>
      </x:c>
      <x:c r="AC171" s="41" t="n">
        <x:f>VLOOKUP("Category|"&amp;P171,'Score settings'!$A$14:$C$43,3,FALSE)/'Score settings'!$B$5*'Score settings'!$D$5</x:f>
        <x:v>4</x:v>
      </x:c>
      <x:c r="AD171" s="41" t="n">
        <x:f>VLOOKUP("Area|"&amp;Q171,'Score settings'!$A$14:$C$43,3,FALSE)/'Score settings'!$B$6*'Score settings'!$D$6</x:f>
        <x:v>10</x:v>
      </x:c>
      <x:c r="AE171" s="41" t="n">
        <x:f>VLOOKUP("Benefits|"&amp;IF(AND(ISNUMBER(K171),K171&gt;0,ISNUMBER(G171),G171&gt;0),IF(K171/G171&gt;='Score settings'!$E$17,"3plus",IF(K171/G171&gt;='Score settings'!$E$16,"1.5to3",IF(K171/G171&gt;='Score settings'!$E$15,"0.5to1.5","positive"))),"None"),'Score settings'!$A$14:$C$43,3,FALSE)/'Score settings'!$B$7*'Score settings'!$D$7</x:f>
        <x:v>0</x:v>
      </x:c>
      <x:c r="AF171" s="41" t="n">
        <x:f>VLOOKUP("Waste|"&amp;R171,'Score settings'!$A$14:$C$43,3,FALSE)/'Score settings'!$B$8*'Score settings'!$D$8</x:f>
        <x:v>0</x:v>
      </x:c>
      <x:c r="AG171" s="41" t="n">
        <x:f>(IF(AND(ISNUMBER(M171),M171&gt;0,ISNUMBER(G171),G171&gt;0),IF(M171/G171&gt;='Score settings'!$E$17,'Score settings'!$G$17,IF(M171/G171&gt;='Score settings'!$E$16,'Score settings'!$G$16,IF(M171/G171&gt;='Score settings'!$E$15,'Score settings'!$G$15,'Score settings'!$G$14))),0)/15*'Score settings'!$B$60+IFERROR(VLOOKUP(IF(ISNUMBER(N171),N171,IF(ISNUMBER(L171),L171,0)),'Score settings'!$E$22:$F$26,2,FALSE),0)/10*'Score settings'!$B$61)/'Score settings'!$B$9*'Score settings'!$D$9</x:f>
        <x:v>0</x:v>
      </x:c>
      <x:c r="AH171" s="41" t="n">
        <x:f>IF(B171="","",SUM(AB171:AG171))</x:f>
        <x:v>29</x:v>
      </x:c>
      <x:c r="AI171" s="41" t="str">
        <x:f>IF(NOT(ISNUMBER(AH171)),"Not scored",VLOOKUP(AH171,'Score settings'!$A$47:$C$50,3,TRUE))</x:f>
        <x:v>Discretionary</x:v>
      </x:c>
      <x:c r="AJ171" s="42" t="n">
        <x:f>IF(OR(NOT(ISNUMBER(AH171)),T171&lt;&gt;"Common pot"),"",COUNTIFS($T$4:$T$509,"Common pot",$AH$4:$AH$509,"&gt;"&amp;AH171)+1)</x:f>
        <x:v>195</x:v>
      </x:c>
      <x:c r="AK171" s="36" t="str">
        <x:f>IF(B171="","Name missing - not scored",IF(OR(NOT(ISNUMBER(G171)),G171&lt;=0),"Investment missing or zero - review",IF(0=1,"Permanent ID missing - reconcile",IF(AND(ISNUMBER(H171),H171/G171&gt;='Score settings'!$B$58,NOT(ISNUMBER(I171))),"Benefit units need review",IF(OR(R171="EXIT",R171="CHALLENGE"),"Waste decision requires scope resolution",IF("Name and organisation matched"&lt;&gt;"Name and organisation matched","Waste evidence match needs review","Provisional source score - confirm evidence"))))))</x:f>
        <x:v>Provisional source score - confirm evidence</x:v>
      </x:c>
      <x:c r="AL171" s="36"/>
      <x:c r="AM171" s="40"/>
      <x:c r="AN171" s="39"/>
      <x:c r="AO171" s="40"/>
      <x:c r="AP171" s="40"/>
    </x:row>
    <x:row r="172" ht="15" hidden="0" customHeight="1">
      <x:c r="A172" s="36" t="str">
        <x:v>Bu-177</x:v>
      </x:c>
      <x:c r="B172" s="37" t="str">
        <x:v>Deploy maintenance logbook preparations (IB whitepaper)</x:v>
      </x:c>
      <x:c r="C172" s="36" t="str">
        <x:v>BU Led</x:v>
      </x:c>
      <x:c r="D172" s="36" t="str">
        <x:v>Precision Diagnosis - Magnetic Resonance (MR)</x:v>
      </x:c>
      <x:c r="E172" s="38" t="n">
        <x:v>0.15</x:v>
      </x:c>
      <x:c r="F172" s="39"/>
      <x:c r="G172" s="38" t="n">
        <x:f>IF(ISNUMBER(F172),F172,IF(E172="","",E172))</x:f>
        <x:v>0.15</x:v>
      </x:c>
      <x:c r="H172" s="38"/>
      <x:c r="I172" s="39"/>
      <x:c r="J172" s="36" t="str">
        <x:v>Cash savings</x:v>
      </x:c>
      <x:c r="K172" s="38" t="str">
        <x:f>IF(ISNUMBER(I172),I172,IF(OR(NOT(ISNUMBER(H172)),NOT(ISNUMBER(G172)),G172&lt;=0),"",IF(H172/G172&gt;='Score settings'!$B$58,"",IF(J172="Cash savings",H172,IF(J172="Revenue",H172*'Score settings'!$B$55,"")))))</x:f>
      </x:c>
      <x:c r="L172" s="36"/>
      <x:c r="M172" s="39"/>
      <x:c r="N172" s="40"/>
      <x:c r="O172" s="36" t="str">
        <x:v>Must Have</x:v>
      </x:c>
      <x:c r="P172" s="36" t="str">
        <x:v>NewFeat</x:v>
      </x:c>
      <x:c r="Q172" s="36" t="str">
        <x:v>ProcSimp</x:v>
      </x:c>
      <x:c r="R172" s="36" t="str">
        <x:v>NotAssessed</x:v>
      </x:c>
      <x:c r="S172" s="36" t="str"/>
      <x:c r="T172" s="36" t="str">
        <x:v>Common pot</x:v>
      </x:c>
      <x:c r="U172" s="41" t="n">
        <x:f>VLOOKUP("Priority|"&amp;O172,'Score settings'!$A$14:$C$43,2,FALSE)/'Score settings'!$B$4*'Score settings'!$C$4</x:f>
        <x:v>18</x:v>
      </x:c>
      <x:c r="V172" s="41" t="n">
        <x:f>VLOOKUP("Category|"&amp;P172,'Score settings'!$A$14:$C$43,2,FALSE)/'Score settings'!$B$5*'Score settings'!$C$5</x:f>
        <x:v>6</x:v>
      </x:c>
      <x:c r="W172" s="41" t="n">
        <x:f>VLOOKUP("Area|"&amp;Q172,'Score settings'!$A$14:$C$43,2,FALSE)/'Score settings'!$B$6*'Score settings'!$C$6</x:f>
        <x:v>12</x:v>
      </x:c>
      <x:c r="X172" s="41" t="n">
        <x:f>VLOOKUP("Benefits|"&amp;IF(AND(ISNUMBER(H172),H172&gt;0,ISNUMBER(G172),G172&gt;0),IF(H172/G172&gt;='Score settings'!$E$17,"3plus",IF(H172/G172&gt;='Score settings'!$E$16,"1.5to3",IF(H172/G172&gt;='Score settings'!$E$15,"0.5to1.5","positive"))),"None"),'Score settings'!$A$14:$C$43,2,FALSE)/'Score settings'!$B$7*'Score settings'!$C$7</x:f>
        <x:v>5</x:v>
      </x:c>
      <x:c r="Y172" s="41" t="n">
        <x:f>VLOOKUP("Waste|"&amp;R172,'Score settings'!$A$14:$C$43,2,FALSE)/'Score settings'!$B$8*'Score settings'!$C$8</x:f>
        <x:v>7</x:v>
      </x:c>
      <x:c r="Z172" s="41" t="n">
        <x:f>IF(B172="","",SUM(U172:Y172))</x:f>
        <x:v>48</x:v>
      </x:c>
      <x:c r="AA172" s="41" t="str">
        <x:f>IF(Z172="","Not scored",VLOOKUP(Z172,'Score settings'!$A$47:$C$50,2,TRUE))</x:f>
        <x:v>Strong</x:v>
      </x:c>
      <x:c r="AB172" s="41" t="n">
        <x:f>VLOOKUP("Priority|"&amp;O172,'Score settings'!$A$14:$C$43,3,FALSE)/'Score settings'!$B$4*'Score settings'!$D$4</x:f>
        <x:v>10.799999999999999</x:v>
      </x:c>
      <x:c r="AC172" s="41" t="n">
        <x:f>VLOOKUP("Category|"&amp;P172,'Score settings'!$A$14:$C$43,3,FALSE)/'Score settings'!$B$5*'Score settings'!$D$5</x:f>
        <x:v>3</x:v>
      </x:c>
      <x:c r="AD172" s="41" t="n">
        <x:f>VLOOKUP("Area|"&amp;Q172,'Score settings'!$A$14:$C$43,3,FALSE)/'Score settings'!$B$6*'Score settings'!$D$6</x:f>
        <x:v>8</x:v>
      </x:c>
      <x:c r="AE172" s="41" t="n">
        <x:f>VLOOKUP("Benefits|"&amp;IF(AND(ISNUMBER(K172),K172&gt;0,ISNUMBER(G172),G172&gt;0),IF(K172/G172&gt;='Score settings'!$E$17,"3plus",IF(K172/G172&gt;='Score settings'!$E$16,"1.5to3",IF(K172/G172&gt;='Score settings'!$E$15,"0.5to1.5","positive"))),"None"),'Score settings'!$A$14:$C$43,3,FALSE)/'Score settings'!$B$7*'Score settings'!$D$7</x:f>
        <x:v>0</x:v>
      </x:c>
      <x:c r="AF172" s="41" t="n">
        <x:f>VLOOKUP("Waste|"&amp;R172,'Score settings'!$A$14:$C$43,3,FALSE)/'Score settings'!$B$8*'Score settings'!$D$8</x:f>
        <x:v>0</x:v>
      </x:c>
      <x:c r="AG172" s="41" t="n">
        <x:f>(IF(AND(ISNUMBER(M172),M172&gt;0,ISNUMBER(G172),G172&gt;0),IF(M172/G172&gt;='Score settings'!$E$17,'Score settings'!$G$17,IF(M172/G172&gt;='Score settings'!$E$16,'Score settings'!$G$16,IF(M172/G172&gt;='Score settings'!$E$15,'Score settings'!$G$15,'Score settings'!$G$14))),0)/15*'Score settings'!$B$60+IFERROR(VLOOKUP(IF(ISNUMBER(N172),N172,IF(ISNUMBER(L172),L172,0)),'Score settings'!$E$22:$F$26,2,FALSE),0)/10*'Score settings'!$B$61)/'Score settings'!$B$9*'Score settings'!$D$9</x:f>
        <x:v>0</x:v>
      </x:c>
      <x:c r="AH172" s="41" t="n">
        <x:f>IF(B172="","",SUM(AB172:AG172))</x:f>
        <x:v>21.799999999999997</x:v>
      </x:c>
      <x:c r="AI172" s="41" t="str">
        <x:f>IF(NOT(ISNUMBER(AH172)),"Not scored",VLOOKUP(AH172,'Score settings'!$A$47:$C$50,3,TRUE))</x:f>
        <x:v>Weak</x:v>
      </x:c>
      <x:c r="AJ172" s="42" t="n">
        <x:f>IF(OR(NOT(ISNUMBER(AH172)),T172&lt;&gt;"Common pot"),"",COUNTIFS($T$4:$T$509,"Common pot",$AH$4:$AH$509,"&gt;"&amp;AH172)+1)</x:f>
        <x:v>333</x:v>
      </x:c>
      <x:c r="AK172" s="36" t="str">
        <x:f>IF(B172="","Name missing - not scored",IF(OR(NOT(ISNUMBER(G172)),G172&lt;=0),"Investment missing or zero - review",IF(0=1,"Permanent ID missing - reconcile",IF(AND(ISNUMBER(H172),H172/G172&gt;='Score settings'!$B$58,NOT(ISNUMBER(I172))),"Benefit units need review",IF(OR(R172="EXIT",R172="CHALLENGE"),"Waste decision requires scope resolution",IF("Name and organisation matched"&lt;&gt;"Name and organisation matched","Waste evidence match needs review","Provisional source score - confirm evidence"))))))</x:f>
        <x:v>Provisional source score - confirm evidence</x:v>
      </x:c>
      <x:c r="AL172" s="36"/>
      <x:c r="AM172" s="40"/>
      <x:c r="AN172" s="39"/>
      <x:c r="AO172" s="40"/>
      <x:c r="AP172" s="40"/>
    </x:row>
    <x:row r="173" ht="15" hidden="0" customHeight="1">
      <x:c r="A173" s="36" t="str">
        <x:v>Bu-178</x:v>
      </x:c>
      <x:c r="B173" s="37" t="str">
        <x:v>Unlock as-granted ibase for HW to auto-populate guided selling</x:v>
      </x:c>
      <x:c r="C173" s="36" t="str">
        <x:v>BU Led</x:v>
      </x:c>
      <x:c r="D173" s="36" t="str">
        <x:v>Precision Diagnosis - Magnetic Resonance (MR)</x:v>
      </x:c>
      <x:c r="E173" s="38" t="n">
        <x:v>0.1</x:v>
      </x:c>
      <x:c r="F173" s="39"/>
      <x:c r="G173" s="38" t="n">
        <x:f>IF(ISNUMBER(F173),F173,IF(E173="","",E173))</x:f>
        <x:v>0.1</x:v>
      </x:c>
      <x:c r="H173" s="38"/>
      <x:c r="I173" s="39"/>
      <x:c r="J173" s="36" t="str">
        <x:v>Cash savings</x:v>
      </x:c>
      <x:c r="K173" s="38" t="str">
        <x:f>IF(ISNUMBER(I173),I173,IF(OR(NOT(ISNUMBER(H173)),NOT(ISNUMBER(G173)),G173&lt;=0),"",IF(H173/G173&gt;='Score settings'!$B$58,"",IF(J173="Cash savings",H173,IF(J173="Revenue",H173*'Score settings'!$B$55,"")))))</x:f>
      </x:c>
      <x:c r="L173" s="36"/>
      <x:c r="M173" s="39"/>
      <x:c r="N173" s="40"/>
      <x:c r="O173" s="36" t="str">
        <x:v>Must Have</x:v>
      </x:c>
      <x:c r="P173" s="36" t="str">
        <x:v>NewFeat</x:v>
      </x:c>
      <x:c r="Q173" s="36" t="str">
        <x:v>ProcSimp</x:v>
      </x:c>
      <x:c r="R173" s="36" t="str">
        <x:v>NotAssessed</x:v>
      </x:c>
      <x:c r="S173" s="36" t="str"/>
      <x:c r="T173" s="36" t="str">
        <x:v>Common pot</x:v>
      </x:c>
      <x:c r="U173" s="41" t="n">
        <x:f>VLOOKUP("Priority|"&amp;O173,'Score settings'!$A$14:$C$43,2,FALSE)/'Score settings'!$B$4*'Score settings'!$C$4</x:f>
        <x:v>18</x:v>
      </x:c>
      <x:c r="V173" s="41" t="n">
        <x:f>VLOOKUP("Category|"&amp;P173,'Score settings'!$A$14:$C$43,2,FALSE)/'Score settings'!$B$5*'Score settings'!$C$5</x:f>
        <x:v>6</x:v>
      </x:c>
      <x:c r="W173" s="41" t="n">
        <x:f>VLOOKUP("Area|"&amp;Q173,'Score settings'!$A$14:$C$43,2,FALSE)/'Score settings'!$B$6*'Score settings'!$C$6</x:f>
        <x:v>12</x:v>
      </x:c>
      <x:c r="X173" s="41" t="n">
        <x:f>VLOOKUP("Benefits|"&amp;IF(AND(ISNUMBER(H173),H173&gt;0,ISNUMBER(G173),G173&gt;0),IF(H173/G173&gt;='Score settings'!$E$17,"3plus",IF(H173/G173&gt;='Score settings'!$E$16,"1.5to3",IF(H173/G173&gt;='Score settings'!$E$15,"0.5to1.5","positive"))),"None"),'Score settings'!$A$14:$C$43,2,FALSE)/'Score settings'!$B$7*'Score settings'!$C$7</x:f>
        <x:v>5</x:v>
      </x:c>
      <x:c r="Y173" s="41" t="n">
        <x:f>VLOOKUP("Waste|"&amp;R173,'Score settings'!$A$14:$C$43,2,FALSE)/'Score settings'!$B$8*'Score settings'!$C$8</x:f>
        <x:v>7</x:v>
      </x:c>
      <x:c r="Z173" s="41" t="n">
        <x:f>IF(B173="","",SUM(U173:Y173))</x:f>
        <x:v>48</x:v>
      </x:c>
      <x:c r="AA173" s="41" t="str">
        <x:f>IF(Z173="","Not scored",VLOOKUP(Z173,'Score settings'!$A$47:$C$50,2,TRUE))</x:f>
        <x:v>Strong</x:v>
      </x:c>
      <x:c r="AB173" s="41" t="n">
        <x:f>VLOOKUP("Priority|"&amp;O173,'Score settings'!$A$14:$C$43,3,FALSE)/'Score settings'!$B$4*'Score settings'!$D$4</x:f>
        <x:v>10.799999999999999</x:v>
      </x:c>
      <x:c r="AC173" s="41" t="n">
        <x:f>VLOOKUP("Category|"&amp;P173,'Score settings'!$A$14:$C$43,3,FALSE)/'Score settings'!$B$5*'Score settings'!$D$5</x:f>
        <x:v>3</x:v>
      </x:c>
      <x:c r="AD173" s="41" t="n">
        <x:f>VLOOKUP("Area|"&amp;Q173,'Score settings'!$A$14:$C$43,3,FALSE)/'Score settings'!$B$6*'Score settings'!$D$6</x:f>
        <x:v>8</x:v>
      </x:c>
      <x:c r="AE173" s="41" t="n">
        <x:f>VLOOKUP("Benefits|"&amp;IF(AND(ISNUMBER(K173),K173&gt;0,ISNUMBER(G173),G173&gt;0),IF(K173/G173&gt;='Score settings'!$E$17,"3plus",IF(K173/G173&gt;='Score settings'!$E$16,"1.5to3",IF(K173/G173&gt;='Score settings'!$E$15,"0.5to1.5","positive"))),"None"),'Score settings'!$A$14:$C$43,3,FALSE)/'Score settings'!$B$7*'Score settings'!$D$7</x:f>
        <x:v>0</x:v>
      </x:c>
      <x:c r="AF173" s="41" t="n">
        <x:f>VLOOKUP("Waste|"&amp;R173,'Score settings'!$A$14:$C$43,3,FALSE)/'Score settings'!$B$8*'Score settings'!$D$8</x:f>
        <x:v>0</x:v>
      </x:c>
      <x:c r="AG173" s="41" t="n">
        <x:f>(IF(AND(ISNUMBER(M173),M173&gt;0,ISNUMBER(G173),G173&gt;0),IF(M173/G173&gt;='Score settings'!$E$17,'Score settings'!$G$17,IF(M173/G173&gt;='Score settings'!$E$16,'Score settings'!$G$16,IF(M173/G173&gt;='Score settings'!$E$15,'Score settings'!$G$15,'Score settings'!$G$14))),0)/15*'Score settings'!$B$60+IFERROR(VLOOKUP(IF(ISNUMBER(N173),N173,IF(ISNUMBER(L173),L173,0)),'Score settings'!$E$22:$F$26,2,FALSE),0)/10*'Score settings'!$B$61)/'Score settings'!$B$9*'Score settings'!$D$9</x:f>
        <x:v>0</x:v>
      </x:c>
      <x:c r="AH173" s="41" t="n">
        <x:f>IF(B173="","",SUM(AB173:AG173))</x:f>
        <x:v>21.799999999999997</x:v>
      </x:c>
      <x:c r="AI173" s="41" t="str">
        <x:f>IF(NOT(ISNUMBER(AH173)),"Not scored",VLOOKUP(AH173,'Score settings'!$A$47:$C$50,3,TRUE))</x:f>
        <x:v>Weak</x:v>
      </x:c>
      <x:c r="AJ173" s="42" t="n">
        <x:f>IF(OR(NOT(ISNUMBER(AH173)),T173&lt;&gt;"Common pot"),"",COUNTIFS($T$4:$T$509,"Common pot",$AH$4:$AH$509,"&gt;"&amp;AH173)+1)</x:f>
        <x:v>333</x:v>
      </x:c>
      <x:c r="AK173" s="36" t="str">
        <x:f>IF(B173="","Name missing - not scored",IF(OR(NOT(ISNUMBER(G173)),G173&lt;=0),"Investment missing or zero - review",IF(0=1,"Permanent ID missing - reconcile",IF(AND(ISNUMBER(H173),H173/G173&gt;='Score settings'!$B$58,NOT(ISNUMBER(I173))),"Benefit units need review",IF(OR(R173="EXIT",R173="CHALLENGE"),"Waste decision requires scope resolution",IF("Name and organisation matched"&lt;&gt;"Name and organisation matched","Waste evidence match needs review","Provisional source score - confirm evidence"))))))</x:f>
        <x:v>Provisional source score - confirm evidence</x:v>
      </x:c>
      <x:c r="AL173" s="36"/>
      <x:c r="AM173" s="40"/>
      <x:c r="AN173" s="39"/>
      <x:c r="AO173" s="40"/>
      <x:c r="AP173" s="40"/>
    </x:row>
    <x:row r="174" ht="15" hidden="0" customHeight="1">
      <x:c r="A174" s="36" t="str">
        <x:v>Bu-179</x:v>
      </x:c>
      <x:c r="B174" s="37" t="str">
        <x:v>Digital thread, traceability applications (AI/RPA)</x:v>
      </x:c>
      <x:c r="C174" s="36" t="str">
        <x:v>BU Led</x:v>
      </x:c>
      <x:c r="D174" s="36" t="str">
        <x:v>Precision Diagnosis - Magnetic Resonance (MR)</x:v>
      </x:c>
      <x:c r="E174" s="38" t="n">
        <x:v>0.1</x:v>
      </x:c>
      <x:c r="F174" s="39"/>
      <x:c r="G174" s="38" t="n">
        <x:f>IF(ISNUMBER(F174),F174,IF(E174="","",E174))</x:f>
        <x:v>0.1</x:v>
      </x:c>
      <x:c r="H174" s="38"/>
      <x:c r="I174" s="39"/>
      <x:c r="J174" s="36" t="str">
        <x:v>Cash savings</x:v>
      </x:c>
      <x:c r="K174" s="38" t="str">
        <x:f>IF(ISNUMBER(I174),I174,IF(OR(NOT(ISNUMBER(H174)),NOT(ISNUMBER(G174)),G174&lt;=0),"",IF(H174/G174&gt;='Score settings'!$B$58,"",IF(J174="Cash savings",H174,IF(J174="Revenue",H174*'Score settings'!$B$55,"")))))</x:f>
      </x:c>
      <x:c r="L174" s="36"/>
      <x:c r="M174" s="39"/>
      <x:c r="N174" s="40"/>
      <x:c r="O174" s="36" t="str">
        <x:v>Must Have</x:v>
      </x:c>
      <x:c r="P174" s="36" t="str">
        <x:v>AI</x:v>
      </x:c>
      <x:c r="Q174" s="36" t="str">
        <x:v>ProcSimp</x:v>
      </x:c>
      <x:c r="R174" s="36" t="str">
        <x:v>NotAssessed</x:v>
      </x:c>
      <x:c r="S174" s="36" t="str"/>
      <x:c r="T174" s="36" t="str">
        <x:v>Common pot</x:v>
      </x:c>
      <x:c r="U174" s="41" t="n">
        <x:f>VLOOKUP("Priority|"&amp;O174,'Score settings'!$A$14:$C$43,2,FALSE)/'Score settings'!$B$4*'Score settings'!$C$4</x:f>
        <x:v>18</x:v>
      </x:c>
      <x:c r="V174" s="41" t="n">
        <x:f>VLOOKUP("Category|"&amp;P174,'Score settings'!$A$14:$C$43,2,FALSE)/'Score settings'!$B$5*'Score settings'!$C$5</x:f>
        <x:v>16</x:v>
      </x:c>
      <x:c r="W174" s="41" t="n">
        <x:f>VLOOKUP("Area|"&amp;Q174,'Score settings'!$A$14:$C$43,2,FALSE)/'Score settings'!$B$6*'Score settings'!$C$6</x:f>
        <x:v>12</x:v>
      </x:c>
      <x:c r="X174" s="41" t="n">
        <x:f>VLOOKUP("Benefits|"&amp;IF(AND(ISNUMBER(H174),H174&gt;0,ISNUMBER(G174),G174&gt;0),IF(H174/G174&gt;='Score settings'!$E$17,"3plus",IF(H174/G174&gt;='Score settings'!$E$16,"1.5to3",IF(H174/G174&gt;='Score settings'!$E$15,"0.5to1.5","positive"))),"None"),'Score settings'!$A$14:$C$43,2,FALSE)/'Score settings'!$B$7*'Score settings'!$C$7</x:f>
        <x:v>5</x:v>
      </x:c>
      <x:c r="Y174" s="41" t="n">
        <x:f>VLOOKUP("Waste|"&amp;R174,'Score settings'!$A$14:$C$43,2,FALSE)/'Score settings'!$B$8*'Score settings'!$C$8</x:f>
        <x:v>7</x:v>
      </x:c>
      <x:c r="Z174" s="41" t="n">
        <x:f>IF(B174="","",SUM(U174:Y174))</x:f>
        <x:v>58</x:v>
      </x:c>
      <x:c r="AA174" s="41" t="str">
        <x:f>IF(Z174="","Not scored",VLOOKUP(Z174,'Score settings'!$A$47:$C$50,2,TRUE))</x:f>
        <x:v>Strong</x:v>
      </x:c>
      <x:c r="AB174" s="41" t="n">
        <x:f>VLOOKUP("Priority|"&amp;O174,'Score settings'!$A$14:$C$43,3,FALSE)/'Score settings'!$B$4*'Score settings'!$D$4</x:f>
        <x:v>10.799999999999999</x:v>
      </x:c>
      <x:c r="AC174" s="41" t="n">
        <x:f>VLOOKUP("Category|"&amp;P174,'Score settings'!$A$14:$C$43,3,FALSE)/'Score settings'!$B$5*'Score settings'!$D$5</x:f>
        <x:v>8</x:v>
      </x:c>
      <x:c r="AD174" s="41" t="n">
        <x:f>VLOOKUP("Area|"&amp;Q174,'Score settings'!$A$14:$C$43,3,FALSE)/'Score settings'!$B$6*'Score settings'!$D$6</x:f>
        <x:v>8</x:v>
      </x:c>
      <x:c r="AE174" s="41" t="n">
        <x:f>VLOOKUP("Benefits|"&amp;IF(AND(ISNUMBER(K174),K174&gt;0,ISNUMBER(G174),G174&gt;0),IF(K174/G174&gt;='Score settings'!$E$17,"3plus",IF(K174/G174&gt;='Score settings'!$E$16,"1.5to3",IF(K174/G174&gt;='Score settings'!$E$15,"0.5to1.5","positive"))),"None"),'Score settings'!$A$14:$C$43,3,FALSE)/'Score settings'!$B$7*'Score settings'!$D$7</x:f>
        <x:v>0</x:v>
      </x:c>
      <x:c r="AF174" s="41" t="n">
        <x:f>VLOOKUP("Waste|"&amp;R174,'Score settings'!$A$14:$C$43,3,FALSE)/'Score settings'!$B$8*'Score settings'!$D$8</x:f>
        <x:v>0</x:v>
      </x:c>
      <x:c r="AG174" s="41" t="n">
        <x:f>(IF(AND(ISNUMBER(M174),M174&gt;0,ISNUMBER(G174),G174&gt;0),IF(M174/G174&gt;='Score settings'!$E$17,'Score settings'!$G$17,IF(M174/G174&gt;='Score settings'!$E$16,'Score settings'!$G$16,IF(M174/G174&gt;='Score settings'!$E$15,'Score settings'!$G$15,'Score settings'!$G$14))),0)/15*'Score settings'!$B$60+IFERROR(VLOOKUP(IF(ISNUMBER(N174),N174,IF(ISNUMBER(L174),L174,0)),'Score settings'!$E$22:$F$26,2,FALSE),0)/10*'Score settings'!$B$61)/'Score settings'!$B$9*'Score settings'!$D$9</x:f>
        <x:v>0</x:v>
      </x:c>
      <x:c r="AH174" s="41" t="n">
        <x:f>IF(B174="","",SUM(AB174:AG174))</x:f>
        <x:v>26.799999999999997</x:v>
      </x:c>
      <x:c r="AI174" s="41" t="str">
        <x:f>IF(NOT(ISNUMBER(AH174)),"Not scored",VLOOKUP(AH174,'Score settings'!$A$47:$C$50,3,TRUE))</x:f>
        <x:v>Discretionary</x:v>
      </x:c>
      <x:c r="AJ174" s="42" t="n">
        <x:f>IF(OR(NOT(ISNUMBER(AH174)),T174&lt;&gt;"Common pot"),"",COUNTIFS($T$4:$T$509,"Common pot",$AH$4:$AH$509,"&gt;"&amp;AH174)+1)</x:f>
        <x:v>230</x:v>
      </x:c>
      <x:c r="AK174" s="36" t="str">
        <x:f>IF(B174="","Name missing - not scored",IF(OR(NOT(ISNUMBER(G174)),G174&lt;=0),"Investment missing or zero - review",IF(0=1,"Permanent ID missing - reconcile",IF(AND(ISNUMBER(H174),H174/G174&gt;='Score settings'!$B$58,NOT(ISNUMBER(I174))),"Benefit units need review",IF(OR(R174="EXIT",R174="CHALLENGE"),"Waste decision requires scope resolution",IF("Name and organisation matched"&lt;&gt;"Name and organisation matched","Waste evidence match needs review","Provisional source score - confirm evidence"))))))</x:f>
        <x:v>Provisional source score - confirm evidence</x:v>
      </x:c>
      <x:c r="AL174" s="36"/>
      <x:c r="AM174" s="40"/>
      <x:c r="AN174" s="39"/>
      <x:c r="AO174" s="40"/>
      <x:c r="AP174" s="40"/>
    </x:row>
    <x:row r="175" ht="15" hidden="0" customHeight="1">
      <x:c r="A175" s="36" t="str">
        <x:v>Bu-180</x:v>
      </x:c>
      <x:c r="B175" s="37" t="str">
        <x:v>DI AI Solution Placeholder</x:v>
      </x:c>
      <x:c r="C175" s="36" t="str">
        <x:v>BU Led</x:v>
      </x:c>
      <x:c r="D175" s="36" t="str">
        <x:v>Precision Diagnosis - Magnetic Resonance (MR)</x:v>
      </x:c>
      <x:c r="E175" s="38" t="n">
        <x:v>0.3</x:v>
      </x:c>
      <x:c r="F175" s="39"/>
      <x:c r="G175" s="38" t="n">
        <x:f>IF(ISNUMBER(F175),F175,IF(E175="","",E175))</x:f>
        <x:v>0.3</x:v>
      </x:c>
      <x:c r="H175" s="38"/>
      <x:c r="I175" s="39"/>
      <x:c r="J175" s="36" t="str">
        <x:v>Cash savings</x:v>
      </x:c>
      <x:c r="K175" s="38" t="str">
        <x:f>IF(ISNUMBER(I175),I175,IF(OR(NOT(ISNUMBER(H175)),NOT(ISNUMBER(G175)),G175&lt;=0),"",IF(H175/G175&gt;='Score settings'!$B$58,"",IF(J175="Cash savings",H175,IF(J175="Revenue",H175*'Score settings'!$B$55,"")))))</x:f>
      </x:c>
      <x:c r="L175" s="36"/>
      <x:c r="M175" s="39"/>
      <x:c r="N175" s="40"/>
      <x:c r="O175" s="36" t="str">
        <x:v>Must Have</x:v>
      </x:c>
      <x:c r="P175" s="36" t="str">
        <x:v>AI</x:v>
      </x:c>
      <x:c r="Q175" s="36" t="str">
        <x:v>Productivity</x:v>
      </x:c>
      <x:c r="R175" s="36" t="str">
        <x:v>NotAssessed</x:v>
      </x:c>
      <x:c r="S175" s="36" t="str"/>
      <x:c r="T175" s="36" t="str">
        <x:v>Common pot</x:v>
      </x:c>
      <x:c r="U175" s="41" t="n">
        <x:f>VLOOKUP("Priority|"&amp;O175,'Score settings'!$A$14:$C$43,2,FALSE)/'Score settings'!$B$4*'Score settings'!$C$4</x:f>
        <x:v>18</x:v>
      </x:c>
      <x:c r="V175" s="41" t="n">
        <x:f>VLOOKUP("Category|"&amp;P175,'Score settings'!$A$14:$C$43,2,FALSE)/'Score settings'!$B$5*'Score settings'!$C$5</x:f>
        <x:v>16</x:v>
      </x:c>
      <x:c r="W175" s="41" t="n">
        <x:f>VLOOKUP("Area|"&amp;Q175,'Score settings'!$A$14:$C$43,2,FALSE)/'Score settings'!$B$6*'Score settings'!$C$6</x:f>
        <x:v>10</x:v>
      </x:c>
      <x:c r="X175" s="41" t="n">
        <x:f>VLOOKUP("Benefits|"&amp;IF(AND(ISNUMBER(H175),H175&gt;0,ISNUMBER(G175),G175&gt;0),IF(H175/G175&gt;='Score settings'!$E$17,"3plus",IF(H175/G175&gt;='Score settings'!$E$16,"1.5to3",IF(H175/G175&gt;='Score settings'!$E$15,"0.5to1.5","positive"))),"None"),'Score settings'!$A$14:$C$43,2,FALSE)/'Score settings'!$B$7*'Score settings'!$C$7</x:f>
        <x:v>5</x:v>
      </x:c>
      <x:c r="Y175" s="41" t="n">
        <x:f>VLOOKUP("Waste|"&amp;R175,'Score settings'!$A$14:$C$43,2,FALSE)/'Score settings'!$B$8*'Score settings'!$C$8</x:f>
        <x:v>7</x:v>
      </x:c>
      <x:c r="Z175" s="41" t="n">
        <x:f>IF(B175="","",SUM(U175:Y175))</x:f>
        <x:v>56</x:v>
      </x:c>
      <x:c r="AA175" s="41" t="str">
        <x:f>IF(Z175="","Not scored",VLOOKUP(Z175,'Score settings'!$A$47:$C$50,2,TRUE))</x:f>
        <x:v>Strong</x:v>
      </x:c>
      <x:c r="AB175" s="41" t="n">
        <x:f>VLOOKUP("Priority|"&amp;O175,'Score settings'!$A$14:$C$43,3,FALSE)/'Score settings'!$B$4*'Score settings'!$D$4</x:f>
        <x:v>10.799999999999999</x:v>
      </x:c>
      <x:c r="AC175" s="41" t="n">
        <x:f>VLOOKUP("Category|"&amp;P175,'Score settings'!$A$14:$C$43,3,FALSE)/'Score settings'!$B$5*'Score settings'!$D$5</x:f>
        <x:v>8</x:v>
      </x:c>
      <x:c r="AD175" s="41" t="n">
        <x:f>VLOOKUP("Area|"&amp;Q175,'Score settings'!$A$14:$C$43,3,FALSE)/'Score settings'!$B$6*'Score settings'!$D$6</x:f>
        <x:v>6.666666666666666</x:v>
      </x:c>
      <x:c r="AE175" s="41" t="n">
        <x:f>VLOOKUP("Benefits|"&amp;IF(AND(ISNUMBER(K175),K175&gt;0,ISNUMBER(G175),G175&gt;0),IF(K175/G175&gt;='Score settings'!$E$17,"3plus",IF(K175/G175&gt;='Score settings'!$E$16,"1.5to3",IF(K175/G175&gt;='Score settings'!$E$15,"0.5to1.5","positive"))),"None"),'Score settings'!$A$14:$C$43,3,FALSE)/'Score settings'!$B$7*'Score settings'!$D$7</x:f>
        <x:v>0</x:v>
      </x:c>
      <x:c r="AF175" s="41" t="n">
        <x:f>VLOOKUP("Waste|"&amp;R175,'Score settings'!$A$14:$C$43,3,FALSE)/'Score settings'!$B$8*'Score settings'!$D$8</x:f>
        <x:v>0</x:v>
      </x:c>
      <x:c r="AG175" s="41" t="n">
        <x:f>(IF(AND(ISNUMBER(M175),M175&gt;0,ISNUMBER(G175),G175&gt;0),IF(M175/G175&gt;='Score settings'!$E$17,'Score settings'!$G$17,IF(M175/G175&gt;='Score settings'!$E$16,'Score settings'!$G$16,IF(M175/G175&gt;='Score settings'!$E$15,'Score settings'!$G$15,'Score settings'!$G$14))),0)/15*'Score settings'!$B$60+IFERROR(VLOOKUP(IF(ISNUMBER(N175),N175,IF(ISNUMBER(L175),L175,0)),'Score settings'!$E$22:$F$26,2,FALSE),0)/10*'Score settings'!$B$61)/'Score settings'!$B$9*'Score settings'!$D$9</x:f>
        <x:v>0</x:v>
      </x:c>
      <x:c r="AH175" s="41" t="n">
        <x:f>IF(B175="","",SUM(AB175:AG175))</x:f>
        <x:v>25.46666666666666</x:v>
      </x:c>
      <x:c r="AI175" s="41" t="str">
        <x:f>IF(NOT(ISNUMBER(AH175)),"Not scored",VLOOKUP(AH175,'Score settings'!$A$47:$C$50,3,TRUE))</x:f>
        <x:v>Discretionary</x:v>
      </x:c>
      <x:c r="AJ175" s="42" t="n">
        <x:f>IF(OR(NOT(ISNUMBER(AH175)),T175&lt;&gt;"Common pot"),"",COUNTIFS($T$4:$T$509,"Common pot",$AH$4:$AH$509,"&gt;"&amp;AH175)+1)</x:f>
        <x:v>252</x:v>
      </x:c>
      <x:c r="AK175" s="36" t="str">
        <x:f>IF(B175="","Name missing - not scored",IF(OR(NOT(ISNUMBER(G175)),G175&lt;=0),"Investment missing or zero - review",IF(0=1,"Permanent ID missing - reconcile",IF(AND(ISNUMBER(H175),H175/G175&gt;='Score settings'!$B$58,NOT(ISNUMBER(I175))),"Benefit units need review",IF(OR(R175="EXIT",R175="CHALLENGE"),"Waste decision requires scope resolution",IF("Name and organisation matched"&lt;&gt;"Name and organisation matched","Waste evidence match needs review","Provisional source score - confirm evidence"))))))</x:f>
        <x:v>Provisional source score - confirm evidence</x:v>
      </x:c>
      <x:c r="AL175" s="36"/>
      <x:c r="AM175" s="40"/>
      <x:c r="AN175" s="39"/>
      <x:c r="AO175" s="40"/>
      <x:c r="AP175" s="40"/>
    </x:row>
    <x:row r="176" ht="15" hidden="0" customHeight="1">
      <x:c r="A176" s="36" t="str">
        <x:v>Bu-181</x:v>
      </x:c>
      <x:c r="B176" s="37" t="str">
        <x:v>CERA deployment</x:v>
      </x:c>
      <x:c r="C176" s="36" t="str">
        <x:v>BU Led</x:v>
      </x:c>
      <x:c r="D176" s="36" t="str">
        <x:v>Precision Diagnosis - Magnetic Resonance (MR)</x:v>
      </x:c>
      <x:c r="E176" s="38" t="n">
        <x:v>0.1</x:v>
      </x:c>
      <x:c r="F176" s="39"/>
      <x:c r="G176" s="38" t="n">
        <x:f>IF(ISNUMBER(F176),F176,IF(E176="","",E176))</x:f>
        <x:v>0.1</x:v>
      </x:c>
      <x:c r="H176" s="38"/>
      <x:c r="I176" s="39"/>
      <x:c r="J176" s="36" t="str">
        <x:v>Cash savings</x:v>
      </x:c>
      <x:c r="K176" s="38" t="str">
        <x:f>IF(ISNUMBER(I176),I176,IF(OR(NOT(ISNUMBER(H176)),NOT(ISNUMBER(G176)),G176&lt;=0),"",IF(H176/G176&gt;='Score settings'!$B$58,"",IF(J176="Cash savings",H176,IF(J176="Revenue",H176*'Score settings'!$B$55,"")))))</x:f>
      </x:c>
      <x:c r="L176" s="36"/>
      <x:c r="M176" s="39"/>
      <x:c r="N176" s="40"/>
      <x:c r="O176" s="36" t="str">
        <x:v>Must Have</x:v>
      </x:c>
      <x:c r="P176" s="36" t="str">
        <x:v>CI</x:v>
      </x:c>
      <x:c r="Q176" s="36" t="str">
        <x:v>ProcSimp</x:v>
      </x:c>
      <x:c r="R176" s="36" t="str">
        <x:v>NotAssessed</x:v>
      </x:c>
      <x:c r="S176" s="36" t="str"/>
      <x:c r="T176" s="36" t="str">
        <x:v>Common pot</x:v>
      </x:c>
      <x:c r="U176" s="41" t="n">
        <x:f>VLOOKUP("Priority|"&amp;O176,'Score settings'!$A$14:$C$43,2,FALSE)/'Score settings'!$B$4*'Score settings'!$C$4</x:f>
        <x:v>18</x:v>
      </x:c>
      <x:c r="V176" s="41" t="n">
        <x:f>VLOOKUP("Category|"&amp;P176,'Score settings'!$A$14:$C$43,2,FALSE)/'Score settings'!$B$5*'Score settings'!$C$5</x:f>
        <x:v>8</x:v>
      </x:c>
      <x:c r="W176" s="41" t="n">
        <x:f>VLOOKUP("Area|"&amp;Q176,'Score settings'!$A$14:$C$43,2,FALSE)/'Score settings'!$B$6*'Score settings'!$C$6</x:f>
        <x:v>12</x:v>
      </x:c>
      <x:c r="X176" s="41" t="n">
        <x:f>VLOOKUP("Benefits|"&amp;IF(AND(ISNUMBER(H176),H176&gt;0,ISNUMBER(G176),G176&gt;0),IF(H176/G176&gt;='Score settings'!$E$17,"3plus",IF(H176/G176&gt;='Score settings'!$E$16,"1.5to3",IF(H176/G176&gt;='Score settings'!$E$15,"0.5to1.5","positive"))),"None"),'Score settings'!$A$14:$C$43,2,FALSE)/'Score settings'!$B$7*'Score settings'!$C$7</x:f>
        <x:v>5</x:v>
      </x:c>
      <x:c r="Y176" s="41" t="n">
        <x:f>VLOOKUP("Waste|"&amp;R176,'Score settings'!$A$14:$C$43,2,FALSE)/'Score settings'!$B$8*'Score settings'!$C$8</x:f>
        <x:v>7</x:v>
      </x:c>
      <x:c r="Z176" s="41" t="n">
        <x:f>IF(B176="","",SUM(U176:Y176))</x:f>
        <x:v>50</x:v>
      </x:c>
      <x:c r="AA176" s="41" t="str">
        <x:f>IF(Z176="","Not scored",VLOOKUP(Z176,'Score settings'!$A$47:$C$50,2,TRUE))</x:f>
        <x:v>Strong</x:v>
      </x:c>
      <x:c r="AB176" s="41" t="n">
        <x:f>VLOOKUP("Priority|"&amp;O176,'Score settings'!$A$14:$C$43,3,FALSE)/'Score settings'!$B$4*'Score settings'!$D$4</x:f>
        <x:v>10.799999999999999</x:v>
      </x:c>
      <x:c r="AC176" s="41" t="n">
        <x:f>VLOOKUP("Category|"&amp;P176,'Score settings'!$A$14:$C$43,3,FALSE)/'Score settings'!$B$5*'Score settings'!$D$5</x:f>
        <x:v>4</x:v>
      </x:c>
      <x:c r="AD176" s="41" t="n">
        <x:f>VLOOKUP("Area|"&amp;Q176,'Score settings'!$A$14:$C$43,3,FALSE)/'Score settings'!$B$6*'Score settings'!$D$6</x:f>
        <x:v>8</x:v>
      </x:c>
      <x:c r="AE176" s="41" t="n">
        <x:f>VLOOKUP("Benefits|"&amp;IF(AND(ISNUMBER(K176),K176&gt;0,ISNUMBER(G176),G176&gt;0),IF(K176/G176&gt;='Score settings'!$E$17,"3plus",IF(K176/G176&gt;='Score settings'!$E$16,"1.5to3",IF(K176/G176&gt;='Score settings'!$E$15,"0.5to1.5","positive"))),"None"),'Score settings'!$A$14:$C$43,3,FALSE)/'Score settings'!$B$7*'Score settings'!$D$7</x:f>
        <x:v>0</x:v>
      </x:c>
      <x:c r="AF176" s="41" t="n">
        <x:f>VLOOKUP("Waste|"&amp;R176,'Score settings'!$A$14:$C$43,3,FALSE)/'Score settings'!$B$8*'Score settings'!$D$8</x:f>
        <x:v>0</x:v>
      </x:c>
      <x:c r="AG176" s="41" t="n">
        <x:f>(IF(AND(ISNUMBER(M176),M176&gt;0,ISNUMBER(G176),G176&gt;0),IF(M176/G176&gt;='Score settings'!$E$17,'Score settings'!$G$17,IF(M176/G176&gt;='Score settings'!$E$16,'Score settings'!$G$16,IF(M176/G176&gt;='Score settings'!$E$15,'Score settings'!$G$15,'Score settings'!$G$14))),0)/15*'Score settings'!$B$60+IFERROR(VLOOKUP(IF(ISNUMBER(N176),N176,IF(ISNUMBER(L176),L176,0)),'Score settings'!$E$22:$F$26,2,FALSE),0)/10*'Score settings'!$B$61)/'Score settings'!$B$9*'Score settings'!$D$9</x:f>
        <x:v>0</x:v>
      </x:c>
      <x:c r="AH176" s="41" t="n">
        <x:f>IF(B176="","",SUM(AB176:AG176))</x:f>
        <x:v>22.799999999999997</x:v>
      </x:c>
      <x:c r="AI176" s="41" t="str">
        <x:f>IF(NOT(ISNUMBER(AH176)),"Not scored",VLOOKUP(AH176,'Score settings'!$A$47:$C$50,3,TRUE))</x:f>
        <x:v>Weak</x:v>
      </x:c>
      <x:c r="AJ176" s="42" t="n">
        <x:f>IF(OR(NOT(ISNUMBER(AH176)),T176&lt;&gt;"Common pot"),"",COUNTIFS($T$4:$T$509,"Common pot",$AH$4:$AH$509,"&gt;"&amp;AH176)+1)</x:f>
        <x:v>318</x:v>
      </x:c>
      <x:c r="AK176" s="36" t="str">
        <x:f>IF(B176="","Name missing - not scored",IF(OR(NOT(ISNUMBER(G176)),G176&lt;=0),"Investment missing or zero - review",IF(0=1,"Permanent ID missing - reconcile",IF(AND(ISNUMBER(H176),H176/G176&gt;='Score settings'!$B$58,NOT(ISNUMBER(I176))),"Benefit units need review",IF(OR(R176="EXIT",R176="CHALLENGE"),"Waste decision requires scope resolution",IF("Name and organisation matched"&lt;&gt;"Name and organisation matched","Waste evidence match needs review","Provisional source score - confirm evidence"))))))</x:f>
        <x:v>Provisional source score - confirm evidence</x:v>
      </x:c>
      <x:c r="AL176" s="36"/>
      <x:c r="AM176" s="40"/>
      <x:c r="AN176" s="39"/>
      <x:c r="AO176" s="40"/>
      <x:c r="AP176" s="40"/>
    </x:row>
    <x:row r="177" ht="15" hidden="0" customHeight="1">
      <x:c r="A177" s="36" t="str">
        <x:v>Bu-182</x:v>
      </x:c>
      <x:c r="B177" s="37" t="str">
        <x:v>Imaging Small Investment - Unallocated</x:v>
      </x:c>
      <x:c r="C177" s="36" t="str">
        <x:v>BU Led</x:v>
      </x:c>
      <x:c r="D177" s="36" t="str">
        <x:v>Precision Diagnosis - Magnetic Resonance (MR)</x:v>
      </x:c>
      <x:c r="E177" s="38" t="n">
        <x:v>0.25</x:v>
      </x:c>
      <x:c r="F177" s="39"/>
      <x:c r="G177" s="38" t="n">
        <x:f>IF(ISNUMBER(F177),F177,IF(E177="","",E177))</x:f>
        <x:v>0.25</x:v>
      </x:c>
      <x:c r="H177" s="38"/>
      <x:c r="I177" s="39"/>
      <x:c r="J177" s="36" t="str">
        <x:v>Cash savings</x:v>
      </x:c>
      <x:c r="K177" s="38" t="str">
        <x:f>IF(ISNUMBER(I177),I177,IF(OR(NOT(ISNUMBER(H177)),NOT(ISNUMBER(G177)),G177&lt;=0),"",IF(H177/G177&gt;='Score settings'!$B$58,"",IF(J177="Cash savings",H177,IF(J177="Revenue",H177*'Score settings'!$B$55,"")))))</x:f>
      </x:c>
      <x:c r="L177" s="36"/>
      <x:c r="M177" s="39"/>
      <x:c r="N177" s="40"/>
      <x:c r="O177" s="36" t="str">
        <x:v>Must Do</x:v>
      </x:c>
      <x:c r="P177" s="36" t="str">
        <x:v>Upgrades</x:v>
      </x:c>
      <x:c r="Q177" s="36" t="str">
        <x:v>ProcSimp</x:v>
      </x:c>
      <x:c r="R177" s="36" t="str">
        <x:v>NotAssessed</x:v>
      </x:c>
      <x:c r="S177" s="36" t="str"/>
      <x:c r="T177" s="36" t="str">
        <x:v>Common pot</x:v>
      </x:c>
      <x:c r="U177" s="41" t="n">
        <x:f>VLOOKUP("Priority|"&amp;O177,'Score settings'!$A$14:$C$43,2,FALSE)/'Score settings'!$B$4*'Score settings'!$C$4</x:f>
        <x:v>25</x:v>
      </x:c>
      <x:c r="V177" s="41" t="n">
        <x:f>VLOOKUP("Category|"&amp;P177,'Score settings'!$A$14:$C$43,2,FALSE)/'Score settings'!$B$5*'Score settings'!$C$5</x:f>
        <x:v>10</x:v>
      </x:c>
      <x:c r="W177" s="41" t="n">
        <x:f>VLOOKUP("Area|"&amp;Q177,'Score settings'!$A$14:$C$43,2,FALSE)/'Score settings'!$B$6*'Score settings'!$C$6</x:f>
        <x:v>12</x:v>
      </x:c>
      <x:c r="X177" s="41" t="n">
        <x:f>VLOOKUP("Benefits|"&amp;IF(AND(ISNUMBER(H177),H177&gt;0,ISNUMBER(G177),G177&gt;0),IF(H177/G177&gt;='Score settings'!$E$17,"3plus",IF(H177/G177&gt;='Score settings'!$E$16,"1.5to3",IF(H177/G177&gt;='Score settings'!$E$15,"0.5to1.5","positive"))),"None"),'Score settings'!$A$14:$C$43,2,FALSE)/'Score settings'!$B$7*'Score settings'!$C$7</x:f>
        <x:v>5</x:v>
      </x:c>
      <x:c r="Y177" s="41" t="n">
        <x:f>VLOOKUP("Waste|"&amp;R177,'Score settings'!$A$14:$C$43,2,FALSE)/'Score settings'!$B$8*'Score settings'!$C$8</x:f>
        <x:v>7</x:v>
      </x:c>
      <x:c r="Z177" s="41" t="n">
        <x:f>IF(B177="","",SUM(U177:Y177))</x:f>
        <x:v>59</x:v>
      </x:c>
      <x:c r="AA177" s="41" t="str">
        <x:f>IF(Z177="","Not scored",VLOOKUP(Z177,'Score settings'!$A$47:$C$50,2,TRUE))</x:f>
        <x:v>Strong</x:v>
      </x:c>
      <x:c r="AB177" s="41" t="n">
        <x:f>VLOOKUP("Priority|"&amp;O177,'Score settings'!$A$14:$C$43,3,FALSE)/'Score settings'!$B$4*'Score settings'!$D$4</x:f>
        <x:v>15</x:v>
      </x:c>
      <x:c r="AC177" s="41" t="n">
        <x:f>VLOOKUP("Category|"&amp;P177,'Score settings'!$A$14:$C$43,3,FALSE)/'Score settings'!$B$5*'Score settings'!$D$5</x:f>
        <x:v>5</x:v>
      </x:c>
      <x:c r="AD177" s="41" t="n">
        <x:f>VLOOKUP("Area|"&amp;Q177,'Score settings'!$A$14:$C$43,3,FALSE)/'Score settings'!$B$6*'Score settings'!$D$6</x:f>
        <x:v>8</x:v>
      </x:c>
      <x:c r="AE177" s="41" t="n">
        <x:f>VLOOKUP("Benefits|"&amp;IF(AND(ISNUMBER(K177),K177&gt;0,ISNUMBER(G177),G177&gt;0),IF(K177/G177&gt;='Score settings'!$E$17,"3plus",IF(K177/G177&gt;='Score settings'!$E$16,"1.5to3",IF(K177/G177&gt;='Score settings'!$E$15,"0.5to1.5","positive"))),"None"),'Score settings'!$A$14:$C$43,3,FALSE)/'Score settings'!$B$7*'Score settings'!$D$7</x:f>
        <x:v>0</x:v>
      </x:c>
      <x:c r="AF177" s="41" t="n">
        <x:f>VLOOKUP("Waste|"&amp;R177,'Score settings'!$A$14:$C$43,3,FALSE)/'Score settings'!$B$8*'Score settings'!$D$8</x:f>
        <x:v>0</x:v>
      </x:c>
      <x:c r="AG177" s="41" t="n">
        <x:f>(IF(AND(ISNUMBER(M177),M177&gt;0,ISNUMBER(G177),G177&gt;0),IF(M177/G177&gt;='Score settings'!$E$17,'Score settings'!$G$17,IF(M177/G177&gt;='Score settings'!$E$16,'Score settings'!$G$16,IF(M177/G177&gt;='Score settings'!$E$15,'Score settings'!$G$15,'Score settings'!$G$14))),0)/15*'Score settings'!$B$60+IFERROR(VLOOKUP(IF(ISNUMBER(N177),N177,IF(ISNUMBER(L177),L177,0)),'Score settings'!$E$22:$F$26,2,FALSE),0)/10*'Score settings'!$B$61)/'Score settings'!$B$9*'Score settings'!$D$9</x:f>
        <x:v>0</x:v>
      </x:c>
      <x:c r="AH177" s="41" t="n">
        <x:f>IF(B177="","",SUM(AB177:AG177))</x:f>
        <x:v>28</x:v>
      </x:c>
      <x:c r="AI177" s="41" t="str">
        <x:f>IF(NOT(ISNUMBER(AH177)),"Not scored",VLOOKUP(AH177,'Score settings'!$A$47:$C$50,3,TRUE))</x:f>
        <x:v>Discretionary</x:v>
      </x:c>
      <x:c r="AJ177" s="42" t="n">
        <x:f>IF(OR(NOT(ISNUMBER(AH177)),T177&lt;&gt;"Common pot"),"",COUNTIFS($T$4:$T$509,"Common pot",$AH$4:$AH$509,"&gt;"&amp;AH177)+1)</x:f>
        <x:v>206</x:v>
      </x:c>
      <x:c r="AK177" s="36" t="str">
        <x:f>IF(B177="","Name missing - not scored",IF(OR(NOT(ISNUMBER(G177)),G177&lt;=0),"Investment missing or zero - review",IF(0=1,"Permanent ID missing - reconcile",IF(AND(ISNUMBER(H177),H177/G177&gt;='Score settings'!$B$58,NOT(ISNUMBER(I177))),"Benefit units need review",IF(OR(R177="EXIT",R177="CHALLENGE"),"Waste decision requires scope resolution",IF("Name and organisation matched"&lt;&gt;"Name and organisation matched","Waste evidence match needs review","Provisional source score - confirm evidence"))))))</x:f>
        <x:v>Provisional source score - confirm evidence</x:v>
      </x:c>
      <x:c r="AL177" s="36"/>
      <x:c r="AM177" s="40"/>
      <x:c r="AN177" s="39"/>
      <x:c r="AO177" s="40"/>
      <x:c r="AP177" s="40"/>
    </x:row>
    <x:row r="178" ht="24" hidden="0" customHeight="1">
      <x:c r="A178" s="36" t="str">
        <x:v>Bu-183</x:v>
      </x:c>
      <x:c r="B178" s="37" t="str">
        <x:v>RSDI (Type 1) | CSI: Support on device for artifacts based RSDI downloads from RSM portal : On-device support for artifact-based RSDI downloads.</x:v>
      </x:c>
      <x:c r="C178" s="36" t="str">
        <x:v>BU Led</x:v>
      </x:c>
      <x:c r="D178" s="36" t="str">
        <x:v>Precision Diagnosis - Magnetic Resonance (MR)</x:v>
      </x:c>
      <x:c r="E178" s="38" t="n">
        <x:v>0.06</x:v>
      </x:c>
      <x:c r="F178" s="39"/>
      <x:c r="G178" s="38" t="n">
        <x:f>IF(ISNUMBER(F178),F178,IF(E178="","",E178))</x:f>
        <x:v>0.06</x:v>
      </x:c>
      <x:c r="H178" s="38"/>
      <x:c r="I178" s="39"/>
      <x:c r="J178" s="36" t="str">
        <x:v>Cash savings</x:v>
      </x:c>
      <x:c r="K178" s="38" t="str">
        <x:f>IF(ISNUMBER(I178),I178,IF(OR(NOT(ISNUMBER(H178)),NOT(ISNUMBER(G178)),G178&lt;=0),"",IF(H178/G178&gt;='Score settings'!$B$58,"",IF(J178="Cash savings",H178,IF(J178="Revenue",H178*'Score settings'!$B$55,"")))))</x:f>
      </x:c>
      <x:c r="L178" s="36"/>
      <x:c r="M178" s="39"/>
      <x:c r="N178" s="40"/>
      <x:c r="O178" s="36" t="str">
        <x:v>Must Have</x:v>
      </x:c>
      <x:c r="P178" s="36" t="str">
        <x:v>NewFeat</x:v>
      </x:c>
      <x:c r="Q178" s="36" t="str">
        <x:v>Productivity</x:v>
      </x:c>
      <x:c r="R178" s="36" t="str">
        <x:v>NotAssessed</x:v>
      </x:c>
      <x:c r="S178" s="36" t="str"/>
      <x:c r="T178" s="36" t="str">
        <x:v>Common pot</x:v>
      </x:c>
      <x:c r="U178" s="41" t="n">
        <x:f>VLOOKUP("Priority|"&amp;O178,'Score settings'!$A$14:$C$43,2,FALSE)/'Score settings'!$B$4*'Score settings'!$C$4</x:f>
        <x:v>18</x:v>
      </x:c>
      <x:c r="V178" s="41" t="n">
        <x:f>VLOOKUP("Category|"&amp;P178,'Score settings'!$A$14:$C$43,2,FALSE)/'Score settings'!$B$5*'Score settings'!$C$5</x:f>
        <x:v>6</x:v>
      </x:c>
      <x:c r="W178" s="41" t="n">
        <x:f>VLOOKUP("Area|"&amp;Q178,'Score settings'!$A$14:$C$43,2,FALSE)/'Score settings'!$B$6*'Score settings'!$C$6</x:f>
        <x:v>10</x:v>
      </x:c>
      <x:c r="X178" s="41" t="n">
        <x:f>VLOOKUP("Benefits|"&amp;IF(AND(ISNUMBER(H178),H178&gt;0,ISNUMBER(G178),G178&gt;0),IF(H178/G178&gt;='Score settings'!$E$17,"3plus",IF(H178/G178&gt;='Score settings'!$E$16,"1.5to3",IF(H178/G178&gt;='Score settings'!$E$15,"0.5to1.5","positive"))),"None"),'Score settings'!$A$14:$C$43,2,FALSE)/'Score settings'!$B$7*'Score settings'!$C$7</x:f>
        <x:v>5</x:v>
      </x:c>
      <x:c r="Y178" s="41" t="n">
        <x:f>VLOOKUP("Waste|"&amp;R178,'Score settings'!$A$14:$C$43,2,FALSE)/'Score settings'!$B$8*'Score settings'!$C$8</x:f>
        <x:v>7</x:v>
      </x:c>
      <x:c r="Z178" s="41" t="n">
        <x:f>IF(B178="","",SUM(U178:Y178))</x:f>
        <x:v>46</x:v>
      </x:c>
      <x:c r="AA178" s="41" t="str">
        <x:f>IF(Z178="","Not scored",VLOOKUP(Z178,'Score settings'!$A$47:$C$50,2,TRUE))</x:f>
        <x:v>Strong</x:v>
      </x:c>
      <x:c r="AB178" s="41" t="n">
        <x:f>VLOOKUP("Priority|"&amp;O178,'Score settings'!$A$14:$C$43,3,FALSE)/'Score settings'!$B$4*'Score settings'!$D$4</x:f>
        <x:v>10.799999999999999</x:v>
      </x:c>
      <x:c r="AC178" s="41" t="n">
        <x:f>VLOOKUP("Category|"&amp;P178,'Score settings'!$A$14:$C$43,3,FALSE)/'Score settings'!$B$5*'Score settings'!$D$5</x:f>
        <x:v>3</x:v>
      </x:c>
      <x:c r="AD178" s="41" t="n">
        <x:f>VLOOKUP("Area|"&amp;Q178,'Score settings'!$A$14:$C$43,3,FALSE)/'Score settings'!$B$6*'Score settings'!$D$6</x:f>
        <x:v>6.666666666666666</x:v>
      </x:c>
      <x:c r="AE178" s="41" t="n">
        <x:f>VLOOKUP("Benefits|"&amp;IF(AND(ISNUMBER(K178),K178&gt;0,ISNUMBER(G178),G178&gt;0),IF(K178/G178&gt;='Score settings'!$E$17,"3plus",IF(K178/G178&gt;='Score settings'!$E$16,"1.5to3",IF(K178/G178&gt;='Score settings'!$E$15,"0.5to1.5","positive"))),"None"),'Score settings'!$A$14:$C$43,3,FALSE)/'Score settings'!$B$7*'Score settings'!$D$7</x:f>
        <x:v>0</x:v>
      </x:c>
      <x:c r="AF178" s="41" t="n">
        <x:f>VLOOKUP("Waste|"&amp;R178,'Score settings'!$A$14:$C$43,3,FALSE)/'Score settings'!$B$8*'Score settings'!$D$8</x:f>
        <x:v>0</x:v>
      </x:c>
      <x:c r="AG178" s="41" t="n">
        <x:f>(IF(AND(ISNUMBER(M178),M178&gt;0,ISNUMBER(G178),G178&gt;0),IF(M178/G178&gt;='Score settings'!$E$17,'Score settings'!$G$17,IF(M178/G178&gt;='Score settings'!$E$16,'Score settings'!$G$16,IF(M178/G178&gt;='Score settings'!$E$15,'Score settings'!$G$15,'Score settings'!$G$14))),0)/15*'Score settings'!$B$60+IFERROR(VLOOKUP(IF(ISNUMBER(N178),N178,IF(ISNUMBER(L178),L178,0)),'Score settings'!$E$22:$F$26,2,FALSE),0)/10*'Score settings'!$B$61)/'Score settings'!$B$9*'Score settings'!$D$9</x:f>
        <x:v>0</x:v>
      </x:c>
      <x:c r="AH178" s="41" t="n">
        <x:f>IF(B178="","",SUM(AB178:AG178))</x:f>
        <x:v>20.466666666666665</x:v>
      </x:c>
      <x:c r="AI178" s="41" t="str">
        <x:f>IF(NOT(ISNUMBER(AH178)),"Not scored",VLOOKUP(AH178,'Score settings'!$A$47:$C$50,3,TRUE))</x:f>
        <x:v>Weak</x:v>
      </x:c>
      <x:c r="AJ178" s="42" t="n">
        <x:f>IF(OR(NOT(ISNUMBER(AH178)),T178&lt;&gt;"Common pot"),"",COUNTIFS($T$4:$T$509,"Common pot",$AH$4:$AH$509,"&gt;"&amp;AH178)+1)</x:f>
        <x:v>349</x:v>
      </x:c>
      <x:c r="AK178" s="36" t="str">
        <x:f>IF(B178="","Name missing - not scored",IF(OR(NOT(ISNUMBER(G178)),G178&lt;=0),"Investment missing or zero - review",IF(0=1,"Permanent ID missing - reconcile",IF(AND(ISNUMBER(H178),H178/G178&gt;='Score settings'!$B$58,NOT(ISNUMBER(I178))),"Benefit units need review",IF(OR(R178="EXIT",R178="CHALLENGE"),"Waste decision requires scope resolution",IF("Name and organisation matched"&lt;&gt;"Name and organisation matched","Waste evidence match needs review","Provisional source score - confirm evidence"))))))</x:f>
        <x:v>Provisional source score - confirm evidence</x:v>
      </x:c>
      <x:c r="AL178" s="36"/>
      <x:c r="AM178" s="40"/>
      <x:c r="AN178" s="39"/>
      <x:c r="AO178" s="40"/>
      <x:c r="AP178" s="40"/>
    </x:row>
    <x:row r="179" ht="24" hidden="0" customHeight="1">
      <x:c r="A179" s="36" t="str">
        <x:v>Bu-184</x:v>
      </x:c>
      <x:c r="B179" s="37" t="str">
        <x:v>RSDI (Type 1) | RSM: Show Menu Tree based on SW release and not product type</x:v>
      </x:c>
      <x:c r="C179" s="36" t="str">
        <x:v>BU Led</x:v>
      </x:c>
      <x:c r="D179" s="36" t="str">
        <x:v>Precision Diagnosis - Magnetic Resonance (MR)</x:v>
      </x:c>
      <x:c r="E179" s="38" t="n">
        <x:v>0.56</x:v>
      </x:c>
      <x:c r="F179" s="39"/>
      <x:c r="G179" s="38" t="n">
        <x:f>IF(ISNUMBER(F179),F179,IF(E179="","",E179))</x:f>
        <x:v>0.56</x:v>
      </x:c>
      <x:c r="H179" s="38"/>
      <x:c r="I179" s="39"/>
      <x:c r="J179" s="36" t="str">
        <x:v>Cash savings</x:v>
      </x:c>
      <x:c r="K179" s="38" t="str">
        <x:f>IF(ISNUMBER(I179),I179,IF(OR(NOT(ISNUMBER(H179)),NOT(ISNUMBER(G179)),G179&lt;=0),"",IF(H179/G179&gt;='Score settings'!$B$58,"",IF(J179="Cash savings",H179,IF(J179="Revenue",H179*'Score settings'!$B$55,"")))))</x:f>
      </x:c>
      <x:c r="L179" s="36"/>
      <x:c r="M179" s="39"/>
      <x:c r="N179" s="40"/>
      <x:c r="O179" s="36" t="str">
        <x:v>Must Have</x:v>
      </x:c>
      <x:c r="P179" s="36" t="str">
        <x:v>NewFeat</x:v>
      </x:c>
      <x:c r="Q179" s="36" t="str">
        <x:v>ProcSimp</x:v>
      </x:c>
      <x:c r="R179" s="36" t="str">
        <x:v>NotAssessed</x:v>
      </x:c>
      <x:c r="S179" s="36" t="str"/>
      <x:c r="T179" s="36" t="str">
        <x:v>Common pot</x:v>
      </x:c>
      <x:c r="U179" s="41" t="n">
        <x:f>VLOOKUP("Priority|"&amp;O179,'Score settings'!$A$14:$C$43,2,FALSE)/'Score settings'!$B$4*'Score settings'!$C$4</x:f>
        <x:v>18</x:v>
      </x:c>
      <x:c r="V179" s="41" t="n">
        <x:f>VLOOKUP("Category|"&amp;P179,'Score settings'!$A$14:$C$43,2,FALSE)/'Score settings'!$B$5*'Score settings'!$C$5</x:f>
        <x:v>6</x:v>
      </x:c>
      <x:c r="W179" s="41" t="n">
        <x:f>VLOOKUP("Area|"&amp;Q179,'Score settings'!$A$14:$C$43,2,FALSE)/'Score settings'!$B$6*'Score settings'!$C$6</x:f>
        <x:v>12</x:v>
      </x:c>
      <x:c r="X179" s="41" t="n">
        <x:f>VLOOKUP("Benefits|"&amp;IF(AND(ISNUMBER(H179),H179&gt;0,ISNUMBER(G179),G179&gt;0),IF(H179/G179&gt;='Score settings'!$E$17,"3plus",IF(H179/G179&gt;='Score settings'!$E$16,"1.5to3",IF(H179/G179&gt;='Score settings'!$E$15,"0.5to1.5","positive"))),"None"),'Score settings'!$A$14:$C$43,2,FALSE)/'Score settings'!$B$7*'Score settings'!$C$7</x:f>
        <x:v>5</x:v>
      </x:c>
      <x:c r="Y179" s="41" t="n">
        <x:f>VLOOKUP("Waste|"&amp;R179,'Score settings'!$A$14:$C$43,2,FALSE)/'Score settings'!$B$8*'Score settings'!$C$8</x:f>
        <x:v>7</x:v>
      </x:c>
      <x:c r="Z179" s="41" t="n">
        <x:f>IF(B179="","",SUM(U179:Y179))</x:f>
        <x:v>48</x:v>
      </x:c>
      <x:c r="AA179" s="41" t="str">
        <x:f>IF(Z179="","Not scored",VLOOKUP(Z179,'Score settings'!$A$47:$C$50,2,TRUE))</x:f>
        <x:v>Strong</x:v>
      </x:c>
      <x:c r="AB179" s="41" t="n">
        <x:f>VLOOKUP("Priority|"&amp;O179,'Score settings'!$A$14:$C$43,3,FALSE)/'Score settings'!$B$4*'Score settings'!$D$4</x:f>
        <x:v>10.799999999999999</x:v>
      </x:c>
      <x:c r="AC179" s="41" t="n">
        <x:f>VLOOKUP("Category|"&amp;P179,'Score settings'!$A$14:$C$43,3,FALSE)/'Score settings'!$B$5*'Score settings'!$D$5</x:f>
        <x:v>3</x:v>
      </x:c>
      <x:c r="AD179" s="41" t="n">
        <x:f>VLOOKUP("Area|"&amp;Q179,'Score settings'!$A$14:$C$43,3,FALSE)/'Score settings'!$B$6*'Score settings'!$D$6</x:f>
        <x:v>8</x:v>
      </x:c>
      <x:c r="AE179" s="41" t="n">
        <x:f>VLOOKUP("Benefits|"&amp;IF(AND(ISNUMBER(K179),K179&gt;0,ISNUMBER(G179),G179&gt;0),IF(K179/G179&gt;='Score settings'!$E$17,"3plus",IF(K179/G179&gt;='Score settings'!$E$16,"1.5to3",IF(K179/G179&gt;='Score settings'!$E$15,"0.5to1.5","positive"))),"None"),'Score settings'!$A$14:$C$43,3,FALSE)/'Score settings'!$B$7*'Score settings'!$D$7</x:f>
        <x:v>0</x:v>
      </x:c>
      <x:c r="AF179" s="41" t="n">
        <x:f>VLOOKUP("Waste|"&amp;R179,'Score settings'!$A$14:$C$43,3,FALSE)/'Score settings'!$B$8*'Score settings'!$D$8</x:f>
        <x:v>0</x:v>
      </x:c>
      <x:c r="AG179" s="41" t="n">
        <x:f>(IF(AND(ISNUMBER(M179),M179&gt;0,ISNUMBER(G179),G179&gt;0),IF(M179/G179&gt;='Score settings'!$E$17,'Score settings'!$G$17,IF(M179/G179&gt;='Score settings'!$E$16,'Score settings'!$G$16,IF(M179/G179&gt;='Score settings'!$E$15,'Score settings'!$G$15,'Score settings'!$G$14))),0)/15*'Score settings'!$B$60+IFERROR(VLOOKUP(IF(ISNUMBER(N179),N179,IF(ISNUMBER(L179),L179,0)),'Score settings'!$E$22:$F$26,2,FALSE),0)/10*'Score settings'!$B$61)/'Score settings'!$B$9*'Score settings'!$D$9</x:f>
        <x:v>0</x:v>
      </x:c>
      <x:c r="AH179" s="41" t="n">
        <x:f>IF(B179="","",SUM(AB179:AG179))</x:f>
        <x:v>21.799999999999997</x:v>
      </x:c>
      <x:c r="AI179" s="41" t="str">
        <x:f>IF(NOT(ISNUMBER(AH179)),"Not scored",VLOOKUP(AH179,'Score settings'!$A$47:$C$50,3,TRUE))</x:f>
        <x:v>Weak</x:v>
      </x:c>
      <x:c r="AJ179" s="42" t="n">
        <x:f>IF(OR(NOT(ISNUMBER(AH179)),T179&lt;&gt;"Common pot"),"",COUNTIFS($T$4:$T$509,"Common pot",$AH$4:$AH$509,"&gt;"&amp;AH179)+1)</x:f>
        <x:v>333</x:v>
      </x:c>
      <x:c r="AK179" s="36" t="str">
        <x:f>IF(B179="","Name missing - not scored",IF(OR(NOT(ISNUMBER(G179)),G179&lt;=0),"Investment missing or zero - review",IF(0=1,"Permanent ID missing - reconcile",IF(AND(ISNUMBER(H179),H179/G179&gt;='Score settings'!$B$58,NOT(ISNUMBER(I179))),"Benefit units need review",IF(OR(R179="EXIT",R179="CHALLENGE"),"Waste decision requires scope resolution",IF("Name and organisation matched"&lt;&gt;"Name and organisation matched","Waste evidence match needs review","Provisional source score - confirm evidence"))))))</x:f>
        <x:v>Provisional source score - confirm evidence</x:v>
      </x:c>
      <x:c r="AL179" s="36"/>
      <x:c r="AM179" s="40"/>
      <x:c r="AN179" s="39"/>
      <x:c r="AO179" s="40"/>
      <x:c r="AP179" s="40"/>
    </x:row>
    <x:row r="180" ht="15" hidden="0" customHeight="1">
      <x:c r="A180" s="36" t="str">
        <x:v>Bu-185</x:v>
      </x:c>
      <x:c r="B180" s="37" t="str">
        <x:v>RSDI (Type 1) | FSE utility to create USB Media</x:v>
      </x:c>
      <x:c r="C180" s="36" t="str">
        <x:v>BU Led</x:v>
      </x:c>
      <x:c r="D180" s="36" t="str">
        <x:v>Precision Diagnosis - Magnetic Resonance (MR)</x:v>
      </x:c>
      <x:c r="E180" s="38" t="n">
        <x:v>0.25</x:v>
      </x:c>
      <x:c r="F180" s="39"/>
      <x:c r="G180" s="38" t="n">
        <x:f>IF(ISNUMBER(F180),F180,IF(E180="","",E180))</x:f>
        <x:v>0.25</x:v>
      </x:c>
      <x:c r="H180" s="38"/>
      <x:c r="I180" s="39"/>
      <x:c r="J180" s="36" t="str">
        <x:v>Cash savings</x:v>
      </x:c>
      <x:c r="K180" s="38" t="str">
        <x:f>IF(ISNUMBER(I180),I180,IF(OR(NOT(ISNUMBER(H180)),NOT(ISNUMBER(G180)),G180&lt;=0),"",IF(H180/G180&gt;='Score settings'!$B$58,"",IF(J180="Cash savings",H180,IF(J180="Revenue",H180*'Score settings'!$B$55,"")))))</x:f>
      </x:c>
      <x:c r="L180" s="36"/>
      <x:c r="M180" s="39"/>
      <x:c r="N180" s="40"/>
      <x:c r="O180" s="36" t="str">
        <x:v>Must Have</x:v>
      </x:c>
      <x:c r="P180" s="36" t="str">
        <x:v>NewFeat</x:v>
      </x:c>
      <x:c r="Q180" s="36" t="str">
        <x:v>ProcSimp</x:v>
      </x:c>
      <x:c r="R180" s="36" t="str">
        <x:v>NotAssessed</x:v>
      </x:c>
      <x:c r="S180" s="36" t="str"/>
      <x:c r="T180" s="36" t="str">
        <x:v>Common pot</x:v>
      </x:c>
      <x:c r="U180" s="41" t="n">
        <x:f>VLOOKUP("Priority|"&amp;O180,'Score settings'!$A$14:$C$43,2,FALSE)/'Score settings'!$B$4*'Score settings'!$C$4</x:f>
        <x:v>18</x:v>
      </x:c>
      <x:c r="V180" s="41" t="n">
        <x:f>VLOOKUP("Category|"&amp;P180,'Score settings'!$A$14:$C$43,2,FALSE)/'Score settings'!$B$5*'Score settings'!$C$5</x:f>
        <x:v>6</x:v>
      </x:c>
      <x:c r="W180" s="41" t="n">
        <x:f>VLOOKUP("Area|"&amp;Q180,'Score settings'!$A$14:$C$43,2,FALSE)/'Score settings'!$B$6*'Score settings'!$C$6</x:f>
        <x:v>12</x:v>
      </x:c>
      <x:c r="X180" s="41" t="n">
        <x:f>VLOOKUP("Benefits|"&amp;IF(AND(ISNUMBER(H180),H180&gt;0,ISNUMBER(G180),G180&gt;0),IF(H180/G180&gt;='Score settings'!$E$17,"3plus",IF(H180/G180&gt;='Score settings'!$E$16,"1.5to3",IF(H180/G180&gt;='Score settings'!$E$15,"0.5to1.5","positive"))),"None"),'Score settings'!$A$14:$C$43,2,FALSE)/'Score settings'!$B$7*'Score settings'!$C$7</x:f>
        <x:v>5</x:v>
      </x:c>
      <x:c r="Y180" s="41" t="n">
        <x:f>VLOOKUP("Waste|"&amp;R180,'Score settings'!$A$14:$C$43,2,FALSE)/'Score settings'!$B$8*'Score settings'!$C$8</x:f>
        <x:v>7</x:v>
      </x:c>
      <x:c r="Z180" s="41" t="n">
        <x:f>IF(B180="","",SUM(U180:Y180))</x:f>
        <x:v>48</x:v>
      </x:c>
      <x:c r="AA180" s="41" t="str">
        <x:f>IF(Z180="","Not scored",VLOOKUP(Z180,'Score settings'!$A$47:$C$50,2,TRUE))</x:f>
        <x:v>Strong</x:v>
      </x:c>
      <x:c r="AB180" s="41" t="n">
        <x:f>VLOOKUP("Priority|"&amp;O180,'Score settings'!$A$14:$C$43,3,FALSE)/'Score settings'!$B$4*'Score settings'!$D$4</x:f>
        <x:v>10.799999999999999</x:v>
      </x:c>
      <x:c r="AC180" s="41" t="n">
        <x:f>VLOOKUP("Category|"&amp;P180,'Score settings'!$A$14:$C$43,3,FALSE)/'Score settings'!$B$5*'Score settings'!$D$5</x:f>
        <x:v>3</x:v>
      </x:c>
      <x:c r="AD180" s="41" t="n">
        <x:f>VLOOKUP("Area|"&amp;Q180,'Score settings'!$A$14:$C$43,3,FALSE)/'Score settings'!$B$6*'Score settings'!$D$6</x:f>
        <x:v>8</x:v>
      </x:c>
      <x:c r="AE180" s="41" t="n">
        <x:f>VLOOKUP("Benefits|"&amp;IF(AND(ISNUMBER(K180),K180&gt;0,ISNUMBER(G180),G180&gt;0),IF(K180/G180&gt;='Score settings'!$E$17,"3plus",IF(K180/G180&gt;='Score settings'!$E$16,"1.5to3",IF(K180/G180&gt;='Score settings'!$E$15,"0.5to1.5","positive"))),"None"),'Score settings'!$A$14:$C$43,3,FALSE)/'Score settings'!$B$7*'Score settings'!$D$7</x:f>
        <x:v>0</x:v>
      </x:c>
      <x:c r="AF180" s="41" t="n">
        <x:f>VLOOKUP("Waste|"&amp;R180,'Score settings'!$A$14:$C$43,3,FALSE)/'Score settings'!$B$8*'Score settings'!$D$8</x:f>
        <x:v>0</x:v>
      </x:c>
      <x:c r="AG180" s="41" t="n">
        <x:f>(IF(AND(ISNUMBER(M180),M180&gt;0,ISNUMBER(G180),G180&gt;0),IF(M180/G180&gt;='Score settings'!$E$17,'Score settings'!$G$17,IF(M180/G180&gt;='Score settings'!$E$16,'Score settings'!$G$16,IF(M180/G180&gt;='Score settings'!$E$15,'Score settings'!$G$15,'Score settings'!$G$14))),0)/15*'Score settings'!$B$60+IFERROR(VLOOKUP(IF(ISNUMBER(N180),N180,IF(ISNUMBER(L180),L180,0)),'Score settings'!$E$22:$F$26,2,FALSE),0)/10*'Score settings'!$B$61)/'Score settings'!$B$9*'Score settings'!$D$9</x:f>
        <x:v>0</x:v>
      </x:c>
      <x:c r="AH180" s="41" t="n">
        <x:f>IF(B180="","",SUM(AB180:AG180))</x:f>
        <x:v>21.799999999999997</x:v>
      </x:c>
      <x:c r="AI180" s="41" t="str">
        <x:f>IF(NOT(ISNUMBER(AH180)),"Not scored",VLOOKUP(AH180,'Score settings'!$A$47:$C$50,3,TRUE))</x:f>
        <x:v>Weak</x:v>
      </x:c>
      <x:c r="AJ180" s="42" t="n">
        <x:f>IF(OR(NOT(ISNUMBER(AH180)),T180&lt;&gt;"Common pot"),"",COUNTIFS($T$4:$T$509,"Common pot",$AH$4:$AH$509,"&gt;"&amp;AH180)+1)</x:f>
        <x:v>333</x:v>
      </x:c>
      <x:c r="AK180" s="36" t="str">
        <x:f>IF(B180="","Name missing - not scored",IF(OR(NOT(ISNUMBER(G180)),G180&lt;=0),"Investment missing or zero - review",IF(0=1,"Permanent ID missing - reconcile",IF(AND(ISNUMBER(H180),H180/G180&gt;='Score settings'!$B$58,NOT(ISNUMBER(I180))),"Benefit units need review",IF(OR(R180="EXIT",R180="CHALLENGE"),"Waste decision requires scope resolution",IF("Name and organisation matched"&lt;&gt;"Name and organisation matched","Waste evidence match needs review","Provisional source score - confirm evidence"))))))</x:f>
        <x:v>Provisional source score - confirm evidence</x:v>
      </x:c>
      <x:c r="AL180" s="36"/>
      <x:c r="AM180" s="40"/>
      <x:c r="AN180" s="39"/>
      <x:c r="AO180" s="40"/>
      <x:c r="AP180" s="40"/>
    </x:row>
    <x:row r="181" ht="15" hidden="0" customHeight="1">
      <x:c r="A181" s="36" t="str">
        <x:v>Bu-186</x:v>
      </x:c>
      <x:c r="B181" s="37" t="str">
        <x:v>CT Mobile APP </x:v>
      </x:c>
      <x:c r="C181" s="36" t="str">
        <x:v>BU Led</x:v>
      </x:c>
      <x:c r="D181" s="36" t="str">
        <x:v>Precision Diagnosis - Computed Tomography (CT)</x:v>
      </x:c>
      <x:c r="E181" s="38" t="n">
        <x:v>0.321</x:v>
      </x:c>
      <x:c r="F181" s="39"/>
      <x:c r="G181" s="38" t="n">
        <x:f>IF(ISNUMBER(F181),F181,IF(E181="","",E181))</x:f>
        <x:v>0.321</x:v>
      </x:c>
      <x:c r="H181" s="38"/>
      <x:c r="I181" s="39"/>
      <x:c r="J181" s="36" t="str">
        <x:v>Unclassified</x:v>
      </x:c>
      <x:c r="K181" s="38" t="str">
        <x:f>IF(ISNUMBER(I181),I181,IF(OR(NOT(ISNUMBER(H181)),NOT(ISNUMBER(G181)),G181&lt;=0),"",IF(H181/G181&gt;='Score settings'!$B$58,"",IF(J181="Cash savings",H181,IF(J181="Revenue",H181*'Score settings'!$B$55,"")))))</x:f>
      </x:c>
      <x:c r="L181" s="36"/>
      <x:c r="M181" s="39"/>
      <x:c r="N181" s="40"/>
      <x:c r="O181" s="36" t="str">
        <x:v>Must Have</x:v>
      </x:c>
      <x:c r="P181" s="36" t="str">
        <x:v>Upgrades</x:v>
      </x:c>
      <x:c r="Q181" s="36" t="str">
        <x:v>Compliance</x:v>
      </x:c>
      <x:c r="R181" s="36" t="str">
        <x:v>NotAssessed</x:v>
      </x:c>
      <x:c r="S181" s="36" t="str"/>
      <x:c r="T181" s="36" t="str">
        <x:v>Common pot</x:v>
      </x:c>
      <x:c r="U181" s="41" t="n">
        <x:f>VLOOKUP("Priority|"&amp;O181,'Score settings'!$A$14:$C$43,2,FALSE)/'Score settings'!$B$4*'Score settings'!$C$4</x:f>
        <x:v>18</x:v>
      </x:c>
      <x:c r="V181" s="41" t="n">
        <x:f>VLOOKUP("Category|"&amp;P181,'Score settings'!$A$14:$C$43,2,FALSE)/'Score settings'!$B$5*'Score settings'!$C$5</x:f>
        <x:v>10</x:v>
      </x:c>
      <x:c r="W181" s="41" t="n">
        <x:f>VLOOKUP("Area|"&amp;Q181,'Score settings'!$A$14:$C$43,2,FALSE)/'Score settings'!$B$6*'Score settings'!$C$6</x:f>
        <x:v>15</x:v>
      </x:c>
      <x:c r="X181" s="41" t="n">
        <x:f>VLOOKUP("Benefits|"&amp;IF(AND(ISNUMBER(H181),H181&gt;0,ISNUMBER(G181),G181&gt;0),IF(H181/G181&gt;='Score settings'!$E$17,"3plus",IF(H181/G181&gt;='Score settings'!$E$16,"1.5to3",IF(H181/G181&gt;='Score settings'!$E$15,"0.5to1.5","positive"))),"None"),'Score settings'!$A$14:$C$43,2,FALSE)/'Score settings'!$B$7*'Score settings'!$C$7</x:f>
        <x:v>5</x:v>
      </x:c>
      <x:c r="Y181" s="41" t="n">
        <x:f>VLOOKUP("Waste|"&amp;R181,'Score settings'!$A$14:$C$43,2,FALSE)/'Score settings'!$B$8*'Score settings'!$C$8</x:f>
        <x:v>7</x:v>
      </x:c>
      <x:c r="Z181" s="41" t="n">
        <x:f>IF(B181="","",SUM(U181:Y181))</x:f>
        <x:v>55</x:v>
      </x:c>
      <x:c r="AA181" s="41" t="str">
        <x:f>IF(Z181="","Not scored",VLOOKUP(Z181,'Score settings'!$A$47:$C$50,2,TRUE))</x:f>
        <x:v>Strong</x:v>
      </x:c>
      <x:c r="AB181" s="41" t="n">
        <x:f>VLOOKUP("Priority|"&amp;O181,'Score settings'!$A$14:$C$43,3,FALSE)/'Score settings'!$B$4*'Score settings'!$D$4</x:f>
        <x:v>10.799999999999999</x:v>
      </x:c>
      <x:c r="AC181" s="41" t="n">
        <x:f>VLOOKUP("Category|"&amp;P181,'Score settings'!$A$14:$C$43,3,FALSE)/'Score settings'!$B$5*'Score settings'!$D$5</x:f>
        <x:v>5</x:v>
      </x:c>
      <x:c r="AD181" s="41" t="n">
        <x:f>VLOOKUP("Area|"&amp;Q181,'Score settings'!$A$14:$C$43,3,FALSE)/'Score settings'!$B$6*'Score settings'!$D$6</x:f>
        <x:v>10</x:v>
      </x:c>
      <x:c r="AE181" s="41" t="n">
        <x:f>VLOOKUP("Benefits|"&amp;IF(AND(ISNUMBER(K181),K181&gt;0,ISNUMBER(G181),G181&gt;0),IF(K181/G181&gt;='Score settings'!$E$17,"3plus",IF(K181/G181&gt;='Score settings'!$E$16,"1.5to3",IF(K181/G181&gt;='Score settings'!$E$15,"0.5to1.5","positive"))),"None"),'Score settings'!$A$14:$C$43,3,FALSE)/'Score settings'!$B$7*'Score settings'!$D$7</x:f>
        <x:v>0</x:v>
      </x:c>
      <x:c r="AF181" s="41" t="n">
        <x:f>VLOOKUP("Waste|"&amp;R181,'Score settings'!$A$14:$C$43,3,FALSE)/'Score settings'!$B$8*'Score settings'!$D$8</x:f>
        <x:v>0</x:v>
      </x:c>
      <x:c r="AG181" s="41" t="n">
        <x:f>(IF(AND(ISNUMBER(M181),M181&gt;0,ISNUMBER(G181),G181&gt;0),IF(M181/G181&gt;='Score settings'!$E$17,'Score settings'!$G$17,IF(M181/G181&gt;='Score settings'!$E$16,'Score settings'!$G$16,IF(M181/G181&gt;='Score settings'!$E$15,'Score settings'!$G$15,'Score settings'!$G$14))),0)/15*'Score settings'!$B$60+IFERROR(VLOOKUP(IF(ISNUMBER(N181),N181,IF(ISNUMBER(L181),L181,0)),'Score settings'!$E$22:$F$26,2,FALSE),0)/10*'Score settings'!$B$61)/'Score settings'!$B$9*'Score settings'!$D$9</x:f>
        <x:v>0</x:v>
      </x:c>
      <x:c r="AH181" s="41" t="n">
        <x:f>IF(B181="","",SUM(AB181:AG181))</x:f>
        <x:v>25.799999999999997</x:v>
      </x:c>
      <x:c r="AI181" s="41" t="str">
        <x:f>IF(NOT(ISNUMBER(AH181)),"Not scored",VLOOKUP(AH181,'Score settings'!$A$47:$C$50,3,TRUE))</x:f>
        <x:v>Discretionary</x:v>
      </x:c>
      <x:c r="AJ181" s="42" t="n">
        <x:f>IF(OR(NOT(ISNUMBER(AH181)),T181&lt;&gt;"Common pot"),"",COUNTIFS($T$4:$T$509,"Common pot",$AH$4:$AH$509,"&gt;"&amp;AH181)+1)</x:f>
        <x:v>245</x:v>
      </x:c>
      <x:c r="AK181" s="36" t="str">
        <x:f>IF(B181="","Name missing - not scored",IF(OR(NOT(ISNUMBER(G181)),G181&lt;=0),"Investment missing or zero - review",IF(0=1,"Permanent ID missing - reconcile",IF(AND(ISNUMBER(H181),H181/G181&gt;='Score settings'!$B$58,NOT(ISNUMBER(I181))),"Benefit units need review",IF(OR(R181="EXIT",R181="CHALLENGE"),"Waste decision requires scope resolution",IF("Name and organisation matched"&lt;&gt;"Name and organisation matched","Waste evidence match needs review","Provisional source score - confirm evidence"))))))</x:f>
        <x:v>Provisional source score - confirm evidence</x:v>
      </x:c>
      <x:c r="AL181" s="36"/>
      <x:c r="AM181" s="40"/>
      <x:c r="AN181" s="39"/>
      <x:c r="AO181" s="40"/>
      <x:c r="AP181" s="40"/>
    </x:row>
    <x:row r="182" ht="15" hidden="0" customHeight="1">
      <x:c r="A182" s="36" t="str">
        <x:v>Bu-187</x:v>
      </x:c>
      <x:c r="B182" s="37" t="str">
        <x:v>DXR Mobile App</x:v>
      </x:c>
      <x:c r="C182" s="36" t="str">
        <x:v>BU Led</x:v>
      </x:c>
      <x:c r="D182" s="36" t="str">
        <x:v>Precision Diagnosis - Digital X-ray Radiogrammetry (DXR)</x:v>
      </x:c>
      <x:c r="E182" s="38" t="n">
        <x:v>0.314</x:v>
      </x:c>
      <x:c r="F182" s="39"/>
      <x:c r="G182" s="38" t="n">
        <x:f>IF(ISNUMBER(F182),F182,IF(E182="","",E182))</x:f>
        <x:v>0.314</x:v>
      </x:c>
      <x:c r="H182" s="38"/>
      <x:c r="I182" s="39"/>
      <x:c r="J182" s="36" t="str">
        <x:v>Unclassified</x:v>
      </x:c>
      <x:c r="K182" s="38" t="str">
        <x:f>IF(ISNUMBER(I182),I182,IF(OR(NOT(ISNUMBER(H182)),NOT(ISNUMBER(G182)),G182&lt;=0),"",IF(H182/G182&gt;='Score settings'!$B$58,"",IF(J182="Cash savings",H182,IF(J182="Revenue",H182*'Score settings'!$B$55,"")))))</x:f>
      </x:c>
      <x:c r="L182" s="36"/>
      <x:c r="M182" s="39"/>
      <x:c r="N182" s="40"/>
      <x:c r="O182" s="36" t="str">
        <x:v>Must Have</x:v>
      </x:c>
      <x:c r="P182" s="36" t="str">
        <x:v>Upgrades</x:v>
      </x:c>
      <x:c r="Q182" s="36" t="str">
        <x:v>Compliance</x:v>
      </x:c>
      <x:c r="R182" s="36" t="str">
        <x:v>NotAssessed</x:v>
      </x:c>
      <x:c r="S182" s="36" t="str"/>
      <x:c r="T182" s="36" t="str">
        <x:v>Common pot</x:v>
      </x:c>
      <x:c r="U182" s="41" t="n">
        <x:f>VLOOKUP("Priority|"&amp;O182,'Score settings'!$A$14:$C$43,2,FALSE)/'Score settings'!$B$4*'Score settings'!$C$4</x:f>
        <x:v>18</x:v>
      </x:c>
      <x:c r="V182" s="41" t="n">
        <x:f>VLOOKUP("Category|"&amp;P182,'Score settings'!$A$14:$C$43,2,FALSE)/'Score settings'!$B$5*'Score settings'!$C$5</x:f>
        <x:v>10</x:v>
      </x:c>
      <x:c r="W182" s="41" t="n">
        <x:f>VLOOKUP("Area|"&amp;Q182,'Score settings'!$A$14:$C$43,2,FALSE)/'Score settings'!$B$6*'Score settings'!$C$6</x:f>
        <x:v>15</x:v>
      </x:c>
      <x:c r="X182" s="41" t="n">
        <x:f>VLOOKUP("Benefits|"&amp;IF(AND(ISNUMBER(H182),H182&gt;0,ISNUMBER(G182),G182&gt;0),IF(H182/G182&gt;='Score settings'!$E$17,"3plus",IF(H182/G182&gt;='Score settings'!$E$16,"1.5to3",IF(H182/G182&gt;='Score settings'!$E$15,"0.5to1.5","positive"))),"None"),'Score settings'!$A$14:$C$43,2,FALSE)/'Score settings'!$B$7*'Score settings'!$C$7</x:f>
        <x:v>5</x:v>
      </x:c>
      <x:c r="Y182" s="41" t="n">
        <x:f>VLOOKUP("Waste|"&amp;R182,'Score settings'!$A$14:$C$43,2,FALSE)/'Score settings'!$B$8*'Score settings'!$C$8</x:f>
        <x:v>7</x:v>
      </x:c>
      <x:c r="Z182" s="41" t="n">
        <x:f>IF(B182="","",SUM(U182:Y182))</x:f>
        <x:v>55</x:v>
      </x:c>
      <x:c r="AA182" s="41" t="str">
        <x:f>IF(Z182="","Not scored",VLOOKUP(Z182,'Score settings'!$A$47:$C$50,2,TRUE))</x:f>
        <x:v>Strong</x:v>
      </x:c>
      <x:c r="AB182" s="41" t="n">
        <x:f>VLOOKUP("Priority|"&amp;O182,'Score settings'!$A$14:$C$43,3,FALSE)/'Score settings'!$B$4*'Score settings'!$D$4</x:f>
        <x:v>10.799999999999999</x:v>
      </x:c>
      <x:c r="AC182" s="41" t="n">
        <x:f>VLOOKUP("Category|"&amp;P182,'Score settings'!$A$14:$C$43,3,FALSE)/'Score settings'!$B$5*'Score settings'!$D$5</x:f>
        <x:v>5</x:v>
      </x:c>
      <x:c r="AD182" s="41" t="n">
        <x:f>VLOOKUP("Area|"&amp;Q182,'Score settings'!$A$14:$C$43,3,FALSE)/'Score settings'!$B$6*'Score settings'!$D$6</x:f>
        <x:v>10</x:v>
      </x:c>
      <x:c r="AE182" s="41" t="n">
        <x:f>VLOOKUP("Benefits|"&amp;IF(AND(ISNUMBER(K182),K182&gt;0,ISNUMBER(G182),G182&gt;0),IF(K182/G182&gt;='Score settings'!$E$17,"3plus",IF(K182/G182&gt;='Score settings'!$E$16,"1.5to3",IF(K182/G182&gt;='Score settings'!$E$15,"0.5to1.5","positive"))),"None"),'Score settings'!$A$14:$C$43,3,FALSE)/'Score settings'!$B$7*'Score settings'!$D$7</x:f>
        <x:v>0</x:v>
      </x:c>
      <x:c r="AF182" s="41" t="n">
        <x:f>VLOOKUP("Waste|"&amp;R182,'Score settings'!$A$14:$C$43,3,FALSE)/'Score settings'!$B$8*'Score settings'!$D$8</x:f>
        <x:v>0</x:v>
      </x:c>
      <x:c r="AG182" s="41" t="n">
        <x:f>(IF(AND(ISNUMBER(M182),M182&gt;0,ISNUMBER(G182),G182&gt;0),IF(M182/G182&gt;='Score settings'!$E$17,'Score settings'!$G$17,IF(M182/G182&gt;='Score settings'!$E$16,'Score settings'!$G$16,IF(M182/G182&gt;='Score settings'!$E$15,'Score settings'!$G$15,'Score settings'!$G$14))),0)/15*'Score settings'!$B$60+IFERROR(VLOOKUP(IF(ISNUMBER(N182),N182,IF(ISNUMBER(L182),L182,0)),'Score settings'!$E$22:$F$26,2,FALSE),0)/10*'Score settings'!$B$61)/'Score settings'!$B$9*'Score settings'!$D$9</x:f>
        <x:v>0</x:v>
      </x:c>
      <x:c r="AH182" s="41" t="n">
        <x:f>IF(B182="","",SUM(AB182:AG182))</x:f>
        <x:v>25.799999999999997</x:v>
      </x:c>
      <x:c r="AI182" s="41" t="str">
        <x:f>IF(NOT(ISNUMBER(AH182)),"Not scored",VLOOKUP(AH182,'Score settings'!$A$47:$C$50,3,TRUE))</x:f>
        <x:v>Discretionary</x:v>
      </x:c>
      <x:c r="AJ182" s="42" t="n">
        <x:f>IF(OR(NOT(ISNUMBER(AH182)),T182&lt;&gt;"Common pot"),"",COUNTIFS($T$4:$T$509,"Common pot",$AH$4:$AH$509,"&gt;"&amp;AH182)+1)</x:f>
        <x:v>245</x:v>
      </x:c>
      <x:c r="AK182" s="36" t="str">
        <x:f>IF(B182="","Name missing - not scored",IF(OR(NOT(ISNUMBER(G182)),G182&lt;=0),"Investment missing or zero - review",IF(0=1,"Permanent ID missing - reconcile",IF(AND(ISNUMBER(H182),H182/G182&gt;='Score settings'!$B$58,NOT(ISNUMBER(I182))),"Benefit units need review",IF(OR(R182="EXIT",R182="CHALLENGE"),"Waste decision requires scope resolution",IF("Name and organisation matched"&lt;&gt;"Name and organisation matched","Waste evidence match needs review","Provisional source score - confirm evidence"))))))</x:f>
        <x:v>Provisional source score - confirm evidence</x:v>
      </x:c>
      <x:c r="AL182" s="36"/>
      <x:c r="AM182" s="40"/>
      <x:c r="AN182" s="39"/>
      <x:c r="AO182" s="40"/>
      <x:c r="AP182" s="40"/>
    </x:row>
    <x:row r="183" ht="15" hidden="0" customHeight="1">
      <x:c r="A183" s="36" t="str">
        <x:v>Bu-188</x:v>
      </x:c>
      <x:c r="B183" s="37" t="str">
        <x:v>PD AI Solutions</x:v>
      </x:c>
      <x:c r="C183" s="36" t="str">
        <x:v>BU Led</x:v>
      </x:c>
      <x:c r="D183" s="36" t="str">
        <x:v>Precision Diagnosis - Magnetic Resonance (MR)</x:v>
      </x:c>
      <x:c r="E183" s="38" t="n">
        <x:v>0.18</x:v>
      </x:c>
      <x:c r="F183" s="39"/>
      <x:c r="G183" s="38" t="n">
        <x:f>IF(ISNUMBER(F183),F183,IF(E183="","",E183))</x:f>
        <x:v>0.18</x:v>
      </x:c>
      <x:c r="H183" s="38"/>
      <x:c r="I183" s="39"/>
      <x:c r="J183" s="36" t="str">
        <x:v>Unclassified</x:v>
      </x:c>
      <x:c r="K183" s="38" t="str">
        <x:f>IF(ISNUMBER(I183),I183,IF(OR(NOT(ISNUMBER(H183)),NOT(ISNUMBER(G183)),G183&lt;=0),"",IF(H183/G183&gt;='Score settings'!$B$58,"",IF(J183="Cash savings",H183,IF(J183="Revenue",H183*'Score settings'!$B$55,"")))))</x:f>
      </x:c>
      <x:c r="L183" s="36"/>
      <x:c r="M183" s="39"/>
      <x:c r="N183" s="40"/>
      <x:c r="O183" s="36" t="str">
        <x:v>Must Do</x:v>
      </x:c>
      <x:c r="P183" s="36" t="str">
        <x:v>NewTech</x:v>
      </x:c>
      <x:c r="Q183" s="36" t="str">
        <x:v>Transform</x:v>
      </x:c>
      <x:c r="R183" s="36" t="str">
        <x:v>NotAssessed</x:v>
      </x:c>
      <x:c r="S183" s="36" t="str"/>
      <x:c r="T183" s="36" t="str">
        <x:v>Common pot</x:v>
      </x:c>
      <x:c r="U183" s="41" t="n">
        <x:f>VLOOKUP("Priority|"&amp;O183,'Score settings'!$A$14:$C$43,2,FALSE)/'Score settings'!$B$4*'Score settings'!$C$4</x:f>
        <x:v>25</x:v>
      </x:c>
      <x:c r="V183" s="41" t="n">
        <x:f>VLOOKUP("Category|"&amp;P183,'Score settings'!$A$14:$C$43,2,FALSE)/'Score settings'!$B$5*'Score settings'!$C$5</x:f>
        <x:v>5</x:v>
      </x:c>
      <x:c r="W183" s="41" t="n">
        <x:f>VLOOKUP("Area|"&amp;Q183,'Score settings'!$A$14:$C$43,2,FALSE)/'Score settings'!$B$6*'Score settings'!$C$6</x:f>
        <x:v>8</x:v>
      </x:c>
      <x:c r="X183" s="41" t="n">
        <x:f>VLOOKUP("Benefits|"&amp;IF(AND(ISNUMBER(H183),H183&gt;0,ISNUMBER(G183),G183&gt;0),IF(H183/G183&gt;='Score settings'!$E$17,"3plus",IF(H183/G183&gt;='Score settings'!$E$16,"1.5to3",IF(H183/G183&gt;='Score settings'!$E$15,"0.5to1.5","positive"))),"None"),'Score settings'!$A$14:$C$43,2,FALSE)/'Score settings'!$B$7*'Score settings'!$C$7</x:f>
        <x:v>5</x:v>
      </x:c>
      <x:c r="Y183" s="41" t="n">
        <x:f>VLOOKUP("Waste|"&amp;R183,'Score settings'!$A$14:$C$43,2,FALSE)/'Score settings'!$B$8*'Score settings'!$C$8</x:f>
        <x:v>7</x:v>
      </x:c>
      <x:c r="Z183" s="41" t="n">
        <x:f>IF(B183="","",SUM(U183:Y183))</x:f>
        <x:v>50</x:v>
      </x:c>
      <x:c r="AA183" s="41" t="str">
        <x:f>IF(Z183="","Not scored",VLOOKUP(Z183,'Score settings'!$A$47:$C$50,2,TRUE))</x:f>
        <x:v>Strong</x:v>
      </x:c>
      <x:c r="AB183" s="41" t="n">
        <x:f>VLOOKUP("Priority|"&amp;O183,'Score settings'!$A$14:$C$43,3,FALSE)/'Score settings'!$B$4*'Score settings'!$D$4</x:f>
        <x:v>15</x:v>
      </x:c>
      <x:c r="AC183" s="41" t="n">
        <x:f>VLOOKUP("Category|"&amp;P183,'Score settings'!$A$14:$C$43,3,FALSE)/'Score settings'!$B$5*'Score settings'!$D$5</x:f>
        <x:v>2.5</x:v>
      </x:c>
      <x:c r="AD183" s="41" t="n">
        <x:f>VLOOKUP("Area|"&amp;Q183,'Score settings'!$A$14:$C$43,3,FALSE)/'Score settings'!$B$6*'Score settings'!$D$6</x:f>
        <x:v>5.333333333333333</x:v>
      </x:c>
      <x:c r="AE183" s="41" t="n">
        <x:f>VLOOKUP("Benefits|"&amp;IF(AND(ISNUMBER(K183),K183&gt;0,ISNUMBER(G183),G183&gt;0),IF(K183/G183&gt;='Score settings'!$E$17,"3plus",IF(K183/G183&gt;='Score settings'!$E$16,"1.5to3",IF(K183/G183&gt;='Score settings'!$E$15,"0.5to1.5","positive"))),"None"),'Score settings'!$A$14:$C$43,3,FALSE)/'Score settings'!$B$7*'Score settings'!$D$7</x:f>
        <x:v>0</x:v>
      </x:c>
      <x:c r="AF183" s="41" t="n">
        <x:f>VLOOKUP("Waste|"&amp;R183,'Score settings'!$A$14:$C$43,3,FALSE)/'Score settings'!$B$8*'Score settings'!$D$8</x:f>
        <x:v>0</x:v>
      </x:c>
      <x:c r="AG183" s="41" t="n">
        <x:f>(IF(AND(ISNUMBER(M183),M183&gt;0,ISNUMBER(G183),G183&gt;0),IF(M183/G183&gt;='Score settings'!$E$17,'Score settings'!$G$17,IF(M183/G183&gt;='Score settings'!$E$16,'Score settings'!$G$16,IF(M183/G183&gt;='Score settings'!$E$15,'Score settings'!$G$15,'Score settings'!$G$14))),0)/15*'Score settings'!$B$60+IFERROR(VLOOKUP(IF(ISNUMBER(N183),N183,IF(ISNUMBER(L183),L183,0)),'Score settings'!$E$22:$F$26,2,FALSE),0)/10*'Score settings'!$B$61)/'Score settings'!$B$9*'Score settings'!$D$9</x:f>
        <x:v>0</x:v>
      </x:c>
      <x:c r="AH183" s="41" t="n">
        <x:f>IF(B183="","",SUM(AB183:AG183))</x:f>
        <x:v>22.833333333333332</x:v>
      </x:c>
      <x:c r="AI183" s="41" t="str">
        <x:f>IF(NOT(ISNUMBER(AH183)),"Not scored",VLOOKUP(AH183,'Score settings'!$A$47:$C$50,3,TRUE))</x:f>
        <x:v>Weak</x:v>
      </x:c>
      <x:c r="AJ183" s="42" t="n">
        <x:f>IF(OR(NOT(ISNUMBER(AH183)),T183&lt;&gt;"Common pot"),"",COUNTIFS($T$4:$T$509,"Common pot",$AH$4:$AH$509,"&gt;"&amp;AH183)+1)</x:f>
        <x:v>317</x:v>
      </x:c>
      <x:c r="AK183" s="36" t="str">
        <x:f>IF(B183="","Name missing - not scored",IF(OR(NOT(ISNUMBER(G183)),G183&lt;=0),"Investment missing or zero - review",IF(0=1,"Permanent ID missing - reconcile",IF(AND(ISNUMBER(H183),H183/G183&gt;='Score settings'!$B$58,NOT(ISNUMBER(I183))),"Benefit units need review",IF(OR(R183="EXIT",R183="CHALLENGE"),"Waste decision requires scope resolution",IF("Name and organisation matched"&lt;&gt;"Name and organisation matched","Waste evidence match needs review","Provisional source score - confirm evidence"))))))</x:f>
        <x:v>Provisional source score - confirm evidence</x:v>
      </x:c>
      <x:c r="AL183" s="36"/>
      <x:c r="AM183" s="40"/>
      <x:c r="AN183" s="39"/>
      <x:c r="AO183" s="40"/>
      <x:c r="AP183" s="40"/>
    </x:row>
    <x:row r="184" ht="15" hidden="0" customHeight="1">
      <x:c r="A184" s="36" t="str">
        <x:v>Bu-189</x:v>
      </x:c>
      <x:c r="B184" s="37" t="str">
        <x:v>1. GAIA - platform showing E2E product / customer quality status. </x:v>
      </x:c>
      <x:c r="C184" s="36" t="str">
        <x:v>BU Led</x:v>
      </x:c>
      <x:c r="D184" s="36" t="str">
        <x:v>Precision Diagnosis - Computed Tomography (CT)</x:v>
      </x:c>
      <x:c r="E184" s="38" t="n">
        <x:v>0.05</x:v>
      </x:c>
      <x:c r="F184" s="39"/>
      <x:c r="G184" s="38" t="n">
        <x:f>IF(ISNUMBER(F184),F184,IF(E184="","",E184))</x:f>
        <x:v>0.05</x:v>
      </x:c>
      <x:c r="H184" s="38"/>
      <x:c r="I184" s="39"/>
      <x:c r="J184" s="36" t="str">
        <x:v>Cash savings</x:v>
      </x:c>
      <x:c r="K184" s="38" t="str">
        <x:f>IF(ISNUMBER(I184),I184,IF(OR(NOT(ISNUMBER(H184)),NOT(ISNUMBER(G184)),G184&lt;=0),"",IF(H184/G184&gt;='Score settings'!$B$58,"",IF(J184="Cash savings",H184,IF(J184="Revenue",H184*'Score settings'!$B$55,"")))))</x:f>
      </x:c>
      <x:c r="L184" s="36"/>
      <x:c r="M184" s="39"/>
      <x:c r="N184" s="40"/>
      <x:c r="O184" s="36" t="str">
        <x:v>Must Have</x:v>
      </x:c>
      <x:c r="P184" s="36" t="str">
        <x:v>CI</x:v>
      </x:c>
      <x:c r="Q184" s="36" t="str">
        <x:v>ProcSimp</x:v>
      </x:c>
      <x:c r="R184" s="36" t="str">
        <x:v>NotAssessed</x:v>
      </x:c>
      <x:c r="S184" s="36" t="str"/>
      <x:c r="T184" s="36" t="str">
        <x:v>Common pot</x:v>
      </x:c>
      <x:c r="U184" s="41" t="n">
        <x:f>VLOOKUP("Priority|"&amp;O184,'Score settings'!$A$14:$C$43,2,FALSE)/'Score settings'!$B$4*'Score settings'!$C$4</x:f>
        <x:v>18</x:v>
      </x:c>
      <x:c r="V184" s="41" t="n">
        <x:f>VLOOKUP("Category|"&amp;P184,'Score settings'!$A$14:$C$43,2,FALSE)/'Score settings'!$B$5*'Score settings'!$C$5</x:f>
        <x:v>8</x:v>
      </x:c>
      <x:c r="W184" s="41" t="n">
        <x:f>VLOOKUP("Area|"&amp;Q184,'Score settings'!$A$14:$C$43,2,FALSE)/'Score settings'!$B$6*'Score settings'!$C$6</x:f>
        <x:v>12</x:v>
      </x:c>
      <x:c r="X184" s="41" t="n">
        <x:f>VLOOKUP("Benefits|"&amp;IF(AND(ISNUMBER(H184),H184&gt;0,ISNUMBER(G184),G184&gt;0),IF(H184/G184&gt;='Score settings'!$E$17,"3plus",IF(H184/G184&gt;='Score settings'!$E$16,"1.5to3",IF(H184/G184&gt;='Score settings'!$E$15,"0.5to1.5","positive"))),"None"),'Score settings'!$A$14:$C$43,2,FALSE)/'Score settings'!$B$7*'Score settings'!$C$7</x:f>
        <x:v>5</x:v>
      </x:c>
      <x:c r="Y184" s="41" t="n">
        <x:f>VLOOKUP("Waste|"&amp;R184,'Score settings'!$A$14:$C$43,2,FALSE)/'Score settings'!$B$8*'Score settings'!$C$8</x:f>
        <x:v>7</x:v>
      </x:c>
      <x:c r="Z184" s="41" t="n">
        <x:f>IF(B184="","",SUM(U184:Y184))</x:f>
        <x:v>50</x:v>
      </x:c>
      <x:c r="AA184" s="41" t="str">
        <x:f>IF(Z184="","Not scored",VLOOKUP(Z184,'Score settings'!$A$47:$C$50,2,TRUE))</x:f>
        <x:v>Strong</x:v>
      </x:c>
      <x:c r="AB184" s="41" t="n">
        <x:f>VLOOKUP("Priority|"&amp;O184,'Score settings'!$A$14:$C$43,3,FALSE)/'Score settings'!$B$4*'Score settings'!$D$4</x:f>
        <x:v>10.799999999999999</x:v>
      </x:c>
      <x:c r="AC184" s="41" t="n">
        <x:f>VLOOKUP("Category|"&amp;P184,'Score settings'!$A$14:$C$43,3,FALSE)/'Score settings'!$B$5*'Score settings'!$D$5</x:f>
        <x:v>4</x:v>
      </x:c>
      <x:c r="AD184" s="41" t="n">
        <x:f>VLOOKUP("Area|"&amp;Q184,'Score settings'!$A$14:$C$43,3,FALSE)/'Score settings'!$B$6*'Score settings'!$D$6</x:f>
        <x:v>8</x:v>
      </x:c>
      <x:c r="AE184" s="41" t="n">
        <x:f>VLOOKUP("Benefits|"&amp;IF(AND(ISNUMBER(K184),K184&gt;0,ISNUMBER(G184),G184&gt;0),IF(K184/G184&gt;='Score settings'!$E$17,"3plus",IF(K184/G184&gt;='Score settings'!$E$16,"1.5to3",IF(K184/G184&gt;='Score settings'!$E$15,"0.5to1.5","positive"))),"None"),'Score settings'!$A$14:$C$43,3,FALSE)/'Score settings'!$B$7*'Score settings'!$D$7</x:f>
        <x:v>0</x:v>
      </x:c>
      <x:c r="AF184" s="41" t="n">
        <x:f>VLOOKUP("Waste|"&amp;R184,'Score settings'!$A$14:$C$43,3,FALSE)/'Score settings'!$B$8*'Score settings'!$D$8</x:f>
        <x:v>0</x:v>
      </x:c>
      <x:c r="AG184" s="41" t="n">
        <x:f>(IF(AND(ISNUMBER(M184),M184&gt;0,ISNUMBER(G184),G184&gt;0),IF(M184/G184&gt;='Score settings'!$E$17,'Score settings'!$G$17,IF(M184/G184&gt;='Score settings'!$E$16,'Score settings'!$G$16,IF(M184/G184&gt;='Score settings'!$E$15,'Score settings'!$G$15,'Score settings'!$G$14))),0)/15*'Score settings'!$B$60+IFERROR(VLOOKUP(IF(ISNUMBER(N184),N184,IF(ISNUMBER(L184),L184,0)),'Score settings'!$E$22:$F$26,2,FALSE),0)/10*'Score settings'!$B$61)/'Score settings'!$B$9*'Score settings'!$D$9</x:f>
        <x:v>0</x:v>
      </x:c>
      <x:c r="AH184" s="41" t="n">
        <x:f>IF(B184="","",SUM(AB184:AG184))</x:f>
        <x:v>22.799999999999997</x:v>
      </x:c>
      <x:c r="AI184" s="41" t="str">
        <x:f>IF(NOT(ISNUMBER(AH184)),"Not scored",VLOOKUP(AH184,'Score settings'!$A$47:$C$50,3,TRUE))</x:f>
        <x:v>Weak</x:v>
      </x:c>
      <x:c r="AJ184" s="42" t="n">
        <x:f>IF(OR(NOT(ISNUMBER(AH184)),T184&lt;&gt;"Common pot"),"",COUNTIFS($T$4:$T$509,"Common pot",$AH$4:$AH$509,"&gt;"&amp;AH184)+1)</x:f>
        <x:v>318</x:v>
      </x:c>
      <x:c r="AK184" s="36" t="str">
        <x:f>IF(B184="","Name missing - not scored",IF(OR(NOT(ISNUMBER(G184)),G184&lt;=0),"Investment missing or zero - review",IF(0=1,"Permanent ID missing - reconcile",IF(AND(ISNUMBER(H184),H184/G184&gt;='Score settings'!$B$58,NOT(ISNUMBER(I184))),"Benefit units need review",IF(OR(R184="EXIT",R184="CHALLENGE"),"Waste decision requires scope resolution",IF("Name and organisation matched"&lt;&gt;"Name and organisation matched","Waste evidence match needs review","Provisional source score - confirm evidence"))))))</x:f>
        <x:v>Provisional source score - confirm evidence</x:v>
      </x:c>
      <x:c r="AL184" s="36"/>
      <x:c r="AM184" s="40"/>
      <x:c r="AN184" s="39"/>
      <x:c r="AO184" s="40"/>
      <x:c r="AP184" s="40"/>
    </x:row>
    <x:row r="185" ht="15" hidden="0" customHeight="1">
      <x:c r="A185" s="36" t="str">
        <x:v>Bu-190</x:v>
      </x:c>
      <x:c r="B185" s="37" t="str">
        <x:v>2. Audit management tool </x:v>
      </x:c>
      <x:c r="C185" s="36" t="str">
        <x:v>BU Led</x:v>
      </x:c>
      <x:c r="D185" s="36" t="str">
        <x:v>Precision Diagnosis - Computed Tomography (CT)</x:v>
      </x:c>
      <x:c r="E185" s="38" t="n">
        <x:v>0.05</x:v>
      </x:c>
      <x:c r="F185" s="39"/>
      <x:c r="G185" s="38" t="n">
        <x:f>IF(ISNUMBER(F185),F185,IF(E185="","",E185))</x:f>
        <x:v>0.05</x:v>
      </x:c>
      <x:c r="H185" s="38"/>
      <x:c r="I185" s="39"/>
      <x:c r="J185" s="36" t="str">
        <x:v>Cash savings</x:v>
      </x:c>
      <x:c r="K185" s="38" t="str">
        <x:f>IF(ISNUMBER(I185),I185,IF(OR(NOT(ISNUMBER(H185)),NOT(ISNUMBER(G185)),G185&lt;=0),"",IF(H185/G185&gt;='Score settings'!$B$58,"",IF(J185="Cash savings",H185,IF(J185="Revenue",H185*'Score settings'!$B$55,"")))))</x:f>
      </x:c>
      <x:c r="L185" s="36"/>
      <x:c r="M185" s="39"/>
      <x:c r="N185" s="40"/>
      <x:c r="O185" s="36" t="str">
        <x:v>Must Have</x:v>
      </x:c>
      <x:c r="P185" s="36" t="str">
        <x:v>CI</x:v>
      </x:c>
      <x:c r="Q185" s="36" t="str">
        <x:v>ProcSimp</x:v>
      </x:c>
      <x:c r="R185" s="36" t="str">
        <x:v>NotAssessed</x:v>
      </x:c>
      <x:c r="S185" s="36" t="str"/>
      <x:c r="T185" s="36" t="str">
        <x:v>Common pot</x:v>
      </x:c>
      <x:c r="U185" s="41" t="n">
        <x:f>VLOOKUP("Priority|"&amp;O185,'Score settings'!$A$14:$C$43,2,FALSE)/'Score settings'!$B$4*'Score settings'!$C$4</x:f>
        <x:v>18</x:v>
      </x:c>
      <x:c r="V185" s="41" t="n">
        <x:f>VLOOKUP("Category|"&amp;P185,'Score settings'!$A$14:$C$43,2,FALSE)/'Score settings'!$B$5*'Score settings'!$C$5</x:f>
        <x:v>8</x:v>
      </x:c>
      <x:c r="W185" s="41" t="n">
        <x:f>VLOOKUP("Area|"&amp;Q185,'Score settings'!$A$14:$C$43,2,FALSE)/'Score settings'!$B$6*'Score settings'!$C$6</x:f>
        <x:v>12</x:v>
      </x:c>
      <x:c r="X185" s="41" t="n">
        <x:f>VLOOKUP("Benefits|"&amp;IF(AND(ISNUMBER(H185),H185&gt;0,ISNUMBER(G185),G185&gt;0),IF(H185/G185&gt;='Score settings'!$E$17,"3plus",IF(H185/G185&gt;='Score settings'!$E$16,"1.5to3",IF(H185/G185&gt;='Score settings'!$E$15,"0.5to1.5","positive"))),"None"),'Score settings'!$A$14:$C$43,2,FALSE)/'Score settings'!$B$7*'Score settings'!$C$7</x:f>
        <x:v>5</x:v>
      </x:c>
      <x:c r="Y185" s="41" t="n">
        <x:f>VLOOKUP("Waste|"&amp;R185,'Score settings'!$A$14:$C$43,2,FALSE)/'Score settings'!$B$8*'Score settings'!$C$8</x:f>
        <x:v>7</x:v>
      </x:c>
      <x:c r="Z185" s="41" t="n">
        <x:f>IF(B185="","",SUM(U185:Y185))</x:f>
        <x:v>50</x:v>
      </x:c>
      <x:c r="AA185" s="41" t="str">
        <x:f>IF(Z185="","Not scored",VLOOKUP(Z185,'Score settings'!$A$47:$C$50,2,TRUE))</x:f>
        <x:v>Strong</x:v>
      </x:c>
      <x:c r="AB185" s="41" t="n">
        <x:f>VLOOKUP("Priority|"&amp;O185,'Score settings'!$A$14:$C$43,3,FALSE)/'Score settings'!$B$4*'Score settings'!$D$4</x:f>
        <x:v>10.799999999999999</x:v>
      </x:c>
      <x:c r="AC185" s="41" t="n">
        <x:f>VLOOKUP("Category|"&amp;P185,'Score settings'!$A$14:$C$43,3,FALSE)/'Score settings'!$B$5*'Score settings'!$D$5</x:f>
        <x:v>4</x:v>
      </x:c>
      <x:c r="AD185" s="41" t="n">
        <x:f>VLOOKUP("Area|"&amp;Q185,'Score settings'!$A$14:$C$43,3,FALSE)/'Score settings'!$B$6*'Score settings'!$D$6</x:f>
        <x:v>8</x:v>
      </x:c>
      <x:c r="AE185" s="41" t="n">
        <x:f>VLOOKUP("Benefits|"&amp;IF(AND(ISNUMBER(K185),K185&gt;0,ISNUMBER(G185),G185&gt;0),IF(K185/G185&gt;='Score settings'!$E$17,"3plus",IF(K185/G185&gt;='Score settings'!$E$16,"1.5to3",IF(K185/G185&gt;='Score settings'!$E$15,"0.5to1.5","positive"))),"None"),'Score settings'!$A$14:$C$43,3,FALSE)/'Score settings'!$B$7*'Score settings'!$D$7</x:f>
        <x:v>0</x:v>
      </x:c>
      <x:c r="AF185" s="41" t="n">
        <x:f>VLOOKUP("Waste|"&amp;R185,'Score settings'!$A$14:$C$43,3,FALSE)/'Score settings'!$B$8*'Score settings'!$D$8</x:f>
        <x:v>0</x:v>
      </x:c>
      <x:c r="AG185" s="41" t="n">
        <x:f>(IF(AND(ISNUMBER(M185),M185&gt;0,ISNUMBER(G185),G185&gt;0),IF(M185/G185&gt;='Score settings'!$E$17,'Score settings'!$G$17,IF(M185/G185&gt;='Score settings'!$E$16,'Score settings'!$G$16,IF(M185/G185&gt;='Score settings'!$E$15,'Score settings'!$G$15,'Score settings'!$G$14))),0)/15*'Score settings'!$B$60+IFERROR(VLOOKUP(IF(ISNUMBER(N185),N185,IF(ISNUMBER(L185),L185,0)),'Score settings'!$E$22:$F$26,2,FALSE),0)/10*'Score settings'!$B$61)/'Score settings'!$B$9*'Score settings'!$D$9</x:f>
        <x:v>0</x:v>
      </x:c>
      <x:c r="AH185" s="41" t="n">
        <x:f>IF(B185="","",SUM(AB185:AG185))</x:f>
        <x:v>22.799999999999997</x:v>
      </x:c>
      <x:c r="AI185" s="41" t="str">
        <x:f>IF(NOT(ISNUMBER(AH185)),"Not scored",VLOOKUP(AH185,'Score settings'!$A$47:$C$50,3,TRUE))</x:f>
        <x:v>Weak</x:v>
      </x:c>
      <x:c r="AJ185" s="42" t="n">
        <x:f>IF(OR(NOT(ISNUMBER(AH185)),T185&lt;&gt;"Common pot"),"",COUNTIFS($T$4:$T$509,"Common pot",$AH$4:$AH$509,"&gt;"&amp;AH185)+1)</x:f>
        <x:v>318</x:v>
      </x:c>
      <x:c r="AK185" s="36" t="str">
        <x:f>IF(B185="","Name missing - not scored",IF(OR(NOT(ISNUMBER(G185)),G185&lt;=0),"Investment missing or zero - review",IF(0=1,"Permanent ID missing - reconcile",IF(AND(ISNUMBER(H185),H185/G185&gt;='Score settings'!$B$58,NOT(ISNUMBER(I185))),"Benefit units need review",IF(OR(R185="EXIT",R185="CHALLENGE"),"Waste decision requires scope resolution",IF("Name and organisation matched"&lt;&gt;"Name and organisation matched","Waste evidence match needs review","Provisional source score - confirm evidence"))))))</x:f>
        <x:v>Provisional source score - confirm evidence</x:v>
      </x:c>
      <x:c r="AL185" s="36"/>
      <x:c r="AM185" s="40"/>
      <x:c r="AN185" s="39"/>
      <x:c r="AO185" s="40"/>
      <x:c r="AP185" s="40"/>
    </x:row>
    <x:row r="186" ht="15" hidden="0" customHeight="1">
      <x:c r="A186" s="36" t="str">
        <x:v>Bu-191</x:v>
      </x:c>
      <x:c r="B186" s="37" t="str">
        <x:v>LEM - Type I</x:v>
      </x:c>
      <x:c r="C186" s="36" t="str">
        <x:v>BU Led</x:v>
      </x:c>
      <x:c r="D186" s="36" t="str">
        <x:v>Image Guided Therapy - Systems (IGT-S)</x:v>
      </x:c>
      <x:c r="E186" s="38" t="n">
        <x:v>0.428</x:v>
      </x:c>
      <x:c r="F186" s="39"/>
      <x:c r="G186" s="38" t="n">
        <x:f>IF(ISNUMBER(F186),F186,IF(E186="","",E186))</x:f>
        <x:v>0.428</x:v>
      </x:c>
      <x:c r="H186" s="38" t="n">
        <x:v>0</x:v>
      </x:c>
      <x:c r="I186" s="39"/>
      <x:c r="J186" s="36" t="str">
        <x:v>Cash savings</x:v>
      </x:c>
      <x:c r="K186" s="38" t="n">
        <x:f>IF(ISNUMBER(I186),I186,IF(OR(NOT(ISNUMBER(H186)),NOT(ISNUMBER(G186)),G186&lt;=0),"",IF(H186/G186&gt;='Score settings'!$B$58,"",IF(J186="Cash savings",H186,IF(J186="Revenue",H186*'Score settings'!$B$55,"")))))</x:f>
        <x:v>0</x:v>
      </x:c>
      <x:c r="L186" s="36"/>
      <x:c r="M186" s="39"/>
      <x:c r="N186" s="40"/>
      <x:c r="O186" s="36" t="str">
        <x:v>Must Do</x:v>
      </x:c>
      <x:c r="P186" s="36" t="str">
        <x:v>CI</x:v>
      </x:c>
      <x:c r="Q186" s="36" t="str">
        <x:v>ProcSimp</x:v>
      </x:c>
      <x:c r="R186" s="36" t="str">
        <x:v>HEALTHY</x:v>
      </x:c>
      <x:c r="S186" s="36" t="str"/>
      <x:c r="T186" s="36" t="str">
        <x:v>Common pot</x:v>
      </x:c>
      <x:c r="U186" s="41" t="n">
        <x:f>VLOOKUP("Priority|"&amp;O186,'Score settings'!$A$14:$C$43,2,FALSE)/'Score settings'!$B$4*'Score settings'!$C$4</x:f>
        <x:v>25</x:v>
      </x:c>
      <x:c r="V186" s="41" t="n">
        <x:f>VLOOKUP("Category|"&amp;P186,'Score settings'!$A$14:$C$43,2,FALSE)/'Score settings'!$B$5*'Score settings'!$C$5</x:f>
        <x:v>8</x:v>
      </x:c>
      <x:c r="W186" s="41" t="n">
        <x:f>VLOOKUP("Area|"&amp;Q186,'Score settings'!$A$14:$C$43,2,FALSE)/'Score settings'!$B$6*'Score settings'!$C$6</x:f>
        <x:v>12</x:v>
      </x:c>
      <x:c r="X186" s="41" t="n">
        <x:f>VLOOKUP("Benefits|"&amp;IF(AND(ISNUMBER(H186),H186&gt;0,ISNUMBER(G186),G186&gt;0),IF(H186/G186&gt;='Score settings'!$E$17,"3plus",IF(H186/G186&gt;='Score settings'!$E$16,"1.5to3",IF(H186/G186&gt;='Score settings'!$E$15,"0.5to1.5","positive"))),"None"),'Score settings'!$A$14:$C$43,2,FALSE)/'Score settings'!$B$7*'Score settings'!$C$7</x:f>
        <x:v>5</x:v>
      </x:c>
      <x:c r="Y186" s="41" t="n">
        <x:f>VLOOKUP("Waste|"&amp;R186,'Score settings'!$A$14:$C$43,2,FALSE)/'Score settings'!$B$8*'Score settings'!$C$8</x:f>
        <x:v>15</x:v>
      </x:c>
      <x:c r="Z186" s="41" t="n">
        <x:f>IF(B186="","",SUM(U186:Y186))</x:f>
        <x:v>65</x:v>
      </x:c>
      <x:c r="AA186" s="41" t="str">
        <x:f>IF(Z186="","Not scored",VLOOKUP(Z186,'Score settings'!$A$47:$C$50,2,TRUE))</x:f>
        <x:v>Protected</x:v>
      </x:c>
      <x:c r="AB186" s="41" t="n">
        <x:f>VLOOKUP("Priority|"&amp;O186,'Score settings'!$A$14:$C$43,3,FALSE)/'Score settings'!$B$4*'Score settings'!$D$4</x:f>
        <x:v>15</x:v>
      </x:c>
      <x:c r="AC186" s="41" t="n">
        <x:f>VLOOKUP("Category|"&amp;P186,'Score settings'!$A$14:$C$43,3,FALSE)/'Score settings'!$B$5*'Score settings'!$D$5</x:f>
        <x:v>4</x:v>
      </x:c>
      <x:c r="AD186" s="41" t="n">
        <x:f>VLOOKUP("Area|"&amp;Q186,'Score settings'!$A$14:$C$43,3,FALSE)/'Score settings'!$B$6*'Score settings'!$D$6</x:f>
        <x:v>8</x:v>
      </x:c>
      <x:c r="AE186" s="41" t="n">
        <x:f>VLOOKUP("Benefits|"&amp;IF(AND(ISNUMBER(K186),K186&gt;0,ISNUMBER(G186),G186&gt;0),IF(K186/G186&gt;='Score settings'!$E$17,"3plus",IF(K186/G186&gt;='Score settings'!$E$16,"1.5to3",IF(K186/G186&gt;='Score settings'!$E$15,"0.5to1.5","positive"))),"None"),'Score settings'!$A$14:$C$43,3,FALSE)/'Score settings'!$B$7*'Score settings'!$D$7</x:f>
        <x:v>0</x:v>
      </x:c>
      <x:c r="AF186" s="41" t="n">
        <x:f>VLOOKUP("Waste|"&amp;R186,'Score settings'!$A$14:$C$43,3,FALSE)/'Score settings'!$B$8*'Score settings'!$D$8</x:f>
        <x:v>10</x:v>
      </x:c>
      <x:c r="AG186" s="41" t="n">
        <x:f>(IF(AND(ISNUMBER(M186),M186&gt;0,ISNUMBER(G186),G186&gt;0),IF(M186/G186&gt;='Score settings'!$E$17,'Score settings'!$G$17,IF(M186/G186&gt;='Score settings'!$E$16,'Score settings'!$G$16,IF(M186/G186&gt;='Score settings'!$E$15,'Score settings'!$G$15,'Score settings'!$G$14))),0)/15*'Score settings'!$B$60+IFERROR(VLOOKUP(IF(ISNUMBER(N186),N186,IF(ISNUMBER(L186),L186,0)),'Score settings'!$E$22:$F$26,2,FALSE),0)/10*'Score settings'!$B$61)/'Score settings'!$B$9*'Score settings'!$D$9</x:f>
        <x:v>0</x:v>
      </x:c>
      <x:c r="AH186" s="41" t="n">
        <x:f>IF(B186="","",SUM(AB186:AG186))</x:f>
        <x:v>37</x:v>
      </x:c>
      <x:c r="AI186" s="41" t="str">
        <x:f>IF(NOT(ISNUMBER(AH186)),"Not scored",VLOOKUP(AH186,'Score settings'!$A$47:$C$50,3,TRUE))</x:f>
        <x:v>Discretionary</x:v>
      </x:c>
      <x:c r="AJ186" s="42" t="n">
        <x:f>IF(OR(NOT(ISNUMBER(AH186)),T186&lt;&gt;"Common pot"),"",COUNTIFS($T$4:$T$509,"Common pot",$AH$4:$AH$509,"&gt;"&amp;AH186)+1)</x:f>
        <x:v>123</x:v>
      </x:c>
      <x:c r="AK186" s="36" t="str">
        <x:f>IF(B186="","Name missing - not scored",IF(OR(NOT(ISNUMBER(G186)),G186&lt;=0),"Investment missing or zero - review",IF(0=1,"Permanent ID missing - reconcile",IF(AND(ISNUMBER(H186),H186/G186&gt;='Score settings'!$B$58,NOT(ISNUMBER(I186))),"Benefit units need review",IF(OR(R186="EXIT",R186="CHALLENGE"),"Waste decision requires scope resolution",IF("Name and organisation matched"&lt;&gt;"Name and organisation matched","Waste evidence match needs review","Provisional source score - confirm evidence"))))))</x:f>
        <x:v>Provisional source score - confirm evidence</x:v>
      </x:c>
      <x:c r="AL186" s="36"/>
      <x:c r="AM186" s="40"/>
      <x:c r="AN186" s="39"/>
      <x:c r="AO186" s="40"/>
      <x:c r="AP186" s="40"/>
    </x:row>
    <x:row r="187" ht="15" hidden="0" customHeight="1">
      <x:c r="A187" s="36" t="str">
        <x:v>Bu-192</x:v>
      </x:c>
      <x:c r="B187" s="37" t="str">
        <x:v>LEM - Type II</x:v>
      </x:c>
      <x:c r="C187" s="36" t="str">
        <x:v>BU Led</x:v>
      </x:c>
      <x:c r="D187" s="36" t="str">
        <x:v>Image Guided Therapy - Systems (IGT-S)</x:v>
      </x:c>
      <x:c r="E187" s="38" t="n">
        <x:v>0.407</x:v>
      </x:c>
      <x:c r="F187" s="39"/>
      <x:c r="G187" s="38" t="n">
        <x:f>IF(ISNUMBER(F187),F187,IF(E187="","",E187))</x:f>
        <x:v>0.407</x:v>
      </x:c>
      <x:c r="H187" s="38" t="n">
        <x:v>0</x:v>
      </x:c>
      <x:c r="I187" s="39"/>
      <x:c r="J187" s="36" t="str">
        <x:v>Cash savings</x:v>
      </x:c>
      <x:c r="K187" s="38" t="n">
        <x:f>IF(ISNUMBER(I187),I187,IF(OR(NOT(ISNUMBER(H187)),NOT(ISNUMBER(G187)),G187&lt;=0),"",IF(H187/G187&gt;='Score settings'!$B$58,"",IF(J187="Cash savings",H187,IF(J187="Revenue",H187*'Score settings'!$B$55,"")))))</x:f>
        <x:v>0</x:v>
      </x:c>
      <x:c r="L187" s="36"/>
      <x:c r="M187" s="39"/>
      <x:c r="N187" s="40"/>
      <x:c r="O187" s="36" t="str">
        <x:v>Must Do</x:v>
      </x:c>
      <x:c r="P187" s="36" t="str">
        <x:v>CI</x:v>
      </x:c>
      <x:c r="Q187" s="36" t="str">
        <x:v>ProcSimp</x:v>
      </x:c>
      <x:c r="R187" s="36" t="str">
        <x:v>HEALTHY</x:v>
      </x:c>
      <x:c r="S187" s="36" t="str"/>
      <x:c r="T187" s="36" t="str">
        <x:v>Common pot</x:v>
      </x:c>
      <x:c r="U187" s="41" t="n">
        <x:f>VLOOKUP("Priority|"&amp;O187,'Score settings'!$A$14:$C$43,2,FALSE)/'Score settings'!$B$4*'Score settings'!$C$4</x:f>
        <x:v>25</x:v>
      </x:c>
      <x:c r="V187" s="41" t="n">
        <x:f>VLOOKUP("Category|"&amp;P187,'Score settings'!$A$14:$C$43,2,FALSE)/'Score settings'!$B$5*'Score settings'!$C$5</x:f>
        <x:v>8</x:v>
      </x:c>
      <x:c r="W187" s="41" t="n">
        <x:f>VLOOKUP("Area|"&amp;Q187,'Score settings'!$A$14:$C$43,2,FALSE)/'Score settings'!$B$6*'Score settings'!$C$6</x:f>
        <x:v>12</x:v>
      </x:c>
      <x:c r="X187" s="41" t="n">
        <x:f>VLOOKUP("Benefits|"&amp;IF(AND(ISNUMBER(H187),H187&gt;0,ISNUMBER(G187),G187&gt;0),IF(H187/G187&gt;='Score settings'!$E$17,"3plus",IF(H187/G187&gt;='Score settings'!$E$16,"1.5to3",IF(H187/G187&gt;='Score settings'!$E$15,"0.5to1.5","positive"))),"None"),'Score settings'!$A$14:$C$43,2,FALSE)/'Score settings'!$B$7*'Score settings'!$C$7</x:f>
        <x:v>5</x:v>
      </x:c>
      <x:c r="Y187" s="41" t="n">
        <x:f>VLOOKUP("Waste|"&amp;R187,'Score settings'!$A$14:$C$43,2,FALSE)/'Score settings'!$B$8*'Score settings'!$C$8</x:f>
        <x:v>15</x:v>
      </x:c>
      <x:c r="Z187" s="41" t="n">
        <x:f>IF(B187="","",SUM(U187:Y187))</x:f>
        <x:v>65</x:v>
      </x:c>
      <x:c r="AA187" s="41" t="str">
        <x:f>IF(Z187="","Not scored",VLOOKUP(Z187,'Score settings'!$A$47:$C$50,2,TRUE))</x:f>
        <x:v>Protected</x:v>
      </x:c>
      <x:c r="AB187" s="41" t="n">
        <x:f>VLOOKUP("Priority|"&amp;O187,'Score settings'!$A$14:$C$43,3,FALSE)/'Score settings'!$B$4*'Score settings'!$D$4</x:f>
        <x:v>15</x:v>
      </x:c>
      <x:c r="AC187" s="41" t="n">
        <x:f>VLOOKUP("Category|"&amp;P187,'Score settings'!$A$14:$C$43,3,FALSE)/'Score settings'!$B$5*'Score settings'!$D$5</x:f>
        <x:v>4</x:v>
      </x:c>
      <x:c r="AD187" s="41" t="n">
        <x:f>VLOOKUP("Area|"&amp;Q187,'Score settings'!$A$14:$C$43,3,FALSE)/'Score settings'!$B$6*'Score settings'!$D$6</x:f>
        <x:v>8</x:v>
      </x:c>
      <x:c r="AE187" s="41" t="n">
        <x:f>VLOOKUP("Benefits|"&amp;IF(AND(ISNUMBER(K187),K187&gt;0,ISNUMBER(G187),G187&gt;0),IF(K187/G187&gt;='Score settings'!$E$17,"3plus",IF(K187/G187&gt;='Score settings'!$E$16,"1.5to3",IF(K187/G187&gt;='Score settings'!$E$15,"0.5to1.5","positive"))),"None"),'Score settings'!$A$14:$C$43,3,FALSE)/'Score settings'!$B$7*'Score settings'!$D$7</x:f>
        <x:v>0</x:v>
      </x:c>
      <x:c r="AF187" s="41" t="n">
        <x:f>VLOOKUP("Waste|"&amp;R187,'Score settings'!$A$14:$C$43,3,FALSE)/'Score settings'!$B$8*'Score settings'!$D$8</x:f>
        <x:v>10</x:v>
      </x:c>
      <x:c r="AG187" s="41" t="n">
        <x:f>(IF(AND(ISNUMBER(M187),M187&gt;0,ISNUMBER(G187),G187&gt;0),IF(M187/G187&gt;='Score settings'!$E$17,'Score settings'!$G$17,IF(M187/G187&gt;='Score settings'!$E$16,'Score settings'!$G$16,IF(M187/G187&gt;='Score settings'!$E$15,'Score settings'!$G$15,'Score settings'!$G$14))),0)/15*'Score settings'!$B$60+IFERROR(VLOOKUP(IF(ISNUMBER(N187),N187,IF(ISNUMBER(L187),L187,0)),'Score settings'!$E$22:$F$26,2,FALSE),0)/10*'Score settings'!$B$61)/'Score settings'!$B$9*'Score settings'!$D$9</x:f>
        <x:v>0</x:v>
      </x:c>
      <x:c r="AH187" s="41" t="n">
        <x:f>IF(B187="","",SUM(AB187:AG187))</x:f>
        <x:v>37</x:v>
      </x:c>
      <x:c r="AI187" s="41" t="str">
        <x:f>IF(NOT(ISNUMBER(AH187)),"Not scored",VLOOKUP(AH187,'Score settings'!$A$47:$C$50,3,TRUE))</x:f>
        <x:v>Discretionary</x:v>
      </x:c>
      <x:c r="AJ187" s="42" t="n">
        <x:f>IF(OR(NOT(ISNUMBER(AH187)),T187&lt;&gt;"Common pot"),"",COUNTIFS($T$4:$T$509,"Common pot",$AH$4:$AH$509,"&gt;"&amp;AH187)+1)</x:f>
        <x:v>123</x:v>
      </x:c>
      <x:c r="AK187" s="36" t="str">
        <x:f>IF(B187="","Name missing - not scored",IF(OR(NOT(ISNUMBER(G187)),G187&lt;=0),"Investment missing or zero - review",IF(0=1,"Permanent ID missing - reconcile",IF(AND(ISNUMBER(H187),H187/G187&gt;='Score settings'!$B$58,NOT(ISNUMBER(I187))),"Benefit units need review",IF(OR(R187="EXIT",R187="CHALLENGE"),"Waste decision requires scope resolution",IF("Name and organisation matched"&lt;&gt;"Name and organisation matched","Waste evidence match needs review","Provisional source score - confirm evidence"))))))</x:f>
        <x:v>Provisional source score - confirm evidence</x:v>
      </x:c>
      <x:c r="AL187" s="36"/>
      <x:c r="AM187" s="40"/>
      <x:c r="AN187" s="39"/>
      <x:c r="AO187" s="40"/>
      <x:c r="AP187" s="40"/>
    </x:row>
    <x:row r="188" ht="15" hidden="0" customHeight="1">
      <x:c r="A188" s="36" t="str">
        <x:v>Bu-193</x:v>
      </x:c>
      <x:c r="B188" s="37" t="str">
        <x:v>Catalog Simplification - Catalog workflow</x:v>
      </x:c>
      <x:c r="C188" s="36" t="str">
        <x:v>BU Led</x:v>
      </x:c>
      <x:c r="D188" s="36" t="str">
        <x:v>Precision Diagnosis - Ultrasound (PDU)</x:v>
      </x:c>
      <x:c r="E188" s="38" t="n">
        <x:v>0.2</x:v>
      </x:c>
      <x:c r="F188" s="39"/>
      <x:c r="G188" s="38" t="n">
        <x:f>IF(ISNUMBER(F188),F188,IF(E188="","",E188))</x:f>
        <x:v>0.2</x:v>
      </x:c>
      <x:c r="H188" s="38"/>
      <x:c r="I188" s="39"/>
      <x:c r="J188" s="36" t="str">
        <x:v>Cash savings</x:v>
      </x:c>
      <x:c r="K188" s="38" t="str">
        <x:f>IF(ISNUMBER(I188),I188,IF(OR(NOT(ISNUMBER(H188)),NOT(ISNUMBER(G188)),G188&lt;=0),"",IF(H188/G188&gt;='Score settings'!$B$58,"",IF(J188="Cash savings",H188,IF(J188="Revenue",H188*'Score settings'!$B$55,"")))))</x:f>
      </x:c>
      <x:c r="L188" s="36"/>
      <x:c r="M188" s="39"/>
      <x:c r="N188" s="40"/>
      <x:c r="O188" s="36" t="str">
        <x:v>Must Do</x:v>
      </x:c>
      <x:c r="P188" s="36" t="str">
        <x:v>CI</x:v>
      </x:c>
      <x:c r="Q188" s="36" t="str">
        <x:v>ProcSimp</x:v>
      </x:c>
      <x:c r="R188" s="36" t="str">
        <x:v>HEALTHY</x:v>
      </x:c>
      <x:c r="S188" s="36" t="str"/>
      <x:c r="T188" s="36" t="str">
        <x:v>Common pot</x:v>
      </x:c>
      <x:c r="U188" s="41" t="n">
        <x:f>VLOOKUP("Priority|"&amp;O188,'Score settings'!$A$14:$C$43,2,FALSE)/'Score settings'!$B$4*'Score settings'!$C$4</x:f>
        <x:v>25</x:v>
      </x:c>
      <x:c r="V188" s="41" t="n">
        <x:f>VLOOKUP("Category|"&amp;P188,'Score settings'!$A$14:$C$43,2,FALSE)/'Score settings'!$B$5*'Score settings'!$C$5</x:f>
        <x:v>8</x:v>
      </x:c>
      <x:c r="W188" s="41" t="n">
        <x:f>VLOOKUP("Area|"&amp;Q188,'Score settings'!$A$14:$C$43,2,FALSE)/'Score settings'!$B$6*'Score settings'!$C$6</x:f>
        <x:v>12</x:v>
      </x:c>
      <x:c r="X188" s="41" t="n">
        <x:f>VLOOKUP("Benefits|"&amp;IF(AND(ISNUMBER(H188),H188&gt;0,ISNUMBER(G188),G188&gt;0),IF(H188/G188&gt;='Score settings'!$E$17,"3plus",IF(H188/G188&gt;='Score settings'!$E$16,"1.5to3",IF(H188/G188&gt;='Score settings'!$E$15,"0.5to1.5","positive"))),"None"),'Score settings'!$A$14:$C$43,2,FALSE)/'Score settings'!$B$7*'Score settings'!$C$7</x:f>
        <x:v>5</x:v>
      </x:c>
      <x:c r="Y188" s="41" t="n">
        <x:f>VLOOKUP("Waste|"&amp;R188,'Score settings'!$A$14:$C$43,2,FALSE)/'Score settings'!$B$8*'Score settings'!$C$8</x:f>
        <x:v>15</x:v>
      </x:c>
      <x:c r="Z188" s="41" t="n">
        <x:f>IF(B188="","",SUM(U188:Y188))</x:f>
        <x:v>65</x:v>
      </x:c>
      <x:c r="AA188" s="41" t="str">
        <x:f>IF(Z188="","Not scored",VLOOKUP(Z188,'Score settings'!$A$47:$C$50,2,TRUE))</x:f>
        <x:v>Protected</x:v>
      </x:c>
      <x:c r="AB188" s="41" t="n">
        <x:f>VLOOKUP("Priority|"&amp;O188,'Score settings'!$A$14:$C$43,3,FALSE)/'Score settings'!$B$4*'Score settings'!$D$4</x:f>
        <x:v>15</x:v>
      </x:c>
      <x:c r="AC188" s="41" t="n">
        <x:f>VLOOKUP("Category|"&amp;P188,'Score settings'!$A$14:$C$43,3,FALSE)/'Score settings'!$B$5*'Score settings'!$D$5</x:f>
        <x:v>4</x:v>
      </x:c>
      <x:c r="AD188" s="41" t="n">
        <x:f>VLOOKUP("Area|"&amp;Q188,'Score settings'!$A$14:$C$43,3,FALSE)/'Score settings'!$B$6*'Score settings'!$D$6</x:f>
        <x:v>8</x:v>
      </x:c>
      <x:c r="AE188" s="41" t="n">
        <x:f>VLOOKUP("Benefits|"&amp;IF(AND(ISNUMBER(K188),K188&gt;0,ISNUMBER(G188),G188&gt;0),IF(K188/G188&gt;='Score settings'!$E$17,"3plus",IF(K188/G188&gt;='Score settings'!$E$16,"1.5to3",IF(K188/G188&gt;='Score settings'!$E$15,"0.5to1.5","positive"))),"None"),'Score settings'!$A$14:$C$43,3,FALSE)/'Score settings'!$B$7*'Score settings'!$D$7</x:f>
        <x:v>0</x:v>
      </x:c>
      <x:c r="AF188" s="41" t="n">
        <x:f>VLOOKUP("Waste|"&amp;R188,'Score settings'!$A$14:$C$43,3,FALSE)/'Score settings'!$B$8*'Score settings'!$D$8</x:f>
        <x:v>10</x:v>
      </x:c>
      <x:c r="AG188" s="41" t="n">
        <x:f>(IF(AND(ISNUMBER(M188),M188&gt;0,ISNUMBER(G188),G188&gt;0),IF(M188/G188&gt;='Score settings'!$E$17,'Score settings'!$G$17,IF(M188/G188&gt;='Score settings'!$E$16,'Score settings'!$G$16,IF(M188/G188&gt;='Score settings'!$E$15,'Score settings'!$G$15,'Score settings'!$G$14))),0)/15*'Score settings'!$B$60+IFERROR(VLOOKUP(IF(ISNUMBER(N188),N188,IF(ISNUMBER(L188),L188,0)),'Score settings'!$E$22:$F$26,2,FALSE),0)/10*'Score settings'!$B$61)/'Score settings'!$B$9*'Score settings'!$D$9</x:f>
        <x:v>0</x:v>
      </x:c>
      <x:c r="AH188" s="41" t="n">
        <x:f>IF(B188="","",SUM(AB188:AG188))</x:f>
        <x:v>37</x:v>
      </x:c>
      <x:c r="AI188" s="41" t="str">
        <x:f>IF(NOT(ISNUMBER(AH188)),"Not scored",VLOOKUP(AH188,'Score settings'!$A$47:$C$50,3,TRUE))</x:f>
        <x:v>Discretionary</x:v>
      </x:c>
      <x:c r="AJ188" s="42" t="n">
        <x:f>IF(OR(NOT(ISNUMBER(AH188)),T188&lt;&gt;"Common pot"),"",COUNTIFS($T$4:$T$509,"Common pot",$AH$4:$AH$509,"&gt;"&amp;AH188)+1)</x:f>
        <x:v>123</x:v>
      </x:c>
      <x:c r="AK188" s="36" t="str">
        <x:f>IF(B188="","Name missing - not scored",IF(OR(NOT(ISNUMBER(G188)),G188&lt;=0),"Investment missing or zero - review",IF(0=1,"Permanent ID missing - reconcile",IF(AND(ISNUMBER(H188),H188/G188&gt;='Score settings'!$B$58,NOT(ISNUMBER(I188))),"Benefit units need review",IF(OR(R188="EXIT",R188="CHALLENGE"),"Waste decision requires scope resolution",IF("Name and organisation matched"&lt;&gt;"Name and organisation matched","Waste evidence match needs review","Provisional source score - confirm evidence"))))))</x:f>
        <x:v>Provisional source score - confirm evidence</x:v>
      </x:c>
      <x:c r="AL188" s="36"/>
      <x:c r="AM188" s="40"/>
      <x:c r="AN188" s="39"/>
      <x:c r="AO188" s="40"/>
      <x:c r="AP188" s="40"/>
    </x:row>
    <x:row r="189" ht="15" hidden="0" customHeight="1">
      <x:c r="A189" s="36" t="str">
        <x:v>Bu-194</x:v>
      </x:c>
      <x:c r="B189" s="37" t="str">
        <x:v>Ultrasound Simplification - Supply Chain &amp; Manufacturing</x:v>
      </x:c>
      <x:c r="C189" s="36" t="str">
        <x:v>BU Led</x:v>
      </x:c>
      <x:c r="D189" s="36" t="str">
        <x:v>Precision Diagnosis - Ultrasound (PDU)</x:v>
      </x:c>
      <x:c r="E189" s="38" t="n">
        <x:v>0.7</x:v>
      </x:c>
      <x:c r="F189" s="39"/>
      <x:c r="G189" s="38" t="n">
        <x:f>IF(ISNUMBER(F189),F189,IF(E189="","",E189))</x:f>
        <x:v>0.7</x:v>
      </x:c>
      <x:c r="H189" s="38"/>
      <x:c r="I189" s="39"/>
      <x:c r="J189" s="36" t="str">
        <x:v>Cash savings</x:v>
      </x:c>
      <x:c r="K189" s="38" t="str">
        <x:f>IF(ISNUMBER(I189),I189,IF(OR(NOT(ISNUMBER(H189)),NOT(ISNUMBER(G189)),G189&lt;=0),"",IF(H189/G189&gt;='Score settings'!$B$58,"",IF(J189="Cash savings",H189,IF(J189="Revenue",H189*'Score settings'!$B$55,"")))))</x:f>
      </x:c>
      <x:c r="L189" s="36"/>
      <x:c r="M189" s="39"/>
      <x:c r="N189" s="40"/>
      <x:c r="O189" s="36" t="str">
        <x:v>Must Do</x:v>
      </x:c>
      <x:c r="P189" s="36" t="str">
        <x:v>Upgrades</x:v>
      </x:c>
      <x:c r="Q189" s="36" t="str">
        <x:v>ProcSimp</x:v>
      </x:c>
      <x:c r="R189" s="36" t="str">
        <x:v>NotAssessed</x:v>
      </x:c>
      <x:c r="S189" s="36" t="str"/>
      <x:c r="T189" s="36" t="str">
        <x:v>Common pot</x:v>
      </x:c>
      <x:c r="U189" s="41" t="n">
        <x:f>VLOOKUP("Priority|"&amp;O189,'Score settings'!$A$14:$C$43,2,FALSE)/'Score settings'!$B$4*'Score settings'!$C$4</x:f>
        <x:v>25</x:v>
      </x:c>
      <x:c r="V189" s="41" t="n">
        <x:f>VLOOKUP("Category|"&amp;P189,'Score settings'!$A$14:$C$43,2,FALSE)/'Score settings'!$B$5*'Score settings'!$C$5</x:f>
        <x:v>10</x:v>
      </x:c>
      <x:c r="W189" s="41" t="n">
        <x:f>VLOOKUP("Area|"&amp;Q189,'Score settings'!$A$14:$C$43,2,FALSE)/'Score settings'!$B$6*'Score settings'!$C$6</x:f>
        <x:v>12</x:v>
      </x:c>
      <x:c r="X189" s="41" t="n">
        <x:f>VLOOKUP("Benefits|"&amp;IF(AND(ISNUMBER(H189),H189&gt;0,ISNUMBER(G189),G189&gt;0),IF(H189/G189&gt;='Score settings'!$E$17,"3plus",IF(H189/G189&gt;='Score settings'!$E$16,"1.5to3",IF(H189/G189&gt;='Score settings'!$E$15,"0.5to1.5","positive"))),"None"),'Score settings'!$A$14:$C$43,2,FALSE)/'Score settings'!$B$7*'Score settings'!$C$7</x:f>
        <x:v>5</x:v>
      </x:c>
      <x:c r="Y189" s="41" t="n">
        <x:f>VLOOKUP("Waste|"&amp;R189,'Score settings'!$A$14:$C$43,2,FALSE)/'Score settings'!$B$8*'Score settings'!$C$8</x:f>
        <x:v>7</x:v>
      </x:c>
      <x:c r="Z189" s="41" t="n">
        <x:f>IF(B189="","",SUM(U189:Y189))</x:f>
        <x:v>59</x:v>
      </x:c>
      <x:c r="AA189" s="41" t="str">
        <x:f>IF(Z189="","Not scored",VLOOKUP(Z189,'Score settings'!$A$47:$C$50,2,TRUE))</x:f>
        <x:v>Strong</x:v>
      </x:c>
      <x:c r="AB189" s="41" t="n">
        <x:f>VLOOKUP("Priority|"&amp;O189,'Score settings'!$A$14:$C$43,3,FALSE)/'Score settings'!$B$4*'Score settings'!$D$4</x:f>
        <x:v>15</x:v>
      </x:c>
      <x:c r="AC189" s="41" t="n">
        <x:f>VLOOKUP("Category|"&amp;P189,'Score settings'!$A$14:$C$43,3,FALSE)/'Score settings'!$B$5*'Score settings'!$D$5</x:f>
        <x:v>5</x:v>
      </x:c>
      <x:c r="AD189" s="41" t="n">
        <x:f>VLOOKUP("Area|"&amp;Q189,'Score settings'!$A$14:$C$43,3,FALSE)/'Score settings'!$B$6*'Score settings'!$D$6</x:f>
        <x:v>8</x:v>
      </x:c>
      <x:c r="AE189" s="41" t="n">
        <x:f>VLOOKUP("Benefits|"&amp;IF(AND(ISNUMBER(K189),K189&gt;0,ISNUMBER(G189),G189&gt;0),IF(K189/G189&gt;='Score settings'!$E$17,"3plus",IF(K189/G189&gt;='Score settings'!$E$16,"1.5to3",IF(K189/G189&gt;='Score settings'!$E$15,"0.5to1.5","positive"))),"None"),'Score settings'!$A$14:$C$43,3,FALSE)/'Score settings'!$B$7*'Score settings'!$D$7</x:f>
        <x:v>0</x:v>
      </x:c>
      <x:c r="AF189" s="41" t="n">
        <x:f>VLOOKUP("Waste|"&amp;R189,'Score settings'!$A$14:$C$43,3,FALSE)/'Score settings'!$B$8*'Score settings'!$D$8</x:f>
        <x:v>0</x:v>
      </x:c>
      <x:c r="AG189" s="41" t="n">
        <x:f>(IF(AND(ISNUMBER(M189),M189&gt;0,ISNUMBER(G189),G189&gt;0),IF(M189/G189&gt;='Score settings'!$E$17,'Score settings'!$G$17,IF(M189/G189&gt;='Score settings'!$E$16,'Score settings'!$G$16,IF(M189/G189&gt;='Score settings'!$E$15,'Score settings'!$G$15,'Score settings'!$G$14))),0)/15*'Score settings'!$B$60+IFERROR(VLOOKUP(IF(ISNUMBER(N189),N189,IF(ISNUMBER(L189),L189,0)),'Score settings'!$E$22:$F$26,2,FALSE),0)/10*'Score settings'!$B$61)/'Score settings'!$B$9*'Score settings'!$D$9</x:f>
        <x:v>0</x:v>
      </x:c>
      <x:c r="AH189" s="41" t="n">
        <x:f>IF(B189="","",SUM(AB189:AG189))</x:f>
        <x:v>28</x:v>
      </x:c>
      <x:c r="AI189" s="41" t="str">
        <x:f>IF(NOT(ISNUMBER(AH189)),"Not scored",VLOOKUP(AH189,'Score settings'!$A$47:$C$50,3,TRUE))</x:f>
        <x:v>Discretionary</x:v>
      </x:c>
      <x:c r="AJ189" s="42" t="n">
        <x:f>IF(OR(NOT(ISNUMBER(AH189)),T189&lt;&gt;"Common pot"),"",COUNTIFS($T$4:$T$509,"Common pot",$AH$4:$AH$509,"&gt;"&amp;AH189)+1)</x:f>
        <x:v>206</x:v>
      </x:c>
      <x:c r="AK189" s="36" t="str">
        <x:f>IF(B189="","Name missing - not scored",IF(OR(NOT(ISNUMBER(G189)),G189&lt;=0),"Investment missing or zero - review",IF(0=1,"Permanent ID missing - reconcile",IF(AND(ISNUMBER(H189),H189/G189&gt;='Score settings'!$B$58,NOT(ISNUMBER(I189))),"Benefit units need review",IF(OR(R189="EXIT",R189="CHALLENGE"),"Waste decision requires scope resolution",IF("Name and organisation matched"&lt;&gt;"Name and organisation matched","Waste evidence match needs review","Provisional source score - confirm evidence"))))))</x:f>
        <x:v>Provisional source score - confirm evidence</x:v>
      </x:c>
      <x:c r="AL189" s="36"/>
      <x:c r="AM189" s="40"/>
      <x:c r="AN189" s="39"/>
      <x:c r="AO189" s="40"/>
      <x:c r="AP189" s="40"/>
    </x:row>
    <x:row r="190" ht="15" hidden="0" customHeight="1">
      <x:c r="A190" s="36" t="str">
        <x:v>Bu-195</x:v>
      </x:c>
      <x:c r="B190" s="37" t="str">
        <x:v>MP1 improvement due to shelf life finding in audit.</x:v>
      </x:c>
      <x:c r="C190" s="36" t="str">
        <x:v>BU Led</x:v>
      </x:c>
      <x:c r="D190" s="36" t="str">
        <x:v>Monitoring - HPM (MCH)</x:v>
      </x:c>
      <x:c r="E190" s="38" t="n">
        <x:v>0.02</x:v>
      </x:c>
      <x:c r="F190" s="39"/>
      <x:c r="G190" s="38" t="n">
        <x:f>IF(ISNUMBER(F190),F190,IF(E190="","",E190))</x:f>
        <x:v>0.02</x:v>
      </x:c>
      <x:c r="H190" s="38"/>
      <x:c r="I190" s="39"/>
      <x:c r="J190" s="36" t="str">
        <x:v>Risk exposure</x:v>
      </x:c>
      <x:c r="K190" s="38" t="str">
        <x:f>IF(ISNUMBER(I190),I190,IF(OR(NOT(ISNUMBER(H190)),NOT(ISNUMBER(G190)),G190&lt;=0),"",IF(H190/G190&gt;='Score settings'!$B$58,"",IF(J190="Cash savings",H190,IF(J190="Revenue",H190*'Score settings'!$B$55,"")))))</x:f>
      </x:c>
      <x:c r="L190" s="36"/>
      <x:c r="M190" s="39"/>
      <x:c r="N190" s="40"/>
      <x:c r="O190" s="36" t="str">
        <x:v>Must Do</x:v>
      </x:c>
      <x:c r="P190" s="36" t="str">
        <x:v>LFR</x:v>
      </x:c>
      <x:c r="Q190" s="36" t="str">
        <x:v>Compliance</x:v>
      </x:c>
      <x:c r="R190" s="36" t="str">
        <x:v>NotAssessed</x:v>
      </x:c>
      <x:c r="S190" s="36" t="str"/>
      <x:c r="T190" s="36" t="str">
        <x:v>Common pot</x:v>
      </x:c>
      <x:c r="U190" s="41" t="n">
        <x:f>VLOOKUP("Priority|"&amp;O190,'Score settings'!$A$14:$C$43,2,FALSE)/'Score settings'!$B$4*'Score settings'!$C$4</x:f>
        <x:v>25</x:v>
      </x:c>
      <x:c r="V190" s="41" t="n">
        <x:f>VLOOKUP("Category|"&amp;P190,'Score settings'!$A$14:$C$43,2,FALSE)/'Score settings'!$B$5*'Score settings'!$C$5</x:f>
        <x:v>20</x:v>
      </x:c>
      <x:c r="W190" s="41" t="n">
        <x:f>VLOOKUP("Area|"&amp;Q190,'Score settings'!$A$14:$C$43,2,FALSE)/'Score settings'!$B$6*'Score settings'!$C$6</x:f>
        <x:v>15</x:v>
      </x:c>
      <x:c r="X190" s="41" t="n">
        <x:f>VLOOKUP("Benefits|"&amp;IF(AND(ISNUMBER(H190),H190&gt;0,ISNUMBER(G190),G190&gt;0),IF(H190/G190&gt;='Score settings'!$E$17,"3plus",IF(H190/G190&gt;='Score settings'!$E$16,"1.5to3",IF(H190/G190&gt;='Score settings'!$E$15,"0.5to1.5","positive"))),"None"),'Score settings'!$A$14:$C$43,2,FALSE)/'Score settings'!$B$7*'Score settings'!$C$7</x:f>
        <x:v>5</x:v>
      </x:c>
      <x:c r="Y190" s="41" t="n">
        <x:f>VLOOKUP("Waste|"&amp;R190,'Score settings'!$A$14:$C$43,2,FALSE)/'Score settings'!$B$8*'Score settings'!$C$8</x:f>
        <x:v>7</x:v>
      </x:c>
      <x:c r="Z190" s="41" t="n">
        <x:f>IF(B190="","",SUM(U190:Y190))</x:f>
        <x:v>72</x:v>
      </x:c>
      <x:c r="AA190" s="41" t="str">
        <x:f>IF(Z190="","Not scored",VLOOKUP(Z190,'Score settings'!$A$47:$C$50,2,TRUE))</x:f>
        <x:v>Protected</x:v>
      </x:c>
      <x:c r="AB190" s="41" t="n">
        <x:f>VLOOKUP("Priority|"&amp;O190,'Score settings'!$A$14:$C$43,3,FALSE)/'Score settings'!$B$4*'Score settings'!$D$4</x:f>
        <x:v>15</x:v>
      </x:c>
      <x:c r="AC190" s="41" t="n">
        <x:f>VLOOKUP("Category|"&amp;P190,'Score settings'!$A$14:$C$43,3,FALSE)/'Score settings'!$B$5*'Score settings'!$D$5</x:f>
        <x:v>10</x:v>
      </x:c>
      <x:c r="AD190" s="41" t="n">
        <x:f>VLOOKUP("Area|"&amp;Q190,'Score settings'!$A$14:$C$43,3,FALSE)/'Score settings'!$B$6*'Score settings'!$D$6</x:f>
        <x:v>10</x:v>
      </x:c>
      <x:c r="AE190" s="41" t="n">
        <x:f>VLOOKUP("Benefits|"&amp;IF(AND(ISNUMBER(K190),K190&gt;0,ISNUMBER(G190),G190&gt;0),IF(K190/G190&gt;='Score settings'!$E$17,"3plus",IF(K190/G190&gt;='Score settings'!$E$16,"1.5to3",IF(K190/G190&gt;='Score settings'!$E$15,"0.5to1.5","positive"))),"None"),'Score settings'!$A$14:$C$43,3,FALSE)/'Score settings'!$B$7*'Score settings'!$D$7</x:f>
        <x:v>0</x:v>
      </x:c>
      <x:c r="AF190" s="41" t="n">
        <x:f>VLOOKUP("Waste|"&amp;R190,'Score settings'!$A$14:$C$43,3,FALSE)/'Score settings'!$B$8*'Score settings'!$D$8</x:f>
        <x:v>0</x:v>
      </x:c>
      <x:c r="AG190" s="41" t="n">
        <x:f>(IF(AND(ISNUMBER(M190),M190&gt;0,ISNUMBER(G190),G190&gt;0),IF(M190/G190&gt;='Score settings'!$E$17,'Score settings'!$G$17,IF(M190/G190&gt;='Score settings'!$E$16,'Score settings'!$G$16,IF(M190/G190&gt;='Score settings'!$E$15,'Score settings'!$G$15,'Score settings'!$G$14))),0)/15*'Score settings'!$B$60+IFERROR(VLOOKUP(IF(ISNUMBER(N190),N190,IF(ISNUMBER(L190),L190,0)),'Score settings'!$E$22:$F$26,2,FALSE),0)/10*'Score settings'!$B$61)/'Score settings'!$B$9*'Score settings'!$D$9</x:f>
        <x:v>0</x:v>
      </x:c>
      <x:c r="AH190" s="41" t="n">
        <x:f>IF(B190="","",SUM(AB190:AG190))</x:f>
        <x:v>35</x:v>
      </x:c>
      <x:c r="AI190" s="41" t="str">
        <x:f>IF(NOT(ISNUMBER(AH190)),"Not scored",VLOOKUP(AH190,'Score settings'!$A$47:$C$50,3,TRUE))</x:f>
        <x:v>Discretionary</x:v>
      </x:c>
      <x:c r="AJ190" s="42" t="n">
        <x:f>IF(OR(NOT(ISNUMBER(AH190)),T190&lt;&gt;"Common pot"),"",COUNTIFS($T$4:$T$509,"Common pot",$AH$4:$AH$509,"&gt;"&amp;AH190)+1)</x:f>
        <x:v>142</x:v>
      </x:c>
      <x:c r="AK190" s="36" t="str">
        <x:f>IF(B190="","Name missing - not scored",IF(OR(NOT(ISNUMBER(G190)),G190&lt;=0),"Investment missing or zero - review",IF(0=1,"Permanent ID missing - reconcile",IF(AND(ISNUMBER(H190),H190/G190&gt;='Score settings'!$B$58,NOT(ISNUMBER(I190))),"Benefit units need review",IF(OR(R190="EXIT",R190="CHALLENGE"),"Waste decision requires scope resolution",IF("Name and organisation matched"&lt;&gt;"Name and organisation matched","Waste evidence match needs review","Provisional source score - confirm evidence"))))))</x:f>
        <x:v>Provisional source score - confirm evidence</x:v>
      </x:c>
      <x:c r="AL190" s="36"/>
      <x:c r="AM190" s="40"/>
      <x:c r="AN190" s="39"/>
      <x:c r="AO190" s="40"/>
      <x:c r="AP190" s="40"/>
    </x:row>
    <x:row r="191" ht="15" hidden="0" customHeight="1">
      <x:c r="A191" s="36" t="str">
        <x:v>Bu-196</x:v>
      </x:c>
      <x:c r="B191" s="37" t="str">
        <x:v>SW Ops: Enabling HPM on Sentinel with new licensing models for NPIs -</x:v>
      </x:c>
      <x:c r="C191" s="36" t="str">
        <x:v>BU Led</x:v>
      </x:c>
      <x:c r="D191" s="36" t="str">
        <x:v>Monitoring - HPM (MCH)</x:v>
      </x:c>
      <x:c r="E191" s="38" t="n">
        <x:v>0.2</x:v>
      </x:c>
      <x:c r="F191" s="39"/>
      <x:c r="G191" s="38" t="n">
        <x:f>IF(ISNUMBER(F191),F191,IF(E191="","",E191))</x:f>
        <x:v>0.2</x:v>
      </x:c>
      <x:c r="H191" s="38"/>
      <x:c r="I191" s="39"/>
      <x:c r="J191" s="36" t="str">
        <x:v>Revenue</x:v>
      </x:c>
      <x:c r="K191" s="38" t="str">
        <x:f>IF(ISNUMBER(I191),I191,IF(OR(NOT(ISNUMBER(H191)),NOT(ISNUMBER(G191)),G191&lt;=0),"",IF(H191/G191&gt;='Score settings'!$B$58,"",IF(J191="Cash savings",H191,IF(J191="Revenue",H191*'Score settings'!$B$55,"")))))</x:f>
      </x:c>
      <x:c r="L191" s="36"/>
      <x:c r="M191" s="39"/>
      <x:c r="N191" s="40"/>
      <x:c r="O191" s="36" t="str">
        <x:v>Must Do</x:v>
      </x:c>
      <x:c r="P191" s="36" t="str">
        <x:v>NewTech</x:v>
      </x:c>
      <x:c r="Q191" s="36" t="str">
        <x:v>Revenue</x:v>
      </x:c>
      <x:c r="R191" s="36" t="str">
        <x:v>NotAssessed</x:v>
      </x:c>
      <x:c r="S191" s="36" t="str"/>
      <x:c r="T191" s="36" t="str">
        <x:v>Common pot</x:v>
      </x:c>
      <x:c r="U191" s="41" t="n">
        <x:f>VLOOKUP("Priority|"&amp;O191,'Score settings'!$A$14:$C$43,2,FALSE)/'Score settings'!$B$4*'Score settings'!$C$4</x:f>
        <x:v>25</x:v>
      </x:c>
      <x:c r="V191" s="41" t="n">
        <x:f>VLOOKUP("Category|"&amp;P191,'Score settings'!$A$14:$C$43,2,FALSE)/'Score settings'!$B$5*'Score settings'!$C$5</x:f>
        <x:v>5</x:v>
      </x:c>
      <x:c r="W191" s="41" t="n">
        <x:f>VLOOKUP("Area|"&amp;Q191,'Score settings'!$A$14:$C$43,2,FALSE)/'Score settings'!$B$6*'Score settings'!$C$6</x:f>
        <x:v>11</x:v>
      </x:c>
      <x:c r="X191" s="41" t="n">
        <x:f>VLOOKUP("Benefits|"&amp;IF(AND(ISNUMBER(H191),H191&gt;0,ISNUMBER(G191),G191&gt;0),IF(H191/G191&gt;='Score settings'!$E$17,"3plus",IF(H191/G191&gt;='Score settings'!$E$16,"1.5to3",IF(H191/G191&gt;='Score settings'!$E$15,"0.5to1.5","positive"))),"None"),'Score settings'!$A$14:$C$43,2,FALSE)/'Score settings'!$B$7*'Score settings'!$C$7</x:f>
        <x:v>5</x:v>
      </x:c>
      <x:c r="Y191" s="41" t="n">
        <x:f>VLOOKUP("Waste|"&amp;R191,'Score settings'!$A$14:$C$43,2,FALSE)/'Score settings'!$B$8*'Score settings'!$C$8</x:f>
        <x:v>7</x:v>
      </x:c>
      <x:c r="Z191" s="41" t="n">
        <x:f>IF(B191="","",SUM(U191:Y191))</x:f>
        <x:v>53</x:v>
      </x:c>
      <x:c r="AA191" s="41" t="str">
        <x:f>IF(Z191="","Not scored",VLOOKUP(Z191,'Score settings'!$A$47:$C$50,2,TRUE))</x:f>
        <x:v>Strong</x:v>
      </x:c>
      <x:c r="AB191" s="41" t="n">
        <x:f>VLOOKUP("Priority|"&amp;O191,'Score settings'!$A$14:$C$43,3,FALSE)/'Score settings'!$B$4*'Score settings'!$D$4</x:f>
        <x:v>15</x:v>
      </x:c>
      <x:c r="AC191" s="41" t="n">
        <x:f>VLOOKUP("Category|"&amp;P191,'Score settings'!$A$14:$C$43,3,FALSE)/'Score settings'!$B$5*'Score settings'!$D$5</x:f>
        <x:v>2.5</x:v>
      </x:c>
      <x:c r="AD191" s="41" t="n">
        <x:f>VLOOKUP("Area|"&amp;Q191,'Score settings'!$A$14:$C$43,3,FALSE)/'Score settings'!$B$6*'Score settings'!$D$6</x:f>
        <x:v>7.333333333333333</x:v>
      </x:c>
      <x:c r="AE191" s="41" t="n">
        <x:f>VLOOKUP("Benefits|"&amp;IF(AND(ISNUMBER(K191),K191&gt;0,ISNUMBER(G191),G191&gt;0),IF(K191/G191&gt;='Score settings'!$E$17,"3plus",IF(K191/G191&gt;='Score settings'!$E$16,"1.5to3",IF(K191/G191&gt;='Score settings'!$E$15,"0.5to1.5","positive"))),"None"),'Score settings'!$A$14:$C$43,3,FALSE)/'Score settings'!$B$7*'Score settings'!$D$7</x:f>
        <x:v>0</x:v>
      </x:c>
      <x:c r="AF191" s="41" t="n">
        <x:f>VLOOKUP("Waste|"&amp;R191,'Score settings'!$A$14:$C$43,3,FALSE)/'Score settings'!$B$8*'Score settings'!$D$8</x:f>
        <x:v>0</x:v>
      </x:c>
      <x:c r="AG191" s="41" t="n">
        <x:f>(IF(AND(ISNUMBER(M191),M191&gt;0,ISNUMBER(G191),G191&gt;0),IF(M191/G191&gt;='Score settings'!$E$17,'Score settings'!$G$17,IF(M191/G191&gt;='Score settings'!$E$16,'Score settings'!$G$16,IF(M191/G191&gt;='Score settings'!$E$15,'Score settings'!$G$15,'Score settings'!$G$14))),0)/15*'Score settings'!$B$60+IFERROR(VLOOKUP(IF(ISNUMBER(N191),N191,IF(ISNUMBER(L191),L191,0)),'Score settings'!$E$22:$F$26,2,FALSE),0)/10*'Score settings'!$B$61)/'Score settings'!$B$9*'Score settings'!$D$9</x:f>
        <x:v>0</x:v>
      </x:c>
      <x:c r="AH191" s="41" t="n">
        <x:f>IF(B191="","",SUM(AB191:AG191))</x:f>
        <x:v>24.833333333333332</x:v>
      </x:c>
      <x:c r="AI191" s="41" t="str">
        <x:f>IF(NOT(ISNUMBER(AH191)),"Not scored",VLOOKUP(AH191,'Score settings'!$A$47:$C$50,3,TRUE))</x:f>
        <x:v>Weak</x:v>
      </x:c>
      <x:c r="AJ191" s="42" t="n">
        <x:f>IF(OR(NOT(ISNUMBER(AH191)),T191&lt;&gt;"Common pot"),"",COUNTIFS($T$4:$T$509,"Common pot",$AH$4:$AH$509,"&gt;"&amp;AH191)+1)</x:f>
        <x:v>269</x:v>
      </x:c>
      <x:c r="AK191" s="36" t="str">
        <x:f>IF(B191="","Name missing - not scored",IF(OR(NOT(ISNUMBER(G191)),G191&lt;=0),"Investment missing or zero - review",IF(0=1,"Permanent ID missing - reconcile",IF(AND(ISNUMBER(H191),H191/G191&gt;='Score settings'!$B$58,NOT(ISNUMBER(I191))),"Benefit units need review",IF(OR(R191="EXIT",R191="CHALLENGE"),"Waste decision requires scope resolution",IF("Name and organisation matched"&lt;&gt;"Name and organisation matched","Waste evidence match needs review","Provisional source score - confirm evidence"))))))</x:f>
        <x:v>Provisional source score - confirm evidence</x:v>
      </x:c>
      <x:c r="AL191" s="36"/>
      <x:c r="AM191" s="40"/>
      <x:c r="AN191" s="39"/>
      <x:c r="AO191" s="40"/>
      <x:c r="AP191" s="40"/>
    </x:row>
    <x:row r="192" ht="15" hidden="0" customHeight="1">
      <x:c r="A192" s="36" t="str">
        <x:v>Bu-197</x:v>
      </x:c>
      <x:c r="B192" s="37" t="str">
        <x:v>Remote Operations Mgt for NAR (FocalPoint)</x:v>
      </x:c>
      <x:c r="C192" s="36" t="str">
        <x:v>BU Led</x:v>
      </x:c>
      <x:c r="D192" s="36" t="str">
        <x:v>Monitoring - HPM (MCH)</x:v>
      </x:c>
      <x:c r="E192" s="38" t="n">
        <x:v>1.17</x:v>
      </x:c>
      <x:c r="F192" s="39"/>
      <x:c r="G192" s="38" t="n">
        <x:f>IF(ISNUMBER(F192),F192,IF(E192="","",E192))</x:f>
        <x:v>1.17</x:v>
      </x:c>
      <x:c r="H192" s="38"/>
      <x:c r="I192" s="39"/>
      <x:c r="J192" s="36" t="str">
        <x:v>Revenue</x:v>
      </x:c>
      <x:c r="K192" s="38" t="str">
        <x:f>IF(ISNUMBER(I192),I192,IF(OR(NOT(ISNUMBER(H192)),NOT(ISNUMBER(G192)),G192&lt;=0),"",IF(H192/G192&gt;='Score settings'!$B$58,"",IF(J192="Cash savings",H192,IF(J192="Revenue",H192*'Score settings'!$B$55,"")))))</x:f>
      </x:c>
      <x:c r="L192" s="36"/>
      <x:c r="M192" s="39"/>
      <x:c r="N192" s="40"/>
      <x:c r="O192" s="36" t="str">
        <x:v>Must Do</x:v>
      </x:c>
      <x:c r="P192" s="36" t="str">
        <x:v>NewTech</x:v>
      </x:c>
      <x:c r="Q192" s="36" t="str">
        <x:v>Revenue</x:v>
      </x:c>
      <x:c r="R192" s="36" t="str">
        <x:v>NotAssessed</x:v>
      </x:c>
      <x:c r="S192" s="36" t="str"/>
      <x:c r="T192" s="36" t="str">
        <x:v>Common pot</x:v>
      </x:c>
      <x:c r="U192" s="41" t="n">
        <x:f>VLOOKUP("Priority|"&amp;O192,'Score settings'!$A$14:$C$43,2,FALSE)/'Score settings'!$B$4*'Score settings'!$C$4</x:f>
        <x:v>25</x:v>
      </x:c>
      <x:c r="V192" s="41" t="n">
        <x:f>VLOOKUP("Category|"&amp;P192,'Score settings'!$A$14:$C$43,2,FALSE)/'Score settings'!$B$5*'Score settings'!$C$5</x:f>
        <x:v>5</x:v>
      </x:c>
      <x:c r="W192" s="41" t="n">
        <x:f>VLOOKUP("Area|"&amp;Q192,'Score settings'!$A$14:$C$43,2,FALSE)/'Score settings'!$B$6*'Score settings'!$C$6</x:f>
        <x:v>11</x:v>
      </x:c>
      <x:c r="X192" s="41" t="n">
        <x:f>VLOOKUP("Benefits|"&amp;IF(AND(ISNUMBER(H192),H192&gt;0,ISNUMBER(G192),G192&gt;0),IF(H192/G192&gt;='Score settings'!$E$17,"3plus",IF(H192/G192&gt;='Score settings'!$E$16,"1.5to3",IF(H192/G192&gt;='Score settings'!$E$15,"0.5to1.5","positive"))),"None"),'Score settings'!$A$14:$C$43,2,FALSE)/'Score settings'!$B$7*'Score settings'!$C$7</x:f>
        <x:v>5</x:v>
      </x:c>
      <x:c r="Y192" s="41" t="n">
        <x:f>VLOOKUP("Waste|"&amp;R192,'Score settings'!$A$14:$C$43,2,FALSE)/'Score settings'!$B$8*'Score settings'!$C$8</x:f>
        <x:v>7</x:v>
      </x:c>
      <x:c r="Z192" s="41" t="n">
        <x:f>IF(B192="","",SUM(U192:Y192))</x:f>
        <x:v>53</x:v>
      </x:c>
      <x:c r="AA192" s="41" t="str">
        <x:f>IF(Z192="","Not scored",VLOOKUP(Z192,'Score settings'!$A$47:$C$50,2,TRUE))</x:f>
        <x:v>Strong</x:v>
      </x:c>
      <x:c r="AB192" s="41" t="n">
        <x:f>VLOOKUP("Priority|"&amp;O192,'Score settings'!$A$14:$C$43,3,FALSE)/'Score settings'!$B$4*'Score settings'!$D$4</x:f>
        <x:v>15</x:v>
      </x:c>
      <x:c r="AC192" s="41" t="n">
        <x:f>VLOOKUP("Category|"&amp;P192,'Score settings'!$A$14:$C$43,3,FALSE)/'Score settings'!$B$5*'Score settings'!$D$5</x:f>
        <x:v>2.5</x:v>
      </x:c>
      <x:c r="AD192" s="41" t="n">
        <x:f>VLOOKUP("Area|"&amp;Q192,'Score settings'!$A$14:$C$43,3,FALSE)/'Score settings'!$B$6*'Score settings'!$D$6</x:f>
        <x:v>7.333333333333333</x:v>
      </x:c>
      <x:c r="AE192" s="41" t="n">
        <x:f>VLOOKUP("Benefits|"&amp;IF(AND(ISNUMBER(K192),K192&gt;0,ISNUMBER(G192),G192&gt;0),IF(K192/G192&gt;='Score settings'!$E$17,"3plus",IF(K192/G192&gt;='Score settings'!$E$16,"1.5to3",IF(K192/G192&gt;='Score settings'!$E$15,"0.5to1.5","positive"))),"None"),'Score settings'!$A$14:$C$43,3,FALSE)/'Score settings'!$B$7*'Score settings'!$D$7</x:f>
        <x:v>0</x:v>
      </x:c>
      <x:c r="AF192" s="41" t="n">
        <x:f>VLOOKUP("Waste|"&amp;R192,'Score settings'!$A$14:$C$43,3,FALSE)/'Score settings'!$B$8*'Score settings'!$D$8</x:f>
        <x:v>0</x:v>
      </x:c>
      <x:c r="AG192" s="41" t="n">
        <x:f>(IF(AND(ISNUMBER(M192),M192&gt;0,ISNUMBER(G192),G192&gt;0),IF(M192/G192&gt;='Score settings'!$E$17,'Score settings'!$G$17,IF(M192/G192&gt;='Score settings'!$E$16,'Score settings'!$G$16,IF(M192/G192&gt;='Score settings'!$E$15,'Score settings'!$G$15,'Score settings'!$G$14))),0)/15*'Score settings'!$B$60+IFERROR(VLOOKUP(IF(ISNUMBER(N192),N192,IF(ISNUMBER(L192),L192,0)),'Score settings'!$E$22:$F$26,2,FALSE),0)/10*'Score settings'!$B$61)/'Score settings'!$B$9*'Score settings'!$D$9</x:f>
        <x:v>0</x:v>
      </x:c>
      <x:c r="AH192" s="41" t="n">
        <x:f>IF(B192="","",SUM(AB192:AG192))</x:f>
        <x:v>24.833333333333332</x:v>
      </x:c>
      <x:c r="AI192" s="41" t="str">
        <x:f>IF(NOT(ISNUMBER(AH192)),"Not scored",VLOOKUP(AH192,'Score settings'!$A$47:$C$50,3,TRUE))</x:f>
        <x:v>Weak</x:v>
      </x:c>
      <x:c r="AJ192" s="42" t="n">
        <x:f>IF(OR(NOT(ISNUMBER(AH192)),T192&lt;&gt;"Common pot"),"",COUNTIFS($T$4:$T$509,"Common pot",$AH$4:$AH$509,"&gt;"&amp;AH192)+1)</x:f>
        <x:v>269</x:v>
      </x:c>
      <x:c r="AK192" s="36" t="str">
        <x:f>IF(B192="","Name missing - not scored",IF(OR(NOT(ISNUMBER(G192)),G192&lt;=0),"Investment missing or zero - review",IF(0=1,"Permanent ID missing - reconcile",IF(AND(ISNUMBER(H192),H192/G192&gt;='Score settings'!$B$58,NOT(ISNUMBER(I192))),"Benefit units need review",IF(OR(R192="EXIT",R192="CHALLENGE"),"Waste decision requires scope resolution",IF("Name and organisation matched"&lt;&gt;"Name and organisation matched","Waste evidence match needs review","Provisional source score - confirm evidence"))))))</x:f>
        <x:v>Provisional source score - confirm evidence</x:v>
      </x:c>
      <x:c r="AL192" s="36"/>
      <x:c r="AM192" s="40"/>
      <x:c r="AN192" s="39"/>
      <x:c r="AO192" s="40"/>
      <x:c r="AP192" s="40"/>
    </x:row>
    <x:row r="193" ht="15" hidden="0" customHeight="1">
      <x:c r="A193" s="36" t="str">
        <x:v>Bu-198</x:v>
      </x:c>
      <x:c r="B193" s="37" t="str">
        <x:v>HSPMP - enable support flow for cloud platform</x:v>
      </x:c>
      <x:c r="C193" s="36" t="str">
        <x:v>BU Led</x:v>
      </x:c>
      <x:c r="D193" s="36" t="str">
        <x:v>Monitoring - HPM (MCH)</x:v>
      </x:c>
      <x:c r="E193" s="38" t="n">
        <x:v>0.36</x:v>
      </x:c>
      <x:c r="F193" s="39"/>
      <x:c r="G193" s="38" t="n">
        <x:f>IF(ISNUMBER(F193),F193,IF(E193="","",E193))</x:f>
        <x:v>0.36</x:v>
      </x:c>
      <x:c r="H193" s="38"/>
      <x:c r="I193" s="39"/>
      <x:c r="J193" s="36" t="str">
        <x:v>Revenue</x:v>
      </x:c>
      <x:c r="K193" s="38" t="str">
        <x:f>IF(ISNUMBER(I193),I193,IF(OR(NOT(ISNUMBER(H193)),NOT(ISNUMBER(G193)),G193&lt;=0),"",IF(H193/G193&gt;='Score settings'!$B$58,"",IF(J193="Cash savings",H193,IF(J193="Revenue",H193*'Score settings'!$B$55,"")))))</x:f>
      </x:c>
      <x:c r="L193" s="36"/>
      <x:c r="M193" s="39"/>
      <x:c r="N193" s="40"/>
      <x:c r="O193" s="36" t="str">
        <x:v>Must Do</x:v>
      </x:c>
      <x:c r="P193" s="36" t="str">
        <x:v>NewTech</x:v>
      </x:c>
      <x:c r="Q193" s="36" t="str">
        <x:v>Revenue</x:v>
      </x:c>
      <x:c r="R193" s="36" t="str">
        <x:v>NotAssessed</x:v>
      </x:c>
      <x:c r="S193" s="36" t="str"/>
      <x:c r="T193" s="36" t="str">
        <x:v>Common pot</x:v>
      </x:c>
      <x:c r="U193" s="41" t="n">
        <x:f>VLOOKUP("Priority|"&amp;O193,'Score settings'!$A$14:$C$43,2,FALSE)/'Score settings'!$B$4*'Score settings'!$C$4</x:f>
        <x:v>25</x:v>
      </x:c>
      <x:c r="V193" s="41" t="n">
        <x:f>VLOOKUP("Category|"&amp;P193,'Score settings'!$A$14:$C$43,2,FALSE)/'Score settings'!$B$5*'Score settings'!$C$5</x:f>
        <x:v>5</x:v>
      </x:c>
      <x:c r="W193" s="41" t="n">
        <x:f>VLOOKUP("Area|"&amp;Q193,'Score settings'!$A$14:$C$43,2,FALSE)/'Score settings'!$B$6*'Score settings'!$C$6</x:f>
        <x:v>11</x:v>
      </x:c>
      <x:c r="X193" s="41" t="n">
        <x:f>VLOOKUP("Benefits|"&amp;IF(AND(ISNUMBER(H193),H193&gt;0,ISNUMBER(G193),G193&gt;0),IF(H193/G193&gt;='Score settings'!$E$17,"3plus",IF(H193/G193&gt;='Score settings'!$E$16,"1.5to3",IF(H193/G193&gt;='Score settings'!$E$15,"0.5to1.5","positive"))),"None"),'Score settings'!$A$14:$C$43,2,FALSE)/'Score settings'!$B$7*'Score settings'!$C$7</x:f>
        <x:v>5</x:v>
      </x:c>
      <x:c r="Y193" s="41" t="n">
        <x:f>VLOOKUP("Waste|"&amp;R193,'Score settings'!$A$14:$C$43,2,FALSE)/'Score settings'!$B$8*'Score settings'!$C$8</x:f>
        <x:v>7</x:v>
      </x:c>
      <x:c r="Z193" s="41" t="n">
        <x:f>IF(B193="","",SUM(U193:Y193))</x:f>
        <x:v>53</x:v>
      </x:c>
      <x:c r="AA193" s="41" t="str">
        <x:f>IF(Z193="","Not scored",VLOOKUP(Z193,'Score settings'!$A$47:$C$50,2,TRUE))</x:f>
        <x:v>Strong</x:v>
      </x:c>
      <x:c r="AB193" s="41" t="n">
        <x:f>VLOOKUP("Priority|"&amp;O193,'Score settings'!$A$14:$C$43,3,FALSE)/'Score settings'!$B$4*'Score settings'!$D$4</x:f>
        <x:v>15</x:v>
      </x:c>
      <x:c r="AC193" s="41" t="n">
        <x:f>VLOOKUP("Category|"&amp;P193,'Score settings'!$A$14:$C$43,3,FALSE)/'Score settings'!$B$5*'Score settings'!$D$5</x:f>
        <x:v>2.5</x:v>
      </x:c>
      <x:c r="AD193" s="41" t="n">
        <x:f>VLOOKUP("Area|"&amp;Q193,'Score settings'!$A$14:$C$43,3,FALSE)/'Score settings'!$B$6*'Score settings'!$D$6</x:f>
        <x:v>7.333333333333333</x:v>
      </x:c>
      <x:c r="AE193" s="41" t="n">
        <x:f>VLOOKUP("Benefits|"&amp;IF(AND(ISNUMBER(K193),K193&gt;0,ISNUMBER(G193),G193&gt;0),IF(K193/G193&gt;='Score settings'!$E$17,"3plus",IF(K193/G193&gt;='Score settings'!$E$16,"1.5to3",IF(K193/G193&gt;='Score settings'!$E$15,"0.5to1.5","positive"))),"None"),'Score settings'!$A$14:$C$43,3,FALSE)/'Score settings'!$B$7*'Score settings'!$D$7</x:f>
        <x:v>0</x:v>
      </x:c>
      <x:c r="AF193" s="41" t="n">
        <x:f>VLOOKUP("Waste|"&amp;R193,'Score settings'!$A$14:$C$43,3,FALSE)/'Score settings'!$B$8*'Score settings'!$D$8</x:f>
        <x:v>0</x:v>
      </x:c>
      <x:c r="AG193" s="41" t="n">
        <x:f>(IF(AND(ISNUMBER(M193),M193&gt;0,ISNUMBER(G193),G193&gt;0),IF(M193/G193&gt;='Score settings'!$E$17,'Score settings'!$G$17,IF(M193/G193&gt;='Score settings'!$E$16,'Score settings'!$G$16,IF(M193/G193&gt;='Score settings'!$E$15,'Score settings'!$G$15,'Score settings'!$G$14))),0)/15*'Score settings'!$B$60+IFERROR(VLOOKUP(IF(ISNUMBER(N193),N193,IF(ISNUMBER(L193),L193,0)),'Score settings'!$E$22:$F$26,2,FALSE),0)/10*'Score settings'!$B$61)/'Score settings'!$B$9*'Score settings'!$D$9</x:f>
        <x:v>0</x:v>
      </x:c>
      <x:c r="AH193" s="41" t="n">
        <x:f>IF(B193="","",SUM(AB193:AG193))</x:f>
        <x:v>24.833333333333332</x:v>
      </x:c>
      <x:c r="AI193" s="41" t="str">
        <x:f>IF(NOT(ISNUMBER(AH193)),"Not scored",VLOOKUP(AH193,'Score settings'!$A$47:$C$50,3,TRUE))</x:f>
        <x:v>Weak</x:v>
      </x:c>
      <x:c r="AJ193" s="42" t="n">
        <x:f>IF(OR(NOT(ISNUMBER(AH193)),T193&lt;&gt;"Common pot"),"",COUNTIFS($T$4:$T$509,"Common pot",$AH$4:$AH$509,"&gt;"&amp;AH193)+1)</x:f>
        <x:v>269</x:v>
      </x:c>
      <x:c r="AK193" s="36" t="str">
        <x:f>IF(B193="","Name missing - not scored",IF(OR(NOT(ISNUMBER(G193)),G193&lt;=0),"Investment missing or zero - review",IF(0=1,"Permanent ID missing - reconcile",IF(AND(ISNUMBER(H193),H193/G193&gt;='Score settings'!$B$58,NOT(ISNUMBER(I193))),"Benefit units need review",IF(OR(R193="EXIT",R193="CHALLENGE"),"Waste decision requires scope resolution",IF("Name and organisation matched"&lt;&gt;"Name and organisation matched","Waste evidence match needs review","Provisional source score - confirm evidence"))))))</x:f>
        <x:v>Provisional source score - confirm evidence</x:v>
      </x:c>
      <x:c r="AL193" s="36"/>
      <x:c r="AM193" s="40"/>
      <x:c r="AN193" s="39"/>
      <x:c r="AO193" s="40"/>
      <x:c r="AP193" s="40"/>
    </x:row>
    <x:row r="194" ht="15" hidden="0" customHeight="1">
      <x:c r="A194" s="36" t="str">
        <x:v>Bu-199</x:v>
      </x:c>
      <x:c r="B194" s="37" t="str">
        <x:v>Timber and dual manufacturing (NAM footprint)</x:v>
      </x:c>
      <x:c r="C194" s="36" t="str">
        <x:v>BU Led</x:v>
      </x:c>
      <x:c r="D194" s="36" t="str">
        <x:v>Monitoring - HPM (MCH)</x:v>
      </x:c>
      <x:c r="E194" s="38" t="n">
        <x:v>0.8</x:v>
      </x:c>
      <x:c r="F194" s="39"/>
      <x:c r="G194" s="38" t="n">
        <x:f>IF(ISNUMBER(F194),F194,IF(E194="","",E194))</x:f>
        <x:v>0.8</x:v>
      </x:c>
      <x:c r="H194" s="38"/>
      <x:c r="I194" s="39"/>
      <x:c r="J194" s="36" t="str">
        <x:v>Cash savings</x:v>
      </x:c>
      <x:c r="K194" s="38" t="str">
        <x:f>IF(ISNUMBER(I194),I194,IF(OR(NOT(ISNUMBER(H194)),NOT(ISNUMBER(G194)),G194&lt;=0),"",IF(H194/G194&gt;='Score settings'!$B$58,"",IF(J194="Cash savings",H194,IF(J194="Revenue",H194*'Score settings'!$B$55,"")))))</x:f>
      </x:c>
      <x:c r="L194" s="36"/>
      <x:c r="M194" s="39"/>
      <x:c r="N194" s="40"/>
      <x:c r="O194" s="36" t="str">
        <x:v>Must Do</x:v>
      </x:c>
      <x:c r="P194" s="36" t="str">
        <x:v>NewTech</x:v>
      </x:c>
      <x:c r="Q194" s="36" t="str">
        <x:v>Productivity</x:v>
      </x:c>
      <x:c r="R194" s="36" t="str">
        <x:v>HEALTHY</x:v>
      </x:c>
      <x:c r="S194" s="36" t="str"/>
      <x:c r="T194" s="36" t="str">
        <x:v>Common pot</x:v>
      </x:c>
      <x:c r="U194" s="41" t="n">
        <x:f>VLOOKUP("Priority|"&amp;O194,'Score settings'!$A$14:$C$43,2,FALSE)/'Score settings'!$B$4*'Score settings'!$C$4</x:f>
        <x:v>25</x:v>
      </x:c>
      <x:c r="V194" s="41" t="n">
        <x:f>VLOOKUP("Category|"&amp;P194,'Score settings'!$A$14:$C$43,2,FALSE)/'Score settings'!$B$5*'Score settings'!$C$5</x:f>
        <x:v>5</x:v>
      </x:c>
      <x:c r="W194" s="41" t="n">
        <x:f>VLOOKUP("Area|"&amp;Q194,'Score settings'!$A$14:$C$43,2,FALSE)/'Score settings'!$B$6*'Score settings'!$C$6</x:f>
        <x:v>10</x:v>
      </x:c>
      <x:c r="X194" s="41" t="n">
        <x:f>VLOOKUP("Benefits|"&amp;IF(AND(ISNUMBER(H194),H194&gt;0,ISNUMBER(G194),G194&gt;0),IF(H194/G194&gt;='Score settings'!$E$17,"3plus",IF(H194/G194&gt;='Score settings'!$E$16,"1.5to3",IF(H194/G194&gt;='Score settings'!$E$15,"0.5to1.5","positive"))),"None"),'Score settings'!$A$14:$C$43,2,FALSE)/'Score settings'!$B$7*'Score settings'!$C$7</x:f>
        <x:v>5</x:v>
      </x:c>
      <x:c r="Y194" s="41" t="n">
        <x:f>VLOOKUP("Waste|"&amp;R194,'Score settings'!$A$14:$C$43,2,FALSE)/'Score settings'!$B$8*'Score settings'!$C$8</x:f>
        <x:v>15</x:v>
      </x:c>
      <x:c r="Z194" s="41" t="n">
        <x:f>IF(B194="","",SUM(U194:Y194))</x:f>
        <x:v>60</x:v>
      </x:c>
      <x:c r="AA194" s="41" t="str">
        <x:f>IF(Z194="","Not scored",VLOOKUP(Z194,'Score settings'!$A$47:$C$50,2,TRUE))</x:f>
        <x:v>Strong</x:v>
      </x:c>
      <x:c r="AB194" s="41" t="n">
        <x:f>VLOOKUP("Priority|"&amp;O194,'Score settings'!$A$14:$C$43,3,FALSE)/'Score settings'!$B$4*'Score settings'!$D$4</x:f>
        <x:v>15</x:v>
      </x:c>
      <x:c r="AC194" s="41" t="n">
        <x:f>VLOOKUP("Category|"&amp;P194,'Score settings'!$A$14:$C$43,3,FALSE)/'Score settings'!$B$5*'Score settings'!$D$5</x:f>
        <x:v>2.5</x:v>
      </x:c>
      <x:c r="AD194" s="41" t="n">
        <x:f>VLOOKUP("Area|"&amp;Q194,'Score settings'!$A$14:$C$43,3,FALSE)/'Score settings'!$B$6*'Score settings'!$D$6</x:f>
        <x:v>6.666666666666666</x:v>
      </x:c>
      <x:c r="AE194" s="41" t="n">
        <x:f>VLOOKUP("Benefits|"&amp;IF(AND(ISNUMBER(K194),K194&gt;0,ISNUMBER(G194),G194&gt;0),IF(K194/G194&gt;='Score settings'!$E$17,"3plus",IF(K194/G194&gt;='Score settings'!$E$16,"1.5to3",IF(K194/G194&gt;='Score settings'!$E$15,"0.5to1.5","positive"))),"None"),'Score settings'!$A$14:$C$43,3,FALSE)/'Score settings'!$B$7*'Score settings'!$D$7</x:f>
        <x:v>0</x:v>
      </x:c>
      <x:c r="AF194" s="41" t="n">
        <x:f>VLOOKUP("Waste|"&amp;R194,'Score settings'!$A$14:$C$43,3,FALSE)/'Score settings'!$B$8*'Score settings'!$D$8</x:f>
        <x:v>10</x:v>
      </x:c>
      <x:c r="AG194" s="41" t="n">
        <x:f>(IF(AND(ISNUMBER(M194),M194&gt;0,ISNUMBER(G194),G194&gt;0),IF(M194/G194&gt;='Score settings'!$E$17,'Score settings'!$G$17,IF(M194/G194&gt;='Score settings'!$E$16,'Score settings'!$G$16,IF(M194/G194&gt;='Score settings'!$E$15,'Score settings'!$G$15,'Score settings'!$G$14))),0)/15*'Score settings'!$B$60+IFERROR(VLOOKUP(IF(ISNUMBER(N194),N194,IF(ISNUMBER(L194),L194,0)),'Score settings'!$E$22:$F$26,2,FALSE),0)/10*'Score settings'!$B$61)/'Score settings'!$B$9*'Score settings'!$D$9</x:f>
        <x:v>0</x:v>
      </x:c>
      <x:c r="AH194" s="41" t="n">
        <x:f>IF(B194="","",SUM(AB194:AG194))</x:f>
        <x:v>34.166666666666664</x:v>
      </x:c>
      <x:c r="AI194" s="41" t="str">
        <x:f>IF(NOT(ISNUMBER(AH194)),"Not scored",VLOOKUP(AH194,'Score settings'!$A$47:$C$50,3,TRUE))</x:f>
        <x:v>Discretionary</x:v>
      </x:c>
      <x:c r="AJ194" s="42" t="n">
        <x:f>IF(OR(NOT(ISNUMBER(AH194)),T194&lt;&gt;"Common pot"),"",COUNTIFS($T$4:$T$509,"Common pot",$AH$4:$AH$509,"&gt;"&amp;AH194)+1)</x:f>
        <x:v>156</x:v>
      </x:c>
      <x:c r="AK194" s="36" t="str">
        <x:f>IF(B194="","Name missing - not scored",IF(OR(NOT(ISNUMBER(G194)),G194&lt;=0),"Investment missing or zero - review",IF(0=1,"Permanent ID missing - reconcile",IF(AND(ISNUMBER(H194),H194/G194&gt;='Score settings'!$B$58,NOT(ISNUMBER(I194))),"Benefit units need review",IF(OR(R194="EXIT",R194="CHALLENGE"),"Waste decision requires scope resolution",IF("Name and organisation matched"&lt;&gt;"Name and organisation matched","Waste evidence match needs review","Provisional source score - confirm evidence"))))))</x:f>
        <x:v>Provisional source score - confirm evidence</x:v>
      </x:c>
      <x:c r="AL194" s="36"/>
      <x:c r="AM194" s="40"/>
      <x:c r="AN194" s="39"/>
      <x:c r="AO194" s="40"/>
      <x:c r="AP194" s="40"/>
    </x:row>
    <x:row r="195" ht="15" hidden="0" customHeight="1">
      <x:c r="A195" s="36" t="str">
        <x:v>Bu-200</x:v>
      </x:c>
      <x:c r="B195" s="37" t="str">
        <x:v>Indonesia L4L</x:v>
      </x:c>
      <x:c r="C195" s="36" t="str">
        <x:v>BU Led</x:v>
      </x:c>
      <x:c r="D195" s="36" t="str">
        <x:v>Monitoring - HPM (MCH)</x:v>
      </x:c>
      <x:c r="E195" s="38" t="n">
        <x:v>0</x:v>
      </x:c>
      <x:c r="F195" s="39"/>
      <x:c r="G195" s="38" t="str">
        <x:f>IF(ISNUMBER(F195),F195,IF(E195="","",E195))</x:f>
      </x:c>
      <x:c r="H195" s="38"/>
      <x:c r="I195" s="39"/>
      <x:c r="J195" s="36" t="str">
        <x:v>Cash savings</x:v>
      </x:c>
      <x:c r="K195" s="38" t="str">
        <x:f>IF(ISNUMBER(I195),I195,IF(OR(NOT(ISNUMBER(H195)),NOT(ISNUMBER(G195)),G195&lt;=0),"",IF(H195/G195&gt;='Score settings'!$B$58,"",IF(J195="Cash savings",H195,IF(J195="Revenue",H195*'Score settings'!$B$55,"")))))</x:f>
      </x:c>
      <x:c r="L195" s="36"/>
      <x:c r="M195" s="39"/>
      <x:c r="N195" s="40"/>
      <x:c r="O195" s="36" t="str">
        <x:v>Depri</x:v>
      </x:c>
      <x:c r="P195" s="36" t="str">
        <x:v>NewTech</x:v>
      </x:c>
      <x:c r="Q195" s="36" t="str">
        <x:v>Productivity</x:v>
      </x:c>
      <x:c r="R195" s="36" t="str">
        <x:v>NotAssessed</x:v>
      </x:c>
      <x:c r="S195" s="36" t="str"/>
      <x:c r="T195" s="36" t="str">
        <x:v>Common pot</x:v>
      </x:c>
      <x:c r="U195" s="41" t="n">
        <x:f>VLOOKUP("Priority|"&amp;O195,'Score settings'!$A$14:$C$43,2,FALSE)/'Score settings'!$B$4*'Score settings'!$C$4</x:f>
        <x:v>5</x:v>
      </x:c>
      <x:c r="V195" s="41" t="n">
        <x:f>VLOOKUP("Category|"&amp;P195,'Score settings'!$A$14:$C$43,2,FALSE)/'Score settings'!$B$5*'Score settings'!$C$5</x:f>
        <x:v>5</x:v>
      </x:c>
      <x:c r="W195" s="41" t="n">
        <x:f>VLOOKUP("Area|"&amp;Q195,'Score settings'!$A$14:$C$43,2,FALSE)/'Score settings'!$B$6*'Score settings'!$C$6</x:f>
        <x:v>10</x:v>
      </x:c>
      <x:c r="X195" s="41" t="n">
        <x:f>VLOOKUP("Benefits|"&amp;IF(AND(ISNUMBER(H195),H195&gt;0,ISNUMBER(G195),G195&gt;0),IF(H195/G195&gt;='Score settings'!$E$17,"3plus",IF(H195/G195&gt;='Score settings'!$E$16,"1.5to3",IF(H195/G195&gt;='Score settings'!$E$15,"0.5to1.5","positive"))),"None"),'Score settings'!$A$14:$C$43,2,FALSE)/'Score settings'!$B$7*'Score settings'!$C$7</x:f>
        <x:v>5</x:v>
      </x:c>
      <x:c r="Y195" s="41" t="n">
        <x:f>VLOOKUP("Waste|"&amp;R195,'Score settings'!$A$14:$C$43,2,FALSE)/'Score settings'!$B$8*'Score settings'!$C$8</x:f>
        <x:v>7</x:v>
      </x:c>
      <x:c r="Z195" s="41" t="n">
        <x:f>IF(B195="","",SUM(U195:Y195))</x:f>
        <x:v>32</x:v>
      </x:c>
      <x:c r="AA195" s="41" t="str">
        <x:f>IF(Z195="","Not scored",VLOOKUP(Z195,'Score settings'!$A$47:$C$50,2,TRUE))</x:f>
        <x:v>Discretionary</x:v>
      </x:c>
      <x:c r="AB195" s="41" t="n">
        <x:f>VLOOKUP("Priority|"&amp;O195,'Score settings'!$A$14:$C$43,3,FALSE)/'Score settings'!$B$4*'Score settings'!$D$4</x:f>
        <x:v>3</x:v>
      </x:c>
      <x:c r="AC195" s="41" t="n">
        <x:f>VLOOKUP("Category|"&amp;P195,'Score settings'!$A$14:$C$43,3,FALSE)/'Score settings'!$B$5*'Score settings'!$D$5</x:f>
        <x:v>2.5</x:v>
      </x:c>
      <x:c r="AD195" s="41" t="n">
        <x:f>VLOOKUP("Area|"&amp;Q195,'Score settings'!$A$14:$C$43,3,FALSE)/'Score settings'!$B$6*'Score settings'!$D$6</x:f>
        <x:v>6.666666666666666</x:v>
      </x:c>
      <x:c r="AE195" s="41" t="n">
        <x:f>VLOOKUP("Benefits|"&amp;IF(AND(ISNUMBER(K195),K195&gt;0,ISNUMBER(G195),G195&gt;0),IF(K195/G195&gt;='Score settings'!$E$17,"3plus",IF(K195/G195&gt;='Score settings'!$E$16,"1.5to3",IF(K195/G195&gt;='Score settings'!$E$15,"0.5to1.5","positive"))),"None"),'Score settings'!$A$14:$C$43,3,FALSE)/'Score settings'!$B$7*'Score settings'!$D$7</x:f>
        <x:v>0</x:v>
      </x:c>
      <x:c r="AF195" s="41" t="n">
        <x:f>VLOOKUP("Waste|"&amp;R195,'Score settings'!$A$14:$C$43,3,FALSE)/'Score settings'!$B$8*'Score settings'!$D$8</x:f>
        <x:v>0</x:v>
      </x:c>
      <x:c r="AG195" s="41" t="n">
        <x:f>(IF(AND(ISNUMBER(M195),M195&gt;0,ISNUMBER(G195),G195&gt;0),IF(M195/G195&gt;='Score settings'!$E$17,'Score settings'!$G$17,IF(M195/G195&gt;='Score settings'!$E$16,'Score settings'!$G$16,IF(M195/G195&gt;='Score settings'!$E$15,'Score settings'!$G$15,'Score settings'!$G$14))),0)/15*'Score settings'!$B$60+IFERROR(VLOOKUP(IF(ISNUMBER(N195),N195,IF(ISNUMBER(L195),L195,0)),'Score settings'!$E$22:$F$26,2,FALSE),0)/10*'Score settings'!$B$61)/'Score settings'!$B$9*'Score settings'!$D$9</x:f>
        <x:v>0</x:v>
      </x:c>
      <x:c r="AH195" s="41" t="n">
        <x:f>IF(B195="","",SUM(AB195:AG195))</x:f>
        <x:v>12.166666666666666</x:v>
      </x:c>
      <x:c r="AI195" s="41" t="str">
        <x:f>IF(NOT(ISNUMBER(AH195)),"Not scored",VLOOKUP(AH195,'Score settings'!$A$47:$C$50,3,TRUE))</x:f>
        <x:v>Weak</x:v>
      </x:c>
      <x:c r="AJ195" s="42" t="n">
        <x:f>IF(OR(NOT(ISNUMBER(AH195)),T195&lt;&gt;"Common pot"),"",COUNTIFS($T$4:$T$509,"Common pot",$AH$4:$AH$509,"&gt;"&amp;AH195)+1)</x:f>
        <x:v>381</x:v>
      </x:c>
      <x:c r="AK195" s="36" t="str">
        <x:f>IF(B195="","Name missing - not scored",IF(OR(NOT(ISNUMBER(G195)),G195&lt;=0),"Investment missing or zero - review",IF(0=1,"Permanent ID missing - reconcile",IF(AND(ISNUMBER(H195),H195/G195&gt;='Score settings'!$B$58,NOT(ISNUMBER(I195))),"Benefit units need review",IF(OR(R195="EXIT",R195="CHALLENGE"),"Waste decision requires scope resolution",IF("Name and organisation matched"&lt;&gt;"Name and organisation matched","Waste evidence match needs review","Provisional source score - confirm evidence"))))))</x:f>
        <x:v>Investment missing or zero - review</x:v>
      </x:c>
      <x:c r="AL195" s="36"/>
      <x:c r="AM195" s="40"/>
      <x:c r="AN195" s="39"/>
      <x:c r="AO195" s="40"/>
      <x:c r="AP195" s="40"/>
    </x:row>
    <x:row r="196" ht="15" hidden="0" customHeight="1">
      <x:c r="A196" s="36" t="str">
        <x:v>Bu-201</x:v>
      </x:c>
      <x:c r="B196" s="37" t="str">
        <x:v>HPM - Continuous Improvement - MKT</x:v>
      </x:c>
      <x:c r="C196" s="36" t="str">
        <x:v>BU Led</x:v>
      </x:c>
      <x:c r="D196" s="36" t="str">
        <x:v>Monitoring - HPM (MCH)</x:v>
      </x:c>
      <x:c r="E196" s="38" t="n">
        <x:v>0.2</x:v>
      </x:c>
      <x:c r="F196" s="39"/>
      <x:c r="G196" s="38" t="n">
        <x:f>IF(ISNUMBER(F196),F196,IF(E196="","",E196))</x:f>
        <x:v>0.2</x:v>
      </x:c>
      <x:c r="H196" s="38"/>
      <x:c r="I196" s="39"/>
      <x:c r="J196" s="36" t="str">
        <x:v>Risk exposure</x:v>
      </x:c>
      <x:c r="K196" s="38" t="str">
        <x:f>IF(ISNUMBER(I196),I196,IF(OR(NOT(ISNUMBER(H196)),NOT(ISNUMBER(G196)),G196&lt;=0),"",IF(H196/G196&gt;='Score settings'!$B$58,"",IF(J196="Cash savings",H196,IF(J196="Revenue",H196*'Score settings'!$B$55,"")))))</x:f>
      </x:c>
      <x:c r="L196" s="36"/>
      <x:c r="M196" s="39"/>
      <x:c r="N196" s="40"/>
      <x:c r="O196" s="36" t="str">
        <x:v>Must Do</x:v>
      </x:c>
      <x:c r="P196" s="36" t="str">
        <x:v>CI</x:v>
      </x:c>
      <x:c r="Q196" s="36" t="str">
        <x:v>Compliance</x:v>
      </x:c>
      <x:c r="R196" s="36" t="str">
        <x:v>NotAssessed</x:v>
      </x:c>
      <x:c r="S196" s="36" t="str"/>
      <x:c r="T196" s="36" t="str">
        <x:v>Common pot</x:v>
      </x:c>
      <x:c r="U196" s="41" t="n">
        <x:f>VLOOKUP("Priority|"&amp;O196,'Score settings'!$A$14:$C$43,2,FALSE)/'Score settings'!$B$4*'Score settings'!$C$4</x:f>
        <x:v>25</x:v>
      </x:c>
      <x:c r="V196" s="41" t="n">
        <x:f>VLOOKUP("Category|"&amp;P196,'Score settings'!$A$14:$C$43,2,FALSE)/'Score settings'!$B$5*'Score settings'!$C$5</x:f>
        <x:v>8</x:v>
      </x:c>
      <x:c r="W196" s="41" t="n">
        <x:f>VLOOKUP("Area|"&amp;Q196,'Score settings'!$A$14:$C$43,2,FALSE)/'Score settings'!$B$6*'Score settings'!$C$6</x:f>
        <x:v>15</x:v>
      </x:c>
      <x:c r="X196" s="41" t="n">
        <x:f>VLOOKUP("Benefits|"&amp;IF(AND(ISNUMBER(H196),H196&gt;0,ISNUMBER(G196),G196&gt;0),IF(H196/G196&gt;='Score settings'!$E$17,"3plus",IF(H196/G196&gt;='Score settings'!$E$16,"1.5to3",IF(H196/G196&gt;='Score settings'!$E$15,"0.5to1.5","positive"))),"None"),'Score settings'!$A$14:$C$43,2,FALSE)/'Score settings'!$B$7*'Score settings'!$C$7</x:f>
        <x:v>5</x:v>
      </x:c>
      <x:c r="Y196" s="41" t="n">
        <x:f>VLOOKUP("Waste|"&amp;R196,'Score settings'!$A$14:$C$43,2,FALSE)/'Score settings'!$B$8*'Score settings'!$C$8</x:f>
        <x:v>7</x:v>
      </x:c>
      <x:c r="Z196" s="41" t="n">
        <x:f>IF(B196="","",SUM(U196:Y196))</x:f>
        <x:v>60</x:v>
      </x:c>
      <x:c r="AA196" s="41" t="str">
        <x:f>IF(Z196="","Not scored",VLOOKUP(Z196,'Score settings'!$A$47:$C$50,2,TRUE))</x:f>
        <x:v>Strong</x:v>
      </x:c>
      <x:c r="AB196" s="41" t="n">
        <x:f>VLOOKUP("Priority|"&amp;O196,'Score settings'!$A$14:$C$43,3,FALSE)/'Score settings'!$B$4*'Score settings'!$D$4</x:f>
        <x:v>15</x:v>
      </x:c>
      <x:c r="AC196" s="41" t="n">
        <x:f>VLOOKUP("Category|"&amp;P196,'Score settings'!$A$14:$C$43,3,FALSE)/'Score settings'!$B$5*'Score settings'!$D$5</x:f>
        <x:v>4</x:v>
      </x:c>
      <x:c r="AD196" s="41" t="n">
        <x:f>VLOOKUP("Area|"&amp;Q196,'Score settings'!$A$14:$C$43,3,FALSE)/'Score settings'!$B$6*'Score settings'!$D$6</x:f>
        <x:v>10</x:v>
      </x:c>
      <x:c r="AE196" s="41" t="n">
        <x:f>VLOOKUP("Benefits|"&amp;IF(AND(ISNUMBER(K196),K196&gt;0,ISNUMBER(G196),G196&gt;0),IF(K196/G196&gt;='Score settings'!$E$17,"3plus",IF(K196/G196&gt;='Score settings'!$E$16,"1.5to3",IF(K196/G196&gt;='Score settings'!$E$15,"0.5to1.5","positive"))),"None"),'Score settings'!$A$14:$C$43,3,FALSE)/'Score settings'!$B$7*'Score settings'!$D$7</x:f>
        <x:v>0</x:v>
      </x:c>
      <x:c r="AF196" s="41" t="n">
        <x:f>VLOOKUP("Waste|"&amp;R196,'Score settings'!$A$14:$C$43,3,FALSE)/'Score settings'!$B$8*'Score settings'!$D$8</x:f>
        <x:v>0</x:v>
      </x:c>
      <x:c r="AG196" s="41" t="n">
        <x:f>(IF(AND(ISNUMBER(M196),M196&gt;0,ISNUMBER(G196),G196&gt;0),IF(M196/G196&gt;='Score settings'!$E$17,'Score settings'!$G$17,IF(M196/G196&gt;='Score settings'!$E$16,'Score settings'!$G$16,IF(M196/G196&gt;='Score settings'!$E$15,'Score settings'!$G$15,'Score settings'!$G$14))),0)/15*'Score settings'!$B$60+IFERROR(VLOOKUP(IF(ISNUMBER(N196),N196,IF(ISNUMBER(L196),L196,0)),'Score settings'!$E$22:$F$26,2,FALSE),0)/10*'Score settings'!$B$61)/'Score settings'!$B$9*'Score settings'!$D$9</x:f>
        <x:v>0</x:v>
      </x:c>
      <x:c r="AH196" s="41" t="n">
        <x:f>IF(B196="","",SUM(AB196:AG196))</x:f>
        <x:v>29</x:v>
      </x:c>
      <x:c r="AI196" s="41" t="str">
        <x:f>IF(NOT(ISNUMBER(AH196)),"Not scored",VLOOKUP(AH196,'Score settings'!$A$47:$C$50,3,TRUE))</x:f>
        <x:v>Discretionary</x:v>
      </x:c>
      <x:c r="AJ196" s="42" t="n">
        <x:f>IF(OR(NOT(ISNUMBER(AH196)),T196&lt;&gt;"Common pot"),"",COUNTIFS($T$4:$T$509,"Common pot",$AH$4:$AH$509,"&gt;"&amp;AH196)+1)</x:f>
        <x:v>195</x:v>
      </x:c>
      <x:c r="AK196" s="36" t="str">
        <x:f>IF(B196="","Name missing - not scored",IF(OR(NOT(ISNUMBER(G196)),G196&lt;=0),"Investment missing or zero - review",IF(0=1,"Permanent ID missing - reconcile",IF(AND(ISNUMBER(H196),H196/G196&gt;='Score settings'!$B$58,NOT(ISNUMBER(I196))),"Benefit units need review",IF(OR(R196="EXIT",R196="CHALLENGE"),"Waste decision requires scope resolution",IF("Name and organisation matched"&lt;&gt;"Name and organisation matched","Waste evidence match needs review","Provisional source score - confirm evidence"))))))</x:f>
        <x:v>Provisional source score - confirm evidence</x:v>
      </x:c>
      <x:c r="AL196" s="36"/>
      <x:c r="AM196" s="40"/>
      <x:c r="AN196" s="39"/>
      <x:c r="AO196" s="40"/>
      <x:c r="AP196" s="40"/>
    </x:row>
    <x:row r="197" ht="15" hidden="0" customHeight="1">
      <x:c r="A197" s="36" t="str">
        <x:v>Bu-202</x:v>
      </x:c>
      <x:c r="B197" s="37" t="str">
        <x:v>HPM - Continuous Improvement - ISC</x:v>
      </x:c>
      <x:c r="C197" s="36" t="str">
        <x:v>BU Led</x:v>
      </x:c>
      <x:c r="D197" s="36" t="str">
        <x:v>Monitoring - HPM (MCH)</x:v>
      </x:c>
      <x:c r="E197" s="38" t="n">
        <x:v>0.3</x:v>
      </x:c>
      <x:c r="F197" s="39"/>
      <x:c r="G197" s="38" t="n">
        <x:f>IF(ISNUMBER(F197),F197,IF(E197="","",E197))</x:f>
        <x:v>0.3</x:v>
      </x:c>
      <x:c r="H197" s="38"/>
      <x:c r="I197" s="39"/>
      <x:c r="J197" s="36" t="str">
        <x:v>Risk exposure</x:v>
      </x:c>
      <x:c r="K197" s="38" t="str">
        <x:f>IF(ISNUMBER(I197),I197,IF(OR(NOT(ISNUMBER(H197)),NOT(ISNUMBER(G197)),G197&lt;=0),"",IF(H197/G197&gt;='Score settings'!$B$58,"",IF(J197="Cash savings",H197,IF(J197="Revenue",H197*'Score settings'!$B$55,"")))))</x:f>
      </x:c>
      <x:c r="L197" s="36"/>
      <x:c r="M197" s="39"/>
      <x:c r="N197" s="40"/>
      <x:c r="O197" s="36" t="str">
        <x:v>Must Do</x:v>
      </x:c>
      <x:c r="P197" s="36" t="str">
        <x:v>CI</x:v>
      </x:c>
      <x:c r="Q197" s="36" t="str">
        <x:v>Compliance</x:v>
      </x:c>
      <x:c r="R197" s="36" t="str">
        <x:v>NotAssessed</x:v>
      </x:c>
      <x:c r="S197" s="36" t="str"/>
      <x:c r="T197" s="36" t="str">
        <x:v>Common pot</x:v>
      </x:c>
      <x:c r="U197" s="41" t="n">
        <x:f>VLOOKUP("Priority|"&amp;O197,'Score settings'!$A$14:$C$43,2,FALSE)/'Score settings'!$B$4*'Score settings'!$C$4</x:f>
        <x:v>25</x:v>
      </x:c>
      <x:c r="V197" s="41" t="n">
        <x:f>VLOOKUP("Category|"&amp;P197,'Score settings'!$A$14:$C$43,2,FALSE)/'Score settings'!$B$5*'Score settings'!$C$5</x:f>
        <x:v>8</x:v>
      </x:c>
      <x:c r="W197" s="41" t="n">
        <x:f>VLOOKUP("Area|"&amp;Q197,'Score settings'!$A$14:$C$43,2,FALSE)/'Score settings'!$B$6*'Score settings'!$C$6</x:f>
        <x:v>15</x:v>
      </x:c>
      <x:c r="X197" s="41" t="n">
        <x:f>VLOOKUP("Benefits|"&amp;IF(AND(ISNUMBER(H197),H197&gt;0,ISNUMBER(G197),G197&gt;0),IF(H197/G197&gt;='Score settings'!$E$17,"3plus",IF(H197/G197&gt;='Score settings'!$E$16,"1.5to3",IF(H197/G197&gt;='Score settings'!$E$15,"0.5to1.5","positive"))),"None"),'Score settings'!$A$14:$C$43,2,FALSE)/'Score settings'!$B$7*'Score settings'!$C$7</x:f>
        <x:v>5</x:v>
      </x:c>
      <x:c r="Y197" s="41" t="n">
        <x:f>VLOOKUP("Waste|"&amp;R197,'Score settings'!$A$14:$C$43,2,FALSE)/'Score settings'!$B$8*'Score settings'!$C$8</x:f>
        <x:v>7</x:v>
      </x:c>
      <x:c r="Z197" s="41" t="n">
        <x:f>IF(B197="","",SUM(U197:Y197))</x:f>
        <x:v>60</x:v>
      </x:c>
      <x:c r="AA197" s="41" t="str">
        <x:f>IF(Z197="","Not scored",VLOOKUP(Z197,'Score settings'!$A$47:$C$50,2,TRUE))</x:f>
        <x:v>Strong</x:v>
      </x:c>
      <x:c r="AB197" s="41" t="n">
        <x:f>VLOOKUP("Priority|"&amp;O197,'Score settings'!$A$14:$C$43,3,FALSE)/'Score settings'!$B$4*'Score settings'!$D$4</x:f>
        <x:v>15</x:v>
      </x:c>
      <x:c r="AC197" s="41" t="n">
        <x:f>VLOOKUP("Category|"&amp;P197,'Score settings'!$A$14:$C$43,3,FALSE)/'Score settings'!$B$5*'Score settings'!$D$5</x:f>
        <x:v>4</x:v>
      </x:c>
      <x:c r="AD197" s="41" t="n">
        <x:f>VLOOKUP("Area|"&amp;Q197,'Score settings'!$A$14:$C$43,3,FALSE)/'Score settings'!$B$6*'Score settings'!$D$6</x:f>
        <x:v>10</x:v>
      </x:c>
      <x:c r="AE197" s="41" t="n">
        <x:f>VLOOKUP("Benefits|"&amp;IF(AND(ISNUMBER(K197),K197&gt;0,ISNUMBER(G197),G197&gt;0),IF(K197/G197&gt;='Score settings'!$E$17,"3plus",IF(K197/G197&gt;='Score settings'!$E$16,"1.5to3",IF(K197/G197&gt;='Score settings'!$E$15,"0.5to1.5","positive"))),"None"),'Score settings'!$A$14:$C$43,3,FALSE)/'Score settings'!$B$7*'Score settings'!$D$7</x:f>
        <x:v>0</x:v>
      </x:c>
      <x:c r="AF197" s="41" t="n">
        <x:f>VLOOKUP("Waste|"&amp;R197,'Score settings'!$A$14:$C$43,3,FALSE)/'Score settings'!$B$8*'Score settings'!$D$8</x:f>
        <x:v>0</x:v>
      </x:c>
      <x:c r="AG197" s="41" t="n">
        <x:f>(IF(AND(ISNUMBER(M197),M197&gt;0,ISNUMBER(G197),G197&gt;0),IF(M197/G197&gt;='Score settings'!$E$17,'Score settings'!$G$17,IF(M197/G197&gt;='Score settings'!$E$16,'Score settings'!$G$16,IF(M197/G197&gt;='Score settings'!$E$15,'Score settings'!$G$15,'Score settings'!$G$14))),0)/15*'Score settings'!$B$60+IFERROR(VLOOKUP(IF(ISNUMBER(N197),N197,IF(ISNUMBER(L197),L197,0)),'Score settings'!$E$22:$F$26,2,FALSE),0)/10*'Score settings'!$B$61)/'Score settings'!$B$9*'Score settings'!$D$9</x:f>
        <x:v>0</x:v>
      </x:c>
      <x:c r="AH197" s="41" t="n">
        <x:f>IF(B197="","",SUM(AB197:AG197))</x:f>
        <x:v>29</x:v>
      </x:c>
      <x:c r="AI197" s="41" t="str">
        <x:f>IF(NOT(ISNUMBER(AH197)),"Not scored",VLOOKUP(AH197,'Score settings'!$A$47:$C$50,3,TRUE))</x:f>
        <x:v>Discretionary</x:v>
      </x:c>
      <x:c r="AJ197" s="42" t="n">
        <x:f>IF(OR(NOT(ISNUMBER(AH197)),T197&lt;&gt;"Common pot"),"",COUNTIFS($T$4:$T$509,"Common pot",$AH$4:$AH$509,"&gt;"&amp;AH197)+1)</x:f>
        <x:v>195</x:v>
      </x:c>
      <x:c r="AK197" s="36" t="str">
        <x:f>IF(B197="","Name missing - not scored",IF(OR(NOT(ISNUMBER(G197)),G197&lt;=0),"Investment missing or zero - review",IF(0=1,"Permanent ID missing - reconcile",IF(AND(ISNUMBER(H197),H197/G197&gt;='Score settings'!$B$58,NOT(ISNUMBER(I197))),"Benefit units need review",IF(OR(R197="EXIT",R197="CHALLENGE"),"Waste decision requires scope resolution",IF("Name and organisation matched"&lt;&gt;"Name and organisation matched","Waste evidence match needs review","Provisional source score - confirm evidence"))))))</x:f>
        <x:v>Provisional source score - confirm evidence</x:v>
      </x:c>
      <x:c r="AL197" s="36"/>
      <x:c r="AM197" s="40"/>
      <x:c r="AN197" s="39"/>
      <x:c r="AO197" s="40"/>
      <x:c r="AP197" s="40"/>
    </x:row>
    <x:row r="198" ht="15" hidden="0" customHeight="1">
      <x:c r="A198" s="36" t="str">
        <x:v>Bu-203</x:v>
      </x:c>
      <x:c r="B198" s="37" t="str">
        <x:v>HPM - Continuous Improvement - SVC</x:v>
      </x:c>
      <x:c r="C198" s="36" t="str">
        <x:v>BU Led</x:v>
      </x:c>
      <x:c r="D198" s="36" t="str">
        <x:v>Monitoring - HPM (MCH)</x:v>
      </x:c>
      <x:c r="E198" s="38" t="n">
        <x:v>0.2</x:v>
      </x:c>
      <x:c r="F198" s="39"/>
      <x:c r="G198" s="38" t="n">
        <x:f>IF(ISNUMBER(F198),F198,IF(E198="","",E198))</x:f>
        <x:v>0.2</x:v>
      </x:c>
      <x:c r="H198" s="38"/>
      <x:c r="I198" s="39"/>
      <x:c r="J198" s="36" t="str">
        <x:v>Risk exposure</x:v>
      </x:c>
      <x:c r="K198" s="38" t="str">
        <x:f>IF(ISNUMBER(I198),I198,IF(OR(NOT(ISNUMBER(H198)),NOT(ISNUMBER(G198)),G198&lt;=0),"",IF(H198/G198&gt;='Score settings'!$B$58,"",IF(J198="Cash savings",H198,IF(J198="Revenue",H198*'Score settings'!$B$55,"")))))</x:f>
      </x:c>
      <x:c r="L198" s="36"/>
      <x:c r="M198" s="39"/>
      <x:c r="N198" s="40"/>
      <x:c r="O198" s="36" t="str">
        <x:v>Must Do</x:v>
      </x:c>
      <x:c r="P198" s="36" t="str">
        <x:v>CI</x:v>
      </x:c>
      <x:c r="Q198" s="36" t="str">
        <x:v>Compliance</x:v>
      </x:c>
      <x:c r="R198" s="36" t="str">
        <x:v>NotAssessed</x:v>
      </x:c>
      <x:c r="S198" s="36" t="str"/>
      <x:c r="T198" s="36" t="str">
        <x:v>Common pot</x:v>
      </x:c>
      <x:c r="U198" s="41" t="n">
        <x:f>VLOOKUP("Priority|"&amp;O198,'Score settings'!$A$14:$C$43,2,FALSE)/'Score settings'!$B$4*'Score settings'!$C$4</x:f>
        <x:v>25</x:v>
      </x:c>
      <x:c r="V198" s="41" t="n">
        <x:f>VLOOKUP("Category|"&amp;P198,'Score settings'!$A$14:$C$43,2,FALSE)/'Score settings'!$B$5*'Score settings'!$C$5</x:f>
        <x:v>8</x:v>
      </x:c>
      <x:c r="W198" s="41" t="n">
        <x:f>VLOOKUP("Area|"&amp;Q198,'Score settings'!$A$14:$C$43,2,FALSE)/'Score settings'!$B$6*'Score settings'!$C$6</x:f>
        <x:v>15</x:v>
      </x:c>
      <x:c r="X198" s="41" t="n">
        <x:f>VLOOKUP("Benefits|"&amp;IF(AND(ISNUMBER(H198),H198&gt;0,ISNUMBER(G198),G198&gt;0),IF(H198/G198&gt;='Score settings'!$E$17,"3plus",IF(H198/G198&gt;='Score settings'!$E$16,"1.5to3",IF(H198/G198&gt;='Score settings'!$E$15,"0.5to1.5","positive"))),"None"),'Score settings'!$A$14:$C$43,2,FALSE)/'Score settings'!$B$7*'Score settings'!$C$7</x:f>
        <x:v>5</x:v>
      </x:c>
      <x:c r="Y198" s="41" t="n">
        <x:f>VLOOKUP("Waste|"&amp;R198,'Score settings'!$A$14:$C$43,2,FALSE)/'Score settings'!$B$8*'Score settings'!$C$8</x:f>
        <x:v>7</x:v>
      </x:c>
      <x:c r="Z198" s="41" t="n">
        <x:f>IF(B198="","",SUM(U198:Y198))</x:f>
        <x:v>60</x:v>
      </x:c>
      <x:c r="AA198" s="41" t="str">
        <x:f>IF(Z198="","Not scored",VLOOKUP(Z198,'Score settings'!$A$47:$C$50,2,TRUE))</x:f>
        <x:v>Strong</x:v>
      </x:c>
      <x:c r="AB198" s="41" t="n">
        <x:f>VLOOKUP("Priority|"&amp;O198,'Score settings'!$A$14:$C$43,3,FALSE)/'Score settings'!$B$4*'Score settings'!$D$4</x:f>
        <x:v>15</x:v>
      </x:c>
      <x:c r="AC198" s="41" t="n">
        <x:f>VLOOKUP("Category|"&amp;P198,'Score settings'!$A$14:$C$43,3,FALSE)/'Score settings'!$B$5*'Score settings'!$D$5</x:f>
        <x:v>4</x:v>
      </x:c>
      <x:c r="AD198" s="41" t="n">
        <x:f>VLOOKUP("Area|"&amp;Q198,'Score settings'!$A$14:$C$43,3,FALSE)/'Score settings'!$B$6*'Score settings'!$D$6</x:f>
        <x:v>10</x:v>
      </x:c>
      <x:c r="AE198" s="41" t="n">
        <x:f>VLOOKUP("Benefits|"&amp;IF(AND(ISNUMBER(K198),K198&gt;0,ISNUMBER(G198),G198&gt;0),IF(K198/G198&gt;='Score settings'!$E$17,"3plus",IF(K198/G198&gt;='Score settings'!$E$16,"1.5to3",IF(K198/G198&gt;='Score settings'!$E$15,"0.5to1.5","positive"))),"None"),'Score settings'!$A$14:$C$43,3,FALSE)/'Score settings'!$B$7*'Score settings'!$D$7</x:f>
        <x:v>0</x:v>
      </x:c>
      <x:c r="AF198" s="41" t="n">
        <x:f>VLOOKUP("Waste|"&amp;R198,'Score settings'!$A$14:$C$43,3,FALSE)/'Score settings'!$B$8*'Score settings'!$D$8</x:f>
        <x:v>0</x:v>
      </x:c>
      <x:c r="AG198" s="41" t="n">
        <x:f>(IF(AND(ISNUMBER(M198),M198&gt;0,ISNUMBER(G198),G198&gt;0),IF(M198/G198&gt;='Score settings'!$E$17,'Score settings'!$G$17,IF(M198/G198&gt;='Score settings'!$E$16,'Score settings'!$G$16,IF(M198/G198&gt;='Score settings'!$E$15,'Score settings'!$G$15,'Score settings'!$G$14))),0)/15*'Score settings'!$B$60+IFERROR(VLOOKUP(IF(ISNUMBER(N198),N198,IF(ISNUMBER(L198),L198,0)),'Score settings'!$E$22:$F$26,2,FALSE),0)/10*'Score settings'!$B$61)/'Score settings'!$B$9*'Score settings'!$D$9</x:f>
        <x:v>0</x:v>
      </x:c>
      <x:c r="AH198" s="41" t="n">
        <x:f>IF(B198="","",SUM(AB198:AG198))</x:f>
        <x:v>29</x:v>
      </x:c>
      <x:c r="AI198" s="41" t="str">
        <x:f>IF(NOT(ISNUMBER(AH198)),"Not scored",VLOOKUP(AH198,'Score settings'!$A$47:$C$50,3,TRUE))</x:f>
        <x:v>Discretionary</x:v>
      </x:c>
      <x:c r="AJ198" s="42" t="n">
        <x:f>IF(OR(NOT(ISNUMBER(AH198)),T198&lt;&gt;"Common pot"),"",COUNTIFS($T$4:$T$509,"Common pot",$AH$4:$AH$509,"&gt;"&amp;AH198)+1)</x:f>
        <x:v>195</x:v>
      </x:c>
      <x:c r="AK198" s="36" t="str">
        <x:f>IF(B198="","Name missing - not scored",IF(OR(NOT(ISNUMBER(G198)),G198&lt;=0),"Investment missing or zero - review",IF(0=1,"Permanent ID missing - reconcile",IF(AND(ISNUMBER(H198),H198/G198&gt;='Score settings'!$B$58,NOT(ISNUMBER(I198))),"Benefit units need review",IF(OR(R198="EXIT",R198="CHALLENGE"),"Waste decision requires scope resolution",IF("Name and organisation matched"&lt;&gt;"Name and organisation matched","Waste evidence match needs review","Provisional source score - confirm evidence"))))))</x:f>
        <x:v>Provisional source score - confirm evidence</x:v>
      </x:c>
      <x:c r="AL198" s="36"/>
      <x:c r="AM198" s="40"/>
      <x:c r="AN198" s="39"/>
      <x:c r="AO198" s="40"/>
      <x:c r="AP198" s="40"/>
    </x:row>
    <x:row r="199" ht="15" hidden="0" customHeight="1">
      <x:c r="A199" s="36" t="str">
        <x:v>Bu-204</x:v>
      </x:c>
      <x:c r="B199" s="37" t="str">
        <x:v>HPM - Continuous Improvement -REG</x:v>
      </x:c>
      <x:c r="C199" s="36" t="str">
        <x:v>BU Led</x:v>
      </x:c>
      <x:c r="D199" s="36" t="str">
        <x:v>Monitoring - HPM (MCH)</x:v>
      </x:c>
      <x:c r="E199" s="38" t="n">
        <x:v>0.05</x:v>
      </x:c>
      <x:c r="F199" s="39"/>
      <x:c r="G199" s="38" t="n">
        <x:f>IF(ISNUMBER(F199),F199,IF(E199="","",E199))</x:f>
        <x:v>0.05</x:v>
      </x:c>
      <x:c r="H199" s="38"/>
      <x:c r="I199" s="39"/>
      <x:c r="J199" s="36" t="str">
        <x:v>Risk exposure</x:v>
      </x:c>
      <x:c r="K199" s="38" t="str">
        <x:f>IF(ISNUMBER(I199),I199,IF(OR(NOT(ISNUMBER(H199)),NOT(ISNUMBER(G199)),G199&lt;=0),"",IF(H199/G199&gt;='Score settings'!$B$58,"",IF(J199="Cash savings",H199,IF(J199="Revenue",H199*'Score settings'!$B$55,"")))))</x:f>
      </x:c>
      <x:c r="L199" s="36"/>
      <x:c r="M199" s="39"/>
      <x:c r="N199" s="40"/>
      <x:c r="O199" s="36" t="str">
        <x:v>Must Do</x:v>
      </x:c>
      <x:c r="P199" s="36" t="str">
        <x:v>CI</x:v>
      </x:c>
      <x:c r="Q199" s="36" t="str">
        <x:v>Compliance</x:v>
      </x:c>
      <x:c r="R199" s="36" t="str">
        <x:v>NotAssessed</x:v>
      </x:c>
      <x:c r="S199" s="36" t="str"/>
      <x:c r="T199" s="36" t="str">
        <x:v>Common pot</x:v>
      </x:c>
      <x:c r="U199" s="41" t="n">
        <x:f>VLOOKUP("Priority|"&amp;O199,'Score settings'!$A$14:$C$43,2,FALSE)/'Score settings'!$B$4*'Score settings'!$C$4</x:f>
        <x:v>25</x:v>
      </x:c>
      <x:c r="V199" s="41" t="n">
        <x:f>VLOOKUP("Category|"&amp;P199,'Score settings'!$A$14:$C$43,2,FALSE)/'Score settings'!$B$5*'Score settings'!$C$5</x:f>
        <x:v>8</x:v>
      </x:c>
      <x:c r="W199" s="41" t="n">
        <x:f>VLOOKUP("Area|"&amp;Q199,'Score settings'!$A$14:$C$43,2,FALSE)/'Score settings'!$B$6*'Score settings'!$C$6</x:f>
        <x:v>15</x:v>
      </x:c>
      <x:c r="X199" s="41" t="n">
        <x:f>VLOOKUP("Benefits|"&amp;IF(AND(ISNUMBER(H199),H199&gt;0,ISNUMBER(G199),G199&gt;0),IF(H199/G199&gt;='Score settings'!$E$17,"3plus",IF(H199/G199&gt;='Score settings'!$E$16,"1.5to3",IF(H199/G199&gt;='Score settings'!$E$15,"0.5to1.5","positive"))),"None"),'Score settings'!$A$14:$C$43,2,FALSE)/'Score settings'!$B$7*'Score settings'!$C$7</x:f>
        <x:v>5</x:v>
      </x:c>
      <x:c r="Y199" s="41" t="n">
        <x:f>VLOOKUP("Waste|"&amp;R199,'Score settings'!$A$14:$C$43,2,FALSE)/'Score settings'!$B$8*'Score settings'!$C$8</x:f>
        <x:v>7</x:v>
      </x:c>
      <x:c r="Z199" s="41" t="n">
        <x:f>IF(B199="","",SUM(U199:Y199))</x:f>
        <x:v>60</x:v>
      </x:c>
      <x:c r="AA199" s="41" t="str">
        <x:f>IF(Z199="","Not scored",VLOOKUP(Z199,'Score settings'!$A$47:$C$50,2,TRUE))</x:f>
        <x:v>Strong</x:v>
      </x:c>
      <x:c r="AB199" s="41" t="n">
        <x:f>VLOOKUP("Priority|"&amp;O199,'Score settings'!$A$14:$C$43,3,FALSE)/'Score settings'!$B$4*'Score settings'!$D$4</x:f>
        <x:v>15</x:v>
      </x:c>
      <x:c r="AC199" s="41" t="n">
        <x:f>VLOOKUP("Category|"&amp;P199,'Score settings'!$A$14:$C$43,3,FALSE)/'Score settings'!$B$5*'Score settings'!$D$5</x:f>
        <x:v>4</x:v>
      </x:c>
      <x:c r="AD199" s="41" t="n">
        <x:f>VLOOKUP("Area|"&amp;Q199,'Score settings'!$A$14:$C$43,3,FALSE)/'Score settings'!$B$6*'Score settings'!$D$6</x:f>
        <x:v>10</x:v>
      </x:c>
      <x:c r="AE199" s="41" t="n">
        <x:f>VLOOKUP("Benefits|"&amp;IF(AND(ISNUMBER(K199),K199&gt;0,ISNUMBER(G199),G199&gt;0),IF(K199/G199&gt;='Score settings'!$E$17,"3plus",IF(K199/G199&gt;='Score settings'!$E$16,"1.5to3",IF(K199/G199&gt;='Score settings'!$E$15,"0.5to1.5","positive"))),"None"),'Score settings'!$A$14:$C$43,3,FALSE)/'Score settings'!$B$7*'Score settings'!$D$7</x:f>
        <x:v>0</x:v>
      </x:c>
      <x:c r="AF199" s="41" t="n">
        <x:f>VLOOKUP("Waste|"&amp;R199,'Score settings'!$A$14:$C$43,3,FALSE)/'Score settings'!$B$8*'Score settings'!$D$8</x:f>
        <x:v>0</x:v>
      </x:c>
      <x:c r="AG199" s="41" t="n">
        <x:f>(IF(AND(ISNUMBER(M199),M199&gt;0,ISNUMBER(G199),G199&gt;0),IF(M199/G199&gt;='Score settings'!$E$17,'Score settings'!$G$17,IF(M199/G199&gt;='Score settings'!$E$16,'Score settings'!$G$16,IF(M199/G199&gt;='Score settings'!$E$15,'Score settings'!$G$15,'Score settings'!$G$14))),0)/15*'Score settings'!$B$60+IFERROR(VLOOKUP(IF(ISNUMBER(N199),N199,IF(ISNUMBER(L199),L199,0)),'Score settings'!$E$22:$F$26,2,FALSE),0)/10*'Score settings'!$B$61)/'Score settings'!$B$9*'Score settings'!$D$9</x:f>
        <x:v>0</x:v>
      </x:c>
      <x:c r="AH199" s="41" t="n">
        <x:f>IF(B199="","",SUM(AB199:AG199))</x:f>
        <x:v>29</x:v>
      </x:c>
      <x:c r="AI199" s="41" t="str">
        <x:f>IF(NOT(ISNUMBER(AH199)),"Not scored",VLOOKUP(AH199,'Score settings'!$A$47:$C$50,3,TRUE))</x:f>
        <x:v>Discretionary</x:v>
      </x:c>
      <x:c r="AJ199" s="42" t="n">
        <x:f>IF(OR(NOT(ISNUMBER(AH199)),T199&lt;&gt;"Common pot"),"",COUNTIFS($T$4:$T$509,"Common pot",$AH$4:$AH$509,"&gt;"&amp;AH199)+1)</x:f>
        <x:v>195</x:v>
      </x:c>
      <x:c r="AK199" s="36" t="str">
        <x:f>IF(B199="","Name missing - not scored",IF(OR(NOT(ISNUMBER(G199)),G199&lt;=0),"Investment missing or zero - review",IF(0=1,"Permanent ID missing - reconcile",IF(AND(ISNUMBER(H199),H199/G199&gt;='Score settings'!$B$58,NOT(ISNUMBER(I199))),"Benefit units need review",IF(OR(R199="EXIT",R199="CHALLENGE"),"Waste decision requires scope resolution",IF("Name and organisation matched"&lt;&gt;"Name and organisation matched","Waste evidence match needs review","Provisional source score - confirm evidence"))))))</x:f>
        <x:v>Provisional source score - confirm evidence</x:v>
      </x:c>
      <x:c r="AL199" s="36"/>
      <x:c r="AM199" s="40"/>
      <x:c r="AN199" s="39"/>
      <x:c r="AO199" s="40"/>
      <x:c r="AP199" s="40"/>
    </x:row>
    <x:row r="200" ht="15" hidden="0" customHeight="1">
      <x:c r="A200" s="36" t="str">
        <x:v>Bu-205</x:v>
      </x:c>
      <x:c r="B200" s="37" t="str">
        <x:v>HPM - Continuous Improvement -OTH</x:v>
      </x:c>
      <x:c r="C200" s="36" t="str">
        <x:v>BU Led</x:v>
      </x:c>
      <x:c r="D200" s="36" t="str">
        <x:v>Monitoring - HPM (MCH)</x:v>
      </x:c>
      <x:c r="E200" s="38" t="n">
        <x:v>0.05</x:v>
      </x:c>
      <x:c r="F200" s="39"/>
      <x:c r="G200" s="38" t="n">
        <x:f>IF(ISNUMBER(F200),F200,IF(E200="","",E200))</x:f>
        <x:v>0.05</x:v>
      </x:c>
      <x:c r="H200" s="38"/>
      <x:c r="I200" s="39"/>
      <x:c r="J200" s="36" t="str">
        <x:v>Risk exposure</x:v>
      </x:c>
      <x:c r="K200" s="38" t="str">
        <x:f>IF(ISNUMBER(I200),I200,IF(OR(NOT(ISNUMBER(H200)),NOT(ISNUMBER(G200)),G200&lt;=0),"",IF(H200/G200&gt;='Score settings'!$B$58,"",IF(J200="Cash savings",H200,IF(J200="Revenue",H200*'Score settings'!$B$55,"")))))</x:f>
      </x:c>
      <x:c r="L200" s="36"/>
      <x:c r="M200" s="39"/>
      <x:c r="N200" s="40"/>
      <x:c r="O200" s="36" t="str">
        <x:v>Must Do</x:v>
      </x:c>
      <x:c r="P200" s="36" t="str">
        <x:v>CI</x:v>
      </x:c>
      <x:c r="Q200" s="36" t="str">
        <x:v>Compliance</x:v>
      </x:c>
      <x:c r="R200" s="36" t="str">
        <x:v>NotAssessed</x:v>
      </x:c>
      <x:c r="S200" s="36" t="str"/>
      <x:c r="T200" s="36" t="str">
        <x:v>Common pot</x:v>
      </x:c>
      <x:c r="U200" s="41" t="n">
        <x:f>VLOOKUP("Priority|"&amp;O200,'Score settings'!$A$14:$C$43,2,FALSE)/'Score settings'!$B$4*'Score settings'!$C$4</x:f>
        <x:v>25</x:v>
      </x:c>
      <x:c r="V200" s="41" t="n">
        <x:f>VLOOKUP("Category|"&amp;P200,'Score settings'!$A$14:$C$43,2,FALSE)/'Score settings'!$B$5*'Score settings'!$C$5</x:f>
        <x:v>8</x:v>
      </x:c>
      <x:c r="W200" s="41" t="n">
        <x:f>VLOOKUP("Area|"&amp;Q200,'Score settings'!$A$14:$C$43,2,FALSE)/'Score settings'!$B$6*'Score settings'!$C$6</x:f>
        <x:v>15</x:v>
      </x:c>
      <x:c r="X200" s="41" t="n">
        <x:f>VLOOKUP("Benefits|"&amp;IF(AND(ISNUMBER(H200),H200&gt;0,ISNUMBER(G200),G200&gt;0),IF(H200/G200&gt;='Score settings'!$E$17,"3plus",IF(H200/G200&gt;='Score settings'!$E$16,"1.5to3",IF(H200/G200&gt;='Score settings'!$E$15,"0.5to1.5","positive"))),"None"),'Score settings'!$A$14:$C$43,2,FALSE)/'Score settings'!$B$7*'Score settings'!$C$7</x:f>
        <x:v>5</x:v>
      </x:c>
      <x:c r="Y200" s="41" t="n">
        <x:f>VLOOKUP("Waste|"&amp;R200,'Score settings'!$A$14:$C$43,2,FALSE)/'Score settings'!$B$8*'Score settings'!$C$8</x:f>
        <x:v>7</x:v>
      </x:c>
      <x:c r="Z200" s="41" t="n">
        <x:f>IF(B200="","",SUM(U200:Y200))</x:f>
        <x:v>60</x:v>
      </x:c>
      <x:c r="AA200" s="41" t="str">
        <x:f>IF(Z200="","Not scored",VLOOKUP(Z200,'Score settings'!$A$47:$C$50,2,TRUE))</x:f>
        <x:v>Strong</x:v>
      </x:c>
      <x:c r="AB200" s="41" t="n">
        <x:f>VLOOKUP("Priority|"&amp;O200,'Score settings'!$A$14:$C$43,3,FALSE)/'Score settings'!$B$4*'Score settings'!$D$4</x:f>
        <x:v>15</x:v>
      </x:c>
      <x:c r="AC200" s="41" t="n">
        <x:f>VLOOKUP("Category|"&amp;P200,'Score settings'!$A$14:$C$43,3,FALSE)/'Score settings'!$B$5*'Score settings'!$D$5</x:f>
        <x:v>4</x:v>
      </x:c>
      <x:c r="AD200" s="41" t="n">
        <x:f>VLOOKUP("Area|"&amp;Q200,'Score settings'!$A$14:$C$43,3,FALSE)/'Score settings'!$B$6*'Score settings'!$D$6</x:f>
        <x:v>10</x:v>
      </x:c>
      <x:c r="AE200" s="41" t="n">
        <x:f>VLOOKUP("Benefits|"&amp;IF(AND(ISNUMBER(K200),K200&gt;0,ISNUMBER(G200),G200&gt;0),IF(K200/G200&gt;='Score settings'!$E$17,"3plus",IF(K200/G200&gt;='Score settings'!$E$16,"1.5to3",IF(K200/G200&gt;='Score settings'!$E$15,"0.5to1.5","positive"))),"None"),'Score settings'!$A$14:$C$43,3,FALSE)/'Score settings'!$B$7*'Score settings'!$D$7</x:f>
        <x:v>0</x:v>
      </x:c>
      <x:c r="AF200" s="41" t="n">
        <x:f>VLOOKUP("Waste|"&amp;R200,'Score settings'!$A$14:$C$43,3,FALSE)/'Score settings'!$B$8*'Score settings'!$D$8</x:f>
        <x:v>0</x:v>
      </x:c>
      <x:c r="AG200" s="41" t="n">
        <x:f>(IF(AND(ISNUMBER(M200),M200&gt;0,ISNUMBER(G200),G200&gt;0),IF(M200/G200&gt;='Score settings'!$E$17,'Score settings'!$G$17,IF(M200/G200&gt;='Score settings'!$E$16,'Score settings'!$G$16,IF(M200/G200&gt;='Score settings'!$E$15,'Score settings'!$G$15,'Score settings'!$G$14))),0)/15*'Score settings'!$B$60+IFERROR(VLOOKUP(IF(ISNUMBER(N200),N200,IF(ISNUMBER(L200),L200,0)),'Score settings'!$E$22:$F$26,2,FALSE),0)/10*'Score settings'!$B$61)/'Score settings'!$B$9*'Score settings'!$D$9</x:f>
        <x:v>0</x:v>
      </x:c>
      <x:c r="AH200" s="41" t="n">
        <x:f>IF(B200="","",SUM(AB200:AG200))</x:f>
        <x:v>29</x:v>
      </x:c>
      <x:c r="AI200" s="41" t="str">
        <x:f>IF(NOT(ISNUMBER(AH200)),"Not scored",VLOOKUP(AH200,'Score settings'!$A$47:$C$50,3,TRUE))</x:f>
        <x:v>Discretionary</x:v>
      </x:c>
      <x:c r="AJ200" s="42" t="n">
        <x:f>IF(OR(NOT(ISNUMBER(AH200)),T200&lt;&gt;"Common pot"),"",COUNTIFS($T$4:$T$509,"Common pot",$AH$4:$AH$509,"&gt;"&amp;AH200)+1)</x:f>
        <x:v>195</x:v>
      </x:c>
      <x:c r="AK200" s="36" t="str">
        <x:f>IF(B200="","Name missing - not scored",IF(OR(NOT(ISNUMBER(G200)),G200&lt;=0),"Investment missing or zero - review",IF(0=1,"Permanent ID missing - reconcile",IF(AND(ISNUMBER(H200),H200/G200&gt;='Score settings'!$B$58,NOT(ISNUMBER(I200))),"Benefit units need review",IF(OR(R200="EXIT",R200="CHALLENGE"),"Waste decision requires scope resolution",IF("Name and organisation matched"&lt;&gt;"Name and organisation matched","Waste evidence match needs review","Provisional source score - confirm evidence"))))))</x:f>
        <x:v>Provisional source score - confirm evidence</x:v>
      </x:c>
      <x:c r="AL200" s="36"/>
      <x:c r="AM200" s="40"/>
      <x:c r="AN200" s="39"/>
      <x:c r="AO200" s="40"/>
      <x:c r="AP200" s="40"/>
    </x:row>
    <x:row r="201" ht="15" hidden="0" customHeight="1">
      <x:c r="A201" s="36" t="str">
        <x:v>Bu-206</x:v>
      </x:c>
      <x:c r="B201" s="37" t="str">
        <x:v>Manufacturing efficiency – I-care improvements</x:v>
      </x:c>
      <x:c r="C201" s="36" t="str">
        <x:v>BU Led</x:v>
      </x:c>
      <x:c r="D201" s="36" t="str">
        <x:v>Monitoring - HPM (MCH)</x:v>
      </x:c>
      <x:c r="E201" s="38" t="n">
        <x:v>0</x:v>
      </x:c>
      <x:c r="F201" s="39"/>
      <x:c r="G201" s="38" t="str">
        <x:f>IF(ISNUMBER(F201),F201,IF(E201="","",E201))</x:f>
      </x:c>
      <x:c r="H201" s="38"/>
      <x:c r="I201" s="39"/>
      <x:c r="J201" s="36" t="str">
        <x:v>Cash savings</x:v>
      </x:c>
      <x:c r="K201" s="38" t="str">
        <x:f>IF(ISNUMBER(I201),I201,IF(OR(NOT(ISNUMBER(H201)),NOT(ISNUMBER(G201)),G201&lt;=0),"",IF(H201/G201&gt;='Score settings'!$B$58,"",IF(J201="Cash savings",H201,IF(J201="Revenue",H201*'Score settings'!$B$55,"")))))</x:f>
      </x:c>
      <x:c r="L201" s="36"/>
      <x:c r="M201" s="39"/>
      <x:c r="N201" s="40"/>
      <x:c r="O201" s="36" t="str">
        <x:v>Depri</x:v>
      </x:c>
      <x:c r="P201" s="36" t="str">
        <x:v>NewFeat</x:v>
      </x:c>
      <x:c r="Q201" s="36" t="str">
        <x:v>Productivity</x:v>
      </x:c>
      <x:c r="R201" s="36" t="str">
        <x:v>NotAssessed</x:v>
      </x:c>
      <x:c r="S201" s="36" t="str"/>
      <x:c r="T201" s="36" t="str">
        <x:v>Common pot</x:v>
      </x:c>
      <x:c r="U201" s="41" t="n">
        <x:f>VLOOKUP("Priority|"&amp;O201,'Score settings'!$A$14:$C$43,2,FALSE)/'Score settings'!$B$4*'Score settings'!$C$4</x:f>
        <x:v>5</x:v>
      </x:c>
      <x:c r="V201" s="41" t="n">
        <x:f>VLOOKUP("Category|"&amp;P201,'Score settings'!$A$14:$C$43,2,FALSE)/'Score settings'!$B$5*'Score settings'!$C$5</x:f>
        <x:v>6</x:v>
      </x:c>
      <x:c r="W201" s="41" t="n">
        <x:f>VLOOKUP("Area|"&amp;Q201,'Score settings'!$A$14:$C$43,2,FALSE)/'Score settings'!$B$6*'Score settings'!$C$6</x:f>
        <x:v>10</x:v>
      </x:c>
      <x:c r="X201" s="41" t="n">
        <x:f>VLOOKUP("Benefits|"&amp;IF(AND(ISNUMBER(H201),H201&gt;0,ISNUMBER(G201),G201&gt;0),IF(H201/G201&gt;='Score settings'!$E$17,"3plus",IF(H201/G201&gt;='Score settings'!$E$16,"1.5to3",IF(H201/G201&gt;='Score settings'!$E$15,"0.5to1.5","positive"))),"None"),'Score settings'!$A$14:$C$43,2,FALSE)/'Score settings'!$B$7*'Score settings'!$C$7</x:f>
        <x:v>5</x:v>
      </x:c>
      <x:c r="Y201" s="41" t="n">
        <x:f>VLOOKUP("Waste|"&amp;R201,'Score settings'!$A$14:$C$43,2,FALSE)/'Score settings'!$B$8*'Score settings'!$C$8</x:f>
        <x:v>7</x:v>
      </x:c>
      <x:c r="Z201" s="41" t="n">
        <x:f>IF(B201="","",SUM(U201:Y201))</x:f>
        <x:v>33</x:v>
      </x:c>
      <x:c r="AA201" s="41" t="str">
        <x:f>IF(Z201="","Not scored",VLOOKUP(Z201,'Score settings'!$A$47:$C$50,2,TRUE))</x:f>
        <x:v>Discretionary</x:v>
      </x:c>
      <x:c r="AB201" s="41" t="n">
        <x:f>VLOOKUP("Priority|"&amp;O201,'Score settings'!$A$14:$C$43,3,FALSE)/'Score settings'!$B$4*'Score settings'!$D$4</x:f>
        <x:v>3</x:v>
      </x:c>
      <x:c r="AC201" s="41" t="n">
        <x:f>VLOOKUP("Category|"&amp;P201,'Score settings'!$A$14:$C$43,3,FALSE)/'Score settings'!$B$5*'Score settings'!$D$5</x:f>
        <x:v>3</x:v>
      </x:c>
      <x:c r="AD201" s="41" t="n">
        <x:f>VLOOKUP("Area|"&amp;Q201,'Score settings'!$A$14:$C$43,3,FALSE)/'Score settings'!$B$6*'Score settings'!$D$6</x:f>
        <x:v>6.666666666666666</x:v>
      </x:c>
      <x:c r="AE201" s="41" t="n">
        <x:f>VLOOKUP("Benefits|"&amp;IF(AND(ISNUMBER(K201),K201&gt;0,ISNUMBER(G201),G201&gt;0),IF(K201/G201&gt;='Score settings'!$E$17,"3plus",IF(K201/G201&gt;='Score settings'!$E$16,"1.5to3",IF(K201/G201&gt;='Score settings'!$E$15,"0.5to1.5","positive"))),"None"),'Score settings'!$A$14:$C$43,3,FALSE)/'Score settings'!$B$7*'Score settings'!$D$7</x:f>
        <x:v>0</x:v>
      </x:c>
      <x:c r="AF201" s="41" t="n">
        <x:f>VLOOKUP("Waste|"&amp;R201,'Score settings'!$A$14:$C$43,3,FALSE)/'Score settings'!$B$8*'Score settings'!$D$8</x:f>
        <x:v>0</x:v>
      </x:c>
      <x:c r="AG201" s="41" t="n">
        <x:f>(IF(AND(ISNUMBER(M201),M201&gt;0,ISNUMBER(G201),G201&gt;0),IF(M201/G201&gt;='Score settings'!$E$17,'Score settings'!$G$17,IF(M201/G201&gt;='Score settings'!$E$16,'Score settings'!$G$16,IF(M201/G201&gt;='Score settings'!$E$15,'Score settings'!$G$15,'Score settings'!$G$14))),0)/15*'Score settings'!$B$60+IFERROR(VLOOKUP(IF(ISNUMBER(N201),N201,IF(ISNUMBER(L201),L201,0)),'Score settings'!$E$22:$F$26,2,FALSE),0)/10*'Score settings'!$B$61)/'Score settings'!$B$9*'Score settings'!$D$9</x:f>
        <x:v>0</x:v>
      </x:c>
      <x:c r="AH201" s="41" t="n">
        <x:f>IF(B201="","",SUM(AB201:AG201))</x:f>
        <x:v>12.666666666666666</x:v>
      </x:c>
      <x:c r="AI201" s="41" t="str">
        <x:f>IF(NOT(ISNUMBER(AH201)),"Not scored",VLOOKUP(AH201,'Score settings'!$A$47:$C$50,3,TRUE))</x:f>
        <x:v>Weak</x:v>
      </x:c>
      <x:c r="AJ201" s="42" t="n">
        <x:f>IF(OR(NOT(ISNUMBER(AH201)),T201&lt;&gt;"Common pot"),"",COUNTIFS($T$4:$T$509,"Common pot",$AH$4:$AH$509,"&gt;"&amp;AH201)+1)</x:f>
        <x:v>374</x:v>
      </x:c>
      <x:c r="AK201" s="36" t="str">
        <x:f>IF(B201="","Name missing - not scored",IF(OR(NOT(ISNUMBER(G201)),G201&lt;=0),"Investment missing or zero - review",IF(0=1,"Permanent ID missing - reconcile",IF(AND(ISNUMBER(H201),H201/G201&gt;='Score settings'!$B$58,NOT(ISNUMBER(I201))),"Benefit units need review",IF(OR(R201="EXIT",R201="CHALLENGE"),"Waste decision requires scope resolution",IF("Name and organisation matched"&lt;&gt;"Name and organisation matched","Waste evidence match needs review","Provisional source score - confirm evidence"))))))</x:f>
        <x:v>Investment missing or zero - review</x:v>
      </x:c>
      <x:c r="AL201" s="36"/>
      <x:c r="AM201" s="40"/>
      <x:c r="AN201" s="39"/>
      <x:c r="AO201" s="40"/>
      <x:c r="AP201" s="40"/>
    </x:row>
    <x:row r="202" ht="15" hidden="0" customHeight="1">
      <x:c r="A202" s="36" t="str">
        <x:v>Bu-207</x:v>
      </x:c>
      <x:c r="B202" s="37" t="str">
        <x:v>Fidelity (Fulcrum/RDC NAM/RDC EU/FF)</x:v>
      </x:c>
      <x:c r="C202" s="36" t="str">
        <x:v>BU Led</x:v>
      </x:c>
      <x:c r="D202" s="36" t="str">
        <x:v>Monitoring - HPM (MCH)</x:v>
      </x:c>
      <x:c r="E202" s="38" t="n">
        <x:v>1</x:v>
      </x:c>
      <x:c r="F202" s="39"/>
      <x:c r="G202" s="38" t="n">
        <x:f>IF(ISNUMBER(F202),F202,IF(E202="","",E202))</x:f>
        <x:v>1</x:v>
      </x:c>
      <x:c r="H202" s="38"/>
      <x:c r="I202" s="39"/>
      <x:c r="J202" s="36" t="str">
        <x:v>Cash savings</x:v>
      </x:c>
      <x:c r="K202" s="38" t="str">
        <x:f>IF(ISNUMBER(I202),I202,IF(OR(NOT(ISNUMBER(H202)),NOT(ISNUMBER(G202)),G202&lt;=0),"",IF(H202/G202&gt;='Score settings'!$B$58,"",IF(J202="Cash savings",H202,IF(J202="Revenue",H202*'Score settings'!$B$55,"")))))</x:f>
      </x:c>
      <x:c r="L202" s="36"/>
      <x:c r="M202" s="39"/>
      <x:c r="N202" s="40"/>
      <x:c r="O202" s="36" t="str">
        <x:v>Must Do</x:v>
      </x:c>
      <x:c r="P202" s="36" t="str">
        <x:v>NewFeat</x:v>
      </x:c>
      <x:c r="Q202" s="36" t="str">
        <x:v>Productivity</x:v>
      </x:c>
      <x:c r="R202" s="36" t="str">
        <x:v>NotAssessed</x:v>
      </x:c>
      <x:c r="S202" s="36" t="str"/>
      <x:c r="T202" s="36" t="str">
        <x:v>Common pot</x:v>
      </x:c>
      <x:c r="U202" s="41" t="n">
        <x:f>VLOOKUP("Priority|"&amp;O202,'Score settings'!$A$14:$C$43,2,FALSE)/'Score settings'!$B$4*'Score settings'!$C$4</x:f>
        <x:v>25</x:v>
      </x:c>
      <x:c r="V202" s="41" t="n">
        <x:f>VLOOKUP("Category|"&amp;P202,'Score settings'!$A$14:$C$43,2,FALSE)/'Score settings'!$B$5*'Score settings'!$C$5</x:f>
        <x:v>6</x:v>
      </x:c>
      <x:c r="W202" s="41" t="n">
        <x:f>VLOOKUP("Area|"&amp;Q202,'Score settings'!$A$14:$C$43,2,FALSE)/'Score settings'!$B$6*'Score settings'!$C$6</x:f>
        <x:v>10</x:v>
      </x:c>
      <x:c r="X202" s="41" t="n">
        <x:f>VLOOKUP("Benefits|"&amp;IF(AND(ISNUMBER(H202),H202&gt;0,ISNUMBER(G202),G202&gt;0),IF(H202/G202&gt;='Score settings'!$E$17,"3plus",IF(H202/G202&gt;='Score settings'!$E$16,"1.5to3",IF(H202/G202&gt;='Score settings'!$E$15,"0.5to1.5","positive"))),"None"),'Score settings'!$A$14:$C$43,2,FALSE)/'Score settings'!$B$7*'Score settings'!$C$7</x:f>
        <x:v>5</x:v>
      </x:c>
      <x:c r="Y202" s="41" t="n">
        <x:f>VLOOKUP("Waste|"&amp;R202,'Score settings'!$A$14:$C$43,2,FALSE)/'Score settings'!$B$8*'Score settings'!$C$8</x:f>
        <x:v>7</x:v>
      </x:c>
      <x:c r="Z202" s="41" t="n">
        <x:f>IF(B202="","",SUM(U202:Y202))</x:f>
        <x:v>53</x:v>
      </x:c>
      <x:c r="AA202" s="41" t="str">
        <x:f>IF(Z202="","Not scored",VLOOKUP(Z202,'Score settings'!$A$47:$C$50,2,TRUE))</x:f>
        <x:v>Strong</x:v>
      </x:c>
      <x:c r="AB202" s="41" t="n">
        <x:f>VLOOKUP("Priority|"&amp;O202,'Score settings'!$A$14:$C$43,3,FALSE)/'Score settings'!$B$4*'Score settings'!$D$4</x:f>
        <x:v>15</x:v>
      </x:c>
      <x:c r="AC202" s="41" t="n">
        <x:f>VLOOKUP("Category|"&amp;P202,'Score settings'!$A$14:$C$43,3,FALSE)/'Score settings'!$B$5*'Score settings'!$D$5</x:f>
        <x:v>3</x:v>
      </x:c>
      <x:c r="AD202" s="41" t="n">
        <x:f>VLOOKUP("Area|"&amp;Q202,'Score settings'!$A$14:$C$43,3,FALSE)/'Score settings'!$B$6*'Score settings'!$D$6</x:f>
        <x:v>6.666666666666666</x:v>
      </x:c>
      <x:c r="AE202" s="41" t="n">
        <x:f>VLOOKUP("Benefits|"&amp;IF(AND(ISNUMBER(K202),K202&gt;0,ISNUMBER(G202),G202&gt;0),IF(K202/G202&gt;='Score settings'!$E$17,"3plus",IF(K202/G202&gt;='Score settings'!$E$16,"1.5to3",IF(K202/G202&gt;='Score settings'!$E$15,"0.5to1.5","positive"))),"None"),'Score settings'!$A$14:$C$43,3,FALSE)/'Score settings'!$B$7*'Score settings'!$D$7</x:f>
        <x:v>0</x:v>
      </x:c>
      <x:c r="AF202" s="41" t="n">
        <x:f>VLOOKUP("Waste|"&amp;R202,'Score settings'!$A$14:$C$43,3,FALSE)/'Score settings'!$B$8*'Score settings'!$D$8</x:f>
        <x:v>0</x:v>
      </x:c>
      <x:c r="AG202" s="41" t="n">
        <x:f>(IF(AND(ISNUMBER(M202),M202&gt;0,ISNUMBER(G202),G202&gt;0),IF(M202/G202&gt;='Score settings'!$E$17,'Score settings'!$G$17,IF(M202/G202&gt;='Score settings'!$E$16,'Score settings'!$G$16,IF(M202/G202&gt;='Score settings'!$E$15,'Score settings'!$G$15,'Score settings'!$G$14))),0)/15*'Score settings'!$B$60+IFERROR(VLOOKUP(IF(ISNUMBER(N202),N202,IF(ISNUMBER(L202),L202,0)),'Score settings'!$E$22:$F$26,2,FALSE),0)/10*'Score settings'!$B$61)/'Score settings'!$B$9*'Score settings'!$D$9</x:f>
        <x:v>0</x:v>
      </x:c>
      <x:c r="AH202" s="41" t="n">
        <x:f>IF(B202="","",SUM(AB202:AG202))</x:f>
        <x:v>24.666666666666664</x:v>
      </x:c>
      <x:c r="AI202" s="41" t="str">
        <x:f>IF(NOT(ISNUMBER(AH202)),"Not scored",VLOOKUP(AH202,'Score settings'!$A$47:$C$50,3,TRUE))</x:f>
        <x:v>Weak</x:v>
      </x:c>
      <x:c r="AJ202" s="42" t="n">
        <x:f>IF(OR(NOT(ISNUMBER(AH202)),T202&lt;&gt;"Common pot"),"",COUNTIFS($T$4:$T$509,"Common pot",$AH$4:$AH$509,"&gt;"&amp;AH202)+1)</x:f>
        <x:v>280</x:v>
      </x:c>
      <x:c r="AK202" s="36" t="str">
        <x:f>IF(B202="","Name missing - not scored",IF(OR(NOT(ISNUMBER(G202)),G202&lt;=0),"Investment missing or zero - review",IF(0=1,"Permanent ID missing - reconcile",IF(AND(ISNUMBER(H202),H202/G202&gt;='Score settings'!$B$58,NOT(ISNUMBER(I202))),"Benefit units need review",IF(OR(R202="EXIT",R202="CHALLENGE"),"Waste decision requires scope resolution",IF("Name and organisation matched"&lt;&gt;"Name and organisation matched","Waste evidence match needs review","Provisional source score - confirm evidence"))))))</x:f>
        <x:v>Provisional source score - confirm evidence</x:v>
      </x:c>
      <x:c r="AL202" s="36"/>
      <x:c r="AM202" s="40"/>
      <x:c r="AN202" s="39"/>
      <x:c r="AO202" s="40"/>
      <x:c r="AP202" s="40"/>
    </x:row>
    <x:row r="203" ht="15" hidden="0" customHeight="1">
      <x:c r="A203" s="36" t="str">
        <x:v>Bu-208</x:v>
      </x:c>
      <x:c r="B203" s="37" t="str">
        <x:v>DUPLICATE - IWD capabilities improvements and cost reductions</x:v>
      </x:c>
      <x:c r="C203" s="36" t="str">
        <x:v>BU Led</x:v>
      </x:c>
      <x:c r="D203" s="36" t="str">
        <x:v>Monitoring - HPM (MCH)</x:v>
      </x:c>
      <x:c r="E203" s="38" t="n">
        <x:v>0</x:v>
      </x:c>
      <x:c r="F203" s="39"/>
      <x:c r="G203" s="38" t="str">
        <x:f>IF(ISNUMBER(F203),F203,IF(E203="","",E203))</x:f>
      </x:c>
      <x:c r="H203" s="38"/>
      <x:c r="I203" s="39"/>
      <x:c r="J203" s="36" t="str">
        <x:v>Cash savings</x:v>
      </x:c>
      <x:c r="K203" s="38" t="str">
        <x:f>IF(ISNUMBER(I203),I203,IF(OR(NOT(ISNUMBER(H203)),NOT(ISNUMBER(G203)),G203&lt;=0),"",IF(H203/G203&gt;='Score settings'!$B$58,"",IF(J203="Cash savings",H203,IF(J203="Revenue",H203*'Score settings'!$B$55,"")))))</x:f>
      </x:c>
      <x:c r="L203" s="36"/>
      <x:c r="M203" s="39"/>
      <x:c r="N203" s="40"/>
      <x:c r="O203" s="36" t="str">
        <x:v>Depri</x:v>
      </x:c>
      <x:c r="P203" s="36" t="str">
        <x:v>NewFeat</x:v>
      </x:c>
      <x:c r="Q203" s="36" t="str">
        <x:v>Productivity</x:v>
      </x:c>
      <x:c r="R203" s="36" t="str">
        <x:v>NotAssessed</x:v>
      </x:c>
      <x:c r="S203" s="36" t="str"/>
      <x:c r="T203" s="36" t="str">
        <x:v>Common pot</x:v>
      </x:c>
      <x:c r="U203" s="41" t="n">
        <x:f>VLOOKUP("Priority|"&amp;O203,'Score settings'!$A$14:$C$43,2,FALSE)/'Score settings'!$B$4*'Score settings'!$C$4</x:f>
        <x:v>5</x:v>
      </x:c>
      <x:c r="V203" s="41" t="n">
        <x:f>VLOOKUP("Category|"&amp;P203,'Score settings'!$A$14:$C$43,2,FALSE)/'Score settings'!$B$5*'Score settings'!$C$5</x:f>
        <x:v>6</x:v>
      </x:c>
      <x:c r="W203" s="41" t="n">
        <x:f>VLOOKUP("Area|"&amp;Q203,'Score settings'!$A$14:$C$43,2,FALSE)/'Score settings'!$B$6*'Score settings'!$C$6</x:f>
        <x:v>10</x:v>
      </x:c>
      <x:c r="X203" s="41" t="n">
        <x:f>VLOOKUP("Benefits|"&amp;IF(AND(ISNUMBER(H203),H203&gt;0,ISNUMBER(G203),G203&gt;0),IF(H203/G203&gt;='Score settings'!$E$17,"3plus",IF(H203/G203&gt;='Score settings'!$E$16,"1.5to3",IF(H203/G203&gt;='Score settings'!$E$15,"0.5to1.5","positive"))),"None"),'Score settings'!$A$14:$C$43,2,FALSE)/'Score settings'!$B$7*'Score settings'!$C$7</x:f>
        <x:v>5</x:v>
      </x:c>
      <x:c r="Y203" s="41" t="n">
        <x:f>VLOOKUP("Waste|"&amp;R203,'Score settings'!$A$14:$C$43,2,FALSE)/'Score settings'!$B$8*'Score settings'!$C$8</x:f>
        <x:v>7</x:v>
      </x:c>
      <x:c r="Z203" s="41" t="n">
        <x:f>IF(B203="","",SUM(U203:Y203))</x:f>
        <x:v>33</x:v>
      </x:c>
      <x:c r="AA203" s="41" t="str">
        <x:f>IF(Z203="","Not scored",VLOOKUP(Z203,'Score settings'!$A$47:$C$50,2,TRUE))</x:f>
        <x:v>Discretionary</x:v>
      </x:c>
      <x:c r="AB203" s="41" t="n">
        <x:f>VLOOKUP("Priority|"&amp;O203,'Score settings'!$A$14:$C$43,3,FALSE)/'Score settings'!$B$4*'Score settings'!$D$4</x:f>
        <x:v>3</x:v>
      </x:c>
      <x:c r="AC203" s="41" t="n">
        <x:f>VLOOKUP("Category|"&amp;P203,'Score settings'!$A$14:$C$43,3,FALSE)/'Score settings'!$B$5*'Score settings'!$D$5</x:f>
        <x:v>3</x:v>
      </x:c>
      <x:c r="AD203" s="41" t="n">
        <x:f>VLOOKUP("Area|"&amp;Q203,'Score settings'!$A$14:$C$43,3,FALSE)/'Score settings'!$B$6*'Score settings'!$D$6</x:f>
        <x:v>6.666666666666666</x:v>
      </x:c>
      <x:c r="AE203" s="41" t="n">
        <x:f>VLOOKUP("Benefits|"&amp;IF(AND(ISNUMBER(K203),K203&gt;0,ISNUMBER(G203),G203&gt;0),IF(K203/G203&gt;='Score settings'!$E$17,"3plus",IF(K203/G203&gt;='Score settings'!$E$16,"1.5to3",IF(K203/G203&gt;='Score settings'!$E$15,"0.5to1.5","positive"))),"None"),'Score settings'!$A$14:$C$43,3,FALSE)/'Score settings'!$B$7*'Score settings'!$D$7</x:f>
        <x:v>0</x:v>
      </x:c>
      <x:c r="AF203" s="41" t="n">
        <x:f>VLOOKUP("Waste|"&amp;R203,'Score settings'!$A$14:$C$43,3,FALSE)/'Score settings'!$B$8*'Score settings'!$D$8</x:f>
        <x:v>0</x:v>
      </x:c>
      <x:c r="AG203" s="41" t="n">
        <x:f>(IF(AND(ISNUMBER(M203),M203&gt;0,ISNUMBER(G203),G203&gt;0),IF(M203/G203&gt;='Score settings'!$E$17,'Score settings'!$G$17,IF(M203/G203&gt;='Score settings'!$E$16,'Score settings'!$G$16,IF(M203/G203&gt;='Score settings'!$E$15,'Score settings'!$G$15,'Score settings'!$G$14))),0)/15*'Score settings'!$B$60+IFERROR(VLOOKUP(IF(ISNUMBER(N203),N203,IF(ISNUMBER(L203),L203,0)),'Score settings'!$E$22:$F$26,2,FALSE),0)/10*'Score settings'!$B$61)/'Score settings'!$B$9*'Score settings'!$D$9</x:f>
        <x:v>0</x:v>
      </x:c>
      <x:c r="AH203" s="41" t="n">
        <x:f>IF(B203="","",SUM(AB203:AG203))</x:f>
        <x:v>12.666666666666666</x:v>
      </x:c>
      <x:c r="AI203" s="41" t="str">
        <x:f>IF(NOT(ISNUMBER(AH203)),"Not scored",VLOOKUP(AH203,'Score settings'!$A$47:$C$50,3,TRUE))</x:f>
        <x:v>Weak</x:v>
      </x:c>
      <x:c r="AJ203" s="42" t="n">
        <x:f>IF(OR(NOT(ISNUMBER(AH203)),T203&lt;&gt;"Common pot"),"",COUNTIFS($T$4:$T$509,"Common pot",$AH$4:$AH$509,"&gt;"&amp;AH203)+1)</x:f>
        <x:v>374</x:v>
      </x:c>
      <x:c r="AK203" s="36" t="str">
        <x:f>IF(B203="","Name missing - not scored",IF(OR(NOT(ISNUMBER(G203)),G203&lt;=0),"Investment missing or zero - review",IF(0=1,"Permanent ID missing - reconcile",IF(AND(ISNUMBER(H203),H203/G203&gt;='Score settings'!$B$58,NOT(ISNUMBER(I203))),"Benefit units need review",IF(OR(R203="EXIT",R203="CHALLENGE"),"Waste decision requires scope resolution",IF("No exact waste match"&lt;&gt;"Name and organisation matched","Waste evidence match needs review","Provisional source score - confirm evidence"))))))</x:f>
        <x:v>Investment missing or zero - review</x:v>
      </x:c>
      <x:c r="AL203" s="36"/>
      <x:c r="AM203" s="40"/>
      <x:c r="AN203" s="39"/>
      <x:c r="AO203" s="40"/>
      <x:c r="AP203" s="40"/>
    </x:row>
    <x:row r="204" ht="15" hidden="0" customHeight="1">
      <x:c r="A204" s="36" t="str">
        <x:v>Bu-209</x:v>
      </x:c>
      <x:c r="B204" s="37" t="str">
        <x:v>DUPLICATE - Circular Lifecycle Solutions and Spare parts delivery</x:v>
      </x:c>
      <x:c r="C204" s="36" t="str">
        <x:v>BU Led</x:v>
      </x:c>
      <x:c r="D204" s="36" t="str">
        <x:v>Monitoring - HPM (MCH)</x:v>
      </x:c>
      <x:c r="E204" s="38" t="n">
        <x:v>0</x:v>
      </x:c>
      <x:c r="F204" s="39"/>
      <x:c r="G204" s="38" t="str">
        <x:f>IF(ISNUMBER(F204),F204,IF(E204="","",E204))</x:f>
      </x:c>
      <x:c r="H204" s="38"/>
      <x:c r="I204" s="39"/>
      <x:c r="J204" s="36" t="str">
        <x:v>Cash savings</x:v>
      </x:c>
      <x:c r="K204" s="38" t="str">
        <x:f>IF(ISNUMBER(I204),I204,IF(OR(NOT(ISNUMBER(H204)),NOT(ISNUMBER(G204)),G204&lt;=0),"",IF(H204/G204&gt;='Score settings'!$B$58,"",IF(J204="Cash savings",H204,IF(J204="Revenue",H204*'Score settings'!$B$55,"")))))</x:f>
      </x:c>
      <x:c r="L204" s="36"/>
      <x:c r="M204" s="39"/>
      <x:c r="N204" s="40"/>
      <x:c r="O204" s="36" t="str">
        <x:v>Depri</x:v>
      </x:c>
      <x:c r="P204" s="36" t="str">
        <x:v>NewFeat</x:v>
      </x:c>
      <x:c r="Q204" s="36" t="str">
        <x:v>Productivity</x:v>
      </x:c>
      <x:c r="R204" s="36" t="str">
        <x:v>NotAssessed</x:v>
      </x:c>
      <x:c r="S204" s="36" t="str"/>
      <x:c r="T204" s="36" t="str">
        <x:v>Common pot</x:v>
      </x:c>
      <x:c r="U204" s="41" t="n">
        <x:f>VLOOKUP("Priority|"&amp;O204,'Score settings'!$A$14:$C$43,2,FALSE)/'Score settings'!$B$4*'Score settings'!$C$4</x:f>
        <x:v>5</x:v>
      </x:c>
      <x:c r="V204" s="41" t="n">
        <x:f>VLOOKUP("Category|"&amp;P204,'Score settings'!$A$14:$C$43,2,FALSE)/'Score settings'!$B$5*'Score settings'!$C$5</x:f>
        <x:v>6</x:v>
      </x:c>
      <x:c r="W204" s="41" t="n">
        <x:f>VLOOKUP("Area|"&amp;Q204,'Score settings'!$A$14:$C$43,2,FALSE)/'Score settings'!$B$6*'Score settings'!$C$6</x:f>
        <x:v>10</x:v>
      </x:c>
      <x:c r="X204" s="41" t="n">
        <x:f>VLOOKUP("Benefits|"&amp;IF(AND(ISNUMBER(H204),H204&gt;0,ISNUMBER(G204),G204&gt;0),IF(H204/G204&gt;='Score settings'!$E$17,"3plus",IF(H204/G204&gt;='Score settings'!$E$16,"1.5to3",IF(H204/G204&gt;='Score settings'!$E$15,"0.5to1.5","positive"))),"None"),'Score settings'!$A$14:$C$43,2,FALSE)/'Score settings'!$B$7*'Score settings'!$C$7</x:f>
        <x:v>5</x:v>
      </x:c>
      <x:c r="Y204" s="41" t="n">
        <x:f>VLOOKUP("Waste|"&amp;R204,'Score settings'!$A$14:$C$43,2,FALSE)/'Score settings'!$B$8*'Score settings'!$C$8</x:f>
        <x:v>7</x:v>
      </x:c>
      <x:c r="Z204" s="41" t="n">
        <x:f>IF(B204="","",SUM(U204:Y204))</x:f>
        <x:v>33</x:v>
      </x:c>
      <x:c r="AA204" s="41" t="str">
        <x:f>IF(Z204="","Not scored",VLOOKUP(Z204,'Score settings'!$A$47:$C$50,2,TRUE))</x:f>
        <x:v>Discretionary</x:v>
      </x:c>
      <x:c r="AB204" s="41" t="n">
        <x:f>VLOOKUP("Priority|"&amp;O204,'Score settings'!$A$14:$C$43,3,FALSE)/'Score settings'!$B$4*'Score settings'!$D$4</x:f>
        <x:v>3</x:v>
      </x:c>
      <x:c r="AC204" s="41" t="n">
        <x:f>VLOOKUP("Category|"&amp;P204,'Score settings'!$A$14:$C$43,3,FALSE)/'Score settings'!$B$5*'Score settings'!$D$5</x:f>
        <x:v>3</x:v>
      </x:c>
      <x:c r="AD204" s="41" t="n">
        <x:f>VLOOKUP("Area|"&amp;Q204,'Score settings'!$A$14:$C$43,3,FALSE)/'Score settings'!$B$6*'Score settings'!$D$6</x:f>
        <x:v>6.666666666666666</x:v>
      </x:c>
      <x:c r="AE204" s="41" t="n">
        <x:f>VLOOKUP("Benefits|"&amp;IF(AND(ISNUMBER(K204),K204&gt;0,ISNUMBER(G204),G204&gt;0),IF(K204/G204&gt;='Score settings'!$E$17,"3plus",IF(K204/G204&gt;='Score settings'!$E$16,"1.5to3",IF(K204/G204&gt;='Score settings'!$E$15,"0.5to1.5","positive"))),"None"),'Score settings'!$A$14:$C$43,3,FALSE)/'Score settings'!$B$7*'Score settings'!$D$7</x:f>
        <x:v>0</x:v>
      </x:c>
      <x:c r="AF204" s="41" t="n">
        <x:f>VLOOKUP("Waste|"&amp;R204,'Score settings'!$A$14:$C$43,3,FALSE)/'Score settings'!$B$8*'Score settings'!$D$8</x:f>
        <x:v>0</x:v>
      </x:c>
      <x:c r="AG204" s="41" t="n">
        <x:f>(IF(AND(ISNUMBER(M204),M204&gt;0,ISNUMBER(G204),G204&gt;0),IF(M204/G204&gt;='Score settings'!$E$17,'Score settings'!$G$17,IF(M204/G204&gt;='Score settings'!$E$16,'Score settings'!$G$16,IF(M204/G204&gt;='Score settings'!$E$15,'Score settings'!$G$15,'Score settings'!$G$14))),0)/15*'Score settings'!$B$60+IFERROR(VLOOKUP(IF(ISNUMBER(N204),N204,IF(ISNUMBER(L204),L204,0)),'Score settings'!$E$22:$F$26,2,FALSE),0)/10*'Score settings'!$B$61)/'Score settings'!$B$9*'Score settings'!$D$9</x:f>
        <x:v>0</x:v>
      </x:c>
      <x:c r="AH204" s="41" t="n">
        <x:f>IF(B204="","",SUM(AB204:AG204))</x:f>
        <x:v>12.666666666666666</x:v>
      </x:c>
      <x:c r="AI204" s="41" t="str">
        <x:f>IF(NOT(ISNUMBER(AH204)),"Not scored",VLOOKUP(AH204,'Score settings'!$A$47:$C$50,3,TRUE))</x:f>
        <x:v>Weak</x:v>
      </x:c>
      <x:c r="AJ204" s="42" t="n">
        <x:f>IF(OR(NOT(ISNUMBER(AH204)),T204&lt;&gt;"Common pot"),"",COUNTIFS($T$4:$T$509,"Common pot",$AH$4:$AH$509,"&gt;"&amp;AH204)+1)</x:f>
        <x:v>374</x:v>
      </x:c>
      <x:c r="AK204" s="36" t="str">
        <x:f>IF(B204="","Name missing - not scored",IF(OR(NOT(ISNUMBER(G204)),G204&lt;=0),"Investment missing or zero - review",IF(0=1,"Permanent ID missing - reconcile",IF(AND(ISNUMBER(H204),H204/G204&gt;='Score settings'!$B$58,NOT(ISNUMBER(I204))),"Benefit units need review",IF(OR(R204="EXIT",R204="CHALLENGE"),"Waste decision requires scope resolution",IF("No exact waste match"&lt;&gt;"Name and organisation matched","Waste evidence match needs review","Provisional source score - confirm evidence"))))))</x:f>
        <x:v>Investment missing or zero - review</x:v>
      </x:c>
      <x:c r="AL204" s="36"/>
      <x:c r="AM204" s="40"/>
      <x:c r="AN204" s="39"/>
      <x:c r="AO204" s="40"/>
      <x:c r="AP204" s="40"/>
    </x:row>
    <x:row r="205" ht="15" hidden="0" customHeight="1">
      <x:c r="A205" s="36" t="str">
        <x:v>Bu-210</x:v>
      </x:c>
      <x:c r="B205" s="37" t="str">
        <x:v>DUPLICATE - NAR Contract Execution &amp; Compliance</x:v>
      </x:c>
      <x:c r="C205" s="36" t="str">
        <x:v>BU Led</x:v>
      </x:c>
      <x:c r="D205" s="36" t="str">
        <x:v>Monitoring - HPM (MCH)</x:v>
      </x:c>
      <x:c r="E205" s="38" t="n">
        <x:v>0</x:v>
      </x:c>
      <x:c r="F205" s="39"/>
      <x:c r="G205" s="38" t="str">
        <x:f>IF(ISNUMBER(F205),F205,IF(E205="","",E205))</x:f>
      </x:c>
      <x:c r="H205" s="38"/>
      <x:c r="I205" s="39"/>
      <x:c r="J205" s="36" t="str">
        <x:v>Cash savings</x:v>
      </x:c>
      <x:c r="K205" s="38" t="str">
        <x:f>IF(ISNUMBER(I205),I205,IF(OR(NOT(ISNUMBER(H205)),NOT(ISNUMBER(G205)),G205&lt;=0),"",IF(H205/G205&gt;='Score settings'!$B$58,"",IF(J205="Cash savings",H205,IF(J205="Revenue",H205*'Score settings'!$B$55,"")))))</x:f>
      </x:c>
      <x:c r="L205" s="36"/>
      <x:c r="M205" s="39"/>
      <x:c r="N205" s="40"/>
      <x:c r="O205" s="36" t="str">
        <x:v>Depri</x:v>
      </x:c>
      <x:c r="P205" s="36" t="str">
        <x:v>NewFeat</x:v>
      </x:c>
      <x:c r="Q205" s="36" t="str">
        <x:v>Productivity</x:v>
      </x:c>
      <x:c r="R205" s="36" t="str">
        <x:v>NotAssessed</x:v>
      </x:c>
      <x:c r="S205" s="36" t="str"/>
      <x:c r="T205" s="36" t="str">
        <x:v>Common pot</x:v>
      </x:c>
      <x:c r="U205" s="41" t="n">
        <x:f>VLOOKUP("Priority|"&amp;O205,'Score settings'!$A$14:$C$43,2,FALSE)/'Score settings'!$B$4*'Score settings'!$C$4</x:f>
        <x:v>5</x:v>
      </x:c>
      <x:c r="V205" s="41" t="n">
        <x:f>VLOOKUP("Category|"&amp;P205,'Score settings'!$A$14:$C$43,2,FALSE)/'Score settings'!$B$5*'Score settings'!$C$5</x:f>
        <x:v>6</x:v>
      </x:c>
      <x:c r="W205" s="41" t="n">
        <x:f>VLOOKUP("Area|"&amp;Q205,'Score settings'!$A$14:$C$43,2,FALSE)/'Score settings'!$B$6*'Score settings'!$C$6</x:f>
        <x:v>10</x:v>
      </x:c>
      <x:c r="X205" s="41" t="n">
        <x:f>VLOOKUP("Benefits|"&amp;IF(AND(ISNUMBER(H205),H205&gt;0,ISNUMBER(G205),G205&gt;0),IF(H205/G205&gt;='Score settings'!$E$17,"3plus",IF(H205/G205&gt;='Score settings'!$E$16,"1.5to3",IF(H205/G205&gt;='Score settings'!$E$15,"0.5to1.5","positive"))),"None"),'Score settings'!$A$14:$C$43,2,FALSE)/'Score settings'!$B$7*'Score settings'!$C$7</x:f>
        <x:v>5</x:v>
      </x:c>
      <x:c r="Y205" s="41" t="n">
        <x:f>VLOOKUP("Waste|"&amp;R205,'Score settings'!$A$14:$C$43,2,FALSE)/'Score settings'!$B$8*'Score settings'!$C$8</x:f>
        <x:v>7</x:v>
      </x:c>
      <x:c r="Z205" s="41" t="n">
        <x:f>IF(B205="","",SUM(U205:Y205))</x:f>
        <x:v>33</x:v>
      </x:c>
      <x:c r="AA205" s="41" t="str">
        <x:f>IF(Z205="","Not scored",VLOOKUP(Z205,'Score settings'!$A$47:$C$50,2,TRUE))</x:f>
        <x:v>Discretionary</x:v>
      </x:c>
      <x:c r="AB205" s="41" t="n">
        <x:f>VLOOKUP("Priority|"&amp;O205,'Score settings'!$A$14:$C$43,3,FALSE)/'Score settings'!$B$4*'Score settings'!$D$4</x:f>
        <x:v>3</x:v>
      </x:c>
      <x:c r="AC205" s="41" t="n">
        <x:f>VLOOKUP("Category|"&amp;P205,'Score settings'!$A$14:$C$43,3,FALSE)/'Score settings'!$B$5*'Score settings'!$D$5</x:f>
        <x:v>3</x:v>
      </x:c>
      <x:c r="AD205" s="41" t="n">
        <x:f>VLOOKUP("Area|"&amp;Q205,'Score settings'!$A$14:$C$43,3,FALSE)/'Score settings'!$B$6*'Score settings'!$D$6</x:f>
        <x:v>6.666666666666666</x:v>
      </x:c>
      <x:c r="AE205" s="41" t="n">
        <x:f>VLOOKUP("Benefits|"&amp;IF(AND(ISNUMBER(K205),K205&gt;0,ISNUMBER(G205),G205&gt;0),IF(K205/G205&gt;='Score settings'!$E$17,"3plus",IF(K205/G205&gt;='Score settings'!$E$16,"1.5to3",IF(K205/G205&gt;='Score settings'!$E$15,"0.5to1.5","positive"))),"None"),'Score settings'!$A$14:$C$43,3,FALSE)/'Score settings'!$B$7*'Score settings'!$D$7</x:f>
        <x:v>0</x:v>
      </x:c>
      <x:c r="AF205" s="41" t="n">
        <x:f>VLOOKUP("Waste|"&amp;R205,'Score settings'!$A$14:$C$43,3,FALSE)/'Score settings'!$B$8*'Score settings'!$D$8</x:f>
        <x:v>0</x:v>
      </x:c>
      <x:c r="AG205" s="41" t="n">
        <x:f>(IF(AND(ISNUMBER(M205),M205&gt;0,ISNUMBER(G205),G205&gt;0),IF(M205/G205&gt;='Score settings'!$E$17,'Score settings'!$G$17,IF(M205/G205&gt;='Score settings'!$E$16,'Score settings'!$G$16,IF(M205/G205&gt;='Score settings'!$E$15,'Score settings'!$G$15,'Score settings'!$G$14))),0)/15*'Score settings'!$B$60+IFERROR(VLOOKUP(IF(ISNUMBER(N205),N205,IF(ISNUMBER(L205),L205,0)),'Score settings'!$E$22:$F$26,2,FALSE),0)/10*'Score settings'!$B$61)/'Score settings'!$B$9*'Score settings'!$D$9</x:f>
        <x:v>0</x:v>
      </x:c>
      <x:c r="AH205" s="41" t="n">
        <x:f>IF(B205="","",SUM(AB205:AG205))</x:f>
        <x:v>12.666666666666666</x:v>
      </x:c>
      <x:c r="AI205" s="41" t="str">
        <x:f>IF(NOT(ISNUMBER(AH205)),"Not scored",VLOOKUP(AH205,'Score settings'!$A$47:$C$50,3,TRUE))</x:f>
        <x:v>Weak</x:v>
      </x:c>
      <x:c r="AJ205" s="42" t="n">
        <x:f>IF(OR(NOT(ISNUMBER(AH205)),T205&lt;&gt;"Common pot"),"",COUNTIFS($T$4:$T$509,"Common pot",$AH$4:$AH$509,"&gt;"&amp;AH205)+1)</x:f>
        <x:v>374</x:v>
      </x:c>
      <x:c r="AK205" s="36" t="str">
        <x:f>IF(B205="","Name missing - not scored",IF(OR(NOT(ISNUMBER(G205)),G205&lt;=0),"Investment missing or zero - review",IF(0=1,"Permanent ID missing - reconcile",IF(AND(ISNUMBER(H205),H205/G205&gt;='Score settings'!$B$58,NOT(ISNUMBER(I205))),"Benefit units need review",IF(OR(R205="EXIT",R205="CHALLENGE"),"Waste decision requires scope resolution",IF("No exact waste match"&lt;&gt;"Name and organisation matched","Waste evidence match needs review","Provisional source score - confirm evidence"))))))</x:f>
        <x:v>Investment missing or zero - review</x:v>
      </x:c>
      <x:c r="AL205" s="36"/>
      <x:c r="AM205" s="40"/>
      <x:c r="AN205" s="39"/>
      <x:c r="AO205" s="40"/>
      <x:c r="AP205" s="40"/>
    </x:row>
    <x:row r="206" ht="15" hidden="0" customHeight="1">
      <x:c r="A206" s="36" t="str">
        <x:v>Bu-211</x:v>
      </x:c>
      <x:c r="B206" s="37" t="str">
        <x:v>GBS Collaboration - Order Orchestration (Appian)</x:v>
      </x:c>
      <x:c r="C206" s="36" t="str">
        <x:v>BU Led</x:v>
      </x:c>
      <x:c r="D206" s="36" t="str">
        <x:v>Monitoring - HPM (MCH)</x:v>
      </x:c>
      <x:c r="E206" s="38" t="n">
        <x:v>0</x:v>
      </x:c>
      <x:c r="F206" s="39"/>
      <x:c r="G206" s="38" t="str">
        <x:f>IF(ISNUMBER(F206),F206,IF(E206="","",E206))</x:f>
      </x:c>
      <x:c r="H206" s="38"/>
      <x:c r="I206" s="39"/>
      <x:c r="J206" s="36" t="str">
        <x:v>Cash savings</x:v>
      </x:c>
      <x:c r="K206" s="38" t="str">
        <x:f>IF(ISNUMBER(I206),I206,IF(OR(NOT(ISNUMBER(H206)),NOT(ISNUMBER(G206)),G206&lt;=0),"",IF(H206/G206&gt;='Score settings'!$B$58,"",IF(J206="Cash savings",H206,IF(J206="Revenue",H206*'Score settings'!$B$55,"")))))</x:f>
      </x:c>
      <x:c r="L206" s="36"/>
      <x:c r="M206" s="39"/>
      <x:c r="N206" s="40"/>
      <x:c r="O206" s="36" t="str">
        <x:v>Depri</x:v>
      </x:c>
      <x:c r="P206" s="36" t="str">
        <x:v>NewFeat</x:v>
      </x:c>
      <x:c r="Q206" s="36" t="str">
        <x:v>Productivity</x:v>
      </x:c>
      <x:c r="R206" s="36" t="str">
        <x:v>CONTAIN</x:v>
      </x:c>
      <x:c r="S206" s="36" t="str"/>
      <x:c r="T206" s="36" t="str">
        <x:v>Common pot</x:v>
      </x:c>
      <x:c r="U206" s="41" t="n">
        <x:f>VLOOKUP("Priority|"&amp;O206,'Score settings'!$A$14:$C$43,2,FALSE)/'Score settings'!$B$4*'Score settings'!$C$4</x:f>
        <x:v>5</x:v>
      </x:c>
      <x:c r="V206" s="41" t="n">
        <x:f>VLOOKUP("Category|"&amp;P206,'Score settings'!$A$14:$C$43,2,FALSE)/'Score settings'!$B$5*'Score settings'!$C$5</x:f>
        <x:v>6</x:v>
      </x:c>
      <x:c r="W206" s="41" t="n">
        <x:f>VLOOKUP("Area|"&amp;Q206,'Score settings'!$A$14:$C$43,2,FALSE)/'Score settings'!$B$6*'Score settings'!$C$6</x:f>
        <x:v>10</x:v>
      </x:c>
      <x:c r="X206" s="41" t="n">
        <x:f>VLOOKUP("Benefits|"&amp;IF(AND(ISNUMBER(H206),H206&gt;0,ISNUMBER(G206),G206&gt;0),IF(H206/G206&gt;='Score settings'!$E$17,"3plus",IF(H206/G206&gt;='Score settings'!$E$16,"1.5to3",IF(H206/G206&gt;='Score settings'!$E$15,"0.5to1.5","positive"))),"None"),'Score settings'!$A$14:$C$43,2,FALSE)/'Score settings'!$B$7*'Score settings'!$C$7</x:f>
        <x:v>5</x:v>
      </x:c>
      <x:c r="Y206" s="41" t="n">
        <x:f>VLOOKUP("Waste|"&amp;R206,'Score settings'!$A$14:$C$43,2,FALSE)/'Score settings'!$B$8*'Score settings'!$C$8</x:f>
        <x:v>9</x:v>
      </x:c>
      <x:c r="Z206" s="41" t="n">
        <x:f>IF(B206="","",SUM(U206:Y206))</x:f>
        <x:v>35</x:v>
      </x:c>
      <x:c r="AA206" s="41" t="str">
        <x:f>IF(Z206="","Not scored",VLOOKUP(Z206,'Score settings'!$A$47:$C$50,2,TRUE))</x:f>
        <x:v>Discretionary</x:v>
      </x:c>
      <x:c r="AB206" s="41" t="n">
        <x:f>VLOOKUP("Priority|"&amp;O206,'Score settings'!$A$14:$C$43,3,FALSE)/'Score settings'!$B$4*'Score settings'!$D$4</x:f>
        <x:v>3</x:v>
      </x:c>
      <x:c r="AC206" s="41" t="n">
        <x:f>VLOOKUP("Category|"&amp;P206,'Score settings'!$A$14:$C$43,3,FALSE)/'Score settings'!$B$5*'Score settings'!$D$5</x:f>
        <x:v>3</x:v>
      </x:c>
      <x:c r="AD206" s="41" t="n">
        <x:f>VLOOKUP("Area|"&amp;Q206,'Score settings'!$A$14:$C$43,3,FALSE)/'Score settings'!$B$6*'Score settings'!$D$6</x:f>
        <x:v>6.666666666666666</x:v>
      </x:c>
      <x:c r="AE206" s="41" t="n">
        <x:f>VLOOKUP("Benefits|"&amp;IF(AND(ISNUMBER(K206),K206&gt;0,ISNUMBER(G206),G206&gt;0),IF(K206/G206&gt;='Score settings'!$E$17,"3plus",IF(K206/G206&gt;='Score settings'!$E$16,"1.5to3",IF(K206/G206&gt;='Score settings'!$E$15,"0.5to1.5","positive"))),"None"),'Score settings'!$A$14:$C$43,3,FALSE)/'Score settings'!$B$7*'Score settings'!$D$7</x:f>
        <x:v>0</x:v>
      </x:c>
      <x:c r="AF206" s="41" t="n">
        <x:f>VLOOKUP("Waste|"&amp;R206,'Score settings'!$A$14:$C$43,3,FALSE)/'Score settings'!$B$8*'Score settings'!$D$8</x:f>
        <x:v>6</x:v>
      </x:c>
      <x:c r="AG206" s="41" t="n">
        <x:f>(IF(AND(ISNUMBER(M206),M206&gt;0,ISNUMBER(G206),G206&gt;0),IF(M206/G206&gt;='Score settings'!$E$17,'Score settings'!$G$17,IF(M206/G206&gt;='Score settings'!$E$16,'Score settings'!$G$16,IF(M206/G206&gt;='Score settings'!$E$15,'Score settings'!$G$15,'Score settings'!$G$14))),0)/15*'Score settings'!$B$60+IFERROR(VLOOKUP(IF(ISNUMBER(N206),N206,IF(ISNUMBER(L206),L206,0)),'Score settings'!$E$22:$F$26,2,FALSE),0)/10*'Score settings'!$B$61)/'Score settings'!$B$9*'Score settings'!$D$9</x:f>
        <x:v>0</x:v>
      </x:c>
      <x:c r="AH206" s="41" t="n">
        <x:f>IF(B206="","",SUM(AB206:AG206))</x:f>
        <x:v>18.666666666666664</x:v>
      </x:c>
      <x:c r="AI206" s="41" t="str">
        <x:f>IF(NOT(ISNUMBER(AH206)),"Not scored",VLOOKUP(AH206,'Score settings'!$A$47:$C$50,3,TRUE))</x:f>
        <x:v>Weak</x:v>
      </x:c>
      <x:c r="AJ206" s="42" t="n">
        <x:f>IF(OR(NOT(ISNUMBER(AH206)),T206&lt;&gt;"Common pot"),"",COUNTIFS($T$4:$T$509,"Common pot",$AH$4:$AH$509,"&gt;"&amp;AH206)+1)</x:f>
        <x:v>361</x:v>
      </x:c>
      <x:c r="AK206" s="36" t="str">
        <x:f>IF(B206="","Name missing - not scored",IF(OR(NOT(ISNUMBER(G206)),G206&lt;=0),"Investment missing or zero - review",IF(0=1,"Permanent ID missing - reconcile",IF(AND(ISNUMBER(H206),H206/G206&gt;='Score settings'!$B$58,NOT(ISNUMBER(I206))),"Benefit units need review",IF(OR(R206="EXIT",R206="CHALLENGE"),"Waste decision requires scope resolution",IF("Name and organisation matched"&lt;&gt;"Name and organisation matched","Waste evidence match needs review","Provisional source score - confirm evidence"))))))</x:f>
        <x:v>Investment missing or zero - review</x:v>
      </x:c>
      <x:c r="AL206" s="36"/>
      <x:c r="AM206" s="40"/>
      <x:c r="AN206" s="39"/>
      <x:c r="AO206" s="40"/>
      <x:c r="AP206" s="40"/>
    </x:row>
    <x:row r="207" ht="15" hidden="0" customHeight="1">
      <x:c r="A207" s="36" t="str">
        <x:v>Bu-212</x:v>
      </x:c>
      <x:c r="B207" s="37" t="str">
        <x:v>DUPLICATE - OMM - Carry Over (Integr Planning Basics)</x:v>
      </x:c>
      <x:c r="C207" s="36" t="str">
        <x:v>BU Led</x:v>
      </x:c>
      <x:c r="D207" s="36" t="str">
        <x:v>Monitoring - HPM (MCH)</x:v>
      </x:c>
      <x:c r="E207" s="38" t="n">
        <x:v>0</x:v>
      </x:c>
      <x:c r="F207" s="39"/>
      <x:c r="G207" s="38" t="str">
        <x:f>IF(ISNUMBER(F207),F207,IF(E207="","",E207))</x:f>
      </x:c>
      <x:c r="H207" s="38"/>
      <x:c r="I207" s="39"/>
      <x:c r="J207" s="36" t="str">
        <x:v>Cash savings</x:v>
      </x:c>
      <x:c r="K207" s="38" t="str">
        <x:f>IF(ISNUMBER(I207),I207,IF(OR(NOT(ISNUMBER(H207)),NOT(ISNUMBER(G207)),G207&lt;=0),"",IF(H207/G207&gt;='Score settings'!$B$58,"",IF(J207="Cash savings",H207,IF(J207="Revenue",H207*'Score settings'!$B$55,"")))))</x:f>
      </x:c>
      <x:c r="L207" s="36"/>
      <x:c r="M207" s="39"/>
      <x:c r="N207" s="40"/>
      <x:c r="O207" s="36" t="str">
        <x:v>Depri</x:v>
      </x:c>
      <x:c r="P207" s="36" t="str">
        <x:v>NewFeat</x:v>
      </x:c>
      <x:c r="Q207" s="36" t="str">
        <x:v>Productivity</x:v>
      </x:c>
      <x:c r="R207" s="36" t="str">
        <x:v>NotAssessed</x:v>
      </x:c>
      <x:c r="S207" s="36" t="str"/>
      <x:c r="T207" s="36" t="str">
        <x:v>Common pot</x:v>
      </x:c>
      <x:c r="U207" s="41" t="n">
        <x:f>VLOOKUP("Priority|"&amp;O207,'Score settings'!$A$14:$C$43,2,FALSE)/'Score settings'!$B$4*'Score settings'!$C$4</x:f>
        <x:v>5</x:v>
      </x:c>
      <x:c r="V207" s="41" t="n">
        <x:f>VLOOKUP("Category|"&amp;P207,'Score settings'!$A$14:$C$43,2,FALSE)/'Score settings'!$B$5*'Score settings'!$C$5</x:f>
        <x:v>6</x:v>
      </x:c>
      <x:c r="W207" s="41" t="n">
        <x:f>VLOOKUP("Area|"&amp;Q207,'Score settings'!$A$14:$C$43,2,FALSE)/'Score settings'!$B$6*'Score settings'!$C$6</x:f>
        <x:v>10</x:v>
      </x:c>
      <x:c r="X207" s="41" t="n">
        <x:f>VLOOKUP("Benefits|"&amp;IF(AND(ISNUMBER(H207),H207&gt;0,ISNUMBER(G207),G207&gt;0),IF(H207/G207&gt;='Score settings'!$E$17,"3plus",IF(H207/G207&gt;='Score settings'!$E$16,"1.5to3",IF(H207/G207&gt;='Score settings'!$E$15,"0.5to1.5","positive"))),"None"),'Score settings'!$A$14:$C$43,2,FALSE)/'Score settings'!$B$7*'Score settings'!$C$7</x:f>
        <x:v>5</x:v>
      </x:c>
      <x:c r="Y207" s="41" t="n">
        <x:f>VLOOKUP("Waste|"&amp;R207,'Score settings'!$A$14:$C$43,2,FALSE)/'Score settings'!$B$8*'Score settings'!$C$8</x:f>
        <x:v>7</x:v>
      </x:c>
      <x:c r="Z207" s="41" t="n">
        <x:f>IF(B207="","",SUM(U207:Y207))</x:f>
        <x:v>33</x:v>
      </x:c>
      <x:c r="AA207" s="41" t="str">
        <x:f>IF(Z207="","Not scored",VLOOKUP(Z207,'Score settings'!$A$47:$C$50,2,TRUE))</x:f>
        <x:v>Discretionary</x:v>
      </x:c>
      <x:c r="AB207" s="41" t="n">
        <x:f>VLOOKUP("Priority|"&amp;O207,'Score settings'!$A$14:$C$43,3,FALSE)/'Score settings'!$B$4*'Score settings'!$D$4</x:f>
        <x:v>3</x:v>
      </x:c>
      <x:c r="AC207" s="41" t="n">
        <x:f>VLOOKUP("Category|"&amp;P207,'Score settings'!$A$14:$C$43,3,FALSE)/'Score settings'!$B$5*'Score settings'!$D$5</x:f>
        <x:v>3</x:v>
      </x:c>
      <x:c r="AD207" s="41" t="n">
        <x:f>VLOOKUP("Area|"&amp;Q207,'Score settings'!$A$14:$C$43,3,FALSE)/'Score settings'!$B$6*'Score settings'!$D$6</x:f>
        <x:v>6.666666666666666</x:v>
      </x:c>
      <x:c r="AE207" s="41" t="n">
        <x:f>VLOOKUP("Benefits|"&amp;IF(AND(ISNUMBER(K207),K207&gt;0,ISNUMBER(G207),G207&gt;0),IF(K207/G207&gt;='Score settings'!$E$17,"3plus",IF(K207/G207&gt;='Score settings'!$E$16,"1.5to3",IF(K207/G207&gt;='Score settings'!$E$15,"0.5to1.5","positive"))),"None"),'Score settings'!$A$14:$C$43,3,FALSE)/'Score settings'!$B$7*'Score settings'!$D$7</x:f>
        <x:v>0</x:v>
      </x:c>
      <x:c r="AF207" s="41" t="n">
        <x:f>VLOOKUP("Waste|"&amp;R207,'Score settings'!$A$14:$C$43,3,FALSE)/'Score settings'!$B$8*'Score settings'!$D$8</x:f>
        <x:v>0</x:v>
      </x:c>
      <x:c r="AG207" s="41" t="n">
        <x:f>(IF(AND(ISNUMBER(M207),M207&gt;0,ISNUMBER(G207),G207&gt;0),IF(M207/G207&gt;='Score settings'!$E$17,'Score settings'!$G$17,IF(M207/G207&gt;='Score settings'!$E$16,'Score settings'!$G$16,IF(M207/G207&gt;='Score settings'!$E$15,'Score settings'!$G$15,'Score settings'!$G$14))),0)/15*'Score settings'!$B$60+IFERROR(VLOOKUP(IF(ISNUMBER(N207),N207,IF(ISNUMBER(L207),L207,0)),'Score settings'!$E$22:$F$26,2,FALSE),0)/10*'Score settings'!$B$61)/'Score settings'!$B$9*'Score settings'!$D$9</x:f>
        <x:v>0</x:v>
      </x:c>
      <x:c r="AH207" s="41" t="n">
        <x:f>IF(B207="","",SUM(AB207:AG207))</x:f>
        <x:v>12.666666666666666</x:v>
      </x:c>
      <x:c r="AI207" s="41" t="str">
        <x:f>IF(NOT(ISNUMBER(AH207)),"Not scored",VLOOKUP(AH207,'Score settings'!$A$47:$C$50,3,TRUE))</x:f>
        <x:v>Weak</x:v>
      </x:c>
      <x:c r="AJ207" s="42" t="n">
        <x:f>IF(OR(NOT(ISNUMBER(AH207)),T207&lt;&gt;"Common pot"),"",COUNTIFS($T$4:$T$509,"Common pot",$AH$4:$AH$509,"&gt;"&amp;AH207)+1)</x:f>
        <x:v>374</x:v>
      </x:c>
      <x:c r="AK207" s="36" t="str">
        <x:f>IF(B207="","Name missing - not scored",IF(OR(NOT(ISNUMBER(G207)),G207&lt;=0),"Investment missing or zero - review",IF(0=1,"Permanent ID missing - reconcile",IF(AND(ISNUMBER(H207),H207/G207&gt;='Score settings'!$B$58,NOT(ISNUMBER(I207))),"Benefit units need review",IF(OR(R207="EXIT",R207="CHALLENGE"),"Waste decision requires scope resolution",IF("No exact waste match"&lt;&gt;"Name and organisation matched","Waste evidence match needs review","Provisional source score - confirm evidence"))))))</x:f>
        <x:v>Investment missing or zero - review</x:v>
      </x:c>
      <x:c r="AL207" s="36"/>
      <x:c r="AM207" s="40"/>
      <x:c r="AN207" s="39"/>
      <x:c r="AO207" s="40"/>
      <x:c r="AP207" s="40"/>
    </x:row>
    <x:row r="208" ht="15" hidden="0" customHeight="1">
      <x:c r="A208" s="36" t="str">
        <x:v>Bu-213</x:v>
      </x:c>
      <x:c r="B208" s="37" t="str">
        <x:v>IR [C1/C2/C3] Channel Partner Program</x:v>
      </x:c>
      <x:c r="C208" s="36" t="str">
        <x:v>BU Led</x:v>
      </x:c>
      <x:c r="D208" s="36" t="str">
        <x:v>Monitoring - HPM (MCH)</x:v>
      </x:c>
      <x:c r="E208" s="38"/>
      <x:c r="F208" s="39"/>
      <x:c r="G208" s="38" t="str">
        <x:f>IF(ISNUMBER(F208),F208,IF(E208="","",E208))</x:f>
      </x:c>
      <x:c r="H208" s="38"/>
      <x:c r="I208" s="39"/>
      <x:c r="J208" s="36" t="str">
        <x:v>Cash savings</x:v>
      </x:c>
      <x:c r="K208" s="38" t="str">
        <x:f>IF(ISNUMBER(I208),I208,IF(OR(NOT(ISNUMBER(H208)),NOT(ISNUMBER(G208)),G208&lt;=0),"",IF(H208/G208&gt;='Score settings'!$B$58,"",IF(J208="Cash savings",H208,IF(J208="Revenue",H208*'Score settings'!$B$55,"")))))</x:f>
      </x:c>
      <x:c r="L208" s="36"/>
      <x:c r="M208" s="39"/>
      <x:c r="N208" s="40"/>
      <x:c r="O208" s="36" t="str">
        <x:v>Blank</x:v>
      </x:c>
      <x:c r="P208" s="36" t="str">
        <x:v>NewFeat</x:v>
      </x:c>
      <x:c r="Q208" s="36" t="str">
        <x:v>Productivity</x:v>
      </x:c>
      <x:c r="R208" s="36" t="str">
        <x:v>NotAssessed</x:v>
      </x:c>
      <x:c r="S208" s="36" t="str"/>
      <x:c r="T208" s="36" t="str">
        <x:v>Common pot</x:v>
      </x:c>
      <x:c r="U208" s="41" t="n">
        <x:f>VLOOKUP("Priority|"&amp;O208,'Score settings'!$A$14:$C$43,2,FALSE)/'Score settings'!$B$4*'Score settings'!$C$4</x:f>
        <x:v>10</x:v>
      </x:c>
      <x:c r="V208" s="41" t="n">
        <x:f>VLOOKUP("Category|"&amp;P208,'Score settings'!$A$14:$C$43,2,FALSE)/'Score settings'!$B$5*'Score settings'!$C$5</x:f>
        <x:v>6</x:v>
      </x:c>
      <x:c r="W208" s="41" t="n">
        <x:f>VLOOKUP("Area|"&amp;Q208,'Score settings'!$A$14:$C$43,2,FALSE)/'Score settings'!$B$6*'Score settings'!$C$6</x:f>
        <x:v>10</x:v>
      </x:c>
      <x:c r="X208" s="41" t="n">
        <x:f>VLOOKUP("Benefits|"&amp;IF(AND(ISNUMBER(H208),H208&gt;0,ISNUMBER(G208),G208&gt;0),IF(H208/G208&gt;='Score settings'!$E$17,"3plus",IF(H208/G208&gt;='Score settings'!$E$16,"1.5to3",IF(H208/G208&gt;='Score settings'!$E$15,"0.5to1.5","positive"))),"None"),'Score settings'!$A$14:$C$43,2,FALSE)/'Score settings'!$B$7*'Score settings'!$C$7</x:f>
        <x:v>5</x:v>
      </x:c>
      <x:c r="Y208" s="41" t="n">
        <x:f>VLOOKUP("Waste|"&amp;R208,'Score settings'!$A$14:$C$43,2,FALSE)/'Score settings'!$B$8*'Score settings'!$C$8</x:f>
        <x:v>7</x:v>
      </x:c>
      <x:c r="Z208" s="41" t="n">
        <x:f>IF(B208="","",SUM(U208:Y208))</x:f>
        <x:v>38</x:v>
      </x:c>
      <x:c r="AA208" s="41" t="str">
        <x:f>IF(Z208="","Not scored",VLOOKUP(Z208,'Score settings'!$A$47:$C$50,2,TRUE))</x:f>
        <x:v>Discretionary</x:v>
      </x:c>
      <x:c r="AB208" s="41" t="n">
        <x:f>VLOOKUP("Priority|"&amp;O208,'Score settings'!$A$14:$C$43,3,FALSE)/'Score settings'!$B$4*'Score settings'!$D$4</x:f>
        <x:v>0</x:v>
      </x:c>
      <x:c r="AC208" s="41" t="n">
        <x:f>VLOOKUP("Category|"&amp;P208,'Score settings'!$A$14:$C$43,3,FALSE)/'Score settings'!$B$5*'Score settings'!$D$5</x:f>
        <x:v>3</x:v>
      </x:c>
      <x:c r="AD208" s="41" t="n">
        <x:f>VLOOKUP("Area|"&amp;Q208,'Score settings'!$A$14:$C$43,3,FALSE)/'Score settings'!$B$6*'Score settings'!$D$6</x:f>
        <x:v>6.666666666666666</x:v>
      </x:c>
      <x:c r="AE208" s="41" t="n">
        <x:f>VLOOKUP("Benefits|"&amp;IF(AND(ISNUMBER(K208),K208&gt;0,ISNUMBER(G208),G208&gt;0),IF(K208/G208&gt;='Score settings'!$E$17,"3plus",IF(K208/G208&gt;='Score settings'!$E$16,"1.5to3",IF(K208/G208&gt;='Score settings'!$E$15,"0.5to1.5","positive"))),"None"),'Score settings'!$A$14:$C$43,3,FALSE)/'Score settings'!$B$7*'Score settings'!$D$7</x:f>
        <x:v>0</x:v>
      </x:c>
      <x:c r="AF208" s="41" t="n">
        <x:f>VLOOKUP("Waste|"&amp;R208,'Score settings'!$A$14:$C$43,3,FALSE)/'Score settings'!$B$8*'Score settings'!$D$8</x:f>
        <x:v>0</x:v>
      </x:c>
      <x:c r="AG208" s="41" t="n">
        <x:f>(IF(AND(ISNUMBER(M208),M208&gt;0,ISNUMBER(G208),G208&gt;0),IF(M208/G208&gt;='Score settings'!$E$17,'Score settings'!$G$17,IF(M208/G208&gt;='Score settings'!$E$16,'Score settings'!$G$16,IF(M208/G208&gt;='Score settings'!$E$15,'Score settings'!$G$15,'Score settings'!$G$14))),0)/15*'Score settings'!$B$60+IFERROR(VLOOKUP(IF(ISNUMBER(N208),N208,IF(ISNUMBER(L208),L208,0)),'Score settings'!$E$22:$F$26,2,FALSE),0)/10*'Score settings'!$B$61)/'Score settings'!$B$9*'Score settings'!$D$9</x:f>
        <x:v>0</x:v>
      </x:c>
      <x:c r="AH208" s="41" t="n">
        <x:f>IF(B208="","",SUM(AB208:AG208))</x:f>
        <x:v>9.666666666666666</x:v>
      </x:c>
      <x:c r="AI208" s="41" t="str">
        <x:f>IF(NOT(ISNUMBER(AH208)),"Not scored",VLOOKUP(AH208,'Score settings'!$A$47:$C$50,3,TRUE))</x:f>
        <x:v>Weak</x:v>
      </x:c>
      <x:c r="AJ208" s="42" t="n">
        <x:f>IF(OR(NOT(ISNUMBER(AH208)),T208&lt;&gt;"Common pot"),"",COUNTIFS($T$4:$T$509,"Common pot",$AH$4:$AH$509,"&gt;"&amp;AH208)+1)</x:f>
        <x:v>388</x:v>
      </x:c>
      <x:c r="AK208" s="36" t="str">
        <x:f>IF(B208="","Name missing - not scored",IF(OR(NOT(ISNUMBER(G208)),G208&lt;=0),"Investment missing or zero - review",IF(0=1,"Permanent ID missing - reconcile",IF(AND(ISNUMBER(H208),H208/G208&gt;='Score settings'!$B$58,NOT(ISNUMBER(I208))),"Benefit units need review",IF(OR(R208="EXIT",R208="CHALLENGE"),"Waste decision requires scope resolution",IF("Name and organisation matched"&lt;&gt;"Name and organisation matched","Waste evidence match needs review","Provisional source score - confirm evidence"))))))</x:f>
        <x:v>Investment missing or zero - review</x:v>
      </x:c>
      <x:c r="AL208" s="36"/>
      <x:c r="AM208" s="40"/>
      <x:c r="AN208" s="39"/>
      <x:c r="AO208" s="40"/>
      <x:c r="AP208" s="40"/>
    </x:row>
    <x:row r="209" ht="15" hidden="0" customHeight="1">
      <x:c r="A209" s="36" t="str">
        <x:v>Bu-214</x:v>
      </x:c>
      <x:c r="B209" s="37" t="str">
        <x:v>Early Skills Validation in SMAX</x:v>
      </x:c>
      <x:c r="C209" s="36" t="str">
        <x:v>BU Led</x:v>
      </x:c>
      <x:c r="D209" s="36" t="str">
        <x:v>Monitoring - HPM (MCH)</x:v>
      </x:c>
      <x:c r="E209" s="38" t="n">
        <x:v>0.25</x:v>
      </x:c>
      <x:c r="F209" s="39"/>
      <x:c r="G209" s="38" t="n">
        <x:f>IF(ISNUMBER(F209),F209,IF(E209="","",E209))</x:f>
        <x:v>0.25</x:v>
      </x:c>
      <x:c r="H209" s="38"/>
      <x:c r="I209" s="39"/>
      <x:c r="J209" s="36" t="str">
        <x:v>Risk exposure</x:v>
      </x:c>
      <x:c r="K209" s="38" t="str">
        <x:f>IF(ISNUMBER(I209),I209,IF(OR(NOT(ISNUMBER(H209)),NOT(ISNUMBER(G209)),G209&lt;=0),"",IF(H209/G209&gt;='Score settings'!$B$58,"",IF(J209="Cash savings",H209,IF(J209="Revenue",H209*'Score settings'!$B$55,"")))))</x:f>
      </x:c>
      <x:c r="L209" s="36"/>
      <x:c r="M209" s="39"/>
      <x:c r="N209" s="40"/>
      <x:c r="O209" s="36" t="str">
        <x:v>Blank</x:v>
      </x:c>
      <x:c r="P209" s="36" t="str">
        <x:v>LFR</x:v>
      </x:c>
      <x:c r="Q209" s="36" t="str">
        <x:v>Compliance</x:v>
      </x:c>
      <x:c r="R209" s="36" t="str">
        <x:v>NotAssessed</x:v>
      </x:c>
      <x:c r="S209" s="36" t="str"/>
      <x:c r="T209" s="36" t="str">
        <x:v>Common pot</x:v>
      </x:c>
      <x:c r="U209" s="41" t="n">
        <x:f>VLOOKUP("Priority|"&amp;O209,'Score settings'!$A$14:$C$43,2,FALSE)/'Score settings'!$B$4*'Score settings'!$C$4</x:f>
        <x:v>10</x:v>
      </x:c>
      <x:c r="V209" s="41" t="n">
        <x:f>VLOOKUP("Category|"&amp;P209,'Score settings'!$A$14:$C$43,2,FALSE)/'Score settings'!$B$5*'Score settings'!$C$5</x:f>
        <x:v>20</x:v>
      </x:c>
      <x:c r="W209" s="41" t="n">
        <x:f>VLOOKUP("Area|"&amp;Q209,'Score settings'!$A$14:$C$43,2,FALSE)/'Score settings'!$B$6*'Score settings'!$C$6</x:f>
        <x:v>15</x:v>
      </x:c>
      <x:c r="X209" s="41" t="n">
        <x:f>VLOOKUP("Benefits|"&amp;IF(AND(ISNUMBER(H209),H209&gt;0,ISNUMBER(G209),G209&gt;0),IF(H209/G209&gt;='Score settings'!$E$17,"3plus",IF(H209/G209&gt;='Score settings'!$E$16,"1.5to3",IF(H209/G209&gt;='Score settings'!$E$15,"0.5to1.5","positive"))),"None"),'Score settings'!$A$14:$C$43,2,FALSE)/'Score settings'!$B$7*'Score settings'!$C$7</x:f>
        <x:v>5</x:v>
      </x:c>
      <x:c r="Y209" s="41" t="n">
        <x:f>VLOOKUP("Waste|"&amp;R209,'Score settings'!$A$14:$C$43,2,FALSE)/'Score settings'!$B$8*'Score settings'!$C$8</x:f>
        <x:v>7</x:v>
      </x:c>
      <x:c r="Z209" s="41" t="n">
        <x:f>IF(B209="","",SUM(U209:Y209))</x:f>
        <x:v>57</x:v>
      </x:c>
      <x:c r="AA209" s="41" t="str">
        <x:f>IF(Z209="","Not scored",VLOOKUP(Z209,'Score settings'!$A$47:$C$50,2,TRUE))</x:f>
        <x:v>Strong</x:v>
      </x:c>
      <x:c r="AB209" s="41" t="n">
        <x:f>VLOOKUP("Priority|"&amp;O209,'Score settings'!$A$14:$C$43,3,FALSE)/'Score settings'!$B$4*'Score settings'!$D$4</x:f>
        <x:v>0</x:v>
      </x:c>
      <x:c r="AC209" s="41" t="n">
        <x:f>VLOOKUP("Category|"&amp;P209,'Score settings'!$A$14:$C$43,3,FALSE)/'Score settings'!$B$5*'Score settings'!$D$5</x:f>
        <x:v>10</x:v>
      </x:c>
      <x:c r="AD209" s="41" t="n">
        <x:f>VLOOKUP("Area|"&amp;Q209,'Score settings'!$A$14:$C$43,3,FALSE)/'Score settings'!$B$6*'Score settings'!$D$6</x:f>
        <x:v>10</x:v>
      </x:c>
      <x:c r="AE209" s="41" t="n">
        <x:f>VLOOKUP("Benefits|"&amp;IF(AND(ISNUMBER(K209),K209&gt;0,ISNUMBER(G209),G209&gt;0),IF(K209/G209&gt;='Score settings'!$E$17,"3plus",IF(K209/G209&gt;='Score settings'!$E$16,"1.5to3",IF(K209/G209&gt;='Score settings'!$E$15,"0.5to1.5","positive"))),"None"),'Score settings'!$A$14:$C$43,3,FALSE)/'Score settings'!$B$7*'Score settings'!$D$7</x:f>
        <x:v>0</x:v>
      </x:c>
      <x:c r="AF209" s="41" t="n">
        <x:f>VLOOKUP("Waste|"&amp;R209,'Score settings'!$A$14:$C$43,3,FALSE)/'Score settings'!$B$8*'Score settings'!$D$8</x:f>
        <x:v>0</x:v>
      </x:c>
      <x:c r="AG209" s="41" t="n">
        <x:f>(IF(AND(ISNUMBER(M209),M209&gt;0,ISNUMBER(G209),G209&gt;0),IF(M209/G209&gt;='Score settings'!$E$17,'Score settings'!$G$17,IF(M209/G209&gt;='Score settings'!$E$16,'Score settings'!$G$16,IF(M209/G209&gt;='Score settings'!$E$15,'Score settings'!$G$15,'Score settings'!$G$14))),0)/15*'Score settings'!$B$60+IFERROR(VLOOKUP(IF(ISNUMBER(N209),N209,IF(ISNUMBER(L209),L209,0)),'Score settings'!$E$22:$F$26,2,FALSE),0)/10*'Score settings'!$B$61)/'Score settings'!$B$9*'Score settings'!$D$9</x:f>
        <x:v>0</x:v>
      </x:c>
      <x:c r="AH209" s="41" t="n">
        <x:f>IF(B209="","",SUM(AB209:AG209))</x:f>
        <x:v>20</x:v>
      </x:c>
      <x:c r="AI209" s="41" t="str">
        <x:f>IF(NOT(ISNUMBER(AH209)),"Not scored",VLOOKUP(AH209,'Score settings'!$A$47:$C$50,3,TRUE))</x:f>
        <x:v>Weak</x:v>
      </x:c>
      <x:c r="AJ209" s="42" t="n">
        <x:f>IF(OR(NOT(ISNUMBER(AH209)),T209&lt;&gt;"Common pot"),"",COUNTIFS($T$4:$T$509,"Common pot",$AH$4:$AH$509,"&gt;"&amp;AH209)+1)</x:f>
        <x:v>351</x:v>
      </x:c>
      <x:c r="AK209" s="36" t="str">
        <x:f>IF(B209="","Name missing - not scored",IF(OR(NOT(ISNUMBER(G209)),G209&lt;=0),"Investment missing or zero - review",IF(0=1,"Permanent ID missing - reconcile",IF(AND(ISNUMBER(H209),H209/G209&gt;='Score settings'!$B$58,NOT(ISNUMBER(I209))),"Benefit units need review",IF(OR(R209="EXIT",R209="CHALLENGE"),"Waste decision requires scope resolution",IF("Name and organisation matched"&lt;&gt;"Name and organisation matched","Waste evidence match needs review","Provisional source score - confirm evidence"))))))</x:f>
        <x:v>Provisional source score - confirm evidence</x:v>
      </x:c>
      <x:c r="AL209" s="36"/>
      <x:c r="AM209" s="40"/>
      <x:c r="AN209" s="39"/>
      <x:c r="AO209" s="40"/>
      <x:c r="AP209" s="40"/>
    </x:row>
    <x:row r="210" ht="15" hidden="0" customHeight="1">
      <x:c r="A210" s="36" t="str">
        <x:v>Bu-215</x:v>
      </x:c>
      <x:c r="B210" s="37" t="str">
        <x:v>eDMR ready for CSRD </x:v>
      </x:c>
      <x:c r="C210" s="36" t="str">
        <x:v>BU Led</x:v>
      </x:c>
      <x:c r="D210" s="36" t="str">
        <x:v>Monitoring - HPM (MCH)</x:v>
      </x:c>
      <x:c r="E210" s="38" t="n">
        <x:v>0.2</x:v>
      </x:c>
      <x:c r="F210" s="39"/>
      <x:c r="G210" s="38" t="n">
        <x:f>IF(ISNUMBER(F210),F210,IF(E210="","",E210))</x:f>
        <x:v>0.2</x:v>
      </x:c>
      <x:c r="H210" s="38"/>
      <x:c r="I210" s="39"/>
      <x:c r="J210" s="36" t="str">
        <x:v>Risk exposure</x:v>
      </x:c>
      <x:c r="K210" s="38" t="str">
        <x:f>IF(ISNUMBER(I210),I210,IF(OR(NOT(ISNUMBER(H210)),NOT(ISNUMBER(G210)),G210&lt;=0),"",IF(H210/G210&gt;='Score settings'!$B$58,"",IF(J210="Cash savings",H210,IF(J210="Revenue",H210*'Score settings'!$B$55,"")))))</x:f>
      </x:c>
      <x:c r="L210" s="36"/>
      <x:c r="M210" s="39"/>
      <x:c r="N210" s="40"/>
      <x:c r="O210" s="36" t="str">
        <x:v>Must Do</x:v>
      </x:c>
      <x:c r="P210" s="36" t="str">
        <x:v>LFR</x:v>
      </x:c>
      <x:c r="Q210" s="36" t="str">
        <x:v>Compliance</x:v>
      </x:c>
      <x:c r="R210" s="36" t="str">
        <x:v>NotAssessed</x:v>
      </x:c>
      <x:c r="S210" s="36" t="str"/>
      <x:c r="T210" s="36" t="str">
        <x:v>Common pot</x:v>
      </x:c>
      <x:c r="U210" s="41" t="n">
        <x:f>VLOOKUP("Priority|"&amp;O210,'Score settings'!$A$14:$C$43,2,FALSE)/'Score settings'!$B$4*'Score settings'!$C$4</x:f>
        <x:v>25</x:v>
      </x:c>
      <x:c r="V210" s="41" t="n">
        <x:f>VLOOKUP("Category|"&amp;P210,'Score settings'!$A$14:$C$43,2,FALSE)/'Score settings'!$B$5*'Score settings'!$C$5</x:f>
        <x:v>20</x:v>
      </x:c>
      <x:c r="W210" s="41" t="n">
        <x:f>VLOOKUP("Area|"&amp;Q210,'Score settings'!$A$14:$C$43,2,FALSE)/'Score settings'!$B$6*'Score settings'!$C$6</x:f>
        <x:v>15</x:v>
      </x:c>
      <x:c r="X210" s="41" t="n">
        <x:f>VLOOKUP("Benefits|"&amp;IF(AND(ISNUMBER(H210),H210&gt;0,ISNUMBER(G210),G210&gt;0),IF(H210/G210&gt;='Score settings'!$E$17,"3plus",IF(H210/G210&gt;='Score settings'!$E$16,"1.5to3",IF(H210/G210&gt;='Score settings'!$E$15,"0.5to1.5","positive"))),"None"),'Score settings'!$A$14:$C$43,2,FALSE)/'Score settings'!$B$7*'Score settings'!$C$7</x:f>
        <x:v>5</x:v>
      </x:c>
      <x:c r="Y210" s="41" t="n">
        <x:f>VLOOKUP("Waste|"&amp;R210,'Score settings'!$A$14:$C$43,2,FALSE)/'Score settings'!$B$8*'Score settings'!$C$8</x:f>
        <x:v>7</x:v>
      </x:c>
      <x:c r="Z210" s="41" t="n">
        <x:f>IF(B210="","",SUM(U210:Y210))</x:f>
        <x:v>72</x:v>
      </x:c>
      <x:c r="AA210" s="41" t="str">
        <x:f>IF(Z210="","Not scored",VLOOKUP(Z210,'Score settings'!$A$47:$C$50,2,TRUE))</x:f>
        <x:v>Protected</x:v>
      </x:c>
      <x:c r="AB210" s="41" t="n">
        <x:f>VLOOKUP("Priority|"&amp;O210,'Score settings'!$A$14:$C$43,3,FALSE)/'Score settings'!$B$4*'Score settings'!$D$4</x:f>
        <x:v>15</x:v>
      </x:c>
      <x:c r="AC210" s="41" t="n">
        <x:f>VLOOKUP("Category|"&amp;P210,'Score settings'!$A$14:$C$43,3,FALSE)/'Score settings'!$B$5*'Score settings'!$D$5</x:f>
        <x:v>10</x:v>
      </x:c>
      <x:c r="AD210" s="41" t="n">
        <x:f>VLOOKUP("Area|"&amp;Q210,'Score settings'!$A$14:$C$43,3,FALSE)/'Score settings'!$B$6*'Score settings'!$D$6</x:f>
        <x:v>10</x:v>
      </x:c>
      <x:c r="AE210" s="41" t="n">
        <x:f>VLOOKUP("Benefits|"&amp;IF(AND(ISNUMBER(K210),K210&gt;0,ISNUMBER(G210),G210&gt;0),IF(K210/G210&gt;='Score settings'!$E$17,"3plus",IF(K210/G210&gt;='Score settings'!$E$16,"1.5to3",IF(K210/G210&gt;='Score settings'!$E$15,"0.5to1.5","positive"))),"None"),'Score settings'!$A$14:$C$43,3,FALSE)/'Score settings'!$B$7*'Score settings'!$D$7</x:f>
        <x:v>0</x:v>
      </x:c>
      <x:c r="AF210" s="41" t="n">
        <x:f>VLOOKUP("Waste|"&amp;R210,'Score settings'!$A$14:$C$43,3,FALSE)/'Score settings'!$B$8*'Score settings'!$D$8</x:f>
        <x:v>0</x:v>
      </x:c>
      <x:c r="AG210" s="41" t="n">
        <x:f>(IF(AND(ISNUMBER(M210),M210&gt;0,ISNUMBER(G210),G210&gt;0),IF(M210/G210&gt;='Score settings'!$E$17,'Score settings'!$G$17,IF(M210/G210&gt;='Score settings'!$E$16,'Score settings'!$G$16,IF(M210/G210&gt;='Score settings'!$E$15,'Score settings'!$G$15,'Score settings'!$G$14))),0)/15*'Score settings'!$B$60+IFERROR(VLOOKUP(IF(ISNUMBER(N210),N210,IF(ISNUMBER(L210),L210,0)),'Score settings'!$E$22:$F$26,2,FALSE),0)/10*'Score settings'!$B$61)/'Score settings'!$B$9*'Score settings'!$D$9</x:f>
        <x:v>0</x:v>
      </x:c>
      <x:c r="AH210" s="41" t="n">
        <x:f>IF(B210="","",SUM(AB210:AG210))</x:f>
        <x:v>35</x:v>
      </x:c>
      <x:c r="AI210" s="41" t="str">
        <x:f>IF(NOT(ISNUMBER(AH210)),"Not scored",VLOOKUP(AH210,'Score settings'!$A$47:$C$50,3,TRUE))</x:f>
        <x:v>Discretionary</x:v>
      </x:c>
      <x:c r="AJ210" s="42" t="n">
        <x:f>IF(OR(NOT(ISNUMBER(AH210)),T210&lt;&gt;"Common pot"),"",COUNTIFS($T$4:$T$509,"Common pot",$AH$4:$AH$509,"&gt;"&amp;AH210)+1)</x:f>
        <x:v>142</x:v>
      </x:c>
      <x:c r="AK210" s="36" t="str">
        <x:f>IF(B210="","Name missing - not scored",IF(OR(NOT(ISNUMBER(G210)),G210&lt;=0),"Investment missing or zero - review",IF(0=1,"Permanent ID missing - reconcile",IF(AND(ISNUMBER(H210),H210/G210&gt;='Score settings'!$B$58,NOT(ISNUMBER(I210))),"Benefit units need review",IF(OR(R210="EXIT",R210="CHALLENGE"),"Waste decision requires scope resolution",IF("Name and organisation matched"&lt;&gt;"Name and organisation matched","Waste evidence match needs review","Provisional source score - confirm evidence"))))))</x:f>
        <x:v>Provisional source score - confirm evidence</x:v>
      </x:c>
      <x:c r="AL210" s="36"/>
      <x:c r="AM210" s="40"/>
      <x:c r="AN210" s="39"/>
      <x:c r="AO210" s="40"/>
      <x:c r="AP210" s="40"/>
    </x:row>
    <x:row r="211" ht="15" hidden="0" customHeight="1">
      <x:c r="A211" s="36" t="str">
        <x:v>Bu-216</x:v>
      </x:c>
      <x:c r="B211" s="37" t="str">
        <x:v>DUPLICATE - Compliance - GTC</x:v>
      </x:c>
      <x:c r="C211" s="36" t="str">
        <x:v>BU Led</x:v>
      </x:c>
      <x:c r="D211" s="36" t="str">
        <x:v>Monitoring - HPM (MCH)</x:v>
      </x:c>
      <x:c r="E211" s="38" t="n">
        <x:v>0</x:v>
      </x:c>
      <x:c r="F211" s="39"/>
      <x:c r="G211" s="38" t="str">
        <x:f>IF(ISNUMBER(F211),F211,IF(E211="","",E211))</x:f>
      </x:c>
      <x:c r="H211" s="38"/>
      <x:c r="I211" s="39"/>
      <x:c r="J211" s="36" t="str">
        <x:v>Risk exposure</x:v>
      </x:c>
      <x:c r="K211" s="38" t="str">
        <x:f>IF(ISNUMBER(I211),I211,IF(OR(NOT(ISNUMBER(H211)),NOT(ISNUMBER(G211)),G211&lt;=0),"",IF(H211/G211&gt;='Score settings'!$B$58,"",IF(J211="Cash savings",H211,IF(J211="Revenue",H211*'Score settings'!$B$55,"")))))</x:f>
      </x:c>
      <x:c r="L211" s="36"/>
      <x:c r="M211" s="39"/>
      <x:c r="N211" s="40"/>
      <x:c r="O211" s="36" t="str">
        <x:v>Blank</x:v>
      </x:c>
      <x:c r="P211" s="36" t="str">
        <x:v>LFR</x:v>
      </x:c>
      <x:c r="Q211" s="36" t="str">
        <x:v>Compliance</x:v>
      </x:c>
      <x:c r="R211" s="36" t="str">
        <x:v>NotAssessed</x:v>
      </x:c>
      <x:c r="S211" s="36" t="str"/>
      <x:c r="T211" s="36" t="str">
        <x:v>Common pot</x:v>
      </x:c>
      <x:c r="U211" s="41" t="n">
        <x:f>VLOOKUP("Priority|"&amp;O211,'Score settings'!$A$14:$C$43,2,FALSE)/'Score settings'!$B$4*'Score settings'!$C$4</x:f>
        <x:v>10</x:v>
      </x:c>
      <x:c r="V211" s="41" t="n">
        <x:f>VLOOKUP("Category|"&amp;P211,'Score settings'!$A$14:$C$43,2,FALSE)/'Score settings'!$B$5*'Score settings'!$C$5</x:f>
        <x:v>20</x:v>
      </x:c>
      <x:c r="W211" s="41" t="n">
        <x:f>VLOOKUP("Area|"&amp;Q211,'Score settings'!$A$14:$C$43,2,FALSE)/'Score settings'!$B$6*'Score settings'!$C$6</x:f>
        <x:v>15</x:v>
      </x:c>
      <x:c r="X211" s="41" t="n">
        <x:f>VLOOKUP("Benefits|"&amp;IF(AND(ISNUMBER(H211),H211&gt;0,ISNUMBER(G211),G211&gt;0),IF(H211/G211&gt;='Score settings'!$E$17,"3plus",IF(H211/G211&gt;='Score settings'!$E$16,"1.5to3",IF(H211/G211&gt;='Score settings'!$E$15,"0.5to1.5","positive"))),"None"),'Score settings'!$A$14:$C$43,2,FALSE)/'Score settings'!$B$7*'Score settings'!$C$7</x:f>
        <x:v>5</x:v>
      </x:c>
      <x:c r="Y211" s="41" t="n">
        <x:f>VLOOKUP("Waste|"&amp;R211,'Score settings'!$A$14:$C$43,2,FALSE)/'Score settings'!$B$8*'Score settings'!$C$8</x:f>
        <x:v>7</x:v>
      </x:c>
      <x:c r="Z211" s="41" t="n">
        <x:f>IF(B211="","",SUM(U211:Y211))</x:f>
        <x:v>57</x:v>
      </x:c>
      <x:c r="AA211" s="41" t="str">
        <x:f>IF(Z211="","Not scored",VLOOKUP(Z211,'Score settings'!$A$47:$C$50,2,TRUE))</x:f>
        <x:v>Strong</x:v>
      </x:c>
      <x:c r="AB211" s="41" t="n">
        <x:f>VLOOKUP("Priority|"&amp;O211,'Score settings'!$A$14:$C$43,3,FALSE)/'Score settings'!$B$4*'Score settings'!$D$4</x:f>
        <x:v>0</x:v>
      </x:c>
      <x:c r="AC211" s="41" t="n">
        <x:f>VLOOKUP("Category|"&amp;P211,'Score settings'!$A$14:$C$43,3,FALSE)/'Score settings'!$B$5*'Score settings'!$D$5</x:f>
        <x:v>10</x:v>
      </x:c>
      <x:c r="AD211" s="41" t="n">
        <x:f>VLOOKUP("Area|"&amp;Q211,'Score settings'!$A$14:$C$43,3,FALSE)/'Score settings'!$B$6*'Score settings'!$D$6</x:f>
        <x:v>10</x:v>
      </x:c>
      <x:c r="AE211" s="41" t="n">
        <x:f>VLOOKUP("Benefits|"&amp;IF(AND(ISNUMBER(K211),K211&gt;0,ISNUMBER(G211),G211&gt;0),IF(K211/G211&gt;='Score settings'!$E$17,"3plus",IF(K211/G211&gt;='Score settings'!$E$16,"1.5to3",IF(K211/G211&gt;='Score settings'!$E$15,"0.5to1.5","positive"))),"None"),'Score settings'!$A$14:$C$43,3,FALSE)/'Score settings'!$B$7*'Score settings'!$D$7</x:f>
        <x:v>0</x:v>
      </x:c>
      <x:c r="AF211" s="41" t="n">
        <x:f>VLOOKUP("Waste|"&amp;R211,'Score settings'!$A$14:$C$43,3,FALSE)/'Score settings'!$B$8*'Score settings'!$D$8</x:f>
        <x:v>0</x:v>
      </x:c>
      <x:c r="AG211" s="41" t="n">
        <x:f>(IF(AND(ISNUMBER(M211),M211&gt;0,ISNUMBER(G211),G211&gt;0),IF(M211/G211&gt;='Score settings'!$E$17,'Score settings'!$G$17,IF(M211/G211&gt;='Score settings'!$E$16,'Score settings'!$G$16,IF(M211/G211&gt;='Score settings'!$E$15,'Score settings'!$G$15,'Score settings'!$G$14))),0)/15*'Score settings'!$B$60+IFERROR(VLOOKUP(IF(ISNUMBER(N211),N211,IF(ISNUMBER(L211),L211,0)),'Score settings'!$E$22:$F$26,2,FALSE),0)/10*'Score settings'!$B$61)/'Score settings'!$B$9*'Score settings'!$D$9</x:f>
        <x:v>0</x:v>
      </x:c>
      <x:c r="AH211" s="41" t="n">
        <x:f>IF(B211="","",SUM(AB211:AG211))</x:f>
        <x:v>20</x:v>
      </x:c>
      <x:c r="AI211" s="41" t="str">
        <x:f>IF(NOT(ISNUMBER(AH211)),"Not scored",VLOOKUP(AH211,'Score settings'!$A$47:$C$50,3,TRUE))</x:f>
        <x:v>Weak</x:v>
      </x:c>
      <x:c r="AJ211" s="42" t="n">
        <x:f>IF(OR(NOT(ISNUMBER(AH211)),T211&lt;&gt;"Common pot"),"",COUNTIFS($T$4:$T$509,"Common pot",$AH$4:$AH$509,"&gt;"&amp;AH211)+1)</x:f>
        <x:v>351</x:v>
      </x:c>
      <x:c r="AK211" s="36" t="str">
        <x:f>IF(B211="","Name missing - not scored",IF(OR(NOT(ISNUMBER(G211)),G211&lt;=0),"Investment missing or zero - review",IF(0=1,"Permanent ID missing - reconcile",IF(AND(ISNUMBER(H211),H211/G211&gt;='Score settings'!$B$58,NOT(ISNUMBER(I211))),"Benefit units need review",IF(OR(R211="EXIT",R211="CHALLENGE"),"Waste decision requires scope resolution",IF("No exact waste match"&lt;&gt;"Name and organisation matched","Waste evidence match needs review","Provisional source score - confirm evidence"))))))</x:f>
        <x:v>Investment missing or zero - review</x:v>
      </x:c>
      <x:c r="AL211" s="36"/>
      <x:c r="AM211" s="40"/>
      <x:c r="AN211" s="39"/>
      <x:c r="AO211" s="40"/>
      <x:c r="AP211" s="40"/>
    </x:row>
    <x:row r="212" ht="15" hidden="0" customHeight="1">
      <x:c r="A212" s="36" t="str">
        <x:v>Bu-217</x:v>
      </x:c>
      <x:c r="B212" s="37" t="str">
        <x:v>FCO Partner Portal Validations Req</x:v>
      </x:c>
      <x:c r="C212" s="36" t="str">
        <x:v>BU Led</x:v>
      </x:c>
      <x:c r="D212" s="36" t="str">
        <x:v>Monitoring - HPM (MCH)</x:v>
      </x:c>
      <x:c r="E212" s="38" t="n">
        <x:v>0.11</x:v>
      </x:c>
      <x:c r="F212" s="39"/>
      <x:c r="G212" s="38" t="n">
        <x:f>IF(ISNUMBER(F212),F212,IF(E212="","",E212))</x:f>
        <x:v>0.11</x:v>
      </x:c>
      <x:c r="H212" s="38"/>
      <x:c r="I212" s="39"/>
      <x:c r="J212" s="36" t="str">
        <x:v>Risk exposure</x:v>
      </x:c>
      <x:c r="K212" s="38" t="str">
        <x:f>IF(ISNUMBER(I212),I212,IF(OR(NOT(ISNUMBER(H212)),NOT(ISNUMBER(G212)),G212&lt;=0),"",IF(H212/G212&gt;='Score settings'!$B$58,"",IF(J212="Cash savings",H212,IF(J212="Revenue",H212*'Score settings'!$B$55,"")))))</x:f>
      </x:c>
      <x:c r="L212" s="36"/>
      <x:c r="M212" s="39"/>
      <x:c r="N212" s="40"/>
      <x:c r="O212" s="36" t="str">
        <x:v>Blank</x:v>
      </x:c>
      <x:c r="P212" s="36" t="str">
        <x:v>LFR</x:v>
      </x:c>
      <x:c r="Q212" s="36" t="str">
        <x:v>Compliance</x:v>
      </x:c>
      <x:c r="R212" s="36" t="str">
        <x:v>NotAssessed</x:v>
      </x:c>
      <x:c r="S212" s="36" t="str"/>
      <x:c r="T212" s="36" t="str">
        <x:v>Common pot</x:v>
      </x:c>
      <x:c r="U212" s="41" t="n">
        <x:f>VLOOKUP("Priority|"&amp;O212,'Score settings'!$A$14:$C$43,2,FALSE)/'Score settings'!$B$4*'Score settings'!$C$4</x:f>
        <x:v>10</x:v>
      </x:c>
      <x:c r="V212" s="41" t="n">
        <x:f>VLOOKUP("Category|"&amp;P212,'Score settings'!$A$14:$C$43,2,FALSE)/'Score settings'!$B$5*'Score settings'!$C$5</x:f>
        <x:v>20</x:v>
      </x:c>
      <x:c r="W212" s="41" t="n">
        <x:f>VLOOKUP("Area|"&amp;Q212,'Score settings'!$A$14:$C$43,2,FALSE)/'Score settings'!$B$6*'Score settings'!$C$6</x:f>
        <x:v>15</x:v>
      </x:c>
      <x:c r="X212" s="41" t="n">
        <x:f>VLOOKUP("Benefits|"&amp;IF(AND(ISNUMBER(H212),H212&gt;0,ISNUMBER(G212),G212&gt;0),IF(H212/G212&gt;='Score settings'!$E$17,"3plus",IF(H212/G212&gt;='Score settings'!$E$16,"1.5to3",IF(H212/G212&gt;='Score settings'!$E$15,"0.5to1.5","positive"))),"None"),'Score settings'!$A$14:$C$43,2,FALSE)/'Score settings'!$B$7*'Score settings'!$C$7</x:f>
        <x:v>5</x:v>
      </x:c>
      <x:c r="Y212" s="41" t="n">
        <x:f>VLOOKUP("Waste|"&amp;R212,'Score settings'!$A$14:$C$43,2,FALSE)/'Score settings'!$B$8*'Score settings'!$C$8</x:f>
        <x:v>7</x:v>
      </x:c>
      <x:c r="Z212" s="41" t="n">
        <x:f>IF(B212="","",SUM(U212:Y212))</x:f>
        <x:v>57</x:v>
      </x:c>
      <x:c r="AA212" s="41" t="str">
        <x:f>IF(Z212="","Not scored",VLOOKUP(Z212,'Score settings'!$A$47:$C$50,2,TRUE))</x:f>
        <x:v>Strong</x:v>
      </x:c>
      <x:c r="AB212" s="41" t="n">
        <x:f>VLOOKUP("Priority|"&amp;O212,'Score settings'!$A$14:$C$43,3,FALSE)/'Score settings'!$B$4*'Score settings'!$D$4</x:f>
        <x:v>0</x:v>
      </x:c>
      <x:c r="AC212" s="41" t="n">
        <x:f>VLOOKUP("Category|"&amp;P212,'Score settings'!$A$14:$C$43,3,FALSE)/'Score settings'!$B$5*'Score settings'!$D$5</x:f>
        <x:v>10</x:v>
      </x:c>
      <x:c r="AD212" s="41" t="n">
        <x:f>VLOOKUP("Area|"&amp;Q212,'Score settings'!$A$14:$C$43,3,FALSE)/'Score settings'!$B$6*'Score settings'!$D$6</x:f>
        <x:v>10</x:v>
      </x:c>
      <x:c r="AE212" s="41" t="n">
        <x:f>VLOOKUP("Benefits|"&amp;IF(AND(ISNUMBER(K212),K212&gt;0,ISNUMBER(G212),G212&gt;0),IF(K212/G212&gt;='Score settings'!$E$17,"3plus",IF(K212/G212&gt;='Score settings'!$E$16,"1.5to3",IF(K212/G212&gt;='Score settings'!$E$15,"0.5to1.5","positive"))),"None"),'Score settings'!$A$14:$C$43,3,FALSE)/'Score settings'!$B$7*'Score settings'!$D$7</x:f>
        <x:v>0</x:v>
      </x:c>
      <x:c r="AF212" s="41" t="n">
        <x:f>VLOOKUP("Waste|"&amp;R212,'Score settings'!$A$14:$C$43,3,FALSE)/'Score settings'!$B$8*'Score settings'!$D$8</x:f>
        <x:v>0</x:v>
      </x:c>
      <x:c r="AG212" s="41" t="n">
        <x:f>(IF(AND(ISNUMBER(M212),M212&gt;0,ISNUMBER(G212),G212&gt;0),IF(M212/G212&gt;='Score settings'!$E$17,'Score settings'!$G$17,IF(M212/G212&gt;='Score settings'!$E$16,'Score settings'!$G$16,IF(M212/G212&gt;='Score settings'!$E$15,'Score settings'!$G$15,'Score settings'!$G$14))),0)/15*'Score settings'!$B$60+IFERROR(VLOOKUP(IF(ISNUMBER(N212),N212,IF(ISNUMBER(L212),L212,0)),'Score settings'!$E$22:$F$26,2,FALSE),0)/10*'Score settings'!$B$61)/'Score settings'!$B$9*'Score settings'!$D$9</x:f>
        <x:v>0</x:v>
      </x:c>
      <x:c r="AH212" s="41" t="n">
        <x:f>IF(B212="","",SUM(AB212:AG212))</x:f>
        <x:v>20</x:v>
      </x:c>
      <x:c r="AI212" s="41" t="str">
        <x:f>IF(NOT(ISNUMBER(AH212)),"Not scored",VLOOKUP(AH212,'Score settings'!$A$47:$C$50,3,TRUE))</x:f>
        <x:v>Weak</x:v>
      </x:c>
      <x:c r="AJ212" s="42" t="n">
        <x:f>IF(OR(NOT(ISNUMBER(AH212)),T212&lt;&gt;"Common pot"),"",COUNTIFS($T$4:$T$509,"Common pot",$AH$4:$AH$509,"&gt;"&amp;AH212)+1)</x:f>
        <x:v>351</x:v>
      </x:c>
      <x:c r="AK212" s="36" t="str">
        <x:f>IF(B212="","Name missing - not scored",IF(OR(NOT(ISNUMBER(G212)),G212&lt;=0),"Investment missing or zero - review",IF(0=1,"Permanent ID missing - reconcile",IF(AND(ISNUMBER(H212),H212/G212&gt;='Score settings'!$B$58,NOT(ISNUMBER(I212))),"Benefit units need review",IF(OR(R212="EXIT",R212="CHALLENGE"),"Waste decision requires scope resolution",IF("Name and organisation matched"&lt;&gt;"Name and organisation matched","Waste evidence match needs review","Provisional source score - confirm evidence"))))))</x:f>
        <x:v>Provisional source score - confirm evidence</x:v>
      </x:c>
      <x:c r="AL212" s="36"/>
      <x:c r="AM212" s="40"/>
      <x:c r="AN212" s="39"/>
      <x:c r="AO212" s="40"/>
      <x:c r="AP212" s="40"/>
    </x:row>
    <x:row r="213" ht="15" hidden="0" customHeight="1">
      <x:c r="A213" s="36" t="str">
        <x:v>Bu-218</x:v>
      </x:c>
      <x:c r="B213" s="37" t="str">
        <x:v>Digital Delivery - Print on Demand for OEM</x:v>
      </x:c>
      <x:c r="C213" s="36" t="str">
        <x:v>BU Led</x:v>
      </x:c>
      <x:c r="D213" s="36" t="str">
        <x:v>Monitoring - HPM (MCH)</x:v>
      </x:c>
      <x:c r="E213" s="38" t="n">
        <x:v>0.3</x:v>
      </x:c>
      <x:c r="F213" s="39"/>
      <x:c r="G213" s="38" t="n">
        <x:f>IF(ISNUMBER(F213),F213,IF(E213="","",E213))</x:f>
        <x:v>0.3</x:v>
      </x:c>
      <x:c r="H213" s="38"/>
      <x:c r="I213" s="39"/>
      <x:c r="J213" s="36" t="str">
        <x:v>Risk exposure</x:v>
      </x:c>
      <x:c r="K213" s="38" t="str">
        <x:f>IF(ISNUMBER(I213),I213,IF(OR(NOT(ISNUMBER(H213)),NOT(ISNUMBER(G213)),G213&lt;=0),"",IF(H213/G213&gt;='Score settings'!$B$58,"",IF(J213="Cash savings",H213,IF(J213="Revenue",H213*'Score settings'!$B$55,"")))))</x:f>
      </x:c>
      <x:c r="L213" s="36"/>
      <x:c r="M213" s="39"/>
      <x:c r="N213" s="40"/>
      <x:c r="O213" s="36" t="str">
        <x:v>Must Do</x:v>
      </x:c>
      <x:c r="P213" s="36" t="str">
        <x:v>NewTech</x:v>
      </x:c>
      <x:c r="Q213" s="36" t="str">
        <x:v>Compliance</x:v>
      </x:c>
      <x:c r="R213" s="36" t="str">
        <x:v>NotAssessed</x:v>
      </x:c>
      <x:c r="S213" s="36" t="str"/>
      <x:c r="T213" s="36" t="str">
        <x:v>Common pot</x:v>
      </x:c>
      <x:c r="U213" s="41" t="n">
        <x:f>VLOOKUP("Priority|"&amp;O213,'Score settings'!$A$14:$C$43,2,FALSE)/'Score settings'!$B$4*'Score settings'!$C$4</x:f>
        <x:v>25</x:v>
      </x:c>
      <x:c r="V213" s="41" t="n">
        <x:f>VLOOKUP("Category|"&amp;P213,'Score settings'!$A$14:$C$43,2,FALSE)/'Score settings'!$B$5*'Score settings'!$C$5</x:f>
        <x:v>5</x:v>
      </x:c>
      <x:c r="W213" s="41" t="n">
        <x:f>VLOOKUP("Area|"&amp;Q213,'Score settings'!$A$14:$C$43,2,FALSE)/'Score settings'!$B$6*'Score settings'!$C$6</x:f>
        <x:v>15</x:v>
      </x:c>
      <x:c r="X213" s="41" t="n">
        <x:f>VLOOKUP("Benefits|"&amp;IF(AND(ISNUMBER(H213),H213&gt;0,ISNUMBER(G213),G213&gt;0),IF(H213/G213&gt;='Score settings'!$E$17,"3plus",IF(H213/G213&gt;='Score settings'!$E$16,"1.5to3",IF(H213/G213&gt;='Score settings'!$E$15,"0.5to1.5","positive"))),"None"),'Score settings'!$A$14:$C$43,2,FALSE)/'Score settings'!$B$7*'Score settings'!$C$7</x:f>
        <x:v>5</x:v>
      </x:c>
      <x:c r="Y213" s="41" t="n">
        <x:f>VLOOKUP("Waste|"&amp;R213,'Score settings'!$A$14:$C$43,2,FALSE)/'Score settings'!$B$8*'Score settings'!$C$8</x:f>
        <x:v>7</x:v>
      </x:c>
      <x:c r="Z213" s="41" t="n">
        <x:f>IF(B213="","",SUM(U213:Y213))</x:f>
        <x:v>57</x:v>
      </x:c>
      <x:c r="AA213" s="41" t="str">
        <x:f>IF(Z213="","Not scored",VLOOKUP(Z213,'Score settings'!$A$47:$C$50,2,TRUE))</x:f>
        <x:v>Strong</x:v>
      </x:c>
      <x:c r="AB213" s="41" t="n">
        <x:f>VLOOKUP("Priority|"&amp;O213,'Score settings'!$A$14:$C$43,3,FALSE)/'Score settings'!$B$4*'Score settings'!$D$4</x:f>
        <x:v>15</x:v>
      </x:c>
      <x:c r="AC213" s="41" t="n">
        <x:f>VLOOKUP("Category|"&amp;P213,'Score settings'!$A$14:$C$43,3,FALSE)/'Score settings'!$B$5*'Score settings'!$D$5</x:f>
        <x:v>2.5</x:v>
      </x:c>
      <x:c r="AD213" s="41" t="n">
        <x:f>VLOOKUP("Area|"&amp;Q213,'Score settings'!$A$14:$C$43,3,FALSE)/'Score settings'!$B$6*'Score settings'!$D$6</x:f>
        <x:v>10</x:v>
      </x:c>
      <x:c r="AE213" s="41" t="n">
        <x:f>VLOOKUP("Benefits|"&amp;IF(AND(ISNUMBER(K213),K213&gt;0,ISNUMBER(G213),G213&gt;0),IF(K213/G213&gt;='Score settings'!$E$17,"3plus",IF(K213/G213&gt;='Score settings'!$E$16,"1.5to3",IF(K213/G213&gt;='Score settings'!$E$15,"0.5to1.5","positive"))),"None"),'Score settings'!$A$14:$C$43,3,FALSE)/'Score settings'!$B$7*'Score settings'!$D$7</x:f>
        <x:v>0</x:v>
      </x:c>
      <x:c r="AF213" s="41" t="n">
        <x:f>VLOOKUP("Waste|"&amp;R213,'Score settings'!$A$14:$C$43,3,FALSE)/'Score settings'!$B$8*'Score settings'!$D$8</x:f>
        <x:v>0</x:v>
      </x:c>
      <x:c r="AG213" s="41" t="n">
        <x:f>(IF(AND(ISNUMBER(M213),M213&gt;0,ISNUMBER(G213),G213&gt;0),IF(M213/G213&gt;='Score settings'!$E$17,'Score settings'!$G$17,IF(M213/G213&gt;='Score settings'!$E$16,'Score settings'!$G$16,IF(M213/G213&gt;='Score settings'!$E$15,'Score settings'!$G$15,'Score settings'!$G$14))),0)/15*'Score settings'!$B$60+IFERROR(VLOOKUP(IF(ISNUMBER(N213),N213,IF(ISNUMBER(L213),L213,0)),'Score settings'!$E$22:$F$26,2,FALSE),0)/10*'Score settings'!$B$61)/'Score settings'!$B$9*'Score settings'!$D$9</x:f>
        <x:v>0</x:v>
      </x:c>
      <x:c r="AH213" s="41" t="n">
        <x:f>IF(B213="","",SUM(AB213:AG213))</x:f>
        <x:v>27.5</x:v>
      </x:c>
      <x:c r="AI213" s="41" t="str">
        <x:f>IF(NOT(ISNUMBER(AH213)),"Not scored",VLOOKUP(AH213,'Score settings'!$A$47:$C$50,3,TRUE))</x:f>
        <x:v>Discretionary</x:v>
      </x:c>
      <x:c r="AJ213" s="42" t="n">
        <x:f>IF(OR(NOT(ISNUMBER(AH213)),T213&lt;&gt;"Common pot"),"",COUNTIFS($T$4:$T$509,"Common pot",$AH$4:$AH$509,"&gt;"&amp;AH213)+1)</x:f>
        <x:v>214</x:v>
      </x:c>
      <x:c r="AK213" s="36" t="str">
        <x:f>IF(B213="","Name missing - not scored",IF(OR(NOT(ISNUMBER(G213)),G213&lt;=0),"Investment missing or zero - review",IF(0=1,"Permanent ID missing - reconcile",IF(AND(ISNUMBER(H213),H213/G213&gt;='Score settings'!$B$58,NOT(ISNUMBER(I213))),"Benefit units need review",IF(OR(R213="EXIT",R213="CHALLENGE"),"Waste decision requires scope resolution",IF("Name and organisation matched"&lt;&gt;"Name and organisation matched","Waste evidence match needs review","Provisional source score - confirm evidence"))))))</x:f>
        <x:v>Provisional source score - confirm evidence</x:v>
      </x:c>
      <x:c r="AL213" s="36"/>
      <x:c r="AM213" s="40"/>
      <x:c r="AN213" s="39"/>
      <x:c r="AO213" s="40"/>
      <x:c r="AP213" s="40"/>
    </x:row>
    <x:row r="214" ht="15" hidden="0" customHeight="1">
      <x:c r="A214" s="36" t="str">
        <x:v>Bu-219</x:v>
      </x:c>
      <x:c r="B214" s="37" t="str">
        <x:v>DUPLICATE - PSA/PS Cloud Migration(international)</x:v>
      </x:c>
      <x:c r="C214" s="36" t="str">
        <x:v>BU Led</x:v>
      </x:c>
      <x:c r="D214" s="36" t="str">
        <x:v>Monitoring - HPM (MCH)</x:v>
      </x:c>
      <x:c r="E214" s="38" t="n">
        <x:v>0</x:v>
      </x:c>
      <x:c r="F214" s="39"/>
      <x:c r="G214" s="38" t="str">
        <x:f>IF(ISNUMBER(F214),F214,IF(E214="","",E214))</x:f>
      </x:c>
      <x:c r="H214" s="38"/>
      <x:c r="I214" s="39"/>
      <x:c r="J214" s="36" t="str">
        <x:v>Risk exposure</x:v>
      </x:c>
      <x:c r="K214" s="38" t="str">
        <x:f>IF(ISNUMBER(I214),I214,IF(OR(NOT(ISNUMBER(H214)),NOT(ISNUMBER(G214)),G214&lt;=0),"",IF(H214/G214&gt;='Score settings'!$B$58,"",IF(J214="Cash savings",H214,IF(J214="Revenue",H214*'Score settings'!$B$55,"")))))</x:f>
      </x:c>
      <x:c r="L214" s="36"/>
      <x:c r="M214" s="39"/>
      <x:c r="N214" s="40"/>
      <x:c r="O214" s="36" t="str">
        <x:v>Depri</x:v>
      </x:c>
      <x:c r="P214" s="36" t="str">
        <x:v>Decomm</x:v>
      </x:c>
      <x:c r="Q214" s="36" t="str">
        <x:v>Compliance</x:v>
      </x:c>
      <x:c r="R214" s="36" t="str">
        <x:v>NotAssessed</x:v>
      </x:c>
      <x:c r="S214" s="36" t="str"/>
      <x:c r="T214" s="36" t="str">
        <x:v>Common pot</x:v>
      </x:c>
      <x:c r="U214" s="41" t="n">
        <x:f>VLOOKUP("Priority|"&amp;O214,'Score settings'!$A$14:$C$43,2,FALSE)/'Score settings'!$B$4*'Score settings'!$C$4</x:f>
        <x:v>5</x:v>
      </x:c>
      <x:c r="V214" s="41" t="n">
        <x:f>VLOOKUP("Category|"&amp;P214,'Score settings'!$A$14:$C$43,2,FALSE)/'Score settings'!$B$5*'Score settings'!$C$5</x:f>
        <x:v>17</x:v>
      </x:c>
      <x:c r="W214" s="41" t="n">
        <x:f>VLOOKUP("Area|"&amp;Q214,'Score settings'!$A$14:$C$43,2,FALSE)/'Score settings'!$B$6*'Score settings'!$C$6</x:f>
        <x:v>15</x:v>
      </x:c>
      <x:c r="X214" s="41" t="n">
        <x:f>VLOOKUP("Benefits|"&amp;IF(AND(ISNUMBER(H214),H214&gt;0,ISNUMBER(G214),G214&gt;0),IF(H214/G214&gt;='Score settings'!$E$17,"3plus",IF(H214/G214&gt;='Score settings'!$E$16,"1.5to3",IF(H214/G214&gt;='Score settings'!$E$15,"0.5to1.5","positive"))),"None"),'Score settings'!$A$14:$C$43,2,FALSE)/'Score settings'!$B$7*'Score settings'!$C$7</x:f>
        <x:v>5</x:v>
      </x:c>
      <x:c r="Y214" s="41" t="n">
        <x:f>VLOOKUP("Waste|"&amp;R214,'Score settings'!$A$14:$C$43,2,FALSE)/'Score settings'!$B$8*'Score settings'!$C$8</x:f>
        <x:v>7</x:v>
      </x:c>
      <x:c r="Z214" s="41" t="n">
        <x:f>IF(B214="","",SUM(U214:Y214))</x:f>
        <x:v>49</x:v>
      </x:c>
      <x:c r="AA214" s="41" t="str">
        <x:f>IF(Z214="","Not scored",VLOOKUP(Z214,'Score settings'!$A$47:$C$50,2,TRUE))</x:f>
        <x:v>Strong</x:v>
      </x:c>
      <x:c r="AB214" s="41" t="n">
        <x:f>VLOOKUP("Priority|"&amp;O214,'Score settings'!$A$14:$C$43,3,FALSE)/'Score settings'!$B$4*'Score settings'!$D$4</x:f>
        <x:v>3</x:v>
      </x:c>
      <x:c r="AC214" s="41" t="n">
        <x:f>VLOOKUP("Category|"&amp;P214,'Score settings'!$A$14:$C$43,3,FALSE)/'Score settings'!$B$5*'Score settings'!$D$5</x:f>
        <x:v>8.5</x:v>
      </x:c>
      <x:c r="AD214" s="41" t="n">
        <x:f>VLOOKUP("Area|"&amp;Q214,'Score settings'!$A$14:$C$43,3,FALSE)/'Score settings'!$B$6*'Score settings'!$D$6</x:f>
        <x:v>10</x:v>
      </x:c>
      <x:c r="AE214" s="41" t="n">
        <x:f>VLOOKUP("Benefits|"&amp;IF(AND(ISNUMBER(K214),K214&gt;0,ISNUMBER(G214),G214&gt;0),IF(K214/G214&gt;='Score settings'!$E$17,"3plus",IF(K214/G214&gt;='Score settings'!$E$16,"1.5to3",IF(K214/G214&gt;='Score settings'!$E$15,"0.5to1.5","positive"))),"None"),'Score settings'!$A$14:$C$43,3,FALSE)/'Score settings'!$B$7*'Score settings'!$D$7</x:f>
        <x:v>0</x:v>
      </x:c>
      <x:c r="AF214" s="41" t="n">
        <x:f>VLOOKUP("Waste|"&amp;R214,'Score settings'!$A$14:$C$43,3,FALSE)/'Score settings'!$B$8*'Score settings'!$D$8</x:f>
        <x:v>0</x:v>
      </x:c>
      <x:c r="AG214" s="41" t="n">
        <x:f>(IF(AND(ISNUMBER(M214),M214&gt;0,ISNUMBER(G214),G214&gt;0),IF(M214/G214&gt;='Score settings'!$E$17,'Score settings'!$G$17,IF(M214/G214&gt;='Score settings'!$E$16,'Score settings'!$G$16,IF(M214/G214&gt;='Score settings'!$E$15,'Score settings'!$G$15,'Score settings'!$G$14))),0)/15*'Score settings'!$B$60+IFERROR(VLOOKUP(IF(ISNUMBER(N214),N214,IF(ISNUMBER(L214),L214,0)),'Score settings'!$E$22:$F$26,2,FALSE),0)/10*'Score settings'!$B$61)/'Score settings'!$B$9*'Score settings'!$D$9</x:f>
        <x:v>0</x:v>
      </x:c>
      <x:c r="AH214" s="41" t="n">
        <x:f>IF(B214="","",SUM(AB214:AG214))</x:f>
        <x:v>21.5</x:v>
      </x:c>
      <x:c r="AI214" s="41" t="str">
        <x:f>IF(NOT(ISNUMBER(AH214)),"Not scored",VLOOKUP(AH214,'Score settings'!$A$47:$C$50,3,TRUE))</x:f>
        <x:v>Weak</x:v>
      </x:c>
      <x:c r="AJ214" s="42" t="n">
        <x:f>IF(OR(NOT(ISNUMBER(AH214)),T214&lt;&gt;"Common pot"),"",COUNTIFS($T$4:$T$509,"Common pot",$AH$4:$AH$509,"&gt;"&amp;AH214)+1)</x:f>
        <x:v>342</x:v>
      </x:c>
      <x:c r="AK214" s="36" t="str">
        <x:f>IF(B214="","Name missing - not scored",IF(OR(NOT(ISNUMBER(G214)),G214&lt;=0),"Investment missing or zero - review",IF(0=1,"Permanent ID missing - reconcile",IF(AND(ISNUMBER(H214),H214/G214&gt;='Score settings'!$B$58,NOT(ISNUMBER(I214))),"Benefit units need review",IF(OR(R214="EXIT",R214="CHALLENGE"),"Waste decision requires scope resolution",IF("No exact waste match"&lt;&gt;"Name and organisation matched","Waste evidence match needs review","Provisional source score - confirm evidence"))))))</x:f>
        <x:v>Investment missing or zero - review</x:v>
      </x:c>
      <x:c r="AL214" s="36"/>
      <x:c r="AM214" s="40"/>
      <x:c r="AN214" s="39"/>
      <x:c r="AO214" s="40"/>
      <x:c r="AP214" s="40"/>
    </x:row>
    <x:row r="215" ht="15" hidden="0" customHeight="1">
      <x:c r="A215" s="36" t="str">
        <x:v>Bu-220</x:v>
      </x:c>
      <x:c r="B215" s="37" t="str">
        <x:v>Education - TEDs - Docebo Migration</x:v>
      </x:c>
      <x:c r="C215" s="36" t="str">
        <x:v>BU Led</x:v>
      </x:c>
      <x:c r="D215" s="36" t="str">
        <x:v>Monitoring - HPM (MCH)</x:v>
      </x:c>
      <x:c r="E215" s="38" t="n">
        <x:v>0.396</x:v>
      </x:c>
      <x:c r="F215" s="39"/>
      <x:c r="G215" s="38" t="n">
        <x:f>IF(ISNUMBER(F215),F215,IF(E215="","",E215))</x:f>
        <x:v>0.396</x:v>
      </x:c>
      <x:c r="H215" s="38"/>
      <x:c r="I215" s="39"/>
      <x:c r="J215" s="36" t="str">
        <x:v>Risk exposure</x:v>
      </x:c>
      <x:c r="K215" s="38" t="str">
        <x:f>IF(ISNUMBER(I215),I215,IF(OR(NOT(ISNUMBER(H215)),NOT(ISNUMBER(G215)),G215&lt;=0),"",IF(H215/G215&gt;='Score settings'!$B$58,"",IF(J215="Cash savings",H215,IF(J215="Revenue",H215*'Score settings'!$B$55,"")))))</x:f>
      </x:c>
      <x:c r="L215" s="36"/>
      <x:c r="M215" s="39"/>
      <x:c r="N215" s="40"/>
      <x:c r="O215" s="36" t="str">
        <x:v>Blank</x:v>
      </x:c>
      <x:c r="P215" s="36" t="str">
        <x:v>Decomm</x:v>
      </x:c>
      <x:c r="Q215" s="36" t="str">
        <x:v>Compliance</x:v>
      </x:c>
      <x:c r="R215" s="36" t="str">
        <x:v>NotAssessed</x:v>
      </x:c>
      <x:c r="S215" s="36" t="str"/>
      <x:c r="T215" s="36" t="str">
        <x:v>Common pot</x:v>
      </x:c>
      <x:c r="U215" s="41" t="n">
        <x:f>VLOOKUP("Priority|"&amp;O215,'Score settings'!$A$14:$C$43,2,FALSE)/'Score settings'!$B$4*'Score settings'!$C$4</x:f>
        <x:v>10</x:v>
      </x:c>
      <x:c r="V215" s="41" t="n">
        <x:f>VLOOKUP("Category|"&amp;P215,'Score settings'!$A$14:$C$43,2,FALSE)/'Score settings'!$B$5*'Score settings'!$C$5</x:f>
        <x:v>17</x:v>
      </x:c>
      <x:c r="W215" s="41" t="n">
        <x:f>VLOOKUP("Area|"&amp;Q215,'Score settings'!$A$14:$C$43,2,FALSE)/'Score settings'!$B$6*'Score settings'!$C$6</x:f>
        <x:v>15</x:v>
      </x:c>
      <x:c r="X215" s="41" t="n">
        <x:f>VLOOKUP("Benefits|"&amp;IF(AND(ISNUMBER(H215),H215&gt;0,ISNUMBER(G215),G215&gt;0),IF(H215/G215&gt;='Score settings'!$E$17,"3plus",IF(H215/G215&gt;='Score settings'!$E$16,"1.5to3",IF(H215/G215&gt;='Score settings'!$E$15,"0.5to1.5","positive"))),"None"),'Score settings'!$A$14:$C$43,2,FALSE)/'Score settings'!$B$7*'Score settings'!$C$7</x:f>
        <x:v>5</x:v>
      </x:c>
      <x:c r="Y215" s="41" t="n">
        <x:f>VLOOKUP("Waste|"&amp;R215,'Score settings'!$A$14:$C$43,2,FALSE)/'Score settings'!$B$8*'Score settings'!$C$8</x:f>
        <x:v>7</x:v>
      </x:c>
      <x:c r="Z215" s="41" t="n">
        <x:f>IF(B215="","",SUM(U215:Y215))</x:f>
        <x:v>54</x:v>
      </x:c>
      <x:c r="AA215" s="41" t="str">
        <x:f>IF(Z215="","Not scored",VLOOKUP(Z215,'Score settings'!$A$47:$C$50,2,TRUE))</x:f>
        <x:v>Strong</x:v>
      </x:c>
      <x:c r="AB215" s="41" t="n">
        <x:f>VLOOKUP("Priority|"&amp;O215,'Score settings'!$A$14:$C$43,3,FALSE)/'Score settings'!$B$4*'Score settings'!$D$4</x:f>
        <x:v>0</x:v>
      </x:c>
      <x:c r="AC215" s="41" t="n">
        <x:f>VLOOKUP("Category|"&amp;P215,'Score settings'!$A$14:$C$43,3,FALSE)/'Score settings'!$B$5*'Score settings'!$D$5</x:f>
        <x:v>8.5</x:v>
      </x:c>
      <x:c r="AD215" s="41" t="n">
        <x:f>VLOOKUP("Area|"&amp;Q215,'Score settings'!$A$14:$C$43,3,FALSE)/'Score settings'!$B$6*'Score settings'!$D$6</x:f>
        <x:v>10</x:v>
      </x:c>
      <x:c r="AE215" s="41" t="n">
        <x:f>VLOOKUP("Benefits|"&amp;IF(AND(ISNUMBER(K215),K215&gt;0,ISNUMBER(G215),G215&gt;0),IF(K215/G215&gt;='Score settings'!$E$17,"3plus",IF(K215/G215&gt;='Score settings'!$E$16,"1.5to3",IF(K215/G215&gt;='Score settings'!$E$15,"0.5to1.5","positive"))),"None"),'Score settings'!$A$14:$C$43,3,FALSE)/'Score settings'!$B$7*'Score settings'!$D$7</x:f>
        <x:v>0</x:v>
      </x:c>
      <x:c r="AF215" s="41" t="n">
        <x:f>VLOOKUP("Waste|"&amp;R215,'Score settings'!$A$14:$C$43,3,FALSE)/'Score settings'!$B$8*'Score settings'!$D$8</x:f>
        <x:v>0</x:v>
      </x:c>
      <x:c r="AG215" s="41" t="n">
        <x:f>(IF(AND(ISNUMBER(M215),M215&gt;0,ISNUMBER(G215),G215&gt;0),IF(M215/G215&gt;='Score settings'!$E$17,'Score settings'!$G$17,IF(M215/G215&gt;='Score settings'!$E$16,'Score settings'!$G$16,IF(M215/G215&gt;='Score settings'!$E$15,'Score settings'!$G$15,'Score settings'!$G$14))),0)/15*'Score settings'!$B$60+IFERROR(VLOOKUP(IF(ISNUMBER(N215),N215,IF(ISNUMBER(L215),L215,0)),'Score settings'!$E$22:$F$26,2,FALSE),0)/10*'Score settings'!$B$61)/'Score settings'!$B$9*'Score settings'!$D$9</x:f>
        <x:v>0</x:v>
      </x:c>
      <x:c r="AH215" s="41" t="n">
        <x:f>IF(B215="","",SUM(AB215:AG215))</x:f>
        <x:v>18.5</x:v>
      </x:c>
      <x:c r="AI215" s="41" t="str">
        <x:f>IF(NOT(ISNUMBER(AH215)),"Not scored",VLOOKUP(AH215,'Score settings'!$A$47:$C$50,3,TRUE))</x:f>
        <x:v>Weak</x:v>
      </x:c>
      <x:c r="AJ215" s="42" t="n">
        <x:f>IF(OR(NOT(ISNUMBER(AH215)),T215&lt;&gt;"Common pot"),"",COUNTIFS($T$4:$T$509,"Common pot",$AH$4:$AH$509,"&gt;"&amp;AH215)+1)</x:f>
        <x:v>362</x:v>
      </x:c>
      <x:c r="AK215" s="36" t="str">
        <x:f>IF(B215="","Name missing - not scored",IF(OR(NOT(ISNUMBER(G215)),G215&lt;=0),"Investment missing or zero - review",IF(0=1,"Permanent ID missing - reconcile",IF(AND(ISNUMBER(H215),H215/G215&gt;='Score settings'!$B$58,NOT(ISNUMBER(I215))),"Benefit units need review",IF(OR(R215="EXIT",R215="CHALLENGE"),"Waste decision requires scope resolution",IF("Name and organisation matched"&lt;&gt;"Name and organisation matched","Waste evidence match needs review","Provisional source score - confirm evidence"))))))</x:f>
        <x:v>Provisional source score - confirm evidence</x:v>
      </x:c>
      <x:c r="AL215" s="36"/>
      <x:c r="AM215" s="40"/>
      <x:c r="AN215" s="39"/>
      <x:c r="AO215" s="40"/>
      <x:c r="AP215" s="40"/>
    </x:row>
    <x:row r="216" ht="15" hidden="0" customHeight="1">
      <x:c r="A216" s="36" t="str">
        <x:v>Bu-221</x:v>
      </x:c>
      <x:c r="B216" s="37" t="str">
        <x:v>Cross business value proposition enablement - (e.g.CCS Stage 2)</x:v>
      </x:c>
      <x:c r="C216" s="36" t="str">
        <x:v>BU Led</x:v>
      </x:c>
      <x:c r="D216" s="36" t="str">
        <x:v>Monitoring - HPM (MCH)</x:v>
      </x:c>
      <x:c r="E216" s="38" t="n">
        <x:v>0.25</x:v>
      </x:c>
      <x:c r="F216" s="39"/>
      <x:c r="G216" s="38" t="n">
        <x:f>IF(ISNUMBER(F216),F216,IF(E216="","",E216))</x:f>
        <x:v>0.25</x:v>
      </x:c>
      <x:c r="H216" s="38"/>
      <x:c r="I216" s="39"/>
      <x:c r="J216" s="36" t="str">
        <x:v>Revenue</x:v>
      </x:c>
      <x:c r="K216" s="38" t="str">
        <x:f>IF(ISNUMBER(I216),I216,IF(OR(NOT(ISNUMBER(H216)),NOT(ISNUMBER(G216)),G216&lt;=0),"",IF(H216/G216&gt;='Score settings'!$B$58,"",IF(J216="Cash savings",H216,IF(J216="Revenue",H216*'Score settings'!$B$55,"")))))</x:f>
      </x:c>
      <x:c r="L216" s="36"/>
      <x:c r="M216" s="39"/>
      <x:c r="N216" s="40"/>
      <x:c r="O216" s="36" t="str">
        <x:v>Must Do</x:v>
      </x:c>
      <x:c r="P216" s="36" t="str">
        <x:v>NewTech</x:v>
      </x:c>
      <x:c r="Q216" s="36" t="str">
        <x:v>Revenue</x:v>
      </x:c>
      <x:c r="R216" s="36" t="str">
        <x:v>NotAssessed</x:v>
      </x:c>
      <x:c r="S216" s="36" t="str"/>
      <x:c r="T216" s="36" t="str">
        <x:v>Common pot</x:v>
      </x:c>
      <x:c r="U216" s="41" t="n">
        <x:f>VLOOKUP("Priority|"&amp;O216,'Score settings'!$A$14:$C$43,2,FALSE)/'Score settings'!$B$4*'Score settings'!$C$4</x:f>
        <x:v>25</x:v>
      </x:c>
      <x:c r="V216" s="41" t="n">
        <x:f>VLOOKUP("Category|"&amp;P216,'Score settings'!$A$14:$C$43,2,FALSE)/'Score settings'!$B$5*'Score settings'!$C$5</x:f>
        <x:v>5</x:v>
      </x:c>
      <x:c r="W216" s="41" t="n">
        <x:f>VLOOKUP("Area|"&amp;Q216,'Score settings'!$A$14:$C$43,2,FALSE)/'Score settings'!$B$6*'Score settings'!$C$6</x:f>
        <x:v>11</x:v>
      </x:c>
      <x:c r="X216" s="41" t="n">
        <x:f>VLOOKUP("Benefits|"&amp;IF(AND(ISNUMBER(H216),H216&gt;0,ISNUMBER(G216),G216&gt;0),IF(H216/G216&gt;='Score settings'!$E$17,"3plus",IF(H216/G216&gt;='Score settings'!$E$16,"1.5to3",IF(H216/G216&gt;='Score settings'!$E$15,"0.5to1.5","positive"))),"None"),'Score settings'!$A$14:$C$43,2,FALSE)/'Score settings'!$B$7*'Score settings'!$C$7</x:f>
        <x:v>5</x:v>
      </x:c>
      <x:c r="Y216" s="41" t="n">
        <x:f>VLOOKUP("Waste|"&amp;R216,'Score settings'!$A$14:$C$43,2,FALSE)/'Score settings'!$B$8*'Score settings'!$C$8</x:f>
        <x:v>7</x:v>
      </x:c>
      <x:c r="Z216" s="41" t="n">
        <x:f>IF(B216="","",SUM(U216:Y216))</x:f>
        <x:v>53</x:v>
      </x:c>
      <x:c r="AA216" s="41" t="str">
        <x:f>IF(Z216="","Not scored",VLOOKUP(Z216,'Score settings'!$A$47:$C$50,2,TRUE))</x:f>
        <x:v>Strong</x:v>
      </x:c>
      <x:c r="AB216" s="41" t="n">
        <x:f>VLOOKUP("Priority|"&amp;O216,'Score settings'!$A$14:$C$43,3,FALSE)/'Score settings'!$B$4*'Score settings'!$D$4</x:f>
        <x:v>15</x:v>
      </x:c>
      <x:c r="AC216" s="41" t="n">
        <x:f>VLOOKUP("Category|"&amp;P216,'Score settings'!$A$14:$C$43,3,FALSE)/'Score settings'!$B$5*'Score settings'!$D$5</x:f>
        <x:v>2.5</x:v>
      </x:c>
      <x:c r="AD216" s="41" t="n">
        <x:f>VLOOKUP("Area|"&amp;Q216,'Score settings'!$A$14:$C$43,3,FALSE)/'Score settings'!$B$6*'Score settings'!$D$6</x:f>
        <x:v>7.333333333333333</x:v>
      </x:c>
      <x:c r="AE216" s="41" t="n">
        <x:f>VLOOKUP("Benefits|"&amp;IF(AND(ISNUMBER(K216),K216&gt;0,ISNUMBER(G216),G216&gt;0),IF(K216/G216&gt;='Score settings'!$E$17,"3plus",IF(K216/G216&gt;='Score settings'!$E$16,"1.5to3",IF(K216/G216&gt;='Score settings'!$E$15,"0.5to1.5","positive"))),"None"),'Score settings'!$A$14:$C$43,3,FALSE)/'Score settings'!$B$7*'Score settings'!$D$7</x:f>
        <x:v>0</x:v>
      </x:c>
      <x:c r="AF216" s="41" t="n">
        <x:f>VLOOKUP("Waste|"&amp;R216,'Score settings'!$A$14:$C$43,3,FALSE)/'Score settings'!$B$8*'Score settings'!$D$8</x:f>
        <x:v>0</x:v>
      </x:c>
      <x:c r="AG216" s="41" t="n">
        <x:f>(IF(AND(ISNUMBER(M216),M216&gt;0,ISNUMBER(G216),G216&gt;0),IF(M216/G216&gt;='Score settings'!$E$17,'Score settings'!$G$17,IF(M216/G216&gt;='Score settings'!$E$16,'Score settings'!$G$16,IF(M216/G216&gt;='Score settings'!$E$15,'Score settings'!$G$15,'Score settings'!$G$14))),0)/15*'Score settings'!$B$60+IFERROR(VLOOKUP(IF(ISNUMBER(N216),N216,IF(ISNUMBER(L216),L216,0)),'Score settings'!$E$22:$F$26,2,FALSE),0)/10*'Score settings'!$B$61)/'Score settings'!$B$9*'Score settings'!$D$9</x:f>
        <x:v>0</x:v>
      </x:c>
      <x:c r="AH216" s="41" t="n">
        <x:f>IF(B216="","",SUM(AB216:AG216))</x:f>
        <x:v>24.833333333333332</x:v>
      </x:c>
      <x:c r="AI216" s="41" t="str">
        <x:f>IF(NOT(ISNUMBER(AH216)),"Not scored",VLOOKUP(AH216,'Score settings'!$A$47:$C$50,3,TRUE))</x:f>
        <x:v>Weak</x:v>
      </x:c>
      <x:c r="AJ216" s="42" t="n">
        <x:f>IF(OR(NOT(ISNUMBER(AH216)),T216&lt;&gt;"Common pot"),"",COUNTIFS($T$4:$T$509,"Common pot",$AH$4:$AH$509,"&gt;"&amp;AH216)+1)</x:f>
        <x:v>269</x:v>
      </x:c>
      <x:c r="AK216" s="36" t="str">
        <x:f>IF(B216="","Name missing - not scored",IF(OR(NOT(ISNUMBER(G216)),G216&lt;=0),"Investment missing or zero - review",IF(0=1,"Permanent ID missing - reconcile",IF(AND(ISNUMBER(H216),H216/G216&gt;='Score settings'!$B$58,NOT(ISNUMBER(I216))),"Benefit units need review",IF(OR(R216="EXIT",R216="CHALLENGE"),"Waste decision requires scope resolution",IF("Name and organisation matched"&lt;&gt;"Name and organisation matched","Waste evidence match needs review","Provisional source score - confirm evidence"))))))</x:f>
        <x:v>Provisional source score - confirm evidence</x:v>
      </x:c>
      <x:c r="AL216" s="36"/>
      <x:c r="AM216" s="40"/>
      <x:c r="AN216" s="39"/>
      <x:c r="AO216" s="40"/>
      <x:c r="AP216" s="40"/>
    </x:row>
    <x:row r="217" ht="48" hidden="0" customHeight="1">
      <x:c r="A217" s="36" t="str">
        <x:v>Bu-222</x:v>
      </x:c>
      <x:c r="B217" s="37" t="str">
        <x:v>Mediana - low end monitoring via OEM (South Korea) (200K)
Two white label products: NiBP cuff and SPO2 sensor will be added to the portfolio. (100K)
SpO2 Oem business setup (160K)</x:v>
      </x:c>
      <x:c r="C217" s="36" t="str">
        <x:v>BU Led</x:v>
      </x:c>
      <x:c r="D217" s="36" t="str">
        <x:v>Monitoring - HPM (MCH)</x:v>
      </x:c>
      <x:c r="E217" s="38" t="n">
        <x:v>0.46</x:v>
      </x:c>
      <x:c r="F217" s="39"/>
      <x:c r="G217" s="38" t="n">
        <x:f>IF(ISNUMBER(F217),F217,IF(E217="","",E217))</x:f>
        <x:v>0.46</x:v>
      </x:c>
      <x:c r="H217" s="38"/>
      <x:c r="I217" s="39"/>
      <x:c r="J217" s="36" t="str">
        <x:v>Revenue</x:v>
      </x:c>
      <x:c r="K217" s="38" t="str">
        <x:f>IF(ISNUMBER(I217),I217,IF(OR(NOT(ISNUMBER(H217)),NOT(ISNUMBER(G217)),G217&lt;=0),"",IF(H217/G217&gt;='Score settings'!$B$58,"",IF(J217="Cash savings",H217,IF(J217="Revenue",H217*'Score settings'!$B$55,"")))))</x:f>
      </x:c>
      <x:c r="L217" s="36"/>
      <x:c r="M217" s="39"/>
      <x:c r="N217" s="40"/>
      <x:c r="O217" s="36" t="str">
        <x:v>Must Do</x:v>
      </x:c>
      <x:c r="P217" s="36" t="str">
        <x:v>NewTech</x:v>
      </x:c>
      <x:c r="Q217" s="36" t="str">
        <x:v>Revenue</x:v>
      </x:c>
      <x:c r="R217" s="36" t="str">
        <x:v>NotAssessed</x:v>
      </x:c>
      <x:c r="S217" s="36" t="str"/>
      <x:c r="T217" s="36" t="str">
        <x:v>Common pot</x:v>
      </x:c>
      <x:c r="U217" s="41" t="n">
        <x:f>VLOOKUP("Priority|"&amp;O217,'Score settings'!$A$14:$C$43,2,FALSE)/'Score settings'!$B$4*'Score settings'!$C$4</x:f>
        <x:v>25</x:v>
      </x:c>
      <x:c r="V217" s="41" t="n">
        <x:f>VLOOKUP("Category|"&amp;P217,'Score settings'!$A$14:$C$43,2,FALSE)/'Score settings'!$B$5*'Score settings'!$C$5</x:f>
        <x:v>5</x:v>
      </x:c>
      <x:c r="W217" s="41" t="n">
        <x:f>VLOOKUP("Area|"&amp;Q217,'Score settings'!$A$14:$C$43,2,FALSE)/'Score settings'!$B$6*'Score settings'!$C$6</x:f>
        <x:v>11</x:v>
      </x:c>
      <x:c r="X217" s="41" t="n">
        <x:f>VLOOKUP("Benefits|"&amp;IF(AND(ISNUMBER(H217),H217&gt;0,ISNUMBER(G217),G217&gt;0),IF(H217/G217&gt;='Score settings'!$E$17,"3plus",IF(H217/G217&gt;='Score settings'!$E$16,"1.5to3",IF(H217/G217&gt;='Score settings'!$E$15,"0.5to1.5","positive"))),"None"),'Score settings'!$A$14:$C$43,2,FALSE)/'Score settings'!$B$7*'Score settings'!$C$7</x:f>
        <x:v>5</x:v>
      </x:c>
      <x:c r="Y217" s="41" t="n">
        <x:f>VLOOKUP("Waste|"&amp;R217,'Score settings'!$A$14:$C$43,2,FALSE)/'Score settings'!$B$8*'Score settings'!$C$8</x:f>
        <x:v>7</x:v>
      </x:c>
      <x:c r="Z217" s="41" t="n">
        <x:f>IF(B217="","",SUM(U217:Y217))</x:f>
        <x:v>53</x:v>
      </x:c>
      <x:c r="AA217" s="41" t="str">
        <x:f>IF(Z217="","Not scored",VLOOKUP(Z217,'Score settings'!$A$47:$C$50,2,TRUE))</x:f>
        <x:v>Strong</x:v>
      </x:c>
      <x:c r="AB217" s="41" t="n">
        <x:f>VLOOKUP("Priority|"&amp;O217,'Score settings'!$A$14:$C$43,3,FALSE)/'Score settings'!$B$4*'Score settings'!$D$4</x:f>
        <x:v>15</x:v>
      </x:c>
      <x:c r="AC217" s="41" t="n">
        <x:f>VLOOKUP("Category|"&amp;P217,'Score settings'!$A$14:$C$43,3,FALSE)/'Score settings'!$B$5*'Score settings'!$D$5</x:f>
        <x:v>2.5</x:v>
      </x:c>
      <x:c r="AD217" s="41" t="n">
        <x:f>VLOOKUP("Area|"&amp;Q217,'Score settings'!$A$14:$C$43,3,FALSE)/'Score settings'!$B$6*'Score settings'!$D$6</x:f>
        <x:v>7.333333333333333</x:v>
      </x:c>
      <x:c r="AE217" s="41" t="n">
        <x:f>VLOOKUP("Benefits|"&amp;IF(AND(ISNUMBER(K217),K217&gt;0,ISNUMBER(G217),G217&gt;0),IF(K217/G217&gt;='Score settings'!$E$17,"3plus",IF(K217/G217&gt;='Score settings'!$E$16,"1.5to3",IF(K217/G217&gt;='Score settings'!$E$15,"0.5to1.5","positive"))),"None"),'Score settings'!$A$14:$C$43,3,FALSE)/'Score settings'!$B$7*'Score settings'!$D$7</x:f>
        <x:v>0</x:v>
      </x:c>
      <x:c r="AF217" s="41" t="n">
        <x:f>VLOOKUP("Waste|"&amp;R217,'Score settings'!$A$14:$C$43,3,FALSE)/'Score settings'!$B$8*'Score settings'!$D$8</x:f>
        <x:v>0</x:v>
      </x:c>
      <x:c r="AG217" s="41" t="n">
        <x:f>(IF(AND(ISNUMBER(M217),M217&gt;0,ISNUMBER(G217),G217&gt;0),IF(M217/G217&gt;='Score settings'!$E$17,'Score settings'!$G$17,IF(M217/G217&gt;='Score settings'!$E$16,'Score settings'!$G$16,IF(M217/G217&gt;='Score settings'!$E$15,'Score settings'!$G$15,'Score settings'!$G$14))),0)/15*'Score settings'!$B$60+IFERROR(VLOOKUP(IF(ISNUMBER(N217),N217,IF(ISNUMBER(L217),L217,0)),'Score settings'!$E$22:$F$26,2,FALSE),0)/10*'Score settings'!$B$61)/'Score settings'!$B$9*'Score settings'!$D$9</x:f>
        <x:v>0</x:v>
      </x:c>
      <x:c r="AH217" s="41" t="n">
        <x:f>IF(B217="","",SUM(AB217:AG217))</x:f>
        <x:v>24.833333333333332</x:v>
      </x:c>
      <x:c r="AI217" s="41" t="str">
        <x:f>IF(NOT(ISNUMBER(AH217)),"Not scored",VLOOKUP(AH217,'Score settings'!$A$47:$C$50,3,TRUE))</x:f>
        <x:v>Weak</x:v>
      </x:c>
      <x:c r="AJ217" s="42" t="n">
        <x:f>IF(OR(NOT(ISNUMBER(AH217)),T217&lt;&gt;"Common pot"),"",COUNTIFS($T$4:$T$509,"Common pot",$AH$4:$AH$509,"&gt;"&amp;AH217)+1)</x:f>
        <x:v>269</x:v>
      </x:c>
      <x:c r="AK217" s="36" t="str">
        <x:f>IF(B217="","Name missing - not scored",IF(OR(NOT(ISNUMBER(G217)),G217&lt;=0),"Investment missing or zero - review",IF(0=1,"Permanent ID missing - reconcile",IF(AND(ISNUMBER(H217),H217/G217&gt;='Score settings'!$B$58,NOT(ISNUMBER(I217))),"Benefit units need review",IF(OR(R217="EXIT",R217="CHALLENGE"),"Waste decision requires scope resolution",IF("No exact waste match"&lt;&gt;"Name and organisation matched","Waste evidence match needs review","Provisional source score - confirm evidence"))))))</x:f>
        <x:v>Waste evidence match needs review</x:v>
      </x:c>
      <x:c r="AL217" s="36"/>
      <x:c r="AM217" s="40"/>
      <x:c r="AN217" s="39"/>
      <x:c r="AO217" s="40"/>
      <x:c r="AP217" s="40"/>
    </x:row>
    <x:row r="218" ht="24" hidden="0" customHeight="1">
      <x:c r="A218" s="36" t="str">
        <x:v>Bu-223</x:v>
      </x:c>
      <x:c r="B218" s="37" t="str">
        <x:v>Two white label products: NiBP cuff and SPO2 sensor will be added to the portfolio.</x:v>
      </x:c>
      <x:c r="C218" s="36" t="str">
        <x:v>BU Led</x:v>
      </x:c>
      <x:c r="D218" s="36" t="str">
        <x:v>Monitoring - HPM (MCH)</x:v>
      </x:c>
      <x:c r="E218" s="38" t="n">
        <x:v>0</x:v>
      </x:c>
      <x:c r="F218" s="39"/>
      <x:c r="G218" s="38" t="str">
        <x:f>IF(ISNUMBER(F218),F218,IF(E218="","",E218))</x:f>
      </x:c>
      <x:c r="H218" s="38"/>
      <x:c r="I218" s="39"/>
      <x:c r="J218" s="36" t="str">
        <x:v>Revenue</x:v>
      </x:c>
      <x:c r="K218" s="38" t="str">
        <x:f>IF(ISNUMBER(I218),I218,IF(OR(NOT(ISNUMBER(H218)),NOT(ISNUMBER(G218)),G218&lt;=0),"",IF(H218/G218&gt;='Score settings'!$B$58,"",IF(J218="Cash savings",H218,IF(J218="Revenue",H218*'Score settings'!$B$55,"")))))</x:f>
      </x:c>
      <x:c r="L218" s="36"/>
      <x:c r="M218" s="39"/>
      <x:c r="N218" s="40"/>
      <x:c r="O218" s="36" t="str">
        <x:v>Depri</x:v>
      </x:c>
      <x:c r="P218" s="36" t="str">
        <x:v>NewTech</x:v>
      </x:c>
      <x:c r="Q218" s="36" t="str">
        <x:v>Revenue</x:v>
      </x:c>
      <x:c r="R218" s="36" t="str">
        <x:v>NotAssessed</x:v>
      </x:c>
      <x:c r="S218" s="36" t="str"/>
      <x:c r="T218" s="36" t="str">
        <x:v>Common pot</x:v>
      </x:c>
      <x:c r="U218" s="41" t="n">
        <x:f>VLOOKUP("Priority|"&amp;O218,'Score settings'!$A$14:$C$43,2,FALSE)/'Score settings'!$B$4*'Score settings'!$C$4</x:f>
        <x:v>5</x:v>
      </x:c>
      <x:c r="V218" s="41" t="n">
        <x:f>VLOOKUP("Category|"&amp;P218,'Score settings'!$A$14:$C$43,2,FALSE)/'Score settings'!$B$5*'Score settings'!$C$5</x:f>
        <x:v>5</x:v>
      </x:c>
      <x:c r="W218" s="41" t="n">
        <x:f>VLOOKUP("Area|"&amp;Q218,'Score settings'!$A$14:$C$43,2,FALSE)/'Score settings'!$B$6*'Score settings'!$C$6</x:f>
        <x:v>11</x:v>
      </x:c>
      <x:c r="X218" s="41" t="n">
        <x:f>VLOOKUP("Benefits|"&amp;IF(AND(ISNUMBER(H218),H218&gt;0,ISNUMBER(G218),G218&gt;0),IF(H218/G218&gt;='Score settings'!$E$17,"3plus",IF(H218/G218&gt;='Score settings'!$E$16,"1.5to3",IF(H218/G218&gt;='Score settings'!$E$15,"0.5to1.5","positive"))),"None"),'Score settings'!$A$14:$C$43,2,FALSE)/'Score settings'!$B$7*'Score settings'!$C$7</x:f>
        <x:v>5</x:v>
      </x:c>
      <x:c r="Y218" s="41" t="n">
        <x:f>VLOOKUP("Waste|"&amp;R218,'Score settings'!$A$14:$C$43,2,FALSE)/'Score settings'!$B$8*'Score settings'!$C$8</x:f>
        <x:v>7</x:v>
      </x:c>
      <x:c r="Z218" s="41" t="n">
        <x:f>IF(B218="","",SUM(U218:Y218))</x:f>
        <x:v>33</x:v>
      </x:c>
      <x:c r="AA218" s="41" t="str">
        <x:f>IF(Z218="","Not scored",VLOOKUP(Z218,'Score settings'!$A$47:$C$50,2,TRUE))</x:f>
        <x:v>Discretionary</x:v>
      </x:c>
      <x:c r="AB218" s="41" t="n">
        <x:f>VLOOKUP("Priority|"&amp;O218,'Score settings'!$A$14:$C$43,3,FALSE)/'Score settings'!$B$4*'Score settings'!$D$4</x:f>
        <x:v>3</x:v>
      </x:c>
      <x:c r="AC218" s="41" t="n">
        <x:f>VLOOKUP("Category|"&amp;P218,'Score settings'!$A$14:$C$43,3,FALSE)/'Score settings'!$B$5*'Score settings'!$D$5</x:f>
        <x:v>2.5</x:v>
      </x:c>
      <x:c r="AD218" s="41" t="n">
        <x:f>VLOOKUP("Area|"&amp;Q218,'Score settings'!$A$14:$C$43,3,FALSE)/'Score settings'!$B$6*'Score settings'!$D$6</x:f>
        <x:v>7.333333333333333</x:v>
      </x:c>
      <x:c r="AE218" s="41" t="n">
        <x:f>VLOOKUP("Benefits|"&amp;IF(AND(ISNUMBER(K218),K218&gt;0,ISNUMBER(G218),G218&gt;0),IF(K218/G218&gt;='Score settings'!$E$17,"3plus",IF(K218/G218&gt;='Score settings'!$E$16,"1.5to3",IF(K218/G218&gt;='Score settings'!$E$15,"0.5to1.5","positive"))),"None"),'Score settings'!$A$14:$C$43,3,FALSE)/'Score settings'!$B$7*'Score settings'!$D$7</x:f>
        <x:v>0</x:v>
      </x:c>
      <x:c r="AF218" s="41" t="n">
        <x:f>VLOOKUP("Waste|"&amp;R218,'Score settings'!$A$14:$C$43,3,FALSE)/'Score settings'!$B$8*'Score settings'!$D$8</x:f>
        <x:v>0</x:v>
      </x:c>
      <x:c r="AG218" s="41" t="n">
        <x:f>(IF(AND(ISNUMBER(M218),M218&gt;0,ISNUMBER(G218),G218&gt;0),IF(M218/G218&gt;='Score settings'!$E$17,'Score settings'!$G$17,IF(M218/G218&gt;='Score settings'!$E$16,'Score settings'!$G$16,IF(M218/G218&gt;='Score settings'!$E$15,'Score settings'!$G$15,'Score settings'!$G$14))),0)/15*'Score settings'!$B$60+IFERROR(VLOOKUP(IF(ISNUMBER(N218),N218,IF(ISNUMBER(L218),L218,0)),'Score settings'!$E$22:$F$26,2,FALSE),0)/10*'Score settings'!$B$61)/'Score settings'!$B$9*'Score settings'!$D$9</x:f>
        <x:v>0</x:v>
      </x:c>
      <x:c r="AH218" s="41" t="n">
        <x:f>IF(B218="","",SUM(AB218:AG218))</x:f>
        <x:v>12.833333333333332</x:v>
      </x:c>
      <x:c r="AI218" s="41" t="str">
        <x:f>IF(NOT(ISNUMBER(AH218)),"Not scored",VLOOKUP(AH218,'Score settings'!$A$47:$C$50,3,TRUE))</x:f>
        <x:v>Weak</x:v>
      </x:c>
      <x:c r="AJ218" s="42" t="n">
        <x:f>IF(OR(NOT(ISNUMBER(AH218)),T218&lt;&gt;"Common pot"),"",COUNTIFS($T$4:$T$509,"Common pot",$AH$4:$AH$509,"&gt;"&amp;AH218)+1)</x:f>
        <x:v>372</x:v>
      </x:c>
      <x:c r="AK218" s="36" t="str">
        <x:f>IF(B218="","Name missing - not scored",IF(OR(NOT(ISNUMBER(G218)),G218&lt;=0),"Investment missing or zero - review",IF(0=1,"Permanent ID missing - reconcile",IF(AND(ISNUMBER(H218),H218/G218&gt;='Score settings'!$B$58,NOT(ISNUMBER(I218))),"Benefit units need review",IF(OR(R218="EXIT",R218="CHALLENGE"),"Waste decision requires scope resolution",IF("Name and organisation matched"&lt;&gt;"Name and organisation matched","Waste evidence match needs review","Provisional source score - confirm evidence"))))))</x:f>
        <x:v>Investment missing or zero - review</x:v>
      </x:c>
      <x:c r="AL218" s="36"/>
      <x:c r="AM218" s="40"/>
      <x:c r="AN218" s="39"/>
      <x:c r="AO218" s="40"/>
      <x:c r="AP218" s="40"/>
    </x:row>
    <x:row r="219" ht="15" hidden="0" customHeight="1">
      <x:c r="A219" s="36" t="str">
        <x:v>Bu-224</x:v>
      </x:c>
      <x:c r="B219" s="37" t="str">
        <x:v>SaaS capabilities (incl.Lifecycle mgmt for contracts )</x:v>
      </x:c>
      <x:c r="C219" s="36" t="str">
        <x:v>BU Led</x:v>
      </x:c>
      <x:c r="D219" s="36" t="str">
        <x:v>Monitoring - HPM (MCH)</x:v>
      </x:c>
      <x:c r="E219" s="38" t="n">
        <x:v>1.1</x:v>
      </x:c>
      <x:c r="F219" s="39"/>
      <x:c r="G219" s="38" t="n">
        <x:f>IF(ISNUMBER(F219),F219,IF(E219="","",E219))</x:f>
        <x:v>1.1</x:v>
      </x:c>
      <x:c r="H219" s="38"/>
      <x:c r="I219" s="39"/>
      <x:c r="J219" s="36" t="str">
        <x:v>Revenue</x:v>
      </x:c>
      <x:c r="K219" s="38" t="str">
        <x:f>IF(ISNUMBER(I219),I219,IF(OR(NOT(ISNUMBER(H219)),NOT(ISNUMBER(G219)),G219&lt;=0),"",IF(H219/G219&gt;='Score settings'!$B$58,"",IF(J219="Cash savings",H219,IF(J219="Revenue",H219*'Score settings'!$B$55,"")))))</x:f>
      </x:c>
      <x:c r="L219" s="36"/>
      <x:c r="M219" s="39"/>
      <x:c r="N219" s="40"/>
      <x:c r="O219" s="36" t="str">
        <x:v>Must Do</x:v>
      </x:c>
      <x:c r="P219" s="36" t="str">
        <x:v>NewTech</x:v>
      </x:c>
      <x:c r="Q219" s="36" t="str">
        <x:v>Revenue</x:v>
      </x:c>
      <x:c r="R219" s="36" t="str">
        <x:v>NotAssessed</x:v>
      </x:c>
      <x:c r="S219" s="36" t="str"/>
      <x:c r="T219" s="36" t="str">
        <x:v>Common pot</x:v>
      </x:c>
      <x:c r="U219" s="41" t="n">
        <x:f>VLOOKUP("Priority|"&amp;O219,'Score settings'!$A$14:$C$43,2,FALSE)/'Score settings'!$B$4*'Score settings'!$C$4</x:f>
        <x:v>25</x:v>
      </x:c>
      <x:c r="V219" s="41" t="n">
        <x:f>VLOOKUP("Category|"&amp;P219,'Score settings'!$A$14:$C$43,2,FALSE)/'Score settings'!$B$5*'Score settings'!$C$5</x:f>
        <x:v>5</x:v>
      </x:c>
      <x:c r="W219" s="41" t="n">
        <x:f>VLOOKUP("Area|"&amp;Q219,'Score settings'!$A$14:$C$43,2,FALSE)/'Score settings'!$B$6*'Score settings'!$C$6</x:f>
        <x:v>11</x:v>
      </x:c>
      <x:c r="X219" s="41" t="n">
        <x:f>VLOOKUP("Benefits|"&amp;IF(AND(ISNUMBER(H219),H219&gt;0,ISNUMBER(G219),G219&gt;0),IF(H219/G219&gt;='Score settings'!$E$17,"3plus",IF(H219/G219&gt;='Score settings'!$E$16,"1.5to3",IF(H219/G219&gt;='Score settings'!$E$15,"0.5to1.5","positive"))),"None"),'Score settings'!$A$14:$C$43,2,FALSE)/'Score settings'!$B$7*'Score settings'!$C$7</x:f>
        <x:v>5</x:v>
      </x:c>
      <x:c r="Y219" s="41" t="n">
        <x:f>VLOOKUP("Waste|"&amp;R219,'Score settings'!$A$14:$C$43,2,FALSE)/'Score settings'!$B$8*'Score settings'!$C$8</x:f>
        <x:v>7</x:v>
      </x:c>
      <x:c r="Z219" s="41" t="n">
        <x:f>IF(B219="","",SUM(U219:Y219))</x:f>
        <x:v>53</x:v>
      </x:c>
      <x:c r="AA219" s="41" t="str">
        <x:f>IF(Z219="","Not scored",VLOOKUP(Z219,'Score settings'!$A$47:$C$50,2,TRUE))</x:f>
        <x:v>Strong</x:v>
      </x:c>
      <x:c r="AB219" s="41" t="n">
        <x:f>VLOOKUP("Priority|"&amp;O219,'Score settings'!$A$14:$C$43,3,FALSE)/'Score settings'!$B$4*'Score settings'!$D$4</x:f>
        <x:v>15</x:v>
      </x:c>
      <x:c r="AC219" s="41" t="n">
        <x:f>VLOOKUP("Category|"&amp;P219,'Score settings'!$A$14:$C$43,3,FALSE)/'Score settings'!$B$5*'Score settings'!$D$5</x:f>
        <x:v>2.5</x:v>
      </x:c>
      <x:c r="AD219" s="41" t="n">
        <x:f>VLOOKUP("Area|"&amp;Q219,'Score settings'!$A$14:$C$43,3,FALSE)/'Score settings'!$B$6*'Score settings'!$D$6</x:f>
        <x:v>7.333333333333333</x:v>
      </x:c>
      <x:c r="AE219" s="41" t="n">
        <x:f>VLOOKUP("Benefits|"&amp;IF(AND(ISNUMBER(K219),K219&gt;0,ISNUMBER(G219),G219&gt;0),IF(K219/G219&gt;='Score settings'!$E$17,"3plus",IF(K219/G219&gt;='Score settings'!$E$16,"1.5to3",IF(K219/G219&gt;='Score settings'!$E$15,"0.5to1.5","positive"))),"None"),'Score settings'!$A$14:$C$43,3,FALSE)/'Score settings'!$B$7*'Score settings'!$D$7</x:f>
        <x:v>0</x:v>
      </x:c>
      <x:c r="AF219" s="41" t="n">
        <x:f>VLOOKUP("Waste|"&amp;R219,'Score settings'!$A$14:$C$43,3,FALSE)/'Score settings'!$B$8*'Score settings'!$D$8</x:f>
        <x:v>0</x:v>
      </x:c>
      <x:c r="AG219" s="41" t="n">
        <x:f>(IF(AND(ISNUMBER(M219),M219&gt;0,ISNUMBER(G219),G219&gt;0),IF(M219/G219&gt;='Score settings'!$E$17,'Score settings'!$G$17,IF(M219/G219&gt;='Score settings'!$E$16,'Score settings'!$G$16,IF(M219/G219&gt;='Score settings'!$E$15,'Score settings'!$G$15,'Score settings'!$G$14))),0)/15*'Score settings'!$B$60+IFERROR(VLOOKUP(IF(ISNUMBER(N219),N219,IF(ISNUMBER(L219),L219,0)),'Score settings'!$E$22:$F$26,2,FALSE),0)/10*'Score settings'!$B$61)/'Score settings'!$B$9*'Score settings'!$D$9</x:f>
        <x:v>0</x:v>
      </x:c>
      <x:c r="AH219" s="41" t="n">
        <x:f>IF(B219="","",SUM(AB219:AG219))</x:f>
        <x:v>24.833333333333332</x:v>
      </x:c>
      <x:c r="AI219" s="41" t="str">
        <x:f>IF(NOT(ISNUMBER(AH219)),"Not scored",VLOOKUP(AH219,'Score settings'!$A$47:$C$50,3,TRUE))</x:f>
        <x:v>Weak</x:v>
      </x:c>
      <x:c r="AJ219" s="42" t="n">
        <x:f>IF(OR(NOT(ISNUMBER(AH219)),T219&lt;&gt;"Common pot"),"",COUNTIFS($T$4:$T$509,"Common pot",$AH$4:$AH$509,"&gt;"&amp;AH219)+1)</x:f>
        <x:v>269</x:v>
      </x:c>
      <x:c r="AK219" s="36" t="str">
        <x:f>IF(B219="","Name missing - not scored",IF(OR(NOT(ISNUMBER(G219)),G219&lt;=0),"Investment missing or zero - review",IF(0=1,"Permanent ID missing - reconcile",IF(AND(ISNUMBER(H219),H219/G219&gt;='Score settings'!$B$58,NOT(ISNUMBER(I219))),"Benefit units need review",IF(OR(R219="EXIT",R219="CHALLENGE"),"Waste decision requires scope resolution",IF("Name and organisation matched"&lt;&gt;"Name and organisation matched","Waste evidence match needs review","Provisional source score - confirm evidence"))))))</x:f>
        <x:v>Provisional source score - confirm evidence</x:v>
      </x:c>
      <x:c r="AL219" s="36"/>
      <x:c r="AM219" s="40"/>
      <x:c r="AN219" s="39"/>
      <x:c r="AO219" s="40"/>
      <x:c r="AP219" s="40"/>
    </x:row>
    <x:row r="220" ht="15" hidden="0" customHeight="1">
      <x:c r="A220" s="36" t="str">
        <x:v>Bu-225</x:v>
      </x:c>
      <x:c r="B220" s="37" t="str">
        <x:v>Bangalore Test Lab extension </x:v>
      </x:c>
      <x:c r="C220" s="36" t="str">
        <x:v>BU Led</x:v>
      </x:c>
      <x:c r="D220" s="36" t="str">
        <x:v>Monitoring - HPM (MCH)</x:v>
      </x:c>
      <x:c r="E220" s="38" t="n">
        <x:v>0.5</x:v>
      </x:c>
      <x:c r="F220" s="39"/>
      <x:c r="G220" s="38" t="n">
        <x:f>IF(ISNUMBER(F220),F220,IF(E220="","",E220))</x:f>
        <x:v>0.5</x:v>
      </x:c>
      <x:c r="H220" s="38"/>
      <x:c r="I220" s="39"/>
      <x:c r="J220" s="36" t="str">
        <x:v>Risk exposure</x:v>
      </x:c>
      <x:c r="K220" s="38" t="str">
        <x:f>IF(ISNUMBER(I220),I220,IF(OR(NOT(ISNUMBER(H220)),NOT(ISNUMBER(G220)),G220&lt;=0),"",IF(H220/G220&gt;='Score settings'!$B$58,"",IF(J220="Cash savings",H220,IF(J220="Revenue",H220*'Score settings'!$B$55,"")))))</x:f>
      </x:c>
      <x:c r="L220" s="36"/>
      <x:c r="M220" s="39"/>
      <x:c r="N220" s="40"/>
      <x:c r="O220" s="36" t="str">
        <x:v>Must Do</x:v>
      </x:c>
      <x:c r="P220" s="36" t="str">
        <x:v>NewTech</x:v>
      </x:c>
      <x:c r="Q220" s="36" t="str">
        <x:v>Compliance</x:v>
      </x:c>
      <x:c r="R220" s="36" t="str">
        <x:v>NotAssessed</x:v>
      </x:c>
      <x:c r="S220" s="36" t="str"/>
      <x:c r="T220" s="36" t="str">
        <x:v>Common pot</x:v>
      </x:c>
      <x:c r="U220" s="41" t="n">
        <x:f>VLOOKUP("Priority|"&amp;O220,'Score settings'!$A$14:$C$43,2,FALSE)/'Score settings'!$B$4*'Score settings'!$C$4</x:f>
        <x:v>25</x:v>
      </x:c>
      <x:c r="V220" s="41" t="n">
        <x:f>VLOOKUP("Category|"&amp;P220,'Score settings'!$A$14:$C$43,2,FALSE)/'Score settings'!$B$5*'Score settings'!$C$5</x:f>
        <x:v>5</x:v>
      </x:c>
      <x:c r="W220" s="41" t="n">
        <x:f>VLOOKUP("Area|"&amp;Q220,'Score settings'!$A$14:$C$43,2,FALSE)/'Score settings'!$B$6*'Score settings'!$C$6</x:f>
        <x:v>15</x:v>
      </x:c>
      <x:c r="X220" s="41" t="n">
        <x:f>VLOOKUP("Benefits|"&amp;IF(AND(ISNUMBER(H220),H220&gt;0,ISNUMBER(G220),G220&gt;0),IF(H220/G220&gt;='Score settings'!$E$17,"3plus",IF(H220/G220&gt;='Score settings'!$E$16,"1.5to3",IF(H220/G220&gt;='Score settings'!$E$15,"0.5to1.5","positive"))),"None"),'Score settings'!$A$14:$C$43,2,FALSE)/'Score settings'!$B$7*'Score settings'!$C$7</x:f>
        <x:v>5</x:v>
      </x:c>
      <x:c r="Y220" s="41" t="n">
        <x:f>VLOOKUP("Waste|"&amp;R220,'Score settings'!$A$14:$C$43,2,FALSE)/'Score settings'!$B$8*'Score settings'!$C$8</x:f>
        <x:v>7</x:v>
      </x:c>
      <x:c r="Z220" s="41" t="n">
        <x:f>IF(B220="","",SUM(U220:Y220))</x:f>
        <x:v>57</x:v>
      </x:c>
      <x:c r="AA220" s="41" t="str">
        <x:f>IF(Z220="","Not scored",VLOOKUP(Z220,'Score settings'!$A$47:$C$50,2,TRUE))</x:f>
        <x:v>Strong</x:v>
      </x:c>
      <x:c r="AB220" s="41" t="n">
        <x:f>VLOOKUP("Priority|"&amp;O220,'Score settings'!$A$14:$C$43,3,FALSE)/'Score settings'!$B$4*'Score settings'!$D$4</x:f>
        <x:v>15</x:v>
      </x:c>
      <x:c r="AC220" s="41" t="n">
        <x:f>VLOOKUP("Category|"&amp;P220,'Score settings'!$A$14:$C$43,3,FALSE)/'Score settings'!$B$5*'Score settings'!$D$5</x:f>
        <x:v>2.5</x:v>
      </x:c>
      <x:c r="AD220" s="41" t="n">
        <x:f>VLOOKUP("Area|"&amp;Q220,'Score settings'!$A$14:$C$43,3,FALSE)/'Score settings'!$B$6*'Score settings'!$D$6</x:f>
        <x:v>10</x:v>
      </x:c>
      <x:c r="AE220" s="41" t="n">
        <x:f>VLOOKUP("Benefits|"&amp;IF(AND(ISNUMBER(K220),K220&gt;0,ISNUMBER(G220),G220&gt;0),IF(K220/G220&gt;='Score settings'!$E$17,"3plus",IF(K220/G220&gt;='Score settings'!$E$16,"1.5to3",IF(K220/G220&gt;='Score settings'!$E$15,"0.5to1.5","positive"))),"None"),'Score settings'!$A$14:$C$43,3,FALSE)/'Score settings'!$B$7*'Score settings'!$D$7</x:f>
        <x:v>0</x:v>
      </x:c>
      <x:c r="AF220" s="41" t="n">
        <x:f>VLOOKUP("Waste|"&amp;R220,'Score settings'!$A$14:$C$43,3,FALSE)/'Score settings'!$B$8*'Score settings'!$D$8</x:f>
        <x:v>0</x:v>
      </x:c>
      <x:c r="AG220" s="41" t="n">
        <x:f>(IF(AND(ISNUMBER(M220),M220&gt;0,ISNUMBER(G220),G220&gt;0),IF(M220/G220&gt;='Score settings'!$E$17,'Score settings'!$G$17,IF(M220/G220&gt;='Score settings'!$E$16,'Score settings'!$G$16,IF(M220/G220&gt;='Score settings'!$E$15,'Score settings'!$G$15,'Score settings'!$G$14))),0)/15*'Score settings'!$B$60+IFERROR(VLOOKUP(IF(ISNUMBER(N220),N220,IF(ISNUMBER(L220),L220,0)),'Score settings'!$E$22:$F$26,2,FALSE),0)/10*'Score settings'!$B$61)/'Score settings'!$B$9*'Score settings'!$D$9</x:f>
        <x:v>0</x:v>
      </x:c>
      <x:c r="AH220" s="41" t="n">
        <x:f>IF(B220="","",SUM(AB220:AG220))</x:f>
        <x:v>27.5</x:v>
      </x:c>
      <x:c r="AI220" s="41" t="str">
        <x:f>IF(NOT(ISNUMBER(AH220)),"Not scored",VLOOKUP(AH220,'Score settings'!$A$47:$C$50,3,TRUE))</x:f>
        <x:v>Discretionary</x:v>
      </x:c>
      <x:c r="AJ220" s="42" t="n">
        <x:f>IF(OR(NOT(ISNUMBER(AH220)),T220&lt;&gt;"Common pot"),"",COUNTIFS($T$4:$T$509,"Common pot",$AH$4:$AH$509,"&gt;"&amp;AH220)+1)</x:f>
        <x:v>214</x:v>
      </x:c>
      <x:c r="AK220" s="36" t="str">
        <x:f>IF(B220="","Name missing - not scored",IF(OR(NOT(ISNUMBER(G220)),G220&lt;=0),"Investment missing or zero - review",IF(0=1,"Permanent ID missing - reconcile",IF(AND(ISNUMBER(H220),H220/G220&gt;='Score settings'!$B$58,NOT(ISNUMBER(I220))),"Benefit units need review",IF(OR(R220="EXIT",R220="CHALLENGE"),"Waste decision requires scope resolution",IF("Name and organisation matched"&lt;&gt;"Name and organisation matched","Waste evidence match needs review","Provisional source score - confirm evidence"))))))</x:f>
        <x:v>Provisional source score - confirm evidence</x:v>
      </x:c>
      <x:c r="AL220" s="36"/>
      <x:c r="AM220" s="40"/>
      <x:c r="AN220" s="39"/>
      <x:c r="AO220" s="40"/>
      <x:c r="AP220" s="40"/>
    </x:row>
    <x:row r="221" ht="15" hidden="0" customHeight="1">
      <x:c r="A221" s="36" t="str">
        <x:v>Bu-226</x:v>
      </x:c>
      <x:c r="B221" s="37" t="str">
        <x:v>SpO2 Oem business setup</x:v>
      </x:c>
      <x:c r="C221" s="36" t="str">
        <x:v>BU Led</x:v>
      </x:c>
      <x:c r="D221" s="36" t="str">
        <x:v>Monitoring - HPM (MCH)</x:v>
      </x:c>
      <x:c r="E221" s="38" t="n">
        <x:v>0</x:v>
      </x:c>
      <x:c r="F221" s="39"/>
      <x:c r="G221" s="38" t="str">
        <x:f>IF(ISNUMBER(F221),F221,IF(E221="","",E221))</x:f>
      </x:c>
      <x:c r="H221" s="38"/>
      <x:c r="I221" s="39"/>
      <x:c r="J221" s="36" t="str">
        <x:v>Revenue</x:v>
      </x:c>
      <x:c r="K221" s="38" t="str">
        <x:f>IF(ISNUMBER(I221),I221,IF(OR(NOT(ISNUMBER(H221)),NOT(ISNUMBER(G221)),G221&lt;=0),"",IF(H221/G221&gt;='Score settings'!$B$58,"",IF(J221="Cash savings",H221,IF(J221="Revenue",H221*'Score settings'!$B$55,"")))))</x:f>
      </x:c>
      <x:c r="L221" s="36"/>
      <x:c r="M221" s="39"/>
      <x:c r="N221" s="40"/>
      <x:c r="O221" s="36" t="str">
        <x:v>Depri</x:v>
      </x:c>
      <x:c r="P221" s="36" t="str">
        <x:v>NewTech</x:v>
      </x:c>
      <x:c r="Q221" s="36" t="str">
        <x:v>Revenue</x:v>
      </x:c>
      <x:c r="R221" s="36" t="str">
        <x:v>NotAssessed</x:v>
      </x:c>
      <x:c r="S221" s="36" t="str"/>
      <x:c r="T221" s="36" t="str">
        <x:v>Common pot</x:v>
      </x:c>
      <x:c r="U221" s="41" t="n">
        <x:f>VLOOKUP("Priority|"&amp;O221,'Score settings'!$A$14:$C$43,2,FALSE)/'Score settings'!$B$4*'Score settings'!$C$4</x:f>
        <x:v>5</x:v>
      </x:c>
      <x:c r="V221" s="41" t="n">
        <x:f>VLOOKUP("Category|"&amp;P221,'Score settings'!$A$14:$C$43,2,FALSE)/'Score settings'!$B$5*'Score settings'!$C$5</x:f>
        <x:v>5</x:v>
      </x:c>
      <x:c r="W221" s="41" t="n">
        <x:f>VLOOKUP("Area|"&amp;Q221,'Score settings'!$A$14:$C$43,2,FALSE)/'Score settings'!$B$6*'Score settings'!$C$6</x:f>
        <x:v>11</x:v>
      </x:c>
      <x:c r="X221" s="41" t="n">
        <x:f>VLOOKUP("Benefits|"&amp;IF(AND(ISNUMBER(H221),H221&gt;0,ISNUMBER(G221),G221&gt;0),IF(H221/G221&gt;='Score settings'!$E$17,"3plus",IF(H221/G221&gt;='Score settings'!$E$16,"1.5to3",IF(H221/G221&gt;='Score settings'!$E$15,"0.5to1.5","positive"))),"None"),'Score settings'!$A$14:$C$43,2,FALSE)/'Score settings'!$B$7*'Score settings'!$C$7</x:f>
        <x:v>5</x:v>
      </x:c>
      <x:c r="Y221" s="41" t="n">
        <x:f>VLOOKUP("Waste|"&amp;R221,'Score settings'!$A$14:$C$43,2,FALSE)/'Score settings'!$B$8*'Score settings'!$C$8</x:f>
        <x:v>7</x:v>
      </x:c>
      <x:c r="Z221" s="41" t="n">
        <x:f>IF(B221="","",SUM(U221:Y221))</x:f>
        <x:v>33</x:v>
      </x:c>
      <x:c r="AA221" s="41" t="str">
        <x:f>IF(Z221="","Not scored",VLOOKUP(Z221,'Score settings'!$A$47:$C$50,2,TRUE))</x:f>
        <x:v>Discretionary</x:v>
      </x:c>
      <x:c r="AB221" s="41" t="n">
        <x:f>VLOOKUP("Priority|"&amp;O221,'Score settings'!$A$14:$C$43,3,FALSE)/'Score settings'!$B$4*'Score settings'!$D$4</x:f>
        <x:v>3</x:v>
      </x:c>
      <x:c r="AC221" s="41" t="n">
        <x:f>VLOOKUP("Category|"&amp;P221,'Score settings'!$A$14:$C$43,3,FALSE)/'Score settings'!$B$5*'Score settings'!$D$5</x:f>
        <x:v>2.5</x:v>
      </x:c>
      <x:c r="AD221" s="41" t="n">
        <x:f>VLOOKUP("Area|"&amp;Q221,'Score settings'!$A$14:$C$43,3,FALSE)/'Score settings'!$B$6*'Score settings'!$D$6</x:f>
        <x:v>7.333333333333333</x:v>
      </x:c>
      <x:c r="AE221" s="41" t="n">
        <x:f>VLOOKUP("Benefits|"&amp;IF(AND(ISNUMBER(K221),K221&gt;0,ISNUMBER(G221),G221&gt;0),IF(K221/G221&gt;='Score settings'!$E$17,"3plus",IF(K221/G221&gt;='Score settings'!$E$16,"1.5to3",IF(K221/G221&gt;='Score settings'!$E$15,"0.5to1.5","positive"))),"None"),'Score settings'!$A$14:$C$43,3,FALSE)/'Score settings'!$B$7*'Score settings'!$D$7</x:f>
        <x:v>0</x:v>
      </x:c>
      <x:c r="AF221" s="41" t="n">
        <x:f>VLOOKUP("Waste|"&amp;R221,'Score settings'!$A$14:$C$43,3,FALSE)/'Score settings'!$B$8*'Score settings'!$D$8</x:f>
        <x:v>0</x:v>
      </x:c>
      <x:c r="AG221" s="41" t="n">
        <x:f>(IF(AND(ISNUMBER(M221),M221&gt;0,ISNUMBER(G221),G221&gt;0),IF(M221/G221&gt;='Score settings'!$E$17,'Score settings'!$G$17,IF(M221/G221&gt;='Score settings'!$E$16,'Score settings'!$G$16,IF(M221/G221&gt;='Score settings'!$E$15,'Score settings'!$G$15,'Score settings'!$G$14))),0)/15*'Score settings'!$B$60+IFERROR(VLOOKUP(IF(ISNUMBER(N221),N221,IF(ISNUMBER(L221),L221,0)),'Score settings'!$E$22:$F$26,2,FALSE),0)/10*'Score settings'!$B$61)/'Score settings'!$B$9*'Score settings'!$D$9</x:f>
        <x:v>0</x:v>
      </x:c>
      <x:c r="AH221" s="41" t="n">
        <x:f>IF(B221="","",SUM(AB221:AG221))</x:f>
        <x:v>12.833333333333332</x:v>
      </x:c>
      <x:c r="AI221" s="41" t="str">
        <x:f>IF(NOT(ISNUMBER(AH221)),"Not scored",VLOOKUP(AH221,'Score settings'!$A$47:$C$50,3,TRUE))</x:f>
        <x:v>Weak</x:v>
      </x:c>
      <x:c r="AJ221" s="42" t="n">
        <x:f>IF(OR(NOT(ISNUMBER(AH221)),T221&lt;&gt;"Common pot"),"",COUNTIFS($T$4:$T$509,"Common pot",$AH$4:$AH$509,"&gt;"&amp;AH221)+1)</x:f>
        <x:v>372</x:v>
      </x:c>
      <x:c r="AK221" s="36" t="str">
        <x:f>IF(B221="","Name missing - not scored",IF(OR(NOT(ISNUMBER(G221)),G221&lt;=0),"Investment missing or zero - review",IF(0=1,"Permanent ID missing - reconcile",IF(AND(ISNUMBER(H221),H221/G221&gt;='Score settings'!$B$58,NOT(ISNUMBER(I221))),"Benefit units need review",IF(OR(R221="EXIT",R221="CHALLENGE"),"Waste decision requires scope resolution",IF("Name and organisation matched"&lt;&gt;"Name and organisation matched","Waste evidence match needs review","Provisional source score - confirm evidence"))))))</x:f>
        <x:v>Investment missing or zero - review</x:v>
      </x:c>
      <x:c r="AL221" s="36"/>
      <x:c r="AM221" s="40"/>
      <x:c r="AN221" s="39"/>
      <x:c r="AO221" s="40"/>
      <x:c r="AP221" s="40"/>
    </x:row>
    <x:row r="222" ht="15" hidden="0" customHeight="1">
      <x:c r="A222" s="36" t="str">
        <x:v>Bu-227</x:v>
      </x:c>
      <x:c r="B222" s="37" t="str">
        <x:v>DUPLICATE - Master Data and Data Quality</x:v>
      </x:c>
      <x:c r="C222" s="36" t="str">
        <x:v>BU Led</x:v>
      </x:c>
      <x:c r="D222" s="36" t="str">
        <x:v>Monitoring - HPM (MCH)</x:v>
      </x:c>
      <x:c r="E222" s="38" t="n">
        <x:v>0</x:v>
      </x:c>
      <x:c r="F222" s="39"/>
      <x:c r="G222" s="38" t="str">
        <x:f>IF(ISNUMBER(F222),F222,IF(E222="","",E222))</x:f>
      </x:c>
      <x:c r="H222" s="38"/>
      <x:c r="I222" s="39"/>
      <x:c r="J222" s="36" t="str">
        <x:v>Cash savings</x:v>
      </x:c>
      <x:c r="K222" s="38" t="str">
        <x:f>IF(ISNUMBER(I222),I222,IF(OR(NOT(ISNUMBER(H222)),NOT(ISNUMBER(G222)),G222&lt;=0),"",IF(H222/G222&gt;='Score settings'!$B$58,"",IF(J222="Cash savings",H222,IF(J222="Revenue",H222*'Score settings'!$B$55,"")))))</x:f>
      </x:c>
      <x:c r="L222" s="36"/>
      <x:c r="M222" s="39"/>
      <x:c r="N222" s="40"/>
      <x:c r="O222" s="36" t="str">
        <x:v>Depri</x:v>
      </x:c>
      <x:c r="P222" s="36" t="str">
        <x:v>CI</x:v>
      </x:c>
      <x:c r="Q222" s="36" t="str">
        <x:v>Productivity</x:v>
      </x:c>
      <x:c r="R222" s="36" t="str">
        <x:v>NotAssessed</x:v>
      </x:c>
      <x:c r="S222" s="36" t="str"/>
      <x:c r="T222" s="36" t="str">
        <x:v>Common pot</x:v>
      </x:c>
      <x:c r="U222" s="41" t="n">
        <x:f>VLOOKUP("Priority|"&amp;O222,'Score settings'!$A$14:$C$43,2,FALSE)/'Score settings'!$B$4*'Score settings'!$C$4</x:f>
        <x:v>5</x:v>
      </x:c>
      <x:c r="V222" s="41" t="n">
        <x:f>VLOOKUP("Category|"&amp;P222,'Score settings'!$A$14:$C$43,2,FALSE)/'Score settings'!$B$5*'Score settings'!$C$5</x:f>
        <x:v>8</x:v>
      </x:c>
      <x:c r="W222" s="41" t="n">
        <x:f>VLOOKUP("Area|"&amp;Q222,'Score settings'!$A$14:$C$43,2,FALSE)/'Score settings'!$B$6*'Score settings'!$C$6</x:f>
        <x:v>10</x:v>
      </x:c>
      <x:c r="X222" s="41" t="n">
        <x:f>VLOOKUP("Benefits|"&amp;IF(AND(ISNUMBER(H222),H222&gt;0,ISNUMBER(G222),G222&gt;0),IF(H222/G222&gt;='Score settings'!$E$17,"3plus",IF(H222/G222&gt;='Score settings'!$E$16,"1.5to3",IF(H222/G222&gt;='Score settings'!$E$15,"0.5to1.5","positive"))),"None"),'Score settings'!$A$14:$C$43,2,FALSE)/'Score settings'!$B$7*'Score settings'!$C$7</x:f>
        <x:v>5</x:v>
      </x:c>
      <x:c r="Y222" s="41" t="n">
        <x:f>VLOOKUP("Waste|"&amp;R222,'Score settings'!$A$14:$C$43,2,FALSE)/'Score settings'!$B$8*'Score settings'!$C$8</x:f>
        <x:v>7</x:v>
      </x:c>
      <x:c r="Z222" s="41" t="n">
        <x:f>IF(B222="","",SUM(U222:Y222))</x:f>
        <x:v>35</x:v>
      </x:c>
      <x:c r="AA222" s="41" t="str">
        <x:f>IF(Z222="","Not scored",VLOOKUP(Z222,'Score settings'!$A$47:$C$50,2,TRUE))</x:f>
        <x:v>Discretionary</x:v>
      </x:c>
      <x:c r="AB222" s="41" t="n">
        <x:f>VLOOKUP("Priority|"&amp;O222,'Score settings'!$A$14:$C$43,3,FALSE)/'Score settings'!$B$4*'Score settings'!$D$4</x:f>
        <x:v>3</x:v>
      </x:c>
      <x:c r="AC222" s="41" t="n">
        <x:f>VLOOKUP("Category|"&amp;P222,'Score settings'!$A$14:$C$43,3,FALSE)/'Score settings'!$B$5*'Score settings'!$D$5</x:f>
        <x:v>4</x:v>
      </x:c>
      <x:c r="AD222" s="41" t="n">
        <x:f>VLOOKUP("Area|"&amp;Q222,'Score settings'!$A$14:$C$43,3,FALSE)/'Score settings'!$B$6*'Score settings'!$D$6</x:f>
        <x:v>6.666666666666666</x:v>
      </x:c>
      <x:c r="AE222" s="41" t="n">
        <x:f>VLOOKUP("Benefits|"&amp;IF(AND(ISNUMBER(K222),K222&gt;0,ISNUMBER(G222),G222&gt;0),IF(K222/G222&gt;='Score settings'!$E$17,"3plus",IF(K222/G222&gt;='Score settings'!$E$16,"1.5to3",IF(K222/G222&gt;='Score settings'!$E$15,"0.5to1.5","positive"))),"None"),'Score settings'!$A$14:$C$43,3,FALSE)/'Score settings'!$B$7*'Score settings'!$D$7</x:f>
        <x:v>0</x:v>
      </x:c>
      <x:c r="AF222" s="41" t="n">
        <x:f>VLOOKUP("Waste|"&amp;R222,'Score settings'!$A$14:$C$43,3,FALSE)/'Score settings'!$B$8*'Score settings'!$D$8</x:f>
        <x:v>0</x:v>
      </x:c>
      <x:c r="AG222" s="41" t="n">
        <x:f>(IF(AND(ISNUMBER(M222),M222&gt;0,ISNUMBER(G222),G222&gt;0),IF(M222/G222&gt;='Score settings'!$E$17,'Score settings'!$G$17,IF(M222/G222&gt;='Score settings'!$E$16,'Score settings'!$G$16,IF(M222/G222&gt;='Score settings'!$E$15,'Score settings'!$G$15,'Score settings'!$G$14))),0)/15*'Score settings'!$B$60+IFERROR(VLOOKUP(IF(ISNUMBER(N222),N222,IF(ISNUMBER(L222),L222,0)),'Score settings'!$E$22:$F$26,2,FALSE),0)/10*'Score settings'!$B$61)/'Score settings'!$B$9*'Score settings'!$D$9</x:f>
        <x:v>0</x:v>
      </x:c>
      <x:c r="AH222" s="41" t="n">
        <x:f>IF(B222="","",SUM(AB222:AG222))</x:f>
        <x:v>13.666666666666666</x:v>
      </x:c>
      <x:c r="AI222" s="41" t="str">
        <x:f>IF(NOT(ISNUMBER(AH222)),"Not scored",VLOOKUP(AH222,'Score settings'!$A$47:$C$50,3,TRUE))</x:f>
        <x:v>Weak</x:v>
      </x:c>
      <x:c r="AJ222" s="42" t="n">
        <x:f>IF(OR(NOT(ISNUMBER(AH222)),T222&lt;&gt;"Common pot"),"",COUNTIFS($T$4:$T$509,"Common pot",$AH$4:$AH$509,"&gt;"&amp;AH222)+1)</x:f>
        <x:v>369</x:v>
      </x:c>
      <x:c r="AK222" s="36" t="str">
        <x:f>IF(B222="","Name missing - not scored",IF(OR(NOT(ISNUMBER(G222)),G222&lt;=0),"Investment missing or zero - review",IF(0=1,"Permanent ID missing - reconcile",IF(AND(ISNUMBER(H222),H222/G222&gt;='Score settings'!$B$58,NOT(ISNUMBER(I222))),"Benefit units need review",IF(OR(R222="EXIT",R222="CHALLENGE"),"Waste decision requires scope resolution",IF("No exact waste match"&lt;&gt;"Name and organisation matched","Waste evidence match needs review","Provisional source score - confirm evidence"))))))</x:f>
        <x:v>Investment missing or zero - review</x:v>
      </x:c>
      <x:c r="AL222" s="36"/>
      <x:c r="AM222" s="40"/>
      <x:c r="AN222" s="39"/>
      <x:c r="AO222" s="40"/>
      <x:c r="AP222" s="40"/>
    </x:row>
    <x:row r="223" ht="15" hidden="0" customHeight="1">
      <x:c r="A223" s="36" t="str">
        <x:v>Bu-228</x:v>
      </x:c>
      <x:c r="B223" s="37" t="str">
        <x:v>ACI Integration (SNOW)</x:v>
      </x:c>
      <x:c r="C223" s="36" t="str">
        <x:v>BU Led</x:v>
      </x:c>
      <x:c r="D223" s="36" t="str">
        <x:v>Monitoring - HPM (MCH)</x:v>
      </x:c>
      <x:c r="E223" s="38" t="n">
        <x:v>0.25</x:v>
      </x:c>
      <x:c r="F223" s="39"/>
      <x:c r="G223" s="38" t="n">
        <x:f>IF(ISNUMBER(F223),F223,IF(E223="","",E223))</x:f>
        <x:v>0.25</x:v>
      </x:c>
      <x:c r="H223" s="38"/>
      <x:c r="I223" s="39"/>
      <x:c r="J223" s="36" t="str">
        <x:v>Cash savings</x:v>
      </x:c>
      <x:c r="K223" s="38" t="str">
        <x:f>IF(ISNUMBER(I223),I223,IF(OR(NOT(ISNUMBER(H223)),NOT(ISNUMBER(G223)),G223&lt;=0),"",IF(H223/G223&gt;='Score settings'!$B$58,"",IF(J223="Cash savings",H223,IF(J223="Revenue",H223*'Score settings'!$B$55,"")))))</x:f>
      </x:c>
      <x:c r="L223" s="36"/>
      <x:c r="M223" s="39"/>
      <x:c r="N223" s="40"/>
      <x:c r="O223" s="36" t="str">
        <x:v>Must Have</x:v>
      </x:c>
      <x:c r="P223" s="36" t="str">
        <x:v>CI</x:v>
      </x:c>
      <x:c r="Q223" s="36" t="str">
        <x:v>Productivity</x:v>
      </x:c>
      <x:c r="R223" s="36" t="str">
        <x:v>NotAssessed</x:v>
      </x:c>
      <x:c r="S223" s="36" t="str"/>
      <x:c r="T223" s="36" t="str">
        <x:v>Common pot</x:v>
      </x:c>
      <x:c r="U223" s="41" t="n">
        <x:f>VLOOKUP("Priority|"&amp;O223,'Score settings'!$A$14:$C$43,2,FALSE)/'Score settings'!$B$4*'Score settings'!$C$4</x:f>
        <x:v>18</x:v>
      </x:c>
      <x:c r="V223" s="41" t="n">
        <x:f>VLOOKUP("Category|"&amp;P223,'Score settings'!$A$14:$C$43,2,FALSE)/'Score settings'!$B$5*'Score settings'!$C$5</x:f>
        <x:v>8</x:v>
      </x:c>
      <x:c r="W223" s="41" t="n">
        <x:f>VLOOKUP("Area|"&amp;Q223,'Score settings'!$A$14:$C$43,2,FALSE)/'Score settings'!$B$6*'Score settings'!$C$6</x:f>
        <x:v>10</x:v>
      </x:c>
      <x:c r="X223" s="41" t="n">
        <x:f>VLOOKUP("Benefits|"&amp;IF(AND(ISNUMBER(H223),H223&gt;0,ISNUMBER(G223),G223&gt;0),IF(H223/G223&gt;='Score settings'!$E$17,"3plus",IF(H223/G223&gt;='Score settings'!$E$16,"1.5to3",IF(H223/G223&gt;='Score settings'!$E$15,"0.5to1.5","positive"))),"None"),'Score settings'!$A$14:$C$43,2,FALSE)/'Score settings'!$B$7*'Score settings'!$C$7</x:f>
        <x:v>5</x:v>
      </x:c>
      <x:c r="Y223" s="41" t="n">
        <x:f>VLOOKUP("Waste|"&amp;R223,'Score settings'!$A$14:$C$43,2,FALSE)/'Score settings'!$B$8*'Score settings'!$C$8</x:f>
        <x:v>7</x:v>
      </x:c>
      <x:c r="Z223" s="41" t="n">
        <x:f>IF(B223="","",SUM(U223:Y223))</x:f>
        <x:v>48</x:v>
      </x:c>
      <x:c r="AA223" s="41" t="str">
        <x:f>IF(Z223="","Not scored",VLOOKUP(Z223,'Score settings'!$A$47:$C$50,2,TRUE))</x:f>
        <x:v>Strong</x:v>
      </x:c>
      <x:c r="AB223" s="41" t="n">
        <x:f>VLOOKUP("Priority|"&amp;O223,'Score settings'!$A$14:$C$43,3,FALSE)/'Score settings'!$B$4*'Score settings'!$D$4</x:f>
        <x:v>10.799999999999999</x:v>
      </x:c>
      <x:c r="AC223" s="41" t="n">
        <x:f>VLOOKUP("Category|"&amp;P223,'Score settings'!$A$14:$C$43,3,FALSE)/'Score settings'!$B$5*'Score settings'!$D$5</x:f>
        <x:v>4</x:v>
      </x:c>
      <x:c r="AD223" s="41" t="n">
        <x:f>VLOOKUP("Area|"&amp;Q223,'Score settings'!$A$14:$C$43,3,FALSE)/'Score settings'!$B$6*'Score settings'!$D$6</x:f>
        <x:v>6.666666666666666</x:v>
      </x:c>
      <x:c r="AE223" s="41" t="n">
        <x:f>VLOOKUP("Benefits|"&amp;IF(AND(ISNUMBER(K223),K223&gt;0,ISNUMBER(G223),G223&gt;0),IF(K223/G223&gt;='Score settings'!$E$17,"3plus",IF(K223/G223&gt;='Score settings'!$E$16,"1.5to3",IF(K223/G223&gt;='Score settings'!$E$15,"0.5to1.5","positive"))),"None"),'Score settings'!$A$14:$C$43,3,FALSE)/'Score settings'!$B$7*'Score settings'!$D$7</x:f>
        <x:v>0</x:v>
      </x:c>
      <x:c r="AF223" s="41" t="n">
        <x:f>VLOOKUP("Waste|"&amp;R223,'Score settings'!$A$14:$C$43,3,FALSE)/'Score settings'!$B$8*'Score settings'!$D$8</x:f>
        <x:v>0</x:v>
      </x:c>
      <x:c r="AG223" s="41" t="n">
        <x:f>(IF(AND(ISNUMBER(M223),M223&gt;0,ISNUMBER(G223),G223&gt;0),IF(M223/G223&gt;='Score settings'!$E$17,'Score settings'!$G$17,IF(M223/G223&gt;='Score settings'!$E$16,'Score settings'!$G$16,IF(M223/G223&gt;='Score settings'!$E$15,'Score settings'!$G$15,'Score settings'!$G$14))),0)/15*'Score settings'!$B$60+IFERROR(VLOOKUP(IF(ISNUMBER(N223),N223,IF(ISNUMBER(L223),L223,0)),'Score settings'!$E$22:$F$26,2,FALSE),0)/10*'Score settings'!$B$61)/'Score settings'!$B$9*'Score settings'!$D$9</x:f>
        <x:v>0</x:v>
      </x:c>
      <x:c r="AH223" s="41" t="n">
        <x:f>IF(B223="","",SUM(AB223:AG223))</x:f>
        <x:v>21.466666666666665</x:v>
      </x:c>
      <x:c r="AI223" s="41" t="str">
        <x:f>IF(NOT(ISNUMBER(AH223)),"Not scored",VLOOKUP(AH223,'Score settings'!$A$47:$C$50,3,TRUE))</x:f>
        <x:v>Weak</x:v>
      </x:c>
      <x:c r="AJ223" s="42" t="n">
        <x:f>IF(OR(NOT(ISNUMBER(AH223)),T223&lt;&gt;"Common pot"),"",COUNTIFS($T$4:$T$509,"Common pot",$AH$4:$AH$509,"&gt;"&amp;AH223)+1)</x:f>
        <x:v>343</x:v>
      </x:c>
      <x:c r="AK223" s="36" t="str">
        <x:f>IF(B223="","Name missing - not scored",IF(OR(NOT(ISNUMBER(G223)),G223&lt;=0),"Investment missing or zero - review",IF(0=1,"Permanent ID missing - reconcile",IF(AND(ISNUMBER(H223),H223/G223&gt;='Score settings'!$B$58,NOT(ISNUMBER(I223))),"Benefit units need review",IF(OR(R223="EXIT",R223="CHALLENGE"),"Waste decision requires scope resolution",IF("Name and organisation matched"&lt;&gt;"Name and organisation matched","Waste evidence match needs review","Provisional source score - confirm evidence"))))))</x:f>
        <x:v>Provisional source score - confirm evidence</x:v>
      </x:c>
      <x:c r="AL223" s="36"/>
      <x:c r="AM223" s="40"/>
      <x:c r="AN223" s="39"/>
      <x:c r="AO223" s="40"/>
      <x:c r="AP223" s="40"/>
    </x:row>
    <x:row r="224" ht="15" hidden="0" customHeight="1">
      <x:c r="A224" s="36" t="str">
        <x:v>Bu-229</x:v>
      </x:c>
      <x:c r="B224" s="37" t="str">
        <x:v>Fidelity (Fulcrum/RDC NAM/RDC EU/FF)</x:v>
      </x:c>
      <x:c r="C224" s="36" t="str">
        <x:v>BU Led</x:v>
      </x:c>
      <x:c r="D224" s="36" t="str">
        <x:v>Monitoring - HPM (MCH)</x:v>
      </x:c>
      <x:c r="E224" s="38" t="n">
        <x:v>1</x:v>
      </x:c>
      <x:c r="F224" s="39"/>
      <x:c r="G224" s="38" t="n">
        <x:f>IF(ISNUMBER(F224),F224,IF(E224="","",E224))</x:f>
        <x:v>1</x:v>
      </x:c>
      <x:c r="H224" s="38" t="n">
        <x:v>66.648</x:v>
      </x:c>
      <x:c r="I224" s="39"/>
      <x:c r="J224" s="36" t="str">
        <x:v>Cash savings</x:v>
      </x:c>
      <x:c r="K224" s="38" t="str">
        <x:f>IF(ISNUMBER(I224),I224,IF(OR(NOT(ISNUMBER(H224)),NOT(ISNUMBER(G224)),G224&lt;=0),"",IF(H224/G224&gt;='Score settings'!$B$58,"",IF(J224="Cash savings",H224,IF(J224="Revenue",H224*'Score settings'!$B$55,"")))))</x:f>
      </x:c>
      <x:c r="L224" s="36"/>
      <x:c r="M224" s="39"/>
      <x:c r="N224" s="40"/>
      <x:c r="O224" s="36" t="str">
        <x:v>Must Have</x:v>
      </x:c>
      <x:c r="P224" s="36" t="str">
        <x:v>NewFeat</x:v>
      </x:c>
      <x:c r="Q224" s="36" t="str">
        <x:v>Productivity</x:v>
      </x:c>
      <x:c r="R224" s="36" t="str">
        <x:v>NotAssessed</x:v>
      </x:c>
      <x:c r="S224" s="36" t="str"/>
      <x:c r="T224" s="36" t="str">
        <x:v>Common pot</x:v>
      </x:c>
      <x:c r="U224" s="41" t="n">
        <x:f>VLOOKUP("Priority|"&amp;O224,'Score settings'!$A$14:$C$43,2,FALSE)/'Score settings'!$B$4*'Score settings'!$C$4</x:f>
        <x:v>18</x:v>
      </x:c>
      <x:c r="V224" s="41" t="n">
        <x:f>VLOOKUP("Category|"&amp;P224,'Score settings'!$A$14:$C$43,2,FALSE)/'Score settings'!$B$5*'Score settings'!$C$5</x:f>
        <x:v>6</x:v>
      </x:c>
      <x:c r="W224" s="41" t="n">
        <x:f>VLOOKUP("Area|"&amp;Q224,'Score settings'!$A$14:$C$43,2,FALSE)/'Score settings'!$B$6*'Score settings'!$C$6</x:f>
        <x:v>10</x:v>
      </x:c>
      <x:c r="X224" s="41" t="n">
        <x:f>VLOOKUP("Benefits|"&amp;IF(AND(ISNUMBER(H224),H224&gt;0,ISNUMBER(G224),G224&gt;0),IF(H224/G224&gt;='Score settings'!$E$17,"3plus",IF(H224/G224&gt;='Score settings'!$E$16,"1.5to3",IF(H224/G224&gt;='Score settings'!$E$15,"0.5to1.5","positive"))),"None"),'Score settings'!$A$14:$C$43,2,FALSE)/'Score settings'!$B$7*'Score settings'!$C$7</x:f>
        <x:v>25</x:v>
      </x:c>
      <x:c r="Y224" s="41" t="n">
        <x:f>VLOOKUP("Waste|"&amp;R224,'Score settings'!$A$14:$C$43,2,FALSE)/'Score settings'!$B$8*'Score settings'!$C$8</x:f>
        <x:v>7</x:v>
      </x:c>
      <x:c r="Z224" s="41" t="n">
        <x:f>IF(B224="","",SUM(U224:Y224))</x:f>
        <x:v>66</x:v>
      </x:c>
      <x:c r="AA224" s="41" t="str">
        <x:f>IF(Z224="","Not scored",VLOOKUP(Z224,'Score settings'!$A$47:$C$50,2,TRUE))</x:f>
        <x:v>Protected</x:v>
      </x:c>
      <x:c r="AB224" s="41" t="n">
        <x:f>VLOOKUP("Priority|"&amp;O224,'Score settings'!$A$14:$C$43,3,FALSE)/'Score settings'!$B$4*'Score settings'!$D$4</x:f>
        <x:v>10.799999999999999</x:v>
      </x:c>
      <x:c r="AC224" s="41" t="n">
        <x:f>VLOOKUP("Category|"&amp;P224,'Score settings'!$A$14:$C$43,3,FALSE)/'Score settings'!$B$5*'Score settings'!$D$5</x:f>
        <x:v>3</x:v>
      </x:c>
      <x:c r="AD224" s="41" t="n">
        <x:f>VLOOKUP("Area|"&amp;Q224,'Score settings'!$A$14:$C$43,3,FALSE)/'Score settings'!$B$6*'Score settings'!$D$6</x:f>
        <x:v>6.666666666666666</x:v>
      </x:c>
      <x:c r="AE224" s="41" t="n">
        <x:f>VLOOKUP("Benefits|"&amp;IF(AND(ISNUMBER(K224),K224&gt;0,ISNUMBER(G224),G224&gt;0),IF(K224/G224&gt;='Score settings'!$E$17,"3plus",IF(K224/G224&gt;='Score settings'!$E$16,"1.5to3",IF(K224/G224&gt;='Score settings'!$E$15,"0.5to1.5","positive"))),"None"),'Score settings'!$A$14:$C$43,3,FALSE)/'Score settings'!$B$7*'Score settings'!$D$7</x:f>
        <x:v>0</x:v>
      </x:c>
      <x:c r="AF224" s="41" t="n">
        <x:f>VLOOKUP("Waste|"&amp;R224,'Score settings'!$A$14:$C$43,3,FALSE)/'Score settings'!$B$8*'Score settings'!$D$8</x:f>
        <x:v>0</x:v>
      </x:c>
      <x:c r="AG224" s="41" t="n">
        <x:f>(IF(AND(ISNUMBER(M224),M224&gt;0,ISNUMBER(G224),G224&gt;0),IF(M224/G224&gt;='Score settings'!$E$17,'Score settings'!$G$17,IF(M224/G224&gt;='Score settings'!$E$16,'Score settings'!$G$16,IF(M224/G224&gt;='Score settings'!$E$15,'Score settings'!$G$15,'Score settings'!$G$14))),0)/15*'Score settings'!$B$60+IFERROR(VLOOKUP(IF(ISNUMBER(N224),N224,IF(ISNUMBER(L224),L224,0)),'Score settings'!$E$22:$F$26,2,FALSE),0)/10*'Score settings'!$B$61)/'Score settings'!$B$9*'Score settings'!$D$9</x:f>
        <x:v>0</x:v>
      </x:c>
      <x:c r="AH224" s="41" t="n">
        <x:f>IF(B224="","",SUM(AB224:AG224))</x:f>
        <x:v>20.466666666666665</x:v>
      </x:c>
      <x:c r="AI224" s="41" t="str">
        <x:f>IF(NOT(ISNUMBER(AH224)),"Not scored",VLOOKUP(AH224,'Score settings'!$A$47:$C$50,3,TRUE))</x:f>
        <x:v>Weak</x:v>
      </x:c>
      <x:c r="AJ224" s="42" t="n">
        <x:f>IF(OR(NOT(ISNUMBER(AH224)),T224&lt;&gt;"Common pot"),"",COUNTIFS($T$4:$T$509,"Common pot",$AH$4:$AH$509,"&gt;"&amp;AH224)+1)</x:f>
        <x:v>349</x:v>
      </x:c>
      <x:c r="AK224" s="36" t="str">
        <x:f>IF(B224="","Name missing - not scored",IF(OR(NOT(ISNUMBER(G224)),G224&lt;=0),"Investment missing or zero - review",IF(0=1,"Permanent ID missing - reconcile",IF(AND(ISNUMBER(H224),H224/G224&gt;='Score settings'!$B$58,NOT(ISNUMBER(I224))),"Benefit units need review",IF(OR(R224="EXIT",R224="CHALLENGE"),"Waste decision requires scope resolution",IF("Name and organisation matched"&lt;&gt;"Name and organisation matched","Waste evidence match needs review","Provisional source score - confirm evidence"))))))</x:f>
        <x:v>Benefit units need review</x:v>
      </x:c>
      <x:c r="AL224" s="36"/>
      <x:c r="AM224" s="40"/>
      <x:c r="AN224" s="39"/>
      <x:c r="AO224" s="40"/>
      <x:c r="AP224" s="40"/>
    </x:row>
    <x:row r="225" ht="24" hidden="0" customHeight="1">
      <x:c r="A225" s="36" t="str">
        <x:v>Bu-230</x:v>
      </x:c>
      <x:c r="B225" s="37" t="str">
        <x:v>NAM late customization improvements (100K)
Topkal (150K)</x:v>
      </x:c>
      <x:c r="C225" s="36" t="str">
        <x:v>BU Led</x:v>
      </x:c>
      <x:c r="D225" s="36" t="str">
        <x:v>Monitoring - HPM (MCH)</x:v>
      </x:c>
      <x:c r="E225" s="38" t="n">
        <x:v>0.25</x:v>
      </x:c>
      <x:c r="F225" s="39"/>
      <x:c r="G225" s="38" t="n">
        <x:f>IF(ISNUMBER(F225),F225,IF(E225="","",E225))</x:f>
        <x:v>0.25</x:v>
      </x:c>
      <x:c r="H225" s="38" t="n">
        <x:v>1.5</x:v>
      </x:c>
      <x:c r="I225" s="39"/>
      <x:c r="J225" s="36" t="str">
        <x:v>Cash savings</x:v>
      </x:c>
      <x:c r="K225" s="38" t="n">
        <x:f>IF(ISNUMBER(I225),I225,IF(OR(NOT(ISNUMBER(H225)),NOT(ISNUMBER(G225)),G225&lt;=0),"",IF(H225/G225&gt;='Score settings'!$B$58,"",IF(J225="Cash savings",H225,IF(J225="Revenue",H225*'Score settings'!$B$55,"")))))</x:f>
        <x:v>1.5</x:v>
      </x:c>
      <x:c r="L225" s="36"/>
      <x:c r="M225" s="39"/>
      <x:c r="N225" s="40"/>
      <x:c r="O225" s="36" t="str">
        <x:v>Must Have</x:v>
      </x:c>
      <x:c r="P225" s="36" t="str">
        <x:v>NewFeat</x:v>
      </x:c>
      <x:c r="Q225" s="36" t="str">
        <x:v>Productivity</x:v>
      </x:c>
      <x:c r="R225" s="36" t="str">
        <x:v>NotAssessed</x:v>
      </x:c>
      <x:c r="S225" s="36" t="str"/>
      <x:c r="T225" s="36" t="str">
        <x:v>Common pot</x:v>
      </x:c>
      <x:c r="U225" s="41" t="n">
        <x:f>VLOOKUP("Priority|"&amp;O225,'Score settings'!$A$14:$C$43,2,FALSE)/'Score settings'!$B$4*'Score settings'!$C$4</x:f>
        <x:v>18</x:v>
      </x:c>
      <x:c r="V225" s="41" t="n">
        <x:f>VLOOKUP("Category|"&amp;P225,'Score settings'!$A$14:$C$43,2,FALSE)/'Score settings'!$B$5*'Score settings'!$C$5</x:f>
        <x:v>6</x:v>
      </x:c>
      <x:c r="W225" s="41" t="n">
        <x:f>VLOOKUP("Area|"&amp;Q225,'Score settings'!$A$14:$C$43,2,FALSE)/'Score settings'!$B$6*'Score settings'!$C$6</x:f>
        <x:v>10</x:v>
      </x:c>
      <x:c r="X225" s="41" t="n">
        <x:f>VLOOKUP("Benefits|"&amp;IF(AND(ISNUMBER(H225),H225&gt;0,ISNUMBER(G225),G225&gt;0),IF(H225/G225&gt;='Score settings'!$E$17,"3plus",IF(H225/G225&gt;='Score settings'!$E$16,"1.5to3",IF(H225/G225&gt;='Score settings'!$E$15,"0.5to1.5","positive"))),"None"),'Score settings'!$A$14:$C$43,2,FALSE)/'Score settings'!$B$7*'Score settings'!$C$7</x:f>
        <x:v>25</x:v>
      </x:c>
      <x:c r="Y225" s="41" t="n">
        <x:f>VLOOKUP("Waste|"&amp;R225,'Score settings'!$A$14:$C$43,2,FALSE)/'Score settings'!$B$8*'Score settings'!$C$8</x:f>
        <x:v>7</x:v>
      </x:c>
      <x:c r="Z225" s="41" t="n">
        <x:f>IF(B225="","",SUM(U225:Y225))</x:f>
        <x:v>66</x:v>
      </x:c>
      <x:c r="AA225" s="41" t="str">
        <x:f>IF(Z225="","Not scored",VLOOKUP(Z225,'Score settings'!$A$47:$C$50,2,TRUE))</x:f>
        <x:v>Protected</x:v>
      </x:c>
      <x:c r="AB225" s="41" t="n">
        <x:f>VLOOKUP("Priority|"&amp;O225,'Score settings'!$A$14:$C$43,3,FALSE)/'Score settings'!$B$4*'Score settings'!$D$4</x:f>
        <x:v>10.799999999999999</x:v>
      </x:c>
      <x:c r="AC225" s="41" t="n">
        <x:f>VLOOKUP("Category|"&amp;P225,'Score settings'!$A$14:$C$43,3,FALSE)/'Score settings'!$B$5*'Score settings'!$D$5</x:f>
        <x:v>3</x:v>
      </x:c>
      <x:c r="AD225" s="41" t="n">
        <x:f>VLOOKUP("Area|"&amp;Q225,'Score settings'!$A$14:$C$43,3,FALSE)/'Score settings'!$B$6*'Score settings'!$D$6</x:f>
        <x:v>6.666666666666666</x:v>
      </x:c>
      <x:c r="AE225" s="41" t="n">
        <x:f>VLOOKUP("Benefits|"&amp;IF(AND(ISNUMBER(K225),K225&gt;0,ISNUMBER(G225),G225&gt;0),IF(K225/G225&gt;='Score settings'!$E$17,"3plus",IF(K225/G225&gt;='Score settings'!$E$16,"1.5to3",IF(K225/G225&gt;='Score settings'!$E$15,"0.5to1.5","positive"))),"None"),'Score settings'!$A$14:$C$43,3,FALSE)/'Score settings'!$B$7*'Score settings'!$D$7</x:f>
        <x:v>30</x:v>
      </x:c>
      <x:c r="AF225" s="41" t="n">
        <x:f>VLOOKUP("Waste|"&amp;R225,'Score settings'!$A$14:$C$43,3,FALSE)/'Score settings'!$B$8*'Score settings'!$D$8</x:f>
        <x:v>0</x:v>
      </x:c>
      <x:c r="AG225" s="41" t="n">
        <x:f>(IF(AND(ISNUMBER(M225),M225&gt;0,ISNUMBER(G225),G225&gt;0),IF(M225/G225&gt;='Score settings'!$E$17,'Score settings'!$G$17,IF(M225/G225&gt;='Score settings'!$E$16,'Score settings'!$G$16,IF(M225/G225&gt;='Score settings'!$E$15,'Score settings'!$G$15,'Score settings'!$G$14))),0)/15*'Score settings'!$B$60+IFERROR(VLOOKUP(IF(ISNUMBER(N225),N225,IF(ISNUMBER(L225),L225,0)),'Score settings'!$E$22:$F$26,2,FALSE),0)/10*'Score settings'!$B$61)/'Score settings'!$B$9*'Score settings'!$D$9</x:f>
        <x:v>0</x:v>
      </x:c>
      <x:c r="AH225" s="41" t="n">
        <x:f>IF(B225="","",SUM(AB225:AG225))</x:f>
        <x:v>50.46666666666667</x:v>
      </x:c>
      <x:c r="AI225" s="41" t="str">
        <x:f>IF(NOT(ISNUMBER(AH225)),"Not scored",VLOOKUP(AH225,'Score settings'!$A$47:$C$50,3,TRUE))</x:f>
        <x:v>Strong</x:v>
      </x:c>
      <x:c r="AJ225" s="42" t="n">
        <x:f>IF(OR(NOT(ISNUMBER(AH225)),T225&lt;&gt;"Common pot"),"",COUNTIFS($T$4:$T$509,"Common pot",$AH$4:$AH$509,"&gt;"&amp;AH225)+1)</x:f>
        <x:v>45</x:v>
      </x:c>
      <x:c r="AK225" s="36" t="str">
        <x:f>IF(B225="","Name missing - not scored",IF(OR(NOT(ISNUMBER(G225)),G225&lt;=0),"Investment missing or zero - review",IF(0=1,"Permanent ID missing - reconcile",IF(AND(ISNUMBER(H225),H225/G225&gt;='Score settings'!$B$58,NOT(ISNUMBER(I225))),"Benefit units need review",IF(OR(R225="EXIT",R225="CHALLENGE"),"Waste decision requires scope resolution",IF("No exact waste match"&lt;&gt;"Name and organisation matched","Waste evidence match needs review","Provisional source score - confirm evidence"))))))</x:f>
        <x:v>Waste evidence match needs review</x:v>
      </x:c>
      <x:c r="AL225" s="36"/>
      <x:c r="AM225" s="40"/>
      <x:c r="AN225" s="39"/>
      <x:c r="AO225" s="40"/>
      <x:c r="AP225" s="40"/>
    </x:row>
    <x:row r="226" ht="15" hidden="0" customHeight="1">
      <x:c r="A226" s="36" t="str">
        <x:v>Bu-231</x:v>
      </x:c>
      <x:c r="B226" s="37" t="str">
        <x:v>GBS Collaboration - Order Orchestration (Appian) - Phase 2</x:v>
      </x:c>
      <x:c r="C226" s="36" t="str">
        <x:v>BU Led</x:v>
      </x:c>
      <x:c r="D226" s="36" t="str">
        <x:v>Monitoring - HPM (MCH)</x:v>
      </x:c>
      <x:c r="E226" s="38" t="n">
        <x:v>0.9</x:v>
      </x:c>
      <x:c r="F226" s="39"/>
      <x:c r="G226" s="38" t="n">
        <x:f>IF(ISNUMBER(F226),F226,IF(E226="","",E226))</x:f>
        <x:v>0.9</x:v>
      </x:c>
      <x:c r="H226" s="38" t="n">
        <x:v>9.162</x:v>
      </x:c>
      <x:c r="I226" s="39"/>
      <x:c r="J226" s="36" t="str">
        <x:v>Cash savings</x:v>
      </x:c>
      <x:c r="K226" s="38" t="n">
        <x:f>IF(ISNUMBER(I226),I226,IF(OR(NOT(ISNUMBER(H226)),NOT(ISNUMBER(G226)),G226&lt;=0),"",IF(H226/G226&gt;='Score settings'!$B$58,"",IF(J226="Cash savings",H226,IF(J226="Revenue",H226*'Score settings'!$B$55,"")))))</x:f>
        <x:v>9.162</x:v>
      </x:c>
      <x:c r="L226" s="36"/>
      <x:c r="M226" s="39"/>
      <x:c r="N226" s="40"/>
      <x:c r="O226" s="36" t="str">
        <x:v>Must Have</x:v>
      </x:c>
      <x:c r="P226" s="36" t="str">
        <x:v>NewFeat</x:v>
      </x:c>
      <x:c r="Q226" s="36" t="str">
        <x:v>Productivity</x:v>
      </x:c>
      <x:c r="R226" s="36" t="str">
        <x:v>CONTAIN</x:v>
      </x:c>
      <x:c r="S226" s="36" t="str"/>
      <x:c r="T226" s="36" t="str">
        <x:v>Common pot</x:v>
      </x:c>
      <x:c r="U226" s="41" t="n">
        <x:f>VLOOKUP("Priority|"&amp;O226,'Score settings'!$A$14:$C$43,2,FALSE)/'Score settings'!$B$4*'Score settings'!$C$4</x:f>
        <x:v>18</x:v>
      </x:c>
      <x:c r="V226" s="41" t="n">
        <x:f>VLOOKUP("Category|"&amp;P226,'Score settings'!$A$14:$C$43,2,FALSE)/'Score settings'!$B$5*'Score settings'!$C$5</x:f>
        <x:v>6</x:v>
      </x:c>
      <x:c r="W226" s="41" t="n">
        <x:f>VLOOKUP("Area|"&amp;Q226,'Score settings'!$A$14:$C$43,2,FALSE)/'Score settings'!$B$6*'Score settings'!$C$6</x:f>
        <x:v>10</x:v>
      </x:c>
      <x:c r="X226" s="41" t="n">
        <x:f>VLOOKUP("Benefits|"&amp;IF(AND(ISNUMBER(H226),H226&gt;0,ISNUMBER(G226),G226&gt;0),IF(H226/G226&gt;='Score settings'!$E$17,"3plus",IF(H226/G226&gt;='Score settings'!$E$16,"1.5to3",IF(H226/G226&gt;='Score settings'!$E$15,"0.5to1.5","positive"))),"None"),'Score settings'!$A$14:$C$43,2,FALSE)/'Score settings'!$B$7*'Score settings'!$C$7</x:f>
        <x:v>25</x:v>
      </x:c>
      <x:c r="Y226" s="41" t="n">
        <x:f>VLOOKUP("Waste|"&amp;R226,'Score settings'!$A$14:$C$43,2,FALSE)/'Score settings'!$B$8*'Score settings'!$C$8</x:f>
        <x:v>9</x:v>
      </x:c>
      <x:c r="Z226" s="41" t="n">
        <x:f>IF(B226="","",SUM(U226:Y226))</x:f>
        <x:v>68</x:v>
      </x:c>
      <x:c r="AA226" s="41" t="str">
        <x:f>IF(Z226="","Not scored",VLOOKUP(Z226,'Score settings'!$A$47:$C$50,2,TRUE))</x:f>
        <x:v>Protected</x:v>
      </x:c>
      <x:c r="AB226" s="41" t="n">
        <x:f>VLOOKUP("Priority|"&amp;O226,'Score settings'!$A$14:$C$43,3,FALSE)/'Score settings'!$B$4*'Score settings'!$D$4</x:f>
        <x:v>10.799999999999999</x:v>
      </x:c>
      <x:c r="AC226" s="41" t="n">
        <x:f>VLOOKUP("Category|"&amp;P226,'Score settings'!$A$14:$C$43,3,FALSE)/'Score settings'!$B$5*'Score settings'!$D$5</x:f>
        <x:v>3</x:v>
      </x:c>
      <x:c r="AD226" s="41" t="n">
        <x:f>VLOOKUP("Area|"&amp;Q226,'Score settings'!$A$14:$C$43,3,FALSE)/'Score settings'!$B$6*'Score settings'!$D$6</x:f>
        <x:v>6.666666666666666</x:v>
      </x:c>
      <x:c r="AE226" s="41" t="n">
        <x:f>VLOOKUP("Benefits|"&amp;IF(AND(ISNUMBER(K226),K226&gt;0,ISNUMBER(G226),G226&gt;0),IF(K226/G226&gt;='Score settings'!$E$17,"3plus",IF(K226/G226&gt;='Score settings'!$E$16,"1.5to3",IF(K226/G226&gt;='Score settings'!$E$15,"0.5to1.5","positive"))),"None"),'Score settings'!$A$14:$C$43,3,FALSE)/'Score settings'!$B$7*'Score settings'!$D$7</x:f>
        <x:v>30</x:v>
      </x:c>
      <x:c r="AF226" s="41" t="n">
        <x:f>VLOOKUP("Waste|"&amp;R226,'Score settings'!$A$14:$C$43,3,FALSE)/'Score settings'!$B$8*'Score settings'!$D$8</x:f>
        <x:v>6</x:v>
      </x:c>
      <x:c r="AG226" s="41" t="n">
        <x:f>(IF(AND(ISNUMBER(M226),M226&gt;0,ISNUMBER(G226),G226&gt;0),IF(M226/G226&gt;='Score settings'!$E$17,'Score settings'!$G$17,IF(M226/G226&gt;='Score settings'!$E$16,'Score settings'!$G$16,IF(M226/G226&gt;='Score settings'!$E$15,'Score settings'!$G$15,'Score settings'!$G$14))),0)/15*'Score settings'!$B$60+IFERROR(VLOOKUP(IF(ISNUMBER(N226),N226,IF(ISNUMBER(L226),L226,0)),'Score settings'!$E$22:$F$26,2,FALSE),0)/10*'Score settings'!$B$61)/'Score settings'!$B$9*'Score settings'!$D$9</x:f>
        <x:v>0</x:v>
      </x:c>
      <x:c r="AH226" s="41" t="n">
        <x:f>IF(B226="","",SUM(AB226:AG226))</x:f>
        <x:v>56.46666666666667</x:v>
      </x:c>
      <x:c r="AI226" s="41" t="str">
        <x:f>IF(NOT(ISNUMBER(AH226)),"Not scored",VLOOKUP(AH226,'Score settings'!$A$47:$C$50,3,TRUE))</x:f>
        <x:v>Strong</x:v>
      </x:c>
      <x:c r="AJ226" s="42" t="n">
        <x:f>IF(OR(NOT(ISNUMBER(AH226)),T226&lt;&gt;"Common pot"),"",COUNTIFS($T$4:$T$509,"Common pot",$AH$4:$AH$509,"&gt;"&amp;AH226)+1)</x:f>
        <x:v>30</x:v>
      </x:c>
      <x:c r="AK226" s="36" t="str">
        <x:f>IF(B226="","Name missing - not scored",IF(OR(NOT(ISNUMBER(G226)),G226&lt;=0),"Investment missing or zero - review",IF(0=1,"Permanent ID missing - reconcile",IF(AND(ISNUMBER(H226),H226/G226&gt;='Score settings'!$B$58,NOT(ISNUMBER(I226))),"Benefit units need review",IF(OR(R226="EXIT",R226="CHALLENGE"),"Waste decision requires scope resolution",IF("Name and organisation matched"&lt;&gt;"Name and organisation matched","Waste evidence match needs review","Provisional source score - confirm evidence"))))))</x:f>
        <x:v>Provisional source score - confirm evidence</x:v>
      </x:c>
      <x:c r="AL226" s="36"/>
      <x:c r="AM226" s="40"/>
      <x:c r="AN226" s="39"/>
      <x:c r="AO226" s="40"/>
      <x:c r="AP226" s="40"/>
    </x:row>
    <x:row r="227" ht="15" hidden="0" customHeight="1">
      <x:c r="A227" s="36" t="str">
        <x:v>Bu-232</x:v>
      </x:c>
      <x:c r="B227" s="37" t="str">
        <x:v>DUPLICATE - Circular Lifecycle Solutions and Spare parts delivery </x:v>
      </x:c>
      <x:c r="C227" s="36" t="str">
        <x:v>BU Led</x:v>
      </x:c>
      <x:c r="D227" s="36" t="str">
        <x:v>Monitoring - HPM (MCH)</x:v>
      </x:c>
      <x:c r="E227" s="38" t="n">
        <x:v>0</x:v>
      </x:c>
      <x:c r="F227" s="39"/>
      <x:c r="G227" s="38" t="str">
        <x:f>IF(ISNUMBER(F227),F227,IF(E227="","",E227))</x:f>
      </x:c>
      <x:c r="H227" s="38"/>
      <x:c r="I227" s="39"/>
      <x:c r="J227" s="36" t="str">
        <x:v>Cash savings</x:v>
      </x:c>
      <x:c r="K227" s="38" t="str">
        <x:f>IF(ISNUMBER(I227),I227,IF(OR(NOT(ISNUMBER(H227)),NOT(ISNUMBER(G227)),G227&lt;=0),"",IF(H227/G227&gt;='Score settings'!$B$58,"",IF(J227="Cash savings",H227,IF(J227="Revenue",H227*'Score settings'!$B$55,"")))))</x:f>
      </x:c>
      <x:c r="L227" s="36"/>
      <x:c r="M227" s="39"/>
      <x:c r="N227" s="40"/>
      <x:c r="O227" s="36" t="str">
        <x:v>Blank</x:v>
      </x:c>
      <x:c r="P227" s="36" t="str">
        <x:v>NewFeat</x:v>
      </x:c>
      <x:c r="Q227" s="36" t="str">
        <x:v>Productivity</x:v>
      </x:c>
      <x:c r="R227" s="36" t="str">
        <x:v>NotAssessed</x:v>
      </x:c>
      <x:c r="S227" s="36" t="str"/>
      <x:c r="T227" s="36" t="str">
        <x:v>Common pot</x:v>
      </x:c>
      <x:c r="U227" s="41" t="n">
        <x:f>VLOOKUP("Priority|"&amp;O227,'Score settings'!$A$14:$C$43,2,FALSE)/'Score settings'!$B$4*'Score settings'!$C$4</x:f>
        <x:v>10</x:v>
      </x:c>
      <x:c r="V227" s="41" t="n">
        <x:f>VLOOKUP("Category|"&amp;P227,'Score settings'!$A$14:$C$43,2,FALSE)/'Score settings'!$B$5*'Score settings'!$C$5</x:f>
        <x:v>6</x:v>
      </x:c>
      <x:c r="W227" s="41" t="n">
        <x:f>VLOOKUP("Area|"&amp;Q227,'Score settings'!$A$14:$C$43,2,FALSE)/'Score settings'!$B$6*'Score settings'!$C$6</x:f>
        <x:v>10</x:v>
      </x:c>
      <x:c r="X227" s="41" t="n">
        <x:f>VLOOKUP("Benefits|"&amp;IF(AND(ISNUMBER(H227),H227&gt;0,ISNUMBER(G227),G227&gt;0),IF(H227/G227&gt;='Score settings'!$E$17,"3plus",IF(H227/G227&gt;='Score settings'!$E$16,"1.5to3",IF(H227/G227&gt;='Score settings'!$E$15,"0.5to1.5","positive"))),"None"),'Score settings'!$A$14:$C$43,2,FALSE)/'Score settings'!$B$7*'Score settings'!$C$7</x:f>
        <x:v>5</x:v>
      </x:c>
      <x:c r="Y227" s="41" t="n">
        <x:f>VLOOKUP("Waste|"&amp;R227,'Score settings'!$A$14:$C$43,2,FALSE)/'Score settings'!$B$8*'Score settings'!$C$8</x:f>
        <x:v>7</x:v>
      </x:c>
      <x:c r="Z227" s="41" t="n">
        <x:f>IF(B227="","",SUM(U227:Y227))</x:f>
        <x:v>38</x:v>
      </x:c>
      <x:c r="AA227" s="41" t="str">
        <x:f>IF(Z227="","Not scored",VLOOKUP(Z227,'Score settings'!$A$47:$C$50,2,TRUE))</x:f>
        <x:v>Discretionary</x:v>
      </x:c>
      <x:c r="AB227" s="41" t="n">
        <x:f>VLOOKUP("Priority|"&amp;O227,'Score settings'!$A$14:$C$43,3,FALSE)/'Score settings'!$B$4*'Score settings'!$D$4</x:f>
        <x:v>0</x:v>
      </x:c>
      <x:c r="AC227" s="41" t="n">
        <x:f>VLOOKUP("Category|"&amp;P227,'Score settings'!$A$14:$C$43,3,FALSE)/'Score settings'!$B$5*'Score settings'!$D$5</x:f>
        <x:v>3</x:v>
      </x:c>
      <x:c r="AD227" s="41" t="n">
        <x:f>VLOOKUP("Area|"&amp;Q227,'Score settings'!$A$14:$C$43,3,FALSE)/'Score settings'!$B$6*'Score settings'!$D$6</x:f>
        <x:v>6.666666666666666</x:v>
      </x:c>
      <x:c r="AE227" s="41" t="n">
        <x:f>VLOOKUP("Benefits|"&amp;IF(AND(ISNUMBER(K227),K227&gt;0,ISNUMBER(G227),G227&gt;0),IF(K227/G227&gt;='Score settings'!$E$17,"3plus",IF(K227/G227&gt;='Score settings'!$E$16,"1.5to3",IF(K227/G227&gt;='Score settings'!$E$15,"0.5to1.5","positive"))),"None"),'Score settings'!$A$14:$C$43,3,FALSE)/'Score settings'!$B$7*'Score settings'!$D$7</x:f>
        <x:v>0</x:v>
      </x:c>
      <x:c r="AF227" s="41" t="n">
        <x:f>VLOOKUP("Waste|"&amp;R227,'Score settings'!$A$14:$C$43,3,FALSE)/'Score settings'!$B$8*'Score settings'!$D$8</x:f>
        <x:v>0</x:v>
      </x:c>
      <x:c r="AG227" s="41" t="n">
        <x:f>(IF(AND(ISNUMBER(M227),M227&gt;0,ISNUMBER(G227),G227&gt;0),IF(M227/G227&gt;='Score settings'!$E$17,'Score settings'!$G$17,IF(M227/G227&gt;='Score settings'!$E$16,'Score settings'!$G$16,IF(M227/G227&gt;='Score settings'!$E$15,'Score settings'!$G$15,'Score settings'!$G$14))),0)/15*'Score settings'!$B$60+IFERROR(VLOOKUP(IF(ISNUMBER(N227),N227,IF(ISNUMBER(L227),L227,0)),'Score settings'!$E$22:$F$26,2,FALSE),0)/10*'Score settings'!$B$61)/'Score settings'!$B$9*'Score settings'!$D$9</x:f>
        <x:v>0</x:v>
      </x:c>
      <x:c r="AH227" s="41" t="n">
        <x:f>IF(B227="","",SUM(AB227:AG227))</x:f>
        <x:v>9.666666666666666</x:v>
      </x:c>
      <x:c r="AI227" s="41" t="str">
        <x:f>IF(NOT(ISNUMBER(AH227)),"Not scored",VLOOKUP(AH227,'Score settings'!$A$47:$C$50,3,TRUE))</x:f>
        <x:v>Weak</x:v>
      </x:c>
      <x:c r="AJ227" s="42" t="n">
        <x:f>IF(OR(NOT(ISNUMBER(AH227)),T227&lt;&gt;"Common pot"),"",COUNTIFS($T$4:$T$509,"Common pot",$AH$4:$AH$509,"&gt;"&amp;AH227)+1)</x:f>
        <x:v>388</x:v>
      </x:c>
      <x:c r="AK227" s="36" t="str">
        <x:f>IF(B227="","Name missing - not scored",IF(OR(NOT(ISNUMBER(G227)),G227&lt;=0),"Investment missing or zero - review",IF(0=1,"Permanent ID missing - reconcile",IF(AND(ISNUMBER(H227),H227/G227&gt;='Score settings'!$B$58,NOT(ISNUMBER(I227))),"Benefit units need review",IF(OR(R227="EXIT",R227="CHALLENGE"),"Waste decision requires scope resolution",IF("No exact waste match"&lt;&gt;"Name and organisation matched","Waste evidence match needs review","Provisional source score - confirm evidence"))))))</x:f>
        <x:v>Investment missing or zero - review</x:v>
      </x:c>
      <x:c r="AL227" s="36"/>
      <x:c r="AM227" s="40"/>
      <x:c r="AN227" s="39"/>
      <x:c r="AO227" s="40"/>
      <x:c r="AP227" s="40"/>
    </x:row>
    <x:row r="228" ht="15" hidden="0" customHeight="1">
      <x:c r="A228" s="36" t="str">
        <x:v>Bu-233</x:v>
      </x:c>
      <x:c r="B228" s="37" t="str">
        <x:v>PS cloud Capability Development</x:v>
      </x:c>
      <x:c r="C228" s="36" t="str">
        <x:v>BU Led</x:v>
      </x:c>
      <x:c r="D228" s="36" t="str">
        <x:v>Monitoring - HPM (MCH)</x:v>
      </x:c>
      <x:c r="E228" s="38" t="n">
        <x:v>0.25</x:v>
      </x:c>
      <x:c r="F228" s="39"/>
      <x:c r="G228" s="38" t="n">
        <x:f>IF(ISNUMBER(F228),F228,IF(E228="","",E228))</x:f>
        <x:v>0.25</x:v>
      </x:c>
      <x:c r="H228" s="38"/>
      <x:c r="I228" s="39"/>
      <x:c r="J228" s="36" t="str">
        <x:v>Cash savings</x:v>
      </x:c>
      <x:c r="K228" s="38" t="str">
        <x:f>IF(ISNUMBER(I228),I228,IF(OR(NOT(ISNUMBER(H228)),NOT(ISNUMBER(G228)),G228&lt;=0),"",IF(H228/G228&gt;='Score settings'!$B$58,"",IF(J228="Cash savings",H228,IF(J228="Revenue",H228*'Score settings'!$B$55,"")))))</x:f>
      </x:c>
      <x:c r="L228" s="36"/>
      <x:c r="M228" s="39"/>
      <x:c r="N228" s="40"/>
      <x:c r="O228" s="36" t="str">
        <x:v>Blank</x:v>
      </x:c>
      <x:c r="P228" s="36" t="str">
        <x:v>NewFeat</x:v>
      </x:c>
      <x:c r="Q228" s="36" t="str">
        <x:v>Productivity</x:v>
      </x:c>
      <x:c r="R228" s="36" t="str">
        <x:v>NotAssessed</x:v>
      </x:c>
      <x:c r="S228" s="36" t="str"/>
      <x:c r="T228" s="36" t="str">
        <x:v>Common pot</x:v>
      </x:c>
      <x:c r="U228" s="41" t="n">
        <x:f>VLOOKUP("Priority|"&amp;O228,'Score settings'!$A$14:$C$43,2,FALSE)/'Score settings'!$B$4*'Score settings'!$C$4</x:f>
        <x:v>10</x:v>
      </x:c>
      <x:c r="V228" s="41" t="n">
        <x:f>VLOOKUP("Category|"&amp;P228,'Score settings'!$A$14:$C$43,2,FALSE)/'Score settings'!$B$5*'Score settings'!$C$5</x:f>
        <x:v>6</x:v>
      </x:c>
      <x:c r="W228" s="41" t="n">
        <x:f>VLOOKUP("Area|"&amp;Q228,'Score settings'!$A$14:$C$43,2,FALSE)/'Score settings'!$B$6*'Score settings'!$C$6</x:f>
        <x:v>10</x:v>
      </x:c>
      <x:c r="X228" s="41" t="n">
        <x:f>VLOOKUP("Benefits|"&amp;IF(AND(ISNUMBER(H228),H228&gt;0,ISNUMBER(G228),G228&gt;0),IF(H228/G228&gt;='Score settings'!$E$17,"3plus",IF(H228/G228&gt;='Score settings'!$E$16,"1.5to3",IF(H228/G228&gt;='Score settings'!$E$15,"0.5to1.5","positive"))),"None"),'Score settings'!$A$14:$C$43,2,FALSE)/'Score settings'!$B$7*'Score settings'!$C$7</x:f>
        <x:v>5</x:v>
      </x:c>
      <x:c r="Y228" s="41" t="n">
        <x:f>VLOOKUP("Waste|"&amp;R228,'Score settings'!$A$14:$C$43,2,FALSE)/'Score settings'!$B$8*'Score settings'!$C$8</x:f>
        <x:v>7</x:v>
      </x:c>
      <x:c r="Z228" s="41" t="n">
        <x:f>IF(B228="","",SUM(U228:Y228))</x:f>
        <x:v>38</x:v>
      </x:c>
      <x:c r="AA228" s="41" t="str">
        <x:f>IF(Z228="","Not scored",VLOOKUP(Z228,'Score settings'!$A$47:$C$50,2,TRUE))</x:f>
        <x:v>Discretionary</x:v>
      </x:c>
      <x:c r="AB228" s="41" t="n">
        <x:f>VLOOKUP("Priority|"&amp;O228,'Score settings'!$A$14:$C$43,3,FALSE)/'Score settings'!$B$4*'Score settings'!$D$4</x:f>
        <x:v>0</x:v>
      </x:c>
      <x:c r="AC228" s="41" t="n">
        <x:f>VLOOKUP("Category|"&amp;P228,'Score settings'!$A$14:$C$43,3,FALSE)/'Score settings'!$B$5*'Score settings'!$D$5</x:f>
        <x:v>3</x:v>
      </x:c>
      <x:c r="AD228" s="41" t="n">
        <x:f>VLOOKUP("Area|"&amp;Q228,'Score settings'!$A$14:$C$43,3,FALSE)/'Score settings'!$B$6*'Score settings'!$D$6</x:f>
        <x:v>6.666666666666666</x:v>
      </x:c>
      <x:c r="AE228" s="41" t="n">
        <x:f>VLOOKUP("Benefits|"&amp;IF(AND(ISNUMBER(K228),K228&gt;0,ISNUMBER(G228),G228&gt;0),IF(K228/G228&gt;='Score settings'!$E$17,"3plus",IF(K228/G228&gt;='Score settings'!$E$16,"1.5to3",IF(K228/G228&gt;='Score settings'!$E$15,"0.5to1.5","positive"))),"None"),'Score settings'!$A$14:$C$43,3,FALSE)/'Score settings'!$B$7*'Score settings'!$D$7</x:f>
        <x:v>0</x:v>
      </x:c>
      <x:c r="AF228" s="41" t="n">
        <x:f>VLOOKUP("Waste|"&amp;R228,'Score settings'!$A$14:$C$43,3,FALSE)/'Score settings'!$B$8*'Score settings'!$D$8</x:f>
        <x:v>0</x:v>
      </x:c>
      <x:c r="AG228" s="41" t="n">
        <x:f>(IF(AND(ISNUMBER(M228),M228&gt;0,ISNUMBER(G228),G228&gt;0),IF(M228/G228&gt;='Score settings'!$E$17,'Score settings'!$G$17,IF(M228/G228&gt;='Score settings'!$E$16,'Score settings'!$G$16,IF(M228/G228&gt;='Score settings'!$E$15,'Score settings'!$G$15,'Score settings'!$G$14))),0)/15*'Score settings'!$B$60+IFERROR(VLOOKUP(IF(ISNUMBER(N228),N228,IF(ISNUMBER(L228),L228,0)),'Score settings'!$E$22:$F$26,2,FALSE),0)/10*'Score settings'!$B$61)/'Score settings'!$B$9*'Score settings'!$D$9</x:f>
        <x:v>0</x:v>
      </x:c>
      <x:c r="AH228" s="41" t="n">
        <x:f>IF(B228="","",SUM(AB228:AG228))</x:f>
        <x:v>9.666666666666666</x:v>
      </x:c>
      <x:c r="AI228" s="41" t="str">
        <x:f>IF(NOT(ISNUMBER(AH228)),"Not scored",VLOOKUP(AH228,'Score settings'!$A$47:$C$50,3,TRUE))</x:f>
        <x:v>Weak</x:v>
      </x:c>
      <x:c r="AJ228" s="42" t="n">
        <x:f>IF(OR(NOT(ISNUMBER(AH228)),T228&lt;&gt;"Common pot"),"",COUNTIFS($T$4:$T$509,"Common pot",$AH$4:$AH$509,"&gt;"&amp;AH228)+1)</x:f>
        <x:v>388</x:v>
      </x:c>
      <x:c r="AK228" s="36" t="str">
        <x:f>IF(B228="","Name missing - not scored",IF(OR(NOT(ISNUMBER(G228)),G228&lt;=0),"Investment missing or zero - review",IF(0=1,"Permanent ID missing - reconcile",IF(AND(ISNUMBER(H228),H228/G228&gt;='Score settings'!$B$58,NOT(ISNUMBER(I228))),"Benefit units need review",IF(OR(R228="EXIT",R228="CHALLENGE"),"Waste decision requires scope resolution",IF("Name and organisation matched"&lt;&gt;"Name and organisation matched","Waste evidence match needs review","Provisional source score - confirm evidence"))))))</x:f>
        <x:v>Provisional source score - confirm evidence</x:v>
      </x:c>
      <x:c r="AL228" s="36"/>
      <x:c r="AM228" s="40"/>
      <x:c r="AN228" s="39"/>
      <x:c r="AO228" s="40"/>
      <x:c r="AP228" s="40"/>
    </x:row>
    <x:row r="229" ht="15" hidden="0" customHeight="1">
      <x:c r="A229" s="36" t="str">
        <x:v>Bu-234</x:v>
      </x:c>
      <x:c r="B229" s="37" t="str">
        <x:v>DUPLICATE - Procurement - SC Next</x:v>
      </x:c>
      <x:c r="C229" s="36" t="str">
        <x:v>BU Led</x:v>
      </x:c>
      <x:c r="D229" s="36" t="str">
        <x:v>Monitoring - HPM (MCH)</x:v>
      </x:c>
      <x:c r="E229" s="38" t="n">
        <x:v>0</x:v>
      </x:c>
      <x:c r="F229" s="39"/>
      <x:c r="G229" s="38" t="str">
        <x:f>IF(ISNUMBER(F229),F229,IF(E229="","",E229))</x:f>
      </x:c>
      <x:c r="H229" s="38"/>
      <x:c r="I229" s="39"/>
      <x:c r="J229" s="36" t="str">
        <x:v>Cash savings</x:v>
      </x:c>
      <x:c r="K229" s="38" t="str">
        <x:f>IF(ISNUMBER(I229),I229,IF(OR(NOT(ISNUMBER(H229)),NOT(ISNUMBER(G229)),G229&lt;=0),"",IF(H229/G229&gt;='Score settings'!$B$58,"",IF(J229="Cash savings",H229,IF(J229="Revenue",H229*'Score settings'!$B$55,"")))))</x:f>
      </x:c>
      <x:c r="L229" s="36"/>
      <x:c r="M229" s="39"/>
      <x:c r="N229" s="40"/>
      <x:c r="O229" s="36" t="str">
        <x:v>Blank</x:v>
      </x:c>
      <x:c r="P229" s="36" t="str">
        <x:v>NewFeat</x:v>
      </x:c>
      <x:c r="Q229" s="36" t="str">
        <x:v>Productivity</x:v>
      </x:c>
      <x:c r="R229" s="36" t="str">
        <x:v>NotAssessed</x:v>
      </x:c>
      <x:c r="S229" s="36" t="str"/>
      <x:c r="T229" s="36" t="str">
        <x:v>Common pot</x:v>
      </x:c>
      <x:c r="U229" s="41" t="n">
        <x:f>VLOOKUP("Priority|"&amp;O229,'Score settings'!$A$14:$C$43,2,FALSE)/'Score settings'!$B$4*'Score settings'!$C$4</x:f>
        <x:v>10</x:v>
      </x:c>
      <x:c r="V229" s="41" t="n">
        <x:f>VLOOKUP("Category|"&amp;P229,'Score settings'!$A$14:$C$43,2,FALSE)/'Score settings'!$B$5*'Score settings'!$C$5</x:f>
        <x:v>6</x:v>
      </x:c>
      <x:c r="W229" s="41" t="n">
        <x:f>VLOOKUP("Area|"&amp;Q229,'Score settings'!$A$14:$C$43,2,FALSE)/'Score settings'!$B$6*'Score settings'!$C$6</x:f>
        <x:v>10</x:v>
      </x:c>
      <x:c r="X229" s="41" t="n">
        <x:f>VLOOKUP("Benefits|"&amp;IF(AND(ISNUMBER(H229),H229&gt;0,ISNUMBER(G229),G229&gt;0),IF(H229/G229&gt;='Score settings'!$E$17,"3plus",IF(H229/G229&gt;='Score settings'!$E$16,"1.5to3",IF(H229/G229&gt;='Score settings'!$E$15,"0.5to1.5","positive"))),"None"),'Score settings'!$A$14:$C$43,2,FALSE)/'Score settings'!$B$7*'Score settings'!$C$7</x:f>
        <x:v>5</x:v>
      </x:c>
      <x:c r="Y229" s="41" t="n">
        <x:f>VLOOKUP("Waste|"&amp;R229,'Score settings'!$A$14:$C$43,2,FALSE)/'Score settings'!$B$8*'Score settings'!$C$8</x:f>
        <x:v>7</x:v>
      </x:c>
      <x:c r="Z229" s="41" t="n">
        <x:f>IF(B229="","",SUM(U229:Y229))</x:f>
        <x:v>38</x:v>
      </x:c>
      <x:c r="AA229" s="41" t="str">
        <x:f>IF(Z229="","Not scored",VLOOKUP(Z229,'Score settings'!$A$47:$C$50,2,TRUE))</x:f>
        <x:v>Discretionary</x:v>
      </x:c>
      <x:c r="AB229" s="41" t="n">
        <x:f>VLOOKUP("Priority|"&amp;O229,'Score settings'!$A$14:$C$43,3,FALSE)/'Score settings'!$B$4*'Score settings'!$D$4</x:f>
        <x:v>0</x:v>
      </x:c>
      <x:c r="AC229" s="41" t="n">
        <x:f>VLOOKUP("Category|"&amp;P229,'Score settings'!$A$14:$C$43,3,FALSE)/'Score settings'!$B$5*'Score settings'!$D$5</x:f>
        <x:v>3</x:v>
      </x:c>
      <x:c r="AD229" s="41" t="n">
        <x:f>VLOOKUP("Area|"&amp;Q229,'Score settings'!$A$14:$C$43,3,FALSE)/'Score settings'!$B$6*'Score settings'!$D$6</x:f>
        <x:v>6.666666666666666</x:v>
      </x:c>
      <x:c r="AE229" s="41" t="n">
        <x:f>VLOOKUP("Benefits|"&amp;IF(AND(ISNUMBER(K229),K229&gt;0,ISNUMBER(G229),G229&gt;0),IF(K229/G229&gt;='Score settings'!$E$17,"3plus",IF(K229/G229&gt;='Score settings'!$E$16,"1.5to3",IF(K229/G229&gt;='Score settings'!$E$15,"0.5to1.5","positive"))),"None"),'Score settings'!$A$14:$C$43,3,FALSE)/'Score settings'!$B$7*'Score settings'!$D$7</x:f>
        <x:v>0</x:v>
      </x:c>
      <x:c r="AF229" s="41" t="n">
        <x:f>VLOOKUP("Waste|"&amp;R229,'Score settings'!$A$14:$C$43,3,FALSE)/'Score settings'!$B$8*'Score settings'!$D$8</x:f>
        <x:v>0</x:v>
      </x:c>
      <x:c r="AG229" s="41" t="n">
        <x:f>(IF(AND(ISNUMBER(M229),M229&gt;0,ISNUMBER(G229),G229&gt;0),IF(M229/G229&gt;='Score settings'!$E$17,'Score settings'!$G$17,IF(M229/G229&gt;='Score settings'!$E$16,'Score settings'!$G$16,IF(M229/G229&gt;='Score settings'!$E$15,'Score settings'!$G$15,'Score settings'!$G$14))),0)/15*'Score settings'!$B$60+IFERROR(VLOOKUP(IF(ISNUMBER(N229),N229,IF(ISNUMBER(L229),L229,0)),'Score settings'!$E$22:$F$26,2,FALSE),0)/10*'Score settings'!$B$61)/'Score settings'!$B$9*'Score settings'!$D$9</x:f>
        <x:v>0</x:v>
      </x:c>
      <x:c r="AH229" s="41" t="n">
        <x:f>IF(B229="","",SUM(AB229:AG229))</x:f>
        <x:v>9.666666666666666</x:v>
      </x:c>
      <x:c r="AI229" s="41" t="str">
        <x:f>IF(NOT(ISNUMBER(AH229)),"Not scored",VLOOKUP(AH229,'Score settings'!$A$47:$C$50,3,TRUE))</x:f>
        <x:v>Weak</x:v>
      </x:c>
      <x:c r="AJ229" s="42" t="n">
        <x:f>IF(OR(NOT(ISNUMBER(AH229)),T229&lt;&gt;"Common pot"),"",COUNTIFS($T$4:$T$509,"Common pot",$AH$4:$AH$509,"&gt;"&amp;AH229)+1)</x:f>
        <x:v>388</x:v>
      </x:c>
      <x:c r="AK229" s="36" t="str">
        <x:f>IF(B229="","Name missing - not scored",IF(OR(NOT(ISNUMBER(G229)),G229&lt;=0),"Investment missing or zero - review",IF(0=1,"Permanent ID missing - reconcile",IF(AND(ISNUMBER(H229),H229/G229&gt;='Score settings'!$B$58,NOT(ISNUMBER(I229))),"Benefit units need review",IF(OR(R229="EXIT",R229="CHALLENGE"),"Waste decision requires scope resolution",IF("No exact waste match"&lt;&gt;"Name and organisation matched","Waste evidence match needs review","Provisional source score - confirm evidence"))))))</x:f>
        <x:v>Investment missing or zero - review</x:v>
      </x:c>
      <x:c r="AL229" s="36"/>
      <x:c r="AM229" s="40"/>
      <x:c r="AN229" s="39"/>
      <x:c r="AO229" s="40"/>
      <x:c r="AP229" s="40"/>
    </x:row>
    <x:row r="230" ht="15" hidden="0" customHeight="1">
      <x:c r="A230" s="36" t="str">
        <x:v>Bu-235</x:v>
      </x:c>
      <x:c r="B230" s="37" t="str">
        <x:v>PDUPLICATE - rocurement - Digital Proc</x:v>
      </x:c>
      <x:c r="C230" s="36" t="str">
        <x:v>BU Led</x:v>
      </x:c>
      <x:c r="D230" s="36" t="str">
        <x:v>Monitoring - HPM (MCH)</x:v>
      </x:c>
      <x:c r="E230" s="38" t="n">
        <x:v>0</x:v>
      </x:c>
      <x:c r="F230" s="39"/>
      <x:c r="G230" s="38" t="str">
        <x:f>IF(ISNUMBER(F230),F230,IF(E230="","",E230))</x:f>
      </x:c>
      <x:c r="H230" s="38"/>
      <x:c r="I230" s="39"/>
      <x:c r="J230" s="36" t="str">
        <x:v>Cash savings</x:v>
      </x:c>
      <x:c r="K230" s="38" t="str">
        <x:f>IF(ISNUMBER(I230),I230,IF(OR(NOT(ISNUMBER(H230)),NOT(ISNUMBER(G230)),G230&lt;=0),"",IF(H230/G230&gt;='Score settings'!$B$58,"",IF(J230="Cash savings",H230,IF(J230="Revenue",H230*'Score settings'!$B$55,"")))))</x:f>
      </x:c>
      <x:c r="L230" s="36"/>
      <x:c r="M230" s="39"/>
      <x:c r="N230" s="40"/>
      <x:c r="O230" s="36" t="str">
        <x:v>Blank</x:v>
      </x:c>
      <x:c r="P230" s="36" t="str">
        <x:v>NewFeat</x:v>
      </x:c>
      <x:c r="Q230" s="36" t="str">
        <x:v>Productivity</x:v>
      </x:c>
      <x:c r="R230" s="36" t="str">
        <x:v>NotAssessed</x:v>
      </x:c>
      <x:c r="S230" s="36" t="str"/>
      <x:c r="T230" s="36" t="str">
        <x:v>Common pot</x:v>
      </x:c>
      <x:c r="U230" s="41" t="n">
        <x:f>VLOOKUP("Priority|"&amp;O230,'Score settings'!$A$14:$C$43,2,FALSE)/'Score settings'!$B$4*'Score settings'!$C$4</x:f>
        <x:v>10</x:v>
      </x:c>
      <x:c r="V230" s="41" t="n">
        <x:f>VLOOKUP("Category|"&amp;P230,'Score settings'!$A$14:$C$43,2,FALSE)/'Score settings'!$B$5*'Score settings'!$C$5</x:f>
        <x:v>6</x:v>
      </x:c>
      <x:c r="W230" s="41" t="n">
        <x:f>VLOOKUP("Area|"&amp;Q230,'Score settings'!$A$14:$C$43,2,FALSE)/'Score settings'!$B$6*'Score settings'!$C$6</x:f>
        <x:v>10</x:v>
      </x:c>
      <x:c r="X230" s="41" t="n">
        <x:f>VLOOKUP("Benefits|"&amp;IF(AND(ISNUMBER(H230),H230&gt;0,ISNUMBER(G230),G230&gt;0),IF(H230/G230&gt;='Score settings'!$E$17,"3plus",IF(H230/G230&gt;='Score settings'!$E$16,"1.5to3",IF(H230/G230&gt;='Score settings'!$E$15,"0.5to1.5","positive"))),"None"),'Score settings'!$A$14:$C$43,2,FALSE)/'Score settings'!$B$7*'Score settings'!$C$7</x:f>
        <x:v>5</x:v>
      </x:c>
      <x:c r="Y230" s="41" t="n">
        <x:f>VLOOKUP("Waste|"&amp;R230,'Score settings'!$A$14:$C$43,2,FALSE)/'Score settings'!$B$8*'Score settings'!$C$8</x:f>
        <x:v>7</x:v>
      </x:c>
      <x:c r="Z230" s="41" t="n">
        <x:f>IF(B230="","",SUM(U230:Y230))</x:f>
        <x:v>38</x:v>
      </x:c>
      <x:c r="AA230" s="41" t="str">
        <x:f>IF(Z230="","Not scored",VLOOKUP(Z230,'Score settings'!$A$47:$C$50,2,TRUE))</x:f>
        <x:v>Discretionary</x:v>
      </x:c>
      <x:c r="AB230" s="41" t="n">
        <x:f>VLOOKUP("Priority|"&amp;O230,'Score settings'!$A$14:$C$43,3,FALSE)/'Score settings'!$B$4*'Score settings'!$D$4</x:f>
        <x:v>0</x:v>
      </x:c>
      <x:c r="AC230" s="41" t="n">
        <x:f>VLOOKUP("Category|"&amp;P230,'Score settings'!$A$14:$C$43,3,FALSE)/'Score settings'!$B$5*'Score settings'!$D$5</x:f>
        <x:v>3</x:v>
      </x:c>
      <x:c r="AD230" s="41" t="n">
        <x:f>VLOOKUP("Area|"&amp;Q230,'Score settings'!$A$14:$C$43,3,FALSE)/'Score settings'!$B$6*'Score settings'!$D$6</x:f>
        <x:v>6.666666666666666</x:v>
      </x:c>
      <x:c r="AE230" s="41" t="n">
        <x:f>VLOOKUP("Benefits|"&amp;IF(AND(ISNUMBER(K230),K230&gt;0,ISNUMBER(G230),G230&gt;0),IF(K230/G230&gt;='Score settings'!$E$17,"3plus",IF(K230/G230&gt;='Score settings'!$E$16,"1.5to3",IF(K230/G230&gt;='Score settings'!$E$15,"0.5to1.5","positive"))),"None"),'Score settings'!$A$14:$C$43,3,FALSE)/'Score settings'!$B$7*'Score settings'!$D$7</x:f>
        <x:v>0</x:v>
      </x:c>
      <x:c r="AF230" s="41" t="n">
        <x:f>VLOOKUP("Waste|"&amp;R230,'Score settings'!$A$14:$C$43,3,FALSE)/'Score settings'!$B$8*'Score settings'!$D$8</x:f>
        <x:v>0</x:v>
      </x:c>
      <x:c r="AG230" s="41" t="n">
        <x:f>(IF(AND(ISNUMBER(M230),M230&gt;0,ISNUMBER(G230),G230&gt;0),IF(M230/G230&gt;='Score settings'!$E$17,'Score settings'!$G$17,IF(M230/G230&gt;='Score settings'!$E$16,'Score settings'!$G$16,IF(M230/G230&gt;='Score settings'!$E$15,'Score settings'!$G$15,'Score settings'!$G$14))),0)/15*'Score settings'!$B$60+IFERROR(VLOOKUP(IF(ISNUMBER(N230),N230,IF(ISNUMBER(L230),L230,0)),'Score settings'!$E$22:$F$26,2,FALSE),0)/10*'Score settings'!$B$61)/'Score settings'!$B$9*'Score settings'!$D$9</x:f>
        <x:v>0</x:v>
      </x:c>
      <x:c r="AH230" s="41" t="n">
        <x:f>IF(B230="","",SUM(AB230:AG230))</x:f>
        <x:v>9.666666666666666</x:v>
      </x:c>
      <x:c r="AI230" s="41" t="str">
        <x:f>IF(NOT(ISNUMBER(AH230)),"Not scored",VLOOKUP(AH230,'Score settings'!$A$47:$C$50,3,TRUE))</x:f>
        <x:v>Weak</x:v>
      </x:c>
      <x:c r="AJ230" s="42" t="n">
        <x:f>IF(OR(NOT(ISNUMBER(AH230)),T230&lt;&gt;"Common pot"),"",COUNTIFS($T$4:$T$509,"Common pot",$AH$4:$AH$509,"&gt;"&amp;AH230)+1)</x:f>
        <x:v>388</x:v>
      </x:c>
      <x:c r="AK230" s="36" t="str">
        <x:f>IF(B230="","Name missing - not scored",IF(OR(NOT(ISNUMBER(G230)),G230&lt;=0),"Investment missing or zero - review",IF(0=1,"Permanent ID missing - reconcile",IF(AND(ISNUMBER(H230),H230/G230&gt;='Score settings'!$B$58,NOT(ISNUMBER(I230))),"Benefit units need review",IF(OR(R230="EXIT",R230="CHALLENGE"),"Waste decision requires scope resolution",IF("No exact waste match"&lt;&gt;"Name and organisation matched","Waste evidence match needs review","Provisional source score - confirm evidence"))))))</x:f>
        <x:v>Investment missing or zero - review</x:v>
      </x:c>
      <x:c r="AL230" s="36"/>
      <x:c r="AM230" s="40"/>
      <x:c r="AN230" s="39"/>
      <x:c r="AO230" s="40"/>
      <x:c r="AP230" s="40"/>
    </x:row>
    <x:row r="231" ht="15" hidden="0" customHeight="1">
      <x:c r="A231" s="36" t="str">
        <x:v>Bu-236</x:v>
      </x:c>
      <x:c r="B231" s="37" t="str">
        <x:v>DUPLICATE - Procurement - SW Transformation</x:v>
      </x:c>
      <x:c r="C231" s="36" t="str">
        <x:v>BU Led</x:v>
      </x:c>
      <x:c r="D231" s="36" t="str">
        <x:v>Monitoring - HPM (MCH)</x:v>
      </x:c>
      <x:c r="E231" s="38" t="n">
        <x:v>0</x:v>
      </x:c>
      <x:c r="F231" s="39"/>
      <x:c r="G231" s="38" t="str">
        <x:f>IF(ISNUMBER(F231),F231,IF(E231="","",E231))</x:f>
      </x:c>
      <x:c r="H231" s="38"/>
      <x:c r="I231" s="39"/>
      <x:c r="J231" s="36" t="str">
        <x:v>Cash savings</x:v>
      </x:c>
      <x:c r="K231" s="38" t="str">
        <x:f>IF(ISNUMBER(I231),I231,IF(OR(NOT(ISNUMBER(H231)),NOT(ISNUMBER(G231)),G231&lt;=0),"",IF(H231/G231&gt;='Score settings'!$B$58,"",IF(J231="Cash savings",H231,IF(J231="Revenue",H231*'Score settings'!$B$55,"")))))</x:f>
      </x:c>
      <x:c r="L231" s="36"/>
      <x:c r="M231" s="39"/>
      <x:c r="N231" s="40"/>
      <x:c r="O231" s="36" t="str">
        <x:v>Blank</x:v>
      </x:c>
      <x:c r="P231" s="36" t="str">
        <x:v>NewFeat</x:v>
      </x:c>
      <x:c r="Q231" s="36" t="str">
        <x:v>Productivity</x:v>
      </x:c>
      <x:c r="R231" s="36" t="str">
        <x:v>NotAssessed</x:v>
      </x:c>
      <x:c r="S231" s="36" t="str"/>
      <x:c r="T231" s="36" t="str">
        <x:v>Common pot</x:v>
      </x:c>
      <x:c r="U231" s="41" t="n">
        <x:f>VLOOKUP("Priority|"&amp;O231,'Score settings'!$A$14:$C$43,2,FALSE)/'Score settings'!$B$4*'Score settings'!$C$4</x:f>
        <x:v>10</x:v>
      </x:c>
      <x:c r="V231" s="41" t="n">
        <x:f>VLOOKUP("Category|"&amp;P231,'Score settings'!$A$14:$C$43,2,FALSE)/'Score settings'!$B$5*'Score settings'!$C$5</x:f>
        <x:v>6</x:v>
      </x:c>
      <x:c r="W231" s="41" t="n">
        <x:f>VLOOKUP("Area|"&amp;Q231,'Score settings'!$A$14:$C$43,2,FALSE)/'Score settings'!$B$6*'Score settings'!$C$6</x:f>
        <x:v>10</x:v>
      </x:c>
      <x:c r="X231" s="41" t="n">
        <x:f>VLOOKUP("Benefits|"&amp;IF(AND(ISNUMBER(H231),H231&gt;0,ISNUMBER(G231),G231&gt;0),IF(H231/G231&gt;='Score settings'!$E$17,"3plus",IF(H231/G231&gt;='Score settings'!$E$16,"1.5to3",IF(H231/G231&gt;='Score settings'!$E$15,"0.5to1.5","positive"))),"None"),'Score settings'!$A$14:$C$43,2,FALSE)/'Score settings'!$B$7*'Score settings'!$C$7</x:f>
        <x:v>5</x:v>
      </x:c>
      <x:c r="Y231" s="41" t="n">
        <x:f>VLOOKUP("Waste|"&amp;R231,'Score settings'!$A$14:$C$43,2,FALSE)/'Score settings'!$B$8*'Score settings'!$C$8</x:f>
        <x:v>7</x:v>
      </x:c>
      <x:c r="Z231" s="41" t="n">
        <x:f>IF(B231="","",SUM(U231:Y231))</x:f>
        <x:v>38</x:v>
      </x:c>
      <x:c r="AA231" s="41" t="str">
        <x:f>IF(Z231="","Not scored",VLOOKUP(Z231,'Score settings'!$A$47:$C$50,2,TRUE))</x:f>
        <x:v>Discretionary</x:v>
      </x:c>
      <x:c r="AB231" s="41" t="n">
        <x:f>VLOOKUP("Priority|"&amp;O231,'Score settings'!$A$14:$C$43,3,FALSE)/'Score settings'!$B$4*'Score settings'!$D$4</x:f>
        <x:v>0</x:v>
      </x:c>
      <x:c r="AC231" s="41" t="n">
        <x:f>VLOOKUP("Category|"&amp;P231,'Score settings'!$A$14:$C$43,3,FALSE)/'Score settings'!$B$5*'Score settings'!$D$5</x:f>
        <x:v>3</x:v>
      </x:c>
      <x:c r="AD231" s="41" t="n">
        <x:f>VLOOKUP("Area|"&amp;Q231,'Score settings'!$A$14:$C$43,3,FALSE)/'Score settings'!$B$6*'Score settings'!$D$6</x:f>
        <x:v>6.666666666666666</x:v>
      </x:c>
      <x:c r="AE231" s="41" t="n">
        <x:f>VLOOKUP("Benefits|"&amp;IF(AND(ISNUMBER(K231),K231&gt;0,ISNUMBER(G231),G231&gt;0),IF(K231/G231&gt;='Score settings'!$E$17,"3plus",IF(K231/G231&gt;='Score settings'!$E$16,"1.5to3",IF(K231/G231&gt;='Score settings'!$E$15,"0.5to1.5","positive"))),"None"),'Score settings'!$A$14:$C$43,3,FALSE)/'Score settings'!$B$7*'Score settings'!$D$7</x:f>
        <x:v>0</x:v>
      </x:c>
      <x:c r="AF231" s="41" t="n">
        <x:f>VLOOKUP("Waste|"&amp;R231,'Score settings'!$A$14:$C$43,3,FALSE)/'Score settings'!$B$8*'Score settings'!$D$8</x:f>
        <x:v>0</x:v>
      </x:c>
      <x:c r="AG231" s="41" t="n">
        <x:f>(IF(AND(ISNUMBER(M231),M231&gt;0,ISNUMBER(G231),G231&gt;0),IF(M231/G231&gt;='Score settings'!$E$17,'Score settings'!$G$17,IF(M231/G231&gt;='Score settings'!$E$16,'Score settings'!$G$16,IF(M231/G231&gt;='Score settings'!$E$15,'Score settings'!$G$15,'Score settings'!$G$14))),0)/15*'Score settings'!$B$60+IFERROR(VLOOKUP(IF(ISNUMBER(N231),N231,IF(ISNUMBER(L231),L231,0)),'Score settings'!$E$22:$F$26,2,FALSE),0)/10*'Score settings'!$B$61)/'Score settings'!$B$9*'Score settings'!$D$9</x:f>
        <x:v>0</x:v>
      </x:c>
      <x:c r="AH231" s="41" t="n">
        <x:f>IF(B231="","",SUM(AB231:AG231))</x:f>
        <x:v>9.666666666666666</x:v>
      </x:c>
      <x:c r="AI231" s="41" t="str">
        <x:f>IF(NOT(ISNUMBER(AH231)),"Not scored",VLOOKUP(AH231,'Score settings'!$A$47:$C$50,3,TRUE))</x:f>
        <x:v>Weak</x:v>
      </x:c>
      <x:c r="AJ231" s="42" t="n">
        <x:f>IF(OR(NOT(ISNUMBER(AH231)),T231&lt;&gt;"Common pot"),"",COUNTIFS($T$4:$T$509,"Common pot",$AH$4:$AH$509,"&gt;"&amp;AH231)+1)</x:f>
        <x:v>388</x:v>
      </x:c>
      <x:c r="AK231" s="36" t="str">
        <x:f>IF(B231="","Name missing - not scored",IF(OR(NOT(ISNUMBER(G231)),G231&lt;=0),"Investment missing or zero - review",IF(0=1,"Permanent ID missing - reconcile",IF(AND(ISNUMBER(H231),H231/G231&gt;='Score settings'!$B$58,NOT(ISNUMBER(I231))),"Benefit units need review",IF(OR(R231="EXIT",R231="CHALLENGE"),"Waste decision requires scope resolution",IF("No exact waste match"&lt;&gt;"Name and organisation matched","Waste evidence match needs review","Provisional source score - confirm evidence"))))))</x:f>
        <x:v>Investment missing or zero - review</x:v>
      </x:c>
      <x:c r="AL231" s="36"/>
      <x:c r="AM231" s="40"/>
      <x:c r="AN231" s="39"/>
      <x:c r="AO231" s="40"/>
      <x:c r="AP231" s="40"/>
    </x:row>
    <x:row r="232" ht="15" hidden="0" customHeight="1">
      <x:c r="A232" s="36" t="str">
        <x:v>Bu-237</x:v>
      </x:c>
      <x:c r="B232" s="37" t="str">
        <x:v>3PP</x:v>
      </x:c>
      <x:c r="C232" s="36" t="str">
        <x:v>BU Led</x:v>
      </x:c>
      <x:c r="D232" s="36" t="str">
        <x:v>Monitoring - HPM (MCH)</x:v>
      </x:c>
      <x:c r="E232" s="38" t="n">
        <x:v>0.5</x:v>
      </x:c>
      <x:c r="F232" s="39"/>
      <x:c r="G232" s="38" t="n">
        <x:f>IF(ISNUMBER(F232),F232,IF(E232="","",E232))</x:f>
        <x:v>0.5</x:v>
      </x:c>
      <x:c r="H232" s="38" t="n">
        <x:v>2.5</x:v>
      </x:c>
      <x:c r="I232" s="39"/>
      <x:c r="J232" s="36" t="str">
        <x:v>Cash savings</x:v>
      </x:c>
      <x:c r="K232" s="38" t="n">
        <x:f>IF(ISNUMBER(I232),I232,IF(OR(NOT(ISNUMBER(H232)),NOT(ISNUMBER(G232)),G232&lt;=0),"",IF(H232/G232&gt;='Score settings'!$B$58,"",IF(J232="Cash savings",H232,IF(J232="Revenue",H232*'Score settings'!$B$55,"")))))</x:f>
        <x:v>2.5</x:v>
      </x:c>
      <x:c r="L232" s="36"/>
      <x:c r="M232" s="39"/>
      <x:c r="N232" s="40"/>
      <x:c r="O232" s="36" t="str">
        <x:v>Must Have</x:v>
      </x:c>
      <x:c r="P232" s="36" t="str">
        <x:v>NewFeat</x:v>
      </x:c>
      <x:c r="Q232" s="36" t="str">
        <x:v>Productivity</x:v>
      </x:c>
      <x:c r="R232" s="36" t="str">
        <x:v>HEALTHY</x:v>
      </x:c>
      <x:c r="S232" s="36" t="str"/>
      <x:c r="T232" s="36" t="str">
        <x:v>Common pot</x:v>
      </x:c>
      <x:c r="U232" s="41" t="n">
        <x:f>VLOOKUP("Priority|"&amp;O232,'Score settings'!$A$14:$C$43,2,FALSE)/'Score settings'!$B$4*'Score settings'!$C$4</x:f>
        <x:v>18</x:v>
      </x:c>
      <x:c r="V232" s="41" t="n">
        <x:f>VLOOKUP("Category|"&amp;P232,'Score settings'!$A$14:$C$43,2,FALSE)/'Score settings'!$B$5*'Score settings'!$C$5</x:f>
        <x:v>6</x:v>
      </x:c>
      <x:c r="W232" s="41" t="n">
        <x:f>VLOOKUP("Area|"&amp;Q232,'Score settings'!$A$14:$C$43,2,FALSE)/'Score settings'!$B$6*'Score settings'!$C$6</x:f>
        <x:v>10</x:v>
      </x:c>
      <x:c r="X232" s="41" t="n">
        <x:f>VLOOKUP("Benefits|"&amp;IF(AND(ISNUMBER(H232),H232&gt;0,ISNUMBER(G232),G232&gt;0),IF(H232/G232&gt;='Score settings'!$E$17,"3plus",IF(H232/G232&gt;='Score settings'!$E$16,"1.5to3",IF(H232/G232&gt;='Score settings'!$E$15,"0.5to1.5","positive"))),"None"),'Score settings'!$A$14:$C$43,2,FALSE)/'Score settings'!$B$7*'Score settings'!$C$7</x:f>
        <x:v>25</x:v>
      </x:c>
      <x:c r="Y232" s="41" t="n">
        <x:f>VLOOKUP("Waste|"&amp;R232,'Score settings'!$A$14:$C$43,2,FALSE)/'Score settings'!$B$8*'Score settings'!$C$8</x:f>
        <x:v>15</x:v>
      </x:c>
      <x:c r="Z232" s="41" t="n">
        <x:f>IF(B232="","",SUM(U232:Y232))</x:f>
        <x:v>74</x:v>
      </x:c>
      <x:c r="AA232" s="41" t="str">
        <x:f>IF(Z232="","Not scored",VLOOKUP(Z232,'Score settings'!$A$47:$C$50,2,TRUE))</x:f>
        <x:v>Protected</x:v>
      </x:c>
      <x:c r="AB232" s="41" t="n">
        <x:f>VLOOKUP("Priority|"&amp;O232,'Score settings'!$A$14:$C$43,3,FALSE)/'Score settings'!$B$4*'Score settings'!$D$4</x:f>
        <x:v>10.799999999999999</x:v>
      </x:c>
      <x:c r="AC232" s="41" t="n">
        <x:f>VLOOKUP("Category|"&amp;P232,'Score settings'!$A$14:$C$43,3,FALSE)/'Score settings'!$B$5*'Score settings'!$D$5</x:f>
        <x:v>3</x:v>
      </x:c>
      <x:c r="AD232" s="41" t="n">
        <x:f>VLOOKUP("Area|"&amp;Q232,'Score settings'!$A$14:$C$43,3,FALSE)/'Score settings'!$B$6*'Score settings'!$D$6</x:f>
        <x:v>6.666666666666666</x:v>
      </x:c>
      <x:c r="AE232" s="41" t="n">
        <x:f>VLOOKUP("Benefits|"&amp;IF(AND(ISNUMBER(K232),K232&gt;0,ISNUMBER(G232),G232&gt;0),IF(K232/G232&gt;='Score settings'!$E$17,"3plus",IF(K232/G232&gt;='Score settings'!$E$16,"1.5to3",IF(K232/G232&gt;='Score settings'!$E$15,"0.5to1.5","positive"))),"None"),'Score settings'!$A$14:$C$43,3,FALSE)/'Score settings'!$B$7*'Score settings'!$D$7</x:f>
        <x:v>30</x:v>
      </x:c>
      <x:c r="AF232" s="41" t="n">
        <x:f>VLOOKUP("Waste|"&amp;R232,'Score settings'!$A$14:$C$43,3,FALSE)/'Score settings'!$B$8*'Score settings'!$D$8</x:f>
        <x:v>10</x:v>
      </x:c>
      <x:c r="AG232" s="41" t="n">
        <x:f>(IF(AND(ISNUMBER(M232),M232&gt;0,ISNUMBER(G232),G232&gt;0),IF(M232/G232&gt;='Score settings'!$E$17,'Score settings'!$G$17,IF(M232/G232&gt;='Score settings'!$E$16,'Score settings'!$G$16,IF(M232/G232&gt;='Score settings'!$E$15,'Score settings'!$G$15,'Score settings'!$G$14))),0)/15*'Score settings'!$B$60+IFERROR(VLOOKUP(IF(ISNUMBER(N232),N232,IF(ISNUMBER(L232),L232,0)),'Score settings'!$E$22:$F$26,2,FALSE),0)/10*'Score settings'!$B$61)/'Score settings'!$B$9*'Score settings'!$D$9</x:f>
        <x:v>0</x:v>
      </x:c>
      <x:c r="AH232" s="41" t="n">
        <x:f>IF(B232="","",SUM(AB232:AG232))</x:f>
        <x:v>60.46666666666667</x:v>
      </x:c>
      <x:c r="AI232" s="41" t="str">
        <x:f>IF(NOT(ISNUMBER(AH232)),"Not scored",VLOOKUP(AH232,'Score settings'!$A$47:$C$50,3,TRUE))</x:f>
        <x:v>Strong</x:v>
      </x:c>
      <x:c r="AJ232" s="42" t="n">
        <x:f>IF(OR(NOT(ISNUMBER(AH232)),T232&lt;&gt;"Common pot"),"",COUNTIFS($T$4:$T$509,"Common pot",$AH$4:$AH$509,"&gt;"&amp;AH232)+1)</x:f>
        <x:v>19</x:v>
      </x:c>
      <x:c r="AK232" s="36" t="str">
        <x:f>IF(B232="","Name missing - not scored",IF(OR(NOT(ISNUMBER(G232)),G232&lt;=0),"Investment missing or zero - review",IF(0=1,"Permanent ID missing - reconcile",IF(AND(ISNUMBER(H232),H232/G232&gt;='Score settings'!$B$58,NOT(ISNUMBER(I232))),"Benefit units need review",IF(OR(R232="EXIT",R232="CHALLENGE"),"Waste decision requires scope resolution",IF("Name and organisation matched"&lt;&gt;"Name and organisation matched","Waste evidence match needs review","Provisional source score - confirm evidence"))))))</x:f>
        <x:v>Provisional source score - confirm evidence</x:v>
      </x:c>
      <x:c r="AL232" s="36"/>
      <x:c r="AM232" s="40"/>
      <x:c r="AN232" s="39"/>
      <x:c r="AO232" s="40"/>
      <x:c r="AP232" s="40"/>
    </x:row>
    <x:row r="233" ht="15" hidden="0" customHeight="1">
      <x:c r="A233" s="36" t="str">
        <x:v>Bu-238</x:v>
      </x:c>
      <x:c r="B233" s="37" t="str">
        <x:v>DUPLICATE - Direct Procurement</x:v>
      </x:c>
      <x:c r="C233" s="36" t="str">
        <x:v>BU Led</x:v>
      </x:c>
      <x:c r="D233" s="36" t="str">
        <x:v>Monitoring - HPM (MCH)</x:v>
      </x:c>
      <x:c r="E233" s="38" t="n">
        <x:v>0</x:v>
      </x:c>
      <x:c r="F233" s="39"/>
      <x:c r="G233" s="38" t="str">
        <x:f>IF(ISNUMBER(F233),F233,IF(E233="","",E233))</x:f>
      </x:c>
      <x:c r="H233" s="38"/>
      <x:c r="I233" s="39"/>
      <x:c r="J233" s="36" t="str">
        <x:v>Cash savings</x:v>
      </x:c>
      <x:c r="K233" s="38" t="str">
        <x:f>IF(ISNUMBER(I233),I233,IF(OR(NOT(ISNUMBER(H233)),NOT(ISNUMBER(G233)),G233&lt;=0),"",IF(H233/G233&gt;='Score settings'!$B$58,"",IF(J233="Cash savings",H233,IF(J233="Revenue",H233*'Score settings'!$B$55,"")))))</x:f>
      </x:c>
      <x:c r="L233" s="36"/>
      <x:c r="M233" s="39"/>
      <x:c r="N233" s="40"/>
      <x:c r="O233" s="36" t="str">
        <x:v>Depri</x:v>
      </x:c>
      <x:c r="P233" s="36" t="str">
        <x:v>NewFeat</x:v>
      </x:c>
      <x:c r="Q233" s="36" t="str">
        <x:v>Productivity</x:v>
      </x:c>
      <x:c r="R233" s="36" t="str">
        <x:v>NotAssessed</x:v>
      </x:c>
      <x:c r="S233" s="36" t="str"/>
      <x:c r="T233" s="36" t="str">
        <x:v>Common pot</x:v>
      </x:c>
      <x:c r="U233" s="41" t="n">
        <x:f>VLOOKUP("Priority|"&amp;O233,'Score settings'!$A$14:$C$43,2,FALSE)/'Score settings'!$B$4*'Score settings'!$C$4</x:f>
        <x:v>5</x:v>
      </x:c>
      <x:c r="V233" s="41" t="n">
        <x:f>VLOOKUP("Category|"&amp;P233,'Score settings'!$A$14:$C$43,2,FALSE)/'Score settings'!$B$5*'Score settings'!$C$5</x:f>
        <x:v>6</x:v>
      </x:c>
      <x:c r="W233" s="41" t="n">
        <x:f>VLOOKUP("Area|"&amp;Q233,'Score settings'!$A$14:$C$43,2,FALSE)/'Score settings'!$B$6*'Score settings'!$C$6</x:f>
        <x:v>10</x:v>
      </x:c>
      <x:c r="X233" s="41" t="n">
        <x:f>VLOOKUP("Benefits|"&amp;IF(AND(ISNUMBER(H233),H233&gt;0,ISNUMBER(G233),G233&gt;0),IF(H233/G233&gt;='Score settings'!$E$17,"3plus",IF(H233/G233&gt;='Score settings'!$E$16,"1.5to3",IF(H233/G233&gt;='Score settings'!$E$15,"0.5to1.5","positive"))),"None"),'Score settings'!$A$14:$C$43,2,FALSE)/'Score settings'!$B$7*'Score settings'!$C$7</x:f>
        <x:v>5</x:v>
      </x:c>
      <x:c r="Y233" s="41" t="n">
        <x:f>VLOOKUP("Waste|"&amp;R233,'Score settings'!$A$14:$C$43,2,FALSE)/'Score settings'!$B$8*'Score settings'!$C$8</x:f>
        <x:v>7</x:v>
      </x:c>
      <x:c r="Z233" s="41" t="n">
        <x:f>IF(B233="","",SUM(U233:Y233))</x:f>
        <x:v>33</x:v>
      </x:c>
      <x:c r="AA233" s="41" t="str">
        <x:f>IF(Z233="","Not scored",VLOOKUP(Z233,'Score settings'!$A$47:$C$50,2,TRUE))</x:f>
        <x:v>Discretionary</x:v>
      </x:c>
      <x:c r="AB233" s="41" t="n">
        <x:f>VLOOKUP("Priority|"&amp;O233,'Score settings'!$A$14:$C$43,3,FALSE)/'Score settings'!$B$4*'Score settings'!$D$4</x:f>
        <x:v>3</x:v>
      </x:c>
      <x:c r="AC233" s="41" t="n">
        <x:f>VLOOKUP("Category|"&amp;P233,'Score settings'!$A$14:$C$43,3,FALSE)/'Score settings'!$B$5*'Score settings'!$D$5</x:f>
        <x:v>3</x:v>
      </x:c>
      <x:c r="AD233" s="41" t="n">
        <x:f>VLOOKUP("Area|"&amp;Q233,'Score settings'!$A$14:$C$43,3,FALSE)/'Score settings'!$B$6*'Score settings'!$D$6</x:f>
        <x:v>6.666666666666666</x:v>
      </x:c>
      <x:c r="AE233" s="41" t="n">
        <x:f>VLOOKUP("Benefits|"&amp;IF(AND(ISNUMBER(K233),K233&gt;0,ISNUMBER(G233),G233&gt;0),IF(K233/G233&gt;='Score settings'!$E$17,"3plus",IF(K233/G233&gt;='Score settings'!$E$16,"1.5to3",IF(K233/G233&gt;='Score settings'!$E$15,"0.5to1.5","positive"))),"None"),'Score settings'!$A$14:$C$43,3,FALSE)/'Score settings'!$B$7*'Score settings'!$D$7</x:f>
        <x:v>0</x:v>
      </x:c>
      <x:c r="AF233" s="41" t="n">
        <x:f>VLOOKUP("Waste|"&amp;R233,'Score settings'!$A$14:$C$43,3,FALSE)/'Score settings'!$B$8*'Score settings'!$D$8</x:f>
        <x:v>0</x:v>
      </x:c>
      <x:c r="AG233" s="41" t="n">
        <x:f>(IF(AND(ISNUMBER(M233),M233&gt;0,ISNUMBER(G233),G233&gt;0),IF(M233/G233&gt;='Score settings'!$E$17,'Score settings'!$G$17,IF(M233/G233&gt;='Score settings'!$E$16,'Score settings'!$G$16,IF(M233/G233&gt;='Score settings'!$E$15,'Score settings'!$G$15,'Score settings'!$G$14))),0)/15*'Score settings'!$B$60+IFERROR(VLOOKUP(IF(ISNUMBER(N233),N233,IF(ISNUMBER(L233),L233,0)),'Score settings'!$E$22:$F$26,2,FALSE),0)/10*'Score settings'!$B$61)/'Score settings'!$B$9*'Score settings'!$D$9</x:f>
        <x:v>0</x:v>
      </x:c>
      <x:c r="AH233" s="41" t="n">
        <x:f>IF(B233="","",SUM(AB233:AG233))</x:f>
        <x:v>12.666666666666666</x:v>
      </x:c>
      <x:c r="AI233" s="41" t="str">
        <x:f>IF(NOT(ISNUMBER(AH233)),"Not scored",VLOOKUP(AH233,'Score settings'!$A$47:$C$50,3,TRUE))</x:f>
        <x:v>Weak</x:v>
      </x:c>
      <x:c r="AJ233" s="42" t="n">
        <x:f>IF(OR(NOT(ISNUMBER(AH233)),T233&lt;&gt;"Common pot"),"",COUNTIFS($T$4:$T$509,"Common pot",$AH$4:$AH$509,"&gt;"&amp;AH233)+1)</x:f>
        <x:v>374</x:v>
      </x:c>
      <x:c r="AK233" s="36" t="str">
        <x:f>IF(B233="","Name missing - not scored",IF(OR(NOT(ISNUMBER(G233)),G233&lt;=0),"Investment missing or zero - review",IF(0=1,"Permanent ID missing - reconcile",IF(AND(ISNUMBER(H233),H233/G233&gt;='Score settings'!$B$58,NOT(ISNUMBER(I233))),"Benefit units need review",IF(OR(R233="EXIT",R233="CHALLENGE"),"Waste decision requires scope resolution",IF("No exact waste match"&lt;&gt;"Name and organisation matched","Waste evidence match needs review","Provisional source score - confirm evidence"))))))</x:f>
        <x:v>Investment missing or zero - review</x:v>
      </x:c>
      <x:c r="AL233" s="36"/>
      <x:c r="AM233" s="40"/>
      <x:c r="AN233" s="39"/>
      <x:c r="AO233" s="40"/>
      <x:c r="AP233" s="40"/>
    </x:row>
    <x:row r="234" ht="15" hidden="0" customHeight="1">
      <x:c r="A234" s="36" t="str">
        <x:v>Bu-239</x:v>
      </x:c>
      <x:c r="B234" s="37" t="str">
        <x:v>Topkal</x:v>
      </x:c>
      <x:c r="C234" s="36" t="str">
        <x:v>BU Led</x:v>
      </x:c>
      <x:c r="D234" s="36" t="str">
        <x:v>Monitoring - HPM (MCH)</x:v>
      </x:c>
      <x:c r="E234" s="38" t="n">
        <x:v>0</x:v>
      </x:c>
      <x:c r="F234" s="39"/>
      <x:c r="G234" s="38" t="str">
        <x:f>IF(ISNUMBER(F234),F234,IF(E234="","",E234))</x:f>
      </x:c>
      <x:c r="H234" s="38"/>
      <x:c r="I234" s="39"/>
      <x:c r="J234" s="36" t="str">
        <x:v>Cash savings</x:v>
      </x:c>
      <x:c r="K234" s="38" t="str">
        <x:f>IF(ISNUMBER(I234),I234,IF(OR(NOT(ISNUMBER(H234)),NOT(ISNUMBER(G234)),G234&lt;=0),"",IF(H234/G234&gt;='Score settings'!$B$58,"",IF(J234="Cash savings",H234,IF(J234="Revenue",H234*'Score settings'!$B$55,"")))))</x:f>
      </x:c>
      <x:c r="L234" s="36"/>
      <x:c r="M234" s="39"/>
      <x:c r="N234" s="40"/>
      <x:c r="O234" s="36" t="str">
        <x:v>Depri</x:v>
      </x:c>
      <x:c r="P234" s="36" t="str">
        <x:v>NewFeat</x:v>
      </x:c>
      <x:c r="Q234" s="36" t="str">
        <x:v>Productivity</x:v>
      </x:c>
      <x:c r="R234" s="36" t="str">
        <x:v>NotAssessed</x:v>
      </x:c>
      <x:c r="S234" s="36" t="str"/>
      <x:c r="T234" s="36" t="str">
        <x:v>Common pot</x:v>
      </x:c>
      <x:c r="U234" s="41" t="n">
        <x:f>VLOOKUP("Priority|"&amp;O234,'Score settings'!$A$14:$C$43,2,FALSE)/'Score settings'!$B$4*'Score settings'!$C$4</x:f>
        <x:v>5</x:v>
      </x:c>
      <x:c r="V234" s="41" t="n">
        <x:f>VLOOKUP("Category|"&amp;P234,'Score settings'!$A$14:$C$43,2,FALSE)/'Score settings'!$B$5*'Score settings'!$C$5</x:f>
        <x:v>6</x:v>
      </x:c>
      <x:c r="W234" s="41" t="n">
        <x:f>VLOOKUP("Area|"&amp;Q234,'Score settings'!$A$14:$C$43,2,FALSE)/'Score settings'!$B$6*'Score settings'!$C$6</x:f>
        <x:v>10</x:v>
      </x:c>
      <x:c r="X234" s="41" t="n">
        <x:f>VLOOKUP("Benefits|"&amp;IF(AND(ISNUMBER(H234),H234&gt;0,ISNUMBER(G234),G234&gt;0),IF(H234/G234&gt;='Score settings'!$E$17,"3plus",IF(H234/G234&gt;='Score settings'!$E$16,"1.5to3",IF(H234/G234&gt;='Score settings'!$E$15,"0.5to1.5","positive"))),"None"),'Score settings'!$A$14:$C$43,2,FALSE)/'Score settings'!$B$7*'Score settings'!$C$7</x:f>
        <x:v>5</x:v>
      </x:c>
      <x:c r="Y234" s="41" t="n">
        <x:f>VLOOKUP("Waste|"&amp;R234,'Score settings'!$A$14:$C$43,2,FALSE)/'Score settings'!$B$8*'Score settings'!$C$8</x:f>
        <x:v>7</x:v>
      </x:c>
      <x:c r="Z234" s="41" t="n">
        <x:f>IF(B234="","",SUM(U234:Y234))</x:f>
        <x:v>33</x:v>
      </x:c>
      <x:c r="AA234" s="41" t="str">
        <x:f>IF(Z234="","Not scored",VLOOKUP(Z234,'Score settings'!$A$47:$C$50,2,TRUE))</x:f>
        <x:v>Discretionary</x:v>
      </x:c>
      <x:c r="AB234" s="41" t="n">
        <x:f>VLOOKUP("Priority|"&amp;O234,'Score settings'!$A$14:$C$43,3,FALSE)/'Score settings'!$B$4*'Score settings'!$D$4</x:f>
        <x:v>3</x:v>
      </x:c>
      <x:c r="AC234" s="41" t="n">
        <x:f>VLOOKUP("Category|"&amp;P234,'Score settings'!$A$14:$C$43,3,FALSE)/'Score settings'!$B$5*'Score settings'!$D$5</x:f>
        <x:v>3</x:v>
      </x:c>
      <x:c r="AD234" s="41" t="n">
        <x:f>VLOOKUP("Area|"&amp;Q234,'Score settings'!$A$14:$C$43,3,FALSE)/'Score settings'!$B$6*'Score settings'!$D$6</x:f>
        <x:v>6.666666666666666</x:v>
      </x:c>
      <x:c r="AE234" s="41" t="n">
        <x:f>VLOOKUP("Benefits|"&amp;IF(AND(ISNUMBER(K234),K234&gt;0,ISNUMBER(G234),G234&gt;0),IF(K234/G234&gt;='Score settings'!$E$17,"3plus",IF(K234/G234&gt;='Score settings'!$E$16,"1.5to3",IF(K234/G234&gt;='Score settings'!$E$15,"0.5to1.5","positive"))),"None"),'Score settings'!$A$14:$C$43,3,FALSE)/'Score settings'!$B$7*'Score settings'!$D$7</x:f>
        <x:v>0</x:v>
      </x:c>
      <x:c r="AF234" s="41" t="n">
        <x:f>VLOOKUP("Waste|"&amp;R234,'Score settings'!$A$14:$C$43,3,FALSE)/'Score settings'!$B$8*'Score settings'!$D$8</x:f>
        <x:v>0</x:v>
      </x:c>
      <x:c r="AG234" s="41" t="n">
        <x:f>(IF(AND(ISNUMBER(M234),M234&gt;0,ISNUMBER(G234),G234&gt;0),IF(M234/G234&gt;='Score settings'!$E$17,'Score settings'!$G$17,IF(M234/G234&gt;='Score settings'!$E$16,'Score settings'!$G$16,IF(M234/G234&gt;='Score settings'!$E$15,'Score settings'!$G$15,'Score settings'!$G$14))),0)/15*'Score settings'!$B$60+IFERROR(VLOOKUP(IF(ISNUMBER(N234),N234,IF(ISNUMBER(L234),L234,0)),'Score settings'!$E$22:$F$26,2,FALSE),0)/10*'Score settings'!$B$61)/'Score settings'!$B$9*'Score settings'!$D$9</x:f>
        <x:v>0</x:v>
      </x:c>
      <x:c r="AH234" s="41" t="n">
        <x:f>IF(B234="","",SUM(AB234:AG234))</x:f>
        <x:v>12.666666666666666</x:v>
      </x:c>
      <x:c r="AI234" s="41" t="str">
        <x:f>IF(NOT(ISNUMBER(AH234)),"Not scored",VLOOKUP(AH234,'Score settings'!$A$47:$C$50,3,TRUE))</x:f>
        <x:v>Weak</x:v>
      </x:c>
      <x:c r="AJ234" s="42" t="n">
        <x:f>IF(OR(NOT(ISNUMBER(AH234)),T234&lt;&gt;"Common pot"),"",COUNTIFS($T$4:$T$509,"Common pot",$AH$4:$AH$509,"&gt;"&amp;AH234)+1)</x:f>
        <x:v>374</x:v>
      </x:c>
      <x:c r="AK234" s="36" t="str">
        <x:f>IF(B234="","Name missing - not scored",IF(OR(NOT(ISNUMBER(G234)),G234&lt;=0),"Investment missing or zero - review",IF(0=1,"Permanent ID missing - reconcile",IF(AND(ISNUMBER(H234),H234/G234&gt;='Score settings'!$B$58,NOT(ISNUMBER(I234))),"Benefit units need review",IF(OR(R234="EXIT",R234="CHALLENGE"),"Waste decision requires scope resolution",IF("Name and organisation matched"&lt;&gt;"Name and organisation matched","Waste evidence match needs review","Provisional source score - confirm evidence"))))))</x:f>
        <x:v>Investment missing or zero - review</x:v>
      </x:c>
      <x:c r="AL234" s="36"/>
      <x:c r="AM234" s="40"/>
      <x:c r="AN234" s="39"/>
      <x:c r="AO234" s="40"/>
      <x:c r="AP234" s="40"/>
    </x:row>
    <x:row r="235" ht="15" hidden="0" customHeight="1">
      <x:c r="A235" s="36" t="str">
        <x:v>Bu-240</x:v>
      </x:c>
      <x:c r="B235" s="37" t="str">
        <x:v>ConfigIT - Transforming our Configure to Deliver Landscape</x:v>
      </x:c>
      <x:c r="C235" s="36" t="str">
        <x:v>BU Led</x:v>
      </x:c>
      <x:c r="D235" s="36" t="str">
        <x:v>Precision Diagnosis - Magnetic Resonance (MR)</x:v>
      </x:c>
      <x:c r="E235" s="38" t="n">
        <x:v>0.99</x:v>
      </x:c>
      <x:c r="F235" s="39"/>
      <x:c r="G235" s="38" t="n">
        <x:f>IF(ISNUMBER(F235),F235,IF(E235="","",E235))</x:f>
        <x:v>0.99</x:v>
      </x:c>
      <x:c r="H235" s="38"/>
      <x:c r="I235" s="39"/>
      <x:c r="J235" s="36" t="str">
        <x:v>Cash savings</x:v>
      </x:c>
      <x:c r="K235" s="38" t="str">
        <x:f>IF(ISNUMBER(I235),I235,IF(OR(NOT(ISNUMBER(H235)),NOT(ISNUMBER(G235)),G235&lt;=0),"",IF(H235/G235&gt;='Score settings'!$B$58,"",IF(J235="Cash savings",H235,IF(J235="Revenue",H235*'Score settings'!$B$55,"")))))</x:f>
      </x:c>
      <x:c r="L235" s="36"/>
      <x:c r="M235" s="39"/>
      <x:c r="N235" s="40"/>
      <x:c r="O235" s="36" t="str">
        <x:v>Must Do</x:v>
      </x:c>
      <x:c r="P235" s="36" t="str">
        <x:v>NewFeat</x:v>
      </x:c>
      <x:c r="Q235" s="36" t="str">
        <x:v>ProcSimp</x:v>
      </x:c>
      <x:c r="R235" s="36" t="str">
        <x:v>NotAssessed</x:v>
      </x:c>
      <x:c r="S235" s="36" t="str"/>
      <x:c r="T235" s="36" t="str">
        <x:v>Common pot</x:v>
      </x:c>
      <x:c r="U235" s="41" t="n">
        <x:f>VLOOKUP("Priority|"&amp;O235,'Score settings'!$A$14:$C$43,2,FALSE)/'Score settings'!$B$4*'Score settings'!$C$4</x:f>
        <x:v>25</x:v>
      </x:c>
      <x:c r="V235" s="41" t="n">
        <x:f>VLOOKUP("Category|"&amp;P235,'Score settings'!$A$14:$C$43,2,FALSE)/'Score settings'!$B$5*'Score settings'!$C$5</x:f>
        <x:v>6</x:v>
      </x:c>
      <x:c r="W235" s="41" t="n">
        <x:f>VLOOKUP("Area|"&amp;Q235,'Score settings'!$A$14:$C$43,2,FALSE)/'Score settings'!$B$6*'Score settings'!$C$6</x:f>
        <x:v>12</x:v>
      </x:c>
      <x:c r="X235" s="41" t="n">
        <x:f>VLOOKUP("Benefits|"&amp;IF(AND(ISNUMBER(H235),H235&gt;0,ISNUMBER(G235),G235&gt;0),IF(H235/G235&gt;='Score settings'!$E$17,"3plus",IF(H235/G235&gt;='Score settings'!$E$16,"1.5to3",IF(H235/G235&gt;='Score settings'!$E$15,"0.5to1.5","positive"))),"None"),'Score settings'!$A$14:$C$43,2,FALSE)/'Score settings'!$B$7*'Score settings'!$C$7</x:f>
        <x:v>5</x:v>
      </x:c>
      <x:c r="Y235" s="41" t="n">
        <x:f>VLOOKUP("Waste|"&amp;R235,'Score settings'!$A$14:$C$43,2,FALSE)/'Score settings'!$B$8*'Score settings'!$C$8</x:f>
        <x:v>7</x:v>
      </x:c>
      <x:c r="Z235" s="41" t="n">
        <x:f>IF(B235="","",SUM(U235:Y235))</x:f>
        <x:v>55</x:v>
      </x:c>
      <x:c r="AA235" s="41" t="str">
        <x:f>IF(Z235="","Not scored",VLOOKUP(Z235,'Score settings'!$A$47:$C$50,2,TRUE))</x:f>
        <x:v>Strong</x:v>
      </x:c>
      <x:c r="AB235" s="41" t="n">
        <x:f>VLOOKUP("Priority|"&amp;O235,'Score settings'!$A$14:$C$43,3,FALSE)/'Score settings'!$B$4*'Score settings'!$D$4</x:f>
        <x:v>15</x:v>
      </x:c>
      <x:c r="AC235" s="41" t="n">
        <x:f>VLOOKUP("Category|"&amp;P235,'Score settings'!$A$14:$C$43,3,FALSE)/'Score settings'!$B$5*'Score settings'!$D$5</x:f>
        <x:v>3</x:v>
      </x:c>
      <x:c r="AD235" s="41" t="n">
        <x:f>VLOOKUP("Area|"&amp;Q235,'Score settings'!$A$14:$C$43,3,FALSE)/'Score settings'!$B$6*'Score settings'!$D$6</x:f>
        <x:v>8</x:v>
      </x:c>
      <x:c r="AE235" s="41" t="n">
        <x:f>VLOOKUP("Benefits|"&amp;IF(AND(ISNUMBER(K235),K235&gt;0,ISNUMBER(G235),G235&gt;0),IF(K235/G235&gt;='Score settings'!$E$17,"3plus",IF(K235/G235&gt;='Score settings'!$E$16,"1.5to3",IF(K235/G235&gt;='Score settings'!$E$15,"0.5to1.5","positive"))),"None"),'Score settings'!$A$14:$C$43,3,FALSE)/'Score settings'!$B$7*'Score settings'!$D$7</x:f>
        <x:v>0</x:v>
      </x:c>
      <x:c r="AF235" s="41" t="n">
        <x:f>VLOOKUP("Waste|"&amp;R235,'Score settings'!$A$14:$C$43,3,FALSE)/'Score settings'!$B$8*'Score settings'!$D$8</x:f>
        <x:v>0</x:v>
      </x:c>
      <x:c r="AG235" s="41" t="n">
        <x:f>(IF(AND(ISNUMBER(M235),M235&gt;0,ISNUMBER(G235),G235&gt;0),IF(M235/G235&gt;='Score settings'!$E$17,'Score settings'!$G$17,IF(M235/G235&gt;='Score settings'!$E$16,'Score settings'!$G$16,IF(M235/G235&gt;='Score settings'!$E$15,'Score settings'!$G$15,'Score settings'!$G$14))),0)/15*'Score settings'!$B$60+IFERROR(VLOOKUP(IF(ISNUMBER(N235),N235,IF(ISNUMBER(L235),L235,0)),'Score settings'!$E$22:$F$26,2,FALSE),0)/10*'Score settings'!$B$61)/'Score settings'!$B$9*'Score settings'!$D$9</x:f>
        <x:v>0</x:v>
      </x:c>
      <x:c r="AH235" s="41" t="n">
        <x:f>IF(B235="","",SUM(AB235:AG235))</x:f>
        <x:v>26</x:v>
      </x:c>
      <x:c r="AI235" s="41" t="str">
        <x:f>IF(NOT(ISNUMBER(AH235)),"Not scored",VLOOKUP(AH235,'Score settings'!$A$47:$C$50,3,TRUE))</x:f>
        <x:v>Discretionary</x:v>
      </x:c>
      <x:c r="AJ235" s="42" t="n">
        <x:f>IF(OR(NOT(ISNUMBER(AH235)),T235&lt;&gt;"Common pot"),"",COUNTIFS($T$4:$T$509,"Common pot",$AH$4:$AH$509,"&gt;"&amp;AH235)+1)</x:f>
        <x:v>237</x:v>
      </x:c>
      <x:c r="AK235" s="36" t="str">
        <x:f>IF(B235="","Name missing - not scored",IF(OR(NOT(ISNUMBER(G235)),G235&lt;=0),"Investment missing or zero - review",IF(0=1,"Permanent ID missing - reconcile",IF(AND(ISNUMBER(H235),H235/G235&gt;='Score settings'!$B$58,NOT(ISNUMBER(I235))),"Benefit units need review",IF(OR(R235="EXIT",R235="CHALLENGE"),"Waste decision requires scope resolution",IF("Name and organisation matched"&lt;&gt;"Name and organisation matched","Waste evidence match needs review","Provisional source score - confirm evidence"))))))</x:f>
        <x:v>Provisional source score - confirm evidence</x:v>
      </x:c>
      <x:c r="AL235" s="36"/>
      <x:c r="AM235" s="40"/>
      <x:c r="AN235" s="39"/>
      <x:c r="AO235" s="40"/>
      <x:c r="AP235" s="40"/>
    </x:row>
    <x:row r="236" ht="15" hidden="0" customHeight="1">
      <x:c r="A236" s="36" t="str">
        <x:v>Bu-241</x:v>
      </x:c>
      <x:c r="B236" s="37" t="str">
        <x:v>Atlas (Regional Merge Center) — IT sap System</x:v>
      </x:c>
      <x:c r="C236" s="36" t="str">
        <x:v>BU Led</x:v>
      </x:c>
      <x:c r="D236" s="36" t="str">
        <x:v>Precision Diagnosis - Magnetic Resonance (MR)</x:v>
      </x:c>
      <x:c r="E236" s="38" t="n">
        <x:v>0.05</x:v>
      </x:c>
      <x:c r="F236" s="39"/>
      <x:c r="G236" s="38" t="n">
        <x:f>IF(ISNUMBER(F236),F236,IF(E236="","",E236))</x:f>
        <x:v>0.05</x:v>
      </x:c>
      <x:c r="H236" s="38"/>
      <x:c r="I236" s="39"/>
      <x:c r="J236" s="36" t="str">
        <x:v>Cash savings</x:v>
      </x:c>
      <x:c r="K236" s="38" t="str">
        <x:f>IF(ISNUMBER(I236),I236,IF(OR(NOT(ISNUMBER(H236)),NOT(ISNUMBER(G236)),G236&lt;=0),"",IF(H236/G236&gt;='Score settings'!$B$58,"",IF(J236="Cash savings",H236,IF(J236="Revenue",H236*'Score settings'!$B$55,"")))))</x:f>
      </x:c>
      <x:c r="L236" s="36"/>
      <x:c r="M236" s="39"/>
      <x:c r="N236" s="40"/>
      <x:c r="O236" s="36" t="str">
        <x:v>Must Do</x:v>
      </x:c>
      <x:c r="P236" s="36" t="str">
        <x:v>NewTech</x:v>
      </x:c>
      <x:c r="Q236" s="36" t="str">
        <x:v>Productivity</x:v>
      </x:c>
      <x:c r="R236" s="36" t="str">
        <x:v>NotAssessed</x:v>
      </x:c>
      <x:c r="S236" s="36" t="str"/>
      <x:c r="T236" s="36" t="str">
        <x:v>Common pot</x:v>
      </x:c>
      <x:c r="U236" s="41" t="n">
        <x:f>VLOOKUP("Priority|"&amp;O236,'Score settings'!$A$14:$C$43,2,FALSE)/'Score settings'!$B$4*'Score settings'!$C$4</x:f>
        <x:v>25</x:v>
      </x:c>
      <x:c r="V236" s="41" t="n">
        <x:f>VLOOKUP("Category|"&amp;P236,'Score settings'!$A$14:$C$43,2,FALSE)/'Score settings'!$B$5*'Score settings'!$C$5</x:f>
        <x:v>5</x:v>
      </x:c>
      <x:c r="W236" s="41" t="n">
        <x:f>VLOOKUP("Area|"&amp;Q236,'Score settings'!$A$14:$C$43,2,FALSE)/'Score settings'!$B$6*'Score settings'!$C$6</x:f>
        <x:v>10</x:v>
      </x:c>
      <x:c r="X236" s="41" t="n">
        <x:f>VLOOKUP("Benefits|"&amp;IF(AND(ISNUMBER(H236),H236&gt;0,ISNUMBER(G236),G236&gt;0),IF(H236/G236&gt;='Score settings'!$E$17,"3plus",IF(H236/G236&gt;='Score settings'!$E$16,"1.5to3",IF(H236/G236&gt;='Score settings'!$E$15,"0.5to1.5","positive"))),"None"),'Score settings'!$A$14:$C$43,2,FALSE)/'Score settings'!$B$7*'Score settings'!$C$7</x:f>
        <x:v>5</x:v>
      </x:c>
      <x:c r="Y236" s="41" t="n">
        <x:f>VLOOKUP("Waste|"&amp;R236,'Score settings'!$A$14:$C$43,2,FALSE)/'Score settings'!$B$8*'Score settings'!$C$8</x:f>
        <x:v>7</x:v>
      </x:c>
      <x:c r="Z236" s="41" t="n">
        <x:f>IF(B236="","",SUM(U236:Y236))</x:f>
        <x:v>52</x:v>
      </x:c>
      <x:c r="AA236" s="41" t="str">
        <x:f>IF(Z236="","Not scored",VLOOKUP(Z236,'Score settings'!$A$47:$C$50,2,TRUE))</x:f>
        <x:v>Strong</x:v>
      </x:c>
      <x:c r="AB236" s="41" t="n">
        <x:f>VLOOKUP("Priority|"&amp;O236,'Score settings'!$A$14:$C$43,3,FALSE)/'Score settings'!$B$4*'Score settings'!$D$4</x:f>
        <x:v>15</x:v>
      </x:c>
      <x:c r="AC236" s="41" t="n">
        <x:f>VLOOKUP("Category|"&amp;P236,'Score settings'!$A$14:$C$43,3,FALSE)/'Score settings'!$B$5*'Score settings'!$D$5</x:f>
        <x:v>2.5</x:v>
      </x:c>
      <x:c r="AD236" s="41" t="n">
        <x:f>VLOOKUP("Area|"&amp;Q236,'Score settings'!$A$14:$C$43,3,FALSE)/'Score settings'!$B$6*'Score settings'!$D$6</x:f>
        <x:v>6.666666666666666</x:v>
      </x:c>
      <x:c r="AE236" s="41" t="n">
        <x:f>VLOOKUP("Benefits|"&amp;IF(AND(ISNUMBER(K236),K236&gt;0,ISNUMBER(G236),G236&gt;0),IF(K236/G236&gt;='Score settings'!$E$17,"3plus",IF(K236/G236&gt;='Score settings'!$E$16,"1.5to3",IF(K236/G236&gt;='Score settings'!$E$15,"0.5to1.5","positive"))),"None"),'Score settings'!$A$14:$C$43,3,FALSE)/'Score settings'!$B$7*'Score settings'!$D$7</x:f>
        <x:v>0</x:v>
      </x:c>
      <x:c r="AF236" s="41" t="n">
        <x:f>VLOOKUP("Waste|"&amp;R236,'Score settings'!$A$14:$C$43,3,FALSE)/'Score settings'!$B$8*'Score settings'!$D$8</x:f>
        <x:v>0</x:v>
      </x:c>
      <x:c r="AG236" s="41" t="n">
        <x:f>(IF(AND(ISNUMBER(M236),M236&gt;0,ISNUMBER(G236),G236&gt;0),IF(M236/G236&gt;='Score settings'!$E$17,'Score settings'!$G$17,IF(M236/G236&gt;='Score settings'!$E$16,'Score settings'!$G$16,IF(M236/G236&gt;='Score settings'!$E$15,'Score settings'!$G$15,'Score settings'!$G$14))),0)/15*'Score settings'!$B$60+IFERROR(VLOOKUP(IF(ISNUMBER(N236),N236,IF(ISNUMBER(L236),L236,0)),'Score settings'!$E$22:$F$26,2,FALSE),0)/10*'Score settings'!$B$61)/'Score settings'!$B$9*'Score settings'!$D$9</x:f>
        <x:v>0</x:v>
      </x:c>
      <x:c r="AH236" s="41" t="n">
        <x:f>IF(B236="","",SUM(AB236:AG236))</x:f>
        <x:v>24.166666666666664</x:v>
      </x:c>
      <x:c r="AI236" s="41" t="str">
        <x:f>IF(NOT(ISNUMBER(AH236)),"Not scored",VLOOKUP(AH236,'Score settings'!$A$47:$C$50,3,TRUE))</x:f>
        <x:v>Weak</x:v>
      </x:c>
      <x:c r="AJ236" s="42" t="n">
        <x:f>IF(OR(NOT(ISNUMBER(AH236)),T236&lt;&gt;"Common pot"),"",COUNTIFS($T$4:$T$509,"Common pot",$AH$4:$AH$509,"&gt;"&amp;AH236)+1)</x:f>
        <x:v>284</x:v>
      </x:c>
      <x:c r="AK236" s="36" t="str">
        <x:f>IF(B236="","Name missing - not scored",IF(OR(NOT(ISNUMBER(G236)),G236&lt;=0),"Investment missing or zero - review",IF(0=1,"Permanent ID missing - reconcile",IF(AND(ISNUMBER(H236),H236/G236&gt;='Score settings'!$B$58,NOT(ISNUMBER(I236))),"Benefit units need review",IF(OR(R236="EXIT",R236="CHALLENGE"),"Waste decision requires scope resolution",IF("Name and organisation matched"&lt;&gt;"Name and organisation matched","Waste evidence match needs review","Provisional source score - confirm evidence"))))))</x:f>
        <x:v>Provisional source score - confirm evidence</x:v>
      </x:c>
      <x:c r="AL236" s="36"/>
      <x:c r="AM236" s="40"/>
      <x:c r="AN236" s="39"/>
      <x:c r="AO236" s="40"/>
      <x:c r="AP236" s="40"/>
    </x:row>
    <x:row r="237" ht="15" hidden="0" customHeight="1">
      <x:c r="A237" s="36" t="str">
        <x:v>Bu-242</x:v>
      </x:c>
      <x:c r="B237" s="37" t="str">
        <x:v>Entreperner flow Iray -SPS</x:v>
      </x:c>
      <x:c r="C237" s="36" t="str">
        <x:v>BU Led</x:v>
      </x:c>
      <x:c r="D237" s="36" t="str">
        <x:v>Precision Diagnosis - Magnetic Resonance (MR)</x:v>
      </x:c>
      <x:c r="E237" s="38" t="n">
        <x:v>0.1</x:v>
      </x:c>
      <x:c r="F237" s="39"/>
      <x:c r="G237" s="38" t="n">
        <x:f>IF(ISNUMBER(F237),F237,IF(E237="","",E237))</x:f>
        <x:v>0.1</x:v>
      </x:c>
      <x:c r="H237" s="38"/>
      <x:c r="I237" s="39"/>
      <x:c r="J237" s="36" t="str">
        <x:v>Risk exposure</x:v>
      </x:c>
      <x:c r="K237" s="38" t="str">
        <x:f>IF(ISNUMBER(I237),I237,IF(OR(NOT(ISNUMBER(H237)),NOT(ISNUMBER(G237)),G237&lt;=0),"",IF(H237/G237&gt;='Score settings'!$B$58,"",IF(J237="Cash savings",H237,IF(J237="Revenue",H237*'Score settings'!$B$55,"")))))</x:f>
      </x:c>
      <x:c r="L237" s="36"/>
      <x:c r="M237" s="39"/>
      <x:c r="N237" s="40"/>
      <x:c r="O237" s="36" t="str">
        <x:v>Must Have</x:v>
      </x:c>
      <x:c r="P237" s="36" t="str">
        <x:v>NewFeat</x:v>
      </x:c>
      <x:c r="Q237" s="36" t="str">
        <x:v>Compliance</x:v>
      </x:c>
      <x:c r="R237" s="36" t="str">
        <x:v>NotAssessed</x:v>
      </x:c>
      <x:c r="S237" s="36" t="str"/>
      <x:c r="T237" s="36" t="str">
        <x:v>Common pot</x:v>
      </x:c>
      <x:c r="U237" s="41" t="n">
        <x:f>VLOOKUP("Priority|"&amp;O237,'Score settings'!$A$14:$C$43,2,FALSE)/'Score settings'!$B$4*'Score settings'!$C$4</x:f>
        <x:v>18</x:v>
      </x:c>
      <x:c r="V237" s="41" t="n">
        <x:f>VLOOKUP("Category|"&amp;P237,'Score settings'!$A$14:$C$43,2,FALSE)/'Score settings'!$B$5*'Score settings'!$C$5</x:f>
        <x:v>6</x:v>
      </x:c>
      <x:c r="W237" s="41" t="n">
        <x:f>VLOOKUP("Area|"&amp;Q237,'Score settings'!$A$14:$C$43,2,FALSE)/'Score settings'!$B$6*'Score settings'!$C$6</x:f>
        <x:v>15</x:v>
      </x:c>
      <x:c r="X237" s="41" t="n">
        <x:f>VLOOKUP("Benefits|"&amp;IF(AND(ISNUMBER(H237),H237&gt;0,ISNUMBER(G237),G237&gt;0),IF(H237/G237&gt;='Score settings'!$E$17,"3plus",IF(H237/G237&gt;='Score settings'!$E$16,"1.5to3",IF(H237/G237&gt;='Score settings'!$E$15,"0.5to1.5","positive"))),"None"),'Score settings'!$A$14:$C$43,2,FALSE)/'Score settings'!$B$7*'Score settings'!$C$7</x:f>
        <x:v>5</x:v>
      </x:c>
      <x:c r="Y237" s="41" t="n">
        <x:f>VLOOKUP("Waste|"&amp;R237,'Score settings'!$A$14:$C$43,2,FALSE)/'Score settings'!$B$8*'Score settings'!$C$8</x:f>
        <x:v>7</x:v>
      </x:c>
      <x:c r="Z237" s="41" t="n">
        <x:f>IF(B237="","",SUM(U237:Y237))</x:f>
        <x:v>51</x:v>
      </x:c>
      <x:c r="AA237" s="41" t="str">
        <x:f>IF(Z237="","Not scored",VLOOKUP(Z237,'Score settings'!$A$47:$C$50,2,TRUE))</x:f>
        <x:v>Strong</x:v>
      </x:c>
      <x:c r="AB237" s="41" t="n">
        <x:f>VLOOKUP("Priority|"&amp;O237,'Score settings'!$A$14:$C$43,3,FALSE)/'Score settings'!$B$4*'Score settings'!$D$4</x:f>
        <x:v>10.799999999999999</x:v>
      </x:c>
      <x:c r="AC237" s="41" t="n">
        <x:f>VLOOKUP("Category|"&amp;P237,'Score settings'!$A$14:$C$43,3,FALSE)/'Score settings'!$B$5*'Score settings'!$D$5</x:f>
        <x:v>3</x:v>
      </x:c>
      <x:c r="AD237" s="41" t="n">
        <x:f>VLOOKUP("Area|"&amp;Q237,'Score settings'!$A$14:$C$43,3,FALSE)/'Score settings'!$B$6*'Score settings'!$D$6</x:f>
        <x:v>10</x:v>
      </x:c>
      <x:c r="AE237" s="41" t="n">
        <x:f>VLOOKUP("Benefits|"&amp;IF(AND(ISNUMBER(K237),K237&gt;0,ISNUMBER(G237),G237&gt;0),IF(K237/G237&gt;='Score settings'!$E$17,"3plus",IF(K237/G237&gt;='Score settings'!$E$16,"1.5to3",IF(K237/G237&gt;='Score settings'!$E$15,"0.5to1.5","positive"))),"None"),'Score settings'!$A$14:$C$43,3,FALSE)/'Score settings'!$B$7*'Score settings'!$D$7</x:f>
        <x:v>0</x:v>
      </x:c>
      <x:c r="AF237" s="41" t="n">
        <x:f>VLOOKUP("Waste|"&amp;R237,'Score settings'!$A$14:$C$43,3,FALSE)/'Score settings'!$B$8*'Score settings'!$D$8</x:f>
        <x:v>0</x:v>
      </x:c>
      <x:c r="AG237" s="41" t="n">
        <x:f>(IF(AND(ISNUMBER(M237),M237&gt;0,ISNUMBER(G237),G237&gt;0),IF(M237/G237&gt;='Score settings'!$E$17,'Score settings'!$G$17,IF(M237/G237&gt;='Score settings'!$E$16,'Score settings'!$G$16,IF(M237/G237&gt;='Score settings'!$E$15,'Score settings'!$G$15,'Score settings'!$G$14))),0)/15*'Score settings'!$B$60+IFERROR(VLOOKUP(IF(ISNUMBER(N237),N237,IF(ISNUMBER(L237),L237,0)),'Score settings'!$E$22:$F$26,2,FALSE),0)/10*'Score settings'!$B$61)/'Score settings'!$B$9*'Score settings'!$D$9</x:f>
        <x:v>0</x:v>
      </x:c>
      <x:c r="AH237" s="41" t="n">
        <x:f>IF(B237="","",SUM(AB237:AG237))</x:f>
        <x:v>23.799999999999997</x:v>
      </x:c>
      <x:c r="AI237" s="41" t="str">
        <x:f>IF(NOT(ISNUMBER(AH237)),"Not scored",VLOOKUP(AH237,'Score settings'!$A$47:$C$50,3,TRUE))</x:f>
        <x:v>Weak</x:v>
      </x:c>
      <x:c r="AJ237" s="42" t="n">
        <x:f>IF(OR(NOT(ISNUMBER(AH237)),T237&lt;&gt;"Common pot"),"",COUNTIFS($T$4:$T$509,"Common pot",$AH$4:$AH$509,"&gt;"&amp;AH237)+1)</x:f>
        <x:v>289</x:v>
      </x:c>
      <x:c r="AK237" s="36" t="str">
        <x:f>IF(B237="","Name missing - not scored",IF(OR(NOT(ISNUMBER(G237)),G237&lt;=0),"Investment missing or zero - review",IF(0=1,"Permanent ID missing - reconcile",IF(AND(ISNUMBER(H237),H237/G237&gt;='Score settings'!$B$58,NOT(ISNUMBER(I237))),"Benefit units need review",IF(OR(R237="EXIT",R237="CHALLENGE"),"Waste decision requires scope resolution",IF("Name and organisation matched"&lt;&gt;"Name and organisation matched","Waste evidence match needs review","Provisional source score - confirm evidence"))))))</x:f>
        <x:v>Provisional source score - confirm evidence</x:v>
      </x:c>
      <x:c r="AL237" s="36"/>
      <x:c r="AM237" s="40"/>
      <x:c r="AN237" s="39"/>
      <x:c r="AO237" s="40"/>
      <x:c r="AP237" s="40"/>
    </x:row>
    <x:row r="238" ht="15" hidden="0" customHeight="1">
      <x:c r="A238" s="36" t="str">
        <x:v>Bu-243</x:v>
      </x:c>
      <x:c r="B238" s="37" t="str">
        <x:v>DEFOA Iray  OEM 1EMS IT structure</x:v>
      </x:c>
      <x:c r="C238" s="36" t="str">
        <x:v>BU Led</x:v>
      </x:c>
      <x:c r="D238" s="36" t="str">
        <x:v>Precision Diagnosis - Magnetic Resonance (MR)</x:v>
      </x:c>
      <x:c r="E238" s="38" t="n">
        <x:v>0.05</x:v>
      </x:c>
      <x:c r="F238" s="39"/>
      <x:c r="G238" s="38" t="n">
        <x:f>IF(ISNUMBER(F238),F238,IF(E238="","",E238))</x:f>
        <x:v>0.05</x:v>
      </x:c>
      <x:c r="H238" s="38"/>
      <x:c r="I238" s="39"/>
      <x:c r="J238" s="36" t="str">
        <x:v>Risk exposure</x:v>
      </x:c>
      <x:c r="K238" s="38" t="str">
        <x:f>IF(ISNUMBER(I238),I238,IF(OR(NOT(ISNUMBER(H238)),NOT(ISNUMBER(G238)),G238&lt;=0),"",IF(H238/G238&gt;='Score settings'!$B$58,"",IF(J238="Cash savings",H238,IF(J238="Revenue",H238*'Score settings'!$B$55,"")))))</x:f>
      </x:c>
      <x:c r="L238" s="36"/>
      <x:c r="M238" s="39"/>
      <x:c r="N238" s="40"/>
      <x:c r="O238" s="36" t="str">
        <x:v>Must Have</x:v>
      </x:c>
      <x:c r="P238" s="36" t="str">
        <x:v>NewFeat</x:v>
      </x:c>
      <x:c r="Q238" s="36" t="str">
        <x:v>Compliance</x:v>
      </x:c>
      <x:c r="R238" s="36" t="str">
        <x:v>NotAssessed</x:v>
      </x:c>
      <x:c r="S238" s="36" t="str"/>
      <x:c r="T238" s="36" t="str">
        <x:v>Common pot</x:v>
      </x:c>
      <x:c r="U238" s="41" t="n">
        <x:f>VLOOKUP("Priority|"&amp;O238,'Score settings'!$A$14:$C$43,2,FALSE)/'Score settings'!$B$4*'Score settings'!$C$4</x:f>
        <x:v>18</x:v>
      </x:c>
      <x:c r="V238" s="41" t="n">
        <x:f>VLOOKUP("Category|"&amp;P238,'Score settings'!$A$14:$C$43,2,FALSE)/'Score settings'!$B$5*'Score settings'!$C$5</x:f>
        <x:v>6</x:v>
      </x:c>
      <x:c r="W238" s="41" t="n">
        <x:f>VLOOKUP("Area|"&amp;Q238,'Score settings'!$A$14:$C$43,2,FALSE)/'Score settings'!$B$6*'Score settings'!$C$6</x:f>
        <x:v>15</x:v>
      </x:c>
      <x:c r="X238" s="41" t="n">
        <x:f>VLOOKUP("Benefits|"&amp;IF(AND(ISNUMBER(H238),H238&gt;0,ISNUMBER(G238),G238&gt;0),IF(H238/G238&gt;='Score settings'!$E$17,"3plus",IF(H238/G238&gt;='Score settings'!$E$16,"1.5to3",IF(H238/G238&gt;='Score settings'!$E$15,"0.5to1.5","positive"))),"None"),'Score settings'!$A$14:$C$43,2,FALSE)/'Score settings'!$B$7*'Score settings'!$C$7</x:f>
        <x:v>5</x:v>
      </x:c>
      <x:c r="Y238" s="41" t="n">
        <x:f>VLOOKUP("Waste|"&amp;R238,'Score settings'!$A$14:$C$43,2,FALSE)/'Score settings'!$B$8*'Score settings'!$C$8</x:f>
        <x:v>7</x:v>
      </x:c>
      <x:c r="Z238" s="41" t="n">
        <x:f>IF(B238="","",SUM(U238:Y238))</x:f>
        <x:v>51</x:v>
      </x:c>
      <x:c r="AA238" s="41" t="str">
        <x:f>IF(Z238="","Not scored",VLOOKUP(Z238,'Score settings'!$A$47:$C$50,2,TRUE))</x:f>
        <x:v>Strong</x:v>
      </x:c>
      <x:c r="AB238" s="41" t="n">
        <x:f>VLOOKUP("Priority|"&amp;O238,'Score settings'!$A$14:$C$43,3,FALSE)/'Score settings'!$B$4*'Score settings'!$D$4</x:f>
        <x:v>10.799999999999999</x:v>
      </x:c>
      <x:c r="AC238" s="41" t="n">
        <x:f>VLOOKUP("Category|"&amp;P238,'Score settings'!$A$14:$C$43,3,FALSE)/'Score settings'!$B$5*'Score settings'!$D$5</x:f>
        <x:v>3</x:v>
      </x:c>
      <x:c r="AD238" s="41" t="n">
        <x:f>VLOOKUP("Area|"&amp;Q238,'Score settings'!$A$14:$C$43,3,FALSE)/'Score settings'!$B$6*'Score settings'!$D$6</x:f>
        <x:v>10</x:v>
      </x:c>
      <x:c r="AE238" s="41" t="n">
        <x:f>VLOOKUP("Benefits|"&amp;IF(AND(ISNUMBER(K238),K238&gt;0,ISNUMBER(G238),G238&gt;0),IF(K238/G238&gt;='Score settings'!$E$17,"3plus",IF(K238/G238&gt;='Score settings'!$E$16,"1.5to3",IF(K238/G238&gt;='Score settings'!$E$15,"0.5to1.5","positive"))),"None"),'Score settings'!$A$14:$C$43,3,FALSE)/'Score settings'!$B$7*'Score settings'!$D$7</x:f>
        <x:v>0</x:v>
      </x:c>
      <x:c r="AF238" s="41" t="n">
        <x:f>VLOOKUP("Waste|"&amp;R238,'Score settings'!$A$14:$C$43,3,FALSE)/'Score settings'!$B$8*'Score settings'!$D$8</x:f>
        <x:v>0</x:v>
      </x:c>
      <x:c r="AG238" s="41" t="n">
        <x:f>(IF(AND(ISNUMBER(M238),M238&gt;0,ISNUMBER(G238),G238&gt;0),IF(M238/G238&gt;='Score settings'!$E$17,'Score settings'!$G$17,IF(M238/G238&gt;='Score settings'!$E$16,'Score settings'!$G$16,IF(M238/G238&gt;='Score settings'!$E$15,'Score settings'!$G$15,'Score settings'!$G$14))),0)/15*'Score settings'!$B$60+IFERROR(VLOOKUP(IF(ISNUMBER(N238),N238,IF(ISNUMBER(L238),L238,0)),'Score settings'!$E$22:$F$26,2,FALSE),0)/10*'Score settings'!$B$61)/'Score settings'!$B$9*'Score settings'!$D$9</x:f>
        <x:v>0</x:v>
      </x:c>
      <x:c r="AH238" s="41" t="n">
        <x:f>IF(B238="","",SUM(AB238:AG238))</x:f>
        <x:v>23.799999999999997</x:v>
      </x:c>
      <x:c r="AI238" s="41" t="str">
        <x:f>IF(NOT(ISNUMBER(AH238)),"Not scored",VLOOKUP(AH238,'Score settings'!$A$47:$C$50,3,TRUE))</x:f>
        <x:v>Weak</x:v>
      </x:c>
      <x:c r="AJ238" s="42" t="n">
        <x:f>IF(OR(NOT(ISNUMBER(AH238)),T238&lt;&gt;"Common pot"),"",COUNTIFS($T$4:$T$509,"Common pot",$AH$4:$AH$509,"&gt;"&amp;AH238)+1)</x:f>
        <x:v>289</x:v>
      </x:c>
      <x:c r="AK238" s="36" t="str">
        <x:f>IF(B238="","Name missing - not scored",IF(OR(NOT(ISNUMBER(G238)),G238&lt;=0),"Investment missing or zero - review",IF(0=1,"Permanent ID missing - reconcile",IF(AND(ISNUMBER(H238),H238/G238&gt;='Score settings'!$B$58,NOT(ISNUMBER(I238))),"Benefit units need review",IF(OR(R238="EXIT",R238="CHALLENGE"),"Waste decision requires scope resolution",IF("No exact waste match"&lt;&gt;"Name and organisation matched","Waste evidence match needs review","Provisional source score - confirm evidence"))))))</x:f>
        <x:v>Waste evidence match needs review</x:v>
      </x:c>
      <x:c r="AL238" s="36"/>
      <x:c r="AM238" s="40"/>
      <x:c r="AN238" s="39"/>
      <x:c r="AO238" s="40"/>
      <x:c r="AP238" s="40"/>
    </x:row>
    <x:row r="239" ht="15" hidden="0" customHeight="1">
      <x:c r="A239" s="36" t="str">
        <x:v>Bu-244</x:v>
      </x:c>
      <x:c r="B239" s="37" t="str">
        <x:v>ORU split to separate Manufactruing to Entrepner activities</x:v>
      </x:c>
      <x:c r="C239" s="36" t="str">
        <x:v>BU Led</x:v>
      </x:c>
      <x:c r="D239" s="36" t="str">
        <x:v>Precision Diagnosis - Digital X-ray Radiogrammetry (DXR)</x:v>
      </x:c>
      <x:c r="E239" s="38" t="n">
        <x:v>0.9</x:v>
      </x:c>
      <x:c r="F239" s="39"/>
      <x:c r="G239" s="38" t="n">
        <x:f>IF(ISNUMBER(F239),F239,IF(E239="","",E239))</x:f>
        <x:v>0.9</x:v>
      </x:c>
      <x:c r="H239" s="38" t="n">
        <x:v>1</x:v>
      </x:c>
      <x:c r="I239" s="39"/>
      <x:c r="J239" s="36" t="str">
        <x:v>Risk exposure</x:v>
      </x:c>
      <x:c r="K239" s="38" t="str">
        <x:f>IF(ISNUMBER(I239),I239,IF(OR(NOT(ISNUMBER(H239)),NOT(ISNUMBER(G239)),G239&lt;=0),"",IF(H239/G239&gt;='Score settings'!$B$58,"",IF(J239="Cash savings",H239,IF(J239="Revenue",H239*'Score settings'!$B$55,"")))))</x:f>
      </x:c>
      <x:c r="L239" s="36"/>
      <x:c r="M239" s="39"/>
      <x:c r="N239" s="40"/>
      <x:c r="O239" s="36" t="str">
        <x:v>Must Have</x:v>
      </x:c>
      <x:c r="P239" s="36" t="str">
        <x:v>LFR</x:v>
      </x:c>
      <x:c r="Q239" s="36" t="str">
        <x:v>Compliance</x:v>
      </x:c>
      <x:c r="R239" s="36" t="str">
        <x:v>NotAssessed</x:v>
      </x:c>
      <x:c r="S239" s="36" t="str"/>
      <x:c r="T239" s="36" t="str">
        <x:v>Common pot</x:v>
      </x:c>
      <x:c r="U239" s="41" t="n">
        <x:f>VLOOKUP("Priority|"&amp;O239,'Score settings'!$A$14:$C$43,2,FALSE)/'Score settings'!$B$4*'Score settings'!$C$4</x:f>
        <x:v>18</x:v>
      </x:c>
      <x:c r="V239" s="41" t="n">
        <x:f>VLOOKUP("Category|"&amp;P239,'Score settings'!$A$14:$C$43,2,FALSE)/'Score settings'!$B$5*'Score settings'!$C$5</x:f>
        <x:v>20</x:v>
      </x:c>
      <x:c r="W239" s="41" t="n">
        <x:f>VLOOKUP("Area|"&amp;Q239,'Score settings'!$A$14:$C$43,2,FALSE)/'Score settings'!$B$6*'Score settings'!$C$6</x:f>
        <x:v>15</x:v>
      </x:c>
      <x:c r="X239" s="41" t="n">
        <x:f>VLOOKUP("Benefits|"&amp;IF(AND(ISNUMBER(H239),H239&gt;0,ISNUMBER(G239),G239&gt;0),IF(H239/G239&gt;='Score settings'!$E$17,"3plus",IF(H239/G239&gt;='Score settings'!$E$16,"1.5to3",IF(H239/G239&gt;='Score settings'!$E$15,"0.5to1.5","positive"))),"None"),'Score settings'!$A$14:$C$43,2,FALSE)/'Score settings'!$B$7*'Score settings'!$C$7</x:f>
        <x:v>15</x:v>
      </x:c>
      <x:c r="Y239" s="41" t="n">
        <x:f>VLOOKUP("Waste|"&amp;R239,'Score settings'!$A$14:$C$43,2,FALSE)/'Score settings'!$B$8*'Score settings'!$C$8</x:f>
        <x:v>7</x:v>
      </x:c>
      <x:c r="Z239" s="41" t="n">
        <x:f>IF(B239="","",SUM(U239:Y239))</x:f>
        <x:v>75</x:v>
      </x:c>
      <x:c r="AA239" s="41" t="str">
        <x:f>IF(Z239="","Not scored",VLOOKUP(Z239,'Score settings'!$A$47:$C$50,2,TRUE))</x:f>
        <x:v>Protected</x:v>
      </x:c>
      <x:c r="AB239" s="41" t="n">
        <x:f>VLOOKUP("Priority|"&amp;O239,'Score settings'!$A$14:$C$43,3,FALSE)/'Score settings'!$B$4*'Score settings'!$D$4</x:f>
        <x:v>10.799999999999999</x:v>
      </x:c>
      <x:c r="AC239" s="41" t="n">
        <x:f>VLOOKUP("Category|"&amp;P239,'Score settings'!$A$14:$C$43,3,FALSE)/'Score settings'!$B$5*'Score settings'!$D$5</x:f>
        <x:v>10</x:v>
      </x:c>
      <x:c r="AD239" s="41" t="n">
        <x:f>VLOOKUP("Area|"&amp;Q239,'Score settings'!$A$14:$C$43,3,FALSE)/'Score settings'!$B$6*'Score settings'!$D$6</x:f>
        <x:v>10</x:v>
      </x:c>
      <x:c r="AE239" s="41" t="n">
        <x:f>VLOOKUP("Benefits|"&amp;IF(AND(ISNUMBER(K239),K239&gt;0,ISNUMBER(G239),G239&gt;0),IF(K239/G239&gt;='Score settings'!$E$17,"3plus",IF(K239/G239&gt;='Score settings'!$E$16,"1.5to3",IF(K239/G239&gt;='Score settings'!$E$15,"0.5to1.5","positive"))),"None"),'Score settings'!$A$14:$C$43,3,FALSE)/'Score settings'!$B$7*'Score settings'!$D$7</x:f>
        <x:v>0</x:v>
      </x:c>
      <x:c r="AF239" s="41" t="n">
        <x:f>VLOOKUP("Waste|"&amp;R239,'Score settings'!$A$14:$C$43,3,FALSE)/'Score settings'!$B$8*'Score settings'!$D$8</x:f>
        <x:v>0</x:v>
      </x:c>
      <x:c r="AG239" s="41" t="n">
        <x:f>(IF(AND(ISNUMBER(M239),M239&gt;0,ISNUMBER(G239),G239&gt;0),IF(M239/G239&gt;='Score settings'!$E$17,'Score settings'!$G$17,IF(M239/G239&gt;='Score settings'!$E$16,'Score settings'!$G$16,IF(M239/G239&gt;='Score settings'!$E$15,'Score settings'!$G$15,'Score settings'!$G$14))),0)/15*'Score settings'!$B$60+IFERROR(VLOOKUP(IF(ISNUMBER(N239),N239,IF(ISNUMBER(L239),L239,0)),'Score settings'!$E$22:$F$26,2,FALSE),0)/10*'Score settings'!$B$61)/'Score settings'!$B$9*'Score settings'!$D$9</x:f>
        <x:v>0</x:v>
      </x:c>
      <x:c r="AH239" s="41" t="n">
        <x:f>IF(B239="","",SUM(AB239:AG239))</x:f>
        <x:v>30.799999999999997</x:v>
      </x:c>
      <x:c r="AI239" s="41" t="str">
        <x:f>IF(NOT(ISNUMBER(AH239)),"Not scored",VLOOKUP(AH239,'Score settings'!$A$47:$C$50,3,TRUE))</x:f>
        <x:v>Discretionary</x:v>
      </x:c>
      <x:c r="AJ239" s="42" t="n">
        <x:f>IF(OR(NOT(ISNUMBER(AH239)),T239&lt;&gt;"Common pot"),"",COUNTIFS($T$4:$T$509,"Common pot",$AH$4:$AH$509,"&gt;"&amp;AH239)+1)</x:f>
        <x:v>180</x:v>
      </x:c>
      <x:c r="AK239" s="36" t="str">
        <x:f>IF(B239="","Name missing - not scored",IF(OR(NOT(ISNUMBER(G239)),G239&lt;=0),"Investment missing or zero - review",IF(0=1,"Permanent ID missing - reconcile",IF(AND(ISNUMBER(H239),H239/G239&gt;='Score settings'!$B$58,NOT(ISNUMBER(I239))),"Benefit units need review",IF(OR(R239="EXIT",R239="CHALLENGE"),"Waste decision requires scope resolution",IF("No exact waste match"&lt;&gt;"Name and organisation matched","Waste evidence match needs review","Provisional source score - confirm evidence"))))))</x:f>
        <x:v>Waste evidence match needs review</x:v>
      </x:c>
      <x:c r="AL239" s="36"/>
      <x:c r="AM239" s="40"/>
      <x:c r="AN239" s="39"/>
      <x:c r="AO239" s="40"/>
      <x:c r="AP239" s="40"/>
    </x:row>
    <x:row r="240" ht="15" hidden="0" customHeight="1">
      <x:c r="A240" s="36" t="str">
        <x:v>Bu-245</x:v>
      </x:c>
      <x:c r="B240" s="37" t="str">
        <x:v>DEFOA Brain AI program</x:v>
      </x:c>
      <x:c r="C240" s="36" t="str">
        <x:v>BU Led</x:v>
      </x:c>
      <x:c r="D240" s="36" t="str">
        <x:v>Precision Diagnosis - Magnetic Resonance (MR)</x:v>
      </x:c>
      <x:c r="E240" s="38" t="n">
        <x:v>0.08</x:v>
      </x:c>
      <x:c r="F240" s="39"/>
      <x:c r="G240" s="38" t="n">
        <x:f>IF(ISNUMBER(F240),F240,IF(E240="","",E240))</x:f>
        <x:v>0.08</x:v>
      </x:c>
      <x:c r="H240" s="38"/>
      <x:c r="I240" s="39"/>
      <x:c r="J240" s="36" t="str">
        <x:v>Risk exposure</x:v>
      </x:c>
      <x:c r="K240" s="38" t="str">
        <x:f>IF(ISNUMBER(I240),I240,IF(OR(NOT(ISNUMBER(H240)),NOT(ISNUMBER(G240)),G240&lt;=0),"",IF(H240/G240&gt;='Score settings'!$B$58,"",IF(J240="Cash savings",H240,IF(J240="Revenue",H240*'Score settings'!$B$55,"")))))</x:f>
      </x:c>
      <x:c r="L240" s="36"/>
      <x:c r="M240" s="39"/>
      <x:c r="N240" s="40"/>
      <x:c r="O240" s="36" t="str">
        <x:v>Must Have</x:v>
      </x:c>
      <x:c r="P240" s="36" t="str">
        <x:v>AI</x:v>
      </x:c>
      <x:c r="Q240" s="36" t="str">
        <x:v>Compliance</x:v>
      </x:c>
      <x:c r="R240" s="36" t="str">
        <x:v>NotAssessed</x:v>
      </x:c>
      <x:c r="S240" s="36" t="str"/>
      <x:c r="T240" s="36" t="str">
        <x:v>Common pot</x:v>
      </x:c>
      <x:c r="U240" s="41" t="n">
        <x:f>VLOOKUP("Priority|"&amp;O240,'Score settings'!$A$14:$C$43,2,FALSE)/'Score settings'!$B$4*'Score settings'!$C$4</x:f>
        <x:v>18</x:v>
      </x:c>
      <x:c r="V240" s="41" t="n">
        <x:f>VLOOKUP("Category|"&amp;P240,'Score settings'!$A$14:$C$43,2,FALSE)/'Score settings'!$B$5*'Score settings'!$C$5</x:f>
        <x:v>16</x:v>
      </x:c>
      <x:c r="W240" s="41" t="n">
        <x:f>VLOOKUP("Area|"&amp;Q240,'Score settings'!$A$14:$C$43,2,FALSE)/'Score settings'!$B$6*'Score settings'!$C$6</x:f>
        <x:v>15</x:v>
      </x:c>
      <x:c r="X240" s="41" t="n">
        <x:f>VLOOKUP("Benefits|"&amp;IF(AND(ISNUMBER(H240),H240&gt;0,ISNUMBER(G240),G240&gt;0),IF(H240/G240&gt;='Score settings'!$E$17,"3plus",IF(H240/G240&gt;='Score settings'!$E$16,"1.5to3",IF(H240/G240&gt;='Score settings'!$E$15,"0.5to1.5","positive"))),"None"),'Score settings'!$A$14:$C$43,2,FALSE)/'Score settings'!$B$7*'Score settings'!$C$7</x:f>
        <x:v>5</x:v>
      </x:c>
      <x:c r="Y240" s="41" t="n">
        <x:f>VLOOKUP("Waste|"&amp;R240,'Score settings'!$A$14:$C$43,2,FALSE)/'Score settings'!$B$8*'Score settings'!$C$8</x:f>
        <x:v>7</x:v>
      </x:c>
      <x:c r="Z240" s="41" t="n">
        <x:f>IF(B240="","",SUM(U240:Y240))</x:f>
        <x:v>61</x:v>
      </x:c>
      <x:c r="AA240" s="41" t="str">
        <x:f>IF(Z240="","Not scored",VLOOKUP(Z240,'Score settings'!$A$47:$C$50,2,TRUE))</x:f>
        <x:v>Strong</x:v>
      </x:c>
      <x:c r="AB240" s="41" t="n">
        <x:f>VLOOKUP("Priority|"&amp;O240,'Score settings'!$A$14:$C$43,3,FALSE)/'Score settings'!$B$4*'Score settings'!$D$4</x:f>
        <x:v>10.799999999999999</x:v>
      </x:c>
      <x:c r="AC240" s="41" t="n">
        <x:f>VLOOKUP("Category|"&amp;P240,'Score settings'!$A$14:$C$43,3,FALSE)/'Score settings'!$B$5*'Score settings'!$D$5</x:f>
        <x:v>8</x:v>
      </x:c>
      <x:c r="AD240" s="41" t="n">
        <x:f>VLOOKUP("Area|"&amp;Q240,'Score settings'!$A$14:$C$43,3,FALSE)/'Score settings'!$B$6*'Score settings'!$D$6</x:f>
        <x:v>10</x:v>
      </x:c>
      <x:c r="AE240" s="41" t="n">
        <x:f>VLOOKUP("Benefits|"&amp;IF(AND(ISNUMBER(K240),K240&gt;0,ISNUMBER(G240),G240&gt;0),IF(K240/G240&gt;='Score settings'!$E$17,"3plus",IF(K240/G240&gt;='Score settings'!$E$16,"1.5to3",IF(K240/G240&gt;='Score settings'!$E$15,"0.5to1.5","positive"))),"None"),'Score settings'!$A$14:$C$43,3,FALSE)/'Score settings'!$B$7*'Score settings'!$D$7</x:f>
        <x:v>0</x:v>
      </x:c>
      <x:c r="AF240" s="41" t="n">
        <x:f>VLOOKUP("Waste|"&amp;R240,'Score settings'!$A$14:$C$43,3,FALSE)/'Score settings'!$B$8*'Score settings'!$D$8</x:f>
        <x:v>0</x:v>
      </x:c>
      <x:c r="AG240" s="41" t="n">
        <x:f>(IF(AND(ISNUMBER(M240),M240&gt;0,ISNUMBER(G240),G240&gt;0),IF(M240/G240&gt;='Score settings'!$E$17,'Score settings'!$G$17,IF(M240/G240&gt;='Score settings'!$E$16,'Score settings'!$G$16,IF(M240/G240&gt;='Score settings'!$E$15,'Score settings'!$G$15,'Score settings'!$G$14))),0)/15*'Score settings'!$B$60+IFERROR(VLOOKUP(IF(ISNUMBER(N240),N240,IF(ISNUMBER(L240),L240,0)),'Score settings'!$E$22:$F$26,2,FALSE),0)/10*'Score settings'!$B$61)/'Score settings'!$B$9*'Score settings'!$D$9</x:f>
        <x:v>0</x:v>
      </x:c>
      <x:c r="AH240" s="41" t="n">
        <x:f>IF(B240="","",SUM(AB240:AG240))</x:f>
        <x:v>28.799999999999997</x:v>
      </x:c>
      <x:c r="AI240" s="41" t="str">
        <x:f>IF(NOT(ISNUMBER(AH240)),"Not scored",VLOOKUP(AH240,'Score settings'!$A$47:$C$50,3,TRUE))</x:f>
        <x:v>Discretionary</x:v>
      </x:c>
      <x:c r="AJ240" s="42" t="n">
        <x:f>IF(OR(NOT(ISNUMBER(AH240)),T240&lt;&gt;"Common pot"),"",COUNTIFS($T$4:$T$509,"Common pot",$AH$4:$AH$509,"&gt;"&amp;AH240)+1)</x:f>
        <x:v>202</x:v>
      </x:c>
      <x:c r="AK240" s="36" t="str">
        <x:f>IF(B240="","Name missing - not scored",IF(OR(NOT(ISNUMBER(G240)),G240&lt;=0),"Investment missing or zero - review",IF(0=1,"Permanent ID missing - reconcile",IF(AND(ISNUMBER(H240),H240/G240&gt;='Score settings'!$B$58,NOT(ISNUMBER(I240))),"Benefit units need review",IF(OR(R240="EXIT",R240="CHALLENGE"),"Waste decision requires scope resolution",IF("Name and organisation matched"&lt;&gt;"Name and organisation matched","Waste evidence match needs review","Provisional source score - confirm evidence"))))))</x:f>
        <x:v>Provisional source score - confirm evidence</x:v>
      </x:c>
      <x:c r="AL240" s="36"/>
      <x:c r="AM240" s="40"/>
      <x:c r="AN240" s="39"/>
      <x:c r="AO240" s="40"/>
      <x:c r="AP240" s="40"/>
    </x:row>
    <x:row r="241" ht="15" hidden="0" customHeight="1">
      <x:c r="A241" s="36" t="str">
        <x:v>Bu-246</x:v>
      </x:c>
      <x:c r="B241" s="37" t="str">
        <x:v>Mantan (NDA Project CT &amp; MR)</x:v>
      </x:c>
      <x:c r="C241" s="36" t="str">
        <x:v>BU Led</x:v>
      </x:c>
      <x:c r="D241" s="36" t="str">
        <x:v>Precision Diagnosis - Magnetic Resonance (MR)</x:v>
      </x:c>
      <x:c r="E241" s="38" t="n">
        <x:v>0.49</x:v>
      </x:c>
      <x:c r="F241" s="39"/>
      <x:c r="G241" s="38" t="n">
        <x:f>IF(ISNUMBER(F241),F241,IF(E241="","",E241))</x:f>
        <x:v>0.49</x:v>
      </x:c>
      <x:c r="H241" s="38"/>
      <x:c r="I241" s="39"/>
      <x:c r="J241" s="36" t="str">
        <x:v>Revenue</x:v>
      </x:c>
      <x:c r="K241" s="38" t="str">
        <x:f>IF(ISNUMBER(I241),I241,IF(OR(NOT(ISNUMBER(H241)),NOT(ISNUMBER(G241)),G241&lt;=0),"",IF(H241/G241&gt;='Score settings'!$B$58,"",IF(J241="Cash savings",H241,IF(J241="Revenue",H241*'Score settings'!$B$55,"")))))</x:f>
      </x:c>
      <x:c r="L241" s="36"/>
      <x:c r="M241" s="39"/>
      <x:c r="N241" s="40"/>
      <x:c r="O241" s="36" t="str">
        <x:v>Must Do</x:v>
      </x:c>
      <x:c r="P241" s="36" t="str">
        <x:v>LFR</x:v>
      </x:c>
      <x:c r="Q241" s="36" t="str">
        <x:v>Revenue</x:v>
      </x:c>
      <x:c r="R241" s="36" t="str">
        <x:v>NotAssessed</x:v>
      </x:c>
      <x:c r="S241" s="36" t="str"/>
      <x:c r="T241" s="36" t="str">
        <x:v>Common pot</x:v>
      </x:c>
      <x:c r="U241" s="41" t="n">
        <x:f>VLOOKUP("Priority|"&amp;O241,'Score settings'!$A$14:$C$43,2,FALSE)/'Score settings'!$B$4*'Score settings'!$C$4</x:f>
        <x:v>25</x:v>
      </x:c>
      <x:c r="V241" s="41" t="n">
        <x:f>VLOOKUP("Category|"&amp;P241,'Score settings'!$A$14:$C$43,2,FALSE)/'Score settings'!$B$5*'Score settings'!$C$5</x:f>
        <x:v>20</x:v>
      </x:c>
      <x:c r="W241" s="41" t="n">
        <x:f>VLOOKUP("Area|"&amp;Q241,'Score settings'!$A$14:$C$43,2,FALSE)/'Score settings'!$B$6*'Score settings'!$C$6</x:f>
        <x:v>11</x:v>
      </x:c>
      <x:c r="X241" s="41" t="n">
        <x:f>VLOOKUP("Benefits|"&amp;IF(AND(ISNUMBER(H241),H241&gt;0,ISNUMBER(G241),G241&gt;0),IF(H241/G241&gt;='Score settings'!$E$17,"3plus",IF(H241/G241&gt;='Score settings'!$E$16,"1.5to3",IF(H241/G241&gt;='Score settings'!$E$15,"0.5to1.5","positive"))),"None"),'Score settings'!$A$14:$C$43,2,FALSE)/'Score settings'!$B$7*'Score settings'!$C$7</x:f>
        <x:v>5</x:v>
      </x:c>
      <x:c r="Y241" s="41" t="n">
        <x:f>VLOOKUP("Waste|"&amp;R241,'Score settings'!$A$14:$C$43,2,FALSE)/'Score settings'!$B$8*'Score settings'!$C$8</x:f>
        <x:v>7</x:v>
      </x:c>
      <x:c r="Z241" s="41" t="n">
        <x:f>IF(B241="","",SUM(U241:Y241))</x:f>
        <x:v>68</x:v>
      </x:c>
      <x:c r="AA241" s="41" t="str">
        <x:f>IF(Z241="","Not scored",VLOOKUP(Z241,'Score settings'!$A$47:$C$50,2,TRUE))</x:f>
        <x:v>Protected</x:v>
      </x:c>
      <x:c r="AB241" s="41" t="n">
        <x:f>VLOOKUP("Priority|"&amp;O241,'Score settings'!$A$14:$C$43,3,FALSE)/'Score settings'!$B$4*'Score settings'!$D$4</x:f>
        <x:v>15</x:v>
      </x:c>
      <x:c r="AC241" s="41" t="n">
        <x:f>VLOOKUP("Category|"&amp;P241,'Score settings'!$A$14:$C$43,3,FALSE)/'Score settings'!$B$5*'Score settings'!$D$5</x:f>
        <x:v>10</x:v>
      </x:c>
      <x:c r="AD241" s="41" t="n">
        <x:f>VLOOKUP("Area|"&amp;Q241,'Score settings'!$A$14:$C$43,3,FALSE)/'Score settings'!$B$6*'Score settings'!$D$6</x:f>
        <x:v>7.333333333333333</x:v>
      </x:c>
      <x:c r="AE241" s="41" t="n">
        <x:f>VLOOKUP("Benefits|"&amp;IF(AND(ISNUMBER(K241),K241&gt;0,ISNUMBER(G241),G241&gt;0),IF(K241/G241&gt;='Score settings'!$E$17,"3plus",IF(K241/G241&gt;='Score settings'!$E$16,"1.5to3",IF(K241/G241&gt;='Score settings'!$E$15,"0.5to1.5","positive"))),"None"),'Score settings'!$A$14:$C$43,3,FALSE)/'Score settings'!$B$7*'Score settings'!$D$7</x:f>
        <x:v>0</x:v>
      </x:c>
      <x:c r="AF241" s="41" t="n">
        <x:f>VLOOKUP("Waste|"&amp;R241,'Score settings'!$A$14:$C$43,3,FALSE)/'Score settings'!$B$8*'Score settings'!$D$8</x:f>
        <x:v>0</x:v>
      </x:c>
      <x:c r="AG241" s="41" t="n">
        <x:f>(IF(AND(ISNUMBER(M241),M241&gt;0,ISNUMBER(G241),G241&gt;0),IF(M241/G241&gt;='Score settings'!$E$17,'Score settings'!$G$17,IF(M241/G241&gt;='Score settings'!$E$16,'Score settings'!$G$16,IF(M241/G241&gt;='Score settings'!$E$15,'Score settings'!$G$15,'Score settings'!$G$14))),0)/15*'Score settings'!$B$60+IFERROR(VLOOKUP(IF(ISNUMBER(N241),N241,IF(ISNUMBER(L241),L241,0)),'Score settings'!$E$22:$F$26,2,FALSE),0)/10*'Score settings'!$B$61)/'Score settings'!$B$9*'Score settings'!$D$9</x:f>
        <x:v>0</x:v>
      </x:c>
      <x:c r="AH241" s="41" t="n">
        <x:f>IF(B241="","",SUM(AB241:AG241))</x:f>
        <x:v>32.333333333333336</x:v>
      </x:c>
      <x:c r="AI241" s="41" t="str">
        <x:f>IF(NOT(ISNUMBER(AH241)),"Not scored",VLOOKUP(AH241,'Score settings'!$A$47:$C$50,3,TRUE))</x:f>
        <x:v>Discretionary</x:v>
      </x:c>
      <x:c r="AJ241" s="42" t="n">
        <x:f>IF(OR(NOT(ISNUMBER(AH241)),T241&lt;&gt;"Common pot"),"",COUNTIFS($T$4:$T$509,"Common pot",$AH$4:$AH$509,"&gt;"&amp;AH241)+1)</x:f>
        <x:v>173</x:v>
      </x:c>
      <x:c r="AK241" s="36" t="str">
        <x:f>IF(B241="","Name missing - not scored",IF(OR(NOT(ISNUMBER(G241)),G241&lt;=0),"Investment missing or zero - review",IF(0=1,"Permanent ID missing - reconcile",IF(AND(ISNUMBER(H241),H241/G241&gt;='Score settings'!$B$58,NOT(ISNUMBER(I241))),"Benefit units need review",IF(OR(R241="EXIT",R241="CHALLENGE"),"Waste decision requires scope resolution",IF("Name and organisation matched"&lt;&gt;"Name and organisation matched","Waste evidence match needs review","Provisional source score - confirm evidence"))))))</x:f>
        <x:v>Provisional source score - confirm evidence</x:v>
      </x:c>
      <x:c r="AL241" s="36"/>
      <x:c r="AM241" s="40"/>
      <x:c r="AN241" s="39"/>
      <x:c r="AO241" s="40"/>
      <x:c r="AP241" s="40"/>
    </x:row>
    <x:row r="242" ht="15" hidden="0" customHeight="1">
      <x:c r="A242" s="36" t="str">
        <x:v>Bu-247</x:v>
      </x:c>
      <x:c r="B242" s="37" t="str">
        <x:v>MES features in factories</x:v>
      </x:c>
      <x:c r="C242" s="36" t="str">
        <x:v>BU Led</x:v>
      </x:c>
      <x:c r="D242" s="36" t="str">
        <x:v>Precision Diagnosis - Magnetic Resonance (MR)</x:v>
      </x:c>
      <x:c r="E242" s="38" t="n">
        <x:v>0.2</x:v>
      </x:c>
      <x:c r="F242" s="39"/>
      <x:c r="G242" s="38" t="n">
        <x:f>IF(ISNUMBER(F242),F242,IF(E242="","",E242))</x:f>
        <x:v>0.2</x:v>
      </x:c>
      <x:c r="H242" s="38"/>
      <x:c r="I242" s="39"/>
      <x:c r="J242" s="36" t="str">
        <x:v>Cash savings</x:v>
      </x:c>
      <x:c r="K242" s="38" t="str">
        <x:f>IF(ISNUMBER(I242),I242,IF(OR(NOT(ISNUMBER(H242)),NOT(ISNUMBER(G242)),G242&lt;=0),"",IF(H242/G242&gt;='Score settings'!$B$58,"",IF(J242="Cash savings",H242,IF(J242="Revenue",H242*'Score settings'!$B$55,"")))))</x:f>
      </x:c>
      <x:c r="L242" s="36"/>
      <x:c r="M242" s="39"/>
      <x:c r="N242" s="40"/>
      <x:c r="O242" s="36" t="str">
        <x:v>Must Have</x:v>
      </x:c>
      <x:c r="P242" s="36" t="str">
        <x:v>NewFeat</x:v>
      </x:c>
      <x:c r="Q242" s="36" t="str">
        <x:v>Productivity</x:v>
      </x:c>
      <x:c r="R242" s="36" t="str">
        <x:v>HEALTHY</x:v>
      </x:c>
      <x:c r="S242" s="36" t="str"/>
      <x:c r="T242" s="36" t="str">
        <x:v>Common pot</x:v>
      </x:c>
      <x:c r="U242" s="41" t="n">
        <x:f>VLOOKUP("Priority|"&amp;O242,'Score settings'!$A$14:$C$43,2,FALSE)/'Score settings'!$B$4*'Score settings'!$C$4</x:f>
        <x:v>18</x:v>
      </x:c>
      <x:c r="V242" s="41" t="n">
        <x:f>VLOOKUP("Category|"&amp;P242,'Score settings'!$A$14:$C$43,2,FALSE)/'Score settings'!$B$5*'Score settings'!$C$5</x:f>
        <x:v>6</x:v>
      </x:c>
      <x:c r="W242" s="41" t="n">
        <x:f>VLOOKUP("Area|"&amp;Q242,'Score settings'!$A$14:$C$43,2,FALSE)/'Score settings'!$B$6*'Score settings'!$C$6</x:f>
        <x:v>10</x:v>
      </x:c>
      <x:c r="X242" s="41" t="n">
        <x:f>VLOOKUP("Benefits|"&amp;IF(AND(ISNUMBER(H242),H242&gt;0,ISNUMBER(G242),G242&gt;0),IF(H242/G242&gt;='Score settings'!$E$17,"3plus",IF(H242/G242&gt;='Score settings'!$E$16,"1.5to3",IF(H242/G242&gt;='Score settings'!$E$15,"0.5to1.5","positive"))),"None"),'Score settings'!$A$14:$C$43,2,FALSE)/'Score settings'!$B$7*'Score settings'!$C$7</x:f>
        <x:v>5</x:v>
      </x:c>
      <x:c r="Y242" s="41" t="n">
        <x:f>VLOOKUP("Waste|"&amp;R242,'Score settings'!$A$14:$C$43,2,FALSE)/'Score settings'!$B$8*'Score settings'!$C$8</x:f>
        <x:v>15</x:v>
      </x:c>
      <x:c r="Z242" s="41" t="n">
        <x:f>IF(B242="","",SUM(U242:Y242))</x:f>
        <x:v>54</x:v>
      </x:c>
      <x:c r="AA242" s="41" t="str">
        <x:f>IF(Z242="","Not scored",VLOOKUP(Z242,'Score settings'!$A$47:$C$50,2,TRUE))</x:f>
        <x:v>Strong</x:v>
      </x:c>
      <x:c r="AB242" s="41" t="n">
        <x:f>VLOOKUP("Priority|"&amp;O242,'Score settings'!$A$14:$C$43,3,FALSE)/'Score settings'!$B$4*'Score settings'!$D$4</x:f>
        <x:v>10.799999999999999</x:v>
      </x:c>
      <x:c r="AC242" s="41" t="n">
        <x:f>VLOOKUP("Category|"&amp;P242,'Score settings'!$A$14:$C$43,3,FALSE)/'Score settings'!$B$5*'Score settings'!$D$5</x:f>
        <x:v>3</x:v>
      </x:c>
      <x:c r="AD242" s="41" t="n">
        <x:f>VLOOKUP("Area|"&amp;Q242,'Score settings'!$A$14:$C$43,3,FALSE)/'Score settings'!$B$6*'Score settings'!$D$6</x:f>
        <x:v>6.666666666666666</x:v>
      </x:c>
      <x:c r="AE242" s="41" t="n">
        <x:f>VLOOKUP("Benefits|"&amp;IF(AND(ISNUMBER(K242),K242&gt;0,ISNUMBER(G242),G242&gt;0),IF(K242/G242&gt;='Score settings'!$E$17,"3plus",IF(K242/G242&gt;='Score settings'!$E$16,"1.5to3",IF(K242/G242&gt;='Score settings'!$E$15,"0.5to1.5","positive"))),"None"),'Score settings'!$A$14:$C$43,3,FALSE)/'Score settings'!$B$7*'Score settings'!$D$7</x:f>
        <x:v>0</x:v>
      </x:c>
      <x:c r="AF242" s="41" t="n">
        <x:f>VLOOKUP("Waste|"&amp;R242,'Score settings'!$A$14:$C$43,3,FALSE)/'Score settings'!$B$8*'Score settings'!$D$8</x:f>
        <x:v>10</x:v>
      </x:c>
      <x:c r="AG242" s="41" t="n">
        <x:f>(IF(AND(ISNUMBER(M242),M242&gt;0,ISNUMBER(G242),G242&gt;0),IF(M242/G242&gt;='Score settings'!$E$17,'Score settings'!$G$17,IF(M242/G242&gt;='Score settings'!$E$16,'Score settings'!$G$16,IF(M242/G242&gt;='Score settings'!$E$15,'Score settings'!$G$15,'Score settings'!$G$14))),0)/15*'Score settings'!$B$60+IFERROR(VLOOKUP(IF(ISNUMBER(N242),N242,IF(ISNUMBER(L242),L242,0)),'Score settings'!$E$22:$F$26,2,FALSE),0)/10*'Score settings'!$B$61)/'Score settings'!$B$9*'Score settings'!$D$9</x:f>
        <x:v>0</x:v>
      </x:c>
      <x:c r="AH242" s="41" t="n">
        <x:f>IF(B242="","",SUM(AB242:AG242))</x:f>
        <x:v>30.466666666666665</x:v>
      </x:c>
      <x:c r="AI242" s="41" t="str">
        <x:f>IF(NOT(ISNUMBER(AH242)),"Not scored",VLOOKUP(AH242,'Score settings'!$A$47:$C$50,3,TRUE))</x:f>
        <x:v>Discretionary</x:v>
      </x:c>
      <x:c r="AJ242" s="42" t="n">
        <x:f>IF(OR(NOT(ISNUMBER(AH242)),T242&lt;&gt;"Common pot"),"",COUNTIFS($T$4:$T$509,"Common pot",$AH$4:$AH$509,"&gt;"&amp;AH242)+1)</x:f>
        <x:v>182</x:v>
      </x:c>
      <x:c r="AK242" s="36" t="str">
        <x:f>IF(B242="","Name missing - not scored",IF(OR(NOT(ISNUMBER(G242)),G242&lt;=0),"Investment missing or zero - review",IF(0=1,"Permanent ID missing - reconcile",IF(AND(ISNUMBER(H242),H242/G242&gt;='Score settings'!$B$58,NOT(ISNUMBER(I242))),"Benefit units need review",IF(OR(R242="EXIT",R242="CHALLENGE"),"Waste decision requires scope resolution",IF("Name and organisation matched"&lt;&gt;"Name and organisation matched","Waste evidence match needs review","Provisional source score - confirm evidence"))))))</x:f>
        <x:v>Provisional source score - confirm evidence</x:v>
      </x:c>
      <x:c r="AL242" s="36"/>
      <x:c r="AM242" s="40"/>
      <x:c r="AN242" s="39"/>
      <x:c r="AO242" s="40"/>
      <x:c r="AP242" s="40"/>
    </x:row>
    <x:row r="243" ht="15" hidden="0" customHeight="1">
      <x:c r="A243" s="36" t="str">
        <x:v>Bu-248</x:v>
      </x:c>
      <x:c r="B243" s="37" t="str">
        <x:v>SAP Functionality expansion LMPC/LFP (Pune &amp; Latham)</x:v>
      </x:c>
      <x:c r="C243" s="36" t="str">
        <x:v>BU Led</x:v>
      </x:c>
      <x:c r="D243" s="36" t="str">
        <x:v>Precision Diagnosis - Magnetic Resonance (MR)</x:v>
      </x:c>
      <x:c r="E243" s="38" t="n">
        <x:v>0.08</x:v>
      </x:c>
      <x:c r="F243" s="39"/>
      <x:c r="G243" s="38" t="n">
        <x:f>IF(ISNUMBER(F243),F243,IF(E243="","",E243))</x:f>
        <x:v>0.08</x:v>
      </x:c>
      <x:c r="H243" s="38"/>
      <x:c r="I243" s="39"/>
      <x:c r="J243" s="36" t="str">
        <x:v>Cash savings</x:v>
      </x:c>
      <x:c r="K243" s="38" t="str">
        <x:f>IF(ISNUMBER(I243),I243,IF(OR(NOT(ISNUMBER(H243)),NOT(ISNUMBER(G243)),G243&lt;=0),"",IF(H243/G243&gt;='Score settings'!$B$58,"",IF(J243="Cash savings",H243,IF(J243="Revenue",H243*'Score settings'!$B$55,"")))))</x:f>
      </x:c>
      <x:c r="L243" s="36"/>
      <x:c r="M243" s="39"/>
      <x:c r="N243" s="40"/>
      <x:c r="O243" s="36" t="str">
        <x:v>Must Have</x:v>
      </x:c>
      <x:c r="P243" s="36" t="str">
        <x:v>AI</x:v>
      </x:c>
      <x:c r="Q243" s="36" t="str">
        <x:v>ProcSimp</x:v>
      </x:c>
      <x:c r="R243" s="36" t="str">
        <x:v>NotAssessed</x:v>
      </x:c>
      <x:c r="S243" s="36" t="str"/>
      <x:c r="T243" s="36" t="str">
        <x:v>Common pot</x:v>
      </x:c>
      <x:c r="U243" s="41" t="n">
        <x:f>VLOOKUP("Priority|"&amp;O243,'Score settings'!$A$14:$C$43,2,FALSE)/'Score settings'!$B$4*'Score settings'!$C$4</x:f>
        <x:v>18</x:v>
      </x:c>
      <x:c r="V243" s="41" t="n">
        <x:f>VLOOKUP("Category|"&amp;P243,'Score settings'!$A$14:$C$43,2,FALSE)/'Score settings'!$B$5*'Score settings'!$C$5</x:f>
        <x:v>16</x:v>
      </x:c>
      <x:c r="W243" s="41" t="n">
        <x:f>VLOOKUP("Area|"&amp;Q243,'Score settings'!$A$14:$C$43,2,FALSE)/'Score settings'!$B$6*'Score settings'!$C$6</x:f>
        <x:v>12</x:v>
      </x:c>
      <x:c r="X243" s="41" t="n">
        <x:f>VLOOKUP("Benefits|"&amp;IF(AND(ISNUMBER(H243),H243&gt;0,ISNUMBER(G243),G243&gt;0),IF(H243/G243&gt;='Score settings'!$E$17,"3plus",IF(H243/G243&gt;='Score settings'!$E$16,"1.5to3",IF(H243/G243&gt;='Score settings'!$E$15,"0.5to1.5","positive"))),"None"),'Score settings'!$A$14:$C$43,2,FALSE)/'Score settings'!$B$7*'Score settings'!$C$7</x:f>
        <x:v>5</x:v>
      </x:c>
      <x:c r="Y243" s="41" t="n">
        <x:f>VLOOKUP("Waste|"&amp;R243,'Score settings'!$A$14:$C$43,2,FALSE)/'Score settings'!$B$8*'Score settings'!$C$8</x:f>
        <x:v>7</x:v>
      </x:c>
      <x:c r="Z243" s="41" t="n">
        <x:f>IF(B243="","",SUM(U243:Y243))</x:f>
        <x:v>58</x:v>
      </x:c>
      <x:c r="AA243" s="41" t="str">
        <x:f>IF(Z243="","Not scored",VLOOKUP(Z243,'Score settings'!$A$47:$C$50,2,TRUE))</x:f>
        <x:v>Strong</x:v>
      </x:c>
      <x:c r="AB243" s="41" t="n">
        <x:f>VLOOKUP("Priority|"&amp;O243,'Score settings'!$A$14:$C$43,3,FALSE)/'Score settings'!$B$4*'Score settings'!$D$4</x:f>
        <x:v>10.799999999999999</x:v>
      </x:c>
      <x:c r="AC243" s="41" t="n">
        <x:f>VLOOKUP("Category|"&amp;P243,'Score settings'!$A$14:$C$43,3,FALSE)/'Score settings'!$B$5*'Score settings'!$D$5</x:f>
        <x:v>8</x:v>
      </x:c>
      <x:c r="AD243" s="41" t="n">
        <x:f>VLOOKUP("Area|"&amp;Q243,'Score settings'!$A$14:$C$43,3,FALSE)/'Score settings'!$B$6*'Score settings'!$D$6</x:f>
        <x:v>8</x:v>
      </x:c>
      <x:c r="AE243" s="41" t="n">
        <x:f>VLOOKUP("Benefits|"&amp;IF(AND(ISNUMBER(K243),K243&gt;0,ISNUMBER(G243),G243&gt;0),IF(K243/G243&gt;='Score settings'!$E$17,"3plus",IF(K243/G243&gt;='Score settings'!$E$16,"1.5to3",IF(K243/G243&gt;='Score settings'!$E$15,"0.5to1.5","positive"))),"None"),'Score settings'!$A$14:$C$43,3,FALSE)/'Score settings'!$B$7*'Score settings'!$D$7</x:f>
        <x:v>0</x:v>
      </x:c>
      <x:c r="AF243" s="41" t="n">
        <x:f>VLOOKUP("Waste|"&amp;R243,'Score settings'!$A$14:$C$43,3,FALSE)/'Score settings'!$B$8*'Score settings'!$D$8</x:f>
        <x:v>0</x:v>
      </x:c>
      <x:c r="AG243" s="41" t="n">
        <x:f>(IF(AND(ISNUMBER(M243),M243&gt;0,ISNUMBER(G243),G243&gt;0),IF(M243/G243&gt;='Score settings'!$E$17,'Score settings'!$G$17,IF(M243/G243&gt;='Score settings'!$E$16,'Score settings'!$G$16,IF(M243/G243&gt;='Score settings'!$E$15,'Score settings'!$G$15,'Score settings'!$G$14))),0)/15*'Score settings'!$B$60+IFERROR(VLOOKUP(IF(ISNUMBER(N243),N243,IF(ISNUMBER(L243),L243,0)),'Score settings'!$E$22:$F$26,2,FALSE),0)/10*'Score settings'!$B$61)/'Score settings'!$B$9*'Score settings'!$D$9</x:f>
        <x:v>0</x:v>
      </x:c>
      <x:c r="AH243" s="41" t="n">
        <x:f>IF(B243="","",SUM(AB243:AG243))</x:f>
        <x:v>26.799999999999997</x:v>
      </x:c>
      <x:c r="AI243" s="41" t="str">
        <x:f>IF(NOT(ISNUMBER(AH243)),"Not scored",VLOOKUP(AH243,'Score settings'!$A$47:$C$50,3,TRUE))</x:f>
        <x:v>Discretionary</x:v>
      </x:c>
      <x:c r="AJ243" s="42" t="n">
        <x:f>IF(OR(NOT(ISNUMBER(AH243)),T243&lt;&gt;"Common pot"),"",COUNTIFS($T$4:$T$509,"Common pot",$AH$4:$AH$509,"&gt;"&amp;AH243)+1)</x:f>
        <x:v>230</x:v>
      </x:c>
      <x:c r="AK243" s="36" t="str">
        <x:f>IF(B243="","Name missing - not scored",IF(OR(NOT(ISNUMBER(G243)),G243&lt;=0),"Investment missing or zero - review",IF(0=1,"Permanent ID missing - reconcile",IF(AND(ISNUMBER(H243),H243/G243&gt;='Score settings'!$B$58,NOT(ISNUMBER(I243))),"Benefit units need review",IF(OR(R243="EXIT",R243="CHALLENGE"),"Waste decision requires scope resolution",IF("Name and organisation matched"&lt;&gt;"Name and organisation matched","Waste evidence match needs review","Provisional source score - confirm evidence"))))))</x:f>
        <x:v>Provisional source score - confirm evidence</x:v>
      </x:c>
      <x:c r="AL243" s="36"/>
      <x:c r="AM243" s="40"/>
      <x:c r="AN243" s="39"/>
      <x:c r="AO243" s="40"/>
      <x:c r="AP243" s="40"/>
    </x:row>
    <x:row r="244" ht="15" hidden="0" customHeight="1">
      <x:c r="A244" s="36" t="str">
        <x:v>Bu-249</x:v>
      </x:c>
      <x:c r="B244" s="37" t="str">
        <x:v>Placeholder</x:v>
      </x:c>
      <x:c r="C244" s="36" t="str">
        <x:v>BU Led</x:v>
      </x:c>
      <x:c r="D244" s="36" t="str">
        <x:v>Precision Diagnosis - Magnetic Resonance (MR)</x:v>
      </x:c>
      <x:c r="E244" s="38" t="n">
        <x:v>0.5</x:v>
      </x:c>
      <x:c r="F244" s="39"/>
      <x:c r="G244" s="38" t="n">
        <x:f>IF(ISNUMBER(F244),F244,IF(E244="","",E244))</x:f>
        <x:v>0.5</x:v>
      </x:c>
      <x:c r="H244" s="38"/>
      <x:c r="I244" s="39"/>
      <x:c r="J244" s="36" t="str">
        <x:v>Risk exposure</x:v>
      </x:c>
      <x:c r="K244" s="38" t="str">
        <x:f>IF(ISNUMBER(I244),I244,IF(OR(NOT(ISNUMBER(H244)),NOT(ISNUMBER(G244)),G244&lt;=0),"",IF(H244/G244&gt;='Score settings'!$B$58,"",IF(J244="Cash savings",H244,IF(J244="Revenue",H244*'Score settings'!$B$55,"")))))</x:f>
      </x:c>
      <x:c r="L244" s="36"/>
      <x:c r="M244" s="39"/>
      <x:c r="N244" s="40"/>
      <x:c r="O244" s="36" t="str">
        <x:v>Must Have</x:v>
      </x:c>
      <x:c r="P244" s="36" t="str">
        <x:v>CI</x:v>
      </x:c>
      <x:c r="Q244" s="36" t="str">
        <x:v>Compliance</x:v>
      </x:c>
      <x:c r="R244" s="36" t="str">
        <x:v>NotAssessed</x:v>
      </x:c>
      <x:c r="S244" s="36" t="str"/>
      <x:c r="T244" s="36" t="str">
        <x:v>Common pot</x:v>
      </x:c>
      <x:c r="U244" s="41" t="n">
        <x:f>VLOOKUP("Priority|"&amp;O244,'Score settings'!$A$14:$C$43,2,FALSE)/'Score settings'!$B$4*'Score settings'!$C$4</x:f>
        <x:v>18</x:v>
      </x:c>
      <x:c r="V244" s="41" t="n">
        <x:f>VLOOKUP("Category|"&amp;P244,'Score settings'!$A$14:$C$43,2,FALSE)/'Score settings'!$B$5*'Score settings'!$C$5</x:f>
        <x:v>8</x:v>
      </x:c>
      <x:c r="W244" s="41" t="n">
        <x:f>VLOOKUP("Area|"&amp;Q244,'Score settings'!$A$14:$C$43,2,FALSE)/'Score settings'!$B$6*'Score settings'!$C$6</x:f>
        <x:v>15</x:v>
      </x:c>
      <x:c r="X244" s="41" t="n">
        <x:f>VLOOKUP("Benefits|"&amp;IF(AND(ISNUMBER(H244),H244&gt;0,ISNUMBER(G244),G244&gt;0),IF(H244/G244&gt;='Score settings'!$E$17,"3plus",IF(H244/G244&gt;='Score settings'!$E$16,"1.5to3",IF(H244/G244&gt;='Score settings'!$E$15,"0.5to1.5","positive"))),"None"),'Score settings'!$A$14:$C$43,2,FALSE)/'Score settings'!$B$7*'Score settings'!$C$7</x:f>
        <x:v>5</x:v>
      </x:c>
      <x:c r="Y244" s="41" t="n">
        <x:f>VLOOKUP("Waste|"&amp;R244,'Score settings'!$A$14:$C$43,2,FALSE)/'Score settings'!$B$8*'Score settings'!$C$8</x:f>
        <x:v>7</x:v>
      </x:c>
      <x:c r="Z244" s="41" t="n">
        <x:f>IF(B244="","",SUM(U244:Y244))</x:f>
        <x:v>53</x:v>
      </x:c>
      <x:c r="AA244" s="41" t="str">
        <x:f>IF(Z244="","Not scored",VLOOKUP(Z244,'Score settings'!$A$47:$C$50,2,TRUE))</x:f>
        <x:v>Strong</x:v>
      </x:c>
      <x:c r="AB244" s="41" t="n">
        <x:f>VLOOKUP("Priority|"&amp;O244,'Score settings'!$A$14:$C$43,3,FALSE)/'Score settings'!$B$4*'Score settings'!$D$4</x:f>
        <x:v>10.799999999999999</x:v>
      </x:c>
      <x:c r="AC244" s="41" t="n">
        <x:f>VLOOKUP("Category|"&amp;P244,'Score settings'!$A$14:$C$43,3,FALSE)/'Score settings'!$B$5*'Score settings'!$D$5</x:f>
        <x:v>4</x:v>
      </x:c>
      <x:c r="AD244" s="41" t="n">
        <x:f>VLOOKUP("Area|"&amp;Q244,'Score settings'!$A$14:$C$43,3,FALSE)/'Score settings'!$B$6*'Score settings'!$D$6</x:f>
        <x:v>10</x:v>
      </x:c>
      <x:c r="AE244" s="41" t="n">
        <x:f>VLOOKUP("Benefits|"&amp;IF(AND(ISNUMBER(K244),K244&gt;0,ISNUMBER(G244),G244&gt;0),IF(K244/G244&gt;='Score settings'!$E$17,"3plus",IF(K244/G244&gt;='Score settings'!$E$16,"1.5to3",IF(K244/G244&gt;='Score settings'!$E$15,"0.5to1.5","positive"))),"None"),'Score settings'!$A$14:$C$43,3,FALSE)/'Score settings'!$B$7*'Score settings'!$D$7</x:f>
        <x:v>0</x:v>
      </x:c>
      <x:c r="AF244" s="41" t="n">
        <x:f>VLOOKUP("Waste|"&amp;R244,'Score settings'!$A$14:$C$43,3,FALSE)/'Score settings'!$B$8*'Score settings'!$D$8</x:f>
        <x:v>0</x:v>
      </x:c>
      <x:c r="AG244" s="41" t="n">
        <x:f>(IF(AND(ISNUMBER(M244),M244&gt;0,ISNUMBER(G244),G244&gt;0),IF(M244/G244&gt;='Score settings'!$E$17,'Score settings'!$G$17,IF(M244/G244&gt;='Score settings'!$E$16,'Score settings'!$G$16,IF(M244/G244&gt;='Score settings'!$E$15,'Score settings'!$G$15,'Score settings'!$G$14))),0)/15*'Score settings'!$B$60+IFERROR(VLOOKUP(IF(ISNUMBER(N244),N244,IF(ISNUMBER(L244),L244,0)),'Score settings'!$E$22:$F$26,2,FALSE),0)/10*'Score settings'!$B$61)/'Score settings'!$B$9*'Score settings'!$D$9</x:f>
        <x:v>0</x:v>
      </x:c>
      <x:c r="AH244" s="41" t="n">
        <x:f>IF(B244="","",SUM(AB244:AG244))</x:f>
        <x:v>24.799999999999997</x:v>
      </x:c>
      <x:c r="AI244" s="41" t="str">
        <x:f>IF(NOT(ISNUMBER(AH244)),"Not scored",VLOOKUP(AH244,'Score settings'!$A$47:$C$50,3,TRUE))</x:f>
        <x:v>Weak</x:v>
      </x:c>
      <x:c r="AJ244" s="42" t="n">
        <x:f>IF(OR(NOT(ISNUMBER(AH244)),T244&lt;&gt;"Common pot"),"",COUNTIFS($T$4:$T$509,"Common pot",$AH$4:$AH$509,"&gt;"&amp;AH244)+1)</x:f>
        <x:v>278</x:v>
      </x:c>
      <x:c r="AK244" s="36" t="str">
        <x:f>IF(B244="","Name missing - not scored",IF(OR(NOT(ISNUMBER(G244)),G244&lt;=0),"Investment missing or zero - review",IF(0=1,"Permanent ID missing - reconcile",IF(AND(ISNUMBER(H244),H244/G244&gt;='Score settings'!$B$58,NOT(ISNUMBER(I244))),"Benefit units need review",IF(OR(R244="EXIT",R244="CHALLENGE"),"Waste decision requires scope resolution",IF("Name and organisation matched"&lt;&gt;"Name and organisation matched","Waste evidence match needs review","Provisional source score - confirm evidence"))))))</x:f>
        <x:v>Provisional source score - confirm evidence</x:v>
      </x:c>
      <x:c r="AL244" s="36"/>
      <x:c r="AM244" s="40"/>
      <x:c r="AN244" s="39"/>
      <x:c r="AO244" s="40"/>
      <x:c r="AP244" s="40"/>
    </x:row>
    <x:row r="245" ht="15" hidden="0" customHeight="1">
      <x:c r="A245" s="36" t="str">
        <x:v>Bu-250</x:v>
      </x:c>
      <x:c r="B245" s="37" t="str">
        <x:v>RFID for Outward Shipments</x:v>
      </x:c>
      <x:c r="C245" s="36" t="str">
        <x:v>BU Led</x:v>
      </x:c>
      <x:c r="D245" s="36" t="str">
        <x:v>Precision Diagnosis - Magnetic Resonance (MR)</x:v>
      </x:c>
      <x:c r="E245" s="38" t="n">
        <x:v>0.25</x:v>
      </x:c>
      <x:c r="F245" s="39"/>
      <x:c r="G245" s="38" t="n">
        <x:f>IF(ISNUMBER(F245),F245,IF(E245="","",E245))</x:f>
        <x:v>0.25</x:v>
      </x:c>
      <x:c r="H245" s="38"/>
      <x:c r="I245" s="39"/>
      <x:c r="J245" s="36" t="str">
        <x:v>Cash savings</x:v>
      </x:c>
      <x:c r="K245" s="38" t="str">
        <x:f>IF(ISNUMBER(I245),I245,IF(OR(NOT(ISNUMBER(H245)),NOT(ISNUMBER(G245)),G245&lt;=0),"",IF(H245/G245&gt;='Score settings'!$B$58,"",IF(J245="Cash savings",H245,IF(J245="Revenue",H245*'Score settings'!$B$55,"")))))</x:f>
      </x:c>
      <x:c r="L245" s="36"/>
      <x:c r="M245" s="39"/>
      <x:c r="N245" s="40"/>
      <x:c r="O245" s="36" t="str">
        <x:v>Must Have</x:v>
      </x:c>
      <x:c r="P245" s="36" t="str">
        <x:v>CI</x:v>
      </x:c>
      <x:c r="Q245" s="36" t="str">
        <x:v>Productivity</x:v>
      </x:c>
      <x:c r="R245" s="36" t="str">
        <x:v>NotAssessed</x:v>
      </x:c>
      <x:c r="S245" s="36" t="str"/>
      <x:c r="T245" s="36" t="str">
        <x:v>Common pot</x:v>
      </x:c>
      <x:c r="U245" s="41" t="n">
        <x:f>VLOOKUP("Priority|"&amp;O245,'Score settings'!$A$14:$C$43,2,FALSE)/'Score settings'!$B$4*'Score settings'!$C$4</x:f>
        <x:v>18</x:v>
      </x:c>
      <x:c r="V245" s="41" t="n">
        <x:f>VLOOKUP("Category|"&amp;P245,'Score settings'!$A$14:$C$43,2,FALSE)/'Score settings'!$B$5*'Score settings'!$C$5</x:f>
        <x:v>8</x:v>
      </x:c>
      <x:c r="W245" s="41" t="n">
        <x:f>VLOOKUP("Area|"&amp;Q245,'Score settings'!$A$14:$C$43,2,FALSE)/'Score settings'!$B$6*'Score settings'!$C$6</x:f>
        <x:v>10</x:v>
      </x:c>
      <x:c r="X245" s="41" t="n">
        <x:f>VLOOKUP("Benefits|"&amp;IF(AND(ISNUMBER(H245),H245&gt;0,ISNUMBER(G245),G245&gt;0),IF(H245/G245&gt;='Score settings'!$E$17,"3plus",IF(H245/G245&gt;='Score settings'!$E$16,"1.5to3",IF(H245/G245&gt;='Score settings'!$E$15,"0.5to1.5","positive"))),"None"),'Score settings'!$A$14:$C$43,2,FALSE)/'Score settings'!$B$7*'Score settings'!$C$7</x:f>
        <x:v>5</x:v>
      </x:c>
      <x:c r="Y245" s="41" t="n">
        <x:f>VLOOKUP("Waste|"&amp;R245,'Score settings'!$A$14:$C$43,2,FALSE)/'Score settings'!$B$8*'Score settings'!$C$8</x:f>
        <x:v>7</x:v>
      </x:c>
      <x:c r="Z245" s="41" t="n">
        <x:f>IF(B245="","",SUM(U245:Y245))</x:f>
        <x:v>48</x:v>
      </x:c>
      <x:c r="AA245" s="41" t="str">
        <x:f>IF(Z245="","Not scored",VLOOKUP(Z245,'Score settings'!$A$47:$C$50,2,TRUE))</x:f>
        <x:v>Strong</x:v>
      </x:c>
      <x:c r="AB245" s="41" t="n">
        <x:f>VLOOKUP("Priority|"&amp;O245,'Score settings'!$A$14:$C$43,3,FALSE)/'Score settings'!$B$4*'Score settings'!$D$4</x:f>
        <x:v>10.799999999999999</x:v>
      </x:c>
      <x:c r="AC245" s="41" t="n">
        <x:f>VLOOKUP("Category|"&amp;P245,'Score settings'!$A$14:$C$43,3,FALSE)/'Score settings'!$B$5*'Score settings'!$D$5</x:f>
        <x:v>4</x:v>
      </x:c>
      <x:c r="AD245" s="41" t="n">
        <x:f>VLOOKUP("Area|"&amp;Q245,'Score settings'!$A$14:$C$43,3,FALSE)/'Score settings'!$B$6*'Score settings'!$D$6</x:f>
        <x:v>6.666666666666666</x:v>
      </x:c>
      <x:c r="AE245" s="41" t="n">
        <x:f>VLOOKUP("Benefits|"&amp;IF(AND(ISNUMBER(K245),K245&gt;0,ISNUMBER(G245),G245&gt;0),IF(K245/G245&gt;='Score settings'!$E$17,"3plus",IF(K245/G245&gt;='Score settings'!$E$16,"1.5to3",IF(K245/G245&gt;='Score settings'!$E$15,"0.5to1.5","positive"))),"None"),'Score settings'!$A$14:$C$43,3,FALSE)/'Score settings'!$B$7*'Score settings'!$D$7</x:f>
        <x:v>0</x:v>
      </x:c>
      <x:c r="AF245" s="41" t="n">
        <x:f>VLOOKUP("Waste|"&amp;R245,'Score settings'!$A$14:$C$43,3,FALSE)/'Score settings'!$B$8*'Score settings'!$D$8</x:f>
        <x:v>0</x:v>
      </x:c>
      <x:c r="AG245" s="41" t="n">
        <x:f>(IF(AND(ISNUMBER(M245),M245&gt;0,ISNUMBER(G245),G245&gt;0),IF(M245/G245&gt;='Score settings'!$E$17,'Score settings'!$G$17,IF(M245/G245&gt;='Score settings'!$E$16,'Score settings'!$G$16,IF(M245/G245&gt;='Score settings'!$E$15,'Score settings'!$G$15,'Score settings'!$G$14))),0)/15*'Score settings'!$B$60+IFERROR(VLOOKUP(IF(ISNUMBER(N245),N245,IF(ISNUMBER(L245),L245,0)),'Score settings'!$E$22:$F$26,2,FALSE),0)/10*'Score settings'!$B$61)/'Score settings'!$B$9*'Score settings'!$D$9</x:f>
        <x:v>0</x:v>
      </x:c>
      <x:c r="AH245" s="41" t="n">
        <x:f>IF(B245="","",SUM(AB245:AG245))</x:f>
        <x:v>21.466666666666665</x:v>
      </x:c>
      <x:c r="AI245" s="41" t="str">
        <x:f>IF(NOT(ISNUMBER(AH245)),"Not scored",VLOOKUP(AH245,'Score settings'!$A$47:$C$50,3,TRUE))</x:f>
        <x:v>Weak</x:v>
      </x:c>
      <x:c r="AJ245" s="42" t="n">
        <x:f>IF(OR(NOT(ISNUMBER(AH245)),T245&lt;&gt;"Common pot"),"",COUNTIFS($T$4:$T$509,"Common pot",$AH$4:$AH$509,"&gt;"&amp;AH245)+1)</x:f>
        <x:v>343</x:v>
      </x:c>
      <x:c r="AK245" s="36" t="str">
        <x:f>IF(B245="","Name missing - not scored",IF(OR(NOT(ISNUMBER(G245)),G245&lt;=0),"Investment missing or zero - review",IF(0=1,"Permanent ID missing - reconcile",IF(AND(ISNUMBER(H245),H245/G245&gt;='Score settings'!$B$58,NOT(ISNUMBER(I245))),"Benefit units need review",IF(OR(R245="EXIT",R245="CHALLENGE"),"Waste decision requires scope resolution",IF("Name and organisation matched"&lt;&gt;"Name and organisation matched","Waste evidence match needs review","Provisional source score - confirm evidence"))))))</x:f>
        <x:v>Provisional source score - confirm evidence</x:v>
      </x:c>
      <x:c r="AL245" s="36"/>
      <x:c r="AM245" s="40"/>
      <x:c r="AN245" s="39"/>
      <x:c r="AO245" s="40"/>
      <x:c r="AP245" s="40"/>
    </x:row>
    <x:row r="246" ht="15" hidden="0" customHeight="1">
      <x:c r="A246" s="36" t="str">
        <x:v>Bu-251</x:v>
      </x:c>
      <x:c r="B246" s="37" t="str">
        <x:v>Defoa process improvement (400 PD, 200 IGTS)</x:v>
      </x:c>
      <x:c r="C246" s="36" t="str">
        <x:v>BU Led</x:v>
      </x:c>
      <x:c r="D246" s="36" t="str">
        <x:v>Precision Diagnosis - Magnetic Resonance (MR)</x:v>
      </x:c>
      <x:c r="E246" s="38" t="n">
        <x:v>0.4</x:v>
      </x:c>
      <x:c r="F246" s="39"/>
      <x:c r="G246" s="38" t="n">
        <x:f>IF(ISNUMBER(F246),F246,IF(E246="","",E246))</x:f>
        <x:v>0.4</x:v>
      </x:c>
      <x:c r="H246" s="38"/>
      <x:c r="I246" s="39"/>
      <x:c r="J246" s="36" t="str">
        <x:v>Cash savings</x:v>
      </x:c>
      <x:c r="K246" s="38" t="str">
        <x:f>IF(ISNUMBER(I246),I246,IF(OR(NOT(ISNUMBER(H246)),NOT(ISNUMBER(G246)),G246&lt;=0),"",IF(H246/G246&gt;='Score settings'!$B$58,"",IF(J246="Cash savings",H246,IF(J246="Revenue",H246*'Score settings'!$B$55,"")))))</x:f>
      </x:c>
      <x:c r="L246" s="36"/>
      <x:c r="M246" s="39"/>
      <x:c r="N246" s="40"/>
      <x:c r="O246" s="36" t="str">
        <x:v>Must Do</x:v>
      </x:c>
      <x:c r="P246" s="36" t="str">
        <x:v>CI</x:v>
      </x:c>
      <x:c r="Q246" s="36" t="str">
        <x:v>Productivity</x:v>
      </x:c>
      <x:c r="R246" s="36" t="str">
        <x:v>NotAssessed</x:v>
      </x:c>
      <x:c r="S246" s="36" t="str"/>
      <x:c r="T246" s="36" t="str">
        <x:v>Common pot</x:v>
      </x:c>
      <x:c r="U246" s="41" t="n">
        <x:f>VLOOKUP("Priority|"&amp;O246,'Score settings'!$A$14:$C$43,2,FALSE)/'Score settings'!$B$4*'Score settings'!$C$4</x:f>
        <x:v>25</x:v>
      </x:c>
      <x:c r="V246" s="41" t="n">
        <x:f>VLOOKUP("Category|"&amp;P246,'Score settings'!$A$14:$C$43,2,FALSE)/'Score settings'!$B$5*'Score settings'!$C$5</x:f>
        <x:v>8</x:v>
      </x:c>
      <x:c r="W246" s="41" t="n">
        <x:f>VLOOKUP("Area|"&amp;Q246,'Score settings'!$A$14:$C$43,2,FALSE)/'Score settings'!$B$6*'Score settings'!$C$6</x:f>
        <x:v>10</x:v>
      </x:c>
      <x:c r="X246" s="41" t="n">
        <x:f>VLOOKUP("Benefits|"&amp;IF(AND(ISNUMBER(H246),H246&gt;0,ISNUMBER(G246),G246&gt;0),IF(H246/G246&gt;='Score settings'!$E$17,"3plus",IF(H246/G246&gt;='Score settings'!$E$16,"1.5to3",IF(H246/G246&gt;='Score settings'!$E$15,"0.5to1.5","positive"))),"None"),'Score settings'!$A$14:$C$43,2,FALSE)/'Score settings'!$B$7*'Score settings'!$C$7</x:f>
        <x:v>5</x:v>
      </x:c>
      <x:c r="Y246" s="41" t="n">
        <x:f>VLOOKUP("Waste|"&amp;R246,'Score settings'!$A$14:$C$43,2,FALSE)/'Score settings'!$B$8*'Score settings'!$C$8</x:f>
        <x:v>7</x:v>
      </x:c>
      <x:c r="Z246" s="41" t="n">
        <x:f>IF(B246="","",SUM(U246:Y246))</x:f>
        <x:v>55</x:v>
      </x:c>
      <x:c r="AA246" s="41" t="str">
        <x:f>IF(Z246="","Not scored",VLOOKUP(Z246,'Score settings'!$A$47:$C$50,2,TRUE))</x:f>
        <x:v>Strong</x:v>
      </x:c>
      <x:c r="AB246" s="41" t="n">
        <x:f>VLOOKUP("Priority|"&amp;O246,'Score settings'!$A$14:$C$43,3,FALSE)/'Score settings'!$B$4*'Score settings'!$D$4</x:f>
        <x:v>15</x:v>
      </x:c>
      <x:c r="AC246" s="41" t="n">
        <x:f>VLOOKUP("Category|"&amp;P246,'Score settings'!$A$14:$C$43,3,FALSE)/'Score settings'!$B$5*'Score settings'!$D$5</x:f>
        <x:v>4</x:v>
      </x:c>
      <x:c r="AD246" s="41" t="n">
        <x:f>VLOOKUP("Area|"&amp;Q246,'Score settings'!$A$14:$C$43,3,FALSE)/'Score settings'!$B$6*'Score settings'!$D$6</x:f>
        <x:v>6.666666666666666</x:v>
      </x:c>
      <x:c r="AE246" s="41" t="n">
        <x:f>VLOOKUP("Benefits|"&amp;IF(AND(ISNUMBER(K246),K246&gt;0,ISNUMBER(G246),G246&gt;0),IF(K246/G246&gt;='Score settings'!$E$17,"3plus",IF(K246/G246&gt;='Score settings'!$E$16,"1.5to3",IF(K246/G246&gt;='Score settings'!$E$15,"0.5to1.5","positive"))),"None"),'Score settings'!$A$14:$C$43,3,FALSE)/'Score settings'!$B$7*'Score settings'!$D$7</x:f>
        <x:v>0</x:v>
      </x:c>
      <x:c r="AF246" s="41" t="n">
        <x:f>VLOOKUP("Waste|"&amp;R246,'Score settings'!$A$14:$C$43,3,FALSE)/'Score settings'!$B$8*'Score settings'!$D$8</x:f>
        <x:v>0</x:v>
      </x:c>
      <x:c r="AG246" s="41" t="n">
        <x:f>(IF(AND(ISNUMBER(M246),M246&gt;0,ISNUMBER(G246),G246&gt;0),IF(M246/G246&gt;='Score settings'!$E$17,'Score settings'!$G$17,IF(M246/G246&gt;='Score settings'!$E$16,'Score settings'!$G$16,IF(M246/G246&gt;='Score settings'!$E$15,'Score settings'!$G$15,'Score settings'!$G$14))),0)/15*'Score settings'!$B$60+IFERROR(VLOOKUP(IF(ISNUMBER(N246),N246,IF(ISNUMBER(L246),L246,0)),'Score settings'!$E$22:$F$26,2,FALSE),0)/10*'Score settings'!$B$61)/'Score settings'!$B$9*'Score settings'!$D$9</x:f>
        <x:v>0</x:v>
      </x:c>
      <x:c r="AH246" s="41" t="n">
        <x:f>IF(B246="","",SUM(AB246:AG246))</x:f>
        <x:v>25.666666666666664</x:v>
      </x:c>
      <x:c r="AI246" s="41" t="str">
        <x:f>IF(NOT(ISNUMBER(AH246)),"Not scored",VLOOKUP(AH246,'Score settings'!$A$47:$C$50,3,TRUE))</x:f>
        <x:v>Discretionary</x:v>
      </x:c>
      <x:c r="AJ246" s="42" t="n">
        <x:f>IF(OR(NOT(ISNUMBER(AH246)),T246&lt;&gt;"Common pot"),"",COUNTIFS($T$4:$T$509,"Common pot",$AH$4:$AH$509,"&gt;"&amp;AH246)+1)</x:f>
        <x:v>247</x:v>
      </x:c>
      <x:c r="AK246" s="36" t="str">
        <x:f>IF(B246="","Name missing - not scored",IF(OR(NOT(ISNUMBER(G246)),G246&lt;=0),"Investment missing or zero - review",IF(0=1,"Permanent ID missing - reconcile",IF(AND(ISNUMBER(H246),H246/G246&gt;='Score settings'!$B$58,NOT(ISNUMBER(I246))),"Benefit units need review",IF(OR(R246="EXIT",R246="CHALLENGE"),"Waste decision requires scope resolution",IF("Name and organisation matched"&lt;&gt;"Name and organisation matched","Waste evidence match needs review","Provisional source score - confirm evidence"))))))</x:f>
        <x:v>Provisional source score - confirm evidence</x:v>
      </x:c>
      <x:c r="AL246" s="36"/>
      <x:c r="AM246" s="40"/>
      <x:c r="AN246" s="39"/>
      <x:c r="AO246" s="40"/>
      <x:c r="AP246" s="40"/>
    </x:row>
    <x:row r="247" ht="15" hidden="0" customHeight="1">
      <x:c r="A247" s="36" t="str">
        <x:v>Bu-252</x:v>
      </x:c>
      <x:c r="B247" s="37" t="str">
        <x:v>Conga – Change &amp; Sustain</x:v>
      </x:c>
      <x:c r="C247" s="36" t="str">
        <x:v>BU Led</x:v>
      </x:c>
      <x:c r="D247" s="36" t="str">
        <x:v>Image Guided Therapy - Devices (IGT-D)</x:v>
      </x:c>
      <x:c r="E247" s="38" t="n">
        <x:v>0.32</x:v>
      </x:c>
      <x:c r="F247" s="39"/>
      <x:c r="G247" s="38" t="n">
        <x:f>IF(ISNUMBER(F247),F247,IF(E247="","",E247))</x:f>
        <x:v>0.32</x:v>
      </x:c>
      <x:c r="H247" s="38" t="n">
        <x:v>117</x:v>
      </x:c>
      <x:c r="I247" s="39"/>
      <x:c r="J247" s="36" t="str">
        <x:v>Revenue</x:v>
      </x:c>
      <x:c r="K247" s="38" t="str">
        <x:f>IF(ISNUMBER(I247),I247,IF(OR(NOT(ISNUMBER(H247)),NOT(ISNUMBER(G247)),G247&lt;=0),"",IF(H247/G247&gt;='Score settings'!$B$58,"",IF(J247="Cash savings",H247,IF(J247="Revenue",H247*'Score settings'!$B$55,"")))))</x:f>
      </x:c>
      <x:c r="L247" s="36"/>
      <x:c r="M247" s="39"/>
      <x:c r="N247" s="40"/>
      <x:c r="O247" s="36" t="str">
        <x:v>Must Do</x:v>
      </x:c>
      <x:c r="P247" s="36" t="str">
        <x:v>Upgrades</x:v>
      </x:c>
      <x:c r="Q247" s="36" t="str">
        <x:v>Revenue</x:v>
      </x:c>
      <x:c r="R247" s="36" t="str">
        <x:v>NotAssessed</x:v>
      </x:c>
      <x:c r="S247" s="36" t="str"/>
      <x:c r="T247" s="36" t="str">
        <x:v>Common pot</x:v>
      </x:c>
      <x:c r="U247" s="41" t="n">
        <x:f>VLOOKUP("Priority|"&amp;O247,'Score settings'!$A$14:$C$43,2,FALSE)/'Score settings'!$B$4*'Score settings'!$C$4</x:f>
        <x:v>25</x:v>
      </x:c>
      <x:c r="V247" s="41" t="n">
        <x:f>VLOOKUP("Category|"&amp;P247,'Score settings'!$A$14:$C$43,2,FALSE)/'Score settings'!$B$5*'Score settings'!$C$5</x:f>
        <x:v>10</x:v>
      </x:c>
      <x:c r="W247" s="41" t="n">
        <x:f>VLOOKUP("Area|"&amp;Q247,'Score settings'!$A$14:$C$43,2,FALSE)/'Score settings'!$B$6*'Score settings'!$C$6</x:f>
        <x:v>11</x:v>
      </x:c>
      <x:c r="X247" s="41" t="n">
        <x:f>VLOOKUP("Benefits|"&amp;IF(AND(ISNUMBER(H247),H247&gt;0,ISNUMBER(G247),G247&gt;0),IF(H247/G247&gt;='Score settings'!$E$17,"3plus",IF(H247/G247&gt;='Score settings'!$E$16,"1.5to3",IF(H247/G247&gt;='Score settings'!$E$15,"0.5to1.5","positive"))),"None"),'Score settings'!$A$14:$C$43,2,FALSE)/'Score settings'!$B$7*'Score settings'!$C$7</x:f>
        <x:v>25</x:v>
      </x:c>
      <x:c r="Y247" s="41" t="n">
        <x:f>VLOOKUP("Waste|"&amp;R247,'Score settings'!$A$14:$C$43,2,FALSE)/'Score settings'!$B$8*'Score settings'!$C$8</x:f>
        <x:v>7</x:v>
      </x:c>
      <x:c r="Z247" s="41" t="n">
        <x:f>IF(B247="","",SUM(U247:Y247))</x:f>
        <x:v>78</x:v>
      </x:c>
      <x:c r="AA247" s="41" t="str">
        <x:f>IF(Z247="","Not scored",VLOOKUP(Z247,'Score settings'!$A$47:$C$50,2,TRUE))</x:f>
        <x:v>Protected</x:v>
      </x:c>
      <x:c r="AB247" s="41" t="n">
        <x:f>VLOOKUP("Priority|"&amp;O247,'Score settings'!$A$14:$C$43,3,FALSE)/'Score settings'!$B$4*'Score settings'!$D$4</x:f>
        <x:v>15</x:v>
      </x:c>
      <x:c r="AC247" s="41" t="n">
        <x:f>VLOOKUP("Category|"&amp;P247,'Score settings'!$A$14:$C$43,3,FALSE)/'Score settings'!$B$5*'Score settings'!$D$5</x:f>
        <x:v>5</x:v>
      </x:c>
      <x:c r="AD247" s="41" t="n">
        <x:f>VLOOKUP("Area|"&amp;Q247,'Score settings'!$A$14:$C$43,3,FALSE)/'Score settings'!$B$6*'Score settings'!$D$6</x:f>
        <x:v>7.333333333333333</x:v>
      </x:c>
      <x:c r="AE247" s="41" t="n">
        <x:f>VLOOKUP("Benefits|"&amp;IF(AND(ISNUMBER(K247),K247&gt;0,ISNUMBER(G247),G247&gt;0),IF(K247/G247&gt;='Score settings'!$E$17,"3plus",IF(K247/G247&gt;='Score settings'!$E$16,"1.5to3",IF(K247/G247&gt;='Score settings'!$E$15,"0.5to1.5","positive"))),"None"),'Score settings'!$A$14:$C$43,3,FALSE)/'Score settings'!$B$7*'Score settings'!$D$7</x:f>
        <x:v>0</x:v>
      </x:c>
      <x:c r="AF247" s="41" t="n">
        <x:f>VLOOKUP("Waste|"&amp;R247,'Score settings'!$A$14:$C$43,3,FALSE)/'Score settings'!$B$8*'Score settings'!$D$8</x:f>
        <x:v>0</x:v>
      </x:c>
      <x:c r="AG247" s="41" t="n">
        <x:f>(IF(AND(ISNUMBER(M247),M247&gt;0,ISNUMBER(G247),G247&gt;0),IF(M247/G247&gt;='Score settings'!$E$17,'Score settings'!$G$17,IF(M247/G247&gt;='Score settings'!$E$16,'Score settings'!$G$16,IF(M247/G247&gt;='Score settings'!$E$15,'Score settings'!$G$15,'Score settings'!$G$14))),0)/15*'Score settings'!$B$60+IFERROR(VLOOKUP(IF(ISNUMBER(N247),N247,IF(ISNUMBER(L247),L247,0)),'Score settings'!$E$22:$F$26,2,FALSE),0)/10*'Score settings'!$B$61)/'Score settings'!$B$9*'Score settings'!$D$9</x:f>
        <x:v>0</x:v>
      </x:c>
      <x:c r="AH247" s="41" t="n">
        <x:f>IF(B247="","",SUM(AB247:AG247))</x:f>
        <x:v>27.333333333333332</x:v>
      </x:c>
      <x:c r="AI247" s="41" t="str">
        <x:f>IF(NOT(ISNUMBER(AH247)),"Not scored",VLOOKUP(AH247,'Score settings'!$A$47:$C$50,3,TRUE))</x:f>
        <x:v>Discretionary</x:v>
      </x:c>
      <x:c r="AJ247" s="42" t="n">
        <x:f>IF(OR(NOT(ISNUMBER(AH247)),T247&lt;&gt;"Common pot"),"",COUNTIFS($T$4:$T$509,"Common pot",$AH$4:$AH$509,"&gt;"&amp;AH247)+1)</x:f>
        <x:v>221</x:v>
      </x:c>
      <x:c r="AK247" s="36" t="str">
        <x:f>IF(B247="","Name missing - not scored",IF(OR(NOT(ISNUMBER(G247)),G247&lt;=0),"Investment missing or zero - review",IF(0=1,"Permanent ID missing - reconcile",IF(AND(ISNUMBER(H247),H247/G247&gt;='Score settings'!$B$58,NOT(ISNUMBER(I247))),"Benefit units need review",IF(OR(R247="EXIT",R247="CHALLENGE"),"Waste decision requires scope resolution",IF("Name and organisation matched"&lt;&gt;"Name and organisation matched","Waste evidence match needs review","Provisional source score - confirm evidence"))))))</x:f>
        <x:v>Benefit units need review</x:v>
      </x:c>
      <x:c r="AL247" s="36"/>
      <x:c r="AM247" s="40"/>
      <x:c r="AN247" s="39"/>
      <x:c r="AO247" s="40"/>
      <x:c r="AP247" s="40"/>
    </x:row>
    <x:row r="248" ht="15" hidden="0" customHeight="1">
      <x:c r="A248" s="36" t="str">
        <x:v>Bu-253</x:v>
      </x:c>
      <x:c r="B248" s="37" t="str">
        <x:v>cCRM – Change &amp; Sustain</x:v>
      </x:c>
      <x:c r="C248" s="36" t="str">
        <x:v>BU Led</x:v>
      </x:c>
      <x:c r="D248" s="36" t="str">
        <x:v>Image Guided Therapy - Devices (IGT-D)</x:v>
      </x:c>
      <x:c r="E248" s="38" t="n">
        <x:v>0.12</x:v>
      </x:c>
      <x:c r="F248" s="39"/>
      <x:c r="G248" s="38" t="n">
        <x:f>IF(ISNUMBER(F248),F248,IF(E248="","",E248))</x:f>
        <x:v>0.12</x:v>
      </x:c>
      <x:c r="H248" s="38" t="n">
        <x:v>117</x:v>
      </x:c>
      <x:c r="I248" s="39"/>
      <x:c r="J248" s="36" t="str">
        <x:v>Revenue</x:v>
      </x:c>
      <x:c r="K248" s="38" t="str">
        <x:f>IF(ISNUMBER(I248),I248,IF(OR(NOT(ISNUMBER(H248)),NOT(ISNUMBER(G248)),G248&lt;=0),"",IF(H248/G248&gt;='Score settings'!$B$58,"",IF(J248="Cash savings",H248,IF(J248="Revenue",H248*'Score settings'!$B$55,"")))))</x:f>
      </x:c>
      <x:c r="L248" s="36"/>
      <x:c r="M248" s="39"/>
      <x:c r="N248" s="40"/>
      <x:c r="O248" s="36" t="str">
        <x:v>Must Do</x:v>
      </x:c>
      <x:c r="P248" s="36" t="str">
        <x:v>Upgrades</x:v>
      </x:c>
      <x:c r="Q248" s="36" t="str">
        <x:v>Revenue</x:v>
      </x:c>
      <x:c r="R248" s="36" t="str">
        <x:v>NotAssessed</x:v>
      </x:c>
      <x:c r="S248" s="36" t="str"/>
      <x:c r="T248" s="36" t="str">
        <x:v>Common pot</x:v>
      </x:c>
      <x:c r="U248" s="41" t="n">
        <x:f>VLOOKUP("Priority|"&amp;O248,'Score settings'!$A$14:$C$43,2,FALSE)/'Score settings'!$B$4*'Score settings'!$C$4</x:f>
        <x:v>25</x:v>
      </x:c>
      <x:c r="V248" s="41" t="n">
        <x:f>VLOOKUP("Category|"&amp;P248,'Score settings'!$A$14:$C$43,2,FALSE)/'Score settings'!$B$5*'Score settings'!$C$5</x:f>
        <x:v>10</x:v>
      </x:c>
      <x:c r="W248" s="41" t="n">
        <x:f>VLOOKUP("Area|"&amp;Q248,'Score settings'!$A$14:$C$43,2,FALSE)/'Score settings'!$B$6*'Score settings'!$C$6</x:f>
        <x:v>11</x:v>
      </x:c>
      <x:c r="X248" s="41" t="n">
        <x:f>VLOOKUP("Benefits|"&amp;IF(AND(ISNUMBER(H248),H248&gt;0,ISNUMBER(G248),G248&gt;0),IF(H248/G248&gt;='Score settings'!$E$17,"3plus",IF(H248/G248&gt;='Score settings'!$E$16,"1.5to3",IF(H248/G248&gt;='Score settings'!$E$15,"0.5to1.5","positive"))),"None"),'Score settings'!$A$14:$C$43,2,FALSE)/'Score settings'!$B$7*'Score settings'!$C$7</x:f>
        <x:v>25</x:v>
      </x:c>
      <x:c r="Y248" s="41" t="n">
        <x:f>VLOOKUP("Waste|"&amp;R248,'Score settings'!$A$14:$C$43,2,FALSE)/'Score settings'!$B$8*'Score settings'!$C$8</x:f>
        <x:v>7</x:v>
      </x:c>
      <x:c r="Z248" s="41" t="n">
        <x:f>IF(B248="","",SUM(U248:Y248))</x:f>
        <x:v>78</x:v>
      </x:c>
      <x:c r="AA248" s="41" t="str">
        <x:f>IF(Z248="","Not scored",VLOOKUP(Z248,'Score settings'!$A$47:$C$50,2,TRUE))</x:f>
        <x:v>Protected</x:v>
      </x:c>
      <x:c r="AB248" s="41" t="n">
        <x:f>VLOOKUP("Priority|"&amp;O248,'Score settings'!$A$14:$C$43,3,FALSE)/'Score settings'!$B$4*'Score settings'!$D$4</x:f>
        <x:v>15</x:v>
      </x:c>
      <x:c r="AC248" s="41" t="n">
        <x:f>VLOOKUP("Category|"&amp;P248,'Score settings'!$A$14:$C$43,3,FALSE)/'Score settings'!$B$5*'Score settings'!$D$5</x:f>
        <x:v>5</x:v>
      </x:c>
      <x:c r="AD248" s="41" t="n">
        <x:f>VLOOKUP("Area|"&amp;Q248,'Score settings'!$A$14:$C$43,3,FALSE)/'Score settings'!$B$6*'Score settings'!$D$6</x:f>
        <x:v>7.333333333333333</x:v>
      </x:c>
      <x:c r="AE248" s="41" t="n">
        <x:f>VLOOKUP("Benefits|"&amp;IF(AND(ISNUMBER(K248),K248&gt;0,ISNUMBER(G248),G248&gt;0),IF(K248/G248&gt;='Score settings'!$E$17,"3plus",IF(K248/G248&gt;='Score settings'!$E$16,"1.5to3",IF(K248/G248&gt;='Score settings'!$E$15,"0.5to1.5","positive"))),"None"),'Score settings'!$A$14:$C$43,3,FALSE)/'Score settings'!$B$7*'Score settings'!$D$7</x:f>
        <x:v>0</x:v>
      </x:c>
      <x:c r="AF248" s="41" t="n">
        <x:f>VLOOKUP("Waste|"&amp;R248,'Score settings'!$A$14:$C$43,3,FALSE)/'Score settings'!$B$8*'Score settings'!$D$8</x:f>
        <x:v>0</x:v>
      </x:c>
      <x:c r="AG248" s="41" t="n">
        <x:f>(IF(AND(ISNUMBER(M248),M248&gt;0,ISNUMBER(G248),G248&gt;0),IF(M248/G248&gt;='Score settings'!$E$17,'Score settings'!$G$17,IF(M248/G248&gt;='Score settings'!$E$16,'Score settings'!$G$16,IF(M248/G248&gt;='Score settings'!$E$15,'Score settings'!$G$15,'Score settings'!$G$14))),0)/15*'Score settings'!$B$60+IFERROR(VLOOKUP(IF(ISNUMBER(N248),N248,IF(ISNUMBER(L248),L248,0)),'Score settings'!$E$22:$F$26,2,FALSE),0)/10*'Score settings'!$B$61)/'Score settings'!$B$9*'Score settings'!$D$9</x:f>
        <x:v>0</x:v>
      </x:c>
      <x:c r="AH248" s="41" t="n">
        <x:f>IF(B248="","",SUM(AB248:AG248))</x:f>
        <x:v>27.333333333333332</x:v>
      </x:c>
      <x:c r="AI248" s="41" t="str">
        <x:f>IF(NOT(ISNUMBER(AH248)),"Not scored",VLOOKUP(AH248,'Score settings'!$A$47:$C$50,3,TRUE))</x:f>
        <x:v>Discretionary</x:v>
      </x:c>
      <x:c r="AJ248" s="42" t="n">
        <x:f>IF(OR(NOT(ISNUMBER(AH248)),T248&lt;&gt;"Common pot"),"",COUNTIFS($T$4:$T$509,"Common pot",$AH$4:$AH$509,"&gt;"&amp;AH248)+1)</x:f>
        <x:v>221</x:v>
      </x:c>
      <x:c r="AK248" s="36" t="str">
        <x:f>IF(B248="","Name missing - not scored",IF(OR(NOT(ISNUMBER(G248)),G248&lt;=0),"Investment missing or zero - review",IF(0=1,"Permanent ID missing - reconcile",IF(AND(ISNUMBER(H248),H248/G248&gt;='Score settings'!$B$58,NOT(ISNUMBER(I248))),"Benefit units need review",IF(OR(R248="EXIT",R248="CHALLENGE"),"Waste decision requires scope resolution",IF("Name and organisation matched"&lt;&gt;"Name and organisation matched","Waste evidence match needs review","Provisional source score - confirm evidence"))))))</x:f>
        <x:v>Benefit units need review</x:v>
      </x:c>
      <x:c r="AL248" s="36"/>
      <x:c r="AM248" s="40"/>
      <x:c r="AN248" s="39"/>
      <x:c r="AO248" s="40"/>
      <x:c r="AP248" s="40"/>
    </x:row>
    <x:row r="249" ht="15" hidden="0" customHeight="1">
      <x:c r="A249" s="36" t="str">
        <x:v>Bu-254</x:v>
      </x:c>
      <x:c r="B249" s="37" t="str">
        <x:v>Small Investments 2027</x:v>
      </x:c>
      <x:c r="C249" s="36" t="str">
        <x:v>BU Led</x:v>
      </x:c>
      <x:c r="D249" s="36" t="str">
        <x:v>Image Guided Therapy - Devices (IGT-D)</x:v>
      </x:c>
      <x:c r="E249" s="38" t="n">
        <x:v>0.15</x:v>
      </x:c>
      <x:c r="F249" s="39"/>
      <x:c r="G249" s="38" t="n">
        <x:f>IF(ISNUMBER(F249),F249,IF(E249="","",E249))</x:f>
        <x:v>0.15</x:v>
      </x:c>
      <x:c r="H249" s="38" t="n">
        <x:v>117</x:v>
      </x:c>
      <x:c r="I249" s="39"/>
      <x:c r="J249" s="36" t="str">
        <x:v>Revenue</x:v>
      </x:c>
      <x:c r="K249" s="38" t="str">
        <x:f>IF(ISNUMBER(I249),I249,IF(OR(NOT(ISNUMBER(H249)),NOT(ISNUMBER(G249)),G249&lt;=0),"",IF(H249/G249&gt;='Score settings'!$B$58,"",IF(J249="Cash savings",H249,IF(J249="Revenue",H249*'Score settings'!$B$55,"")))))</x:f>
      </x:c>
      <x:c r="L249" s="36"/>
      <x:c r="M249" s="39"/>
      <x:c r="N249" s="40"/>
      <x:c r="O249" s="36" t="str">
        <x:v>Must Do</x:v>
      </x:c>
      <x:c r="P249" s="36" t="str">
        <x:v>NewFeat</x:v>
      </x:c>
      <x:c r="Q249" s="36" t="str">
        <x:v>Revenue</x:v>
      </x:c>
      <x:c r="R249" s="36" t="str">
        <x:v>NotAssessed</x:v>
      </x:c>
      <x:c r="S249" s="36" t="str"/>
      <x:c r="T249" s="36" t="str">
        <x:v>Common pot</x:v>
      </x:c>
      <x:c r="U249" s="41" t="n">
        <x:f>VLOOKUP("Priority|"&amp;O249,'Score settings'!$A$14:$C$43,2,FALSE)/'Score settings'!$B$4*'Score settings'!$C$4</x:f>
        <x:v>25</x:v>
      </x:c>
      <x:c r="V249" s="41" t="n">
        <x:f>VLOOKUP("Category|"&amp;P249,'Score settings'!$A$14:$C$43,2,FALSE)/'Score settings'!$B$5*'Score settings'!$C$5</x:f>
        <x:v>6</x:v>
      </x:c>
      <x:c r="W249" s="41" t="n">
        <x:f>VLOOKUP("Area|"&amp;Q249,'Score settings'!$A$14:$C$43,2,FALSE)/'Score settings'!$B$6*'Score settings'!$C$6</x:f>
        <x:v>11</x:v>
      </x:c>
      <x:c r="X249" s="41" t="n">
        <x:f>VLOOKUP("Benefits|"&amp;IF(AND(ISNUMBER(H249),H249&gt;0,ISNUMBER(G249),G249&gt;0),IF(H249/G249&gt;='Score settings'!$E$17,"3plus",IF(H249/G249&gt;='Score settings'!$E$16,"1.5to3",IF(H249/G249&gt;='Score settings'!$E$15,"0.5to1.5","positive"))),"None"),'Score settings'!$A$14:$C$43,2,FALSE)/'Score settings'!$B$7*'Score settings'!$C$7</x:f>
        <x:v>25</x:v>
      </x:c>
      <x:c r="Y249" s="41" t="n">
        <x:f>VLOOKUP("Waste|"&amp;R249,'Score settings'!$A$14:$C$43,2,FALSE)/'Score settings'!$B$8*'Score settings'!$C$8</x:f>
        <x:v>7</x:v>
      </x:c>
      <x:c r="Z249" s="41" t="n">
        <x:f>IF(B249="","",SUM(U249:Y249))</x:f>
        <x:v>74</x:v>
      </x:c>
      <x:c r="AA249" s="41" t="str">
        <x:f>IF(Z249="","Not scored",VLOOKUP(Z249,'Score settings'!$A$47:$C$50,2,TRUE))</x:f>
        <x:v>Protected</x:v>
      </x:c>
      <x:c r="AB249" s="41" t="n">
        <x:f>VLOOKUP("Priority|"&amp;O249,'Score settings'!$A$14:$C$43,3,FALSE)/'Score settings'!$B$4*'Score settings'!$D$4</x:f>
        <x:v>15</x:v>
      </x:c>
      <x:c r="AC249" s="41" t="n">
        <x:f>VLOOKUP("Category|"&amp;P249,'Score settings'!$A$14:$C$43,3,FALSE)/'Score settings'!$B$5*'Score settings'!$D$5</x:f>
        <x:v>3</x:v>
      </x:c>
      <x:c r="AD249" s="41" t="n">
        <x:f>VLOOKUP("Area|"&amp;Q249,'Score settings'!$A$14:$C$43,3,FALSE)/'Score settings'!$B$6*'Score settings'!$D$6</x:f>
        <x:v>7.333333333333333</x:v>
      </x:c>
      <x:c r="AE249" s="41" t="n">
        <x:f>VLOOKUP("Benefits|"&amp;IF(AND(ISNUMBER(K249),K249&gt;0,ISNUMBER(G249),G249&gt;0),IF(K249/G249&gt;='Score settings'!$E$17,"3plus",IF(K249/G249&gt;='Score settings'!$E$16,"1.5to3",IF(K249/G249&gt;='Score settings'!$E$15,"0.5to1.5","positive"))),"None"),'Score settings'!$A$14:$C$43,3,FALSE)/'Score settings'!$B$7*'Score settings'!$D$7</x:f>
        <x:v>0</x:v>
      </x:c>
      <x:c r="AF249" s="41" t="n">
        <x:f>VLOOKUP("Waste|"&amp;R249,'Score settings'!$A$14:$C$43,3,FALSE)/'Score settings'!$B$8*'Score settings'!$D$8</x:f>
        <x:v>0</x:v>
      </x:c>
      <x:c r="AG249" s="41" t="n">
        <x:f>(IF(AND(ISNUMBER(M249),M249&gt;0,ISNUMBER(G249),G249&gt;0),IF(M249/G249&gt;='Score settings'!$E$17,'Score settings'!$G$17,IF(M249/G249&gt;='Score settings'!$E$16,'Score settings'!$G$16,IF(M249/G249&gt;='Score settings'!$E$15,'Score settings'!$G$15,'Score settings'!$G$14))),0)/15*'Score settings'!$B$60+IFERROR(VLOOKUP(IF(ISNUMBER(N249),N249,IF(ISNUMBER(L249),L249,0)),'Score settings'!$E$22:$F$26,2,FALSE),0)/10*'Score settings'!$B$61)/'Score settings'!$B$9*'Score settings'!$D$9</x:f>
        <x:v>0</x:v>
      </x:c>
      <x:c r="AH249" s="41" t="n">
        <x:f>IF(B249="","",SUM(AB249:AG249))</x:f>
        <x:v>25.333333333333332</x:v>
      </x:c>
      <x:c r="AI249" s="41" t="str">
        <x:f>IF(NOT(ISNUMBER(AH249)),"Not scored",VLOOKUP(AH249,'Score settings'!$A$47:$C$50,3,TRUE))</x:f>
        <x:v>Discretionary</x:v>
      </x:c>
      <x:c r="AJ249" s="42" t="n">
        <x:f>IF(OR(NOT(ISNUMBER(AH249)),T249&lt;&gt;"Common pot"),"",COUNTIFS($T$4:$T$509,"Common pot",$AH$4:$AH$509,"&gt;"&amp;AH249)+1)</x:f>
        <x:v>253</x:v>
      </x:c>
      <x:c r="AK249" s="36" t="str">
        <x:f>IF(B249="","Name missing - not scored",IF(OR(NOT(ISNUMBER(G249)),G249&lt;=0),"Investment missing or zero - review",IF(0=1,"Permanent ID missing - reconcile",IF(AND(ISNUMBER(H249),H249/G249&gt;='Score settings'!$B$58,NOT(ISNUMBER(I249))),"Benefit units need review",IF(OR(R249="EXIT",R249="CHALLENGE"),"Waste decision requires scope resolution",IF("Name and organisation matched"&lt;&gt;"Name and organisation matched","Waste evidence match needs review","Provisional source score - confirm evidence"))))))</x:f>
        <x:v>Benefit units need review</x:v>
      </x:c>
      <x:c r="AL249" s="36"/>
      <x:c r="AM249" s="40"/>
      <x:c r="AN249" s="39"/>
      <x:c r="AO249" s="40"/>
      <x:c r="AP249" s="40"/>
    </x:row>
    <x:row r="250" ht="15" hidden="0" customHeight="1">
      <x:c r="A250" s="36" t="str">
        <x:v>Bu-255</x:v>
      </x:c>
      <x:c r="B250" s="37" t="str"/>
      <x:c r="C250" s="36" t="str">
        <x:v>BU Led</x:v>
      </x:c>
      <x:c r="D250" s="36" t="str"/>
      <x:c r="E250" s="38"/>
      <x:c r="F250" s="39"/>
      <x:c r="G250" s="38" t="str">
        <x:f>IF(ISNUMBER(F250),F250,IF(E250="","",E250))</x:f>
      </x:c>
      <x:c r="H250" s="38"/>
      <x:c r="I250" s="39"/>
      <x:c r="J250" s="36" t="str">
        <x:v>Unclassified</x:v>
      </x:c>
      <x:c r="K250" s="38" t="str">
        <x:f>IF(ISNUMBER(I250),I250,IF(OR(NOT(ISNUMBER(H250)),NOT(ISNUMBER(G250)),G250&lt;=0),"",IF(H250/G250&gt;='Score settings'!$B$58,"",IF(J250="Cash savings",H250,IF(J250="Revenue",H250*'Score settings'!$B$55,"")))))</x:f>
      </x:c>
      <x:c r="L250" s="36"/>
      <x:c r="M250" s="39"/>
      <x:c r="N250" s="40"/>
      <x:c r="O250" s="36" t="str">
        <x:v>Blank</x:v>
      </x:c>
      <x:c r="P250" s="36" t="str">
        <x:v>Blank</x:v>
      </x:c>
      <x:c r="Q250" s="36" t="str">
        <x:v>Blank</x:v>
      </x:c>
      <x:c r="R250" s="36" t="str">
        <x:v>NotAssessed</x:v>
      </x:c>
      <x:c r="S250" s="36" t="str"/>
      <x:c r="T250" s="36" t="str">
        <x:v>Incomplete record</x:v>
      </x:c>
      <x:c r="U250" s="41" t="n">
        <x:f>VLOOKUP("Priority|"&amp;O250,'Score settings'!$A$14:$C$43,2,FALSE)/'Score settings'!$B$4*'Score settings'!$C$4</x:f>
        <x:v>10</x:v>
      </x:c>
      <x:c r="V250" s="41" t="n">
        <x:f>VLOOKUP("Category|"&amp;P250,'Score settings'!$A$14:$C$43,2,FALSE)/'Score settings'!$B$5*'Score settings'!$C$5</x:f>
        <x:v>4</x:v>
      </x:c>
      <x:c r="W250" s="41" t="n">
        <x:f>VLOOKUP("Area|"&amp;Q250,'Score settings'!$A$14:$C$43,2,FALSE)/'Score settings'!$B$6*'Score settings'!$C$6</x:f>
        <x:v>3</x:v>
      </x:c>
      <x:c r="X250" s="41" t="n">
        <x:f>VLOOKUP("Benefits|"&amp;IF(AND(ISNUMBER(H250),H250&gt;0,ISNUMBER(G250),G250&gt;0),IF(H250/G250&gt;='Score settings'!$E$17,"3plus",IF(H250/G250&gt;='Score settings'!$E$16,"1.5to3",IF(H250/G250&gt;='Score settings'!$E$15,"0.5to1.5","positive"))),"None"),'Score settings'!$A$14:$C$43,2,FALSE)/'Score settings'!$B$7*'Score settings'!$C$7</x:f>
        <x:v>5</x:v>
      </x:c>
      <x:c r="Y250" s="41" t="n">
        <x:f>VLOOKUP("Waste|"&amp;R250,'Score settings'!$A$14:$C$43,2,FALSE)/'Score settings'!$B$8*'Score settings'!$C$8</x:f>
        <x:v>7</x:v>
      </x:c>
      <x:c r="Z250" s="41" t="str">
        <x:f>IF(B250="","",SUM(U250:Y250))</x:f>
      </x:c>
      <x:c r="AA250" s="41" t="str">
        <x:f>IF(Z250="","Not scored",VLOOKUP(Z250,'Score settings'!$A$47:$C$50,2,TRUE))</x:f>
        <x:v>Not scored</x:v>
      </x:c>
      <x:c r="AB250" s="41" t="n">
        <x:f>VLOOKUP("Priority|"&amp;O250,'Score settings'!$A$14:$C$43,3,FALSE)/'Score settings'!$B$4*'Score settings'!$D$4</x:f>
        <x:v>0</x:v>
      </x:c>
      <x:c r="AC250" s="41" t="n">
        <x:f>VLOOKUP("Category|"&amp;P250,'Score settings'!$A$14:$C$43,3,FALSE)/'Score settings'!$B$5*'Score settings'!$D$5</x:f>
        <x:v>0</x:v>
      </x:c>
      <x:c r="AD250" s="41" t="n">
        <x:f>VLOOKUP("Area|"&amp;Q250,'Score settings'!$A$14:$C$43,3,FALSE)/'Score settings'!$B$6*'Score settings'!$D$6</x:f>
        <x:v>0</x:v>
      </x:c>
      <x:c r="AE250" s="41" t="n">
        <x:f>VLOOKUP("Benefits|"&amp;IF(AND(ISNUMBER(K250),K250&gt;0,ISNUMBER(G250),G250&gt;0),IF(K250/G250&gt;='Score settings'!$E$17,"3plus",IF(K250/G250&gt;='Score settings'!$E$16,"1.5to3",IF(K250/G250&gt;='Score settings'!$E$15,"0.5to1.5","positive"))),"None"),'Score settings'!$A$14:$C$43,3,FALSE)/'Score settings'!$B$7*'Score settings'!$D$7</x:f>
        <x:v>0</x:v>
      </x:c>
      <x:c r="AF250" s="41" t="n">
        <x:f>VLOOKUP("Waste|"&amp;R250,'Score settings'!$A$14:$C$43,3,FALSE)/'Score settings'!$B$8*'Score settings'!$D$8</x:f>
        <x:v>0</x:v>
      </x:c>
      <x:c r="AG250" s="41" t="n">
        <x:f>(IF(AND(ISNUMBER(M250),M250&gt;0,ISNUMBER(G250),G250&gt;0),IF(M250/G250&gt;='Score settings'!$E$17,'Score settings'!$G$17,IF(M250/G250&gt;='Score settings'!$E$16,'Score settings'!$G$16,IF(M250/G250&gt;='Score settings'!$E$15,'Score settings'!$G$15,'Score settings'!$G$14))),0)/15*'Score settings'!$B$60+IFERROR(VLOOKUP(IF(ISNUMBER(N250),N250,IF(ISNUMBER(L250),L250,0)),'Score settings'!$E$22:$F$26,2,FALSE),0)/10*'Score settings'!$B$61)/'Score settings'!$B$9*'Score settings'!$D$9</x:f>
        <x:v>0</x:v>
      </x:c>
      <x:c r="AH250" s="41" t="str">
        <x:f>IF(B250="","",SUM(AB250:AG250))</x:f>
      </x:c>
      <x:c r="AI250" s="41" t="str">
        <x:f>IF(NOT(ISNUMBER(AH250)),"Not scored",VLOOKUP(AH250,'Score settings'!$A$47:$C$50,3,TRUE))</x:f>
        <x:v>Not scored</x:v>
      </x:c>
      <x:c r="AJ250" s="42" t="str">
        <x:f>IF(OR(NOT(ISNUMBER(AH250)),T250&lt;&gt;"Common pot"),"",COUNTIFS($T$4:$T$509,"Common pot",$AH$4:$AH$509,"&gt;"&amp;AH250)+1)</x:f>
      </x:c>
      <x:c r="AK250" s="36" t="str">
        <x:f>IF(B250="","Name missing - not scored",IF(OR(NOT(ISNUMBER(G250)),G250&lt;=0),"Investment missing or zero - review",IF(0=1,"Permanent ID missing - reconcile",IF(AND(ISNUMBER(H250),H250/G250&gt;='Score settings'!$B$58,NOT(ISNUMBER(I250))),"Benefit units need review",IF(OR(R250="EXIT",R250="CHALLENGE"),"Waste decision requires scope resolution",IF("No exact waste match"&lt;&gt;"Name and organisation matched","Waste evidence match needs review","Provisional source score - confirm evidence"))))))</x:f>
        <x:v>Name missing - not scored</x:v>
      </x:c>
      <x:c r="AL250" s="36"/>
      <x:c r="AM250" s="40"/>
      <x:c r="AN250" s="39"/>
      <x:c r="AO250" s="40"/>
      <x:c r="AP250" s="40"/>
    </x:row>
    <x:row r="251" ht="15" hidden="0" customHeight="1">
      <x:c r="A251" s="36" t="str">
        <x:v>Bu-256</x:v>
      </x:c>
      <x:c r="B251" s="37" t="str">
        <x:v>Horizon (EnLabel) </x:v>
      </x:c>
      <x:c r="C251" s="36" t="str">
        <x:v>BU Led</x:v>
      </x:c>
      <x:c r="D251" s="36" t="str">
        <x:v>Image Guided Therapy - Devices (IGT-D)</x:v>
      </x:c>
      <x:c r="E251" s="38" t="n">
        <x:v>0.235</x:v>
      </x:c>
      <x:c r="F251" s="39"/>
      <x:c r="G251" s="38" t="n">
        <x:f>IF(ISNUMBER(F251),F251,IF(E251="","",E251))</x:f>
        <x:v>0.235</x:v>
      </x:c>
      <x:c r="H251" s="38" t="n">
        <x:v>0.259</x:v>
      </x:c>
      <x:c r="I251" s="39"/>
      <x:c r="J251" s="36" t="str">
        <x:v>Cash savings</x:v>
      </x:c>
      <x:c r="K251" s="38" t="n">
        <x:f>IF(ISNUMBER(I251),I251,IF(OR(NOT(ISNUMBER(H251)),NOT(ISNUMBER(G251)),G251&lt;=0),"",IF(H251/G251&gt;='Score settings'!$B$58,"",IF(J251="Cash savings",H251,IF(J251="Revenue",H251*'Score settings'!$B$55,"")))))</x:f>
        <x:v>0.259</x:v>
      </x:c>
      <x:c r="L251" s="36"/>
      <x:c r="M251" s="39"/>
      <x:c r="N251" s="40"/>
      <x:c r="O251" s="36" t="str">
        <x:v>Must Do</x:v>
      </x:c>
      <x:c r="P251" s="36" t="str">
        <x:v>Upgrades</x:v>
      </x:c>
      <x:c r="Q251" s="36" t="str">
        <x:v>Productivity</x:v>
      </x:c>
      <x:c r="R251" s="36" t="str">
        <x:v>HEALTHY</x:v>
      </x:c>
      <x:c r="S251" s="36" t="str"/>
      <x:c r="T251" s="36" t="str">
        <x:v>Common pot</x:v>
      </x:c>
      <x:c r="U251" s="41" t="n">
        <x:f>VLOOKUP("Priority|"&amp;O251,'Score settings'!$A$14:$C$43,2,FALSE)/'Score settings'!$B$4*'Score settings'!$C$4</x:f>
        <x:v>25</x:v>
      </x:c>
      <x:c r="V251" s="41" t="n">
        <x:f>VLOOKUP("Category|"&amp;P251,'Score settings'!$A$14:$C$43,2,FALSE)/'Score settings'!$B$5*'Score settings'!$C$5</x:f>
        <x:v>10</x:v>
      </x:c>
      <x:c r="W251" s="41" t="n">
        <x:f>VLOOKUP("Area|"&amp;Q251,'Score settings'!$A$14:$C$43,2,FALSE)/'Score settings'!$B$6*'Score settings'!$C$6</x:f>
        <x:v>10</x:v>
      </x:c>
      <x:c r="X251" s="41" t="n">
        <x:f>VLOOKUP("Benefits|"&amp;IF(AND(ISNUMBER(H251),H251&gt;0,ISNUMBER(G251),G251&gt;0),IF(H251/G251&gt;='Score settings'!$E$17,"3plus",IF(H251/G251&gt;='Score settings'!$E$16,"1.5to3",IF(H251/G251&gt;='Score settings'!$E$15,"0.5to1.5","positive"))),"None"),'Score settings'!$A$14:$C$43,2,FALSE)/'Score settings'!$B$7*'Score settings'!$C$7</x:f>
        <x:v>15</x:v>
      </x:c>
      <x:c r="Y251" s="41" t="n">
        <x:f>VLOOKUP("Waste|"&amp;R251,'Score settings'!$A$14:$C$43,2,FALSE)/'Score settings'!$B$8*'Score settings'!$C$8</x:f>
        <x:v>15</x:v>
      </x:c>
      <x:c r="Z251" s="41" t="n">
        <x:f>IF(B251="","",SUM(U251:Y251))</x:f>
        <x:v>75</x:v>
      </x:c>
      <x:c r="AA251" s="41" t="str">
        <x:f>IF(Z251="","Not scored",VLOOKUP(Z251,'Score settings'!$A$47:$C$50,2,TRUE))</x:f>
        <x:v>Protected</x:v>
      </x:c>
      <x:c r="AB251" s="41" t="n">
        <x:f>VLOOKUP("Priority|"&amp;O251,'Score settings'!$A$14:$C$43,3,FALSE)/'Score settings'!$B$4*'Score settings'!$D$4</x:f>
        <x:v>15</x:v>
      </x:c>
      <x:c r="AC251" s="41" t="n">
        <x:f>VLOOKUP("Category|"&amp;P251,'Score settings'!$A$14:$C$43,3,FALSE)/'Score settings'!$B$5*'Score settings'!$D$5</x:f>
        <x:v>5</x:v>
      </x:c>
      <x:c r="AD251" s="41" t="n">
        <x:f>VLOOKUP("Area|"&amp;Q251,'Score settings'!$A$14:$C$43,3,FALSE)/'Score settings'!$B$6*'Score settings'!$D$6</x:f>
        <x:v>6.666666666666666</x:v>
      </x:c>
      <x:c r="AE251" s="41" t="n">
        <x:f>VLOOKUP("Benefits|"&amp;IF(AND(ISNUMBER(K251),K251&gt;0,ISNUMBER(G251),G251&gt;0),IF(K251/G251&gt;='Score settings'!$E$17,"3plus",IF(K251/G251&gt;='Score settings'!$E$16,"1.5to3",IF(K251/G251&gt;='Score settings'!$E$15,"0.5to1.5","positive"))),"None"),'Score settings'!$A$14:$C$43,3,FALSE)/'Score settings'!$B$7*'Score settings'!$D$7</x:f>
        <x:v>18</x:v>
      </x:c>
      <x:c r="AF251" s="41" t="n">
        <x:f>VLOOKUP("Waste|"&amp;R251,'Score settings'!$A$14:$C$43,3,FALSE)/'Score settings'!$B$8*'Score settings'!$D$8</x:f>
        <x:v>10</x:v>
      </x:c>
      <x:c r="AG251" s="41" t="n">
        <x:f>(IF(AND(ISNUMBER(M251),M251&gt;0,ISNUMBER(G251),G251&gt;0),IF(M251/G251&gt;='Score settings'!$E$17,'Score settings'!$G$17,IF(M251/G251&gt;='Score settings'!$E$16,'Score settings'!$G$16,IF(M251/G251&gt;='Score settings'!$E$15,'Score settings'!$G$15,'Score settings'!$G$14))),0)/15*'Score settings'!$B$60+IFERROR(VLOOKUP(IF(ISNUMBER(N251),N251,IF(ISNUMBER(L251),L251,0)),'Score settings'!$E$22:$F$26,2,FALSE),0)/10*'Score settings'!$B$61)/'Score settings'!$B$9*'Score settings'!$D$9</x:f>
        <x:v>0</x:v>
      </x:c>
      <x:c r="AH251" s="41" t="n">
        <x:f>IF(B251="","",SUM(AB251:AG251))</x:f>
        <x:v>54.666666666666664</x:v>
      </x:c>
      <x:c r="AI251" s="41" t="str">
        <x:f>IF(NOT(ISNUMBER(AH251)),"Not scored",VLOOKUP(AH251,'Score settings'!$A$47:$C$50,3,TRUE))</x:f>
        <x:v>Strong</x:v>
      </x:c>
      <x:c r="AJ251" s="42" t="n">
        <x:f>IF(OR(NOT(ISNUMBER(AH251)),T251&lt;&gt;"Common pot"),"",COUNTIFS($T$4:$T$509,"Common pot",$AH$4:$AH$509,"&gt;"&amp;AH251)+1)</x:f>
        <x:v>36</x:v>
      </x:c>
      <x:c r="AK251" s="36" t="str">
        <x:f>IF(B251="","Name missing - not scored",IF(OR(NOT(ISNUMBER(G251)),G251&lt;=0),"Investment missing or zero - review",IF(0=1,"Permanent ID missing - reconcile",IF(AND(ISNUMBER(H251),H251/G251&gt;='Score settings'!$B$58,NOT(ISNUMBER(I251))),"Benefit units need review",IF(OR(R251="EXIT",R251="CHALLENGE"),"Waste decision requires scope resolution",IF("Name and organisation matched"&lt;&gt;"Name and organisation matched","Waste evidence match needs review","Provisional source score - confirm evidence"))))))</x:f>
        <x:v>Provisional source score - confirm evidence</x:v>
      </x:c>
      <x:c r="AL251" s="36"/>
      <x:c r="AM251" s="40"/>
      <x:c r="AN251" s="39"/>
      <x:c r="AO251" s="40"/>
      <x:c r="AP251" s="40"/>
    </x:row>
    <x:row r="252" ht="15" hidden="0" customHeight="1">
      <x:c r="A252" s="36" t="str">
        <x:v>Bu-257</x:v>
      </x:c>
      <x:c r="B252" s="37" t="str">
        <x:v>Windchill – Change &amp; Sustain</x:v>
      </x:c>
      <x:c r="C252" s="36" t="str">
        <x:v>BU Led</x:v>
      </x:c>
      <x:c r="D252" s="36" t="str">
        <x:v>Image Guided Therapy - Devices (IGT-D)</x:v>
      </x:c>
      <x:c r="E252" s="38" t="n">
        <x:v>0.165</x:v>
      </x:c>
      <x:c r="F252" s="39"/>
      <x:c r="G252" s="38" t="n">
        <x:f>IF(ISNUMBER(F252),F252,IF(E252="","",E252))</x:f>
        <x:v>0.165</x:v>
      </x:c>
      <x:c r="H252" s="38" t="n">
        <x:v>0.317</x:v>
      </x:c>
      <x:c r="I252" s="39"/>
      <x:c r="J252" s="36" t="str">
        <x:v>Cash savings</x:v>
      </x:c>
      <x:c r="K252" s="38" t="n">
        <x:f>IF(ISNUMBER(I252),I252,IF(OR(NOT(ISNUMBER(H252)),NOT(ISNUMBER(G252)),G252&lt;=0),"",IF(H252/G252&gt;='Score settings'!$B$58,"",IF(J252="Cash savings",H252,IF(J252="Revenue",H252*'Score settings'!$B$55,"")))))</x:f>
        <x:v>0.317</x:v>
      </x:c>
      <x:c r="L252" s="36"/>
      <x:c r="M252" s="39"/>
      <x:c r="N252" s="40"/>
      <x:c r="O252" s="36" t="str">
        <x:v>Must Do</x:v>
      </x:c>
      <x:c r="P252" s="36" t="str">
        <x:v>Upgrades</x:v>
      </x:c>
      <x:c r="Q252" s="36" t="str">
        <x:v>ProcSimp</x:v>
      </x:c>
      <x:c r="R252" s="36" t="str">
        <x:v>NotAssessed</x:v>
      </x:c>
      <x:c r="S252" s="36" t="str"/>
      <x:c r="T252" s="36" t="str">
        <x:v>Common pot</x:v>
      </x:c>
      <x:c r="U252" s="41" t="n">
        <x:f>VLOOKUP("Priority|"&amp;O252,'Score settings'!$A$14:$C$43,2,FALSE)/'Score settings'!$B$4*'Score settings'!$C$4</x:f>
        <x:v>25</x:v>
      </x:c>
      <x:c r="V252" s="41" t="n">
        <x:f>VLOOKUP("Category|"&amp;P252,'Score settings'!$A$14:$C$43,2,FALSE)/'Score settings'!$B$5*'Score settings'!$C$5</x:f>
        <x:v>10</x:v>
      </x:c>
      <x:c r="W252" s="41" t="n">
        <x:f>VLOOKUP("Area|"&amp;Q252,'Score settings'!$A$14:$C$43,2,FALSE)/'Score settings'!$B$6*'Score settings'!$C$6</x:f>
        <x:v>12</x:v>
      </x:c>
      <x:c r="X252" s="41" t="n">
        <x:f>VLOOKUP("Benefits|"&amp;IF(AND(ISNUMBER(H252),H252&gt;0,ISNUMBER(G252),G252&gt;0),IF(H252/G252&gt;='Score settings'!$E$17,"3plus",IF(H252/G252&gt;='Score settings'!$E$16,"1.5to3",IF(H252/G252&gt;='Score settings'!$E$15,"0.5to1.5","positive"))),"None"),'Score settings'!$A$14:$C$43,2,FALSE)/'Score settings'!$B$7*'Score settings'!$C$7</x:f>
        <x:v>20</x:v>
      </x:c>
      <x:c r="Y252" s="41" t="n">
        <x:f>VLOOKUP("Waste|"&amp;R252,'Score settings'!$A$14:$C$43,2,FALSE)/'Score settings'!$B$8*'Score settings'!$C$8</x:f>
        <x:v>7</x:v>
      </x:c>
      <x:c r="Z252" s="41" t="n">
        <x:f>IF(B252="","",SUM(U252:Y252))</x:f>
        <x:v>74</x:v>
      </x:c>
      <x:c r="AA252" s="41" t="str">
        <x:f>IF(Z252="","Not scored",VLOOKUP(Z252,'Score settings'!$A$47:$C$50,2,TRUE))</x:f>
        <x:v>Protected</x:v>
      </x:c>
      <x:c r="AB252" s="41" t="n">
        <x:f>VLOOKUP("Priority|"&amp;O252,'Score settings'!$A$14:$C$43,3,FALSE)/'Score settings'!$B$4*'Score settings'!$D$4</x:f>
        <x:v>15</x:v>
      </x:c>
      <x:c r="AC252" s="41" t="n">
        <x:f>VLOOKUP("Category|"&amp;P252,'Score settings'!$A$14:$C$43,3,FALSE)/'Score settings'!$B$5*'Score settings'!$D$5</x:f>
        <x:v>5</x:v>
      </x:c>
      <x:c r="AD252" s="41" t="n">
        <x:f>VLOOKUP("Area|"&amp;Q252,'Score settings'!$A$14:$C$43,3,FALSE)/'Score settings'!$B$6*'Score settings'!$D$6</x:f>
        <x:v>8</x:v>
      </x:c>
      <x:c r="AE252" s="41" t="n">
        <x:f>VLOOKUP("Benefits|"&amp;IF(AND(ISNUMBER(K252),K252&gt;0,ISNUMBER(G252),G252&gt;0),IF(K252/G252&gt;='Score settings'!$E$17,"3plus",IF(K252/G252&gt;='Score settings'!$E$16,"1.5to3",IF(K252/G252&gt;='Score settings'!$E$15,"0.5to1.5","positive"))),"None"),'Score settings'!$A$14:$C$43,3,FALSE)/'Score settings'!$B$7*'Score settings'!$D$7</x:f>
        <x:v>24</x:v>
      </x:c>
      <x:c r="AF252" s="41" t="n">
        <x:f>VLOOKUP("Waste|"&amp;R252,'Score settings'!$A$14:$C$43,3,FALSE)/'Score settings'!$B$8*'Score settings'!$D$8</x:f>
        <x:v>0</x:v>
      </x:c>
      <x:c r="AG252" s="41" t="n">
        <x:f>(IF(AND(ISNUMBER(M252),M252&gt;0,ISNUMBER(G252),G252&gt;0),IF(M252/G252&gt;='Score settings'!$E$17,'Score settings'!$G$17,IF(M252/G252&gt;='Score settings'!$E$16,'Score settings'!$G$16,IF(M252/G252&gt;='Score settings'!$E$15,'Score settings'!$G$15,'Score settings'!$G$14))),0)/15*'Score settings'!$B$60+IFERROR(VLOOKUP(IF(ISNUMBER(N252),N252,IF(ISNUMBER(L252),L252,0)),'Score settings'!$E$22:$F$26,2,FALSE),0)/10*'Score settings'!$B$61)/'Score settings'!$B$9*'Score settings'!$D$9</x:f>
        <x:v>0</x:v>
      </x:c>
      <x:c r="AH252" s="41" t="n">
        <x:f>IF(B252="","",SUM(AB252:AG252))</x:f>
        <x:v>52</x:v>
      </x:c>
      <x:c r="AI252" s="41" t="str">
        <x:f>IF(NOT(ISNUMBER(AH252)),"Not scored",VLOOKUP(AH252,'Score settings'!$A$47:$C$50,3,TRUE))</x:f>
        <x:v>Strong</x:v>
      </x:c>
      <x:c r="AJ252" s="42" t="n">
        <x:f>IF(OR(NOT(ISNUMBER(AH252)),T252&lt;&gt;"Common pot"),"",COUNTIFS($T$4:$T$509,"Common pot",$AH$4:$AH$509,"&gt;"&amp;AH252)+1)</x:f>
        <x:v>43</x:v>
      </x:c>
      <x:c r="AK252" s="36" t="str">
        <x:f>IF(B252="","Name missing - not scored",IF(OR(NOT(ISNUMBER(G252)),G252&lt;=0),"Investment missing or zero - review",IF(0=1,"Permanent ID missing - reconcile",IF(AND(ISNUMBER(H252),H252/G252&gt;='Score settings'!$B$58,NOT(ISNUMBER(I252))),"Benefit units need review",IF(OR(R252="EXIT",R252="CHALLENGE"),"Waste decision requires scope resolution",IF("Name and organisation matched"&lt;&gt;"Name and organisation matched","Waste evidence match needs review","Provisional source score - confirm evidence"))))))</x:f>
        <x:v>Provisional source score - confirm evidence</x:v>
      </x:c>
      <x:c r="AL252" s="36"/>
      <x:c r="AM252" s="40"/>
      <x:c r="AN252" s="39"/>
      <x:c r="AO252" s="40"/>
      <x:c r="AP252" s="40"/>
    </x:row>
    <x:row r="253" ht="15" hidden="0" customHeight="1">
      <x:c r="A253" s="36" t="str">
        <x:v>Bu-258</x:v>
      </x:c>
      <x:c r="B253" s="37" t="str"/>
      <x:c r="C253" s="36" t="str">
        <x:v>BU Led</x:v>
      </x:c>
      <x:c r="D253" s="36" t="str"/>
      <x:c r="E253" s="38"/>
      <x:c r="F253" s="39"/>
      <x:c r="G253" s="38" t="str">
        <x:f>IF(ISNUMBER(F253),F253,IF(E253="","",E253))</x:f>
      </x:c>
      <x:c r="H253" s="38"/>
      <x:c r="I253" s="39"/>
      <x:c r="J253" s="36" t="str">
        <x:v>Unclassified</x:v>
      </x:c>
      <x:c r="K253" s="38" t="str">
        <x:f>IF(ISNUMBER(I253),I253,IF(OR(NOT(ISNUMBER(H253)),NOT(ISNUMBER(G253)),G253&lt;=0),"",IF(H253/G253&gt;='Score settings'!$B$58,"",IF(J253="Cash savings",H253,IF(J253="Revenue",H253*'Score settings'!$B$55,"")))))</x:f>
      </x:c>
      <x:c r="L253" s="36"/>
      <x:c r="M253" s="39"/>
      <x:c r="N253" s="40"/>
      <x:c r="O253" s="36" t="str">
        <x:v>Blank</x:v>
      </x:c>
      <x:c r="P253" s="36" t="str">
        <x:v>Blank</x:v>
      </x:c>
      <x:c r="Q253" s="36" t="str">
        <x:v>Blank</x:v>
      </x:c>
      <x:c r="R253" s="36" t="str">
        <x:v>NotAssessed</x:v>
      </x:c>
      <x:c r="S253" s="36" t="str"/>
      <x:c r="T253" s="36" t="str">
        <x:v>Incomplete record</x:v>
      </x:c>
      <x:c r="U253" s="41" t="n">
        <x:f>VLOOKUP("Priority|"&amp;O253,'Score settings'!$A$14:$C$43,2,FALSE)/'Score settings'!$B$4*'Score settings'!$C$4</x:f>
        <x:v>10</x:v>
      </x:c>
      <x:c r="V253" s="41" t="n">
        <x:f>VLOOKUP("Category|"&amp;P253,'Score settings'!$A$14:$C$43,2,FALSE)/'Score settings'!$B$5*'Score settings'!$C$5</x:f>
        <x:v>4</x:v>
      </x:c>
      <x:c r="W253" s="41" t="n">
        <x:f>VLOOKUP("Area|"&amp;Q253,'Score settings'!$A$14:$C$43,2,FALSE)/'Score settings'!$B$6*'Score settings'!$C$6</x:f>
        <x:v>3</x:v>
      </x:c>
      <x:c r="X253" s="41" t="n">
        <x:f>VLOOKUP("Benefits|"&amp;IF(AND(ISNUMBER(H253),H253&gt;0,ISNUMBER(G253),G253&gt;0),IF(H253/G253&gt;='Score settings'!$E$17,"3plus",IF(H253/G253&gt;='Score settings'!$E$16,"1.5to3",IF(H253/G253&gt;='Score settings'!$E$15,"0.5to1.5","positive"))),"None"),'Score settings'!$A$14:$C$43,2,FALSE)/'Score settings'!$B$7*'Score settings'!$C$7</x:f>
        <x:v>5</x:v>
      </x:c>
      <x:c r="Y253" s="41" t="n">
        <x:f>VLOOKUP("Waste|"&amp;R253,'Score settings'!$A$14:$C$43,2,FALSE)/'Score settings'!$B$8*'Score settings'!$C$8</x:f>
        <x:v>7</x:v>
      </x:c>
      <x:c r="Z253" s="41" t="str">
        <x:f>IF(B253="","",SUM(U253:Y253))</x:f>
      </x:c>
      <x:c r="AA253" s="41" t="str">
        <x:f>IF(Z253="","Not scored",VLOOKUP(Z253,'Score settings'!$A$47:$C$50,2,TRUE))</x:f>
        <x:v>Not scored</x:v>
      </x:c>
      <x:c r="AB253" s="41" t="n">
        <x:f>VLOOKUP("Priority|"&amp;O253,'Score settings'!$A$14:$C$43,3,FALSE)/'Score settings'!$B$4*'Score settings'!$D$4</x:f>
        <x:v>0</x:v>
      </x:c>
      <x:c r="AC253" s="41" t="n">
        <x:f>VLOOKUP("Category|"&amp;P253,'Score settings'!$A$14:$C$43,3,FALSE)/'Score settings'!$B$5*'Score settings'!$D$5</x:f>
        <x:v>0</x:v>
      </x:c>
      <x:c r="AD253" s="41" t="n">
        <x:f>VLOOKUP("Area|"&amp;Q253,'Score settings'!$A$14:$C$43,3,FALSE)/'Score settings'!$B$6*'Score settings'!$D$6</x:f>
        <x:v>0</x:v>
      </x:c>
      <x:c r="AE253" s="41" t="n">
        <x:f>VLOOKUP("Benefits|"&amp;IF(AND(ISNUMBER(K253),K253&gt;0,ISNUMBER(G253),G253&gt;0),IF(K253/G253&gt;='Score settings'!$E$17,"3plus",IF(K253/G253&gt;='Score settings'!$E$16,"1.5to3",IF(K253/G253&gt;='Score settings'!$E$15,"0.5to1.5","positive"))),"None"),'Score settings'!$A$14:$C$43,3,FALSE)/'Score settings'!$B$7*'Score settings'!$D$7</x:f>
        <x:v>0</x:v>
      </x:c>
      <x:c r="AF253" s="41" t="n">
        <x:f>VLOOKUP("Waste|"&amp;R253,'Score settings'!$A$14:$C$43,3,FALSE)/'Score settings'!$B$8*'Score settings'!$D$8</x:f>
        <x:v>0</x:v>
      </x:c>
      <x:c r="AG253" s="41" t="n">
        <x:f>(IF(AND(ISNUMBER(M253),M253&gt;0,ISNUMBER(G253),G253&gt;0),IF(M253/G253&gt;='Score settings'!$E$17,'Score settings'!$G$17,IF(M253/G253&gt;='Score settings'!$E$16,'Score settings'!$G$16,IF(M253/G253&gt;='Score settings'!$E$15,'Score settings'!$G$15,'Score settings'!$G$14))),0)/15*'Score settings'!$B$60+IFERROR(VLOOKUP(IF(ISNUMBER(N253),N253,IF(ISNUMBER(L253),L253,0)),'Score settings'!$E$22:$F$26,2,FALSE),0)/10*'Score settings'!$B$61)/'Score settings'!$B$9*'Score settings'!$D$9</x:f>
        <x:v>0</x:v>
      </x:c>
      <x:c r="AH253" s="41" t="str">
        <x:f>IF(B253="","",SUM(AB253:AG253))</x:f>
      </x:c>
      <x:c r="AI253" s="41" t="str">
        <x:f>IF(NOT(ISNUMBER(AH253)),"Not scored",VLOOKUP(AH253,'Score settings'!$A$47:$C$50,3,TRUE))</x:f>
        <x:v>Not scored</x:v>
      </x:c>
      <x:c r="AJ253" s="42" t="str">
        <x:f>IF(OR(NOT(ISNUMBER(AH253)),T253&lt;&gt;"Common pot"),"",COUNTIFS($T$4:$T$509,"Common pot",$AH$4:$AH$509,"&gt;"&amp;AH253)+1)</x:f>
      </x:c>
      <x:c r="AK253" s="36" t="str">
        <x:f>IF(B253="","Name missing - not scored",IF(OR(NOT(ISNUMBER(G253)),G253&lt;=0),"Investment missing or zero - review",IF(0=1,"Permanent ID missing - reconcile",IF(AND(ISNUMBER(H253),H253/G253&gt;='Score settings'!$B$58,NOT(ISNUMBER(I253))),"Benefit units need review",IF(OR(R253="EXIT",R253="CHALLENGE"),"Waste decision requires scope resolution",IF("No exact waste match"&lt;&gt;"Name and organisation matched","Waste evidence match needs review","Provisional source score - confirm evidence"))))))</x:f>
        <x:v>Name missing - not scored</x:v>
      </x:c>
      <x:c r="AL253" s="36"/>
      <x:c r="AM253" s="40"/>
      <x:c r="AN253" s="39"/>
      <x:c r="AO253" s="40"/>
      <x:c r="AP253" s="40"/>
    </x:row>
    <x:row r="254" ht="15" hidden="0" customHeight="1">
      <x:c r="A254" s="36" t="str">
        <x:v>Bu-259</x:v>
      </x:c>
      <x:c r="B254" s="37" t="str">
        <x:v>12NC Configuration Management Project</x:v>
      </x:c>
      <x:c r="C254" s="36" t="str">
        <x:v>BU Led</x:v>
      </x:c>
      <x:c r="D254" s="36" t="str">
        <x:v>Image Guided Therapy - Devices (IGT-D)</x:v>
      </x:c>
      <x:c r="E254" s="38" t="n">
        <x:v>0.5</x:v>
      </x:c>
      <x:c r="F254" s="39"/>
      <x:c r="G254" s="38" t="n">
        <x:f>IF(ISNUMBER(F254),F254,IF(E254="","",E254))</x:f>
        <x:v>0.5</x:v>
      </x:c>
      <x:c r="H254" s="38" t="n">
        <x:v>0.004</x:v>
      </x:c>
      <x:c r="I254" s="39"/>
      <x:c r="J254" s="36" t="str">
        <x:v>Cash savings</x:v>
      </x:c>
      <x:c r="K254" s="38" t="n">
        <x:f>IF(ISNUMBER(I254),I254,IF(OR(NOT(ISNUMBER(H254)),NOT(ISNUMBER(G254)),G254&lt;=0),"",IF(H254/G254&gt;='Score settings'!$B$58,"",IF(J254="Cash savings",H254,IF(J254="Revenue",H254*'Score settings'!$B$55,"")))))</x:f>
        <x:v>0.004</x:v>
      </x:c>
      <x:c r="L254" s="36"/>
      <x:c r="M254" s="39"/>
      <x:c r="N254" s="40"/>
      <x:c r="O254" s="36" t="str">
        <x:v>Must Do</x:v>
      </x:c>
      <x:c r="P254" s="36" t="str">
        <x:v>NewFeat</x:v>
      </x:c>
      <x:c r="Q254" s="36" t="str">
        <x:v>ProcSimp</x:v>
      </x:c>
      <x:c r="R254" s="36" t="str">
        <x:v>NotAssessed</x:v>
      </x:c>
      <x:c r="S254" s="36" t="str"/>
      <x:c r="T254" s="36" t="str">
        <x:v>Common pot</x:v>
      </x:c>
      <x:c r="U254" s="41" t="n">
        <x:f>VLOOKUP("Priority|"&amp;O254,'Score settings'!$A$14:$C$43,2,FALSE)/'Score settings'!$B$4*'Score settings'!$C$4</x:f>
        <x:v>25</x:v>
      </x:c>
      <x:c r="V254" s="41" t="n">
        <x:f>VLOOKUP("Category|"&amp;P254,'Score settings'!$A$14:$C$43,2,FALSE)/'Score settings'!$B$5*'Score settings'!$C$5</x:f>
        <x:v>6</x:v>
      </x:c>
      <x:c r="W254" s="41" t="n">
        <x:f>VLOOKUP("Area|"&amp;Q254,'Score settings'!$A$14:$C$43,2,FALSE)/'Score settings'!$B$6*'Score settings'!$C$6</x:f>
        <x:v>12</x:v>
      </x:c>
      <x:c r="X254" s="41" t="n">
        <x:f>VLOOKUP("Benefits|"&amp;IF(AND(ISNUMBER(H254),H254&gt;0,ISNUMBER(G254),G254&gt;0),IF(H254/G254&gt;='Score settings'!$E$17,"3plus",IF(H254/G254&gt;='Score settings'!$E$16,"1.5to3",IF(H254/G254&gt;='Score settings'!$E$15,"0.5to1.5","positive"))),"None"),'Score settings'!$A$14:$C$43,2,FALSE)/'Score settings'!$B$7*'Score settings'!$C$7</x:f>
        <x:v>10</x:v>
      </x:c>
      <x:c r="Y254" s="41" t="n">
        <x:f>VLOOKUP("Waste|"&amp;R254,'Score settings'!$A$14:$C$43,2,FALSE)/'Score settings'!$B$8*'Score settings'!$C$8</x:f>
        <x:v>7</x:v>
      </x:c>
      <x:c r="Z254" s="41" t="n">
        <x:f>IF(B254="","",SUM(U254:Y254))</x:f>
        <x:v>60</x:v>
      </x:c>
      <x:c r="AA254" s="41" t="str">
        <x:f>IF(Z254="","Not scored",VLOOKUP(Z254,'Score settings'!$A$47:$C$50,2,TRUE))</x:f>
        <x:v>Strong</x:v>
      </x:c>
      <x:c r="AB254" s="41" t="n">
        <x:f>VLOOKUP("Priority|"&amp;O254,'Score settings'!$A$14:$C$43,3,FALSE)/'Score settings'!$B$4*'Score settings'!$D$4</x:f>
        <x:v>15</x:v>
      </x:c>
      <x:c r="AC254" s="41" t="n">
        <x:f>VLOOKUP("Category|"&amp;P254,'Score settings'!$A$14:$C$43,3,FALSE)/'Score settings'!$B$5*'Score settings'!$D$5</x:f>
        <x:v>3</x:v>
      </x:c>
      <x:c r="AD254" s="41" t="n">
        <x:f>VLOOKUP("Area|"&amp;Q254,'Score settings'!$A$14:$C$43,3,FALSE)/'Score settings'!$B$6*'Score settings'!$D$6</x:f>
        <x:v>8</x:v>
      </x:c>
      <x:c r="AE254" s="41" t="n">
        <x:f>VLOOKUP("Benefits|"&amp;IF(AND(ISNUMBER(K254),K254&gt;0,ISNUMBER(G254),G254&gt;0),IF(K254/G254&gt;='Score settings'!$E$17,"3plus",IF(K254/G254&gt;='Score settings'!$E$16,"1.5to3",IF(K254/G254&gt;='Score settings'!$E$15,"0.5to1.5","positive"))),"None"),'Score settings'!$A$14:$C$43,3,FALSE)/'Score settings'!$B$7*'Score settings'!$D$7</x:f>
        <x:v>12</x:v>
      </x:c>
      <x:c r="AF254" s="41" t="n">
        <x:f>VLOOKUP("Waste|"&amp;R254,'Score settings'!$A$14:$C$43,3,FALSE)/'Score settings'!$B$8*'Score settings'!$D$8</x:f>
        <x:v>0</x:v>
      </x:c>
      <x:c r="AG254" s="41" t="n">
        <x:f>(IF(AND(ISNUMBER(M254),M254&gt;0,ISNUMBER(G254),G254&gt;0),IF(M254/G254&gt;='Score settings'!$E$17,'Score settings'!$G$17,IF(M254/G254&gt;='Score settings'!$E$16,'Score settings'!$G$16,IF(M254/G254&gt;='Score settings'!$E$15,'Score settings'!$G$15,'Score settings'!$G$14))),0)/15*'Score settings'!$B$60+IFERROR(VLOOKUP(IF(ISNUMBER(N254),N254,IF(ISNUMBER(L254),L254,0)),'Score settings'!$E$22:$F$26,2,FALSE),0)/10*'Score settings'!$B$61)/'Score settings'!$B$9*'Score settings'!$D$9</x:f>
        <x:v>0</x:v>
      </x:c>
      <x:c r="AH254" s="41" t="n">
        <x:f>IF(B254="","",SUM(AB254:AG254))</x:f>
        <x:v>38</x:v>
      </x:c>
      <x:c r="AI254" s="41" t="str">
        <x:f>IF(NOT(ISNUMBER(AH254)),"Not scored",VLOOKUP(AH254,'Score settings'!$A$47:$C$50,3,TRUE))</x:f>
        <x:v>Discretionary</x:v>
      </x:c>
      <x:c r="AJ254" s="42" t="n">
        <x:f>IF(OR(NOT(ISNUMBER(AH254)),T254&lt;&gt;"Common pot"),"",COUNTIFS($T$4:$T$509,"Common pot",$AH$4:$AH$509,"&gt;"&amp;AH254)+1)</x:f>
        <x:v>115</x:v>
      </x:c>
      <x:c r="AK254" s="36" t="str">
        <x:f>IF(B254="","Name missing - not scored",IF(OR(NOT(ISNUMBER(G254)),G254&lt;=0),"Investment missing or zero - review",IF(0=1,"Permanent ID missing - reconcile",IF(AND(ISNUMBER(H254),H254/G254&gt;='Score settings'!$B$58,NOT(ISNUMBER(I254))),"Benefit units need review",IF(OR(R254="EXIT",R254="CHALLENGE"),"Waste decision requires scope resolution",IF("Name and organisation matched"&lt;&gt;"Name and organisation matched","Waste evidence match needs review","Provisional source score - confirm evidence"))))))</x:f>
        <x:v>Provisional source score - confirm evidence</x:v>
      </x:c>
      <x:c r="AL254" s="36"/>
      <x:c r="AM254" s="40"/>
      <x:c r="AN254" s="39"/>
      <x:c r="AO254" s="40"/>
      <x:c r="AP254" s="40"/>
    </x:row>
    <x:row r="255" ht="15" hidden="0" customHeight="1">
      <x:c r="A255" s="36" t="str">
        <x:v>Bu-260</x:v>
      </x:c>
      <x:c r="B255" s="37" t="str">
        <x:v>Advanced Planning Solution</x:v>
      </x:c>
      <x:c r="C255" s="36" t="str">
        <x:v>BU Led</x:v>
      </x:c>
      <x:c r="D255" s="36" t="str">
        <x:v>Image Guided Therapy - Devices (IGT-D)</x:v>
      </x:c>
      <x:c r="E255" s="38" t="n">
        <x:v>1.8</x:v>
      </x:c>
      <x:c r="F255" s="39"/>
      <x:c r="G255" s="38" t="n">
        <x:f>IF(ISNUMBER(F255),F255,IF(E255="","",E255))</x:f>
        <x:v>1.8</x:v>
      </x:c>
      <x:c r="H255" s="38" t="n">
        <x:v>0.011124</x:v>
      </x:c>
      <x:c r="I255" s="39"/>
      <x:c r="J255" s="36" t="str">
        <x:v>Revenue</x:v>
      </x:c>
      <x:c r="K255" s="38" t="n">
        <x:f>IF(ISNUMBER(I255),I255,IF(OR(NOT(ISNUMBER(H255)),NOT(ISNUMBER(G255)),G255&lt;=0),"",IF(H255/G255&gt;='Score settings'!$B$58,"",IF(J255="Cash savings",H255,IF(J255="Revenue",H255*'Score settings'!$B$55,"")))))</x:f>
        <x:v>0.0016686</x:v>
      </x:c>
      <x:c r="L255" s="36"/>
      <x:c r="M255" s="39"/>
      <x:c r="N255" s="40"/>
      <x:c r="O255" s="36" t="str">
        <x:v>Must Do</x:v>
      </x:c>
      <x:c r="P255" s="36" t="str">
        <x:v>NewTech</x:v>
      </x:c>
      <x:c r="Q255" s="36" t="str">
        <x:v>Revenue</x:v>
      </x:c>
      <x:c r="R255" s="36" t="str">
        <x:v>NotAssessed</x:v>
      </x:c>
      <x:c r="S255" s="36" t="str"/>
      <x:c r="T255" s="36" t="str">
        <x:v>Common pot</x:v>
      </x:c>
      <x:c r="U255" s="41" t="n">
        <x:f>VLOOKUP("Priority|"&amp;O255,'Score settings'!$A$14:$C$43,2,FALSE)/'Score settings'!$B$4*'Score settings'!$C$4</x:f>
        <x:v>25</x:v>
      </x:c>
      <x:c r="V255" s="41" t="n">
        <x:f>VLOOKUP("Category|"&amp;P255,'Score settings'!$A$14:$C$43,2,FALSE)/'Score settings'!$B$5*'Score settings'!$C$5</x:f>
        <x:v>5</x:v>
      </x:c>
      <x:c r="W255" s="41" t="n">
        <x:f>VLOOKUP("Area|"&amp;Q255,'Score settings'!$A$14:$C$43,2,FALSE)/'Score settings'!$B$6*'Score settings'!$C$6</x:f>
        <x:v>11</x:v>
      </x:c>
      <x:c r="X255" s="41" t="n">
        <x:f>VLOOKUP("Benefits|"&amp;IF(AND(ISNUMBER(H255),H255&gt;0,ISNUMBER(G255),G255&gt;0),IF(H255/G255&gt;='Score settings'!$E$17,"3plus",IF(H255/G255&gt;='Score settings'!$E$16,"1.5to3",IF(H255/G255&gt;='Score settings'!$E$15,"0.5to1.5","positive"))),"None"),'Score settings'!$A$14:$C$43,2,FALSE)/'Score settings'!$B$7*'Score settings'!$C$7</x:f>
        <x:v>10</x:v>
      </x:c>
      <x:c r="Y255" s="41" t="n">
        <x:f>VLOOKUP("Waste|"&amp;R255,'Score settings'!$A$14:$C$43,2,FALSE)/'Score settings'!$B$8*'Score settings'!$C$8</x:f>
        <x:v>7</x:v>
      </x:c>
      <x:c r="Z255" s="41" t="n">
        <x:f>IF(B255="","",SUM(U255:Y255))</x:f>
        <x:v>58</x:v>
      </x:c>
      <x:c r="AA255" s="41" t="str">
        <x:f>IF(Z255="","Not scored",VLOOKUP(Z255,'Score settings'!$A$47:$C$50,2,TRUE))</x:f>
        <x:v>Strong</x:v>
      </x:c>
      <x:c r="AB255" s="41" t="n">
        <x:f>VLOOKUP("Priority|"&amp;O255,'Score settings'!$A$14:$C$43,3,FALSE)/'Score settings'!$B$4*'Score settings'!$D$4</x:f>
        <x:v>15</x:v>
      </x:c>
      <x:c r="AC255" s="41" t="n">
        <x:f>VLOOKUP("Category|"&amp;P255,'Score settings'!$A$14:$C$43,3,FALSE)/'Score settings'!$B$5*'Score settings'!$D$5</x:f>
        <x:v>2.5</x:v>
      </x:c>
      <x:c r="AD255" s="41" t="n">
        <x:f>VLOOKUP("Area|"&amp;Q255,'Score settings'!$A$14:$C$43,3,FALSE)/'Score settings'!$B$6*'Score settings'!$D$6</x:f>
        <x:v>7.333333333333333</x:v>
      </x:c>
      <x:c r="AE255" s="41" t="n">
        <x:f>VLOOKUP("Benefits|"&amp;IF(AND(ISNUMBER(K255),K255&gt;0,ISNUMBER(G255),G255&gt;0),IF(K255/G255&gt;='Score settings'!$E$17,"3plus",IF(K255/G255&gt;='Score settings'!$E$16,"1.5to3",IF(K255/G255&gt;='Score settings'!$E$15,"0.5to1.5","positive"))),"None"),'Score settings'!$A$14:$C$43,3,FALSE)/'Score settings'!$B$7*'Score settings'!$D$7</x:f>
        <x:v>12</x:v>
      </x:c>
      <x:c r="AF255" s="41" t="n">
        <x:f>VLOOKUP("Waste|"&amp;R255,'Score settings'!$A$14:$C$43,3,FALSE)/'Score settings'!$B$8*'Score settings'!$D$8</x:f>
        <x:v>0</x:v>
      </x:c>
      <x:c r="AG255" s="41" t="n">
        <x:f>(IF(AND(ISNUMBER(M255),M255&gt;0,ISNUMBER(G255),G255&gt;0),IF(M255/G255&gt;='Score settings'!$E$17,'Score settings'!$G$17,IF(M255/G255&gt;='Score settings'!$E$16,'Score settings'!$G$16,IF(M255/G255&gt;='Score settings'!$E$15,'Score settings'!$G$15,'Score settings'!$G$14))),0)/15*'Score settings'!$B$60+IFERROR(VLOOKUP(IF(ISNUMBER(N255),N255,IF(ISNUMBER(L255),L255,0)),'Score settings'!$E$22:$F$26,2,FALSE),0)/10*'Score settings'!$B$61)/'Score settings'!$B$9*'Score settings'!$D$9</x:f>
        <x:v>0</x:v>
      </x:c>
      <x:c r="AH255" s="41" t="n">
        <x:f>IF(B255="","",SUM(AB255:AG255))</x:f>
        <x:v>36.83333333333333</x:v>
      </x:c>
      <x:c r="AI255" s="41" t="str">
        <x:f>IF(NOT(ISNUMBER(AH255)),"Not scored",VLOOKUP(AH255,'Score settings'!$A$47:$C$50,3,TRUE))</x:f>
        <x:v>Discretionary</x:v>
      </x:c>
      <x:c r="AJ255" s="42" t="n">
        <x:f>IF(OR(NOT(ISNUMBER(AH255)),T255&lt;&gt;"Common pot"),"",COUNTIFS($T$4:$T$509,"Common pot",$AH$4:$AH$509,"&gt;"&amp;AH255)+1)</x:f>
        <x:v>128</x:v>
      </x:c>
      <x:c r="AK255" s="36" t="str">
        <x:f>IF(B255="","Name missing - not scored",IF(OR(NOT(ISNUMBER(G255)),G255&lt;=0),"Investment missing or zero - review",IF(0=1,"Permanent ID missing - reconcile",IF(AND(ISNUMBER(H255),H255/G255&gt;='Score settings'!$B$58,NOT(ISNUMBER(I255))),"Benefit units need review",IF(OR(R255="EXIT",R255="CHALLENGE"),"Waste decision requires scope resolution",IF("No exact waste match"&lt;&gt;"Name and organisation matched","Waste evidence match needs review","Provisional source score - confirm evidence"))))))</x:f>
        <x:v>Waste evidence match needs review</x:v>
      </x:c>
      <x:c r="AL255" s="36"/>
      <x:c r="AM255" s="40"/>
      <x:c r="AN255" s="39"/>
      <x:c r="AO255" s="40"/>
      <x:c r="AP255" s="40"/>
    </x:row>
    <x:row r="256" ht="15" hidden="0" customHeight="1">
      <x:c r="A256" s="36" t="str">
        <x:v>Bu-261</x:v>
      </x:c>
      <x:c r="B256" s="37" t="str">
        <x:v>WMS for (Factory) Warehouses</x:v>
      </x:c>
      <x:c r="C256" s="36" t="str">
        <x:v>BU Led</x:v>
      </x:c>
      <x:c r="D256" s="36" t="str">
        <x:v>Image Guided Therapy - Devices (IGT-D)</x:v>
      </x:c>
      <x:c r="E256" s="38" t="n">
        <x:v>0.8</x:v>
      </x:c>
      <x:c r="F256" s="39"/>
      <x:c r="G256" s="38" t="n">
        <x:f>IF(ISNUMBER(F256),F256,IF(E256="","",E256))</x:f>
        <x:v>0.8</x:v>
      </x:c>
      <x:c r="H256" s="38" t="n">
        <x:v>0.0022</x:v>
      </x:c>
      <x:c r="I256" s="39"/>
      <x:c r="J256" s="36" t="str">
        <x:v>Cash savings</x:v>
      </x:c>
      <x:c r="K256" s="38" t="n">
        <x:f>IF(ISNUMBER(I256),I256,IF(OR(NOT(ISNUMBER(H256)),NOT(ISNUMBER(G256)),G256&lt;=0),"",IF(H256/G256&gt;='Score settings'!$B$58,"",IF(J256="Cash savings",H256,IF(J256="Revenue",H256*'Score settings'!$B$55,"")))))</x:f>
        <x:v>0.0022</x:v>
      </x:c>
      <x:c r="L256" s="36"/>
      <x:c r="M256" s="39"/>
      <x:c r="N256" s="40"/>
      <x:c r="O256" s="36" t="str">
        <x:v>Must Do</x:v>
      </x:c>
      <x:c r="P256" s="36" t="str">
        <x:v>NewTech</x:v>
      </x:c>
      <x:c r="Q256" s="36" t="str">
        <x:v>ProcSimp</x:v>
      </x:c>
      <x:c r="R256" s="36" t="str">
        <x:v>NotAssessed</x:v>
      </x:c>
      <x:c r="S256" s="36" t="str"/>
      <x:c r="T256" s="36" t="str">
        <x:v>Common pot</x:v>
      </x:c>
      <x:c r="U256" s="41" t="n">
        <x:f>VLOOKUP("Priority|"&amp;O256,'Score settings'!$A$14:$C$43,2,FALSE)/'Score settings'!$B$4*'Score settings'!$C$4</x:f>
        <x:v>25</x:v>
      </x:c>
      <x:c r="V256" s="41" t="n">
        <x:f>VLOOKUP("Category|"&amp;P256,'Score settings'!$A$14:$C$43,2,FALSE)/'Score settings'!$B$5*'Score settings'!$C$5</x:f>
        <x:v>5</x:v>
      </x:c>
      <x:c r="W256" s="41" t="n">
        <x:f>VLOOKUP("Area|"&amp;Q256,'Score settings'!$A$14:$C$43,2,FALSE)/'Score settings'!$B$6*'Score settings'!$C$6</x:f>
        <x:v>12</x:v>
      </x:c>
      <x:c r="X256" s="41" t="n">
        <x:f>VLOOKUP("Benefits|"&amp;IF(AND(ISNUMBER(H256),H256&gt;0,ISNUMBER(G256),G256&gt;0),IF(H256/G256&gt;='Score settings'!$E$17,"3plus",IF(H256/G256&gt;='Score settings'!$E$16,"1.5to3",IF(H256/G256&gt;='Score settings'!$E$15,"0.5to1.5","positive"))),"None"),'Score settings'!$A$14:$C$43,2,FALSE)/'Score settings'!$B$7*'Score settings'!$C$7</x:f>
        <x:v>10</x:v>
      </x:c>
      <x:c r="Y256" s="41" t="n">
        <x:f>VLOOKUP("Waste|"&amp;R256,'Score settings'!$A$14:$C$43,2,FALSE)/'Score settings'!$B$8*'Score settings'!$C$8</x:f>
        <x:v>7</x:v>
      </x:c>
      <x:c r="Z256" s="41" t="n">
        <x:f>IF(B256="","",SUM(U256:Y256))</x:f>
        <x:v>59</x:v>
      </x:c>
      <x:c r="AA256" s="41" t="str">
        <x:f>IF(Z256="","Not scored",VLOOKUP(Z256,'Score settings'!$A$47:$C$50,2,TRUE))</x:f>
        <x:v>Strong</x:v>
      </x:c>
      <x:c r="AB256" s="41" t="n">
        <x:f>VLOOKUP("Priority|"&amp;O256,'Score settings'!$A$14:$C$43,3,FALSE)/'Score settings'!$B$4*'Score settings'!$D$4</x:f>
        <x:v>15</x:v>
      </x:c>
      <x:c r="AC256" s="41" t="n">
        <x:f>VLOOKUP("Category|"&amp;P256,'Score settings'!$A$14:$C$43,3,FALSE)/'Score settings'!$B$5*'Score settings'!$D$5</x:f>
        <x:v>2.5</x:v>
      </x:c>
      <x:c r="AD256" s="41" t="n">
        <x:f>VLOOKUP("Area|"&amp;Q256,'Score settings'!$A$14:$C$43,3,FALSE)/'Score settings'!$B$6*'Score settings'!$D$6</x:f>
        <x:v>8</x:v>
      </x:c>
      <x:c r="AE256" s="41" t="n">
        <x:f>VLOOKUP("Benefits|"&amp;IF(AND(ISNUMBER(K256),K256&gt;0,ISNUMBER(G256),G256&gt;0),IF(K256/G256&gt;='Score settings'!$E$17,"3plus",IF(K256/G256&gt;='Score settings'!$E$16,"1.5to3",IF(K256/G256&gt;='Score settings'!$E$15,"0.5to1.5","positive"))),"None"),'Score settings'!$A$14:$C$43,3,FALSE)/'Score settings'!$B$7*'Score settings'!$D$7</x:f>
        <x:v>12</x:v>
      </x:c>
      <x:c r="AF256" s="41" t="n">
        <x:f>VLOOKUP("Waste|"&amp;R256,'Score settings'!$A$14:$C$43,3,FALSE)/'Score settings'!$B$8*'Score settings'!$D$8</x:f>
        <x:v>0</x:v>
      </x:c>
      <x:c r="AG256" s="41" t="n">
        <x:f>(IF(AND(ISNUMBER(M256),M256&gt;0,ISNUMBER(G256),G256&gt;0),IF(M256/G256&gt;='Score settings'!$E$17,'Score settings'!$G$17,IF(M256/G256&gt;='Score settings'!$E$16,'Score settings'!$G$16,IF(M256/G256&gt;='Score settings'!$E$15,'Score settings'!$G$15,'Score settings'!$G$14))),0)/15*'Score settings'!$B$60+IFERROR(VLOOKUP(IF(ISNUMBER(N256),N256,IF(ISNUMBER(L256),L256,0)),'Score settings'!$E$22:$F$26,2,FALSE),0)/10*'Score settings'!$B$61)/'Score settings'!$B$9*'Score settings'!$D$9</x:f>
        <x:v>0</x:v>
      </x:c>
      <x:c r="AH256" s="41" t="n">
        <x:f>IF(B256="","",SUM(AB256:AG256))</x:f>
        <x:v>37.5</x:v>
      </x:c>
      <x:c r="AI256" s="41" t="str">
        <x:f>IF(NOT(ISNUMBER(AH256)),"Not scored",VLOOKUP(AH256,'Score settings'!$A$47:$C$50,3,TRUE))</x:f>
        <x:v>Discretionary</x:v>
      </x:c>
      <x:c r="AJ256" s="42" t="n">
        <x:f>IF(OR(NOT(ISNUMBER(AH256)),T256&lt;&gt;"Common pot"),"",COUNTIFS($T$4:$T$509,"Common pot",$AH$4:$AH$509,"&gt;"&amp;AH256)+1)</x:f>
        <x:v>116</x:v>
      </x:c>
      <x:c r="AK256" s="36" t="str">
        <x:f>IF(B256="","Name missing - not scored",IF(OR(NOT(ISNUMBER(G256)),G256&lt;=0),"Investment missing or zero - review",IF(0=1,"Permanent ID missing - reconcile",IF(AND(ISNUMBER(H256),H256/G256&gt;='Score settings'!$B$58,NOT(ISNUMBER(I256))),"Benefit units need review",IF(OR(R256="EXIT",R256="CHALLENGE"),"Waste decision requires scope resolution",IF("Name and organisation matched"&lt;&gt;"Name and organisation matched","Waste evidence match needs review","Provisional source score - confirm evidence"))))))</x:f>
        <x:v>Provisional source score - confirm evidence</x:v>
      </x:c>
      <x:c r="AL256" s="36"/>
      <x:c r="AM256" s="40"/>
      <x:c r="AN256" s="39"/>
      <x:c r="AO256" s="40"/>
      <x:c r="AP256" s="40"/>
    </x:row>
    <x:row r="257" ht="15" hidden="0" customHeight="1">
      <x:c r="A257" s="36" t="str">
        <x:v>Bu-262</x:v>
      </x:c>
      <x:c r="B257" s="37" t="str">
        <x:v>Optimize Distribution Network North America</x:v>
      </x:c>
      <x:c r="C257" s="36" t="str">
        <x:v>BU Led</x:v>
      </x:c>
      <x:c r="D257" s="36" t="str">
        <x:v>Image Guided Therapy - Devices (IGT-D)</x:v>
      </x:c>
      <x:c r="E257" s="38" t="n">
        <x:v>0.6</x:v>
      </x:c>
      <x:c r="F257" s="39"/>
      <x:c r="G257" s="38" t="n">
        <x:f>IF(ISNUMBER(F257),F257,IF(E257="","",E257))</x:f>
        <x:v>0.6</x:v>
      </x:c>
      <x:c r="H257" s="38"/>
      <x:c r="I257" s="39"/>
      <x:c r="J257" s="36" t="str">
        <x:v>Cash savings</x:v>
      </x:c>
      <x:c r="K257" s="38" t="str">
        <x:f>IF(ISNUMBER(I257),I257,IF(OR(NOT(ISNUMBER(H257)),NOT(ISNUMBER(G257)),G257&lt;=0),"",IF(H257/G257&gt;='Score settings'!$B$58,"",IF(J257="Cash savings",H257,IF(J257="Revenue",H257*'Score settings'!$B$55,"")))))</x:f>
      </x:c>
      <x:c r="L257" s="36"/>
      <x:c r="M257" s="39"/>
      <x:c r="N257" s="40"/>
      <x:c r="O257" s="36" t="str">
        <x:v>Must Do</x:v>
      </x:c>
      <x:c r="P257" s="36" t="str">
        <x:v>CI</x:v>
      </x:c>
      <x:c r="Q257" s="36" t="str">
        <x:v>Productivity</x:v>
      </x:c>
      <x:c r="R257" s="36" t="str">
        <x:v>NotAssessed</x:v>
      </x:c>
      <x:c r="S257" s="36" t="str"/>
      <x:c r="T257" s="36" t="str">
        <x:v>Common pot</x:v>
      </x:c>
      <x:c r="U257" s="41" t="n">
        <x:f>VLOOKUP("Priority|"&amp;O257,'Score settings'!$A$14:$C$43,2,FALSE)/'Score settings'!$B$4*'Score settings'!$C$4</x:f>
        <x:v>25</x:v>
      </x:c>
      <x:c r="V257" s="41" t="n">
        <x:f>VLOOKUP("Category|"&amp;P257,'Score settings'!$A$14:$C$43,2,FALSE)/'Score settings'!$B$5*'Score settings'!$C$5</x:f>
        <x:v>8</x:v>
      </x:c>
      <x:c r="W257" s="41" t="n">
        <x:f>VLOOKUP("Area|"&amp;Q257,'Score settings'!$A$14:$C$43,2,FALSE)/'Score settings'!$B$6*'Score settings'!$C$6</x:f>
        <x:v>10</x:v>
      </x:c>
      <x:c r="X257" s="41" t="n">
        <x:f>VLOOKUP("Benefits|"&amp;IF(AND(ISNUMBER(H257),H257&gt;0,ISNUMBER(G257),G257&gt;0),IF(H257/G257&gt;='Score settings'!$E$17,"3plus",IF(H257/G257&gt;='Score settings'!$E$16,"1.5to3",IF(H257/G257&gt;='Score settings'!$E$15,"0.5to1.5","positive"))),"None"),'Score settings'!$A$14:$C$43,2,FALSE)/'Score settings'!$B$7*'Score settings'!$C$7</x:f>
        <x:v>5</x:v>
      </x:c>
      <x:c r="Y257" s="41" t="n">
        <x:f>VLOOKUP("Waste|"&amp;R257,'Score settings'!$A$14:$C$43,2,FALSE)/'Score settings'!$B$8*'Score settings'!$C$8</x:f>
        <x:v>7</x:v>
      </x:c>
      <x:c r="Z257" s="41" t="n">
        <x:f>IF(B257="","",SUM(U257:Y257))</x:f>
        <x:v>55</x:v>
      </x:c>
      <x:c r="AA257" s="41" t="str">
        <x:f>IF(Z257="","Not scored",VLOOKUP(Z257,'Score settings'!$A$47:$C$50,2,TRUE))</x:f>
        <x:v>Strong</x:v>
      </x:c>
      <x:c r="AB257" s="41" t="n">
        <x:f>VLOOKUP("Priority|"&amp;O257,'Score settings'!$A$14:$C$43,3,FALSE)/'Score settings'!$B$4*'Score settings'!$D$4</x:f>
        <x:v>15</x:v>
      </x:c>
      <x:c r="AC257" s="41" t="n">
        <x:f>VLOOKUP("Category|"&amp;P257,'Score settings'!$A$14:$C$43,3,FALSE)/'Score settings'!$B$5*'Score settings'!$D$5</x:f>
        <x:v>4</x:v>
      </x:c>
      <x:c r="AD257" s="41" t="n">
        <x:f>VLOOKUP("Area|"&amp;Q257,'Score settings'!$A$14:$C$43,3,FALSE)/'Score settings'!$B$6*'Score settings'!$D$6</x:f>
        <x:v>6.666666666666666</x:v>
      </x:c>
      <x:c r="AE257" s="41" t="n">
        <x:f>VLOOKUP("Benefits|"&amp;IF(AND(ISNUMBER(K257),K257&gt;0,ISNUMBER(G257),G257&gt;0),IF(K257/G257&gt;='Score settings'!$E$17,"3plus",IF(K257/G257&gt;='Score settings'!$E$16,"1.5to3",IF(K257/G257&gt;='Score settings'!$E$15,"0.5to1.5","positive"))),"None"),'Score settings'!$A$14:$C$43,3,FALSE)/'Score settings'!$B$7*'Score settings'!$D$7</x:f>
        <x:v>0</x:v>
      </x:c>
      <x:c r="AF257" s="41" t="n">
        <x:f>VLOOKUP("Waste|"&amp;R257,'Score settings'!$A$14:$C$43,3,FALSE)/'Score settings'!$B$8*'Score settings'!$D$8</x:f>
        <x:v>0</x:v>
      </x:c>
      <x:c r="AG257" s="41" t="n">
        <x:f>(IF(AND(ISNUMBER(M257),M257&gt;0,ISNUMBER(G257),G257&gt;0),IF(M257/G257&gt;='Score settings'!$E$17,'Score settings'!$G$17,IF(M257/G257&gt;='Score settings'!$E$16,'Score settings'!$G$16,IF(M257/G257&gt;='Score settings'!$E$15,'Score settings'!$G$15,'Score settings'!$G$14))),0)/15*'Score settings'!$B$60+IFERROR(VLOOKUP(IF(ISNUMBER(N257),N257,IF(ISNUMBER(L257),L257,0)),'Score settings'!$E$22:$F$26,2,FALSE),0)/10*'Score settings'!$B$61)/'Score settings'!$B$9*'Score settings'!$D$9</x:f>
        <x:v>0</x:v>
      </x:c>
      <x:c r="AH257" s="41" t="n">
        <x:f>IF(B257="","",SUM(AB257:AG257))</x:f>
        <x:v>25.666666666666664</x:v>
      </x:c>
      <x:c r="AI257" s="41" t="str">
        <x:f>IF(NOT(ISNUMBER(AH257)),"Not scored",VLOOKUP(AH257,'Score settings'!$A$47:$C$50,3,TRUE))</x:f>
        <x:v>Discretionary</x:v>
      </x:c>
      <x:c r="AJ257" s="42" t="n">
        <x:f>IF(OR(NOT(ISNUMBER(AH257)),T257&lt;&gt;"Common pot"),"",COUNTIFS($T$4:$T$509,"Common pot",$AH$4:$AH$509,"&gt;"&amp;AH257)+1)</x:f>
        <x:v>247</x:v>
      </x:c>
      <x:c r="AK257" s="36" t="str">
        <x:f>IF(B257="","Name missing - not scored",IF(OR(NOT(ISNUMBER(G257)),G257&lt;=0),"Investment missing or zero - review",IF(0=1,"Permanent ID missing - reconcile",IF(AND(ISNUMBER(H257),H257/G257&gt;='Score settings'!$B$58,NOT(ISNUMBER(I257))),"Benefit units need review",IF(OR(R257="EXIT",R257="CHALLENGE"),"Waste decision requires scope resolution",IF("Name and organisation matched"&lt;&gt;"Name and organisation matched","Waste evidence match needs review","Provisional source score - confirm evidence"))))))</x:f>
        <x:v>Provisional source score - confirm evidence</x:v>
      </x:c>
      <x:c r="AL257" s="36"/>
      <x:c r="AM257" s="40"/>
      <x:c r="AN257" s="39"/>
      <x:c r="AO257" s="40"/>
      <x:c r="AP257" s="40"/>
    </x:row>
    <x:row r="258" ht="15" hidden="0" customHeight="1">
      <x:c r="A258" s="36" t="str">
        <x:v>Bu-263</x:v>
      </x:c>
      <x:c r="B258" s="37" t="str">
        <x:v>Converting incoming inspection from Infinity to SAP/MBP in COS</x:v>
      </x:c>
      <x:c r="C258" s="36" t="str">
        <x:v>BU Led</x:v>
      </x:c>
      <x:c r="D258" s="36" t="str">
        <x:v>Image Guided Therapy - Devices (IGT-D)</x:v>
      </x:c>
      <x:c r="E258" s="38" t="n">
        <x:v>0.165</x:v>
      </x:c>
      <x:c r="F258" s="39"/>
      <x:c r="G258" s="38" t="n">
        <x:f>IF(ISNUMBER(F258),F258,IF(E258="","",E258))</x:f>
        <x:v>0.165</x:v>
      </x:c>
      <x:c r="H258" s="38" t="n">
        <x:v>0.4</x:v>
      </x:c>
      <x:c r="I258" s="39"/>
      <x:c r="J258" s="36" t="str">
        <x:v>Cash savings</x:v>
      </x:c>
      <x:c r="K258" s="38" t="n">
        <x:f>IF(ISNUMBER(I258),I258,IF(OR(NOT(ISNUMBER(H258)),NOT(ISNUMBER(G258)),G258&lt;=0),"",IF(H258/G258&gt;='Score settings'!$B$58,"",IF(J258="Cash savings",H258,IF(J258="Revenue",H258*'Score settings'!$B$55,"")))))</x:f>
        <x:v>0.4</x:v>
      </x:c>
      <x:c r="L258" s="36"/>
      <x:c r="M258" s="39"/>
      <x:c r="N258" s="40"/>
      <x:c r="O258" s="36" t="str">
        <x:v>Must Do</x:v>
      </x:c>
      <x:c r="P258" s="36" t="str">
        <x:v>Decomm</x:v>
      </x:c>
      <x:c r="Q258" s="36" t="str">
        <x:v>ProcSimp</x:v>
      </x:c>
      <x:c r="R258" s="36" t="str">
        <x:v>NotAssessed</x:v>
      </x:c>
      <x:c r="S258" s="36" t="str"/>
      <x:c r="T258" s="36" t="str">
        <x:v>Common pot</x:v>
      </x:c>
      <x:c r="U258" s="41" t="n">
        <x:f>VLOOKUP("Priority|"&amp;O258,'Score settings'!$A$14:$C$43,2,FALSE)/'Score settings'!$B$4*'Score settings'!$C$4</x:f>
        <x:v>25</x:v>
      </x:c>
      <x:c r="V258" s="41" t="n">
        <x:f>VLOOKUP("Category|"&amp;P258,'Score settings'!$A$14:$C$43,2,FALSE)/'Score settings'!$B$5*'Score settings'!$C$5</x:f>
        <x:v>17</x:v>
      </x:c>
      <x:c r="W258" s="41" t="n">
        <x:f>VLOOKUP("Area|"&amp;Q258,'Score settings'!$A$14:$C$43,2,FALSE)/'Score settings'!$B$6*'Score settings'!$C$6</x:f>
        <x:v>12</x:v>
      </x:c>
      <x:c r="X258" s="41" t="n">
        <x:f>VLOOKUP("Benefits|"&amp;IF(AND(ISNUMBER(H258),H258&gt;0,ISNUMBER(G258),G258&gt;0),IF(H258/G258&gt;='Score settings'!$E$17,"3plus",IF(H258/G258&gt;='Score settings'!$E$16,"1.5to3",IF(H258/G258&gt;='Score settings'!$E$15,"0.5to1.5","positive"))),"None"),'Score settings'!$A$14:$C$43,2,FALSE)/'Score settings'!$B$7*'Score settings'!$C$7</x:f>
        <x:v>20</x:v>
      </x:c>
      <x:c r="Y258" s="41" t="n">
        <x:f>VLOOKUP("Waste|"&amp;R258,'Score settings'!$A$14:$C$43,2,FALSE)/'Score settings'!$B$8*'Score settings'!$C$8</x:f>
        <x:v>7</x:v>
      </x:c>
      <x:c r="Z258" s="41" t="n">
        <x:f>IF(B258="","",SUM(U258:Y258))</x:f>
        <x:v>81</x:v>
      </x:c>
      <x:c r="AA258" s="41" t="str">
        <x:f>IF(Z258="","Not scored",VLOOKUP(Z258,'Score settings'!$A$47:$C$50,2,TRUE))</x:f>
        <x:v>Protected</x:v>
      </x:c>
      <x:c r="AB258" s="41" t="n">
        <x:f>VLOOKUP("Priority|"&amp;O258,'Score settings'!$A$14:$C$43,3,FALSE)/'Score settings'!$B$4*'Score settings'!$D$4</x:f>
        <x:v>15</x:v>
      </x:c>
      <x:c r="AC258" s="41" t="n">
        <x:f>VLOOKUP("Category|"&amp;P258,'Score settings'!$A$14:$C$43,3,FALSE)/'Score settings'!$B$5*'Score settings'!$D$5</x:f>
        <x:v>8.5</x:v>
      </x:c>
      <x:c r="AD258" s="41" t="n">
        <x:f>VLOOKUP("Area|"&amp;Q258,'Score settings'!$A$14:$C$43,3,FALSE)/'Score settings'!$B$6*'Score settings'!$D$6</x:f>
        <x:v>8</x:v>
      </x:c>
      <x:c r="AE258" s="41" t="n">
        <x:f>VLOOKUP("Benefits|"&amp;IF(AND(ISNUMBER(K258),K258&gt;0,ISNUMBER(G258),G258&gt;0),IF(K258/G258&gt;='Score settings'!$E$17,"3plus",IF(K258/G258&gt;='Score settings'!$E$16,"1.5to3",IF(K258/G258&gt;='Score settings'!$E$15,"0.5to1.5","positive"))),"None"),'Score settings'!$A$14:$C$43,3,FALSE)/'Score settings'!$B$7*'Score settings'!$D$7</x:f>
        <x:v>24</x:v>
      </x:c>
      <x:c r="AF258" s="41" t="n">
        <x:f>VLOOKUP("Waste|"&amp;R258,'Score settings'!$A$14:$C$43,3,FALSE)/'Score settings'!$B$8*'Score settings'!$D$8</x:f>
        <x:v>0</x:v>
      </x:c>
      <x:c r="AG258" s="41" t="n">
        <x:f>(IF(AND(ISNUMBER(M258),M258&gt;0,ISNUMBER(G258),G258&gt;0),IF(M258/G258&gt;='Score settings'!$E$17,'Score settings'!$G$17,IF(M258/G258&gt;='Score settings'!$E$16,'Score settings'!$G$16,IF(M258/G258&gt;='Score settings'!$E$15,'Score settings'!$G$15,'Score settings'!$G$14))),0)/15*'Score settings'!$B$60+IFERROR(VLOOKUP(IF(ISNUMBER(N258),N258,IF(ISNUMBER(L258),L258,0)),'Score settings'!$E$22:$F$26,2,FALSE),0)/10*'Score settings'!$B$61)/'Score settings'!$B$9*'Score settings'!$D$9</x:f>
        <x:v>0</x:v>
      </x:c>
      <x:c r="AH258" s="41" t="n">
        <x:f>IF(B258="","",SUM(AB258:AG258))</x:f>
        <x:v>55.5</x:v>
      </x:c>
      <x:c r="AI258" s="41" t="str">
        <x:f>IF(NOT(ISNUMBER(AH258)),"Not scored",VLOOKUP(AH258,'Score settings'!$A$47:$C$50,3,TRUE))</x:f>
        <x:v>Strong</x:v>
      </x:c>
      <x:c r="AJ258" s="42" t="n">
        <x:f>IF(OR(NOT(ISNUMBER(AH258)),T258&lt;&gt;"Common pot"),"",COUNTIFS($T$4:$T$509,"Common pot",$AH$4:$AH$509,"&gt;"&amp;AH258)+1)</x:f>
        <x:v>33</x:v>
      </x:c>
      <x:c r="AK258" s="36" t="str">
        <x:f>IF(B258="","Name missing - not scored",IF(OR(NOT(ISNUMBER(G258)),G258&lt;=0),"Investment missing or zero - review",IF(0=1,"Permanent ID missing - reconcile",IF(AND(ISNUMBER(H258),H258/G258&gt;='Score settings'!$B$58,NOT(ISNUMBER(I258))),"Benefit units need review",IF(OR(R258="EXIT",R258="CHALLENGE"),"Waste decision requires scope resolution",IF("Name and organisation matched"&lt;&gt;"Name and organisation matched","Waste evidence match needs review","Provisional source score - confirm evidence"))))))</x:f>
        <x:v>Provisional source score - confirm evidence</x:v>
      </x:c>
      <x:c r="AL258" s="36"/>
      <x:c r="AM258" s="40"/>
      <x:c r="AN258" s="39"/>
      <x:c r="AO258" s="40"/>
      <x:c r="AP258" s="40"/>
    </x:row>
    <x:row r="259" ht="15" hidden="0" customHeight="1">
      <x:c r="A259" s="36" t="str">
        <x:v>Bu-264</x:v>
      </x:c>
      <x:c r="B259" s="37" t="str">
        <x:v>Rotterdam - Codebeamer</x:v>
      </x:c>
      <x:c r="C259" s="36" t="str">
        <x:v>BU Led</x:v>
      </x:c>
      <x:c r="D259" s="36" t="str">
        <x:v>Image Guided Therapy - Devices (IGT-D)</x:v>
      </x:c>
      <x:c r="E259" s="38" t="n">
        <x:v>2.64</x:v>
      </x:c>
      <x:c r="F259" s="39"/>
      <x:c r="G259" s="38" t="n">
        <x:f>IF(ISNUMBER(F259),F259,IF(E259="","",E259))</x:f>
        <x:v>2.64</x:v>
      </x:c>
      <x:c r="H259" s="38" t="n">
        <x:v>20.479</x:v>
      </x:c>
      <x:c r="I259" s="39"/>
      <x:c r="J259" s="36" t="str">
        <x:v>Cash savings</x:v>
      </x:c>
      <x:c r="K259" s="38" t="n">
        <x:f>IF(ISNUMBER(I259),I259,IF(OR(NOT(ISNUMBER(H259)),NOT(ISNUMBER(G259)),G259&lt;=0),"",IF(H259/G259&gt;='Score settings'!$B$58,"",IF(J259="Cash savings",H259,IF(J259="Revenue",H259*'Score settings'!$B$55,"")))))</x:f>
        <x:v>20.479</x:v>
      </x:c>
      <x:c r="L259" s="36"/>
      <x:c r="M259" s="39"/>
      <x:c r="N259" s="40"/>
      <x:c r="O259" s="36" t="str">
        <x:v>Must Do</x:v>
      </x:c>
      <x:c r="P259" s="36" t="str">
        <x:v>NewTech</x:v>
      </x:c>
      <x:c r="Q259" s="36" t="str">
        <x:v>ProcSimp</x:v>
      </x:c>
      <x:c r="R259" s="36" t="str">
        <x:v>NotAssessed</x:v>
      </x:c>
      <x:c r="S259" s="36" t="str"/>
      <x:c r="T259" s="36" t="str">
        <x:v>Common pot</x:v>
      </x:c>
      <x:c r="U259" s="41" t="n">
        <x:f>VLOOKUP("Priority|"&amp;O259,'Score settings'!$A$14:$C$43,2,FALSE)/'Score settings'!$B$4*'Score settings'!$C$4</x:f>
        <x:v>25</x:v>
      </x:c>
      <x:c r="V259" s="41" t="n">
        <x:f>VLOOKUP("Category|"&amp;P259,'Score settings'!$A$14:$C$43,2,FALSE)/'Score settings'!$B$5*'Score settings'!$C$5</x:f>
        <x:v>5</x:v>
      </x:c>
      <x:c r="W259" s="41" t="n">
        <x:f>VLOOKUP("Area|"&amp;Q259,'Score settings'!$A$14:$C$43,2,FALSE)/'Score settings'!$B$6*'Score settings'!$C$6</x:f>
        <x:v>12</x:v>
      </x:c>
      <x:c r="X259" s="41" t="n">
        <x:f>VLOOKUP("Benefits|"&amp;IF(AND(ISNUMBER(H259),H259&gt;0,ISNUMBER(G259),G259&gt;0),IF(H259/G259&gt;='Score settings'!$E$17,"3plus",IF(H259/G259&gt;='Score settings'!$E$16,"1.5to3",IF(H259/G259&gt;='Score settings'!$E$15,"0.5to1.5","positive"))),"None"),'Score settings'!$A$14:$C$43,2,FALSE)/'Score settings'!$B$7*'Score settings'!$C$7</x:f>
        <x:v>25</x:v>
      </x:c>
      <x:c r="Y259" s="41" t="n">
        <x:f>VLOOKUP("Waste|"&amp;R259,'Score settings'!$A$14:$C$43,2,FALSE)/'Score settings'!$B$8*'Score settings'!$C$8</x:f>
        <x:v>7</x:v>
      </x:c>
      <x:c r="Z259" s="41" t="n">
        <x:f>IF(B259="","",SUM(U259:Y259))</x:f>
        <x:v>74</x:v>
      </x:c>
      <x:c r="AA259" s="41" t="str">
        <x:f>IF(Z259="","Not scored",VLOOKUP(Z259,'Score settings'!$A$47:$C$50,2,TRUE))</x:f>
        <x:v>Protected</x:v>
      </x:c>
      <x:c r="AB259" s="41" t="n">
        <x:f>VLOOKUP("Priority|"&amp;O259,'Score settings'!$A$14:$C$43,3,FALSE)/'Score settings'!$B$4*'Score settings'!$D$4</x:f>
        <x:v>15</x:v>
      </x:c>
      <x:c r="AC259" s="41" t="n">
        <x:f>VLOOKUP("Category|"&amp;P259,'Score settings'!$A$14:$C$43,3,FALSE)/'Score settings'!$B$5*'Score settings'!$D$5</x:f>
        <x:v>2.5</x:v>
      </x:c>
      <x:c r="AD259" s="41" t="n">
        <x:f>VLOOKUP("Area|"&amp;Q259,'Score settings'!$A$14:$C$43,3,FALSE)/'Score settings'!$B$6*'Score settings'!$D$6</x:f>
        <x:v>8</x:v>
      </x:c>
      <x:c r="AE259" s="41" t="n">
        <x:f>VLOOKUP("Benefits|"&amp;IF(AND(ISNUMBER(K259),K259&gt;0,ISNUMBER(G259),G259&gt;0),IF(K259/G259&gt;='Score settings'!$E$17,"3plus",IF(K259/G259&gt;='Score settings'!$E$16,"1.5to3",IF(K259/G259&gt;='Score settings'!$E$15,"0.5to1.5","positive"))),"None"),'Score settings'!$A$14:$C$43,3,FALSE)/'Score settings'!$B$7*'Score settings'!$D$7</x:f>
        <x:v>30</x:v>
      </x:c>
      <x:c r="AF259" s="41" t="n">
        <x:f>VLOOKUP("Waste|"&amp;R259,'Score settings'!$A$14:$C$43,3,FALSE)/'Score settings'!$B$8*'Score settings'!$D$8</x:f>
        <x:v>0</x:v>
      </x:c>
      <x:c r="AG259" s="41" t="n">
        <x:f>(IF(AND(ISNUMBER(M259),M259&gt;0,ISNUMBER(G259),G259&gt;0),IF(M259/G259&gt;='Score settings'!$E$17,'Score settings'!$G$17,IF(M259/G259&gt;='Score settings'!$E$16,'Score settings'!$G$16,IF(M259/G259&gt;='Score settings'!$E$15,'Score settings'!$G$15,'Score settings'!$G$14))),0)/15*'Score settings'!$B$60+IFERROR(VLOOKUP(IF(ISNUMBER(N259),N259,IF(ISNUMBER(L259),L259,0)),'Score settings'!$E$22:$F$26,2,FALSE),0)/10*'Score settings'!$B$61)/'Score settings'!$B$9*'Score settings'!$D$9</x:f>
        <x:v>0</x:v>
      </x:c>
      <x:c r="AH259" s="41" t="n">
        <x:f>IF(B259="","",SUM(AB259:AG259))</x:f>
        <x:v>55.5</x:v>
      </x:c>
      <x:c r="AI259" s="41" t="str">
        <x:f>IF(NOT(ISNUMBER(AH259)),"Not scored",VLOOKUP(AH259,'Score settings'!$A$47:$C$50,3,TRUE))</x:f>
        <x:v>Strong</x:v>
      </x:c>
      <x:c r="AJ259" s="42" t="n">
        <x:f>IF(OR(NOT(ISNUMBER(AH259)),T259&lt;&gt;"Common pot"),"",COUNTIFS($T$4:$T$509,"Common pot",$AH$4:$AH$509,"&gt;"&amp;AH259)+1)</x:f>
        <x:v>33</x:v>
      </x:c>
      <x:c r="AK259" s="36" t="str">
        <x:f>IF(B259="","Name missing - not scored",IF(OR(NOT(ISNUMBER(G259)),G259&lt;=0),"Investment missing or zero - review",IF(0=1,"Permanent ID missing - reconcile",IF(AND(ISNUMBER(H259),H259/G259&gt;='Score settings'!$B$58,NOT(ISNUMBER(I259))),"Benefit units need review",IF(OR(R259="EXIT",R259="CHALLENGE"),"Waste decision requires scope resolution",IF("Name and organisation matched"&lt;&gt;"Name and organisation matched","Waste evidence match needs review","Provisional source score - confirm evidence"))))))</x:f>
        <x:v>Provisional source score - confirm evidence</x:v>
      </x:c>
      <x:c r="AL259" s="36"/>
      <x:c r="AM259" s="40"/>
      <x:c r="AN259" s="39"/>
      <x:c r="AO259" s="40"/>
      <x:c r="AP259" s="40"/>
    </x:row>
    <x:row r="260" ht="15" hidden="0" customHeight="1">
      <x:c r="A260" s="36" t="str">
        <x:v>Bu-266</x:v>
      </x:c>
      <x:c r="B260" s="37" t="str"/>
      <x:c r="C260" s="36" t="str">
        <x:v>BU Led</x:v>
      </x:c>
      <x:c r="D260" s="36" t="str"/>
      <x:c r="E260" s="38"/>
      <x:c r="F260" s="39"/>
      <x:c r="G260" s="38" t="str">
        <x:f>IF(ISNUMBER(F260),F260,IF(E260="","",E260))</x:f>
      </x:c>
      <x:c r="H260" s="38"/>
      <x:c r="I260" s="39"/>
      <x:c r="J260" s="36" t="str">
        <x:v>Unclassified</x:v>
      </x:c>
      <x:c r="K260" s="38" t="str">
        <x:f>IF(ISNUMBER(I260),I260,IF(OR(NOT(ISNUMBER(H260)),NOT(ISNUMBER(G260)),G260&lt;=0),"",IF(H260/G260&gt;='Score settings'!$B$58,"",IF(J260="Cash savings",H260,IF(J260="Revenue",H260*'Score settings'!$B$55,"")))))</x:f>
      </x:c>
      <x:c r="L260" s="36"/>
      <x:c r="M260" s="39"/>
      <x:c r="N260" s="40"/>
      <x:c r="O260" s="36" t="str">
        <x:v>Blank</x:v>
      </x:c>
      <x:c r="P260" s="36" t="str">
        <x:v>Blank</x:v>
      </x:c>
      <x:c r="Q260" s="36" t="str">
        <x:v>Blank</x:v>
      </x:c>
      <x:c r="R260" s="36" t="str">
        <x:v>NotAssessed</x:v>
      </x:c>
      <x:c r="S260" s="36" t="str"/>
      <x:c r="T260" s="36" t="str">
        <x:v>Incomplete record</x:v>
      </x:c>
      <x:c r="U260" s="41" t="n">
        <x:f>VLOOKUP("Priority|"&amp;O260,'Score settings'!$A$14:$C$43,2,FALSE)/'Score settings'!$B$4*'Score settings'!$C$4</x:f>
        <x:v>10</x:v>
      </x:c>
      <x:c r="V260" s="41" t="n">
        <x:f>VLOOKUP("Category|"&amp;P260,'Score settings'!$A$14:$C$43,2,FALSE)/'Score settings'!$B$5*'Score settings'!$C$5</x:f>
        <x:v>4</x:v>
      </x:c>
      <x:c r="W260" s="41" t="n">
        <x:f>VLOOKUP("Area|"&amp;Q260,'Score settings'!$A$14:$C$43,2,FALSE)/'Score settings'!$B$6*'Score settings'!$C$6</x:f>
        <x:v>3</x:v>
      </x:c>
      <x:c r="X260" s="41" t="n">
        <x:f>VLOOKUP("Benefits|"&amp;IF(AND(ISNUMBER(H260),H260&gt;0,ISNUMBER(G260),G260&gt;0),IF(H260/G260&gt;='Score settings'!$E$17,"3plus",IF(H260/G260&gt;='Score settings'!$E$16,"1.5to3",IF(H260/G260&gt;='Score settings'!$E$15,"0.5to1.5","positive"))),"None"),'Score settings'!$A$14:$C$43,2,FALSE)/'Score settings'!$B$7*'Score settings'!$C$7</x:f>
        <x:v>5</x:v>
      </x:c>
      <x:c r="Y260" s="41" t="n">
        <x:f>VLOOKUP("Waste|"&amp;R260,'Score settings'!$A$14:$C$43,2,FALSE)/'Score settings'!$B$8*'Score settings'!$C$8</x:f>
        <x:v>7</x:v>
      </x:c>
      <x:c r="Z260" s="41" t="str">
        <x:f>IF(B260="","",SUM(U260:Y260))</x:f>
      </x:c>
      <x:c r="AA260" s="41" t="str">
        <x:f>IF(Z260="","Not scored",VLOOKUP(Z260,'Score settings'!$A$47:$C$50,2,TRUE))</x:f>
        <x:v>Not scored</x:v>
      </x:c>
      <x:c r="AB260" s="41" t="n">
        <x:f>VLOOKUP("Priority|"&amp;O260,'Score settings'!$A$14:$C$43,3,FALSE)/'Score settings'!$B$4*'Score settings'!$D$4</x:f>
        <x:v>0</x:v>
      </x:c>
      <x:c r="AC260" s="41" t="n">
        <x:f>VLOOKUP("Category|"&amp;P260,'Score settings'!$A$14:$C$43,3,FALSE)/'Score settings'!$B$5*'Score settings'!$D$5</x:f>
        <x:v>0</x:v>
      </x:c>
      <x:c r="AD260" s="41" t="n">
        <x:f>VLOOKUP("Area|"&amp;Q260,'Score settings'!$A$14:$C$43,3,FALSE)/'Score settings'!$B$6*'Score settings'!$D$6</x:f>
        <x:v>0</x:v>
      </x:c>
      <x:c r="AE260" s="41" t="n">
        <x:f>VLOOKUP("Benefits|"&amp;IF(AND(ISNUMBER(K260),K260&gt;0,ISNUMBER(G260),G260&gt;0),IF(K260/G260&gt;='Score settings'!$E$17,"3plus",IF(K260/G260&gt;='Score settings'!$E$16,"1.5to3",IF(K260/G260&gt;='Score settings'!$E$15,"0.5to1.5","positive"))),"None"),'Score settings'!$A$14:$C$43,3,FALSE)/'Score settings'!$B$7*'Score settings'!$D$7</x:f>
        <x:v>0</x:v>
      </x:c>
      <x:c r="AF260" s="41" t="n">
        <x:f>VLOOKUP("Waste|"&amp;R260,'Score settings'!$A$14:$C$43,3,FALSE)/'Score settings'!$B$8*'Score settings'!$D$8</x:f>
        <x:v>0</x:v>
      </x:c>
      <x:c r="AG260" s="41" t="n">
        <x:f>(IF(AND(ISNUMBER(M260),M260&gt;0,ISNUMBER(G260),G260&gt;0),IF(M260/G260&gt;='Score settings'!$E$17,'Score settings'!$G$17,IF(M260/G260&gt;='Score settings'!$E$16,'Score settings'!$G$16,IF(M260/G260&gt;='Score settings'!$E$15,'Score settings'!$G$15,'Score settings'!$G$14))),0)/15*'Score settings'!$B$60+IFERROR(VLOOKUP(IF(ISNUMBER(N260),N260,IF(ISNUMBER(L260),L260,0)),'Score settings'!$E$22:$F$26,2,FALSE),0)/10*'Score settings'!$B$61)/'Score settings'!$B$9*'Score settings'!$D$9</x:f>
        <x:v>0</x:v>
      </x:c>
      <x:c r="AH260" s="41" t="str">
        <x:f>IF(B260="","",SUM(AB260:AG260))</x:f>
      </x:c>
      <x:c r="AI260" s="41" t="str">
        <x:f>IF(NOT(ISNUMBER(AH260)),"Not scored",VLOOKUP(AH260,'Score settings'!$A$47:$C$50,3,TRUE))</x:f>
        <x:v>Not scored</x:v>
      </x:c>
      <x:c r="AJ260" s="42" t="str">
        <x:f>IF(OR(NOT(ISNUMBER(AH260)),T260&lt;&gt;"Common pot"),"",COUNTIFS($T$4:$T$509,"Common pot",$AH$4:$AH$509,"&gt;"&amp;AH260)+1)</x:f>
      </x:c>
      <x:c r="AK260" s="36" t="str">
        <x:f>IF(B260="","Name missing - not scored",IF(OR(NOT(ISNUMBER(G260)),G260&lt;=0),"Investment missing or zero - review",IF(0=1,"Permanent ID missing - reconcile",IF(AND(ISNUMBER(H260),H260/G260&gt;='Score settings'!$B$58,NOT(ISNUMBER(I260))),"Benefit units need review",IF(OR(R260="EXIT",R260="CHALLENGE"),"Waste decision requires scope resolution",IF("No exact waste match"&lt;&gt;"Name and organisation matched","Waste evidence match needs review","Provisional source score - confirm evidence"))))))</x:f>
        <x:v>Name missing - not scored</x:v>
      </x:c>
      <x:c r="AL260" s="36"/>
      <x:c r="AM260" s="40"/>
      <x:c r="AN260" s="39"/>
      <x:c r="AO260" s="40"/>
      <x:c r="AP260" s="40"/>
    </x:row>
    <x:row r="261" ht="15" hidden="0" customHeight="1">
      <x:c r="A261" s="36" t="str">
        <x:v>Bu-267</x:v>
      </x:c>
      <x:c r="B261" s="37" t="str">
        <x:v>HPM Impact Dashboard &amp; AI</x:v>
      </x:c>
      <x:c r="C261" s="36" t="str">
        <x:v>BU Led</x:v>
      </x:c>
      <x:c r="D261" s="36" t="str">
        <x:v>Monitoring - HPM (MCH)</x:v>
      </x:c>
      <x:c r="E261" s="38" t="n">
        <x:v>0.1</x:v>
      </x:c>
      <x:c r="F261" s="39"/>
      <x:c r="G261" s="38" t="n">
        <x:f>IF(ISNUMBER(F261),F261,IF(E261="","",E261))</x:f>
        <x:v>0.1</x:v>
      </x:c>
      <x:c r="H261" s="38"/>
      <x:c r="I261" s="39"/>
      <x:c r="J261" s="36" t="str">
        <x:v>Cash savings</x:v>
      </x:c>
      <x:c r="K261" s="38" t="str">
        <x:f>IF(ISNUMBER(I261),I261,IF(OR(NOT(ISNUMBER(H261)),NOT(ISNUMBER(G261)),G261&lt;=0),"",IF(H261/G261&gt;='Score settings'!$B$58,"",IF(J261="Cash savings",H261,IF(J261="Revenue",H261*'Score settings'!$B$55,"")))))</x:f>
      </x:c>
      <x:c r="L261" s="36"/>
      <x:c r="M261" s="39"/>
      <x:c r="N261" s="40"/>
      <x:c r="O261" s="36" t="str">
        <x:v>Must Have</x:v>
      </x:c>
      <x:c r="P261" s="36" t="str">
        <x:v>NewFeat</x:v>
      </x:c>
      <x:c r="Q261" s="36" t="str">
        <x:v>ProcSimp</x:v>
      </x:c>
      <x:c r="R261" s="36" t="str">
        <x:v>NotAssessed</x:v>
      </x:c>
      <x:c r="S261" s="36" t="str"/>
      <x:c r="T261" s="36" t="str">
        <x:v>Common pot</x:v>
      </x:c>
      <x:c r="U261" s="41" t="n">
        <x:f>VLOOKUP("Priority|"&amp;O261,'Score settings'!$A$14:$C$43,2,FALSE)/'Score settings'!$B$4*'Score settings'!$C$4</x:f>
        <x:v>18</x:v>
      </x:c>
      <x:c r="V261" s="41" t="n">
        <x:f>VLOOKUP("Category|"&amp;P261,'Score settings'!$A$14:$C$43,2,FALSE)/'Score settings'!$B$5*'Score settings'!$C$5</x:f>
        <x:v>6</x:v>
      </x:c>
      <x:c r="W261" s="41" t="n">
        <x:f>VLOOKUP("Area|"&amp;Q261,'Score settings'!$A$14:$C$43,2,FALSE)/'Score settings'!$B$6*'Score settings'!$C$6</x:f>
        <x:v>12</x:v>
      </x:c>
      <x:c r="X261" s="41" t="n">
        <x:f>VLOOKUP("Benefits|"&amp;IF(AND(ISNUMBER(H261),H261&gt;0,ISNUMBER(G261),G261&gt;0),IF(H261/G261&gt;='Score settings'!$E$17,"3plus",IF(H261/G261&gt;='Score settings'!$E$16,"1.5to3",IF(H261/G261&gt;='Score settings'!$E$15,"0.5to1.5","positive"))),"None"),'Score settings'!$A$14:$C$43,2,FALSE)/'Score settings'!$B$7*'Score settings'!$C$7</x:f>
        <x:v>5</x:v>
      </x:c>
      <x:c r="Y261" s="41" t="n">
        <x:f>VLOOKUP("Waste|"&amp;R261,'Score settings'!$A$14:$C$43,2,FALSE)/'Score settings'!$B$8*'Score settings'!$C$8</x:f>
        <x:v>7</x:v>
      </x:c>
      <x:c r="Z261" s="41" t="n">
        <x:f>IF(B261="","",SUM(U261:Y261))</x:f>
        <x:v>48</x:v>
      </x:c>
      <x:c r="AA261" s="41" t="str">
        <x:f>IF(Z261="","Not scored",VLOOKUP(Z261,'Score settings'!$A$47:$C$50,2,TRUE))</x:f>
        <x:v>Strong</x:v>
      </x:c>
      <x:c r="AB261" s="41" t="n">
        <x:f>VLOOKUP("Priority|"&amp;O261,'Score settings'!$A$14:$C$43,3,FALSE)/'Score settings'!$B$4*'Score settings'!$D$4</x:f>
        <x:v>10.799999999999999</x:v>
      </x:c>
      <x:c r="AC261" s="41" t="n">
        <x:f>VLOOKUP("Category|"&amp;P261,'Score settings'!$A$14:$C$43,3,FALSE)/'Score settings'!$B$5*'Score settings'!$D$5</x:f>
        <x:v>3</x:v>
      </x:c>
      <x:c r="AD261" s="41" t="n">
        <x:f>VLOOKUP("Area|"&amp;Q261,'Score settings'!$A$14:$C$43,3,FALSE)/'Score settings'!$B$6*'Score settings'!$D$6</x:f>
        <x:v>8</x:v>
      </x:c>
      <x:c r="AE261" s="41" t="n">
        <x:f>VLOOKUP("Benefits|"&amp;IF(AND(ISNUMBER(K261),K261&gt;0,ISNUMBER(G261),G261&gt;0),IF(K261/G261&gt;='Score settings'!$E$17,"3plus",IF(K261/G261&gt;='Score settings'!$E$16,"1.5to3",IF(K261/G261&gt;='Score settings'!$E$15,"0.5to1.5","positive"))),"None"),'Score settings'!$A$14:$C$43,3,FALSE)/'Score settings'!$B$7*'Score settings'!$D$7</x:f>
        <x:v>0</x:v>
      </x:c>
      <x:c r="AF261" s="41" t="n">
        <x:f>VLOOKUP("Waste|"&amp;R261,'Score settings'!$A$14:$C$43,3,FALSE)/'Score settings'!$B$8*'Score settings'!$D$8</x:f>
        <x:v>0</x:v>
      </x:c>
      <x:c r="AG261" s="41" t="n">
        <x:f>(IF(AND(ISNUMBER(M261),M261&gt;0,ISNUMBER(G261),G261&gt;0),IF(M261/G261&gt;='Score settings'!$E$17,'Score settings'!$G$17,IF(M261/G261&gt;='Score settings'!$E$16,'Score settings'!$G$16,IF(M261/G261&gt;='Score settings'!$E$15,'Score settings'!$G$15,'Score settings'!$G$14))),0)/15*'Score settings'!$B$60+IFERROR(VLOOKUP(IF(ISNUMBER(N261),N261,IF(ISNUMBER(L261),L261,0)),'Score settings'!$E$22:$F$26,2,FALSE),0)/10*'Score settings'!$B$61)/'Score settings'!$B$9*'Score settings'!$D$9</x:f>
        <x:v>0</x:v>
      </x:c>
      <x:c r="AH261" s="41" t="n">
        <x:f>IF(B261="","",SUM(AB261:AG261))</x:f>
        <x:v>21.799999999999997</x:v>
      </x:c>
      <x:c r="AI261" s="41" t="str">
        <x:f>IF(NOT(ISNUMBER(AH261)),"Not scored",VLOOKUP(AH261,'Score settings'!$A$47:$C$50,3,TRUE))</x:f>
        <x:v>Weak</x:v>
      </x:c>
      <x:c r="AJ261" s="42" t="n">
        <x:f>IF(OR(NOT(ISNUMBER(AH261)),T261&lt;&gt;"Common pot"),"",COUNTIFS($T$4:$T$509,"Common pot",$AH$4:$AH$509,"&gt;"&amp;AH261)+1)</x:f>
        <x:v>333</x:v>
      </x:c>
      <x:c r="AK261" s="36" t="str">
        <x:f>IF(B261="","Name missing - not scored",IF(OR(NOT(ISNUMBER(G261)),G261&lt;=0),"Investment missing or zero - review",IF(0=1,"Permanent ID missing - reconcile",IF(AND(ISNUMBER(H261),H261/G261&gt;='Score settings'!$B$58,NOT(ISNUMBER(I261))),"Benefit units need review",IF(OR(R261="EXIT",R261="CHALLENGE"),"Waste decision requires scope resolution",IF("No exact waste match"&lt;&gt;"Name and organisation matched","Waste evidence match needs review","Provisional source score - confirm evidence"))))))</x:f>
        <x:v>Waste evidence match needs review</x:v>
      </x:c>
      <x:c r="AL261" s="36"/>
      <x:c r="AM261" s="40"/>
      <x:c r="AN261" s="39"/>
      <x:c r="AO261" s="40"/>
      <x:c r="AP261" s="40"/>
    </x:row>
    <x:row r="262" ht="15" hidden="0" customHeight="1">
      <x:c r="A262" s="36" t="str">
        <x:v>Bu-268</x:v>
      </x:c>
      <x:c r="B262" s="37" t="str"/>
      <x:c r="C262" s="36" t="str">
        <x:v>BU Led</x:v>
      </x:c>
      <x:c r="D262" s="36" t="str"/>
      <x:c r="E262" s="38"/>
      <x:c r="F262" s="39"/>
      <x:c r="G262" s="38" t="str">
        <x:f>IF(ISNUMBER(F262),F262,IF(E262="","",E262))</x:f>
      </x:c>
      <x:c r="H262" s="38"/>
      <x:c r="I262" s="39"/>
      <x:c r="J262" s="36" t="str">
        <x:v>Unclassified</x:v>
      </x:c>
      <x:c r="K262" s="38" t="str">
        <x:f>IF(ISNUMBER(I262),I262,IF(OR(NOT(ISNUMBER(H262)),NOT(ISNUMBER(G262)),G262&lt;=0),"",IF(H262/G262&gt;='Score settings'!$B$58,"",IF(J262="Cash savings",H262,IF(J262="Revenue",H262*'Score settings'!$B$55,"")))))</x:f>
      </x:c>
      <x:c r="L262" s="36"/>
      <x:c r="M262" s="39"/>
      <x:c r="N262" s="40"/>
      <x:c r="O262" s="36" t="str">
        <x:v>Blank</x:v>
      </x:c>
      <x:c r="P262" s="36" t="str">
        <x:v>Blank</x:v>
      </x:c>
      <x:c r="Q262" s="36" t="str">
        <x:v>Blank</x:v>
      </x:c>
      <x:c r="R262" s="36" t="str">
        <x:v>NotAssessed</x:v>
      </x:c>
      <x:c r="S262" s="36" t="str"/>
      <x:c r="T262" s="36" t="str">
        <x:v>Incomplete record</x:v>
      </x:c>
      <x:c r="U262" s="41" t="n">
        <x:f>VLOOKUP("Priority|"&amp;O262,'Score settings'!$A$14:$C$43,2,FALSE)/'Score settings'!$B$4*'Score settings'!$C$4</x:f>
        <x:v>10</x:v>
      </x:c>
      <x:c r="V262" s="41" t="n">
        <x:f>VLOOKUP("Category|"&amp;P262,'Score settings'!$A$14:$C$43,2,FALSE)/'Score settings'!$B$5*'Score settings'!$C$5</x:f>
        <x:v>4</x:v>
      </x:c>
      <x:c r="W262" s="41" t="n">
        <x:f>VLOOKUP("Area|"&amp;Q262,'Score settings'!$A$14:$C$43,2,FALSE)/'Score settings'!$B$6*'Score settings'!$C$6</x:f>
        <x:v>3</x:v>
      </x:c>
      <x:c r="X262" s="41" t="n">
        <x:f>VLOOKUP("Benefits|"&amp;IF(AND(ISNUMBER(H262),H262&gt;0,ISNUMBER(G262),G262&gt;0),IF(H262/G262&gt;='Score settings'!$E$17,"3plus",IF(H262/G262&gt;='Score settings'!$E$16,"1.5to3",IF(H262/G262&gt;='Score settings'!$E$15,"0.5to1.5","positive"))),"None"),'Score settings'!$A$14:$C$43,2,FALSE)/'Score settings'!$B$7*'Score settings'!$C$7</x:f>
        <x:v>5</x:v>
      </x:c>
      <x:c r="Y262" s="41" t="n">
        <x:f>VLOOKUP("Waste|"&amp;R262,'Score settings'!$A$14:$C$43,2,FALSE)/'Score settings'!$B$8*'Score settings'!$C$8</x:f>
        <x:v>7</x:v>
      </x:c>
      <x:c r="Z262" s="41" t="str">
        <x:f>IF(B262="","",SUM(U262:Y262))</x:f>
      </x:c>
      <x:c r="AA262" s="41" t="str">
        <x:f>IF(Z262="","Not scored",VLOOKUP(Z262,'Score settings'!$A$47:$C$50,2,TRUE))</x:f>
        <x:v>Not scored</x:v>
      </x:c>
      <x:c r="AB262" s="41" t="n">
        <x:f>VLOOKUP("Priority|"&amp;O262,'Score settings'!$A$14:$C$43,3,FALSE)/'Score settings'!$B$4*'Score settings'!$D$4</x:f>
        <x:v>0</x:v>
      </x:c>
      <x:c r="AC262" s="41" t="n">
        <x:f>VLOOKUP("Category|"&amp;P262,'Score settings'!$A$14:$C$43,3,FALSE)/'Score settings'!$B$5*'Score settings'!$D$5</x:f>
        <x:v>0</x:v>
      </x:c>
      <x:c r="AD262" s="41" t="n">
        <x:f>VLOOKUP("Area|"&amp;Q262,'Score settings'!$A$14:$C$43,3,FALSE)/'Score settings'!$B$6*'Score settings'!$D$6</x:f>
        <x:v>0</x:v>
      </x:c>
      <x:c r="AE262" s="41" t="n">
        <x:f>VLOOKUP("Benefits|"&amp;IF(AND(ISNUMBER(K262),K262&gt;0,ISNUMBER(G262),G262&gt;0),IF(K262/G262&gt;='Score settings'!$E$17,"3plus",IF(K262/G262&gt;='Score settings'!$E$16,"1.5to3",IF(K262/G262&gt;='Score settings'!$E$15,"0.5to1.5","positive"))),"None"),'Score settings'!$A$14:$C$43,3,FALSE)/'Score settings'!$B$7*'Score settings'!$D$7</x:f>
        <x:v>0</x:v>
      </x:c>
      <x:c r="AF262" s="41" t="n">
        <x:f>VLOOKUP("Waste|"&amp;R262,'Score settings'!$A$14:$C$43,3,FALSE)/'Score settings'!$B$8*'Score settings'!$D$8</x:f>
        <x:v>0</x:v>
      </x:c>
      <x:c r="AG262" s="41" t="n">
        <x:f>(IF(AND(ISNUMBER(M262),M262&gt;0,ISNUMBER(G262),G262&gt;0),IF(M262/G262&gt;='Score settings'!$E$17,'Score settings'!$G$17,IF(M262/G262&gt;='Score settings'!$E$16,'Score settings'!$G$16,IF(M262/G262&gt;='Score settings'!$E$15,'Score settings'!$G$15,'Score settings'!$G$14))),0)/15*'Score settings'!$B$60+IFERROR(VLOOKUP(IF(ISNUMBER(N262),N262,IF(ISNUMBER(L262),L262,0)),'Score settings'!$E$22:$F$26,2,FALSE),0)/10*'Score settings'!$B$61)/'Score settings'!$B$9*'Score settings'!$D$9</x:f>
        <x:v>0</x:v>
      </x:c>
      <x:c r="AH262" s="41" t="str">
        <x:f>IF(B262="","",SUM(AB262:AG262))</x:f>
      </x:c>
      <x:c r="AI262" s="41" t="str">
        <x:f>IF(NOT(ISNUMBER(AH262)),"Not scored",VLOOKUP(AH262,'Score settings'!$A$47:$C$50,3,TRUE))</x:f>
        <x:v>Not scored</x:v>
      </x:c>
      <x:c r="AJ262" s="42" t="str">
        <x:f>IF(OR(NOT(ISNUMBER(AH262)),T262&lt;&gt;"Common pot"),"",COUNTIFS($T$4:$T$509,"Common pot",$AH$4:$AH$509,"&gt;"&amp;AH262)+1)</x:f>
      </x:c>
      <x:c r="AK262" s="36" t="str">
        <x:f>IF(B262="","Name missing - not scored",IF(OR(NOT(ISNUMBER(G262)),G262&lt;=0),"Investment missing or zero - review",IF(0=1,"Permanent ID missing - reconcile",IF(AND(ISNUMBER(H262),H262/G262&gt;='Score settings'!$B$58,NOT(ISNUMBER(I262))),"Benefit units need review",IF(OR(R262="EXIT",R262="CHALLENGE"),"Waste decision requires scope resolution",IF("No exact waste match"&lt;&gt;"Name and organisation matched","Waste evidence match needs review","Provisional source score - confirm evidence"))))))</x:f>
        <x:v>Name missing - not scored</x:v>
      </x:c>
      <x:c r="AL262" s="36"/>
      <x:c r="AM262" s="40"/>
      <x:c r="AN262" s="39"/>
      <x:c r="AO262" s="40"/>
      <x:c r="AP262" s="40"/>
    </x:row>
    <x:row r="263" ht="15" hidden="0" customHeight="1">
      <x:c r="A263" s="36" t="str">
        <x:v>Bu-269</x:v>
      </x:c>
      <x:c r="B263" s="37" t="str">
        <x:v>CEC Nexus maintence</x:v>
      </x:c>
      <x:c r="C263" s="36" t="str">
        <x:v>BU Led</x:v>
      </x:c>
      <x:c r="D263" s="36" t="str">
        <x:v>CoE Marketing – HS (former DMEC)​</x:v>
      </x:c>
      <x:c r="E263" s="38" t="n">
        <x:v>0.02</x:v>
      </x:c>
      <x:c r="F263" s="39"/>
      <x:c r="G263" s="38" t="n">
        <x:f>IF(ISNUMBER(F263),F263,IF(E263="","",E263))</x:f>
        <x:v>0.02</x:v>
      </x:c>
      <x:c r="H263" s="38"/>
      <x:c r="I263" s="39"/>
      <x:c r="J263" s="36" t="str">
        <x:v>Cash savings</x:v>
      </x:c>
      <x:c r="K263" s="38" t="str">
        <x:f>IF(ISNUMBER(I263),I263,IF(OR(NOT(ISNUMBER(H263)),NOT(ISNUMBER(G263)),G263&lt;=0),"",IF(H263/G263&gt;='Score settings'!$B$58,"",IF(J263="Cash savings",H263,IF(J263="Revenue",H263*'Score settings'!$B$55,"")))))</x:f>
      </x:c>
      <x:c r="L263" s="36"/>
      <x:c r="M263" s="39"/>
      <x:c r="N263" s="40"/>
      <x:c r="O263" s="36" t="str">
        <x:v>Must Do</x:v>
      </x:c>
      <x:c r="P263" s="36" t="str">
        <x:v>Upgrades</x:v>
      </x:c>
      <x:c r="Q263" s="36" t="str">
        <x:v>ProcSimp</x:v>
      </x:c>
      <x:c r="R263" s="36" t="str">
        <x:v>NotAssessed</x:v>
      </x:c>
      <x:c r="S263" s="36" t="str"/>
      <x:c r="T263" s="36" t="str">
        <x:v>Common pot</x:v>
      </x:c>
      <x:c r="U263" s="41" t="n">
        <x:f>VLOOKUP("Priority|"&amp;O263,'Score settings'!$A$14:$C$43,2,FALSE)/'Score settings'!$B$4*'Score settings'!$C$4</x:f>
        <x:v>25</x:v>
      </x:c>
      <x:c r="V263" s="41" t="n">
        <x:f>VLOOKUP("Category|"&amp;P263,'Score settings'!$A$14:$C$43,2,FALSE)/'Score settings'!$B$5*'Score settings'!$C$5</x:f>
        <x:v>10</x:v>
      </x:c>
      <x:c r="W263" s="41" t="n">
        <x:f>VLOOKUP("Area|"&amp;Q263,'Score settings'!$A$14:$C$43,2,FALSE)/'Score settings'!$B$6*'Score settings'!$C$6</x:f>
        <x:v>12</x:v>
      </x:c>
      <x:c r="X263" s="41" t="n">
        <x:f>VLOOKUP("Benefits|"&amp;IF(AND(ISNUMBER(H263),H263&gt;0,ISNUMBER(G263),G263&gt;0),IF(H263/G263&gt;='Score settings'!$E$17,"3plus",IF(H263/G263&gt;='Score settings'!$E$16,"1.5to3",IF(H263/G263&gt;='Score settings'!$E$15,"0.5to1.5","positive"))),"None"),'Score settings'!$A$14:$C$43,2,FALSE)/'Score settings'!$B$7*'Score settings'!$C$7</x:f>
        <x:v>5</x:v>
      </x:c>
      <x:c r="Y263" s="41" t="n">
        <x:f>VLOOKUP("Waste|"&amp;R263,'Score settings'!$A$14:$C$43,2,FALSE)/'Score settings'!$B$8*'Score settings'!$C$8</x:f>
        <x:v>7</x:v>
      </x:c>
      <x:c r="Z263" s="41" t="n">
        <x:f>IF(B263="","",SUM(U263:Y263))</x:f>
        <x:v>59</x:v>
      </x:c>
      <x:c r="AA263" s="41" t="str">
        <x:f>IF(Z263="","Not scored",VLOOKUP(Z263,'Score settings'!$A$47:$C$50,2,TRUE))</x:f>
        <x:v>Strong</x:v>
      </x:c>
      <x:c r="AB263" s="41" t="n">
        <x:f>VLOOKUP("Priority|"&amp;O263,'Score settings'!$A$14:$C$43,3,FALSE)/'Score settings'!$B$4*'Score settings'!$D$4</x:f>
        <x:v>15</x:v>
      </x:c>
      <x:c r="AC263" s="41" t="n">
        <x:f>VLOOKUP("Category|"&amp;P263,'Score settings'!$A$14:$C$43,3,FALSE)/'Score settings'!$B$5*'Score settings'!$D$5</x:f>
        <x:v>5</x:v>
      </x:c>
      <x:c r="AD263" s="41" t="n">
        <x:f>VLOOKUP("Area|"&amp;Q263,'Score settings'!$A$14:$C$43,3,FALSE)/'Score settings'!$B$6*'Score settings'!$D$6</x:f>
        <x:v>8</x:v>
      </x:c>
      <x:c r="AE263" s="41" t="n">
        <x:f>VLOOKUP("Benefits|"&amp;IF(AND(ISNUMBER(K263),K263&gt;0,ISNUMBER(G263),G263&gt;0),IF(K263/G263&gt;='Score settings'!$E$17,"3plus",IF(K263/G263&gt;='Score settings'!$E$16,"1.5to3",IF(K263/G263&gt;='Score settings'!$E$15,"0.5to1.5","positive"))),"None"),'Score settings'!$A$14:$C$43,3,FALSE)/'Score settings'!$B$7*'Score settings'!$D$7</x:f>
        <x:v>0</x:v>
      </x:c>
      <x:c r="AF263" s="41" t="n">
        <x:f>VLOOKUP("Waste|"&amp;R263,'Score settings'!$A$14:$C$43,3,FALSE)/'Score settings'!$B$8*'Score settings'!$D$8</x:f>
        <x:v>0</x:v>
      </x:c>
      <x:c r="AG263" s="41" t="n">
        <x:f>(IF(AND(ISNUMBER(M263),M263&gt;0,ISNUMBER(G263),G263&gt;0),IF(M263/G263&gt;='Score settings'!$E$17,'Score settings'!$G$17,IF(M263/G263&gt;='Score settings'!$E$16,'Score settings'!$G$16,IF(M263/G263&gt;='Score settings'!$E$15,'Score settings'!$G$15,'Score settings'!$G$14))),0)/15*'Score settings'!$B$60+IFERROR(VLOOKUP(IF(ISNUMBER(N263),N263,IF(ISNUMBER(L263),L263,0)),'Score settings'!$E$22:$F$26,2,FALSE),0)/10*'Score settings'!$B$61)/'Score settings'!$B$9*'Score settings'!$D$9</x:f>
        <x:v>0</x:v>
      </x:c>
      <x:c r="AH263" s="41" t="n">
        <x:f>IF(B263="","",SUM(AB263:AG263))</x:f>
        <x:v>28</x:v>
      </x:c>
      <x:c r="AI263" s="41" t="str">
        <x:f>IF(NOT(ISNUMBER(AH263)),"Not scored",VLOOKUP(AH263,'Score settings'!$A$47:$C$50,3,TRUE))</x:f>
        <x:v>Discretionary</x:v>
      </x:c>
      <x:c r="AJ263" s="42" t="n">
        <x:f>IF(OR(NOT(ISNUMBER(AH263)),T263&lt;&gt;"Common pot"),"",COUNTIFS($T$4:$T$509,"Common pot",$AH$4:$AH$509,"&gt;"&amp;AH263)+1)</x:f>
        <x:v>206</x:v>
      </x:c>
      <x:c r="AK263" s="36" t="str">
        <x:f>IF(B263="","Name missing - not scored",IF(OR(NOT(ISNUMBER(G263)),G263&lt;=0),"Investment missing or zero - review",IF(0=1,"Permanent ID missing - reconcile",IF(AND(ISNUMBER(H263),H263/G263&gt;='Score settings'!$B$58,NOT(ISNUMBER(I263))),"Benefit units need review",IF(OR(R263="EXIT",R263="CHALLENGE"),"Waste decision requires scope resolution",IF("Name and organisation matched"&lt;&gt;"Name and organisation matched","Waste evidence match needs review","Provisional source score - confirm evidence"))))))</x:f>
        <x:v>Provisional source score - confirm evidence</x:v>
      </x:c>
      <x:c r="AL263" s="36"/>
      <x:c r="AM263" s="40"/>
      <x:c r="AN263" s="39"/>
      <x:c r="AO263" s="40"/>
      <x:c r="AP263" s="40"/>
    </x:row>
    <x:row r="264" ht="15" hidden="0" customHeight="1">
      <x:c r="A264" s="36" t="str">
        <x:v>Bu-270</x:v>
      </x:c>
      <x:c r="B264" s="37" t="str"/>
      <x:c r="C264" s="36" t="str">
        <x:v>BU Led</x:v>
      </x:c>
      <x:c r="D264" s="36" t="str"/>
      <x:c r="E264" s="38"/>
      <x:c r="F264" s="39"/>
      <x:c r="G264" s="38" t="str">
        <x:f>IF(ISNUMBER(F264),F264,IF(E264="","",E264))</x:f>
      </x:c>
      <x:c r="H264" s="38"/>
      <x:c r="I264" s="39"/>
      <x:c r="J264" s="36" t="str">
        <x:v>Unclassified</x:v>
      </x:c>
      <x:c r="K264" s="38" t="str">
        <x:f>IF(ISNUMBER(I264),I264,IF(OR(NOT(ISNUMBER(H264)),NOT(ISNUMBER(G264)),G264&lt;=0),"",IF(H264/G264&gt;='Score settings'!$B$58,"",IF(J264="Cash savings",H264,IF(J264="Revenue",H264*'Score settings'!$B$55,"")))))</x:f>
      </x:c>
      <x:c r="L264" s="36"/>
      <x:c r="M264" s="39"/>
      <x:c r="N264" s="40"/>
      <x:c r="O264" s="36" t="str">
        <x:v>Blank</x:v>
      </x:c>
      <x:c r="P264" s="36" t="str">
        <x:v>Blank</x:v>
      </x:c>
      <x:c r="Q264" s="36" t="str">
        <x:v>Blank</x:v>
      </x:c>
      <x:c r="R264" s="36" t="str">
        <x:v>NotAssessed</x:v>
      </x:c>
      <x:c r="S264" s="36" t="str"/>
      <x:c r="T264" s="36" t="str">
        <x:v>Incomplete record</x:v>
      </x:c>
      <x:c r="U264" s="41" t="n">
        <x:f>VLOOKUP("Priority|"&amp;O264,'Score settings'!$A$14:$C$43,2,FALSE)/'Score settings'!$B$4*'Score settings'!$C$4</x:f>
        <x:v>10</x:v>
      </x:c>
      <x:c r="V264" s="41" t="n">
        <x:f>VLOOKUP("Category|"&amp;P264,'Score settings'!$A$14:$C$43,2,FALSE)/'Score settings'!$B$5*'Score settings'!$C$5</x:f>
        <x:v>4</x:v>
      </x:c>
      <x:c r="W264" s="41" t="n">
        <x:f>VLOOKUP("Area|"&amp;Q264,'Score settings'!$A$14:$C$43,2,FALSE)/'Score settings'!$B$6*'Score settings'!$C$6</x:f>
        <x:v>3</x:v>
      </x:c>
      <x:c r="X264" s="41" t="n">
        <x:f>VLOOKUP("Benefits|"&amp;IF(AND(ISNUMBER(H264),H264&gt;0,ISNUMBER(G264),G264&gt;0),IF(H264/G264&gt;='Score settings'!$E$17,"3plus",IF(H264/G264&gt;='Score settings'!$E$16,"1.5to3",IF(H264/G264&gt;='Score settings'!$E$15,"0.5to1.5","positive"))),"None"),'Score settings'!$A$14:$C$43,2,FALSE)/'Score settings'!$B$7*'Score settings'!$C$7</x:f>
        <x:v>5</x:v>
      </x:c>
      <x:c r="Y264" s="41" t="n">
        <x:f>VLOOKUP("Waste|"&amp;R264,'Score settings'!$A$14:$C$43,2,FALSE)/'Score settings'!$B$8*'Score settings'!$C$8</x:f>
        <x:v>7</x:v>
      </x:c>
      <x:c r="Z264" s="41" t="str">
        <x:f>IF(B264="","",SUM(U264:Y264))</x:f>
      </x:c>
      <x:c r="AA264" s="41" t="str">
        <x:f>IF(Z264="","Not scored",VLOOKUP(Z264,'Score settings'!$A$47:$C$50,2,TRUE))</x:f>
        <x:v>Not scored</x:v>
      </x:c>
      <x:c r="AB264" s="41" t="n">
        <x:f>VLOOKUP("Priority|"&amp;O264,'Score settings'!$A$14:$C$43,3,FALSE)/'Score settings'!$B$4*'Score settings'!$D$4</x:f>
        <x:v>0</x:v>
      </x:c>
      <x:c r="AC264" s="41" t="n">
        <x:f>VLOOKUP("Category|"&amp;P264,'Score settings'!$A$14:$C$43,3,FALSE)/'Score settings'!$B$5*'Score settings'!$D$5</x:f>
        <x:v>0</x:v>
      </x:c>
      <x:c r="AD264" s="41" t="n">
        <x:f>VLOOKUP("Area|"&amp;Q264,'Score settings'!$A$14:$C$43,3,FALSE)/'Score settings'!$B$6*'Score settings'!$D$6</x:f>
        <x:v>0</x:v>
      </x:c>
      <x:c r="AE264" s="41" t="n">
        <x:f>VLOOKUP("Benefits|"&amp;IF(AND(ISNUMBER(K264),K264&gt;0,ISNUMBER(G264),G264&gt;0),IF(K264/G264&gt;='Score settings'!$E$17,"3plus",IF(K264/G264&gt;='Score settings'!$E$16,"1.5to3",IF(K264/G264&gt;='Score settings'!$E$15,"0.5to1.5","positive"))),"None"),'Score settings'!$A$14:$C$43,3,FALSE)/'Score settings'!$B$7*'Score settings'!$D$7</x:f>
        <x:v>0</x:v>
      </x:c>
      <x:c r="AF264" s="41" t="n">
        <x:f>VLOOKUP("Waste|"&amp;R264,'Score settings'!$A$14:$C$43,3,FALSE)/'Score settings'!$B$8*'Score settings'!$D$8</x:f>
        <x:v>0</x:v>
      </x:c>
      <x:c r="AG264" s="41" t="n">
        <x:f>(IF(AND(ISNUMBER(M264),M264&gt;0,ISNUMBER(G264),G264&gt;0),IF(M264/G264&gt;='Score settings'!$E$17,'Score settings'!$G$17,IF(M264/G264&gt;='Score settings'!$E$16,'Score settings'!$G$16,IF(M264/G264&gt;='Score settings'!$E$15,'Score settings'!$G$15,'Score settings'!$G$14))),0)/15*'Score settings'!$B$60+IFERROR(VLOOKUP(IF(ISNUMBER(N264),N264,IF(ISNUMBER(L264),L264,0)),'Score settings'!$E$22:$F$26,2,FALSE),0)/10*'Score settings'!$B$61)/'Score settings'!$B$9*'Score settings'!$D$9</x:f>
        <x:v>0</x:v>
      </x:c>
      <x:c r="AH264" s="41" t="str">
        <x:f>IF(B264="","",SUM(AB264:AG264))</x:f>
      </x:c>
      <x:c r="AI264" s="41" t="str">
        <x:f>IF(NOT(ISNUMBER(AH264)),"Not scored",VLOOKUP(AH264,'Score settings'!$A$47:$C$50,3,TRUE))</x:f>
        <x:v>Not scored</x:v>
      </x:c>
      <x:c r="AJ264" s="42" t="str">
        <x:f>IF(OR(NOT(ISNUMBER(AH264)),T264&lt;&gt;"Common pot"),"",COUNTIFS($T$4:$T$509,"Common pot",$AH$4:$AH$509,"&gt;"&amp;AH264)+1)</x:f>
      </x:c>
      <x:c r="AK264" s="36" t="str">
        <x:f>IF(B264="","Name missing - not scored",IF(OR(NOT(ISNUMBER(G264)),G264&lt;=0),"Investment missing or zero - review",IF(0=1,"Permanent ID missing - reconcile",IF(AND(ISNUMBER(H264),H264/G264&gt;='Score settings'!$B$58,NOT(ISNUMBER(I264))),"Benefit units need review",IF(OR(R264="EXIT",R264="CHALLENGE"),"Waste decision requires scope resolution",IF("No exact waste match"&lt;&gt;"Name and organisation matched","Waste evidence match needs review","Provisional source score - confirm evidence"))))))</x:f>
        <x:v>Name missing - not scored</x:v>
      </x:c>
      <x:c r="AL264" s="36"/>
      <x:c r="AM264" s="40"/>
      <x:c r="AN264" s="39"/>
      <x:c r="AO264" s="40"/>
      <x:c r="AP264" s="40"/>
    </x:row>
    <x:row r="265" ht="15" hidden="0" customHeight="1">
      <x:c r="A265" s="36" t="str">
        <x:v>Bu-271</x:v>
      </x:c>
      <x:c r="B265" s="37" t="str">
        <x:v>CDP connectors </x:v>
      </x:c>
      <x:c r="C265" s="36" t="str">
        <x:v>BU Led</x:v>
      </x:c>
      <x:c r="D265" s="36" t="str">
        <x:v>CoE Marketing – HS (former DMEC)​</x:v>
      </x:c>
      <x:c r="E265" s="38" t="n">
        <x:v>0.05</x:v>
      </x:c>
      <x:c r="F265" s="39"/>
      <x:c r="G265" s="38" t="n">
        <x:f>IF(ISNUMBER(F265),F265,IF(E265="","",E265))</x:f>
        <x:v>0.05</x:v>
      </x:c>
      <x:c r="H265" s="38"/>
      <x:c r="I265" s="39"/>
      <x:c r="J265" s="36" t="str">
        <x:v>Revenue</x:v>
      </x:c>
      <x:c r="K265" s="38" t="str">
        <x:f>IF(ISNUMBER(I265),I265,IF(OR(NOT(ISNUMBER(H265)),NOT(ISNUMBER(G265)),G265&lt;=0),"",IF(H265/G265&gt;='Score settings'!$B$58,"",IF(J265="Cash savings",H265,IF(J265="Revenue",H265*'Score settings'!$B$55,"")))))</x:f>
      </x:c>
      <x:c r="L265" s="36"/>
      <x:c r="M265" s="39"/>
      <x:c r="N265" s="40"/>
      <x:c r="O265" s="36" t="str">
        <x:v>Must Do</x:v>
      </x:c>
      <x:c r="P265" s="36" t="str">
        <x:v>NewFeat</x:v>
      </x:c>
      <x:c r="Q265" s="36" t="str">
        <x:v>Revenue</x:v>
      </x:c>
      <x:c r="R265" s="36" t="str">
        <x:v>NotAssessed</x:v>
      </x:c>
      <x:c r="S265" s="36" t="str"/>
      <x:c r="T265" s="36" t="str">
        <x:v>Common pot</x:v>
      </x:c>
      <x:c r="U265" s="41" t="n">
        <x:f>VLOOKUP("Priority|"&amp;O265,'Score settings'!$A$14:$C$43,2,FALSE)/'Score settings'!$B$4*'Score settings'!$C$4</x:f>
        <x:v>25</x:v>
      </x:c>
      <x:c r="V265" s="41" t="n">
        <x:f>VLOOKUP("Category|"&amp;P265,'Score settings'!$A$14:$C$43,2,FALSE)/'Score settings'!$B$5*'Score settings'!$C$5</x:f>
        <x:v>6</x:v>
      </x:c>
      <x:c r="W265" s="41" t="n">
        <x:f>VLOOKUP("Area|"&amp;Q265,'Score settings'!$A$14:$C$43,2,FALSE)/'Score settings'!$B$6*'Score settings'!$C$6</x:f>
        <x:v>11</x:v>
      </x:c>
      <x:c r="X265" s="41" t="n">
        <x:f>VLOOKUP("Benefits|"&amp;IF(AND(ISNUMBER(H265),H265&gt;0,ISNUMBER(G265),G265&gt;0),IF(H265/G265&gt;='Score settings'!$E$17,"3plus",IF(H265/G265&gt;='Score settings'!$E$16,"1.5to3",IF(H265/G265&gt;='Score settings'!$E$15,"0.5to1.5","positive"))),"None"),'Score settings'!$A$14:$C$43,2,FALSE)/'Score settings'!$B$7*'Score settings'!$C$7</x:f>
        <x:v>5</x:v>
      </x:c>
      <x:c r="Y265" s="41" t="n">
        <x:f>VLOOKUP("Waste|"&amp;R265,'Score settings'!$A$14:$C$43,2,FALSE)/'Score settings'!$B$8*'Score settings'!$C$8</x:f>
        <x:v>7</x:v>
      </x:c>
      <x:c r="Z265" s="41" t="n">
        <x:f>IF(B265="","",SUM(U265:Y265))</x:f>
        <x:v>54</x:v>
      </x:c>
      <x:c r="AA265" s="41" t="str">
        <x:f>IF(Z265="","Not scored",VLOOKUP(Z265,'Score settings'!$A$47:$C$50,2,TRUE))</x:f>
        <x:v>Strong</x:v>
      </x:c>
      <x:c r="AB265" s="41" t="n">
        <x:f>VLOOKUP("Priority|"&amp;O265,'Score settings'!$A$14:$C$43,3,FALSE)/'Score settings'!$B$4*'Score settings'!$D$4</x:f>
        <x:v>15</x:v>
      </x:c>
      <x:c r="AC265" s="41" t="n">
        <x:f>VLOOKUP("Category|"&amp;P265,'Score settings'!$A$14:$C$43,3,FALSE)/'Score settings'!$B$5*'Score settings'!$D$5</x:f>
        <x:v>3</x:v>
      </x:c>
      <x:c r="AD265" s="41" t="n">
        <x:f>VLOOKUP("Area|"&amp;Q265,'Score settings'!$A$14:$C$43,3,FALSE)/'Score settings'!$B$6*'Score settings'!$D$6</x:f>
        <x:v>7.333333333333333</x:v>
      </x:c>
      <x:c r="AE265" s="41" t="n">
        <x:f>VLOOKUP("Benefits|"&amp;IF(AND(ISNUMBER(K265),K265&gt;0,ISNUMBER(G265),G265&gt;0),IF(K265/G265&gt;='Score settings'!$E$17,"3plus",IF(K265/G265&gt;='Score settings'!$E$16,"1.5to3",IF(K265/G265&gt;='Score settings'!$E$15,"0.5to1.5","positive"))),"None"),'Score settings'!$A$14:$C$43,3,FALSE)/'Score settings'!$B$7*'Score settings'!$D$7</x:f>
        <x:v>0</x:v>
      </x:c>
      <x:c r="AF265" s="41" t="n">
        <x:f>VLOOKUP("Waste|"&amp;R265,'Score settings'!$A$14:$C$43,3,FALSE)/'Score settings'!$B$8*'Score settings'!$D$8</x:f>
        <x:v>0</x:v>
      </x:c>
      <x:c r="AG265" s="41" t="n">
        <x:f>(IF(AND(ISNUMBER(M265),M265&gt;0,ISNUMBER(G265),G265&gt;0),IF(M265/G265&gt;='Score settings'!$E$17,'Score settings'!$G$17,IF(M265/G265&gt;='Score settings'!$E$16,'Score settings'!$G$16,IF(M265/G265&gt;='Score settings'!$E$15,'Score settings'!$G$15,'Score settings'!$G$14))),0)/15*'Score settings'!$B$60+IFERROR(VLOOKUP(IF(ISNUMBER(N265),N265,IF(ISNUMBER(L265),L265,0)),'Score settings'!$E$22:$F$26,2,FALSE),0)/10*'Score settings'!$B$61)/'Score settings'!$B$9*'Score settings'!$D$9</x:f>
        <x:v>0</x:v>
      </x:c>
      <x:c r="AH265" s="41" t="n">
        <x:f>IF(B265="","",SUM(AB265:AG265))</x:f>
        <x:v>25.333333333333332</x:v>
      </x:c>
      <x:c r="AI265" s="41" t="str">
        <x:f>IF(NOT(ISNUMBER(AH265)),"Not scored",VLOOKUP(AH265,'Score settings'!$A$47:$C$50,3,TRUE))</x:f>
        <x:v>Discretionary</x:v>
      </x:c>
      <x:c r="AJ265" s="42" t="n">
        <x:f>IF(OR(NOT(ISNUMBER(AH265)),T265&lt;&gt;"Common pot"),"",COUNTIFS($T$4:$T$509,"Common pot",$AH$4:$AH$509,"&gt;"&amp;AH265)+1)</x:f>
        <x:v>253</x:v>
      </x:c>
      <x:c r="AK265" s="36" t="str">
        <x:f>IF(B265="","Name missing - not scored",IF(OR(NOT(ISNUMBER(G265)),G265&lt;=0),"Investment missing or zero - review",IF(0=1,"Permanent ID missing - reconcile",IF(AND(ISNUMBER(H265),H265/G265&gt;='Score settings'!$B$58,NOT(ISNUMBER(I265))),"Benefit units need review",IF(OR(R265="EXIT",R265="CHALLENGE"),"Waste decision requires scope resolution",IF("Name and organisation matched"&lt;&gt;"Name and organisation matched","Waste evidence match needs review","Provisional source score - confirm evidence"))))))</x:f>
        <x:v>Provisional source score - confirm evidence</x:v>
      </x:c>
      <x:c r="AL265" s="36"/>
      <x:c r="AM265" s="40"/>
      <x:c r="AN265" s="39"/>
      <x:c r="AO265" s="40"/>
      <x:c r="AP265" s="40"/>
    </x:row>
    <x:row r="266" ht="15" hidden="0" customHeight="1">
      <x:c r="A266" s="36" t="str">
        <x:v>Bu-272</x:v>
      </x:c>
      <x:c r="B266" s="37" t="str">
        <x:v>Pricing System  new</x:v>
      </x:c>
      <x:c r="C266" s="36" t="str">
        <x:v>BU Led</x:v>
      </x:c>
      <x:c r="D266" s="36" t="str">
        <x:v>CoE Marketing – HS (former DMEC)​</x:v>
      </x:c>
      <x:c r="E266" s="38" t="n">
        <x:v>0.2</x:v>
      </x:c>
      <x:c r="F266" s="39"/>
      <x:c r="G266" s="38" t="n">
        <x:f>IF(ISNUMBER(F266),F266,IF(E266="","",E266))</x:f>
        <x:v>0.2</x:v>
      </x:c>
      <x:c r="H266" s="38"/>
      <x:c r="I266" s="39"/>
      <x:c r="J266" s="36" t="str">
        <x:v>Revenue</x:v>
      </x:c>
      <x:c r="K266" s="38" t="str">
        <x:f>IF(ISNUMBER(I266),I266,IF(OR(NOT(ISNUMBER(H266)),NOT(ISNUMBER(G266)),G266&lt;=0),"",IF(H266/G266&gt;='Score settings'!$B$58,"",IF(J266="Cash savings",H266,IF(J266="Revenue",H266*'Score settings'!$B$55,"")))))</x:f>
      </x:c>
      <x:c r="L266" s="36"/>
      <x:c r="M266" s="39"/>
      <x:c r="N266" s="40"/>
      <x:c r="O266" s="36" t="str">
        <x:v>Must Have</x:v>
      </x:c>
      <x:c r="P266" s="36" t="str">
        <x:v>NewFeat</x:v>
      </x:c>
      <x:c r="Q266" s="36" t="str">
        <x:v>Revenue</x:v>
      </x:c>
      <x:c r="R266" s="36" t="str">
        <x:v>NotAssessed</x:v>
      </x:c>
      <x:c r="S266" s="36" t="str"/>
      <x:c r="T266" s="36" t="str">
        <x:v>Common pot</x:v>
      </x:c>
      <x:c r="U266" s="41" t="n">
        <x:f>VLOOKUP("Priority|"&amp;O266,'Score settings'!$A$14:$C$43,2,FALSE)/'Score settings'!$B$4*'Score settings'!$C$4</x:f>
        <x:v>18</x:v>
      </x:c>
      <x:c r="V266" s="41" t="n">
        <x:f>VLOOKUP("Category|"&amp;P266,'Score settings'!$A$14:$C$43,2,FALSE)/'Score settings'!$B$5*'Score settings'!$C$5</x:f>
        <x:v>6</x:v>
      </x:c>
      <x:c r="W266" s="41" t="n">
        <x:f>VLOOKUP("Area|"&amp;Q266,'Score settings'!$A$14:$C$43,2,FALSE)/'Score settings'!$B$6*'Score settings'!$C$6</x:f>
        <x:v>11</x:v>
      </x:c>
      <x:c r="X266" s="41" t="n">
        <x:f>VLOOKUP("Benefits|"&amp;IF(AND(ISNUMBER(H266),H266&gt;0,ISNUMBER(G266),G266&gt;0),IF(H266/G266&gt;='Score settings'!$E$17,"3plus",IF(H266/G266&gt;='Score settings'!$E$16,"1.5to3",IF(H266/G266&gt;='Score settings'!$E$15,"0.5to1.5","positive"))),"None"),'Score settings'!$A$14:$C$43,2,FALSE)/'Score settings'!$B$7*'Score settings'!$C$7</x:f>
        <x:v>5</x:v>
      </x:c>
      <x:c r="Y266" s="41" t="n">
        <x:f>VLOOKUP("Waste|"&amp;R266,'Score settings'!$A$14:$C$43,2,FALSE)/'Score settings'!$B$8*'Score settings'!$C$8</x:f>
        <x:v>7</x:v>
      </x:c>
      <x:c r="Z266" s="41" t="n">
        <x:f>IF(B266="","",SUM(U266:Y266))</x:f>
        <x:v>47</x:v>
      </x:c>
      <x:c r="AA266" s="41" t="str">
        <x:f>IF(Z266="","Not scored",VLOOKUP(Z266,'Score settings'!$A$47:$C$50,2,TRUE))</x:f>
        <x:v>Strong</x:v>
      </x:c>
      <x:c r="AB266" s="41" t="n">
        <x:f>VLOOKUP("Priority|"&amp;O266,'Score settings'!$A$14:$C$43,3,FALSE)/'Score settings'!$B$4*'Score settings'!$D$4</x:f>
        <x:v>10.799999999999999</x:v>
      </x:c>
      <x:c r="AC266" s="41" t="n">
        <x:f>VLOOKUP("Category|"&amp;P266,'Score settings'!$A$14:$C$43,3,FALSE)/'Score settings'!$B$5*'Score settings'!$D$5</x:f>
        <x:v>3</x:v>
      </x:c>
      <x:c r="AD266" s="41" t="n">
        <x:f>VLOOKUP("Area|"&amp;Q266,'Score settings'!$A$14:$C$43,3,FALSE)/'Score settings'!$B$6*'Score settings'!$D$6</x:f>
        <x:v>7.333333333333333</x:v>
      </x:c>
      <x:c r="AE266" s="41" t="n">
        <x:f>VLOOKUP("Benefits|"&amp;IF(AND(ISNUMBER(K266),K266&gt;0,ISNUMBER(G266),G266&gt;0),IF(K266/G266&gt;='Score settings'!$E$17,"3plus",IF(K266/G266&gt;='Score settings'!$E$16,"1.5to3",IF(K266/G266&gt;='Score settings'!$E$15,"0.5to1.5","positive"))),"None"),'Score settings'!$A$14:$C$43,3,FALSE)/'Score settings'!$B$7*'Score settings'!$D$7</x:f>
        <x:v>0</x:v>
      </x:c>
      <x:c r="AF266" s="41" t="n">
        <x:f>VLOOKUP("Waste|"&amp;R266,'Score settings'!$A$14:$C$43,3,FALSE)/'Score settings'!$B$8*'Score settings'!$D$8</x:f>
        <x:v>0</x:v>
      </x:c>
      <x:c r="AG266" s="41" t="n">
        <x:f>(IF(AND(ISNUMBER(M266),M266&gt;0,ISNUMBER(G266),G266&gt;0),IF(M266/G266&gt;='Score settings'!$E$17,'Score settings'!$G$17,IF(M266/G266&gt;='Score settings'!$E$16,'Score settings'!$G$16,IF(M266/G266&gt;='Score settings'!$E$15,'Score settings'!$G$15,'Score settings'!$G$14))),0)/15*'Score settings'!$B$60+IFERROR(VLOOKUP(IF(ISNUMBER(N266),N266,IF(ISNUMBER(L266),L266,0)),'Score settings'!$E$22:$F$26,2,FALSE),0)/10*'Score settings'!$B$61)/'Score settings'!$B$9*'Score settings'!$D$9</x:f>
        <x:v>0</x:v>
      </x:c>
      <x:c r="AH266" s="41" t="n">
        <x:f>IF(B266="","",SUM(AB266:AG266))</x:f>
        <x:v>21.133333333333333</x:v>
      </x:c>
      <x:c r="AI266" s="41" t="str">
        <x:f>IF(NOT(ISNUMBER(AH266)),"Not scored",VLOOKUP(AH266,'Score settings'!$A$47:$C$50,3,TRUE))</x:f>
        <x:v>Weak</x:v>
      </x:c>
      <x:c r="AJ266" s="42" t="n">
        <x:f>IF(OR(NOT(ISNUMBER(AH266)),T266&lt;&gt;"Common pot"),"",COUNTIFS($T$4:$T$509,"Common pot",$AH$4:$AH$509,"&gt;"&amp;AH266)+1)</x:f>
        <x:v>346</x:v>
      </x:c>
      <x:c r="AK266" s="36" t="str">
        <x:f>IF(B266="","Name missing - not scored",IF(OR(NOT(ISNUMBER(G266)),G266&lt;=0),"Investment missing or zero - review",IF(0=1,"Permanent ID missing - reconcile",IF(AND(ISNUMBER(H266),H266/G266&gt;='Score settings'!$B$58,NOT(ISNUMBER(I266))),"Benefit units need review",IF(OR(R266="EXIT",R266="CHALLENGE"),"Waste decision requires scope resolution",IF("Name and organisation matched"&lt;&gt;"Name and organisation matched","Waste evidence match needs review","Provisional source score - confirm evidence"))))))</x:f>
        <x:v>Provisional source score - confirm evidence</x:v>
      </x:c>
      <x:c r="AL266" s="36"/>
      <x:c r="AM266" s="40"/>
      <x:c r="AN266" s="39"/>
      <x:c r="AO266" s="40"/>
      <x:c r="AP266" s="40"/>
    </x:row>
    <x:row r="267" ht="15" hidden="0" customHeight="1">
      <x:c r="A267" s="36" t="str">
        <x:v>Bu-273</x:v>
      </x:c>
      <x:c r="B267" s="37" t="str">
        <x:v>Pricing maintence</x:v>
      </x:c>
      <x:c r="C267" s="36" t="str">
        <x:v>BU Led</x:v>
      </x:c>
      <x:c r="D267" s="36" t="str">
        <x:v>CoE Marketing – HS (former DMEC)​</x:v>
      </x:c>
      <x:c r="E267" s="38" t="n">
        <x:v>0.1</x:v>
      </x:c>
      <x:c r="F267" s="39"/>
      <x:c r="G267" s="38" t="n">
        <x:f>IF(ISNUMBER(F267),F267,IF(E267="","",E267))</x:f>
        <x:v>0.1</x:v>
      </x:c>
      <x:c r="H267" s="38"/>
      <x:c r="I267" s="39"/>
      <x:c r="J267" s="36" t="str">
        <x:v>Revenue</x:v>
      </x:c>
      <x:c r="K267" s="38" t="str">
        <x:f>IF(ISNUMBER(I267),I267,IF(OR(NOT(ISNUMBER(H267)),NOT(ISNUMBER(G267)),G267&lt;=0),"",IF(H267/G267&gt;='Score settings'!$B$58,"",IF(J267="Cash savings",H267,IF(J267="Revenue",H267*'Score settings'!$B$55,"")))))</x:f>
      </x:c>
      <x:c r="L267" s="36"/>
      <x:c r="M267" s="39"/>
      <x:c r="N267" s="40"/>
      <x:c r="O267" s="36" t="str">
        <x:v>Must Do</x:v>
      </x:c>
      <x:c r="P267" s="36" t="str">
        <x:v>CI</x:v>
      </x:c>
      <x:c r="Q267" s="36" t="str">
        <x:v>Revenue</x:v>
      </x:c>
      <x:c r="R267" s="36" t="str">
        <x:v>NotAssessed</x:v>
      </x:c>
      <x:c r="S267" s="36" t="str"/>
      <x:c r="T267" s="36" t="str">
        <x:v>Common pot</x:v>
      </x:c>
      <x:c r="U267" s="41" t="n">
        <x:f>VLOOKUP("Priority|"&amp;O267,'Score settings'!$A$14:$C$43,2,FALSE)/'Score settings'!$B$4*'Score settings'!$C$4</x:f>
        <x:v>25</x:v>
      </x:c>
      <x:c r="V267" s="41" t="n">
        <x:f>VLOOKUP("Category|"&amp;P267,'Score settings'!$A$14:$C$43,2,FALSE)/'Score settings'!$B$5*'Score settings'!$C$5</x:f>
        <x:v>8</x:v>
      </x:c>
      <x:c r="W267" s="41" t="n">
        <x:f>VLOOKUP("Area|"&amp;Q267,'Score settings'!$A$14:$C$43,2,FALSE)/'Score settings'!$B$6*'Score settings'!$C$6</x:f>
        <x:v>11</x:v>
      </x:c>
      <x:c r="X267" s="41" t="n">
        <x:f>VLOOKUP("Benefits|"&amp;IF(AND(ISNUMBER(H267),H267&gt;0,ISNUMBER(G267),G267&gt;0),IF(H267/G267&gt;='Score settings'!$E$17,"3plus",IF(H267/G267&gt;='Score settings'!$E$16,"1.5to3",IF(H267/G267&gt;='Score settings'!$E$15,"0.5to1.5","positive"))),"None"),'Score settings'!$A$14:$C$43,2,FALSE)/'Score settings'!$B$7*'Score settings'!$C$7</x:f>
        <x:v>5</x:v>
      </x:c>
      <x:c r="Y267" s="41" t="n">
        <x:f>VLOOKUP("Waste|"&amp;R267,'Score settings'!$A$14:$C$43,2,FALSE)/'Score settings'!$B$8*'Score settings'!$C$8</x:f>
        <x:v>7</x:v>
      </x:c>
      <x:c r="Z267" s="41" t="n">
        <x:f>IF(B267="","",SUM(U267:Y267))</x:f>
        <x:v>56</x:v>
      </x:c>
      <x:c r="AA267" s="41" t="str">
        <x:f>IF(Z267="","Not scored",VLOOKUP(Z267,'Score settings'!$A$47:$C$50,2,TRUE))</x:f>
        <x:v>Strong</x:v>
      </x:c>
      <x:c r="AB267" s="41" t="n">
        <x:f>VLOOKUP("Priority|"&amp;O267,'Score settings'!$A$14:$C$43,3,FALSE)/'Score settings'!$B$4*'Score settings'!$D$4</x:f>
        <x:v>15</x:v>
      </x:c>
      <x:c r="AC267" s="41" t="n">
        <x:f>VLOOKUP("Category|"&amp;P267,'Score settings'!$A$14:$C$43,3,FALSE)/'Score settings'!$B$5*'Score settings'!$D$5</x:f>
        <x:v>4</x:v>
      </x:c>
      <x:c r="AD267" s="41" t="n">
        <x:f>VLOOKUP("Area|"&amp;Q267,'Score settings'!$A$14:$C$43,3,FALSE)/'Score settings'!$B$6*'Score settings'!$D$6</x:f>
        <x:v>7.333333333333333</x:v>
      </x:c>
      <x:c r="AE267" s="41" t="n">
        <x:f>VLOOKUP("Benefits|"&amp;IF(AND(ISNUMBER(K267),K267&gt;0,ISNUMBER(G267),G267&gt;0),IF(K267/G267&gt;='Score settings'!$E$17,"3plus",IF(K267/G267&gt;='Score settings'!$E$16,"1.5to3",IF(K267/G267&gt;='Score settings'!$E$15,"0.5to1.5","positive"))),"None"),'Score settings'!$A$14:$C$43,3,FALSE)/'Score settings'!$B$7*'Score settings'!$D$7</x:f>
        <x:v>0</x:v>
      </x:c>
      <x:c r="AF267" s="41" t="n">
        <x:f>VLOOKUP("Waste|"&amp;R267,'Score settings'!$A$14:$C$43,3,FALSE)/'Score settings'!$B$8*'Score settings'!$D$8</x:f>
        <x:v>0</x:v>
      </x:c>
      <x:c r="AG267" s="41" t="n">
        <x:f>(IF(AND(ISNUMBER(M267),M267&gt;0,ISNUMBER(G267),G267&gt;0),IF(M267/G267&gt;='Score settings'!$E$17,'Score settings'!$G$17,IF(M267/G267&gt;='Score settings'!$E$16,'Score settings'!$G$16,IF(M267/G267&gt;='Score settings'!$E$15,'Score settings'!$G$15,'Score settings'!$G$14))),0)/15*'Score settings'!$B$60+IFERROR(VLOOKUP(IF(ISNUMBER(N267),N267,IF(ISNUMBER(L267),L267,0)),'Score settings'!$E$22:$F$26,2,FALSE),0)/10*'Score settings'!$B$61)/'Score settings'!$B$9*'Score settings'!$D$9</x:f>
        <x:v>0</x:v>
      </x:c>
      <x:c r="AH267" s="41" t="n">
        <x:f>IF(B267="","",SUM(AB267:AG267))</x:f>
        <x:v>26.333333333333332</x:v>
      </x:c>
      <x:c r="AI267" s="41" t="str">
        <x:f>IF(NOT(ISNUMBER(AH267)),"Not scored",VLOOKUP(AH267,'Score settings'!$A$47:$C$50,3,TRUE))</x:f>
        <x:v>Discretionary</x:v>
      </x:c>
      <x:c r="AJ267" s="42" t="n">
        <x:f>IF(OR(NOT(ISNUMBER(AH267)),T267&lt;&gt;"Common pot"),"",COUNTIFS($T$4:$T$509,"Common pot",$AH$4:$AH$509,"&gt;"&amp;AH267)+1)</x:f>
        <x:v>235</x:v>
      </x:c>
      <x:c r="AK267" s="36" t="str">
        <x:f>IF(B267="","Name missing - not scored",IF(OR(NOT(ISNUMBER(G267)),G267&lt;=0),"Investment missing or zero - review",IF(0=1,"Permanent ID missing - reconcile",IF(AND(ISNUMBER(H267),H267/G267&gt;='Score settings'!$B$58,NOT(ISNUMBER(I267))),"Benefit units need review",IF(OR(R267="EXIT",R267="CHALLENGE"),"Waste decision requires scope resolution",IF("Name and organisation matched"&lt;&gt;"Name and organisation matched","Waste evidence match needs review","Provisional source score - confirm evidence"))))))</x:f>
        <x:v>Provisional source score - confirm evidence</x:v>
      </x:c>
      <x:c r="AL267" s="36"/>
      <x:c r="AM267" s="40"/>
      <x:c r="AN267" s="39"/>
      <x:c r="AO267" s="40"/>
      <x:c r="AP267" s="40"/>
    </x:row>
    <x:row r="268" ht="15" hidden="0" customHeight="1">
      <x:c r="A268" s="36" t="str">
        <x:v>Bu-274</x:v>
      </x:c>
      <x:c r="B268" s="37" t="str">
        <x:v>PAL/PPL enhancements</x:v>
      </x:c>
      <x:c r="C268" s="36" t="str">
        <x:v>BU Led</x:v>
      </x:c>
      <x:c r="D268" s="36" t="str">
        <x:v>CoE Marketing – HS (former DMEC)​</x:v>
      </x:c>
      <x:c r="E268" s="38" t="n">
        <x:v>0.3</x:v>
      </x:c>
      <x:c r="F268" s="39"/>
      <x:c r="G268" s="38" t="n">
        <x:f>IF(ISNUMBER(F268),F268,IF(E268="","",E268))</x:f>
        <x:v>0.3</x:v>
      </x:c>
      <x:c r="H268" s="38" t="n">
        <x:v>0.5</x:v>
      </x:c>
      <x:c r="I268" s="39"/>
      <x:c r="J268" s="36" t="str">
        <x:v>Risk exposure</x:v>
      </x:c>
      <x:c r="K268" s="38" t="str">
        <x:f>IF(ISNUMBER(I268),I268,IF(OR(NOT(ISNUMBER(H268)),NOT(ISNUMBER(G268)),G268&lt;=0),"",IF(H268/G268&gt;='Score settings'!$B$58,"",IF(J268="Cash savings",H268,IF(J268="Revenue",H268*'Score settings'!$B$55,"")))))</x:f>
      </x:c>
      <x:c r="L268" s="36"/>
      <x:c r="M268" s="39"/>
      <x:c r="N268" s="40"/>
      <x:c r="O268" s="36" t="str">
        <x:v>Must Do</x:v>
      </x:c>
      <x:c r="P268" s="36" t="str">
        <x:v>CI</x:v>
      </x:c>
      <x:c r="Q268" s="36" t="str">
        <x:v>Compliance</x:v>
      </x:c>
      <x:c r="R268" s="36" t="str">
        <x:v>NotAssessed</x:v>
      </x:c>
      <x:c r="S268" s="36" t="str"/>
      <x:c r="T268" s="36" t="str">
        <x:v>Common pot</x:v>
      </x:c>
      <x:c r="U268" s="41" t="n">
        <x:f>VLOOKUP("Priority|"&amp;O268,'Score settings'!$A$14:$C$43,2,FALSE)/'Score settings'!$B$4*'Score settings'!$C$4</x:f>
        <x:v>25</x:v>
      </x:c>
      <x:c r="V268" s="41" t="n">
        <x:f>VLOOKUP("Category|"&amp;P268,'Score settings'!$A$14:$C$43,2,FALSE)/'Score settings'!$B$5*'Score settings'!$C$5</x:f>
        <x:v>8</x:v>
      </x:c>
      <x:c r="W268" s="41" t="n">
        <x:f>VLOOKUP("Area|"&amp;Q268,'Score settings'!$A$14:$C$43,2,FALSE)/'Score settings'!$B$6*'Score settings'!$C$6</x:f>
        <x:v>15</x:v>
      </x:c>
      <x:c r="X268" s="41" t="n">
        <x:f>VLOOKUP("Benefits|"&amp;IF(AND(ISNUMBER(H268),H268&gt;0,ISNUMBER(G268),G268&gt;0),IF(H268/G268&gt;='Score settings'!$E$17,"3plus",IF(H268/G268&gt;='Score settings'!$E$16,"1.5to3",IF(H268/G268&gt;='Score settings'!$E$15,"0.5to1.5","positive"))),"None"),'Score settings'!$A$14:$C$43,2,FALSE)/'Score settings'!$B$7*'Score settings'!$C$7</x:f>
        <x:v>20</x:v>
      </x:c>
      <x:c r="Y268" s="41" t="n">
        <x:f>VLOOKUP("Waste|"&amp;R268,'Score settings'!$A$14:$C$43,2,FALSE)/'Score settings'!$B$8*'Score settings'!$C$8</x:f>
        <x:v>7</x:v>
      </x:c>
      <x:c r="Z268" s="41" t="n">
        <x:f>IF(B268="","",SUM(U268:Y268))</x:f>
        <x:v>75</x:v>
      </x:c>
      <x:c r="AA268" s="41" t="str">
        <x:f>IF(Z268="","Not scored",VLOOKUP(Z268,'Score settings'!$A$47:$C$50,2,TRUE))</x:f>
        <x:v>Protected</x:v>
      </x:c>
      <x:c r="AB268" s="41" t="n">
        <x:f>VLOOKUP("Priority|"&amp;O268,'Score settings'!$A$14:$C$43,3,FALSE)/'Score settings'!$B$4*'Score settings'!$D$4</x:f>
        <x:v>15</x:v>
      </x:c>
      <x:c r="AC268" s="41" t="n">
        <x:f>VLOOKUP("Category|"&amp;P268,'Score settings'!$A$14:$C$43,3,FALSE)/'Score settings'!$B$5*'Score settings'!$D$5</x:f>
        <x:v>4</x:v>
      </x:c>
      <x:c r="AD268" s="41" t="n">
        <x:f>VLOOKUP("Area|"&amp;Q268,'Score settings'!$A$14:$C$43,3,FALSE)/'Score settings'!$B$6*'Score settings'!$D$6</x:f>
        <x:v>10</x:v>
      </x:c>
      <x:c r="AE268" s="41" t="n">
        <x:f>VLOOKUP("Benefits|"&amp;IF(AND(ISNUMBER(K268),K268&gt;0,ISNUMBER(G268),G268&gt;0),IF(K268/G268&gt;='Score settings'!$E$17,"3plus",IF(K268/G268&gt;='Score settings'!$E$16,"1.5to3",IF(K268/G268&gt;='Score settings'!$E$15,"0.5to1.5","positive"))),"None"),'Score settings'!$A$14:$C$43,3,FALSE)/'Score settings'!$B$7*'Score settings'!$D$7</x:f>
        <x:v>0</x:v>
      </x:c>
      <x:c r="AF268" s="41" t="n">
        <x:f>VLOOKUP("Waste|"&amp;R268,'Score settings'!$A$14:$C$43,3,FALSE)/'Score settings'!$B$8*'Score settings'!$D$8</x:f>
        <x:v>0</x:v>
      </x:c>
      <x:c r="AG268" s="41" t="n">
        <x:f>(IF(AND(ISNUMBER(M268),M268&gt;0,ISNUMBER(G268),G268&gt;0),IF(M268/G268&gt;='Score settings'!$E$17,'Score settings'!$G$17,IF(M268/G268&gt;='Score settings'!$E$16,'Score settings'!$G$16,IF(M268/G268&gt;='Score settings'!$E$15,'Score settings'!$G$15,'Score settings'!$G$14))),0)/15*'Score settings'!$B$60+IFERROR(VLOOKUP(IF(ISNUMBER(N268),N268,IF(ISNUMBER(L268),L268,0)),'Score settings'!$E$22:$F$26,2,FALSE),0)/10*'Score settings'!$B$61)/'Score settings'!$B$9*'Score settings'!$D$9</x:f>
        <x:v>0</x:v>
      </x:c>
      <x:c r="AH268" s="41" t="n">
        <x:f>IF(B268="","",SUM(AB268:AG268))</x:f>
        <x:v>29</x:v>
      </x:c>
      <x:c r="AI268" s="41" t="str">
        <x:f>IF(NOT(ISNUMBER(AH268)),"Not scored",VLOOKUP(AH268,'Score settings'!$A$47:$C$50,3,TRUE))</x:f>
        <x:v>Discretionary</x:v>
      </x:c>
      <x:c r="AJ268" s="42" t="n">
        <x:f>IF(OR(NOT(ISNUMBER(AH268)),T268&lt;&gt;"Common pot"),"",COUNTIFS($T$4:$T$509,"Common pot",$AH$4:$AH$509,"&gt;"&amp;AH268)+1)</x:f>
        <x:v>195</x:v>
      </x:c>
      <x:c r="AK268" s="36" t="str">
        <x:f>IF(B268="","Name missing - not scored",IF(OR(NOT(ISNUMBER(G268)),G268&lt;=0),"Investment missing or zero - review",IF(0=1,"Permanent ID missing - reconcile",IF(AND(ISNUMBER(H268),H268/G268&gt;='Score settings'!$B$58,NOT(ISNUMBER(I268))),"Benefit units need review",IF(OR(R268="EXIT",R268="CHALLENGE"),"Waste decision requires scope resolution",IF("Name and organisation matched"&lt;&gt;"Name and organisation matched","Waste evidence match needs review","Provisional source score - confirm evidence"))))))</x:f>
        <x:v>Provisional source score - confirm evidence</x:v>
      </x:c>
      <x:c r="AL268" s="36"/>
      <x:c r="AM268" s="40"/>
      <x:c r="AN268" s="39"/>
      <x:c r="AO268" s="40"/>
      <x:c r="AP268" s="40"/>
    </x:row>
    <x:row r="269" ht="15" hidden="0" customHeight="1">
      <x:c r="A269" s="36" t="str">
        <x:v>Bu-275</x:v>
      </x:c>
      <x:c r="B269" s="37" t="str">
        <x:v>Web - Contentful features backlog (GEO, Compliance, Fixes, etc.)</x:v>
      </x:c>
      <x:c r="C269" s="36" t="str">
        <x:v>BU Led</x:v>
      </x:c>
      <x:c r="D269" s="36" t="str">
        <x:v>CoE Marketing – HS (former DMEC)​</x:v>
      </x:c>
      <x:c r="E269" s="38" t="n">
        <x:v>0.57</x:v>
      </x:c>
      <x:c r="F269" s="39"/>
      <x:c r="G269" s="38" t="n">
        <x:f>IF(ISNUMBER(F269),F269,IF(E269="","",E269))</x:f>
        <x:v>0.57</x:v>
      </x:c>
      <x:c r="H269" s="38" t="n">
        <x:v>2</x:v>
      </x:c>
      <x:c r="I269" s="39"/>
      <x:c r="J269" s="36" t="str">
        <x:v>Revenue</x:v>
      </x:c>
      <x:c r="K269" s="38" t="n">
        <x:f>IF(ISNUMBER(I269),I269,IF(OR(NOT(ISNUMBER(H269)),NOT(ISNUMBER(G269)),G269&lt;=0),"",IF(H269/G269&gt;='Score settings'!$B$58,"",IF(J269="Cash savings",H269,IF(J269="Revenue",H269*'Score settings'!$B$55,"")))))</x:f>
        <x:v>0.3</x:v>
      </x:c>
      <x:c r="L269" s="36"/>
      <x:c r="M269" s="39"/>
      <x:c r="N269" s="40"/>
      <x:c r="O269" s="36" t="str">
        <x:v>Must Do</x:v>
      </x:c>
      <x:c r="P269" s="36" t="str">
        <x:v>CI</x:v>
      </x:c>
      <x:c r="Q269" s="36" t="str">
        <x:v>Revenue</x:v>
      </x:c>
      <x:c r="R269" s="36" t="str">
        <x:v>NotAssessed</x:v>
      </x:c>
      <x:c r="S269" s="36" t="str"/>
      <x:c r="T269" s="36" t="str">
        <x:v>Common pot</x:v>
      </x:c>
      <x:c r="U269" s="41" t="n">
        <x:f>VLOOKUP("Priority|"&amp;O269,'Score settings'!$A$14:$C$43,2,FALSE)/'Score settings'!$B$4*'Score settings'!$C$4</x:f>
        <x:v>25</x:v>
      </x:c>
      <x:c r="V269" s="41" t="n">
        <x:f>VLOOKUP("Category|"&amp;P269,'Score settings'!$A$14:$C$43,2,FALSE)/'Score settings'!$B$5*'Score settings'!$C$5</x:f>
        <x:v>8</x:v>
      </x:c>
      <x:c r="W269" s="41" t="n">
        <x:f>VLOOKUP("Area|"&amp;Q269,'Score settings'!$A$14:$C$43,2,FALSE)/'Score settings'!$B$6*'Score settings'!$C$6</x:f>
        <x:v>11</x:v>
      </x:c>
      <x:c r="X269" s="41" t="n">
        <x:f>VLOOKUP("Benefits|"&amp;IF(AND(ISNUMBER(H269),H269&gt;0,ISNUMBER(G269),G269&gt;0),IF(H269/G269&gt;='Score settings'!$E$17,"3plus",IF(H269/G269&gt;='Score settings'!$E$16,"1.5to3",IF(H269/G269&gt;='Score settings'!$E$15,"0.5to1.5","positive"))),"None"),'Score settings'!$A$14:$C$43,2,FALSE)/'Score settings'!$B$7*'Score settings'!$C$7</x:f>
        <x:v>25</x:v>
      </x:c>
      <x:c r="Y269" s="41" t="n">
        <x:f>VLOOKUP("Waste|"&amp;R269,'Score settings'!$A$14:$C$43,2,FALSE)/'Score settings'!$B$8*'Score settings'!$C$8</x:f>
        <x:v>7</x:v>
      </x:c>
      <x:c r="Z269" s="41" t="n">
        <x:f>IF(B269="","",SUM(U269:Y269))</x:f>
        <x:v>76</x:v>
      </x:c>
      <x:c r="AA269" s="41" t="str">
        <x:f>IF(Z269="","Not scored",VLOOKUP(Z269,'Score settings'!$A$47:$C$50,2,TRUE))</x:f>
        <x:v>Protected</x:v>
      </x:c>
      <x:c r="AB269" s="41" t="n">
        <x:f>VLOOKUP("Priority|"&amp;O269,'Score settings'!$A$14:$C$43,3,FALSE)/'Score settings'!$B$4*'Score settings'!$D$4</x:f>
        <x:v>15</x:v>
      </x:c>
      <x:c r="AC269" s="41" t="n">
        <x:f>VLOOKUP("Category|"&amp;P269,'Score settings'!$A$14:$C$43,3,FALSE)/'Score settings'!$B$5*'Score settings'!$D$5</x:f>
        <x:v>4</x:v>
      </x:c>
      <x:c r="AD269" s="41" t="n">
        <x:f>VLOOKUP("Area|"&amp;Q269,'Score settings'!$A$14:$C$43,3,FALSE)/'Score settings'!$B$6*'Score settings'!$D$6</x:f>
        <x:v>7.333333333333333</x:v>
      </x:c>
      <x:c r="AE269" s="41" t="n">
        <x:f>VLOOKUP("Benefits|"&amp;IF(AND(ISNUMBER(K269),K269&gt;0,ISNUMBER(G269),G269&gt;0),IF(K269/G269&gt;='Score settings'!$E$17,"3plus",IF(K269/G269&gt;='Score settings'!$E$16,"1.5to3",IF(K269/G269&gt;='Score settings'!$E$15,"0.5to1.5","positive"))),"None"),'Score settings'!$A$14:$C$43,3,FALSE)/'Score settings'!$B$7*'Score settings'!$D$7</x:f>
        <x:v>18</x:v>
      </x:c>
      <x:c r="AF269" s="41" t="n">
        <x:f>VLOOKUP("Waste|"&amp;R269,'Score settings'!$A$14:$C$43,3,FALSE)/'Score settings'!$B$8*'Score settings'!$D$8</x:f>
        <x:v>0</x:v>
      </x:c>
      <x:c r="AG269" s="41" t="n">
        <x:f>(IF(AND(ISNUMBER(M269),M269&gt;0,ISNUMBER(G269),G269&gt;0),IF(M269/G269&gt;='Score settings'!$E$17,'Score settings'!$G$17,IF(M269/G269&gt;='Score settings'!$E$16,'Score settings'!$G$16,IF(M269/G269&gt;='Score settings'!$E$15,'Score settings'!$G$15,'Score settings'!$G$14))),0)/15*'Score settings'!$B$60+IFERROR(VLOOKUP(IF(ISNUMBER(N269),N269,IF(ISNUMBER(L269),L269,0)),'Score settings'!$E$22:$F$26,2,FALSE),0)/10*'Score settings'!$B$61)/'Score settings'!$B$9*'Score settings'!$D$9</x:f>
        <x:v>0</x:v>
      </x:c>
      <x:c r="AH269" s="41" t="n">
        <x:f>IF(B269="","",SUM(AB269:AG269))</x:f>
        <x:v>44.33333333333333</x:v>
      </x:c>
      <x:c r="AI269" s="41" t="str">
        <x:f>IF(NOT(ISNUMBER(AH269)),"Not scored",VLOOKUP(AH269,'Score settings'!$A$47:$C$50,3,TRUE))</x:f>
        <x:v>Discretionary</x:v>
      </x:c>
      <x:c r="AJ269" s="42" t="n">
        <x:f>IF(OR(NOT(ISNUMBER(AH269)),T269&lt;&gt;"Common pot"),"",COUNTIFS($T$4:$T$509,"Common pot",$AH$4:$AH$509,"&gt;"&amp;AH269)+1)</x:f>
        <x:v>67</x:v>
      </x:c>
      <x:c r="AK269" s="36" t="str">
        <x:f>IF(B269="","Name missing - not scored",IF(OR(NOT(ISNUMBER(G269)),G269&lt;=0),"Investment missing or zero - review",IF(0=1,"Permanent ID missing - reconcile",IF(AND(ISNUMBER(H269),H269/G269&gt;='Score settings'!$B$58,NOT(ISNUMBER(I269))),"Benefit units need review",IF(OR(R269="EXIT",R269="CHALLENGE"),"Waste decision requires scope resolution",IF("Name and organisation matched"&lt;&gt;"Name and organisation matched","Waste evidence match needs review","Provisional source score - confirm evidence"))))))</x:f>
        <x:v>Provisional source score - confirm evidence</x:v>
      </x:c>
      <x:c r="AL269" s="36"/>
      <x:c r="AM269" s="40"/>
      <x:c r="AN269" s="39"/>
      <x:c r="AO269" s="40"/>
      <x:c r="AP269" s="40"/>
    </x:row>
    <x:row r="270" ht="15" hidden="0" customHeight="1">
      <x:c r="A270" s="36" t="str">
        <x:v>Bu-276</x:v>
      </x:c>
      <x:c r="B270" s="37" t="str">
        <x:v>Web - Personalization &amp; orchestration to leverage CDP</x:v>
      </x:c>
      <x:c r="C270" s="36" t="str">
        <x:v>BU Led</x:v>
      </x:c>
      <x:c r="D270" s="36" t="str">
        <x:v>CoE Marketing – HS (former DMEC)​</x:v>
      </x:c>
      <x:c r="E270" s="38" t="n">
        <x:v>0.25</x:v>
      </x:c>
      <x:c r="F270" s="39"/>
      <x:c r="G270" s="38" t="n">
        <x:f>IF(ISNUMBER(F270),F270,IF(E270="","",E270))</x:f>
        <x:v>0.25</x:v>
      </x:c>
      <x:c r="H270" s="38" t="n">
        <x:v>2</x:v>
      </x:c>
      <x:c r="I270" s="39"/>
      <x:c r="J270" s="36" t="str">
        <x:v>Revenue</x:v>
      </x:c>
      <x:c r="K270" s="38" t="n">
        <x:f>IF(ISNUMBER(I270),I270,IF(OR(NOT(ISNUMBER(H270)),NOT(ISNUMBER(G270)),G270&lt;=0),"",IF(H270/G270&gt;='Score settings'!$B$58,"",IF(J270="Cash savings",H270,IF(J270="Revenue",H270*'Score settings'!$B$55,"")))))</x:f>
        <x:v>0.3</x:v>
      </x:c>
      <x:c r="L270" s="36"/>
      <x:c r="M270" s="39"/>
      <x:c r="N270" s="40"/>
      <x:c r="O270" s="36" t="str">
        <x:v>Depri</x:v>
      </x:c>
      <x:c r="P270" s="36" t="str">
        <x:v>NewFeat</x:v>
      </x:c>
      <x:c r="Q270" s="36" t="str">
        <x:v>Revenue</x:v>
      </x:c>
      <x:c r="R270" s="36" t="str">
        <x:v>NotAssessed</x:v>
      </x:c>
      <x:c r="S270" s="36" t="str"/>
      <x:c r="T270" s="36" t="str">
        <x:v>Common pot</x:v>
      </x:c>
      <x:c r="U270" s="41" t="n">
        <x:f>VLOOKUP("Priority|"&amp;O270,'Score settings'!$A$14:$C$43,2,FALSE)/'Score settings'!$B$4*'Score settings'!$C$4</x:f>
        <x:v>5</x:v>
      </x:c>
      <x:c r="V270" s="41" t="n">
        <x:f>VLOOKUP("Category|"&amp;P270,'Score settings'!$A$14:$C$43,2,FALSE)/'Score settings'!$B$5*'Score settings'!$C$5</x:f>
        <x:v>6</x:v>
      </x:c>
      <x:c r="W270" s="41" t="n">
        <x:f>VLOOKUP("Area|"&amp;Q270,'Score settings'!$A$14:$C$43,2,FALSE)/'Score settings'!$B$6*'Score settings'!$C$6</x:f>
        <x:v>11</x:v>
      </x:c>
      <x:c r="X270" s="41" t="n">
        <x:f>VLOOKUP("Benefits|"&amp;IF(AND(ISNUMBER(H270),H270&gt;0,ISNUMBER(G270),G270&gt;0),IF(H270/G270&gt;='Score settings'!$E$17,"3plus",IF(H270/G270&gt;='Score settings'!$E$16,"1.5to3",IF(H270/G270&gt;='Score settings'!$E$15,"0.5to1.5","positive"))),"None"),'Score settings'!$A$14:$C$43,2,FALSE)/'Score settings'!$B$7*'Score settings'!$C$7</x:f>
        <x:v>25</x:v>
      </x:c>
      <x:c r="Y270" s="41" t="n">
        <x:f>VLOOKUP("Waste|"&amp;R270,'Score settings'!$A$14:$C$43,2,FALSE)/'Score settings'!$B$8*'Score settings'!$C$8</x:f>
        <x:v>7</x:v>
      </x:c>
      <x:c r="Z270" s="41" t="n">
        <x:f>IF(B270="","",SUM(U270:Y270))</x:f>
        <x:v>54</x:v>
      </x:c>
      <x:c r="AA270" s="41" t="str">
        <x:f>IF(Z270="","Not scored",VLOOKUP(Z270,'Score settings'!$A$47:$C$50,2,TRUE))</x:f>
        <x:v>Strong</x:v>
      </x:c>
      <x:c r="AB270" s="41" t="n">
        <x:f>VLOOKUP("Priority|"&amp;O270,'Score settings'!$A$14:$C$43,3,FALSE)/'Score settings'!$B$4*'Score settings'!$D$4</x:f>
        <x:v>3</x:v>
      </x:c>
      <x:c r="AC270" s="41" t="n">
        <x:f>VLOOKUP("Category|"&amp;P270,'Score settings'!$A$14:$C$43,3,FALSE)/'Score settings'!$B$5*'Score settings'!$D$5</x:f>
        <x:v>3</x:v>
      </x:c>
      <x:c r="AD270" s="41" t="n">
        <x:f>VLOOKUP("Area|"&amp;Q270,'Score settings'!$A$14:$C$43,3,FALSE)/'Score settings'!$B$6*'Score settings'!$D$6</x:f>
        <x:v>7.333333333333333</x:v>
      </x:c>
      <x:c r="AE270" s="41" t="n">
        <x:f>VLOOKUP("Benefits|"&amp;IF(AND(ISNUMBER(K270),K270&gt;0,ISNUMBER(G270),G270&gt;0),IF(K270/G270&gt;='Score settings'!$E$17,"3plus",IF(K270/G270&gt;='Score settings'!$E$16,"1.5to3",IF(K270/G270&gt;='Score settings'!$E$15,"0.5to1.5","positive"))),"None"),'Score settings'!$A$14:$C$43,3,FALSE)/'Score settings'!$B$7*'Score settings'!$D$7</x:f>
        <x:v>18</x:v>
      </x:c>
      <x:c r="AF270" s="41" t="n">
        <x:f>VLOOKUP("Waste|"&amp;R270,'Score settings'!$A$14:$C$43,3,FALSE)/'Score settings'!$B$8*'Score settings'!$D$8</x:f>
        <x:v>0</x:v>
      </x:c>
      <x:c r="AG270" s="41" t="n">
        <x:f>(IF(AND(ISNUMBER(M270),M270&gt;0,ISNUMBER(G270),G270&gt;0),IF(M270/G270&gt;='Score settings'!$E$17,'Score settings'!$G$17,IF(M270/G270&gt;='Score settings'!$E$16,'Score settings'!$G$16,IF(M270/G270&gt;='Score settings'!$E$15,'Score settings'!$G$15,'Score settings'!$G$14))),0)/15*'Score settings'!$B$60+IFERROR(VLOOKUP(IF(ISNUMBER(N270),N270,IF(ISNUMBER(L270),L270,0)),'Score settings'!$E$22:$F$26,2,FALSE),0)/10*'Score settings'!$B$61)/'Score settings'!$B$9*'Score settings'!$D$9</x:f>
        <x:v>0</x:v>
      </x:c>
      <x:c r="AH270" s="41" t="n">
        <x:f>IF(B270="","",SUM(AB270:AG270))</x:f>
        <x:v>31.333333333333332</x:v>
      </x:c>
      <x:c r="AI270" s="41" t="str">
        <x:f>IF(NOT(ISNUMBER(AH270)),"Not scored",VLOOKUP(AH270,'Score settings'!$A$47:$C$50,3,TRUE))</x:f>
        <x:v>Discretionary</x:v>
      </x:c>
      <x:c r="AJ270" s="42" t="n">
        <x:f>IF(OR(NOT(ISNUMBER(AH270)),T270&lt;&gt;"Common pot"),"",COUNTIFS($T$4:$T$509,"Common pot",$AH$4:$AH$509,"&gt;"&amp;AH270)+1)</x:f>
        <x:v>176</x:v>
      </x:c>
      <x:c r="AK270" s="36" t="str">
        <x:f>IF(B270="","Name missing - not scored",IF(OR(NOT(ISNUMBER(G270)),G270&lt;=0),"Investment missing or zero - review",IF(0=1,"Permanent ID missing - reconcile",IF(AND(ISNUMBER(H270),H270/G270&gt;='Score settings'!$B$58,NOT(ISNUMBER(I270))),"Benefit units need review",IF(OR(R270="EXIT",R270="CHALLENGE"),"Waste decision requires scope resolution",IF("Name and organisation matched"&lt;&gt;"Name and organisation matched","Waste evidence match needs review","Provisional source score - confirm evidence"))))))</x:f>
        <x:v>Provisional source score - confirm evidence</x:v>
      </x:c>
      <x:c r="AL270" s="36"/>
      <x:c r="AM270" s="40"/>
      <x:c r="AN270" s="39"/>
      <x:c r="AO270" s="40"/>
      <x:c r="AP270" s="40"/>
    </x:row>
    <x:row r="271" ht="15" hidden="0" customHeight="1">
      <x:c r="A271" s="36" t="str">
        <x:v>Bu-278</x:v>
      </x:c>
      <x:c r="B271" s="37" t="str"/>
      <x:c r="C271" s="36" t="str">
        <x:v>BU Led</x:v>
      </x:c>
      <x:c r="D271" s="36" t="str"/>
      <x:c r="E271" s="38"/>
      <x:c r="F271" s="39"/>
      <x:c r="G271" s="38" t="str">
        <x:f>IF(ISNUMBER(F271),F271,IF(E271="","",E271))</x:f>
      </x:c>
      <x:c r="H271" s="38"/>
      <x:c r="I271" s="39"/>
      <x:c r="J271" s="36" t="str">
        <x:v>Unclassified</x:v>
      </x:c>
      <x:c r="K271" s="38" t="str">
        <x:f>IF(ISNUMBER(I271),I271,IF(OR(NOT(ISNUMBER(H271)),NOT(ISNUMBER(G271)),G271&lt;=0),"",IF(H271/G271&gt;='Score settings'!$B$58,"",IF(J271="Cash savings",H271,IF(J271="Revenue",H271*'Score settings'!$B$55,"")))))</x:f>
      </x:c>
      <x:c r="L271" s="36"/>
      <x:c r="M271" s="39"/>
      <x:c r="N271" s="40"/>
      <x:c r="O271" s="36" t="str">
        <x:v>Blank</x:v>
      </x:c>
      <x:c r="P271" s="36" t="str">
        <x:v>Blank</x:v>
      </x:c>
      <x:c r="Q271" s="36" t="str">
        <x:v>Blank</x:v>
      </x:c>
      <x:c r="R271" s="36" t="str">
        <x:v>NotAssessed</x:v>
      </x:c>
      <x:c r="S271" s="36" t="str"/>
      <x:c r="T271" s="36" t="str">
        <x:v>Incomplete record</x:v>
      </x:c>
      <x:c r="U271" s="41" t="n">
        <x:f>VLOOKUP("Priority|"&amp;O271,'Score settings'!$A$14:$C$43,2,FALSE)/'Score settings'!$B$4*'Score settings'!$C$4</x:f>
        <x:v>10</x:v>
      </x:c>
      <x:c r="V271" s="41" t="n">
        <x:f>VLOOKUP("Category|"&amp;P271,'Score settings'!$A$14:$C$43,2,FALSE)/'Score settings'!$B$5*'Score settings'!$C$5</x:f>
        <x:v>4</x:v>
      </x:c>
      <x:c r="W271" s="41" t="n">
        <x:f>VLOOKUP("Area|"&amp;Q271,'Score settings'!$A$14:$C$43,2,FALSE)/'Score settings'!$B$6*'Score settings'!$C$6</x:f>
        <x:v>3</x:v>
      </x:c>
      <x:c r="X271" s="41" t="n">
        <x:f>VLOOKUP("Benefits|"&amp;IF(AND(ISNUMBER(H271),H271&gt;0,ISNUMBER(G271),G271&gt;0),IF(H271/G271&gt;='Score settings'!$E$17,"3plus",IF(H271/G271&gt;='Score settings'!$E$16,"1.5to3",IF(H271/G271&gt;='Score settings'!$E$15,"0.5to1.5","positive"))),"None"),'Score settings'!$A$14:$C$43,2,FALSE)/'Score settings'!$B$7*'Score settings'!$C$7</x:f>
        <x:v>5</x:v>
      </x:c>
      <x:c r="Y271" s="41" t="n">
        <x:f>VLOOKUP("Waste|"&amp;R271,'Score settings'!$A$14:$C$43,2,FALSE)/'Score settings'!$B$8*'Score settings'!$C$8</x:f>
        <x:v>7</x:v>
      </x:c>
      <x:c r="Z271" s="41" t="str">
        <x:f>IF(B271="","",SUM(U271:Y271))</x:f>
      </x:c>
      <x:c r="AA271" s="41" t="str">
        <x:f>IF(Z271="","Not scored",VLOOKUP(Z271,'Score settings'!$A$47:$C$50,2,TRUE))</x:f>
        <x:v>Not scored</x:v>
      </x:c>
      <x:c r="AB271" s="41" t="n">
        <x:f>VLOOKUP("Priority|"&amp;O271,'Score settings'!$A$14:$C$43,3,FALSE)/'Score settings'!$B$4*'Score settings'!$D$4</x:f>
        <x:v>0</x:v>
      </x:c>
      <x:c r="AC271" s="41" t="n">
        <x:f>VLOOKUP("Category|"&amp;P271,'Score settings'!$A$14:$C$43,3,FALSE)/'Score settings'!$B$5*'Score settings'!$D$5</x:f>
        <x:v>0</x:v>
      </x:c>
      <x:c r="AD271" s="41" t="n">
        <x:f>VLOOKUP("Area|"&amp;Q271,'Score settings'!$A$14:$C$43,3,FALSE)/'Score settings'!$B$6*'Score settings'!$D$6</x:f>
        <x:v>0</x:v>
      </x:c>
      <x:c r="AE271" s="41" t="n">
        <x:f>VLOOKUP("Benefits|"&amp;IF(AND(ISNUMBER(K271),K271&gt;0,ISNUMBER(G271),G271&gt;0),IF(K271/G271&gt;='Score settings'!$E$17,"3plus",IF(K271/G271&gt;='Score settings'!$E$16,"1.5to3",IF(K271/G271&gt;='Score settings'!$E$15,"0.5to1.5","positive"))),"None"),'Score settings'!$A$14:$C$43,3,FALSE)/'Score settings'!$B$7*'Score settings'!$D$7</x:f>
        <x:v>0</x:v>
      </x:c>
      <x:c r="AF271" s="41" t="n">
        <x:f>VLOOKUP("Waste|"&amp;R271,'Score settings'!$A$14:$C$43,3,FALSE)/'Score settings'!$B$8*'Score settings'!$D$8</x:f>
        <x:v>0</x:v>
      </x:c>
      <x:c r="AG271" s="41" t="n">
        <x:f>(IF(AND(ISNUMBER(M271),M271&gt;0,ISNUMBER(G271),G271&gt;0),IF(M271/G271&gt;='Score settings'!$E$17,'Score settings'!$G$17,IF(M271/G271&gt;='Score settings'!$E$16,'Score settings'!$G$16,IF(M271/G271&gt;='Score settings'!$E$15,'Score settings'!$G$15,'Score settings'!$G$14))),0)/15*'Score settings'!$B$60+IFERROR(VLOOKUP(IF(ISNUMBER(N271),N271,IF(ISNUMBER(L271),L271,0)),'Score settings'!$E$22:$F$26,2,FALSE),0)/10*'Score settings'!$B$61)/'Score settings'!$B$9*'Score settings'!$D$9</x:f>
        <x:v>0</x:v>
      </x:c>
      <x:c r="AH271" s="41" t="str">
        <x:f>IF(B271="","",SUM(AB271:AG271))</x:f>
      </x:c>
      <x:c r="AI271" s="41" t="str">
        <x:f>IF(NOT(ISNUMBER(AH271)),"Not scored",VLOOKUP(AH271,'Score settings'!$A$47:$C$50,3,TRUE))</x:f>
        <x:v>Not scored</x:v>
      </x:c>
      <x:c r="AJ271" s="42" t="str">
        <x:f>IF(OR(NOT(ISNUMBER(AH271)),T271&lt;&gt;"Common pot"),"",COUNTIFS($T$4:$T$509,"Common pot",$AH$4:$AH$509,"&gt;"&amp;AH271)+1)</x:f>
      </x:c>
      <x:c r="AK271" s="36" t="str">
        <x:f>IF(B271="","Name missing - not scored",IF(OR(NOT(ISNUMBER(G271)),G271&lt;=0),"Investment missing or zero - review",IF(0=1,"Permanent ID missing - reconcile",IF(AND(ISNUMBER(H271),H271/G271&gt;='Score settings'!$B$58,NOT(ISNUMBER(I271))),"Benefit units need review",IF(OR(R271="EXIT",R271="CHALLENGE"),"Waste decision requires scope resolution",IF("No exact waste match"&lt;&gt;"Name and organisation matched","Waste evidence match needs review","Provisional source score - confirm evidence"))))))</x:f>
        <x:v>Name missing - not scored</x:v>
      </x:c>
      <x:c r="AL271" s="36"/>
      <x:c r="AM271" s="40"/>
      <x:c r="AN271" s="39"/>
      <x:c r="AO271" s="40"/>
      <x:c r="AP271" s="40"/>
    </x:row>
    <x:row r="272" ht="24" hidden="0" customHeight="1">
      <x:c r="A272" s="36" t="str">
        <x:v>Bu-280</x:v>
      </x:c>
      <x:c r="B272" s="37" t="str">
        <x:v>Nurture &amp; Campaign Enhancements (AI data enrichment, API connectors, customer match)</x:v>
      </x:c>
      <x:c r="C272" s="36" t="str">
        <x:v>BU Led</x:v>
      </x:c>
      <x:c r="D272" s="36" t="str">
        <x:v>CoE Marketing – HS (former DMEC)​</x:v>
      </x:c>
      <x:c r="E272" s="38" t="n">
        <x:v>0.183</x:v>
      </x:c>
      <x:c r="F272" s="39"/>
      <x:c r="G272" s="38" t="n">
        <x:f>IF(ISNUMBER(F272),F272,IF(E272="","",E272))</x:f>
        <x:v>0.183</x:v>
      </x:c>
      <x:c r="H272" s="38" t="n">
        <x:v>0.4</x:v>
      </x:c>
      <x:c r="I272" s="39"/>
      <x:c r="J272" s="36" t="str">
        <x:v>Revenue</x:v>
      </x:c>
      <x:c r="K272" s="38" t="n">
        <x:f>IF(ISNUMBER(I272),I272,IF(OR(NOT(ISNUMBER(H272)),NOT(ISNUMBER(G272)),G272&lt;=0),"",IF(H272/G272&gt;='Score settings'!$B$58,"",IF(J272="Cash savings",H272,IF(J272="Revenue",H272*'Score settings'!$B$55,"")))))</x:f>
        <x:v>0.06</x:v>
      </x:c>
      <x:c r="L272" s="36"/>
      <x:c r="M272" s="39"/>
      <x:c r="N272" s="40"/>
      <x:c r="O272" s="36" t="str">
        <x:v>Must Do</x:v>
      </x:c>
      <x:c r="P272" s="36" t="str">
        <x:v>CI</x:v>
      </x:c>
      <x:c r="Q272" s="36" t="str">
        <x:v>Revenue</x:v>
      </x:c>
      <x:c r="R272" s="36" t="str">
        <x:v>NotAssessed</x:v>
      </x:c>
      <x:c r="S272" s="36" t="str"/>
      <x:c r="T272" s="36" t="str">
        <x:v>Common pot</x:v>
      </x:c>
      <x:c r="U272" s="41" t="n">
        <x:f>VLOOKUP("Priority|"&amp;O272,'Score settings'!$A$14:$C$43,2,FALSE)/'Score settings'!$B$4*'Score settings'!$C$4</x:f>
        <x:v>25</x:v>
      </x:c>
      <x:c r="V272" s="41" t="n">
        <x:f>VLOOKUP("Category|"&amp;P272,'Score settings'!$A$14:$C$43,2,FALSE)/'Score settings'!$B$5*'Score settings'!$C$5</x:f>
        <x:v>8</x:v>
      </x:c>
      <x:c r="W272" s="41" t="n">
        <x:f>VLOOKUP("Area|"&amp;Q272,'Score settings'!$A$14:$C$43,2,FALSE)/'Score settings'!$B$6*'Score settings'!$C$6</x:f>
        <x:v>11</x:v>
      </x:c>
      <x:c r="X272" s="41" t="n">
        <x:f>VLOOKUP("Benefits|"&amp;IF(AND(ISNUMBER(H272),H272&gt;0,ISNUMBER(G272),G272&gt;0),IF(H272/G272&gt;='Score settings'!$E$17,"3plus",IF(H272/G272&gt;='Score settings'!$E$16,"1.5to3",IF(H272/G272&gt;='Score settings'!$E$15,"0.5to1.5","positive"))),"None"),'Score settings'!$A$14:$C$43,2,FALSE)/'Score settings'!$B$7*'Score settings'!$C$7</x:f>
        <x:v>20</x:v>
      </x:c>
      <x:c r="Y272" s="41" t="n">
        <x:f>VLOOKUP("Waste|"&amp;R272,'Score settings'!$A$14:$C$43,2,FALSE)/'Score settings'!$B$8*'Score settings'!$C$8</x:f>
        <x:v>7</x:v>
      </x:c>
      <x:c r="Z272" s="41" t="n">
        <x:f>IF(B272="","",SUM(U272:Y272))</x:f>
        <x:v>71</x:v>
      </x:c>
      <x:c r="AA272" s="41" t="str">
        <x:f>IF(Z272="","Not scored",VLOOKUP(Z272,'Score settings'!$A$47:$C$50,2,TRUE))</x:f>
        <x:v>Protected</x:v>
      </x:c>
      <x:c r="AB272" s="41" t="n">
        <x:f>VLOOKUP("Priority|"&amp;O272,'Score settings'!$A$14:$C$43,3,FALSE)/'Score settings'!$B$4*'Score settings'!$D$4</x:f>
        <x:v>15</x:v>
      </x:c>
      <x:c r="AC272" s="41" t="n">
        <x:f>VLOOKUP("Category|"&amp;P272,'Score settings'!$A$14:$C$43,3,FALSE)/'Score settings'!$B$5*'Score settings'!$D$5</x:f>
        <x:v>4</x:v>
      </x:c>
      <x:c r="AD272" s="41" t="n">
        <x:f>VLOOKUP("Area|"&amp;Q272,'Score settings'!$A$14:$C$43,3,FALSE)/'Score settings'!$B$6*'Score settings'!$D$6</x:f>
        <x:v>7.333333333333333</x:v>
      </x:c>
      <x:c r="AE272" s="41" t="n">
        <x:f>VLOOKUP("Benefits|"&amp;IF(AND(ISNUMBER(K272),K272&gt;0,ISNUMBER(G272),G272&gt;0),IF(K272/G272&gt;='Score settings'!$E$17,"3plus",IF(K272/G272&gt;='Score settings'!$E$16,"1.5to3",IF(K272/G272&gt;='Score settings'!$E$15,"0.5to1.5","positive"))),"None"),'Score settings'!$A$14:$C$43,3,FALSE)/'Score settings'!$B$7*'Score settings'!$D$7</x:f>
        <x:v>12</x:v>
      </x:c>
      <x:c r="AF272" s="41" t="n">
        <x:f>VLOOKUP("Waste|"&amp;R272,'Score settings'!$A$14:$C$43,3,FALSE)/'Score settings'!$B$8*'Score settings'!$D$8</x:f>
        <x:v>0</x:v>
      </x:c>
      <x:c r="AG272" s="41" t="n">
        <x:f>(IF(AND(ISNUMBER(M272),M272&gt;0,ISNUMBER(G272),G272&gt;0),IF(M272/G272&gt;='Score settings'!$E$17,'Score settings'!$G$17,IF(M272/G272&gt;='Score settings'!$E$16,'Score settings'!$G$16,IF(M272/G272&gt;='Score settings'!$E$15,'Score settings'!$G$15,'Score settings'!$G$14))),0)/15*'Score settings'!$B$60+IFERROR(VLOOKUP(IF(ISNUMBER(N272),N272,IF(ISNUMBER(L272),L272,0)),'Score settings'!$E$22:$F$26,2,FALSE),0)/10*'Score settings'!$B$61)/'Score settings'!$B$9*'Score settings'!$D$9</x:f>
        <x:v>0</x:v>
      </x:c>
      <x:c r="AH272" s="41" t="n">
        <x:f>IF(B272="","",SUM(AB272:AG272))</x:f>
        <x:v>38.33333333333333</x:v>
      </x:c>
      <x:c r="AI272" s="41" t="str">
        <x:f>IF(NOT(ISNUMBER(AH272)),"Not scored",VLOOKUP(AH272,'Score settings'!$A$47:$C$50,3,TRUE))</x:f>
        <x:v>Discretionary</x:v>
      </x:c>
      <x:c r="AJ272" s="42" t="n">
        <x:f>IF(OR(NOT(ISNUMBER(AH272)),T272&lt;&gt;"Common pot"),"",COUNTIFS($T$4:$T$509,"Common pot",$AH$4:$AH$509,"&gt;"&amp;AH272)+1)</x:f>
        <x:v>110</x:v>
      </x:c>
      <x:c r="AK272" s="36" t="str">
        <x:f>IF(B272="","Name missing - not scored",IF(OR(NOT(ISNUMBER(G272)),G272&lt;=0),"Investment missing or zero - review",IF(0=1,"Permanent ID missing - reconcile",IF(AND(ISNUMBER(H272),H272/G272&gt;='Score settings'!$B$58,NOT(ISNUMBER(I272))),"Benefit units need review",IF(OR(R272="EXIT",R272="CHALLENGE"),"Waste decision requires scope resolution",IF("Name and organisation matched"&lt;&gt;"Name and organisation matched","Waste evidence match needs review","Provisional source score - confirm evidence"))))))</x:f>
        <x:v>Provisional source score - confirm evidence</x:v>
      </x:c>
      <x:c r="AL272" s="36"/>
      <x:c r="AM272" s="40"/>
      <x:c r="AN272" s="39"/>
      <x:c r="AO272" s="40"/>
      <x:c r="AP272" s="40"/>
    </x:row>
    <x:row r="273" ht="15" hidden="0" customHeight="1">
      <x:c r="A273" s="36" t="str">
        <x:v>Bu-281</x:v>
      </x:c>
      <x:c r="B273" s="37" t="str">
        <x:v>D3 Change Request</x:v>
      </x:c>
      <x:c r="C273" s="36" t="str">
        <x:v>BU Led</x:v>
      </x:c>
      <x:c r="D273" s="36" t="str">
        <x:v>Image Guided Therapy - Systems (IGT-S)</x:v>
      </x:c>
      <x:c r="E273" s="38" t="n">
        <x:v>0.1</x:v>
      </x:c>
      <x:c r="F273" s="39"/>
      <x:c r="G273" s="38" t="n">
        <x:f>IF(ISNUMBER(F273),F273,IF(E273="","",E273))</x:f>
        <x:v>0.1</x:v>
      </x:c>
      <x:c r="H273" s="38" t="n">
        <x:v>0</x:v>
      </x:c>
      <x:c r="I273" s="39"/>
      <x:c r="J273" s="36" t="str">
        <x:v>Cash savings</x:v>
      </x:c>
      <x:c r="K273" s="38" t="n">
        <x:f>IF(ISNUMBER(I273),I273,IF(OR(NOT(ISNUMBER(H273)),NOT(ISNUMBER(G273)),G273&lt;=0),"",IF(H273/G273&gt;='Score settings'!$B$58,"",IF(J273="Cash savings",H273,IF(J273="Revenue",H273*'Score settings'!$B$55,"")))))</x:f>
        <x:v>0</x:v>
      </x:c>
      <x:c r="L273" s="36"/>
      <x:c r="M273" s="39"/>
      <x:c r="N273" s="40"/>
      <x:c r="O273" s="36" t="str">
        <x:v>Must Have</x:v>
      </x:c>
      <x:c r="P273" s="36" t="str">
        <x:v>CI</x:v>
      </x:c>
      <x:c r="Q273" s="36" t="str">
        <x:v>ProcSimp</x:v>
      </x:c>
      <x:c r="R273" s="36" t="str">
        <x:v>NotAssessed</x:v>
      </x:c>
      <x:c r="S273" s="36" t="str"/>
      <x:c r="T273" s="36" t="str">
        <x:v>Common pot</x:v>
      </x:c>
      <x:c r="U273" s="41" t="n">
        <x:f>VLOOKUP("Priority|"&amp;O273,'Score settings'!$A$14:$C$43,2,FALSE)/'Score settings'!$B$4*'Score settings'!$C$4</x:f>
        <x:v>18</x:v>
      </x:c>
      <x:c r="V273" s="41" t="n">
        <x:f>VLOOKUP("Category|"&amp;P273,'Score settings'!$A$14:$C$43,2,FALSE)/'Score settings'!$B$5*'Score settings'!$C$5</x:f>
        <x:v>8</x:v>
      </x:c>
      <x:c r="W273" s="41" t="n">
        <x:f>VLOOKUP("Area|"&amp;Q273,'Score settings'!$A$14:$C$43,2,FALSE)/'Score settings'!$B$6*'Score settings'!$C$6</x:f>
        <x:v>12</x:v>
      </x:c>
      <x:c r="X273" s="41" t="n">
        <x:f>VLOOKUP("Benefits|"&amp;IF(AND(ISNUMBER(H273),H273&gt;0,ISNUMBER(G273),G273&gt;0),IF(H273/G273&gt;='Score settings'!$E$17,"3plus",IF(H273/G273&gt;='Score settings'!$E$16,"1.5to3",IF(H273/G273&gt;='Score settings'!$E$15,"0.5to1.5","positive"))),"None"),'Score settings'!$A$14:$C$43,2,FALSE)/'Score settings'!$B$7*'Score settings'!$C$7</x:f>
        <x:v>5</x:v>
      </x:c>
      <x:c r="Y273" s="41" t="n">
        <x:f>VLOOKUP("Waste|"&amp;R273,'Score settings'!$A$14:$C$43,2,FALSE)/'Score settings'!$B$8*'Score settings'!$C$8</x:f>
        <x:v>7</x:v>
      </x:c>
      <x:c r="Z273" s="41" t="n">
        <x:f>IF(B273="","",SUM(U273:Y273))</x:f>
        <x:v>50</x:v>
      </x:c>
      <x:c r="AA273" s="41" t="str">
        <x:f>IF(Z273="","Not scored",VLOOKUP(Z273,'Score settings'!$A$47:$C$50,2,TRUE))</x:f>
        <x:v>Strong</x:v>
      </x:c>
      <x:c r="AB273" s="41" t="n">
        <x:f>VLOOKUP("Priority|"&amp;O273,'Score settings'!$A$14:$C$43,3,FALSE)/'Score settings'!$B$4*'Score settings'!$D$4</x:f>
        <x:v>10.799999999999999</x:v>
      </x:c>
      <x:c r="AC273" s="41" t="n">
        <x:f>VLOOKUP("Category|"&amp;P273,'Score settings'!$A$14:$C$43,3,FALSE)/'Score settings'!$B$5*'Score settings'!$D$5</x:f>
        <x:v>4</x:v>
      </x:c>
      <x:c r="AD273" s="41" t="n">
        <x:f>VLOOKUP("Area|"&amp;Q273,'Score settings'!$A$14:$C$43,3,FALSE)/'Score settings'!$B$6*'Score settings'!$D$6</x:f>
        <x:v>8</x:v>
      </x:c>
      <x:c r="AE273" s="41" t="n">
        <x:f>VLOOKUP("Benefits|"&amp;IF(AND(ISNUMBER(K273),K273&gt;0,ISNUMBER(G273),G273&gt;0),IF(K273/G273&gt;='Score settings'!$E$17,"3plus",IF(K273/G273&gt;='Score settings'!$E$16,"1.5to3",IF(K273/G273&gt;='Score settings'!$E$15,"0.5to1.5","positive"))),"None"),'Score settings'!$A$14:$C$43,3,FALSE)/'Score settings'!$B$7*'Score settings'!$D$7</x:f>
        <x:v>0</x:v>
      </x:c>
      <x:c r="AF273" s="41" t="n">
        <x:f>VLOOKUP("Waste|"&amp;R273,'Score settings'!$A$14:$C$43,3,FALSE)/'Score settings'!$B$8*'Score settings'!$D$8</x:f>
        <x:v>0</x:v>
      </x:c>
      <x:c r="AG273" s="41" t="n">
        <x:f>(IF(AND(ISNUMBER(M273),M273&gt;0,ISNUMBER(G273),G273&gt;0),IF(M273/G273&gt;='Score settings'!$E$17,'Score settings'!$G$17,IF(M273/G273&gt;='Score settings'!$E$16,'Score settings'!$G$16,IF(M273/G273&gt;='Score settings'!$E$15,'Score settings'!$G$15,'Score settings'!$G$14))),0)/15*'Score settings'!$B$60+IFERROR(VLOOKUP(IF(ISNUMBER(N273),N273,IF(ISNUMBER(L273),L273,0)),'Score settings'!$E$22:$F$26,2,FALSE),0)/10*'Score settings'!$B$61)/'Score settings'!$B$9*'Score settings'!$D$9</x:f>
        <x:v>0</x:v>
      </x:c>
      <x:c r="AH273" s="41" t="n">
        <x:f>IF(B273="","",SUM(AB273:AG273))</x:f>
        <x:v>22.799999999999997</x:v>
      </x:c>
      <x:c r="AI273" s="41" t="str">
        <x:f>IF(NOT(ISNUMBER(AH273)),"Not scored",VLOOKUP(AH273,'Score settings'!$A$47:$C$50,3,TRUE))</x:f>
        <x:v>Weak</x:v>
      </x:c>
      <x:c r="AJ273" s="42" t="n">
        <x:f>IF(OR(NOT(ISNUMBER(AH273)),T273&lt;&gt;"Common pot"),"",COUNTIFS($T$4:$T$509,"Common pot",$AH$4:$AH$509,"&gt;"&amp;AH273)+1)</x:f>
        <x:v>318</x:v>
      </x:c>
      <x:c r="AK273" s="36" t="str">
        <x:f>IF(B273="","Name missing - not scored",IF(OR(NOT(ISNUMBER(G273)),G273&lt;=0),"Investment missing or zero - review",IF(0=1,"Permanent ID missing - reconcile",IF(AND(ISNUMBER(H273),H273/G273&gt;='Score settings'!$B$58,NOT(ISNUMBER(I273))),"Benefit units need review",IF(OR(R273="EXIT",R273="CHALLENGE"),"Waste decision requires scope resolution",IF("No exact waste match"&lt;&gt;"Name and organisation matched","Waste evidence match needs review","Provisional source score - confirm evidence"))))))</x:f>
        <x:v>Waste evidence match needs review</x:v>
      </x:c>
      <x:c r="AL273" s="36"/>
      <x:c r="AM273" s="40"/>
      <x:c r="AN273" s="39"/>
      <x:c r="AO273" s="40"/>
      <x:c r="AP273" s="40"/>
    </x:row>
    <x:row r="274" ht="15" hidden="0" customHeight="1">
      <x:c r="A274" s="36" t="str">
        <x:v>Bu-282</x:v>
      </x:c>
      <x:c r="B274" s="37" t="str">
        <x:v>Chat bot for sales support (Monigotchi)</x:v>
      </x:c>
      <x:c r="C274" s="36" t="str">
        <x:v>BU Led</x:v>
      </x:c>
      <x:c r="D274" s="36" t="str">
        <x:v>Monitoring - HPM (MCH)</x:v>
      </x:c>
      <x:c r="E274" s="38" t="n">
        <x:v>0.012</x:v>
      </x:c>
      <x:c r="F274" s="39"/>
      <x:c r="G274" s="38" t="n">
        <x:f>IF(ISNUMBER(F274),F274,IF(E274="","",E274))</x:f>
        <x:v>0.012</x:v>
      </x:c>
      <x:c r="H274" s="38"/>
      <x:c r="I274" s="39"/>
      <x:c r="J274" s="36" t="str">
        <x:v>Unclassified</x:v>
      </x:c>
      <x:c r="K274" s="38" t="str">
        <x:f>IF(ISNUMBER(I274),I274,IF(OR(NOT(ISNUMBER(H274)),NOT(ISNUMBER(G274)),G274&lt;=0),"",IF(H274/G274&gt;='Score settings'!$B$58,"",IF(J274="Cash savings",H274,IF(J274="Revenue",H274*'Score settings'!$B$55,"")))))</x:f>
      </x:c>
      <x:c r="L274" s="36"/>
      <x:c r="M274" s="39"/>
      <x:c r="N274" s="40"/>
      <x:c r="O274" s="36" t="str">
        <x:v>Must Do</x:v>
      </x:c>
      <x:c r="P274" s="36" t="str">
        <x:v>CI</x:v>
      </x:c>
      <x:c r="Q274" s="36" t="str">
        <x:v>Blank</x:v>
      </x:c>
      <x:c r="R274" s="36" t="str">
        <x:v>NotAssessed</x:v>
      </x:c>
      <x:c r="S274" s="36" t="str"/>
      <x:c r="T274" s="36" t="str">
        <x:v>Common pot</x:v>
      </x:c>
      <x:c r="U274" s="41" t="n">
        <x:f>VLOOKUP("Priority|"&amp;O274,'Score settings'!$A$14:$C$43,2,FALSE)/'Score settings'!$B$4*'Score settings'!$C$4</x:f>
        <x:v>25</x:v>
      </x:c>
      <x:c r="V274" s="41" t="n">
        <x:f>VLOOKUP("Category|"&amp;P274,'Score settings'!$A$14:$C$43,2,FALSE)/'Score settings'!$B$5*'Score settings'!$C$5</x:f>
        <x:v>8</x:v>
      </x:c>
      <x:c r="W274" s="41" t="n">
        <x:f>VLOOKUP("Area|"&amp;Q274,'Score settings'!$A$14:$C$43,2,FALSE)/'Score settings'!$B$6*'Score settings'!$C$6</x:f>
        <x:v>3</x:v>
      </x:c>
      <x:c r="X274" s="41" t="n">
        <x:f>VLOOKUP("Benefits|"&amp;IF(AND(ISNUMBER(H274),H274&gt;0,ISNUMBER(G274),G274&gt;0),IF(H274/G274&gt;='Score settings'!$E$17,"3plus",IF(H274/G274&gt;='Score settings'!$E$16,"1.5to3",IF(H274/G274&gt;='Score settings'!$E$15,"0.5to1.5","positive"))),"None"),'Score settings'!$A$14:$C$43,2,FALSE)/'Score settings'!$B$7*'Score settings'!$C$7</x:f>
        <x:v>5</x:v>
      </x:c>
      <x:c r="Y274" s="41" t="n">
        <x:f>VLOOKUP("Waste|"&amp;R274,'Score settings'!$A$14:$C$43,2,FALSE)/'Score settings'!$B$8*'Score settings'!$C$8</x:f>
        <x:v>7</x:v>
      </x:c>
      <x:c r="Z274" s="41" t="n">
        <x:f>IF(B274="","",SUM(U274:Y274))</x:f>
        <x:v>48</x:v>
      </x:c>
      <x:c r="AA274" s="41" t="str">
        <x:f>IF(Z274="","Not scored",VLOOKUP(Z274,'Score settings'!$A$47:$C$50,2,TRUE))</x:f>
        <x:v>Strong</x:v>
      </x:c>
      <x:c r="AB274" s="41" t="n">
        <x:f>VLOOKUP("Priority|"&amp;O274,'Score settings'!$A$14:$C$43,3,FALSE)/'Score settings'!$B$4*'Score settings'!$D$4</x:f>
        <x:v>15</x:v>
      </x:c>
      <x:c r="AC274" s="41" t="n">
        <x:f>VLOOKUP("Category|"&amp;P274,'Score settings'!$A$14:$C$43,3,FALSE)/'Score settings'!$B$5*'Score settings'!$D$5</x:f>
        <x:v>4</x:v>
      </x:c>
      <x:c r="AD274" s="41" t="n">
        <x:f>VLOOKUP("Area|"&amp;Q274,'Score settings'!$A$14:$C$43,3,FALSE)/'Score settings'!$B$6*'Score settings'!$D$6</x:f>
        <x:v>0</x:v>
      </x:c>
      <x:c r="AE274" s="41" t="n">
        <x:f>VLOOKUP("Benefits|"&amp;IF(AND(ISNUMBER(K274),K274&gt;0,ISNUMBER(G274),G274&gt;0),IF(K274/G274&gt;='Score settings'!$E$17,"3plus",IF(K274/G274&gt;='Score settings'!$E$16,"1.5to3",IF(K274/G274&gt;='Score settings'!$E$15,"0.5to1.5","positive"))),"None"),'Score settings'!$A$14:$C$43,3,FALSE)/'Score settings'!$B$7*'Score settings'!$D$7</x:f>
        <x:v>0</x:v>
      </x:c>
      <x:c r="AF274" s="41" t="n">
        <x:f>VLOOKUP("Waste|"&amp;R274,'Score settings'!$A$14:$C$43,3,FALSE)/'Score settings'!$B$8*'Score settings'!$D$8</x:f>
        <x:v>0</x:v>
      </x:c>
      <x:c r="AG274" s="41" t="n">
        <x:f>(IF(AND(ISNUMBER(M274),M274&gt;0,ISNUMBER(G274),G274&gt;0),IF(M274/G274&gt;='Score settings'!$E$17,'Score settings'!$G$17,IF(M274/G274&gt;='Score settings'!$E$16,'Score settings'!$G$16,IF(M274/G274&gt;='Score settings'!$E$15,'Score settings'!$G$15,'Score settings'!$G$14))),0)/15*'Score settings'!$B$60+IFERROR(VLOOKUP(IF(ISNUMBER(N274),N274,IF(ISNUMBER(L274),L274,0)),'Score settings'!$E$22:$F$26,2,FALSE),0)/10*'Score settings'!$B$61)/'Score settings'!$B$9*'Score settings'!$D$9</x:f>
        <x:v>0</x:v>
      </x:c>
      <x:c r="AH274" s="41" t="n">
        <x:f>IF(B274="","",SUM(AB274:AG274))</x:f>
        <x:v>19</x:v>
      </x:c>
      <x:c r="AI274" s="41" t="str">
        <x:f>IF(NOT(ISNUMBER(AH274)),"Not scored",VLOOKUP(AH274,'Score settings'!$A$47:$C$50,3,TRUE))</x:f>
        <x:v>Weak</x:v>
      </x:c>
      <x:c r="AJ274" s="42" t="n">
        <x:f>IF(OR(NOT(ISNUMBER(AH274)),T274&lt;&gt;"Common pot"),"",COUNTIFS($T$4:$T$509,"Common pot",$AH$4:$AH$509,"&gt;"&amp;AH274)+1)</x:f>
        <x:v>355</x:v>
      </x:c>
      <x:c r="AK274" s="36" t="str">
        <x:f>IF(B274="","Name missing - not scored",IF(OR(NOT(ISNUMBER(G274)),G274&lt;=0),"Investment missing or zero - review",IF(0=1,"Permanent ID missing - reconcile",IF(AND(ISNUMBER(H274),H274/G274&gt;='Score settings'!$B$58,NOT(ISNUMBER(I274))),"Benefit units need review",IF(OR(R274="EXIT",R274="CHALLENGE"),"Waste decision requires scope resolution",IF("No exact waste match"&lt;&gt;"Name and organisation matched","Waste evidence match needs review","Provisional source score - confirm evidence"))))))</x:f>
        <x:v>Waste evidence match needs review</x:v>
      </x:c>
      <x:c r="AL274" s="36"/>
      <x:c r="AM274" s="40"/>
      <x:c r="AN274" s="39"/>
      <x:c r="AO274" s="40"/>
      <x:c r="AP274" s="40"/>
    </x:row>
    <x:row r="275" ht="15" hidden="0" customHeight="1">
      <x:c r="A275" s="36" t="str">
        <x:v>Bu-283</x:v>
      </x:c>
      <x:c r="B275" s="37" t="str">
        <x:v>17.3 PH Digital Marketing Compliance</x:v>
      </x:c>
      <x:c r="C275" s="36" t="str">
        <x:v>BU Led</x:v>
      </x:c>
      <x:c r="D275" s="36" t="str">
        <x:v>Personal Health (PH)</x:v>
      </x:c>
      <x:c r="E275" s="38" t="n">
        <x:v>0.15</x:v>
      </x:c>
      <x:c r="F275" s="39"/>
      <x:c r="G275" s="38" t="n">
        <x:f>IF(ISNUMBER(F275),F275,IF(E275="","",E275))</x:f>
        <x:v>0.15</x:v>
      </x:c>
      <x:c r="H275" s="38"/>
      <x:c r="I275" s="39"/>
      <x:c r="J275" s="36" t="str">
        <x:v>Risk exposure</x:v>
      </x:c>
      <x:c r="K275" s="38" t="str">
        <x:f>IF(ISNUMBER(I275),I275,IF(OR(NOT(ISNUMBER(H275)),NOT(ISNUMBER(G275)),G275&lt;=0),"",IF(H275/G275&gt;='Score settings'!$B$58,"",IF(J275="Cash savings",H275,IF(J275="Revenue",H275*'Score settings'!$B$55,"")))))</x:f>
      </x:c>
      <x:c r="L275" s="36"/>
      <x:c r="M275" s="39"/>
      <x:c r="N275" s="40"/>
      <x:c r="O275" s="36" t="str">
        <x:v>Must Do</x:v>
      </x:c>
      <x:c r="P275" s="36" t="str">
        <x:v>LFR</x:v>
      </x:c>
      <x:c r="Q275" s="36" t="str">
        <x:v>Compliance</x:v>
      </x:c>
      <x:c r="R275" s="36" t="str">
        <x:v>NotAssessed</x:v>
      </x:c>
      <x:c r="S275" s="36" t="str"/>
      <x:c r="T275" s="36" t="str">
        <x:v>Common pot</x:v>
      </x:c>
      <x:c r="U275" s="41" t="n">
        <x:f>VLOOKUP("Priority|"&amp;O275,'Score settings'!$A$14:$C$43,2,FALSE)/'Score settings'!$B$4*'Score settings'!$C$4</x:f>
        <x:v>25</x:v>
      </x:c>
      <x:c r="V275" s="41" t="n">
        <x:f>VLOOKUP("Category|"&amp;P275,'Score settings'!$A$14:$C$43,2,FALSE)/'Score settings'!$B$5*'Score settings'!$C$5</x:f>
        <x:v>20</x:v>
      </x:c>
      <x:c r="W275" s="41" t="n">
        <x:f>VLOOKUP("Area|"&amp;Q275,'Score settings'!$A$14:$C$43,2,FALSE)/'Score settings'!$B$6*'Score settings'!$C$6</x:f>
        <x:v>15</x:v>
      </x:c>
      <x:c r="X275" s="41" t="n">
        <x:f>VLOOKUP("Benefits|"&amp;IF(AND(ISNUMBER(H275),H275&gt;0,ISNUMBER(G275),G275&gt;0),IF(H275/G275&gt;='Score settings'!$E$17,"3plus",IF(H275/G275&gt;='Score settings'!$E$16,"1.5to3",IF(H275/G275&gt;='Score settings'!$E$15,"0.5to1.5","positive"))),"None"),'Score settings'!$A$14:$C$43,2,FALSE)/'Score settings'!$B$7*'Score settings'!$C$7</x:f>
        <x:v>5</x:v>
      </x:c>
      <x:c r="Y275" s="41" t="n">
        <x:f>VLOOKUP("Waste|"&amp;R275,'Score settings'!$A$14:$C$43,2,FALSE)/'Score settings'!$B$8*'Score settings'!$C$8</x:f>
        <x:v>7</x:v>
      </x:c>
      <x:c r="Z275" s="41" t="n">
        <x:f>IF(B275="","",SUM(U275:Y275))</x:f>
        <x:v>72</x:v>
      </x:c>
      <x:c r="AA275" s="41" t="str">
        <x:f>IF(Z275="","Not scored",VLOOKUP(Z275,'Score settings'!$A$47:$C$50,2,TRUE))</x:f>
        <x:v>Protected</x:v>
      </x:c>
      <x:c r="AB275" s="41" t="n">
        <x:f>VLOOKUP("Priority|"&amp;O275,'Score settings'!$A$14:$C$43,3,FALSE)/'Score settings'!$B$4*'Score settings'!$D$4</x:f>
        <x:v>15</x:v>
      </x:c>
      <x:c r="AC275" s="41" t="n">
        <x:f>VLOOKUP("Category|"&amp;P275,'Score settings'!$A$14:$C$43,3,FALSE)/'Score settings'!$B$5*'Score settings'!$D$5</x:f>
        <x:v>10</x:v>
      </x:c>
      <x:c r="AD275" s="41" t="n">
        <x:f>VLOOKUP("Area|"&amp;Q275,'Score settings'!$A$14:$C$43,3,FALSE)/'Score settings'!$B$6*'Score settings'!$D$6</x:f>
        <x:v>10</x:v>
      </x:c>
      <x:c r="AE275" s="41" t="n">
        <x:f>VLOOKUP("Benefits|"&amp;IF(AND(ISNUMBER(K275),K275&gt;0,ISNUMBER(G275),G275&gt;0),IF(K275/G275&gt;='Score settings'!$E$17,"3plus",IF(K275/G275&gt;='Score settings'!$E$16,"1.5to3",IF(K275/G275&gt;='Score settings'!$E$15,"0.5to1.5","positive"))),"None"),'Score settings'!$A$14:$C$43,3,FALSE)/'Score settings'!$B$7*'Score settings'!$D$7</x:f>
        <x:v>0</x:v>
      </x:c>
      <x:c r="AF275" s="41" t="n">
        <x:f>VLOOKUP("Waste|"&amp;R275,'Score settings'!$A$14:$C$43,3,FALSE)/'Score settings'!$B$8*'Score settings'!$D$8</x:f>
        <x:v>0</x:v>
      </x:c>
      <x:c r="AG275" s="41" t="n">
        <x:f>(IF(AND(ISNUMBER(M275),M275&gt;0,ISNUMBER(G275),G275&gt;0),IF(M275/G275&gt;='Score settings'!$E$17,'Score settings'!$G$17,IF(M275/G275&gt;='Score settings'!$E$16,'Score settings'!$G$16,IF(M275/G275&gt;='Score settings'!$E$15,'Score settings'!$G$15,'Score settings'!$G$14))),0)/15*'Score settings'!$B$60+IFERROR(VLOOKUP(IF(ISNUMBER(N275),N275,IF(ISNUMBER(L275),L275,0)),'Score settings'!$E$22:$F$26,2,FALSE),0)/10*'Score settings'!$B$61)/'Score settings'!$B$9*'Score settings'!$D$9</x:f>
        <x:v>0</x:v>
      </x:c>
      <x:c r="AH275" s="41" t="n">
        <x:f>IF(B275="","",SUM(AB275:AG275))</x:f>
        <x:v>35</x:v>
      </x:c>
      <x:c r="AI275" s="41" t="str">
        <x:f>IF(NOT(ISNUMBER(AH275)),"Not scored",VLOOKUP(AH275,'Score settings'!$A$47:$C$50,3,TRUE))</x:f>
        <x:v>Discretionary</x:v>
      </x:c>
      <x:c r="AJ275" s="42" t="n">
        <x:f>IF(OR(NOT(ISNUMBER(AH275)),T275&lt;&gt;"Common pot"),"",COUNTIFS($T$4:$T$509,"Common pot",$AH$4:$AH$509,"&gt;"&amp;AH275)+1)</x:f>
        <x:v>142</x:v>
      </x:c>
      <x:c r="AK275" s="36" t="str">
        <x:f>IF(B275="","Name missing - not scored",IF(OR(NOT(ISNUMBER(G275)),G275&lt;=0),"Investment missing or zero - review",IF(0=1,"Permanent ID missing - reconcile",IF(AND(ISNUMBER(H275),H275/G275&gt;='Score settings'!$B$58,NOT(ISNUMBER(I275))),"Benefit units need review",IF(OR(R275="EXIT",R275="CHALLENGE"),"Waste decision requires scope resolution",IF("No exact waste match"&lt;&gt;"Name and organisation matched","Waste evidence match needs review","Provisional source score - confirm evidence"))))))</x:f>
        <x:v>Waste evidence match needs review</x:v>
      </x:c>
      <x:c r="AL275" s="36"/>
      <x:c r="AM275" s="40"/>
      <x:c r="AN275" s="39"/>
      <x:c r="AO275" s="40"/>
      <x:c r="AP275" s="40"/>
    </x:row>
    <x:row r="276" ht="24" hidden="0" customHeight="1">
      <x:c r="A276" s="36" t="str">
        <x:v>Bu-284</x:v>
      </x:c>
      <x:c r="B276" s="37" t="str">
        <x:v>27.1 Customer Engagement | Unified Commercial Collaboration &amp; Claims Management​</x:v>
      </x:c>
      <x:c r="C276" s="36" t="str">
        <x:v>BU Led</x:v>
      </x:c>
      <x:c r="D276" s="36" t="str">
        <x:v>Personal Health (PH)</x:v>
      </x:c>
      <x:c r="E276" s="38" t="n">
        <x:v>0.3</x:v>
      </x:c>
      <x:c r="F276" s="39"/>
      <x:c r="G276" s="38" t="n">
        <x:f>IF(ISNUMBER(F276),F276,IF(E276="","",E276))</x:f>
        <x:v>0.3</x:v>
      </x:c>
      <x:c r="H276" s="38"/>
      <x:c r="I276" s="39"/>
      <x:c r="J276" s="36" t="str">
        <x:v>Cash savings</x:v>
      </x:c>
      <x:c r="K276" s="38" t="str">
        <x:f>IF(ISNUMBER(I276),I276,IF(OR(NOT(ISNUMBER(H276)),NOT(ISNUMBER(G276)),G276&lt;=0),"",IF(H276/G276&gt;='Score settings'!$B$58,"",IF(J276="Cash savings",H276,IF(J276="Revenue",H276*'Score settings'!$B$55,"")))))</x:f>
      </x:c>
      <x:c r="L276" s="36"/>
      <x:c r="M276" s="39"/>
      <x:c r="N276" s="40"/>
      <x:c r="O276" s="36" t="str">
        <x:v>Must Do</x:v>
      </x:c>
      <x:c r="P276" s="36" t="str">
        <x:v>NewFeat</x:v>
      </x:c>
      <x:c r="Q276" s="36" t="str">
        <x:v>ProcSimp</x:v>
      </x:c>
      <x:c r="R276" s="36" t="str">
        <x:v>NotAssessed</x:v>
      </x:c>
      <x:c r="S276" s="36" t="str"/>
      <x:c r="T276" s="36" t="str">
        <x:v>Common pot</x:v>
      </x:c>
      <x:c r="U276" s="41" t="n">
        <x:f>VLOOKUP("Priority|"&amp;O276,'Score settings'!$A$14:$C$43,2,FALSE)/'Score settings'!$B$4*'Score settings'!$C$4</x:f>
        <x:v>25</x:v>
      </x:c>
      <x:c r="V276" s="41" t="n">
        <x:f>VLOOKUP("Category|"&amp;P276,'Score settings'!$A$14:$C$43,2,FALSE)/'Score settings'!$B$5*'Score settings'!$C$5</x:f>
        <x:v>6</x:v>
      </x:c>
      <x:c r="W276" s="41" t="n">
        <x:f>VLOOKUP("Area|"&amp;Q276,'Score settings'!$A$14:$C$43,2,FALSE)/'Score settings'!$B$6*'Score settings'!$C$6</x:f>
        <x:v>12</x:v>
      </x:c>
      <x:c r="X276" s="41" t="n">
        <x:f>VLOOKUP("Benefits|"&amp;IF(AND(ISNUMBER(H276),H276&gt;0,ISNUMBER(G276),G276&gt;0),IF(H276/G276&gt;='Score settings'!$E$17,"3plus",IF(H276/G276&gt;='Score settings'!$E$16,"1.5to3",IF(H276/G276&gt;='Score settings'!$E$15,"0.5to1.5","positive"))),"None"),'Score settings'!$A$14:$C$43,2,FALSE)/'Score settings'!$B$7*'Score settings'!$C$7</x:f>
        <x:v>5</x:v>
      </x:c>
      <x:c r="Y276" s="41" t="n">
        <x:f>VLOOKUP("Waste|"&amp;R276,'Score settings'!$A$14:$C$43,2,FALSE)/'Score settings'!$B$8*'Score settings'!$C$8</x:f>
        <x:v>7</x:v>
      </x:c>
      <x:c r="Z276" s="41" t="n">
        <x:f>IF(B276="","",SUM(U276:Y276))</x:f>
        <x:v>55</x:v>
      </x:c>
      <x:c r="AA276" s="41" t="str">
        <x:f>IF(Z276="","Not scored",VLOOKUP(Z276,'Score settings'!$A$47:$C$50,2,TRUE))</x:f>
        <x:v>Strong</x:v>
      </x:c>
      <x:c r="AB276" s="41" t="n">
        <x:f>VLOOKUP("Priority|"&amp;O276,'Score settings'!$A$14:$C$43,3,FALSE)/'Score settings'!$B$4*'Score settings'!$D$4</x:f>
        <x:v>15</x:v>
      </x:c>
      <x:c r="AC276" s="41" t="n">
        <x:f>VLOOKUP("Category|"&amp;P276,'Score settings'!$A$14:$C$43,3,FALSE)/'Score settings'!$B$5*'Score settings'!$D$5</x:f>
        <x:v>3</x:v>
      </x:c>
      <x:c r="AD276" s="41" t="n">
        <x:f>VLOOKUP("Area|"&amp;Q276,'Score settings'!$A$14:$C$43,3,FALSE)/'Score settings'!$B$6*'Score settings'!$D$6</x:f>
        <x:v>8</x:v>
      </x:c>
      <x:c r="AE276" s="41" t="n">
        <x:f>VLOOKUP("Benefits|"&amp;IF(AND(ISNUMBER(K276),K276&gt;0,ISNUMBER(G276),G276&gt;0),IF(K276/G276&gt;='Score settings'!$E$17,"3plus",IF(K276/G276&gt;='Score settings'!$E$16,"1.5to3",IF(K276/G276&gt;='Score settings'!$E$15,"0.5to1.5","positive"))),"None"),'Score settings'!$A$14:$C$43,3,FALSE)/'Score settings'!$B$7*'Score settings'!$D$7</x:f>
        <x:v>0</x:v>
      </x:c>
      <x:c r="AF276" s="41" t="n">
        <x:f>VLOOKUP("Waste|"&amp;R276,'Score settings'!$A$14:$C$43,3,FALSE)/'Score settings'!$B$8*'Score settings'!$D$8</x:f>
        <x:v>0</x:v>
      </x:c>
      <x:c r="AG276" s="41" t="n">
        <x:f>(IF(AND(ISNUMBER(M276),M276&gt;0,ISNUMBER(G276),G276&gt;0),IF(M276/G276&gt;='Score settings'!$E$17,'Score settings'!$G$17,IF(M276/G276&gt;='Score settings'!$E$16,'Score settings'!$G$16,IF(M276/G276&gt;='Score settings'!$E$15,'Score settings'!$G$15,'Score settings'!$G$14))),0)/15*'Score settings'!$B$60+IFERROR(VLOOKUP(IF(ISNUMBER(N276),N276,IF(ISNUMBER(L276),L276,0)),'Score settings'!$E$22:$F$26,2,FALSE),0)/10*'Score settings'!$B$61)/'Score settings'!$B$9*'Score settings'!$D$9</x:f>
        <x:v>0</x:v>
      </x:c>
      <x:c r="AH276" s="41" t="n">
        <x:f>IF(B276="","",SUM(AB276:AG276))</x:f>
        <x:v>26</x:v>
      </x:c>
      <x:c r="AI276" s="41" t="str">
        <x:f>IF(NOT(ISNUMBER(AH276)),"Not scored",VLOOKUP(AH276,'Score settings'!$A$47:$C$50,3,TRUE))</x:f>
        <x:v>Discretionary</x:v>
      </x:c>
      <x:c r="AJ276" s="42" t="n">
        <x:f>IF(OR(NOT(ISNUMBER(AH276)),T276&lt;&gt;"Common pot"),"",COUNTIFS($T$4:$T$509,"Common pot",$AH$4:$AH$509,"&gt;"&amp;AH276)+1)</x:f>
        <x:v>237</x:v>
      </x:c>
      <x:c r="AK276" s="36" t="str">
        <x:f>IF(B276="","Name missing - not scored",IF(OR(NOT(ISNUMBER(G276)),G276&lt;=0),"Investment missing or zero - review",IF(0=1,"Permanent ID missing - reconcile",IF(AND(ISNUMBER(H276),H276/G276&gt;='Score settings'!$B$58,NOT(ISNUMBER(I276))),"Benefit units need review",IF(OR(R276="EXIT",R276="CHALLENGE"),"Waste decision requires scope resolution",IF("No exact waste match"&lt;&gt;"Name and organisation matched","Waste evidence match needs review","Provisional source score - confirm evidence"))))))</x:f>
        <x:v>Waste evidence match needs review</x:v>
      </x:c>
      <x:c r="AL276" s="36"/>
      <x:c r="AM276" s="40"/>
      <x:c r="AN276" s="39"/>
      <x:c r="AO276" s="40"/>
      <x:c r="AP276" s="40"/>
    </x:row>
    <x:row r="277" ht="24" hidden="0" customHeight="1">
      <x:c r="A277" s="36" t="str">
        <x:v>Bu-285</x:v>
      </x:c>
      <x:c r="B277" s="37" t="str">
        <x:v>27.2 RGM Decision Engine | Promo Effectiveness &amp; Trade Spend Mix Simulator​</x:v>
      </x:c>
      <x:c r="C277" s="36" t="str">
        <x:v>BU Led</x:v>
      </x:c>
      <x:c r="D277" s="36" t="str">
        <x:v>Personal Health (PH)</x:v>
      </x:c>
      <x:c r="E277" s="38" t="n">
        <x:v>0.9</x:v>
      </x:c>
      <x:c r="F277" s="39"/>
      <x:c r="G277" s="38" t="n">
        <x:f>IF(ISNUMBER(F277),F277,IF(E277="","",E277))</x:f>
        <x:v>0.9</x:v>
      </x:c>
      <x:c r="H277" s="38"/>
      <x:c r="I277" s="39"/>
      <x:c r="J277" s="36" t="str">
        <x:v>Revenue</x:v>
      </x:c>
      <x:c r="K277" s="38" t="str">
        <x:f>IF(ISNUMBER(I277),I277,IF(OR(NOT(ISNUMBER(H277)),NOT(ISNUMBER(G277)),G277&lt;=0),"",IF(H277/G277&gt;='Score settings'!$B$58,"",IF(J277="Cash savings",H277,IF(J277="Revenue",H277*'Score settings'!$B$55,"")))))</x:f>
      </x:c>
      <x:c r="L277" s="36"/>
      <x:c r="M277" s="39"/>
      <x:c r="N277" s="40"/>
      <x:c r="O277" s="36" t="str">
        <x:v>Must Do</x:v>
      </x:c>
      <x:c r="P277" s="36" t="str">
        <x:v>NewFeat</x:v>
      </x:c>
      <x:c r="Q277" s="36" t="str">
        <x:v>Revenue</x:v>
      </x:c>
      <x:c r="R277" s="36" t="str">
        <x:v>NotAssessed</x:v>
      </x:c>
      <x:c r="S277" s="36" t="str"/>
      <x:c r="T277" s="36" t="str">
        <x:v>Common pot</x:v>
      </x:c>
      <x:c r="U277" s="41" t="n">
        <x:f>VLOOKUP("Priority|"&amp;O277,'Score settings'!$A$14:$C$43,2,FALSE)/'Score settings'!$B$4*'Score settings'!$C$4</x:f>
        <x:v>25</x:v>
      </x:c>
      <x:c r="V277" s="41" t="n">
        <x:f>VLOOKUP("Category|"&amp;P277,'Score settings'!$A$14:$C$43,2,FALSE)/'Score settings'!$B$5*'Score settings'!$C$5</x:f>
        <x:v>6</x:v>
      </x:c>
      <x:c r="W277" s="41" t="n">
        <x:f>VLOOKUP("Area|"&amp;Q277,'Score settings'!$A$14:$C$43,2,FALSE)/'Score settings'!$B$6*'Score settings'!$C$6</x:f>
        <x:v>11</x:v>
      </x:c>
      <x:c r="X277" s="41" t="n">
        <x:f>VLOOKUP("Benefits|"&amp;IF(AND(ISNUMBER(H277),H277&gt;0,ISNUMBER(G277),G277&gt;0),IF(H277/G277&gt;='Score settings'!$E$17,"3plus",IF(H277/G277&gt;='Score settings'!$E$16,"1.5to3",IF(H277/G277&gt;='Score settings'!$E$15,"0.5to1.5","positive"))),"None"),'Score settings'!$A$14:$C$43,2,FALSE)/'Score settings'!$B$7*'Score settings'!$C$7</x:f>
        <x:v>5</x:v>
      </x:c>
      <x:c r="Y277" s="41" t="n">
        <x:f>VLOOKUP("Waste|"&amp;R277,'Score settings'!$A$14:$C$43,2,FALSE)/'Score settings'!$B$8*'Score settings'!$C$8</x:f>
        <x:v>7</x:v>
      </x:c>
      <x:c r="Z277" s="41" t="n">
        <x:f>IF(B277="","",SUM(U277:Y277))</x:f>
        <x:v>54</x:v>
      </x:c>
      <x:c r="AA277" s="41" t="str">
        <x:f>IF(Z277="","Not scored",VLOOKUP(Z277,'Score settings'!$A$47:$C$50,2,TRUE))</x:f>
        <x:v>Strong</x:v>
      </x:c>
      <x:c r="AB277" s="41" t="n">
        <x:f>VLOOKUP("Priority|"&amp;O277,'Score settings'!$A$14:$C$43,3,FALSE)/'Score settings'!$B$4*'Score settings'!$D$4</x:f>
        <x:v>15</x:v>
      </x:c>
      <x:c r="AC277" s="41" t="n">
        <x:f>VLOOKUP("Category|"&amp;P277,'Score settings'!$A$14:$C$43,3,FALSE)/'Score settings'!$B$5*'Score settings'!$D$5</x:f>
        <x:v>3</x:v>
      </x:c>
      <x:c r="AD277" s="41" t="n">
        <x:f>VLOOKUP("Area|"&amp;Q277,'Score settings'!$A$14:$C$43,3,FALSE)/'Score settings'!$B$6*'Score settings'!$D$6</x:f>
        <x:v>7.333333333333333</x:v>
      </x:c>
      <x:c r="AE277" s="41" t="n">
        <x:f>VLOOKUP("Benefits|"&amp;IF(AND(ISNUMBER(K277),K277&gt;0,ISNUMBER(G277),G277&gt;0),IF(K277/G277&gt;='Score settings'!$E$17,"3plus",IF(K277/G277&gt;='Score settings'!$E$16,"1.5to3",IF(K277/G277&gt;='Score settings'!$E$15,"0.5to1.5","positive"))),"None"),'Score settings'!$A$14:$C$43,3,FALSE)/'Score settings'!$B$7*'Score settings'!$D$7</x:f>
        <x:v>0</x:v>
      </x:c>
      <x:c r="AF277" s="41" t="n">
        <x:f>VLOOKUP("Waste|"&amp;R277,'Score settings'!$A$14:$C$43,3,FALSE)/'Score settings'!$B$8*'Score settings'!$D$8</x:f>
        <x:v>0</x:v>
      </x:c>
      <x:c r="AG277" s="41" t="n">
        <x:f>(IF(AND(ISNUMBER(M277),M277&gt;0,ISNUMBER(G277),G277&gt;0),IF(M277/G277&gt;='Score settings'!$E$17,'Score settings'!$G$17,IF(M277/G277&gt;='Score settings'!$E$16,'Score settings'!$G$16,IF(M277/G277&gt;='Score settings'!$E$15,'Score settings'!$G$15,'Score settings'!$G$14))),0)/15*'Score settings'!$B$60+IFERROR(VLOOKUP(IF(ISNUMBER(N277),N277,IF(ISNUMBER(L277),L277,0)),'Score settings'!$E$22:$F$26,2,FALSE),0)/10*'Score settings'!$B$61)/'Score settings'!$B$9*'Score settings'!$D$9</x:f>
        <x:v>0</x:v>
      </x:c>
      <x:c r="AH277" s="41" t="n">
        <x:f>IF(B277="","",SUM(AB277:AG277))</x:f>
        <x:v>25.333333333333332</x:v>
      </x:c>
      <x:c r="AI277" s="41" t="str">
        <x:f>IF(NOT(ISNUMBER(AH277)),"Not scored",VLOOKUP(AH277,'Score settings'!$A$47:$C$50,3,TRUE))</x:f>
        <x:v>Discretionary</x:v>
      </x:c>
      <x:c r="AJ277" s="42" t="n">
        <x:f>IF(OR(NOT(ISNUMBER(AH277)),T277&lt;&gt;"Common pot"),"",COUNTIFS($T$4:$T$509,"Common pot",$AH$4:$AH$509,"&gt;"&amp;AH277)+1)</x:f>
        <x:v>253</x:v>
      </x:c>
      <x:c r="AK277" s="36" t="str">
        <x:f>IF(B277="","Name missing - not scored",IF(OR(NOT(ISNUMBER(G277)),G277&lt;=0),"Investment missing or zero - review",IF(0=1,"Permanent ID missing - reconcile",IF(AND(ISNUMBER(H277),H277/G277&gt;='Score settings'!$B$58,NOT(ISNUMBER(I277))),"Benefit units need review",IF(OR(R277="EXIT",R277="CHALLENGE"),"Waste decision requires scope resolution",IF("No exact waste match"&lt;&gt;"Name and organisation matched","Waste evidence match needs review","Provisional source score - confirm evidence"))))))</x:f>
        <x:v>Waste evidence match needs review</x:v>
      </x:c>
      <x:c r="AL277" s="36"/>
      <x:c r="AM277" s="40"/>
      <x:c r="AN277" s="39"/>
      <x:c r="AO277" s="40"/>
      <x:c r="AP277" s="40"/>
    </x:row>
    <x:row r="278" ht="15" hidden="0" customHeight="1">
      <x:c r="A278" s="36" t="str">
        <x:v>Bu-286</x:v>
      </x:c>
      <x:c r="B278" s="37" t="str">
        <x:v>3PL Transformation (Dual 3PL ) - India</x:v>
      </x:c>
      <x:c r="C278" s="36" t="str">
        <x:v>BU Led</x:v>
      </x:c>
      <x:c r="D278" s="36" t="str">
        <x:v>Personal Health (PH)</x:v>
      </x:c>
      <x:c r="E278" s="38" t="n">
        <x:v>0.175</x:v>
      </x:c>
      <x:c r="F278" s="39"/>
      <x:c r="G278" s="38" t="n">
        <x:f>IF(ISNUMBER(F278),F278,IF(E278="","",E278))</x:f>
        <x:v>0.175</x:v>
      </x:c>
      <x:c r="H278" s="38" t="n">
        <x:v>1.939</x:v>
      </x:c>
      <x:c r="I278" s="39"/>
      <x:c r="J278" s="36" t="str">
        <x:v>Revenue</x:v>
      </x:c>
      <x:c r="K278" s="38" t="n">
        <x:f>IF(ISNUMBER(I278),I278,IF(OR(NOT(ISNUMBER(H278)),NOT(ISNUMBER(G278)),G278&lt;=0),"",IF(H278/G278&gt;='Score settings'!$B$58,"",IF(J278="Cash savings",H278,IF(J278="Revenue",H278*'Score settings'!$B$55,"")))))</x:f>
        <x:v>0.29085</x:v>
      </x:c>
      <x:c r="L278" s="36"/>
      <x:c r="M278" s="39"/>
      <x:c r="N278" s="40"/>
      <x:c r="O278" s="36" t="str">
        <x:v>Must Have</x:v>
      </x:c>
      <x:c r="P278" s="36" t="str">
        <x:v>LFR</x:v>
      </x:c>
      <x:c r="Q278" s="36" t="str">
        <x:v>Revenue</x:v>
      </x:c>
      <x:c r="R278" s="36" t="str">
        <x:v>NotAssessed</x:v>
      </x:c>
      <x:c r="S278" s="36" t="str"/>
      <x:c r="T278" s="36" t="str">
        <x:v>Common pot</x:v>
      </x:c>
      <x:c r="U278" s="41" t="n">
        <x:f>VLOOKUP("Priority|"&amp;O278,'Score settings'!$A$14:$C$43,2,FALSE)/'Score settings'!$B$4*'Score settings'!$C$4</x:f>
        <x:v>18</x:v>
      </x:c>
      <x:c r="V278" s="41" t="n">
        <x:f>VLOOKUP("Category|"&amp;P278,'Score settings'!$A$14:$C$43,2,FALSE)/'Score settings'!$B$5*'Score settings'!$C$5</x:f>
        <x:v>20</x:v>
      </x:c>
      <x:c r="W278" s="41" t="n">
        <x:f>VLOOKUP("Area|"&amp;Q278,'Score settings'!$A$14:$C$43,2,FALSE)/'Score settings'!$B$6*'Score settings'!$C$6</x:f>
        <x:v>11</x:v>
      </x:c>
      <x:c r="X278" s="41" t="n">
        <x:f>VLOOKUP("Benefits|"&amp;IF(AND(ISNUMBER(H278),H278&gt;0,ISNUMBER(G278),G278&gt;0),IF(H278/G278&gt;='Score settings'!$E$17,"3plus",IF(H278/G278&gt;='Score settings'!$E$16,"1.5to3",IF(H278/G278&gt;='Score settings'!$E$15,"0.5to1.5","positive"))),"None"),'Score settings'!$A$14:$C$43,2,FALSE)/'Score settings'!$B$7*'Score settings'!$C$7</x:f>
        <x:v>25</x:v>
      </x:c>
      <x:c r="Y278" s="41" t="n">
        <x:f>VLOOKUP("Waste|"&amp;R278,'Score settings'!$A$14:$C$43,2,FALSE)/'Score settings'!$B$8*'Score settings'!$C$8</x:f>
        <x:v>7</x:v>
      </x:c>
      <x:c r="Z278" s="41" t="n">
        <x:f>IF(B278="","",SUM(U278:Y278))</x:f>
        <x:v>81</x:v>
      </x:c>
      <x:c r="AA278" s="41" t="str">
        <x:f>IF(Z278="","Not scored",VLOOKUP(Z278,'Score settings'!$A$47:$C$50,2,TRUE))</x:f>
        <x:v>Protected</x:v>
      </x:c>
      <x:c r="AB278" s="41" t="n">
        <x:f>VLOOKUP("Priority|"&amp;O278,'Score settings'!$A$14:$C$43,3,FALSE)/'Score settings'!$B$4*'Score settings'!$D$4</x:f>
        <x:v>10.799999999999999</x:v>
      </x:c>
      <x:c r="AC278" s="41" t="n">
        <x:f>VLOOKUP("Category|"&amp;P278,'Score settings'!$A$14:$C$43,3,FALSE)/'Score settings'!$B$5*'Score settings'!$D$5</x:f>
        <x:v>10</x:v>
      </x:c>
      <x:c r="AD278" s="41" t="n">
        <x:f>VLOOKUP("Area|"&amp;Q278,'Score settings'!$A$14:$C$43,3,FALSE)/'Score settings'!$B$6*'Score settings'!$D$6</x:f>
        <x:v>7.333333333333333</x:v>
      </x:c>
      <x:c r="AE278" s="41" t="n">
        <x:f>VLOOKUP("Benefits|"&amp;IF(AND(ISNUMBER(K278),K278&gt;0,ISNUMBER(G278),G278&gt;0),IF(K278/G278&gt;='Score settings'!$E$17,"3plus",IF(K278/G278&gt;='Score settings'!$E$16,"1.5to3",IF(K278/G278&gt;='Score settings'!$E$15,"0.5to1.5","positive"))),"None"),'Score settings'!$A$14:$C$43,3,FALSE)/'Score settings'!$B$7*'Score settings'!$D$7</x:f>
        <x:v>24</x:v>
      </x:c>
      <x:c r="AF278" s="41" t="n">
        <x:f>VLOOKUP("Waste|"&amp;R278,'Score settings'!$A$14:$C$43,3,FALSE)/'Score settings'!$B$8*'Score settings'!$D$8</x:f>
        <x:v>0</x:v>
      </x:c>
      <x:c r="AG278" s="41" t="n">
        <x:f>(IF(AND(ISNUMBER(M278),M278&gt;0,ISNUMBER(G278),G278&gt;0),IF(M278/G278&gt;='Score settings'!$E$17,'Score settings'!$G$17,IF(M278/G278&gt;='Score settings'!$E$16,'Score settings'!$G$16,IF(M278/G278&gt;='Score settings'!$E$15,'Score settings'!$G$15,'Score settings'!$G$14))),0)/15*'Score settings'!$B$60+IFERROR(VLOOKUP(IF(ISNUMBER(N278),N278,IF(ISNUMBER(L278),L278,0)),'Score settings'!$E$22:$F$26,2,FALSE),0)/10*'Score settings'!$B$61)/'Score settings'!$B$9*'Score settings'!$D$9</x:f>
        <x:v>0</x:v>
      </x:c>
      <x:c r="AH278" s="41" t="n">
        <x:f>IF(B278="","",SUM(AB278:AG278))</x:f>
        <x:v>52.133333333333326</x:v>
      </x:c>
      <x:c r="AI278" s="41" t="str">
        <x:f>IF(NOT(ISNUMBER(AH278)),"Not scored",VLOOKUP(AH278,'Score settings'!$A$47:$C$50,3,TRUE))</x:f>
        <x:v>Strong</x:v>
      </x:c>
      <x:c r="AJ278" s="42" t="n">
        <x:f>IF(OR(NOT(ISNUMBER(AH278)),T278&lt;&gt;"Common pot"),"",COUNTIFS($T$4:$T$509,"Common pot",$AH$4:$AH$509,"&gt;"&amp;AH278)+1)</x:f>
        <x:v>42</x:v>
      </x:c>
      <x:c r="AK278" s="36" t="str">
        <x:f>IF(B278="","Name missing - not scored",IF(OR(NOT(ISNUMBER(G278)),G278&lt;=0),"Investment missing or zero - review",IF(0=1,"Permanent ID missing - reconcile",IF(AND(ISNUMBER(H278),H278/G278&gt;='Score settings'!$B$58,NOT(ISNUMBER(I278))),"Benefit units need review",IF(OR(R278="EXIT",R278="CHALLENGE"),"Waste decision requires scope resolution",IF("No exact waste match"&lt;&gt;"Name and organisation matched","Waste evidence match needs review","Provisional source score - confirm evidence"))))))</x:f>
        <x:v>Waste evidence match needs review</x:v>
      </x:c>
      <x:c r="AL278" s="36"/>
      <x:c r="AM278" s="40"/>
      <x:c r="AN278" s="39"/>
      <x:c r="AO278" s="40"/>
      <x:c r="AP278" s="40"/>
    </x:row>
    <x:row r="279" ht="15" hidden="0" customHeight="1">
      <x:c r="A279" s="36" t="str">
        <x:v>Bu-287</x:v>
      </x:c>
      <x:c r="B279" s="37" t="str">
        <x:v>72. O2C simplification: Smart Allocation &amp; Agentic AI</x:v>
      </x:c>
      <x:c r="C279" s="36" t="str">
        <x:v>BU Led</x:v>
      </x:c>
      <x:c r="D279" s="36" t="str">
        <x:v>Personal Health (PH)</x:v>
      </x:c>
      <x:c r="E279" s="38" t="n">
        <x:v>1.08</x:v>
      </x:c>
      <x:c r="F279" s="39"/>
      <x:c r="G279" s="38" t="n">
        <x:f>IF(ISNUMBER(F279),F279,IF(E279="","",E279))</x:f>
        <x:v>1.08</x:v>
      </x:c>
      <x:c r="H279" s="38" t="n">
        <x:v>0.42</x:v>
      </x:c>
      <x:c r="I279" s="39"/>
      <x:c r="J279" s="36" t="str">
        <x:v>Revenue</x:v>
      </x:c>
      <x:c r="K279" s="38" t="n">
        <x:f>IF(ISNUMBER(I279),I279,IF(OR(NOT(ISNUMBER(H279)),NOT(ISNUMBER(G279)),G279&lt;=0),"",IF(H279/G279&gt;='Score settings'!$B$58,"",IF(J279="Cash savings",H279,IF(J279="Revenue",H279*'Score settings'!$B$55,"")))))</x:f>
        <x:v>0.063</x:v>
      </x:c>
      <x:c r="L279" s="36"/>
      <x:c r="M279" s="39"/>
      <x:c r="N279" s="40"/>
      <x:c r="O279" s="36" t="str">
        <x:v>Must Do</x:v>
      </x:c>
      <x:c r="P279" s="36" t="str">
        <x:v>AI</x:v>
      </x:c>
      <x:c r="Q279" s="36" t="str">
        <x:v>Revenue</x:v>
      </x:c>
      <x:c r="R279" s="36" t="str">
        <x:v>NotAssessed</x:v>
      </x:c>
      <x:c r="S279" s="36" t="str"/>
      <x:c r="T279" s="36" t="str">
        <x:v>Common pot</x:v>
      </x:c>
      <x:c r="U279" s="41" t="n">
        <x:f>VLOOKUP("Priority|"&amp;O279,'Score settings'!$A$14:$C$43,2,FALSE)/'Score settings'!$B$4*'Score settings'!$C$4</x:f>
        <x:v>25</x:v>
      </x:c>
      <x:c r="V279" s="41" t="n">
        <x:f>VLOOKUP("Category|"&amp;P279,'Score settings'!$A$14:$C$43,2,FALSE)/'Score settings'!$B$5*'Score settings'!$C$5</x:f>
        <x:v>16</x:v>
      </x:c>
      <x:c r="W279" s="41" t="n">
        <x:f>VLOOKUP("Area|"&amp;Q279,'Score settings'!$A$14:$C$43,2,FALSE)/'Score settings'!$B$6*'Score settings'!$C$6</x:f>
        <x:v>11</x:v>
      </x:c>
      <x:c r="X279" s="41" t="n">
        <x:f>VLOOKUP("Benefits|"&amp;IF(AND(ISNUMBER(H279),H279&gt;0,ISNUMBER(G279),G279&gt;0),IF(H279/G279&gt;='Score settings'!$E$17,"3plus",IF(H279/G279&gt;='Score settings'!$E$16,"1.5to3",IF(H279/G279&gt;='Score settings'!$E$15,"0.5to1.5","positive"))),"None"),'Score settings'!$A$14:$C$43,2,FALSE)/'Score settings'!$B$7*'Score settings'!$C$7</x:f>
        <x:v>10</x:v>
      </x:c>
      <x:c r="Y279" s="41" t="n">
        <x:f>VLOOKUP("Waste|"&amp;R279,'Score settings'!$A$14:$C$43,2,FALSE)/'Score settings'!$B$8*'Score settings'!$C$8</x:f>
        <x:v>7</x:v>
      </x:c>
      <x:c r="Z279" s="41" t="n">
        <x:f>IF(B279="","",SUM(U279:Y279))</x:f>
        <x:v>69</x:v>
      </x:c>
      <x:c r="AA279" s="41" t="str">
        <x:f>IF(Z279="","Not scored",VLOOKUP(Z279,'Score settings'!$A$47:$C$50,2,TRUE))</x:f>
        <x:v>Protected</x:v>
      </x:c>
      <x:c r="AB279" s="41" t="n">
        <x:f>VLOOKUP("Priority|"&amp;O279,'Score settings'!$A$14:$C$43,3,FALSE)/'Score settings'!$B$4*'Score settings'!$D$4</x:f>
        <x:v>15</x:v>
      </x:c>
      <x:c r="AC279" s="41" t="n">
        <x:f>VLOOKUP("Category|"&amp;P279,'Score settings'!$A$14:$C$43,3,FALSE)/'Score settings'!$B$5*'Score settings'!$D$5</x:f>
        <x:v>8</x:v>
      </x:c>
      <x:c r="AD279" s="41" t="n">
        <x:f>VLOOKUP("Area|"&amp;Q279,'Score settings'!$A$14:$C$43,3,FALSE)/'Score settings'!$B$6*'Score settings'!$D$6</x:f>
        <x:v>7.333333333333333</x:v>
      </x:c>
      <x:c r="AE279" s="41" t="n">
        <x:f>VLOOKUP("Benefits|"&amp;IF(AND(ISNUMBER(K279),K279&gt;0,ISNUMBER(G279),G279&gt;0),IF(K279/G279&gt;='Score settings'!$E$17,"3plus",IF(K279/G279&gt;='Score settings'!$E$16,"1.5to3",IF(K279/G279&gt;='Score settings'!$E$15,"0.5to1.5","positive"))),"None"),'Score settings'!$A$14:$C$43,3,FALSE)/'Score settings'!$B$7*'Score settings'!$D$7</x:f>
        <x:v>12</x:v>
      </x:c>
      <x:c r="AF279" s="41" t="n">
        <x:f>VLOOKUP("Waste|"&amp;R279,'Score settings'!$A$14:$C$43,3,FALSE)/'Score settings'!$B$8*'Score settings'!$D$8</x:f>
        <x:v>0</x:v>
      </x:c>
      <x:c r="AG279" s="41" t="n">
        <x:f>(IF(AND(ISNUMBER(M279),M279&gt;0,ISNUMBER(G279),G279&gt;0),IF(M279/G279&gt;='Score settings'!$E$17,'Score settings'!$G$17,IF(M279/G279&gt;='Score settings'!$E$16,'Score settings'!$G$16,IF(M279/G279&gt;='Score settings'!$E$15,'Score settings'!$G$15,'Score settings'!$G$14))),0)/15*'Score settings'!$B$60+IFERROR(VLOOKUP(IF(ISNUMBER(N279),N279,IF(ISNUMBER(L279),L279,0)),'Score settings'!$E$22:$F$26,2,FALSE),0)/10*'Score settings'!$B$61)/'Score settings'!$B$9*'Score settings'!$D$9</x:f>
        <x:v>0</x:v>
      </x:c>
      <x:c r="AH279" s="41" t="n">
        <x:f>IF(B279="","",SUM(AB279:AG279))</x:f>
        <x:v>42.33333333333333</x:v>
      </x:c>
      <x:c r="AI279" s="41" t="str">
        <x:f>IF(NOT(ISNUMBER(AH279)),"Not scored",VLOOKUP(AH279,'Score settings'!$A$47:$C$50,3,TRUE))</x:f>
        <x:v>Discretionary</x:v>
      </x:c>
      <x:c r="AJ279" s="42" t="n">
        <x:f>IF(OR(NOT(ISNUMBER(AH279)),T279&lt;&gt;"Common pot"),"",COUNTIFS($T$4:$T$509,"Common pot",$AH$4:$AH$509,"&gt;"&amp;AH279)+1)</x:f>
        <x:v>79</x:v>
      </x:c>
      <x:c r="AK279" s="36" t="str">
        <x:f>IF(B279="","Name missing - not scored",IF(OR(NOT(ISNUMBER(G279)),G279&lt;=0),"Investment missing or zero - review",IF(0=1,"Permanent ID missing - reconcile",IF(AND(ISNUMBER(H279),H279/G279&gt;='Score settings'!$B$58,NOT(ISNUMBER(I279))),"Benefit units need review",IF(OR(R279="EXIT",R279="CHALLENGE"),"Waste decision requires scope resolution",IF("No exact waste match"&lt;&gt;"Name and organisation matched","Waste evidence match needs review","Provisional source score - confirm evidence"))))))</x:f>
        <x:v>Waste evidence match needs review</x:v>
      </x:c>
      <x:c r="AL279" s="36"/>
      <x:c r="AM279" s="40"/>
      <x:c r="AN279" s="39"/>
      <x:c r="AO279" s="40"/>
      <x:c r="AP279" s="40"/>
    </x:row>
    <x:row r="280" ht="15" hidden="0" customHeight="1">
      <x:c r="A280" s="36" t="str">
        <x:v>Bu-288</x:v>
      </x:c>
      <x:c r="B280" s="37" t="str">
        <x:v>94. PH ISC ring fenced budget + A/ ML Demand forecasting</x:v>
      </x:c>
      <x:c r="C280" s="36" t="str">
        <x:v>BU Led</x:v>
      </x:c>
      <x:c r="D280" s="36" t="str">
        <x:v>Personal Health (PH)</x:v>
      </x:c>
      <x:c r="E280" s="38" t="n">
        <x:v>1</x:v>
      </x:c>
      <x:c r="F280" s="39"/>
      <x:c r="G280" s="38" t="n">
        <x:f>IF(ISNUMBER(F280),F280,IF(E280="","",E280))</x:f>
        <x:v>1</x:v>
      </x:c>
      <x:c r="H280" s="38"/>
      <x:c r="I280" s="39"/>
      <x:c r="J280" s="36" t="str">
        <x:v>Cash savings</x:v>
      </x:c>
      <x:c r="K280" s="38" t="str">
        <x:f>IF(ISNUMBER(I280),I280,IF(OR(NOT(ISNUMBER(H280)),NOT(ISNUMBER(G280)),G280&lt;=0),"",IF(H280/G280&gt;='Score settings'!$B$58,"",IF(J280="Cash savings",H280,IF(J280="Revenue",H280*'Score settings'!$B$55,"")))))</x:f>
      </x:c>
      <x:c r="L280" s="36"/>
      <x:c r="M280" s="39"/>
      <x:c r="N280" s="40"/>
      <x:c r="O280" s="36" t="str">
        <x:v>Must Have</x:v>
      </x:c>
      <x:c r="P280" s="36" t="str">
        <x:v>CI</x:v>
      </x:c>
      <x:c r="Q280" s="36" t="str">
        <x:v>ProcSimp</x:v>
      </x:c>
      <x:c r="R280" s="36" t="str">
        <x:v>NotAssessed</x:v>
      </x:c>
      <x:c r="S280" s="36" t="str"/>
      <x:c r="T280" s="36" t="str">
        <x:v>Common pot</x:v>
      </x:c>
      <x:c r="U280" s="41" t="n">
        <x:f>VLOOKUP("Priority|"&amp;O280,'Score settings'!$A$14:$C$43,2,FALSE)/'Score settings'!$B$4*'Score settings'!$C$4</x:f>
        <x:v>18</x:v>
      </x:c>
      <x:c r="V280" s="41" t="n">
        <x:f>VLOOKUP("Category|"&amp;P280,'Score settings'!$A$14:$C$43,2,FALSE)/'Score settings'!$B$5*'Score settings'!$C$5</x:f>
        <x:v>8</x:v>
      </x:c>
      <x:c r="W280" s="41" t="n">
        <x:f>VLOOKUP("Area|"&amp;Q280,'Score settings'!$A$14:$C$43,2,FALSE)/'Score settings'!$B$6*'Score settings'!$C$6</x:f>
        <x:v>12</x:v>
      </x:c>
      <x:c r="X280" s="41" t="n">
        <x:f>VLOOKUP("Benefits|"&amp;IF(AND(ISNUMBER(H280),H280&gt;0,ISNUMBER(G280),G280&gt;0),IF(H280/G280&gt;='Score settings'!$E$17,"3plus",IF(H280/G280&gt;='Score settings'!$E$16,"1.5to3",IF(H280/G280&gt;='Score settings'!$E$15,"0.5to1.5","positive"))),"None"),'Score settings'!$A$14:$C$43,2,FALSE)/'Score settings'!$B$7*'Score settings'!$C$7</x:f>
        <x:v>5</x:v>
      </x:c>
      <x:c r="Y280" s="41" t="n">
        <x:f>VLOOKUP("Waste|"&amp;R280,'Score settings'!$A$14:$C$43,2,FALSE)/'Score settings'!$B$8*'Score settings'!$C$8</x:f>
        <x:v>7</x:v>
      </x:c>
      <x:c r="Z280" s="41" t="n">
        <x:f>IF(B280="","",SUM(U280:Y280))</x:f>
        <x:v>50</x:v>
      </x:c>
      <x:c r="AA280" s="41" t="str">
        <x:f>IF(Z280="","Not scored",VLOOKUP(Z280,'Score settings'!$A$47:$C$50,2,TRUE))</x:f>
        <x:v>Strong</x:v>
      </x:c>
      <x:c r="AB280" s="41" t="n">
        <x:f>VLOOKUP("Priority|"&amp;O280,'Score settings'!$A$14:$C$43,3,FALSE)/'Score settings'!$B$4*'Score settings'!$D$4</x:f>
        <x:v>10.799999999999999</x:v>
      </x:c>
      <x:c r="AC280" s="41" t="n">
        <x:f>VLOOKUP("Category|"&amp;P280,'Score settings'!$A$14:$C$43,3,FALSE)/'Score settings'!$B$5*'Score settings'!$D$5</x:f>
        <x:v>4</x:v>
      </x:c>
      <x:c r="AD280" s="41" t="n">
        <x:f>VLOOKUP("Area|"&amp;Q280,'Score settings'!$A$14:$C$43,3,FALSE)/'Score settings'!$B$6*'Score settings'!$D$6</x:f>
        <x:v>8</x:v>
      </x:c>
      <x:c r="AE280" s="41" t="n">
        <x:f>VLOOKUP("Benefits|"&amp;IF(AND(ISNUMBER(K280),K280&gt;0,ISNUMBER(G280),G280&gt;0),IF(K280/G280&gt;='Score settings'!$E$17,"3plus",IF(K280/G280&gt;='Score settings'!$E$16,"1.5to3",IF(K280/G280&gt;='Score settings'!$E$15,"0.5to1.5","positive"))),"None"),'Score settings'!$A$14:$C$43,3,FALSE)/'Score settings'!$B$7*'Score settings'!$D$7</x:f>
        <x:v>0</x:v>
      </x:c>
      <x:c r="AF280" s="41" t="n">
        <x:f>VLOOKUP("Waste|"&amp;R280,'Score settings'!$A$14:$C$43,3,FALSE)/'Score settings'!$B$8*'Score settings'!$D$8</x:f>
        <x:v>0</x:v>
      </x:c>
      <x:c r="AG280" s="41" t="n">
        <x:f>(IF(AND(ISNUMBER(M280),M280&gt;0,ISNUMBER(G280),G280&gt;0),IF(M280/G280&gt;='Score settings'!$E$17,'Score settings'!$G$17,IF(M280/G280&gt;='Score settings'!$E$16,'Score settings'!$G$16,IF(M280/G280&gt;='Score settings'!$E$15,'Score settings'!$G$15,'Score settings'!$G$14))),0)/15*'Score settings'!$B$60+IFERROR(VLOOKUP(IF(ISNUMBER(N280),N280,IF(ISNUMBER(L280),L280,0)),'Score settings'!$E$22:$F$26,2,FALSE),0)/10*'Score settings'!$B$61)/'Score settings'!$B$9*'Score settings'!$D$9</x:f>
        <x:v>0</x:v>
      </x:c>
      <x:c r="AH280" s="41" t="n">
        <x:f>IF(B280="","",SUM(AB280:AG280))</x:f>
        <x:v>22.799999999999997</x:v>
      </x:c>
      <x:c r="AI280" s="41" t="str">
        <x:f>IF(NOT(ISNUMBER(AH280)),"Not scored",VLOOKUP(AH280,'Score settings'!$A$47:$C$50,3,TRUE))</x:f>
        <x:v>Weak</x:v>
      </x:c>
      <x:c r="AJ280" s="42" t="n">
        <x:f>IF(OR(NOT(ISNUMBER(AH280)),T280&lt;&gt;"Common pot"),"",COUNTIFS($T$4:$T$509,"Common pot",$AH$4:$AH$509,"&gt;"&amp;AH280)+1)</x:f>
        <x:v>318</x:v>
      </x:c>
      <x:c r="AK280" s="36" t="str">
        <x:f>IF(B280="","Name missing - not scored",IF(OR(NOT(ISNUMBER(G280)),G280&lt;=0),"Investment missing or zero - review",IF(0=1,"Permanent ID missing - reconcile",IF(AND(ISNUMBER(H280),H280/G280&gt;='Score settings'!$B$58,NOT(ISNUMBER(I280))),"Benefit units need review",IF(OR(R280="EXIT",R280="CHALLENGE"),"Waste decision requires scope resolution",IF("No exact waste match"&lt;&gt;"Name and organisation matched","Waste evidence match needs review","Provisional source score - confirm evidence"))))))</x:f>
        <x:v>Waste evidence match needs review</x:v>
      </x:c>
      <x:c r="AL280" s="36"/>
      <x:c r="AM280" s="40"/>
      <x:c r="AN280" s="39"/>
      <x:c r="AO280" s="40"/>
      <x:c r="AP280" s="40"/>
    </x:row>
    <x:row r="281" ht="15" hidden="0" customHeight="1">
      <x:c r="A281" s="36" t="str">
        <x:v>Bu-289</x:v>
      </x:c>
      <x:c r="B281" s="37" t="str">
        <x:v>Agentic regulatory pipeline</x:v>
      </x:c>
      <x:c r="C281" s="36" t="str">
        <x:v>BU Led</x:v>
      </x:c>
      <x:c r="D281" s="36" t="str">
        <x:v>Personal Health (PH)</x:v>
      </x:c>
      <x:c r="E281" s="38" t="n">
        <x:v>0.1</x:v>
      </x:c>
      <x:c r="F281" s="39"/>
      <x:c r="G281" s="38" t="n">
        <x:f>IF(ISNUMBER(F281),F281,IF(E281="","",E281))</x:f>
        <x:v>0.1</x:v>
      </x:c>
      <x:c r="H281" s="38"/>
      <x:c r="I281" s="39"/>
      <x:c r="J281" s="36" t="str">
        <x:v>Risk exposure</x:v>
      </x:c>
      <x:c r="K281" s="38" t="str">
        <x:f>IF(ISNUMBER(I281),I281,IF(OR(NOT(ISNUMBER(H281)),NOT(ISNUMBER(G281)),G281&lt;=0),"",IF(H281/G281&gt;='Score settings'!$B$58,"",IF(J281="Cash savings",H281,IF(J281="Revenue",H281*'Score settings'!$B$55,"")))))</x:f>
      </x:c>
      <x:c r="L281" s="36"/>
      <x:c r="M281" s="39"/>
      <x:c r="N281" s="40"/>
      <x:c r="O281" s="36" t="str">
        <x:v>Must Do</x:v>
      </x:c>
      <x:c r="P281" s="36" t="str">
        <x:v>AI</x:v>
      </x:c>
      <x:c r="Q281" s="36" t="str">
        <x:v>Compliance</x:v>
      </x:c>
      <x:c r="R281" s="36" t="str">
        <x:v>NotAssessed</x:v>
      </x:c>
      <x:c r="S281" s="36" t="str"/>
      <x:c r="T281" s="36" t="str">
        <x:v>Common pot</x:v>
      </x:c>
      <x:c r="U281" s="41" t="n">
        <x:f>VLOOKUP("Priority|"&amp;O281,'Score settings'!$A$14:$C$43,2,FALSE)/'Score settings'!$B$4*'Score settings'!$C$4</x:f>
        <x:v>25</x:v>
      </x:c>
      <x:c r="V281" s="41" t="n">
        <x:f>VLOOKUP("Category|"&amp;P281,'Score settings'!$A$14:$C$43,2,FALSE)/'Score settings'!$B$5*'Score settings'!$C$5</x:f>
        <x:v>16</x:v>
      </x:c>
      <x:c r="W281" s="41" t="n">
        <x:f>VLOOKUP("Area|"&amp;Q281,'Score settings'!$A$14:$C$43,2,FALSE)/'Score settings'!$B$6*'Score settings'!$C$6</x:f>
        <x:v>15</x:v>
      </x:c>
      <x:c r="X281" s="41" t="n">
        <x:f>VLOOKUP("Benefits|"&amp;IF(AND(ISNUMBER(H281),H281&gt;0,ISNUMBER(G281),G281&gt;0),IF(H281/G281&gt;='Score settings'!$E$17,"3plus",IF(H281/G281&gt;='Score settings'!$E$16,"1.5to3",IF(H281/G281&gt;='Score settings'!$E$15,"0.5to1.5","positive"))),"None"),'Score settings'!$A$14:$C$43,2,FALSE)/'Score settings'!$B$7*'Score settings'!$C$7</x:f>
        <x:v>5</x:v>
      </x:c>
      <x:c r="Y281" s="41" t="n">
        <x:f>VLOOKUP("Waste|"&amp;R281,'Score settings'!$A$14:$C$43,2,FALSE)/'Score settings'!$B$8*'Score settings'!$C$8</x:f>
        <x:v>7</x:v>
      </x:c>
      <x:c r="Z281" s="41" t="n">
        <x:f>IF(B281="","",SUM(U281:Y281))</x:f>
        <x:v>68</x:v>
      </x:c>
      <x:c r="AA281" s="41" t="str">
        <x:f>IF(Z281="","Not scored",VLOOKUP(Z281,'Score settings'!$A$47:$C$50,2,TRUE))</x:f>
        <x:v>Protected</x:v>
      </x:c>
      <x:c r="AB281" s="41" t="n">
        <x:f>VLOOKUP("Priority|"&amp;O281,'Score settings'!$A$14:$C$43,3,FALSE)/'Score settings'!$B$4*'Score settings'!$D$4</x:f>
        <x:v>15</x:v>
      </x:c>
      <x:c r="AC281" s="41" t="n">
        <x:f>VLOOKUP("Category|"&amp;P281,'Score settings'!$A$14:$C$43,3,FALSE)/'Score settings'!$B$5*'Score settings'!$D$5</x:f>
        <x:v>8</x:v>
      </x:c>
      <x:c r="AD281" s="41" t="n">
        <x:f>VLOOKUP("Area|"&amp;Q281,'Score settings'!$A$14:$C$43,3,FALSE)/'Score settings'!$B$6*'Score settings'!$D$6</x:f>
        <x:v>10</x:v>
      </x:c>
      <x:c r="AE281" s="41" t="n">
        <x:f>VLOOKUP("Benefits|"&amp;IF(AND(ISNUMBER(K281),K281&gt;0,ISNUMBER(G281),G281&gt;0),IF(K281/G281&gt;='Score settings'!$E$17,"3plus",IF(K281/G281&gt;='Score settings'!$E$16,"1.5to3",IF(K281/G281&gt;='Score settings'!$E$15,"0.5to1.5","positive"))),"None"),'Score settings'!$A$14:$C$43,3,FALSE)/'Score settings'!$B$7*'Score settings'!$D$7</x:f>
        <x:v>0</x:v>
      </x:c>
      <x:c r="AF281" s="41" t="n">
        <x:f>VLOOKUP("Waste|"&amp;R281,'Score settings'!$A$14:$C$43,3,FALSE)/'Score settings'!$B$8*'Score settings'!$D$8</x:f>
        <x:v>0</x:v>
      </x:c>
      <x:c r="AG281" s="41" t="n">
        <x:f>(IF(AND(ISNUMBER(M281),M281&gt;0,ISNUMBER(G281),G281&gt;0),IF(M281/G281&gt;='Score settings'!$E$17,'Score settings'!$G$17,IF(M281/G281&gt;='Score settings'!$E$16,'Score settings'!$G$16,IF(M281/G281&gt;='Score settings'!$E$15,'Score settings'!$G$15,'Score settings'!$G$14))),0)/15*'Score settings'!$B$60+IFERROR(VLOOKUP(IF(ISNUMBER(N281),N281,IF(ISNUMBER(L281),L281,0)),'Score settings'!$E$22:$F$26,2,FALSE),0)/10*'Score settings'!$B$61)/'Score settings'!$B$9*'Score settings'!$D$9</x:f>
        <x:v>0</x:v>
      </x:c>
      <x:c r="AH281" s="41" t="n">
        <x:f>IF(B281="","",SUM(AB281:AG281))</x:f>
        <x:v>33</x:v>
      </x:c>
      <x:c r="AI281" s="41" t="str">
        <x:f>IF(NOT(ISNUMBER(AH281)),"Not scored",VLOOKUP(AH281,'Score settings'!$A$47:$C$50,3,TRUE))</x:f>
        <x:v>Discretionary</x:v>
      </x:c>
      <x:c r="AJ281" s="42" t="n">
        <x:f>IF(OR(NOT(ISNUMBER(AH281)),T281&lt;&gt;"Common pot"),"",COUNTIFS($T$4:$T$509,"Common pot",$AH$4:$AH$509,"&gt;"&amp;AH281)+1)</x:f>
        <x:v>160</x:v>
      </x:c>
      <x:c r="AK281" s="36" t="str">
        <x:f>IF(B281="","Name missing - not scored",IF(OR(NOT(ISNUMBER(G281)),G281&lt;=0),"Investment missing or zero - review",IF(0=1,"Permanent ID missing - reconcile",IF(AND(ISNUMBER(H281),H281/G281&gt;='Score settings'!$B$58,NOT(ISNUMBER(I281))),"Benefit units need review",IF(OR(R281="EXIT",R281="CHALLENGE"),"Waste decision requires scope resolution",IF("No exact waste match"&lt;&gt;"Name and organisation matched","Waste evidence match needs review","Provisional source score - confirm evidence"))))))</x:f>
        <x:v>Waste evidence match needs review</x:v>
      </x:c>
      <x:c r="AL281" s="36"/>
      <x:c r="AM281" s="40"/>
      <x:c r="AN281" s="39"/>
      <x:c r="AO281" s="40"/>
      <x:c r="AP281" s="40"/>
    </x:row>
    <x:row r="282" ht="15" hidden="0" customHeight="1">
      <x:c r="A282" s="36" t="str">
        <x:v>Bu-290</x:v>
      </x:c>
      <x:c r="B282" s="37" t="str">
        <x:v>AI Ready Product Intelligence Foundation (aka Product Content data factory )</x:v>
      </x:c>
      <x:c r="C282" s="36" t="str">
        <x:v>BU Led</x:v>
      </x:c>
      <x:c r="D282" s="36" t="str">
        <x:v>Personal Health (PH)</x:v>
      </x:c>
      <x:c r="E282" s="38" t="n">
        <x:v>1</x:v>
      </x:c>
      <x:c r="F282" s="39"/>
      <x:c r="G282" s="38" t="n">
        <x:f>IF(ISNUMBER(F282),F282,IF(E282="","",E282))</x:f>
        <x:v>1</x:v>
      </x:c>
      <x:c r="H282" s="38" t="n">
        <x:v>0.563</x:v>
      </x:c>
      <x:c r="I282" s="39"/>
      <x:c r="J282" s="36" t="str">
        <x:v>Revenue</x:v>
      </x:c>
      <x:c r="K282" s="38" t="n">
        <x:f>IF(ISNUMBER(I282),I282,IF(OR(NOT(ISNUMBER(H282)),NOT(ISNUMBER(G282)),G282&lt;=0),"",IF(H282/G282&gt;='Score settings'!$B$58,"",IF(J282="Cash savings",H282,IF(J282="Revenue",H282*'Score settings'!$B$55,"")))))</x:f>
        <x:v>0.08444999999999998</x:v>
      </x:c>
      <x:c r="L282" s="36"/>
      <x:c r="M282" s="39"/>
      <x:c r="N282" s="40"/>
      <x:c r="O282" s="36" t="str">
        <x:v>Must Do</x:v>
      </x:c>
      <x:c r="P282" s="36" t="str">
        <x:v>AI</x:v>
      </x:c>
      <x:c r="Q282" s="36" t="str">
        <x:v>Revenue</x:v>
      </x:c>
      <x:c r="R282" s="36" t="str">
        <x:v>NotAssessed</x:v>
      </x:c>
      <x:c r="S282" s="36" t="str"/>
      <x:c r="T282" s="36" t="str">
        <x:v>Common pot</x:v>
      </x:c>
      <x:c r="U282" s="41" t="n">
        <x:f>VLOOKUP("Priority|"&amp;O282,'Score settings'!$A$14:$C$43,2,FALSE)/'Score settings'!$B$4*'Score settings'!$C$4</x:f>
        <x:v>25</x:v>
      </x:c>
      <x:c r="V282" s="41" t="n">
        <x:f>VLOOKUP("Category|"&amp;P282,'Score settings'!$A$14:$C$43,2,FALSE)/'Score settings'!$B$5*'Score settings'!$C$5</x:f>
        <x:v>16</x:v>
      </x:c>
      <x:c r="W282" s="41" t="n">
        <x:f>VLOOKUP("Area|"&amp;Q282,'Score settings'!$A$14:$C$43,2,FALSE)/'Score settings'!$B$6*'Score settings'!$C$6</x:f>
        <x:v>11</x:v>
      </x:c>
      <x:c r="X282" s="41" t="n">
        <x:f>VLOOKUP("Benefits|"&amp;IF(AND(ISNUMBER(H282),H282&gt;0,ISNUMBER(G282),G282&gt;0),IF(H282/G282&gt;='Score settings'!$E$17,"3plus",IF(H282/G282&gt;='Score settings'!$E$16,"1.5to3",IF(H282/G282&gt;='Score settings'!$E$15,"0.5to1.5","positive"))),"None"),'Score settings'!$A$14:$C$43,2,FALSE)/'Score settings'!$B$7*'Score settings'!$C$7</x:f>
        <x:v>15</x:v>
      </x:c>
      <x:c r="Y282" s="41" t="n">
        <x:f>VLOOKUP("Waste|"&amp;R282,'Score settings'!$A$14:$C$43,2,FALSE)/'Score settings'!$B$8*'Score settings'!$C$8</x:f>
        <x:v>7</x:v>
      </x:c>
      <x:c r="Z282" s="41" t="n">
        <x:f>IF(B282="","",SUM(U282:Y282))</x:f>
        <x:v>74</x:v>
      </x:c>
      <x:c r="AA282" s="41" t="str">
        <x:f>IF(Z282="","Not scored",VLOOKUP(Z282,'Score settings'!$A$47:$C$50,2,TRUE))</x:f>
        <x:v>Protected</x:v>
      </x:c>
      <x:c r="AB282" s="41" t="n">
        <x:f>VLOOKUP("Priority|"&amp;O282,'Score settings'!$A$14:$C$43,3,FALSE)/'Score settings'!$B$4*'Score settings'!$D$4</x:f>
        <x:v>15</x:v>
      </x:c>
      <x:c r="AC282" s="41" t="n">
        <x:f>VLOOKUP("Category|"&amp;P282,'Score settings'!$A$14:$C$43,3,FALSE)/'Score settings'!$B$5*'Score settings'!$D$5</x:f>
        <x:v>8</x:v>
      </x:c>
      <x:c r="AD282" s="41" t="n">
        <x:f>VLOOKUP("Area|"&amp;Q282,'Score settings'!$A$14:$C$43,3,FALSE)/'Score settings'!$B$6*'Score settings'!$D$6</x:f>
        <x:v>7.333333333333333</x:v>
      </x:c>
      <x:c r="AE282" s="41" t="n">
        <x:f>VLOOKUP("Benefits|"&amp;IF(AND(ISNUMBER(K282),K282&gt;0,ISNUMBER(G282),G282&gt;0),IF(K282/G282&gt;='Score settings'!$E$17,"3plus",IF(K282/G282&gt;='Score settings'!$E$16,"1.5to3",IF(K282/G282&gt;='Score settings'!$E$15,"0.5to1.5","positive"))),"None"),'Score settings'!$A$14:$C$43,3,FALSE)/'Score settings'!$B$7*'Score settings'!$D$7</x:f>
        <x:v>12</x:v>
      </x:c>
      <x:c r="AF282" s="41" t="n">
        <x:f>VLOOKUP("Waste|"&amp;R282,'Score settings'!$A$14:$C$43,3,FALSE)/'Score settings'!$B$8*'Score settings'!$D$8</x:f>
        <x:v>0</x:v>
      </x:c>
      <x:c r="AG282" s="41" t="n">
        <x:f>(IF(AND(ISNUMBER(M282),M282&gt;0,ISNUMBER(G282),G282&gt;0),IF(M282/G282&gt;='Score settings'!$E$17,'Score settings'!$G$17,IF(M282/G282&gt;='Score settings'!$E$16,'Score settings'!$G$16,IF(M282/G282&gt;='Score settings'!$E$15,'Score settings'!$G$15,'Score settings'!$G$14))),0)/15*'Score settings'!$B$60+IFERROR(VLOOKUP(IF(ISNUMBER(N282),N282,IF(ISNUMBER(L282),L282,0)),'Score settings'!$E$22:$F$26,2,FALSE),0)/10*'Score settings'!$B$61)/'Score settings'!$B$9*'Score settings'!$D$9</x:f>
        <x:v>0</x:v>
      </x:c>
      <x:c r="AH282" s="41" t="n">
        <x:f>IF(B282="","",SUM(AB282:AG282))</x:f>
        <x:v>42.33333333333333</x:v>
      </x:c>
      <x:c r="AI282" s="41" t="str">
        <x:f>IF(NOT(ISNUMBER(AH282)),"Not scored",VLOOKUP(AH282,'Score settings'!$A$47:$C$50,3,TRUE))</x:f>
        <x:v>Discretionary</x:v>
      </x:c>
      <x:c r="AJ282" s="42" t="n">
        <x:f>IF(OR(NOT(ISNUMBER(AH282)),T282&lt;&gt;"Common pot"),"",COUNTIFS($T$4:$T$509,"Common pot",$AH$4:$AH$509,"&gt;"&amp;AH282)+1)</x:f>
        <x:v>79</x:v>
      </x:c>
      <x:c r="AK282" s="36" t="str">
        <x:f>IF(B282="","Name missing - not scored",IF(OR(NOT(ISNUMBER(G282)),G282&lt;=0),"Investment missing or zero - review",IF(0=1,"Permanent ID missing - reconcile",IF(AND(ISNUMBER(H282),H282/G282&gt;='Score settings'!$B$58,NOT(ISNUMBER(I282))),"Benefit units need review",IF(OR(R282="EXIT",R282="CHALLENGE"),"Waste decision requires scope resolution",IF("No exact waste match"&lt;&gt;"Name and organisation matched","Waste evidence match needs review","Provisional source score - confirm evidence"))))))</x:f>
        <x:v>Waste evidence match needs review</x:v>
      </x:c>
      <x:c r="AL282" s="36"/>
      <x:c r="AM282" s="40"/>
      <x:c r="AN282" s="39"/>
      <x:c r="AO282" s="40"/>
      <x:c r="AP282" s="40"/>
    </x:row>
    <x:row r="283" ht="15" hidden="0" customHeight="1">
      <x:c r="A283" s="36" t="str">
        <x:v>Bu-291</x:v>
      </x:c>
      <x:c r="B283" s="37" t="str">
        <x:v>AI Simplification &amp; Automation of Sustainability Documentation Workstream</x:v>
      </x:c>
      <x:c r="C283" s="36" t="str">
        <x:v>BU Led</x:v>
      </x:c>
      <x:c r="D283" s="36" t="str">
        <x:v>Personal Health (PH)</x:v>
      </x:c>
      <x:c r="E283" s="38"/>
      <x:c r="F283" s="39"/>
      <x:c r="G283" s="38" t="str">
        <x:f>IF(ISNUMBER(F283),F283,IF(E283="","",E283))</x:f>
      </x:c>
      <x:c r="H283" s="38"/>
      <x:c r="I283" s="39"/>
      <x:c r="J283" s="36" t="str">
        <x:v>Risk exposure</x:v>
      </x:c>
      <x:c r="K283" s="38" t="str">
        <x:f>IF(ISNUMBER(I283),I283,IF(OR(NOT(ISNUMBER(H283)),NOT(ISNUMBER(G283)),G283&lt;=0),"",IF(H283/G283&gt;='Score settings'!$B$58,"",IF(J283="Cash savings",H283,IF(J283="Revenue",H283*'Score settings'!$B$55,"")))))</x:f>
      </x:c>
      <x:c r="L283" s="36"/>
      <x:c r="M283" s="39"/>
      <x:c r="N283" s="40"/>
      <x:c r="O283" s="36" t="str">
        <x:v>Depri</x:v>
      </x:c>
      <x:c r="P283" s="36" t="str">
        <x:v>AI</x:v>
      </x:c>
      <x:c r="Q283" s="36" t="str">
        <x:v>Compliance</x:v>
      </x:c>
      <x:c r="R283" s="36" t="str">
        <x:v>NotAssessed</x:v>
      </x:c>
      <x:c r="S283" s="36" t="str"/>
      <x:c r="T283" s="36" t="str">
        <x:v>Common pot</x:v>
      </x:c>
      <x:c r="U283" s="41" t="n">
        <x:f>VLOOKUP("Priority|"&amp;O283,'Score settings'!$A$14:$C$43,2,FALSE)/'Score settings'!$B$4*'Score settings'!$C$4</x:f>
        <x:v>5</x:v>
      </x:c>
      <x:c r="V283" s="41" t="n">
        <x:f>VLOOKUP("Category|"&amp;P283,'Score settings'!$A$14:$C$43,2,FALSE)/'Score settings'!$B$5*'Score settings'!$C$5</x:f>
        <x:v>16</x:v>
      </x:c>
      <x:c r="W283" s="41" t="n">
        <x:f>VLOOKUP("Area|"&amp;Q283,'Score settings'!$A$14:$C$43,2,FALSE)/'Score settings'!$B$6*'Score settings'!$C$6</x:f>
        <x:v>15</x:v>
      </x:c>
      <x:c r="X283" s="41" t="n">
        <x:f>VLOOKUP("Benefits|"&amp;IF(AND(ISNUMBER(H283),H283&gt;0,ISNUMBER(G283),G283&gt;0),IF(H283/G283&gt;='Score settings'!$E$17,"3plus",IF(H283/G283&gt;='Score settings'!$E$16,"1.5to3",IF(H283/G283&gt;='Score settings'!$E$15,"0.5to1.5","positive"))),"None"),'Score settings'!$A$14:$C$43,2,FALSE)/'Score settings'!$B$7*'Score settings'!$C$7</x:f>
        <x:v>5</x:v>
      </x:c>
      <x:c r="Y283" s="41" t="n">
        <x:f>VLOOKUP("Waste|"&amp;R283,'Score settings'!$A$14:$C$43,2,FALSE)/'Score settings'!$B$8*'Score settings'!$C$8</x:f>
        <x:v>7</x:v>
      </x:c>
      <x:c r="Z283" s="41" t="n">
        <x:f>IF(B283="","",SUM(U283:Y283))</x:f>
        <x:v>48</x:v>
      </x:c>
      <x:c r="AA283" s="41" t="str">
        <x:f>IF(Z283="","Not scored",VLOOKUP(Z283,'Score settings'!$A$47:$C$50,2,TRUE))</x:f>
        <x:v>Strong</x:v>
      </x:c>
      <x:c r="AB283" s="41" t="n">
        <x:f>VLOOKUP("Priority|"&amp;O283,'Score settings'!$A$14:$C$43,3,FALSE)/'Score settings'!$B$4*'Score settings'!$D$4</x:f>
        <x:v>3</x:v>
      </x:c>
      <x:c r="AC283" s="41" t="n">
        <x:f>VLOOKUP("Category|"&amp;P283,'Score settings'!$A$14:$C$43,3,FALSE)/'Score settings'!$B$5*'Score settings'!$D$5</x:f>
        <x:v>8</x:v>
      </x:c>
      <x:c r="AD283" s="41" t="n">
        <x:f>VLOOKUP("Area|"&amp;Q283,'Score settings'!$A$14:$C$43,3,FALSE)/'Score settings'!$B$6*'Score settings'!$D$6</x:f>
        <x:v>10</x:v>
      </x:c>
      <x:c r="AE283" s="41" t="n">
        <x:f>VLOOKUP("Benefits|"&amp;IF(AND(ISNUMBER(K283),K283&gt;0,ISNUMBER(G283),G283&gt;0),IF(K283/G283&gt;='Score settings'!$E$17,"3plus",IF(K283/G283&gt;='Score settings'!$E$16,"1.5to3",IF(K283/G283&gt;='Score settings'!$E$15,"0.5to1.5","positive"))),"None"),'Score settings'!$A$14:$C$43,3,FALSE)/'Score settings'!$B$7*'Score settings'!$D$7</x:f>
        <x:v>0</x:v>
      </x:c>
      <x:c r="AF283" s="41" t="n">
        <x:f>VLOOKUP("Waste|"&amp;R283,'Score settings'!$A$14:$C$43,3,FALSE)/'Score settings'!$B$8*'Score settings'!$D$8</x:f>
        <x:v>0</x:v>
      </x:c>
      <x:c r="AG283" s="41" t="n">
        <x:f>(IF(AND(ISNUMBER(M283),M283&gt;0,ISNUMBER(G283),G283&gt;0),IF(M283/G283&gt;='Score settings'!$E$17,'Score settings'!$G$17,IF(M283/G283&gt;='Score settings'!$E$16,'Score settings'!$G$16,IF(M283/G283&gt;='Score settings'!$E$15,'Score settings'!$G$15,'Score settings'!$G$14))),0)/15*'Score settings'!$B$60+IFERROR(VLOOKUP(IF(ISNUMBER(N283),N283,IF(ISNUMBER(L283),L283,0)),'Score settings'!$E$22:$F$26,2,FALSE),0)/10*'Score settings'!$B$61)/'Score settings'!$B$9*'Score settings'!$D$9</x:f>
        <x:v>0</x:v>
      </x:c>
      <x:c r="AH283" s="41" t="n">
        <x:f>IF(B283="","",SUM(AB283:AG283))</x:f>
        <x:v>21</x:v>
      </x:c>
      <x:c r="AI283" s="41" t="str">
        <x:f>IF(NOT(ISNUMBER(AH283)),"Not scored",VLOOKUP(AH283,'Score settings'!$A$47:$C$50,3,TRUE))</x:f>
        <x:v>Weak</x:v>
      </x:c>
      <x:c r="AJ283" s="42" t="n">
        <x:f>IF(OR(NOT(ISNUMBER(AH283)),T283&lt;&gt;"Common pot"),"",COUNTIFS($T$4:$T$509,"Common pot",$AH$4:$AH$509,"&gt;"&amp;AH283)+1)</x:f>
        <x:v>347</x:v>
      </x:c>
      <x:c r="AK283" s="36" t="str">
        <x:f>IF(B283="","Name missing - not scored",IF(OR(NOT(ISNUMBER(G283)),G283&lt;=0),"Investment missing or zero - review",IF(0=1,"Permanent ID missing - reconcile",IF(AND(ISNUMBER(H283),H283/G283&gt;='Score settings'!$B$58,NOT(ISNUMBER(I283))),"Benefit units need review",IF(OR(R283="EXIT",R283="CHALLENGE"),"Waste decision requires scope resolution",IF("No exact waste match"&lt;&gt;"Name and organisation matched","Waste evidence match needs review","Provisional source score - confirm evidence"))))))</x:f>
        <x:v>Investment missing or zero - review</x:v>
      </x:c>
      <x:c r="AL283" s="36"/>
      <x:c r="AM283" s="40"/>
      <x:c r="AN283" s="39"/>
      <x:c r="AO283" s="40"/>
      <x:c r="AP283" s="40"/>
    </x:row>
    <x:row r="284" ht="15" hidden="0" customHeight="1">
      <x:c r="A284" s="36" t="str">
        <x:v>Bu-292</x:v>
      </x:c>
      <x:c r="B284" s="37" t="str">
        <x:v>AI-enabling learning RnD organization</x:v>
      </x:c>
      <x:c r="C284" s="36" t="str">
        <x:v>BU Led</x:v>
      </x:c>
      <x:c r="D284" s="36" t="str">
        <x:v>Personal Health (PH)</x:v>
      </x:c>
      <x:c r="E284" s="38" t="n">
        <x:v>0.065</x:v>
      </x:c>
      <x:c r="F284" s="39"/>
      <x:c r="G284" s="38" t="n">
        <x:f>IF(ISNUMBER(F284),F284,IF(E284="","",E284))</x:f>
        <x:v>0.065</x:v>
      </x:c>
      <x:c r="H284" s="38"/>
      <x:c r="I284" s="39"/>
      <x:c r="J284" s="36" t="str">
        <x:v>Risk exposure</x:v>
      </x:c>
      <x:c r="K284" s="38" t="str">
        <x:f>IF(ISNUMBER(I284),I284,IF(OR(NOT(ISNUMBER(H284)),NOT(ISNUMBER(G284)),G284&lt;=0),"",IF(H284/G284&gt;='Score settings'!$B$58,"",IF(J284="Cash savings",H284,IF(J284="Revenue",H284*'Score settings'!$B$55,"")))))</x:f>
      </x:c>
      <x:c r="L284" s="36"/>
      <x:c r="M284" s="39"/>
      <x:c r="N284" s="40"/>
      <x:c r="O284" s="36" t="str">
        <x:v>Must Do</x:v>
      </x:c>
      <x:c r="P284" s="36" t="str">
        <x:v>AI</x:v>
      </x:c>
      <x:c r="Q284" s="36" t="str">
        <x:v>Compliance</x:v>
      </x:c>
      <x:c r="R284" s="36" t="str">
        <x:v>NotAssessed</x:v>
      </x:c>
      <x:c r="S284" s="36" t="str"/>
      <x:c r="T284" s="36" t="str">
        <x:v>Common pot</x:v>
      </x:c>
      <x:c r="U284" s="41" t="n">
        <x:f>VLOOKUP("Priority|"&amp;O284,'Score settings'!$A$14:$C$43,2,FALSE)/'Score settings'!$B$4*'Score settings'!$C$4</x:f>
        <x:v>25</x:v>
      </x:c>
      <x:c r="V284" s="41" t="n">
        <x:f>VLOOKUP("Category|"&amp;P284,'Score settings'!$A$14:$C$43,2,FALSE)/'Score settings'!$B$5*'Score settings'!$C$5</x:f>
        <x:v>16</x:v>
      </x:c>
      <x:c r="W284" s="41" t="n">
        <x:f>VLOOKUP("Area|"&amp;Q284,'Score settings'!$A$14:$C$43,2,FALSE)/'Score settings'!$B$6*'Score settings'!$C$6</x:f>
        <x:v>15</x:v>
      </x:c>
      <x:c r="X284" s="41" t="n">
        <x:f>VLOOKUP("Benefits|"&amp;IF(AND(ISNUMBER(H284),H284&gt;0,ISNUMBER(G284),G284&gt;0),IF(H284/G284&gt;='Score settings'!$E$17,"3plus",IF(H284/G284&gt;='Score settings'!$E$16,"1.5to3",IF(H284/G284&gt;='Score settings'!$E$15,"0.5to1.5","positive"))),"None"),'Score settings'!$A$14:$C$43,2,FALSE)/'Score settings'!$B$7*'Score settings'!$C$7</x:f>
        <x:v>5</x:v>
      </x:c>
      <x:c r="Y284" s="41" t="n">
        <x:f>VLOOKUP("Waste|"&amp;R284,'Score settings'!$A$14:$C$43,2,FALSE)/'Score settings'!$B$8*'Score settings'!$C$8</x:f>
        <x:v>7</x:v>
      </x:c>
      <x:c r="Z284" s="41" t="n">
        <x:f>IF(B284="","",SUM(U284:Y284))</x:f>
        <x:v>68</x:v>
      </x:c>
      <x:c r="AA284" s="41" t="str">
        <x:f>IF(Z284="","Not scored",VLOOKUP(Z284,'Score settings'!$A$47:$C$50,2,TRUE))</x:f>
        <x:v>Protected</x:v>
      </x:c>
      <x:c r="AB284" s="41" t="n">
        <x:f>VLOOKUP("Priority|"&amp;O284,'Score settings'!$A$14:$C$43,3,FALSE)/'Score settings'!$B$4*'Score settings'!$D$4</x:f>
        <x:v>15</x:v>
      </x:c>
      <x:c r="AC284" s="41" t="n">
        <x:f>VLOOKUP("Category|"&amp;P284,'Score settings'!$A$14:$C$43,3,FALSE)/'Score settings'!$B$5*'Score settings'!$D$5</x:f>
        <x:v>8</x:v>
      </x:c>
      <x:c r="AD284" s="41" t="n">
        <x:f>VLOOKUP("Area|"&amp;Q284,'Score settings'!$A$14:$C$43,3,FALSE)/'Score settings'!$B$6*'Score settings'!$D$6</x:f>
        <x:v>10</x:v>
      </x:c>
      <x:c r="AE284" s="41" t="n">
        <x:f>VLOOKUP("Benefits|"&amp;IF(AND(ISNUMBER(K284),K284&gt;0,ISNUMBER(G284),G284&gt;0),IF(K284/G284&gt;='Score settings'!$E$17,"3plus",IF(K284/G284&gt;='Score settings'!$E$16,"1.5to3",IF(K284/G284&gt;='Score settings'!$E$15,"0.5to1.5","positive"))),"None"),'Score settings'!$A$14:$C$43,3,FALSE)/'Score settings'!$B$7*'Score settings'!$D$7</x:f>
        <x:v>0</x:v>
      </x:c>
      <x:c r="AF284" s="41" t="n">
        <x:f>VLOOKUP("Waste|"&amp;R284,'Score settings'!$A$14:$C$43,3,FALSE)/'Score settings'!$B$8*'Score settings'!$D$8</x:f>
        <x:v>0</x:v>
      </x:c>
      <x:c r="AG284" s="41" t="n">
        <x:f>(IF(AND(ISNUMBER(M284),M284&gt;0,ISNUMBER(G284),G284&gt;0),IF(M284/G284&gt;='Score settings'!$E$17,'Score settings'!$G$17,IF(M284/G284&gt;='Score settings'!$E$16,'Score settings'!$G$16,IF(M284/G284&gt;='Score settings'!$E$15,'Score settings'!$G$15,'Score settings'!$G$14))),0)/15*'Score settings'!$B$60+IFERROR(VLOOKUP(IF(ISNUMBER(N284),N284,IF(ISNUMBER(L284),L284,0)),'Score settings'!$E$22:$F$26,2,FALSE),0)/10*'Score settings'!$B$61)/'Score settings'!$B$9*'Score settings'!$D$9</x:f>
        <x:v>0</x:v>
      </x:c>
      <x:c r="AH284" s="41" t="n">
        <x:f>IF(B284="","",SUM(AB284:AG284))</x:f>
        <x:v>33</x:v>
      </x:c>
      <x:c r="AI284" s="41" t="str">
        <x:f>IF(NOT(ISNUMBER(AH284)),"Not scored",VLOOKUP(AH284,'Score settings'!$A$47:$C$50,3,TRUE))</x:f>
        <x:v>Discretionary</x:v>
      </x:c>
      <x:c r="AJ284" s="42" t="n">
        <x:f>IF(OR(NOT(ISNUMBER(AH284)),T284&lt;&gt;"Common pot"),"",COUNTIFS($T$4:$T$509,"Common pot",$AH$4:$AH$509,"&gt;"&amp;AH284)+1)</x:f>
        <x:v>160</x:v>
      </x:c>
      <x:c r="AK284" s="36" t="str">
        <x:f>IF(B284="","Name missing - not scored",IF(OR(NOT(ISNUMBER(G284)),G284&lt;=0),"Investment missing or zero - review",IF(0=1,"Permanent ID missing - reconcile",IF(AND(ISNUMBER(H284),H284/G284&gt;='Score settings'!$B$58,NOT(ISNUMBER(I284))),"Benefit units need review",IF(OR(R284="EXIT",R284="CHALLENGE"),"Waste decision requires scope resolution",IF("No exact waste match"&lt;&gt;"Name and organisation matched","Waste evidence match needs review","Provisional source score - confirm evidence"))))))</x:f>
        <x:v>Waste evidence match needs review</x:v>
      </x:c>
      <x:c r="AL284" s="36"/>
      <x:c r="AM284" s="40"/>
      <x:c r="AN284" s="39"/>
      <x:c r="AO284" s="40"/>
      <x:c r="AP284" s="40"/>
    </x:row>
    <x:row r="285" ht="15" hidden="0" customHeight="1">
      <x:c r="A285" s="36" t="str">
        <x:v>Bu-293</x:v>
      </x:c>
      <x:c r="B285" s="37" t="str">
        <x:v>Amazon Agentic Planning &amp; Simulation Hub</x:v>
      </x:c>
      <x:c r="C285" s="36" t="str">
        <x:v>BU Led</x:v>
      </x:c>
      <x:c r="D285" s="36" t="str">
        <x:v>Personal Health (PH)</x:v>
      </x:c>
      <x:c r="E285" s="38" t="n">
        <x:v>0.35</x:v>
      </x:c>
      <x:c r="F285" s="39"/>
      <x:c r="G285" s="38" t="n">
        <x:f>IF(ISNUMBER(F285),F285,IF(E285="","",E285))</x:f>
        <x:v>0.35</x:v>
      </x:c>
      <x:c r="H285" s="38" t="n">
        <x:v>1.4</x:v>
      </x:c>
      <x:c r="I285" s="39"/>
      <x:c r="J285" s="36" t="str">
        <x:v>Revenue</x:v>
      </x:c>
      <x:c r="K285" s="38" t="n">
        <x:f>IF(ISNUMBER(I285),I285,IF(OR(NOT(ISNUMBER(H285)),NOT(ISNUMBER(G285)),G285&lt;=0),"",IF(H285/G285&gt;='Score settings'!$B$58,"",IF(J285="Cash savings",H285,IF(J285="Revenue",H285*'Score settings'!$B$55,"")))))</x:f>
        <x:v>0.21</x:v>
      </x:c>
      <x:c r="L285" s="36"/>
      <x:c r="M285" s="39"/>
      <x:c r="N285" s="40"/>
      <x:c r="O285" s="36" t="str">
        <x:v>Must Have</x:v>
      </x:c>
      <x:c r="P285" s="36" t="str">
        <x:v>AI</x:v>
      </x:c>
      <x:c r="Q285" s="36" t="str">
        <x:v>Revenue</x:v>
      </x:c>
      <x:c r="R285" s="36" t="str">
        <x:v>NotAssessed</x:v>
      </x:c>
      <x:c r="S285" s="36" t="str"/>
      <x:c r="T285" s="36" t="str">
        <x:v>Common pot</x:v>
      </x:c>
      <x:c r="U285" s="41" t="n">
        <x:f>VLOOKUP("Priority|"&amp;O285,'Score settings'!$A$14:$C$43,2,FALSE)/'Score settings'!$B$4*'Score settings'!$C$4</x:f>
        <x:v>18</x:v>
      </x:c>
      <x:c r="V285" s="41" t="n">
        <x:f>VLOOKUP("Category|"&amp;P285,'Score settings'!$A$14:$C$43,2,FALSE)/'Score settings'!$B$5*'Score settings'!$C$5</x:f>
        <x:v>16</x:v>
      </x:c>
      <x:c r="W285" s="41" t="n">
        <x:f>VLOOKUP("Area|"&amp;Q285,'Score settings'!$A$14:$C$43,2,FALSE)/'Score settings'!$B$6*'Score settings'!$C$6</x:f>
        <x:v>11</x:v>
      </x:c>
      <x:c r="X285" s="41" t="n">
        <x:f>VLOOKUP("Benefits|"&amp;IF(AND(ISNUMBER(H285),H285&gt;0,ISNUMBER(G285),G285&gt;0),IF(H285/G285&gt;='Score settings'!$E$17,"3plus",IF(H285/G285&gt;='Score settings'!$E$16,"1.5to3",IF(H285/G285&gt;='Score settings'!$E$15,"0.5to1.5","positive"))),"None"),'Score settings'!$A$14:$C$43,2,FALSE)/'Score settings'!$B$7*'Score settings'!$C$7</x:f>
        <x:v>25</x:v>
      </x:c>
      <x:c r="Y285" s="41" t="n">
        <x:f>VLOOKUP("Waste|"&amp;R285,'Score settings'!$A$14:$C$43,2,FALSE)/'Score settings'!$B$8*'Score settings'!$C$8</x:f>
        <x:v>7</x:v>
      </x:c>
      <x:c r="Z285" s="41" t="n">
        <x:f>IF(B285="","",SUM(U285:Y285))</x:f>
        <x:v>77</x:v>
      </x:c>
      <x:c r="AA285" s="41" t="str">
        <x:f>IF(Z285="","Not scored",VLOOKUP(Z285,'Score settings'!$A$47:$C$50,2,TRUE))</x:f>
        <x:v>Protected</x:v>
      </x:c>
      <x:c r="AB285" s="41" t="n">
        <x:f>VLOOKUP("Priority|"&amp;O285,'Score settings'!$A$14:$C$43,3,FALSE)/'Score settings'!$B$4*'Score settings'!$D$4</x:f>
        <x:v>10.799999999999999</x:v>
      </x:c>
      <x:c r="AC285" s="41" t="n">
        <x:f>VLOOKUP("Category|"&amp;P285,'Score settings'!$A$14:$C$43,3,FALSE)/'Score settings'!$B$5*'Score settings'!$D$5</x:f>
        <x:v>8</x:v>
      </x:c>
      <x:c r="AD285" s="41" t="n">
        <x:f>VLOOKUP("Area|"&amp;Q285,'Score settings'!$A$14:$C$43,3,FALSE)/'Score settings'!$B$6*'Score settings'!$D$6</x:f>
        <x:v>7.333333333333333</x:v>
      </x:c>
      <x:c r="AE285" s="41" t="n">
        <x:f>VLOOKUP("Benefits|"&amp;IF(AND(ISNUMBER(K285),K285&gt;0,ISNUMBER(G285),G285&gt;0),IF(K285/G285&gt;='Score settings'!$E$17,"3plus",IF(K285/G285&gt;='Score settings'!$E$16,"1.5to3",IF(K285/G285&gt;='Score settings'!$E$15,"0.5to1.5","positive"))),"None"),'Score settings'!$A$14:$C$43,3,FALSE)/'Score settings'!$B$7*'Score settings'!$D$7</x:f>
        <x:v>18</x:v>
      </x:c>
      <x:c r="AF285" s="41" t="n">
        <x:f>VLOOKUP("Waste|"&amp;R285,'Score settings'!$A$14:$C$43,3,FALSE)/'Score settings'!$B$8*'Score settings'!$D$8</x:f>
        <x:v>0</x:v>
      </x:c>
      <x:c r="AG285" s="41" t="n">
        <x:f>(IF(AND(ISNUMBER(M285),M285&gt;0,ISNUMBER(G285),G285&gt;0),IF(M285/G285&gt;='Score settings'!$E$17,'Score settings'!$G$17,IF(M285/G285&gt;='Score settings'!$E$16,'Score settings'!$G$16,IF(M285/G285&gt;='Score settings'!$E$15,'Score settings'!$G$15,'Score settings'!$G$14))),0)/15*'Score settings'!$B$60+IFERROR(VLOOKUP(IF(ISNUMBER(N285),N285,IF(ISNUMBER(L285),L285,0)),'Score settings'!$E$22:$F$26,2,FALSE),0)/10*'Score settings'!$B$61)/'Score settings'!$B$9*'Score settings'!$D$9</x:f>
        <x:v>0</x:v>
      </x:c>
      <x:c r="AH285" s="41" t="n">
        <x:f>IF(B285="","",SUM(AB285:AG285))</x:f>
        <x:v>44.133333333333326</x:v>
      </x:c>
      <x:c r="AI285" s="41" t="str">
        <x:f>IF(NOT(ISNUMBER(AH285)),"Not scored",VLOOKUP(AH285,'Score settings'!$A$47:$C$50,3,TRUE))</x:f>
        <x:v>Discretionary</x:v>
      </x:c>
      <x:c r="AJ285" s="42" t="n">
        <x:f>IF(OR(NOT(ISNUMBER(AH285)),T285&lt;&gt;"Common pot"),"",COUNTIFS($T$4:$T$509,"Common pot",$AH$4:$AH$509,"&gt;"&amp;AH285)+1)</x:f>
        <x:v>71</x:v>
      </x:c>
      <x:c r="AK285" s="36" t="str">
        <x:f>IF(B285="","Name missing - not scored",IF(OR(NOT(ISNUMBER(G285)),G285&lt;=0),"Investment missing or zero - review",IF(0=1,"Permanent ID missing - reconcile",IF(AND(ISNUMBER(H285),H285/G285&gt;='Score settings'!$B$58,NOT(ISNUMBER(I285))),"Benefit units need review",IF(OR(R285="EXIT",R285="CHALLENGE"),"Waste decision requires scope resolution",IF("No exact waste match"&lt;&gt;"Name and organisation matched","Waste evidence match needs review","Provisional source score - confirm evidence"))))))</x:f>
        <x:v>Waste evidence match needs review</x:v>
      </x:c>
      <x:c r="AL285" s="36"/>
      <x:c r="AM285" s="40"/>
      <x:c r="AN285" s="39"/>
      <x:c r="AO285" s="40"/>
      <x:c r="AP285" s="40"/>
    </x:row>
    <x:row r="286" ht="15" hidden="0" customHeight="1">
      <x:c r="A286" s="36" t="str">
        <x:v>Bu-294</x:v>
      </x:c>
      <x:c r="B286" s="37" t="str">
        <x:v>Business application validation</x:v>
      </x:c>
      <x:c r="C286" s="36" t="str">
        <x:v>BU Led</x:v>
      </x:c>
      <x:c r="D286" s="36" t="str">
        <x:v>Personal Health (PH)</x:v>
      </x:c>
      <x:c r="E286" s="38" t="n">
        <x:v>0.1</x:v>
      </x:c>
      <x:c r="F286" s="39"/>
      <x:c r="G286" s="38" t="n">
        <x:f>IF(ISNUMBER(F286),F286,IF(E286="","",E286))</x:f>
        <x:v>0.1</x:v>
      </x:c>
      <x:c r="H286" s="38"/>
      <x:c r="I286" s="39"/>
      <x:c r="J286" s="36" t="str">
        <x:v>Risk exposure</x:v>
      </x:c>
      <x:c r="K286" s="38" t="str">
        <x:f>IF(ISNUMBER(I286),I286,IF(OR(NOT(ISNUMBER(H286)),NOT(ISNUMBER(G286)),G286&lt;=0),"",IF(H286/G286&gt;='Score settings'!$B$58,"",IF(J286="Cash savings",H286,IF(J286="Revenue",H286*'Score settings'!$B$55,"")))))</x:f>
      </x:c>
      <x:c r="L286" s="36"/>
      <x:c r="M286" s="39"/>
      <x:c r="N286" s="40"/>
      <x:c r="O286" s="36" t="str">
        <x:v>Must Do</x:v>
      </x:c>
      <x:c r="P286" s="36" t="str">
        <x:v>LFR</x:v>
      </x:c>
      <x:c r="Q286" s="36" t="str">
        <x:v>Compliance</x:v>
      </x:c>
      <x:c r="R286" s="36" t="str">
        <x:v>NotAssessed</x:v>
      </x:c>
      <x:c r="S286" s="36" t="str"/>
      <x:c r="T286" s="36" t="str">
        <x:v>Common pot</x:v>
      </x:c>
      <x:c r="U286" s="41" t="n">
        <x:f>VLOOKUP("Priority|"&amp;O286,'Score settings'!$A$14:$C$43,2,FALSE)/'Score settings'!$B$4*'Score settings'!$C$4</x:f>
        <x:v>25</x:v>
      </x:c>
      <x:c r="V286" s="41" t="n">
        <x:f>VLOOKUP("Category|"&amp;P286,'Score settings'!$A$14:$C$43,2,FALSE)/'Score settings'!$B$5*'Score settings'!$C$5</x:f>
        <x:v>20</x:v>
      </x:c>
      <x:c r="W286" s="41" t="n">
        <x:f>VLOOKUP("Area|"&amp;Q286,'Score settings'!$A$14:$C$43,2,FALSE)/'Score settings'!$B$6*'Score settings'!$C$6</x:f>
        <x:v>15</x:v>
      </x:c>
      <x:c r="X286" s="41" t="n">
        <x:f>VLOOKUP("Benefits|"&amp;IF(AND(ISNUMBER(H286),H286&gt;0,ISNUMBER(G286),G286&gt;0),IF(H286/G286&gt;='Score settings'!$E$17,"3plus",IF(H286/G286&gt;='Score settings'!$E$16,"1.5to3",IF(H286/G286&gt;='Score settings'!$E$15,"0.5to1.5","positive"))),"None"),'Score settings'!$A$14:$C$43,2,FALSE)/'Score settings'!$B$7*'Score settings'!$C$7</x:f>
        <x:v>5</x:v>
      </x:c>
      <x:c r="Y286" s="41" t="n">
        <x:f>VLOOKUP("Waste|"&amp;R286,'Score settings'!$A$14:$C$43,2,FALSE)/'Score settings'!$B$8*'Score settings'!$C$8</x:f>
        <x:v>7</x:v>
      </x:c>
      <x:c r="Z286" s="41" t="n">
        <x:f>IF(B286="","",SUM(U286:Y286))</x:f>
        <x:v>72</x:v>
      </x:c>
      <x:c r="AA286" s="41" t="str">
        <x:f>IF(Z286="","Not scored",VLOOKUP(Z286,'Score settings'!$A$47:$C$50,2,TRUE))</x:f>
        <x:v>Protected</x:v>
      </x:c>
      <x:c r="AB286" s="41" t="n">
        <x:f>VLOOKUP("Priority|"&amp;O286,'Score settings'!$A$14:$C$43,3,FALSE)/'Score settings'!$B$4*'Score settings'!$D$4</x:f>
        <x:v>15</x:v>
      </x:c>
      <x:c r="AC286" s="41" t="n">
        <x:f>VLOOKUP("Category|"&amp;P286,'Score settings'!$A$14:$C$43,3,FALSE)/'Score settings'!$B$5*'Score settings'!$D$5</x:f>
        <x:v>10</x:v>
      </x:c>
      <x:c r="AD286" s="41" t="n">
        <x:f>VLOOKUP("Area|"&amp;Q286,'Score settings'!$A$14:$C$43,3,FALSE)/'Score settings'!$B$6*'Score settings'!$D$6</x:f>
        <x:v>10</x:v>
      </x:c>
      <x:c r="AE286" s="41" t="n">
        <x:f>VLOOKUP("Benefits|"&amp;IF(AND(ISNUMBER(K286),K286&gt;0,ISNUMBER(G286),G286&gt;0),IF(K286/G286&gt;='Score settings'!$E$17,"3plus",IF(K286/G286&gt;='Score settings'!$E$16,"1.5to3",IF(K286/G286&gt;='Score settings'!$E$15,"0.5to1.5","positive"))),"None"),'Score settings'!$A$14:$C$43,3,FALSE)/'Score settings'!$B$7*'Score settings'!$D$7</x:f>
        <x:v>0</x:v>
      </x:c>
      <x:c r="AF286" s="41" t="n">
        <x:f>VLOOKUP("Waste|"&amp;R286,'Score settings'!$A$14:$C$43,3,FALSE)/'Score settings'!$B$8*'Score settings'!$D$8</x:f>
        <x:v>0</x:v>
      </x:c>
      <x:c r="AG286" s="41" t="n">
        <x:f>(IF(AND(ISNUMBER(M286),M286&gt;0,ISNUMBER(G286),G286&gt;0),IF(M286/G286&gt;='Score settings'!$E$17,'Score settings'!$G$17,IF(M286/G286&gt;='Score settings'!$E$16,'Score settings'!$G$16,IF(M286/G286&gt;='Score settings'!$E$15,'Score settings'!$G$15,'Score settings'!$G$14))),0)/15*'Score settings'!$B$60+IFERROR(VLOOKUP(IF(ISNUMBER(N286),N286,IF(ISNUMBER(L286),L286,0)),'Score settings'!$E$22:$F$26,2,FALSE),0)/10*'Score settings'!$B$61)/'Score settings'!$B$9*'Score settings'!$D$9</x:f>
        <x:v>0</x:v>
      </x:c>
      <x:c r="AH286" s="41" t="n">
        <x:f>IF(B286="","",SUM(AB286:AG286))</x:f>
        <x:v>35</x:v>
      </x:c>
      <x:c r="AI286" s="41" t="str">
        <x:f>IF(NOT(ISNUMBER(AH286)),"Not scored",VLOOKUP(AH286,'Score settings'!$A$47:$C$50,3,TRUE))</x:f>
        <x:v>Discretionary</x:v>
      </x:c>
      <x:c r="AJ286" s="42" t="n">
        <x:f>IF(OR(NOT(ISNUMBER(AH286)),T286&lt;&gt;"Common pot"),"",COUNTIFS($T$4:$T$509,"Common pot",$AH$4:$AH$509,"&gt;"&amp;AH286)+1)</x:f>
        <x:v>142</x:v>
      </x:c>
      <x:c r="AK286" s="36" t="str">
        <x:f>IF(B286="","Name missing - not scored",IF(OR(NOT(ISNUMBER(G286)),G286&lt;=0),"Investment missing or zero - review",IF(0=1,"Permanent ID missing - reconcile",IF(AND(ISNUMBER(H286),H286/G286&gt;='Score settings'!$B$58,NOT(ISNUMBER(I286))),"Benefit units need review",IF(OR(R286="EXIT",R286="CHALLENGE"),"Waste decision requires scope resolution",IF("No exact waste match"&lt;&gt;"Name and organisation matched","Waste evidence match needs review","Provisional source score - confirm evidence"))))))</x:f>
        <x:v>Waste evidence match needs review</x:v>
      </x:c>
      <x:c r="AL286" s="36"/>
      <x:c r="AM286" s="40"/>
      <x:c r="AN286" s="39"/>
      <x:c r="AO286" s="40"/>
      <x:c r="AP286" s="40"/>
    </x:row>
    <x:row r="287" ht="15" hidden="0" customHeight="1">
      <x:c r="A287" s="36" t="str">
        <x:v>Bu-295</x:v>
      </x:c>
      <x:c r="B287" s="37" t="str">
        <x:v>DFU Form Automation: Digital Workflow &amp; Data Governance Enablement</x:v>
      </x:c>
      <x:c r="C287" s="36" t="str">
        <x:v>BU Led</x:v>
      </x:c>
      <x:c r="D287" s="36" t="str">
        <x:v>Personal Health (PH)</x:v>
      </x:c>
      <x:c r="E287" s="38" t="n">
        <x:v>0.175</x:v>
      </x:c>
      <x:c r="F287" s="39"/>
      <x:c r="G287" s="38" t="n">
        <x:f>IF(ISNUMBER(F287),F287,IF(E287="","",E287))</x:f>
        <x:v>0.175</x:v>
      </x:c>
      <x:c r="H287" s="38"/>
      <x:c r="I287" s="39"/>
      <x:c r="J287" s="36" t="str">
        <x:v>Cash savings</x:v>
      </x:c>
      <x:c r="K287" s="38" t="str">
        <x:f>IF(ISNUMBER(I287),I287,IF(OR(NOT(ISNUMBER(H287)),NOT(ISNUMBER(G287)),G287&lt;=0),"",IF(H287/G287&gt;='Score settings'!$B$58,"",IF(J287="Cash savings",H287,IF(J287="Revenue",H287*'Score settings'!$B$55,"")))))</x:f>
      </x:c>
      <x:c r="L287" s="36"/>
      <x:c r="M287" s="39"/>
      <x:c r="N287" s="40"/>
      <x:c r="O287" s="36" t="str">
        <x:v>Must Do</x:v>
      </x:c>
      <x:c r="P287" s="36" t="str">
        <x:v>NewFeat</x:v>
      </x:c>
      <x:c r="Q287" s="36" t="str">
        <x:v>Productivity</x:v>
      </x:c>
      <x:c r="R287" s="36" t="str">
        <x:v>NotAssessed</x:v>
      </x:c>
      <x:c r="S287" s="36" t="str"/>
      <x:c r="T287" s="36" t="str">
        <x:v>Common pot</x:v>
      </x:c>
      <x:c r="U287" s="41" t="n">
        <x:f>VLOOKUP("Priority|"&amp;O287,'Score settings'!$A$14:$C$43,2,FALSE)/'Score settings'!$B$4*'Score settings'!$C$4</x:f>
        <x:v>25</x:v>
      </x:c>
      <x:c r="V287" s="41" t="n">
        <x:f>VLOOKUP("Category|"&amp;P287,'Score settings'!$A$14:$C$43,2,FALSE)/'Score settings'!$B$5*'Score settings'!$C$5</x:f>
        <x:v>6</x:v>
      </x:c>
      <x:c r="W287" s="41" t="n">
        <x:f>VLOOKUP("Area|"&amp;Q287,'Score settings'!$A$14:$C$43,2,FALSE)/'Score settings'!$B$6*'Score settings'!$C$6</x:f>
        <x:v>10</x:v>
      </x:c>
      <x:c r="X287" s="41" t="n">
        <x:f>VLOOKUP("Benefits|"&amp;IF(AND(ISNUMBER(H287),H287&gt;0,ISNUMBER(G287),G287&gt;0),IF(H287/G287&gt;='Score settings'!$E$17,"3plus",IF(H287/G287&gt;='Score settings'!$E$16,"1.5to3",IF(H287/G287&gt;='Score settings'!$E$15,"0.5to1.5","positive"))),"None"),'Score settings'!$A$14:$C$43,2,FALSE)/'Score settings'!$B$7*'Score settings'!$C$7</x:f>
        <x:v>5</x:v>
      </x:c>
      <x:c r="Y287" s="41" t="n">
        <x:f>VLOOKUP("Waste|"&amp;R287,'Score settings'!$A$14:$C$43,2,FALSE)/'Score settings'!$B$8*'Score settings'!$C$8</x:f>
        <x:v>7</x:v>
      </x:c>
      <x:c r="Z287" s="41" t="n">
        <x:f>IF(B287="","",SUM(U287:Y287))</x:f>
        <x:v>53</x:v>
      </x:c>
      <x:c r="AA287" s="41" t="str">
        <x:f>IF(Z287="","Not scored",VLOOKUP(Z287,'Score settings'!$A$47:$C$50,2,TRUE))</x:f>
        <x:v>Strong</x:v>
      </x:c>
      <x:c r="AB287" s="41" t="n">
        <x:f>VLOOKUP("Priority|"&amp;O287,'Score settings'!$A$14:$C$43,3,FALSE)/'Score settings'!$B$4*'Score settings'!$D$4</x:f>
        <x:v>15</x:v>
      </x:c>
      <x:c r="AC287" s="41" t="n">
        <x:f>VLOOKUP("Category|"&amp;P287,'Score settings'!$A$14:$C$43,3,FALSE)/'Score settings'!$B$5*'Score settings'!$D$5</x:f>
        <x:v>3</x:v>
      </x:c>
      <x:c r="AD287" s="41" t="n">
        <x:f>VLOOKUP("Area|"&amp;Q287,'Score settings'!$A$14:$C$43,3,FALSE)/'Score settings'!$B$6*'Score settings'!$D$6</x:f>
        <x:v>6.666666666666666</x:v>
      </x:c>
      <x:c r="AE287" s="41" t="n">
        <x:f>VLOOKUP("Benefits|"&amp;IF(AND(ISNUMBER(K287),K287&gt;0,ISNUMBER(G287),G287&gt;0),IF(K287/G287&gt;='Score settings'!$E$17,"3plus",IF(K287/G287&gt;='Score settings'!$E$16,"1.5to3",IF(K287/G287&gt;='Score settings'!$E$15,"0.5to1.5","positive"))),"None"),'Score settings'!$A$14:$C$43,3,FALSE)/'Score settings'!$B$7*'Score settings'!$D$7</x:f>
        <x:v>0</x:v>
      </x:c>
      <x:c r="AF287" s="41" t="n">
        <x:f>VLOOKUP("Waste|"&amp;R287,'Score settings'!$A$14:$C$43,3,FALSE)/'Score settings'!$B$8*'Score settings'!$D$8</x:f>
        <x:v>0</x:v>
      </x:c>
      <x:c r="AG287" s="41" t="n">
        <x:f>(IF(AND(ISNUMBER(M287),M287&gt;0,ISNUMBER(G287),G287&gt;0),IF(M287/G287&gt;='Score settings'!$E$17,'Score settings'!$G$17,IF(M287/G287&gt;='Score settings'!$E$16,'Score settings'!$G$16,IF(M287/G287&gt;='Score settings'!$E$15,'Score settings'!$G$15,'Score settings'!$G$14))),0)/15*'Score settings'!$B$60+IFERROR(VLOOKUP(IF(ISNUMBER(N287),N287,IF(ISNUMBER(L287),L287,0)),'Score settings'!$E$22:$F$26,2,FALSE),0)/10*'Score settings'!$B$61)/'Score settings'!$B$9*'Score settings'!$D$9</x:f>
        <x:v>0</x:v>
      </x:c>
      <x:c r="AH287" s="41" t="n">
        <x:f>IF(B287="","",SUM(AB287:AG287))</x:f>
        <x:v>24.666666666666664</x:v>
      </x:c>
      <x:c r="AI287" s="41" t="str">
        <x:f>IF(NOT(ISNUMBER(AH287)),"Not scored",VLOOKUP(AH287,'Score settings'!$A$47:$C$50,3,TRUE))</x:f>
        <x:v>Weak</x:v>
      </x:c>
      <x:c r="AJ287" s="42" t="n">
        <x:f>IF(OR(NOT(ISNUMBER(AH287)),T287&lt;&gt;"Common pot"),"",COUNTIFS($T$4:$T$509,"Common pot",$AH$4:$AH$509,"&gt;"&amp;AH287)+1)</x:f>
        <x:v>280</x:v>
      </x:c>
      <x:c r="AK287" s="36" t="str">
        <x:f>IF(B287="","Name missing - not scored",IF(OR(NOT(ISNUMBER(G287)),G287&lt;=0),"Investment missing or zero - review",IF(0=1,"Permanent ID missing - reconcile",IF(AND(ISNUMBER(H287),H287/G287&gt;='Score settings'!$B$58,NOT(ISNUMBER(I287))),"Benefit units need review",IF(OR(R287="EXIT",R287="CHALLENGE"),"Waste decision requires scope resolution",IF("No exact waste match"&lt;&gt;"Name and organisation matched","Waste evidence match needs review","Provisional source score - confirm evidence"))))))</x:f>
        <x:v>Waste evidence match needs review</x:v>
      </x:c>
      <x:c r="AL287" s="36"/>
      <x:c r="AM287" s="40"/>
      <x:c r="AN287" s="39"/>
      <x:c r="AO287" s="40"/>
      <x:c r="AP287" s="40"/>
    </x:row>
    <x:row r="288" ht="15" hidden="0" customHeight="1">
      <x:c r="A288" s="36" t="str">
        <x:v>Bu-296</x:v>
      </x:c>
      <x:c r="B288" s="37" t="str">
        <x:v>Direct Procurement – Digitalization &amp; Compliance (Horizontal)</x:v>
      </x:c>
      <x:c r="C288" s="36" t="str">
        <x:v>BU Led</x:v>
      </x:c>
      <x:c r="D288" s="36" t="str">
        <x:v>Personal Health (PH)</x:v>
      </x:c>
      <x:c r="E288" s="38"/>
      <x:c r="F288" s="39"/>
      <x:c r="G288" s="38" t="str">
        <x:f>IF(ISNUMBER(F288),F288,IF(E288="","",E288))</x:f>
      </x:c>
      <x:c r="H288" s="38"/>
      <x:c r="I288" s="39"/>
      <x:c r="J288" s="36" t="str">
        <x:v>Revenue</x:v>
      </x:c>
      <x:c r="K288" s="38" t="str">
        <x:f>IF(ISNUMBER(I288),I288,IF(OR(NOT(ISNUMBER(H288)),NOT(ISNUMBER(G288)),G288&lt;=0),"",IF(H288/G288&gt;='Score settings'!$B$58,"",IF(J288="Cash savings",H288,IF(J288="Revenue",H288*'Score settings'!$B$55,"")))))</x:f>
      </x:c>
      <x:c r="L288" s="36"/>
      <x:c r="M288" s="39"/>
      <x:c r="N288" s="40"/>
      <x:c r="O288" s="36" t="str">
        <x:v>Depri</x:v>
      </x:c>
      <x:c r="P288" s="36" t="str">
        <x:v>Decomm</x:v>
      </x:c>
      <x:c r="Q288" s="36" t="str">
        <x:v>Revenue</x:v>
      </x:c>
      <x:c r="R288" s="36" t="str">
        <x:v>NotAssessed</x:v>
      </x:c>
      <x:c r="S288" s="36" t="str"/>
      <x:c r="T288" s="36" t="str">
        <x:v>Common pot</x:v>
      </x:c>
      <x:c r="U288" s="41" t="n">
        <x:f>VLOOKUP("Priority|"&amp;O288,'Score settings'!$A$14:$C$43,2,FALSE)/'Score settings'!$B$4*'Score settings'!$C$4</x:f>
        <x:v>5</x:v>
      </x:c>
      <x:c r="V288" s="41" t="n">
        <x:f>VLOOKUP("Category|"&amp;P288,'Score settings'!$A$14:$C$43,2,FALSE)/'Score settings'!$B$5*'Score settings'!$C$5</x:f>
        <x:v>17</x:v>
      </x:c>
      <x:c r="W288" s="41" t="n">
        <x:f>VLOOKUP("Area|"&amp;Q288,'Score settings'!$A$14:$C$43,2,FALSE)/'Score settings'!$B$6*'Score settings'!$C$6</x:f>
        <x:v>11</x:v>
      </x:c>
      <x:c r="X288" s="41" t="n">
        <x:f>VLOOKUP("Benefits|"&amp;IF(AND(ISNUMBER(H288),H288&gt;0,ISNUMBER(G288),G288&gt;0),IF(H288/G288&gt;='Score settings'!$E$17,"3plus",IF(H288/G288&gt;='Score settings'!$E$16,"1.5to3",IF(H288/G288&gt;='Score settings'!$E$15,"0.5to1.5","positive"))),"None"),'Score settings'!$A$14:$C$43,2,FALSE)/'Score settings'!$B$7*'Score settings'!$C$7</x:f>
        <x:v>5</x:v>
      </x:c>
      <x:c r="Y288" s="41" t="n">
        <x:f>VLOOKUP("Waste|"&amp;R288,'Score settings'!$A$14:$C$43,2,FALSE)/'Score settings'!$B$8*'Score settings'!$C$8</x:f>
        <x:v>7</x:v>
      </x:c>
      <x:c r="Z288" s="41" t="n">
        <x:f>IF(B288="","",SUM(U288:Y288))</x:f>
        <x:v>45</x:v>
      </x:c>
      <x:c r="AA288" s="41" t="str">
        <x:f>IF(Z288="","Not scored",VLOOKUP(Z288,'Score settings'!$A$47:$C$50,2,TRUE))</x:f>
        <x:v>Strong</x:v>
      </x:c>
      <x:c r="AB288" s="41" t="n">
        <x:f>VLOOKUP("Priority|"&amp;O288,'Score settings'!$A$14:$C$43,3,FALSE)/'Score settings'!$B$4*'Score settings'!$D$4</x:f>
        <x:v>3</x:v>
      </x:c>
      <x:c r="AC288" s="41" t="n">
        <x:f>VLOOKUP("Category|"&amp;P288,'Score settings'!$A$14:$C$43,3,FALSE)/'Score settings'!$B$5*'Score settings'!$D$5</x:f>
        <x:v>8.5</x:v>
      </x:c>
      <x:c r="AD288" s="41" t="n">
        <x:f>VLOOKUP("Area|"&amp;Q288,'Score settings'!$A$14:$C$43,3,FALSE)/'Score settings'!$B$6*'Score settings'!$D$6</x:f>
        <x:v>7.333333333333333</x:v>
      </x:c>
      <x:c r="AE288" s="41" t="n">
        <x:f>VLOOKUP("Benefits|"&amp;IF(AND(ISNUMBER(K288),K288&gt;0,ISNUMBER(G288),G288&gt;0),IF(K288/G288&gt;='Score settings'!$E$17,"3plus",IF(K288/G288&gt;='Score settings'!$E$16,"1.5to3",IF(K288/G288&gt;='Score settings'!$E$15,"0.5to1.5","positive"))),"None"),'Score settings'!$A$14:$C$43,3,FALSE)/'Score settings'!$B$7*'Score settings'!$D$7</x:f>
        <x:v>0</x:v>
      </x:c>
      <x:c r="AF288" s="41" t="n">
        <x:f>VLOOKUP("Waste|"&amp;R288,'Score settings'!$A$14:$C$43,3,FALSE)/'Score settings'!$B$8*'Score settings'!$D$8</x:f>
        <x:v>0</x:v>
      </x:c>
      <x:c r="AG288" s="41" t="n">
        <x:f>(IF(AND(ISNUMBER(M288),M288&gt;0,ISNUMBER(G288),G288&gt;0),IF(M288/G288&gt;='Score settings'!$E$17,'Score settings'!$G$17,IF(M288/G288&gt;='Score settings'!$E$16,'Score settings'!$G$16,IF(M288/G288&gt;='Score settings'!$E$15,'Score settings'!$G$15,'Score settings'!$G$14))),0)/15*'Score settings'!$B$60+IFERROR(VLOOKUP(IF(ISNUMBER(N288),N288,IF(ISNUMBER(L288),L288,0)),'Score settings'!$E$22:$F$26,2,FALSE),0)/10*'Score settings'!$B$61)/'Score settings'!$B$9*'Score settings'!$D$9</x:f>
        <x:v>0</x:v>
      </x:c>
      <x:c r="AH288" s="41" t="n">
        <x:f>IF(B288="","",SUM(AB288:AG288))</x:f>
        <x:v>18.833333333333332</x:v>
      </x:c>
      <x:c r="AI288" s="41" t="str">
        <x:f>IF(NOT(ISNUMBER(AH288)),"Not scored",VLOOKUP(AH288,'Score settings'!$A$47:$C$50,3,TRUE))</x:f>
        <x:v>Weak</x:v>
      </x:c>
      <x:c r="AJ288" s="42" t="n">
        <x:f>IF(OR(NOT(ISNUMBER(AH288)),T288&lt;&gt;"Common pot"),"",COUNTIFS($T$4:$T$509,"Common pot",$AH$4:$AH$509,"&gt;"&amp;AH288)+1)</x:f>
        <x:v>360</x:v>
      </x:c>
      <x:c r="AK288" s="36" t="str">
        <x:f>IF(B288="","Name missing - not scored",IF(OR(NOT(ISNUMBER(G288)),G288&lt;=0),"Investment missing or zero - review",IF(0=1,"Permanent ID missing - reconcile",IF(AND(ISNUMBER(H288),H288/G288&gt;='Score settings'!$B$58,NOT(ISNUMBER(I288))),"Benefit units need review",IF(OR(R288="EXIT",R288="CHALLENGE"),"Waste decision requires scope resolution",IF("No exact waste match"&lt;&gt;"Name and organisation matched","Waste evidence match needs review","Provisional source score - confirm evidence"))))))</x:f>
        <x:v>Investment missing or zero - review</x:v>
      </x:c>
      <x:c r="AL288" s="36"/>
      <x:c r="AM288" s="40"/>
      <x:c r="AN288" s="39"/>
      <x:c r="AO288" s="40"/>
      <x:c r="AP288" s="40"/>
    </x:row>
    <x:row r="289" ht="15" hidden="0" customHeight="1">
      <x:c r="A289" s="36" t="str">
        <x:v>Bu-297</x:v>
      </x:c>
      <x:c r="B289" s="37" t="str">
        <x:v>DPP - From Compliance to Growth, Trust &amp; Revenue Protection Platform</x:v>
      </x:c>
      <x:c r="C289" s="36" t="str">
        <x:v>BU Led</x:v>
      </x:c>
      <x:c r="D289" s="36" t="str">
        <x:v>Personal Health (PH)</x:v>
      </x:c>
      <x:c r="E289" s="38" t="n">
        <x:v>0.3</x:v>
      </x:c>
      <x:c r="F289" s="39"/>
      <x:c r="G289" s="38" t="n">
        <x:f>IF(ISNUMBER(F289),F289,IF(E289="","",E289))</x:f>
        <x:v>0.3</x:v>
      </x:c>
      <x:c r="H289" s="38" t="n">
        <x:v>0.112</x:v>
      </x:c>
      <x:c r="I289" s="39"/>
      <x:c r="J289" s="36" t="str">
        <x:v>Risk exposure</x:v>
      </x:c>
      <x:c r="K289" s="38" t="str">
        <x:f>IF(ISNUMBER(I289),I289,IF(OR(NOT(ISNUMBER(H289)),NOT(ISNUMBER(G289)),G289&lt;=0),"",IF(H289/G289&gt;='Score settings'!$B$58,"",IF(J289="Cash savings",H289,IF(J289="Revenue",H289*'Score settings'!$B$55,"")))))</x:f>
      </x:c>
      <x:c r="L289" s="36"/>
      <x:c r="M289" s="39"/>
      <x:c r="N289" s="40"/>
      <x:c r="O289" s="36" t="str">
        <x:v>Must Do</x:v>
      </x:c>
      <x:c r="P289" s="36" t="str">
        <x:v>LFR</x:v>
      </x:c>
      <x:c r="Q289" s="36" t="str">
        <x:v>Compliance</x:v>
      </x:c>
      <x:c r="R289" s="36" t="str">
        <x:v>NotAssessed</x:v>
      </x:c>
      <x:c r="S289" s="36" t="str"/>
      <x:c r="T289" s="36" t="str">
        <x:v>Common pot</x:v>
      </x:c>
      <x:c r="U289" s="41" t="n">
        <x:f>VLOOKUP("Priority|"&amp;O289,'Score settings'!$A$14:$C$43,2,FALSE)/'Score settings'!$B$4*'Score settings'!$C$4</x:f>
        <x:v>25</x:v>
      </x:c>
      <x:c r="V289" s="41" t="n">
        <x:f>VLOOKUP("Category|"&amp;P289,'Score settings'!$A$14:$C$43,2,FALSE)/'Score settings'!$B$5*'Score settings'!$C$5</x:f>
        <x:v>20</x:v>
      </x:c>
      <x:c r="W289" s="41" t="n">
        <x:f>VLOOKUP("Area|"&amp;Q289,'Score settings'!$A$14:$C$43,2,FALSE)/'Score settings'!$B$6*'Score settings'!$C$6</x:f>
        <x:v>15</x:v>
      </x:c>
      <x:c r="X289" s="41" t="n">
        <x:f>VLOOKUP("Benefits|"&amp;IF(AND(ISNUMBER(H289),H289&gt;0,ISNUMBER(G289),G289&gt;0),IF(H289/G289&gt;='Score settings'!$E$17,"3plus",IF(H289/G289&gt;='Score settings'!$E$16,"1.5to3",IF(H289/G289&gt;='Score settings'!$E$15,"0.5to1.5","positive"))),"None"),'Score settings'!$A$14:$C$43,2,FALSE)/'Score settings'!$B$7*'Score settings'!$C$7</x:f>
        <x:v>10</x:v>
      </x:c>
      <x:c r="Y289" s="41" t="n">
        <x:f>VLOOKUP("Waste|"&amp;R289,'Score settings'!$A$14:$C$43,2,FALSE)/'Score settings'!$B$8*'Score settings'!$C$8</x:f>
        <x:v>7</x:v>
      </x:c>
      <x:c r="Z289" s="41" t="n">
        <x:f>IF(B289="","",SUM(U289:Y289))</x:f>
        <x:v>77</x:v>
      </x:c>
      <x:c r="AA289" s="41" t="str">
        <x:f>IF(Z289="","Not scored",VLOOKUP(Z289,'Score settings'!$A$47:$C$50,2,TRUE))</x:f>
        <x:v>Protected</x:v>
      </x:c>
      <x:c r="AB289" s="41" t="n">
        <x:f>VLOOKUP("Priority|"&amp;O289,'Score settings'!$A$14:$C$43,3,FALSE)/'Score settings'!$B$4*'Score settings'!$D$4</x:f>
        <x:v>15</x:v>
      </x:c>
      <x:c r="AC289" s="41" t="n">
        <x:f>VLOOKUP("Category|"&amp;P289,'Score settings'!$A$14:$C$43,3,FALSE)/'Score settings'!$B$5*'Score settings'!$D$5</x:f>
        <x:v>10</x:v>
      </x:c>
      <x:c r="AD289" s="41" t="n">
        <x:f>VLOOKUP("Area|"&amp;Q289,'Score settings'!$A$14:$C$43,3,FALSE)/'Score settings'!$B$6*'Score settings'!$D$6</x:f>
        <x:v>10</x:v>
      </x:c>
      <x:c r="AE289" s="41" t="n">
        <x:f>VLOOKUP("Benefits|"&amp;IF(AND(ISNUMBER(K289),K289&gt;0,ISNUMBER(G289),G289&gt;0),IF(K289/G289&gt;='Score settings'!$E$17,"3plus",IF(K289/G289&gt;='Score settings'!$E$16,"1.5to3",IF(K289/G289&gt;='Score settings'!$E$15,"0.5to1.5","positive"))),"None"),'Score settings'!$A$14:$C$43,3,FALSE)/'Score settings'!$B$7*'Score settings'!$D$7</x:f>
        <x:v>0</x:v>
      </x:c>
      <x:c r="AF289" s="41" t="n">
        <x:f>VLOOKUP("Waste|"&amp;R289,'Score settings'!$A$14:$C$43,3,FALSE)/'Score settings'!$B$8*'Score settings'!$D$8</x:f>
        <x:v>0</x:v>
      </x:c>
      <x:c r="AG289" s="41" t="n">
        <x:f>(IF(AND(ISNUMBER(M289),M289&gt;0,ISNUMBER(G289),G289&gt;0),IF(M289/G289&gt;='Score settings'!$E$17,'Score settings'!$G$17,IF(M289/G289&gt;='Score settings'!$E$16,'Score settings'!$G$16,IF(M289/G289&gt;='Score settings'!$E$15,'Score settings'!$G$15,'Score settings'!$G$14))),0)/15*'Score settings'!$B$60+IFERROR(VLOOKUP(IF(ISNUMBER(N289),N289,IF(ISNUMBER(L289),L289,0)),'Score settings'!$E$22:$F$26,2,FALSE),0)/10*'Score settings'!$B$61)/'Score settings'!$B$9*'Score settings'!$D$9</x:f>
        <x:v>0</x:v>
      </x:c>
      <x:c r="AH289" s="41" t="n">
        <x:f>IF(B289="","",SUM(AB289:AG289))</x:f>
        <x:v>35</x:v>
      </x:c>
      <x:c r="AI289" s="41" t="str">
        <x:f>IF(NOT(ISNUMBER(AH289)),"Not scored",VLOOKUP(AH289,'Score settings'!$A$47:$C$50,3,TRUE))</x:f>
        <x:v>Discretionary</x:v>
      </x:c>
      <x:c r="AJ289" s="42" t="n">
        <x:f>IF(OR(NOT(ISNUMBER(AH289)),T289&lt;&gt;"Common pot"),"",COUNTIFS($T$4:$T$509,"Common pot",$AH$4:$AH$509,"&gt;"&amp;AH289)+1)</x:f>
        <x:v>142</x:v>
      </x:c>
      <x:c r="AK289" s="36" t="str">
        <x:f>IF(B289="","Name missing - not scored",IF(OR(NOT(ISNUMBER(G289)),G289&lt;=0),"Investment missing or zero - review",IF(0=1,"Permanent ID missing - reconcile",IF(AND(ISNUMBER(H289),H289/G289&gt;='Score settings'!$B$58,NOT(ISNUMBER(I289))),"Benefit units need review",IF(OR(R289="EXIT",R289="CHALLENGE"),"Waste decision requires scope resolution",IF("No exact waste match"&lt;&gt;"Name and organisation matched","Waste evidence match needs review","Provisional source score - confirm evidence"))))))</x:f>
        <x:v>Waste evidence match needs review</x:v>
      </x:c>
      <x:c r="AL289" s="36"/>
      <x:c r="AM289" s="40"/>
      <x:c r="AN289" s="39"/>
      <x:c r="AO289" s="40"/>
      <x:c r="AP289" s="40"/>
    </x:row>
    <x:row r="290" ht="15" hidden="0" customHeight="1">
      <x:c r="A290" s="36" t="str">
        <x:v>Bu-298</x:v>
      </x:c>
      <x:c r="B290" s="37" t="str">
        <x:v>Drive conversion lift on Philips.com with AI-driven Digital analytics</x:v>
      </x:c>
      <x:c r="C290" s="36" t="str">
        <x:v>BU Led</x:v>
      </x:c>
      <x:c r="D290" s="36" t="str">
        <x:v>Personal Health (PH)</x:v>
      </x:c>
      <x:c r="E290" s="38"/>
      <x:c r="F290" s="39"/>
      <x:c r="G290" s="38" t="str">
        <x:f>IF(ISNUMBER(F290),F290,IF(E290="","",E290))</x:f>
      </x:c>
      <x:c r="H290" s="38"/>
      <x:c r="I290" s="39"/>
      <x:c r="J290" s="36" t="str">
        <x:v>Revenue</x:v>
      </x:c>
      <x:c r="K290" s="38" t="str">
        <x:f>IF(ISNUMBER(I290),I290,IF(OR(NOT(ISNUMBER(H290)),NOT(ISNUMBER(G290)),G290&lt;=0),"",IF(H290/G290&gt;='Score settings'!$B$58,"",IF(J290="Cash savings",H290,IF(J290="Revenue",H290*'Score settings'!$B$55,"")))))</x:f>
      </x:c>
      <x:c r="L290" s="36"/>
      <x:c r="M290" s="39"/>
      <x:c r="N290" s="40"/>
      <x:c r="O290" s="36" t="str">
        <x:v>Depri</x:v>
      </x:c>
      <x:c r="P290" s="36" t="str">
        <x:v>NewFeat</x:v>
      </x:c>
      <x:c r="Q290" s="36" t="str">
        <x:v>Revenue</x:v>
      </x:c>
      <x:c r="R290" s="36" t="str">
        <x:v>NotAssessed</x:v>
      </x:c>
      <x:c r="S290" s="36" t="str"/>
      <x:c r="T290" s="36" t="str">
        <x:v>Common pot</x:v>
      </x:c>
      <x:c r="U290" s="41" t="n">
        <x:f>VLOOKUP("Priority|"&amp;O290,'Score settings'!$A$14:$C$43,2,FALSE)/'Score settings'!$B$4*'Score settings'!$C$4</x:f>
        <x:v>5</x:v>
      </x:c>
      <x:c r="V290" s="41" t="n">
        <x:f>VLOOKUP("Category|"&amp;P290,'Score settings'!$A$14:$C$43,2,FALSE)/'Score settings'!$B$5*'Score settings'!$C$5</x:f>
        <x:v>6</x:v>
      </x:c>
      <x:c r="W290" s="41" t="n">
        <x:f>VLOOKUP("Area|"&amp;Q290,'Score settings'!$A$14:$C$43,2,FALSE)/'Score settings'!$B$6*'Score settings'!$C$6</x:f>
        <x:v>11</x:v>
      </x:c>
      <x:c r="X290" s="41" t="n">
        <x:f>VLOOKUP("Benefits|"&amp;IF(AND(ISNUMBER(H290),H290&gt;0,ISNUMBER(G290),G290&gt;0),IF(H290/G290&gt;='Score settings'!$E$17,"3plus",IF(H290/G290&gt;='Score settings'!$E$16,"1.5to3",IF(H290/G290&gt;='Score settings'!$E$15,"0.5to1.5","positive"))),"None"),'Score settings'!$A$14:$C$43,2,FALSE)/'Score settings'!$B$7*'Score settings'!$C$7</x:f>
        <x:v>5</x:v>
      </x:c>
      <x:c r="Y290" s="41" t="n">
        <x:f>VLOOKUP("Waste|"&amp;R290,'Score settings'!$A$14:$C$43,2,FALSE)/'Score settings'!$B$8*'Score settings'!$C$8</x:f>
        <x:v>7</x:v>
      </x:c>
      <x:c r="Z290" s="41" t="n">
        <x:f>IF(B290="","",SUM(U290:Y290))</x:f>
        <x:v>34</x:v>
      </x:c>
      <x:c r="AA290" s="41" t="str">
        <x:f>IF(Z290="","Not scored",VLOOKUP(Z290,'Score settings'!$A$47:$C$50,2,TRUE))</x:f>
        <x:v>Discretionary</x:v>
      </x:c>
      <x:c r="AB290" s="41" t="n">
        <x:f>VLOOKUP("Priority|"&amp;O290,'Score settings'!$A$14:$C$43,3,FALSE)/'Score settings'!$B$4*'Score settings'!$D$4</x:f>
        <x:v>3</x:v>
      </x:c>
      <x:c r="AC290" s="41" t="n">
        <x:f>VLOOKUP("Category|"&amp;P290,'Score settings'!$A$14:$C$43,3,FALSE)/'Score settings'!$B$5*'Score settings'!$D$5</x:f>
        <x:v>3</x:v>
      </x:c>
      <x:c r="AD290" s="41" t="n">
        <x:f>VLOOKUP("Area|"&amp;Q290,'Score settings'!$A$14:$C$43,3,FALSE)/'Score settings'!$B$6*'Score settings'!$D$6</x:f>
        <x:v>7.333333333333333</x:v>
      </x:c>
      <x:c r="AE290" s="41" t="n">
        <x:f>VLOOKUP("Benefits|"&amp;IF(AND(ISNUMBER(K290),K290&gt;0,ISNUMBER(G290),G290&gt;0),IF(K290/G290&gt;='Score settings'!$E$17,"3plus",IF(K290/G290&gt;='Score settings'!$E$16,"1.5to3",IF(K290/G290&gt;='Score settings'!$E$15,"0.5to1.5","positive"))),"None"),'Score settings'!$A$14:$C$43,3,FALSE)/'Score settings'!$B$7*'Score settings'!$D$7</x:f>
        <x:v>0</x:v>
      </x:c>
      <x:c r="AF290" s="41" t="n">
        <x:f>VLOOKUP("Waste|"&amp;R290,'Score settings'!$A$14:$C$43,3,FALSE)/'Score settings'!$B$8*'Score settings'!$D$8</x:f>
        <x:v>0</x:v>
      </x:c>
      <x:c r="AG290" s="41" t="n">
        <x:f>(IF(AND(ISNUMBER(M290),M290&gt;0,ISNUMBER(G290),G290&gt;0),IF(M290/G290&gt;='Score settings'!$E$17,'Score settings'!$G$17,IF(M290/G290&gt;='Score settings'!$E$16,'Score settings'!$G$16,IF(M290/G290&gt;='Score settings'!$E$15,'Score settings'!$G$15,'Score settings'!$G$14))),0)/15*'Score settings'!$B$60+IFERROR(VLOOKUP(IF(ISNUMBER(N290),N290,IF(ISNUMBER(L290),L290,0)),'Score settings'!$E$22:$F$26,2,FALSE),0)/10*'Score settings'!$B$61)/'Score settings'!$B$9*'Score settings'!$D$9</x:f>
        <x:v>0</x:v>
      </x:c>
      <x:c r="AH290" s="41" t="n">
        <x:f>IF(B290="","",SUM(AB290:AG290))</x:f>
        <x:v>13.333333333333332</x:v>
      </x:c>
      <x:c r="AI290" s="41" t="str">
        <x:f>IF(NOT(ISNUMBER(AH290)),"Not scored",VLOOKUP(AH290,'Score settings'!$A$47:$C$50,3,TRUE))</x:f>
        <x:v>Weak</x:v>
      </x:c>
      <x:c r="AJ290" s="42" t="n">
        <x:f>IF(OR(NOT(ISNUMBER(AH290)),T290&lt;&gt;"Common pot"),"",COUNTIFS($T$4:$T$509,"Common pot",$AH$4:$AH$509,"&gt;"&amp;AH290)+1)</x:f>
        <x:v>370</x:v>
      </x:c>
      <x:c r="AK290" s="36" t="str">
        <x:f>IF(B290="","Name missing - not scored",IF(OR(NOT(ISNUMBER(G290)),G290&lt;=0),"Investment missing or zero - review",IF(0=1,"Permanent ID missing - reconcile",IF(AND(ISNUMBER(H290),H290/G290&gt;='Score settings'!$B$58,NOT(ISNUMBER(I290))),"Benefit units need review",IF(OR(R290="EXIT",R290="CHALLENGE"),"Waste decision requires scope resolution",IF("No exact waste match"&lt;&gt;"Name and organisation matched","Waste evidence match needs review","Provisional source score - confirm evidence"))))))</x:f>
        <x:v>Investment missing or zero - review</x:v>
      </x:c>
      <x:c r="AL290" s="36"/>
      <x:c r="AM290" s="40"/>
      <x:c r="AN290" s="39"/>
      <x:c r="AO290" s="40"/>
      <x:c r="AP290" s="40"/>
    </x:row>
    <x:row r="291" ht="15" hidden="0" customHeight="1">
      <x:c r="A291" s="36" t="str">
        <x:v>Bu-299</x:v>
      </x:c>
      <x:c r="B291" s="37" t="str">
        <x:v>E2E Product Portfolio Mgt (Pulse)</x:v>
      </x:c>
      <x:c r="C291" s="36" t="str">
        <x:v>BU Led</x:v>
      </x:c>
      <x:c r="D291" s="36" t="str">
        <x:v>Personal Health (PH)</x:v>
      </x:c>
      <x:c r="E291" s="38" t="n">
        <x:v>0.25</x:v>
      </x:c>
      <x:c r="F291" s="39"/>
      <x:c r="G291" s="38" t="n">
        <x:f>IF(ISNUMBER(F291),F291,IF(E291="","",E291))</x:f>
        <x:v>0.25</x:v>
      </x:c>
      <x:c r="H291" s="38" t="n">
        <x:v>0.5</x:v>
      </x:c>
      <x:c r="I291" s="39"/>
      <x:c r="J291" s="36" t="str">
        <x:v>Revenue</x:v>
      </x:c>
      <x:c r="K291" s="38" t="n">
        <x:f>IF(ISNUMBER(I291),I291,IF(OR(NOT(ISNUMBER(H291)),NOT(ISNUMBER(G291)),G291&lt;=0),"",IF(H291/G291&gt;='Score settings'!$B$58,"",IF(J291="Cash savings",H291,IF(J291="Revenue",H291*'Score settings'!$B$55,"")))))</x:f>
        <x:v>0.075</x:v>
      </x:c>
      <x:c r="L291" s="36"/>
      <x:c r="M291" s="39"/>
      <x:c r="N291" s="40"/>
      <x:c r="O291" s="36" t="str">
        <x:v>Must Do</x:v>
      </x:c>
      <x:c r="P291" s="36" t="str">
        <x:v>Blank</x:v>
      </x:c>
      <x:c r="Q291" s="36" t="str">
        <x:v>Revenue</x:v>
      </x:c>
      <x:c r="R291" s="36" t="str">
        <x:v>NotAssessed</x:v>
      </x:c>
      <x:c r="S291" s="36" t="str"/>
      <x:c r="T291" s="36" t="str">
        <x:v>Common pot</x:v>
      </x:c>
      <x:c r="U291" s="41" t="n">
        <x:f>VLOOKUP("Priority|"&amp;O291,'Score settings'!$A$14:$C$43,2,FALSE)/'Score settings'!$B$4*'Score settings'!$C$4</x:f>
        <x:v>25</x:v>
      </x:c>
      <x:c r="V291" s="41" t="n">
        <x:f>VLOOKUP("Category|"&amp;P291,'Score settings'!$A$14:$C$43,2,FALSE)/'Score settings'!$B$5*'Score settings'!$C$5</x:f>
        <x:v>4</x:v>
      </x:c>
      <x:c r="W291" s="41" t="n">
        <x:f>VLOOKUP("Area|"&amp;Q291,'Score settings'!$A$14:$C$43,2,FALSE)/'Score settings'!$B$6*'Score settings'!$C$6</x:f>
        <x:v>11</x:v>
      </x:c>
      <x:c r="X291" s="41" t="n">
        <x:f>VLOOKUP("Benefits|"&amp;IF(AND(ISNUMBER(H291),H291&gt;0,ISNUMBER(G291),G291&gt;0),IF(H291/G291&gt;='Score settings'!$E$17,"3plus",IF(H291/G291&gt;='Score settings'!$E$16,"1.5to3",IF(H291/G291&gt;='Score settings'!$E$15,"0.5to1.5","positive"))),"None"),'Score settings'!$A$14:$C$43,2,FALSE)/'Score settings'!$B$7*'Score settings'!$C$7</x:f>
        <x:v>20</x:v>
      </x:c>
      <x:c r="Y291" s="41" t="n">
        <x:f>VLOOKUP("Waste|"&amp;R291,'Score settings'!$A$14:$C$43,2,FALSE)/'Score settings'!$B$8*'Score settings'!$C$8</x:f>
        <x:v>7</x:v>
      </x:c>
      <x:c r="Z291" s="41" t="n">
        <x:f>IF(B291="","",SUM(U291:Y291))</x:f>
        <x:v>67</x:v>
      </x:c>
      <x:c r="AA291" s="41" t="str">
        <x:f>IF(Z291="","Not scored",VLOOKUP(Z291,'Score settings'!$A$47:$C$50,2,TRUE))</x:f>
        <x:v>Protected</x:v>
      </x:c>
      <x:c r="AB291" s="41" t="n">
        <x:f>VLOOKUP("Priority|"&amp;O291,'Score settings'!$A$14:$C$43,3,FALSE)/'Score settings'!$B$4*'Score settings'!$D$4</x:f>
        <x:v>15</x:v>
      </x:c>
      <x:c r="AC291" s="41" t="n">
        <x:f>VLOOKUP("Category|"&amp;P291,'Score settings'!$A$14:$C$43,3,FALSE)/'Score settings'!$B$5*'Score settings'!$D$5</x:f>
        <x:v>0</x:v>
      </x:c>
      <x:c r="AD291" s="41" t="n">
        <x:f>VLOOKUP("Area|"&amp;Q291,'Score settings'!$A$14:$C$43,3,FALSE)/'Score settings'!$B$6*'Score settings'!$D$6</x:f>
        <x:v>7.333333333333333</x:v>
      </x:c>
      <x:c r="AE291" s="41" t="n">
        <x:f>VLOOKUP("Benefits|"&amp;IF(AND(ISNUMBER(K291),K291&gt;0,ISNUMBER(G291),G291&gt;0),IF(K291/G291&gt;='Score settings'!$E$17,"3plus",IF(K291/G291&gt;='Score settings'!$E$16,"1.5to3",IF(K291/G291&gt;='Score settings'!$E$15,"0.5to1.5","positive"))),"None"),'Score settings'!$A$14:$C$43,3,FALSE)/'Score settings'!$B$7*'Score settings'!$D$7</x:f>
        <x:v>12</x:v>
      </x:c>
      <x:c r="AF291" s="41" t="n">
        <x:f>VLOOKUP("Waste|"&amp;R291,'Score settings'!$A$14:$C$43,3,FALSE)/'Score settings'!$B$8*'Score settings'!$D$8</x:f>
        <x:v>0</x:v>
      </x:c>
      <x:c r="AG291" s="41" t="n">
        <x:f>(IF(AND(ISNUMBER(M291),M291&gt;0,ISNUMBER(G291),G291&gt;0),IF(M291/G291&gt;='Score settings'!$E$17,'Score settings'!$G$17,IF(M291/G291&gt;='Score settings'!$E$16,'Score settings'!$G$16,IF(M291/G291&gt;='Score settings'!$E$15,'Score settings'!$G$15,'Score settings'!$G$14))),0)/15*'Score settings'!$B$60+IFERROR(VLOOKUP(IF(ISNUMBER(N291),N291,IF(ISNUMBER(L291),L291,0)),'Score settings'!$E$22:$F$26,2,FALSE),0)/10*'Score settings'!$B$61)/'Score settings'!$B$9*'Score settings'!$D$9</x:f>
        <x:v>0</x:v>
      </x:c>
      <x:c r="AH291" s="41" t="n">
        <x:f>IF(B291="","",SUM(AB291:AG291))</x:f>
        <x:v>34.33333333333333</x:v>
      </x:c>
      <x:c r="AI291" s="41" t="str">
        <x:f>IF(NOT(ISNUMBER(AH291)),"Not scored",VLOOKUP(AH291,'Score settings'!$A$47:$C$50,3,TRUE))</x:f>
        <x:v>Discretionary</x:v>
      </x:c>
      <x:c r="AJ291" s="42" t="n">
        <x:f>IF(OR(NOT(ISNUMBER(AH291)),T291&lt;&gt;"Common pot"),"",COUNTIFS($T$4:$T$509,"Common pot",$AH$4:$AH$509,"&gt;"&amp;AH291)+1)</x:f>
        <x:v>152</x:v>
      </x:c>
      <x:c r="AK291" s="36" t="str">
        <x:f>IF(B291="","Name missing - not scored",IF(OR(NOT(ISNUMBER(G291)),G291&lt;=0),"Investment missing or zero - review",IF(0=1,"Permanent ID missing - reconcile",IF(AND(ISNUMBER(H291),H291/G291&gt;='Score settings'!$B$58,NOT(ISNUMBER(I291))),"Benefit units need review",IF(OR(R291="EXIT",R291="CHALLENGE"),"Waste decision requires scope resolution",IF("No exact waste match"&lt;&gt;"Name and organisation matched","Waste evidence match needs review","Provisional source score - confirm evidence"))))))</x:f>
        <x:v>Waste evidence match needs review</x:v>
      </x:c>
      <x:c r="AL291" s="36"/>
      <x:c r="AM291" s="40"/>
      <x:c r="AN291" s="39"/>
      <x:c r="AO291" s="40"/>
      <x:c r="AP291" s="40"/>
    </x:row>
    <x:row r="292" ht="15" hidden="0" customHeight="1">
      <x:c r="A292" s="36" t="str">
        <x:v>Bu-300</x:v>
      </x:c>
      <x:c r="B292" s="37" t="str">
        <x:v>E2E simplification of R&amp;D Purchase order Creation</x:v>
      </x:c>
      <x:c r="C292" s="36" t="str">
        <x:v>BU Led</x:v>
      </x:c>
      <x:c r="D292" s="36" t="str">
        <x:v>Personal Health (PH)</x:v>
      </x:c>
      <x:c r="E292" s="38"/>
      <x:c r="F292" s="39"/>
      <x:c r="G292" s="38" t="str">
        <x:f>IF(ISNUMBER(F292),F292,IF(E292="","",E292))</x:f>
      </x:c>
      <x:c r="H292" s="38"/>
      <x:c r="I292" s="39"/>
      <x:c r="J292" s="36" t="str">
        <x:v>Revenue</x:v>
      </x:c>
      <x:c r="K292" s="38" t="str">
        <x:f>IF(ISNUMBER(I292),I292,IF(OR(NOT(ISNUMBER(H292)),NOT(ISNUMBER(G292)),G292&lt;=0),"",IF(H292/G292&gt;='Score settings'!$B$58,"",IF(J292="Cash savings",H292,IF(J292="Revenue",H292*'Score settings'!$B$55,"")))))</x:f>
      </x:c>
      <x:c r="L292" s="36"/>
      <x:c r="M292" s="39"/>
      <x:c r="N292" s="40"/>
      <x:c r="O292" s="36" t="str">
        <x:v>Depri</x:v>
      </x:c>
      <x:c r="P292" s="36" t="str">
        <x:v>Blank</x:v>
      </x:c>
      <x:c r="Q292" s="36" t="str">
        <x:v>Revenue</x:v>
      </x:c>
      <x:c r="R292" s="36" t="str">
        <x:v>NotAssessed</x:v>
      </x:c>
      <x:c r="S292" s="36" t="str"/>
      <x:c r="T292" s="36" t="str">
        <x:v>Common pot</x:v>
      </x:c>
      <x:c r="U292" s="41" t="n">
        <x:f>VLOOKUP("Priority|"&amp;O292,'Score settings'!$A$14:$C$43,2,FALSE)/'Score settings'!$B$4*'Score settings'!$C$4</x:f>
        <x:v>5</x:v>
      </x:c>
      <x:c r="V292" s="41" t="n">
        <x:f>VLOOKUP("Category|"&amp;P292,'Score settings'!$A$14:$C$43,2,FALSE)/'Score settings'!$B$5*'Score settings'!$C$5</x:f>
        <x:v>4</x:v>
      </x:c>
      <x:c r="W292" s="41" t="n">
        <x:f>VLOOKUP("Area|"&amp;Q292,'Score settings'!$A$14:$C$43,2,FALSE)/'Score settings'!$B$6*'Score settings'!$C$6</x:f>
        <x:v>11</x:v>
      </x:c>
      <x:c r="X292" s="41" t="n">
        <x:f>VLOOKUP("Benefits|"&amp;IF(AND(ISNUMBER(H292),H292&gt;0,ISNUMBER(G292),G292&gt;0),IF(H292/G292&gt;='Score settings'!$E$17,"3plus",IF(H292/G292&gt;='Score settings'!$E$16,"1.5to3",IF(H292/G292&gt;='Score settings'!$E$15,"0.5to1.5","positive"))),"None"),'Score settings'!$A$14:$C$43,2,FALSE)/'Score settings'!$B$7*'Score settings'!$C$7</x:f>
        <x:v>5</x:v>
      </x:c>
      <x:c r="Y292" s="41" t="n">
        <x:f>VLOOKUP("Waste|"&amp;R292,'Score settings'!$A$14:$C$43,2,FALSE)/'Score settings'!$B$8*'Score settings'!$C$8</x:f>
        <x:v>7</x:v>
      </x:c>
      <x:c r="Z292" s="41" t="n">
        <x:f>IF(B292="","",SUM(U292:Y292))</x:f>
        <x:v>32</x:v>
      </x:c>
      <x:c r="AA292" s="41" t="str">
        <x:f>IF(Z292="","Not scored",VLOOKUP(Z292,'Score settings'!$A$47:$C$50,2,TRUE))</x:f>
        <x:v>Discretionary</x:v>
      </x:c>
      <x:c r="AB292" s="41" t="n">
        <x:f>VLOOKUP("Priority|"&amp;O292,'Score settings'!$A$14:$C$43,3,FALSE)/'Score settings'!$B$4*'Score settings'!$D$4</x:f>
        <x:v>3</x:v>
      </x:c>
      <x:c r="AC292" s="41" t="n">
        <x:f>VLOOKUP("Category|"&amp;P292,'Score settings'!$A$14:$C$43,3,FALSE)/'Score settings'!$B$5*'Score settings'!$D$5</x:f>
        <x:v>0</x:v>
      </x:c>
      <x:c r="AD292" s="41" t="n">
        <x:f>VLOOKUP("Area|"&amp;Q292,'Score settings'!$A$14:$C$43,3,FALSE)/'Score settings'!$B$6*'Score settings'!$D$6</x:f>
        <x:v>7.333333333333333</x:v>
      </x:c>
      <x:c r="AE292" s="41" t="n">
        <x:f>VLOOKUP("Benefits|"&amp;IF(AND(ISNUMBER(K292),K292&gt;0,ISNUMBER(G292),G292&gt;0),IF(K292/G292&gt;='Score settings'!$E$17,"3plus",IF(K292/G292&gt;='Score settings'!$E$16,"1.5to3",IF(K292/G292&gt;='Score settings'!$E$15,"0.5to1.5","positive"))),"None"),'Score settings'!$A$14:$C$43,3,FALSE)/'Score settings'!$B$7*'Score settings'!$D$7</x:f>
        <x:v>0</x:v>
      </x:c>
      <x:c r="AF292" s="41" t="n">
        <x:f>VLOOKUP("Waste|"&amp;R292,'Score settings'!$A$14:$C$43,3,FALSE)/'Score settings'!$B$8*'Score settings'!$D$8</x:f>
        <x:v>0</x:v>
      </x:c>
      <x:c r="AG292" s="41" t="n">
        <x:f>(IF(AND(ISNUMBER(M292),M292&gt;0,ISNUMBER(G292),G292&gt;0),IF(M292/G292&gt;='Score settings'!$E$17,'Score settings'!$G$17,IF(M292/G292&gt;='Score settings'!$E$16,'Score settings'!$G$16,IF(M292/G292&gt;='Score settings'!$E$15,'Score settings'!$G$15,'Score settings'!$G$14))),0)/15*'Score settings'!$B$60+IFERROR(VLOOKUP(IF(ISNUMBER(N292),N292,IF(ISNUMBER(L292),L292,0)),'Score settings'!$E$22:$F$26,2,FALSE),0)/10*'Score settings'!$B$61)/'Score settings'!$B$9*'Score settings'!$D$9</x:f>
        <x:v>0</x:v>
      </x:c>
      <x:c r="AH292" s="41" t="n">
        <x:f>IF(B292="","",SUM(AB292:AG292))</x:f>
        <x:v>10.333333333333332</x:v>
      </x:c>
      <x:c r="AI292" s="41" t="str">
        <x:f>IF(NOT(ISNUMBER(AH292)),"Not scored",VLOOKUP(AH292,'Score settings'!$A$47:$C$50,3,TRUE))</x:f>
        <x:v>Weak</x:v>
      </x:c>
      <x:c r="AJ292" s="42" t="n">
        <x:f>IF(OR(NOT(ISNUMBER(AH292)),T292&lt;&gt;"Common pot"),"",COUNTIFS($T$4:$T$509,"Common pot",$AH$4:$AH$509,"&gt;"&amp;AH292)+1)</x:f>
        <x:v>382</x:v>
      </x:c>
      <x:c r="AK292" s="36" t="str">
        <x:f>IF(B292="","Name missing - not scored",IF(OR(NOT(ISNUMBER(G292)),G292&lt;=0),"Investment missing or zero - review",IF(0=1,"Permanent ID missing - reconcile",IF(AND(ISNUMBER(H292),H292/G292&gt;='Score settings'!$B$58,NOT(ISNUMBER(I292))),"Benefit units need review",IF(OR(R292="EXIT",R292="CHALLENGE"),"Waste decision requires scope resolution",IF("No exact waste match"&lt;&gt;"Name and organisation matched","Waste evidence match needs review","Provisional source score - confirm evidence"))))))</x:f>
        <x:v>Investment missing or zero - review</x:v>
      </x:c>
      <x:c r="AL292" s="36"/>
      <x:c r="AM292" s="40"/>
      <x:c r="AN292" s="39"/>
      <x:c r="AO292" s="40"/>
      <x:c r="AP292" s="40"/>
    </x:row>
    <x:row r="293" ht="15" hidden="0" customHeight="1">
      <x:c r="A293" s="36" t="str">
        <x:v>Bu-301</x:v>
      </x:c>
      <x:c r="B293" s="37" t="str">
        <x:v>Enabling marketing content automation: E2E Claims digitalization</x:v>
      </x:c>
      <x:c r="C293" s="36" t="str">
        <x:v>BU Led</x:v>
      </x:c>
      <x:c r="D293" s="36" t="str">
        <x:v>Personal Health (PH)</x:v>
      </x:c>
      <x:c r="E293" s="38" t="n">
        <x:v>0.2</x:v>
      </x:c>
      <x:c r="F293" s="39"/>
      <x:c r="G293" s="38" t="n">
        <x:f>IF(ISNUMBER(F293),F293,IF(E293="","",E293))</x:f>
        <x:v>0.2</x:v>
      </x:c>
      <x:c r="H293" s="38" t="n">
        <x:v>0.15</x:v>
      </x:c>
      <x:c r="I293" s="39"/>
      <x:c r="J293" s="36" t="str">
        <x:v>Cash savings</x:v>
      </x:c>
      <x:c r="K293" s="38" t="n">
        <x:f>IF(ISNUMBER(I293),I293,IF(OR(NOT(ISNUMBER(H293)),NOT(ISNUMBER(G293)),G293&lt;=0),"",IF(H293/G293&gt;='Score settings'!$B$58,"",IF(J293="Cash savings",H293,IF(J293="Revenue",H293*'Score settings'!$B$55,"")))))</x:f>
        <x:v>0.15</x:v>
      </x:c>
      <x:c r="L293" s="36"/>
      <x:c r="M293" s="39"/>
      <x:c r="N293" s="40"/>
      <x:c r="O293" s="36" t="str">
        <x:v>Must Have</x:v>
      </x:c>
      <x:c r="P293" s="36" t="str">
        <x:v>Blank</x:v>
      </x:c>
      <x:c r="Q293" s="36" t="str">
        <x:v>Productivity</x:v>
      </x:c>
      <x:c r="R293" s="36" t="str">
        <x:v>NotAssessed</x:v>
      </x:c>
      <x:c r="S293" s="36" t="str"/>
      <x:c r="T293" s="36" t="str">
        <x:v>Common pot</x:v>
      </x:c>
      <x:c r="U293" s="41" t="n">
        <x:f>VLOOKUP("Priority|"&amp;O293,'Score settings'!$A$14:$C$43,2,FALSE)/'Score settings'!$B$4*'Score settings'!$C$4</x:f>
        <x:v>18</x:v>
      </x:c>
      <x:c r="V293" s="41" t="n">
        <x:f>VLOOKUP("Category|"&amp;P293,'Score settings'!$A$14:$C$43,2,FALSE)/'Score settings'!$B$5*'Score settings'!$C$5</x:f>
        <x:v>4</x:v>
      </x:c>
      <x:c r="W293" s="41" t="n">
        <x:f>VLOOKUP("Area|"&amp;Q293,'Score settings'!$A$14:$C$43,2,FALSE)/'Score settings'!$B$6*'Score settings'!$C$6</x:f>
        <x:v>10</x:v>
      </x:c>
      <x:c r="X293" s="41" t="n">
        <x:f>VLOOKUP("Benefits|"&amp;IF(AND(ISNUMBER(H293),H293&gt;0,ISNUMBER(G293),G293&gt;0),IF(H293/G293&gt;='Score settings'!$E$17,"3plus",IF(H293/G293&gt;='Score settings'!$E$16,"1.5to3",IF(H293/G293&gt;='Score settings'!$E$15,"0.5to1.5","positive"))),"None"),'Score settings'!$A$14:$C$43,2,FALSE)/'Score settings'!$B$7*'Score settings'!$C$7</x:f>
        <x:v>15</x:v>
      </x:c>
      <x:c r="Y293" s="41" t="n">
        <x:f>VLOOKUP("Waste|"&amp;R293,'Score settings'!$A$14:$C$43,2,FALSE)/'Score settings'!$B$8*'Score settings'!$C$8</x:f>
        <x:v>7</x:v>
      </x:c>
      <x:c r="Z293" s="41" t="n">
        <x:f>IF(B293="","",SUM(U293:Y293))</x:f>
        <x:v>54</x:v>
      </x:c>
      <x:c r="AA293" s="41" t="str">
        <x:f>IF(Z293="","Not scored",VLOOKUP(Z293,'Score settings'!$A$47:$C$50,2,TRUE))</x:f>
        <x:v>Strong</x:v>
      </x:c>
      <x:c r="AB293" s="41" t="n">
        <x:f>VLOOKUP("Priority|"&amp;O293,'Score settings'!$A$14:$C$43,3,FALSE)/'Score settings'!$B$4*'Score settings'!$D$4</x:f>
        <x:v>10.799999999999999</x:v>
      </x:c>
      <x:c r="AC293" s="41" t="n">
        <x:f>VLOOKUP("Category|"&amp;P293,'Score settings'!$A$14:$C$43,3,FALSE)/'Score settings'!$B$5*'Score settings'!$D$5</x:f>
        <x:v>0</x:v>
      </x:c>
      <x:c r="AD293" s="41" t="n">
        <x:f>VLOOKUP("Area|"&amp;Q293,'Score settings'!$A$14:$C$43,3,FALSE)/'Score settings'!$B$6*'Score settings'!$D$6</x:f>
        <x:v>6.666666666666666</x:v>
      </x:c>
      <x:c r="AE293" s="41" t="n">
        <x:f>VLOOKUP("Benefits|"&amp;IF(AND(ISNUMBER(K293),K293&gt;0,ISNUMBER(G293),G293&gt;0),IF(K293/G293&gt;='Score settings'!$E$17,"3plus",IF(K293/G293&gt;='Score settings'!$E$16,"1.5to3",IF(K293/G293&gt;='Score settings'!$E$15,"0.5to1.5","positive"))),"None"),'Score settings'!$A$14:$C$43,3,FALSE)/'Score settings'!$B$7*'Score settings'!$D$7</x:f>
        <x:v>18</x:v>
      </x:c>
      <x:c r="AF293" s="41" t="n">
        <x:f>VLOOKUP("Waste|"&amp;R293,'Score settings'!$A$14:$C$43,3,FALSE)/'Score settings'!$B$8*'Score settings'!$D$8</x:f>
        <x:v>0</x:v>
      </x:c>
      <x:c r="AG293" s="41" t="n">
        <x:f>(IF(AND(ISNUMBER(M293),M293&gt;0,ISNUMBER(G293),G293&gt;0),IF(M293/G293&gt;='Score settings'!$E$17,'Score settings'!$G$17,IF(M293/G293&gt;='Score settings'!$E$16,'Score settings'!$G$16,IF(M293/G293&gt;='Score settings'!$E$15,'Score settings'!$G$15,'Score settings'!$G$14))),0)/15*'Score settings'!$B$60+IFERROR(VLOOKUP(IF(ISNUMBER(N293),N293,IF(ISNUMBER(L293),L293,0)),'Score settings'!$E$22:$F$26,2,FALSE),0)/10*'Score settings'!$B$61)/'Score settings'!$B$9*'Score settings'!$D$9</x:f>
        <x:v>0</x:v>
      </x:c>
      <x:c r="AH293" s="41" t="n">
        <x:f>IF(B293="","",SUM(AB293:AG293))</x:f>
        <x:v>35.46666666666667</x:v>
      </x:c>
      <x:c r="AI293" s="41" t="str">
        <x:f>IF(NOT(ISNUMBER(AH293)),"Not scored",VLOOKUP(AH293,'Score settings'!$A$47:$C$50,3,TRUE))</x:f>
        <x:v>Discretionary</x:v>
      </x:c>
      <x:c r="AJ293" s="42" t="n">
        <x:f>IF(OR(NOT(ISNUMBER(AH293)),T293&lt;&gt;"Common pot"),"",COUNTIFS($T$4:$T$509,"Common pot",$AH$4:$AH$509,"&gt;"&amp;AH293)+1)</x:f>
        <x:v>139</x:v>
      </x:c>
      <x:c r="AK293" s="36" t="str">
        <x:f>IF(B293="","Name missing - not scored",IF(OR(NOT(ISNUMBER(G293)),G293&lt;=0),"Investment missing or zero - review",IF(0=1,"Permanent ID missing - reconcile",IF(AND(ISNUMBER(H293),H293/G293&gt;='Score settings'!$B$58,NOT(ISNUMBER(I293))),"Benefit units need review",IF(OR(R293="EXIT",R293="CHALLENGE"),"Waste decision requires scope resolution",IF("No exact waste match"&lt;&gt;"Name and organisation matched","Waste evidence match needs review","Provisional source score - confirm evidence"))))))</x:f>
        <x:v>Waste evidence match needs review</x:v>
      </x:c>
      <x:c r="AL293" s="36"/>
      <x:c r="AM293" s="40"/>
      <x:c r="AN293" s="39"/>
      <x:c r="AO293" s="40"/>
      <x:c r="AP293" s="40"/>
    </x:row>
    <x:row r="294" ht="15" hidden="0" customHeight="1">
      <x:c r="A294" s="36" t="str">
        <x:v>Bu-302</x:v>
      </x:c>
      <x:c r="B294" s="37" t="str">
        <x:v>GEO Scorekeeper &amp; Source Decoder</x:v>
      </x:c>
      <x:c r="C294" s="36" t="str">
        <x:v>BU Led</x:v>
      </x:c>
      <x:c r="D294" s="36" t="str">
        <x:v>Personal Health (PH)</x:v>
      </x:c>
      <x:c r="E294" s="38"/>
      <x:c r="F294" s="39"/>
      <x:c r="G294" s="38" t="str">
        <x:f>IF(ISNUMBER(F294),F294,IF(E294="","",E294))</x:f>
      </x:c>
      <x:c r="H294" s="38"/>
      <x:c r="I294" s="39"/>
      <x:c r="J294" s="36" t="str">
        <x:v>Revenue</x:v>
      </x:c>
      <x:c r="K294" s="38" t="str">
        <x:f>IF(ISNUMBER(I294),I294,IF(OR(NOT(ISNUMBER(H294)),NOT(ISNUMBER(G294)),G294&lt;=0),"",IF(H294/G294&gt;='Score settings'!$B$58,"",IF(J294="Cash savings",H294,IF(J294="Revenue",H294*'Score settings'!$B$55,"")))))</x:f>
      </x:c>
      <x:c r="L294" s="36"/>
      <x:c r="M294" s="39"/>
      <x:c r="N294" s="40"/>
      <x:c r="O294" s="36" t="str">
        <x:v>Depri</x:v>
      </x:c>
      <x:c r="P294" s="36" t="str">
        <x:v>Blank</x:v>
      </x:c>
      <x:c r="Q294" s="36" t="str">
        <x:v>Revenue</x:v>
      </x:c>
      <x:c r="R294" s="36" t="str">
        <x:v>NotAssessed</x:v>
      </x:c>
      <x:c r="S294" s="36" t="str"/>
      <x:c r="T294" s="36" t="str">
        <x:v>Common pot</x:v>
      </x:c>
      <x:c r="U294" s="41" t="n">
        <x:f>VLOOKUP("Priority|"&amp;O294,'Score settings'!$A$14:$C$43,2,FALSE)/'Score settings'!$B$4*'Score settings'!$C$4</x:f>
        <x:v>5</x:v>
      </x:c>
      <x:c r="V294" s="41" t="n">
        <x:f>VLOOKUP("Category|"&amp;P294,'Score settings'!$A$14:$C$43,2,FALSE)/'Score settings'!$B$5*'Score settings'!$C$5</x:f>
        <x:v>4</x:v>
      </x:c>
      <x:c r="W294" s="41" t="n">
        <x:f>VLOOKUP("Area|"&amp;Q294,'Score settings'!$A$14:$C$43,2,FALSE)/'Score settings'!$B$6*'Score settings'!$C$6</x:f>
        <x:v>11</x:v>
      </x:c>
      <x:c r="X294" s="41" t="n">
        <x:f>VLOOKUP("Benefits|"&amp;IF(AND(ISNUMBER(H294),H294&gt;0,ISNUMBER(G294),G294&gt;0),IF(H294/G294&gt;='Score settings'!$E$17,"3plus",IF(H294/G294&gt;='Score settings'!$E$16,"1.5to3",IF(H294/G294&gt;='Score settings'!$E$15,"0.5to1.5","positive"))),"None"),'Score settings'!$A$14:$C$43,2,FALSE)/'Score settings'!$B$7*'Score settings'!$C$7</x:f>
        <x:v>5</x:v>
      </x:c>
      <x:c r="Y294" s="41" t="n">
        <x:f>VLOOKUP("Waste|"&amp;R294,'Score settings'!$A$14:$C$43,2,FALSE)/'Score settings'!$B$8*'Score settings'!$C$8</x:f>
        <x:v>7</x:v>
      </x:c>
      <x:c r="Z294" s="41" t="n">
        <x:f>IF(B294="","",SUM(U294:Y294))</x:f>
        <x:v>32</x:v>
      </x:c>
      <x:c r="AA294" s="41" t="str">
        <x:f>IF(Z294="","Not scored",VLOOKUP(Z294,'Score settings'!$A$47:$C$50,2,TRUE))</x:f>
        <x:v>Discretionary</x:v>
      </x:c>
      <x:c r="AB294" s="41" t="n">
        <x:f>VLOOKUP("Priority|"&amp;O294,'Score settings'!$A$14:$C$43,3,FALSE)/'Score settings'!$B$4*'Score settings'!$D$4</x:f>
        <x:v>3</x:v>
      </x:c>
      <x:c r="AC294" s="41" t="n">
        <x:f>VLOOKUP("Category|"&amp;P294,'Score settings'!$A$14:$C$43,3,FALSE)/'Score settings'!$B$5*'Score settings'!$D$5</x:f>
        <x:v>0</x:v>
      </x:c>
      <x:c r="AD294" s="41" t="n">
        <x:f>VLOOKUP("Area|"&amp;Q294,'Score settings'!$A$14:$C$43,3,FALSE)/'Score settings'!$B$6*'Score settings'!$D$6</x:f>
        <x:v>7.333333333333333</x:v>
      </x:c>
      <x:c r="AE294" s="41" t="n">
        <x:f>VLOOKUP("Benefits|"&amp;IF(AND(ISNUMBER(K294),K294&gt;0,ISNUMBER(G294),G294&gt;0),IF(K294/G294&gt;='Score settings'!$E$17,"3plus",IF(K294/G294&gt;='Score settings'!$E$16,"1.5to3",IF(K294/G294&gt;='Score settings'!$E$15,"0.5to1.5","positive"))),"None"),'Score settings'!$A$14:$C$43,3,FALSE)/'Score settings'!$B$7*'Score settings'!$D$7</x:f>
        <x:v>0</x:v>
      </x:c>
      <x:c r="AF294" s="41" t="n">
        <x:f>VLOOKUP("Waste|"&amp;R294,'Score settings'!$A$14:$C$43,3,FALSE)/'Score settings'!$B$8*'Score settings'!$D$8</x:f>
        <x:v>0</x:v>
      </x:c>
      <x:c r="AG294" s="41" t="n">
        <x:f>(IF(AND(ISNUMBER(M294),M294&gt;0,ISNUMBER(G294),G294&gt;0),IF(M294/G294&gt;='Score settings'!$E$17,'Score settings'!$G$17,IF(M294/G294&gt;='Score settings'!$E$16,'Score settings'!$G$16,IF(M294/G294&gt;='Score settings'!$E$15,'Score settings'!$G$15,'Score settings'!$G$14))),0)/15*'Score settings'!$B$60+IFERROR(VLOOKUP(IF(ISNUMBER(N294),N294,IF(ISNUMBER(L294),L294,0)),'Score settings'!$E$22:$F$26,2,FALSE),0)/10*'Score settings'!$B$61)/'Score settings'!$B$9*'Score settings'!$D$9</x:f>
        <x:v>0</x:v>
      </x:c>
      <x:c r="AH294" s="41" t="n">
        <x:f>IF(B294="","",SUM(AB294:AG294))</x:f>
        <x:v>10.333333333333332</x:v>
      </x:c>
      <x:c r="AI294" s="41" t="str">
        <x:f>IF(NOT(ISNUMBER(AH294)),"Not scored",VLOOKUP(AH294,'Score settings'!$A$47:$C$50,3,TRUE))</x:f>
        <x:v>Weak</x:v>
      </x:c>
      <x:c r="AJ294" s="42" t="n">
        <x:f>IF(OR(NOT(ISNUMBER(AH294)),T294&lt;&gt;"Common pot"),"",COUNTIFS($T$4:$T$509,"Common pot",$AH$4:$AH$509,"&gt;"&amp;AH294)+1)</x:f>
        <x:v>382</x:v>
      </x:c>
      <x:c r="AK294" s="36" t="str">
        <x:f>IF(B294="","Name missing - not scored",IF(OR(NOT(ISNUMBER(G294)),G294&lt;=0),"Investment missing or zero - review",IF(0=1,"Permanent ID missing - reconcile",IF(AND(ISNUMBER(H294),H294/G294&gt;='Score settings'!$B$58,NOT(ISNUMBER(I294))),"Benefit units need review",IF(OR(R294="EXIT",R294="CHALLENGE"),"Waste decision requires scope resolution",IF("No exact waste match"&lt;&gt;"Name and organisation matched","Waste evidence match needs review","Provisional source score - confirm evidence"))))))</x:f>
        <x:v>Investment missing or zero - review</x:v>
      </x:c>
      <x:c r="AL294" s="36"/>
      <x:c r="AM294" s="40"/>
      <x:c r="AN294" s="39"/>
      <x:c r="AO294" s="40"/>
      <x:c r="AP294" s="40"/>
    </x:row>
    <x:row r="295" ht="15" hidden="0" customHeight="1">
      <x:c r="A295" s="36" t="str">
        <x:v>Bu-303</x:v>
      </x:c>
      <x:c r="B295" s="37" t="str">
        <x:v>Getting ready for Agentic Commerce</x:v>
      </x:c>
      <x:c r="C295" s="36" t="str">
        <x:v>BU Led</x:v>
      </x:c>
      <x:c r="D295" s="36" t="str">
        <x:v>Personal Health (PH)</x:v>
      </x:c>
      <x:c r="E295" s="38" t="n">
        <x:v>0.1</x:v>
      </x:c>
      <x:c r="F295" s="39"/>
      <x:c r="G295" s="38" t="n">
        <x:f>IF(ISNUMBER(F295),F295,IF(E295="","",E295))</x:f>
        <x:v>0.1</x:v>
      </x:c>
      <x:c r="H295" s="38" t="n">
        <x:v>0.319</x:v>
      </x:c>
      <x:c r="I295" s="39"/>
      <x:c r="J295" s="36" t="str">
        <x:v>Revenue</x:v>
      </x:c>
      <x:c r="K295" s="38" t="n">
        <x:f>IF(ISNUMBER(I295),I295,IF(OR(NOT(ISNUMBER(H295)),NOT(ISNUMBER(G295)),G295&lt;=0),"",IF(H295/G295&gt;='Score settings'!$B$58,"",IF(J295="Cash savings",H295,IF(J295="Revenue",H295*'Score settings'!$B$55,"")))))</x:f>
        <x:v>0.04785</x:v>
      </x:c>
      <x:c r="L295" s="36"/>
      <x:c r="M295" s="39"/>
      <x:c r="N295" s="40"/>
      <x:c r="O295" s="36" t="str">
        <x:v>Must Do</x:v>
      </x:c>
      <x:c r="P295" s="36" t="str">
        <x:v>Blank</x:v>
      </x:c>
      <x:c r="Q295" s="36" t="str">
        <x:v>Revenue</x:v>
      </x:c>
      <x:c r="R295" s="36" t="str">
        <x:v>NotAssessed</x:v>
      </x:c>
      <x:c r="S295" s="36" t="str"/>
      <x:c r="T295" s="36" t="str">
        <x:v>Common pot</x:v>
      </x:c>
      <x:c r="U295" s="41" t="n">
        <x:f>VLOOKUP("Priority|"&amp;O295,'Score settings'!$A$14:$C$43,2,FALSE)/'Score settings'!$B$4*'Score settings'!$C$4</x:f>
        <x:v>25</x:v>
      </x:c>
      <x:c r="V295" s="41" t="n">
        <x:f>VLOOKUP("Category|"&amp;P295,'Score settings'!$A$14:$C$43,2,FALSE)/'Score settings'!$B$5*'Score settings'!$C$5</x:f>
        <x:v>4</x:v>
      </x:c>
      <x:c r="W295" s="41" t="n">
        <x:f>VLOOKUP("Area|"&amp;Q295,'Score settings'!$A$14:$C$43,2,FALSE)/'Score settings'!$B$6*'Score settings'!$C$6</x:f>
        <x:v>11</x:v>
      </x:c>
      <x:c r="X295" s="41" t="n">
        <x:f>VLOOKUP("Benefits|"&amp;IF(AND(ISNUMBER(H295),H295&gt;0,ISNUMBER(G295),G295&gt;0),IF(H295/G295&gt;='Score settings'!$E$17,"3plus",IF(H295/G295&gt;='Score settings'!$E$16,"1.5to3",IF(H295/G295&gt;='Score settings'!$E$15,"0.5to1.5","positive"))),"None"),'Score settings'!$A$14:$C$43,2,FALSE)/'Score settings'!$B$7*'Score settings'!$C$7</x:f>
        <x:v>25</x:v>
      </x:c>
      <x:c r="Y295" s="41" t="n">
        <x:f>VLOOKUP("Waste|"&amp;R295,'Score settings'!$A$14:$C$43,2,FALSE)/'Score settings'!$B$8*'Score settings'!$C$8</x:f>
        <x:v>7</x:v>
      </x:c>
      <x:c r="Z295" s="41" t="n">
        <x:f>IF(B295="","",SUM(U295:Y295))</x:f>
        <x:v>72</x:v>
      </x:c>
      <x:c r="AA295" s="41" t="str">
        <x:f>IF(Z295="","Not scored",VLOOKUP(Z295,'Score settings'!$A$47:$C$50,2,TRUE))</x:f>
        <x:v>Protected</x:v>
      </x:c>
      <x:c r="AB295" s="41" t="n">
        <x:f>VLOOKUP("Priority|"&amp;O295,'Score settings'!$A$14:$C$43,3,FALSE)/'Score settings'!$B$4*'Score settings'!$D$4</x:f>
        <x:v>15</x:v>
      </x:c>
      <x:c r="AC295" s="41" t="n">
        <x:f>VLOOKUP("Category|"&amp;P295,'Score settings'!$A$14:$C$43,3,FALSE)/'Score settings'!$B$5*'Score settings'!$D$5</x:f>
        <x:v>0</x:v>
      </x:c>
      <x:c r="AD295" s="41" t="n">
        <x:f>VLOOKUP("Area|"&amp;Q295,'Score settings'!$A$14:$C$43,3,FALSE)/'Score settings'!$B$6*'Score settings'!$D$6</x:f>
        <x:v>7.333333333333333</x:v>
      </x:c>
      <x:c r="AE295" s="41" t="n">
        <x:f>VLOOKUP("Benefits|"&amp;IF(AND(ISNUMBER(K295),K295&gt;0,ISNUMBER(G295),G295&gt;0),IF(K295/G295&gt;='Score settings'!$E$17,"3plus",IF(K295/G295&gt;='Score settings'!$E$16,"1.5to3",IF(K295/G295&gt;='Score settings'!$E$15,"0.5to1.5","positive"))),"None"),'Score settings'!$A$14:$C$43,3,FALSE)/'Score settings'!$B$7*'Score settings'!$D$7</x:f>
        <x:v>12</x:v>
      </x:c>
      <x:c r="AF295" s="41" t="n">
        <x:f>VLOOKUP("Waste|"&amp;R295,'Score settings'!$A$14:$C$43,3,FALSE)/'Score settings'!$B$8*'Score settings'!$D$8</x:f>
        <x:v>0</x:v>
      </x:c>
      <x:c r="AG295" s="41" t="n">
        <x:f>(IF(AND(ISNUMBER(M295),M295&gt;0,ISNUMBER(G295),G295&gt;0),IF(M295/G295&gt;='Score settings'!$E$17,'Score settings'!$G$17,IF(M295/G295&gt;='Score settings'!$E$16,'Score settings'!$G$16,IF(M295/G295&gt;='Score settings'!$E$15,'Score settings'!$G$15,'Score settings'!$G$14))),0)/15*'Score settings'!$B$60+IFERROR(VLOOKUP(IF(ISNUMBER(N295),N295,IF(ISNUMBER(L295),L295,0)),'Score settings'!$E$22:$F$26,2,FALSE),0)/10*'Score settings'!$B$61)/'Score settings'!$B$9*'Score settings'!$D$9</x:f>
        <x:v>0</x:v>
      </x:c>
      <x:c r="AH295" s="41" t="n">
        <x:f>IF(B295="","",SUM(AB295:AG295))</x:f>
        <x:v>34.33333333333333</x:v>
      </x:c>
      <x:c r="AI295" s="41" t="str">
        <x:f>IF(NOT(ISNUMBER(AH295)),"Not scored",VLOOKUP(AH295,'Score settings'!$A$47:$C$50,3,TRUE))</x:f>
        <x:v>Discretionary</x:v>
      </x:c>
      <x:c r="AJ295" s="42" t="n">
        <x:f>IF(OR(NOT(ISNUMBER(AH295)),T295&lt;&gt;"Common pot"),"",COUNTIFS($T$4:$T$509,"Common pot",$AH$4:$AH$509,"&gt;"&amp;AH295)+1)</x:f>
        <x:v>152</x:v>
      </x:c>
      <x:c r="AK295" s="36" t="str">
        <x:f>IF(B295="","Name missing - not scored",IF(OR(NOT(ISNUMBER(G295)),G295&lt;=0),"Investment missing or zero - review",IF(0=1,"Permanent ID missing - reconcile",IF(AND(ISNUMBER(H295),H295/G295&gt;='Score settings'!$B$58,NOT(ISNUMBER(I295))),"Benefit units need review",IF(OR(R295="EXIT",R295="CHALLENGE"),"Waste decision requires scope resolution",IF("No exact waste match"&lt;&gt;"Name and organisation matched","Waste evidence match needs review","Provisional source score - confirm evidence"))))))</x:f>
        <x:v>Waste evidence match needs review</x:v>
      </x:c>
      <x:c r="AL295" s="36"/>
      <x:c r="AM295" s="40"/>
      <x:c r="AN295" s="39"/>
      <x:c r="AO295" s="40"/>
      <x:c r="AP295" s="40"/>
    </x:row>
    <x:row r="296" ht="15" hidden="0" customHeight="1">
      <x:c r="A296" s="36" t="str">
        <x:v>Bu-304</x:v>
      </x:c>
      <x:c r="B296" s="37" t="str">
        <x:v>Global Retail Content Accelerator (PXM)</x:v>
      </x:c>
      <x:c r="C296" s="36" t="str">
        <x:v>BU Led</x:v>
      </x:c>
      <x:c r="D296" s="36" t="str">
        <x:v>Personal Health (PH)</x:v>
      </x:c>
      <x:c r="E296" s="38" t="n">
        <x:v>0.58</x:v>
      </x:c>
      <x:c r="F296" s="39"/>
      <x:c r="G296" s="38" t="n">
        <x:f>IF(ISNUMBER(F296),F296,IF(E296="","",E296))</x:f>
        <x:v>0.58</x:v>
      </x:c>
      <x:c r="H296" s="38" t="n">
        <x:v>0.844</x:v>
      </x:c>
      <x:c r="I296" s="39"/>
      <x:c r="J296" s="36" t="str">
        <x:v>Revenue</x:v>
      </x:c>
      <x:c r="K296" s="38" t="n">
        <x:f>IF(ISNUMBER(I296),I296,IF(OR(NOT(ISNUMBER(H296)),NOT(ISNUMBER(G296)),G296&lt;=0),"",IF(H296/G296&gt;='Score settings'!$B$58,"",IF(J296="Cash savings",H296,IF(J296="Revenue",H296*'Score settings'!$B$55,"")))))</x:f>
        <x:v>0.1266</x:v>
      </x:c>
      <x:c r="L296" s="36"/>
      <x:c r="M296" s="39"/>
      <x:c r="N296" s="40"/>
      <x:c r="O296" s="36" t="str">
        <x:v>Must Do</x:v>
      </x:c>
      <x:c r="P296" s="36" t="str">
        <x:v>NewTech</x:v>
      </x:c>
      <x:c r="Q296" s="36" t="str">
        <x:v>Revenue</x:v>
      </x:c>
      <x:c r="R296" s="36" t="str">
        <x:v>NotAssessed</x:v>
      </x:c>
      <x:c r="S296" s="36" t="str"/>
      <x:c r="T296" s="36" t="str">
        <x:v>Common pot</x:v>
      </x:c>
      <x:c r="U296" s="41" t="n">
        <x:f>VLOOKUP("Priority|"&amp;O296,'Score settings'!$A$14:$C$43,2,FALSE)/'Score settings'!$B$4*'Score settings'!$C$4</x:f>
        <x:v>25</x:v>
      </x:c>
      <x:c r="V296" s="41" t="n">
        <x:f>VLOOKUP("Category|"&amp;P296,'Score settings'!$A$14:$C$43,2,FALSE)/'Score settings'!$B$5*'Score settings'!$C$5</x:f>
        <x:v>5</x:v>
      </x:c>
      <x:c r="W296" s="41" t="n">
        <x:f>VLOOKUP("Area|"&amp;Q296,'Score settings'!$A$14:$C$43,2,FALSE)/'Score settings'!$B$6*'Score settings'!$C$6</x:f>
        <x:v>11</x:v>
      </x:c>
      <x:c r="X296" s="41" t="n">
        <x:f>VLOOKUP("Benefits|"&amp;IF(AND(ISNUMBER(H296),H296&gt;0,ISNUMBER(G296),G296&gt;0),IF(H296/G296&gt;='Score settings'!$E$17,"3plus",IF(H296/G296&gt;='Score settings'!$E$16,"1.5to3",IF(H296/G296&gt;='Score settings'!$E$15,"0.5to1.5","positive"))),"None"),'Score settings'!$A$14:$C$43,2,FALSE)/'Score settings'!$B$7*'Score settings'!$C$7</x:f>
        <x:v>15</x:v>
      </x:c>
      <x:c r="Y296" s="41" t="n">
        <x:f>VLOOKUP("Waste|"&amp;R296,'Score settings'!$A$14:$C$43,2,FALSE)/'Score settings'!$B$8*'Score settings'!$C$8</x:f>
        <x:v>7</x:v>
      </x:c>
      <x:c r="Z296" s="41" t="n">
        <x:f>IF(B296="","",SUM(U296:Y296))</x:f>
        <x:v>63</x:v>
      </x:c>
      <x:c r="AA296" s="41" t="str">
        <x:f>IF(Z296="","Not scored",VLOOKUP(Z296,'Score settings'!$A$47:$C$50,2,TRUE))</x:f>
        <x:v>Strong</x:v>
      </x:c>
      <x:c r="AB296" s="41" t="n">
        <x:f>VLOOKUP("Priority|"&amp;O296,'Score settings'!$A$14:$C$43,3,FALSE)/'Score settings'!$B$4*'Score settings'!$D$4</x:f>
        <x:v>15</x:v>
      </x:c>
      <x:c r="AC296" s="41" t="n">
        <x:f>VLOOKUP("Category|"&amp;P296,'Score settings'!$A$14:$C$43,3,FALSE)/'Score settings'!$B$5*'Score settings'!$D$5</x:f>
        <x:v>2.5</x:v>
      </x:c>
      <x:c r="AD296" s="41" t="n">
        <x:f>VLOOKUP("Area|"&amp;Q296,'Score settings'!$A$14:$C$43,3,FALSE)/'Score settings'!$B$6*'Score settings'!$D$6</x:f>
        <x:v>7.333333333333333</x:v>
      </x:c>
      <x:c r="AE296" s="41" t="n">
        <x:f>VLOOKUP("Benefits|"&amp;IF(AND(ISNUMBER(K296),K296&gt;0,ISNUMBER(G296),G296&gt;0),IF(K296/G296&gt;='Score settings'!$E$17,"3plus",IF(K296/G296&gt;='Score settings'!$E$16,"1.5to3",IF(K296/G296&gt;='Score settings'!$E$15,"0.5to1.5","positive"))),"None"),'Score settings'!$A$14:$C$43,3,FALSE)/'Score settings'!$B$7*'Score settings'!$D$7</x:f>
        <x:v>12</x:v>
      </x:c>
      <x:c r="AF296" s="41" t="n">
        <x:f>VLOOKUP("Waste|"&amp;R296,'Score settings'!$A$14:$C$43,3,FALSE)/'Score settings'!$B$8*'Score settings'!$D$8</x:f>
        <x:v>0</x:v>
      </x:c>
      <x:c r="AG296" s="41" t="n">
        <x:f>(IF(AND(ISNUMBER(M296),M296&gt;0,ISNUMBER(G296),G296&gt;0),IF(M296/G296&gt;='Score settings'!$E$17,'Score settings'!$G$17,IF(M296/G296&gt;='Score settings'!$E$16,'Score settings'!$G$16,IF(M296/G296&gt;='Score settings'!$E$15,'Score settings'!$G$15,'Score settings'!$G$14))),0)/15*'Score settings'!$B$60+IFERROR(VLOOKUP(IF(ISNUMBER(N296),N296,IF(ISNUMBER(L296),L296,0)),'Score settings'!$E$22:$F$26,2,FALSE),0)/10*'Score settings'!$B$61)/'Score settings'!$B$9*'Score settings'!$D$9</x:f>
        <x:v>0</x:v>
      </x:c>
      <x:c r="AH296" s="41" t="n">
        <x:f>IF(B296="","",SUM(AB296:AG296))</x:f>
        <x:v>36.83333333333333</x:v>
      </x:c>
      <x:c r="AI296" s="41" t="str">
        <x:f>IF(NOT(ISNUMBER(AH296)),"Not scored",VLOOKUP(AH296,'Score settings'!$A$47:$C$50,3,TRUE))</x:f>
        <x:v>Discretionary</x:v>
      </x:c>
      <x:c r="AJ296" s="42" t="n">
        <x:f>IF(OR(NOT(ISNUMBER(AH296)),T296&lt;&gt;"Common pot"),"",COUNTIFS($T$4:$T$509,"Common pot",$AH$4:$AH$509,"&gt;"&amp;AH296)+1)</x:f>
        <x:v>128</x:v>
      </x:c>
      <x:c r="AK296" s="36" t="str">
        <x:f>IF(B296="","Name missing - not scored",IF(OR(NOT(ISNUMBER(G296)),G296&lt;=0),"Investment missing or zero - review",IF(0=1,"Permanent ID missing - reconcile",IF(AND(ISNUMBER(H296),H296/G296&gt;='Score settings'!$B$58,NOT(ISNUMBER(I296))),"Benefit units need review",IF(OR(R296="EXIT",R296="CHALLENGE"),"Waste decision requires scope resolution",IF("No exact waste match"&lt;&gt;"Name and organisation matched","Waste evidence match needs review","Provisional source score - confirm evidence"))))))</x:f>
        <x:v>Waste evidence match needs review</x:v>
      </x:c>
      <x:c r="AL296" s="36"/>
      <x:c r="AM296" s="40"/>
      <x:c r="AN296" s="39"/>
      <x:c r="AO296" s="40"/>
      <x:c r="AP296" s="40"/>
    </x:row>
    <x:row r="297" ht="15" hidden="0" customHeight="1">
      <x:c r="A297" s="36" t="str">
        <x:v>Bu-305</x:v>
      </x:c>
      <x:c r="B297" s="37" t="str">
        <x:v>Global Trade Compliance (Horizontal)</x:v>
      </x:c>
      <x:c r="C297" s="36" t="str">
        <x:v>BU Led</x:v>
      </x:c>
      <x:c r="D297" s="36" t="str">
        <x:v>Personal Health (PH)</x:v>
      </x:c>
      <x:c r="E297" s="38"/>
      <x:c r="F297" s="39"/>
      <x:c r="G297" s="38" t="str">
        <x:f>IF(ISNUMBER(F297),F297,IF(E297="","",E297))</x:f>
      </x:c>
      <x:c r="H297" s="38"/>
      <x:c r="I297" s="39"/>
      <x:c r="J297" s="36" t="str">
        <x:v>Revenue</x:v>
      </x:c>
      <x:c r="K297" s="38" t="str">
        <x:f>IF(ISNUMBER(I297),I297,IF(OR(NOT(ISNUMBER(H297)),NOT(ISNUMBER(G297)),G297&lt;=0),"",IF(H297/G297&gt;='Score settings'!$B$58,"",IF(J297="Cash savings",H297,IF(J297="Revenue",H297*'Score settings'!$B$55,"")))))</x:f>
      </x:c>
      <x:c r="L297" s="36"/>
      <x:c r="M297" s="39"/>
      <x:c r="N297" s="40"/>
      <x:c r="O297" s="36" t="str">
        <x:v>Must Do</x:v>
      </x:c>
      <x:c r="P297" s="36" t="str">
        <x:v>Blank</x:v>
      </x:c>
      <x:c r="Q297" s="36" t="str">
        <x:v>Revenue</x:v>
      </x:c>
      <x:c r="R297" s="36" t="str">
        <x:v>NotAssessed</x:v>
      </x:c>
      <x:c r="S297" s="36" t="str"/>
      <x:c r="T297" s="36" t="str">
        <x:v>Common pot</x:v>
      </x:c>
      <x:c r="U297" s="41" t="n">
        <x:f>VLOOKUP("Priority|"&amp;O297,'Score settings'!$A$14:$C$43,2,FALSE)/'Score settings'!$B$4*'Score settings'!$C$4</x:f>
        <x:v>25</x:v>
      </x:c>
      <x:c r="V297" s="41" t="n">
        <x:f>VLOOKUP("Category|"&amp;P297,'Score settings'!$A$14:$C$43,2,FALSE)/'Score settings'!$B$5*'Score settings'!$C$5</x:f>
        <x:v>4</x:v>
      </x:c>
      <x:c r="W297" s="41" t="n">
        <x:f>VLOOKUP("Area|"&amp;Q297,'Score settings'!$A$14:$C$43,2,FALSE)/'Score settings'!$B$6*'Score settings'!$C$6</x:f>
        <x:v>11</x:v>
      </x:c>
      <x:c r="X297" s="41" t="n">
        <x:f>VLOOKUP("Benefits|"&amp;IF(AND(ISNUMBER(H297),H297&gt;0,ISNUMBER(G297),G297&gt;0),IF(H297/G297&gt;='Score settings'!$E$17,"3plus",IF(H297/G297&gt;='Score settings'!$E$16,"1.5to3",IF(H297/G297&gt;='Score settings'!$E$15,"0.5to1.5","positive"))),"None"),'Score settings'!$A$14:$C$43,2,FALSE)/'Score settings'!$B$7*'Score settings'!$C$7</x:f>
        <x:v>5</x:v>
      </x:c>
      <x:c r="Y297" s="41" t="n">
        <x:f>VLOOKUP("Waste|"&amp;R297,'Score settings'!$A$14:$C$43,2,FALSE)/'Score settings'!$B$8*'Score settings'!$C$8</x:f>
        <x:v>7</x:v>
      </x:c>
      <x:c r="Z297" s="41" t="n">
        <x:f>IF(B297="","",SUM(U297:Y297))</x:f>
        <x:v>52</x:v>
      </x:c>
      <x:c r="AA297" s="41" t="str">
        <x:f>IF(Z297="","Not scored",VLOOKUP(Z297,'Score settings'!$A$47:$C$50,2,TRUE))</x:f>
        <x:v>Strong</x:v>
      </x:c>
      <x:c r="AB297" s="41" t="n">
        <x:f>VLOOKUP("Priority|"&amp;O297,'Score settings'!$A$14:$C$43,3,FALSE)/'Score settings'!$B$4*'Score settings'!$D$4</x:f>
        <x:v>15</x:v>
      </x:c>
      <x:c r="AC297" s="41" t="n">
        <x:f>VLOOKUP("Category|"&amp;P297,'Score settings'!$A$14:$C$43,3,FALSE)/'Score settings'!$B$5*'Score settings'!$D$5</x:f>
        <x:v>0</x:v>
      </x:c>
      <x:c r="AD297" s="41" t="n">
        <x:f>VLOOKUP("Area|"&amp;Q297,'Score settings'!$A$14:$C$43,3,FALSE)/'Score settings'!$B$6*'Score settings'!$D$6</x:f>
        <x:v>7.333333333333333</x:v>
      </x:c>
      <x:c r="AE297" s="41" t="n">
        <x:f>VLOOKUP("Benefits|"&amp;IF(AND(ISNUMBER(K297),K297&gt;0,ISNUMBER(G297),G297&gt;0),IF(K297/G297&gt;='Score settings'!$E$17,"3plus",IF(K297/G297&gt;='Score settings'!$E$16,"1.5to3",IF(K297/G297&gt;='Score settings'!$E$15,"0.5to1.5","positive"))),"None"),'Score settings'!$A$14:$C$43,3,FALSE)/'Score settings'!$B$7*'Score settings'!$D$7</x:f>
        <x:v>0</x:v>
      </x:c>
      <x:c r="AF297" s="41" t="n">
        <x:f>VLOOKUP("Waste|"&amp;R297,'Score settings'!$A$14:$C$43,3,FALSE)/'Score settings'!$B$8*'Score settings'!$D$8</x:f>
        <x:v>0</x:v>
      </x:c>
      <x:c r="AG297" s="41" t="n">
        <x:f>(IF(AND(ISNUMBER(M297),M297&gt;0,ISNUMBER(G297),G297&gt;0),IF(M297/G297&gt;='Score settings'!$E$17,'Score settings'!$G$17,IF(M297/G297&gt;='Score settings'!$E$16,'Score settings'!$G$16,IF(M297/G297&gt;='Score settings'!$E$15,'Score settings'!$G$15,'Score settings'!$G$14))),0)/15*'Score settings'!$B$60+IFERROR(VLOOKUP(IF(ISNUMBER(N297),N297,IF(ISNUMBER(L297),L297,0)),'Score settings'!$E$22:$F$26,2,FALSE),0)/10*'Score settings'!$B$61)/'Score settings'!$B$9*'Score settings'!$D$9</x:f>
        <x:v>0</x:v>
      </x:c>
      <x:c r="AH297" s="41" t="n">
        <x:f>IF(B297="","",SUM(AB297:AG297))</x:f>
        <x:v>22.333333333333332</x:v>
      </x:c>
      <x:c r="AI297" s="41" t="str">
        <x:f>IF(NOT(ISNUMBER(AH297)),"Not scored",VLOOKUP(AH297,'Score settings'!$A$47:$C$50,3,TRUE))</x:f>
        <x:v>Weak</x:v>
      </x:c>
      <x:c r="AJ297" s="42" t="n">
        <x:f>IF(OR(NOT(ISNUMBER(AH297)),T297&lt;&gt;"Common pot"),"",COUNTIFS($T$4:$T$509,"Common pot",$AH$4:$AH$509,"&gt;"&amp;AH297)+1)</x:f>
        <x:v>330</x:v>
      </x:c>
      <x:c r="AK297" s="36" t="str">
        <x:f>IF(B297="","Name missing - not scored",IF(OR(NOT(ISNUMBER(G297)),G297&lt;=0),"Investment missing or zero - review",IF(0=1,"Permanent ID missing - reconcile",IF(AND(ISNUMBER(H297),H297/G297&gt;='Score settings'!$B$58,NOT(ISNUMBER(I297))),"Benefit units need review",IF(OR(R297="EXIT",R297="CHALLENGE"),"Waste decision requires scope resolution",IF("No exact waste match"&lt;&gt;"Name and organisation matched","Waste evidence match needs review","Provisional source score - confirm evidence"))))))</x:f>
        <x:v>Investment missing or zero - review</x:v>
      </x:c>
      <x:c r="AL297" s="36"/>
      <x:c r="AM297" s="40"/>
      <x:c r="AN297" s="39"/>
      <x:c r="AO297" s="40"/>
      <x:c r="AP297" s="40"/>
    </x:row>
    <x:row r="298" ht="15" hidden="0" customHeight="1">
      <x:c r="A298" s="36" t="str">
        <x:v>Bu-306</x:v>
      </x:c>
      <x:c r="B298" s="37" t="str">
        <x:v>Google Web analytics for D2C store</x:v>
      </x:c>
      <x:c r="C298" s="36" t="str">
        <x:v>BU Led</x:v>
      </x:c>
      <x:c r="D298" s="36" t="str">
        <x:v>Personal Health (PH)</x:v>
      </x:c>
      <x:c r="E298" s="38"/>
      <x:c r="F298" s="39"/>
      <x:c r="G298" s="38" t="str">
        <x:f>IF(ISNUMBER(F298),F298,IF(E298="","",E298))</x:f>
      </x:c>
      <x:c r="H298" s="38"/>
      <x:c r="I298" s="39"/>
      <x:c r="J298" s="36" t="str">
        <x:v>Revenue</x:v>
      </x:c>
      <x:c r="K298" s="38" t="str">
        <x:f>IF(ISNUMBER(I298),I298,IF(OR(NOT(ISNUMBER(H298)),NOT(ISNUMBER(G298)),G298&lt;=0),"",IF(H298/G298&gt;='Score settings'!$B$58,"",IF(J298="Cash savings",H298,IF(J298="Revenue",H298*'Score settings'!$B$55,"")))))</x:f>
      </x:c>
      <x:c r="L298" s="36"/>
      <x:c r="M298" s="39"/>
      <x:c r="N298" s="40"/>
      <x:c r="O298" s="36" t="str">
        <x:v>Depri</x:v>
      </x:c>
      <x:c r="P298" s="36" t="str">
        <x:v>Blank</x:v>
      </x:c>
      <x:c r="Q298" s="36" t="str">
        <x:v>Revenue</x:v>
      </x:c>
      <x:c r="R298" s="36" t="str">
        <x:v>NotAssessed</x:v>
      </x:c>
      <x:c r="S298" s="36" t="str"/>
      <x:c r="T298" s="36" t="str">
        <x:v>Common pot</x:v>
      </x:c>
      <x:c r="U298" s="41" t="n">
        <x:f>VLOOKUP("Priority|"&amp;O298,'Score settings'!$A$14:$C$43,2,FALSE)/'Score settings'!$B$4*'Score settings'!$C$4</x:f>
        <x:v>5</x:v>
      </x:c>
      <x:c r="V298" s="41" t="n">
        <x:f>VLOOKUP("Category|"&amp;P298,'Score settings'!$A$14:$C$43,2,FALSE)/'Score settings'!$B$5*'Score settings'!$C$5</x:f>
        <x:v>4</x:v>
      </x:c>
      <x:c r="W298" s="41" t="n">
        <x:f>VLOOKUP("Area|"&amp;Q298,'Score settings'!$A$14:$C$43,2,FALSE)/'Score settings'!$B$6*'Score settings'!$C$6</x:f>
        <x:v>11</x:v>
      </x:c>
      <x:c r="X298" s="41" t="n">
        <x:f>VLOOKUP("Benefits|"&amp;IF(AND(ISNUMBER(H298),H298&gt;0,ISNUMBER(G298),G298&gt;0),IF(H298/G298&gt;='Score settings'!$E$17,"3plus",IF(H298/G298&gt;='Score settings'!$E$16,"1.5to3",IF(H298/G298&gt;='Score settings'!$E$15,"0.5to1.5","positive"))),"None"),'Score settings'!$A$14:$C$43,2,FALSE)/'Score settings'!$B$7*'Score settings'!$C$7</x:f>
        <x:v>5</x:v>
      </x:c>
      <x:c r="Y298" s="41" t="n">
        <x:f>VLOOKUP("Waste|"&amp;R298,'Score settings'!$A$14:$C$43,2,FALSE)/'Score settings'!$B$8*'Score settings'!$C$8</x:f>
        <x:v>7</x:v>
      </x:c>
      <x:c r="Z298" s="41" t="n">
        <x:f>IF(B298="","",SUM(U298:Y298))</x:f>
        <x:v>32</x:v>
      </x:c>
      <x:c r="AA298" s="41" t="str">
        <x:f>IF(Z298="","Not scored",VLOOKUP(Z298,'Score settings'!$A$47:$C$50,2,TRUE))</x:f>
        <x:v>Discretionary</x:v>
      </x:c>
      <x:c r="AB298" s="41" t="n">
        <x:f>VLOOKUP("Priority|"&amp;O298,'Score settings'!$A$14:$C$43,3,FALSE)/'Score settings'!$B$4*'Score settings'!$D$4</x:f>
        <x:v>3</x:v>
      </x:c>
      <x:c r="AC298" s="41" t="n">
        <x:f>VLOOKUP("Category|"&amp;P298,'Score settings'!$A$14:$C$43,3,FALSE)/'Score settings'!$B$5*'Score settings'!$D$5</x:f>
        <x:v>0</x:v>
      </x:c>
      <x:c r="AD298" s="41" t="n">
        <x:f>VLOOKUP("Area|"&amp;Q298,'Score settings'!$A$14:$C$43,3,FALSE)/'Score settings'!$B$6*'Score settings'!$D$6</x:f>
        <x:v>7.333333333333333</x:v>
      </x:c>
      <x:c r="AE298" s="41" t="n">
        <x:f>VLOOKUP("Benefits|"&amp;IF(AND(ISNUMBER(K298),K298&gt;0,ISNUMBER(G298),G298&gt;0),IF(K298/G298&gt;='Score settings'!$E$17,"3plus",IF(K298/G298&gt;='Score settings'!$E$16,"1.5to3",IF(K298/G298&gt;='Score settings'!$E$15,"0.5to1.5","positive"))),"None"),'Score settings'!$A$14:$C$43,3,FALSE)/'Score settings'!$B$7*'Score settings'!$D$7</x:f>
        <x:v>0</x:v>
      </x:c>
      <x:c r="AF298" s="41" t="n">
        <x:f>VLOOKUP("Waste|"&amp;R298,'Score settings'!$A$14:$C$43,3,FALSE)/'Score settings'!$B$8*'Score settings'!$D$8</x:f>
        <x:v>0</x:v>
      </x:c>
      <x:c r="AG298" s="41" t="n">
        <x:f>(IF(AND(ISNUMBER(M298),M298&gt;0,ISNUMBER(G298),G298&gt;0),IF(M298/G298&gt;='Score settings'!$E$17,'Score settings'!$G$17,IF(M298/G298&gt;='Score settings'!$E$16,'Score settings'!$G$16,IF(M298/G298&gt;='Score settings'!$E$15,'Score settings'!$G$15,'Score settings'!$G$14))),0)/15*'Score settings'!$B$60+IFERROR(VLOOKUP(IF(ISNUMBER(N298),N298,IF(ISNUMBER(L298),L298,0)),'Score settings'!$E$22:$F$26,2,FALSE),0)/10*'Score settings'!$B$61)/'Score settings'!$B$9*'Score settings'!$D$9</x:f>
        <x:v>0</x:v>
      </x:c>
      <x:c r="AH298" s="41" t="n">
        <x:f>IF(B298="","",SUM(AB298:AG298))</x:f>
        <x:v>10.333333333333332</x:v>
      </x:c>
      <x:c r="AI298" s="41" t="str">
        <x:f>IF(NOT(ISNUMBER(AH298)),"Not scored",VLOOKUP(AH298,'Score settings'!$A$47:$C$50,3,TRUE))</x:f>
        <x:v>Weak</x:v>
      </x:c>
      <x:c r="AJ298" s="42" t="n">
        <x:f>IF(OR(NOT(ISNUMBER(AH298)),T298&lt;&gt;"Common pot"),"",COUNTIFS($T$4:$T$509,"Common pot",$AH$4:$AH$509,"&gt;"&amp;AH298)+1)</x:f>
        <x:v>382</x:v>
      </x:c>
      <x:c r="AK298" s="36" t="str">
        <x:f>IF(B298="","Name missing - not scored",IF(OR(NOT(ISNUMBER(G298)),G298&lt;=0),"Investment missing or zero - review",IF(0=1,"Permanent ID missing - reconcile",IF(AND(ISNUMBER(H298),H298/G298&gt;='Score settings'!$B$58,NOT(ISNUMBER(I298))),"Benefit units need review",IF(OR(R298="EXIT",R298="CHALLENGE"),"Waste decision requires scope resolution",IF("No exact waste match"&lt;&gt;"Name and organisation matched","Waste evidence match needs review","Provisional source score - confirm evidence"))))))</x:f>
        <x:v>Investment missing or zero - review</x:v>
      </x:c>
      <x:c r="AL298" s="36"/>
      <x:c r="AM298" s="40"/>
      <x:c r="AN298" s="39"/>
      <x:c r="AO298" s="40"/>
      <x:c r="AP298" s="40"/>
    </x:row>
    <x:row r="299" ht="15" hidden="0" customHeight="1">
      <x:c r="A299" s="36" t="str">
        <x:v>Bu-307</x:v>
      </x:c>
      <x:c r="B299" s="37" t="str">
        <x:v>Innovation Roadmapping &amp; Programming</x:v>
      </x:c>
      <x:c r="C299" s="36" t="str">
        <x:v>BU Led</x:v>
      </x:c>
      <x:c r="D299" s="36" t="str">
        <x:v>Personal Health (PH)</x:v>
      </x:c>
      <x:c r="E299" s="38"/>
      <x:c r="F299" s="39"/>
      <x:c r="G299" s="38" t="str">
        <x:f>IF(ISNUMBER(F299),F299,IF(E299="","",E299))</x:f>
      </x:c>
      <x:c r="H299" s="38"/>
      <x:c r="I299" s="39"/>
      <x:c r="J299" s="36" t="str">
        <x:v>Revenue</x:v>
      </x:c>
      <x:c r="K299" s="38" t="str">
        <x:f>IF(ISNUMBER(I299),I299,IF(OR(NOT(ISNUMBER(H299)),NOT(ISNUMBER(G299)),G299&lt;=0),"",IF(H299/G299&gt;='Score settings'!$B$58,"",IF(J299="Cash savings",H299,IF(J299="Revenue",H299*'Score settings'!$B$55,"")))))</x:f>
      </x:c>
      <x:c r="L299" s="36"/>
      <x:c r="M299" s="39"/>
      <x:c r="N299" s="40"/>
      <x:c r="O299" s="36" t="str">
        <x:v>Depri</x:v>
      </x:c>
      <x:c r="P299" s="36" t="str">
        <x:v>Blank</x:v>
      </x:c>
      <x:c r="Q299" s="36" t="str">
        <x:v>Revenue</x:v>
      </x:c>
      <x:c r="R299" s="36" t="str">
        <x:v>NotAssessed</x:v>
      </x:c>
      <x:c r="S299" s="36" t="str"/>
      <x:c r="T299" s="36" t="str">
        <x:v>Common pot</x:v>
      </x:c>
      <x:c r="U299" s="41" t="n">
        <x:f>VLOOKUP("Priority|"&amp;O299,'Score settings'!$A$14:$C$43,2,FALSE)/'Score settings'!$B$4*'Score settings'!$C$4</x:f>
        <x:v>5</x:v>
      </x:c>
      <x:c r="V299" s="41" t="n">
        <x:f>VLOOKUP("Category|"&amp;P299,'Score settings'!$A$14:$C$43,2,FALSE)/'Score settings'!$B$5*'Score settings'!$C$5</x:f>
        <x:v>4</x:v>
      </x:c>
      <x:c r="W299" s="41" t="n">
        <x:f>VLOOKUP("Area|"&amp;Q299,'Score settings'!$A$14:$C$43,2,FALSE)/'Score settings'!$B$6*'Score settings'!$C$6</x:f>
        <x:v>11</x:v>
      </x:c>
      <x:c r="X299" s="41" t="n">
        <x:f>VLOOKUP("Benefits|"&amp;IF(AND(ISNUMBER(H299),H299&gt;0,ISNUMBER(G299),G299&gt;0),IF(H299/G299&gt;='Score settings'!$E$17,"3plus",IF(H299/G299&gt;='Score settings'!$E$16,"1.5to3",IF(H299/G299&gt;='Score settings'!$E$15,"0.5to1.5","positive"))),"None"),'Score settings'!$A$14:$C$43,2,FALSE)/'Score settings'!$B$7*'Score settings'!$C$7</x:f>
        <x:v>5</x:v>
      </x:c>
      <x:c r="Y299" s="41" t="n">
        <x:f>VLOOKUP("Waste|"&amp;R299,'Score settings'!$A$14:$C$43,2,FALSE)/'Score settings'!$B$8*'Score settings'!$C$8</x:f>
        <x:v>7</x:v>
      </x:c>
      <x:c r="Z299" s="41" t="n">
        <x:f>IF(B299="","",SUM(U299:Y299))</x:f>
        <x:v>32</x:v>
      </x:c>
      <x:c r="AA299" s="41" t="str">
        <x:f>IF(Z299="","Not scored",VLOOKUP(Z299,'Score settings'!$A$47:$C$50,2,TRUE))</x:f>
        <x:v>Discretionary</x:v>
      </x:c>
      <x:c r="AB299" s="41" t="n">
        <x:f>VLOOKUP("Priority|"&amp;O299,'Score settings'!$A$14:$C$43,3,FALSE)/'Score settings'!$B$4*'Score settings'!$D$4</x:f>
        <x:v>3</x:v>
      </x:c>
      <x:c r="AC299" s="41" t="n">
        <x:f>VLOOKUP("Category|"&amp;P299,'Score settings'!$A$14:$C$43,3,FALSE)/'Score settings'!$B$5*'Score settings'!$D$5</x:f>
        <x:v>0</x:v>
      </x:c>
      <x:c r="AD299" s="41" t="n">
        <x:f>VLOOKUP("Area|"&amp;Q299,'Score settings'!$A$14:$C$43,3,FALSE)/'Score settings'!$B$6*'Score settings'!$D$6</x:f>
        <x:v>7.333333333333333</x:v>
      </x:c>
      <x:c r="AE299" s="41" t="n">
        <x:f>VLOOKUP("Benefits|"&amp;IF(AND(ISNUMBER(K299),K299&gt;0,ISNUMBER(G299),G299&gt;0),IF(K299/G299&gt;='Score settings'!$E$17,"3plus",IF(K299/G299&gt;='Score settings'!$E$16,"1.5to3",IF(K299/G299&gt;='Score settings'!$E$15,"0.5to1.5","positive"))),"None"),'Score settings'!$A$14:$C$43,3,FALSE)/'Score settings'!$B$7*'Score settings'!$D$7</x:f>
        <x:v>0</x:v>
      </x:c>
      <x:c r="AF299" s="41" t="n">
        <x:f>VLOOKUP("Waste|"&amp;R299,'Score settings'!$A$14:$C$43,3,FALSE)/'Score settings'!$B$8*'Score settings'!$D$8</x:f>
        <x:v>0</x:v>
      </x:c>
      <x:c r="AG299" s="41" t="n">
        <x:f>(IF(AND(ISNUMBER(M299),M299&gt;0,ISNUMBER(G299),G299&gt;0),IF(M299/G299&gt;='Score settings'!$E$17,'Score settings'!$G$17,IF(M299/G299&gt;='Score settings'!$E$16,'Score settings'!$G$16,IF(M299/G299&gt;='Score settings'!$E$15,'Score settings'!$G$15,'Score settings'!$G$14))),0)/15*'Score settings'!$B$60+IFERROR(VLOOKUP(IF(ISNUMBER(N299),N299,IF(ISNUMBER(L299),L299,0)),'Score settings'!$E$22:$F$26,2,FALSE),0)/10*'Score settings'!$B$61)/'Score settings'!$B$9*'Score settings'!$D$9</x:f>
        <x:v>0</x:v>
      </x:c>
      <x:c r="AH299" s="41" t="n">
        <x:f>IF(B299="","",SUM(AB299:AG299))</x:f>
        <x:v>10.333333333333332</x:v>
      </x:c>
      <x:c r="AI299" s="41" t="str">
        <x:f>IF(NOT(ISNUMBER(AH299)),"Not scored",VLOOKUP(AH299,'Score settings'!$A$47:$C$50,3,TRUE))</x:f>
        <x:v>Weak</x:v>
      </x:c>
      <x:c r="AJ299" s="42" t="n">
        <x:f>IF(OR(NOT(ISNUMBER(AH299)),T299&lt;&gt;"Common pot"),"",COUNTIFS($T$4:$T$509,"Common pot",$AH$4:$AH$509,"&gt;"&amp;AH299)+1)</x:f>
        <x:v>382</x:v>
      </x:c>
      <x:c r="AK299" s="36" t="str">
        <x:f>IF(B299="","Name missing - not scored",IF(OR(NOT(ISNUMBER(G299)),G299&lt;=0),"Investment missing or zero - review",IF(0=1,"Permanent ID missing - reconcile",IF(AND(ISNUMBER(H299),H299/G299&gt;='Score settings'!$B$58,NOT(ISNUMBER(I299))),"Benefit units need review",IF(OR(R299="EXIT",R299="CHALLENGE"),"Waste decision requires scope resolution",IF("No exact waste match"&lt;&gt;"Name and organisation matched","Waste evidence match needs review","Provisional source score - confirm evidence"))))))</x:f>
        <x:v>Investment missing or zero - review</x:v>
      </x:c>
      <x:c r="AL299" s="36"/>
      <x:c r="AM299" s="40"/>
      <x:c r="AN299" s="39"/>
      <x:c r="AO299" s="40"/>
      <x:c r="AP299" s="40"/>
    </x:row>
    <x:row r="300" ht="15" hidden="0" customHeight="1">
      <x:c r="A300" s="36" t="str">
        <x:v>Bu-308</x:v>
      </x:c>
      <x:c r="B300" s="37" t="str">
        <x:v>ISC Data Quality (Horizontal) &amp; IWD</x:v>
      </x:c>
      <x:c r="C300" s="36" t="str">
        <x:v>BU Led</x:v>
      </x:c>
      <x:c r="D300" s="36" t="str">
        <x:v>Personal Health (PH)</x:v>
      </x:c>
      <x:c r="E300" s="38"/>
      <x:c r="F300" s="39"/>
      <x:c r="G300" s="38" t="str">
        <x:f>IF(ISNUMBER(F300),F300,IF(E300="","",E300))</x:f>
      </x:c>
      <x:c r="H300" s="38"/>
      <x:c r="I300" s="39"/>
      <x:c r="J300" s="36" t="str">
        <x:v>Revenue</x:v>
      </x:c>
      <x:c r="K300" s="38" t="str">
        <x:f>IF(ISNUMBER(I300),I300,IF(OR(NOT(ISNUMBER(H300)),NOT(ISNUMBER(G300)),G300&lt;=0),"",IF(H300/G300&gt;='Score settings'!$B$58,"",IF(J300="Cash savings",H300,IF(J300="Revenue",H300*'Score settings'!$B$55,"")))))</x:f>
      </x:c>
      <x:c r="L300" s="36"/>
      <x:c r="M300" s="39"/>
      <x:c r="N300" s="40"/>
      <x:c r="O300" s="36" t="str">
        <x:v>Must Do</x:v>
      </x:c>
      <x:c r="P300" s="36" t="str">
        <x:v>Blank</x:v>
      </x:c>
      <x:c r="Q300" s="36" t="str">
        <x:v>Revenue</x:v>
      </x:c>
      <x:c r="R300" s="36" t="str">
        <x:v>NotAssessed</x:v>
      </x:c>
      <x:c r="S300" s="36" t="str"/>
      <x:c r="T300" s="36" t="str">
        <x:v>Common pot</x:v>
      </x:c>
      <x:c r="U300" s="41" t="n">
        <x:f>VLOOKUP("Priority|"&amp;O300,'Score settings'!$A$14:$C$43,2,FALSE)/'Score settings'!$B$4*'Score settings'!$C$4</x:f>
        <x:v>25</x:v>
      </x:c>
      <x:c r="V300" s="41" t="n">
        <x:f>VLOOKUP("Category|"&amp;P300,'Score settings'!$A$14:$C$43,2,FALSE)/'Score settings'!$B$5*'Score settings'!$C$5</x:f>
        <x:v>4</x:v>
      </x:c>
      <x:c r="W300" s="41" t="n">
        <x:f>VLOOKUP("Area|"&amp;Q300,'Score settings'!$A$14:$C$43,2,FALSE)/'Score settings'!$B$6*'Score settings'!$C$6</x:f>
        <x:v>11</x:v>
      </x:c>
      <x:c r="X300" s="41" t="n">
        <x:f>VLOOKUP("Benefits|"&amp;IF(AND(ISNUMBER(H300),H300&gt;0,ISNUMBER(G300),G300&gt;0),IF(H300/G300&gt;='Score settings'!$E$17,"3plus",IF(H300/G300&gt;='Score settings'!$E$16,"1.5to3",IF(H300/G300&gt;='Score settings'!$E$15,"0.5to1.5","positive"))),"None"),'Score settings'!$A$14:$C$43,2,FALSE)/'Score settings'!$B$7*'Score settings'!$C$7</x:f>
        <x:v>5</x:v>
      </x:c>
      <x:c r="Y300" s="41" t="n">
        <x:f>VLOOKUP("Waste|"&amp;R300,'Score settings'!$A$14:$C$43,2,FALSE)/'Score settings'!$B$8*'Score settings'!$C$8</x:f>
        <x:v>7</x:v>
      </x:c>
      <x:c r="Z300" s="41" t="n">
        <x:f>IF(B300="","",SUM(U300:Y300))</x:f>
        <x:v>52</x:v>
      </x:c>
      <x:c r="AA300" s="41" t="str">
        <x:f>IF(Z300="","Not scored",VLOOKUP(Z300,'Score settings'!$A$47:$C$50,2,TRUE))</x:f>
        <x:v>Strong</x:v>
      </x:c>
      <x:c r="AB300" s="41" t="n">
        <x:f>VLOOKUP("Priority|"&amp;O300,'Score settings'!$A$14:$C$43,3,FALSE)/'Score settings'!$B$4*'Score settings'!$D$4</x:f>
        <x:v>15</x:v>
      </x:c>
      <x:c r="AC300" s="41" t="n">
        <x:f>VLOOKUP("Category|"&amp;P300,'Score settings'!$A$14:$C$43,3,FALSE)/'Score settings'!$B$5*'Score settings'!$D$5</x:f>
        <x:v>0</x:v>
      </x:c>
      <x:c r="AD300" s="41" t="n">
        <x:f>VLOOKUP("Area|"&amp;Q300,'Score settings'!$A$14:$C$43,3,FALSE)/'Score settings'!$B$6*'Score settings'!$D$6</x:f>
        <x:v>7.333333333333333</x:v>
      </x:c>
      <x:c r="AE300" s="41" t="n">
        <x:f>VLOOKUP("Benefits|"&amp;IF(AND(ISNUMBER(K300),K300&gt;0,ISNUMBER(G300),G300&gt;0),IF(K300/G300&gt;='Score settings'!$E$17,"3plus",IF(K300/G300&gt;='Score settings'!$E$16,"1.5to3",IF(K300/G300&gt;='Score settings'!$E$15,"0.5to1.5","positive"))),"None"),'Score settings'!$A$14:$C$43,3,FALSE)/'Score settings'!$B$7*'Score settings'!$D$7</x:f>
        <x:v>0</x:v>
      </x:c>
      <x:c r="AF300" s="41" t="n">
        <x:f>VLOOKUP("Waste|"&amp;R300,'Score settings'!$A$14:$C$43,3,FALSE)/'Score settings'!$B$8*'Score settings'!$D$8</x:f>
        <x:v>0</x:v>
      </x:c>
      <x:c r="AG300" s="41" t="n">
        <x:f>(IF(AND(ISNUMBER(M300),M300&gt;0,ISNUMBER(G300),G300&gt;0),IF(M300/G300&gt;='Score settings'!$E$17,'Score settings'!$G$17,IF(M300/G300&gt;='Score settings'!$E$16,'Score settings'!$G$16,IF(M300/G300&gt;='Score settings'!$E$15,'Score settings'!$G$15,'Score settings'!$G$14))),0)/15*'Score settings'!$B$60+IFERROR(VLOOKUP(IF(ISNUMBER(N300),N300,IF(ISNUMBER(L300),L300,0)),'Score settings'!$E$22:$F$26,2,FALSE),0)/10*'Score settings'!$B$61)/'Score settings'!$B$9*'Score settings'!$D$9</x:f>
        <x:v>0</x:v>
      </x:c>
      <x:c r="AH300" s="41" t="n">
        <x:f>IF(B300="","",SUM(AB300:AG300))</x:f>
        <x:v>22.333333333333332</x:v>
      </x:c>
      <x:c r="AI300" s="41" t="str">
        <x:f>IF(NOT(ISNUMBER(AH300)),"Not scored",VLOOKUP(AH300,'Score settings'!$A$47:$C$50,3,TRUE))</x:f>
        <x:v>Weak</x:v>
      </x:c>
      <x:c r="AJ300" s="42" t="n">
        <x:f>IF(OR(NOT(ISNUMBER(AH300)),T300&lt;&gt;"Common pot"),"",COUNTIFS($T$4:$T$509,"Common pot",$AH$4:$AH$509,"&gt;"&amp;AH300)+1)</x:f>
        <x:v>330</x:v>
      </x:c>
      <x:c r="AK300" s="36" t="str">
        <x:f>IF(B300="","Name missing - not scored",IF(OR(NOT(ISNUMBER(G300)),G300&lt;=0),"Investment missing or zero - review",IF(0=1,"Permanent ID missing - reconcile",IF(AND(ISNUMBER(H300),H300/G300&gt;='Score settings'!$B$58,NOT(ISNUMBER(I300))),"Benefit units need review",IF(OR(R300="EXIT",R300="CHALLENGE"),"Waste decision requires scope resolution",IF("No exact waste match"&lt;&gt;"Name and organisation matched","Waste evidence match needs review","Provisional source score - confirm evidence"))))))</x:f>
        <x:v>Investment missing or zero - review</x:v>
      </x:c>
      <x:c r="AL300" s="36"/>
      <x:c r="AM300" s="40"/>
      <x:c r="AN300" s="39"/>
      <x:c r="AO300" s="40"/>
      <x:c r="AP300" s="40"/>
    </x:row>
    <x:row r="301" ht="15" hidden="0" customHeight="1">
      <x:c r="A301" s="36" t="str">
        <x:v>Bu-309</x:v>
      </x:c>
      <x:c r="B301" s="37" t="str">
        <x:v>KSA (SA11) New 3PL Partner Project</x:v>
      </x:c>
      <x:c r="C301" s="36" t="str">
        <x:v>BU Led</x:v>
      </x:c>
      <x:c r="D301" s="36" t="str">
        <x:v>Personal Health (PH)</x:v>
      </x:c>
      <x:c r="E301" s="38" t="n">
        <x:v>0.669</x:v>
      </x:c>
      <x:c r="F301" s="39"/>
      <x:c r="G301" s="38" t="n">
        <x:f>IF(ISNUMBER(F301),F301,IF(E301="","",E301))</x:f>
        <x:v>0.669</x:v>
      </x:c>
      <x:c r="H301" s="38" t="n">
        <x:v>0.194</x:v>
      </x:c>
      <x:c r="I301" s="39"/>
      <x:c r="J301" s="36" t="str">
        <x:v>Revenue</x:v>
      </x:c>
      <x:c r="K301" s="38" t="n">
        <x:f>IF(ISNUMBER(I301),I301,IF(OR(NOT(ISNUMBER(H301)),NOT(ISNUMBER(G301)),G301&lt;=0),"",IF(H301/G301&gt;='Score settings'!$B$58,"",IF(J301="Cash savings",H301,IF(J301="Revenue",H301*'Score settings'!$B$55,"")))))</x:f>
        <x:v>0.0291</x:v>
      </x:c>
      <x:c r="L301" s="36"/>
      <x:c r="M301" s="39"/>
      <x:c r="N301" s="40"/>
      <x:c r="O301" s="36" t="str">
        <x:v>Must Have</x:v>
      </x:c>
      <x:c r="P301" s="36" t="str">
        <x:v>Blank</x:v>
      </x:c>
      <x:c r="Q301" s="36" t="str">
        <x:v>Revenue</x:v>
      </x:c>
      <x:c r="R301" s="36" t="str">
        <x:v>NotAssessed</x:v>
      </x:c>
      <x:c r="S301" s="36" t="str"/>
      <x:c r="T301" s="36" t="str">
        <x:v>Common pot</x:v>
      </x:c>
      <x:c r="U301" s="41" t="n">
        <x:f>VLOOKUP("Priority|"&amp;O301,'Score settings'!$A$14:$C$43,2,FALSE)/'Score settings'!$B$4*'Score settings'!$C$4</x:f>
        <x:v>18</x:v>
      </x:c>
      <x:c r="V301" s="41" t="n">
        <x:f>VLOOKUP("Category|"&amp;P301,'Score settings'!$A$14:$C$43,2,FALSE)/'Score settings'!$B$5*'Score settings'!$C$5</x:f>
        <x:v>4</x:v>
      </x:c>
      <x:c r="W301" s="41" t="n">
        <x:f>VLOOKUP("Area|"&amp;Q301,'Score settings'!$A$14:$C$43,2,FALSE)/'Score settings'!$B$6*'Score settings'!$C$6</x:f>
        <x:v>11</x:v>
      </x:c>
      <x:c r="X301" s="41" t="n">
        <x:f>VLOOKUP("Benefits|"&amp;IF(AND(ISNUMBER(H301),H301&gt;0,ISNUMBER(G301),G301&gt;0),IF(H301/G301&gt;='Score settings'!$E$17,"3plus",IF(H301/G301&gt;='Score settings'!$E$16,"1.5to3",IF(H301/G301&gt;='Score settings'!$E$15,"0.5to1.5","positive"))),"None"),'Score settings'!$A$14:$C$43,2,FALSE)/'Score settings'!$B$7*'Score settings'!$C$7</x:f>
        <x:v>10</x:v>
      </x:c>
      <x:c r="Y301" s="41" t="n">
        <x:f>VLOOKUP("Waste|"&amp;R301,'Score settings'!$A$14:$C$43,2,FALSE)/'Score settings'!$B$8*'Score settings'!$C$8</x:f>
        <x:v>7</x:v>
      </x:c>
      <x:c r="Z301" s="41" t="n">
        <x:f>IF(B301="","",SUM(U301:Y301))</x:f>
        <x:v>50</x:v>
      </x:c>
      <x:c r="AA301" s="41" t="str">
        <x:f>IF(Z301="","Not scored",VLOOKUP(Z301,'Score settings'!$A$47:$C$50,2,TRUE))</x:f>
        <x:v>Strong</x:v>
      </x:c>
      <x:c r="AB301" s="41" t="n">
        <x:f>VLOOKUP("Priority|"&amp;O301,'Score settings'!$A$14:$C$43,3,FALSE)/'Score settings'!$B$4*'Score settings'!$D$4</x:f>
        <x:v>10.799999999999999</x:v>
      </x:c>
      <x:c r="AC301" s="41" t="n">
        <x:f>VLOOKUP("Category|"&amp;P301,'Score settings'!$A$14:$C$43,3,FALSE)/'Score settings'!$B$5*'Score settings'!$D$5</x:f>
        <x:v>0</x:v>
      </x:c>
      <x:c r="AD301" s="41" t="n">
        <x:f>VLOOKUP("Area|"&amp;Q301,'Score settings'!$A$14:$C$43,3,FALSE)/'Score settings'!$B$6*'Score settings'!$D$6</x:f>
        <x:v>7.333333333333333</x:v>
      </x:c>
      <x:c r="AE301" s="41" t="n">
        <x:f>VLOOKUP("Benefits|"&amp;IF(AND(ISNUMBER(K301),K301&gt;0,ISNUMBER(G301),G301&gt;0),IF(K301/G301&gt;='Score settings'!$E$17,"3plus",IF(K301/G301&gt;='Score settings'!$E$16,"1.5to3",IF(K301/G301&gt;='Score settings'!$E$15,"0.5to1.5","positive"))),"None"),'Score settings'!$A$14:$C$43,3,FALSE)/'Score settings'!$B$7*'Score settings'!$D$7</x:f>
        <x:v>12</x:v>
      </x:c>
      <x:c r="AF301" s="41" t="n">
        <x:f>VLOOKUP("Waste|"&amp;R301,'Score settings'!$A$14:$C$43,3,FALSE)/'Score settings'!$B$8*'Score settings'!$D$8</x:f>
        <x:v>0</x:v>
      </x:c>
      <x:c r="AG301" s="41" t="n">
        <x:f>(IF(AND(ISNUMBER(M301),M301&gt;0,ISNUMBER(G301),G301&gt;0),IF(M301/G301&gt;='Score settings'!$E$17,'Score settings'!$G$17,IF(M301/G301&gt;='Score settings'!$E$16,'Score settings'!$G$16,IF(M301/G301&gt;='Score settings'!$E$15,'Score settings'!$G$15,'Score settings'!$G$14))),0)/15*'Score settings'!$B$60+IFERROR(VLOOKUP(IF(ISNUMBER(N301),N301,IF(ISNUMBER(L301),L301,0)),'Score settings'!$E$22:$F$26,2,FALSE),0)/10*'Score settings'!$B$61)/'Score settings'!$B$9*'Score settings'!$D$9</x:f>
        <x:v>0</x:v>
      </x:c>
      <x:c r="AH301" s="41" t="n">
        <x:f>IF(B301="","",SUM(AB301:AG301))</x:f>
        <x:v>30.133333333333333</x:v>
      </x:c>
      <x:c r="AI301" s="41" t="str">
        <x:f>IF(NOT(ISNUMBER(AH301)),"Not scored",VLOOKUP(AH301,'Score settings'!$A$47:$C$50,3,TRUE))</x:f>
        <x:v>Discretionary</x:v>
      </x:c>
      <x:c r="AJ301" s="42" t="n">
        <x:f>IF(OR(NOT(ISNUMBER(AH301)),T301&lt;&gt;"Common pot"),"",COUNTIFS($T$4:$T$509,"Common pot",$AH$4:$AH$509,"&gt;"&amp;AH301)+1)</x:f>
        <x:v>186</x:v>
      </x:c>
      <x:c r="AK301" s="36" t="str">
        <x:f>IF(B301="","Name missing - not scored",IF(OR(NOT(ISNUMBER(G301)),G301&lt;=0),"Investment missing or zero - review",IF(0=1,"Permanent ID missing - reconcile",IF(AND(ISNUMBER(H301),H301/G301&gt;='Score settings'!$B$58,NOT(ISNUMBER(I301))),"Benefit units need review",IF(OR(R301="EXIT",R301="CHALLENGE"),"Waste decision requires scope resolution",IF("No exact waste match"&lt;&gt;"Name and organisation matched","Waste evidence match needs review","Provisional source score - confirm evidence"))))))</x:f>
        <x:v>Waste evidence match needs review</x:v>
      </x:c>
      <x:c r="AL301" s="36"/>
      <x:c r="AM301" s="40"/>
      <x:c r="AN301" s="39"/>
      <x:c r="AO301" s="40"/>
      <x:c r="AP301" s="40"/>
    </x:row>
    <x:row r="302" ht="15" hidden="0" customHeight="1">
      <x:c r="A302" s="36" t="str">
        <x:v>Bu-310</x:v>
      </x:c>
      <x:c r="B302" s="37" t="str">
        <x:v>Labelling (IPL as a launch)</x:v>
      </x:c>
      <x:c r="C302" s="36" t="str">
        <x:v>BU Led</x:v>
      </x:c>
      <x:c r="D302" s="36" t="str">
        <x:v>Personal Health (PH)</x:v>
      </x:c>
      <x:c r="E302" s="38"/>
      <x:c r="F302" s="39"/>
      <x:c r="G302" s="38" t="str">
        <x:f>IF(ISNUMBER(F302),F302,IF(E302="","",E302))</x:f>
      </x:c>
      <x:c r="H302" s="38"/>
      <x:c r="I302" s="39"/>
      <x:c r="J302" s="36" t="str">
        <x:v>Revenue</x:v>
      </x:c>
      <x:c r="K302" s="38" t="str">
        <x:f>IF(ISNUMBER(I302),I302,IF(OR(NOT(ISNUMBER(H302)),NOT(ISNUMBER(G302)),G302&lt;=0),"",IF(H302/G302&gt;='Score settings'!$B$58,"",IF(J302="Cash savings",H302,IF(J302="Revenue",H302*'Score settings'!$B$55,"")))))</x:f>
      </x:c>
      <x:c r="L302" s="36"/>
      <x:c r="M302" s="39"/>
      <x:c r="N302" s="40"/>
      <x:c r="O302" s="36" t="str">
        <x:v>Depri</x:v>
      </x:c>
      <x:c r="P302" s="36" t="str">
        <x:v>Blank</x:v>
      </x:c>
      <x:c r="Q302" s="36" t="str">
        <x:v>Revenue</x:v>
      </x:c>
      <x:c r="R302" s="36" t="str">
        <x:v>NotAssessed</x:v>
      </x:c>
      <x:c r="S302" s="36" t="str"/>
      <x:c r="T302" s="36" t="str">
        <x:v>Common pot</x:v>
      </x:c>
      <x:c r="U302" s="41" t="n">
        <x:f>VLOOKUP("Priority|"&amp;O302,'Score settings'!$A$14:$C$43,2,FALSE)/'Score settings'!$B$4*'Score settings'!$C$4</x:f>
        <x:v>5</x:v>
      </x:c>
      <x:c r="V302" s="41" t="n">
        <x:f>VLOOKUP("Category|"&amp;P302,'Score settings'!$A$14:$C$43,2,FALSE)/'Score settings'!$B$5*'Score settings'!$C$5</x:f>
        <x:v>4</x:v>
      </x:c>
      <x:c r="W302" s="41" t="n">
        <x:f>VLOOKUP("Area|"&amp;Q302,'Score settings'!$A$14:$C$43,2,FALSE)/'Score settings'!$B$6*'Score settings'!$C$6</x:f>
        <x:v>11</x:v>
      </x:c>
      <x:c r="X302" s="41" t="n">
        <x:f>VLOOKUP("Benefits|"&amp;IF(AND(ISNUMBER(H302),H302&gt;0,ISNUMBER(G302),G302&gt;0),IF(H302/G302&gt;='Score settings'!$E$17,"3plus",IF(H302/G302&gt;='Score settings'!$E$16,"1.5to3",IF(H302/G302&gt;='Score settings'!$E$15,"0.5to1.5","positive"))),"None"),'Score settings'!$A$14:$C$43,2,FALSE)/'Score settings'!$B$7*'Score settings'!$C$7</x:f>
        <x:v>5</x:v>
      </x:c>
      <x:c r="Y302" s="41" t="n">
        <x:f>VLOOKUP("Waste|"&amp;R302,'Score settings'!$A$14:$C$43,2,FALSE)/'Score settings'!$B$8*'Score settings'!$C$8</x:f>
        <x:v>7</x:v>
      </x:c>
      <x:c r="Z302" s="41" t="n">
        <x:f>IF(B302="","",SUM(U302:Y302))</x:f>
        <x:v>32</x:v>
      </x:c>
      <x:c r="AA302" s="41" t="str">
        <x:f>IF(Z302="","Not scored",VLOOKUP(Z302,'Score settings'!$A$47:$C$50,2,TRUE))</x:f>
        <x:v>Discretionary</x:v>
      </x:c>
      <x:c r="AB302" s="41" t="n">
        <x:f>VLOOKUP("Priority|"&amp;O302,'Score settings'!$A$14:$C$43,3,FALSE)/'Score settings'!$B$4*'Score settings'!$D$4</x:f>
        <x:v>3</x:v>
      </x:c>
      <x:c r="AC302" s="41" t="n">
        <x:f>VLOOKUP("Category|"&amp;P302,'Score settings'!$A$14:$C$43,3,FALSE)/'Score settings'!$B$5*'Score settings'!$D$5</x:f>
        <x:v>0</x:v>
      </x:c>
      <x:c r="AD302" s="41" t="n">
        <x:f>VLOOKUP("Area|"&amp;Q302,'Score settings'!$A$14:$C$43,3,FALSE)/'Score settings'!$B$6*'Score settings'!$D$6</x:f>
        <x:v>7.333333333333333</x:v>
      </x:c>
      <x:c r="AE302" s="41" t="n">
        <x:f>VLOOKUP("Benefits|"&amp;IF(AND(ISNUMBER(K302),K302&gt;0,ISNUMBER(G302),G302&gt;0),IF(K302/G302&gt;='Score settings'!$E$17,"3plus",IF(K302/G302&gt;='Score settings'!$E$16,"1.5to3",IF(K302/G302&gt;='Score settings'!$E$15,"0.5to1.5","positive"))),"None"),'Score settings'!$A$14:$C$43,3,FALSE)/'Score settings'!$B$7*'Score settings'!$D$7</x:f>
        <x:v>0</x:v>
      </x:c>
      <x:c r="AF302" s="41" t="n">
        <x:f>VLOOKUP("Waste|"&amp;R302,'Score settings'!$A$14:$C$43,3,FALSE)/'Score settings'!$B$8*'Score settings'!$D$8</x:f>
        <x:v>0</x:v>
      </x:c>
      <x:c r="AG302" s="41" t="n">
        <x:f>(IF(AND(ISNUMBER(M302),M302&gt;0,ISNUMBER(G302),G302&gt;0),IF(M302/G302&gt;='Score settings'!$E$17,'Score settings'!$G$17,IF(M302/G302&gt;='Score settings'!$E$16,'Score settings'!$G$16,IF(M302/G302&gt;='Score settings'!$E$15,'Score settings'!$G$15,'Score settings'!$G$14))),0)/15*'Score settings'!$B$60+IFERROR(VLOOKUP(IF(ISNUMBER(N302),N302,IF(ISNUMBER(L302),L302,0)),'Score settings'!$E$22:$F$26,2,FALSE),0)/10*'Score settings'!$B$61)/'Score settings'!$B$9*'Score settings'!$D$9</x:f>
        <x:v>0</x:v>
      </x:c>
      <x:c r="AH302" s="41" t="n">
        <x:f>IF(B302="","",SUM(AB302:AG302))</x:f>
        <x:v>10.333333333333332</x:v>
      </x:c>
      <x:c r="AI302" s="41" t="str">
        <x:f>IF(NOT(ISNUMBER(AH302)),"Not scored",VLOOKUP(AH302,'Score settings'!$A$47:$C$50,3,TRUE))</x:f>
        <x:v>Weak</x:v>
      </x:c>
      <x:c r="AJ302" s="42" t="n">
        <x:f>IF(OR(NOT(ISNUMBER(AH302)),T302&lt;&gt;"Common pot"),"",COUNTIFS($T$4:$T$509,"Common pot",$AH$4:$AH$509,"&gt;"&amp;AH302)+1)</x:f>
        <x:v>382</x:v>
      </x:c>
      <x:c r="AK302" s="36" t="str">
        <x:f>IF(B302="","Name missing - not scored",IF(OR(NOT(ISNUMBER(G302)),G302&lt;=0),"Investment missing or zero - review",IF(0=1,"Permanent ID missing - reconcile",IF(AND(ISNUMBER(H302),H302/G302&gt;='Score settings'!$B$58,NOT(ISNUMBER(I302))),"Benefit units need review",IF(OR(R302="EXIT",R302="CHALLENGE"),"Waste decision requires scope resolution",IF("No exact waste match"&lt;&gt;"Name and organisation matched","Waste evidence match needs review","Provisional source score - confirm evidence"))))))</x:f>
        <x:v>Investment missing or zero - review</x:v>
      </x:c>
      <x:c r="AL302" s="36"/>
      <x:c r="AM302" s="40"/>
      <x:c r="AN302" s="39"/>
      <x:c r="AO302" s="40"/>
      <x:c r="AP302" s="40"/>
    </x:row>
    <x:row r="303" ht="15" hidden="0" customHeight="1">
      <x:c r="A303" s="36" t="str">
        <x:v>Bu-311</x:v>
      </x:c>
      <x:c r="B303" s="37" t="str">
        <x:v>Performance Analytics</x:v>
      </x:c>
      <x:c r="C303" s="36" t="str">
        <x:v>BU Led</x:v>
      </x:c>
      <x:c r="D303" s="36" t="str">
        <x:v>Personal Health (PH)</x:v>
      </x:c>
      <x:c r="E303" s="38" t="n">
        <x:v>0.54</x:v>
      </x:c>
      <x:c r="F303" s="39"/>
      <x:c r="G303" s="38" t="n">
        <x:f>IF(ISNUMBER(F303),F303,IF(E303="","",E303))</x:f>
        <x:v>0.54</x:v>
      </x:c>
      <x:c r="H303" s="38" t="n">
        <x:v>0.778</x:v>
      </x:c>
      <x:c r="I303" s="39"/>
      <x:c r="J303" s="36" t="str">
        <x:v>Revenue</x:v>
      </x:c>
      <x:c r="K303" s="38" t="n">
        <x:f>IF(ISNUMBER(I303),I303,IF(OR(NOT(ISNUMBER(H303)),NOT(ISNUMBER(G303)),G303&lt;=0),"",IF(H303/G303&gt;='Score settings'!$B$58,"",IF(J303="Cash savings",H303,IF(J303="Revenue",H303*'Score settings'!$B$55,"")))))</x:f>
        <x:v>0.1167</x:v>
      </x:c>
      <x:c r="L303" s="36"/>
      <x:c r="M303" s="39"/>
      <x:c r="N303" s="40"/>
      <x:c r="O303" s="36" t="str">
        <x:v>Must Do</x:v>
      </x:c>
      <x:c r="P303" s="36" t="str">
        <x:v>Blank</x:v>
      </x:c>
      <x:c r="Q303" s="36" t="str">
        <x:v>Revenue</x:v>
      </x:c>
      <x:c r="R303" s="36" t="str">
        <x:v>NotAssessed</x:v>
      </x:c>
      <x:c r="S303" s="36" t="str"/>
      <x:c r="T303" s="36" t="str">
        <x:v>Common pot</x:v>
      </x:c>
      <x:c r="U303" s="41" t="n">
        <x:f>VLOOKUP("Priority|"&amp;O303,'Score settings'!$A$14:$C$43,2,FALSE)/'Score settings'!$B$4*'Score settings'!$C$4</x:f>
        <x:v>25</x:v>
      </x:c>
      <x:c r="V303" s="41" t="n">
        <x:f>VLOOKUP("Category|"&amp;P303,'Score settings'!$A$14:$C$43,2,FALSE)/'Score settings'!$B$5*'Score settings'!$C$5</x:f>
        <x:v>4</x:v>
      </x:c>
      <x:c r="W303" s="41" t="n">
        <x:f>VLOOKUP("Area|"&amp;Q303,'Score settings'!$A$14:$C$43,2,FALSE)/'Score settings'!$B$6*'Score settings'!$C$6</x:f>
        <x:v>11</x:v>
      </x:c>
      <x:c r="X303" s="41" t="n">
        <x:f>VLOOKUP("Benefits|"&amp;IF(AND(ISNUMBER(H303),H303&gt;0,ISNUMBER(G303),G303&gt;0),IF(H303/G303&gt;='Score settings'!$E$17,"3plus",IF(H303/G303&gt;='Score settings'!$E$16,"1.5to3",IF(H303/G303&gt;='Score settings'!$E$15,"0.5to1.5","positive"))),"None"),'Score settings'!$A$14:$C$43,2,FALSE)/'Score settings'!$B$7*'Score settings'!$C$7</x:f>
        <x:v>15</x:v>
      </x:c>
      <x:c r="Y303" s="41" t="n">
        <x:f>VLOOKUP("Waste|"&amp;R303,'Score settings'!$A$14:$C$43,2,FALSE)/'Score settings'!$B$8*'Score settings'!$C$8</x:f>
        <x:v>7</x:v>
      </x:c>
      <x:c r="Z303" s="41" t="n">
        <x:f>IF(B303="","",SUM(U303:Y303))</x:f>
        <x:v>62</x:v>
      </x:c>
      <x:c r="AA303" s="41" t="str">
        <x:f>IF(Z303="","Not scored",VLOOKUP(Z303,'Score settings'!$A$47:$C$50,2,TRUE))</x:f>
        <x:v>Strong</x:v>
      </x:c>
      <x:c r="AB303" s="41" t="n">
        <x:f>VLOOKUP("Priority|"&amp;O303,'Score settings'!$A$14:$C$43,3,FALSE)/'Score settings'!$B$4*'Score settings'!$D$4</x:f>
        <x:v>15</x:v>
      </x:c>
      <x:c r="AC303" s="41" t="n">
        <x:f>VLOOKUP("Category|"&amp;P303,'Score settings'!$A$14:$C$43,3,FALSE)/'Score settings'!$B$5*'Score settings'!$D$5</x:f>
        <x:v>0</x:v>
      </x:c>
      <x:c r="AD303" s="41" t="n">
        <x:f>VLOOKUP("Area|"&amp;Q303,'Score settings'!$A$14:$C$43,3,FALSE)/'Score settings'!$B$6*'Score settings'!$D$6</x:f>
        <x:v>7.333333333333333</x:v>
      </x:c>
      <x:c r="AE303" s="41" t="n">
        <x:f>VLOOKUP("Benefits|"&amp;IF(AND(ISNUMBER(K303),K303&gt;0,ISNUMBER(G303),G303&gt;0),IF(K303/G303&gt;='Score settings'!$E$17,"3plus",IF(K303/G303&gt;='Score settings'!$E$16,"1.5to3",IF(K303/G303&gt;='Score settings'!$E$15,"0.5to1.5","positive"))),"None"),'Score settings'!$A$14:$C$43,3,FALSE)/'Score settings'!$B$7*'Score settings'!$D$7</x:f>
        <x:v>12</x:v>
      </x:c>
      <x:c r="AF303" s="41" t="n">
        <x:f>VLOOKUP("Waste|"&amp;R303,'Score settings'!$A$14:$C$43,3,FALSE)/'Score settings'!$B$8*'Score settings'!$D$8</x:f>
        <x:v>0</x:v>
      </x:c>
      <x:c r="AG303" s="41" t="n">
        <x:f>(IF(AND(ISNUMBER(M303),M303&gt;0,ISNUMBER(G303),G303&gt;0),IF(M303/G303&gt;='Score settings'!$E$17,'Score settings'!$G$17,IF(M303/G303&gt;='Score settings'!$E$16,'Score settings'!$G$16,IF(M303/G303&gt;='Score settings'!$E$15,'Score settings'!$G$15,'Score settings'!$G$14))),0)/15*'Score settings'!$B$60+IFERROR(VLOOKUP(IF(ISNUMBER(N303),N303,IF(ISNUMBER(L303),L303,0)),'Score settings'!$E$22:$F$26,2,FALSE),0)/10*'Score settings'!$B$61)/'Score settings'!$B$9*'Score settings'!$D$9</x:f>
        <x:v>0</x:v>
      </x:c>
      <x:c r="AH303" s="41" t="n">
        <x:f>IF(B303="","",SUM(AB303:AG303))</x:f>
        <x:v>34.33333333333333</x:v>
      </x:c>
      <x:c r="AI303" s="41" t="str">
        <x:f>IF(NOT(ISNUMBER(AH303)),"Not scored",VLOOKUP(AH303,'Score settings'!$A$47:$C$50,3,TRUE))</x:f>
        <x:v>Discretionary</x:v>
      </x:c>
      <x:c r="AJ303" s="42" t="n">
        <x:f>IF(OR(NOT(ISNUMBER(AH303)),T303&lt;&gt;"Common pot"),"",COUNTIFS($T$4:$T$509,"Common pot",$AH$4:$AH$509,"&gt;"&amp;AH303)+1)</x:f>
        <x:v>152</x:v>
      </x:c>
      <x:c r="AK303" s="36" t="str">
        <x:f>IF(B303="","Name missing - not scored",IF(OR(NOT(ISNUMBER(G303)),G303&lt;=0),"Investment missing or zero - review",IF(0=1,"Permanent ID missing - reconcile",IF(AND(ISNUMBER(H303),H303/G303&gt;='Score settings'!$B$58,NOT(ISNUMBER(I303))),"Benefit units need review",IF(OR(R303="EXIT",R303="CHALLENGE"),"Waste decision requires scope resolution",IF("No exact waste match"&lt;&gt;"Name and organisation matched","Waste evidence match needs review","Provisional source score - confirm evidence"))))))</x:f>
        <x:v>Waste evidence match needs review</x:v>
      </x:c>
      <x:c r="AL303" s="36"/>
      <x:c r="AM303" s="40"/>
      <x:c r="AN303" s="39"/>
      <x:c r="AO303" s="40"/>
      <x:c r="AP303" s="40"/>
    </x:row>
    <x:row r="304" ht="15" hidden="0" customHeight="1">
      <x:c r="A304" s="36" t="str">
        <x:v>Bu-312</x:v>
      </x:c>
      <x:c r="B304" s="37" t="str">
        <x:v>PH Material Management (OMM) AI Program</x:v>
      </x:c>
      <x:c r="C304" s="36" t="str">
        <x:v>BU Led</x:v>
      </x:c>
      <x:c r="D304" s="36" t="str">
        <x:v>Personal Health (PH)</x:v>
      </x:c>
      <x:c r="E304" s="38" t="n">
        <x:v>0.19</x:v>
      </x:c>
      <x:c r="F304" s="39"/>
      <x:c r="G304" s="38" t="n">
        <x:f>IF(ISNUMBER(F304),F304,IF(E304="","",E304))</x:f>
        <x:v>0.19</x:v>
      </x:c>
      <x:c r="H304" s="38"/>
      <x:c r="I304" s="39"/>
      <x:c r="J304" s="36" t="str">
        <x:v>Cash savings</x:v>
      </x:c>
      <x:c r="K304" s="38" t="str">
        <x:f>IF(ISNUMBER(I304),I304,IF(OR(NOT(ISNUMBER(H304)),NOT(ISNUMBER(G304)),G304&lt;=0),"",IF(H304/G304&gt;='Score settings'!$B$58,"",IF(J304="Cash savings",H304,IF(J304="Revenue",H304*'Score settings'!$B$55,"")))))</x:f>
      </x:c>
      <x:c r="L304" s="36"/>
      <x:c r="M304" s="39"/>
      <x:c r="N304" s="40"/>
      <x:c r="O304" s="36" t="str">
        <x:v>Must Do</x:v>
      </x:c>
      <x:c r="P304" s="36" t="str">
        <x:v>Blank</x:v>
      </x:c>
      <x:c r="Q304" s="36" t="str">
        <x:v>Productivity</x:v>
      </x:c>
      <x:c r="R304" s="36" t="str">
        <x:v>NotAssessed</x:v>
      </x:c>
      <x:c r="S304" s="36" t="str"/>
      <x:c r="T304" s="36" t="str">
        <x:v>Common pot</x:v>
      </x:c>
      <x:c r="U304" s="41" t="n">
        <x:f>VLOOKUP("Priority|"&amp;O304,'Score settings'!$A$14:$C$43,2,FALSE)/'Score settings'!$B$4*'Score settings'!$C$4</x:f>
        <x:v>25</x:v>
      </x:c>
      <x:c r="V304" s="41" t="n">
        <x:f>VLOOKUP("Category|"&amp;P304,'Score settings'!$A$14:$C$43,2,FALSE)/'Score settings'!$B$5*'Score settings'!$C$5</x:f>
        <x:v>4</x:v>
      </x:c>
      <x:c r="W304" s="41" t="n">
        <x:f>VLOOKUP("Area|"&amp;Q304,'Score settings'!$A$14:$C$43,2,FALSE)/'Score settings'!$B$6*'Score settings'!$C$6</x:f>
        <x:v>10</x:v>
      </x:c>
      <x:c r="X304" s="41" t="n">
        <x:f>VLOOKUP("Benefits|"&amp;IF(AND(ISNUMBER(H304),H304&gt;0,ISNUMBER(G304),G304&gt;0),IF(H304/G304&gt;='Score settings'!$E$17,"3plus",IF(H304/G304&gt;='Score settings'!$E$16,"1.5to3",IF(H304/G304&gt;='Score settings'!$E$15,"0.5to1.5","positive"))),"None"),'Score settings'!$A$14:$C$43,2,FALSE)/'Score settings'!$B$7*'Score settings'!$C$7</x:f>
        <x:v>5</x:v>
      </x:c>
      <x:c r="Y304" s="41" t="n">
        <x:f>VLOOKUP("Waste|"&amp;R304,'Score settings'!$A$14:$C$43,2,FALSE)/'Score settings'!$B$8*'Score settings'!$C$8</x:f>
        <x:v>7</x:v>
      </x:c>
      <x:c r="Z304" s="41" t="n">
        <x:f>IF(B304="","",SUM(U304:Y304))</x:f>
        <x:v>51</x:v>
      </x:c>
      <x:c r="AA304" s="41" t="str">
        <x:f>IF(Z304="","Not scored",VLOOKUP(Z304,'Score settings'!$A$47:$C$50,2,TRUE))</x:f>
        <x:v>Strong</x:v>
      </x:c>
      <x:c r="AB304" s="41" t="n">
        <x:f>VLOOKUP("Priority|"&amp;O304,'Score settings'!$A$14:$C$43,3,FALSE)/'Score settings'!$B$4*'Score settings'!$D$4</x:f>
        <x:v>15</x:v>
      </x:c>
      <x:c r="AC304" s="41" t="n">
        <x:f>VLOOKUP("Category|"&amp;P304,'Score settings'!$A$14:$C$43,3,FALSE)/'Score settings'!$B$5*'Score settings'!$D$5</x:f>
        <x:v>0</x:v>
      </x:c>
      <x:c r="AD304" s="41" t="n">
        <x:f>VLOOKUP("Area|"&amp;Q304,'Score settings'!$A$14:$C$43,3,FALSE)/'Score settings'!$B$6*'Score settings'!$D$6</x:f>
        <x:v>6.666666666666666</x:v>
      </x:c>
      <x:c r="AE304" s="41" t="n">
        <x:f>VLOOKUP("Benefits|"&amp;IF(AND(ISNUMBER(K304),K304&gt;0,ISNUMBER(G304),G304&gt;0),IF(K304/G304&gt;='Score settings'!$E$17,"3plus",IF(K304/G304&gt;='Score settings'!$E$16,"1.5to3",IF(K304/G304&gt;='Score settings'!$E$15,"0.5to1.5","positive"))),"None"),'Score settings'!$A$14:$C$43,3,FALSE)/'Score settings'!$B$7*'Score settings'!$D$7</x:f>
        <x:v>0</x:v>
      </x:c>
      <x:c r="AF304" s="41" t="n">
        <x:f>VLOOKUP("Waste|"&amp;R304,'Score settings'!$A$14:$C$43,3,FALSE)/'Score settings'!$B$8*'Score settings'!$D$8</x:f>
        <x:v>0</x:v>
      </x:c>
      <x:c r="AG304" s="41" t="n">
        <x:f>(IF(AND(ISNUMBER(M304),M304&gt;0,ISNUMBER(G304),G304&gt;0),IF(M304/G304&gt;='Score settings'!$E$17,'Score settings'!$G$17,IF(M304/G304&gt;='Score settings'!$E$16,'Score settings'!$G$16,IF(M304/G304&gt;='Score settings'!$E$15,'Score settings'!$G$15,'Score settings'!$G$14))),0)/15*'Score settings'!$B$60+IFERROR(VLOOKUP(IF(ISNUMBER(N304),N304,IF(ISNUMBER(L304),L304,0)),'Score settings'!$E$22:$F$26,2,FALSE),0)/10*'Score settings'!$B$61)/'Score settings'!$B$9*'Score settings'!$D$9</x:f>
        <x:v>0</x:v>
      </x:c>
      <x:c r="AH304" s="41" t="n">
        <x:f>IF(B304="","",SUM(AB304:AG304))</x:f>
        <x:v>21.666666666666664</x:v>
      </x:c>
      <x:c r="AI304" s="41" t="str">
        <x:f>IF(NOT(ISNUMBER(AH304)),"Not scored",VLOOKUP(AH304,'Score settings'!$A$47:$C$50,3,TRUE))</x:f>
        <x:v>Weak</x:v>
      </x:c>
      <x:c r="AJ304" s="42" t="n">
        <x:f>IF(OR(NOT(ISNUMBER(AH304)),T304&lt;&gt;"Common pot"),"",COUNTIFS($T$4:$T$509,"Common pot",$AH$4:$AH$509,"&gt;"&amp;AH304)+1)</x:f>
        <x:v>338</x:v>
      </x:c>
      <x:c r="AK304" s="36" t="str">
        <x:f>IF(B304="","Name missing - not scored",IF(OR(NOT(ISNUMBER(G304)),G304&lt;=0),"Investment missing or zero - review",IF(0=1,"Permanent ID missing - reconcile",IF(AND(ISNUMBER(H304),H304/G304&gt;='Score settings'!$B$58,NOT(ISNUMBER(I304))),"Benefit units need review",IF(OR(R304="EXIT",R304="CHALLENGE"),"Waste decision requires scope resolution",IF("No exact waste match"&lt;&gt;"Name and organisation matched","Waste evidence match needs review","Provisional source score - confirm evidence"))))))</x:f>
        <x:v>Waste evidence match needs review</x:v>
      </x:c>
      <x:c r="AL304" s="36"/>
      <x:c r="AM304" s="40"/>
      <x:c r="AN304" s="39"/>
      <x:c r="AO304" s="40"/>
      <x:c r="AP304" s="40"/>
    </x:row>
    <x:row r="305" ht="15" hidden="0" customHeight="1">
      <x:c r="A305" s="36" t="str">
        <x:v>Bu-313</x:v>
      </x:c>
      <x:c r="B305" s="37" t="str">
        <x:v>Philips.com Growth Engine – Unlocking the value of our new platform</x:v>
      </x:c>
      <x:c r="C305" s="36" t="str">
        <x:v>BU Led</x:v>
      </x:c>
      <x:c r="D305" s="36" t="str">
        <x:v>Personal Health (PH)</x:v>
      </x:c>
      <x:c r="E305" s="38" t="n">
        <x:v>0.9</x:v>
      </x:c>
      <x:c r="F305" s="39"/>
      <x:c r="G305" s="38" t="n">
        <x:f>IF(ISNUMBER(F305),F305,IF(E305="","",E305))</x:f>
        <x:v>0.9</x:v>
      </x:c>
      <x:c r="H305" s="38" t="n">
        <x:v>1.225</x:v>
      </x:c>
      <x:c r="I305" s="39"/>
      <x:c r="J305" s="36" t="str">
        <x:v>Revenue</x:v>
      </x:c>
      <x:c r="K305" s="38" t="n">
        <x:f>IF(ISNUMBER(I305),I305,IF(OR(NOT(ISNUMBER(H305)),NOT(ISNUMBER(G305)),G305&lt;=0),"",IF(H305/G305&gt;='Score settings'!$B$58,"",IF(J305="Cash savings",H305,IF(J305="Revenue",H305*'Score settings'!$B$55,"")))))</x:f>
        <x:v>0.18375</x:v>
      </x:c>
      <x:c r="L305" s="36"/>
      <x:c r="M305" s="39"/>
      <x:c r="N305" s="40"/>
      <x:c r="O305" s="36" t="str">
        <x:v>Must Do</x:v>
      </x:c>
      <x:c r="P305" s="36" t="str">
        <x:v>Blank</x:v>
      </x:c>
      <x:c r="Q305" s="36" t="str">
        <x:v>Revenue</x:v>
      </x:c>
      <x:c r="R305" s="36" t="str">
        <x:v>NotAssessed</x:v>
      </x:c>
      <x:c r="S305" s="36" t="str"/>
      <x:c r="T305" s="36" t="str">
        <x:v>Common pot</x:v>
      </x:c>
      <x:c r="U305" s="41" t="n">
        <x:f>VLOOKUP("Priority|"&amp;O305,'Score settings'!$A$14:$C$43,2,FALSE)/'Score settings'!$B$4*'Score settings'!$C$4</x:f>
        <x:v>25</x:v>
      </x:c>
      <x:c r="V305" s="41" t="n">
        <x:f>VLOOKUP("Category|"&amp;P305,'Score settings'!$A$14:$C$43,2,FALSE)/'Score settings'!$B$5*'Score settings'!$C$5</x:f>
        <x:v>4</x:v>
      </x:c>
      <x:c r="W305" s="41" t="n">
        <x:f>VLOOKUP("Area|"&amp;Q305,'Score settings'!$A$14:$C$43,2,FALSE)/'Score settings'!$B$6*'Score settings'!$C$6</x:f>
        <x:v>11</x:v>
      </x:c>
      <x:c r="X305" s="41" t="n">
        <x:f>VLOOKUP("Benefits|"&amp;IF(AND(ISNUMBER(H305),H305&gt;0,ISNUMBER(G305),G305&gt;0),IF(H305/G305&gt;='Score settings'!$E$17,"3plus",IF(H305/G305&gt;='Score settings'!$E$16,"1.5to3",IF(H305/G305&gt;='Score settings'!$E$15,"0.5to1.5","positive"))),"None"),'Score settings'!$A$14:$C$43,2,FALSE)/'Score settings'!$B$7*'Score settings'!$C$7</x:f>
        <x:v>15</x:v>
      </x:c>
      <x:c r="Y305" s="41" t="n">
        <x:f>VLOOKUP("Waste|"&amp;R305,'Score settings'!$A$14:$C$43,2,FALSE)/'Score settings'!$B$8*'Score settings'!$C$8</x:f>
        <x:v>7</x:v>
      </x:c>
      <x:c r="Z305" s="41" t="n">
        <x:f>IF(B305="","",SUM(U305:Y305))</x:f>
        <x:v>62</x:v>
      </x:c>
      <x:c r="AA305" s="41" t="str">
        <x:f>IF(Z305="","Not scored",VLOOKUP(Z305,'Score settings'!$A$47:$C$50,2,TRUE))</x:f>
        <x:v>Strong</x:v>
      </x:c>
      <x:c r="AB305" s="41" t="n">
        <x:f>VLOOKUP("Priority|"&amp;O305,'Score settings'!$A$14:$C$43,3,FALSE)/'Score settings'!$B$4*'Score settings'!$D$4</x:f>
        <x:v>15</x:v>
      </x:c>
      <x:c r="AC305" s="41" t="n">
        <x:f>VLOOKUP("Category|"&amp;P305,'Score settings'!$A$14:$C$43,3,FALSE)/'Score settings'!$B$5*'Score settings'!$D$5</x:f>
        <x:v>0</x:v>
      </x:c>
      <x:c r="AD305" s="41" t="n">
        <x:f>VLOOKUP("Area|"&amp;Q305,'Score settings'!$A$14:$C$43,3,FALSE)/'Score settings'!$B$6*'Score settings'!$D$6</x:f>
        <x:v>7.333333333333333</x:v>
      </x:c>
      <x:c r="AE305" s="41" t="n">
        <x:f>VLOOKUP("Benefits|"&amp;IF(AND(ISNUMBER(K305),K305&gt;0,ISNUMBER(G305),G305&gt;0),IF(K305/G305&gt;='Score settings'!$E$17,"3plus",IF(K305/G305&gt;='Score settings'!$E$16,"1.5to3",IF(K305/G305&gt;='Score settings'!$E$15,"0.5to1.5","positive"))),"None"),'Score settings'!$A$14:$C$43,3,FALSE)/'Score settings'!$B$7*'Score settings'!$D$7</x:f>
        <x:v>12</x:v>
      </x:c>
      <x:c r="AF305" s="41" t="n">
        <x:f>VLOOKUP("Waste|"&amp;R305,'Score settings'!$A$14:$C$43,3,FALSE)/'Score settings'!$B$8*'Score settings'!$D$8</x:f>
        <x:v>0</x:v>
      </x:c>
      <x:c r="AG305" s="41" t="n">
        <x:f>(IF(AND(ISNUMBER(M305),M305&gt;0,ISNUMBER(G305),G305&gt;0),IF(M305/G305&gt;='Score settings'!$E$17,'Score settings'!$G$17,IF(M305/G305&gt;='Score settings'!$E$16,'Score settings'!$G$16,IF(M305/G305&gt;='Score settings'!$E$15,'Score settings'!$G$15,'Score settings'!$G$14))),0)/15*'Score settings'!$B$60+IFERROR(VLOOKUP(IF(ISNUMBER(N305),N305,IF(ISNUMBER(L305),L305,0)),'Score settings'!$E$22:$F$26,2,FALSE),0)/10*'Score settings'!$B$61)/'Score settings'!$B$9*'Score settings'!$D$9</x:f>
        <x:v>0</x:v>
      </x:c>
      <x:c r="AH305" s="41" t="n">
        <x:f>IF(B305="","",SUM(AB305:AG305))</x:f>
        <x:v>34.33333333333333</x:v>
      </x:c>
      <x:c r="AI305" s="41" t="str">
        <x:f>IF(NOT(ISNUMBER(AH305)),"Not scored",VLOOKUP(AH305,'Score settings'!$A$47:$C$50,3,TRUE))</x:f>
        <x:v>Discretionary</x:v>
      </x:c>
      <x:c r="AJ305" s="42" t="n">
        <x:f>IF(OR(NOT(ISNUMBER(AH305)),T305&lt;&gt;"Common pot"),"",COUNTIFS($T$4:$T$509,"Common pot",$AH$4:$AH$509,"&gt;"&amp;AH305)+1)</x:f>
        <x:v>152</x:v>
      </x:c>
      <x:c r="AK305" s="36" t="str">
        <x:f>IF(B305="","Name missing - not scored",IF(OR(NOT(ISNUMBER(G305)),G305&lt;=0),"Investment missing or zero - review",IF(0=1,"Permanent ID missing - reconcile",IF(AND(ISNUMBER(H305),H305/G305&gt;='Score settings'!$B$58,NOT(ISNUMBER(I305))),"Benefit units need review",IF(OR(R305="EXIT",R305="CHALLENGE"),"Waste decision requires scope resolution",IF("No exact waste match"&lt;&gt;"Name and organisation matched","Waste evidence match needs review","Provisional source score - confirm evidence"))))))</x:f>
        <x:v>Waste evidence match needs review</x:v>
      </x:c>
      <x:c r="AL305" s="36"/>
      <x:c r="AM305" s="40"/>
      <x:c r="AN305" s="39"/>
      <x:c r="AO305" s="40"/>
      <x:c r="AP305" s="40"/>
    </x:row>
    <x:row r="306" ht="15" hidden="0" customHeight="1">
      <x:c r="A306" s="36" t="str">
        <x:v>Bu-314</x:v>
      </x:c>
      <x:c r="B306" s="37" t="str">
        <x:v>Powering the AI-Native Organization</x:v>
      </x:c>
      <x:c r="C306" s="36" t="str">
        <x:v>BU Led</x:v>
      </x:c>
      <x:c r="D306" s="36" t="str">
        <x:v>Personal Health (PH)</x:v>
      </x:c>
      <x:c r="E306" s="38"/>
      <x:c r="F306" s="39"/>
      <x:c r="G306" s="38" t="str">
        <x:f>IF(ISNUMBER(F306),F306,IF(E306="","",E306))</x:f>
      </x:c>
      <x:c r="H306" s="38"/>
      <x:c r="I306" s="39"/>
      <x:c r="J306" s="36" t="str">
        <x:v>Revenue</x:v>
      </x:c>
      <x:c r="K306" s="38" t="str">
        <x:f>IF(ISNUMBER(I306),I306,IF(OR(NOT(ISNUMBER(H306)),NOT(ISNUMBER(G306)),G306&lt;=0),"",IF(H306/G306&gt;='Score settings'!$B$58,"",IF(J306="Cash savings",H306,IF(J306="Revenue",H306*'Score settings'!$B$55,"")))))</x:f>
      </x:c>
      <x:c r="L306" s="36"/>
      <x:c r="M306" s="39"/>
      <x:c r="N306" s="40"/>
      <x:c r="O306" s="36" t="str">
        <x:v>Depri</x:v>
      </x:c>
      <x:c r="P306" s="36" t="str">
        <x:v>Blank</x:v>
      </x:c>
      <x:c r="Q306" s="36" t="str">
        <x:v>Revenue</x:v>
      </x:c>
      <x:c r="R306" s="36" t="str">
        <x:v>NotAssessed</x:v>
      </x:c>
      <x:c r="S306" s="36" t="str"/>
      <x:c r="T306" s="36" t="str">
        <x:v>Common pot</x:v>
      </x:c>
      <x:c r="U306" s="41" t="n">
        <x:f>VLOOKUP("Priority|"&amp;O306,'Score settings'!$A$14:$C$43,2,FALSE)/'Score settings'!$B$4*'Score settings'!$C$4</x:f>
        <x:v>5</x:v>
      </x:c>
      <x:c r="V306" s="41" t="n">
        <x:f>VLOOKUP("Category|"&amp;P306,'Score settings'!$A$14:$C$43,2,FALSE)/'Score settings'!$B$5*'Score settings'!$C$5</x:f>
        <x:v>4</x:v>
      </x:c>
      <x:c r="W306" s="41" t="n">
        <x:f>VLOOKUP("Area|"&amp;Q306,'Score settings'!$A$14:$C$43,2,FALSE)/'Score settings'!$B$6*'Score settings'!$C$6</x:f>
        <x:v>11</x:v>
      </x:c>
      <x:c r="X306" s="41" t="n">
        <x:f>VLOOKUP("Benefits|"&amp;IF(AND(ISNUMBER(H306),H306&gt;0,ISNUMBER(G306),G306&gt;0),IF(H306/G306&gt;='Score settings'!$E$17,"3plus",IF(H306/G306&gt;='Score settings'!$E$16,"1.5to3",IF(H306/G306&gt;='Score settings'!$E$15,"0.5to1.5","positive"))),"None"),'Score settings'!$A$14:$C$43,2,FALSE)/'Score settings'!$B$7*'Score settings'!$C$7</x:f>
        <x:v>5</x:v>
      </x:c>
      <x:c r="Y306" s="41" t="n">
        <x:f>VLOOKUP("Waste|"&amp;R306,'Score settings'!$A$14:$C$43,2,FALSE)/'Score settings'!$B$8*'Score settings'!$C$8</x:f>
        <x:v>7</x:v>
      </x:c>
      <x:c r="Z306" s="41" t="n">
        <x:f>IF(B306="","",SUM(U306:Y306))</x:f>
        <x:v>32</x:v>
      </x:c>
      <x:c r="AA306" s="41" t="str">
        <x:f>IF(Z306="","Not scored",VLOOKUP(Z306,'Score settings'!$A$47:$C$50,2,TRUE))</x:f>
        <x:v>Discretionary</x:v>
      </x:c>
      <x:c r="AB306" s="41" t="n">
        <x:f>VLOOKUP("Priority|"&amp;O306,'Score settings'!$A$14:$C$43,3,FALSE)/'Score settings'!$B$4*'Score settings'!$D$4</x:f>
        <x:v>3</x:v>
      </x:c>
      <x:c r="AC306" s="41" t="n">
        <x:f>VLOOKUP("Category|"&amp;P306,'Score settings'!$A$14:$C$43,3,FALSE)/'Score settings'!$B$5*'Score settings'!$D$5</x:f>
        <x:v>0</x:v>
      </x:c>
      <x:c r="AD306" s="41" t="n">
        <x:f>VLOOKUP("Area|"&amp;Q306,'Score settings'!$A$14:$C$43,3,FALSE)/'Score settings'!$B$6*'Score settings'!$D$6</x:f>
        <x:v>7.333333333333333</x:v>
      </x:c>
      <x:c r="AE306" s="41" t="n">
        <x:f>VLOOKUP("Benefits|"&amp;IF(AND(ISNUMBER(K306),K306&gt;0,ISNUMBER(G306),G306&gt;0),IF(K306/G306&gt;='Score settings'!$E$17,"3plus",IF(K306/G306&gt;='Score settings'!$E$16,"1.5to3",IF(K306/G306&gt;='Score settings'!$E$15,"0.5to1.5","positive"))),"None"),'Score settings'!$A$14:$C$43,3,FALSE)/'Score settings'!$B$7*'Score settings'!$D$7</x:f>
        <x:v>0</x:v>
      </x:c>
      <x:c r="AF306" s="41" t="n">
        <x:f>VLOOKUP("Waste|"&amp;R306,'Score settings'!$A$14:$C$43,3,FALSE)/'Score settings'!$B$8*'Score settings'!$D$8</x:f>
        <x:v>0</x:v>
      </x:c>
      <x:c r="AG306" s="41" t="n">
        <x:f>(IF(AND(ISNUMBER(M306),M306&gt;0,ISNUMBER(G306),G306&gt;0),IF(M306/G306&gt;='Score settings'!$E$17,'Score settings'!$G$17,IF(M306/G306&gt;='Score settings'!$E$16,'Score settings'!$G$16,IF(M306/G306&gt;='Score settings'!$E$15,'Score settings'!$G$15,'Score settings'!$G$14))),0)/15*'Score settings'!$B$60+IFERROR(VLOOKUP(IF(ISNUMBER(N306),N306,IF(ISNUMBER(L306),L306,0)),'Score settings'!$E$22:$F$26,2,FALSE),0)/10*'Score settings'!$B$61)/'Score settings'!$B$9*'Score settings'!$D$9</x:f>
        <x:v>0</x:v>
      </x:c>
      <x:c r="AH306" s="41" t="n">
        <x:f>IF(B306="","",SUM(AB306:AG306))</x:f>
        <x:v>10.333333333333332</x:v>
      </x:c>
      <x:c r="AI306" s="41" t="str">
        <x:f>IF(NOT(ISNUMBER(AH306)),"Not scored",VLOOKUP(AH306,'Score settings'!$A$47:$C$50,3,TRUE))</x:f>
        <x:v>Weak</x:v>
      </x:c>
      <x:c r="AJ306" s="42" t="n">
        <x:f>IF(OR(NOT(ISNUMBER(AH306)),T306&lt;&gt;"Common pot"),"",COUNTIFS($T$4:$T$509,"Common pot",$AH$4:$AH$509,"&gt;"&amp;AH306)+1)</x:f>
        <x:v>382</x:v>
      </x:c>
      <x:c r="AK306" s="36" t="str">
        <x:f>IF(B306="","Name missing - not scored",IF(OR(NOT(ISNUMBER(G306)),G306&lt;=0),"Investment missing or zero - review",IF(0=1,"Permanent ID missing - reconcile",IF(AND(ISNUMBER(H306),H306/G306&gt;='Score settings'!$B$58,NOT(ISNUMBER(I306))),"Benefit units need review",IF(OR(R306="EXIT",R306="CHALLENGE"),"Waste decision requires scope resolution",IF("No exact waste match"&lt;&gt;"Name and organisation matched","Waste evidence match needs review","Provisional source score - confirm evidence"))))))</x:f>
        <x:v>Investment missing or zero - review</x:v>
      </x:c>
      <x:c r="AL306" s="36"/>
      <x:c r="AM306" s="40"/>
      <x:c r="AN306" s="39"/>
      <x:c r="AO306" s="40"/>
      <x:c r="AP306" s="40"/>
    </x:row>
    <x:row r="307" ht="15" hidden="0" customHeight="1">
      <x:c r="A307" s="36" t="str">
        <x:v>Bu-315</x:v>
      </x:c>
      <x:c r="B307" s="37" t="str">
        <x:v>Product Tester Platform: audit, stabilization &amp; future direction</x:v>
      </x:c>
      <x:c r="C307" s="36" t="str">
        <x:v>BU Led</x:v>
      </x:c>
      <x:c r="D307" s="36" t="str">
        <x:v>Personal Health (PH)</x:v>
      </x:c>
      <x:c r="E307" s="38" t="n">
        <x:v>0.2</x:v>
      </x:c>
      <x:c r="F307" s="39"/>
      <x:c r="G307" s="38" t="n">
        <x:f>IF(ISNUMBER(F307),F307,IF(E307="","",E307))</x:f>
        <x:v>0.2</x:v>
      </x:c>
      <x:c r="H307" s="38"/>
      <x:c r="I307" s="39"/>
      <x:c r="J307" s="36" t="str">
        <x:v>Risk exposure</x:v>
      </x:c>
      <x:c r="K307" s="38" t="str">
        <x:f>IF(ISNUMBER(I307),I307,IF(OR(NOT(ISNUMBER(H307)),NOT(ISNUMBER(G307)),G307&lt;=0),"",IF(H307/G307&gt;='Score settings'!$B$58,"",IF(J307="Cash savings",H307,IF(J307="Revenue",H307*'Score settings'!$B$55,"")))))</x:f>
      </x:c>
      <x:c r="L307" s="36"/>
      <x:c r="M307" s="39"/>
      <x:c r="N307" s="40"/>
      <x:c r="O307" s="36" t="str">
        <x:v>Must Do</x:v>
      </x:c>
      <x:c r="P307" s="36" t="str">
        <x:v>Blank</x:v>
      </x:c>
      <x:c r="Q307" s="36" t="str">
        <x:v>Compliance</x:v>
      </x:c>
      <x:c r="R307" s="36" t="str">
        <x:v>NotAssessed</x:v>
      </x:c>
      <x:c r="S307" s="36" t="str"/>
      <x:c r="T307" s="36" t="str">
        <x:v>Common pot</x:v>
      </x:c>
      <x:c r="U307" s="41" t="n">
        <x:f>VLOOKUP("Priority|"&amp;O307,'Score settings'!$A$14:$C$43,2,FALSE)/'Score settings'!$B$4*'Score settings'!$C$4</x:f>
        <x:v>25</x:v>
      </x:c>
      <x:c r="V307" s="41" t="n">
        <x:f>VLOOKUP("Category|"&amp;P307,'Score settings'!$A$14:$C$43,2,FALSE)/'Score settings'!$B$5*'Score settings'!$C$5</x:f>
        <x:v>4</x:v>
      </x:c>
      <x:c r="W307" s="41" t="n">
        <x:f>VLOOKUP("Area|"&amp;Q307,'Score settings'!$A$14:$C$43,2,FALSE)/'Score settings'!$B$6*'Score settings'!$C$6</x:f>
        <x:v>15</x:v>
      </x:c>
      <x:c r="X307" s="41" t="n">
        <x:f>VLOOKUP("Benefits|"&amp;IF(AND(ISNUMBER(H307),H307&gt;0,ISNUMBER(G307),G307&gt;0),IF(H307/G307&gt;='Score settings'!$E$17,"3plus",IF(H307/G307&gt;='Score settings'!$E$16,"1.5to3",IF(H307/G307&gt;='Score settings'!$E$15,"0.5to1.5","positive"))),"None"),'Score settings'!$A$14:$C$43,2,FALSE)/'Score settings'!$B$7*'Score settings'!$C$7</x:f>
        <x:v>5</x:v>
      </x:c>
      <x:c r="Y307" s="41" t="n">
        <x:f>VLOOKUP("Waste|"&amp;R307,'Score settings'!$A$14:$C$43,2,FALSE)/'Score settings'!$B$8*'Score settings'!$C$8</x:f>
        <x:v>7</x:v>
      </x:c>
      <x:c r="Z307" s="41" t="n">
        <x:f>IF(B307="","",SUM(U307:Y307))</x:f>
        <x:v>56</x:v>
      </x:c>
      <x:c r="AA307" s="41" t="str">
        <x:f>IF(Z307="","Not scored",VLOOKUP(Z307,'Score settings'!$A$47:$C$50,2,TRUE))</x:f>
        <x:v>Strong</x:v>
      </x:c>
      <x:c r="AB307" s="41" t="n">
        <x:f>VLOOKUP("Priority|"&amp;O307,'Score settings'!$A$14:$C$43,3,FALSE)/'Score settings'!$B$4*'Score settings'!$D$4</x:f>
        <x:v>15</x:v>
      </x:c>
      <x:c r="AC307" s="41" t="n">
        <x:f>VLOOKUP("Category|"&amp;P307,'Score settings'!$A$14:$C$43,3,FALSE)/'Score settings'!$B$5*'Score settings'!$D$5</x:f>
        <x:v>0</x:v>
      </x:c>
      <x:c r="AD307" s="41" t="n">
        <x:f>VLOOKUP("Area|"&amp;Q307,'Score settings'!$A$14:$C$43,3,FALSE)/'Score settings'!$B$6*'Score settings'!$D$6</x:f>
        <x:v>10</x:v>
      </x:c>
      <x:c r="AE307" s="41" t="n">
        <x:f>VLOOKUP("Benefits|"&amp;IF(AND(ISNUMBER(K307),K307&gt;0,ISNUMBER(G307),G307&gt;0),IF(K307/G307&gt;='Score settings'!$E$17,"3plus",IF(K307/G307&gt;='Score settings'!$E$16,"1.5to3",IF(K307/G307&gt;='Score settings'!$E$15,"0.5to1.5","positive"))),"None"),'Score settings'!$A$14:$C$43,3,FALSE)/'Score settings'!$B$7*'Score settings'!$D$7</x:f>
        <x:v>0</x:v>
      </x:c>
      <x:c r="AF307" s="41" t="n">
        <x:f>VLOOKUP("Waste|"&amp;R307,'Score settings'!$A$14:$C$43,3,FALSE)/'Score settings'!$B$8*'Score settings'!$D$8</x:f>
        <x:v>0</x:v>
      </x:c>
      <x:c r="AG307" s="41" t="n">
        <x:f>(IF(AND(ISNUMBER(M307),M307&gt;0,ISNUMBER(G307),G307&gt;0),IF(M307/G307&gt;='Score settings'!$E$17,'Score settings'!$G$17,IF(M307/G307&gt;='Score settings'!$E$16,'Score settings'!$G$16,IF(M307/G307&gt;='Score settings'!$E$15,'Score settings'!$G$15,'Score settings'!$G$14))),0)/15*'Score settings'!$B$60+IFERROR(VLOOKUP(IF(ISNUMBER(N307),N307,IF(ISNUMBER(L307),L307,0)),'Score settings'!$E$22:$F$26,2,FALSE),0)/10*'Score settings'!$B$61)/'Score settings'!$B$9*'Score settings'!$D$9</x:f>
        <x:v>0</x:v>
      </x:c>
      <x:c r="AH307" s="41" t="n">
        <x:f>IF(B307="","",SUM(AB307:AG307))</x:f>
        <x:v>25</x:v>
      </x:c>
      <x:c r="AI307" s="41" t="str">
        <x:f>IF(NOT(ISNUMBER(AH307)),"Not scored",VLOOKUP(AH307,'Score settings'!$A$47:$C$50,3,TRUE))</x:f>
        <x:v>Discretionary</x:v>
      </x:c>
      <x:c r="AJ307" s="42" t="n">
        <x:f>IF(OR(NOT(ISNUMBER(AH307)),T307&lt;&gt;"Common pot"),"",COUNTIFS($T$4:$T$509,"Common pot",$AH$4:$AH$509,"&gt;"&amp;AH307)+1)</x:f>
        <x:v>264</x:v>
      </x:c>
      <x:c r="AK307" s="36" t="str">
        <x:f>IF(B307="","Name missing - not scored",IF(OR(NOT(ISNUMBER(G307)),G307&lt;=0),"Investment missing or zero - review",IF(0=1,"Permanent ID missing - reconcile",IF(AND(ISNUMBER(H307),H307/G307&gt;='Score settings'!$B$58,NOT(ISNUMBER(I307))),"Benefit units need review",IF(OR(R307="EXIT",R307="CHALLENGE"),"Waste decision requires scope resolution",IF("No exact waste match"&lt;&gt;"Name and organisation matched","Waste evidence match needs review","Provisional source score - confirm evidence"))))))</x:f>
        <x:v>Waste evidence match needs review</x:v>
      </x:c>
      <x:c r="AL307" s="36"/>
      <x:c r="AM307" s="40"/>
      <x:c r="AN307" s="39"/>
      <x:c r="AO307" s="40"/>
      <x:c r="AP307" s="40"/>
    </x:row>
    <x:row r="308" ht="15" hidden="0" customHeight="1">
      <x:c r="A308" s="36" t="str">
        <x:v>Bu-316</x:v>
      </x:c>
      <x:c r="B308" s="37" t="str">
        <x:v>RegMem in a Day</x:v>
      </x:c>
      <x:c r="C308" s="36" t="str">
        <x:v>BU Led</x:v>
      </x:c>
      <x:c r="D308" s="36" t="str">
        <x:v>Personal Health (PH)</x:v>
      </x:c>
      <x:c r="E308" s="38" t="n">
        <x:v>0.15</x:v>
      </x:c>
      <x:c r="F308" s="39"/>
      <x:c r="G308" s="38" t="n">
        <x:f>IF(ISNUMBER(F308),F308,IF(E308="","",E308))</x:f>
        <x:v>0.15</x:v>
      </x:c>
      <x:c r="H308" s="38"/>
      <x:c r="I308" s="39"/>
      <x:c r="J308" s="36" t="str">
        <x:v>Risk exposure</x:v>
      </x:c>
      <x:c r="K308" s="38" t="str">
        <x:f>IF(ISNUMBER(I308),I308,IF(OR(NOT(ISNUMBER(H308)),NOT(ISNUMBER(G308)),G308&lt;=0),"",IF(H308/G308&gt;='Score settings'!$B$58,"",IF(J308="Cash savings",H308,IF(J308="Revenue",H308*'Score settings'!$B$55,"")))))</x:f>
      </x:c>
      <x:c r="L308" s="36"/>
      <x:c r="M308" s="39"/>
      <x:c r="N308" s="40"/>
      <x:c r="O308" s="36" t="str">
        <x:v>Must Do</x:v>
      </x:c>
      <x:c r="P308" s="36" t="str">
        <x:v>Blank</x:v>
      </x:c>
      <x:c r="Q308" s="36" t="str">
        <x:v>Compliance</x:v>
      </x:c>
      <x:c r="R308" s="36" t="str">
        <x:v>NotAssessed</x:v>
      </x:c>
      <x:c r="S308" s="36" t="str"/>
      <x:c r="T308" s="36" t="str">
        <x:v>Common pot</x:v>
      </x:c>
      <x:c r="U308" s="41" t="n">
        <x:f>VLOOKUP("Priority|"&amp;O308,'Score settings'!$A$14:$C$43,2,FALSE)/'Score settings'!$B$4*'Score settings'!$C$4</x:f>
        <x:v>25</x:v>
      </x:c>
      <x:c r="V308" s="41" t="n">
        <x:f>VLOOKUP("Category|"&amp;P308,'Score settings'!$A$14:$C$43,2,FALSE)/'Score settings'!$B$5*'Score settings'!$C$5</x:f>
        <x:v>4</x:v>
      </x:c>
      <x:c r="W308" s="41" t="n">
        <x:f>VLOOKUP("Area|"&amp;Q308,'Score settings'!$A$14:$C$43,2,FALSE)/'Score settings'!$B$6*'Score settings'!$C$6</x:f>
        <x:v>15</x:v>
      </x:c>
      <x:c r="X308" s="41" t="n">
        <x:f>VLOOKUP("Benefits|"&amp;IF(AND(ISNUMBER(H308),H308&gt;0,ISNUMBER(G308),G308&gt;0),IF(H308/G308&gt;='Score settings'!$E$17,"3plus",IF(H308/G308&gt;='Score settings'!$E$16,"1.5to3",IF(H308/G308&gt;='Score settings'!$E$15,"0.5to1.5","positive"))),"None"),'Score settings'!$A$14:$C$43,2,FALSE)/'Score settings'!$B$7*'Score settings'!$C$7</x:f>
        <x:v>5</x:v>
      </x:c>
      <x:c r="Y308" s="41" t="n">
        <x:f>VLOOKUP("Waste|"&amp;R308,'Score settings'!$A$14:$C$43,2,FALSE)/'Score settings'!$B$8*'Score settings'!$C$8</x:f>
        <x:v>7</x:v>
      </x:c>
      <x:c r="Z308" s="41" t="n">
        <x:f>IF(B308="","",SUM(U308:Y308))</x:f>
        <x:v>56</x:v>
      </x:c>
      <x:c r="AA308" s="41" t="str">
        <x:f>IF(Z308="","Not scored",VLOOKUP(Z308,'Score settings'!$A$47:$C$50,2,TRUE))</x:f>
        <x:v>Strong</x:v>
      </x:c>
      <x:c r="AB308" s="41" t="n">
        <x:f>VLOOKUP("Priority|"&amp;O308,'Score settings'!$A$14:$C$43,3,FALSE)/'Score settings'!$B$4*'Score settings'!$D$4</x:f>
        <x:v>15</x:v>
      </x:c>
      <x:c r="AC308" s="41" t="n">
        <x:f>VLOOKUP("Category|"&amp;P308,'Score settings'!$A$14:$C$43,3,FALSE)/'Score settings'!$B$5*'Score settings'!$D$5</x:f>
        <x:v>0</x:v>
      </x:c>
      <x:c r="AD308" s="41" t="n">
        <x:f>VLOOKUP("Area|"&amp;Q308,'Score settings'!$A$14:$C$43,3,FALSE)/'Score settings'!$B$6*'Score settings'!$D$6</x:f>
        <x:v>10</x:v>
      </x:c>
      <x:c r="AE308" s="41" t="n">
        <x:f>VLOOKUP("Benefits|"&amp;IF(AND(ISNUMBER(K308),K308&gt;0,ISNUMBER(G308),G308&gt;0),IF(K308/G308&gt;='Score settings'!$E$17,"3plus",IF(K308/G308&gt;='Score settings'!$E$16,"1.5to3",IF(K308/G308&gt;='Score settings'!$E$15,"0.5to1.5","positive"))),"None"),'Score settings'!$A$14:$C$43,3,FALSE)/'Score settings'!$B$7*'Score settings'!$D$7</x:f>
        <x:v>0</x:v>
      </x:c>
      <x:c r="AF308" s="41" t="n">
        <x:f>VLOOKUP("Waste|"&amp;R308,'Score settings'!$A$14:$C$43,3,FALSE)/'Score settings'!$B$8*'Score settings'!$D$8</x:f>
        <x:v>0</x:v>
      </x:c>
      <x:c r="AG308" s="41" t="n">
        <x:f>(IF(AND(ISNUMBER(M308),M308&gt;0,ISNUMBER(G308),G308&gt;0),IF(M308/G308&gt;='Score settings'!$E$17,'Score settings'!$G$17,IF(M308/G308&gt;='Score settings'!$E$16,'Score settings'!$G$16,IF(M308/G308&gt;='Score settings'!$E$15,'Score settings'!$G$15,'Score settings'!$G$14))),0)/15*'Score settings'!$B$60+IFERROR(VLOOKUP(IF(ISNUMBER(N308),N308,IF(ISNUMBER(L308),L308,0)),'Score settings'!$E$22:$F$26,2,FALSE),0)/10*'Score settings'!$B$61)/'Score settings'!$B$9*'Score settings'!$D$9</x:f>
        <x:v>0</x:v>
      </x:c>
      <x:c r="AH308" s="41" t="n">
        <x:f>IF(B308="","",SUM(AB308:AG308))</x:f>
        <x:v>25</x:v>
      </x:c>
      <x:c r="AI308" s="41" t="str">
        <x:f>IF(NOT(ISNUMBER(AH308)),"Not scored",VLOOKUP(AH308,'Score settings'!$A$47:$C$50,3,TRUE))</x:f>
        <x:v>Discretionary</x:v>
      </x:c>
      <x:c r="AJ308" s="42" t="n">
        <x:f>IF(OR(NOT(ISNUMBER(AH308)),T308&lt;&gt;"Common pot"),"",COUNTIFS($T$4:$T$509,"Common pot",$AH$4:$AH$509,"&gt;"&amp;AH308)+1)</x:f>
        <x:v>264</x:v>
      </x:c>
      <x:c r="AK308" s="36" t="str">
        <x:f>IF(B308="","Name missing - not scored",IF(OR(NOT(ISNUMBER(G308)),G308&lt;=0),"Investment missing or zero - review",IF(0=1,"Permanent ID missing - reconcile",IF(AND(ISNUMBER(H308),H308/G308&gt;='Score settings'!$B$58,NOT(ISNUMBER(I308))),"Benefit units need review",IF(OR(R308="EXIT",R308="CHALLENGE"),"Waste decision requires scope resolution",IF("No exact waste match"&lt;&gt;"Name and organisation matched","Waste evidence match needs review","Provisional source score - confirm evidence"))))))</x:f>
        <x:v>Waste evidence match needs review</x:v>
      </x:c>
      <x:c r="AL308" s="36"/>
      <x:c r="AM308" s="40"/>
      <x:c r="AN308" s="39"/>
      <x:c r="AO308" s="40"/>
      <x:c r="AP308" s="40"/>
    </x:row>
    <x:row r="309" ht="15" hidden="0" customHeight="1">
      <x:c r="A309" s="36" t="str">
        <x:v>Bu-317</x:v>
      </x:c>
      <x:c r="B309" s="37" t="str">
        <x:v>Sales &amp; Margin Agent</x:v>
      </x:c>
      <x:c r="C309" s="36" t="str">
        <x:v>BU Led</x:v>
      </x:c>
      <x:c r="D309" s="36" t="str">
        <x:v>Personal Health (PH)</x:v>
      </x:c>
      <x:c r="E309" s="38" t="n">
        <x:v>0.05</x:v>
      </x:c>
      <x:c r="F309" s="39"/>
      <x:c r="G309" s="38" t="n">
        <x:f>IF(ISNUMBER(F309),F309,IF(E309="","",E309))</x:f>
        <x:v>0.05</x:v>
      </x:c>
      <x:c r="H309" s="38"/>
      <x:c r="I309" s="39"/>
      <x:c r="J309" s="36" t="str">
        <x:v>Cash savings</x:v>
      </x:c>
      <x:c r="K309" s="38" t="str">
        <x:f>IF(ISNUMBER(I309),I309,IF(OR(NOT(ISNUMBER(H309)),NOT(ISNUMBER(G309)),G309&lt;=0),"",IF(H309/G309&gt;='Score settings'!$B$58,"",IF(J309="Cash savings",H309,IF(J309="Revenue",H309*'Score settings'!$B$55,"")))))</x:f>
      </x:c>
      <x:c r="L309" s="36"/>
      <x:c r="M309" s="39"/>
      <x:c r="N309" s="40"/>
      <x:c r="O309" s="36" t="str">
        <x:v>Must Have</x:v>
      </x:c>
      <x:c r="P309" s="36" t="str">
        <x:v>CI</x:v>
      </x:c>
      <x:c r="Q309" s="36" t="str">
        <x:v>Productivity</x:v>
      </x:c>
      <x:c r="R309" s="36" t="str">
        <x:v>NotAssessed</x:v>
      </x:c>
      <x:c r="S309" s="36" t="str"/>
      <x:c r="T309" s="36" t="str">
        <x:v>Common pot</x:v>
      </x:c>
      <x:c r="U309" s="41" t="n">
        <x:f>VLOOKUP("Priority|"&amp;O309,'Score settings'!$A$14:$C$43,2,FALSE)/'Score settings'!$B$4*'Score settings'!$C$4</x:f>
        <x:v>18</x:v>
      </x:c>
      <x:c r="V309" s="41" t="n">
        <x:f>VLOOKUP("Category|"&amp;P309,'Score settings'!$A$14:$C$43,2,FALSE)/'Score settings'!$B$5*'Score settings'!$C$5</x:f>
        <x:v>8</x:v>
      </x:c>
      <x:c r="W309" s="41" t="n">
        <x:f>VLOOKUP("Area|"&amp;Q309,'Score settings'!$A$14:$C$43,2,FALSE)/'Score settings'!$B$6*'Score settings'!$C$6</x:f>
        <x:v>10</x:v>
      </x:c>
      <x:c r="X309" s="41" t="n">
        <x:f>VLOOKUP("Benefits|"&amp;IF(AND(ISNUMBER(H309),H309&gt;0,ISNUMBER(G309),G309&gt;0),IF(H309/G309&gt;='Score settings'!$E$17,"3plus",IF(H309/G309&gt;='Score settings'!$E$16,"1.5to3",IF(H309/G309&gt;='Score settings'!$E$15,"0.5to1.5","positive"))),"None"),'Score settings'!$A$14:$C$43,2,FALSE)/'Score settings'!$B$7*'Score settings'!$C$7</x:f>
        <x:v>5</x:v>
      </x:c>
      <x:c r="Y309" s="41" t="n">
        <x:f>VLOOKUP("Waste|"&amp;R309,'Score settings'!$A$14:$C$43,2,FALSE)/'Score settings'!$B$8*'Score settings'!$C$8</x:f>
        <x:v>7</x:v>
      </x:c>
      <x:c r="Z309" s="41" t="n">
        <x:f>IF(B309="","",SUM(U309:Y309))</x:f>
        <x:v>48</x:v>
      </x:c>
      <x:c r="AA309" s="41" t="str">
        <x:f>IF(Z309="","Not scored",VLOOKUP(Z309,'Score settings'!$A$47:$C$50,2,TRUE))</x:f>
        <x:v>Strong</x:v>
      </x:c>
      <x:c r="AB309" s="41" t="n">
        <x:f>VLOOKUP("Priority|"&amp;O309,'Score settings'!$A$14:$C$43,3,FALSE)/'Score settings'!$B$4*'Score settings'!$D$4</x:f>
        <x:v>10.799999999999999</x:v>
      </x:c>
      <x:c r="AC309" s="41" t="n">
        <x:f>VLOOKUP("Category|"&amp;P309,'Score settings'!$A$14:$C$43,3,FALSE)/'Score settings'!$B$5*'Score settings'!$D$5</x:f>
        <x:v>4</x:v>
      </x:c>
      <x:c r="AD309" s="41" t="n">
        <x:f>VLOOKUP("Area|"&amp;Q309,'Score settings'!$A$14:$C$43,3,FALSE)/'Score settings'!$B$6*'Score settings'!$D$6</x:f>
        <x:v>6.666666666666666</x:v>
      </x:c>
      <x:c r="AE309" s="41" t="n">
        <x:f>VLOOKUP("Benefits|"&amp;IF(AND(ISNUMBER(K309),K309&gt;0,ISNUMBER(G309),G309&gt;0),IF(K309/G309&gt;='Score settings'!$E$17,"3plus",IF(K309/G309&gt;='Score settings'!$E$16,"1.5to3",IF(K309/G309&gt;='Score settings'!$E$15,"0.5to1.5","positive"))),"None"),'Score settings'!$A$14:$C$43,3,FALSE)/'Score settings'!$B$7*'Score settings'!$D$7</x:f>
        <x:v>0</x:v>
      </x:c>
      <x:c r="AF309" s="41" t="n">
        <x:f>VLOOKUP("Waste|"&amp;R309,'Score settings'!$A$14:$C$43,3,FALSE)/'Score settings'!$B$8*'Score settings'!$D$8</x:f>
        <x:v>0</x:v>
      </x:c>
      <x:c r="AG309" s="41" t="n">
        <x:f>(IF(AND(ISNUMBER(M309),M309&gt;0,ISNUMBER(G309),G309&gt;0),IF(M309/G309&gt;='Score settings'!$E$17,'Score settings'!$G$17,IF(M309/G309&gt;='Score settings'!$E$16,'Score settings'!$G$16,IF(M309/G309&gt;='Score settings'!$E$15,'Score settings'!$G$15,'Score settings'!$G$14))),0)/15*'Score settings'!$B$60+IFERROR(VLOOKUP(IF(ISNUMBER(N309),N309,IF(ISNUMBER(L309),L309,0)),'Score settings'!$E$22:$F$26,2,FALSE),0)/10*'Score settings'!$B$61)/'Score settings'!$B$9*'Score settings'!$D$9</x:f>
        <x:v>0</x:v>
      </x:c>
      <x:c r="AH309" s="41" t="n">
        <x:f>IF(B309="","",SUM(AB309:AG309))</x:f>
        <x:v>21.466666666666665</x:v>
      </x:c>
      <x:c r="AI309" s="41" t="str">
        <x:f>IF(NOT(ISNUMBER(AH309)),"Not scored",VLOOKUP(AH309,'Score settings'!$A$47:$C$50,3,TRUE))</x:f>
        <x:v>Weak</x:v>
      </x:c>
      <x:c r="AJ309" s="42" t="n">
        <x:f>IF(OR(NOT(ISNUMBER(AH309)),T309&lt;&gt;"Common pot"),"",COUNTIFS($T$4:$T$509,"Common pot",$AH$4:$AH$509,"&gt;"&amp;AH309)+1)</x:f>
        <x:v>343</x:v>
      </x:c>
      <x:c r="AK309" s="36" t="str">
        <x:f>IF(B309="","Name missing - not scored",IF(OR(NOT(ISNUMBER(G309)),G309&lt;=0),"Investment missing or zero - review",IF(0=1,"Permanent ID missing - reconcile",IF(AND(ISNUMBER(H309),H309/G309&gt;='Score settings'!$B$58,NOT(ISNUMBER(I309))),"Benefit units need review",IF(OR(R309="EXIT",R309="CHALLENGE"),"Waste decision requires scope resolution",IF("No exact waste match"&lt;&gt;"Name and organisation matched","Waste evidence match needs review","Provisional source score - confirm evidence"))))))</x:f>
        <x:v>Waste evidence match needs review</x:v>
      </x:c>
      <x:c r="AL309" s="36"/>
      <x:c r="AM309" s="40"/>
      <x:c r="AN309" s="39"/>
      <x:c r="AO309" s="40"/>
      <x:c r="AP309" s="40"/>
    </x:row>
    <x:row r="310" ht="15" hidden="0" customHeight="1">
      <x:c r="A310" s="36" t="str">
        <x:v>Bu-318</x:v>
      </x:c>
      <x:c r="B310" s="37" t="str">
        <x:v>Salsify to data lake integration</x:v>
      </x:c>
      <x:c r="C310" s="36" t="str">
        <x:v>BU Led</x:v>
      </x:c>
      <x:c r="D310" s="36" t="str">
        <x:v>Personal Health (PH)</x:v>
      </x:c>
      <x:c r="E310" s="38" t="n">
        <x:v>0.12</x:v>
      </x:c>
      <x:c r="F310" s="39"/>
      <x:c r="G310" s="38" t="n">
        <x:f>IF(ISNUMBER(F310),F310,IF(E310="","",E310))</x:f>
        <x:v>0.12</x:v>
      </x:c>
      <x:c r="H310" s="38"/>
      <x:c r="I310" s="39"/>
      <x:c r="J310" s="36" t="str">
        <x:v>Cash savings</x:v>
      </x:c>
      <x:c r="K310" s="38" t="str">
        <x:f>IF(ISNUMBER(I310),I310,IF(OR(NOT(ISNUMBER(H310)),NOT(ISNUMBER(G310)),G310&lt;=0),"",IF(H310/G310&gt;='Score settings'!$B$58,"",IF(J310="Cash savings",H310,IF(J310="Revenue",H310*'Score settings'!$B$55,"")))))</x:f>
      </x:c>
      <x:c r="L310" s="36"/>
      <x:c r="M310" s="39"/>
      <x:c r="N310" s="40"/>
      <x:c r="O310" s="36" t="str">
        <x:v>Must Do</x:v>
      </x:c>
      <x:c r="P310" s="36" t="str">
        <x:v>NewFeat</x:v>
      </x:c>
      <x:c r="Q310" s="36" t="str">
        <x:v>ProcSimp</x:v>
      </x:c>
      <x:c r="R310" s="36" t="str">
        <x:v>NotAssessed</x:v>
      </x:c>
      <x:c r="S310" s="36" t="str"/>
      <x:c r="T310" s="36" t="str">
        <x:v>Common pot</x:v>
      </x:c>
      <x:c r="U310" s="41" t="n">
        <x:f>VLOOKUP("Priority|"&amp;O310,'Score settings'!$A$14:$C$43,2,FALSE)/'Score settings'!$B$4*'Score settings'!$C$4</x:f>
        <x:v>25</x:v>
      </x:c>
      <x:c r="V310" s="41" t="n">
        <x:f>VLOOKUP("Category|"&amp;P310,'Score settings'!$A$14:$C$43,2,FALSE)/'Score settings'!$B$5*'Score settings'!$C$5</x:f>
        <x:v>6</x:v>
      </x:c>
      <x:c r="W310" s="41" t="n">
        <x:f>VLOOKUP("Area|"&amp;Q310,'Score settings'!$A$14:$C$43,2,FALSE)/'Score settings'!$B$6*'Score settings'!$C$6</x:f>
        <x:v>12</x:v>
      </x:c>
      <x:c r="X310" s="41" t="n">
        <x:f>VLOOKUP("Benefits|"&amp;IF(AND(ISNUMBER(H310),H310&gt;0,ISNUMBER(G310),G310&gt;0),IF(H310/G310&gt;='Score settings'!$E$17,"3plus",IF(H310/G310&gt;='Score settings'!$E$16,"1.5to3",IF(H310/G310&gt;='Score settings'!$E$15,"0.5to1.5","positive"))),"None"),'Score settings'!$A$14:$C$43,2,FALSE)/'Score settings'!$B$7*'Score settings'!$C$7</x:f>
        <x:v>5</x:v>
      </x:c>
      <x:c r="Y310" s="41" t="n">
        <x:f>VLOOKUP("Waste|"&amp;R310,'Score settings'!$A$14:$C$43,2,FALSE)/'Score settings'!$B$8*'Score settings'!$C$8</x:f>
        <x:v>7</x:v>
      </x:c>
      <x:c r="Z310" s="41" t="n">
        <x:f>IF(B310="","",SUM(U310:Y310))</x:f>
        <x:v>55</x:v>
      </x:c>
      <x:c r="AA310" s="41" t="str">
        <x:f>IF(Z310="","Not scored",VLOOKUP(Z310,'Score settings'!$A$47:$C$50,2,TRUE))</x:f>
        <x:v>Strong</x:v>
      </x:c>
      <x:c r="AB310" s="41" t="n">
        <x:f>VLOOKUP("Priority|"&amp;O310,'Score settings'!$A$14:$C$43,3,FALSE)/'Score settings'!$B$4*'Score settings'!$D$4</x:f>
        <x:v>15</x:v>
      </x:c>
      <x:c r="AC310" s="41" t="n">
        <x:f>VLOOKUP("Category|"&amp;P310,'Score settings'!$A$14:$C$43,3,FALSE)/'Score settings'!$B$5*'Score settings'!$D$5</x:f>
        <x:v>3</x:v>
      </x:c>
      <x:c r="AD310" s="41" t="n">
        <x:f>VLOOKUP("Area|"&amp;Q310,'Score settings'!$A$14:$C$43,3,FALSE)/'Score settings'!$B$6*'Score settings'!$D$6</x:f>
        <x:v>8</x:v>
      </x:c>
      <x:c r="AE310" s="41" t="n">
        <x:f>VLOOKUP("Benefits|"&amp;IF(AND(ISNUMBER(K310),K310&gt;0,ISNUMBER(G310),G310&gt;0),IF(K310/G310&gt;='Score settings'!$E$17,"3plus",IF(K310/G310&gt;='Score settings'!$E$16,"1.5to3",IF(K310/G310&gt;='Score settings'!$E$15,"0.5to1.5","positive"))),"None"),'Score settings'!$A$14:$C$43,3,FALSE)/'Score settings'!$B$7*'Score settings'!$D$7</x:f>
        <x:v>0</x:v>
      </x:c>
      <x:c r="AF310" s="41" t="n">
        <x:f>VLOOKUP("Waste|"&amp;R310,'Score settings'!$A$14:$C$43,3,FALSE)/'Score settings'!$B$8*'Score settings'!$D$8</x:f>
        <x:v>0</x:v>
      </x:c>
      <x:c r="AG310" s="41" t="n">
        <x:f>(IF(AND(ISNUMBER(M310),M310&gt;0,ISNUMBER(G310),G310&gt;0),IF(M310/G310&gt;='Score settings'!$E$17,'Score settings'!$G$17,IF(M310/G310&gt;='Score settings'!$E$16,'Score settings'!$G$16,IF(M310/G310&gt;='Score settings'!$E$15,'Score settings'!$G$15,'Score settings'!$G$14))),0)/15*'Score settings'!$B$60+IFERROR(VLOOKUP(IF(ISNUMBER(N310),N310,IF(ISNUMBER(L310),L310,0)),'Score settings'!$E$22:$F$26,2,FALSE),0)/10*'Score settings'!$B$61)/'Score settings'!$B$9*'Score settings'!$D$9</x:f>
        <x:v>0</x:v>
      </x:c>
      <x:c r="AH310" s="41" t="n">
        <x:f>IF(B310="","",SUM(AB310:AG310))</x:f>
        <x:v>26</x:v>
      </x:c>
      <x:c r="AI310" s="41" t="str">
        <x:f>IF(NOT(ISNUMBER(AH310)),"Not scored",VLOOKUP(AH310,'Score settings'!$A$47:$C$50,3,TRUE))</x:f>
        <x:v>Discretionary</x:v>
      </x:c>
      <x:c r="AJ310" s="42" t="n">
        <x:f>IF(OR(NOT(ISNUMBER(AH310)),T310&lt;&gt;"Common pot"),"",COUNTIFS($T$4:$T$509,"Common pot",$AH$4:$AH$509,"&gt;"&amp;AH310)+1)</x:f>
        <x:v>237</x:v>
      </x:c>
      <x:c r="AK310" s="36" t="str">
        <x:f>IF(B310="","Name missing - not scored",IF(OR(NOT(ISNUMBER(G310)),G310&lt;=0),"Investment missing or zero - review",IF(0=1,"Permanent ID missing - reconcile",IF(AND(ISNUMBER(H310),H310/G310&gt;='Score settings'!$B$58,NOT(ISNUMBER(I310))),"Benefit units need review",IF(OR(R310="EXIT",R310="CHALLENGE"),"Waste decision requires scope resolution",IF("No exact waste match"&lt;&gt;"Name and organisation matched","Waste evidence match needs review","Provisional source score - confirm evidence"))))))</x:f>
        <x:v>Waste evidence match needs review</x:v>
      </x:c>
      <x:c r="AL310" s="36"/>
      <x:c r="AM310" s="40"/>
      <x:c r="AN310" s="39"/>
      <x:c r="AO310" s="40"/>
      <x:c r="AP310" s="40"/>
    </x:row>
    <x:row r="311" ht="15" hidden="0" customHeight="1">
      <x:c r="A311" s="36" t="str">
        <x:v>Bu-319</x:v>
      </x:c>
      <x:c r="B311" s="37" t="str">
        <x:v>Telephony Transformation - End-of-Life Replacement</x:v>
      </x:c>
      <x:c r="C311" s="36" t="str">
        <x:v>BU Led</x:v>
      </x:c>
      <x:c r="D311" s="36" t="str">
        <x:v>Personal Health (PH)</x:v>
      </x:c>
      <x:c r="E311" s="38" t="n">
        <x:v>0.3</x:v>
      </x:c>
      <x:c r="F311" s="39"/>
      <x:c r="G311" s="38" t="n">
        <x:f>IF(ISNUMBER(F311),F311,IF(E311="","",E311))</x:f>
        <x:v>0.3</x:v>
      </x:c>
      <x:c r="H311" s="38"/>
      <x:c r="I311" s="39"/>
      <x:c r="J311" s="36" t="str">
        <x:v>Risk exposure</x:v>
      </x:c>
      <x:c r="K311" s="38" t="str">
        <x:f>IF(ISNUMBER(I311),I311,IF(OR(NOT(ISNUMBER(H311)),NOT(ISNUMBER(G311)),G311&lt;=0),"",IF(H311/G311&gt;='Score settings'!$B$58,"",IF(J311="Cash savings",H311,IF(J311="Revenue",H311*'Score settings'!$B$55,"")))))</x:f>
      </x:c>
      <x:c r="L311" s="36"/>
      <x:c r="M311" s="39"/>
      <x:c r="N311" s="40"/>
      <x:c r="O311" s="36" t="str">
        <x:v>Must Have</x:v>
      </x:c>
      <x:c r="P311" s="36" t="str">
        <x:v>Blank</x:v>
      </x:c>
      <x:c r="Q311" s="36" t="str">
        <x:v>Compliance</x:v>
      </x:c>
      <x:c r="R311" s="36" t="str">
        <x:v>NotAssessed</x:v>
      </x:c>
      <x:c r="S311" s="36" t="str"/>
      <x:c r="T311" s="36" t="str">
        <x:v>Common pot</x:v>
      </x:c>
      <x:c r="U311" s="41" t="n">
        <x:f>VLOOKUP("Priority|"&amp;O311,'Score settings'!$A$14:$C$43,2,FALSE)/'Score settings'!$B$4*'Score settings'!$C$4</x:f>
        <x:v>18</x:v>
      </x:c>
      <x:c r="V311" s="41" t="n">
        <x:f>VLOOKUP("Category|"&amp;P311,'Score settings'!$A$14:$C$43,2,FALSE)/'Score settings'!$B$5*'Score settings'!$C$5</x:f>
        <x:v>4</x:v>
      </x:c>
      <x:c r="W311" s="41" t="n">
        <x:f>VLOOKUP("Area|"&amp;Q311,'Score settings'!$A$14:$C$43,2,FALSE)/'Score settings'!$B$6*'Score settings'!$C$6</x:f>
        <x:v>15</x:v>
      </x:c>
      <x:c r="X311" s="41" t="n">
        <x:f>VLOOKUP("Benefits|"&amp;IF(AND(ISNUMBER(H311),H311&gt;0,ISNUMBER(G311),G311&gt;0),IF(H311/G311&gt;='Score settings'!$E$17,"3plus",IF(H311/G311&gt;='Score settings'!$E$16,"1.5to3",IF(H311/G311&gt;='Score settings'!$E$15,"0.5to1.5","positive"))),"None"),'Score settings'!$A$14:$C$43,2,FALSE)/'Score settings'!$B$7*'Score settings'!$C$7</x:f>
        <x:v>5</x:v>
      </x:c>
      <x:c r="Y311" s="41" t="n">
        <x:f>VLOOKUP("Waste|"&amp;R311,'Score settings'!$A$14:$C$43,2,FALSE)/'Score settings'!$B$8*'Score settings'!$C$8</x:f>
        <x:v>7</x:v>
      </x:c>
      <x:c r="Z311" s="41" t="n">
        <x:f>IF(B311="","",SUM(U311:Y311))</x:f>
        <x:v>49</x:v>
      </x:c>
      <x:c r="AA311" s="41" t="str">
        <x:f>IF(Z311="","Not scored",VLOOKUP(Z311,'Score settings'!$A$47:$C$50,2,TRUE))</x:f>
        <x:v>Strong</x:v>
      </x:c>
      <x:c r="AB311" s="41" t="n">
        <x:f>VLOOKUP("Priority|"&amp;O311,'Score settings'!$A$14:$C$43,3,FALSE)/'Score settings'!$B$4*'Score settings'!$D$4</x:f>
        <x:v>10.799999999999999</x:v>
      </x:c>
      <x:c r="AC311" s="41" t="n">
        <x:f>VLOOKUP("Category|"&amp;P311,'Score settings'!$A$14:$C$43,3,FALSE)/'Score settings'!$B$5*'Score settings'!$D$5</x:f>
        <x:v>0</x:v>
      </x:c>
      <x:c r="AD311" s="41" t="n">
        <x:f>VLOOKUP("Area|"&amp;Q311,'Score settings'!$A$14:$C$43,3,FALSE)/'Score settings'!$B$6*'Score settings'!$D$6</x:f>
        <x:v>10</x:v>
      </x:c>
      <x:c r="AE311" s="41" t="n">
        <x:f>VLOOKUP("Benefits|"&amp;IF(AND(ISNUMBER(K311),K311&gt;0,ISNUMBER(G311),G311&gt;0),IF(K311/G311&gt;='Score settings'!$E$17,"3plus",IF(K311/G311&gt;='Score settings'!$E$16,"1.5to3",IF(K311/G311&gt;='Score settings'!$E$15,"0.5to1.5","positive"))),"None"),'Score settings'!$A$14:$C$43,3,FALSE)/'Score settings'!$B$7*'Score settings'!$D$7</x:f>
        <x:v>0</x:v>
      </x:c>
      <x:c r="AF311" s="41" t="n">
        <x:f>VLOOKUP("Waste|"&amp;R311,'Score settings'!$A$14:$C$43,3,FALSE)/'Score settings'!$B$8*'Score settings'!$D$8</x:f>
        <x:v>0</x:v>
      </x:c>
      <x:c r="AG311" s="41" t="n">
        <x:f>(IF(AND(ISNUMBER(M311),M311&gt;0,ISNUMBER(G311),G311&gt;0),IF(M311/G311&gt;='Score settings'!$E$17,'Score settings'!$G$17,IF(M311/G311&gt;='Score settings'!$E$16,'Score settings'!$G$16,IF(M311/G311&gt;='Score settings'!$E$15,'Score settings'!$G$15,'Score settings'!$G$14))),0)/15*'Score settings'!$B$60+IFERROR(VLOOKUP(IF(ISNUMBER(N311),N311,IF(ISNUMBER(L311),L311,0)),'Score settings'!$E$22:$F$26,2,FALSE),0)/10*'Score settings'!$B$61)/'Score settings'!$B$9*'Score settings'!$D$9</x:f>
        <x:v>0</x:v>
      </x:c>
      <x:c r="AH311" s="41" t="n">
        <x:f>IF(B311="","",SUM(AB311:AG311))</x:f>
        <x:v>20.799999999999997</x:v>
      </x:c>
      <x:c r="AI311" s="41" t="str">
        <x:f>IF(NOT(ISNUMBER(AH311)),"Not scored",VLOOKUP(AH311,'Score settings'!$A$47:$C$50,3,TRUE))</x:f>
        <x:v>Weak</x:v>
      </x:c>
      <x:c r="AJ311" s="42" t="n">
        <x:f>IF(OR(NOT(ISNUMBER(AH311)),T311&lt;&gt;"Common pot"),"",COUNTIFS($T$4:$T$509,"Common pot",$AH$4:$AH$509,"&gt;"&amp;AH311)+1)</x:f>
        <x:v>348</x:v>
      </x:c>
      <x:c r="AK311" s="36" t="str">
        <x:f>IF(B311="","Name missing - not scored",IF(OR(NOT(ISNUMBER(G311)),G311&lt;=0),"Investment missing or zero - review",IF(0=1,"Permanent ID missing - reconcile",IF(AND(ISNUMBER(H311),H311/G311&gt;='Score settings'!$B$58,NOT(ISNUMBER(I311))),"Benefit units need review",IF(OR(R311="EXIT",R311="CHALLENGE"),"Waste decision requires scope resolution",IF("No exact waste match"&lt;&gt;"Name and organisation matched","Waste evidence match needs review","Provisional source score - confirm evidence"))))))</x:f>
        <x:v>Waste evidence match needs review</x:v>
      </x:c>
      <x:c r="AL311" s="36"/>
      <x:c r="AM311" s="40"/>
      <x:c r="AN311" s="39"/>
      <x:c r="AO311" s="40"/>
      <x:c r="AP311" s="40"/>
    </x:row>
    <x:row r="312" ht="15" hidden="0" customHeight="1">
      <x:c r="A312" s="36" t="str">
        <x:v>Bu-320</x:v>
      </x:c>
      <x:c r="B312" s="37" t="str">
        <x:v>TikTok Automated Consignment Flow</x:v>
      </x:c>
      <x:c r="C312" s="36" t="str">
        <x:v>BU Led</x:v>
      </x:c>
      <x:c r="D312" s="36" t="str">
        <x:v>Personal Health (PH)</x:v>
      </x:c>
      <x:c r="E312" s="38" t="n">
        <x:v>0.245</x:v>
      </x:c>
      <x:c r="F312" s="39"/>
      <x:c r="G312" s="38" t="n">
        <x:f>IF(ISNUMBER(F312),F312,IF(E312="","",E312))</x:f>
        <x:v>0.245</x:v>
      </x:c>
      <x:c r="H312" s="38" t="n">
        <x:v>4.1</x:v>
      </x:c>
      <x:c r="I312" s="39"/>
      <x:c r="J312" s="36" t="str">
        <x:v>Revenue</x:v>
      </x:c>
      <x:c r="K312" s="38" t="n">
        <x:f>IF(ISNUMBER(I312),I312,IF(OR(NOT(ISNUMBER(H312)),NOT(ISNUMBER(G312)),G312&lt;=0),"",IF(H312/G312&gt;='Score settings'!$B$58,"",IF(J312="Cash savings",H312,IF(J312="Revenue",H312*'Score settings'!$B$55,"")))))</x:f>
        <x:v>0.6149999999999999</x:v>
      </x:c>
      <x:c r="L312" s="36"/>
      <x:c r="M312" s="39"/>
      <x:c r="N312" s="40"/>
      <x:c r="O312" s="36" t="str">
        <x:v>Must Have</x:v>
      </x:c>
      <x:c r="P312" s="36" t="str">
        <x:v>Blank</x:v>
      </x:c>
      <x:c r="Q312" s="36" t="str">
        <x:v>Revenue</x:v>
      </x:c>
      <x:c r="R312" s="36" t="str">
        <x:v>NotAssessed</x:v>
      </x:c>
      <x:c r="S312" s="36" t="str"/>
      <x:c r="T312" s="36" t="str">
        <x:v>Common pot</x:v>
      </x:c>
      <x:c r="U312" s="41" t="n">
        <x:f>VLOOKUP("Priority|"&amp;O312,'Score settings'!$A$14:$C$43,2,FALSE)/'Score settings'!$B$4*'Score settings'!$C$4</x:f>
        <x:v>18</x:v>
      </x:c>
      <x:c r="V312" s="41" t="n">
        <x:f>VLOOKUP("Category|"&amp;P312,'Score settings'!$A$14:$C$43,2,FALSE)/'Score settings'!$B$5*'Score settings'!$C$5</x:f>
        <x:v>4</x:v>
      </x:c>
      <x:c r="W312" s="41" t="n">
        <x:f>VLOOKUP("Area|"&amp;Q312,'Score settings'!$A$14:$C$43,2,FALSE)/'Score settings'!$B$6*'Score settings'!$C$6</x:f>
        <x:v>11</x:v>
      </x:c>
      <x:c r="X312" s="41" t="n">
        <x:f>VLOOKUP("Benefits|"&amp;IF(AND(ISNUMBER(H312),H312&gt;0,ISNUMBER(G312),G312&gt;0),IF(H312/G312&gt;='Score settings'!$E$17,"3plus",IF(H312/G312&gt;='Score settings'!$E$16,"1.5to3",IF(H312/G312&gt;='Score settings'!$E$15,"0.5to1.5","positive"))),"None"),'Score settings'!$A$14:$C$43,2,FALSE)/'Score settings'!$B$7*'Score settings'!$C$7</x:f>
        <x:v>25</x:v>
      </x:c>
      <x:c r="Y312" s="41" t="n">
        <x:f>VLOOKUP("Waste|"&amp;R312,'Score settings'!$A$14:$C$43,2,FALSE)/'Score settings'!$B$8*'Score settings'!$C$8</x:f>
        <x:v>7</x:v>
      </x:c>
      <x:c r="Z312" s="41" t="n">
        <x:f>IF(B312="","",SUM(U312:Y312))</x:f>
        <x:v>65</x:v>
      </x:c>
      <x:c r="AA312" s="41" t="str">
        <x:f>IF(Z312="","Not scored",VLOOKUP(Z312,'Score settings'!$A$47:$C$50,2,TRUE))</x:f>
        <x:v>Protected</x:v>
      </x:c>
      <x:c r="AB312" s="41" t="n">
        <x:f>VLOOKUP("Priority|"&amp;O312,'Score settings'!$A$14:$C$43,3,FALSE)/'Score settings'!$B$4*'Score settings'!$D$4</x:f>
        <x:v>10.799999999999999</x:v>
      </x:c>
      <x:c r="AC312" s="41" t="n">
        <x:f>VLOOKUP("Category|"&amp;P312,'Score settings'!$A$14:$C$43,3,FALSE)/'Score settings'!$B$5*'Score settings'!$D$5</x:f>
        <x:v>0</x:v>
      </x:c>
      <x:c r="AD312" s="41" t="n">
        <x:f>VLOOKUP("Area|"&amp;Q312,'Score settings'!$A$14:$C$43,3,FALSE)/'Score settings'!$B$6*'Score settings'!$D$6</x:f>
        <x:v>7.333333333333333</x:v>
      </x:c>
      <x:c r="AE312" s="41" t="n">
        <x:f>VLOOKUP("Benefits|"&amp;IF(AND(ISNUMBER(K312),K312&gt;0,ISNUMBER(G312),G312&gt;0),IF(K312/G312&gt;='Score settings'!$E$17,"3plus",IF(K312/G312&gt;='Score settings'!$E$16,"1.5to3",IF(K312/G312&gt;='Score settings'!$E$15,"0.5to1.5","positive"))),"None"),'Score settings'!$A$14:$C$43,3,FALSE)/'Score settings'!$B$7*'Score settings'!$D$7</x:f>
        <x:v>24</x:v>
      </x:c>
      <x:c r="AF312" s="41" t="n">
        <x:f>VLOOKUP("Waste|"&amp;R312,'Score settings'!$A$14:$C$43,3,FALSE)/'Score settings'!$B$8*'Score settings'!$D$8</x:f>
        <x:v>0</x:v>
      </x:c>
      <x:c r="AG312" s="41" t="n">
        <x:f>(IF(AND(ISNUMBER(M312),M312&gt;0,ISNUMBER(G312),G312&gt;0),IF(M312/G312&gt;='Score settings'!$E$17,'Score settings'!$G$17,IF(M312/G312&gt;='Score settings'!$E$16,'Score settings'!$G$16,IF(M312/G312&gt;='Score settings'!$E$15,'Score settings'!$G$15,'Score settings'!$G$14))),0)/15*'Score settings'!$B$60+IFERROR(VLOOKUP(IF(ISNUMBER(N312),N312,IF(ISNUMBER(L312),L312,0)),'Score settings'!$E$22:$F$26,2,FALSE),0)/10*'Score settings'!$B$61)/'Score settings'!$B$9*'Score settings'!$D$9</x:f>
        <x:v>0</x:v>
      </x:c>
      <x:c r="AH312" s="41" t="n">
        <x:f>IF(B312="","",SUM(AB312:AG312))</x:f>
        <x:v>42.13333333333333</x:v>
      </x:c>
      <x:c r="AI312" s="41" t="str">
        <x:f>IF(NOT(ISNUMBER(AH312)),"Not scored",VLOOKUP(AH312,'Score settings'!$A$47:$C$50,3,TRUE))</x:f>
        <x:v>Discretionary</x:v>
      </x:c>
      <x:c r="AJ312" s="42" t="n">
        <x:f>IF(OR(NOT(ISNUMBER(AH312)),T312&lt;&gt;"Common pot"),"",COUNTIFS($T$4:$T$509,"Common pot",$AH$4:$AH$509,"&gt;"&amp;AH312)+1)</x:f>
        <x:v>85</x:v>
      </x:c>
      <x:c r="AK312" s="36" t="str">
        <x:f>IF(B312="","Name missing - not scored",IF(OR(NOT(ISNUMBER(G312)),G312&lt;=0),"Investment missing or zero - review",IF(0=1,"Permanent ID missing - reconcile",IF(AND(ISNUMBER(H312),H312/G312&gt;='Score settings'!$B$58,NOT(ISNUMBER(I312))),"Benefit units need review",IF(OR(R312="EXIT",R312="CHALLENGE"),"Waste decision requires scope resolution",IF("No exact waste match"&lt;&gt;"Name and organisation matched","Waste evidence match needs review","Provisional source score - confirm evidence"))))))</x:f>
        <x:v>Waste evidence match needs review</x:v>
      </x:c>
      <x:c r="AL312" s="36"/>
      <x:c r="AM312" s="40"/>
      <x:c r="AN312" s="39"/>
      <x:c r="AO312" s="40"/>
      <x:c r="AP312" s="40"/>
    </x:row>
    <x:row r="313" ht="15" hidden="0" customHeight="1">
      <x:c r="A313" s="36" t="str">
        <x:v>Bu-321</x:v>
      </x:c>
      <x:c r="B313" s="37" t="str">
        <x:v>Touchless Supply chain</x:v>
      </x:c>
      <x:c r="C313" s="36" t="str">
        <x:v>BU Led</x:v>
      </x:c>
      <x:c r="D313" s="36" t="str">
        <x:v>Personal Health (PH)</x:v>
      </x:c>
      <x:c r="E313" s="38"/>
      <x:c r="F313" s="39"/>
      <x:c r="G313" s="38" t="str">
        <x:f>IF(ISNUMBER(F313),F313,IF(E313="","",E313))</x:f>
      </x:c>
      <x:c r="H313" s="38"/>
      <x:c r="I313" s="39"/>
      <x:c r="J313" s="36" t="str">
        <x:v>Cash savings</x:v>
      </x:c>
      <x:c r="K313" s="38" t="str">
        <x:f>IF(ISNUMBER(I313),I313,IF(OR(NOT(ISNUMBER(H313)),NOT(ISNUMBER(G313)),G313&lt;=0),"",IF(H313/G313&gt;='Score settings'!$B$58,"",IF(J313="Cash savings",H313,IF(J313="Revenue",H313*'Score settings'!$B$55,"")))))</x:f>
      </x:c>
      <x:c r="L313" s="36"/>
      <x:c r="M313" s="39"/>
      <x:c r="N313" s="40"/>
      <x:c r="O313" s="36" t="str">
        <x:v>Must Do</x:v>
      </x:c>
      <x:c r="P313" s="36" t="str">
        <x:v>Blank</x:v>
      </x:c>
      <x:c r="Q313" s="36" t="str">
        <x:v>Productivity</x:v>
      </x:c>
      <x:c r="R313" s="36" t="str">
        <x:v>NotAssessed</x:v>
      </x:c>
      <x:c r="S313" s="36" t="str"/>
      <x:c r="T313" s="36" t="str">
        <x:v>Common pot</x:v>
      </x:c>
      <x:c r="U313" s="41" t="n">
        <x:f>VLOOKUP("Priority|"&amp;O313,'Score settings'!$A$14:$C$43,2,FALSE)/'Score settings'!$B$4*'Score settings'!$C$4</x:f>
        <x:v>25</x:v>
      </x:c>
      <x:c r="V313" s="41" t="n">
        <x:f>VLOOKUP("Category|"&amp;P313,'Score settings'!$A$14:$C$43,2,FALSE)/'Score settings'!$B$5*'Score settings'!$C$5</x:f>
        <x:v>4</x:v>
      </x:c>
      <x:c r="W313" s="41" t="n">
        <x:f>VLOOKUP("Area|"&amp;Q313,'Score settings'!$A$14:$C$43,2,FALSE)/'Score settings'!$B$6*'Score settings'!$C$6</x:f>
        <x:v>10</x:v>
      </x:c>
      <x:c r="X313" s="41" t="n">
        <x:f>VLOOKUP("Benefits|"&amp;IF(AND(ISNUMBER(H313),H313&gt;0,ISNUMBER(G313),G313&gt;0),IF(H313/G313&gt;='Score settings'!$E$17,"3plus",IF(H313/G313&gt;='Score settings'!$E$16,"1.5to3",IF(H313/G313&gt;='Score settings'!$E$15,"0.5to1.5","positive"))),"None"),'Score settings'!$A$14:$C$43,2,FALSE)/'Score settings'!$B$7*'Score settings'!$C$7</x:f>
        <x:v>5</x:v>
      </x:c>
      <x:c r="Y313" s="41" t="n">
        <x:f>VLOOKUP("Waste|"&amp;R313,'Score settings'!$A$14:$C$43,2,FALSE)/'Score settings'!$B$8*'Score settings'!$C$8</x:f>
        <x:v>7</x:v>
      </x:c>
      <x:c r="Z313" s="41" t="n">
        <x:f>IF(B313="","",SUM(U313:Y313))</x:f>
        <x:v>51</x:v>
      </x:c>
      <x:c r="AA313" s="41" t="str">
        <x:f>IF(Z313="","Not scored",VLOOKUP(Z313,'Score settings'!$A$47:$C$50,2,TRUE))</x:f>
        <x:v>Strong</x:v>
      </x:c>
      <x:c r="AB313" s="41" t="n">
        <x:f>VLOOKUP("Priority|"&amp;O313,'Score settings'!$A$14:$C$43,3,FALSE)/'Score settings'!$B$4*'Score settings'!$D$4</x:f>
        <x:v>15</x:v>
      </x:c>
      <x:c r="AC313" s="41" t="n">
        <x:f>VLOOKUP("Category|"&amp;P313,'Score settings'!$A$14:$C$43,3,FALSE)/'Score settings'!$B$5*'Score settings'!$D$5</x:f>
        <x:v>0</x:v>
      </x:c>
      <x:c r="AD313" s="41" t="n">
        <x:f>VLOOKUP("Area|"&amp;Q313,'Score settings'!$A$14:$C$43,3,FALSE)/'Score settings'!$B$6*'Score settings'!$D$6</x:f>
        <x:v>6.666666666666666</x:v>
      </x:c>
      <x:c r="AE313" s="41" t="n">
        <x:f>VLOOKUP("Benefits|"&amp;IF(AND(ISNUMBER(K313),K313&gt;0,ISNUMBER(G313),G313&gt;0),IF(K313/G313&gt;='Score settings'!$E$17,"3plus",IF(K313/G313&gt;='Score settings'!$E$16,"1.5to3",IF(K313/G313&gt;='Score settings'!$E$15,"0.5to1.5","positive"))),"None"),'Score settings'!$A$14:$C$43,3,FALSE)/'Score settings'!$B$7*'Score settings'!$D$7</x:f>
        <x:v>0</x:v>
      </x:c>
      <x:c r="AF313" s="41" t="n">
        <x:f>VLOOKUP("Waste|"&amp;R313,'Score settings'!$A$14:$C$43,3,FALSE)/'Score settings'!$B$8*'Score settings'!$D$8</x:f>
        <x:v>0</x:v>
      </x:c>
      <x:c r="AG313" s="41" t="n">
        <x:f>(IF(AND(ISNUMBER(M313),M313&gt;0,ISNUMBER(G313),G313&gt;0),IF(M313/G313&gt;='Score settings'!$E$17,'Score settings'!$G$17,IF(M313/G313&gt;='Score settings'!$E$16,'Score settings'!$G$16,IF(M313/G313&gt;='Score settings'!$E$15,'Score settings'!$G$15,'Score settings'!$G$14))),0)/15*'Score settings'!$B$60+IFERROR(VLOOKUP(IF(ISNUMBER(N313),N313,IF(ISNUMBER(L313),L313,0)),'Score settings'!$E$22:$F$26,2,FALSE),0)/10*'Score settings'!$B$61)/'Score settings'!$B$9*'Score settings'!$D$9</x:f>
        <x:v>0</x:v>
      </x:c>
      <x:c r="AH313" s="41" t="n">
        <x:f>IF(B313="","",SUM(AB313:AG313))</x:f>
        <x:v>21.666666666666664</x:v>
      </x:c>
      <x:c r="AI313" s="41" t="str">
        <x:f>IF(NOT(ISNUMBER(AH313)),"Not scored",VLOOKUP(AH313,'Score settings'!$A$47:$C$50,3,TRUE))</x:f>
        <x:v>Weak</x:v>
      </x:c>
      <x:c r="AJ313" s="42" t="n">
        <x:f>IF(OR(NOT(ISNUMBER(AH313)),T313&lt;&gt;"Common pot"),"",COUNTIFS($T$4:$T$509,"Common pot",$AH$4:$AH$509,"&gt;"&amp;AH313)+1)</x:f>
        <x:v>338</x:v>
      </x:c>
      <x:c r="AK313" s="36" t="str">
        <x:f>IF(B313="","Name missing - not scored",IF(OR(NOT(ISNUMBER(G313)),G313&lt;=0),"Investment missing or zero - review",IF(0=1,"Permanent ID missing - reconcile",IF(AND(ISNUMBER(H313),H313/G313&gt;='Score settings'!$B$58,NOT(ISNUMBER(I313))),"Benefit units need review",IF(OR(R313="EXIT",R313="CHALLENGE"),"Waste decision requires scope resolution",IF("No exact waste match"&lt;&gt;"Name and organisation matched","Waste evidence match needs review","Provisional source score - confirm evidence"))))))</x:f>
        <x:v>Investment missing or zero - review</x:v>
      </x:c>
      <x:c r="AL313" s="36"/>
      <x:c r="AM313" s="40"/>
      <x:c r="AN313" s="39"/>
      <x:c r="AO313" s="40"/>
      <x:c r="AP313" s="40"/>
    </x:row>
    <x:row r="314" ht="15" hidden="0" customHeight="1">
      <x:c r="A314" s="36" t="str">
        <x:v>Bu-322</x:v>
      </x:c>
      <x:c r="B314" s="37" t="str">
        <x:v> Codebeamer Onboarding</x:v>
      </x:c>
      <x:c r="C314" s="36" t="str">
        <x:v>BU Led</x:v>
      </x:c>
      <x:c r="D314" s="36" t="str">
        <x:v>Ambulatory Monitoring and Diagnostics (AM&amp;D)</x:v>
      </x:c>
      <x:c r="E314" s="38" t="n">
        <x:v>0.4</x:v>
      </x:c>
      <x:c r="F314" s="39"/>
      <x:c r="G314" s="38" t="n">
        <x:f>IF(ISNUMBER(F314),F314,IF(E314="","",E314))</x:f>
        <x:v>0.4</x:v>
      </x:c>
      <x:c r="H314" s="38" t="n">
        <x:v>1.053</x:v>
      </x:c>
      <x:c r="I314" s="39"/>
      <x:c r="J314" s="36" t="str">
        <x:v>Cash savings</x:v>
      </x:c>
      <x:c r="K314" s="38" t="n">
        <x:f>IF(ISNUMBER(I314),I314,IF(OR(NOT(ISNUMBER(H314)),NOT(ISNUMBER(G314)),G314&lt;=0),"",IF(H314/G314&gt;='Score settings'!$B$58,"",IF(J314="Cash savings",H314,IF(J314="Revenue",H314*'Score settings'!$B$55,"")))))</x:f>
        <x:v>1.053</x:v>
      </x:c>
      <x:c r="L314" s="36"/>
      <x:c r="M314" s="39"/>
      <x:c r="N314" s="40"/>
      <x:c r="O314" s="36" t="str">
        <x:v>Must Have</x:v>
      </x:c>
      <x:c r="P314" s="36" t="str">
        <x:v>CI</x:v>
      </x:c>
      <x:c r="Q314" s="36" t="str">
        <x:v>ProcSimp</x:v>
      </x:c>
      <x:c r="R314" s="36" t="str">
        <x:v>NotAssessed</x:v>
      </x:c>
      <x:c r="S314" s="36" t="str"/>
      <x:c r="T314" s="36" t="str">
        <x:v>Common pot</x:v>
      </x:c>
      <x:c r="U314" s="41" t="n">
        <x:f>VLOOKUP("Priority|"&amp;O314,'Score settings'!$A$14:$C$43,2,FALSE)/'Score settings'!$B$4*'Score settings'!$C$4</x:f>
        <x:v>18</x:v>
      </x:c>
      <x:c r="V314" s="41" t="n">
        <x:f>VLOOKUP("Category|"&amp;P314,'Score settings'!$A$14:$C$43,2,FALSE)/'Score settings'!$B$5*'Score settings'!$C$5</x:f>
        <x:v>8</x:v>
      </x:c>
      <x:c r="W314" s="41" t="n">
        <x:f>VLOOKUP("Area|"&amp;Q314,'Score settings'!$A$14:$C$43,2,FALSE)/'Score settings'!$B$6*'Score settings'!$C$6</x:f>
        <x:v>12</x:v>
      </x:c>
      <x:c r="X314" s="41" t="n">
        <x:f>VLOOKUP("Benefits|"&amp;IF(AND(ISNUMBER(H314),H314&gt;0,ISNUMBER(G314),G314&gt;0),IF(H314/G314&gt;='Score settings'!$E$17,"3plus",IF(H314/G314&gt;='Score settings'!$E$16,"1.5to3",IF(H314/G314&gt;='Score settings'!$E$15,"0.5to1.5","positive"))),"None"),'Score settings'!$A$14:$C$43,2,FALSE)/'Score settings'!$B$7*'Score settings'!$C$7</x:f>
        <x:v>20</x:v>
      </x:c>
      <x:c r="Y314" s="41" t="n">
        <x:f>VLOOKUP("Waste|"&amp;R314,'Score settings'!$A$14:$C$43,2,FALSE)/'Score settings'!$B$8*'Score settings'!$C$8</x:f>
        <x:v>7</x:v>
      </x:c>
      <x:c r="Z314" s="41" t="n">
        <x:f>IF(B314="","",SUM(U314:Y314))</x:f>
        <x:v>65</x:v>
      </x:c>
      <x:c r="AA314" s="41" t="str">
        <x:f>IF(Z314="","Not scored",VLOOKUP(Z314,'Score settings'!$A$47:$C$50,2,TRUE))</x:f>
        <x:v>Protected</x:v>
      </x:c>
      <x:c r="AB314" s="41" t="n">
        <x:f>VLOOKUP("Priority|"&amp;O314,'Score settings'!$A$14:$C$43,3,FALSE)/'Score settings'!$B$4*'Score settings'!$D$4</x:f>
        <x:v>10.799999999999999</x:v>
      </x:c>
      <x:c r="AC314" s="41" t="n">
        <x:f>VLOOKUP("Category|"&amp;P314,'Score settings'!$A$14:$C$43,3,FALSE)/'Score settings'!$B$5*'Score settings'!$D$5</x:f>
        <x:v>4</x:v>
      </x:c>
      <x:c r="AD314" s="41" t="n">
        <x:f>VLOOKUP("Area|"&amp;Q314,'Score settings'!$A$14:$C$43,3,FALSE)/'Score settings'!$B$6*'Score settings'!$D$6</x:f>
        <x:v>8</x:v>
      </x:c>
      <x:c r="AE314" s="41" t="n">
        <x:f>VLOOKUP("Benefits|"&amp;IF(AND(ISNUMBER(K314),K314&gt;0,ISNUMBER(G314),G314&gt;0),IF(K314/G314&gt;='Score settings'!$E$17,"3plus",IF(K314/G314&gt;='Score settings'!$E$16,"1.5to3",IF(K314/G314&gt;='Score settings'!$E$15,"0.5to1.5","positive"))),"None"),'Score settings'!$A$14:$C$43,3,FALSE)/'Score settings'!$B$7*'Score settings'!$D$7</x:f>
        <x:v>24</x:v>
      </x:c>
      <x:c r="AF314" s="41" t="n">
        <x:f>VLOOKUP("Waste|"&amp;R314,'Score settings'!$A$14:$C$43,3,FALSE)/'Score settings'!$B$8*'Score settings'!$D$8</x:f>
        <x:v>0</x:v>
      </x:c>
      <x:c r="AG314" s="41" t="n">
        <x:f>(IF(AND(ISNUMBER(M314),M314&gt;0,ISNUMBER(G314),G314&gt;0),IF(M314/G314&gt;='Score settings'!$E$17,'Score settings'!$G$17,IF(M314/G314&gt;='Score settings'!$E$16,'Score settings'!$G$16,IF(M314/G314&gt;='Score settings'!$E$15,'Score settings'!$G$15,'Score settings'!$G$14))),0)/15*'Score settings'!$B$60+IFERROR(VLOOKUP(IF(ISNUMBER(N314),N314,IF(ISNUMBER(L314),L314,0)),'Score settings'!$E$22:$F$26,2,FALSE),0)/10*'Score settings'!$B$61)/'Score settings'!$B$9*'Score settings'!$D$9</x:f>
        <x:v>0</x:v>
      </x:c>
      <x:c r="AH314" s="41" t="n">
        <x:f>IF(B314="","",SUM(AB314:AG314))</x:f>
        <x:v>46.8</x:v>
      </x:c>
      <x:c r="AI314" s="41" t="str">
        <x:f>IF(NOT(ISNUMBER(AH314)),"Not scored",VLOOKUP(AH314,'Score settings'!$A$47:$C$50,3,TRUE))</x:f>
        <x:v>Strong</x:v>
      </x:c>
      <x:c r="AJ314" s="42" t="n">
        <x:f>IF(OR(NOT(ISNUMBER(AH314)),T314&lt;&gt;"Common pot"),"",COUNTIFS($T$4:$T$509,"Common pot",$AH$4:$AH$509,"&gt;"&amp;AH314)+1)</x:f>
        <x:v>61</x:v>
      </x:c>
      <x:c r="AK314" s="36" t="str">
        <x:f>IF(B314="","Name missing - not scored",IF(OR(NOT(ISNUMBER(G314)),G314&lt;=0),"Investment missing or zero - review",IF(0=1,"Permanent ID missing - reconcile",IF(AND(ISNUMBER(H314),H314/G314&gt;='Score settings'!$B$58,NOT(ISNUMBER(I314))),"Benefit units need review",IF(OR(R314="EXIT",R314="CHALLENGE"),"Waste decision requires scope resolution",IF("Name and organisation matched"&lt;&gt;"Name and organisation matched","Waste evidence match needs review","Provisional source score - confirm evidence"))))))</x:f>
        <x:v>Provisional source score - confirm evidence</x:v>
      </x:c>
      <x:c r="AL314" s="36"/>
      <x:c r="AM314" s="40"/>
      <x:c r="AN314" s="39"/>
      <x:c r="AO314" s="40"/>
      <x:c r="AP314" s="40"/>
    </x:row>
    <x:row r="315" ht="15" hidden="0" customHeight="1">
      <x:c r="A315" s="36" t="str">
        <x:v>Bu-323</x:v>
      </x:c>
      <x:c r="B315" s="37" t="str">
        <x:v> Windchill customization/integration to support automation</x:v>
      </x:c>
      <x:c r="C315" s="36" t="str">
        <x:v>BU Led</x:v>
      </x:c>
      <x:c r="D315" s="36" t="str">
        <x:v>Ambulatory Monitoring and Diagnostics (AM&amp;D)</x:v>
      </x:c>
      <x:c r="E315" s="38" t="n">
        <x:v>0.025</x:v>
      </x:c>
      <x:c r="F315" s="39"/>
      <x:c r="G315" s="38" t="n">
        <x:f>IF(ISNUMBER(F315),F315,IF(E315="","",E315))</x:f>
        <x:v>0.025</x:v>
      </x:c>
      <x:c r="H315" s="38"/>
      <x:c r="I315" s="39"/>
      <x:c r="J315" s="36" t="str">
        <x:v>Cash savings</x:v>
      </x:c>
      <x:c r="K315" s="38" t="str">
        <x:f>IF(ISNUMBER(I315),I315,IF(OR(NOT(ISNUMBER(H315)),NOT(ISNUMBER(G315)),G315&lt;=0),"",IF(H315/G315&gt;='Score settings'!$B$58,"",IF(J315="Cash savings",H315,IF(J315="Revenue",H315*'Score settings'!$B$55,"")))))</x:f>
      </x:c>
      <x:c r="L315" s="36"/>
      <x:c r="M315" s="39"/>
      <x:c r="N315" s="40"/>
      <x:c r="O315" s="36" t="str">
        <x:v>Must Have</x:v>
      </x:c>
      <x:c r="P315" s="36" t="str">
        <x:v>Upgrades</x:v>
      </x:c>
      <x:c r="Q315" s="36" t="str">
        <x:v>ProcSimp</x:v>
      </x:c>
      <x:c r="R315" s="36" t="str">
        <x:v>NotAssessed</x:v>
      </x:c>
      <x:c r="S315" s="36" t="str"/>
      <x:c r="T315" s="36" t="str">
        <x:v>Change and Sustain candidate</x:v>
      </x:c>
      <x:c r="U315" s="41" t="n">
        <x:f>VLOOKUP("Priority|"&amp;O315,'Score settings'!$A$14:$C$43,2,FALSE)/'Score settings'!$B$4*'Score settings'!$C$4</x:f>
        <x:v>18</x:v>
      </x:c>
      <x:c r="V315" s="41" t="n">
        <x:f>VLOOKUP("Category|"&amp;P315,'Score settings'!$A$14:$C$43,2,FALSE)/'Score settings'!$B$5*'Score settings'!$C$5</x:f>
        <x:v>10</x:v>
      </x:c>
      <x:c r="W315" s="41" t="n">
        <x:f>VLOOKUP("Area|"&amp;Q315,'Score settings'!$A$14:$C$43,2,FALSE)/'Score settings'!$B$6*'Score settings'!$C$6</x:f>
        <x:v>12</x:v>
      </x:c>
      <x:c r="X315" s="41" t="n">
        <x:f>VLOOKUP("Benefits|"&amp;IF(AND(ISNUMBER(H315),H315&gt;0,ISNUMBER(G315),G315&gt;0),IF(H315/G315&gt;='Score settings'!$E$17,"3plus",IF(H315/G315&gt;='Score settings'!$E$16,"1.5to3",IF(H315/G315&gt;='Score settings'!$E$15,"0.5to1.5","positive"))),"None"),'Score settings'!$A$14:$C$43,2,FALSE)/'Score settings'!$B$7*'Score settings'!$C$7</x:f>
        <x:v>5</x:v>
      </x:c>
      <x:c r="Y315" s="41" t="n">
        <x:f>VLOOKUP("Waste|"&amp;R315,'Score settings'!$A$14:$C$43,2,FALSE)/'Score settings'!$B$8*'Score settings'!$C$8</x:f>
        <x:v>7</x:v>
      </x:c>
      <x:c r="Z315" s="41" t="n">
        <x:f>IF(B315="","",SUM(U315:Y315))</x:f>
        <x:v>52</x:v>
      </x:c>
      <x:c r="AA315" s="41" t="str">
        <x:f>IF(Z315="","Not scored",VLOOKUP(Z315,'Score settings'!$A$47:$C$50,2,TRUE))</x:f>
        <x:v>Strong</x:v>
      </x:c>
      <x:c r="AB315" s="41" t="n">
        <x:f>VLOOKUP("Priority|"&amp;O315,'Score settings'!$A$14:$C$43,3,FALSE)/'Score settings'!$B$4*'Score settings'!$D$4</x:f>
        <x:v>10.799999999999999</x:v>
      </x:c>
      <x:c r="AC315" s="41" t="n">
        <x:f>VLOOKUP("Category|"&amp;P315,'Score settings'!$A$14:$C$43,3,FALSE)/'Score settings'!$B$5*'Score settings'!$D$5</x:f>
        <x:v>5</x:v>
      </x:c>
      <x:c r="AD315" s="41" t="n">
        <x:f>VLOOKUP("Area|"&amp;Q315,'Score settings'!$A$14:$C$43,3,FALSE)/'Score settings'!$B$6*'Score settings'!$D$6</x:f>
        <x:v>8</x:v>
      </x:c>
      <x:c r="AE315" s="41" t="n">
        <x:f>VLOOKUP("Benefits|"&amp;IF(AND(ISNUMBER(K315),K315&gt;0,ISNUMBER(G315),G315&gt;0),IF(K315/G315&gt;='Score settings'!$E$17,"3plus",IF(K315/G315&gt;='Score settings'!$E$16,"1.5to3",IF(K315/G315&gt;='Score settings'!$E$15,"0.5to1.5","positive"))),"None"),'Score settings'!$A$14:$C$43,3,FALSE)/'Score settings'!$B$7*'Score settings'!$D$7</x:f>
        <x:v>0</x:v>
      </x:c>
      <x:c r="AF315" s="41" t="n">
        <x:f>VLOOKUP("Waste|"&amp;R315,'Score settings'!$A$14:$C$43,3,FALSE)/'Score settings'!$B$8*'Score settings'!$D$8</x:f>
        <x:v>0</x:v>
      </x:c>
      <x:c r="AG315" s="41" t="n">
        <x:f>(IF(AND(ISNUMBER(M315),M315&gt;0,ISNUMBER(G315),G315&gt;0),IF(M315/G315&gt;='Score settings'!$E$17,'Score settings'!$G$17,IF(M315/G315&gt;='Score settings'!$E$16,'Score settings'!$G$16,IF(M315/G315&gt;='Score settings'!$E$15,'Score settings'!$G$15,'Score settings'!$G$14))),0)/15*'Score settings'!$B$60+IFERROR(VLOOKUP(IF(ISNUMBER(N315),N315,IF(ISNUMBER(L315),L315,0)),'Score settings'!$E$22:$F$26,2,FALSE),0)/10*'Score settings'!$B$61)/'Score settings'!$B$9*'Score settings'!$D$9</x:f>
        <x:v>0</x:v>
      </x:c>
      <x:c r="AH315" s="41" t="n">
        <x:f>IF(B315="","",SUM(AB315:AG315))</x:f>
        <x:v>23.799999999999997</x:v>
      </x:c>
      <x:c r="AI315" s="41" t="str">
        <x:f>IF(NOT(ISNUMBER(AH315)),"Not scored",VLOOKUP(AH315,'Score settings'!$A$47:$C$50,3,TRUE))</x:f>
        <x:v>Weak</x:v>
      </x:c>
      <x:c r="AJ315" s="42" t="str">
        <x:f>IF(OR(NOT(ISNUMBER(AH315)),T315&lt;&gt;"Common pot"),"",COUNTIFS($T$4:$T$509,"Common pot",$AH$4:$AH$509,"&gt;"&amp;AH315)+1)</x:f>
      </x:c>
      <x:c r="AK315" s="36" t="str">
        <x:f>IF(B315="","Name missing - not scored",IF(OR(NOT(ISNUMBER(G315)),G315&lt;=0),"Investment missing or zero - review",IF(0=1,"Permanent ID missing - reconcile",IF(AND(ISNUMBER(H315),H315/G315&gt;='Score settings'!$B$58,NOT(ISNUMBER(I315))),"Benefit units need review",IF(OR(R315="EXIT",R315="CHALLENGE"),"Waste decision requires scope resolution",IF("Name and organisation matched"&lt;&gt;"Name and organisation matched","Waste evidence match needs review","Provisional source score - confirm evidence"))))))</x:f>
        <x:v>Provisional source score - confirm evidence</x:v>
      </x:c>
      <x:c r="AL315" s="36"/>
      <x:c r="AM315" s="40"/>
      <x:c r="AN315" s="39"/>
      <x:c r="AO315" s="40"/>
      <x:c r="AP315" s="40"/>
    </x:row>
    <x:row r="316" ht="24" hidden="0" customHeight="1">
      <x:c r="A316" s="36" t="str">
        <x:v>Bu-324</x:v>
      </x:c>
      <x:c r="B316" s="37" t="str">
        <x:v> Advanced resource and capacity management (PARP) Onboarding / Adoption</x:v>
      </x:c>
      <x:c r="C316" s="36" t="str">
        <x:v>BU Led</x:v>
      </x:c>
      <x:c r="D316" s="36" t="str">
        <x:v>Ambulatory Monitoring and Diagnostics (AM&amp;D)</x:v>
      </x:c>
      <x:c r="E316" s="38" t="n">
        <x:v>0.03</x:v>
      </x:c>
      <x:c r="F316" s="39"/>
      <x:c r="G316" s="38" t="n">
        <x:f>IF(ISNUMBER(F316),F316,IF(E316="","",E316))</x:f>
        <x:v>0.03</x:v>
      </x:c>
      <x:c r="H316" s="38"/>
      <x:c r="I316" s="39"/>
      <x:c r="J316" s="36" t="str">
        <x:v>Cash savings</x:v>
      </x:c>
      <x:c r="K316" s="38" t="str">
        <x:f>IF(ISNUMBER(I316),I316,IF(OR(NOT(ISNUMBER(H316)),NOT(ISNUMBER(G316)),G316&lt;=0),"",IF(H316/G316&gt;='Score settings'!$B$58,"",IF(J316="Cash savings",H316,IF(J316="Revenue",H316*'Score settings'!$B$55,"")))))</x:f>
      </x:c>
      <x:c r="L316" s="36"/>
      <x:c r="M316" s="39"/>
      <x:c r="N316" s="40"/>
      <x:c r="O316" s="36" t="str">
        <x:v>Must Have</x:v>
      </x:c>
      <x:c r="P316" s="36" t="str">
        <x:v>CI</x:v>
      </x:c>
      <x:c r="Q316" s="36" t="str">
        <x:v>ProcSimp</x:v>
      </x:c>
      <x:c r="R316" s="36" t="str">
        <x:v>NotAssessed</x:v>
      </x:c>
      <x:c r="S316" s="36" t="str"/>
      <x:c r="T316" s="36" t="str">
        <x:v>Change and Sustain candidate</x:v>
      </x:c>
      <x:c r="U316" s="41" t="n">
        <x:f>VLOOKUP("Priority|"&amp;O316,'Score settings'!$A$14:$C$43,2,FALSE)/'Score settings'!$B$4*'Score settings'!$C$4</x:f>
        <x:v>18</x:v>
      </x:c>
      <x:c r="V316" s="41" t="n">
        <x:f>VLOOKUP("Category|"&amp;P316,'Score settings'!$A$14:$C$43,2,FALSE)/'Score settings'!$B$5*'Score settings'!$C$5</x:f>
        <x:v>8</x:v>
      </x:c>
      <x:c r="W316" s="41" t="n">
        <x:f>VLOOKUP("Area|"&amp;Q316,'Score settings'!$A$14:$C$43,2,FALSE)/'Score settings'!$B$6*'Score settings'!$C$6</x:f>
        <x:v>12</x:v>
      </x:c>
      <x:c r="X316" s="41" t="n">
        <x:f>VLOOKUP("Benefits|"&amp;IF(AND(ISNUMBER(H316),H316&gt;0,ISNUMBER(G316),G316&gt;0),IF(H316/G316&gt;='Score settings'!$E$17,"3plus",IF(H316/G316&gt;='Score settings'!$E$16,"1.5to3",IF(H316/G316&gt;='Score settings'!$E$15,"0.5to1.5","positive"))),"None"),'Score settings'!$A$14:$C$43,2,FALSE)/'Score settings'!$B$7*'Score settings'!$C$7</x:f>
        <x:v>5</x:v>
      </x:c>
      <x:c r="Y316" s="41" t="n">
        <x:f>VLOOKUP("Waste|"&amp;R316,'Score settings'!$A$14:$C$43,2,FALSE)/'Score settings'!$B$8*'Score settings'!$C$8</x:f>
        <x:v>7</x:v>
      </x:c>
      <x:c r="Z316" s="41" t="n">
        <x:f>IF(B316="","",SUM(U316:Y316))</x:f>
        <x:v>50</x:v>
      </x:c>
      <x:c r="AA316" s="41" t="str">
        <x:f>IF(Z316="","Not scored",VLOOKUP(Z316,'Score settings'!$A$47:$C$50,2,TRUE))</x:f>
        <x:v>Strong</x:v>
      </x:c>
      <x:c r="AB316" s="41" t="n">
        <x:f>VLOOKUP("Priority|"&amp;O316,'Score settings'!$A$14:$C$43,3,FALSE)/'Score settings'!$B$4*'Score settings'!$D$4</x:f>
        <x:v>10.799999999999999</x:v>
      </x:c>
      <x:c r="AC316" s="41" t="n">
        <x:f>VLOOKUP("Category|"&amp;P316,'Score settings'!$A$14:$C$43,3,FALSE)/'Score settings'!$B$5*'Score settings'!$D$5</x:f>
        <x:v>4</x:v>
      </x:c>
      <x:c r="AD316" s="41" t="n">
        <x:f>VLOOKUP("Area|"&amp;Q316,'Score settings'!$A$14:$C$43,3,FALSE)/'Score settings'!$B$6*'Score settings'!$D$6</x:f>
        <x:v>8</x:v>
      </x:c>
      <x:c r="AE316" s="41" t="n">
        <x:f>VLOOKUP("Benefits|"&amp;IF(AND(ISNUMBER(K316),K316&gt;0,ISNUMBER(G316),G316&gt;0),IF(K316/G316&gt;='Score settings'!$E$17,"3plus",IF(K316/G316&gt;='Score settings'!$E$16,"1.5to3",IF(K316/G316&gt;='Score settings'!$E$15,"0.5to1.5","positive"))),"None"),'Score settings'!$A$14:$C$43,3,FALSE)/'Score settings'!$B$7*'Score settings'!$D$7</x:f>
        <x:v>0</x:v>
      </x:c>
      <x:c r="AF316" s="41" t="n">
        <x:f>VLOOKUP("Waste|"&amp;R316,'Score settings'!$A$14:$C$43,3,FALSE)/'Score settings'!$B$8*'Score settings'!$D$8</x:f>
        <x:v>0</x:v>
      </x:c>
      <x:c r="AG316" s="41" t="n">
        <x:f>(IF(AND(ISNUMBER(M316),M316&gt;0,ISNUMBER(G316),G316&gt;0),IF(M316/G316&gt;='Score settings'!$E$17,'Score settings'!$G$17,IF(M316/G316&gt;='Score settings'!$E$16,'Score settings'!$G$16,IF(M316/G316&gt;='Score settings'!$E$15,'Score settings'!$G$15,'Score settings'!$G$14))),0)/15*'Score settings'!$B$60+IFERROR(VLOOKUP(IF(ISNUMBER(N316),N316,IF(ISNUMBER(L316),L316,0)),'Score settings'!$E$22:$F$26,2,FALSE),0)/10*'Score settings'!$B$61)/'Score settings'!$B$9*'Score settings'!$D$9</x:f>
        <x:v>0</x:v>
      </x:c>
      <x:c r="AH316" s="41" t="n">
        <x:f>IF(B316="","",SUM(AB316:AG316))</x:f>
        <x:v>22.799999999999997</x:v>
      </x:c>
      <x:c r="AI316" s="41" t="str">
        <x:f>IF(NOT(ISNUMBER(AH316)),"Not scored",VLOOKUP(AH316,'Score settings'!$A$47:$C$50,3,TRUE))</x:f>
        <x:v>Weak</x:v>
      </x:c>
      <x:c r="AJ316" s="42" t="str">
        <x:f>IF(OR(NOT(ISNUMBER(AH316)),T316&lt;&gt;"Common pot"),"",COUNTIFS($T$4:$T$509,"Common pot",$AH$4:$AH$509,"&gt;"&amp;AH316)+1)</x:f>
      </x:c>
      <x:c r="AK316" s="36" t="str">
        <x:f>IF(B316="","Name missing - not scored",IF(OR(NOT(ISNUMBER(G316)),G316&lt;=0),"Investment missing or zero - review",IF(0=1,"Permanent ID missing - reconcile",IF(AND(ISNUMBER(H316),H316/G316&gt;='Score settings'!$B$58,NOT(ISNUMBER(I316))),"Benefit units need review",IF(OR(R316="EXIT",R316="CHALLENGE"),"Waste decision requires scope resolution",IF("Name and organisation matched"&lt;&gt;"Name and organisation matched","Waste evidence match needs review","Provisional source score - confirm evidence"))))))</x:f>
        <x:v>Provisional source score - confirm evidence</x:v>
      </x:c>
      <x:c r="AL316" s="36"/>
      <x:c r="AM316" s="40"/>
      <x:c r="AN316" s="39"/>
      <x:c r="AO316" s="40"/>
      <x:c r="AP316" s="40"/>
    </x:row>
    <x:row r="317" ht="24" hidden="0" customHeight="1">
      <x:c r="A317" s="36" t="str">
        <x:v>Bu-325</x:v>
      </x:c>
      <x:c r="B317" s="37" t="str">
        <x:v>Hybris Feature Enhancements (Service Parts Capabilities, AI powered commerce, etc)</x:v>
      </x:c>
      <x:c r="C317" s="36" t="str">
        <x:v>BU Led</x:v>
      </x:c>
      <x:c r="D317" s="36" t="str">
        <x:v>CoE Marketing – HS (former DMEC)​</x:v>
      </x:c>
      <x:c r="E317" s="38" t="n">
        <x:v>0.5</x:v>
      </x:c>
      <x:c r="F317" s="39"/>
      <x:c r="G317" s="38" t="n">
        <x:f>IF(ISNUMBER(F317),F317,IF(E317="","",E317))</x:f>
        <x:v>0.5</x:v>
      </x:c>
      <x:c r="H317" s="38" t="n">
        <x:v>5</x:v>
      </x:c>
      <x:c r="I317" s="39"/>
      <x:c r="J317" s="36" t="str">
        <x:v>Revenue</x:v>
      </x:c>
      <x:c r="K317" s="38" t="n">
        <x:f>IF(ISNUMBER(I317),I317,IF(OR(NOT(ISNUMBER(H317)),NOT(ISNUMBER(G317)),G317&lt;=0),"",IF(H317/G317&gt;='Score settings'!$B$58,"",IF(J317="Cash savings",H317,IF(J317="Revenue",H317*'Score settings'!$B$55,"")))))</x:f>
        <x:v>0.75</x:v>
      </x:c>
      <x:c r="L317" s="36"/>
      <x:c r="M317" s="39"/>
      <x:c r="N317" s="40"/>
      <x:c r="O317" s="36" t="str">
        <x:v>Must Do</x:v>
      </x:c>
      <x:c r="P317" s="36" t="str">
        <x:v>Blank</x:v>
      </x:c>
      <x:c r="Q317" s="36" t="str">
        <x:v>Revenue</x:v>
      </x:c>
      <x:c r="R317" s="36" t="str">
        <x:v>NotAssessed</x:v>
      </x:c>
      <x:c r="S317" s="36" t="str"/>
      <x:c r="T317" s="36" t="str">
        <x:v>Common pot</x:v>
      </x:c>
      <x:c r="U317" s="41" t="n">
        <x:f>VLOOKUP("Priority|"&amp;O317,'Score settings'!$A$14:$C$43,2,FALSE)/'Score settings'!$B$4*'Score settings'!$C$4</x:f>
        <x:v>25</x:v>
      </x:c>
      <x:c r="V317" s="41" t="n">
        <x:f>VLOOKUP("Category|"&amp;P317,'Score settings'!$A$14:$C$43,2,FALSE)/'Score settings'!$B$5*'Score settings'!$C$5</x:f>
        <x:v>4</x:v>
      </x:c>
      <x:c r="W317" s="41" t="n">
        <x:f>VLOOKUP("Area|"&amp;Q317,'Score settings'!$A$14:$C$43,2,FALSE)/'Score settings'!$B$6*'Score settings'!$C$6</x:f>
        <x:v>11</x:v>
      </x:c>
      <x:c r="X317" s="41" t="n">
        <x:f>VLOOKUP("Benefits|"&amp;IF(AND(ISNUMBER(H317),H317&gt;0,ISNUMBER(G317),G317&gt;0),IF(H317/G317&gt;='Score settings'!$E$17,"3plus",IF(H317/G317&gt;='Score settings'!$E$16,"1.5to3",IF(H317/G317&gt;='Score settings'!$E$15,"0.5to1.5","positive"))),"None"),'Score settings'!$A$14:$C$43,2,FALSE)/'Score settings'!$B$7*'Score settings'!$C$7</x:f>
        <x:v>25</x:v>
      </x:c>
      <x:c r="Y317" s="41" t="n">
        <x:f>VLOOKUP("Waste|"&amp;R317,'Score settings'!$A$14:$C$43,2,FALSE)/'Score settings'!$B$8*'Score settings'!$C$8</x:f>
        <x:v>7</x:v>
      </x:c>
      <x:c r="Z317" s="41" t="n">
        <x:f>IF(B317="","",SUM(U317:Y317))</x:f>
        <x:v>72</x:v>
      </x:c>
      <x:c r="AA317" s="41" t="str">
        <x:f>IF(Z317="","Not scored",VLOOKUP(Z317,'Score settings'!$A$47:$C$50,2,TRUE))</x:f>
        <x:v>Protected</x:v>
      </x:c>
      <x:c r="AB317" s="41" t="n">
        <x:f>VLOOKUP("Priority|"&amp;O317,'Score settings'!$A$14:$C$43,3,FALSE)/'Score settings'!$B$4*'Score settings'!$D$4</x:f>
        <x:v>15</x:v>
      </x:c>
      <x:c r="AC317" s="41" t="n">
        <x:f>VLOOKUP("Category|"&amp;P317,'Score settings'!$A$14:$C$43,3,FALSE)/'Score settings'!$B$5*'Score settings'!$D$5</x:f>
        <x:v>0</x:v>
      </x:c>
      <x:c r="AD317" s="41" t="n">
        <x:f>VLOOKUP("Area|"&amp;Q317,'Score settings'!$A$14:$C$43,3,FALSE)/'Score settings'!$B$6*'Score settings'!$D$6</x:f>
        <x:v>7.333333333333333</x:v>
      </x:c>
      <x:c r="AE317" s="41" t="n">
        <x:f>VLOOKUP("Benefits|"&amp;IF(AND(ISNUMBER(K317),K317&gt;0,ISNUMBER(G317),G317&gt;0),IF(K317/G317&gt;='Score settings'!$E$17,"3plus",IF(K317/G317&gt;='Score settings'!$E$16,"1.5to3",IF(K317/G317&gt;='Score settings'!$E$15,"0.5to1.5","positive"))),"None"),'Score settings'!$A$14:$C$43,3,FALSE)/'Score settings'!$B$7*'Score settings'!$D$7</x:f>
        <x:v>24</x:v>
      </x:c>
      <x:c r="AF317" s="41" t="n">
        <x:f>VLOOKUP("Waste|"&amp;R317,'Score settings'!$A$14:$C$43,3,FALSE)/'Score settings'!$B$8*'Score settings'!$D$8</x:f>
        <x:v>0</x:v>
      </x:c>
      <x:c r="AG317" s="41" t="n">
        <x:f>(IF(AND(ISNUMBER(M317),M317&gt;0,ISNUMBER(G317),G317&gt;0),IF(M317/G317&gt;='Score settings'!$E$17,'Score settings'!$G$17,IF(M317/G317&gt;='Score settings'!$E$16,'Score settings'!$G$16,IF(M317/G317&gt;='Score settings'!$E$15,'Score settings'!$G$15,'Score settings'!$G$14))),0)/15*'Score settings'!$B$60+IFERROR(VLOOKUP(IF(ISNUMBER(N317),N317,IF(ISNUMBER(L317),L317,0)),'Score settings'!$E$22:$F$26,2,FALSE),0)/10*'Score settings'!$B$61)/'Score settings'!$B$9*'Score settings'!$D$9</x:f>
        <x:v>0</x:v>
      </x:c>
      <x:c r="AH317" s="41" t="n">
        <x:f>IF(B317="","",SUM(AB317:AG317))</x:f>
        <x:v>46.33333333333333</x:v>
      </x:c>
      <x:c r="AI317" s="41" t="str">
        <x:f>IF(NOT(ISNUMBER(AH317)),"Not scored",VLOOKUP(AH317,'Score settings'!$A$47:$C$50,3,TRUE))</x:f>
        <x:v>Strong</x:v>
      </x:c>
      <x:c r="AJ317" s="42" t="n">
        <x:f>IF(OR(NOT(ISNUMBER(AH317)),T317&lt;&gt;"Common pot"),"",COUNTIFS($T$4:$T$509,"Common pot",$AH$4:$AH$509,"&gt;"&amp;AH317)+1)</x:f>
        <x:v>62</x:v>
      </x:c>
      <x:c r="AK317" s="36" t="str">
        <x:f>IF(B317="","Name missing - not scored",IF(OR(NOT(ISNUMBER(G317)),G317&lt;=0),"Investment missing or zero - review",IF(0=1,"Permanent ID missing - reconcile",IF(AND(ISNUMBER(H317),H317/G317&gt;='Score settings'!$B$58,NOT(ISNUMBER(I317))),"Benefit units need review",IF(OR(R317="EXIT",R317="CHALLENGE"),"Waste decision requires scope resolution",IF("Name and organisation matched"&lt;&gt;"Name and organisation matched","Waste evidence match needs review","Provisional source score - confirm evidence"))))))</x:f>
        <x:v>Provisional source score - confirm evidence</x:v>
      </x:c>
      <x:c r="AL317" s="36"/>
      <x:c r="AM317" s="40"/>
      <x:c r="AN317" s="39"/>
      <x:c r="AO317" s="40"/>
      <x:c r="AP317" s="40"/>
    </x:row>
    <x:row r="318" ht="15" hidden="0" customHeight="1">
      <x:c r="A318" s="36" t="str">
        <x:v>Bu-326</x:v>
      </x:c>
      <x:c r="B318" s="37" t="str"/>
      <x:c r="C318" s="36" t="str">
        <x:v>BU Led</x:v>
      </x:c>
      <x:c r="D318" s="36" t="str"/>
      <x:c r="E318" s="38"/>
      <x:c r="F318" s="39"/>
      <x:c r="G318" s="38" t="str">
        <x:f>IF(ISNUMBER(F318),F318,IF(E318="","",E318))</x:f>
      </x:c>
      <x:c r="H318" s="38"/>
      <x:c r="I318" s="39"/>
      <x:c r="J318" s="36" t="str">
        <x:v>Unclassified</x:v>
      </x:c>
      <x:c r="K318" s="38" t="str">
        <x:f>IF(ISNUMBER(I318),I318,IF(OR(NOT(ISNUMBER(H318)),NOT(ISNUMBER(G318)),G318&lt;=0),"",IF(H318/G318&gt;='Score settings'!$B$58,"",IF(J318="Cash savings",H318,IF(J318="Revenue",H318*'Score settings'!$B$55,"")))))</x:f>
      </x:c>
      <x:c r="L318" s="36"/>
      <x:c r="M318" s="39"/>
      <x:c r="N318" s="40"/>
      <x:c r="O318" s="36" t="str">
        <x:v>Blank</x:v>
      </x:c>
      <x:c r="P318" s="36" t="str">
        <x:v>Blank</x:v>
      </x:c>
      <x:c r="Q318" s="36" t="str">
        <x:v>Blank</x:v>
      </x:c>
      <x:c r="R318" s="36" t="str">
        <x:v>NotAssessed</x:v>
      </x:c>
      <x:c r="S318" s="36" t="str"/>
      <x:c r="T318" s="36" t="str">
        <x:v>Incomplete record</x:v>
      </x:c>
      <x:c r="U318" s="41" t="n">
        <x:f>VLOOKUP("Priority|"&amp;O318,'Score settings'!$A$14:$C$43,2,FALSE)/'Score settings'!$B$4*'Score settings'!$C$4</x:f>
        <x:v>10</x:v>
      </x:c>
      <x:c r="V318" s="41" t="n">
        <x:f>VLOOKUP("Category|"&amp;P318,'Score settings'!$A$14:$C$43,2,FALSE)/'Score settings'!$B$5*'Score settings'!$C$5</x:f>
        <x:v>4</x:v>
      </x:c>
      <x:c r="W318" s="41" t="n">
        <x:f>VLOOKUP("Area|"&amp;Q318,'Score settings'!$A$14:$C$43,2,FALSE)/'Score settings'!$B$6*'Score settings'!$C$6</x:f>
        <x:v>3</x:v>
      </x:c>
      <x:c r="X318" s="41" t="n">
        <x:f>VLOOKUP("Benefits|"&amp;IF(AND(ISNUMBER(H318),H318&gt;0,ISNUMBER(G318),G318&gt;0),IF(H318/G318&gt;='Score settings'!$E$17,"3plus",IF(H318/G318&gt;='Score settings'!$E$16,"1.5to3",IF(H318/G318&gt;='Score settings'!$E$15,"0.5to1.5","positive"))),"None"),'Score settings'!$A$14:$C$43,2,FALSE)/'Score settings'!$B$7*'Score settings'!$C$7</x:f>
        <x:v>5</x:v>
      </x:c>
      <x:c r="Y318" s="41" t="n">
        <x:f>VLOOKUP("Waste|"&amp;R318,'Score settings'!$A$14:$C$43,2,FALSE)/'Score settings'!$B$8*'Score settings'!$C$8</x:f>
        <x:v>7</x:v>
      </x:c>
      <x:c r="Z318" s="41" t="str">
        <x:f>IF(B318="","",SUM(U318:Y318))</x:f>
      </x:c>
      <x:c r="AA318" s="41" t="str">
        <x:f>IF(Z318="","Not scored",VLOOKUP(Z318,'Score settings'!$A$47:$C$50,2,TRUE))</x:f>
        <x:v>Not scored</x:v>
      </x:c>
      <x:c r="AB318" s="41" t="n">
        <x:f>VLOOKUP("Priority|"&amp;O318,'Score settings'!$A$14:$C$43,3,FALSE)/'Score settings'!$B$4*'Score settings'!$D$4</x:f>
        <x:v>0</x:v>
      </x:c>
      <x:c r="AC318" s="41" t="n">
        <x:f>VLOOKUP("Category|"&amp;P318,'Score settings'!$A$14:$C$43,3,FALSE)/'Score settings'!$B$5*'Score settings'!$D$5</x:f>
        <x:v>0</x:v>
      </x:c>
      <x:c r="AD318" s="41" t="n">
        <x:f>VLOOKUP("Area|"&amp;Q318,'Score settings'!$A$14:$C$43,3,FALSE)/'Score settings'!$B$6*'Score settings'!$D$6</x:f>
        <x:v>0</x:v>
      </x:c>
      <x:c r="AE318" s="41" t="n">
        <x:f>VLOOKUP("Benefits|"&amp;IF(AND(ISNUMBER(K318),K318&gt;0,ISNUMBER(G318),G318&gt;0),IF(K318/G318&gt;='Score settings'!$E$17,"3plus",IF(K318/G318&gt;='Score settings'!$E$16,"1.5to3",IF(K318/G318&gt;='Score settings'!$E$15,"0.5to1.5","positive"))),"None"),'Score settings'!$A$14:$C$43,3,FALSE)/'Score settings'!$B$7*'Score settings'!$D$7</x:f>
        <x:v>0</x:v>
      </x:c>
      <x:c r="AF318" s="41" t="n">
        <x:f>VLOOKUP("Waste|"&amp;R318,'Score settings'!$A$14:$C$43,3,FALSE)/'Score settings'!$B$8*'Score settings'!$D$8</x:f>
        <x:v>0</x:v>
      </x:c>
      <x:c r="AG318" s="41" t="n">
        <x:f>(IF(AND(ISNUMBER(M318),M318&gt;0,ISNUMBER(G318),G318&gt;0),IF(M318/G318&gt;='Score settings'!$E$17,'Score settings'!$G$17,IF(M318/G318&gt;='Score settings'!$E$16,'Score settings'!$G$16,IF(M318/G318&gt;='Score settings'!$E$15,'Score settings'!$G$15,'Score settings'!$G$14))),0)/15*'Score settings'!$B$60+IFERROR(VLOOKUP(IF(ISNUMBER(N318),N318,IF(ISNUMBER(L318),L318,0)),'Score settings'!$E$22:$F$26,2,FALSE),0)/10*'Score settings'!$B$61)/'Score settings'!$B$9*'Score settings'!$D$9</x:f>
        <x:v>0</x:v>
      </x:c>
      <x:c r="AH318" s="41" t="str">
        <x:f>IF(B318="","",SUM(AB318:AG318))</x:f>
      </x:c>
      <x:c r="AI318" s="41" t="str">
        <x:f>IF(NOT(ISNUMBER(AH318)),"Not scored",VLOOKUP(AH318,'Score settings'!$A$47:$C$50,3,TRUE))</x:f>
        <x:v>Not scored</x:v>
      </x:c>
      <x:c r="AJ318" s="42" t="str">
        <x:f>IF(OR(NOT(ISNUMBER(AH318)),T318&lt;&gt;"Common pot"),"",COUNTIFS($T$4:$T$509,"Common pot",$AH$4:$AH$509,"&gt;"&amp;AH318)+1)</x:f>
      </x:c>
      <x:c r="AK318" s="36" t="str">
        <x:f>IF(B318="","Name missing - not scored",IF(OR(NOT(ISNUMBER(G318)),G318&lt;=0),"Investment missing or zero - review",IF(0=1,"Permanent ID missing - reconcile",IF(AND(ISNUMBER(H318),H318/G318&gt;='Score settings'!$B$58,NOT(ISNUMBER(I318))),"Benefit units need review",IF(OR(R318="EXIT",R318="CHALLENGE"),"Waste decision requires scope resolution",IF("No exact waste match"&lt;&gt;"Name and organisation matched","Waste evidence match needs review","Provisional source score - confirm evidence"))))))</x:f>
        <x:v>Name missing - not scored</x:v>
      </x:c>
      <x:c r="AL318" s="36"/>
      <x:c r="AM318" s="40"/>
      <x:c r="AN318" s="39"/>
      <x:c r="AO318" s="40"/>
      <x:c r="AP318" s="40"/>
    </x:row>
    <x:row r="319" ht="15" hidden="0" customHeight="1">
      <x:c r="A319" s="36" t="str">
        <x:v>Bu-327</x:v>
      </x:c>
      <x:c r="B319" s="37" t="str"/>
      <x:c r="C319" s="36" t="str">
        <x:v>BU Led</x:v>
      </x:c>
      <x:c r="D319" s="36" t="str"/>
      <x:c r="E319" s="38"/>
      <x:c r="F319" s="39"/>
      <x:c r="G319" s="38" t="str">
        <x:f>IF(ISNUMBER(F319),F319,IF(E319="","",E319))</x:f>
      </x:c>
      <x:c r="H319" s="38"/>
      <x:c r="I319" s="39"/>
      <x:c r="J319" s="36" t="str">
        <x:v>Unclassified</x:v>
      </x:c>
      <x:c r="K319" s="38" t="str">
        <x:f>IF(ISNUMBER(I319),I319,IF(OR(NOT(ISNUMBER(H319)),NOT(ISNUMBER(G319)),G319&lt;=0),"",IF(H319/G319&gt;='Score settings'!$B$58,"",IF(J319="Cash savings",H319,IF(J319="Revenue",H319*'Score settings'!$B$55,"")))))</x:f>
      </x:c>
      <x:c r="L319" s="36"/>
      <x:c r="M319" s="39"/>
      <x:c r="N319" s="40"/>
      <x:c r="O319" s="36" t="str">
        <x:v>Blank</x:v>
      </x:c>
      <x:c r="P319" s="36" t="str">
        <x:v>Blank</x:v>
      </x:c>
      <x:c r="Q319" s="36" t="str">
        <x:v>Blank</x:v>
      </x:c>
      <x:c r="R319" s="36" t="str">
        <x:v>NotAssessed</x:v>
      </x:c>
      <x:c r="S319" s="36" t="str"/>
      <x:c r="T319" s="36" t="str">
        <x:v>Incomplete record</x:v>
      </x:c>
      <x:c r="U319" s="41" t="n">
        <x:f>VLOOKUP("Priority|"&amp;O319,'Score settings'!$A$14:$C$43,2,FALSE)/'Score settings'!$B$4*'Score settings'!$C$4</x:f>
        <x:v>10</x:v>
      </x:c>
      <x:c r="V319" s="41" t="n">
        <x:f>VLOOKUP("Category|"&amp;P319,'Score settings'!$A$14:$C$43,2,FALSE)/'Score settings'!$B$5*'Score settings'!$C$5</x:f>
        <x:v>4</x:v>
      </x:c>
      <x:c r="W319" s="41" t="n">
        <x:f>VLOOKUP("Area|"&amp;Q319,'Score settings'!$A$14:$C$43,2,FALSE)/'Score settings'!$B$6*'Score settings'!$C$6</x:f>
        <x:v>3</x:v>
      </x:c>
      <x:c r="X319" s="41" t="n">
        <x:f>VLOOKUP("Benefits|"&amp;IF(AND(ISNUMBER(H319),H319&gt;0,ISNUMBER(G319),G319&gt;0),IF(H319/G319&gt;='Score settings'!$E$17,"3plus",IF(H319/G319&gt;='Score settings'!$E$16,"1.5to3",IF(H319/G319&gt;='Score settings'!$E$15,"0.5to1.5","positive"))),"None"),'Score settings'!$A$14:$C$43,2,FALSE)/'Score settings'!$B$7*'Score settings'!$C$7</x:f>
        <x:v>5</x:v>
      </x:c>
      <x:c r="Y319" s="41" t="n">
        <x:f>VLOOKUP("Waste|"&amp;R319,'Score settings'!$A$14:$C$43,2,FALSE)/'Score settings'!$B$8*'Score settings'!$C$8</x:f>
        <x:v>7</x:v>
      </x:c>
      <x:c r="Z319" s="41" t="str">
        <x:f>IF(B319="","",SUM(U319:Y319))</x:f>
      </x:c>
      <x:c r="AA319" s="41" t="str">
        <x:f>IF(Z319="","Not scored",VLOOKUP(Z319,'Score settings'!$A$47:$C$50,2,TRUE))</x:f>
        <x:v>Not scored</x:v>
      </x:c>
      <x:c r="AB319" s="41" t="n">
        <x:f>VLOOKUP("Priority|"&amp;O319,'Score settings'!$A$14:$C$43,3,FALSE)/'Score settings'!$B$4*'Score settings'!$D$4</x:f>
        <x:v>0</x:v>
      </x:c>
      <x:c r="AC319" s="41" t="n">
        <x:f>VLOOKUP("Category|"&amp;P319,'Score settings'!$A$14:$C$43,3,FALSE)/'Score settings'!$B$5*'Score settings'!$D$5</x:f>
        <x:v>0</x:v>
      </x:c>
      <x:c r="AD319" s="41" t="n">
        <x:f>VLOOKUP("Area|"&amp;Q319,'Score settings'!$A$14:$C$43,3,FALSE)/'Score settings'!$B$6*'Score settings'!$D$6</x:f>
        <x:v>0</x:v>
      </x:c>
      <x:c r="AE319" s="41" t="n">
        <x:f>VLOOKUP("Benefits|"&amp;IF(AND(ISNUMBER(K319),K319&gt;0,ISNUMBER(G319),G319&gt;0),IF(K319/G319&gt;='Score settings'!$E$17,"3plus",IF(K319/G319&gt;='Score settings'!$E$16,"1.5to3",IF(K319/G319&gt;='Score settings'!$E$15,"0.5to1.5","positive"))),"None"),'Score settings'!$A$14:$C$43,3,FALSE)/'Score settings'!$B$7*'Score settings'!$D$7</x:f>
        <x:v>0</x:v>
      </x:c>
      <x:c r="AF319" s="41" t="n">
        <x:f>VLOOKUP("Waste|"&amp;R319,'Score settings'!$A$14:$C$43,3,FALSE)/'Score settings'!$B$8*'Score settings'!$D$8</x:f>
        <x:v>0</x:v>
      </x:c>
      <x:c r="AG319" s="41" t="n">
        <x:f>(IF(AND(ISNUMBER(M319),M319&gt;0,ISNUMBER(G319),G319&gt;0),IF(M319/G319&gt;='Score settings'!$E$17,'Score settings'!$G$17,IF(M319/G319&gt;='Score settings'!$E$16,'Score settings'!$G$16,IF(M319/G319&gt;='Score settings'!$E$15,'Score settings'!$G$15,'Score settings'!$G$14))),0)/15*'Score settings'!$B$60+IFERROR(VLOOKUP(IF(ISNUMBER(N319),N319,IF(ISNUMBER(L319),L319,0)),'Score settings'!$E$22:$F$26,2,FALSE),0)/10*'Score settings'!$B$61)/'Score settings'!$B$9*'Score settings'!$D$9</x:f>
        <x:v>0</x:v>
      </x:c>
      <x:c r="AH319" s="41" t="str">
        <x:f>IF(B319="","",SUM(AB319:AG319))</x:f>
      </x:c>
      <x:c r="AI319" s="41" t="str">
        <x:f>IF(NOT(ISNUMBER(AH319)),"Not scored",VLOOKUP(AH319,'Score settings'!$A$47:$C$50,3,TRUE))</x:f>
        <x:v>Not scored</x:v>
      </x:c>
      <x:c r="AJ319" s="42" t="str">
        <x:f>IF(OR(NOT(ISNUMBER(AH319)),T319&lt;&gt;"Common pot"),"",COUNTIFS($T$4:$T$509,"Common pot",$AH$4:$AH$509,"&gt;"&amp;AH319)+1)</x:f>
      </x:c>
      <x:c r="AK319" s="36" t="str">
        <x:f>IF(B319="","Name missing - not scored",IF(OR(NOT(ISNUMBER(G319)),G319&lt;=0),"Investment missing or zero - review",IF(0=1,"Permanent ID missing - reconcile",IF(AND(ISNUMBER(H319),H319/G319&gt;='Score settings'!$B$58,NOT(ISNUMBER(I319))),"Benefit units need review",IF(OR(R319="EXIT",R319="CHALLENGE"),"Waste decision requires scope resolution",IF("No exact waste match"&lt;&gt;"Name and organisation matched","Waste evidence match needs review","Provisional source score - confirm evidence"))))))</x:f>
        <x:v>Name missing - not scored</x:v>
      </x:c>
      <x:c r="AL319" s="36"/>
      <x:c r="AM319" s="40"/>
      <x:c r="AN319" s="39"/>
      <x:c r="AO319" s="40"/>
      <x:c r="AP319" s="40"/>
    </x:row>
    <x:row r="320" ht="15" hidden="0" customHeight="1">
      <x:c r="A320" s="36" t="str">
        <x:v>Bu-328</x:v>
      </x:c>
      <x:c r="B320" s="37" t="str"/>
      <x:c r="C320" s="36" t="str">
        <x:v>BU Led</x:v>
      </x:c>
      <x:c r="D320" s="36" t="str"/>
      <x:c r="E320" s="38"/>
      <x:c r="F320" s="39"/>
      <x:c r="G320" s="38" t="str">
        <x:f>IF(ISNUMBER(F320),F320,IF(E320="","",E320))</x:f>
      </x:c>
      <x:c r="H320" s="38"/>
      <x:c r="I320" s="39"/>
      <x:c r="J320" s="36" t="str">
        <x:v>Unclassified</x:v>
      </x:c>
      <x:c r="K320" s="38" t="str">
        <x:f>IF(ISNUMBER(I320),I320,IF(OR(NOT(ISNUMBER(H320)),NOT(ISNUMBER(G320)),G320&lt;=0),"",IF(H320/G320&gt;='Score settings'!$B$58,"",IF(J320="Cash savings",H320,IF(J320="Revenue",H320*'Score settings'!$B$55,"")))))</x:f>
      </x:c>
      <x:c r="L320" s="36"/>
      <x:c r="M320" s="39"/>
      <x:c r="N320" s="40"/>
      <x:c r="O320" s="36" t="str">
        <x:v>Blank</x:v>
      </x:c>
      <x:c r="P320" s="36" t="str">
        <x:v>Blank</x:v>
      </x:c>
      <x:c r="Q320" s="36" t="str">
        <x:v>Blank</x:v>
      </x:c>
      <x:c r="R320" s="36" t="str">
        <x:v>NotAssessed</x:v>
      </x:c>
      <x:c r="S320" s="36" t="str"/>
      <x:c r="T320" s="36" t="str">
        <x:v>Incomplete record</x:v>
      </x:c>
      <x:c r="U320" s="41" t="n">
        <x:f>VLOOKUP("Priority|"&amp;O320,'Score settings'!$A$14:$C$43,2,FALSE)/'Score settings'!$B$4*'Score settings'!$C$4</x:f>
        <x:v>10</x:v>
      </x:c>
      <x:c r="V320" s="41" t="n">
        <x:f>VLOOKUP("Category|"&amp;P320,'Score settings'!$A$14:$C$43,2,FALSE)/'Score settings'!$B$5*'Score settings'!$C$5</x:f>
        <x:v>4</x:v>
      </x:c>
      <x:c r="W320" s="41" t="n">
        <x:f>VLOOKUP("Area|"&amp;Q320,'Score settings'!$A$14:$C$43,2,FALSE)/'Score settings'!$B$6*'Score settings'!$C$6</x:f>
        <x:v>3</x:v>
      </x:c>
      <x:c r="X320" s="41" t="n">
        <x:f>VLOOKUP("Benefits|"&amp;IF(AND(ISNUMBER(H320),H320&gt;0,ISNUMBER(G320),G320&gt;0),IF(H320/G320&gt;='Score settings'!$E$17,"3plus",IF(H320/G320&gt;='Score settings'!$E$16,"1.5to3",IF(H320/G320&gt;='Score settings'!$E$15,"0.5to1.5","positive"))),"None"),'Score settings'!$A$14:$C$43,2,FALSE)/'Score settings'!$B$7*'Score settings'!$C$7</x:f>
        <x:v>5</x:v>
      </x:c>
      <x:c r="Y320" s="41" t="n">
        <x:f>VLOOKUP("Waste|"&amp;R320,'Score settings'!$A$14:$C$43,2,FALSE)/'Score settings'!$B$8*'Score settings'!$C$8</x:f>
        <x:v>7</x:v>
      </x:c>
      <x:c r="Z320" s="41" t="str">
        <x:f>IF(B320="","",SUM(U320:Y320))</x:f>
      </x:c>
      <x:c r="AA320" s="41" t="str">
        <x:f>IF(Z320="","Not scored",VLOOKUP(Z320,'Score settings'!$A$47:$C$50,2,TRUE))</x:f>
        <x:v>Not scored</x:v>
      </x:c>
      <x:c r="AB320" s="41" t="n">
        <x:f>VLOOKUP("Priority|"&amp;O320,'Score settings'!$A$14:$C$43,3,FALSE)/'Score settings'!$B$4*'Score settings'!$D$4</x:f>
        <x:v>0</x:v>
      </x:c>
      <x:c r="AC320" s="41" t="n">
        <x:f>VLOOKUP("Category|"&amp;P320,'Score settings'!$A$14:$C$43,3,FALSE)/'Score settings'!$B$5*'Score settings'!$D$5</x:f>
        <x:v>0</x:v>
      </x:c>
      <x:c r="AD320" s="41" t="n">
        <x:f>VLOOKUP("Area|"&amp;Q320,'Score settings'!$A$14:$C$43,3,FALSE)/'Score settings'!$B$6*'Score settings'!$D$6</x:f>
        <x:v>0</x:v>
      </x:c>
      <x:c r="AE320" s="41" t="n">
        <x:f>VLOOKUP("Benefits|"&amp;IF(AND(ISNUMBER(K320),K320&gt;0,ISNUMBER(G320),G320&gt;0),IF(K320/G320&gt;='Score settings'!$E$17,"3plus",IF(K320/G320&gt;='Score settings'!$E$16,"1.5to3",IF(K320/G320&gt;='Score settings'!$E$15,"0.5to1.5","positive"))),"None"),'Score settings'!$A$14:$C$43,3,FALSE)/'Score settings'!$B$7*'Score settings'!$D$7</x:f>
        <x:v>0</x:v>
      </x:c>
      <x:c r="AF320" s="41" t="n">
        <x:f>VLOOKUP("Waste|"&amp;R320,'Score settings'!$A$14:$C$43,3,FALSE)/'Score settings'!$B$8*'Score settings'!$D$8</x:f>
        <x:v>0</x:v>
      </x:c>
      <x:c r="AG320" s="41" t="n">
        <x:f>(IF(AND(ISNUMBER(M320),M320&gt;0,ISNUMBER(G320),G320&gt;0),IF(M320/G320&gt;='Score settings'!$E$17,'Score settings'!$G$17,IF(M320/G320&gt;='Score settings'!$E$16,'Score settings'!$G$16,IF(M320/G320&gt;='Score settings'!$E$15,'Score settings'!$G$15,'Score settings'!$G$14))),0)/15*'Score settings'!$B$60+IFERROR(VLOOKUP(IF(ISNUMBER(N320),N320,IF(ISNUMBER(L320),L320,0)),'Score settings'!$E$22:$F$26,2,FALSE),0)/10*'Score settings'!$B$61)/'Score settings'!$B$9*'Score settings'!$D$9</x:f>
        <x:v>0</x:v>
      </x:c>
      <x:c r="AH320" s="41" t="str">
        <x:f>IF(B320="","",SUM(AB320:AG320))</x:f>
      </x:c>
      <x:c r="AI320" s="41" t="str">
        <x:f>IF(NOT(ISNUMBER(AH320)),"Not scored",VLOOKUP(AH320,'Score settings'!$A$47:$C$50,3,TRUE))</x:f>
        <x:v>Not scored</x:v>
      </x:c>
      <x:c r="AJ320" s="42" t="str">
        <x:f>IF(OR(NOT(ISNUMBER(AH320)),T320&lt;&gt;"Common pot"),"",COUNTIFS($T$4:$T$509,"Common pot",$AH$4:$AH$509,"&gt;"&amp;AH320)+1)</x:f>
      </x:c>
      <x:c r="AK320" s="36" t="str">
        <x:f>IF(B320="","Name missing - not scored",IF(OR(NOT(ISNUMBER(G320)),G320&lt;=0),"Investment missing or zero - review",IF(0=1,"Permanent ID missing - reconcile",IF(AND(ISNUMBER(H320),H320/G320&gt;='Score settings'!$B$58,NOT(ISNUMBER(I320))),"Benefit units need review",IF(OR(R320="EXIT",R320="CHALLENGE"),"Waste decision requires scope resolution",IF("No exact waste match"&lt;&gt;"Name and organisation matched","Waste evidence match needs review","Provisional source score - confirm evidence"))))))</x:f>
        <x:v>Name missing - not scored</x:v>
      </x:c>
      <x:c r="AL320" s="36"/>
      <x:c r="AM320" s="40"/>
      <x:c r="AN320" s="39"/>
      <x:c r="AO320" s="40"/>
      <x:c r="AP320" s="40"/>
    </x:row>
    <x:row r="321" ht="15" hidden="0" customHeight="1">
      <x:c r="A321" s="36" t="str">
        <x:v>Bu-329</x:v>
      </x:c>
      <x:c r="B321" s="37" t="str"/>
      <x:c r="C321" s="36" t="str">
        <x:v>BU Led</x:v>
      </x:c>
      <x:c r="D321" s="36" t="str"/>
      <x:c r="E321" s="38"/>
      <x:c r="F321" s="39"/>
      <x:c r="G321" s="38" t="str">
        <x:f>IF(ISNUMBER(F321),F321,IF(E321="","",E321))</x:f>
      </x:c>
      <x:c r="H321" s="38"/>
      <x:c r="I321" s="39"/>
      <x:c r="J321" s="36" t="str">
        <x:v>Unclassified</x:v>
      </x:c>
      <x:c r="K321" s="38" t="str">
        <x:f>IF(ISNUMBER(I321),I321,IF(OR(NOT(ISNUMBER(H321)),NOT(ISNUMBER(G321)),G321&lt;=0),"",IF(H321/G321&gt;='Score settings'!$B$58,"",IF(J321="Cash savings",H321,IF(J321="Revenue",H321*'Score settings'!$B$55,"")))))</x:f>
      </x:c>
      <x:c r="L321" s="36"/>
      <x:c r="M321" s="39"/>
      <x:c r="N321" s="40"/>
      <x:c r="O321" s="36" t="str">
        <x:v>Blank</x:v>
      </x:c>
      <x:c r="P321" s="36" t="str">
        <x:v>Blank</x:v>
      </x:c>
      <x:c r="Q321" s="36" t="str">
        <x:v>Blank</x:v>
      </x:c>
      <x:c r="R321" s="36" t="str">
        <x:v>NotAssessed</x:v>
      </x:c>
      <x:c r="S321" s="36" t="str"/>
      <x:c r="T321" s="36" t="str">
        <x:v>Incomplete record</x:v>
      </x:c>
      <x:c r="U321" s="41" t="n">
        <x:f>VLOOKUP("Priority|"&amp;O321,'Score settings'!$A$14:$C$43,2,FALSE)/'Score settings'!$B$4*'Score settings'!$C$4</x:f>
        <x:v>10</x:v>
      </x:c>
      <x:c r="V321" s="41" t="n">
        <x:f>VLOOKUP("Category|"&amp;P321,'Score settings'!$A$14:$C$43,2,FALSE)/'Score settings'!$B$5*'Score settings'!$C$5</x:f>
        <x:v>4</x:v>
      </x:c>
      <x:c r="W321" s="41" t="n">
        <x:f>VLOOKUP("Area|"&amp;Q321,'Score settings'!$A$14:$C$43,2,FALSE)/'Score settings'!$B$6*'Score settings'!$C$6</x:f>
        <x:v>3</x:v>
      </x:c>
      <x:c r="X321" s="41" t="n">
        <x:f>VLOOKUP("Benefits|"&amp;IF(AND(ISNUMBER(H321),H321&gt;0,ISNUMBER(G321),G321&gt;0),IF(H321/G321&gt;='Score settings'!$E$17,"3plus",IF(H321/G321&gt;='Score settings'!$E$16,"1.5to3",IF(H321/G321&gt;='Score settings'!$E$15,"0.5to1.5","positive"))),"None"),'Score settings'!$A$14:$C$43,2,FALSE)/'Score settings'!$B$7*'Score settings'!$C$7</x:f>
        <x:v>5</x:v>
      </x:c>
      <x:c r="Y321" s="41" t="n">
        <x:f>VLOOKUP("Waste|"&amp;R321,'Score settings'!$A$14:$C$43,2,FALSE)/'Score settings'!$B$8*'Score settings'!$C$8</x:f>
        <x:v>7</x:v>
      </x:c>
      <x:c r="Z321" s="41" t="str">
        <x:f>IF(B321="","",SUM(U321:Y321))</x:f>
      </x:c>
      <x:c r="AA321" s="41" t="str">
        <x:f>IF(Z321="","Not scored",VLOOKUP(Z321,'Score settings'!$A$47:$C$50,2,TRUE))</x:f>
        <x:v>Not scored</x:v>
      </x:c>
      <x:c r="AB321" s="41" t="n">
        <x:f>VLOOKUP("Priority|"&amp;O321,'Score settings'!$A$14:$C$43,3,FALSE)/'Score settings'!$B$4*'Score settings'!$D$4</x:f>
        <x:v>0</x:v>
      </x:c>
      <x:c r="AC321" s="41" t="n">
        <x:f>VLOOKUP("Category|"&amp;P321,'Score settings'!$A$14:$C$43,3,FALSE)/'Score settings'!$B$5*'Score settings'!$D$5</x:f>
        <x:v>0</x:v>
      </x:c>
      <x:c r="AD321" s="41" t="n">
        <x:f>VLOOKUP("Area|"&amp;Q321,'Score settings'!$A$14:$C$43,3,FALSE)/'Score settings'!$B$6*'Score settings'!$D$6</x:f>
        <x:v>0</x:v>
      </x:c>
      <x:c r="AE321" s="41" t="n">
        <x:f>VLOOKUP("Benefits|"&amp;IF(AND(ISNUMBER(K321),K321&gt;0,ISNUMBER(G321),G321&gt;0),IF(K321/G321&gt;='Score settings'!$E$17,"3plus",IF(K321/G321&gt;='Score settings'!$E$16,"1.5to3",IF(K321/G321&gt;='Score settings'!$E$15,"0.5to1.5","positive"))),"None"),'Score settings'!$A$14:$C$43,3,FALSE)/'Score settings'!$B$7*'Score settings'!$D$7</x:f>
        <x:v>0</x:v>
      </x:c>
      <x:c r="AF321" s="41" t="n">
        <x:f>VLOOKUP("Waste|"&amp;R321,'Score settings'!$A$14:$C$43,3,FALSE)/'Score settings'!$B$8*'Score settings'!$D$8</x:f>
        <x:v>0</x:v>
      </x:c>
      <x:c r="AG321" s="41" t="n">
        <x:f>(IF(AND(ISNUMBER(M321),M321&gt;0,ISNUMBER(G321),G321&gt;0),IF(M321/G321&gt;='Score settings'!$E$17,'Score settings'!$G$17,IF(M321/G321&gt;='Score settings'!$E$16,'Score settings'!$G$16,IF(M321/G321&gt;='Score settings'!$E$15,'Score settings'!$G$15,'Score settings'!$G$14))),0)/15*'Score settings'!$B$60+IFERROR(VLOOKUP(IF(ISNUMBER(N321),N321,IF(ISNUMBER(L321),L321,0)),'Score settings'!$E$22:$F$26,2,FALSE),0)/10*'Score settings'!$B$61)/'Score settings'!$B$9*'Score settings'!$D$9</x:f>
        <x:v>0</x:v>
      </x:c>
      <x:c r="AH321" s="41" t="str">
        <x:f>IF(B321="","",SUM(AB321:AG321))</x:f>
      </x:c>
      <x:c r="AI321" s="41" t="str">
        <x:f>IF(NOT(ISNUMBER(AH321)),"Not scored",VLOOKUP(AH321,'Score settings'!$A$47:$C$50,3,TRUE))</x:f>
        <x:v>Not scored</x:v>
      </x:c>
      <x:c r="AJ321" s="42" t="str">
        <x:f>IF(OR(NOT(ISNUMBER(AH321)),T321&lt;&gt;"Common pot"),"",COUNTIFS($T$4:$T$509,"Common pot",$AH$4:$AH$509,"&gt;"&amp;AH321)+1)</x:f>
      </x:c>
      <x:c r="AK321" s="36" t="str">
        <x:f>IF(B321="","Name missing - not scored",IF(OR(NOT(ISNUMBER(G321)),G321&lt;=0),"Investment missing or zero - review",IF(0=1,"Permanent ID missing - reconcile",IF(AND(ISNUMBER(H321),H321/G321&gt;='Score settings'!$B$58,NOT(ISNUMBER(I321))),"Benefit units need review",IF(OR(R321="EXIT",R321="CHALLENGE"),"Waste decision requires scope resolution",IF("No exact waste match"&lt;&gt;"Name and organisation matched","Waste evidence match needs review","Provisional source score - confirm evidence"))))))</x:f>
        <x:v>Name missing - not scored</x:v>
      </x:c>
      <x:c r="AL321" s="36"/>
      <x:c r="AM321" s="40"/>
      <x:c r="AN321" s="39"/>
      <x:c r="AO321" s="40"/>
      <x:c r="AP321" s="40"/>
    </x:row>
    <x:row r="322" ht="15" hidden="0" customHeight="1">
      <x:c r="A322" s="36" t="str">
        <x:v>Bu-330</x:v>
      </x:c>
      <x:c r="B322" s="37" t="str">
        <x:v>CoNQ data model &amp; reporting (warranty, field failures, returns)</x:v>
      </x:c>
      <x:c r="C322" s="36" t="str">
        <x:v>BU Led</x:v>
      </x:c>
      <x:c r="D322" s="36" t="str">
        <x:v>Precision Diagnosis - Magnetic Resonance (MR)</x:v>
      </x:c>
      <x:c r="E322" s="38" t="n">
        <x:v>0.45</x:v>
      </x:c>
      <x:c r="F322" s="39"/>
      <x:c r="G322" s="38" t="n">
        <x:f>IF(ISNUMBER(F322),F322,IF(E322="","",E322))</x:f>
        <x:v>0.45</x:v>
      </x:c>
      <x:c r="H322" s="38" t="n">
        <x:v>3</x:v>
      </x:c>
      <x:c r="I322" s="39"/>
      <x:c r="J322" s="36" t="str">
        <x:v>Unclassified</x:v>
      </x:c>
      <x:c r="K322" s="38" t="str">
        <x:f>IF(ISNUMBER(I322),I322,IF(OR(NOT(ISNUMBER(H322)),NOT(ISNUMBER(G322)),G322&lt;=0),"",IF(H322/G322&gt;='Score settings'!$B$58,"",IF(J322="Cash savings",H322,IF(J322="Revenue",H322*'Score settings'!$B$55,"")))))</x:f>
      </x:c>
      <x:c r="L322" s="36"/>
      <x:c r="M322" s="39"/>
      <x:c r="N322" s="40"/>
      <x:c r="O322" s="36" t="str">
        <x:v>Blank</x:v>
      </x:c>
      <x:c r="P322" s="36" t="str">
        <x:v>Blank</x:v>
      </x:c>
      <x:c r="Q322" s="36" t="str">
        <x:v>Blank</x:v>
      </x:c>
      <x:c r="R322" s="36" t="str">
        <x:v>NotAssessed</x:v>
      </x:c>
      <x:c r="S322" s="36" t="str"/>
      <x:c r="T322" s="36" t="str">
        <x:v>Common pot</x:v>
      </x:c>
      <x:c r="U322" s="41" t="n">
        <x:f>VLOOKUP("Priority|"&amp;O322,'Score settings'!$A$14:$C$43,2,FALSE)/'Score settings'!$B$4*'Score settings'!$C$4</x:f>
        <x:v>10</x:v>
      </x:c>
      <x:c r="V322" s="41" t="n">
        <x:f>VLOOKUP("Category|"&amp;P322,'Score settings'!$A$14:$C$43,2,FALSE)/'Score settings'!$B$5*'Score settings'!$C$5</x:f>
        <x:v>4</x:v>
      </x:c>
      <x:c r="W322" s="41" t="n">
        <x:f>VLOOKUP("Area|"&amp;Q322,'Score settings'!$A$14:$C$43,2,FALSE)/'Score settings'!$B$6*'Score settings'!$C$6</x:f>
        <x:v>3</x:v>
      </x:c>
      <x:c r="X322" s="41" t="n">
        <x:f>VLOOKUP("Benefits|"&amp;IF(AND(ISNUMBER(H322),H322&gt;0,ISNUMBER(G322),G322&gt;0),IF(H322/G322&gt;='Score settings'!$E$17,"3plus",IF(H322/G322&gt;='Score settings'!$E$16,"1.5to3",IF(H322/G322&gt;='Score settings'!$E$15,"0.5to1.5","positive"))),"None"),'Score settings'!$A$14:$C$43,2,FALSE)/'Score settings'!$B$7*'Score settings'!$C$7</x:f>
        <x:v>25</x:v>
      </x:c>
      <x:c r="Y322" s="41" t="n">
        <x:f>VLOOKUP("Waste|"&amp;R322,'Score settings'!$A$14:$C$43,2,FALSE)/'Score settings'!$B$8*'Score settings'!$C$8</x:f>
        <x:v>7</x:v>
      </x:c>
      <x:c r="Z322" s="41" t="n">
        <x:f>IF(B322="","",SUM(U322:Y322))</x:f>
        <x:v>49</x:v>
      </x:c>
      <x:c r="AA322" s="41" t="str">
        <x:f>IF(Z322="","Not scored",VLOOKUP(Z322,'Score settings'!$A$47:$C$50,2,TRUE))</x:f>
        <x:v>Strong</x:v>
      </x:c>
      <x:c r="AB322" s="41" t="n">
        <x:f>VLOOKUP("Priority|"&amp;O322,'Score settings'!$A$14:$C$43,3,FALSE)/'Score settings'!$B$4*'Score settings'!$D$4</x:f>
        <x:v>0</x:v>
      </x:c>
      <x:c r="AC322" s="41" t="n">
        <x:f>VLOOKUP("Category|"&amp;P322,'Score settings'!$A$14:$C$43,3,FALSE)/'Score settings'!$B$5*'Score settings'!$D$5</x:f>
        <x:v>0</x:v>
      </x:c>
      <x:c r="AD322" s="41" t="n">
        <x:f>VLOOKUP("Area|"&amp;Q322,'Score settings'!$A$14:$C$43,3,FALSE)/'Score settings'!$B$6*'Score settings'!$D$6</x:f>
        <x:v>0</x:v>
      </x:c>
      <x:c r="AE322" s="41" t="n">
        <x:f>VLOOKUP("Benefits|"&amp;IF(AND(ISNUMBER(K322),K322&gt;0,ISNUMBER(G322),G322&gt;0),IF(K322/G322&gt;='Score settings'!$E$17,"3plus",IF(K322/G322&gt;='Score settings'!$E$16,"1.5to3",IF(K322/G322&gt;='Score settings'!$E$15,"0.5to1.5","positive"))),"None"),'Score settings'!$A$14:$C$43,3,FALSE)/'Score settings'!$B$7*'Score settings'!$D$7</x:f>
        <x:v>0</x:v>
      </x:c>
      <x:c r="AF322" s="41" t="n">
        <x:f>VLOOKUP("Waste|"&amp;R322,'Score settings'!$A$14:$C$43,3,FALSE)/'Score settings'!$B$8*'Score settings'!$D$8</x:f>
        <x:v>0</x:v>
      </x:c>
      <x:c r="AG322" s="41" t="n">
        <x:f>(IF(AND(ISNUMBER(M322),M322&gt;0,ISNUMBER(G322),G322&gt;0),IF(M322/G322&gt;='Score settings'!$E$17,'Score settings'!$G$17,IF(M322/G322&gt;='Score settings'!$E$16,'Score settings'!$G$16,IF(M322/G322&gt;='Score settings'!$E$15,'Score settings'!$G$15,'Score settings'!$G$14))),0)/15*'Score settings'!$B$60+IFERROR(VLOOKUP(IF(ISNUMBER(N322),N322,IF(ISNUMBER(L322),L322,0)),'Score settings'!$E$22:$F$26,2,FALSE),0)/10*'Score settings'!$B$61)/'Score settings'!$B$9*'Score settings'!$D$9</x:f>
        <x:v>0</x:v>
      </x:c>
      <x:c r="AH322" s="41" t="n">
        <x:f>IF(B322="","",SUM(AB322:AG322))</x:f>
        <x:v>0</x:v>
      </x:c>
      <x:c r="AI322" s="41" t="str">
        <x:f>IF(NOT(ISNUMBER(AH322)),"Not scored",VLOOKUP(AH322,'Score settings'!$A$47:$C$50,3,TRUE))</x:f>
        <x:v>Weak</x:v>
      </x:c>
      <x:c r="AJ322" s="42" t="n">
        <x:f>IF(OR(NOT(ISNUMBER(AH322)),T322&lt;&gt;"Common pot"),"",COUNTIFS($T$4:$T$509,"Common pot",$AH$4:$AH$509,"&gt;"&amp;AH322)+1)</x:f>
        <x:v>398</x:v>
      </x:c>
      <x:c r="AK322" s="36" t="str">
        <x:f>IF(B322="","Name missing - not scored",IF(OR(NOT(ISNUMBER(G322)),G322&lt;=0),"Investment missing or zero - review",IF(0=1,"Permanent ID missing - reconcile",IF(AND(ISNUMBER(H322),H322/G322&gt;='Score settings'!$B$58,NOT(ISNUMBER(I322))),"Benefit units need review",IF(OR(R322="EXIT",R322="CHALLENGE"),"Waste decision requires scope resolution",IF("No exact waste match"&lt;&gt;"Name and organisation matched","Waste evidence match needs review","Provisional source score - confirm evidence"))))))</x:f>
        <x:v>Waste evidence match needs review</x:v>
      </x:c>
      <x:c r="AL322" s="36"/>
      <x:c r="AM322" s="40"/>
      <x:c r="AN322" s="39"/>
      <x:c r="AO322" s="40"/>
      <x:c r="AP322" s="40"/>
    </x:row>
    <x:row r="323" ht="15" hidden="0" customHeight="1">
      <x:c r="A323" s="36" t="str">
        <x:v>Bu-331</x:v>
      </x:c>
      <x:c r="B323" s="37" t="str">
        <x:v>AI Consumption &amp; Document Processing Optimization</x:v>
      </x:c>
      <x:c r="C323" s="36" t="str">
        <x:v>BU Led</x:v>
      </x:c>
      <x:c r="D323" s="36" t="str">
        <x:v>Precision Diagnosis - Magnetic Resonance (MR)</x:v>
      </x:c>
      <x:c r="E323" s="38" t="n">
        <x:v>0.05</x:v>
      </x:c>
      <x:c r="F323" s="39"/>
      <x:c r="G323" s="38" t="n">
        <x:f>IF(ISNUMBER(F323),F323,IF(E323="","",E323))</x:f>
        <x:v>0.05</x:v>
      </x:c>
      <x:c r="H323" s="38" t="n">
        <x:v>0.5</x:v>
      </x:c>
      <x:c r="I323" s="39"/>
      <x:c r="J323" s="36" t="str">
        <x:v>Unclassified</x:v>
      </x:c>
      <x:c r="K323" s="38" t="str">
        <x:f>IF(ISNUMBER(I323),I323,IF(OR(NOT(ISNUMBER(H323)),NOT(ISNUMBER(G323)),G323&lt;=0),"",IF(H323/G323&gt;='Score settings'!$B$58,"",IF(J323="Cash savings",H323,IF(J323="Revenue",H323*'Score settings'!$B$55,"")))))</x:f>
      </x:c>
      <x:c r="L323" s="36"/>
      <x:c r="M323" s="39"/>
      <x:c r="N323" s="40"/>
      <x:c r="O323" s="36" t="str">
        <x:v>Blank</x:v>
      </x:c>
      <x:c r="P323" s="36" t="str">
        <x:v>Blank</x:v>
      </x:c>
      <x:c r="Q323" s="36" t="str">
        <x:v>Blank</x:v>
      </x:c>
      <x:c r="R323" s="36" t="str">
        <x:v>NotAssessed</x:v>
      </x:c>
      <x:c r="S323" s="36" t="str"/>
      <x:c r="T323" s="36" t="str">
        <x:v>Common pot</x:v>
      </x:c>
      <x:c r="U323" s="41" t="n">
        <x:f>VLOOKUP("Priority|"&amp;O323,'Score settings'!$A$14:$C$43,2,FALSE)/'Score settings'!$B$4*'Score settings'!$C$4</x:f>
        <x:v>10</x:v>
      </x:c>
      <x:c r="V323" s="41" t="n">
        <x:f>VLOOKUP("Category|"&amp;P323,'Score settings'!$A$14:$C$43,2,FALSE)/'Score settings'!$B$5*'Score settings'!$C$5</x:f>
        <x:v>4</x:v>
      </x:c>
      <x:c r="W323" s="41" t="n">
        <x:f>VLOOKUP("Area|"&amp;Q323,'Score settings'!$A$14:$C$43,2,FALSE)/'Score settings'!$B$6*'Score settings'!$C$6</x:f>
        <x:v>3</x:v>
      </x:c>
      <x:c r="X323" s="41" t="n">
        <x:f>VLOOKUP("Benefits|"&amp;IF(AND(ISNUMBER(H323),H323&gt;0,ISNUMBER(G323),G323&gt;0),IF(H323/G323&gt;='Score settings'!$E$17,"3plus",IF(H323/G323&gt;='Score settings'!$E$16,"1.5to3",IF(H323/G323&gt;='Score settings'!$E$15,"0.5to1.5","positive"))),"None"),'Score settings'!$A$14:$C$43,2,FALSE)/'Score settings'!$B$7*'Score settings'!$C$7</x:f>
        <x:v>25</x:v>
      </x:c>
      <x:c r="Y323" s="41" t="n">
        <x:f>VLOOKUP("Waste|"&amp;R323,'Score settings'!$A$14:$C$43,2,FALSE)/'Score settings'!$B$8*'Score settings'!$C$8</x:f>
        <x:v>7</x:v>
      </x:c>
      <x:c r="Z323" s="41" t="n">
        <x:f>IF(B323="","",SUM(U323:Y323))</x:f>
        <x:v>49</x:v>
      </x:c>
      <x:c r="AA323" s="41" t="str">
        <x:f>IF(Z323="","Not scored",VLOOKUP(Z323,'Score settings'!$A$47:$C$50,2,TRUE))</x:f>
        <x:v>Strong</x:v>
      </x:c>
      <x:c r="AB323" s="41" t="n">
        <x:f>VLOOKUP("Priority|"&amp;O323,'Score settings'!$A$14:$C$43,3,FALSE)/'Score settings'!$B$4*'Score settings'!$D$4</x:f>
        <x:v>0</x:v>
      </x:c>
      <x:c r="AC323" s="41" t="n">
        <x:f>VLOOKUP("Category|"&amp;P323,'Score settings'!$A$14:$C$43,3,FALSE)/'Score settings'!$B$5*'Score settings'!$D$5</x:f>
        <x:v>0</x:v>
      </x:c>
      <x:c r="AD323" s="41" t="n">
        <x:f>VLOOKUP("Area|"&amp;Q323,'Score settings'!$A$14:$C$43,3,FALSE)/'Score settings'!$B$6*'Score settings'!$D$6</x:f>
        <x:v>0</x:v>
      </x:c>
      <x:c r="AE323" s="41" t="n">
        <x:f>VLOOKUP("Benefits|"&amp;IF(AND(ISNUMBER(K323),K323&gt;0,ISNUMBER(G323),G323&gt;0),IF(K323/G323&gt;='Score settings'!$E$17,"3plus",IF(K323/G323&gt;='Score settings'!$E$16,"1.5to3",IF(K323/G323&gt;='Score settings'!$E$15,"0.5to1.5","positive"))),"None"),'Score settings'!$A$14:$C$43,3,FALSE)/'Score settings'!$B$7*'Score settings'!$D$7</x:f>
        <x:v>0</x:v>
      </x:c>
      <x:c r="AF323" s="41" t="n">
        <x:f>VLOOKUP("Waste|"&amp;R323,'Score settings'!$A$14:$C$43,3,FALSE)/'Score settings'!$B$8*'Score settings'!$D$8</x:f>
        <x:v>0</x:v>
      </x:c>
      <x:c r="AG323" s="41" t="n">
        <x:f>(IF(AND(ISNUMBER(M323),M323&gt;0,ISNUMBER(G323),G323&gt;0),IF(M323/G323&gt;='Score settings'!$E$17,'Score settings'!$G$17,IF(M323/G323&gt;='Score settings'!$E$16,'Score settings'!$G$16,IF(M323/G323&gt;='Score settings'!$E$15,'Score settings'!$G$15,'Score settings'!$G$14))),0)/15*'Score settings'!$B$60+IFERROR(VLOOKUP(IF(ISNUMBER(N323),N323,IF(ISNUMBER(L323),L323,0)),'Score settings'!$E$22:$F$26,2,FALSE),0)/10*'Score settings'!$B$61)/'Score settings'!$B$9*'Score settings'!$D$9</x:f>
        <x:v>0</x:v>
      </x:c>
      <x:c r="AH323" s="41" t="n">
        <x:f>IF(B323="","",SUM(AB323:AG323))</x:f>
        <x:v>0</x:v>
      </x:c>
      <x:c r="AI323" s="41" t="str">
        <x:f>IF(NOT(ISNUMBER(AH323)),"Not scored",VLOOKUP(AH323,'Score settings'!$A$47:$C$50,3,TRUE))</x:f>
        <x:v>Weak</x:v>
      </x:c>
      <x:c r="AJ323" s="42" t="n">
        <x:f>IF(OR(NOT(ISNUMBER(AH323)),T323&lt;&gt;"Common pot"),"",COUNTIFS($T$4:$T$509,"Common pot",$AH$4:$AH$509,"&gt;"&amp;AH323)+1)</x:f>
        <x:v>398</x:v>
      </x:c>
      <x:c r="AK323" s="36" t="str">
        <x:f>IF(B323="","Name missing - not scored",IF(OR(NOT(ISNUMBER(G323)),G323&lt;=0),"Investment missing or zero - review",IF(0=1,"Permanent ID missing - reconcile",IF(AND(ISNUMBER(H323),H323/G323&gt;='Score settings'!$B$58,NOT(ISNUMBER(I323))),"Benefit units need review",IF(OR(R323="EXIT",R323="CHALLENGE"),"Waste decision requires scope resolution",IF("No exact waste match"&lt;&gt;"Name and organisation matched","Waste evidence match needs review","Provisional source score - confirm evidence"))))))</x:f>
        <x:v>Waste evidence match needs review</x:v>
      </x:c>
      <x:c r="AL323" s="36"/>
      <x:c r="AM323" s="40"/>
      <x:c r="AN323" s="39"/>
      <x:c r="AO323" s="40"/>
      <x:c r="AP323" s="40"/>
    </x:row>
    <x:row r="324" ht="15" hidden="0" customHeight="1">
      <x:c r="A324" s="36" t="str">
        <x:v>Bu-332</x:v>
      </x:c>
      <x:c r="B324" s="37" t="str">
        <x:v>Learning &amp; IFU Material creation optimzation </x:v>
      </x:c>
      <x:c r="C324" s="36" t="str">
        <x:v>BU Led</x:v>
      </x:c>
      <x:c r="D324" s="36" t="str">
        <x:v>Precision Diagnosis - Magnetic Resonance (MR)</x:v>
      </x:c>
      <x:c r="E324" s="38" t="n">
        <x:v>0.8</x:v>
      </x:c>
      <x:c r="F324" s="39"/>
      <x:c r="G324" s="38" t="n">
        <x:f>IF(ISNUMBER(F324),F324,IF(E324="","",E324))</x:f>
        <x:v>0.8</x:v>
      </x:c>
      <x:c r="H324" s="38"/>
      <x:c r="I324" s="39"/>
      <x:c r="J324" s="36" t="str">
        <x:v>Unclassified</x:v>
      </x:c>
      <x:c r="K324" s="38" t="str">
        <x:f>IF(ISNUMBER(I324),I324,IF(OR(NOT(ISNUMBER(H324)),NOT(ISNUMBER(G324)),G324&lt;=0),"",IF(H324/G324&gt;='Score settings'!$B$58,"",IF(J324="Cash savings",H324,IF(J324="Revenue",H324*'Score settings'!$B$55,"")))))</x:f>
      </x:c>
      <x:c r="L324" s="36"/>
      <x:c r="M324" s="39"/>
      <x:c r="N324" s="40"/>
      <x:c r="O324" s="36" t="str">
        <x:v>Blank</x:v>
      </x:c>
      <x:c r="P324" s="36" t="str">
        <x:v>Blank</x:v>
      </x:c>
      <x:c r="Q324" s="36" t="str">
        <x:v>Blank</x:v>
      </x:c>
      <x:c r="R324" s="36" t="str">
        <x:v>NotAssessed</x:v>
      </x:c>
      <x:c r="S324" s="36" t="str"/>
      <x:c r="T324" s="36" t="str">
        <x:v>Common pot</x:v>
      </x:c>
      <x:c r="U324" s="41" t="n">
        <x:f>VLOOKUP("Priority|"&amp;O324,'Score settings'!$A$14:$C$43,2,FALSE)/'Score settings'!$B$4*'Score settings'!$C$4</x:f>
        <x:v>10</x:v>
      </x:c>
      <x:c r="V324" s="41" t="n">
        <x:f>VLOOKUP("Category|"&amp;P324,'Score settings'!$A$14:$C$43,2,FALSE)/'Score settings'!$B$5*'Score settings'!$C$5</x:f>
        <x:v>4</x:v>
      </x:c>
      <x:c r="W324" s="41" t="n">
        <x:f>VLOOKUP("Area|"&amp;Q324,'Score settings'!$A$14:$C$43,2,FALSE)/'Score settings'!$B$6*'Score settings'!$C$6</x:f>
        <x:v>3</x:v>
      </x:c>
      <x:c r="X324" s="41" t="n">
        <x:f>VLOOKUP("Benefits|"&amp;IF(AND(ISNUMBER(H324),H324&gt;0,ISNUMBER(G324),G324&gt;0),IF(H324/G324&gt;='Score settings'!$E$17,"3plus",IF(H324/G324&gt;='Score settings'!$E$16,"1.5to3",IF(H324/G324&gt;='Score settings'!$E$15,"0.5to1.5","positive"))),"None"),'Score settings'!$A$14:$C$43,2,FALSE)/'Score settings'!$B$7*'Score settings'!$C$7</x:f>
        <x:v>5</x:v>
      </x:c>
      <x:c r="Y324" s="41" t="n">
        <x:f>VLOOKUP("Waste|"&amp;R324,'Score settings'!$A$14:$C$43,2,FALSE)/'Score settings'!$B$8*'Score settings'!$C$8</x:f>
        <x:v>7</x:v>
      </x:c>
      <x:c r="Z324" s="41" t="n">
        <x:f>IF(B324="","",SUM(U324:Y324))</x:f>
        <x:v>29</x:v>
      </x:c>
      <x:c r="AA324" s="41" t="str">
        <x:f>IF(Z324="","Not scored",VLOOKUP(Z324,'Score settings'!$A$47:$C$50,2,TRUE))</x:f>
        <x:v>Discretionary</x:v>
      </x:c>
      <x:c r="AB324" s="41" t="n">
        <x:f>VLOOKUP("Priority|"&amp;O324,'Score settings'!$A$14:$C$43,3,FALSE)/'Score settings'!$B$4*'Score settings'!$D$4</x:f>
        <x:v>0</x:v>
      </x:c>
      <x:c r="AC324" s="41" t="n">
        <x:f>VLOOKUP("Category|"&amp;P324,'Score settings'!$A$14:$C$43,3,FALSE)/'Score settings'!$B$5*'Score settings'!$D$5</x:f>
        <x:v>0</x:v>
      </x:c>
      <x:c r="AD324" s="41" t="n">
        <x:f>VLOOKUP("Area|"&amp;Q324,'Score settings'!$A$14:$C$43,3,FALSE)/'Score settings'!$B$6*'Score settings'!$D$6</x:f>
        <x:v>0</x:v>
      </x:c>
      <x:c r="AE324" s="41" t="n">
        <x:f>VLOOKUP("Benefits|"&amp;IF(AND(ISNUMBER(K324),K324&gt;0,ISNUMBER(G324),G324&gt;0),IF(K324/G324&gt;='Score settings'!$E$17,"3plus",IF(K324/G324&gt;='Score settings'!$E$16,"1.5to3",IF(K324/G324&gt;='Score settings'!$E$15,"0.5to1.5","positive"))),"None"),'Score settings'!$A$14:$C$43,3,FALSE)/'Score settings'!$B$7*'Score settings'!$D$7</x:f>
        <x:v>0</x:v>
      </x:c>
      <x:c r="AF324" s="41" t="n">
        <x:f>VLOOKUP("Waste|"&amp;R324,'Score settings'!$A$14:$C$43,3,FALSE)/'Score settings'!$B$8*'Score settings'!$D$8</x:f>
        <x:v>0</x:v>
      </x:c>
      <x:c r="AG324" s="41" t="n">
        <x:f>(IF(AND(ISNUMBER(M324),M324&gt;0,ISNUMBER(G324),G324&gt;0),IF(M324/G324&gt;='Score settings'!$E$17,'Score settings'!$G$17,IF(M324/G324&gt;='Score settings'!$E$16,'Score settings'!$G$16,IF(M324/G324&gt;='Score settings'!$E$15,'Score settings'!$G$15,'Score settings'!$G$14))),0)/15*'Score settings'!$B$60+IFERROR(VLOOKUP(IF(ISNUMBER(N324),N324,IF(ISNUMBER(L324),L324,0)),'Score settings'!$E$22:$F$26,2,FALSE),0)/10*'Score settings'!$B$61)/'Score settings'!$B$9*'Score settings'!$D$9</x:f>
        <x:v>0</x:v>
      </x:c>
      <x:c r="AH324" s="41" t="n">
        <x:f>IF(B324="","",SUM(AB324:AG324))</x:f>
        <x:v>0</x:v>
      </x:c>
      <x:c r="AI324" s="41" t="str">
        <x:f>IF(NOT(ISNUMBER(AH324)),"Not scored",VLOOKUP(AH324,'Score settings'!$A$47:$C$50,3,TRUE))</x:f>
        <x:v>Weak</x:v>
      </x:c>
      <x:c r="AJ324" s="42" t="n">
        <x:f>IF(OR(NOT(ISNUMBER(AH324)),T324&lt;&gt;"Common pot"),"",COUNTIFS($T$4:$T$509,"Common pot",$AH$4:$AH$509,"&gt;"&amp;AH324)+1)</x:f>
        <x:v>398</x:v>
      </x:c>
      <x:c r="AK324" s="36" t="str">
        <x:f>IF(B324="","Name missing - not scored",IF(OR(NOT(ISNUMBER(G324)),G324&lt;=0),"Investment missing or zero - review",IF(0=1,"Permanent ID missing - reconcile",IF(AND(ISNUMBER(H324),H324/G324&gt;='Score settings'!$B$58,NOT(ISNUMBER(I324))),"Benefit units need review",IF(OR(R324="EXIT",R324="CHALLENGE"),"Waste decision requires scope resolution",IF("No exact waste match"&lt;&gt;"Name and organisation matched","Waste evidence match needs review","Provisional source score - confirm evidence"))))))</x:f>
        <x:v>Waste evidence match needs review</x:v>
      </x:c>
      <x:c r="AL324" s="36"/>
      <x:c r="AM324" s="40"/>
      <x:c r="AN324" s="39"/>
      <x:c r="AO324" s="40"/>
      <x:c r="AP324" s="40"/>
    </x:row>
    <x:row r="325" ht="15" hidden="0" customHeight="1">
      <x:c r="A325" s="36" t="str">
        <x:v>Bu-333</x:v>
      </x:c>
      <x:c r="B325" s="37" t="str">
        <x:v>ISC connection &amp; cost visibility from SPS</x:v>
      </x:c>
      <x:c r="C325" s="36" t="str">
        <x:v>BU Led</x:v>
      </x:c>
      <x:c r="D325" s="36" t="str">
        <x:v>Precision Diagnosis - Magnetic Resonance (MR)</x:v>
      </x:c>
      <x:c r="E325" s="38" t="n">
        <x:v>0.4</x:v>
      </x:c>
      <x:c r="F325" s="39"/>
      <x:c r="G325" s="38" t="n">
        <x:f>IF(ISNUMBER(F325),F325,IF(E325="","",E325))</x:f>
        <x:v>0.4</x:v>
      </x:c>
      <x:c r="H325" s="38" t="n">
        <x:v>2</x:v>
      </x:c>
      <x:c r="I325" s="39"/>
      <x:c r="J325" s="36" t="str">
        <x:v>Unclassified</x:v>
      </x:c>
      <x:c r="K325" s="38" t="str">
        <x:f>IF(ISNUMBER(I325),I325,IF(OR(NOT(ISNUMBER(H325)),NOT(ISNUMBER(G325)),G325&lt;=0),"",IF(H325/G325&gt;='Score settings'!$B$58,"",IF(J325="Cash savings",H325,IF(J325="Revenue",H325*'Score settings'!$B$55,"")))))</x:f>
      </x:c>
      <x:c r="L325" s="36"/>
      <x:c r="M325" s="39"/>
      <x:c r="N325" s="40"/>
      <x:c r="O325" s="36" t="str">
        <x:v>Blank</x:v>
      </x:c>
      <x:c r="P325" s="36" t="str">
        <x:v>Blank</x:v>
      </x:c>
      <x:c r="Q325" s="36" t="str">
        <x:v>Blank</x:v>
      </x:c>
      <x:c r="R325" s="36" t="str">
        <x:v>NotAssessed</x:v>
      </x:c>
      <x:c r="S325" s="36" t="str"/>
      <x:c r="T325" s="36" t="str">
        <x:v>Common pot</x:v>
      </x:c>
      <x:c r="U325" s="41" t="n">
        <x:f>VLOOKUP("Priority|"&amp;O325,'Score settings'!$A$14:$C$43,2,FALSE)/'Score settings'!$B$4*'Score settings'!$C$4</x:f>
        <x:v>10</x:v>
      </x:c>
      <x:c r="V325" s="41" t="n">
        <x:f>VLOOKUP("Category|"&amp;P325,'Score settings'!$A$14:$C$43,2,FALSE)/'Score settings'!$B$5*'Score settings'!$C$5</x:f>
        <x:v>4</x:v>
      </x:c>
      <x:c r="W325" s="41" t="n">
        <x:f>VLOOKUP("Area|"&amp;Q325,'Score settings'!$A$14:$C$43,2,FALSE)/'Score settings'!$B$6*'Score settings'!$C$6</x:f>
        <x:v>3</x:v>
      </x:c>
      <x:c r="X325" s="41" t="n">
        <x:f>VLOOKUP("Benefits|"&amp;IF(AND(ISNUMBER(H325),H325&gt;0,ISNUMBER(G325),G325&gt;0),IF(H325/G325&gt;='Score settings'!$E$17,"3plus",IF(H325/G325&gt;='Score settings'!$E$16,"1.5to3",IF(H325/G325&gt;='Score settings'!$E$15,"0.5to1.5","positive"))),"None"),'Score settings'!$A$14:$C$43,2,FALSE)/'Score settings'!$B$7*'Score settings'!$C$7</x:f>
        <x:v>25</x:v>
      </x:c>
      <x:c r="Y325" s="41" t="n">
        <x:f>VLOOKUP("Waste|"&amp;R325,'Score settings'!$A$14:$C$43,2,FALSE)/'Score settings'!$B$8*'Score settings'!$C$8</x:f>
        <x:v>7</x:v>
      </x:c>
      <x:c r="Z325" s="41" t="n">
        <x:f>IF(B325="","",SUM(U325:Y325))</x:f>
        <x:v>49</x:v>
      </x:c>
      <x:c r="AA325" s="41" t="str">
        <x:f>IF(Z325="","Not scored",VLOOKUP(Z325,'Score settings'!$A$47:$C$50,2,TRUE))</x:f>
        <x:v>Strong</x:v>
      </x:c>
      <x:c r="AB325" s="41" t="n">
        <x:f>VLOOKUP("Priority|"&amp;O325,'Score settings'!$A$14:$C$43,3,FALSE)/'Score settings'!$B$4*'Score settings'!$D$4</x:f>
        <x:v>0</x:v>
      </x:c>
      <x:c r="AC325" s="41" t="n">
        <x:f>VLOOKUP("Category|"&amp;P325,'Score settings'!$A$14:$C$43,3,FALSE)/'Score settings'!$B$5*'Score settings'!$D$5</x:f>
        <x:v>0</x:v>
      </x:c>
      <x:c r="AD325" s="41" t="n">
        <x:f>VLOOKUP("Area|"&amp;Q325,'Score settings'!$A$14:$C$43,3,FALSE)/'Score settings'!$B$6*'Score settings'!$D$6</x:f>
        <x:v>0</x:v>
      </x:c>
      <x:c r="AE325" s="41" t="n">
        <x:f>VLOOKUP("Benefits|"&amp;IF(AND(ISNUMBER(K325),K325&gt;0,ISNUMBER(G325),G325&gt;0),IF(K325/G325&gt;='Score settings'!$E$17,"3plus",IF(K325/G325&gt;='Score settings'!$E$16,"1.5to3",IF(K325/G325&gt;='Score settings'!$E$15,"0.5to1.5","positive"))),"None"),'Score settings'!$A$14:$C$43,3,FALSE)/'Score settings'!$B$7*'Score settings'!$D$7</x:f>
        <x:v>0</x:v>
      </x:c>
      <x:c r="AF325" s="41" t="n">
        <x:f>VLOOKUP("Waste|"&amp;R325,'Score settings'!$A$14:$C$43,3,FALSE)/'Score settings'!$B$8*'Score settings'!$D$8</x:f>
        <x:v>0</x:v>
      </x:c>
      <x:c r="AG325" s="41" t="n">
        <x:f>(IF(AND(ISNUMBER(M325),M325&gt;0,ISNUMBER(G325),G325&gt;0),IF(M325/G325&gt;='Score settings'!$E$17,'Score settings'!$G$17,IF(M325/G325&gt;='Score settings'!$E$16,'Score settings'!$G$16,IF(M325/G325&gt;='Score settings'!$E$15,'Score settings'!$G$15,'Score settings'!$G$14))),0)/15*'Score settings'!$B$60+IFERROR(VLOOKUP(IF(ISNUMBER(N325),N325,IF(ISNUMBER(L325),L325,0)),'Score settings'!$E$22:$F$26,2,FALSE),0)/10*'Score settings'!$B$61)/'Score settings'!$B$9*'Score settings'!$D$9</x:f>
        <x:v>0</x:v>
      </x:c>
      <x:c r="AH325" s="41" t="n">
        <x:f>IF(B325="","",SUM(AB325:AG325))</x:f>
        <x:v>0</x:v>
      </x:c>
      <x:c r="AI325" s="41" t="str">
        <x:f>IF(NOT(ISNUMBER(AH325)),"Not scored",VLOOKUP(AH325,'Score settings'!$A$47:$C$50,3,TRUE))</x:f>
        <x:v>Weak</x:v>
      </x:c>
      <x:c r="AJ325" s="42" t="n">
        <x:f>IF(OR(NOT(ISNUMBER(AH325)),T325&lt;&gt;"Common pot"),"",COUNTIFS($T$4:$T$509,"Common pot",$AH$4:$AH$509,"&gt;"&amp;AH325)+1)</x:f>
        <x:v>398</x:v>
      </x:c>
      <x:c r="AK325" s="36" t="str">
        <x:f>IF(B325="","Name missing - not scored",IF(OR(NOT(ISNUMBER(G325)),G325&lt;=0),"Investment missing or zero - review",IF(0=1,"Permanent ID missing - reconcile",IF(AND(ISNUMBER(H325),H325/G325&gt;='Score settings'!$B$58,NOT(ISNUMBER(I325))),"Benefit units need review",IF(OR(R325="EXIT",R325="CHALLENGE"),"Waste decision requires scope resolution",IF("No exact waste match"&lt;&gt;"Name and organisation matched","Waste evidence match needs review","Provisional source score - confirm evidence"))))))</x:f>
        <x:v>Waste evidence match needs review</x:v>
      </x:c>
      <x:c r="AL325" s="36"/>
      <x:c r="AM325" s="40"/>
      <x:c r="AN325" s="39"/>
      <x:c r="AO325" s="40"/>
      <x:c r="AP325" s="40"/>
    </x:row>
    <x:row r="326" ht="15" hidden="0" customHeight="1">
      <x:c r="A326" s="36" t="str">
        <x:v>Bu-334</x:v>
      </x:c>
      <x:c r="B326" s="37" t="str">
        <x:v>Logistics &amp; freight cost transparency (lane / mode / carrier level)</x:v>
      </x:c>
      <x:c r="C326" s="36" t="str">
        <x:v>BU Led</x:v>
      </x:c>
      <x:c r="D326" s="36" t="str">
        <x:v>Precision Diagnosis - Magnetic Resonance (MR)</x:v>
      </x:c>
      <x:c r="E326" s="38" t="n">
        <x:v>0.3</x:v>
      </x:c>
      <x:c r="F326" s="39"/>
      <x:c r="G326" s="38" t="n">
        <x:f>IF(ISNUMBER(F326),F326,IF(E326="","",E326))</x:f>
        <x:v>0.3</x:v>
      </x:c>
      <x:c r="H326" s="38" t="n">
        <x:v>2.5</x:v>
      </x:c>
      <x:c r="I326" s="39"/>
      <x:c r="J326" s="36" t="str">
        <x:v>Unclassified</x:v>
      </x:c>
      <x:c r="K326" s="38" t="str">
        <x:f>IF(ISNUMBER(I326),I326,IF(OR(NOT(ISNUMBER(H326)),NOT(ISNUMBER(G326)),G326&lt;=0),"",IF(H326/G326&gt;='Score settings'!$B$58,"",IF(J326="Cash savings",H326,IF(J326="Revenue",H326*'Score settings'!$B$55,"")))))</x:f>
      </x:c>
      <x:c r="L326" s="36"/>
      <x:c r="M326" s="39"/>
      <x:c r="N326" s="40"/>
      <x:c r="O326" s="36" t="str">
        <x:v>Blank</x:v>
      </x:c>
      <x:c r="P326" s="36" t="str">
        <x:v>Blank</x:v>
      </x:c>
      <x:c r="Q326" s="36" t="str">
        <x:v>Blank</x:v>
      </x:c>
      <x:c r="R326" s="36" t="str">
        <x:v>NotAssessed</x:v>
      </x:c>
      <x:c r="S326" s="36" t="str"/>
      <x:c r="T326" s="36" t="str">
        <x:v>Common pot</x:v>
      </x:c>
      <x:c r="U326" s="41" t="n">
        <x:f>VLOOKUP("Priority|"&amp;O326,'Score settings'!$A$14:$C$43,2,FALSE)/'Score settings'!$B$4*'Score settings'!$C$4</x:f>
        <x:v>10</x:v>
      </x:c>
      <x:c r="V326" s="41" t="n">
        <x:f>VLOOKUP("Category|"&amp;P326,'Score settings'!$A$14:$C$43,2,FALSE)/'Score settings'!$B$5*'Score settings'!$C$5</x:f>
        <x:v>4</x:v>
      </x:c>
      <x:c r="W326" s="41" t="n">
        <x:f>VLOOKUP("Area|"&amp;Q326,'Score settings'!$A$14:$C$43,2,FALSE)/'Score settings'!$B$6*'Score settings'!$C$6</x:f>
        <x:v>3</x:v>
      </x:c>
      <x:c r="X326" s="41" t="n">
        <x:f>VLOOKUP("Benefits|"&amp;IF(AND(ISNUMBER(H326),H326&gt;0,ISNUMBER(G326),G326&gt;0),IF(H326/G326&gt;='Score settings'!$E$17,"3plus",IF(H326/G326&gt;='Score settings'!$E$16,"1.5to3",IF(H326/G326&gt;='Score settings'!$E$15,"0.5to1.5","positive"))),"None"),'Score settings'!$A$14:$C$43,2,FALSE)/'Score settings'!$B$7*'Score settings'!$C$7</x:f>
        <x:v>25</x:v>
      </x:c>
      <x:c r="Y326" s="41" t="n">
        <x:f>VLOOKUP("Waste|"&amp;R326,'Score settings'!$A$14:$C$43,2,FALSE)/'Score settings'!$B$8*'Score settings'!$C$8</x:f>
        <x:v>7</x:v>
      </x:c>
      <x:c r="Z326" s="41" t="n">
        <x:f>IF(B326="","",SUM(U326:Y326))</x:f>
        <x:v>49</x:v>
      </x:c>
      <x:c r="AA326" s="41" t="str">
        <x:f>IF(Z326="","Not scored",VLOOKUP(Z326,'Score settings'!$A$47:$C$50,2,TRUE))</x:f>
        <x:v>Strong</x:v>
      </x:c>
      <x:c r="AB326" s="41" t="n">
        <x:f>VLOOKUP("Priority|"&amp;O326,'Score settings'!$A$14:$C$43,3,FALSE)/'Score settings'!$B$4*'Score settings'!$D$4</x:f>
        <x:v>0</x:v>
      </x:c>
      <x:c r="AC326" s="41" t="n">
        <x:f>VLOOKUP("Category|"&amp;P326,'Score settings'!$A$14:$C$43,3,FALSE)/'Score settings'!$B$5*'Score settings'!$D$5</x:f>
        <x:v>0</x:v>
      </x:c>
      <x:c r="AD326" s="41" t="n">
        <x:f>VLOOKUP("Area|"&amp;Q326,'Score settings'!$A$14:$C$43,3,FALSE)/'Score settings'!$B$6*'Score settings'!$D$6</x:f>
        <x:v>0</x:v>
      </x:c>
      <x:c r="AE326" s="41" t="n">
        <x:f>VLOOKUP("Benefits|"&amp;IF(AND(ISNUMBER(K326),K326&gt;0,ISNUMBER(G326),G326&gt;0),IF(K326/G326&gt;='Score settings'!$E$17,"3plus",IF(K326/G326&gt;='Score settings'!$E$16,"1.5to3",IF(K326/G326&gt;='Score settings'!$E$15,"0.5to1.5","positive"))),"None"),'Score settings'!$A$14:$C$43,3,FALSE)/'Score settings'!$B$7*'Score settings'!$D$7</x:f>
        <x:v>0</x:v>
      </x:c>
      <x:c r="AF326" s="41" t="n">
        <x:f>VLOOKUP("Waste|"&amp;R326,'Score settings'!$A$14:$C$43,3,FALSE)/'Score settings'!$B$8*'Score settings'!$D$8</x:f>
        <x:v>0</x:v>
      </x:c>
      <x:c r="AG326" s="41" t="n">
        <x:f>(IF(AND(ISNUMBER(M326),M326&gt;0,ISNUMBER(G326),G326&gt;0),IF(M326/G326&gt;='Score settings'!$E$17,'Score settings'!$G$17,IF(M326/G326&gt;='Score settings'!$E$16,'Score settings'!$G$16,IF(M326/G326&gt;='Score settings'!$E$15,'Score settings'!$G$15,'Score settings'!$G$14))),0)/15*'Score settings'!$B$60+IFERROR(VLOOKUP(IF(ISNUMBER(N326),N326,IF(ISNUMBER(L326),L326,0)),'Score settings'!$E$22:$F$26,2,FALSE),0)/10*'Score settings'!$B$61)/'Score settings'!$B$9*'Score settings'!$D$9</x:f>
        <x:v>0</x:v>
      </x:c>
      <x:c r="AH326" s="41" t="n">
        <x:f>IF(B326="","",SUM(AB326:AG326))</x:f>
        <x:v>0</x:v>
      </x:c>
      <x:c r="AI326" s="41" t="str">
        <x:f>IF(NOT(ISNUMBER(AH326)),"Not scored",VLOOKUP(AH326,'Score settings'!$A$47:$C$50,3,TRUE))</x:f>
        <x:v>Weak</x:v>
      </x:c>
      <x:c r="AJ326" s="42" t="n">
        <x:f>IF(OR(NOT(ISNUMBER(AH326)),T326&lt;&gt;"Common pot"),"",COUNTIFS($T$4:$T$509,"Common pot",$AH$4:$AH$509,"&gt;"&amp;AH326)+1)</x:f>
        <x:v>398</x:v>
      </x:c>
      <x:c r="AK326" s="36" t="str">
        <x:f>IF(B326="","Name missing - not scored",IF(OR(NOT(ISNUMBER(G326)),G326&lt;=0),"Investment missing or zero - review",IF(0=1,"Permanent ID missing - reconcile",IF(AND(ISNUMBER(H326),H326/G326&gt;='Score settings'!$B$58,NOT(ISNUMBER(I326))),"Benefit units need review",IF(OR(R326="EXIT",R326="CHALLENGE"),"Waste decision requires scope resolution",IF("No exact waste match"&lt;&gt;"Name and organisation matched","Waste evidence match needs review","Provisional source score - confirm evidence"))))))</x:f>
        <x:v>Waste evidence match needs review</x:v>
      </x:c>
      <x:c r="AL326" s="36"/>
      <x:c r="AM326" s="40"/>
      <x:c r="AN326" s="39"/>
      <x:c r="AO326" s="40"/>
      <x:c r="AP326" s="40"/>
    </x:row>
    <x:row r="327" ht="15" hidden="0" customHeight="1">
      <x:c r="A327" s="36" t="str">
        <x:v>Bu-335</x:v>
      </x:c>
      <x:c r="B327" s="37" t="str">
        <x:v>MCoS cost transparency at quotation (service material cost visibility)</x:v>
      </x:c>
      <x:c r="C327" s="36" t="str">
        <x:v>BU Led</x:v>
      </x:c>
      <x:c r="D327" s="36" t="str">
        <x:v>Precision Diagnosis - Magnetic Resonance (MR)</x:v>
      </x:c>
      <x:c r="E327" s="38" t="n">
        <x:v>0.2</x:v>
      </x:c>
      <x:c r="F327" s="39"/>
      <x:c r="G327" s="38" t="n">
        <x:f>IF(ISNUMBER(F327),F327,IF(E327="","",E327))</x:f>
        <x:v>0.2</x:v>
      </x:c>
      <x:c r="H327" s="38" t="n">
        <x:v>1.5</x:v>
      </x:c>
      <x:c r="I327" s="39"/>
      <x:c r="J327" s="36" t="str">
        <x:v>Unclassified</x:v>
      </x:c>
      <x:c r="K327" s="38" t="str">
        <x:f>IF(ISNUMBER(I327),I327,IF(OR(NOT(ISNUMBER(H327)),NOT(ISNUMBER(G327)),G327&lt;=0),"",IF(H327/G327&gt;='Score settings'!$B$58,"",IF(J327="Cash savings",H327,IF(J327="Revenue",H327*'Score settings'!$B$55,"")))))</x:f>
      </x:c>
      <x:c r="L327" s="36"/>
      <x:c r="M327" s="39"/>
      <x:c r="N327" s="40"/>
      <x:c r="O327" s="36" t="str">
        <x:v>Blank</x:v>
      </x:c>
      <x:c r="P327" s="36" t="str">
        <x:v>Blank</x:v>
      </x:c>
      <x:c r="Q327" s="36" t="str">
        <x:v>Blank</x:v>
      </x:c>
      <x:c r="R327" s="36" t="str">
        <x:v>NotAssessed</x:v>
      </x:c>
      <x:c r="S327" s="36" t="str"/>
      <x:c r="T327" s="36" t="str">
        <x:v>Common pot</x:v>
      </x:c>
      <x:c r="U327" s="41" t="n">
        <x:f>VLOOKUP("Priority|"&amp;O327,'Score settings'!$A$14:$C$43,2,FALSE)/'Score settings'!$B$4*'Score settings'!$C$4</x:f>
        <x:v>10</x:v>
      </x:c>
      <x:c r="V327" s="41" t="n">
        <x:f>VLOOKUP("Category|"&amp;P327,'Score settings'!$A$14:$C$43,2,FALSE)/'Score settings'!$B$5*'Score settings'!$C$5</x:f>
        <x:v>4</x:v>
      </x:c>
      <x:c r="W327" s="41" t="n">
        <x:f>VLOOKUP("Area|"&amp;Q327,'Score settings'!$A$14:$C$43,2,FALSE)/'Score settings'!$B$6*'Score settings'!$C$6</x:f>
        <x:v>3</x:v>
      </x:c>
      <x:c r="X327" s="41" t="n">
        <x:f>VLOOKUP("Benefits|"&amp;IF(AND(ISNUMBER(H327),H327&gt;0,ISNUMBER(G327),G327&gt;0),IF(H327/G327&gt;='Score settings'!$E$17,"3plus",IF(H327/G327&gt;='Score settings'!$E$16,"1.5to3",IF(H327/G327&gt;='Score settings'!$E$15,"0.5to1.5","positive"))),"None"),'Score settings'!$A$14:$C$43,2,FALSE)/'Score settings'!$B$7*'Score settings'!$C$7</x:f>
        <x:v>25</x:v>
      </x:c>
      <x:c r="Y327" s="41" t="n">
        <x:f>VLOOKUP("Waste|"&amp;R327,'Score settings'!$A$14:$C$43,2,FALSE)/'Score settings'!$B$8*'Score settings'!$C$8</x:f>
        <x:v>7</x:v>
      </x:c>
      <x:c r="Z327" s="41" t="n">
        <x:f>IF(B327="","",SUM(U327:Y327))</x:f>
        <x:v>49</x:v>
      </x:c>
      <x:c r="AA327" s="41" t="str">
        <x:f>IF(Z327="","Not scored",VLOOKUP(Z327,'Score settings'!$A$47:$C$50,2,TRUE))</x:f>
        <x:v>Strong</x:v>
      </x:c>
      <x:c r="AB327" s="41" t="n">
        <x:f>VLOOKUP("Priority|"&amp;O327,'Score settings'!$A$14:$C$43,3,FALSE)/'Score settings'!$B$4*'Score settings'!$D$4</x:f>
        <x:v>0</x:v>
      </x:c>
      <x:c r="AC327" s="41" t="n">
        <x:f>VLOOKUP("Category|"&amp;P327,'Score settings'!$A$14:$C$43,3,FALSE)/'Score settings'!$B$5*'Score settings'!$D$5</x:f>
        <x:v>0</x:v>
      </x:c>
      <x:c r="AD327" s="41" t="n">
        <x:f>VLOOKUP("Area|"&amp;Q327,'Score settings'!$A$14:$C$43,3,FALSE)/'Score settings'!$B$6*'Score settings'!$D$6</x:f>
        <x:v>0</x:v>
      </x:c>
      <x:c r="AE327" s="41" t="n">
        <x:f>VLOOKUP("Benefits|"&amp;IF(AND(ISNUMBER(K327),K327&gt;0,ISNUMBER(G327),G327&gt;0),IF(K327/G327&gt;='Score settings'!$E$17,"3plus",IF(K327/G327&gt;='Score settings'!$E$16,"1.5to3",IF(K327/G327&gt;='Score settings'!$E$15,"0.5to1.5","positive"))),"None"),'Score settings'!$A$14:$C$43,3,FALSE)/'Score settings'!$B$7*'Score settings'!$D$7</x:f>
        <x:v>0</x:v>
      </x:c>
      <x:c r="AF327" s="41" t="n">
        <x:f>VLOOKUP("Waste|"&amp;R327,'Score settings'!$A$14:$C$43,3,FALSE)/'Score settings'!$B$8*'Score settings'!$D$8</x:f>
        <x:v>0</x:v>
      </x:c>
      <x:c r="AG327" s="41" t="n">
        <x:f>(IF(AND(ISNUMBER(M327),M327&gt;0,ISNUMBER(G327),G327&gt;0),IF(M327/G327&gt;='Score settings'!$E$17,'Score settings'!$G$17,IF(M327/G327&gt;='Score settings'!$E$16,'Score settings'!$G$16,IF(M327/G327&gt;='Score settings'!$E$15,'Score settings'!$G$15,'Score settings'!$G$14))),0)/15*'Score settings'!$B$60+IFERROR(VLOOKUP(IF(ISNUMBER(N327),N327,IF(ISNUMBER(L327),L327,0)),'Score settings'!$E$22:$F$26,2,FALSE),0)/10*'Score settings'!$B$61)/'Score settings'!$B$9*'Score settings'!$D$9</x:f>
        <x:v>0</x:v>
      </x:c>
      <x:c r="AH327" s="41" t="n">
        <x:f>IF(B327="","",SUM(AB327:AG327))</x:f>
        <x:v>0</x:v>
      </x:c>
      <x:c r="AI327" s="41" t="str">
        <x:f>IF(NOT(ISNUMBER(AH327)),"Not scored",VLOOKUP(AH327,'Score settings'!$A$47:$C$50,3,TRUE))</x:f>
        <x:v>Weak</x:v>
      </x:c>
      <x:c r="AJ327" s="42" t="n">
        <x:f>IF(OR(NOT(ISNUMBER(AH327)),T327&lt;&gt;"Common pot"),"",COUNTIFS($T$4:$T$509,"Common pot",$AH$4:$AH$509,"&gt;"&amp;AH327)+1)</x:f>
        <x:v>398</x:v>
      </x:c>
      <x:c r="AK327" s="36" t="str">
        <x:f>IF(B327="","Name missing - not scored",IF(OR(NOT(ISNUMBER(G327)),G327&lt;=0),"Investment missing or zero - review",IF(0=1,"Permanent ID missing - reconcile",IF(AND(ISNUMBER(H327),H327/G327&gt;='Score settings'!$B$58,NOT(ISNUMBER(I327))),"Benefit units need review",IF(OR(R327="EXIT",R327="CHALLENGE"),"Waste decision requires scope resolution",IF("No exact waste match"&lt;&gt;"Name and organisation matched","Waste evidence match needs review","Provisional source score - confirm evidence"))))))</x:f>
        <x:v>Waste evidence match needs review</x:v>
      </x:c>
      <x:c r="AL327" s="36"/>
      <x:c r="AM327" s="40"/>
      <x:c r="AN327" s="39"/>
      <x:c r="AO327" s="40"/>
      <x:c r="AP327" s="40"/>
    </x:row>
    <x:row r="328" ht="15" hidden="0" customHeight="1">
      <x:c r="A328" s="36" t="str">
        <x:v>Bu-336</x:v>
      </x:c>
      <x:c r="B328" s="37" t="str">
        <x:v>Packaging cost improvement </x:v>
      </x:c>
      <x:c r="C328" s="36" t="str">
        <x:v>BU Led</x:v>
      </x:c>
      <x:c r="D328" s="36" t="str">
        <x:v>Precision Diagnosis - Magnetic Resonance (MR)</x:v>
      </x:c>
      <x:c r="E328" s="38" t="n">
        <x:v>0.2</x:v>
      </x:c>
      <x:c r="F328" s="39"/>
      <x:c r="G328" s="38" t="n">
        <x:f>IF(ISNUMBER(F328),F328,IF(E328="","",E328))</x:f>
        <x:v>0.2</x:v>
      </x:c>
      <x:c r="H328" s="38"/>
      <x:c r="I328" s="39"/>
      <x:c r="J328" s="36" t="str">
        <x:v>Unclassified</x:v>
      </x:c>
      <x:c r="K328" s="38" t="str">
        <x:f>IF(ISNUMBER(I328),I328,IF(OR(NOT(ISNUMBER(H328)),NOT(ISNUMBER(G328)),G328&lt;=0),"",IF(H328/G328&gt;='Score settings'!$B$58,"",IF(J328="Cash savings",H328,IF(J328="Revenue",H328*'Score settings'!$B$55,"")))))</x:f>
      </x:c>
      <x:c r="L328" s="36"/>
      <x:c r="M328" s="39"/>
      <x:c r="N328" s="40"/>
      <x:c r="O328" s="36" t="str">
        <x:v>Blank</x:v>
      </x:c>
      <x:c r="P328" s="36" t="str">
        <x:v>Blank</x:v>
      </x:c>
      <x:c r="Q328" s="36" t="str">
        <x:v>Blank</x:v>
      </x:c>
      <x:c r="R328" s="36" t="str">
        <x:v>NotAssessed</x:v>
      </x:c>
      <x:c r="S328" s="36" t="str"/>
      <x:c r="T328" s="36" t="str">
        <x:v>Common pot</x:v>
      </x:c>
      <x:c r="U328" s="41" t="n">
        <x:f>VLOOKUP("Priority|"&amp;O328,'Score settings'!$A$14:$C$43,2,FALSE)/'Score settings'!$B$4*'Score settings'!$C$4</x:f>
        <x:v>10</x:v>
      </x:c>
      <x:c r="V328" s="41" t="n">
        <x:f>VLOOKUP("Category|"&amp;P328,'Score settings'!$A$14:$C$43,2,FALSE)/'Score settings'!$B$5*'Score settings'!$C$5</x:f>
        <x:v>4</x:v>
      </x:c>
      <x:c r="W328" s="41" t="n">
        <x:f>VLOOKUP("Area|"&amp;Q328,'Score settings'!$A$14:$C$43,2,FALSE)/'Score settings'!$B$6*'Score settings'!$C$6</x:f>
        <x:v>3</x:v>
      </x:c>
      <x:c r="X328" s="41" t="n">
        <x:f>VLOOKUP("Benefits|"&amp;IF(AND(ISNUMBER(H328),H328&gt;0,ISNUMBER(G328),G328&gt;0),IF(H328/G328&gt;='Score settings'!$E$17,"3plus",IF(H328/G328&gt;='Score settings'!$E$16,"1.5to3",IF(H328/G328&gt;='Score settings'!$E$15,"0.5to1.5","positive"))),"None"),'Score settings'!$A$14:$C$43,2,FALSE)/'Score settings'!$B$7*'Score settings'!$C$7</x:f>
        <x:v>5</x:v>
      </x:c>
      <x:c r="Y328" s="41" t="n">
        <x:f>VLOOKUP("Waste|"&amp;R328,'Score settings'!$A$14:$C$43,2,FALSE)/'Score settings'!$B$8*'Score settings'!$C$8</x:f>
        <x:v>7</x:v>
      </x:c>
      <x:c r="Z328" s="41" t="n">
        <x:f>IF(B328="","",SUM(U328:Y328))</x:f>
        <x:v>29</x:v>
      </x:c>
      <x:c r="AA328" s="41" t="str">
        <x:f>IF(Z328="","Not scored",VLOOKUP(Z328,'Score settings'!$A$47:$C$50,2,TRUE))</x:f>
        <x:v>Discretionary</x:v>
      </x:c>
      <x:c r="AB328" s="41" t="n">
        <x:f>VLOOKUP("Priority|"&amp;O328,'Score settings'!$A$14:$C$43,3,FALSE)/'Score settings'!$B$4*'Score settings'!$D$4</x:f>
        <x:v>0</x:v>
      </x:c>
      <x:c r="AC328" s="41" t="n">
        <x:f>VLOOKUP("Category|"&amp;P328,'Score settings'!$A$14:$C$43,3,FALSE)/'Score settings'!$B$5*'Score settings'!$D$5</x:f>
        <x:v>0</x:v>
      </x:c>
      <x:c r="AD328" s="41" t="n">
        <x:f>VLOOKUP("Area|"&amp;Q328,'Score settings'!$A$14:$C$43,3,FALSE)/'Score settings'!$B$6*'Score settings'!$D$6</x:f>
        <x:v>0</x:v>
      </x:c>
      <x:c r="AE328" s="41" t="n">
        <x:f>VLOOKUP("Benefits|"&amp;IF(AND(ISNUMBER(K328),K328&gt;0,ISNUMBER(G328),G328&gt;0),IF(K328/G328&gt;='Score settings'!$E$17,"3plus",IF(K328/G328&gt;='Score settings'!$E$16,"1.5to3",IF(K328/G328&gt;='Score settings'!$E$15,"0.5to1.5","positive"))),"None"),'Score settings'!$A$14:$C$43,3,FALSE)/'Score settings'!$B$7*'Score settings'!$D$7</x:f>
        <x:v>0</x:v>
      </x:c>
      <x:c r="AF328" s="41" t="n">
        <x:f>VLOOKUP("Waste|"&amp;R328,'Score settings'!$A$14:$C$43,3,FALSE)/'Score settings'!$B$8*'Score settings'!$D$8</x:f>
        <x:v>0</x:v>
      </x:c>
      <x:c r="AG328" s="41" t="n">
        <x:f>(IF(AND(ISNUMBER(M328),M328&gt;0,ISNUMBER(G328),G328&gt;0),IF(M328/G328&gt;='Score settings'!$E$17,'Score settings'!$G$17,IF(M328/G328&gt;='Score settings'!$E$16,'Score settings'!$G$16,IF(M328/G328&gt;='Score settings'!$E$15,'Score settings'!$G$15,'Score settings'!$G$14))),0)/15*'Score settings'!$B$60+IFERROR(VLOOKUP(IF(ISNUMBER(N328),N328,IF(ISNUMBER(L328),L328,0)),'Score settings'!$E$22:$F$26,2,FALSE),0)/10*'Score settings'!$B$61)/'Score settings'!$B$9*'Score settings'!$D$9</x:f>
        <x:v>0</x:v>
      </x:c>
      <x:c r="AH328" s="41" t="n">
        <x:f>IF(B328="","",SUM(AB328:AG328))</x:f>
        <x:v>0</x:v>
      </x:c>
      <x:c r="AI328" s="41" t="str">
        <x:f>IF(NOT(ISNUMBER(AH328)),"Not scored",VLOOKUP(AH328,'Score settings'!$A$47:$C$50,3,TRUE))</x:f>
        <x:v>Weak</x:v>
      </x:c>
      <x:c r="AJ328" s="42" t="n">
        <x:f>IF(OR(NOT(ISNUMBER(AH328)),T328&lt;&gt;"Common pot"),"",COUNTIFS($T$4:$T$509,"Common pot",$AH$4:$AH$509,"&gt;"&amp;AH328)+1)</x:f>
        <x:v>398</x:v>
      </x:c>
      <x:c r="AK328" s="36" t="str">
        <x:f>IF(B328="","Name missing - not scored",IF(OR(NOT(ISNUMBER(G328)),G328&lt;=0),"Investment missing or zero - review",IF(0=1,"Permanent ID missing - reconcile",IF(AND(ISNUMBER(H328),H328/G328&gt;='Score settings'!$B$58,NOT(ISNUMBER(I328))),"Benefit units need review",IF(OR(R328="EXIT",R328="CHALLENGE"),"Waste decision requires scope resolution",IF("No exact waste match"&lt;&gt;"Name and organisation matched","Waste evidence match needs review","Provisional source score - confirm evidence"))))))</x:f>
        <x:v>Waste evidence match needs review</x:v>
      </x:c>
      <x:c r="AL328" s="36"/>
      <x:c r="AM328" s="40"/>
      <x:c r="AN328" s="39"/>
      <x:c r="AO328" s="40"/>
      <x:c r="AP328" s="40"/>
    </x:row>
    <x:row r="329" ht="15" hidden="0" customHeight="1">
      <x:c r="A329" s="36" t="str">
        <x:v>Bu-337</x:v>
      </x:c>
      <x:c r="B329" s="37" t="str">
        <x:v>PD AI Use Case Factory (Hackathon Continuation Fund)</x:v>
      </x:c>
      <x:c r="C329" s="36" t="str">
        <x:v>BU Led</x:v>
      </x:c>
      <x:c r="D329" s="36" t="str">
        <x:v>Precision Diagnosis - Magnetic Resonance (MR)</x:v>
      </x:c>
      <x:c r="E329" s="38" t="n">
        <x:v>0.1</x:v>
      </x:c>
      <x:c r="F329" s="39"/>
      <x:c r="G329" s="38" t="n">
        <x:f>IF(ISNUMBER(F329),F329,IF(E329="","",E329))</x:f>
        <x:v>0.1</x:v>
      </x:c>
      <x:c r="H329" s="38" t="n">
        <x:v>0.5</x:v>
      </x:c>
      <x:c r="I329" s="39"/>
      <x:c r="J329" s="36" t="str">
        <x:v>Unclassified</x:v>
      </x:c>
      <x:c r="K329" s="38" t="str">
        <x:f>IF(ISNUMBER(I329),I329,IF(OR(NOT(ISNUMBER(H329)),NOT(ISNUMBER(G329)),G329&lt;=0),"",IF(H329/G329&gt;='Score settings'!$B$58,"",IF(J329="Cash savings",H329,IF(J329="Revenue",H329*'Score settings'!$B$55,"")))))</x:f>
      </x:c>
      <x:c r="L329" s="36"/>
      <x:c r="M329" s="39"/>
      <x:c r="N329" s="40"/>
      <x:c r="O329" s="36" t="str">
        <x:v>Blank</x:v>
      </x:c>
      <x:c r="P329" s="36" t="str">
        <x:v>Blank</x:v>
      </x:c>
      <x:c r="Q329" s="36" t="str">
        <x:v>Blank</x:v>
      </x:c>
      <x:c r="R329" s="36" t="str">
        <x:v>NotAssessed</x:v>
      </x:c>
      <x:c r="S329" s="36" t="str"/>
      <x:c r="T329" s="36" t="str">
        <x:v>Common pot</x:v>
      </x:c>
      <x:c r="U329" s="41" t="n">
        <x:f>VLOOKUP("Priority|"&amp;O329,'Score settings'!$A$14:$C$43,2,FALSE)/'Score settings'!$B$4*'Score settings'!$C$4</x:f>
        <x:v>10</x:v>
      </x:c>
      <x:c r="V329" s="41" t="n">
        <x:f>VLOOKUP("Category|"&amp;P329,'Score settings'!$A$14:$C$43,2,FALSE)/'Score settings'!$B$5*'Score settings'!$C$5</x:f>
        <x:v>4</x:v>
      </x:c>
      <x:c r="W329" s="41" t="n">
        <x:f>VLOOKUP("Area|"&amp;Q329,'Score settings'!$A$14:$C$43,2,FALSE)/'Score settings'!$B$6*'Score settings'!$C$6</x:f>
        <x:v>3</x:v>
      </x:c>
      <x:c r="X329" s="41" t="n">
        <x:f>VLOOKUP("Benefits|"&amp;IF(AND(ISNUMBER(H329),H329&gt;0,ISNUMBER(G329),G329&gt;0),IF(H329/G329&gt;='Score settings'!$E$17,"3plus",IF(H329/G329&gt;='Score settings'!$E$16,"1.5to3",IF(H329/G329&gt;='Score settings'!$E$15,"0.5to1.5","positive"))),"None"),'Score settings'!$A$14:$C$43,2,FALSE)/'Score settings'!$B$7*'Score settings'!$C$7</x:f>
        <x:v>25</x:v>
      </x:c>
      <x:c r="Y329" s="41" t="n">
        <x:f>VLOOKUP("Waste|"&amp;R329,'Score settings'!$A$14:$C$43,2,FALSE)/'Score settings'!$B$8*'Score settings'!$C$8</x:f>
        <x:v>7</x:v>
      </x:c>
      <x:c r="Z329" s="41" t="n">
        <x:f>IF(B329="","",SUM(U329:Y329))</x:f>
        <x:v>49</x:v>
      </x:c>
      <x:c r="AA329" s="41" t="str">
        <x:f>IF(Z329="","Not scored",VLOOKUP(Z329,'Score settings'!$A$47:$C$50,2,TRUE))</x:f>
        <x:v>Strong</x:v>
      </x:c>
      <x:c r="AB329" s="41" t="n">
        <x:f>VLOOKUP("Priority|"&amp;O329,'Score settings'!$A$14:$C$43,3,FALSE)/'Score settings'!$B$4*'Score settings'!$D$4</x:f>
        <x:v>0</x:v>
      </x:c>
      <x:c r="AC329" s="41" t="n">
        <x:f>VLOOKUP("Category|"&amp;P329,'Score settings'!$A$14:$C$43,3,FALSE)/'Score settings'!$B$5*'Score settings'!$D$5</x:f>
        <x:v>0</x:v>
      </x:c>
      <x:c r="AD329" s="41" t="n">
        <x:f>VLOOKUP("Area|"&amp;Q329,'Score settings'!$A$14:$C$43,3,FALSE)/'Score settings'!$B$6*'Score settings'!$D$6</x:f>
        <x:v>0</x:v>
      </x:c>
      <x:c r="AE329" s="41" t="n">
        <x:f>VLOOKUP("Benefits|"&amp;IF(AND(ISNUMBER(K329),K329&gt;0,ISNUMBER(G329),G329&gt;0),IF(K329/G329&gt;='Score settings'!$E$17,"3plus",IF(K329/G329&gt;='Score settings'!$E$16,"1.5to3",IF(K329/G329&gt;='Score settings'!$E$15,"0.5to1.5","positive"))),"None"),'Score settings'!$A$14:$C$43,3,FALSE)/'Score settings'!$B$7*'Score settings'!$D$7</x:f>
        <x:v>0</x:v>
      </x:c>
      <x:c r="AF329" s="41" t="n">
        <x:f>VLOOKUP("Waste|"&amp;R329,'Score settings'!$A$14:$C$43,3,FALSE)/'Score settings'!$B$8*'Score settings'!$D$8</x:f>
        <x:v>0</x:v>
      </x:c>
      <x:c r="AG329" s="41" t="n">
        <x:f>(IF(AND(ISNUMBER(M329),M329&gt;0,ISNUMBER(G329),G329&gt;0),IF(M329/G329&gt;='Score settings'!$E$17,'Score settings'!$G$17,IF(M329/G329&gt;='Score settings'!$E$16,'Score settings'!$G$16,IF(M329/G329&gt;='Score settings'!$E$15,'Score settings'!$G$15,'Score settings'!$G$14))),0)/15*'Score settings'!$B$60+IFERROR(VLOOKUP(IF(ISNUMBER(N329),N329,IF(ISNUMBER(L329),L329,0)),'Score settings'!$E$22:$F$26,2,FALSE),0)/10*'Score settings'!$B$61)/'Score settings'!$B$9*'Score settings'!$D$9</x:f>
        <x:v>0</x:v>
      </x:c>
      <x:c r="AH329" s="41" t="n">
        <x:f>IF(B329="","",SUM(AB329:AG329))</x:f>
        <x:v>0</x:v>
      </x:c>
      <x:c r="AI329" s="41" t="str">
        <x:f>IF(NOT(ISNUMBER(AH329)),"Not scored",VLOOKUP(AH329,'Score settings'!$A$47:$C$50,3,TRUE))</x:f>
        <x:v>Weak</x:v>
      </x:c>
      <x:c r="AJ329" s="42" t="n">
        <x:f>IF(OR(NOT(ISNUMBER(AH329)),T329&lt;&gt;"Common pot"),"",COUNTIFS($T$4:$T$509,"Common pot",$AH$4:$AH$509,"&gt;"&amp;AH329)+1)</x:f>
        <x:v>398</x:v>
      </x:c>
      <x:c r="AK329" s="36" t="str">
        <x:f>IF(B329="","Name missing - not scored",IF(OR(NOT(ISNUMBER(G329)),G329&lt;=0),"Investment missing or zero - review",IF(0=1,"Permanent ID missing - reconcile",IF(AND(ISNUMBER(H329),H329/G329&gt;='Score settings'!$B$58,NOT(ISNUMBER(I329))),"Benefit units need review",IF(OR(R329="EXIT",R329="CHALLENGE"),"Waste decision requires scope resolution",IF("No exact waste match"&lt;&gt;"Name and organisation matched","Waste evidence match needs review","Provisional source score - confirm evidence"))))))</x:f>
        <x:v>Waste evidence match needs review</x:v>
      </x:c>
      <x:c r="AL329" s="36"/>
      <x:c r="AM329" s="40"/>
      <x:c r="AN329" s="39"/>
      <x:c r="AO329" s="40"/>
      <x:c r="AP329" s="40"/>
    </x:row>
    <x:row r="330" ht="15" hidden="0" customHeight="1">
      <x:c r="A330" s="36" t="str">
        <x:v>EW-01</x:v>
      </x:c>
      <x:c r="B330" s="37" t="str">
        <x:v>RSL Automation</x:v>
      </x:c>
      <x:c r="C330" s="36" t="str">
        <x:v>EW</x:v>
      </x:c>
      <x:c r="D330" s="36" t="str">
        <x:v>SusTaining Engg. Team (STET - ISC)</x:v>
      </x:c>
      <x:c r="E330" s="38" t="n">
        <x:v>0.06</x:v>
      </x:c>
      <x:c r="F330" s="39"/>
      <x:c r="G330" s="38" t="n">
        <x:f>IF(ISNUMBER(F330),F330,IF(E330="","",E330))</x:f>
        <x:v>0.06</x:v>
      </x:c>
      <x:c r="H330" s="38"/>
      <x:c r="I330" s="39"/>
      <x:c r="J330" s="36" t="str">
        <x:v>Cash savings</x:v>
      </x:c>
      <x:c r="K330" s="38" t="str">
        <x:f>IF(ISNUMBER(I330),I330,IF(OR(NOT(ISNUMBER(H330)),NOT(ISNUMBER(G330)),G330&lt;=0),"",IF(H330/G330&gt;='Score settings'!$B$58,"",IF(J330="Cash savings",H330,IF(J330="Revenue",H330*'Score settings'!$B$55,"")))))</x:f>
      </x:c>
      <x:c r="L330" s="36"/>
      <x:c r="M330" s="39"/>
      <x:c r="N330" s="40"/>
      <x:c r="O330" s="36" t="str">
        <x:v>Must Do</x:v>
      </x:c>
      <x:c r="P330" s="36" t="str">
        <x:v>AI</x:v>
      </x:c>
      <x:c r="Q330" s="36" t="str">
        <x:v>ProcSimp</x:v>
      </x:c>
      <x:c r="R330" s="36" t="str">
        <x:v>HEALTHY</x:v>
      </x:c>
      <x:c r="S330" s="36" t="str"/>
      <x:c r="T330" s="36" t="str">
        <x:v>Common pot</x:v>
      </x:c>
      <x:c r="U330" s="41" t="n">
        <x:f>VLOOKUP("Priority|"&amp;O330,'Score settings'!$A$14:$C$43,2,FALSE)/'Score settings'!$B$4*'Score settings'!$C$4</x:f>
        <x:v>25</x:v>
      </x:c>
      <x:c r="V330" s="41" t="n">
        <x:f>VLOOKUP("Category|"&amp;P330,'Score settings'!$A$14:$C$43,2,FALSE)/'Score settings'!$B$5*'Score settings'!$C$5</x:f>
        <x:v>16</x:v>
      </x:c>
      <x:c r="W330" s="41" t="n">
        <x:f>VLOOKUP("Area|"&amp;Q330,'Score settings'!$A$14:$C$43,2,FALSE)/'Score settings'!$B$6*'Score settings'!$C$6</x:f>
        <x:v>12</x:v>
      </x:c>
      <x:c r="X330" s="41" t="n">
        <x:f>VLOOKUP("Benefits|"&amp;IF(AND(ISNUMBER(H330),H330&gt;0,ISNUMBER(G330),G330&gt;0),IF(H330/G330&gt;='Score settings'!$E$17,"3plus",IF(H330/G330&gt;='Score settings'!$E$16,"1.5to3",IF(H330/G330&gt;='Score settings'!$E$15,"0.5to1.5","positive"))),"None"),'Score settings'!$A$14:$C$43,2,FALSE)/'Score settings'!$B$7*'Score settings'!$C$7</x:f>
        <x:v>5</x:v>
      </x:c>
      <x:c r="Y330" s="41" t="n">
        <x:f>VLOOKUP("Waste|"&amp;R330,'Score settings'!$A$14:$C$43,2,FALSE)/'Score settings'!$B$8*'Score settings'!$C$8</x:f>
        <x:v>15</x:v>
      </x:c>
      <x:c r="Z330" s="41" t="n">
        <x:f>IF(B330="","",SUM(U330:Y330))</x:f>
        <x:v>73</x:v>
      </x:c>
      <x:c r="AA330" s="41" t="str">
        <x:f>IF(Z330="","Not scored",VLOOKUP(Z330,'Score settings'!$A$47:$C$50,2,TRUE))</x:f>
        <x:v>Protected</x:v>
      </x:c>
      <x:c r="AB330" s="41" t="n">
        <x:f>VLOOKUP("Priority|"&amp;O330,'Score settings'!$A$14:$C$43,3,FALSE)/'Score settings'!$B$4*'Score settings'!$D$4</x:f>
        <x:v>15</x:v>
      </x:c>
      <x:c r="AC330" s="41" t="n">
        <x:f>VLOOKUP("Category|"&amp;P330,'Score settings'!$A$14:$C$43,3,FALSE)/'Score settings'!$B$5*'Score settings'!$D$5</x:f>
        <x:v>8</x:v>
      </x:c>
      <x:c r="AD330" s="41" t="n">
        <x:f>VLOOKUP("Area|"&amp;Q330,'Score settings'!$A$14:$C$43,3,FALSE)/'Score settings'!$B$6*'Score settings'!$D$6</x:f>
        <x:v>8</x:v>
      </x:c>
      <x:c r="AE330" s="41" t="n">
        <x:f>VLOOKUP("Benefits|"&amp;IF(AND(ISNUMBER(K330),K330&gt;0,ISNUMBER(G330),G330&gt;0),IF(K330/G330&gt;='Score settings'!$E$17,"3plus",IF(K330/G330&gt;='Score settings'!$E$16,"1.5to3",IF(K330/G330&gt;='Score settings'!$E$15,"0.5to1.5","positive"))),"None"),'Score settings'!$A$14:$C$43,3,FALSE)/'Score settings'!$B$7*'Score settings'!$D$7</x:f>
        <x:v>0</x:v>
      </x:c>
      <x:c r="AF330" s="41" t="n">
        <x:f>VLOOKUP("Waste|"&amp;R330,'Score settings'!$A$14:$C$43,3,FALSE)/'Score settings'!$B$8*'Score settings'!$D$8</x:f>
        <x:v>10</x:v>
      </x:c>
      <x:c r="AG330" s="41" t="n">
        <x:f>(IF(AND(ISNUMBER(M330),M330&gt;0,ISNUMBER(G330),G330&gt;0),IF(M330/G330&gt;='Score settings'!$E$17,'Score settings'!$G$17,IF(M330/G330&gt;='Score settings'!$E$16,'Score settings'!$G$16,IF(M330/G330&gt;='Score settings'!$E$15,'Score settings'!$G$15,'Score settings'!$G$14))),0)/15*'Score settings'!$B$60+IFERROR(VLOOKUP(IF(ISNUMBER(N330),N330,IF(ISNUMBER(L330),L330,0)),'Score settings'!$E$22:$F$26,2,FALSE),0)/10*'Score settings'!$B$61)/'Score settings'!$B$9*'Score settings'!$D$9</x:f>
        <x:v>0</x:v>
      </x:c>
      <x:c r="AH330" s="41" t="n">
        <x:f>IF(B330="","",SUM(AB330:AG330))</x:f>
        <x:v>41</x:v>
      </x:c>
      <x:c r="AI330" s="41" t="str">
        <x:f>IF(NOT(ISNUMBER(AH330)),"Not scored",VLOOKUP(AH330,'Score settings'!$A$47:$C$50,3,TRUE))</x:f>
        <x:v>Discretionary</x:v>
      </x:c>
      <x:c r="AJ330" s="42" t="n">
        <x:f>IF(OR(NOT(ISNUMBER(AH330)),T330&lt;&gt;"Common pot"),"",COUNTIFS($T$4:$T$509,"Common pot",$AH$4:$AH$509,"&gt;"&amp;AH330)+1)</x:f>
        <x:v>89</x:v>
      </x:c>
      <x:c r="AK330" s="36" t="str">
        <x:f>IF(B330="","Name missing - not scored",IF(OR(NOT(ISNUMBER(G330)),G330&lt;=0),"Investment missing or zero - review",IF(0=1,"Permanent ID missing - reconcile",IF(AND(ISNUMBER(H330),H330/G330&gt;='Score settings'!$B$58,NOT(ISNUMBER(I330))),"Benefit units need review",IF(OR(R330="EXIT",R330="CHALLENGE"),"Waste decision requires scope resolution",IF("Name and organisation matched"&lt;&gt;"Name and organisation matched","Waste evidence match needs review","Provisional source score - confirm evidence"))))))</x:f>
        <x:v>Provisional source score - confirm evidence</x:v>
      </x:c>
      <x:c r="AL330" s="36"/>
      <x:c r="AM330" s="40"/>
      <x:c r="AN330" s="39"/>
      <x:c r="AO330" s="40"/>
      <x:c r="AP330" s="40"/>
    </x:row>
    <x:row r="331" ht="15" hidden="0" customHeight="1">
      <x:c r="A331" s="36" t="str">
        <x:v>EW-02</x:v>
      </x:c>
      <x:c r="B331" s="37" t="str">
        <x:v>D-Lit Automation</x:v>
      </x:c>
      <x:c r="C331" s="36" t="str">
        <x:v>EW</x:v>
      </x:c>
      <x:c r="D331" s="36" t="str">
        <x:v>SusTaining Engg. Team (STET - ISC)</x:v>
      </x:c>
      <x:c r="E331" s="38" t="n">
        <x:v>0.04</x:v>
      </x:c>
      <x:c r="F331" s="39"/>
      <x:c r="G331" s="38" t="n">
        <x:f>IF(ISNUMBER(F331),F331,IF(E331="","",E331))</x:f>
        <x:v>0.04</x:v>
      </x:c>
      <x:c r="H331" s="38"/>
      <x:c r="I331" s="39"/>
      <x:c r="J331" s="36" t="str">
        <x:v>Cash savings</x:v>
      </x:c>
      <x:c r="K331" s="38" t="str">
        <x:f>IF(ISNUMBER(I331),I331,IF(OR(NOT(ISNUMBER(H331)),NOT(ISNUMBER(G331)),G331&lt;=0),"",IF(H331/G331&gt;='Score settings'!$B$58,"",IF(J331="Cash savings",H331,IF(J331="Revenue",H331*'Score settings'!$B$55,"")))))</x:f>
      </x:c>
      <x:c r="L331" s="36"/>
      <x:c r="M331" s="39"/>
      <x:c r="N331" s="40"/>
      <x:c r="O331" s="36" t="str">
        <x:v>Must Have</x:v>
      </x:c>
      <x:c r="P331" s="36" t="str">
        <x:v>AI</x:v>
      </x:c>
      <x:c r="Q331" s="36" t="str">
        <x:v>ProcSimp</x:v>
      </x:c>
      <x:c r="R331" s="36" t="str">
        <x:v>HEALTHY</x:v>
      </x:c>
      <x:c r="S331" s="36" t="str"/>
      <x:c r="T331" s="36" t="str">
        <x:v>Common pot</x:v>
      </x:c>
      <x:c r="U331" s="41" t="n">
        <x:f>VLOOKUP("Priority|"&amp;O331,'Score settings'!$A$14:$C$43,2,FALSE)/'Score settings'!$B$4*'Score settings'!$C$4</x:f>
        <x:v>18</x:v>
      </x:c>
      <x:c r="V331" s="41" t="n">
        <x:f>VLOOKUP("Category|"&amp;P331,'Score settings'!$A$14:$C$43,2,FALSE)/'Score settings'!$B$5*'Score settings'!$C$5</x:f>
        <x:v>16</x:v>
      </x:c>
      <x:c r="W331" s="41" t="n">
        <x:f>VLOOKUP("Area|"&amp;Q331,'Score settings'!$A$14:$C$43,2,FALSE)/'Score settings'!$B$6*'Score settings'!$C$6</x:f>
        <x:v>12</x:v>
      </x:c>
      <x:c r="X331" s="41" t="n">
        <x:f>VLOOKUP("Benefits|"&amp;IF(AND(ISNUMBER(H331),H331&gt;0,ISNUMBER(G331),G331&gt;0),IF(H331/G331&gt;='Score settings'!$E$17,"3plus",IF(H331/G331&gt;='Score settings'!$E$16,"1.5to3",IF(H331/G331&gt;='Score settings'!$E$15,"0.5to1.5","positive"))),"None"),'Score settings'!$A$14:$C$43,2,FALSE)/'Score settings'!$B$7*'Score settings'!$C$7</x:f>
        <x:v>5</x:v>
      </x:c>
      <x:c r="Y331" s="41" t="n">
        <x:f>VLOOKUP("Waste|"&amp;R331,'Score settings'!$A$14:$C$43,2,FALSE)/'Score settings'!$B$8*'Score settings'!$C$8</x:f>
        <x:v>15</x:v>
      </x:c>
      <x:c r="Z331" s="41" t="n">
        <x:f>IF(B331="","",SUM(U331:Y331))</x:f>
        <x:v>66</x:v>
      </x:c>
      <x:c r="AA331" s="41" t="str">
        <x:f>IF(Z331="","Not scored",VLOOKUP(Z331,'Score settings'!$A$47:$C$50,2,TRUE))</x:f>
        <x:v>Protected</x:v>
      </x:c>
      <x:c r="AB331" s="41" t="n">
        <x:f>VLOOKUP("Priority|"&amp;O331,'Score settings'!$A$14:$C$43,3,FALSE)/'Score settings'!$B$4*'Score settings'!$D$4</x:f>
        <x:v>10.799999999999999</x:v>
      </x:c>
      <x:c r="AC331" s="41" t="n">
        <x:f>VLOOKUP("Category|"&amp;P331,'Score settings'!$A$14:$C$43,3,FALSE)/'Score settings'!$B$5*'Score settings'!$D$5</x:f>
        <x:v>8</x:v>
      </x:c>
      <x:c r="AD331" s="41" t="n">
        <x:f>VLOOKUP("Area|"&amp;Q331,'Score settings'!$A$14:$C$43,3,FALSE)/'Score settings'!$B$6*'Score settings'!$D$6</x:f>
        <x:v>8</x:v>
      </x:c>
      <x:c r="AE331" s="41" t="n">
        <x:f>VLOOKUP("Benefits|"&amp;IF(AND(ISNUMBER(K331),K331&gt;0,ISNUMBER(G331),G331&gt;0),IF(K331/G331&gt;='Score settings'!$E$17,"3plus",IF(K331/G331&gt;='Score settings'!$E$16,"1.5to3",IF(K331/G331&gt;='Score settings'!$E$15,"0.5to1.5","positive"))),"None"),'Score settings'!$A$14:$C$43,3,FALSE)/'Score settings'!$B$7*'Score settings'!$D$7</x:f>
        <x:v>0</x:v>
      </x:c>
      <x:c r="AF331" s="41" t="n">
        <x:f>VLOOKUP("Waste|"&amp;R331,'Score settings'!$A$14:$C$43,3,FALSE)/'Score settings'!$B$8*'Score settings'!$D$8</x:f>
        <x:v>10</x:v>
      </x:c>
      <x:c r="AG331" s="41" t="n">
        <x:f>(IF(AND(ISNUMBER(M331),M331&gt;0,ISNUMBER(G331),G331&gt;0),IF(M331/G331&gt;='Score settings'!$E$17,'Score settings'!$G$17,IF(M331/G331&gt;='Score settings'!$E$16,'Score settings'!$G$16,IF(M331/G331&gt;='Score settings'!$E$15,'Score settings'!$G$15,'Score settings'!$G$14))),0)/15*'Score settings'!$B$60+IFERROR(VLOOKUP(IF(ISNUMBER(N331),N331,IF(ISNUMBER(L331),L331,0)),'Score settings'!$E$22:$F$26,2,FALSE),0)/10*'Score settings'!$B$61)/'Score settings'!$B$9*'Score settings'!$D$9</x:f>
        <x:v>0</x:v>
      </x:c>
      <x:c r="AH331" s="41" t="n">
        <x:f>IF(B331="","",SUM(AB331:AG331))</x:f>
        <x:v>36.8</x:v>
      </x:c>
      <x:c r="AI331" s="41" t="str">
        <x:f>IF(NOT(ISNUMBER(AH331)),"Not scored",VLOOKUP(AH331,'Score settings'!$A$47:$C$50,3,TRUE))</x:f>
        <x:v>Discretionary</x:v>
      </x:c>
      <x:c r="AJ331" s="42" t="n">
        <x:f>IF(OR(NOT(ISNUMBER(AH331)),T331&lt;&gt;"Common pot"),"",COUNTIFS($T$4:$T$509,"Common pot",$AH$4:$AH$509,"&gt;"&amp;AH331)+1)</x:f>
        <x:v>131</x:v>
      </x:c>
      <x:c r="AK331" s="36" t="str">
        <x:f>IF(B331="","Name missing - not scored",IF(OR(NOT(ISNUMBER(G331)),G331&lt;=0),"Investment missing or zero - review",IF(0=1,"Permanent ID missing - reconcile",IF(AND(ISNUMBER(H331),H331/G331&gt;='Score settings'!$B$58,NOT(ISNUMBER(I331))),"Benefit units need review",IF(OR(R331="EXIT",R331="CHALLENGE"),"Waste decision requires scope resolution",IF("Name and organisation matched"&lt;&gt;"Name and organisation matched","Waste evidence match needs review","Provisional source score - confirm evidence"))))))</x:f>
        <x:v>Provisional source score - confirm evidence</x:v>
      </x:c>
      <x:c r="AL331" s="36"/>
      <x:c r="AM331" s="40"/>
      <x:c r="AN331" s="39"/>
      <x:c r="AO331" s="40"/>
      <x:c r="AP331" s="40"/>
    </x:row>
    <x:row r="332" ht="15" hidden="0" customHeight="1">
      <x:c r="A332" s="36" t="str">
        <x:v>EW-03</x:v>
      </x:c>
      <x:c r="B332" s="37" t="str">
        <x:v>LCA Automation</x:v>
      </x:c>
      <x:c r="C332" s="36" t="str">
        <x:v>EW</x:v>
      </x:c>
      <x:c r="D332" s="36" t="str">
        <x:v>SusTaining Engg. Team (STET - ISC)</x:v>
      </x:c>
      <x:c r="E332" s="38" t="n">
        <x:v>0.02</x:v>
      </x:c>
      <x:c r="F332" s="39"/>
      <x:c r="G332" s="38" t="n">
        <x:f>IF(ISNUMBER(F332),F332,IF(E332="","",E332))</x:f>
        <x:v>0.02</x:v>
      </x:c>
      <x:c r="H332" s="38"/>
      <x:c r="I332" s="39"/>
      <x:c r="J332" s="36" t="str">
        <x:v>Cash savings</x:v>
      </x:c>
      <x:c r="K332" s="38" t="str">
        <x:f>IF(ISNUMBER(I332),I332,IF(OR(NOT(ISNUMBER(H332)),NOT(ISNUMBER(G332)),G332&lt;=0),"",IF(H332/G332&gt;='Score settings'!$B$58,"",IF(J332="Cash savings",H332,IF(J332="Revenue",H332*'Score settings'!$B$55,"")))))</x:f>
      </x:c>
      <x:c r="L332" s="36"/>
      <x:c r="M332" s="39"/>
      <x:c r="N332" s="40"/>
      <x:c r="O332" s="36" t="str">
        <x:v>Must Do</x:v>
      </x:c>
      <x:c r="P332" s="36" t="str">
        <x:v>AI</x:v>
      </x:c>
      <x:c r="Q332" s="36" t="str">
        <x:v>ProcSimp</x:v>
      </x:c>
      <x:c r="R332" s="36" t="str">
        <x:v>HEALTHY</x:v>
      </x:c>
      <x:c r="S332" s="36" t="str"/>
      <x:c r="T332" s="36" t="str">
        <x:v>Common pot</x:v>
      </x:c>
      <x:c r="U332" s="41" t="n">
        <x:f>VLOOKUP("Priority|"&amp;O332,'Score settings'!$A$14:$C$43,2,FALSE)/'Score settings'!$B$4*'Score settings'!$C$4</x:f>
        <x:v>25</x:v>
      </x:c>
      <x:c r="V332" s="41" t="n">
        <x:f>VLOOKUP("Category|"&amp;P332,'Score settings'!$A$14:$C$43,2,FALSE)/'Score settings'!$B$5*'Score settings'!$C$5</x:f>
        <x:v>16</x:v>
      </x:c>
      <x:c r="W332" s="41" t="n">
        <x:f>VLOOKUP("Area|"&amp;Q332,'Score settings'!$A$14:$C$43,2,FALSE)/'Score settings'!$B$6*'Score settings'!$C$6</x:f>
        <x:v>12</x:v>
      </x:c>
      <x:c r="X332" s="41" t="n">
        <x:f>VLOOKUP("Benefits|"&amp;IF(AND(ISNUMBER(H332),H332&gt;0,ISNUMBER(G332),G332&gt;0),IF(H332/G332&gt;='Score settings'!$E$17,"3plus",IF(H332/G332&gt;='Score settings'!$E$16,"1.5to3",IF(H332/G332&gt;='Score settings'!$E$15,"0.5to1.5","positive"))),"None"),'Score settings'!$A$14:$C$43,2,FALSE)/'Score settings'!$B$7*'Score settings'!$C$7</x:f>
        <x:v>5</x:v>
      </x:c>
      <x:c r="Y332" s="41" t="n">
        <x:f>VLOOKUP("Waste|"&amp;R332,'Score settings'!$A$14:$C$43,2,FALSE)/'Score settings'!$B$8*'Score settings'!$C$8</x:f>
        <x:v>15</x:v>
      </x:c>
      <x:c r="Z332" s="41" t="n">
        <x:f>IF(B332="","",SUM(U332:Y332))</x:f>
        <x:v>73</x:v>
      </x:c>
      <x:c r="AA332" s="41" t="str">
        <x:f>IF(Z332="","Not scored",VLOOKUP(Z332,'Score settings'!$A$47:$C$50,2,TRUE))</x:f>
        <x:v>Protected</x:v>
      </x:c>
      <x:c r="AB332" s="41" t="n">
        <x:f>VLOOKUP("Priority|"&amp;O332,'Score settings'!$A$14:$C$43,3,FALSE)/'Score settings'!$B$4*'Score settings'!$D$4</x:f>
        <x:v>15</x:v>
      </x:c>
      <x:c r="AC332" s="41" t="n">
        <x:f>VLOOKUP("Category|"&amp;P332,'Score settings'!$A$14:$C$43,3,FALSE)/'Score settings'!$B$5*'Score settings'!$D$5</x:f>
        <x:v>8</x:v>
      </x:c>
      <x:c r="AD332" s="41" t="n">
        <x:f>VLOOKUP("Area|"&amp;Q332,'Score settings'!$A$14:$C$43,3,FALSE)/'Score settings'!$B$6*'Score settings'!$D$6</x:f>
        <x:v>8</x:v>
      </x:c>
      <x:c r="AE332" s="41" t="n">
        <x:f>VLOOKUP("Benefits|"&amp;IF(AND(ISNUMBER(K332),K332&gt;0,ISNUMBER(G332),G332&gt;0),IF(K332/G332&gt;='Score settings'!$E$17,"3plus",IF(K332/G332&gt;='Score settings'!$E$16,"1.5to3",IF(K332/G332&gt;='Score settings'!$E$15,"0.5to1.5","positive"))),"None"),'Score settings'!$A$14:$C$43,3,FALSE)/'Score settings'!$B$7*'Score settings'!$D$7</x:f>
        <x:v>0</x:v>
      </x:c>
      <x:c r="AF332" s="41" t="n">
        <x:f>VLOOKUP("Waste|"&amp;R332,'Score settings'!$A$14:$C$43,3,FALSE)/'Score settings'!$B$8*'Score settings'!$D$8</x:f>
        <x:v>10</x:v>
      </x:c>
      <x:c r="AG332" s="41" t="n">
        <x:f>(IF(AND(ISNUMBER(M332),M332&gt;0,ISNUMBER(G332),G332&gt;0),IF(M332/G332&gt;='Score settings'!$E$17,'Score settings'!$G$17,IF(M332/G332&gt;='Score settings'!$E$16,'Score settings'!$G$16,IF(M332/G332&gt;='Score settings'!$E$15,'Score settings'!$G$15,'Score settings'!$G$14))),0)/15*'Score settings'!$B$60+IFERROR(VLOOKUP(IF(ISNUMBER(N332),N332,IF(ISNUMBER(L332),L332,0)),'Score settings'!$E$22:$F$26,2,FALSE),0)/10*'Score settings'!$B$61)/'Score settings'!$B$9*'Score settings'!$D$9</x:f>
        <x:v>0</x:v>
      </x:c>
      <x:c r="AH332" s="41" t="n">
        <x:f>IF(B332="","",SUM(AB332:AG332))</x:f>
        <x:v>41</x:v>
      </x:c>
      <x:c r="AI332" s="41" t="str">
        <x:f>IF(NOT(ISNUMBER(AH332)),"Not scored",VLOOKUP(AH332,'Score settings'!$A$47:$C$50,3,TRUE))</x:f>
        <x:v>Discretionary</x:v>
      </x:c>
      <x:c r="AJ332" s="42" t="n">
        <x:f>IF(OR(NOT(ISNUMBER(AH332)),T332&lt;&gt;"Common pot"),"",COUNTIFS($T$4:$T$509,"Common pot",$AH$4:$AH$509,"&gt;"&amp;AH332)+1)</x:f>
        <x:v>89</x:v>
      </x:c>
      <x:c r="AK332" s="36" t="str">
        <x:f>IF(B332="","Name missing - not scored",IF(OR(NOT(ISNUMBER(G332)),G332&lt;=0),"Investment missing or zero - review",IF(0=1,"Permanent ID missing - reconcile",IF(AND(ISNUMBER(H332),H332/G332&gt;='Score settings'!$B$58,NOT(ISNUMBER(I332))),"Benefit units need review",IF(OR(R332="EXIT",R332="CHALLENGE"),"Waste decision requires scope resolution",IF("Name and organisation matched"&lt;&gt;"Name and organisation matched","Waste evidence match needs review","Provisional source score - confirm evidence"))))))</x:f>
        <x:v>Provisional source score - confirm evidence</x:v>
      </x:c>
      <x:c r="AL332" s="36"/>
      <x:c r="AM332" s="40"/>
      <x:c r="AN332" s="39"/>
      <x:c r="AO332" s="40"/>
      <x:c r="AP332" s="40"/>
    </x:row>
    <x:row r="333" ht="15" hidden="0" customHeight="1">
      <x:c r="A333" s="36" t="str">
        <x:v>EW-04</x:v>
      </x:c>
      <x:c r="B333" s="37" t="str">
        <x:v>Healthcare Compliance Project Engage </x:v>
      </x:c>
      <x:c r="C333" s="36" t="str">
        <x:v>EW</x:v>
      </x:c>
      <x:c r="D333" s="36" t="str">
        <x:v>Legal​</x:v>
      </x:c>
      <x:c r="E333" s="38" t="n">
        <x:v>2.2</x:v>
      </x:c>
      <x:c r="F333" s="39"/>
      <x:c r="G333" s="38" t="n">
        <x:f>IF(ISNUMBER(F333),F333,IF(E333="","",E333))</x:f>
        <x:v>2.2</x:v>
      </x:c>
      <x:c r="H333" s="38" t="n">
        <x:v>105</x:v>
      </x:c>
      <x:c r="I333" s="39"/>
      <x:c r="J333" s="36" t="str">
        <x:v>Risk exposure</x:v>
      </x:c>
      <x:c r="K333" s="38" t="str">
        <x:f>IF(ISNUMBER(I333),I333,IF(OR(NOT(ISNUMBER(H333)),NOT(ISNUMBER(G333)),G333&lt;=0),"",IF(H333/G333&gt;='Score settings'!$B$58,"",IF(J333="Cash savings",H333,IF(J333="Revenue",H333*'Score settings'!$B$55,"")))))</x:f>
      </x:c>
      <x:c r="L333" s="36" t="n">
        <x:v>5</x:v>
      </x:c>
      <x:c r="M333" s="39"/>
      <x:c r="N333" s="40"/>
      <x:c r="O333" s="36" t="str">
        <x:v>Must Do</x:v>
      </x:c>
      <x:c r="P333" s="36" t="str">
        <x:v>LFR</x:v>
      </x:c>
      <x:c r="Q333" s="36" t="str">
        <x:v>Compliance</x:v>
      </x:c>
      <x:c r="R333" s="36" t="str">
        <x:v>HEALTHY</x:v>
      </x:c>
      <x:c r="S333" s="36" t="str">
        <x:v>YES</x:v>
      </x:c>
      <x:c r="T333" s="36" t="str">
        <x:v>LFR validated candidate</x:v>
      </x:c>
      <x:c r="U333" s="41" t="n">
        <x:f>VLOOKUP("Priority|"&amp;O333,'Score settings'!$A$14:$C$43,2,FALSE)/'Score settings'!$B$4*'Score settings'!$C$4</x:f>
        <x:v>25</x:v>
      </x:c>
      <x:c r="V333" s="41" t="n">
        <x:f>VLOOKUP("Category|"&amp;P333,'Score settings'!$A$14:$C$43,2,FALSE)/'Score settings'!$B$5*'Score settings'!$C$5</x:f>
        <x:v>20</x:v>
      </x:c>
      <x:c r="W333" s="41" t="n">
        <x:f>VLOOKUP("Area|"&amp;Q333,'Score settings'!$A$14:$C$43,2,FALSE)/'Score settings'!$B$6*'Score settings'!$C$6</x:f>
        <x:v>15</x:v>
      </x:c>
      <x:c r="X333" s="41" t="n">
        <x:f>VLOOKUP("Benefits|"&amp;IF(AND(ISNUMBER(H333),H333&gt;0,ISNUMBER(G333),G333&gt;0),IF(H333/G333&gt;='Score settings'!$E$17,"3plus",IF(H333/G333&gt;='Score settings'!$E$16,"1.5to3",IF(H333/G333&gt;='Score settings'!$E$15,"0.5to1.5","positive"))),"None"),'Score settings'!$A$14:$C$43,2,FALSE)/'Score settings'!$B$7*'Score settings'!$C$7</x:f>
        <x:v>25</x:v>
      </x:c>
      <x:c r="Y333" s="41" t="n">
        <x:f>VLOOKUP("Waste|"&amp;R333,'Score settings'!$A$14:$C$43,2,FALSE)/'Score settings'!$B$8*'Score settings'!$C$8</x:f>
        <x:v>15</x:v>
      </x:c>
      <x:c r="Z333" s="41" t="n">
        <x:f>IF(B333="","",SUM(U333:Y333))</x:f>
        <x:v>100</x:v>
      </x:c>
      <x:c r="AA333" s="41" t="str">
        <x:f>IF(Z333="","Not scored",VLOOKUP(Z333,'Score settings'!$A$47:$C$50,2,TRUE))</x:f>
        <x:v>Protected</x:v>
      </x:c>
      <x:c r="AB333" s="41" t="n">
        <x:f>VLOOKUP("Priority|"&amp;O333,'Score settings'!$A$14:$C$43,3,FALSE)/'Score settings'!$B$4*'Score settings'!$D$4</x:f>
        <x:v>15</x:v>
      </x:c>
      <x:c r="AC333" s="41" t="n">
        <x:f>VLOOKUP("Category|"&amp;P333,'Score settings'!$A$14:$C$43,3,FALSE)/'Score settings'!$B$5*'Score settings'!$D$5</x:f>
        <x:v>10</x:v>
      </x:c>
      <x:c r="AD333" s="41" t="n">
        <x:f>VLOOKUP("Area|"&amp;Q333,'Score settings'!$A$14:$C$43,3,FALSE)/'Score settings'!$B$6*'Score settings'!$D$6</x:f>
        <x:v>10</x:v>
      </x:c>
      <x:c r="AE333" s="41" t="n">
        <x:f>VLOOKUP("Benefits|"&amp;IF(AND(ISNUMBER(K333),K333&gt;0,ISNUMBER(G333),G333&gt;0),IF(K333/G333&gt;='Score settings'!$E$17,"3plus",IF(K333/G333&gt;='Score settings'!$E$16,"1.5to3",IF(K333/G333&gt;='Score settings'!$E$15,"0.5to1.5","positive"))),"None"),'Score settings'!$A$14:$C$43,3,FALSE)/'Score settings'!$B$7*'Score settings'!$D$7</x:f>
        <x:v>0</x:v>
      </x:c>
      <x:c r="AF333" s="41" t="n">
        <x:f>VLOOKUP("Waste|"&amp;R333,'Score settings'!$A$14:$C$43,3,FALSE)/'Score settings'!$B$8*'Score settings'!$D$8</x:f>
        <x:v>10</x:v>
      </x:c>
      <x:c r="AG333" s="41" t="n">
        <x:f>(IF(AND(ISNUMBER(M333),M333&gt;0,ISNUMBER(G333),G333&gt;0),IF(M333/G333&gt;='Score settings'!$E$17,'Score settings'!$G$17,IF(M333/G333&gt;='Score settings'!$E$16,'Score settings'!$G$16,IF(M333/G333&gt;='Score settings'!$E$15,'Score settings'!$G$15,'Score settings'!$G$14))),0)/15*'Score settings'!$B$60+IFERROR(VLOOKUP(IF(ISNUMBER(N333),N333,IF(ISNUMBER(L333),L333,0)),'Score settings'!$E$22:$F$26,2,FALSE),0)/10*'Score settings'!$B$61)/'Score settings'!$B$9*'Score settings'!$D$9</x:f>
        <x:v>10</x:v>
      </x:c>
      <x:c r="AH333" s="41" t="n">
        <x:f>IF(B333="","",SUM(AB333:AG333))</x:f>
        <x:v>55</x:v>
      </x:c>
      <x:c r="AI333" s="41" t="str">
        <x:f>IF(NOT(ISNUMBER(AH333)),"Not scored",VLOOKUP(AH333,'Score settings'!$A$47:$C$50,3,TRUE))</x:f>
        <x:v>Strong</x:v>
      </x:c>
      <x:c r="AJ333" s="42" t="str">
        <x:f>IF(OR(NOT(ISNUMBER(AH333)),T333&lt;&gt;"Common pot"),"",COUNTIFS($T$4:$T$509,"Common pot",$AH$4:$AH$509,"&gt;"&amp;AH333)+1)</x:f>
      </x:c>
      <x:c r="AK333" s="36" t="str">
        <x:f>IF(B333="","Name missing - not scored",IF(OR(NOT(ISNUMBER(G333)),G333&lt;=0),"Investment missing or zero - review",IF(0=1,"Permanent ID missing - reconcile",IF(AND(ISNUMBER(H333),H333/G333&gt;='Score settings'!$B$58,NOT(ISNUMBER(I333))),"Benefit units need review",IF(OR(R333="EXIT",R333="CHALLENGE"),"Waste decision requires scope resolution",IF("Name and organisation matched"&lt;&gt;"Name and organisation matched","Waste evidence match needs review","Provisional source score - confirm evidence"))))))</x:f>
        <x:v>Provisional source score - confirm evidence</x:v>
      </x:c>
      <x:c r="AL333" s="36" t="n">
        <x:v>25</x:v>
      </x:c>
      <x:c r="AM333" s="40"/>
      <x:c r="AN333" s="39"/>
      <x:c r="AO333" s="40"/>
      <x:c r="AP333" s="40"/>
    </x:row>
    <x:row r="334" ht="15" hidden="0" customHeight="1">
      <x:c r="A334" s="36" t="str">
        <x:v>EW-05</x:v>
      </x:c>
      <x:c r="B334" s="37" t="str">
        <x:v>Boardroom Intelligence</x:v>
      </x:c>
      <x:c r="C334" s="36" t="str">
        <x:v>EW</x:v>
      </x:c>
      <x:c r="D334" s="36" t="str">
        <x:v>Group Security​</x:v>
      </x:c>
      <x:c r="E334" s="38" t="n">
        <x:v>0.15</x:v>
      </x:c>
      <x:c r="F334" s="39"/>
      <x:c r="G334" s="38" t="n">
        <x:f>IF(ISNUMBER(F334),F334,IF(E334="","",E334))</x:f>
        <x:v>0.15</x:v>
      </x:c>
      <x:c r="H334" s="38"/>
      <x:c r="I334" s="39"/>
      <x:c r="J334" s="36" t="str">
        <x:v>Cash savings</x:v>
      </x:c>
      <x:c r="K334" s="38" t="str">
        <x:f>IF(ISNUMBER(I334),I334,IF(OR(NOT(ISNUMBER(H334)),NOT(ISNUMBER(G334)),G334&lt;=0),"",IF(H334/G334&gt;='Score settings'!$B$58,"",IF(J334="Cash savings",H334,IF(J334="Revenue",H334*'Score settings'!$B$55,"")))))</x:f>
      </x:c>
      <x:c r="L334" s="36"/>
      <x:c r="M334" s="39"/>
      <x:c r="N334" s="40"/>
      <x:c r="O334" s="36" t="str">
        <x:v>Must Have</x:v>
      </x:c>
      <x:c r="P334" s="36" t="str">
        <x:v>NewTech</x:v>
      </x:c>
      <x:c r="Q334" s="36" t="str">
        <x:v>ProcSimp</x:v>
      </x:c>
      <x:c r="R334" s="36" t="str">
        <x:v>HEALTHY</x:v>
      </x:c>
      <x:c r="S334" s="36" t="str"/>
      <x:c r="T334" s="36" t="str">
        <x:v>Common pot</x:v>
      </x:c>
      <x:c r="U334" s="41" t="n">
        <x:f>VLOOKUP("Priority|"&amp;O334,'Score settings'!$A$14:$C$43,2,FALSE)/'Score settings'!$B$4*'Score settings'!$C$4</x:f>
        <x:v>18</x:v>
      </x:c>
      <x:c r="V334" s="41" t="n">
        <x:f>VLOOKUP("Category|"&amp;P334,'Score settings'!$A$14:$C$43,2,FALSE)/'Score settings'!$B$5*'Score settings'!$C$5</x:f>
        <x:v>5</x:v>
      </x:c>
      <x:c r="W334" s="41" t="n">
        <x:f>VLOOKUP("Area|"&amp;Q334,'Score settings'!$A$14:$C$43,2,FALSE)/'Score settings'!$B$6*'Score settings'!$C$6</x:f>
        <x:v>12</x:v>
      </x:c>
      <x:c r="X334" s="41" t="n">
        <x:f>VLOOKUP("Benefits|"&amp;IF(AND(ISNUMBER(H334),H334&gt;0,ISNUMBER(G334),G334&gt;0),IF(H334/G334&gt;='Score settings'!$E$17,"3plus",IF(H334/G334&gt;='Score settings'!$E$16,"1.5to3",IF(H334/G334&gt;='Score settings'!$E$15,"0.5to1.5","positive"))),"None"),'Score settings'!$A$14:$C$43,2,FALSE)/'Score settings'!$B$7*'Score settings'!$C$7</x:f>
        <x:v>5</x:v>
      </x:c>
      <x:c r="Y334" s="41" t="n">
        <x:f>VLOOKUP("Waste|"&amp;R334,'Score settings'!$A$14:$C$43,2,FALSE)/'Score settings'!$B$8*'Score settings'!$C$8</x:f>
        <x:v>15</x:v>
      </x:c>
      <x:c r="Z334" s="41" t="n">
        <x:f>IF(B334="","",SUM(U334:Y334))</x:f>
        <x:v>55</x:v>
      </x:c>
      <x:c r="AA334" s="41" t="str">
        <x:f>IF(Z334="","Not scored",VLOOKUP(Z334,'Score settings'!$A$47:$C$50,2,TRUE))</x:f>
        <x:v>Strong</x:v>
      </x:c>
      <x:c r="AB334" s="41" t="n">
        <x:f>VLOOKUP("Priority|"&amp;O334,'Score settings'!$A$14:$C$43,3,FALSE)/'Score settings'!$B$4*'Score settings'!$D$4</x:f>
        <x:v>10.799999999999999</x:v>
      </x:c>
      <x:c r="AC334" s="41" t="n">
        <x:f>VLOOKUP("Category|"&amp;P334,'Score settings'!$A$14:$C$43,3,FALSE)/'Score settings'!$B$5*'Score settings'!$D$5</x:f>
        <x:v>2.5</x:v>
      </x:c>
      <x:c r="AD334" s="41" t="n">
        <x:f>VLOOKUP("Area|"&amp;Q334,'Score settings'!$A$14:$C$43,3,FALSE)/'Score settings'!$B$6*'Score settings'!$D$6</x:f>
        <x:v>8</x:v>
      </x:c>
      <x:c r="AE334" s="41" t="n">
        <x:f>VLOOKUP("Benefits|"&amp;IF(AND(ISNUMBER(K334),K334&gt;0,ISNUMBER(G334),G334&gt;0),IF(K334/G334&gt;='Score settings'!$E$17,"3plus",IF(K334/G334&gt;='Score settings'!$E$16,"1.5to3",IF(K334/G334&gt;='Score settings'!$E$15,"0.5to1.5","positive"))),"None"),'Score settings'!$A$14:$C$43,3,FALSE)/'Score settings'!$B$7*'Score settings'!$D$7</x:f>
        <x:v>0</x:v>
      </x:c>
      <x:c r="AF334" s="41" t="n">
        <x:f>VLOOKUP("Waste|"&amp;R334,'Score settings'!$A$14:$C$43,3,FALSE)/'Score settings'!$B$8*'Score settings'!$D$8</x:f>
        <x:v>10</x:v>
      </x:c>
      <x:c r="AG334" s="41" t="n">
        <x:f>(IF(AND(ISNUMBER(M334),M334&gt;0,ISNUMBER(G334),G334&gt;0),IF(M334/G334&gt;='Score settings'!$E$17,'Score settings'!$G$17,IF(M334/G334&gt;='Score settings'!$E$16,'Score settings'!$G$16,IF(M334/G334&gt;='Score settings'!$E$15,'Score settings'!$G$15,'Score settings'!$G$14))),0)/15*'Score settings'!$B$60+IFERROR(VLOOKUP(IF(ISNUMBER(N334),N334,IF(ISNUMBER(L334),L334,0)),'Score settings'!$E$22:$F$26,2,FALSE),0)/10*'Score settings'!$B$61)/'Score settings'!$B$9*'Score settings'!$D$9</x:f>
        <x:v>0</x:v>
      </x:c>
      <x:c r="AH334" s="41" t="n">
        <x:f>IF(B334="","",SUM(AB334:AG334))</x:f>
        <x:v>31.299999999999997</x:v>
      </x:c>
      <x:c r="AI334" s="41" t="str">
        <x:f>IF(NOT(ISNUMBER(AH334)),"Not scored",VLOOKUP(AH334,'Score settings'!$A$47:$C$50,3,TRUE))</x:f>
        <x:v>Discretionary</x:v>
      </x:c>
      <x:c r="AJ334" s="42" t="n">
        <x:f>IF(OR(NOT(ISNUMBER(AH334)),T334&lt;&gt;"Common pot"),"",COUNTIFS($T$4:$T$509,"Common pot",$AH$4:$AH$509,"&gt;"&amp;AH334)+1)</x:f>
        <x:v>177</x:v>
      </x:c>
      <x:c r="AK334" s="36" t="str">
        <x:f>IF(B334="","Name missing - not scored",IF(OR(NOT(ISNUMBER(G334)),G334&lt;=0),"Investment missing or zero - review",IF(0=1,"Permanent ID missing - reconcile",IF(AND(ISNUMBER(H334),H334/G334&gt;='Score settings'!$B$58,NOT(ISNUMBER(I334))),"Benefit units need review",IF(OR(R334="EXIT",R334="CHALLENGE"),"Waste decision requires scope resolution",IF("Name and organisation matched"&lt;&gt;"Name and organisation matched","Waste evidence match needs review","Provisional source score - confirm evidence"))))))</x:f>
        <x:v>Provisional source score - confirm evidence</x:v>
      </x:c>
      <x:c r="AL334" s="36"/>
      <x:c r="AM334" s="40"/>
      <x:c r="AN334" s="39"/>
      <x:c r="AO334" s="40"/>
      <x:c r="AP334" s="40"/>
    </x:row>
    <x:row r="335" ht="15" hidden="0" customHeight="1">
      <x:c r="A335" s="36" t="str">
        <x:v>EW-06</x:v>
      </x:c>
      <x:c r="B335" s="37" t="str">
        <x:v>People Operations: service orchestration</x:v>
      </x:c>
      <x:c r="C335" s="36" t="str">
        <x:v>EW</x:v>
      </x:c>
      <x:c r="D335" s="36" t="str">
        <x:v>People function​</x:v>
      </x:c>
      <x:c r="E335" s="38" t="n">
        <x:v>0.5</x:v>
      </x:c>
      <x:c r="F335" s="39"/>
      <x:c r="G335" s="38" t="n">
        <x:f>IF(ISNUMBER(F335),F335,IF(E335="","",E335))</x:f>
        <x:v>0.5</x:v>
      </x:c>
      <x:c r="H335" s="38" t="n">
        <x:v>0.7</x:v>
      </x:c>
      <x:c r="I335" s="39"/>
      <x:c r="J335" s="36" t="str">
        <x:v>Cash savings</x:v>
      </x:c>
      <x:c r="K335" s="38" t="n">
        <x:f>IF(ISNUMBER(I335),I335,IF(OR(NOT(ISNUMBER(H335)),NOT(ISNUMBER(G335)),G335&lt;=0),"",IF(H335/G335&gt;='Score settings'!$B$58,"",IF(J335="Cash savings",H335,IF(J335="Revenue",H335*'Score settings'!$B$55,"")))))</x:f>
        <x:v>0.7</x:v>
      </x:c>
      <x:c r="L335" s="36"/>
      <x:c r="M335" s="39"/>
      <x:c r="N335" s="40"/>
      <x:c r="O335" s="36" t="str">
        <x:v>Must Do</x:v>
      </x:c>
      <x:c r="P335" s="36" t="str">
        <x:v>AI</x:v>
      </x:c>
      <x:c r="Q335" s="36" t="str">
        <x:v>Productivity</x:v>
      </x:c>
      <x:c r="R335" s="36" t="str">
        <x:v>HEALTHY</x:v>
      </x:c>
      <x:c r="S335" s="36" t="str"/>
      <x:c r="T335" s="36" t="str">
        <x:v>Common pot</x:v>
      </x:c>
      <x:c r="U335" s="41" t="n">
        <x:f>VLOOKUP("Priority|"&amp;O335,'Score settings'!$A$14:$C$43,2,FALSE)/'Score settings'!$B$4*'Score settings'!$C$4</x:f>
        <x:v>25</x:v>
      </x:c>
      <x:c r="V335" s="41" t="n">
        <x:f>VLOOKUP("Category|"&amp;P335,'Score settings'!$A$14:$C$43,2,FALSE)/'Score settings'!$B$5*'Score settings'!$C$5</x:f>
        <x:v>16</x:v>
      </x:c>
      <x:c r="W335" s="41" t="n">
        <x:f>VLOOKUP("Area|"&amp;Q335,'Score settings'!$A$14:$C$43,2,FALSE)/'Score settings'!$B$6*'Score settings'!$C$6</x:f>
        <x:v>10</x:v>
      </x:c>
      <x:c r="X335" s="41" t="n">
        <x:f>VLOOKUP("Benefits|"&amp;IF(AND(ISNUMBER(H335),H335&gt;0,ISNUMBER(G335),G335&gt;0),IF(H335/G335&gt;='Score settings'!$E$17,"3plus",IF(H335/G335&gt;='Score settings'!$E$16,"1.5to3",IF(H335/G335&gt;='Score settings'!$E$15,"0.5to1.5","positive"))),"None"),'Score settings'!$A$14:$C$43,2,FALSE)/'Score settings'!$B$7*'Score settings'!$C$7</x:f>
        <x:v>15</x:v>
      </x:c>
      <x:c r="Y335" s="41" t="n">
        <x:f>VLOOKUP("Waste|"&amp;R335,'Score settings'!$A$14:$C$43,2,FALSE)/'Score settings'!$B$8*'Score settings'!$C$8</x:f>
        <x:v>15</x:v>
      </x:c>
      <x:c r="Z335" s="41" t="n">
        <x:f>IF(B335="","",SUM(U335:Y335))</x:f>
        <x:v>81</x:v>
      </x:c>
      <x:c r="AA335" s="41" t="str">
        <x:f>IF(Z335="","Not scored",VLOOKUP(Z335,'Score settings'!$A$47:$C$50,2,TRUE))</x:f>
        <x:v>Protected</x:v>
      </x:c>
      <x:c r="AB335" s="41" t="n">
        <x:f>VLOOKUP("Priority|"&amp;O335,'Score settings'!$A$14:$C$43,3,FALSE)/'Score settings'!$B$4*'Score settings'!$D$4</x:f>
        <x:v>15</x:v>
      </x:c>
      <x:c r="AC335" s="41" t="n">
        <x:f>VLOOKUP("Category|"&amp;P335,'Score settings'!$A$14:$C$43,3,FALSE)/'Score settings'!$B$5*'Score settings'!$D$5</x:f>
        <x:v>8</x:v>
      </x:c>
      <x:c r="AD335" s="41" t="n">
        <x:f>VLOOKUP("Area|"&amp;Q335,'Score settings'!$A$14:$C$43,3,FALSE)/'Score settings'!$B$6*'Score settings'!$D$6</x:f>
        <x:v>6.666666666666666</x:v>
      </x:c>
      <x:c r="AE335" s="41" t="n">
        <x:f>VLOOKUP("Benefits|"&amp;IF(AND(ISNUMBER(K335),K335&gt;0,ISNUMBER(G335),G335&gt;0),IF(K335/G335&gt;='Score settings'!$E$17,"3plus",IF(K335/G335&gt;='Score settings'!$E$16,"1.5to3",IF(K335/G335&gt;='Score settings'!$E$15,"0.5to1.5","positive"))),"None"),'Score settings'!$A$14:$C$43,3,FALSE)/'Score settings'!$B$7*'Score settings'!$D$7</x:f>
        <x:v>18</x:v>
      </x:c>
      <x:c r="AF335" s="41" t="n">
        <x:f>VLOOKUP("Waste|"&amp;R335,'Score settings'!$A$14:$C$43,3,FALSE)/'Score settings'!$B$8*'Score settings'!$D$8</x:f>
        <x:v>10</x:v>
      </x:c>
      <x:c r="AG335" s="41" t="n">
        <x:f>(IF(AND(ISNUMBER(M335),M335&gt;0,ISNUMBER(G335),G335&gt;0),IF(M335/G335&gt;='Score settings'!$E$17,'Score settings'!$G$17,IF(M335/G335&gt;='Score settings'!$E$16,'Score settings'!$G$16,IF(M335/G335&gt;='Score settings'!$E$15,'Score settings'!$G$15,'Score settings'!$G$14))),0)/15*'Score settings'!$B$60+IFERROR(VLOOKUP(IF(ISNUMBER(N335),N335,IF(ISNUMBER(L335),L335,0)),'Score settings'!$E$22:$F$26,2,FALSE),0)/10*'Score settings'!$B$61)/'Score settings'!$B$9*'Score settings'!$D$9</x:f>
        <x:v>0</x:v>
      </x:c>
      <x:c r="AH335" s="41" t="n">
        <x:f>IF(B335="","",SUM(AB335:AG335))</x:f>
        <x:v>57.666666666666664</x:v>
      </x:c>
      <x:c r="AI335" s="41" t="str">
        <x:f>IF(NOT(ISNUMBER(AH335)),"Not scored",VLOOKUP(AH335,'Score settings'!$A$47:$C$50,3,TRUE))</x:f>
        <x:v>Strong</x:v>
      </x:c>
      <x:c r="AJ335" s="42" t="n">
        <x:f>IF(OR(NOT(ISNUMBER(AH335)),T335&lt;&gt;"Common pot"),"",COUNTIFS($T$4:$T$509,"Common pot",$AH$4:$AH$509,"&gt;"&amp;AH335)+1)</x:f>
        <x:v>26</x:v>
      </x:c>
      <x:c r="AK335" s="36" t="str">
        <x:f>IF(B335="","Name missing - not scored",IF(OR(NOT(ISNUMBER(G335)),G335&lt;=0),"Investment missing or zero - review",IF(0=1,"Permanent ID missing - reconcile",IF(AND(ISNUMBER(H335),H335/G335&gt;='Score settings'!$B$58,NOT(ISNUMBER(I335))),"Benefit units need review",IF(OR(R335="EXIT",R335="CHALLENGE"),"Waste decision requires scope resolution",IF("Name and organisation matched"&lt;&gt;"Name and organisation matched","Waste evidence match needs review","Provisional source score - confirm evidence"))))))</x:f>
        <x:v>Provisional source score - confirm evidence</x:v>
      </x:c>
      <x:c r="AL335" s="36"/>
      <x:c r="AM335" s="40"/>
      <x:c r="AN335" s="39"/>
      <x:c r="AO335" s="40"/>
      <x:c r="AP335" s="40"/>
    </x:row>
    <x:row r="336" ht="15" hidden="0" customHeight="1">
      <x:c r="A336" s="36" t="str">
        <x:v>EW-07</x:v>
      </x:c>
      <x:c r="B336" s="37" t="str">
        <x:v>CCB Commercial IT</x:v>
      </x:c>
      <x:c r="C336" s="36" t="str">
        <x:v>EW</x:v>
      </x:c>
      <x:c r="D336" s="36" t="str">
        <x:v>Information Technology ​</x:v>
      </x:c>
      <x:c r="E336" s="38" t="n">
        <x:v>4.985</x:v>
      </x:c>
      <x:c r="F336" s="39"/>
      <x:c r="G336" s="38" t="n">
        <x:f>IF(ISNUMBER(F336),F336,IF(E336="","",E336))</x:f>
        <x:v>4.985</x:v>
      </x:c>
      <x:c r="H336" s="38"/>
      <x:c r="I336" s="39"/>
      <x:c r="J336" s="36" t="str">
        <x:v>Cash savings</x:v>
      </x:c>
      <x:c r="K336" s="38" t="str">
        <x:f>IF(ISNUMBER(I336),I336,IF(OR(NOT(ISNUMBER(H336)),NOT(ISNUMBER(G336)),G336&lt;=0),"",IF(H336/G336&gt;='Score settings'!$B$58,"",IF(J336="Cash savings",H336,IF(J336="Revenue",H336*'Score settings'!$B$55,"")))))</x:f>
      </x:c>
      <x:c r="L336" s="36"/>
      <x:c r="M336" s="39"/>
      <x:c r="N336" s="40"/>
      <x:c r="O336" s="36" t="str">
        <x:v>Must Do</x:v>
      </x:c>
      <x:c r="P336" s="36" t="str">
        <x:v>CI</x:v>
      </x:c>
      <x:c r="Q336" s="36" t="str">
        <x:v>ProcSimp</x:v>
      </x:c>
      <x:c r="R336" s="36" t="str">
        <x:v>NotAssessed</x:v>
      </x:c>
      <x:c r="S336" s="36" t="str"/>
      <x:c r="T336" s="36" t="str">
        <x:v>Change and Sustain candidate</x:v>
      </x:c>
      <x:c r="U336" s="41" t="n">
        <x:f>VLOOKUP("Priority|"&amp;O336,'Score settings'!$A$14:$C$43,2,FALSE)/'Score settings'!$B$4*'Score settings'!$C$4</x:f>
        <x:v>25</x:v>
      </x:c>
      <x:c r="V336" s="41" t="n">
        <x:f>VLOOKUP("Category|"&amp;P336,'Score settings'!$A$14:$C$43,2,FALSE)/'Score settings'!$B$5*'Score settings'!$C$5</x:f>
        <x:v>8</x:v>
      </x:c>
      <x:c r="W336" s="41" t="n">
        <x:f>VLOOKUP("Area|"&amp;Q336,'Score settings'!$A$14:$C$43,2,FALSE)/'Score settings'!$B$6*'Score settings'!$C$6</x:f>
        <x:v>12</x:v>
      </x:c>
      <x:c r="X336" s="41" t="n">
        <x:f>VLOOKUP("Benefits|"&amp;IF(AND(ISNUMBER(H336),H336&gt;0,ISNUMBER(G336),G336&gt;0),IF(H336/G336&gt;='Score settings'!$E$17,"3plus",IF(H336/G336&gt;='Score settings'!$E$16,"1.5to3",IF(H336/G336&gt;='Score settings'!$E$15,"0.5to1.5","positive"))),"None"),'Score settings'!$A$14:$C$43,2,FALSE)/'Score settings'!$B$7*'Score settings'!$C$7</x:f>
        <x:v>5</x:v>
      </x:c>
      <x:c r="Y336" s="41" t="n">
        <x:f>VLOOKUP("Waste|"&amp;R336,'Score settings'!$A$14:$C$43,2,FALSE)/'Score settings'!$B$8*'Score settings'!$C$8</x:f>
        <x:v>7</x:v>
      </x:c>
      <x:c r="Z336" s="41" t="n">
        <x:f>IF(B336="","",SUM(U336:Y336))</x:f>
        <x:v>57</x:v>
      </x:c>
      <x:c r="AA336" s="41" t="str">
        <x:f>IF(Z336="","Not scored",VLOOKUP(Z336,'Score settings'!$A$47:$C$50,2,TRUE))</x:f>
        <x:v>Strong</x:v>
      </x:c>
      <x:c r="AB336" s="41" t="n">
        <x:f>VLOOKUP("Priority|"&amp;O336,'Score settings'!$A$14:$C$43,3,FALSE)/'Score settings'!$B$4*'Score settings'!$D$4</x:f>
        <x:v>15</x:v>
      </x:c>
      <x:c r="AC336" s="41" t="n">
        <x:f>VLOOKUP("Category|"&amp;P336,'Score settings'!$A$14:$C$43,3,FALSE)/'Score settings'!$B$5*'Score settings'!$D$5</x:f>
        <x:v>4</x:v>
      </x:c>
      <x:c r="AD336" s="41" t="n">
        <x:f>VLOOKUP("Area|"&amp;Q336,'Score settings'!$A$14:$C$43,3,FALSE)/'Score settings'!$B$6*'Score settings'!$D$6</x:f>
        <x:v>8</x:v>
      </x:c>
      <x:c r="AE336" s="41" t="n">
        <x:f>VLOOKUP("Benefits|"&amp;IF(AND(ISNUMBER(K336),K336&gt;0,ISNUMBER(G336),G336&gt;0),IF(K336/G336&gt;='Score settings'!$E$17,"3plus",IF(K336/G336&gt;='Score settings'!$E$16,"1.5to3",IF(K336/G336&gt;='Score settings'!$E$15,"0.5to1.5","positive"))),"None"),'Score settings'!$A$14:$C$43,3,FALSE)/'Score settings'!$B$7*'Score settings'!$D$7</x:f>
        <x:v>0</x:v>
      </x:c>
      <x:c r="AF336" s="41" t="n">
        <x:f>VLOOKUP("Waste|"&amp;R336,'Score settings'!$A$14:$C$43,3,FALSE)/'Score settings'!$B$8*'Score settings'!$D$8</x:f>
        <x:v>0</x:v>
      </x:c>
      <x:c r="AG336" s="41" t="n">
        <x:f>(IF(AND(ISNUMBER(M336),M336&gt;0,ISNUMBER(G336),G336&gt;0),IF(M336/G336&gt;='Score settings'!$E$17,'Score settings'!$G$17,IF(M336/G336&gt;='Score settings'!$E$16,'Score settings'!$G$16,IF(M336/G336&gt;='Score settings'!$E$15,'Score settings'!$G$15,'Score settings'!$G$14))),0)/15*'Score settings'!$B$60+IFERROR(VLOOKUP(IF(ISNUMBER(N336),N336,IF(ISNUMBER(L336),L336,0)),'Score settings'!$E$22:$F$26,2,FALSE),0)/10*'Score settings'!$B$61)/'Score settings'!$B$9*'Score settings'!$D$9</x:f>
        <x:v>0</x:v>
      </x:c>
      <x:c r="AH336" s="41" t="n">
        <x:f>IF(B336="","",SUM(AB336:AG336))</x:f>
        <x:v>27</x:v>
      </x:c>
      <x:c r="AI336" s="41" t="str">
        <x:f>IF(NOT(ISNUMBER(AH336)),"Not scored",VLOOKUP(AH336,'Score settings'!$A$47:$C$50,3,TRUE))</x:f>
        <x:v>Discretionary</x:v>
      </x:c>
      <x:c r="AJ336" s="42" t="str">
        <x:f>IF(OR(NOT(ISNUMBER(AH336)),T336&lt;&gt;"Common pot"),"",COUNTIFS($T$4:$T$509,"Common pot",$AH$4:$AH$509,"&gt;"&amp;AH336)+1)</x:f>
      </x:c>
      <x:c r="AK336" s="36" t="str">
        <x:f>IF(B336="","Name missing - not scored",IF(OR(NOT(ISNUMBER(G336)),G336&lt;=0),"Investment missing or zero - review",IF(0=1,"Permanent ID missing - reconcile",IF(AND(ISNUMBER(H336),H336/G336&gt;='Score settings'!$B$58,NOT(ISNUMBER(I336))),"Benefit units need review",IF(OR(R336="EXIT",R336="CHALLENGE"),"Waste decision requires scope resolution",IF("No exact waste match"&lt;&gt;"Name and organisation matched","Waste evidence match needs review","Provisional source score - confirm evidence"))))))</x:f>
        <x:v>Waste evidence match needs review</x:v>
      </x:c>
      <x:c r="AL336" s="36"/>
      <x:c r="AM336" s="40"/>
      <x:c r="AN336" s="39"/>
      <x:c r="AO336" s="40"/>
      <x:c r="AP336" s="40"/>
    </x:row>
    <x:row r="337" ht="15" hidden="0" customHeight="1">
      <x:c r="A337" s="36" t="str">
        <x:v>EW-08</x:v>
      </x:c>
      <x:c r="B337" s="37" t="str">
        <x:v>Mammoth</x:v>
      </x:c>
      <x:c r="C337" s="36" t="str">
        <x:v>EW</x:v>
      </x:c>
      <x:c r="D337" s="36" t="str">
        <x:v>Patient Safety &amp; Quality</x:v>
      </x:c>
      <x:c r="E337" s="38" t="n">
        <x:v>0.65</x:v>
      </x:c>
      <x:c r="F337" s="39"/>
      <x:c r="G337" s="38" t="n">
        <x:f>IF(ISNUMBER(F337),F337,IF(E337="","",E337))</x:f>
        <x:v>0.65</x:v>
      </x:c>
      <x:c r="H337" s="38"/>
      <x:c r="I337" s="39"/>
      <x:c r="J337" s="36" t="str">
        <x:v>Cash savings</x:v>
      </x:c>
      <x:c r="K337" s="38" t="str">
        <x:f>IF(ISNUMBER(I337),I337,IF(OR(NOT(ISNUMBER(H337)),NOT(ISNUMBER(G337)),G337&lt;=0),"",IF(H337/G337&gt;='Score settings'!$B$58,"",IF(J337="Cash savings",H337,IF(J337="Revenue",H337*'Score settings'!$B$55,"")))))</x:f>
      </x:c>
      <x:c r="L337" s="36"/>
      <x:c r="M337" s="39"/>
      <x:c r="N337" s="40"/>
      <x:c r="O337" s="36" t="str">
        <x:v>Must Do</x:v>
      </x:c>
      <x:c r="P337" s="36" t="str">
        <x:v>NewTech</x:v>
      </x:c>
      <x:c r="Q337" s="36" t="str">
        <x:v>ProcSimp</x:v>
      </x:c>
      <x:c r="R337" s="36" t="str">
        <x:v>NotAssessed</x:v>
      </x:c>
      <x:c r="S337" s="36" t="str"/>
      <x:c r="T337" s="36" t="str">
        <x:v>Common pot</x:v>
      </x:c>
      <x:c r="U337" s="41" t="n">
        <x:f>VLOOKUP("Priority|"&amp;O337,'Score settings'!$A$14:$C$43,2,FALSE)/'Score settings'!$B$4*'Score settings'!$C$4</x:f>
        <x:v>25</x:v>
      </x:c>
      <x:c r="V337" s="41" t="n">
        <x:f>VLOOKUP("Category|"&amp;P337,'Score settings'!$A$14:$C$43,2,FALSE)/'Score settings'!$B$5*'Score settings'!$C$5</x:f>
        <x:v>5</x:v>
      </x:c>
      <x:c r="W337" s="41" t="n">
        <x:f>VLOOKUP("Area|"&amp;Q337,'Score settings'!$A$14:$C$43,2,FALSE)/'Score settings'!$B$6*'Score settings'!$C$6</x:f>
        <x:v>12</x:v>
      </x:c>
      <x:c r="X337" s="41" t="n">
        <x:f>VLOOKUP("Benefits|"&amp;IF(AND(ISNUMBER(H337),H337&gt;0,ISNUMBER(G337),G337&gt;0),IF(H337/G337&gt;='Score settings'!$E$17,"3plus",IF(H337/G337&gt;='Score settings'!$E$16,"1.5to3",IF(H337/G337&gt;='Score settings'!$E$15,"0.5to1.5","positive"))),"None"),'Score settings'!$A$14:$C$43,2,FALSE)/'Score settings'!$B$7*'Score settings'!$C$7</x:f>
        <x:v>5</x:v>
      </x:c>
      <x:c r="Y337" s="41" t="n">
        <x:f>VLOOKUP("Waste|"&amp;R337,'Score settings'!$A$14:$C$43,2,FALSE)/'Score settings'!$B$8*'Score settings'!$C$8</x:f>
        <x:v>7</x:v>
      </x:c>
      <x:c r="Z337" s="41" t="n">
        <x:f>IF(B337="","",SUM(U337:Y337))</x:f>
        <x:v>54</x:v>
      </x:c>
      <x:c r="AA337" s="41" t="str">
        <x:f>IF(Z337="","Not scored",VLOOKUP(Z337,'Score settings'!$A$47:$C$50,2,TRUE))</x:f>
        <x:v>Strong</x:v>
      </x:c>
      <x:c r="AB337" s="41" t="n">
        <x:f>VLOOKUP("Priority|"&amp;O337,'Score settings'!$A$14:$C$43,3,FALSE)/'Score settings'!$B$4*'Score settings'!$D$4</x:f>
        <x:v>15</x:v>
      </x:c>
      <x:c r="AC337" s="41" t="n">
        <x:f>VLOOKUP("Category|"&amp;P337,'Score settings'!$A$14:$C$43,3,FALSE)/'Score settings'!$B$5*'Score settings'!$D$5</x:f>
        <x:v>2.5</x:v>
      </x:c>
      <x:c r="AD337" s="41" t="n">
        <x:f>VLOOKUP("Area|"&amp;Q337,'Score settings'!$A$14:$C$43,3,FALSE)/'Score settings'!$B$6*'Score settings'!$D$6</x:f>
        <x:v>8</x:v>
      </x:c>
      <x:c r="AE337" s="41" t="n">
        <x:f>VLOOKUP("Benefits|"&amp;IF(AND(ISNUMBER(K337),K337&gt;0,ISNUMBER(G337),G337&gt;0),IF(K337/G337&gt;='Score settings'!$E$17,"3plus",IF(K337/G337&gt;='Score settings'!$E$16,"1.5to3",IF(K337/G337&gt;='Score settings'!$E$15,"0.5to1.5","positive"))),"None"),'Score settings'!$A$14:$C$43,3,FALSE)/'Score settings'!$B$7*'Score settings'!$D$7</x:f>
        <x:v>0</x:v>
      </x:c>
      <x:c r="AF337" s="41" t="n">
        <x:f>VLOOKUP("Waste|"&amp;R337,'Score settings'!$A$14:$C$43,3,FALSE)/'Score settings'!$B$8*'Score settings'!$D$8</x:f>
        <x:v>0</x:v>
      </x:c>
      <x:c r="AG337" s="41" t="n">
        <x:f>(IF(AND(ISNUMBER(M337),M337&gt;0,ISNUMBER(G337),G337&gt;0),IF(M337/G337&gt;='Score settings'!$E$17,'Score settings'!$G$17,IF(M337/G337&gt;='Score settings'!$E$16,'Score settings'!$G$16,IF(M337/G337&gt;='Score settings'!$E$15,'Score settings'!$G$15,'Score settings'!$G$14))),0)/15*'Score settings'!$B$60+IFERROR(VLOOKUP(IF(ISNUMBER(N337),N337,IF(ISNUMBER(L337),L337,0)),'Score settings'!$E$22:$F$26,2,FALSE),0)/10*'Score settings'!$B$61)/'Score settings'!$B$9*'Score settings'!$D$9</x:f>
        <x:v>0</x:v>
      </x:c>
      <x:c r="AH337" s="41" t="n">
        <x:f>IF(B337="","",SUM(AB337:AG337))</x:f>
        <x:v>25.5</x:v>
      </x:c>
      <x:c r="AI337" s="41" t="str">
        <x:f>IF(NOT(ISNUMBER(AH337)),"Not scored",VLOOKUP(AH337,'Score settings'!$A$47:$C$50,3,TRUE))</x:f>
        <x:v>Discretionary</x:v>
      </x:c>
      <x:c r="AJ337" s="42" t="n">
        <x:f>IF(OR(NOT(ISNUMBER(AH337)),T337&lt;&gt;"Common pot"),"",COUNTIFS($T$4:$T$509,"Common pot",$AH$4:$AH$509,"&gt;"&amp;AH337)+1)</x:f>
        <x:v>250</x:v>
      </x:c>
      <x:c r="AK337" s="36" t="str">
        <x:f>IF(B337="","Name missing - not scored",IF(OR(NOT(ISNUMBER(G337)),G337&lt;=0),"Investment missing or zero - review",IF(0=1,"Permanent ID missing - reconcile",IF(AND(ISNUMBER(H337),H337/G337&gt;='Score settings'!$B$58,NOT(ISNUMBER(I337))),"Benefit units need review",IF(OR(R337="EXIT",R337="CHALLENGE"),"Waste decision requires scope resolution",IF("Organisation differs or ambiguous"&lt;&gt;"Name and organisation matched","Waste evidence match needs review","Provisional source score - confirm evidence"))))))</x:f>
        <x:v>Waste evidence match needs review</x:v>
      </x:c>
      <x:c r="AL337" s="36"/>
      <x:c r="AM337" s="40"/>
      <x:c r="AN337" s="39"/>
      <x:c r="AO337" s="40"/>
      <x:c r="AP337" s="40"/>
    </x:row>
    <x:row r="338" ht="15" hidden="0" customHeight="1">
      <x:c r="A338" s="36" t="str">
        <x:v>EW-09</x:v>
      </x:c>
      <x:c r="B338" s="37" t="str">
        <x:v>Kairos</x:v>
      </x:c>
      <x:c r="C338" s="36" t="str">
        <x:v>EW</x:v>
      </x:c>
      <x:c r="D338" s="36" t="str">
        <x:v>Patient Safety &amp; Quality</x:v>
      </x:c>
      <x:c r="E338" s="38" t="n">
        <x:v>0.25</x:v>
      </x:c>
      <x:c r="F338" s="39"/>
      <x:c r="G338" s="38" t="n">
        <x:f>IF(ISNUMBER(F338),F338,IF(E338="","",E338))</x:f>
        <x:v>0.25</x:v>
      </x:c>
      <x:c r="H338" s="38"/>
      <x:c r="I338" s="39"/>
      <x:c r="J338" s="36" t="str">
        <x:v>Cash savings</x:v>
      </x:c>
      <x:c r="K338" s="38" t="str">
        <x:f>IF(ISNUMBER(I338),I338,IF(OR(NOT(ISNUMBER(H338)),NOT(ISNUMBER(G338)),G338&lt;=0),"",IF(H338/G338&gt;='Score settings'!$B$58,"",IF(J338="Cash savings",H338,IF(J338="Revenue",H338*'Score settings'!$B$55,"")))))</x:f>
      </x:c>
      <x:c r="L338" s="36"/>
      <x:c r="M338" s="39"/>
      <x:c r="N338" s="40"/>
      <x:c r="O338" s="36" t="str">
        <x:v>Must Do</x:v>
      </x:c>
      <x:c r="P338" s="36" t="str">
        <x:v>AI</x:v>
      </x:c>
      <x:c r="Q338" s="36" t="str">
        <x:v>Productivity</x:v>
      </x:c>
      <x:c r="R338" s="36" t="str">
        <x:v>NotAssessed</x:v>
      </x:c>
      <x:c r="S338" s="36" t="str"/>
      <x:c r="T338" s="36" t="str">
        <x:v>Common pot</x:v>
      </x:c>
      <x:c r="U338" s="41" t="n">
        <x:f>VLOOKUP("Priority|"&amp;O338,'Score settings'!$A$14:$C$43,2,FALSE)/'Score settings'!$B$4*'Score settings'!$C$4</x:f>
        <x:v>25</x:v>
      </x:c>
      <x:c r="V338" s="41" t="n">
        <x:f>VLOOKUP("Category|"&amp;P338,'Score settings'!$A$14:$C$43,2,FALSE)/'Score settings'!$B$5*'Score settings'!$C$5</x:f>
        <x:v>16</x:v>
      </x:c>
      <x:c r="W338" s="41" t="n">
        <x:f>VLOOKUP("Area|"&amp;Q338,'Score settings'!$A$14:$C$43,2,FALSE)/'Score settings'!$B$6*'Score settings'!$C$6</x:f>
        <x:v>10</x:v>
      </x:c>
      <x:c r="X338" s="41" t="n">
        <x:f>VLOOKUP("Benefits|"&amp;IF(AND(ISNUMBER(H338),H338&gt;0,ISNUMBER(G338),G338&gt;0),IF(H338/G338&gt;='Score settings'!$E$17,"3plus",IF(H338/G338&gt;='Score settings'!$E$16,"1.5to3",IF(H338/G338&gt;='Score settings'!$E$15,"0.5to1.5","positive"))),"None"),'Score settings'!$A$14:$C$43,2,FALSE)/'Score settings'!$B$7*'Score settings'!$C$7</x:f>
        <x:v>5</x:v>
      </x:c>
      <x:c r="Y338" s="41" t="n">
        <x:f>VLOOKUP("Waste|"&amp;R338,'Score settings'!$A$14:$C$43,2,FALSE)/'Score settings'!$B$8*'Score settings'!$C$8</x:f>
        <x:v>7</x:v>
      </x:c>
      <x:c r="Z338" s="41" t="n">
        <x:f>IF(B338="","",SUM(U338:Y338))</x:f>
        <x:v>63</x:v>
      </x:c>
      <x:c r="AA338" s="41" t="str">
        <x:f>IF(Z338="","Not scored",VLOOKUP(Z338,'Score settings'!$A$47:$C$50,2,TRUE))</x:f>
        <x:v>Strong</x:v>
      </x:c>
      <x:c r="AB338" s="41" t="n">
        <x:f>VLOOKUP("Priority|"&amp;O338,'Score settings'!$A$14:$C$43,3,FALSE)/'Score settings'!$B$4*'Score settings'!$D$4</x:f>
        <x:v>15</x:v>
      </x:c>
      <x:c r="AC338" s="41" t="n">
        <x:f>VLOOKUP("Category|"&amp;P338,'Score settings'!$A$14:$C$43,3,FALSE)/'Score settings'!$B$5*'Score settings'!$D$5</x:f>
        <x:v>8</x:v>
      </x:c>
      <x:c r="AD338" s="41" t="n">
        <x:f>VLOOKUP("Area|"&amp;Q338,'Score settings'!$A$14:$C$43,3,FALSE)/'Score settings'!$B$6*'Score settings'!$D$6</x:f>
        <x:v>6.666666666666666</x:v>
      </x:c>
      <x:c r="AE338" s="41" t="n">
        <x:f>VLOOKUP("Benefits|"&amp;IF(AND(ISNUMBER(K338),K338&gt;0,ISNUMBER(G338),G338&gt;0),IF(K338/G338&gt;='Score settings'!$E$17,"3plus",IF(K338/G338&gt;='Score settings'!$E$16,"1.5to3",IF(K338/G338&gt;='Score settings'!$E$15,"0.5to1.5","positive"))),"None"),'Score settings'!$A$14:$C$43,3,FALSE)/'Score settings'!$B$7*'Score settings'!$D$7</x:f>
        <x:v>0</x:v>
      </x:c>
      <x:c r="AF338" s="41" t="n">
        <x:f>VLOOKUP("Waste|"&amp;R338,'Score settings'!$A$14:$C$43,3,FALSE)/'Score settings'!$B$8*'Score settings'!$D$8</x:f>
        <x:v>0</x:v>
      </x:c>
      <x:c r="AG338" s="41" t="n">
        <x:f>(IF(AND(ISNUMBER(M338),M338&gt;0,ISNUMBER(G338),G338&gt;0),IF(M338/G338&gt;='Score settings'!$E$17,'Score settings'!$G$17,IF(M338/G338&gt;='Score settings'!$E$16,'Score settings'!$G$16,IF(M338/G338&gt;='Score settings'!$E$15,'Score settings'!$G$15,'Score settings'!$G$14))),0)/15*'Score settings'!$B$60+IFERROR(VLOOKUP(IF(ISNUMBER(N338),N338,IF(ISNUMBER(L338),L338,0)),'Score settings'!$E$22:$F$26,2,FALSE),0)/10*'Score settings'!$B$61)/'Score settings'!$B$9*'Score settings'!$D$9</x:f>
        <x:v>0</x:v>
      </x:c>
      <x:c r="AH338" s="41" t="n">
        <x:f>IF(B338="","",SUM(AB338:AG338))</x:f>
        <x:v>29.666666666666664</x:v>
      </x:c>
      <x:c r="AI338" s="41" t="str">
        <x:f>IF(NOT(ISNUMBER(AH338)),"Not scored",VLOOKUP(AH338,'Score settings'!$A$47:$C$50,3,TRUE))</x:f>
        <x:v>Discretionary</x:v>
      </x:c>
      <x:c r="AJ338" s="42" t="n">
        <x:f>IF(OR(NOT(ISNUMBER(AH338)),T338&lt;&gt;"Common pot"),"",COUNTIFS($T$4:$T$509,"Common pot",$AH$4:$AH$509,"&gt;"&amp;AH338)+1)</x:f>
        <x:v>189</x:v>
      </x:c>
      <x:c r="AK338" s="36" t="str">
        <x:f>IF(B338="","Name missing - not scored",IF(OR(NOT(ISNUMBER(G338)),G338&lt;=0),"Investment missing or zero - review",IF(0=1,"Permanent ID missing - reconcile",IF(AND(ISNUMBER(H338),H338/G338&gt;='Score settings'!$B$58,NOT(ISNUMBER(I338))),"Benefit units need review",IF(OR(R338="EXIT",R338="CHALLENGE"),"Waste decision requires scope resolution",IF("Organisation differs or ambiguous"&lt;&gt;"Name and organisation matched","Waste evidence match needs review","Provisional source score - confirm evidence"))))))</x:f>
        <x:v>Waste evidence match needs review</x:v>
      </x:c>
      <x:c r="AL338" s="36"/>
      <x:c r="AM338" s="40"/>
      <x:c r="AN338" s="39"/>
      <x:c r="AO338" s="40"/>
      <x:c r="AP338" s="40"/>
    </x:row>
    <x:row r="339" ht="15" hidden="0" customHeight="1">
      <x:c r="A339" s="36" t="str">
        <x:v>EW-10</x:v>
      </x:c>
      <x:c r="B339" s="37" t="str">
        <x:v>CCB - Hyperautomation</x:v>
      </x:c>
      <x:c r="C339" s="36" t="str">
        <x:v>EW</x:v>
      </x:c>
      <x:c r="D339" s="36" t="str">
        <x:v>Information Technology ​</x:v>
      </x:c>
      <x:c r="E339" s="38" t="n">
        <x:v>1.052</x:v>
      </x:c>
      <x:c r="F339" s="39"/>
      <x:c r="G339" s="38" t="n">
        <x:f>IF(ISNUMBER(F339),F339,IF(E339="","",E339))</x:f>
        <x:v>1.052</x:v>
      </x:c>
      <x:c r="H339" s="38"/>
      <x:c r="I339" s="39"/>
      <x:c r="J339" s="36" t="str">
        <x:v>Risk exposure</x:v>
      </x:c>
      <x:c r="K339" s="38" t="str">
        <x:f>IF(ISNUMBER(I339),I339,IF(OR(NOT(ISNUMBER(H339)),NOT(ISNUMBER(G339)),G339&lt;=0),"",IF(H339/G339&gt;='Score settings'!$B$58,"",IF(J339="Cash savings",H339,IF(J339="Revenue",H339*'Score settings'!$B$55,"")))))</x:f>
      </x:c>
      <x:c r="L339" s="36"/>
      <x:c r="M339" s="39"/>
      <x:c r="N339" s="40"/>
      <x:c r="O339" s="36" t="str">
        <x:v>Must Do</x:v>
      </x:c>
      <x:c r="P339" s="36" t="str">
        <x:v>AI</x:v>
      </x:c>
      <x:c r="Q339" s="36" t="str">
        <x:v>Compliance</x:v>
      </x:c>
      <x:c r="R339" s="36" t="str">
        <x:v>NotAssessed</x:v>
      </x:c>
      <x:c r="S339" s="36" t="str"/>
      <x:c r="T339" s="36" t="str">
        <x:v>Change and Sustain candidate</x:v>
      </x:c>
      <x:c r="U339" s="41" t="n">
        <x:f>VLOOKUP("Priority|"&amp;O339,'Score settings'!$A$14:$C$43,2,FALSE)/'Score settings'!$B$4*'Score settings'!$C$4</x:f>
        <x:v>25</x:v>
      </x:c>
      <x:c r="V339" s="41" t="n">
        <x:f>VLOOKUP("Category|"&amp;P339,'Score settings'!$A$14:$C$43,2,FALSE)/'Score settings'!$B$5*'Score settings'!$C$5</x:f>
        <x:v>16</x:v>
      </x:c>
      <x:c r="W339" s="41" t="n">
        <x:f>VLOOKUP("Area|"&amp;Q339,'Score settings'!$A$14:$C$43,2,FALSE)/'Score settings'!$B$6*'Score settings'!$C$6</x:f>
        <x:v>15</x:v>
      </x:c>
      <x:c r="X339" s="41" t="n">
        <x:f>VLOOKUP("Benefits|"&amp;IF(AND(ISNUMBER(H339),H339&gt;0,ISNUMBER(G339),G339&gt;0),IF(H339/G339&gt;='Score settings'!$E$17,"3plus",IF(H339/G339&gt;='Score settings'!$E$16,"1.5to3",IF(H339/G339&gt;='Score settings'!$E$15,"0.5to1.5","positive"))),"None"),'Score settings'!$A$14:$C$43,2,FALSE)/'Score settings'!$B$7*'Score settings'!$C$7</x:f>
        <x:v>5</x:v>
      </x:c>
      <x:c r="Y339" s="41" t="n">
        <x:f>VLOOKUP("Waste|"&amp;R339,'Score settings'!$A$14:$C$43,2,FALSE)/'Score settings'!$B$8*'Score settings'!$C$8</x:f>
        <x:v>7</x:v>
      </x:c>
      <x:c r="Z339" s="41" t="n">
        <x:f>IF(B339="","",SUM(U339:Y339))</x:f>
        <x:v>68</x:v>
      </x:c>
      <x:c r="AA339" s="41" t="str">
        <x:f>IF(Z339="","Not scored",VLOOKUP(Z339,'Score settings'!$A$47:$C$50,2,TRUE))</x:f>
        <x:v>Protected</x:v>
      </x:c>
      <x:c r="AB339" s="41" t="n">
        <x:f>VLOOKUP("Priority|"&amp;O339,'Score settings'!$A$14:$C$43,3,FALSE)/'Score settings'!$B$4*'Score settings'!$D$4</x:f>
        <x:v>15</x:v>
      </x:c>
      <x:c r="AC339" s="41" t="n">
        <x:f>VLOOKUP("Category|"&amp;P339,'Score settings'!$A$14:$C$43,3,FALSE)/'Score settings'!$B$5*'Score settings'!$D$5</x:f>
        <x:v>8</x:v>
      </x:c>
      <x:c r="AD339" s="41" t="n">
        <x:f>VLOOKUP("Area|"&amp;Q339,'Score settings'!$A$14:$C$43,3,FALSE)/'Score settings'!$B$6*'Score settings'!$D$6</x:f>
        <x:v>10</x:v>
      </x:c>
      <x:c r="AE339" s="41" t="n">
        <x:f>VLOOKUP("Benefits|"&amp;IF(AND(ISNUMBER(K339),K339&gt;0,ISNUMBER(G339),G339&gt;0),IF(K339/G339&gt;='Score settings'!$E$17,"3plus",IF(K339/G339&gt;='Score settings'!$E$16,"1.5to3",IF(K339/G339&gt;='Score settings'!$E$15,"0.5to1.5","positive"))),"None"),'Score settings'!$A$14:$C$43,3,FALSE)/'Score settings'!$B$7*'Score settings'!$D$7</x:f>
        <x:v>0</x:v>
      </x:c>
      <x:c r="AF339" s="41" t="n">
        <x:f>VLOOKUP("Waste|"&amp;R339,'Score settings'!$A$14:$C$43,3,FALSE)/'Score settings'!$B$8*'Score settings'!$D$8</x:f>
        <x:v>0</x:v>
      </x:c>
      <x:c r="AG339" s="41" t="n">
        <x:f>(IF(AND(ISNUMBER(M339),M339&gt;0,ISNUMBER(G339),G339&gt;0),IF(M339/G339&gt;='Score settings'!$E$17,'Score settings'!$G$17,IF(M339/G339&gt;='Score settings'!$E$16,'Score settings'!$G$16,IF(M339/G339&gt;='Score settings'!$E$15,'Score settings'!$G$15,'Score settings'!$G$14))),0)/15*'Score settings'!$B$60+IFERROR(VLOOKUP(IF(ISNUMBER(N339),N339,IF(ISNUMBER(L339),L339,0)),'Score settings'!$E$22:$F$26,2,FALSE),0)/10*'Score settings'!$B$61)/'Score settings'!$B$9*'Score settings'!$D$9</x:f>
        <x:v>0</x:v>
      </x:c>
      <x:c r="AH339" s="41" t="n">
        <x:f>IF(B339="","",SUM(AB339:AG339))</x:f>
        <x:v>33</x:v>
      </x:c>
      <x:c r="AI339" s="41" t="str">
        <x:f>IF(NOT(ISNUMBER(AH339)),"Not scored",VLOOKUP(AH339,'Score settings'!$A$47:$C$50,3,TRUE))</x:f>
        <x:v>Discretionary</x:v>
      </x:c>
      <x:c r="AJ339" s="42" t="str">
        <x:f>IF(OR(NOT(ISNUMBER(AH339)),T339&lt;&gt;"Common pot"),"",COUNTIFS($T$4:$T$509,"Common pot",$AH$4:$AH$509,"&gt;"&amp;AH339)+1)</x:f>
      </x:c>
      <x:c r="AK339" s="36" t="str">
        <x:f>IF(B339="","Name missing - not scored",IF(OR(NOT(ISNUMBER(G339)),G339&lt;=0),"Investment missing or zero - review",IF(0=1,"Permanent ID missing - reconcile",IF(AND(ISNUMBER(H339),H339/G339&gt;='Score settings'!$B$58,NOT(ISNUMBER(I339))),"Benefit units need review",IF(OR(R339="EXIT",R339="CHALLENGE"),"Waste decision requires scope resolution",IF("No exact waste match"&lt;&gt;"Name and organisation matched","Waste evidence match needs review","Provisional source score - confirm evidence"))))))</x:f>
        <x:v>Waste evidence match needs review</x:v>
      </x:c>
      <x:c r="AL339" s="36"/>
      <x:c r="AM339" s="40"/>
      <x:c r="AN339" s="39"/>
      <x:c r="AO339" s="40"/>
      <x:c r="AP339" s="40"/>
    </x:row>
    <x:row r="340" ht="15" hidden="0" customHeight="1">
      <x:c r="A340" s="36" t="str">
        <x:v>EW-11</x:v>
      </x:c>
      <x:c r="B340" s="37" t="str">
        <x:v>CCB - Group Function</x:v>
      </x:c>
      <x:c r="C340" s="36" t="str">
        <x:v>EW</x:v>
      </x:c>
      <x:c r="D340" s="36" t="str">
        <x:v>Information Technology ​</x:v>
      </x:c>
      <x:c r="E340" s="38" t="n">
        <x:v>7.63</x:v>
      </x:c>
      <x:c r="F340" s="39"/>
      <x:c r="G340" s="38" t="n">
        <x:f>IF(ISNUMBER(F340),F340,IF(E340="","",E340))</x:f>
        <x:v>7.63</x:v>
      </x:c>
      <x:c r="H340" s="38"/>
      <x:c r="I340" s="39"/>
      <x:c r="J340" s="36" t="str">
        <x:v>Risk exposure</x:v>
      </x:c>
      <x:c r="K340" s="38" t="str">
        <x:f>IF(ISNUMBER(I340),I340,IF(OR(NOT(ISNUMBER(H340)),NOT(ISNUMBER(G340)),G340&lt;=0),"",IF(H340/G340&gt;='Score settings'!$B$58,"",IF(J340="Cash savings",H340,IF(J340="Revenue",H340*'Score settings'!$B$55,"")))))</x:f>
      </x:c>
      <x:c r="L340" s="36"/>
      <x:c r="M340" s="39"/>
      <x:c r="N340" s="40"/>
      <x:c r="O340" s="36" t="str">
        <x:v>Must Do</x:v>
      </x:c>
      <x:c r="P340" s="36" t="str">
        <x:v>LFR</x:v>
      </x:c>
      <x:c r="Q340" s="36" t="str">
        <x:v>Compliance</x:v>
      </x:c>
      <x:c r="R340" s="36" t="str">
        <x:v>NotAssessed</x:v>
      </x:c>
      <x:c r="S340" s="36" t="str"/>
      <x:c r="T340" s="36" t="str">
        <x:v>Change and Sustain candidate</x:v>
      </x:c>
      <x:c r="U340" s="41" t="n">
        <x:f>VLOOKUP("Priority|"&amp;O340,'Score settings'!$A$14:$C$43,2,FALSE)/'Score settings'!$B$4*'Score settings'!$C$4</x:f>
        <x:v>25</x:v>
      </x:c>
      <x:c r="V340" s="41" t="n">
        <x:f>VLOOKUP("Category|"&amp;P340,'Score settings'!$A$14:$C$43,2,FALSE)/'Score settings'!$B$5*'Score settings'!$C$5</x:f>
        <x:v>20</x:v>
      </x:c>
      <x:c r="W340" s="41" t="n">
        <x:f>VLOOKUP("Area|"&amp;Q340,'Score settings'!$A$14:$C$43,2,FALSE)/'Score settings'!$B$6*'Score settings'!$C$6</x:f>
        <x:v>15</x:v>
      </x:c>
      <x:c r="X340" s="41" t="n">
        <x:f>VLOOKUP("Benefits|"&amp;IF(AND(ISNUMBER(H340),H340&gt;0,ISNUMBER(G340),G340&gt;0),IF(H340/G340&gt;='Score settings'!$E$17,"3plus",IF(H340/G340&gt;='Score settings'!$E$16,"1.5to3",IF(H340/G340&gt;='Score settings'!$E$15,"0.5to1.5","positive"))),"None"),'Score settings'!$A$14:$C$43,2,FALSE)/'Score settings'!$B$7*'Score settings'!$C$7</x:f>
        <x:v>5</x:v>
      </x:c>
      <x:c r="Y340" s="41" t="n">
        <x:f>VLOOKUP("Waste|"&amp;R340,'Score settings'!$A$14:$C$43,2,FALSE)/'Score settings'!$B$8*'Score settings'!$C$8</x:f>
        <x:v>7</x:v>
      </x:c>
      <x:c r="Z340" s="41" t="n">
        <x:f>IF(B340="","",SUM(U340:Y340))</x:f>
        <x:v>72</x:v>
      </x:c>
      <x:c r="AA340" s="41" t="str">
        <x:f>IF(Z340="","Not scored",VLOOKUP(Z340,'Score settings'!$A$47:$C$50,2,TRUE))</x:f>
        <x:v>Protected</x:v>
      </x:c>
      <x:c r="AB340" s="41" t="n">
        <x:f>VLOOKUP("Priority|"&amp;O340,'Score settings'!$A$14:$C$43,3,FALSE)/'Score settings'!$B$4*'Score settings'!$D$4</x:f>
        <x:v>15</x:v>
      </x:c>
      <x:c r="AC340" s="41" t="n">
        <x:f>VLOOKUP("Category|"&amp;P340,'Score settings'!$A$14:$C$43,3,FALSE)/'Score settings'!$B$5*'Score settings'!$D$5</x:f>
        <x:v>10</x:v>
      </x:c>
      <x:c r="AD340" s="41" t="n">
        <x:f>VLOOKUP("Area|"&amp;Q340,'Score settings'!$A$14:$C$43,3,FALSE)/'Score settings'!$B$6*'Score settings'!$D$6</x:f>
        <x:v>10</x:v>
      </x:c>
      <x:c r="AE340" s="41" t="n">
        <x:f>VLOOKUP("Benefits|"&amp;IF(AND(ISNUMBER(K340),K340&gt;0,ISNUMBER(G340),G340&gt;0),IF(K340/G340&gt;='Score settings'!$E$17,"3plus",IF(K340/G340&gt;='Score settings'!$E$16,"1.5to3",IF(K340/G340&gt;='Score settings'!$E$15,"0.5to1.5","positive"))),"None"),'Score settings'!$A$14:$C$43,3,FALSE)/'Score settings'!$B$7*'Score settings'!$D$7</x:f>
        <x:v>0</x:v>
      </x:c>
      <x:c r="AF340" s="41" t="n">
        <x:f>VLOOKUP("Waste|"&amp;R340,'Score settings'!$A$14:$C$43,3,FALSE)/'Score settings'!$B$8*'Score settings'!$D$8</x:f>
        <x:v>0</x:v>
      </x:c>
      <x:c r="AG340" s="41" t="n">
        <x:f>(IF(AND(ISNUMBER(M340),M340&gt;0,ISNUMBER(G340),G340&gt;0),IF(M340/G340&gt;='Score settings'!$E$17,'Score settings'!$G$17,IF(M340/G340&gt;='Score settings'!$E$16,'Score settings'!$G$16,IF(M340/G340&gt;='Score settings'!$E$15,'Score settings'!$G$15,'Score settings'!$G$14))),0)/15*'Score settings'!$B$60+IFERROR(VLOOKUP(IF(ISNUMBER(N340),N340,IF(ISNUMBER(L340),L340,0)),'Score settings'!$E$22:$F$26,2,FALSE),0)/10*'Score settings'!$B$61)/'Score settings'!$B$9*'Score settings'!$D$9</x:f>
        <x:v>0</x:v>
      </x:c>
      <x:c r="AH340" s="41" t="n">
        <x:f>IF(B340="","",SUM(AB340:AG340))</x:f>
        <x:v>35</x:v>
      </x:c>
      <x:c r="AI340" s="41" t="str">
        <x:f>IF(NOT(ISNUMBER(AH340)),"Not scored",VLOOKUP(AH340,'Score settings'!$A$47:$C$50,3,TRUE))</x:f>
        <x:v>Discretionary</x:v>
      </x:c>
      <x:c r="AJ340" s="42" t="str">
        <x:f>IF(OR(NOT(ISNUMBER(AH340)),T340&lt;&gt;"Common pot"),"",COUNTIFS($T$4:$T$509,"Common pot",$AH$4:$AH$509,"&gt;"&amp;AH340)+1)</x:f>
      </x:c>
      <x:c r="AK340" s="36" t="str">
        <x:f>IF(B340="","Name missing - not scored",IF(OR(NOT(ISNUMBER(G340)),G340&lt;=0),"Investment missing or zero - review",IF(0=1,"Permanent ID missing - reconcile",IF(AND(ISNUMBER(H340),H340/G340&gt;='Score settings'!$B$58,NOT(ISNUMBER(I340))),"Benefit units need review",IF(OR(R340="EXIT",R340="CHALLENGE"),"Waste decision requires scope resolution",IF("No exact waste match"&lt;&gt;"Name and organisation matched","Waste evidence match needs review","Provisional source score - confirm evidence"))))))</x:f>
        <x:v>Waste evidence match needs review</x:v>
      </x:c>
      <x:c r="AL340" s="36"/>
      <x:c r="AM340" s="40"/>
      <x:c r="AN340" s="39"/>
      <x:c r="AO340" s="40"/>
      <x:c r="AP340" s="40"/>
    </x:row>
    <x:row r="341" ht="15" hidden="0" customHeight="1">
      <x:c r="A341" s="36" t="str">
        <x:v>EW-12</x:v>
      </x:c>
      <x:c r="B341" s="37" t="str">
        <x:v>Integrated C&amp;R</x:v>
      </x:c>
      <x:c r="C341" s="36" t="str">
        <x:v>EW</x:v>
      </x:c>
      <x:c r="D341" s="36" t="str">
        <x:v>Patient Safety &amp; Quality</x:v>
      </x:c>
      <x:c r="E341" s="38" t="n">
        <x:v>0.65</x:v>
      </x:c>
      <x:c r="F341" s="39"/>
      <x:c r="G341" s="38" t="n">
        <x:f>IF(ISNUMBER(F341),F341,IF(E341="","",E341))</x:f>
        <x:v>0.65</x:v>
      </x:c>
      <x:c r="H341" s="38"/>
      <x:c r="I341" s="39"/>
      <x:c r="J341" s="36" t="str">
        <x:v>Revenue</x:v>
      </x:c>
      <x:c r="K341" s="38" t="str">
        <x:f>IF(ISNUMBER(I341),I341,IF(OR(NOT(ISNUMBER(H341)),NOT(ISNUMBER(G341)),G341&lt;=0),"",IF(H341/G341&gt;='Score settings'!$B$58,"",IF(J341="Cash savings",H341,IF(J341="Revenue",H341*'Score settings'!$B$55,"")))))</x:f>
      </x:c>
      <x:c r="L341" s="36"/>
      <x:c r="M341" s="39"/>
      <x:c r="N341" s="40"/>
      <x:c r="O341" s="36" t="str">
        <x:v>Must Do</x:v>
      </x:c>
      <x:c r="P341" s="36" t="str">
        <x:v>NewTech</x:v>
      </x:c>
      <x:c r="Q341" s="36" t="str">
        <x:v>Revenue</x:v>
      </x:c>
      <x:c r="R341" s="36" t="str">
        <x:v>NotAssessed</x:v>
      </x:c>
      <x:c r="S341" s="36" t="str"/>
      <x:c r="T341" s="36" t="str">
        <x:v>Common pot</x:v>
      </x:c>
      <x:c r="U341" s="41" t="n">
        <x:f>VLOOKUP("Priority|"&amp;O341,'Score settings'!$A$14:$C$43,2,FALSE)/'Score settings'!$B$4*'Score settings'!$C$4</x:f>
        <x:v>25</x:v>
      </x:c>
      <x:c r="V341" s="41" t="n">
        <x:f>VLOOKUP("Category|"&amp;P341,'Score settings'!$A$14:$C$43,2,FALSE)/'Score settings'!$B$5*'Score settings'!$C$5</x:f>
        <x:v>5</x:v>
      </x:c>
      <x:c r="W341" s="41" t="n">
        <x:f>VLOOKUP("Area|"&amp;Q341,'Score settings'!$A$14:$C$43,2,FALSE)/'Score settings'!$B$6*'Score settings'!$C$6</x:f>
        <x:v>11</x:v>
      </x:c>
      <x:c r="X341" s="41" t="n">
        <x:f>VLOOKUP("Benefits|"&amp;IF(AND(ISNUMBER(H341),H341&gt;0,ISNUMBER(G341),G341&gt;0),IF(H341/G341&gt;='Score settings'!$E$17,"3plus",IF(H341/G341&gt;='Score settings'!$E$16,"1.5to3",IF(H341/G341&gt;='Score settings'!$E$15,"0.5to1.5","positive"))),"None"),'Score settings'!$A$14:$C$43,2,FALSE)/'Score settings'!$B$7*'Score settings'!$C$7</x:f>
        <x:v>5</x:v>
      </x:c>
      <x:c r="Y341" s="41" t="n">
        <x:f>VLOOKUP("Waste|"&amp;R341,'Score settings'!$A$14:$C$43,2,FALSE)/'Score settings'!$B$8*'Score settings'!$C$8</x:f>
        <x:v>7</x:v>
      </x:c>
      <x:c r="Z341" s="41" t="n">
        <x:f>IF(B341="","",SUM(U341:Y341))</x:f>
        <x:v>53</x:v>
      </x:c>
      <x:c r="AA341" s="41" t="str">
        <x:f>IF(Z341="","Not scored",VLOOKUP(Z341,'Score settings'!$A$47:$C$50,2,TRUE))</x:f>
        <x:v>Strong</x:v>
      </x:c>
      <x:c r="AB341" s="41" t="n">
        <x:f>VLOOKUP("Priority|"&amp;O341,'Score settings'!$A$14:$C$43,3,FALSE)/'Score settings'!$B$4*'Score settings'!$D$4</x:f>
        <x:v>15</x:v>
      </x:c>
      <x:c r="AC341" s="41" t="n">
        <x:f>VLOOKUP("Category|"&amp;P341,'Score settings'!$A$14:$C$43,3,FALSE)/'Score settings'!$B$5*'Score settings'!$D$5</x:f>
        <x:v>2.5</x:v>
      </x:c>
      <x:c r="AD341" s="41" t="n">
        <x:f>VLOOKUP("Area|"&amp;Q341,'Score settings'!$A$14:$C$43,3,FALSE)/'Score settings'!$B$6*'Score settings'!$D$6</x:f>
        <x:v>7.333333333333333</x:v>
      </x:c>
      <x:c r="AE341" s="41" t="n">
        <x:f>VLOOKUP("Benefits|"&amp;IF(AND(ISNUMBER(K341),K341&gt;0,ISNUMBER(G341),G341&gt;0),IF(K341/G341&gt;='Score settings'!$E$17,"3plus",IF(K341/G341&gt;='Score settings'!$E$16,"1.5to3",IF(K341/G341&gt;='Score settings'!$E$15,"0.5to1.5","positive"))),"None"),'Score settings'!$A$14:$C$43,3,FALSE)/'Score settings'!$B$7*'Score settings'!$D$7</x:f>
        <x:v>0</x:v>
      </x:c>
      <x:c r="AF341" s="41" t="n">
        <x:f>VLOOKUP("Waste|"&amp;R341,'Score settings'!$A$14:$C$43,3,FALSE)/'Score settings'!$B$8*'Score settings'!$D$8</x:f>
        <x:v>0</x:v>
      </x:c>
      <x:c r="AG341" s="41" t="n">
        <x:f>(IF(AND(ISNUMBER(M341),M341&gt;0,ISNUMBER(G341),G341&gt;0),IF(M341/G341&gt;='Score settings'!$E$17,'Score settings'!$G$17,IF(M341/G341&gt;='Score settings'!$E$16,'Score settings'!$G$16,IF(M341/G341&gt;='Score settings'!$E$15,'Score settings'!$G$15,'Score settings'!$G$14))),0)/15*'Score settings'!$B$60+IFERROR(VLOOKUP(IF(ISNUMBER(N341),N341,IF(ISNUMBER(L341),L341,0)),'Score settings'!$E$22:$F$26,2,FALSE),0)/10*'Score settings'!$B$61)/'Score settings'!$B$9*'Score settings'!$D$9</x:f>
        <x:v>0</x:v>
      </x:c>
      <x:c r="AH341" s="41" t="n">
        <x:f>IF(B341="","",SUM(AB341:AG341))</x:f>
        <x:v>24.833333333333332</x:v>
      </x:c>
      <x:c r="AI341" s="41" t="str">
        <x:f>IF(NOT(ISNUMBER(AH341)),"Not scored",VLOOKUP(AH341,'Score settings'!$A$47:$C$50,3,TRUE))</x:f>
        <x:v>Weak</x:v>
      </x:c>
      <x:c r="AJ341" s="42" t="n">
        <x:f>IF(OR(NOT(ISNUMBER(AH341)),T341&lt;&gt;"Common pot"),"",COUNTIFS($T$4:$T$509,"Common pot",$AH$4:$AH$509,"&gt;"&amp;AH341)+1)</x:f>
        <x:v>269</x:v>
      </x:c>
      <x:c r="AK341" s="36" t="str">
        <x:f>IF(B341="","Name missing - not scored",IF(OR(NOT(ISNUMBER(G341)),G341&lt;=0),"Investment missing or zero - review",IF(0=1,"Permanent ID missing - reconcile",IF(AND(ISNUMBER(H341),H341/G341&gt;='Score settings'!$B$58,NOT(ISNUMBER(I341))),"Benefit units need review",IF(OR(R341="EXIT",R341="CHALLENGE"),"Waste decision requires scope resolution",IF("Organisation differs or ambiguous"&lt;&gt;"Name and organisation matched","Waste evidence match needs review","Provisional source score - confirm evidence"))))))</x:f>
        <x:v>Waste evidence match needs review</x:v>
      </x:c>
      <x:c r="AL341" s="36"/>
      <x:c r="AM341" s="40"/>
      <x:c r="AN341" s="39"/>
      <x:c r="AO341" s="40"/>
      <x:c r="AP341" s="40"/>
    </x:row>
    <x:row r="342" ht="15" hidden="0" customHeight="1">
      <x:c r="A342" s="36" t="str">
        <x:v>EW-13</x:v>
      </x:c>
      <x:c r="B342" s="37" t="str">
        <x:v>HA AI Enablement</x:v>
      </x:c>
      <x:c r="C342" s="36" t="str">
        <x:v>EW</x:v>
      </x:c>
      <x:c r="D342" s="36" t="str">
        <x:v>Information Technology ​</x:v>
      </x:c>
      <x:c r="E342" s="38" t="n">
        <x:v>0.5</x:v>
      </x:c>
      <x:c r="F342" s="39"/>
      <x:c r="G342" s="38" t="n">
        <x:f>IF(ISNUMBER(F342),F342,IF(E342="","",E342))</x:f>
        <x:v>0.5</x:v>
      </x:c>
      <x:c r="H342" s="38"/>
      <x:c r="I342" s="39"/>
      <x:c r="J342" s="36" t="str">
        <x:v>Cash savings</x:v>
      </x:c>
      <x:c r="K342" s="38" t="str">
        <x:f>IF(ISNUMBER(I342),I342,IF(OR(NOT(ISNUMBER(H342)),NOT(ISNUMBER(G342)),G342&lt;=0),"",IF(H342/G342&gt;='Score settings'!$B$58,"",IF(J342="Cash savings",H342,IF(J342="Revenue",H342*'Score settings'!$B$55,"")))))</x:f>
      </x:c>
      <x:c r="L342" s="36"/>
      <x:c r="M342" s="39"/>
      <x:c r="N342" s="40"/>
      <x:c r="O342" s="36" t="str">
        <x:v>Must Do</x:v>
      </x:c>
      <x:c r="P342" s="36" t="str">
        <x:v>AI</x:v>
      </x:c>
      <x:c r="Q342" s="36" t="str">
        <x:v>ProcSimp</x:v>
      </x:c>
      <x:c r="R342" s="36" t="str">
        <x:v>HEALTHY</x:v>
      </x:c>
      <x:c r="S342" s="36" t="str">
        <x:v>YES</x:v>
      </x:c>
      <x:c r="T342" s="36" t="str">
        <x:v>LFR validated candidate</x:v>
      </x:c>
      <x:c r="U342" s="41" t="n">
        <x:f>VLOOKUP("Priority|"&amp;O342,'Score settings'!$A$14:$C$43,2,FALSE)/'Score settings'!$B$4*'Score settings'!$C$4</x:f>
        <x:v>25</x:v>
      </x:c>
      <x:c r="V342" s="41" t="n">
        <x:f>VLOOKUP("Category|"&amp;P342,'Score settings'!$A$14:$C$43,2,FALSE)/'Score settings'!$B$5*'Score settings'!$C$5</x:f>
        <x:v>16</x:v>
      </x:c>
      <x:c r="W342" s="41" t="n">
        <x:f>VLOOKUP("Area|"&amp;Q342,'Score settings'!$A$14:$C$43,2,FALSE)/'Score settings'!$B$6*'Score settings'!$C$6</x:f>
        <x:v>12</x:v>
      </x:c>
      <x:c r="X342" s="41" t="n">
        <x:f>VLOOKUP("Benefits|"&amp;IF(AND(ISNUMBER(H342),H342&gt;0,ISNUMBER(G342),G342&gt;0),IF(H342/G342&gt;='Score settings'!$E$17,"3plus",IF(H342/G342&gt;='Score settings'!$E$16,"1.5to3",IF(H342/G342&gt;='Score settings'!$E$15,"0.5to1.5","positive"))),"None"),'Score settings'!$A$14:$C$43,2,FALSE)/'Score settings'!$B$7*'Score settings'!$C$7</x:f>
        <x:v>5</x:v>
      </x:c>
      <x:c r="Y342" s="41" t="n">
        <x:f>VLOOKUP("Waste|"&amp;R342,'Score settings'!$A$14:$C$43,2,FALSE)/'Score settings'!$B$8*'Score settings'!$C$8</x:f>
        <x:v>15</x:v>
      </x:c>
      <x:c r="Z342" s="41" t="n">
        <x:f>IF(B342="","",SUM(U342:Y342))</x:f>
        <x:v>73</x:v>
      </x:c>
      <x:c r="AA342" s="41" t="str">
        <x:f>IF(Z342="","Not scored",VLOOKUP(Z342,'Score settings'!$A$47:$C$50,2,TRUE))</x:f>
        <x:v>Protected</x:v>
      </x:c>
      <x:c r="AB342" s="41" t="n">
        <x:f>VLOOKUP("Priority|"&amp;O342,'Score settings'!$A$14:$C$43,3,FALSE)/'Score settings'!$B$4*'Score settings'!$D$4</x:f>
        <x:v>15</x:v>
      </x:c>
      <x:c r="AC342" s="41" t="n">
        <x:f>VLOOKUP("Category|"&amp;P342,'Score settings'!$A$14:$C$43,3,FALSE)/'Score settings'!$B$5*'Score settings'!$D$5</x:f>
        <x:v>8</x:v>
      </x:c>
      <x:c r="AD342" s="41" t="n">
        <x:f>VLOOKUP("Area|"&amp;Q342,'Score settings'!$A$14:$C$43,3,FALSE)/'Score settings'!$B$6*'Score settings'!$D$6</x:f>
        <x:v>8</x:v>
      </x:c>
      <x:c r="AE342" s="41" t="n">
        <x:f>VLOOKUP("Benefits|"&amp;IF(AND(ISNUMBER(K342),K342&gt;0,ISNUMBER(G342),G342&gt;0),IF(K342/G342&gt;='Score settings'!$E$17,"3plus",IF(K342/G342&gt;='Score settings'!$E$16,"1.5to3",IF(K342/G342&gt;='Score settings'!$E$15,"0.5to1.5","positive"))),"None"),'Score settings'!$A$14:$C$43,3,FALSE)/'Score settings'!$B$7*'Score settings'!$D$7</x:f>
        <x:v>0</x:v>
      </x:c>
      <x:c r="AF342" s="41" t="n">
        <x:f>VLOOKUP("Waste|"&amp;R342,'Score settings'!$A$14:$C$43,3,FALSE)/'Score settings'!$B$8*'Score settings'!$D$8</x:f>
        <x:v>10</x:v>
      </x:c>
      <x:c r="AG342" s="41" t="n">
        <x:f>(IF(AND(ISNUMBER(M342),M342&gt;0,ISNUMBER(G342),G342&gt;0),IF(M342/G342&gt;='Score settings'!$E$17,'Score settings'!$G$17,IF(M342/G342&gt;='Score settings'!$E$16,'Score settings'!$G$16,IF(M342/G342&gt;='Score settings'!$E$15,'Score settings'!$G$15,'Score settings'!$G$14))),0)/15*'Score settings'!$B$60+IFERROR(VLOOKUP(IF(ISNUMBER(N342),N342,IF(ISNUMBER(L342),L342,0)),'Score settings'!$E$22:$F$26,2,FALSE),0)/10*'Score settings'!$B$61)/'Score settings'!$B$9*'Score settings'!$D$9</x:f>
        <x:v>0</x:v>
      </x:c>
      <x:c r="AH342" s="41" t="n">
        <x:f>IF(B342="","",SUM(AB342:AG342))</x:f>
        <x:v>41</x:v>
      </x:c>
      <x:c r="AI342" s="41" t="str">
        <x:f>IF(NOT(ISNUMBER(AH342)),"Not scored",VLOOKUP(AH342,'Score settings'!$A$47:$C$50,3,TRUE))</x:f>
        <x:v>Discretionary</x:v>
      </x:c>
      <x:c r="AJ342" s="42" t="str">
        <x:f>IF(OR(NOT(ISNUMBER(AH342)),T342&lt;&gt;"Common pot"),"",COUNTIFS($T$4:$T$509,"Common pot",$AH$4:$AH$509,"&gt;"&amp;AH342)+1)</x:f>
      </x:c>
      <x:c r="AK342" s="36" t="str">
        <x:f>IF(B342="","Name missing - not scored",IF(OR(NOT(ISNUMBER(G342)),G342&lt;=0),"Investment missing or zero - review",IF(0=1,"Permanent ID missing - reconcile",IF(AND(ISNUMBER(H342),H342/G342&gt;='Score settings'!$B$58,NOT(ISNUMBER(I342))),"Benefit units need review",IF(OR(R342="EXIT",R342="CHALLENGE"),"Waste decision requires scope resolution",IF("Name and organisation matched"&lt;&gt;"Name and organisation matched","Waste evidence match needs review","Provisional source score - confirm evidence"))))))</x:f>
        <x:v>Provisional source score - confirm evidence</x:v>
      </x:c>
      <x:c r="AL342" s="36"/>
      <x:c r="AM342" s="40"/>
      <x:c r="AN342" s="39"/>
      <x:c r="AO342" s="40"/>
      <x:c r="AP342" s="40"/>
    </x:row>
    <x:row r="343" ht="15" hidden="0" customHeight="1">
      <x:c r="A343" s="36" t="str">
        <x:v>EW-14</x:v>
      </x:c>
      <x:c r="B343" s="37" t="str">
        <x:v>PSQ E2E Product Data Lineage Model</x:v>
      </x:c>
      <x:c r="C343" s="36" t="str">
        <x:v>EW</x:v>
      </x:c>
      <x:c r="D343" s="36" t="str">
        <x:v>Patient Safety &amp; Quality</x:v>
      </x:c>
      <x:c r="E343" s="38" t="n">
        <x:v>0.25</x:v>
      </x:c>
      <x:c r="F343" s="39"/>
      <x:c r="G343" s="38" t="n">
        <x:f>IF(ISNUMBER(F343),F343,IF(E343="","",E343))</x:f>
        <x:v>0.25</x:v>
      </x:c>
      <x:c r="H343" s="38"/>
      <x:c r="I343" s="39"/>
      <x:c r="J343" s="36" t="str">
        <x:v>Cash savings</x:v>
      </x:c>
      <x:c r="K343" s="38" t="str">
        <x:f>IF(ISNUMBER(I343),I343,IF(OR(NOT(ISNUMBER(H343)),NOT(ISNUMBER(G343)),G343&lt;=0),"",IF(H343/G343&gt;='Score settings'!$B$58,"",IF(J343="Cash savings",H343,IF(J343="Revenue",H343*'Score settings'!$B$55,"")))))</x:f>
      </x:c>
      <x:c r="L343" s="36"/>
      <x:c r="M343" s="39"/>
      <x:c r="N343" s="40"/>
      <x:c r="O343" s="36" t="str">
        <x:v>Must Do</x:v>
      </x:c>
      <x:c r="P343" s="36" t="str">
        <x:v>AI</x:v>
      </x:c>
      <x:c r="Q343" s="36" t="str">
        <x:v>Productivity</x:v>
      </x:c>
      <x:c r="R343" s="36" t="str">
        <x:v>NotAssessed</x:v>
      </x:c>
      <x:c r="S343" s="36" t="str"/>
      <x:c r="T343" s="36" t="str">
        <x:v>Common pot</x:v>
      </x:c>
      <x:c r="U343" s="41" t="n">
        <x:f>VLOOKUP("Priority|"&amp;O343,'Score settings'!$A$14:$C$43,2,FALSE)/'Score settings'!$B$4*'Score settings'!$C$4</x:f>
        <x:v>25</x:v>
      </x:c>
      <x:c r="V343" s="41" t="n">
        <x:f>VLOOKUP("Category|"&amp;P343,'Score settings'!$A$14:$C$43,2,FALSE)/'Score settings'!$B$5*'Score settings'!$C$5</x:f>
        <x:v>16</x:v>
      </x:c>
      <x:c r="W343" s="41" t="n">
        <x:f>VLOOKUP("Area|"&amp;Q343,'Score settings'!$A$14:$C$43,2,FALSE)/'Score settings'!$B$6*'Score settings'!$C$6</x:f>
        <x:v>10</x:v>
      </x:c>
      <x:c r="X343" s="41" t="n">
        <x:f>VLOOKUP("Benefits|"&amp;IF(AND(ISNUMBER(H343),H343&gt;0,ISNUMBER(G343),G343&gt;0),IF(H343/G343&gt;='Score settings'!$E$17,"3plus",IF(H343/G343&gt;='Score settings'!$E$16,"1.5to3",IF(H343/G343&gt;='Score settings'!$E$15,"0.5to1.5","positive"))),"None"),'Score settings'!$A$14:$C$43,2,FALSE)/'Score settings'!$B$7*'Score settings'!$C$7</x:f>
        <x:v>5</x:v>
      </x:c>
      <x:c r="Y343" s="41" t="n">
        <x:f>VLOOKUP("Waste|"&amp;R343,'Score settings'!$A$14:$C$43,2,FALSE)/'Score settings'!$B$8*'Score settings'!$C$8</x:f>
        <x:v>7</x:v>
      </x:c>
      <x:c r="Z343" s="41" t="n">
        <x:f>IF(B343="","",SUM(U343:Y343))</x:f>
        <x:v>63</x:v>
      </x:c>
      <x:c r="AA343" s="41" t="str">
        <x:f>IF(Z343="","Not scored",VLOOKUP(Z343,'Score settings'!$A$47:$C$50,2,TRUE))</x:f>
        <x:v>Strong</x:v>
      </x:c>
      <x:c r="AB343" s="41" t="n">
        <x:f>VLOOKUP("Priority|"&amp;O343,'Score settings'!$A$14:$C$43,3,FALSE)/'Score settings'!$B$4*'Score settings'!$D$4</x:f>
        <x:v>15</x:v>
      </x:c>
      <x:c r="AC343" s="41" t="n">
        <x:f>VLOOKUP("Category|"&amp;P343,'Score settings'!$A$14:$C$43,3,FALSE)/'Score settings'!$B$5*'Score settings'!$D$5</x:f>
        <x:v>8</x:v>
      </x:c>
      <x:c r="AD343" s="41" t="n">
        <x:f>VLOOKUP("Area|"&amp;Q343,'Score settings'!$A$14:$C$43,3,FALSE)/'Score settings'!$B$6*'Score settings'!$D$6</x:f>
        <x:v>6.666666666666666</x:v>
      </x:c>
      <x:c r="AE343" s="41" t="n">
        <x:f>VLOOKUP("Benefits|"&amp;IF(AND(ISNUMBER(K343),K343&gt;0,ISNUMBER(G343),G343&gt;0),IF(K343/G343&gt;='Score settings'!$E$17,"3plus",IF(K343/G343&gt;='Score settings'!$E$16,"1.5to3",IF(K343/G343&gt;='Score settings'!$E$15,"0.5to1.5","positive"))),"None"),'Score settings'!$A$14:$C$43,3,FALSE)/'Score settings'!$B$7*'Score settings'!$D$7</x:f>
        <x:v>0</x:v>
      </x:c>
      <x:c r="AF343" s="41" t="n">
        <x:f>VLOOKUP("Waste|"&amp;R343,'Score settings'!$A$14:$C$43,3,FALSE)/'Score settings'!$B$8*'Score settings'!$D$8</x:f>
        <x:v>0</x:v>
      </x:c>
      <x:c r="AG343" s="41" t="n">
        <x:f>(IF(AND(ISNUMBER(M343),M343&gt;0,ISNUMBER(G343),G343&gt;0),IF(M343/G343&gt;='Score settings'!$E$17,'Score settings'!$G$17,IF(M343/G343&gt;='Score settings'!$E$16,'Score settings'!$G$16,IF(M343/G343&gt;='Score settings'!$E$15,'Score settings'!$G$15,'Score settings'!$G$14))),0)/15*'Score settings'!$B$60+IFERROR(VLOOKUP(IF(ISNUMBER(N343),N343,IF(ISNUMBER(L343),L343,0)),'Score settings'!$E$22:$F$26,2,FALSE),0)/10*'Score settings'!$B$61)/'Score settings'!$B$9*'Score settings'!$D$9</x:f>
        <x:v>0</x:v>
      </x:c>
      <x:c r="AH343" s="41" t="n">
        <x:f>IF(B343="","",SUM(AB343:AG343))</x:f>
        <x:v>29.666666666666664</x:v>
      </x:c>
      <x:c r="AI343" s="41" t="str">
        <x:f>IF(NOT(ISNUMBER(AH343)),"Not scored",VLOOKUP(AH343,'Score settings'!$A$47:$C$50,3,TRUE))</x:f>
        <x:v>Discretionary</x:v>
      </x:c>
      <x:c r="AJ343" s="42" t="n">
        <x:f>IF(OR(NOT(ISNUMBER(AH343)),T343&lt;&gt;"Common pot"),"",COUNTIFS($T$4:$T$509,"Common pot",$AH$4:$AH$509,"&gt;"&amp;AH343)+1)</x:f>
        <x:v>189</x:v>
      </x:c>
      <x:c r="AK343" s="36" t="str">
        <x:f>IF(B343="","Name missing - not scored",IF(OR(NOT(ISNUMBER(G343)),G343&lt;=0),"Investment missing or zero - review",IF(0=1,"Permanent ID missing - reconcile",IF(AND(ISNUMBER(H343),H343/G343&gt;='Score settings'!$B$58,NOT(ISNUMBER(I343))),"Benefit units need review",IF(OR(R343="EXIT",R343="CHALLENGE"),"Waste decision requires scope resolution",IF("Organisation differs or ambiguous"&lt;&gt;"Name and organisation matched","Waste evidence match needs review","Provisional source score - confirm evidence"))))))</x:f>
        <x:v>Waste evidence match needs review</x:v>
      </x:c>
      <x:c r="AL343" s="36"/>
      <x:c r="AM343" s="40"/>
      <x:c r="AN343" s="39"/>
      <x:c r="AO343" s="40"/>
      <x:c r="AP343" s="40"/>
    </x:row>
    <x:row r="344" ht="15" hidden="0" customHeight="1">
      <x:c r="A344" s="36" t="str">
        <x:v>EW-15</x:v>
      </x:c>
      <x:c r="B344" s="37" t="str">
        <x:v>Next Gen CH</x:v>
      </x:c>
      <x:c r="C344" s="36" t="str">
        <x:v>EW</x:v>
      </x:c>
      <x:c r="D344" s="36" t="str">
        <x:v>Patient Safety &amp; Quality</x:v>
      </x:c>
      <x:c r="E344" s="38" t="n">
        <x:v>2.7</x:v>
      </x:c>
      <x:c r="F344" s="39"/>
      <x:c r="G344" s="38" t="n">
        <x:f>IF(ISNUMBER(F344),F344,IF(E344="","",E344))</x:f>
        <x:v>2.7</x:v>
      </x:c>
      <x:c r="H344" s="38" t="n">
        <x:v>3.46</x:v>
      </x:c>
      <x:c r="I344" s="39"/>
      <x:c r="J344" s="36" t="str">
        <x:v>Cash savings</x:v>
      </x:c>
      <x:c r="K344" s="38" t="n">
        <x:f>IF(ISNUMBER(I344),I344,IF(OR(NOT(ISNUMBER(H344)),NOT(ISNUMBER(G344)),G344&lt;=0),"",IF(H344/G344&gt;='Score settings'!$B$58,"",IF(J344="Cash savings",H344,IF(J344="Revenue",H344*'Score settings'!$B$55,"")))))</x:f>
        <x:v>3.46</x:v>
      </x:c>
      <x:c r="L344" s="36"/>
      <x:c r="M344" s="39"/>
      <x:c r="N344" s="40"/>
      <x:c r="O344" s="36" t="str">
        <x:v>Must Do</x:v>
      </x:c>
      <x:c r="P344" s="36" t="str">
        <x:v>Decomm</x:v>
      </x:c>
      <x:c r="Q344" s="36" t="str">
        <x:v>Productivity</x:v>
      </x:c>
      <x:c r="R344" s="36" t="str">
        <x:v>HEALTHY</x:v>
      </x:c>
      <x:c r="S344" s="36" t="str"/>
      <x:c r="T344" s="36" t="str">
        <x:v>Common pot</x:v>
      </x:c>
      <x:c r="U344" s="41" t="n">
        <x:f>VLOOKUP("Priority|"&amp;O344,'Score settings'!$A$14:$C$43,2,FALSE)/'Score settings'!$B$4*'Score settings'!$C$4</x:f>
        <x:v>25</x:v>
      </x:c>
      <x:c r="V344" s="41" t="n">
        <x:f>VLOOKUP("Category|"&amp;P344,'Score settings'!$A$14:$C$43,2,FALSE)/'Score settings'!$B$5*'Score settings'!$C$5</x:f>
        <x:v>17</x:v>
      </x:c>
      <x:c r="W344" s="41" t="n">
        <x:f>VLOOKUP("Area|"&amp;Q344,'Score settings'!$A$14:$C$43,2,FALSE)/'Score settings'!$B$6*'Score settings'!$C$6</x:f>
        <x:v>10</x:v>
      </x:c>
      <x:c r="X344" s="41" t="n">
        <x:f>VLOOKUP("Benefits|"&amp;IF(AND(ISNUMBER(H344),H344&gt;0,ISNUMBER(G344),G344&gt;0),IF(H344/G344&gt;='Score settings'!$E$17,"3plus",IF(H344/G344&gt;='Score settings'!$E$16,"1.5to3",IF(H344/G344&gt;='Score settings'!$E$15,"0.5to1.5","positive"))),"None"),'Score settings'!$A$14:$C$43,2,FALSE)/'Score settings'!$B$7*'Score settings'!$C$7</x:f>
        <x:v>15</x:v>
      </x:c>
      <x:c r="Y344" s="41" t="n">
        <x:f>VLOOKUP("Waste|"&amp;R344,'Score settings'!$A$14:$C$43,2,FALSE)/'Score settings'!$B$8*'Score settings'!$C$8</x:f>
        <x:v>15</x:v>
      </x:c>
      <x:c r="Z344" s="41" t="n">
        <x:f>IF(B344="","",SUM(U344:Y344))</x:f>
        <x:v>82</x:v>
      </x:c>
      <x:c r="AA344" s="41" t="str">
        <x:f>IF(Z344="","Not scored",VLOOKUP(Z344,'Score settings'!$A$47:$C$50,2,TRUE))</x:f>
        <x:v>Protected</x:v>
      </x:c>
      <x:c r="AB344" s="41" t="n">
        <x:f>VLOOKUP("Priority|"&amp;O344,'Score settings'!$A$14:$C$43,3,FALSE)/'Score settings'!$B$4*'Score settings'!$D$4</x:f>
        <x:v>15</x:v>
      </x:c>
      <x:c r="AC344" s="41" t="n">
        <x:f>VLOOKUP("Category|"&amp;P344,'Score settings'!$A$14:$C$43,3,FALSE)/'Score settings'!$B$5*'Score settings'!$D$5</x:f>
        <x:v>8.5</x:v>
      </x:c>
      <x:c r="AD344" s="41" t="n">
        <x:f>VLOOKUP("Area|"&amp;Q344,'Score settings'!$A$14:$C$43,3,FALSE)/'Score settings'!$B$6*'Score settings'!$D$6</x:f>
        <x:v>6.666666666666666</x:v>
      </x:c>
      <x:c r="AE344" s="41" t="n">
        <x:f>VLOOKUP("Benefits|"&amp;IF(AND(ISNUMBER(K344),K344&gt;0,ISNUMBER(G344),G344&gt;0),IF(K344/G344&gt;='Score settings'!$E$17,"3plus",IF(K344/G344&gt;='Score settings'!$E$16,"1.5to3",IF(K344/G344&gt;='Score settings'!$E$15,"0.5to1.5","positive"))),"None"),'Score settings'!$A$14:$C$43,3,FALSE)/'Score settings'!$B$7*'Score settings'!$D$7</x:f>
        <x:v>18</x:v>
      </x:c>
      <x:c r="AF344" s="41" t="n">
        <x:f>VLOOKUP("Waste|"&amp;R344,'Score settings'!$A$14:$C$43,3,FALSE)/'Score settings'!$B$8*'Score settings'!$D$8</x:f>
        <x:v>10</x:v>
      </x:c>
      <x:c r="AG344" s="41" t="n">
        <x:f>(IF(AND(ISNUMBER(M344),M344&gt;0,ISNUMBER(G344),G344&gt;0),IF(M344/G344&gt;='Score settings'!$E$17,'Score settings'!$G$17,IF(M344/G344&gt;='Score settings'!$E$16,'Score settings'!$G$16,IF(M344/G344&gt;='Score settings'!$E$15,'Score settings'!$G$15,'Score settings'!$G$14))),0)/15*'Score settings'!$B$60+IFERROR(VLOOKUP(IF(ISNUMBER(N344),N344,IF(ISNUMBER(L344),L344,0)),'Score settings'!$E$22:$F$26,2,FALSE),0)/10*'Score settings'!$B$61)/'Score settings'!$B$9*'Score settings'!$D$9</x:f>
        <x:v>0</x:v>
      </x:c>
      <x:c r="AH344" s="41" t="n">
        <x:f>IF(B344="","",SUM(AB344:AG344))</x:f>
        <x:v>58.166666666666664</x:v>
      </x:c>
      <x:c r="AI344" s="41" t="str">
        <x:f>IF(NOT(ISNUMBER(AH344)),"Not scored",VLOOKUP(AH344,'Score settings'!$A$47:$C$50,3,TRUE))</x:f>
        <x:v>Strong</x:v>
      </x:c>
      <x:c r="AJ344" s="42" t="n">
        <x:f>IF(OR(NOT(ISNUMBER(AH344)),T344&lt;&gt;"Common pot"),"",COUNTIFS($T$4:$T$509,"Common pot",$AH$4:$AH$509,"&gt;"&amp;AH344)+1)</x:f>
        <x:v>22</x:v>
      </x:c>
      <x:c r="AK344" s="36" t="str">
        <x:f>IF(B344="","Name missing - not scored",IF(OR(NOT(ISNUMBER(G344)),G344&lt;=0),"Investment missing or zero - review",IF(0=1,"Permanent ID missing - reconcile",IF(AND(ISNUMBER(H344),H344/G344&gt;='Score settings'!$B$58,NOT(ISNUMBER(I344))),"Benefit units need review",IF(OR(R344="EXIT",R344="CHALLENGE"),"Waste decision requires scope resolution",IF("Name and organisation matched"&lt;&gt;"Name and organisation matched","Waste evidence match needs review","Provisional source score - confirm evidence"))))))</x:f>
        <x:v>Provisional source score - confirm evidence</x:v>
      </x:c>
      <x:c r="AL344" s="36"/>
      <x:c r="AM344" s="40"/>
      <x:c r="AN344" s="39"/>
      <x:c r="AO344" s="40"/>
      <x:c r="AP344" s="40"/>
    </x:row>
    <x:row r="345" ht="15" hidden="0" customHeight="1">
      <x:c r="A345" s="36" t="str">
        <x:v>EW-16</x:v>
      </x:c>
      <x:c r="B345" s="37" t="str">
        <x:v>Document control with Ai capabilities (ARIS replacement)</x:v>
      </x:c>
      <x:c r="C345" s="36" t="str">
        <x:v>EW</x:v>
      </x:c>
      <x:c r="D345" s="36" t="str">
        <x:v>Patient Safety &amp; Quality</x:v>
      </x:c>
      <x:c r="E345" s="38" t="n">
        <x:v>0.8</x:v>
      </x:c>
      <x:c r="F345" s="39"/>
      <x:c r="G345" s="38" t="n">
        <x:f>IF(ISNUMBER(F345),F345,IF(E345="","",E345))</x:f>
        <x:v>0.8</x:v>
      </x:c>
      <x:c r="H345" s="38"/>
      <x:c r="I345" s="39"/>
      <x:c r="J345" s="36" t="str">
        <x:v>Cash savings</x:v>
      </x:c>
      <x:c r="K345" s="38" t="str">
        <x:f>IF(ISNUMBER(I345),I345,IF(OR(NOT(ISNUMBER(H345)),NOT(ISNUMBER(G345)),G345&lt;=0),"",IF(H345/G345&gt;='Score settings'!$B$58,"",IF(J345="Cash savings",H345,IF(J345="Revenue",H345*'Score settings'!$B$55,"")))))</x:f>
      </x:c>
      <x:c r="L345" s="36"/>
      <x:c r="M345" s="39"/>
      <x:c r="N345" s="40"/>
      <x:c r="O345" s="36" t="str">
        <x:v>Must Do</x:v>
      </x:c>
      <x:c r="P345" s="36" t="str">
        <x:v>Decomm</x:v>
      </x:c>
      <x:c r="Q345" s="36" t="str">
        <x:v>ProcSimp</x:v>
      </x:c>
      <x:c r="R345" s="36" t="str">
        <x:v>HEALTHY</x:v>
      </x:c>
      <x:c r="S345" s="36" t="str"/>
      <x:c r="T345" s="36" t="str">
        <x:v>Common pot</x:v>
      </x:c>
      <x:c r="U345" s="41" t="n">
        <x:f>VLOOKUP("Priority|"&amp;O345,'Score settings'!$A$14:$C$43,2,FALSE)/'Score settings'!$B$4*'Score settings'!$C$4</x:f>
        <x:v>25</x:v>
      </x:c>
      <x:c r="V345" s="41" t="n">
        <x:f>VLOOKUP("Category|"&amp;P345,'Score settings'!$A$14:$C$43,2,FALSE)/'Score settings'!$B$5*'Score settings'!$C$5</x:f>
        <x:v>17</x:v>
      </x:c>
      <x:c r="W345" s="41" t="n">
        <x:f>VLOOKUP("Area|"&amp;Q345,'Score settings'!$A$14:$C$43,2,FALSE)/'Score settings'!$B$6*'Score settings'!$C$6</x:f>
        <x:v>12</x:v>
      </x:c>
      <x:c r="X345" s="41" t="n">
        <x:f>VLOOKUP("Benefits|"&amp;IF(AND(ISNUMBER(H345),H345&gt;0,ISNUMBER(G345),G345&gt;0),IF(H345/G345&gt;='Score settings'!$E$17,"3plus",IF(H345/G345&gt;='Score settings'!$E$16,"1.5to3",IF(H345/G345&gt;='Score settings'!$E$15,"0.5to1.5","positive"))),"None"),'Score settings'!$A$14:$C$43,2,FALSE)/'Score settings'!$B$7*'Score settings'!$C$7</x:f>
        <x:v>5</x:v>
      </x:c>
      <x:c r="Y345" s="41" t="n">
        <x:f>VLOOKUP("Waste|"&amp;R345,'Score settings'!$A$14:$C$43,2,FALSE)/'Score settings'!$B$8*'Score settings'!$C$8</x:f>
        <x:v>15</x:v>
      </x:c>
      <x:c r="Z345" s="41" t="n">
        <x:f>IF(B345="","",SUM(U345:Y345))</x:f>
        <x:v>74</x:v>
      </x:c>
      <x:c r="AA345" s="41" t="str">
        <x:f>IF(Z345="","Not scored",VLOOKUP(Z345,'Score settings'!$A$47:$C$50,2,TRUE))</x:f>
        <x:v>Protected</x:v>
      </x:c>
      <x:c r="AB345" s="41" t="n">
        <x:f>VLOOKUP("Priority|"&amp;O345,'Score settings'!$A$14:$C$43,3,FALSE)/'Score settings'!$B$4*'Score settings'!$D$4</x:f>
        <x:v>15</x:v>
      </x:c>
      <x:c r="AC345" s="41" t="n">
        <x:f>VLOOKUP("Category|"&amp;P345,'Score settings'!$A$14:$C$43,3,FALSE)/'Score settings'!$B$5*'Score settings'!$D$5</x:f>
        <x:v>8.5</x:v>
      </x:c>
      <x:c r="AD345" s="41" t="n">
        <x:f>VLOOKUP("Area|"&amp;Q345,'Score settings'!$A$14:$C$43,3,FALSE)/'Score settings'!$B$6*'Score settings'!$D$6</x:f>
        <x:v>8</x:v>
      </x:c>
      <x:c r="AE345" s="41" t="n">
        <x:f>VLOOKUP("Benefits|"&amp;IF(AND(ISNUMBER(K345),K345&gt;0,ISNUMBER(G345),G345&gt;0),IF(K345/G345&gt;='Score settings'!$E$17,"3plus",IF(K345/G345&gt;='Score settings'!$E$16,"1.5to3",IF(K345/G345&gt;='Score settings'!$E$15,"0.5to1.5","positive"))),"None"),'Score settings'!$A$14:$C$43,3,FALSE)/'Score settings'!$B$7*'Score settings'!$D$7</x:f>
        <x:v>0</x:v>
      </x:c>
      <x:c r="AF345" s="41" t="n">
        <x:f>VLOOKUP("Waste|"&amp;R345,'Score settings'!$A$14:$C$43,3,FALSE)/'Score settings'!$B$8*'Score settings'!$D$8</x:f>
        <x:v>10</x:v>
      </x:c>
      <x:c r="AG345" s="41" t="n">
        <x:f>(IF(AND(ISNUMBER(M345),M345&gt;0,ISNUMBER(G345),G345&gt;0),IF(M345/G345&gt;='Score settings'!$E$17,'Score settings'!$G$17,IF(M345/G345&gt;='Score settings'!$E$16,'Score settings'!$G$16,IF(M345/G345&gt;='Score settings'!$E$15,'Score settings'!$G$15,'Score settings'!$G$14))),0)/15*'Score settings'!$B$60+IFERROR(VLOOKUP(IF(ISNUMBER(N345),N345,IF(ISNUMBER(L345),L345,0)),'Score settings'!$E$22:$F$26,2,FALSE),0)/10*'Score settings'!$B$61)/'Score settings'!$B$9*'Score settings'!$D$9</x:f>
        <x:v>0</x:v>
      </x:c>
      <x:c r="AH345" s="41" t="n">
        <x:f>IF(B345="","",SUM(AB345:AG345))</x:f>
        <x:v>41.5</x:v>
      </x:c>
      <x:c r="AI345" s="41" t="str">
        <x:f>IF(NOT(ISNUMBER(AH345)),"Not scored",VLOOKUP(AH345,'Score settings'!$A$47:$C$50,3,TRUE))</x:f>
        <x:v>Discretionary</x:v>
      </x:c>
      <x:c r="AJ345" s="42" t="n">
        <x:f>IF(OR(NOT(ISNUMBER(AH345)),T345&lt;&gt;"Common pot"),"",COUNTIFS($T$4:$T$509,"Common pot",$AH$4:$AH$509,"&gt;"&amp;AH345)+1)</x:f>
        <x:v>88</x:v>
      </x:c>
      <x:c r="AK345" s="36" t="str">
        <x:f>IF(B345="","Name missing - not scored",IF(OR(NOT(ISNUMBER(G345)),G345&lt;=0),"Investment missing or zero - review",IF(0=1,"Permanent ID missing - reconcile",IF(AND(ISNUMBER(H345),H345/G345&gt;='Score settings'!$B$58,NOT(ISNUMBER(I345))),"Benefit units need review",IF(OR(R345="EXIT",R345="CHALLENGE"),"Waste decision requires scope resolution",IF("Name and organisation matched"&lt;&gt;"Name and organisation matched","Waste evidence match needs review","Provisional source score - confirm evidence"))))))</x:f>
        <x:v>Provisional source score - confirm evidence</x:v>
      </x:c>
      <x:c r="AL345" s="36"/>
      <x:c r="AM345" s="40"/>
      <x:c r="AN345" s="39"/>
      <x:c r="AO345" s="40"/>
      <x:c r="AP345" s="40"/>
    </x:row>
    <x:row r="346" ht="15" hidden="0" customHeight="1">
      <x:c r="A346" s="36" t="str">
        <x:v>EW-17</x:v>
      </x:c>
      <x:c r="B346" s="37" t="str">
        <x:v>AI Prioritization Funnel budget</x:v>
      </x:c>
      <x:c r="C346" s="36" t="str">
        <x:v>EW</x:v>
      </x:c>
      <x:c r="D346" s="36" t="str">
        <x:v>Patient Safety &amp; Quality</x:v>
      </x:c>
      <x:c r="E346" s="38" t="n">
        <x:v>0.5</x:v>
      </x:c>
      <x:c r="F346" s="39"/>
      <x:c r="G346" s="38" t="n">
        <x:f>IF(ISNUMBER(F346),F346,IF(E346="","",E346))</x:f>
        <x:v>0.5</x:v>
      </x:c>
      <x:c r="H346" s="38"/>
      <x:c r="I346" s="39"/>
      <x:c r="J346" s="36" t="str">
        <x:v>Risk exposure</x:v>
      </x:c>
      <x:c r="K346" s="38" t="str">
        <x:f>IF(ISNUMBER(I346),I346,IF(OR(NOT(ISNUMBER(H346)),NOT(ISNUMBER(G346)),G346&lt;=0),"",IF(H346/G346&gt;='Score settings'!$B$58,"",IF(J346="Cash savings",H346,IF(J346="Revenue",H346*'Score settings'!$B$55,"")))))</x:f>
      </x:c>
      <x:c r="L346" s="36"/>
      <x:c r="M346" s="39"/>
      <x:c r="N346" s="40"/>
      <x:c r="O346" s="36" t="str">
        <x:v>Must Do</x:v>
      </x:c>
      <x:c r="P346" s="36" t="str">
        <x:v>AI</x:v>
      </x:c>
      <x:c r="Q346" s="36" t="str">
        <x:v>Compliance</x:v>
      </x:c>
      <x:c r="R346" s="36" t="str">
        <x:v>NotAssessed</x:v>
      </x:c>
      <x:c r="S346" s="36" t="str"/>
      <x:c r="T346" s="36" t="str">
        <x:v>Common pot</x:v>
      </x:c>
      <x:c r="U346" s="41" t="n">
        <x:f>VLOOKUP("Priority|"&amp;O346,'Score settings'!$A$14:$C$43,2,FALSE)/'Score settings'!$B$4*'Score settings'!$C$4</x:f>
        <x:v>25</x:v>
      </x:c>
      <x:c r="V346" s="41" t="n">
        <x:f>VLOOKUP("Category|"&amp;P346,'Score settings'!$A$14:$C$43,2,FALSE)/'Score settings'!$B$5*'Score settings'!$C$5</x:f>
        <x:v>16</x:v>
      </x:c>
      <x:c r="W346" s="41" t="n">
        <x:f>VLOOKUP("Area|"&amp;Q346,'Score settings'!$A$14:$C$43,2,FALSE)/'Score settings'!$B$6*'Score settings'!$C$6</x:f>
        <x:v>15</x:v>
      </x:c>
      <x:c r="X346" s="41" t="n">
        <x:f>VLOOKUP("Benefits|"&amp;IF(AND(ISNUMBER(H346),H346&gt;0,ISNUMBER(G346),G346&gt;0),IF(H346/G346&gt;='Score settings'!$E$17,"3plus",IF(H346/G346&gt;='Score settings'!$E$16,"1.5to3",IF(H346/G346&gt;='Score settings'!$E$15,"0.5to1.5","positive"))),"None"),'Score settings'!$A$14:$C$43,2,FALSE)/'Score settings'!$B$7*'Score settings'!$C$7</x:f>
        <x:v>5</x:v>
      </x:c>
      <x:c r="Y346" s="41" t="n">
        <x:f>VLOOKUP("Waste|"&amp;R346,'Score settings'!$A$14:$C$43,2,FALSE)/'Score settings'!$B$8*'Score settings'!$C$8</x:f>
        <x:v>7</x:v>
      </x:c>
      <x:c r="Z346" s="41" t="n">
        <x:f>IF(B346="","",SUM(U346:Y346))</x:f>
        <x:v>68</x:v>
      </x:c>
      <x:c r="AA346" s="41" t="str">
        <x:f>IF(Z346="","Not scored",VLOOKUP(Z346,'Score settings'!$A$47:$C$50,2,TRUE))</x:f>
        <x:v>Protected</x:v>
      </x:c>
      <x:c r="AB346" s="41" t="n">
        <x:f>VLOOKUP("Priority|"&amp;O346,'Score settings'!$A$14:$C$43,3,FALSE)/'Score settings'!$B$4*'Score settings'!$D$4</x:f>
        <x:v>15</x:v>
      </x:c>
      <x:c r="AC346" s="41" t="n">
        <x:f>VLOOKUP("Category|"&amp;P346,'Score settings'!$A$14:$C$43,3,FALSE)/'Score settings'!$B$5*'Score settings'!$D$5</x:f>
        <x:v>8</x:v>
      </x:c>
      <x:c r="AD346" s="41" t="n">
        <x:f>VLOOKUP("Area|"&amp;Q346,'Score settings'!$A$14:$C$43,3,FALSE)/'Score settings'!$B$6*'Score settings'!$D$6</x:f>
        <x:v>10</x:v>
      </x:c>
      <x:c r="AE346" s="41" t="n">
        <x:f>VLOOKUP("Benefits|"&amp;IF(AND(ISNUMBER(K346),K346&gt;0,ISNUMBER(G346),G346&gt;0),IF(K346/G346&gt;='Score settings'!$E$17,"3plus",IF(K346/G346&gt;='Score settings'!$E$16,"1.5to3",IF(K346/G346&gt;='Score settings'!$E$15,"0.5to1.5","positive"))),"None"),'Score settings'!$A$14:$C$43,3,FALSE)/'Score settings'!$B$7*'Score settings'!$D$7</x:f>
        <x:v>0</x:v>
      </x:c>
      <x:c r="AF346" s="41" t="n">
        <x:f>VLOOKUP("Waste|"&amp;R346,'Score settings'!$A$14:$C$43,3,FALSE)/'Score settings'!$B$8*'Score settings'!$D$8</x:f>
        <x:v>0</x:v>
      </x:c>
      <x:c r="AG346" s="41" t="n">
        <x:f>(IF(AND(ISNUMBER(M346),M346&gt;0,ISNUMBER(G346),G346&gt;0),IF(M346/G346&gt;='Score settings'!$E$17,'Score settings'!$G$17,IF(M346/G346&gt;='Score settings'!$E$16,'Score settings'!$G$16,IF(M346/G346&gt;='Score settings'!$E$15,'Score settings'!$G$15,'Score settings'!$G$14))),0)/15*'Score settings'!$B$60+IFERROR(VLOOKUP(IF(ISNUMBER(N346),N346,IF(ISNUMBER(L346),L346,0)),'Score settings'!$E$22:$F$26,2,FALSE),0)/10*'Score settings'!$B$61)/'Score settings'!$B$9*'Score settings'!$D$9</x:f>
        <x:v>0</x:v>
      </x:c>
      <x:c r="AH346" s="41" t="n">
        <x:f>IF(B346="","",SUM(AB346:AG346))</x:f>
        <x:v>33</x:v>
      </x:c>
      <x:c r="AI346" s="41" t="str">
        <x:f>IF(NOT(ISNUMBER(AH346)),"Not scored",VLOOKUP(AH346,'Score settings'!$A$47:$C$50,3,TRUE))</x:f>
        <x:v>Discretionary</x:v>
      </x:c>
      <x:c r="AJ346" s="42" t="n">
        <x:f>IF(OR(NOT(ISNUMBER(AH346)),T346&lt;&gt;"Common pot"),"",COUNTIFS($T$4:$T$509,"Common pot",$AH$4:$AH$509,"&gt;"&amp;AH346)+1)</x:f>
        <x:v>160</x:v>
      </x:c>
      <x:c r="AK346" s="36" t="str">
        <x:f>IF(B346="","Name missing - not scored",IF(OR(NOT(ISNUMBER(G346)),G346&lt;=0),"Investment missing or zero - review",IF(0=1,"Permanent ID missing - reconcile",IF(AND(ISNUMBER(H346),H346/G346&gt;='Score settings'!$B$58,NOT(ISNUMBER(I346))),"Benefit units need review",IF(OR(R346="EXIT",R346="CHALLENGE"),"Waste decision requires scope resolution",IF("Organisation differs or ambiguous"&lt;&gt;"Name and organisation matched","Waste evidence match needs review","Provisional source score - confirm evidence"))))))</x:f>
        <x:v>Waste evidence match needs review</x:v>
      </x:c>
      <x:c r="AL346" s="36"/>
      <x:c r="AM346" s="40"/>
      <x:c r="AN346" s="39"/>
      <x:c r="AO346" s="40"/>
      <x:c r="AP346" s="40"/>
    </x:row>
    <x:row r="347" ht="24" hidden="0" customHeight="1">
      <x:c r="A347" s="36" t="str">
        <x:v>EW-18</x:v>
      </x:c>
      <x:c r="B347" s="37" t="str">
        <x:v>Establish a future-ready AI powered foundation for Compliance Learning Ecosystem</x:v>
      </x:c>
      <x:c r="C347" s="36" t="str">
        <x:v>EW</x:v>
      </x:c>
      <x:c r="D347" s="36" t="str">
        <x:v>Patient Safety &amp; Quality</x:v>
      </x:c>
      <x:c r="E347" s="38" t="n">
        <x:v>0.25</x:v>
      </x:c>
      <x:c r="F347" s="39"/>
      <x:c r="G347" s="38" t="n">
        <x:f>IF(ISNUMBER(F347),F347,IF(E347="","",E347))</x:f>
        <x:v>0.25</x:v>
      </x:c>
      <x:c r="H347" s="38"/>
      <x:c r="I347" s="39"/>
      <x:c r="J347" s="36" t="str">
        <x:v>Risk exposure</x:v>
      </x:c>
      <x:c r="K347" s="38" t="str">
        <x:f>IF(ISNUMBER(I347),I347,IF(OR(NOT(ISNUMBER(H347)),NOT(ISNUMBER(G347)),G347&lt;=0),"",IF(H347/G347&gt;='Score settings'!$B$58,"",IF(J347="Cash savings",H347,IF(J347="Revenue",H347*'Score settings'!$B$55,"")))))</x:f>
      </x:c>
      <x:c r="L347" s="36"/>
      <x:c r="M347" s="39"/>
      <x:c r="N347" s="40"/>
      <x:c r="O347" s="36" t="str">
        <x:v>Must Have</x:v>
      </x:c>
      <x:c r="P347" s="36" t="str">
        <x:v>AI</x:v>
      </x:c>
      <x:c r="Q347" s="36" t="str">
        <x:v>Compliance</x:v>
      </x:c>
      <x:c r="R347" s="36" t="str">
        <x:v>NotAssessed</x:v>
      </x:c>
      <x:c r="S347" s="36" t="str"/>
      <x:c r="T347" s="36" t="str">
        <x:v>Common pot</x:v>
      </x:c>
      <x:c r="U347" s="41" t="n">
        <x:f>VLOOKUP("Priority|"&amp;O347,'Score settings'!$A$14:$C$43,2,FALSE)/'Score settings'!$B$4*'Score settings'!$C$4</x:f>
        <x:v>18</x:v>
      </x:c>
      <x:c r="V347" s="41" t="n">
        <x:f>VLOOKUP("Category|"&amp;P347,'Score settings'!$A$14:$C$43,2,FALSE)/'Score settings'!$B$5*'Score settings'!$C$5</x:f>
        <x:v>16</x:v>
      </x:c>
      <x:c r="W347" s="41" t="n">
        <x:f>VLOOKUP("Area|"&amp;Q347,'Score settings'!$A$14:$C$43,2,FALSE)/'Score settings'!$B$6*'Score settings'!$C$6</x:f>
        <x:v>15</x:v>
      </x:c>
      <x:c r="X347" s="41" t="n">
        <x:f>VLOOKUP("Benefits|"&amp;IF(AND(ISNUMBER(H347),H347&gt;0,ISNUMBER(G347),G347&gt;0),IF(H347/G347&gt;='Score settings'!$E$17,"3plus",IF(H347/G347&gt;='Score settings'!$E$16,"1.5to3",IF(H347/G347&gt;='Score settings'!$E$15,"0.5to1.5","positive"))),"None"),'Score settings'!$A$14:$C$43,2,FALSE)/'Score settings'!$B$7*'Score settings'!$C$7</x:f>
        <x:v>5</x:v>
      </x:c>
      <x:c r="Y347" s="41" t="n">
        <x:f>VLOOKUP("Waste|"&amp;R347,'Score settings'!$A$14:$C$43,2,FALSE)/'Score settings'!$B$8*'Score settings'!$C$8</x:f>
        <x:v>7</x:v>
      </x:c>
      <x:c r="Z347" s="41" t="n">
        <x:f>IF(B347="","",SUM(U347:Y347))</x:f>
        <x:v>61</x:v>
      </x:c>
      <x:c r="AA347" s="41" t="str">
        <x:f>IF(Z347="","Not scored",VLOOKUP(Z347,'Score settings'!$A$47:$C$50,2,TRUE))</x:f>
        <x:v>Strong</x:v>
      </x:c>
      <x:c r="AB347" s="41" t="n">
        <x:f>VLOOKUP("Priority|"&amp;O347,'Score settings'!$A$14:$C$43,3,FALSE)/'Score settings'!$B$4*'Score settings'!$D$4</x:f>
        <x:v>10.799999999999999</x:v>
      </x:c>
      <x:c r="AC347" s="41" t="n">
        <x:f>VLOOKUP("Category|"&amp;P347,'Score settings'!$A$14:$C$43,3,FALSE)/'Score settings'!$B$5*'Score settings'!$D$5</x:f>
        <x:v>8</x:v>
      </x:c>
      <x:c r="AD347" s="41" t="n">
        <x:f>VLOOKUP("Area|"&amp;Q347,'Score settings'!$A$14:$C$43,3,FALSE)/'Score settings'!$B$6*'Score settings'!$D$6</x:f>
        <x:v>10</x:v>
      </x:c>
      <x:c r="AE347" s="41" t="n">
        <x:f>VLOOKUP("Benefits|"&amp;IF(AND(ISNUMBER(K347),K347&gt;0,ISNUMBER(G347),G347&gt;0),IF(K347/G347&gt;='Score settings'!$E$17,"3plus",IF(K347/G347&gt;='Score settings'!$E$16,"1.5to3",IF(K347/G347&gt;='Score settings'!$E$15,"0.5to1.5","positive"))),"None"),'Score settings'!$A$14:$C$43,3,FALSE)/'Score settings'!$B$7*'Score settings'!$D$7</x:f>
        <x:v>0</x:v>
      </x:c>
      <x:c r="AF347" s="41" t="n">
        <x:f>VLOOKUP("Waste|"&amp;R347,'Score settings'!$A$14:$C$43,3,FALSE)/'Score settings'!$B$8*'Score settings'!$D$8</x:f>
        <x:v>0</x:v>
      </x:c>
      <x:c r="AG347" s="41" t="n">
        <x:f>(IF(AND(ISNUMBER(M347),M347&gt;0,ISNUMBER(G347),G347&gt;0),IF(M347/G347&gt;='Score settings'!$E$17,'Score settings'!$G$17,IF(M347/G347&gt;='Score settings'!$E$16,'Score settings'!$G$16,IF(M347/G347&gt;='Score settings'!$E$15,'Score settings'!$G$15,'Score settings'!$G$14))),0)/15*'Score settings'!$B$60+IFERROR(VLOOKUP(IF(ISNUMBER(N347),N347,IF(ISNUMBER(L347),L347,0)),'Score settings'!$E$22:$F$26,2,FALSE),0)/10*'Score settings'!$B$61)/'Score settings'!$B$9*'Score settings'!$D$9</x:f>
        <x:v>0</x:v>
      </x:c>
      <x:c r="AH347" s="41" t="n">
        <x:f>IF(B347="","",SUM(AB347:AG347))</x:f>
        <x:v>28.799999999999997</x:v>
      </x:c>
      <x:c r="AI347" s="41" t="str">
        <x:f>IF(NOT(ISNUMBER(AH347)),"Not scored",VLOOKUP(AH347,'Score settings'!$A$47:$C$50,3,TRUE))</x:f>
        <x:v>Discretionary</x:v>
      </x:c>
      <x:c r="AJ347" s="42" t="n">
        <x:f>IF(OR(NOT(ISNUMBER(AH347)),T347&lt;&gt;"Common pot"),"",COUNTIFS($T$4:$T$509,"Common pot",$AH$4:$AH$509,"&gt;"&amp;AH347)+1)</x:f>
        <x:v>202</x:v>
      </x:c>
      <x:c r="AK347" s="36" t="str">
        <x:f>IF(B347="","Name missing - not scored",IF(OR(NOT(ISNUMBER(G347)),G347&lt;=0),"Investment missing or zero - review",IF(0=1,"Permanent ID missing - reconcile",IF(AND(ISNUMBER(H347),H347/G347&gt;='Score settings'!$B$58,NOT(ISNUMBER(I347))),"Benefit units need review",IF(OR(R347="EXIT",R347="CHALLENGE"),"Waste decision requires scope resolution",IF("Organisation differs or ambiguous"&lt;&gt;"Name and organisation matched","Waste evidence match needs review","Provisional source score - confirm evidence"))))))</x:f>
        <x:v>Waste evidence match needs review</x:v>
      </x:c>
      <x:c r="AL347" s="36"/>
      <x:c r="AM347" s="40"/>
      <x:c r="AN347" s="39"/>
      <x:c r="AO347" s="40"/>
      <x:c r="AP347" s="40"/>
    </x:row>
    <x:row r="348" ht="15" hidden="0" customHeight="1">
      <x:c r="A348" s="36" t="str">
        <x:v>EW-19</x:v>
      </x:c>
      <x:c r="B348" s="37" t="str">
        <x:v>SICR APQP Supplier Portal</x:v>
      </x:c>
      <x:c r="C348" s="36" t="str">
        <x:v>EW</x:v>
      </x:c>
      <x:c r="D348" s="36" t="str">
        <x:v>Patient Safety &amp; Quality</x:v>
      </x:c>
      <x:c r="E348" s="38" t="n">
        <x:v>0.45</x:v>
      </x:c>
      <x:c r="F348" s="39"/>
      <x:c r="G348" s="38" t="n">
        <x:f>IF(ISNUMBER(F348),F348,IF(E348="","",E348))</x:f>
        <x:v>0.45</x:v>
      </x:c>
      <x:c r="H348" s="38" t="n">
        <x:v>0.225</x:v>
      </x:c>
      <x:c r="I348" s="39"/>
      <x:c r="J348" s="36" t="str">
        <x:v>Risk exposure</x:v>
      </x:c>
      <x:c r="K348" s="38" t="str">
        <x:f>IF(ISNUMBER(I348),I348,IF(OR(NOT(ISNUMBER(H348)),NOT(ISNUMBER(G348)),G348&lt;=0),"",IF(H348/G348&gt;='Score settings'!$B$58,"",IF(J348="Cash savings",H348,IF(J348="Revenue",H348*'Score settings'!$B$55,"")))))</x:f>
      </x:c>
      <x:c r="L348" s="36" t="n">
        <x:v>5</x:v>
      </x:c>
      <x:c r="M348" s="39"/>
      <x:c r="N348" s="40"/>
      <x:c r="O348" s="36" t="str">
        <x:v>Must Do</x:v>
      </x:c>
      <x:c r="P348" s="36" t="str">
        <x:v>Decomm</x:v>
      </x:c>
      <x:c r="Q348" s="36" t="str">
        <x:v>Compliance</x:v>
      </x:c>
      <x:c r="R348" s="36" t="str">
        <x:v>HEALTHY</x:v>
      </x:c>
      <x:c r="S348" s="36" t="str">
        <x:v>YES</x:v>
      </x:c>
      <x:c r="T348" s="36" t="str">
        <x:v>LFR validated candidate</x:v>
      </x:c>
      <x:c r="U348" s="41" t="n">
        <x:f>VLOOKUP("Priority|"&amp;O348,'Score settings'!$A$14:$C$43,2,FALSE)/'Score settings'!$B$4*'Score settings'!$C$4</x:f>
        <x:v>25</x:v>
      </x:c>
      <x:c r="V348" s="41" t="n">
        <x:f>VLOOKUP("Category|"&amp;P348,'Score settings'!$A$14:$C$43,2,FALSE)/'Score settings'!$B$5*'Score settings'!$C$5</x:f>
        <x:v>17</x:v>
      </x:c>
      <x:c r="W348" s="41" t="n">
        <x:f>VLOOKUP("Area|"&amp;Q348,'Score settings'!$A$14:$C$43,2,FALSE)/'Score settings'!$B$6*'Score settings'!$C$6</x:f>
        <x:v>15</x:v>
      </x:c>
      <x:c r="X348" s="41" t="n">
        <x:f>VLOOKUP("Benefits|"&amp;IF(AND(ISNUMBER(H348),H348&gt;0,ISNUMBER(G348),G348&gt;0),IF(H348/G348&gt;='Score settings'!$E$17,"3plus",IF(H348/G348&gt;='Score settings'!$E$16,"1.5to3",IF(H348/G348&gt;='Score settings'!$E$15,"0.5to1.5","positive"))),"None"),'Score settings'!$A$14:$C$43,2,FALSE)/'Score settings'!$B$7*'Score settings'!$C$7</x:f>
        <x:v>15</x:v>
      </x:c>
      <x:c r="Y348" s="41" t="n">
        <x:f>VLOOKUP("Waste|"&amp;R348,'Score settings'!$A$14:$C$43,2,FALSE)/'Score settings'!$B$8*'Score settings'!$C$8</x:f>
        <x:v>15</x:v>
      </x:c>
      <x:c r="Z348" s="41" t="n">
        <x:f>IF(B348="","",SUM(U348:Y348))</x:f>
        <x:v>87</x:v>
      </x:c>
      <x:c r="AA348" s="41" t="str">
        <x:f>IF(Z348="","Not scored",VLOOKUP(Z348,'Score settings'!$A$47:$C$50,2,TRUE))</x:f>
        <x:v>Protected</x:v>
      </x:c>
      <x:c r="AB348" s="41" t="n">
        <x:f>VLOOKUP("Priority|"&amp;O348,'Score settings'!$A$14:$C$43,3,FALSE)/'Score settings'!$B$4*'Score settings'!$D$4</x:f>
        <x:v>15</x:v>
      </x:c>
      <x:c r="AC348" s="41" t="n">
        <x:f>VLOOKUP("Category|"&amp;P348,'Score settings'!$A$14:$C$43,3,FALSE)/'Score settings'!$B$5*'Score settings'!$D$5</x:f>
        <x:v>8.5</x:v>
      </x:c>
      <x:c r="AD348" s="41" t="n">
        <x:f>VLOOKUP("Area|"&amp;Q348,'Score settings'!$A$14:$C$43,3,FALSE)/'Score settings'!$B$6*'Score settings'!$D$6</x:f>
        <x:v>10</x:v>
      </x:c>
      <x:c r="AE348" s="41" t="n">
        <x:f>VLOOKUP("Benefits|"&amp;IF(AND(ISNUMBER(K348),K348&gt;0,ISNUMBER(G348),G348&gt;0),IF(K348/G348&gt;='Score settings'!$E$17,"3plus",IF(K348/G348&gt;='Score settings'!$E$16,"1.5to3",IF(K348/G348&gt;='Score settings'!$E$15,"0.5to1.5","positive"))),"None"),'Score settings'!$A$14:$C$43,3,FALSE)/'Score settings'!$B$7*'Score settings'!$D$7</x:f>
        <x:v>0</x:v>
      </x:c>
      <x:c r="AF348" s="41" t="n">
        <x:f>VLOOKUP("Waste|"&amp;R348,'Score settings'!$A$14:$C$43,3,FALSE)/'Score settings'!$B$8*'Score settings'!$D$8</x:f>
        <x:v>10</x:v>
      </x:c>
      <x:c r="AG348" s="41" t="n">
        <x:f>(IF(AND(ISNUMBER(M348),M348&gt;0,ISNUMBER(G348),G348&gt;0),IF(M348/G348&gt;='Score settings'!$E$17,'Score settings'!$G$17,IF(M348/G348&gt;='Score settings'!$E$16,'Score settings'!$G$16,IF(M348/G348&gt;='Score settings'!$E$15,'Score settings'!$G$15,'Score settings'!$G$14))),0)/15*'Score settings'!$B$60+IFERROR(VLOOKUP(IF(ISNUMBER(N348),N348,IF(ISNUMBER(L348),L348,0)),'Score settings'!$E$22:$F$26,2,FALSE),0)/10*'Score settings'!$B$61)/'Score settings'!$B$9*'Score settings'!$D$9</x:f>
        <x:v>10</x:v>
      </x:c>
      <x:c r="AH348" s="41" t="n">
        <x:f>IF(B348="","",SUM(AB348:AG348))</x:f>
        <x:v>53.5</x:v>
      </x:c>
      <x:c r="AI348" s="41" t="str">
        <x:f>IF(NOT(ISNUMBER(AH348)),"Not scored",VLOOKUP(AH348,'Score settings'!$A$47:$C$50,3,TRUE))</x:f>
        <x:v>Strong</x:v>
      </x:c>
      <x:c r="AJ348" s="42" t="str">
        <x:f>IF(OR(NOT(ISNUMBER(AH348)),T348&lt;&gt;"Common pot"),"",COUNTIFS($T$4:$T$509,"Common pot",$AH$4:$AH$509,"&gt;"&amp;AH348)+1)</x:f>
      </x:c>
      <x:c r="AK348" s="36" t="str">
        <x:f>IF(B348="","Name missing - not scored",IF(OR(NOT(ISNUMBER(G348)),G348&lt;=0),"Investment missing or zero - review",IF(0=1,"Permanent ID missing - reconcile",IF(AND(ISNUMBER(H348),H348/G348&gt;='Score settings'!$B$58,NOT(ISNUMBER(I348))),"Benefit units need review",IF(OR(R348="EXIT",R348="CHALLENGE"),"Waste decision requires scope resolution",IF("Name and organisation matched"&lt;&gt;"Name and organisation matched","Waste evidence match needs review","Provisional source score - confirm evidence"))))))</x:f>
        <x:v>Provisional source score - confirm evidence</x:v>
      </x:c>
      <x:c r="AL348" s="36" t="n">
        <x:v>25</x:v>
      </x:c>
      <x:c r="AM348" s="40"/>
      <x:c r="AN348" s="39"/>
      <x:c r="AO348" s="40"/>
      <x:c r="AP348" s="40"/>
    </x:row>
    <x:row r="349" ht="15" hidden="0" customHeight="1">
      <x:c r="A349" s="36" t="str">
        <x:v>EW-20</x:v>
      </x:c>
      <x:c r="B349" s="37" t="str">
        <x:v>ARIS deployment for ISC QMS Integration</x:v>
      </x:c>
      <x:c r="C349" s="36" t="str">
        <x:v>EW</x:v>
      </x:c>
      <x:c r="D349" s="36" t="str">
        <x:v>Patient Safety &amp; Quality</x:v>
      </x:c>
      <x:c r="E349" s="38" t="n">
        <x:v>0.05</x:v>
      </x:c>
      <x:c r="F349" s="39"/>
      <x:c r="G349" s="38" t="n">
        <x:f>IF(ISNUMBER(F349),F349,IF(E349="","",E349))</x:f>
        <x:v>0.05</x:v>
      </x:c>
      <x:c r="H349" s="38" t="n">
        <x:v>0.6</x:v>
      </x:c>
      <x:c r="I349" s="39"/>
      <x:c r="J349" s="36" t="str">
        <x:v>Risk exposure</x:v>
      </x:c>
      <x:c r="K349" s="38" t="str">
        <x:f>IF(ISNUMBER(I349),I349,IF(OR(NOT(ISNUMBER(H349)),NOT(ISNUMBER(G349)),G349&lt;=0),"",IF(H349/G349&gt;='Score settings'!$B$58,"",IF(J349="Cash savings",H349,IF(J349="Revenue",H349*'Score settings'!$B$55,"")))))</x:f>
      </x:c>
      <x:c r="L349" s="36"/>
      <x:c r="M349" s="39"/>
      <x:c r="N349" s="40"/>
      <x:c r="O349" s="36" t="str">
        <x:v>Must Do</x:v>
      </x:c>
      <x:c r="P349" s="36" t="str">
        <x:v>NewTech</x:v>
      </x:c>
      <x:c r="Q349" s="36" t="str">
        <x:v>Compliance</x:v>
      </x:c>
      <x:c r="R349" s="36" t="str">
        <x:v>NotAssessed</x:v>
      </x:c>
      <x:c r="S349" s="36" t="str"/>
      <x:c r="T349" s="36" t="str">
        <x:v>Common pot</x:v>
      </x:c>
      <x:c r="U349" s="41" t="n">
        <x:f>VLOOKUP("Priority|"&amp;O349,'Score settings'!$A$14:$C$43,2,FALSE)/'Score settings'!$B$4*'Score settings'!$C$4</x:f>
        <x:v>25</x:v>
      </x:c>
      <x:c r="V349" s="41" t="n">
        <x:f>VLOOKUP("Category|"&amp;P349,'Score settings'!$A$14:$C$43,2,FALSE)/'Score settings'!$B$5*'Score settings'!$C$5</x:f>
        <x:v>5</x:v>
      </x:c>
      <x:c r="W349" s="41" t="n">
        <x:f>VLOOKUP("Area|"&amp;Q349,'Score settings'!$A$14:$C$43,2,FALSE)/'Score settings'!$B$6*'Score settings'!$C$6</x:f>
        <x:v>15</x:v>
      </x:c>
      <x:c r="X349" s="41" t="n">
        <x:f>VLOOKUP("Benefits|"&amp;IF(AND(ISNUMBER(H349),H349&gt;0,ISNUMBER(G349),G349&gt;0),IF(H349/G349&gt;='Score settings'!$E$17,"3plus",IF(H349/G349&gt;='Score settings'!$E$16,"1.5to3",IF(H349/G349&gt;='Score settings'!$E$15,"0.5to1.5","positive"))),"None"),'Score settings'!$A$14:$C$43,2,FALSE)/'Score settings'!$B$7*'Score settings'!$C$7</x:f>
        <x:v>25</x:v>
      </x:c>
      <x:c r="Y349" s="41" t="n">
        <x:f>VLOOKUP("Waste|"&amp;R349,'Score settings'!$A$14:$C$43,2,FALSE)/'Score settings'!$B$8*'Score settings'!$C$8</x:f>
        <x:v>7</x:v>
      </x:c>
      <x:c r="Z349" s="41" t="n">
        <x:f>IF(B349="","",SUM(U349:Y349))</x:f>
        <x:v>77</x:v>
      </x:c>
      <x:c r="AA349" s="41" t="str">
        <x:f>IF(Z349="","Not scored",VLOOKUP(Z349,'Score settings'!$A$47:$C$50,2,TRUE))</x:f>
        <x:v>Protected</x:v>
      </x:c>
      <x:c r="AB349" s="41" t="n">
        <x:f>VLOOKUP("Priority|"&amp;O349,'Score settings'!$A$14:$C$43,3,FALSE)/'Score settings'!$B$4*'Score settings'!$D$4</x:f>
        <x:v>15</x:v>
      </x:c>
      <x:c r="AC349" s="41" t="n">
        <x:f>VLOOKUP("Category|"&amp;P349,'Score settings'!$A$14:$C$43,3,FALSE)/'Score settings'!$B$5*'Score settings'!$D$5</x:f>
        <x:v>2.5</x:v>
      </x:c>
      <x:c r="AD349" s="41" t="n">
        <x:f>VLOOKUP("Area|"&amp;Q349,'Score settings'!$A$14:$C$43,3,FALSE)/'Score settings'!$B$6*'Score settings'!$D$6</x:f>
        <x:v>10</x:v>
      </x:c>
      <x:c r="AE349" s="41" t="n">
        <x:f>VLOOKUP("Benefits|"&amp;IF(AND(ISNUMBER(K349),K349&gt;0,ISNUMBER(G349),G349&gt;0),IF(K349/G349&gt;='Score settings'!$E$17,"3plus",IF(K349/G349&gt;='Score settings'!$E$16,"1.5to3",IF(K349/G349&gt;='Score settings'!$E$15,"0.5to1.5","positive"))),"None"),'Score settings'!$A$14:$C$43,3,FALSE)/'Score settings'!$B$7*'Score settings'!$D$7</x:f>
        <x:v>0</x:v>
      </x:c>
      <x:c r="AF349" s="41" t="n">
        <x:f>VLOOKUP("Waste|"&amp;R349,'Score settings'!$A$14:$C$43,3,FALSE)/'Score settings'!$B$8*'Score settings'!$D$8</x:f>
        <x:v>0</x:v>
      </x:c>
      <x:c r="AG349" s="41" t="n">
        <x:f>(IF(AND(ISNUMBER(M349),M349&gt;0,ISNUMBER(G349),G349&gt;0),IF(M349/G349&gt;='Score settings'!$E$17,'Score settings'!$G$17,IF(M349/G349&gt;='Score settings'!$E$16,'Score settings'!$G$16,IF(M349/G349&gt;='Score settings'!$E$15,'Score settings'!$G$15,'Score settings'!$G$14))),0)/15*'Score settings'!$B$60+IFERROR(VLOOKUP(IF(ISNUMBER(N349),N349,IF(ISNUMBER(L349),L349,0)),'Score settings'!$E$22:$F$26,2,FALSE),0)/10*'Score settings'!$B$61)/'Score settings'!$B$9*'Score settings'!$D$9</x:f>
        <x:v>0</x:v>
      </x:c>
      <x:c r="AH349" s="41" t="n">
        <x:f>IF(B349="","",SUM(AB349:AG349))</x:f>
        <x:v>27.5</x:v>
      </x:c>
      <x:c r="AI349" s="41" t="str">
        <x:f>IF(NOT(ISNUMBER(AH349)),"Not scored",VLOOKUP(AH349,'Score settings'!$A$47:$C$50,3,TRUE))</x:f>
        <x:v>Discretionary</x:v>
      </x:c>
      <x:c r="AJ349" s="42" t="n">
        <x:f>IF(OR(NOT(ISNUMBER(AH349)),T349&lt;&gt;"Common pot"),"",COUNTIFS($T$4:$T$509,"Common pot",$AH$4:$AH$509,"&gt;"&amp;AH349)+1)</x:f>
        <x:v>214</x:v>
      </x:c>
      <x:c r="AK349" s="36" t="str">
        <x:f>IF(B349="","Name missing - not scored",IF(OR(NOT(ISNUMBER(G349)),G349&lt;=0),"Investment missing or zero - review",IF(0=1,"Permanent ID missing - reconcile",IF(AND(ISNUMBER(H349),H349/G349&gt;='Score settings'!$B$58,NOT(ISNUMBER(I349))),"Benefit units need review",IF(OR(R349="EXIT",R349="CHALLENGE"),"Waste decision requires scope resolution",IF("Organisation differs or ambiguous"&lt;&gt;"Name and organisation matched","Waste evidence match needs review","Provisional source score - confirm evidence"))))))</x:f>
        <x:v>Waste evidence match needs review</x:v>
      </x:c>
      <x:c r="AL349" s="36"/>
      <x:c r="AM349" s="40"/>
      <x:c r="AN349" s="39"/>
      <x:c r="AO349" s="40"/>
      <x:c r="AP349" s="40"/>
    </x:row>
    <x:row r="350" ht="15" hidden="0" customHeight="1">
      <x:c r="A350" s="36" t="str">
        <x:v>EW-21</x:v>
      </x:c>
      <x:c r="B350" s="37" t="str">
        <x:v>Service365 2027 Change&amp;Sustain</x:v>
      </x:c>
      <x:c r="C350" s="36" t="str">
        <x:v>EW</x:v>
      </x:c>
      <x:c r="D350" s="36" t="str">
        <x:v>Greater China </x:v>
      </x:c>
      <x:c r="E350" s="38" t="n">
        <x:v>0.48</x:v>
      </x:c>
      <x:c r="F350" s="39"/>
      <x:c r="G350" s="38" t="n">
        <x:f>IF(ISNUMBER(F350),F350,IF(E350="","",E350))</x:f>
        <x:v>0.48</x:v>
      </x:c>
      <x:c r="H350" s="38" t="n">
        <x:v>0.55</x:v>
      </x:c>
      <x:c r="I350" s="39"/>
      <x:c r="J350" s="36" t="str">
        <x:v>Risk exposure</x:v>
      </x:c>
      <x:c r="K350" s="38" t="str">
        <x:f>IF(ISNUMBER(I350),I350,IF(OR(NOT(ISNUMBER(H350)),NOT(ISNUMBER(G350)),G350&lt;=0),"",IF(H350/G350&gt;='Score settings'!$B$58,"",IF(J350="Cash savings",H350,IF(J350="Revenue",H350*'Score settings'!$B$55,"")))))</x:f>
      </x:c>
      <x:c r="L350" s="36" t="n">
        <x:v>5</x:v>
      </x:c>
      <x:c r="M350" s="39"/>
      <x:c r="N350" s="40"/>
      <x:c r="O350" s="36" t="str">
        <x:v>Must Do</x:v>
      </x:c>
      <x:c r="P350" s="36" t="str">
        <x:v>CI</x:v>
      </x:c>
      <x:c r="Q350" s="36" t="str">
        <x:v>Compliance</x:v>
      </x:c>
      <x:c r="R350" s="36" t="str">
        <x:v>HEALTHY</x:v>
      </x:c>
      <x:c r="S350" s="36" t="str">
        <x:v>YES</x:v>
      </x:c>
      <x:c r="T350" s="36" t="str">
        <x:v>LFR validated candidate</x:v>
      </x:c>
      <x:c r="U350" s="41" t="n">
        <x:f>VLOOKUP("Priority|"&amp;O350,'Score settings'!$A$14:$C$43,2,FALSE)/'Score settings'!$B$4*'Score settings'!$C$4</x:f>
        <x:v>25</x:v>
      </x:c>
      <x:c r="V350" s="41" t="n">
        <x:f>VLOOKUP("Category|"&amp;P350,'Score settings'!$A$14:$C$43,2,FALSE)/'Score settings'!$B$5*'Score settings'!$C$5</x:f>
        <x:v>8</x:v>
      </x:c>
      <x:c r="W350" s="41" t="n">
        <x:f>VLOOKUP("Area|"&amp;Q350,'Score settings'!$A$14:$C$43,2,FALSE)/'Score settings'!$B$6*'Score settings'!$C$6</x:f>
        <x:v>15</x:v>
      </x:c>
      <x:c r="X350" s="41" t="n">
        <x:f>VLOOKUP("Benefits|"&amp;IF(AND(ISNUMBER(H350),H350&gt;0,ISNUMBER(G350),G350&gt;0),IF(H350/G350&gt;='Score settings'!$E$17,"3plus",IF(H350/G350&gt;='Score settings'!$E$16,"1.5to3",IF(H350/G350&gt;='Score settings'!$E$15,"0.5to1.5","positive"))),"None"),'Score settings'!$A$14:$C$43,2,FALSE)/'Score settings'!$B$7*'Score settings'!$C$7</x:f>
        <x:v>15</x:v>
      </x:c>
      <x:c r="Y350" s="41" t="n">
        <x:f>VLOOKUP("Waste|"&amp;R350,'Score settings'!$A$14:$C$43,2,FALSE)/'Score settings'!$B$8*'Score settings'!$C$8</x:f>
        <x:v>15</x:v>
      </x:c>
      <x:c r="Z350" s="41" t="n">
        <x:f>IF(B350="","",SUM(U350:Y350))</x:f>
        <x:v>78</x:v>
      </x:c>
      <x:c r="AA350" s="41" t="str">
        <x:f>IF(Z350="","Not scored",VLOOKUP(Z350,'Score settings'!$A$47:$C$50,2,TRUE))</x:f>
        <x:v>Protected</x:v>
      </x:c>
      <x:c r="AB350" s="41" t="n">
        <x:f>VLOOKUP("Priority|"&amp;O350,'Score settings'!$A$14:$C$43,3,FALSE)/'Score settings'!$B$4*'Score settings'!$D$4</x:f>
        <x:v>15</x:v>
      </x:c>
      <x:c r="AC350" s="41" t="n">
        <x:f>VLOOKUP("Category|"&amp;P350,'Score settings'!$A$14:$C$43,3,FALSE)/'Score settings'!$B$5*'Score settings'!$D$5</x:f>
        <x:v>4</x:v>
      </x:c>
      <x:c r="AD350" s="41" t="n">
        <x:f>VLOOKUP("Area|"&amp;Q350,'Score settings'!$A$14:$C$43,3,FALSE)/'Score settings'!$B$6*'Score settings'!$D$6</x:f>
        <x:v>10</x:v>
      </x:c>
      <x:c r="AE350" s="41" t="n">
        <x:f>VLOOKUP("Benefits|"&amp;IF(AND(ISNUMBER(K350),K350&gt;0,ISNUMBER(G350),G350&gt;0),IF(K350/G350&gt;='Score settings'!$E$17,"3plus",IF(K350/G350&gt;='Score settings'!$E$16,"1.5to3",IF(K350/G350&gt;='Score settings'!$E$15,"0.5to1.5","positive"))),"None"),'Score settings'!$A$14:$C$43,3,FALSE)/'Score settings'!$B$7*'Score settings'!$D$7</x:f>
        <x:v>0</x:v>
      </x:c>
      <x:c r="AF350" s="41" t="n">
        <x:f>VLOOKUP("Waste|"&amp;R350,'Score settings'!$A$14:$C$43,3,FALSE)/'Score settings'!$B$8*'Score settings'!$D$8</x:f>
        <x:v>10</x:v>
      </x:c>
      <x:c r="AG350" s="41" t="n">
        <x:f>(IF(AND(ISNUMBER(M350),M350&gt;0,ISNUMBER(G350),G350&gt;0),IF(M350/G350&gt;='Score settings'!$E$17,'Score settings'!$G$17,IF(M350/G350&gt;='Score settings'!$E$16,'Score settings'!$G$16,IF(M350/G350&gt;='Score settings'!$E$15,'Score settings'!$G$15,'Score settings'!$G$14))),0)/15*'Score settings'!$B$60+IFERROR(VLOOKUP(IF(ISNUMBER(N350),N350,IF(ISNUMBER(L350),L350,0)),'Score settings'!$E$22:$F$26,2,FALSE),0)/10*'Score settings'!$B$61)/'Score settings'!$B$9*'Score settings'!$D$9</x:f>
        <x:v>10</x:v>
      </x:c>
      <x:c r="AH350" s="41" t="n">
        <x:f>IF(B350="","",SUM(AB350:AG350))</x:f>
        <x:v>49</x:v>
      </x:c>
      <x:c r="AI350" s="41" t="str">
        <x:f>IF(NOT(ISNUMBER(AH350)),"Not scored",VLOOKUP(AH350,'Score settings'!$A$47:$C$50,3,TRUE))</x:f>
        <x:v>Strong</x:v>
      </x:c>
      <x:c r="AJ350" s="42" t="str">
        <x:f>IF(OR(NOT(ISNUMBER(AH350)),T350&lt;&gt;"Common pot"),"",COUNTIFS($T$4:$T$509,"Common pot",$AH$4:$AH$509,"&gt;"&amp;AH350)+1)</x:f>
      </x:c>
      <x:c r="AK350" s="36" t="str">
        <x:f>IF(B350="","Name missing - not scored",IF(OR(NOT(ISNUMBER(G350)),G350&lt;=0),"Investment missing or zero - review",IF(0=1,"Permanent ID missing - reconcile",IF(AND(ISNUMBER(H350),H350/G350&gt;='Score settings'!$B$58,NOT(ISNUMBER(I350))),"Benefit units need review",IF(OR(R350="EXIT",R350="CHALLENGE"),"Waste decision requires scope resolution",IF("Name and organisation matched"&lt;&gt;"Name and organisation matched","Waste evidence match needs review","Provisional source score - confirm evidence"))))))</x:f>
        <x:v>Provisional source score - confirm evidence</x:v>
      </x:c>
      <x:c r="AL350" s="36" t="n">
        <x:v>15</x:v>
      </x:c>
      <x:c r="AM350" s="40"/>
      <x:c r="AN350" s="39"/>
      <x:c r="AO350" s="40"/>
      <x:c r="AP350" s="40"/>
    </x:row>
    <x:row r="351" ht="15" hidden="0" customHeight="1">
      <x:c r="A351" s="36" t="str">
        <x:v>EW-22</x:v>
      </x:c>
      <x:c r="B351" s="37" t="str">
        <x:v>Commercial365 2027 Change&amp;Sustain</x:v>
      </x:c>
      <x:c r="C351" s="36" t="str">
        <x:v>EW</x:v>
      </x:c>
      <x:c r="D351" s="36" t="str">
        <x:v>Greater China </x:v>
      </x:c>
      <x:c r="E351" s="38" t="n">
        <x:v>0.48</x:v>
      </x:c>
      <x:c r="F351" s="39"/>
      <x:c r="G351" s="38" t="n">
        <x:f>IF(ISNUMBER(F351),F351,IF(E351="","",E351))</x:f>
        <x:v>0.48</x:v>
      </x:c>
      <x:c r="H351" s="38"/>
      <x:c r="I351" s="39"/>
      <x:c r="J351" s="36" t="str">
        <x:v>Risk exposure</x:v>
      </x:c>
      <x:c r="K351" s="38" t="str">
        <x:f>IF(ISNUMBER(I351),I351,IF(OR(NOT(ISNUMBER(H351)),NOT(ISNUMBER(G351)),G351&lt;=0),"",IF(H351/G351&gt;='Score settings'!$B$58,"",IF(J351="Cash savings",H351,IF(J351="Revenue",H351*'Score settings'!$B$55,"")))))</x:f>
      </x:c>
      <x:c r="L351" s="36" t="n">
        <x:v>5</x:v>
      </x:c>
      <x:c r="M351" s="39"/>
      <x:c r="N351" s="40"/>
      <x:c r="O351" s="36" t="str">
        <x:v>Must Do</x:v>
      </x:c>
      <x:c r="P351" s="36" t="str">
        <x:v>CI</x:v>
      </x:c>
      <x:c r="Q351" s="36" t="str">
        <x:v>Compliance</x:v>
      </x:c>
      <x:c r="R351" s="36" t="str">
        <x:v>HEALTHY</x:v>
      </x:c>
      <x:c r="S351" s="36" t="str">
        <x:v>YES</x:v>
      </x:c>
      <x:c r="T351" s="36" t="str">
        <x:v>LFR validated candidate</x:v>
      </x:c>
      <x:c r="U351" s="41" t="n">
        <x:f>VLOOKUP("Priority|"&amp;O351,'Score settings'!$A$14:$C$43,2,FALSE)/'Score settings'!$B$4*'Score settings'!$C$4</x:f>
        <x:v>25</x:v>
      </x:c>
      <x:c r="V351" s="41" t="n">
        <x:f>VLOOKUP("Category|"&amp;P351,'Score settings'!$A$14:$C$43,2,FALSE)/'Score settings'!$B$5*'Score settings'!$C$5</x:f>
        <x:v>8</x:v>
      </x:c>
      <x:c r="W351" s="41" t="n">
        <x:f>VLOOKUP("Area|"&amp;Q351,'Score settings'!$A$14:$C$43,2,FALSE)/'Score settings'!$B$6*'Score settings'!$C$6</x:f>
        <x:v>15</x:v>
      </x:c>
      <x:c r="X351" s="41" t="n">
        <x:f>VLOOKUP("Benefits|"&amp;IF(AND(ISNUMBER(H351),H351&gt;0,ISNUMBER(G351),G351&gt;0),IF(H351/G351&gt;='Score settings'!$E$17,"3plus",IF(H351/G351&gt;='Score settings'!$E$16,"1.5to3",IF(H351/G351&gt;='Score settings'!$E$15,"0.5to1.5","positive"))),"None"),'Score settings'!$A$14:$C$43,2,FALSE)/'Score settings'!$B$7*'Score settings'!$C$7</x:f>
        <x:v>5</x:v>
      </x:c>
      <x:c r="Y351" s="41" t="n">
        <x:f>VLOOKUP("Waste|"&amp;R351,'Score settings'!$A$14:$C$43,2,FALSE)/'Score settings'!$B$8*'Score settings'!$C$8</x:f>
        <x:v>15</x:v>
      </x:c>
      <x:c r="Z351" s="41" t="n">
        <x:f>IF(B351="","",SUM(U351:Y351))</x:f>
        <x:v>68</x:v>
      </x:c>
      <x:c r="AA351" s="41" t="str">
        <x:f>IF(Z351="","Not scored",VLOOKUP(Z351,'Score settings'!$A$47:$C$50,2,TRUE))</x:f>
        <x:v>Protected</x:v>
      </x:c>
      <x:c r="AB351" s="41" t="n">
        <x:f>VLOOKUP("Priority|"&amp;O351,'Score settings'!$A$14:$C$43,3,FALSE)/'Score settings'!$B$4*'Score settings'!$D$4</x:f>
        <x:v>15</x:v>
      </x:c>
      <x:c r="AC351" s="41" t="n">
        <x:f>VLOOKUP("Category|"&amp;P351,'Score settings'!$A$14:$C$43,3,FALSE)/'Score settings'!$B$5*'Score settings'!$D$5</x:f>
        <x:v>4</x:v>
      </x:c>
      <x:c r="AD351" s="41" t="n">
        <x:f>VLOOKUP("Area|"&amp;Q351,'Score settings'!$A$14:$C$43,3,FALSE)/'Score settings'!$B$6*'Score settings'!$D$6</x:f>
        <x:v>10</x:v>
      </x:c>
      <x:c r="AE351" s="41" t="n">
        <x:f>VLOOKUP("Benefits|"&amp;IF(AND(ISNUMBER(K351),K351&gt;0,ISNUMBER(G351),G351&gt;0),IF(K351/G351&gt;='Score settings'!$E$17,"3plus",IF(K351/G351&gt;='Score settings'!$E$16,"1.5to3",IF(K351/G351&gt;='Score settings'!$E$15,"0.5to1.5","positive"))),"None"),'Score settings'!$A$14:$C$43,3,FALSE)/'Score settings'!$B$7*'Score settings'!$D$7</x:f>
        <x:v>0</x:v>
      </x:c>
      <x:c r="AF351" s="41" t="n">
        <x:f>VLOOKUP("Waste|"&amp;R351,'Score settings'!$A$14:$C$43,3,FALSE)/'Score settings'!$B$8*'Score settings'!$D$8</x:f>
        <x:v>10</x:v>
      </x:c>
      <x:c r="AG351" s="41" t="n">
        <x:f>(IF(AND(ISNUMBER(M351),M351&gt;0,ISNUMBER(G351),G351&gt;0),IF(M351/G351&gt;='Score settings'!$E$17,'Score settings'!$G$17,IF(M351/G351&gt;='Score settings'!$E$16,'Score settings'!$G$16,IF(M351/G351&gt;='Score settings'!$E$15,'Score settings'!$G$15,'Score settings'!$G$14))),0)/15*'Score settings'!$B$60+IFERROR(VLOOKUP(IF(ISNUMBER(N351),N351,IF(ISNUMBER(L351),L351,0)),'Score settings'!$E$22:$F$26,2,FALSE),0)/10*'Score settings'!$B$61)/'Score settings'!$B$9*'Score settings'!$D$9</x:f>
        <x:v>10</x:v>
      </x:c>
      <x:c r="AH351" s="41" t="n">
        <x:f>IF(B351="","",SUM(AB351:AG351))</x:f>
        <x:v>49</x:v>
      </x:c>
      <x:c r="AI351" s="41" t="str">
        <x:f>IF(NOT(ISNUMBER(AH351)),"Not scored",VLOOKUP(AH351,'Score settings'!$A$47:$C$50,3,TRUE))</x:f>
        <x:v>Strong</x:v>
      </x:c>
      <x:c r="AJ351" s="42" t="str">
        <x:f>IF(OR(NOT(ISNUMBER(AH351)),T351&lt;&gt;"Common pot"),"",COUNTIFS($T$4:$T$509,"Common pot",$AH$4:$AH$509,"&gt;"&amp;AH351)+1)</x:f>
      </x:c>
      <x:c r="AK351" s="36" t="str">
        <x:f>IF(B351="","Name missing - not scored",IF(OR(NOT(ISNUMBER(G351)),G351&lt;=0),"Investment missing or zero - review",IF(0=1,"Permanent ID missing - reconcile",IF(AND(ISNUMBER(H351),H351/G351&gt;='Score settings'!$B$58,NOT(ISNUMBER(I351))),"Benefit units need review",IF(OR(R351="EXIT",R351="CHALLENGE"),"Waste decision requires scope resolution",IF("Name and organisation matched"&lt;&gt;"Name and organisation matched","Waste evidence match needs review","Provisional source score - confirm evidence"))))))</x:f>
        <x:v>Provisional source score - confirm evidence</x:v>
      </x:c>
      <x:c r="AL351" s="36" t="n">
        <x:v>15</x:v>
      </x:c>
      <x:c r="AM351" s="40"/>
      <x:c r="AN351" s="39"/>
      <x:c r="AO351" s="40"/>
      <x:c r="AP351" s="40"/>
    </x:row>
    <x:row r="352" ht="15" hidden="0" customHeight="1">
      <x:c r="A352" s="36" t="str">
        <x:v>EW-23</x:v>
      </x:c>
      <x:c r="B352" s="37" t="str">
        <x:v>Channel365 2027 Change&amp;Sustain</x:v>
      </x:c>
      <x:c r="C352" s="36" t="str">
        <x:v>EW</x:v>
      </x:c>
      <x:c r="D352" s="36" t="str">
        <x:v>Greater China </x:v>
      </x:c>
      <x:c r="E352" s="38" t="n">
        <x:v>0.4</x:v>
      </x:c>
      <x:c r="F352" s="39"/>
      <x:c r="G352" s="38" t="n">
        <x:f>IF(ISNUMBER(F352),F352,IF(E352="","",E352))</x:f>
        <x:v>0.4</x:v>
      </x:c>
      <x:c r="H352" s="38"/>
      <x:c r="I352" s="39"/>
      <x:c r="J352" s="36" t="str">
        <x:v>Risk exposure</x:v>
      </x:c>
      <x:c r="K352" s="38" t="str">
        <x:f>IF(ISNUMBER(I352),I352,IF(OR(NOT(ISNUMBER(H352)),NOT(ISNUMBER(G352)),G352&lt;=0),"",IF(H352/G352&gt;='Score settings'!$B$58,"",IF(J352="Cash savings",H352,IF(J352="Revenue",H352*'Score settings'!$B$55,"")))))</x:f>
      </x:c>
      <x:c r="L352" s="36" t="n">
        <x:v>5</x:v>
      </x:c>
      <x:c r="M352" s="39"/>
      <x:c r="N352" s="40"/>
      <x:c r="O352" s="36" t="str">
        <x:v>Must Do</x:v>
      </x:c>
      <x:c r="P352" s="36" t="str">
        <x:v>CI</x:v>
      </x:c>
      <x:c r="Q352" s="36" t="str">
        <x:v>Compliance</x:v>
      </x:c>
      <x:c r="R352" s="36" t="str">
        <x:v>HEALTHY</x:v>
      </x:c>
      <x:c r="S352" s="36" t="str">
        <x:v>YES</x:v>
      </x:c>
      <x:c r="T352" s="36" t="str">
        <x:v>LFR validated candidate</x:v>
      </x:c>
      <x:c r="U352" s="41" t="n">
        <x:f>VLOOKUP("Priority|"&amp;O352,'Score settings'!$A$14:$C$43,2,FALSE)/'Score settings'!$B$4*'Score settings'!$C$4</x:f>
        <x:v>25</x:v>
      </x:c>
      <x:c r="V352" s="41" t="n">
        <x:f>VLOOKUP("Category|"&amp;P352,'Score settings'!$A$14:$C$43,2,FALSE)/'Score settings'!$B$5*'Score settings'!$C$5</x:f>
        <x:v>8</x:v>
      </x:c>
      <x:c r="W352" s="41" t="n">
        <x:f>VLOOKUP("Area|"&amp;Q352,'Score settings'!$A$14:$C$43,2,FALSE)/'Score settings'!$B$6*'Score settings'!$C$6</x:f>
        <x:v>15</x:v>
      </x:c>
      <x:c r="X352" s="41" t="n">
        <x:f>VLOOKUP("Benefits|"&amp;IF(AND(ISNUMBER(H352),H352&gt;0,ISNUMBER(G352),G352&gt;0),IF(H352/G352&gt;='Score settings'!$E$17,"3plus",IF(H352/G352&gt;='Score settings'!$E$16,"1.5to3",IF(H352/G352&gt;='Score settings'!$E$15,"0.5to1.5","positive"))),"None"),'Score settings'!$A$14:$C$43,2,FALSE)/'Score settings'!$B$7*'Score settings'!$C$7</x:f>
        <x:v>5</x:v>
      </x:c>
      <x:c r="Y352" s="41" t="n">
        <x:f>VLOOKUP("Waste|"&amp;R352,'Score settings'!$A$14:$C$43,2,FALSE)/'Score settings'!$B$8*'Score settings'!$C$8</x:f>
        <x:v>15</x:v>
      </x:c>
      <x:c r="Z352" s="41" t="n">
        <x:f>IF(B352="","",SUM(U352:Y352))</x:f>
        <x:v>68</x:v>
      </x:c>
      <x:c r="AA352" s="41" t="str">
        <x:f>IF(Z352="","Not scored",VLOOKUP(Z352,'Score settings'!$A$47:$C$50,2,TRUE))</x:f>
        <x:v>Protected</x:v>
      </x:c>
      <x:c r="AB352" s="41" t="n">
        <x:f>VLOOKUP("Priority|"&amp;O352,'Score settings'!$A$14:$C$43,3,FALSE)/'Score settings'!$B$4*'Score settings'!$D$4</x:f>
        <x:v>15</x:v>
      </x:c>
      <x:c r="AC352" s="41" t="n">
        <x:f>VLOOKUP("Category|"&amp;P352,'Score settings'!$A$14:$C$43,3,FALSE)/'Score settings'!$B$5*'Score settings'!$D$5</x:f>
        <x:v>4</x:v>
      </x:c>
      <x:c r="AD352" s="41" t="n">
        <x:f>VLOOKUP("Area|"&amp;Q352,'Score settings'!$A$14:$C$43,3,FALSE)/'Score settings'!$B$6*'Score settings'!$D$6</x:f>
        <x:v>10</x:v>
      </x:c>
      <x:c r="AE352" s="41" t="n">
        <x:f>VLOOKUP("Benefits|"&amp;IF(AND(ISNUMBER(K352),K352&gt;0,ISNUMBER(G352),G352&gt;0),IF(K352/G352&gt;='Score settings'!$E$17,"3plus",IF(K352/G352&gt;='Score settings'!$E$16,"1.5to3",IF(K352/G352&gt;='Score settings'!$E$15,"0.5to1.5","positive"))),"None"),'Score settings'!$A$14:$C$43,3,FALSE)/'Score settings'!$B$7*'Score settings'!$D$7</x:f>
        <x:v>0</x:v>
      </x:c>
      <x:c r="AF352" s="41" t="n">
        <x:f>VLOOKUP("Waste|"&amp;R352,'Score settings'!$A$14:$C$43,3,FALSE)/'Score settings'!$B$8*'Score settings'!$D$8</x:f>
        <x:v>10</x:v>
      </x:c>
      <x:c r="AG352" s="41" t="n">
        <x:f>(IF(AND(ISNUMBER(M352),M352&gt;0,ISNUMBER(G352),G352&gt;0),IF(M352/G352&gt;='Score settings'!$E$17,'Score settings'!$G$17,IF(M352/G352&gt;='Score settings'!$E$16,'Score settings'!$G$16,IF(M352/G352&gt;='Score settings'!$E$15,'Score settings'!$G$15,'Score settings'!$G$14))),0)/15*'Score settings'!$B$60+IFERROR(VLOOKUP(IF(ISNUMBER(N352),N352,IF(ISNUMBER(L352),L352,0)),'Score settings'!$E$22:$F$26,2,FALSE),0)/10*'Score settings'!$B$61)/'Score settings'!$B$9*'Score settings'!$D$9</x:f>
        <x:v>10</x:v>
      </x:c>
      <x:c r="AH352" s="41" t="n">
        <x:f>IF(B352="","",SUM(AB352:AG352))</x:f>
        <x:v>49</x:v>
      </x:c>
      <x:c r="AI352" s="41" t="str">
        <x:f>IF(NOT(ISNUMBER(AH352)),"Not scored",VLOOKUP(AH352,'Score settings'!$A$47:$C$50,3,TRUE))</x:f>
        <x:v>Strong</x:v>
      </x:c>
      <x:c r="AJ352" s="42" t="str">
        <x:f>IF(OR(NOT(ISNUMBER(AH352)),T352&lt;&gt;"Common pot"),"",COUNTIFS($T$4:$T$509,"Common pot",$AH$4:$AH$509,"&gt;"&amp;AH352)+1)</x:f>
      </x:c>
      <x:c r="AK352" s="36" t="str">
        <x:f>IF(B352="","Name missing - not scored",IF(OR(NOT(ISNUMBER(G352)),G352&lt;=0),"Investment missing or zero - review",IF(0=1,"Permanent ID missing - reconcile",IF(AND(ISNUMBER(H352),H352/G352&gt;='Score settings'!$B$58,NOT(ISNUMBER(I352))),"Benefit units need review",IF(OR(R352="EXIT",R352="CHALLENGE"),"Waste decision requires scope resolution",IF("Name and organisation matched"&lt;&gt;"Name and organisation matched","Waste evidence match needs review","Provisional source score - confirm evidence"))))))</x:f>
        <x:v>Provisional source score - confirm evidence</x:v>
      </x:c>
      <x:c r="AL352" s="36" t="n">
        <x:v>15</x:v>
      </x:c>
      <x:c r="AM352" s="40"/>
      <x:c r="AN352" s="39"/>
      <x:c r="AO352" s="40"/>
      <x:c r="AP352" s="40"/>
    </x:row>
    <x:row r="353" ht="15" hidden="0" customHeight="1">
      <x:c r="A353" s="36" t="str">
        <x:v>EW-24</x:v>
      </x:c>
      <x:c r="B353" s="37" t="str">
        <x:v>China Data Lake 2027 Change&amp;Sustain</x:v>
      </x:c>
      <x:c r="C353" s="36" t="str">
        <x:v>EW</x:v>
      </x:c>
      <x:c r="D353" s="36" t="str">
        <x:v>Greater China </x:v>
      </x:c>
      <x:c r="E353" s="38" t="n">
        <x:v>0.4</x:v>
      </x:c>
      <x:c r="F353" s="39"/>
      <x:c r="G353" s="38" t="n">
        <x:f>IF(ISNUMBER(F353),F353,IF(E353="","",E353))</x:f>
        <x:v>0.4</x:v>
      </x:c>
      <x:c r="H353" s="38"/>
      <x:c r="I353" s="39"/>
      <x:c r="J353" s="36" t="str">
        <x:v>Risk exposure</x:v>
      </x:c>
      <x:c r="K353" s="38" t="str">
        <x:f>IF(ISNUMBER(I353),I353,IF(OR(NOT(ISNUMBER(H353)),NOT(ISNUMBER(G353)),G353&lt;=0),"",IF(H353/G353&gt;='Score settings'!$B$58,"",IF(J353="Cash savings",H353,IF(J353="Revenue",H353*'Score settings'!$B$55,"")))))</x:f>
      </x:c>
      <x:c r="L353" s="36" t="n">
        <x:v>5</x:v>
      </x:c>
      <x:c r="M353" s="39"/>
      <x:c r="N353" s="40"/>
      <x:c r="O353" s="36" t="str">
        <x:v>Must Do</x:v>
      </x:c>
      <x:c r="P353" s="36" t="str">
        <x:v>CI</x:v>
      </x:c>
      <x:c r="Q353" s="36" t="str">
        <x:v>Compliance</x:v>
      </x:c>
      <x:c r="R353" s="36" t="str">
        <x:v>HEALTHY</x:v>
      </x:c>
      <x:c r="S353" s="36" t="str">
        <x:v>YES</x:v>
      </x:c>
      <x:c r="T353" s="36" t="str">
        <x:v>LFR validated candidate</x:v>
      </x:c>
      <x:c r="U353" s="41" t="n">
        <x:f>VLOOKUP("Priority|"&amp;O353,'Score settings'!$A$14:$C$43,2,FALSE)/'Score settings'!$B$4*'Score settings'!$C$4</x:f>
        <x:v>25</x:v>
      </x:c>
      <x:c r="V353" s="41" t="n">
        <x:f>VLOOKUP("Category|"&amp;P353,'Score settings'!$A$14:$C$43,2,FALSE)/'Score settings'!$B$5*'Score settings'!$C$5</x:f>
        <x:v>8</x:v>
      </x:c>
      <x:c r="W353" s="41" t="n">
        <x:f>VLOOKUP("Area|"&amp;Q353,'Score settings'!$A$14:$C$43,2,FALSE)/'Score settings'!$B$6*'Score settings'!$C$6</x:f>
        <x:v>15</x:v>
      </x:c>
      <x:c r="X353" s="41" t="n">
        <x:f>VLOOKUP("Benefits|"&amp;IF(AND(ISNUMBER(H353),H353&gt;0,ISNUMBER(G353),G353&gt;0),IF(H353/G353&gt;='Score settings'!$E$17,"3plus",IF(H353/G353&gt;='Score settings'!$E$16,"1.5to3",IF(H353/G353&gt;='Score settings'!$E$15,"0.5to1.5","positive"))),"None"),'Score settings'!$A$14:$C$43,2,FALSE)/'Score settings'!$B$7*'Score settings'!$C$7</x:f>
        <x:v>5</x:v>
      </x:c>
      <x:c r="Y353" s="41" t="n">
        <x:f>VLOOKUP("Waste|"&amp;R353,'Score settings'!$A$14:$C$43,2,FALSE)/'Score settings'!$B$8*'Score settings'!$C$8</x:f>
        <x:v>15</x:v>
      </x:c>
      <x:c r="Z353" s="41" t="n">
        <x:f>IF(B353="","",SUM(U353:Y353))</x:f>
        <x:v>68</x:v>
      </x:c>
      <x:c r="AA353" s="41" t="str">
        <x:f>IF(Z353="","Not scored",VLOOKUP(Z353,'Score settings'!$A$47:$C$50,2,TRUE))</x:f>
        <x:v>Protected</x:v>
      </x:c>
      <x:c r="AB353" s="41" t="n">
        <x:f>VLOOKUP("Priority|"&amp;O353,'Score settings'!$A$14:$C$43,3,FALSE)/'Score settings'!$B$4*'Score settings'!$D$4</x:f>
        <x:v>15</x:v>
      </x:c>
      <x:c r="AC353" s="41" t="n">
        <x:f>VLOOKUP("Category|"&amp;P353,'Score settings'!$A$14:$C$43,3,FALSE)/'Score settings'!$B$5*'Score settings'!$D$5</x:f>
        <x:v>4</x:v>
      </x:c>
      <x:c r="AD353" s="41" t="n">
        <x:f>VLOOKUP("Area|"&amp;Q353,'Score settings'!$A$14:$C$43,3,FALSE)/'Score settings'!$B$6*'Score settings'!$D$6</x:f>
        <x:v>10</x:v>
      </x:c>
      <x:c r="AE353" s="41" t="n">
        <x:f>VLOOKUP("Benefits|"&amp;IF(AND(ISNUMBER(K353),K353&gt;0,ISNUMBER(G353),G353&gt;0),IF(K353/G353&gt;='Score settings'!$E$17,"3plus",IF(K353/G353&gt;='Score settings'!$E$16,"1.5to3",IF(K353/G353&gt;='Score settings'!$E$15,"0.5to1.5","positive"))),"None"),'Score settings'!$A$14:$C$43,3,FALSE)/'Score settings'!$B$7*'Score settings'!$D$7</x:f>
        <x:v>0</x:v>
      </x:c>
      <x:c r="AF353" s="41" t="n">
        <x:f>VLOOKUP("Waste|"&amp;R353,'Score settings'!$A$14:$C$43,3,FALSE)/'Score settings'!$B$8*'Score settings'!$D$8</x:f>
        <x:v>10</x:v>
      </x:c>
      <x:c r="AG353" s="41" t="n">
        <x:f>(IF(AND(ISNUMBER(M353),M353&gt;0,ISNUMBER(G353),G353&gt;0),IF(M353/G353&gt;='Score settings'!$E$17,'Score settings'!$G$17,IF(M353/G353&gt;='Score settings'!$E$16,'Score settings'!$G$16,IF(M353/G353&gt;='Score settings'!$E$15,'Score settings'!$G$15,'Score settings'!$G$14))),0)/15*'Score settings'!$B$60+IFERROR(VLOOKUP(IF(ISNUMBER(N353),N353,IF(ISNUMBER(L353),L353,0)),'Score settings'!$E$22:$F$26,2,FALSE),0)/10*'Score settings'!$B$61)/'Score settings'!$B$9*'Score settings'!$D$9</x:f>
        <x:v>10</x:v>
      </x:c>
      <x:c r="AH353" s="41" t="n">
        <x:f>IF(B353="","",SUM(AB353:AG353))</x:f>
        <x:v>49</x:v>
      </x:c>
      <x:c r="AI353" s="41" t="str">
        <x:f>IF(NOT(ISNUMBER(AH353)),"Not scored",VLOOKUP(AH353,'Score settings'!$A$47:$C$50,3,TRUE))</x:f>
        <x:v>Strong</x:v>
      </x:c>
      <x:c r="AJ353" s="42" t="str">
        <x:f>IF(OR(NOT(ISNUMBER(AH353)),T353&lt;&gt;"Common pot"),"",COUNTIFS($T$4:$T$509,"Common pot",$AH$4:$AH$509,"&gt;"&amp;AH353)+1)</x:f>
      </x:c>
      <x:c r="AK353" s="36" t="str">
        <x:f>IF(B353="","Name missing - not scored",IF(OR(NOT(ISNUMBER(G353)),G353&lt;=0),"Investment missing or zero - review",IF(0=1,"Permanent ID missing - reconcile",IF(AND(ISNUMBER(H353),H353/G353&gt;='Score settings'!$B$58,NOT(ISNUMBER(I353))),"Benefit units need review",IF(OR(R353="EXIT",R353="CHALLENGE"),"Waste decision requires scope resolution",IF("Name and organisation matched"&lt;&gt;"Name and organisation matched","Waste evidence match needs review","Provisional source score - confirm evidence"))))))</x:f>
        <x:v>Provisional source score - confirm evidence</x:v>
      </x:c>
      <x:c r="AL353" s="36" t="n">
        <x:v>15</x:v>
      </x:c>
      <x:c r="AM353" s="40"/>
      <x:c r="AN353" s="39"/>
      <x:c r="AO353" s="40"/>
      <x:c r="AP353" s="40"/>
    </x:row>
    <x:row r="354" ht="15" hidden="0" customHeight="1">
      <x:c r="A354" s="36" t="str">
        <x:v>EW-25</x:v>
      </x:c>
      <x:c r="B354" s="37" t="str">
        <x:v>Service365 HK &amp; TW</x:v>
      </x:c>
      <x:c r="C354" s="36" t="str">
        <x:v>EW</x:v>
      </x:c>
      <x:c r="D354" s="36" t="str">
        <x:v>Greater China </x:v>
      </x:c>
      <x:c r="E354" s="38" t="n">
        <x:v>0.48</x:v>
      </x:c>
      <x:c r="F354" s="39"/>
      <x:c r="G354" s="38" t="n">
        <x:f>IF(ISNUMBER(F354),F354,IF(E354="","",E354))</x:f>
        <x:v>0.48</x:v>
      </x:c>
      <x:c r="H354" s="38" t="n">
        <x:v>0.9</x:v>
      </x:c>
      <x:c r="I354" s="39"/>
      <x:c r="J354" s="36" t="str">
        <x:v>Risk exposure</x:v>
      </x:c>
      <x:c r="K354" s="38" t="str">
        <x:f>IF(ISNUMBER(I354),I354,IF(OR(NOT(ISNUMBER(H354)),NOT(ISNUMBER(G354)),G354&lt;=0),"",IF(H354/G354&gt;='Score settings'!$B$58,"",IF(J354="Cash savings",H354,IF(J354="Revenue",H354*'Score settings'!$B$55,"")))))</x:f>
      </x:c>
      <x:c r="L354" s="36" t="n">
        <x:v>5</x:v>
      </x:c>
      <x:c r="M354" s="39"/>
      <x:c r="N354" s="40"/>
      <x:c r="O354" s="36" t="str">
        <x:v>Must Do</x:v>
      </x:c>
      <x:c r="P354" s="36" t="str">
        <x:v>CI</x:v>
      </x:c>
      <x:c r="Q354" s="36" t="str">
        <x:v>Compliance</x:v>
      </x:c>
      <x:c r="R354" s="36" t="str">
        <x:v>HEALTHY</x:v>
      </x:c>
      <x:c r="S354" s="36" t="str">
        <x:v>YES</x:v>
      </x:c>
      <x:c r="T354" s="36" t="str">
        <x:v>LFR validated candidate</x:v>
      </x:c>
      <x:c r="U354" s="41" t="n">
        <x:f>VLOOKUP("Priority|"&amp;O354,'Score settings'!$A$14:$C$43,2,FALSE)/'Score settings'!$B$4*'Score settings'!$C$4</x:f>
        <x:v>25</x:v>
      </x:c>
      <x:c r="V354" s="41" t="n">
        <x:f>VLOOKUP("Category|"&amp;P354,'Score settings'!$A$14:$C$43,2,FALSE)/'Score settings'!$B$5*'Score settings'!$C$5</x:f>
        <x:v>8</x:v>
      </x:c>
      <x:c r="W354" s="41" t="n">
        <x:f>VLOOKUP("Area|"&amp;Q354,'Score settings'!$A$14:$C$43,2,FALSE)/'Score settings'!$B$6*'Score settings'!$C$6</x:f>
        <x:v>15</x:v>
      </x:c>
      <x:c r="X354" s="41" t="n">
        <x:f>VLOOKUP("Benefits|"&amp;IF(AND(ISNUMBER(H354),H354&gt;0,ISNUMBER(G354),G354&gt;0),IF(H354/G354&gt;='Score settings'!$E$17,"3plus",IF(H354/G354&gt;='Score settings'!$E$16,"1.5to3",IF(H354/G354&gt;='Score settings'!$E$15,"0.5to1.5","positive"))),"None"),'Score settings'!$A$14:$C$43,2,FALSE)/'Score settings'!$B$7*'Score settings'!$C$7</x:f>
        <x:v>20</x:v>
      </x:c>
      <x:c r="Y354" s="41" t="n">
        <x:f>VLOOKUP("Waste|"&amp;R354,'Score settings'!$A$14:$C$43,2,FALSE)/'Score settings'!$B$8*'Score settings'!$C$8</x:f>
        <x:v>15</x:v>
      </x:c>
      <x:c r="Z354" s="41" t="n">
        <x:f>IF(B354="","",SUM(U354:Y354))</x:f>
        <x:v>83</x:v>
      </x:c>
      <x:c r="AA354" s="41" t="str">
        <x:f>IF(Z354="","Not scored",VLOOKUP(Z354,'Score settings'!$A$47:$C$50,2,TRUE))</x:f>
        <x:v>Protected</x:v>
      </x:c>
      <x:c r="AB354" s="41" t="n">
        <x:f>VLOOKUP("Priority|"&amp;O354,'Score settings'!$A$14:$C$43,3,FALSE)/'Score settings'!$B$4*'Score settings'!$D$4</x:f>
        <x:v>15</x:v>
      </x:c>
      <x:c r="AC354" s="41" t="n">
        <x:f>VLOOKUP("Category|"&amp;P354,'Score settings'!$A$14:$C$43,3,FALSE)/'Score settings'!$B$5*'Score settings'!$D$5</x:f>
        <x:v>4</x:v>
      </x:c>
      <x:c r="AD354" s="41" t="n">
        <x:f>VLOOKUP("Area|"&amp;Q354,'Score settings'!$A$14:$C$43,3,FALSE)/'Score settings'!$B$6*'Score settings'!$D$6</x:f>
        <x:v>10</x:v>
      </x:c>
      <x:c r="AE354" s="41" t="n">
        <x:f>VLOOKUP("Benefits|"&amp;IF(AND(ISNUMBER(K354),K354&gt;0,ISNUMBER(G354),G354&gt;0),IF(K354/G354&gt;='Score settings'!$E$17,"3plus",IF(K354/G354&gt;='Score settings'!$E$16,"1.5to3",IF(K354/G354&gt;='Score settings'!$E$15,"0.5to1.5","positive"))),"None"),'Score settings'!$A$14:$C$43,3,FALSE)/'Score settings'!$B$7*'Score settings'!$D$7</x:f>
        <x:v>0</x:v>
      </x:c>
      <x:c r="AF354" s="41" t="n">
        <x:f>VLOOKUP("Waste|"&amp;R354,'Score settings'!$A$14:$C$43,3,FALSE)/'Score settings'!$B$8*'Score settings'!$D$8</x:f>
        <x:v>10</x:v>
      </x:c>
      <x:c r="AG354" s="41" t="n">
        <x:f>(IF(AND(ISNUMBER(M354),M354&gt;0,ISNUMBER(G354),G354&gt;0),IF(M354/G354&gt;='Score settings'!$E$17,'Score settings'!$G$17,IF(M354/G354&gt;='Score settings'!$E$16,'Score settings'!$G$16,IF(M354/G354&gt;='Score settings'!$E$15,'Score settings'!$G$15,'Score settings'!$G$14))),0)/15*'Score settings'!$B$60+IFERROR(VLOOKUP(IF(ISNUMBER(N354),N354,IF(ISNUMBER(L354),L354,0)),'Score settings'!$E$22:$F$26,2,FALSE),0)/10*'Score settings'!$B$61)/'Score settings'!$B$9*'Score settings'!$D$9</x:f>
        <x:v>10</x:v>
      </x:c>
      <x:c r="AH354" s="41" t="n">
        <x:f>IF(B354="","",SUM(AB354:AG354))</x:f>
        <x:v>49</x:v>
      </x:c>
      <x:c r="AI354" s="41" t="str">
        <x:f>IF(NOT(ISNUMBER(AH354)),"Not scored",VLOOKUP(AH354,'Score settings'!$A$47:$C$50,3,TRUE))</x:f>
        <x:v>Strong</x:v>
      </x:c>
      <x:c r="AJ354" s="42" t="str">
        <x:f>IF(OR(NOT(ISNUMBER(AH354)),T354&lt;&gt;"Common pot"),"",COUNTIFS($T$4:$T$509,"Common pot",$AH$4:$AH$509,"&gt;"&amp;AH354)+1)</x:f>
      </x:c>
      <x:c r="AK354" s="36" t="str">
        <x:f>IF(B354="","Name missing - not scored",IF(OR(NOT(ISNUMBER(G354)),G354&lt;=0),"Investment missing or zero - review",IF(0=1,"Permanent ID missing - reconcile",IF(AND(ISNUMBER(H354),H354/G354&gt;='Score settings'!$B$58,NOT(ISNUMBER(I354))),"Benefit units need review",IF(OR(R354="EXIT",R354="CHALLENGE"),"Waste decision requires scope resolution",IF("Name and organisation matched"&lt;&gt;"Name and organisation matched","Waste evidence match needs review","Provisional source score - confirm evidence"))))))</x:f>
        <x:v>Provisional source score - confirm evidence</x:v>
      </x:c>
      <x:c r="AL354" s="36" t="n">
        <x:v>15</x:v>
      </x:c>
      <x:c r="AM354" s="40"/>
      <x:c r="AN354" s="39"/>
      <x:c r="AO354" s="40"/>
      <x:c r="AP354" s="40"/>
    </x:row>
    <x:row r="355" ht="15" hidden="0" customHeight="1">
      <x:c r="A355" s="36" t="str">
        <x:v>EW-26</x:v>
      </x:c>
      <x:c r="B355" s="37" t="str">
        <x:v>Claims Management</x:v>
      </x:c>
      <x:c r="C355" s="36" t="str">
        <x:v>EW</x:v>
      </x:c>
      <x:c r="D355" s="36" t="str"/>
      <x:c r="E355" s="38"/>
      <x:c r="F355" s="39"/>
      <x:c r="G355" s="38" t="str">
        <x:f>IF(ISNUMBER(F355),F355,IF(E355="","",E355))</x:f>
      </x:c>
      <x:c r="H355" s="38"/>
      <x:c r="I355" s="39"/>
      <x:c r="J355" s="36" t="str">
        <x:v>Unclassified</x:v>
      </x:c>
      <x:c r="K355" s="38" t="str">
        <x:f>IF(ISNUMBER(I355),I355,IF(OR(NOT(ISNUMBER(H355)),NOT(ISNUMBER(G355)),G355&lt;=0),"",IF(H355/G355&gt;='Score settings'!$B$58,"",IF(J355="Cash savings",H355,IF(J355="Revenue",H355*'Score settings'!$B$55,"")))))</x:f>
      </x:c>
      <x:c r="L355" s="36"/>
      <x:c r="M355" s="39"/>
      <x:c r="N355" s="40"/>
      <x:c r="O355" s="36" t="str">
        <x:v>Blank</x:v>
      </x:c>
      <x:c r="P355" s="36" t="str">
        <x:v>Blank</x:v>
      </x:c>
      <x:c r="Q355" s="36" t="str">
        <x:v>Blank</x:v>
      </x:c>
      <x:c r="R355" s="36" t="str">
        <x:v>NotAssessed</x:v>
      </x:c>
      <x:c r="S355" s="36" t="str"/>
      <x:c r="T355" s="36" t="str">
        <x:v>Common pot</x:v>
      </x:c>
      <x:c r="U355" s="41" t="n">
        <x:f>VLOOKUP("Priority|"&amp;O355,'Score settings'!$A$14:$C$43,2,FALSE)/'Score settings'!$B$4*'Score settings'!$C$4</x:f>
        <x:v>10</x:v>
      </x:c>
      <x:c r="V355" s="41" t="n">
        <x:f>VLOOKUP("Category|"&amp;P355,'Score settings'!$A$14:$C$43,2,FALSE)/'Score settings'!$B$5*'Score settings'!$C$5</x:f>
        <x:v>4</x:v>
      </x:c>
      <x:c r="W355" s="41" t="n">
        <x:f>VLOOKUP("Area|"&amp;Q355,'Score settings'!$A$14:$C$43,2,FALSE)/'Score settings'!$B$6*'Score settings'!$C$6</x:f>
        <x:v>3</x:v>
      </x:c>
      <x:c r="X355" s="41" t="n">
        <x:f>VLOOKUP("Benefits|"&amp;IF(AND(ISNUMBER(H355),H355&gt;0,ISNUMBER(G355),G355&gt;0),IF(H355/G355&gt;='Score settings'!$E$17,"3plus",IF(H355/G355&gt;='Score settings'!$E$16,"1.5to3",IF(H355/G355&gt;='Score settings'!$E$15,"0.5to1.5","positive"))),"None"),'Score settings'!$A$14:$C$43,2,FALSE)/'Score settings'!$B$7*'Score settings'!$C$7</x:f>
        <x:v>5</x:v>
      </x:c>
      <x:c r="Y355" s="41" t="n">
        <x:f>VLOOKUP("Waste|"&amp;R355,'Score settings'!$A$14:$C$43,2,FALSE)/'Score settings'!$B$8*'Score settings'!$C$8</x:f>
        <x:v>7</x:v>
      </x:c>
      <x:c r="Z355" s="41" t="n">
        <x:f>IF(B355="","",SUM(U355:Y355))</x:f>
        <x:v>29</x:v>
      </x:c>
      <x:c r="AA355" s="41" t="str">
        <x:f>IF(Z355="","Not scored",VLOOKUP(Z355,'Score settings'!$A$47:$C$50,2,TRUE))</x:f>
        <x:v>Discretionary</x:v>
      </x:c>
      <x:c r="AB355" s="41" t="n">
        <x:f>VLOOKUP("Priority|"&amp;O355,'Score settings'!$A$14:$C$43,3,FALSE)/'Score settings'!$B$4*'Score settings'!$D$4</x:f>
        <x:v>0</x:v>
      </x:c>
      <x:c r="AC355" s="41" t="n">
        <x:f>VLOOKUP("Category|"&amp;P355,'Score settings'!$A$14:$C$43,3,FALSE)/'Score settings'!$B$5*'Score settings'!$D$5</x:f>
        <x:v>0</x:v>
      </x:c>
      <x:c r="AD355" s="41" t="n">
        <x:f>VLOOKUP("Area|"&amp;Q355,'Score settings'!$A$14:$C$43,3,FALSE)/'Score settings'!$B$6*'Score settings'!$D$6</x:f>
        <x:v>0</x:v>
      </x:c>
      <x:c r="AE355" s="41" t="n">
        <x:f>VLOOKUP("Benefits|"&amp;IF(AND(ISNUMBER(K355),K355&gt;0,ISNUMBER(G355),G355&gt;0),IF(K355/G355&gt;='Score settings'!$E$17,"3plus",IF(K355/G355&gt;='Score settings'!$E$16,"1.5to3",IF(K355/G355&gt;='Score settings'!$E$15,"0.5to1.5","positive"))),"None"),'Score settings'!$A$14:$C$43,3,FALSE)/'Score settings'!$B$7*'Score settings'!$D$7</x:f>
        <x:v>0</x:v>
      </x:c>
      <x:c r="AF355" s="41" t="n">
        <x:f>VLOOKUP("Waste|"&amp;R355,'Score settings'!$A$14:$C$43,3,FALSE)/'Score settings'!$B$8*'Score settings'!$D$8</x:f>
        <x:v>0</x:v>
      </x:c>
      <x:c r="AG355" s="41" t="n">
        <x:f>(IF(AND(ISNUMBER(M355),M355&gt;0,ISNUMBER(G355),G355&gt;0),IF(M355/G355&gt;='Score settings'!$E$17,'Score settings'!$G$17,IF(M355/G355&gt;='Score settings'!$E$16,'Score settings'!$G$16,IF(M355/G355&gt;='Score settings'!$E$15,'Score settings'!$G$15,'Score settings'!$G$14))),0)/15*'Score settings'!$B$60+IFERROR(VLOOKUP(IF(ISNUMBER(N355),N355,IF(ISNUMBER(L355),L355,0)),'Score settings'!$E$22:$F$26,2,FALSE),0)/10*'Score settings'!$B$61)/'Score settings'!$B$9*'Score settings'!$D$9</x:f>
        <x:v>0</x:v>
      </x:c>
      <x:c r="AH355" s="41" t="n">
        <x:f>IF(B355="","",SUM(AB355:AG355))</x:f>
        <x:v>0</x:v>
      </x:c>
      <x:c r="AI355" s="41" t="str">
        <x:f>IF(NOT(ISNUMBER(AH355)),"Not scored",VLOOKUP(AH355,'Score settings'!$A$47:$C$50,3,TRUE))</x:f>
        <x:v>Weak</x:v>
      </x:c>
      <x:c r="AJ355" s="42" t="n">
        <x:f>IF(OR(NOT(ISNUMBER(AH355)),T355&lt;&gt;"Common pot"),"",COUNTIFS($T$4:$T$509,"Common pot",$AH$4:$AH$509,"&gt;"&amp;AH355)+1)</x:f>
        <x:v>398</x:v>
      </x:c>
      <x:c r="AK355" s="36" t="str">
        <x:f>IF(B355="","Name missing - not scored",IF(OR(NOT(ISNUMBER(G355)),G355&lt;=0),"Investment missing or zero - review",IF(0=1,"Permanent ID missing - reconcile",IF(AND(ISNUMBER(H355),H355/G355&gt;='Score settings'!$B$58,NOT(ISNUMBER(I355))),"Benefit units need review",IF(OR(R355="EXIT",R355="CHALLENGE"),"Waste decision requires scope resolution",IF("Name and organisation matched"&lt;&gt;"Name and organisation matched","Waste evidence match needs review","Provisional source score - confirm evidence"))))))</x:f>
        <x:v>Investment missing or zero - review</x:v>
      </x:c>
      <x:c r="AL355" s="36"/>
      <x:c r="AM355" s="40"/>
      <x:c r="AN355" s="39"/>
      <x:c r="AO355" s="40"/>
      <x:c r="AP355" s="40"/>
    </x:row>
    <x:row r="356" ht="15" hidden="0" customHeight="1">
      <x:c r="A356" s="36" t="str">
        <x:v>EW-27</x:v>
      </x:c>
      <x:c r="B356" s="37" t="str">
        <x:v>CCB Services IT</x:v>
      </x:c>
      <x:c r="C356" s="36" t="str">
        <x:v>EW</x:v>
      </x:c>
      <x:c r="D356" s="36" t="str">
        <x:v>Information Technology ​</x:v>
      </x:c>
      <x:c r="E356" s="38" t="n">
        <x:v>1.6</x:v>
      </x:c>
      <x:c r="F356" s="39"/>
      <x:c r="G356" s="38" t="n">
        <x:f>IF(ISNUMBER(F356),F356,IF(E356="","",E356))</x:f>
        <x:v>1.6</x:v>
      </x:c>
      <x:c r="H356" s="38"/>
      <x:c r="I356" s="39"/>
      <x:c r="J356" s="36" t="str">
        <x:v>Risk exposure</x:v>
      </x:c>
      <x:c r="K356" s="38" t="str">
        <x:f>IF(ISNUMBER(I356),I356,IF(OR(NOT(ISNUMBER(H356)),NOT(ISNUMBER(G356)),G356&lt;=0),"",IF(H356/G356&gt;='Score settings'!$B$58,"",IF(J356="Cash savings",H356,IF(J356="Revenue",H356*'Score settings'!$B$55,"")))))</x:f>
      </x:c>
      <x:c r="L356" s="36"/>
      <x:c r="M356" s="39"/>
      <x:c r="N356" s="40"/>
      <x:c r="O356" s="36" t="str">
        <x:v>Blank</x:v>
      </x:c>
      <x:c r="P356" s="36" t="str">
        <x:v>CI</x:v>
      </x:c>
      <x:c r="Q356" s="36" t="str">
        <x:v>Compliance</x:v>
      </x:c>
      <x:c r="R356" s="36" t="str">
        <x:v>NotAssessed</x:v>
      </x:c>
      <x:c r="S356" s="36" t="str"/>
      <x:c r="T356" s="36" t="str">
        <x:v>Change and Sustain candidate</x:v>
      </x:c>
      <x:c r="U356" s="41" t="n">
        <x:f>VLOOKUP("Priority|"&amp;O356,'Score settings'!$A$14:$C$43,2,FALSE)/'Score settings'!$B$4*'Score settings'!$C$4</x:f>
        <x:v>10</x:v>
      </x:c>
      <x:c r="V356" s="41" t="n">
        <x:f>VLOOKUP("Category|"&amp;P356,'Score settings'!$A$14:$C$43,2,FALSE)/'Score settings'!$B$5*'Score settings'!$C$5</x:f>
        <x:v>8</x:v>
      </x:c>
      <x:c r="W356" s="41" t="n">
        <x:f>VLOOKUP("Area|"&amp;Q356,'Score settings'!$A$14:$C$43,2,FALSE)/'Score settings'!$B$6*'Score settings'!$C$6</x:f>
        <x:v>15</x:v>
      </x:c>
      <x:c r="X356" s="41" t="n">
        <x:f>VLOOKUP("Benefits|"&amp;IF(AND(ISNUMBER(H356),H356&gt;0,ISNUMBER(G356),G356&gt;0),IF(H356/G356&gt;='Score settings'!$E$17,"3plus",IF(H356/G356&gt;='Score settings'!$E$16,"1.5to3",IF(H356/G356&gt;='Score settings'!$E$15,"0.5to1.5","positive"))),"None"),'Score settings'!$A$14:$C$43,2,FALSE)/'Score settings'!$B$7*'Score settings'!$C$7</x:f>
        <x:v>5</x:v>
      </x:c>
      <x:c r="Y356" s="41" t="n">
        <x:f>VLOOKUP("Waste|"&amp;R356,'Score settings'!$A$14:$C$43,2,FALSE)/'Score settings'!$B$8*'Score settings'!$C$8</x:f>
        <x:v>7</x:v>
      </x:c>
      <x:c r="Z356" s="41" t="n">
        <x:f>IF(B356="","",SUM(U356:Y356))</x:f>
        <x:v>45</x:v>
      </x:c>
      <x:c r="AA356" s="41" t="str">
        <x:f>IF(Z356="","Not scored",VLOOKUP(Z356,'Score settings'!$A$47:$C$50,2,TRUE))</x:f>
        <x:v>Strong</x:v>
      </x:c>
      <x:c r="AB356" s="41" t="n">
        <x:f>VLOOKUP("Priority|"&amp;O356,'Score settings'!$A$14:$C$43,3,FALSE)/'Score settings'!$B$4*'Score settings'!$D$4</x:f>
        <x:v>0</x:v>
      </x:c>
      <x:c r="AC356" s="41" t="n">
        <x:f>VLOOKUP("Category|"&amp;P356,'Score settings'!$A$14:$C$43,3,FALSE)/'Score settings'!$B$5*'Score settings'!$D$5</x:f>
        <x:v>4</x:v>
      </x:c>
      <x:c r="AD356" s="41" t="n">
        <x:f>VLOOKUP("Area|"&amp;Q356,'Score settings'!$A$14:$C$43,3,FALSE)/'Score settings'!$B$6*'Score settings'!$D$6</x:f>
        <x:v>10</x:v>
      </x:c>
      <x:c r="AE356" s="41" t="n">
        <x:f>VLOOKUP("Benefits|"&amp;IF(AND(ISNUMBER(K356),K356&gt;0,ISNUMBER(G356),G356&gt;0),IF(K356/G356&gt;='Score settings'!$E$17,"3plus",IF(K356/G356&gt;='Score settings'!$E$16,"1.5to3",IF(K356/G356&gt;='Score settings'!$E$15,"0.5to1.5","positive"))),"None"),'Score settings'!$A$14:$C$43,3,FALSE)/'Score settings'!$B$7*'Score settings'!$D$7</x:f>
        <x:v>0</x:v>
      </x:c>
      <x:c r="AF356" s="41" t="n">
        <x:f>VLOOKUP("Waste|"&amp;R356,'Score settings'!$A$14:$C$43,3,FALSE)/'Score settings'!$B$8*'Score settings'!$D$8</x:f>
        <x:v>0</x:v>
      </x:c>
      <x:c r="AG356" s="41" t="n">
        <x:f>(IF(AND(ISNUMBER(M356),M356&gt;0,ISNUMBER(G356),G356&gt;0),IF(M356/G356&gt;='Score settings'!$E$17,'Score settings'!$G$17,IF(M356/G356&gt;='Score settings'!$E$16,'Score settings'!$G$16,IF(M356/G356&gt;='Score settings'!$E$15,'Score settings'!$G$15,'Score settings'!$G$14))),0)/15*'Score settings'!$B$60+IFERROR(VLOOKUP(IF(ISNUMBER(N356),N356,IF(ISNUMBER(L356),L356,0)),'Score settings'!$E$22:$F$26,2,FALSE),0)/10*'Score settings'!$B$61)/'Score settings'!$B$9*'Score settings'!$D$9</x:f>
        <x:v>0</x:v>
      </x:c>
      <x:c r="AH356" s="41" t="n">
        <x:f>IF(B356="","",SUM(AB356:AG356))</x:f>
        <x:v>14</x:v>
      </x:c>
      <x:c r="AI356" s="41" t="str">
        <x:f>IF(NOT(ISNUMBER(AH356)),"Not scored",VLOOKUP(AH356,'Score settings'!$A$47:$C$50,3,TRUE))</x:f>
        <x:v>Weak</x:v>
      </x:c>
      <x:c r="AJ356" s="42" t="str">
        <x:f>IF(OR(NOT(ISNUMBER(AH356)),T356&lt;&gt;"Common pot"),"",COUNTIFS($T$4:$T$509,"Common pot",$AH$4:$AH$509,"&gt;"&amp;AH356)+1)</x:f>
      </x:c>
      <x:c r="AK356" s="36" t="str">
        <x:f>IF(B356="","Name missing - not scored",IF(OR(NOT(ISNUMBER(G356)),G356&lt;=0),"Investment missing or zero - review",IF(0=1,"Permanent ID missing - reconcile",IF(AND(ISNUMBER(H356),H356/G356&gt;='Score settings'!$B$58,NOT(ISNUMBER(I356))),"Benefit units need review",IF(OR(R356="EXIT",R356="CHALLENGE"),"Waste decision requires scope resolution",IF("No exact waste match"&lt;&gt;"Name and organisation matched","Waste evidence match needs review","Provisional source score - confirm evidence"))))))</x:f>
        <x:v>Waste evidence match needs review</x:v>
      </x:c>
      <x:c r="AL356" s="36"/>
      <x:c r="AM356" s="40"/>
      <x:c r="AN356" s="39"/>
      <x:c r="AO356" s="40"/>
      <x:c r="AP356" s="40"/>
    </x:row>
    <x:row r="357" ht="15" hidden="0" customHeight="1">
      <x:c r="A357" s="36" t="str">
        <x:v>EW-28</x:v>
      </x:c>
      <x:c r="B357" s="37" t="str">
        <x:v>NAR Government IT System &amp; Security</x:v>
      </x:c>
      <x:c r="C357" s="36" t="str">
        <x:v>EW</x:v>
      </x:c>
      <x:c r="D357" s="36" t="str">
        <x:v>North America</x:v>
      </x:c>
      <x:c r="E357" s="38" t="n">
        <x:v>0.777</x:v>
      </x:c>
      <x:c r="F357" s="39"/>
      <x:c r="G357" s="38" t="n">
        <x:f>IF(ISNUMBER(F357),F357,IF(E357="","",E357))</x:f>
        <x:v>0.777</x:v>
      </x:c>
      <x:c r="H357" s="38"/>
      <x:c r="I357" s="39"/>
      <x:c r="J357" s="36" t="str">
        <x:v>Risk exposure</x:v>
      </x:c>
      <x:c r="K357" s="38" t="str">
        <x:f>IF(ISNUMBER(I357),I357,IF(OR(NOT(ISNUMBER(H357)),NOT(ISNUMBER(G357)),G357&lt;=0),"",IF(H357/G357&gt;='Score settings'!$B$58,"",IF(J357="Cash savings",H357,IF(J357="Revenue",H357*'Score settings'!$B$55,"")))))</x:f>
      </x:c>
      <x:c r="L357" s="36" t="n">
        <x:v>5</x:v>
      </x:c>
      <x:c r="M357" s="39"/>
      <x:c r="N357" s="40"/>
      <x:c r="O357" s="36" t="str">
        <x:v>Must Do</x:v>
      </x:c>
      <x:c r="P357" s="36" t="str">
        <x:v>LFR</x:v>
      </x:c>
      <x:c r="Q357" s="36" t="str">
        <x:v>Compliance</x:v>
      </x:c>
      <x:c r="R357" s="36" t="str">
        <x:v>HEALTHY</x:v>
      </x:c>
      <x:c r="S357" s="36" t="str">
        <x:v>YES</x:v>
      </x:c>
      <x:c r="T357" s="36" t="str">
        <x:v>LFR validated candidate</x:v>
      </x:c>
      <x:c r="U357" s="41" t="n">
        <x:f>VLOOKUP("Priority|"&amp;O357,'Score settings'!$A$14:$C$43,2,FALSE)/'Score settings'!$B$4*'Score settings'!$C$4</x:f>
        <x:v>25</x:v>
      </x:c>
      <x:c r="V357" s="41" t="n">
        <x:f>VLOOKUP("Category|"&amp;P357,'Score settings'!$A$14:$C$43,2,FALSE)/'Score settings'!$B$5*'Score settings'!$C$5</x:f>
        <x:v>20</x:v>
      </x:c>
      <x:c r="W357" s="41" t="n">
        <x:f>VLOOKUP("Area|"&amp;Q357,'Score settings'!$A$14:$C$43,2,FALSE)/'Score settings'!$B$6*'Score settings'!$C$6</x:f>
        <x:v>15</x:v>
      </x:c>
      <x:c r="X357" s="41" t="n">
        <x:f>VLOOKUP("Benefits|"&amp;IF(AND(ISNUMBER(H357),H357&gt;0,ISNUMBER(G357),G357&gt;0),IF(H357/G357&gt;='Score settings'!$E$17,"3plus",IF(H357/G357&gt;='Score settings'!$E$16,"1.5to3",IF(H357/G357&gt;='Score settings'!$E$15,"0.5to1.5","positive"))),"None"),'Score settings'!$A$14:$C$43,2,FALSE)/'Score settings'!$B$7*'Score settings'!$C$7</x:f>
        <x:v>5</x:v>
      </x:c>
      <x:c r="Y357" s="41" t="n">
        <x:f>VLOOKUP("Waste|"&amp;R357,'Score settings'!$A$14:$C$43,2,FALSE)/'Score settings'!$B$8*'Score settings'!$C$8</x:f>
        <x:v>15</x:v>
      </x:c>
      <x:c r="Z357" s="41" t="n">
        <x:f>IF(B357="","",SUM(U357:Y357))</x:f>
        <x:v>80</x:v>
      </x:c>
      <x:c r="AA357" s="41" t="str">
        <x:f>IF(Z357="","Not scored",VLOOKUP(Z357,'Score settings'!$A$47:$C$50,2,TRUE))</x:f>
        <x:v>Protected</x:v>
      </x:c>
      <x:c r="AB357" s="41" t="n">
        <x:f>VLOOKUP("Priority|"&amp;O357,'Score settings'!$A$14:$C$43,3,FALSE)/'Score settings'!$B$4*'Score settings'!$D$4</x:f>
        <x:v>15</x:v>
      </x:c>
      <x:c r="AC357" s="41" t="n">
        <x:f>VLOOKUP("Category|"&amp;P357,'Score settings'!$A$14:$C$43,3,FALSE)/'Score settings'!$B$5*'Score settings'!$D$5</x:f>
        <x:v>10</x:v>
      </x:c>
      <x:c r="AD357" s="41" t="n">
        <x:f>VLOOKUP("Area|"&amp;Q357,'Score settings'!$A$14:$C$43,3,FALSE)/'Score settings'!$B$6*'Score settings'!$D$6</x:f>
        <x:v>10</x:v>
      </x:c>
      <x:c r="AE357" s="41" t="n">
        <x:f>VLOOKUP("Benefits|"&amp;IF(AND(ISNUMBER(K357),K357&gt;0,ISNUMBER(G357),G357&gt;0),IF(K357/G357&gt;='Score settings'!$E$17,"3plus",IF(K357/G357&gt;='Score settings'!$E$16,"1.5to3",IF(K357/G357&gt;='Score settings'!$E$15,"0.5to1.5","positive"))),"None"),'Score settings'!$A$14:$C$43,3,FALSE)/'Score settings'!$B$7*'Score settings'!$D$7</x:f>
        <x:v>0</x:v>
      </x:c>
      <x:c r="AF357" s="41" t="n">
        <x:f>VLOOKUP("Waste|"&amp;R357,'Score settings'!$A$14:$C$43,3,FALSE)/'Score settings'!$B$8*'Score settings'!$D$8</x:f>
        <x:v>10</x:v>
      </x:c>
      <x:c r="AG357" s="41" t="n">
        <x:f>(IF(AND(ISNUMBER(M357),M357&gt;0,ISNUMBER(G357),G357&gt;0),IF(M357/G357&gt;='Score settings'!$E$17,'Score settings'!$G$17,IF(M357/G357&gt;='Score settings'!$E$16,'Score settings'!$G$16,IF(M357/G357&gt;='Score settings'!$E$15,'Score settings'!$G$15,'Score settings'!$G$14))),0)/15*'Score settings'!$B$60+IFERROR(VLOOKUP(IF(ISNUMBER(N357),N357,IF(ISNUMBER(L357),L357,0)),'Score settings'!$E$22:$F$26,2,FALSE),0)/10*'Score settings'!$B$61)/'Score settings'!$B$9*'Score settings'!$D$9</x:f>
        <x:v>10</x:v>
      </x:c>
      <x:c r="AH357" s="41" t="n">
        <x:f>IF(B357="","",SUM(AB357:AG357))</x:f>
        <x:v>55</x:v>
      </x:c>
      <x:c r="AI357" s="41" t="str">
        <x:f>IF(NOT(ISNUMBER(AH357)),"Not scored",VLOOKUP(AH357,'Score settings'!$A$47:$C$50,3,TRUE))</x:f>
        <x:v>Strong</x:v>
      </x:c>
      <x:c r="AJ357" s="42" t="str">
        <x:f>IF(OR(NOT(ISNUMBER(AH357)),T357&lt;&gt;"Common pot"),"",COUNTIFS($T$4:$T$509,"Common pot",$AH$4:$AH$509,"&gt;"&amp;AH357)+1)</x:f>
      </x:c>
      <x:c r="AK357" s="36" t="str">
        <x:f>IF(B357="","Name missing - not scored",IF(OR(NOT(ISNUMBER(G357)),G357&lt;=0),"Investment missing or zero - review",IF(0=1,"Permanent ID missing - reconcile",IF(AND(ISNUMBER(H357),H357/G357&gt;='Score settings'!$B$58,NOT(ISNUMBER(I357))),"Benefit units need review",IF(OR(R357="EXIT",R357="CHALLENGE"),"Waste decision requires scope resolution",IF("Name and organisation matched"&lt;&gt;"Name and organisation matched","Waste evidence match needs review","Provisional source score - confirm evidence"))))))</x:f>
        <x:v>Provisional source score - confirm evidence</x:v>
      </x:c>
      <x:c r="AL357" s="36" t="n">
        <x:v>25</x:v>
      </x:c>
      <x:c r="AM357" s="40"/>
      <x:c r="AN357" s="39"/>
      <x:c r="AO357" s="40"/>
      <x:c r="AP357" s="40"/>
    </x:row>
    <x:row r="358" ht="15" hidden="0" customHeight="1">
      <x:c r="A358" s="36" t="str">
        <x:v>EW-29</x:v>
      </x:c>
      <x:c r="B358" s="37" t="str">
        <x:v>Technology Business Management and FinOps program</x:v>
      </x:c>
      <x:c r="C358" s="36" t="str">
        <x:v>EW</x:v>
      </x:c>
      <x:c r="D358" s="36" t="str">
        <x:v>Information Technology ​</x:v>
      </x:c>
      <x:c r="E358" s="38" t="n">
        <x:v>0.45</x:v>
      </x:c>
      <x:c r="F358" s="39"/>
      <x:c r="G358" s="38" t="n">
        <x:f>IF(ISNUMBER(F358),F358,IF(E358="","",E358))</x:f>
        <x:v>0.45</x:v>
      </x:c>
      <x:c r="H358" s="38"/>
      <x:c r="I358" s="39"/>
      <x:c r="J358" s="36" t="str">
        <x:v>Unclassified</x:v>
      </x:c>
      <x:c r="K358" s="38" t="str">
        <x:f>IF(ISNUMBER(I358),I358,IF(OR(NOT(ISNUMBER(H358)),NOT(ISNUMBER(G358)),G358&lt;=0),"",IF(H358/G358&gt;='Score settings'!$B$58,"",IF(J358="Cash savings",H358,IF(J358="Revenue",H358*'Score settings'!$B$55,"")))))</x:f>
      </x:c>
      <x:c r="L358" s="36"/>
      <x:c r="M358" s="39"/>
      <x:c r="N358" s="40"/>
      <x:c r="O358" s="36" t="str">
        <x:v>Blank</x:v>
      </x:c>
      <x:c r="P358" s="36" t="str">
        <x:v>NewFeat</x:v>
      </x:c>
      <x:c r="Q358" s="36" t="str">
        <x:v>Blank</x:v>
      </x:c>
      <x:c r="R358" s="36" t="str">
        <x:v>HEALTHY</x:v>
      </x:c>
      <x:c r="S358" s="36" t="str"/>
      <x:c r="T358" s="36" t="str">
        <x:v>Common pot</x:v>
      </x:c>
      <x:c r="U358" s="41" t="n">
        <x:f>VLOOKUP("Priority|"&amp;O358,'Score settings'!$A$14:$C$43,2,FALSE)/'Score settings'!$B$4*'Score settings'!$C$4</x:f>
        <x:v>10</x:v>
      </x:c>
      <x:c r="V358" s="41" t="n">
        <x:f>VLOOKUP("Category|"&amp;P358,'Score settings'!$A$14:$C$43,2,FALSE)/'Score settings'!$B$5*'Score settings'!$C$5</x:f>
        <x:v>6</x:v>
      </x:c>
      <x:c r="W358" s="41" t="n">
        <x:f>VLOOKUP("Area|"&amp;Q358,'Score settings'!$A$14:$C$43,2,FALSE)/'Score settings'!$B$6*'Score settings'!$C$6</x:f>
        <x:v>3</x:v>
      </x:c>
      <x:c r="X358" s="41" t="n">
        <x:f>VLOOKUP("Benefits|"&amp;IF(AND(ISNUMBER(H358),H358&gt;0,ISNUMBER(G358),G358&gt;0),IF(H358/G358&gt;='Score settings'!$E$17,"3plus",IF(H358/G358&gt;='Score settings'!$E$16,"1.5to3",IF(H358/G358&gt;='Score settings'!$E$15,"0.5to1.5","positive"))),"None"),'Score settings'!$A$14:$C$43,2,FALSE)/'Score settings'!$B$7*'Score settings'!$C$7</x:f>
        <x:v>5</x:v>
      </x:c>
      <x:c r="Y358" s="41" t="n">
        <x:f>VLOOKUP("Waste|"&amp;R358,'Score settings'!$A$14:$C$43,2,FALSE)/'Score settings'!$B$8*'Score settings'!$C$8</x:f>
        <x:v>15</x:v>
      </x:c>
      <x:c r="Z358" s="41" t="n">
        <x:f>IF(B358="","",SUM(U358:Y358))</x:f>
        <x:v>39</x:v>
      </x:c>
      <x:c r="AA358" s="41" t="str">
        <x:f>IF(Z358="","Not scored",VLOOKUP(Z358,'Score settings'!$A$47:$C$50,2,TRUE))</x:f>
        <x:v>Discretionary</x:v>
      </x:c>
      <x:c r="AB358" s="41" t="n">
        <x:f>VLOOKUP("Priority|"&amp;O358,'Score settings'!$A$14:$C$43,3,FALSE)/'Score settings'!$B$4*'Score settings'!$D$4</x:f>
        <x:v>0</x:v>
      </x:c>
      <x:c r="AC358" s="41" t="n">
        <x:f>VLOOKUP("Category|"&amp;P358,'Score settings'!$A$14:$C$43,3,FALSE)/'Score settings'!$B$5*'Score settings'!$D$5</x:f>
        <x:v>3</x:v>
      </x:c>
      <x:c r="AD358" s="41" t="n">
        <x:f>VLOOKUP("Area|"&amp;Q358,'Score settings'!$A$14:$C$43,3,FALSE)/'Score settings'!$B$6*'Score settings'!$D$6</x:f>
        <x:v>0</x:v>
      </x:c>
      <x:c r="AE358" s="41" t="n">
        <x:f>VLOOKUP("Benefits|"&amp;IF(AND(ISNUMBER(K358),K358&gt;0,ISNUMBER(G358),G358&gt;0),IF(K358/G358&gt;='Score settings'!$E$17,"3plus",IF(K358/G358&gt;='Score settings'!$E$16,"1.5to3",IF(K358/G358&gt;='Score settings'!$E$15,"0.5to1.5","positive"))),"None"),'Score settings'!$A$14:$C$43,3,FALSE)/'Score settings'!$B$7*'Score settings'!$D$7</x:f>
        <x:v>0</x:v>
      </x:c>
      <x:c r="AF358" s="41" t="n">
        <x:f>VLOOKUP("Waste|"&amp;R358,'Score settings'!$A$14:$C$43,3,FALSE)/'Score settings'!$B$8*'Score settings'!$D$8</x:f>
        <x:v>10</x:v>
      </x:c>
      <x:c r="AG358" s="41" t="n">
        <x:f>(IF(AND(ISNUMBER(M358),M358&gt;0,ISNUMBER(G358),G358&gt;0),IF(M358/G358&gt;='Score settings'!$E$17,'Score settings'!$G$17,IF(M358/G358&gt;='Score settings'!$E$16,'Score settings'!$G$16,IF(M358/G358&gt;='Score settings'!$E$15,'Score settings'!$G$15,'Score settings'!$G$14))),0)/15*'Score settings'!$B$60+IFERROR(VLOOKUP(IF(ISNUMBER(N358),N358,IF(ISNUMBER(L358),L358,0)),'Score settings'!$E$22:$F$26,2,FALSE),0)/10*'Score settings'!$B$61)/'Score settings'!$B$9*'Score settings'!$D$9</x:f>
        <x:v>0</x:v>
      </x:c>
      <x:c r="AH358" s="41" t="n">
        <x:f>IF(B358="","",SUM(AB358:AG358))</x:f>
        <x:v>13</x:v>
      </x:c>
      <x:c r="AI358" s="41" t="str">
        <x:f>IF(NOT(ISNUMBER(AH358)),"Not scored",VLOOKUP(AH358,'Score settings'!$A$47:$C$50,3,TRUE))</x:f>
        <x:v>Weak</x:v>
      </x:c>
      <x:c r="AJ358" s="42" t="n">
        <x:f>IF(OR(NOT(ISNUMBER(AH358)),T358&lt;&gt;"Common pot"),"",COUNTIFS($T$4:$T$509,"Common pot",$AH$4:$AH$509,"&gt;"&amp;AH358)+1)</x:f>
        <x:v>371</x:v>
      </x:c>
      <x:c r="AK358" s="36" t="str">
        <x:f>IF(B358="","Name missing - not scored",IF(OR(NOT(ISNUMBER(G358)),G358&lt;=0),"Investment missing or zero - review",IF(0=1,"Permanent ID missing - reconcile",IF(AND(ISNUMBER(H358),H358/G358&gt;='Score settings'!$B$58,NOT(ISNUMBER(I358))),"Benefit units need review",IF(OR(R358="EXIT",R358="CHALLENGE"),"Waste decision requires scope resolution",IF("Name and organisation matched"&lt;&gt;"Name and organisation matched","Waste evidence match needs review","Provisional source score - confirm evidence"))))))</x:f>
        <x:v>Provisional source score - confirm evidence</x:v>
      </x:c>
      <x:c r="AL358" s="36"/>
      <x:c r="AM358" s="40"/>
      <x:c r="AN358" s="39"/>
      <x:c r="AO358" s="40"/>
      <x:c r="AP358" s="40"/>
    </x:row>
    <x:row r="359" ht="15" hidden="0" customHeight="1">
      <x:c r="A359" s="36" t="str">
        <x:v>EW-32</x:v>
      </x:c>
      <x:c r="B359" s="37" t="str">
        <x:v>EADI - AI</x:v>
      </x:c>
      <x:c r="C359" s="36" t="str">
        <x:v>EW</x:v>
      </x:c>
      <x:c r="D359" s="36" t="str">
        <x:v>Information Technology ​</x:v>
      </x:c>
      <x:c r="E359" s="38" t="n">
        <x:v>0.2</x:v>
      </x:c>
      <x:c r="F359" s="39"/>
      <x:c r="G359" s="38" t="n">
        <x:f>IF(ISNUMBER(F359),F359,IF(E359="","",E359))</x:f>
        <x:v>0.2</x:v>
      </x:c>
      <x:c r="H359" s="38"/>
      <x:c r="I359" s="39"/>
      <x:c r="J359" s="36" t="str">
        <x:v>Cash savings</x:v>
      </x:c>
      <x:c r="K359" s="38" t="str">
        <x:f>IF(ISNUMBER(I359),I359,IF(OR(NOT(ISNUMBER(H359)),NOT(ISNUMBER(G359)),G359&lt;=0),"",IF(H359/G359&gt;='Score settings'!$B$58,"",IF(J359="Cash savings",H359,IF(J359="Revenue",H359*'Score settings'!$B$55,"")))))</x:f>
      </x:c>
      <x:c r="L359" s="36"/>
      <x:c r="M359" s="39"/>
      <x:c r="N359" s="40"/>
      <x:c r="O359" s="36" t="str">
        <x:v>Must Do</x:v>
      </x:c>
      <x:c r="P359" s="36" t="str">
        <x:v>AI</x:v>
      </x:c>
      <x:c r="Q359" s="36" t="str">
        <x:v>ProcSimp</x:v>
      </x:c>
      <x:c r="R359" s="36" t="str">
        <x:v>HEALTHY</x:v>
      </x:c>
      <x:c r="S359" s="36" t="str"/>
      <x:c r="T359" s="36" t="str">
        <x:v>Common pot</x:v>
      </x:c>
      <x:c r="U359" s="41" t="n">
        <x:f>VLOOKUP("Priority|"&amp;O359,'Score settings'!$A$14:$C$43,2,FALSE)/'Score settings'!$B$4*'Score settings'!$C$4</x:f>
        <x:v>25</x:v>
      </x:c>
      <x:c r="V359" s="41" t="n">
        <x:f>VLOOKUP("Category|"&amp;P359,'Score settings'!$A$14:$C$43,2,FALSE)/'Score settings'!$B$5*'Score settings'!$C$5</x:f>
        <x:v>16</x:v>
      </x:c>
      <x:c r="W359" s="41" t="n">
        <x:f>VLOOKUP("Area|"&amp;Q359,'Score settings'!$A$14:$C$43,2,FALSE)/'Score settings'!$B$6*'Score settings'!$C$6</x:f>
        <x:v>12</x:v>
      </x:c>
      <x:c r="X359" s="41" t="n">
        <x:f>VLOOKUP("Benefits|"&amp;IF(AND(ISNUMBER(H359),H359&gt;0,ISNUMBER(G359),G359&gt;0),IF(H359/G359&gt;='Score settings'!$E$17,"3plus",IF(H359/G359&gt;='Score settings'!$E$16,"1.5to3",IF(H359/G359&gt;='Score settings'!$E$15,"0.5to1.5","positive"))),"None"),'Score settings'!$A$14:$C$43,2,FALSE)/'Score settings'!$B$7*'Score settings'!$C$7</x:f>
        <x:v>5</x:v>
      </x:c>
      <x:c r="Y359" s="41" t="n">
        <x:f>VLOOKUP("Waste|"&amp;R359,'Score settings'!$A$14:$C$43,2,FALSE)/'Score settings'!$B$8*'Score settings'!$C$8</x:f>
        <x:v>15</x:v>
      </x:c>
      <x:c r="Z359" s="41" t="n">
        <x:f>IF(B359="","",SUM(U359:Y359))</x:f>
        <x:v>73</x:v>
      </x:c>
      <x:c r="AA359" s="41" t="str">
        <x:f>IF(Z359="","Not scored",VLOOKUP(Z359,'Score settings'!$A$47:$C$50,2,TRUE))</x:f>
        <x:v>Protected</x:v>
      </x:c>
      <x:c r="AB359" s="41" t="n">
        <x:f>VLOOKUP("Priority|"&amp;O359,'Score settings'!$A$14:$C$43,3,FALSE)/'Score settings'!$B$4*'Score settings'!$D$4</x:f>
        <x:v>15</x:v>
      </x:c>
      <x:c r="AC359" s="41" t="n">
        <x:f>VLOOKUP("Category|"&amp;P359,'Score settings'!$A$14:$C$43,3,FALSE)/'Score settings'!$B$5*'Score settings'!$D$5</x:f>
        <x:v>8</x:v>
      </x:c>
      <x:c r="AD359" s="41" t="n">
        <x:f>VLOOKUP("Area|"&amp;Q359,'Score settings'!$A$14:$C$43,3,FALSE)/'Score settings'!$B$6*'Score settings'!$D$6</x:f>
        <x:v>8</x:v>
      </x:c>
      <x:c r="AE359" s="41" t="n">
        <x:f>VLOOKUP("Benefits|"&amp;IF(AND(ISNUMBER(K359),K359&gt;0,ISNUMBER(G359),G359&gt;0),IF(K359/G359&gt;='Score settings'!$E$17,"3plus",IF(K359/G359&gt;='Score settings'!$E$16,"1.5to3",IF(K359/G359&gt;='Score settings'!$E$15,"0.5to1.5","positive"))),"None"),'Score settings'!$A$14:$C$43,3,FALSE)/'Score settings'!$B$7*'Score settings'!$D$7</x:f>
        <x:v>0</x:v>
      </x:c>
      <x:c r="AF359" s="41" t="n">
        <x:f>VLOOKUP("Waste|"&amp;R359,'Score settings'!$A$14:$C$43,3,FALSE)/'Score settings'!$B$8*'Score settings'!$D$8</x:f>
        <x:v>10</x:v>
      </x:c>
      <x:c r="AG359" s="41" t="n">
        <x:f>(IF(AND(ISNUMBER(M359),M359&gt;0,ISNUMBER(G359),G359&gt;0),IF(M359/G359&gt;='Score settings'!$E$17,'Score settings'!$G$17,IF(M359/G359&gt;='Score settings'!$E$16,'Score settings'!$G$16,IF(M359/G359&gt;='Score settings'!$E$15,'Score settings'!$G$15,'Score settings'!$G$14))),0)/15*'Score settings'!$B$60+IFERROR(VLOOKUP(IF(ISNUMBER(N359),N359,IF(ISNUMBER(L359),L359,0)),'Score settings'!$E$22:$F$26,2,FALSE),0)/10*'Score settings'!$B$61)/'Score settings'!$B$9*'Score settings'!$D$9</x:f>
        <x:v>0</x:v>
      </x:c>
      <x:c r="AH359" s="41" t="n">
        <x:f>IF(B359="","",SUM(AB359:AG359))</x:f>
        <x:v>41</x:v>
      </x:c>
      <x:c r="AI359" s="41" t="str">
        <x:f>IF(NOT(ISNUMBER(AH359)),"Not scored",VLOOKUP(AH359,'Score settings'!$A$47:$C$50,3,TRUE))</x:f>
        <x:v>Discretionary</x:v>
      </x:c>
      <x:c r="AJ359" s="42" t="n">
        <x:f>IF(OR(NOT(ISNUMBER(AH359)),T359&lt;&gt;"Common pot"),"",COUNTIFS($T$4:$T$509,"Common pot",$AH$4:$AH$509,"&gt;"&amp;AH359)+1)</x:f>
        <x:v>89</x:v>
      </x:c>
      <x:c r="AK359" s="36" t="str">
        <x:f>IF(B359="","Name missing - not scored",IF(OR(NOT(ISNUMBER(G359)),G359&lt;=0),"Investment missing or zero - review",IF(0=1,"Permanent ID missing - reconcile",IF(AND(ISNUMBER(H359),H359/G359&gt;='Score settings'!$B$58,NOT(ISNUMBER(I359))),"Benefit units need review",IF(OR(R359="EXIT",R359="CHALLENGE"),"Waste decision requires scope resolution",IF("Name and organisation matched"&lt;&gt;"Name and organisation matched","Waste evidence match needs review","Provisional source score - confirm evidence"))))))</x:f>
        <x:v>Provisional source score - confirm evidence</x:v>
      </x:c>
      <x:c r="AL359" s="36"/>
      <x:c r="AM359" s="40"/>
      <x:c r="AN359" s="39"/>
      <x:c r="AO359" s="40"/>
      <x:c r="AP359" s="40"/>
    </x:row>
    <x:row r="360" ht="15" hidden="0" customHeight="1">
      <x:c r="A360" s="36" t="str">
        <x:v>EW-33</x:v>
      </x:c>
      <x:c r="B360" s="37" t="str">
        <x:v>EADI - Modeling</x:v>
      </x:c>
      <x:c r="C360" s="36" t="str">
        <x:v>EW</x:v>
      </x:c>
      <x:c r="D360" s="36" t="str">
        <x:v>Information Technology ​</x:v>
      </x:c>
      <x:c r="E360" s="38" t="n">
        <x:v>0.12</x:v>
      </x:c>
      <x:c r="F360" s="39"/>
      <x:c r="G360" s="38" t="n">
        <x:f>IF(ISNUMBER(F360),F360,IF(E360="","",E360))</x:f>
        <x:v>0.12</x:v>
      </x:c>
      <x:c r="H360" s="38"/>
      <x:c r="I360" s="39"/>
      <x:c r="J360" s="36" t="str">
        <x:v>Cash savings</x:v>
      </x:c>
      <x:c r="K360" s="38" t="str">
        <x:f>IF(ISNUMBER(I360),I360,IF(OR(NOT(ISNUMBER(H360)),NOT(ISNUMBER(G360)),G360&lt;=0),"",IF(H360/G360&gt;='Score settings'!$B$58,"",IF(J360="Cash savings",H360,IF(J360="Revenue",H360*'Score settings'!$B$55,"")))))</x:f>
      </x:c>
      <x:c r="L360" s="36"/>
      <x:c r="M360" s="39"/>
      <x:c r="N360" s="40"/>
      <x:c r="O360" s="36" t="str">
        <x:v>Must Do</x:v>
      </x:c>
      <x:c r="P360" s="36" t="str">
        <x:v>Upgrades</x:v>
      </x:c>
      <x:c r="Q360" s="36" t="str">
        <x:v>Productivity</x:v>
      </x:c>
      <x:c r="R360" s="36" t="str">
        <x:v>HEALTHY</x:v>
      </x:c>
      <x:c r="S360" s="36" t="str"/>
      <x:c r="T360" s="36" t="str">
        <x:v>Common pot</x:v>
      </x:c>
      <x:c r="U360" s="41" t="n">
        <x:f>VLOOKUP("Priority|"&amp;O360,'Score settings'!$A$14:$C$43,2,FALSE)/'Score settings'!$B$4*'Score settings'!$C$4</x:f>
        <x:v>25</x:v>
      </x:c>
      <x:c r="V360" s="41" t="n">
        <x:f>VLOOKUP("Category|"&amp;P360,'Score settings'!$A$14:$C$43,2,FALSE)/'Score settings'!$B$5*'Score settings'!$C$5</x:f>
        <x:v>10</x:v>
      </x:c>
      <x:c r="W360" s="41" t="n">
        <x:f>VLOOKUP("Area|"&amp;Q360,'Score settings'!$A$14:$C$43,2,FALSE)/'Score settings'!$B$6*'Score settings'!$C$6</x:f>
        <x:v>10</x:v>
      </x:c>
      <x:c r="X360" s="41" t="n">
        <x:f>VLOOKUP("Benefits|"&amp;IF(AND(ISNUMBER(H360),H360&gt;0,ISNUMBER(G360),G360&gt;0),IF(H360/G360&gt;='Score settings'!$E$17,"3plus",IF(H360/G360&gt;='Score settings'!$E$16,"1.5to3",IF(H360/G360&gt;='Score settings'!$E$15,"0.5to1.5","positive"))),"None"),'Score settings'!$A$14:$C$43,2,FALSE)/'Score settings'!$B$7*'Score settings'!$C$7</x:f>
        <x:v>5</x:v>
      </x:c>
      <x:c r="Y360" s="41" t="n">
        <x:f>VLOOKUP("Waste|"&amp;R360,'Score settings'!$A$14:$C$43,2,FALSE)/'Score settings'!$B$8*'Score settings'!$C$8</x:f>
        <x:v>15</x:v>
      </x:c>
      <x:c r="Z360" s="41" t="n">
        <x:f>IF(B360="","",SUM(U360:Y360))</x:f>
        <x:v>65</x:v>
      </x:c>
      <x:c r="AA360" s="41" t="str">
        <x:f>IF(Z360="","Not scored",VLOOKUP(Z360,'Score settings'!$A$47:$C$50,2,TRUE))</x:f>
        <x:v>Protected</x:v>
      </x:c>
      <x:c r="AB360" s="41" t="n">
        <x:f>VLOOKUP("Priority|"&amp;O360,'Score settings'!$A$14:$C$43,3,FALSE)/'Score settings'!$B$4*'Score settings'!$D$4</x:f>
        <x:v>15</x:v>
      </x:c>
      <x:c r="AC360" s="41" t="n">
        <x:f>VLOOKUP("Category|"&amp;P360,'Score settings'!$A$14:$C$43,3,FALSE)/'Score settings'!$B$5*'Score settings'!$D$5</x:f>
        <x:v>5</x:v>
      </x:c>
      <x:c r="AD360" s="41" t="n">
        <x:f>VLOOKUP("Area|"&amp;Q360,'Score settings'!$A$14:$C$43,3,FALSE)/'Score settings'!$B$6*'Score settings'!$D$6</x:f>
        <x:v>6.666666666666666</x:v>
      </x:c>
      <x:c r="AE360" s="41" t="n">
        <x:f>VLOOKUP("Benefits|"&amp;IF(AND(ISNUMBER(K360),K360&gt;0,ISNUMBER(G360),G360&gt;0),IF(K360/G360&gt;='Score settings'!$E$17,"3plus",IF(K360/G360&gt;='Score settings'!$E$16,"1.5to3",IF(K360/G360&gt;='Score settings'!$E$15,"0.5to1.5","positive"))),"None"),'Score settings'!$A$14:$C$43,3,FALSE)/'Score settings'!$B$7*'Score settings'!$D$7</x:f>
        <x:v>0</x:v>
      </x:c>
      <x:c r="AF360" s="41" t="n">
        <x:f>VLOOKUP("Waste|"&amp;R360,'Score settings'!$A$14:$C$43,3,FALSE)/'Score settings'!$B$8*'Score settings'!$D$8</x:f>
        <x:v>10</x:v>
      </x:c>
      <x:c r="AG360" s="41" t="n">
        <x:f>(IF(AND(ISNUMBER(M360),M360&gt;0,ISNUMBER(G360),G360&gt;0),IF(M360/G360&gt;='Score settings'!$E$17,'Score settings'!$G$17,IF(M360/G360&gt;='Score settings'!$E$16,'Score settings'!$G$16,IF(M360/G360&gt;='Score settings'!$E$15,'Score settings'!$G$15,'Score settings'!$G$14))),0)/15*'Score settings'!$B$60+IFERROR(VLOOKUP(IF(ISNUMBER(N360),N360,IF(ISNUMBER(L360),L360,0)),'Score settings'!$E$22:$F$26,2,FALSE),0)/10*'Score settings'!$B$61)/'Score settings'!$B$9*'Score settings'!$D$9</x:f>
        <x:v>0</x:v>
      </x:c>
      <x:c r="AH360" s="41" t="n">
        <x:f>IF(B360="","",SUM(AB360:AG360))</x:f>
        <x:v>36.666666666666664</x:v>
      </x:c>
      <x:c r="AI360" s="41" t="str">
        <x:f>IF(NOT(ISNUMBER(AH360)),"Not scored",VLOOKUP(AH360,'Score settings'!$A$47:$C$50,3,TRUE))</x:f>
        <x:v>Discretionary</x:v>
      </x:c>
      <x:c r="AJ360" s="42" t="n">
        <x:f>IF(OR(NOT(ISNUMBER(AH360)),T360&lt;&gt;"Common pot"),"",COUNTIFS($T$4:$T$509,"Common pot",$AH$4:$AH$509,"&gt;"&amp;AH360)+1)</x:f>
        <x:v>132</x:v>
      </x:c>
      <x:c r="AK360" s="36" t="str">
        <x:f>IF(B360="","Name missing - not scored",IF(OR(NOT(ISNUMBER(G360)),G360&lt;=0),"Investment missing or zero - review",IF(0=1,"Permanent ID missing - reconcile",IF(AND(ISNUMBER(H360),H360/G360&gt;='Score settings'!$B$58,NOT(ISNUMBER(I360))),"Benefit units need review",IF(OR(R360="EXIT",R360="CHALLENGE"),"Waste decision requires scope resolution",IF("Name and organisation matched"&lt;&gt;"Name and organisation matched","Waste evidence match needs review","Provisional source score - confirm evidence"))))))</x:f>
        <x:v>Provisional source score - confirm evidence</x:v>
      </x:c>
      <x:c r="AL360" s="36"/>
      <x:c r="AM360" s="40"/>
      <x:c r="AN360" s="39"/>
      <x:c r="AO360" s="40"/>
      <x:c r="AP360" s="40"/>
    </x:row>
    <x:row r="361" ht="15" hidden="0" customHeight="1">
      <x:c r="A361" s="36" t="str">
        <x:v>EW-34</x:v>
      </x:c>
      <x:c r="B361" s="37" t="str">
        <x:v>EADI - DataPlatform 2026</x:v>
      </x:c>
      <x:c r="C361" s="36" t="str">
        <x:v>EW</x:v>
      </x:c>
      <x:c r="D361" s="36" t="str">
        <x:v>Information Technology ​</x:v>
      </x:c>
      <x:c r="E361" s="38" t="n">
        <x:v>0.3</x:v>
      </x:c>
      <x:c r="F361" s="39"/>
      <x:c r="G361" s="38" t="n">
        <x:f>IF(ISNUMBER(F361),F361,IF(E361="","",E361))</x:f>
        <x:v>0.3</x:v>
      </x:c>
      <x:c r="H361" s="38" t="n">
        <x:v>0.6</x:v>
      </x:c>
      <x:c r="I361" s="39"/>
      <x:c r="J361" s="36" t="str">
        <x:v>Cash savings</x:v>
      </x:c>
      <x:c r="K361" s="38" t="n">
        <x:f>IF(ISNUMBER(I361),I361,IF(OR(NOT(ISNUMBER(H361)),NOT(ISNUMBER(G361)),G361&lt;=0),"",IF(H361/G361&gt;='Score settings'!$B$58,"",IF(J361="Cash savings",H361,IF(J361="Revenue",H361*'Score settings'!$B$55,"")))))</x:f>
        <x:v>0.6</x:v>
      </x:c>
      <x:c r="L361" s="36"/>
      <x:c r="M361" s="39"/>
      <x:c r="N361" s="40"/>
      <x:c r="O361" s="36" t="str">
        <x:v>Must Have</x:v>
      </x:c>
      <x:c r="P361" s="36" t="str">
        <x:v>Upgrades</x:v>
      </x:c>
      <x:c r="Q361" s="36" t="str">
        <x:v>ProcSimp</x:v>
      </x:c>
      <x:c r="R361" s="36" t="str">
        <x:v>HEALTHY</x:v>
      </x:c>
      <x:c r="S361" s="36" t="str"/>
      <x:c r="T361" s="36" t="str">
        <x:v>Common pot</x:v>
      </x:c>
      <x:c r="U361" s="41" t="n">
        <x:f>VLOOKUP("Priority|"&amp;O361,'Score settings'!$A$14:$C$43,2,FALSE)/'Score settings'!$B$4*'Score settings'!$C$4</x:f>
        <x:v>18</x:v>
      </x:c>
      <x:c r="V361" s="41" t="n">
        <x:f>VLOOKUP("Category|"&amp;P361,'Score settings'!$A$14:$C$43,2,FALSE)/'Score settings'!$B$5*'Score settings'!$C$5</x:f>
        <x:v>10</x:v>
      </x:c>
      <x:c r="W361" s="41" t="n">
        <x:f>VLOOKUP("Area|"&amp;Q361,'Score settings'!$A$14:$C$43,2,FALSE)/'Score settings'!$B$6*'Score settings'!$C$6</x:f>
        <x:v>12</x:v>
      </x:c>
      <x:c r="X361" s="41" t="n">
        <x:f>VLOOKUP("Benefits|"&amp;IF(AND(ISNUMBER(H361),H361&gt;0,ISNUMBER(G361),G361&gt;0),IF(H361/G361&gt;='Score settings'!$E$17,"3plus",IF(H361/G361&gt;='Score settings'!$E$16,"1.5to3",IF(H361/G361&gt;='Score settings'!$E$15,"0.5to1.5","positive"))),"None"),'Score settings'!$A$14:$C$43,2,FALSE)/'Score settings'!$B$7*'Score settings'!$C$7</x:f>
        <x:v>20</x:v>
      </x:c>
      <x:c r="Y361" s="41" t="n">
        <x:f>VLOOKUP("Waste|"&amp;R361,'Score settings'!$A$14:$C$43,2,FALSE)/'Score settings'!$B$8*'Score settings'!$C$8</x:f>
        <x:v>15</x:v>
      </x:c>
      <x:c r="Z361" s="41" t="n">
        <x:f>IF(B361="","",SUM(U361:Y361))</x:f>
        <x:v>75</x:v>
      </x:c>
      <x:c r="AA361" s="41" t="str">
        <x:f>IF(Z361="","Not scored",VLOOKUP(Z361,'Score settings'!$A$47:$C$50,2,TRUE))</x:f>
        <x:v>Protected</x:v>
      </x:c>
      <x:c r="AB361" s="41" t="n">
        <x:f>VLOOKUP("Priority|"&amp;O361,'Score settings'!$A$14:$C$43,3,FALSE)/'Score settings'!$B$4*'Score settings'!$D$4</x:f>
        <x:v>10.799999999999999</x:v>
      </x:c>
      <x:c r="AC361" s="41" t="n">
        <x:f>VLOOKUP("Category|"&amp;P361,'Score settings'!$A$14:$C$43,3,FALSE)/'Score settings'!$B$5*'Score settings'!$D$5</x:f>
        <x:v>5</x:v>
      </x:c>
      <x:c r="AD361" s="41" t="n">
        <x:f>VLOOKUP("Area|"&amp;Q361,'Score settings'!$A$14:$C$43,3,FALSE)/'Score settings'!$B$6*'Score settings'!$D$6</x:f>
        <x:v>8</x:v>
      </x:c>
      <x:c r="AE361" s="41" t="n">
        <x:f>VLOOKUP("Benefits|"&amp;IF(AND(ISNUMBER(K361),K361&gt;0,ISNUMBER(G361),G361&gt;0),IF(K361/G361&gt;='Score settings'!$E$17,"3plus",IF(K361/G361&gt;='Score settings'!$E$16,"1.5to3",IF(K361/G361&gt;='Score settings'!$E$15,"0.5to1.5","positive"))),"None"),'Score settings'!$A$14:$C$43,3,FALSE)/'Score settings'!$B$7*'Score settings'!$D$7</x:f>
        <x:v>24</x:v>
      </x:c>
      <x:c r="AF361" s="41" t="n">
        <x:f>VLOOKUP("Waste|"&amp;R361,'Score settings'!$A$14:$C$43,3,FALSE)/'Score settings'!$B$8*'Score settings'!$D$8</x:f>
        <x:v>10</x:v>
      </x:c>
      <x:c r="AG361" s="41" t="n">
        <x:f>(IF(AND(ISNUMBER(M361),M361&gt;0,ISNUMBER(G361),G361&gt;0),IF(M361/G361&gt;='Score settings'!$E$17,'Score settings'!$G$17,IF(M361/G361&gt;='Score settings'!$E$16,'Score settings'!$G$16,IF(M361/G361&gt;='Score settings'!$E$15,'Score settings'!$G$15,'Score settings'!$G$14))),0)/15*'Score settings'!$B$60+IFERROR(VLOOKUP(IF(ISNUMBER(N361),N361,IF(ISNUMBER(L361),L361,0)),'Score settings'!$E$22:$F$26,2,FALSE),0)/10*'Score settings'!$B$61)/'Score settings'!$B$9*'Score settings'!$D$9</x:f>
        <x:v>0</x:v>
      </x:c>
      <x:c r="AH361" s="41" t="n">
        <x:f>IF(B361="","",SUM(AB361:AG361))</x:f>
        <x:v>57.8</x:v>
      </x:c>
      <x:c r="AI361" s="41" t="str">
        <x:f>IF(NOT(ISNUMBER(AH361)),"Not scored",VLOOKUP(AH361,'Score settings'!$A$47:$C$50,3,TRUE))</x:f>
        <x:v>Strong</x:v>
      </x:c>
      <x:c r="AJ361" s="42" t="n">
        <x:f>IF(OR(NOT(ISNUMBER(AH361)),T361&lt;&gt;"Common pot"),"",COUNTIFS($T$4:$T$509,"Common pot",$AH$4:$AH$509,"&gt;"&amp;AH361)+1)</x:f>
        <x:v>25</x:v>
      </x:c>
      <x:c r="AK361" s="36" t="str">
        <x:f>IF(B361="","Name missing - not scored",IF(OR(NOT(ISNUMBER(G361)),G361&lt;=0),"Investment missing or zero - review",IF(0=1,"Permanent ID missing - reconcile",IF(AND(ISNUMBER(H361),H361/G361&gt;='Score settings'!$B$58,NOT(ISNUMBER(I361))),"Benefit units need review",IF(OR(R361="EXIT",R361="CHALLENGE"),"Waste decision requires scope resolution",IF("Name and organisation matched"&lt;&gt;"Name and organisation matched","Waste evidence match needs review","Provisional source score - confirm evidence"))))))</x:f>
        <x:v>Provisional source score - confirm evidence</x:v>
      </x:c>
      <x:c r="AL361" s="36"/>
      <x:c r="AM361" s="40"/>
      <x:c r="AN361" s="39"/>
      <x:c r="AO361" s="40"/>
      <x:c r="AP361" s="40"/>
    </x:row>
    <x:row r="362" ht="15" hidden="0" customHeight="1">
      <x:c r="A362" s="36" t="str">
        <x:v>EW-35</x:v>
      </x:c>
      <x:c r="B362" s="37" t="str">
        <x:v>EDI - AI Innovation - MCP, Voice, Automation, Business Inisights App</x:v>
      </x:c>
      <x:c r="C362" s="36" t="str">
        <x:v>EW</x:v>
      </x:c>
      <x:c r="D362" s="36" t="str">
        <x:v>Information Technology ​</x:v>
      </x:c>
      <x:c r="E362" s="38" t="n">
        <x:v>0.6</x:v>
      </x:c>
      <x:c r="F362" s="39"/>
      <x:c r="G362" s="38" t="n">
        <x:f>IF(ISNUMBER(F362),F362,IF(E362="","",E362))</x:f>
        <x:v>0.6</x:v>
      </x:c>
      <x:c r="H362" s="38"/>
      <x:c r="I362" s="39"/>
      <x:c r="J362" s="36" t="str">
        <x:v>Cash savings</x:v>
      </x:c>
      <x:c r="K362" s="38" t="str">
        <x:f>IF(ISNUMBER(I362),I362,IF(OR(NOT(ISNUMBER(H362)),NOT(ISNUMBER(G362)),G362&lt;=0),"",IF(H362/G362&gt;='Score settings'!$B$58,"",IF(J362="Cash savings",H362,IF(J362="Revenue",H362*'Score settings'!$B$55,"")))))</x:f>
      </x:c>
      <x:c r="L362" s="36"/>
      <x:c r="M362" s="39"/>
      <x:c r="N362" s="40"/>
      <x:c r="O362" s="36" t="str">
        <x:v>Must Do</x:v>
      </x:c>
      <x:c r="P362" s="36" t="str">
        <x:v>AI</x:v>
      </x:c>
      <x:c r="Q362" s="36" t="str">
        <x:v>ProcSimp</x:v>
      </x:c>
      <x:c r="R362" s="36" t="str">
        <x:v>HEALTHY</x:v>
      </x:c>
      <x:c r="S362" s="36" t="str"/>
      <x:c r="T362" s="36" t="str">
        <x:v>Common pot</x:v>
      </x:c>
      <x:c r="U362" s="41" t="n">
        <x:f>VLOOKUP("Priority|"&amp;O362,'Score settings'!$A$14:$C$43,2,FALSE)/'Score settings'!$B$4*'Score settings'!$C$4</x:f>
        <x:v>25</x:v>
      </x:c>
      <x:c r="V362" s="41" t="n">
        <x:f>VLOOKUP("Category|"&amp;P362,'Score settings'!$A$14:$C$43,2,FALSE)/'Score settings'!$B$5*'Score settings'!$C$5</x:f>
        <x:v>16</x:v>
      </x:c>
      <x:c r="W362" s="41" t="n">
        <x:f>VLOOKUP("Area|"&amp;Q362,'Score settings'!$A$14:$C$43,2,FALSE)/'Score settings'!$B$6*'Score settings'!$C$6</x:f>
        <x:v>12</x:v>
      </x:c>
      <x:c r="X362" s="41" t="n">
        <x:f>VLOOKUP("Benefits|"&amp;IF(AND(ISNUMBER(H362),H362&gt;0,ISNUMBER(G362),G362&gt;0),IF(H362/G362&gt;='Score settings'!$E$17,"3plus",IF(H362/G362&gt;='Score settings'!$E$16,"1.5to3",IF(H362/G362&gt;='Score settings'!$E$15,"0.5to1.5","positive"))),"None"),'Score settings'!$A$14:$C$43,2,FALSE)/'Score settings'!$B$7*'Score settings'!$C$7</x:f>
        <x:v>5</x:v>
      </x:c>
      <x:c r="Y362" s="41" t="n">
        <x:f>VLOOKUP("Waste|"&amp;R362,'Score settings'!$A$14:$C$43,2,FALSE)/'Score settings'!$B$8*'Score settings'!$C$8</x:f>
        <x:v>15</x:v>
      </x:c>
      <x:c r="Z362" s="41" t="n">
        <x:f>IF(B362="","",SUM(U362:Y362))</x:f>
        <x:v>73</x:v>
      </x:c>
      <x:c r="AA362" s="41" t="str">
        <x:f>IF(Z362="","Not scored",VLOOKUP(Z362,'Score settings'!$A$47:$C$50,2,TRUE))</x:f>
        <x:v>Protected</x:v>
      </x:c>
      <x:c r="AB362" s="41" t="n">
        <x:f>VLOOKUP("Priority|"&amp;O362,'Score settings'!$A$14:$C$43,3,FALSE)/'Score settings'!$B$4*'Score settings'!$D$4</x:f>
        <x:v>15</x:v>
      </x:c>
      <x:c r="AC362" s="41" t="n">
        <x:f>VLOOKUP("Category|"&amp;P362,'Score settings'!$A$14:$C$43,3,FALSE)/'Score settings'!$B$5*'Score settings'!$D$5</x:f>
        <x:v>8</x:v>
      </x:c>
      <x:c r="AD362" s="41" t="n">
        <x:f>VLOOKUP("Area|"&amp;Q362,'Score settings'!$A$14:$C$43,3,FALSE)/'Score settings'!$B$6*'Score settings'!$D$6</x:f>
        <x:v>8</x:v>
      </x:c>
      <x:c r="AE362" s="41" t="n">
        <x:f>VLOOKUP("Benefits|"&amp;IF(AND(ISNUMBER(K362),K362&gt;0,ISNUMBER(G362),G362&gt;0),IF(K362/G362&gt;='Score settings'!$E$17,"3plus",IF(K362/G362&gt;='Score settings'!$E$16,"1.5to3",IF(K362/G362&gt;='Score settings'!$E$15,"0.5to1.5","positive"))),"None"),'Score settings'!$A$14:$C$43,3,FALSE)/'Score settings'!$B$7*'Score settings'!$D$7</x:f>
        <x:v>0</x:v>
      </x:c>
      <x:c r="AF362" s="41" t="n">
        <x:f>VLOOKUP("Waste|"&amp;R362,'Score settings'!$A$14:$C$43,3,FALSE)/'Score settings'!$B$8*'Score settings'!$D$8</x:f>
        <x:v>10</x:v>
      </x:c>
      <x:c r="AG362" s="41" t="n">
        <x:f>(IF(AND(ISNUMBER(M362),M362&gt;0,ISNUMBER(G362),G362&gt;0),IF(M362/G362&gt;='Score settings'!$E$17,'Score settings'!$G$17,IF(M362/G362&gt;='Score settings'!$E$16,'Score settings'!$G$16,IF(M362/G362&gt;='Score settings'!$E$15,'Score settings'!$G$15,'Score settings'!$G$14))),0)/15*'Score settings'!$B$60+IFERROR(VLOOKUP(IF(ISNUMBER(N362),N362,IF(ISNUMBER(L362),L362,0)),'Score settings'!$E$22:$F$26,2,FALSE),0)/10*'Score settings'!$B$61)/'Score settings'!$B$9*'Score settings'!$D$9</x:f>
        <x:v>0</x:v>
      </x:c>
      <x:c r="AH362" s="41" t="n">
        <x:f>IF(B362="","",SUM(AB362:AG362))</x:f>
        <x:v>41</x:v>
      </x:c>
      <x:c r="AI362" s="41" t="str">
        <x:f>IF(NOT(ISNUMBER(AH362)),"Not scored",VLOOKUP(AH362,'Score settings'!$A$47:$C$50,3,TRUE))</x:f>
        <x:v>Discretionary</x:v>
      </x:c>
      <x:c r="AJ362" s="42" t="n">
        <x:f>IF(OR(NOT(ISNUMBER(AH362)),T362&lt;&gt;"Common pot"),"",COUNTIFS($T$4:$T$509,"Common pot",$AH$4:$AH$509,"&gt;"&amp;AH362)+1)</x:f>
        <x:v>89</x:v>
      </x:c>
      <x:c r="AK362" s="36" t="str">
        <x:f>IF(B362="","Name missing - not scored",IF(OR(NOT(ISNUMBER(G362)),G362&lt;=0),"Investment missing or zero - review",IF(0=1,"Permanent ID missing - reconcile",IF(AND(ISNUMBER(H362),H362/G362&gt;='Score settings'!$B$58,NOT(ISNUMBER(I362))),"Benefit units need review",IF(OR(R362="EXIT",R362="CHALLENGE"),"Waste decision requires scope resolution",IF("Name and organisation matched"&lt;&gt;"Name and organisation matched","Waste evidence match needs review","Provisional source score - confirm evidence"))))))</x:f>
        <x:v>Provisional source score - confirm evidence</x:v>
      </x:c>
      <x:c r="AL362" s="36"/>
      <x:c r="AM362" s="40"/>
      <x:c r="AN362" s="39"/>
      <x:c r="AO362" s="40"/>
      <x:c r="AP362" s="40"/>
    </x:row>
    <x:row r="363" ht="15" hidden="0" customHeight="1">
      <x:c r="A363" s="36" t="str">
        <x:v>EW-36</x:v>
      </x:c>
      <x:c r="B363" s="37" t="str">
        <x:v>EADI - Exploration AI capabilities for Supply Chain</x:v>
      </x:c>
      <x:c r="C363" s="36" t="str">
        <x:v>EW</x:v>
      </x:c>
      <x:c r="D363" s="36" t="str">
        <x:v>Information Technology ​</x:v>
      </x:c>
      <x:c r="E363" s="38" t="n">
        <x:v>0.1</x:v>
      </x:c>
      <x:c r="F363" s="39"/>
      <x:c r="G363" s="38" t="n">
        <x:f>IF(ISNUMBER(F363),F363,IF(E363="","",E363))</x:f>
        <x:v>0.1</x:v>
      </x:c>
      <x:c r="H363" s="38"/>
      <x:c r="I363" s="39"/>
      <x:c r="J363" s="36" t="str">
        <x:v>Cash savings</x:v>
      </x:c>
      <x:c r="K363" s="38" t="str">
        <x:f>IF(ISNUMBER(I363),I363,IF(OR(NOT(ISNUMBER(H363)),NOT(ISNUMBER(G363)),G363&lt;=0),"",IF(H363/G363&gt;='Score settings'!$B$58,"",IF(J363="Cash savings",H363,IF(J363="Revenue",H363*'Score settings'!$B$55,"")))))</x:f>
      </x:c>
      <x:c r="L363" s="36"/>
      <x:c r="M363" s="39"/>
      <x:c r="N363" s="40"/>
      <x:c r="O363" s="36" t="str">
        <x:v>Must Do</x:v>
      </x:c>
      <x:c r="P363" s="36" t="str">
        <x:v>AI</x:v>
      </x:c>
      <x:c r="Q363" s="36" t="str">
        <x:v>ProcSimp</x:v>
      </x:c>
      <x:c r="R363" s="36" t="str">
        <x:v>HEALTHY</x:v>
      </x:c>
      <x:c r="S363" s="36" t="str"/>
      <x:c r="T363" s="36" t="str">
        <x:v>Common pot</x:v>
      </x:c>
      <x:c r="U363" s="41" t="n">
        <x:f>VLOOKUP("Priority|"&amp;O363,'Score settings'!$A$14:$C$43,2,FALSE)/'Score settings'!$B$4*'Score settings'!$C$4</x:f>
        <x:v>25</x:v>
      </x:c>
      <x:c r="V363" s="41" t="n">
        <x:f>VLOOKUP("Category|"&amp;P363,'Score settings'!$A$14:$C$43,2,FALSE)/'Score settings'!$B$5*'Score settings'!$C$5</x:f>
        <x:v>16</x:v>
      </x:c>
      <x:c r="W363" s="41" t="n">
        <x:f>VLOOKUP("Area|"&amp;Q363,'Score settings'!$A$14:$C$43,2,FALSE)/'Score settings'!$B$6*'Score settings'!$C$6</x:f>
        <x:v>12</x:v>
      </x:c>
      <x:c r="X363" s="41" t="n">
        <x:f>VLOOKUP("Benefits|"&amp;IF(AND(ISNUMBER(H363),H363&gt;0,ISNUMBER(G363),G363&gt;0),IF(H363/G363&gt;='Score settings'!$E$17,"3plus",IF(H363/G363&gt;='Score settings'!$E$16,"1.5to3",IF(H363/G363&gt;='Score settings'!$E$15,"0.5to1.5","positive"))),"None"),'Score settings'!$A$14:$C$43,2,FALSE)/'Score settings'!$B$7*'Score settings'!$C$7</x:f>
        <x:v>5</x:v>
      </x:c>
      <x:c r="Y363" s="41" t="n">
        <x:f>VLOOKUP("Waste|"&amp;R363,'Score settings'!$A$14:$C$43,2,FALSE)/'Score settings'!$B$8*'Score settings'!$C$8</x:f>
        <x:v>15</x:v>
      </x:c>
      <x:c r="Z363" s="41" t="n">
        <x:f>IF(B363="","",SUM(U363:Y363))</x:f>
        <x:v>73</x:v>
      </x:c>
      <x:c r="AA363" s="41" t="str">
        <x:f>IF(Z363="","Not scored",VLOOKUP(Z363,'Score settings'!$A$47:$C$50,2,TRUE))</x:f>
        <x:v>Protected</x:v>
      </x:c>
      <x:c r="AB363" s="41" t="n">
        <x:f>VLOOKUP("Priority|"&amp;O363,'Score settings'!$A$14:$C$43,3,FALSE)/'Score settings'!$B$4*'Score settings'!$D$4</x:f>
        <x:v>15</x:v>
      </x:c>
      <x:c r="AC363" s="41" t="n">
        <x:f>VLOOKUP("Category|"&amp;P363,'Score settings'!$A$14:$C$43,3,FALSE)/'Score settings'!$B$5*'Score settings'!$D$5</x:f>
        <x:v>8</x:v>
      </x:c>
      <x:c r="AD363" s="41" t="n">
        <x:f>VLOOKUP("Area|"&amp;Q363,'Score settings'!$A$14:$C$43,3,FALSE)/'Score settings'!$B$6*'Score settings'!$D$6</x:f>
        <x:v>8</x:v>
      </x:c>
      <x:c r="AE363" s="41" t="n">
        <x:f>VLOOKUP("Benefits|"&amp;IF(AND(ISNUMBER(K363),K363&gt;0,ISNUMBER(G363),G363&gt;0),IF(K363/G363&gt;='Score settings'!$E$17,"3plus",IF(K363/G363&gt;='Score settings'!$E$16,"1.5to3",IF(K363/G363&gt;='Score settings'!$E$15,"0.5to1.5","positive"))),"None"),'Score settings'!$A$14:$C$43,3,FALSE)/'Score settings'!$B$7*'Score settings'!$D$7</x:f>
        <x:v>0</x:v>
      </x:c>
      <x:c r="AF363" s="41" t="n">
        <x:f>VLOOKUP("Waste|"&amp;R363,'Score settings'!$A$14:$C$43,3,FALSE)/'Score settings'!$B$8*'Score settings'!$D$8</x:f>
        <x:v>10</x:v>
      </x:c>
      <x:c r="AG363" s="41" t="n">
        <x:f>(IF(AND(ISNUMBER(M363),M363&gt;0,ISNUMBER(G363),G363&gt;0),IF(M363/G363&gt;='Score settings'!$E$17,'Score settings'!$G$17,IF(M363/G363&gt;='Score settings'!$E$16,'Score settings'!$G$16,IF(M363/G363&gt;='Score settings'!$E$15,'Score settings'!$G$15,'Score settings'!$G$14))),0)/15*'Score settings'!$B$60+IFERROR(VLOOKUP(IF(ISNUMBER(N363),N363,IF(ISNUMBER(L363),L363,0)),'Score settings'!$E$22:$F$26,2,FALSE),0)/10*'Score settings'!$B$61)/'Score settings'!$B$9*'Score settings'!$D$9</x:f>
        <x:v>0</x:v>
      </x:c>
      <x:c r="AH363" s="41" t="n">
        <x:f>IF(B363="","",SUM(AB363:AG363))</x:f>
        <x:v>41</x:v>
      </x:c>
      <x:c r="AI363" s="41" t="str">
        <x:f>IF(NOT(ISNUMBER(AH363)),"Not scored",VLOOKUP(AH363,'Score settings'!$A$47:$C$50,3,TRUE))</x:f>
        <x:v>Discretionary</x:v>
      </x:c>
      <x:c r="AJ363" s="42" t="n">
        <x:f>IF(OR(NOT(ISNUMBER(AH363)),T363&lt;&gt;"Common pot"),"",COUNTIFS($T$4:$T$509,"Common pot",$AH$4:$AH$509,"&gt;"&amp;AH363)+1)</x:f>
        <x:v>89</x:v>
      </x:c>
      <x:c r="AK363" s="36" t="str">
        <x:f>IF(B363="","Name missing - not scored",IF(OR(NOT(ISNUMBER(G363)),G363&lt;=0),"Investment missing or zero - review",IF(0=1,"Permanent ID missing - reconcile",IF(AND(ISNUMBER(H363),H363/G363&gt;='Score settings'!$B$58,NOT(ISNUMBER(I363))),"Benefit units need review",IF(OR(R363="EXIT",R363="CHALLENGE"),"Waste decision requires scope resolution",IF("Name and organisation matched"&lt;&gt;"Name and organisation matched","Waste evidence match needs review","Provisional source score - confirm evidence"))))))</x:f>
        <x:v>Provisional source score - confirm evidence</x:v>
      </x:c>
      <x:c r="AL363" s="36"/>
      <x:c r="AM363" s="40"/>
      <x:c r="AN363" s="39"/>
      <x:c r="AO363" s="40"/>
      <x:c r="AP363" s="40"/>
    </x:row>
    <x:row r="364" ht="24" hidden="0" customHeight="1">
      <x:c r="A364" s="36" t="str">
        <x:v>EW-37</x:v>
      </x:c>
      <x:c r="B364" s="37" t="str">
        <x:v>EADI - I&amp;A Business Intelligence Rationalisation  ( New name : EADI -I&amp;A CDM and AI asset engineering )</x:v>
      </x:c>
      <x:c r="C364" s="36" t="str">
        <x:v>EW</x:v>
      </x:c>
      <x:c r="D364" s="36" t="str">
        <x:v>Information Technology ​</x:v>
      </x:c>
      <x:c r="E364" s="38" t="n">
        <x:v>0.493</x:v>
      </x:c>
      <x:c r="F364" s="39"/>
      <x:c r="G364" s="38" t="n">
        <x:f>IF(ISNUMBER(F364),F364,IF(E364="","",E364))</x:f>
        <x:v>0.493</x:v>
      </x:c>
      <x:c r="H364" s="38"/>
      <x:c r="I364" s="39"/>
      <x:c r="J364" s="36" t="str">
        <x:v>Revenue</x:v>
      </x:c>
      <x:c r="K364" s="38" t="str">
        <x:f>IF(ISNUMBER(I364),I364,IF(OR(NOT(ISNUMBER(H364)),NOT(ISNUMBER(G364)),G364&lt;=0),"",IF(H364/G364&gt;='Score settings'!$B$58,"",IF(J364="Cash savings",H364,IF(J364="Revenue",H364*'Score settings'!$B$55,"")))))</x:f>
      </x:c>
      <x:c r="L364" s="36"/>
      <x:c r="M364" s="39"/>
      <x:c r="N364" s="40"/>
      <x:c r="O364" s="36" t="str">
        <x:v>Must Do</x:v>
      </x:c>
      <x:c r="P364" s="36" t="str">
        <x:v>AI</x:v>
      </x:c>
      <x:c r="Q364" s="36" t="str">
        <x:v>Revenue</x:v>
      </x:c>
      <x:c r="R364" s="36" t="str">
        <x:v>NotAssessed</x:v>
      </x:c>
      <x:c r="S364" s="36" t="str"/>
      <x:c r="T364" s="36" t="str">
        <x:v>Common pot</x:v>
      </x:c>
      <x:c r="U364" s="41" t="n">
        <x:f>VLOOKUP("Priority|"&amp;O364,'Score settings'!$A$14:$C$43,2,FALSE)/'Score settings'!$B$4*'Score settings'!$C$4</x:f>
        <x:v>25</x:v>
      </x:c>
      <x:c r="V364" s="41" t="n">
        <x:f>VLOOKUP("Category|"&amp;P364,'Score settings'!$A$14:$C$43,2,FALSE)/'Score settings'!$B$5*'Score settings'!$C$5</x:f>
        <x:v>16</x:v>
      </x:c>
      <x:c r="W364" s="41" t="n">
        <x:f>VLOOKUP("Area|"&amp;Q364,'Score settings'!$A$14:$C$43,2,FALSE)/'Score settings'!$B$6*'Score settings'!$C$6</x:f>
        <x:v>11</x:v>
      </x:c>
      <x:c r="X364" s="41" t="n">
        <x:f>VLOOKUP("Benefits|"&amp;IF(AND(ISNUMBER(H364),H364&gt;0,ISNUMBER(G364),G364&gt;0),IF(H364/G364&gt;='Score settings'!$E$17,"3plus",IF(H364/G364&gt;='Score settings'!$E$16,"1.5to3",IF(H364/G364&gt;='Score settings'!$E$15,"0.5to1.5","positive"))),"None"),'Score settings'!$A$14:$C$43,2,FALSE)/'Score settings'!$B$7*'Score settings'!$C$7</x:f>
        <x:v>5</x:v>
      </x:c>
      <x:c r="Y364" s="41" t="n">
        <x:f>VLOOKUP("Waste|"&amp;R364,'Score settings'!$A$14:$C$43,2,FALSE)/'Score settings'!$B$8*'Score settings'!$C$8</x:f>
        <x:v>7</x:v>
      </x:c>
      <x:c r="Z364" s="41" t="n">
        <x:f>IF(B364="","",SUM(U364:Y364))</x:f>
        <x:v>64</x:v>
      </x:c>
      <x:c r="AA364" s="41" t="str">
        <x:f>IF(Z364="","Not scored",VLOOKUP(Z364,'Score settings'!$A$47:$C$50,2,TRUE))</x:f>
        <x:v>Strong</x:v>
      </x:c>
      <x:c r="AB364" s="41" t="n">
        <x:f>VLOOKUP("Priority|"&amp;O364,'Score settings'!$A$14:$C$43,3,FALSE)/'Score settings'!$B$4*'Score settings'!$D$4</x:f>
        <x:v>15</x:v>
      </x:c>
      <x:c r="AC364" s="41" t="n">
        <x:f>VLOOKUP("Category|"&amp;P364,'Score settings'!$A$14:$C$43,3,FALSE)/'Score settings'!$B$5*'Score settings'!$D$5</x:f>
        <x:v>8</x:v>
      </x:c>
      <x:c r="AD364" s="41" t="n">
        <x:f>VLOOKUP("Area|"&amp;Q364,'Score settings'!$A$14:$C$43,3,FALSE)/'Score settings'!$B$6*'Score settings'!$D$6</x:f>
        <x:v>7.333333333333333</x:v>
      </x:c>
      <x:c r="AE364" s="41" t="n">
        <x:f>VLOOKUP("Benefits|"&amp;IF(AND(ISNUMBER(K364),K364&gt;0,ISNUMBER(G364),G364&gt;0),IF(K364/G364&gt;='Score settings'!$E$17,"3plus",IF(K364/G364&gt;='Score settings'!$E$16,"1.5to3",IF(K364/G364&gt;='Score settings'!$E$15,"0.5to1.5","positive"))),"None"),'Score settings'!$A$14:$C$43,3,FALSE)/'Score settings'!$B$7*'Score settings'!$D$7</x:f>
        <x:v>0</x:v>
      </x:c>
      <x:c r="AF364" s="41" t="n">
        <x:f>VLOOKUP("Waste|"&amp;R364,'Score settings'!$A$14:$C$43,3,FALSE)/'Score settings'!$B$8*'Score settings'!$D$8</x:f>
        <x:v>0</x:v>
      </x:c>
      <x:c r="AG364" s="41" t="n">
        <x:f>(IF(AND(ISNUMBER(M364),M364&gt;0,ISNUMBER(G364),G364&gt;0),IF(M364/G364&gt;='Score settings'!$E$17,'Score settings'!$G$17,IF(M364/G364&gt;='Score settings'!$E$16,'Score settings'!$G$16,IF(M364/G364&gt;='Score settings'!$E$15,'Score settings'!$G$15,'Score settings'!$G$14))),0)/15*'Score settings'!$B$60+IFERROR(VLOOKUP(IF(ISNUMBER(N364),N364,IF(ISNUMBER(L364),L364,0)),'Score settings'!$E$22:$F$26,2,FALSE),0)/10*'Score settings'!$B$61)/'Score settings'!$B$9*'Score settings'!$D$9</x:f>
        <x:v>0</x:v>
      </x:c>
      <x:c r="AH364" s="41" t="n">
        <x:f>IF(B364="","",SUM(AB364:AG364))</x:f>
        <x:v>30.333333333333332</x:v>
      </x:c>
      <x:c r="AI364" s="41" t="str">
        <x:f>IF(NOT(ISNUMBER(AH364)),"Not scored",VLOOKUP(AH364,'Score settings'!$A$47:$C$50,3,TRUE))</x:f>
        <x:v>Discretionary</x:v>
      </x:c>
      <x:c r="AJ364" s="42" t="n">
        <x:f>IF(OR(NOT(ISNUMBER(AH364)),T364&lt;&gt;"Common pot"),"",COUNTIFS($T$4:$T$509,"Common pot",$AH$4:$AH$509,"&gt;"&amp;AH364)+1)</x:f>
        <x:v>183</x:v>
      </x:c>
      <x:c r="AK364" s="36" t="str">
        <x:f>IF(B364="","Name missing - not scored",IF(OR(NOT(ISNUMBER(G364)),G364&lt;=0),"Investment missing or zero - review",IF(0=1,"Permanent ID missing - reconcile",IF(AND(ISNUMBER(H364),H364/G364&gt;='Score settings'!$B$58,NOT(ISNUMBER(I364))),"Benefit units need review",IF(OR(R364="EXIT",R364="CHALLENGE"),"Waste decision requires scope resolution",IF("No exact waste match"&lt;&gt;"Name and organisation matched","Waste evidence match needs review","Provisional source score - confirm evidence"))))))</x:f>
        <x:v>Waste evidence match needs review</x:v>
      </x:c>
      <x:c r="AL364" s="36"/>
      <x:c r="AM364" s="40"/>
      <x:c r="AN364" s="39"/>
      <x:c r="AO364" s="40"/>
      <x:c r="AP364" s="40"/>
    </x:row>
    <x:row r="365" ht="15" hidden="0" customHeight="1">
      <x:c r="A365" s="36" t="str">
        <x:v>EW-38</x:v>
      </x:c>
      <x:c r="B365" s="37" t="str">
        <x:v>EADI - DQ modernization</x:v>
      </x:c>
      <x:c r="C365" s="36" t="str">
        <x:v>EW</x:v>
      </x:c>
      <x:c r="D365" s="36" t="str">
        <x:v>Information Technology ​</x:v>
      </x:c>
      <x:c r="E365" s="38" t="n">
        <x:v>0.13</x:v>
      </x:c>
      <x:c r="F365" s="39"/>
      <x:c r="G365" s="38" t="n">
        <x:f>IF(ISNUMBER(F365),F365,IF(E365="","",E365))</x:f>
        <x:v>0.13</x:v>
      </x:c>
      <x:c r="H365" s="38"/>
      <x:c r="I365" s="39"/>
      <x:c r="J365" s="36" t="str">
        <x:v>Cash savings</x:v>
      </x:c>
      <x:c r="K365" s="38" t="str">
        <x:f>IF(ISNUMBER(I365),I365,IF(OR(NOT(ISNUMBER(H365)),NOT(ISNUMBER(G365)),G365&lt;=0),"",IF(H365/G365&gt;='Score settings'!$B$58,"",IF(J365="Cash savings",H365,IF(J365="Revenue",H365*'Score settings'!$B$55,"")))))</x:f>
      </x:c>
      <x:c r="L365" s="36"/>
      <x:c r="M365" s="39"/>
      <x:c r="N365" s="40"/>
      <x:c r="O365" s="36" t="str">
        <x:v>Must Do</x:v>
      </x:c>
      <x:c r="P365" s="36" t="str">
        <x:v>CI</x:v>
      </x:c>
      <x:c r="Q365" s="36" t="str">
        <x:v>Productivity</x:v>
      </x:c>
      <x:c r="R365" s="36" t="str">
        <x:v>HEALTHY</x:v>
      </x:c>
      <x:c r="S365" s="36" t="str"/>
      <x:c r="T365" s="36" t="str">
        <x:v>Common pot</x:v>
      </x:c>
      <x:c r="U365" s="41" t="n">
        <x:f>VLOOKUP("Priority|"&amp;O365,'Score settings'!$A$14:$C$43,2,FALSE)/'Score settings'!$B$4*'Score settings'!$C$4</x:f>
        <x:v>25</x:v>
      </x:c>
      <x:c r="V365" s="41" t="n">
        <x:f>VLOOKUP("Category|"&amp;P365,'Score settings'!$A$14:$C$43,2,FALSE)/'Score settings'!$B$5*'Score settings'!$C$5</x:f>
        <x:v>8</x:v>
      </x:c>
      <x:c r="W365" s="41" t="n">
        <x:f>VLOOKUP("Area|"&amp;Q365,'Score settings'!$A$14:$C$43,2,FALSE)/'Score settings'!$B$6*'Score settings'!$C$6</x:f>
        <x:v>10</x:v>
      </x:c>
      <x:c r="X365" s="41" t="n">
        <x:f>VLOOKUP("Benefits|"&amp;IF(AND(ISNUMBER(H365),H365&gt;0,ISNUMBER(G365),G365&gt;0),IF(H365/G365&gt;='Score settings'!$E$17,"3plus",IF(H365/G365&gt;='Score settings'!$E$16,"1.5to3",IF(H365/G365&gt;='Score settings'!$E$15,"0.5to1.5","positive"))),"None"),'Score settings'!$A$14:$C$43,2,FALSE)/'Score settings'!$B$7*'Score settings'!$C$7</x:f>
        <x:v>5</x:v>
      </x:c>
      <x:c r="Y365" s="41" t="n">
        <x:f>VLOOKUP("Waste|"&amp;R365,'Score settings'!$A$14:$C$43,2,FALSE)/'Score settings'!$B$8*'Score settings'!$C$8</x:f>
        <x:v>15</x:v>
      </x:c>
      <x:c r="Z365" s="41" t="n">
        <x:f>IF(B365="","",SUM(U365:Y365))</x:f>
        <x:v>63</x:v>
      </x:c>
      <x:c r="AA365" s="41" t="str">
        <x:f>IF(Z365="","Not scored",VLOOKUP(Z365,'Score settings'!$A$47:$C$50,2,TRUE))</x:f>
        <x:v>Strong</x:v>
      </x:c>
      <x:c r="AB365" s="41" t="n">
        <x:f>VLOOKUP("Priority|"&amp;O365,'Score settings'!$A$14:$C$43,3,FALSE)/'Score settings'!$B$4*'Score settings'!$D$4</x:f>
        <x:v>15</x:v>
      </x:c>
      <x:c r="AC365" s="41" t="n">
        <x:f>VLOOKUP("Category|"&amp;P365,'Score settings'!$A$14:$C$43,3,FALSE)/'Score settings'!$B$5*'Score settings'!$D$5</x:f>
        <x:v>4</x:v>
      </x:c>
      <x:c r="AD365" s="41" t="n">
        <x:f>VLOOKUP("Area|"&amp;Q365,'Score settings'!$A$14:$C$43,3,FALSE)/'Score settings'!$B$6*'Score settings'!$D$6</x:f>
        <x:v>6.666666666666666</x:v>
      </x:c>
      <x:c r="AE365" s="41" t="n">
        <x:f>VLOOKUP("Benefits|"&amp;IF(AND(ISNUMBER(K365),K365&gt;0,ISNUMBER(G365),G365&gt;0),IF(K365/G365&gt;='Score settings'!$E$17,"3plus",IF(K365/G365&gt;='Score settings'!$E$16,"1.5to3",IF(K365/G365&gt;='Score settings'!$E$15,"0.5to1.5","positive"))),"None"),'Score settings'!$A$14:$C$43,3,FALSE)/'Score settings'!$B$7*'Score settings'!$D$7</x:f>
        <x:v>0</x:v>
      </x:c>
      <x:c r="AF365" s="41" t="n">
        <x:f>VLOOKUP("Waste|"&amp;R365,'Score settings'!$A$14:$C$43,3,FALSE)/'Score settings'!$B$8*'Score settings'!$D$8</x:f>
        <x:v>10</x:v>
      </x:c>
      <x:c r="AG365" s="41" t="n">
        <x:f>(IF(AND(ISNUMBER(M365),M365&gt;0,ISNUMBER(G365),G365&gt;0),IF(M365/G365&gt;='Score settings'!$E$17,'Score settings'!$G$17,IF(M365/G365&gt;='Score settings'!$E$16,'Score settings'!$G$16,IF(M365/G365&gt;='Score settings'!$E$15,'Score settings'!$G$15,'Score settings'!$G$14))),0)/15*'Score settings'!$B$60+IFERROR(VLOOKUP(IF(ISNUMBER(N365),N365,IF(ISNUMBER(L365),L365,0)),'Score settings'!$E$22:$F$26,2,FALSE),0)/10*'Score settings'!$B$61)/'Score settings'!$B$9*'Score settings'!$D$9</x:f>
        <x:v>0</x:v>
      </x:c>
      <x:c r="AH365" s="41" t="n">
        <x:f>IF(B365="","",SUM(AB365:AG365))</x:f>
        <x:v>35.666666666666664</x:v>
      </x:c>
      <x:c r="AI365" s="41" t="str">
        <x:f>IF(NOT(ISNUMBER(AH365)),"Not scored",VLOOKUP(AH365,'Score settings'!$A$47:$C$50,3,TRUE))</x:f>
        <x:v>Discretionary</x:v>
      </x:c>
      <x:c r="AJ365" s="42" t="n">
        <x:f>IF(OR(NOT(ISNUMBER(AH365)),T365&lt;&gt;"Common pot"),"",COUNTIFS($T$4:$T$509,"Common pot",$AH$4:$AH$509,"&gt;"&amp;AH365)+1)</x:f>
        <x:v>134</x:v>
      </x:c>
      <x:c r="AK365" s="36" t="str">
        <x:f>IF(B365="","Name missing - not scored",IF(OR(NOT(ISNUMBER(G365)),G365&lt;=0),"Investment missing or zero - review",IF(0=1,"Permanent ID missing - reconcile",IF(AND(ISNUMBER(H365),H365/G365&gt;='Score settings'!$B$58,NOT(ISNUMBER(I365))),"Benefit units need review",IF(OR(R365="EXIT",R365="CHALLENGE"),"Waste decision requires scope resolution",IF("Name and organisation matched"&lt;&gt;"Name and organisation matched","Waste evidence match needs review","Provisional source score - confirm evidence"))))))</x:f>
        <x:v>Provisional source score - confirm evidence</x:v>
      </x:c>
      <x:c r="AL365" s="36"/>
      <x:c r="AM365" s="40"/>
      <x:c r="AN365" s="39"/>
      <x:c r="AO365" s="40"/>
      <x:c r="AP365" s="40"/>
    </x:row>
    <x:row r="366" ht="15" hidden="0" customHeight="1">
      <x:c r="A366" s="36" t="str">
        <x:v>EW-39</x:v>
      </x:c>
      <x:c r="B366" s="37" t="str">
        <x:v>EADI - MDM Strategic Positioning</x:v>
      </x:c>
      <x:c r="C366" s="36" t="str">
        <x:v>EW</x:v>
      </x:c>
      <x:c r="D366" s="36" t="str">
        <x:v>Information Technology ​</x:v>
      </x:c>
      <x:c r="E366" s="38" t="n">
        <x:v>0.1</x:v>
      </x:c>
      <x:c r="F366" s="39"/>
      <x:c r="G366" s="38" t="n">
        <x:f>IF(ISNUMBER(F366),F366,IF(E366="","",E366))</x:f>
        <x:v>0.1</x:v>
      </x:c>
      <x:c r="H366" s="38"/>
      <x:c r="I366" s="39"/>
      <x:c r="J366" s="36" t="str">
        <x:v>Cash savings</x:v>
      </x:c>
      <x:c r="K366" s="38" t="str">
        <x:f>IF(ISNUMBER(I366),I366,IF(OR(NOT(ISNUMBER(H366)),NOT(ISNUMBER(G366)),G366&lt;=0),"",IF(H366/G366&gt;='Score settings'!$B$58,"",IF(J366="Cash savings",H366,IF(J366="Revenue",H366*'Score settings'!$B$55,"")))))</x:f>
      </x:c>
      <x:c r="L366" s="36"/>
      <x:c r="M366" s="39"/>
      <x:c r="N366" s="40"/>
      <x:c r="O366" s="36" t="str">
        <x:v>Must Do</x:v>
      </x:c>
      <x:c r="P366" s="36" t="str">
        <x:v>NewFeat</x:v>
      </x:c>
      <x:c r="Q366" s="36" t="str">
        <x:v>Productivity</x:v>
      </x:c>
      <x:c r="R366" s="36" t="str">
        <x:v>HEALTHY</x:v>
      </x:c>
      <x:c r="S366" s="36" t="str"/>
      <x:c r="T366" s="36" t="str">
        <x:v>Common pot</x:v>
      </x:c>
      <x:c r="U366" s="41" t="n">
        <x:f>VLOOKUP("Priority|"&amp;O366,'Score settings'!$A$14:$C$43,2,FALSE)/'Score settings'!$B$4*'Score settings'!$C$4</x:f>
        <x:v>25</x:v>
      </x:c>
      <x:c r="V366" s="41" t="n">
        <x:f>VLOOKUP("Category|"&amp;P366,'Score settings'!$A$14:$C$43,2,FALSE)/'Score settings'!$B$5*'Score settings'!$C$5</x:f>
        <x:v>6</x:v>
      </x:c>
      <x:c r="W366" s="41" t="n">
        <x:f>VLOOKUP("Area|"&amp;Q366,'Score settings'!$A$14:$C$43,2,FALSE)/'Score settings'!$B$6*'Score settings'!$C$6</x:f>
        <x:v>10</x:v>
      </x:c>
      <x:c r="X366" s="41" t="n">
        <x:f>VLOOKUP("Benefits|"&amp;IF(AND(ISNUMBER(H366),H366&gt;0,ISNUMBER(G366),G366&gt;0),IF(H366/G366&gt;='Score settings'!$E$17,"3plus",IF(H366/G366&gt;='Score settings'!$E$16,"1.5to3",IF(H366/G366&gt;='Score settings'!$E$15,"0.5to1.5","positive"))),"None"),'Score settings'!$A$14:$C$43,2,FALSE)/'Score settings'!$B$7*'Score settings'!$C$7</x:f>
        <x:v>5</x:v>
      </x:c>
      <x:c r="Y366" s="41" t="n">
        <x:f>VLOOKUP("Waste|"&amp;R366,'Score settings'!$A$14:$C$43,2,FALSE)/'Score settings'!$B$8*'Score settings'!$C$8</x:f>
        <x:v>15</x:v>
      </x:c>
      <x:c r="Z366" s="41" t="n">
        <x:f>IF(B366="","",SUM(U366:Y366))</x:f>
        <x:v>61</x:v>
      </x:c>
      <x:c r="AA366" s="41" t="str">
        <x:f>IF(Z366="","Not scored",VLOOKUP(Z366,'Score settings'!$A$47:$C$50,2,TRUE))</x:f>
        <x:v>Strong</x:v>
      </x:c>
      <x:c r="AB366" s="41" t="n">
        <x:f>VLOOKUP("Priority|"&amp;O366,'Score settings'!$A$14:$C$43,3,FALSE)/'Score settings'!$B$4*'Score settings'!$D$4</x:f>
        <x:v>15</x:v>
      </x:c>
      <x:c r="AC366" s="41" t="n">
        <x:f>VLOOKUP("Category|"&amp;P366,'Score settings'!$A$14:$C$43,3,FALSE)/'Score settings'!$B$5*'Score settings'!$D$5</x:f>
        <x:v>3</x:v>
      </x:c>
      <x:c r="AD366" s="41" t="n">
        <x:f>VLOOKUP("Area|"&amp;Q366,'Score settings'!$A$14:$C$43,3,FALSE)/'Score settings'!$B$6*'Score settings'!$D$6</x:f>
        <x:v>6.666666666666666</x:v>
      </x:c>
      <x:c r="AE366" s="41" t="n">
        <x:f>VLOOKUP("Benefits|"&amp;IF(AND(ISNUMBER(K366),K366&gt;0,ISNUMBER(G366),G366&gt;0),IF(K366/G366&gt;='Score settings'!$E$17,"3plus",IF(K366/G366&gt;='Score settings'!$E$16,"1.5to3",IF(K366/G366&gt;='Score settings'!$E$15,"0.5to1.5","positive"))),"None"),'Score settings'!$A$14:$C$43,3,FALSE)/'Score settings'!$B$7*'Score settings'!$D$7</x:f>
        <x:v>0</x:v>
      </x:c>
      <x:c r="AF366" s="41" t="n">
        <x:f>VLOOKUP("Waste|"&amp;R366,'Score settings'!$A$14:$C$43,3,FALSE)/'Score settings'!$B$8*'Score settings'!$D$8</x:f>
        <x:v>10</x:v>
      </x:c>
      <x:c r="AG366" s="41" t="n">
        <x:f>(IF(AND(ISNUMBER(M366),M366&gt;0,ISNUMBER(G366),G366&gt;0),IF(M366/G366&gt;='Score settings'!$E$17,'Score settings'!$G$17,IF(M366/G366&gt;='Score settings'!$E$16,'Score settings'!$G$16,IF(M366/G366&gt;='Score settings'!$E$15,'Score settings'!$G$15,'Score settings'!$G$14))),0)/15*'Score settings'!$B$60+IFERROR(VLOOKUP(IF(ISNUMBER(N366),N366,IF(ISNUMBER(L366),L366,0)),'Score settings'!$E$22:$F$26,2,FALSE),0)/10*'Score settings'!$B$61)/'Score settings'!$B$9*'Score settings'!$D$9</x:f>
        <x:v>0</x:v>
      </x:c>
      <x:c r="AH366" s="41" t="n">
        <x:f>IF(B366="","",SUM(AB366:AG366))</x:f>
        <x:v>34.666666666666664</x:v>
      </x:c>
      <x:c r="AI366" s="41" t="str">
        <x:f>IF(NOT(ISNUMBER(AH366)),"Not scored",VLOOKUP(AH366,'Score settings'!$A$47:$C$50,3,TRUE))</x:f>
        <x:v>Discretionary</x:v>
      </x:c>
      <x:c r="AJ366" s="42" t="n">
        <x:f>IF(OR(NOT(ISNUMBER(AH366)),T366&lt;&gt;"Common pot"),"",COUNTIFS($T$4:$T$509,"Common pot",$AH$4:$AH$509,"&gt;"&amp;AH366)+1)</x:f>
        <x:v>151</x:v>
      </x:c>
      <x:c r="AK366" s="36" t="str">
        <x:f>IF(B366="","Name missing - not scored",IF(OR(NOT(ISNUMBER(G366)),G366&lt;=0),"Investment missing or zero - review",IF(0=1,"Permanent ID missing - reconcile",IF(AND(ISNUMBER(H366),H366/G366&gt;='Score settings'!$B$58,NOT(ISNUMBER(I366))),"Benefit units need review",IF(OR(R366="EXIT",R366="CHALLENGE"),"Waste decision requires scope resolution",IF("Name and organisation matched"&lt;&gt;"Name and organisation matched","Waste evidence match needs review","Provisional source score - confirm evidence"))))))</x:f>
        <x:v>Provisional source score - confirm evidence</x:v>
      </x:c>
      <x:c r="AL366" s="36"/>
      <x:c r="AM366" s="40"/>
      <x:c r="AN366" s="39"/>
      <x:c r="AO366" s="40"/>
      <x:c r="AP366" s="40"/>
    </x:row>
    <x:row r="367" ht="15" hidden="0" customHeight="1">
      <x:c r="A367" s="36" t="str">
        <x:v>EW-40</x:v>
      </x:c>
      <x:c r="B367" s="37" t="str">
        <x:v>EADI - Data Design &amp; Lineage</x:v>
      </x:c>
      <x:c r="C367" s="36" t="str">
        <x:v>EW</x:v>
      </x:c>
      <x:c r="D367" s="36" t="str">
        <x:v>Information Technology ​</x:v>
      </x:c>
      <x:c r="E367" s="38" t="n">
        <x:v>0.15</x:v>
      </x:c>
      <x:c r="F367" s="39"/>
      <x:c r="G367" s="38" t="n">
        <x:f>IF(ISNUMBER(F367),F367,IF(E367="","",E367))</x:f>
        <x:v>0.15</x:v>
      </x:c>
      <x:c r="H367" s="38"/>
      <x:c r="I367" s="39"/>
      <x:c r="J367" s="36" t="str">
        <x:v>Cash savings</x:v>
      </x:c>
      <x:c r="K367" s="38" t="str">
        <x:f>IF(ISNUMBER(I367),I367,IF(OR(NOT(ISNUMBER(H367)),NOT(ISNUMBER(G367)),G367&lt;=0),"",IF(H367/G367&gt;='Score settings'!$B$58,"",IF(J367="Cash savings",H367,IF(J367="Revenue",H367*'Score settings'!$B$55,"")))))</x:f>
      </x:c>
      <x:c r="L367" s="36"/>
      <x:c r="M367" s="39"/>
      <x:c r="N367" s="40"/>
      <x:c r="O367" s="36" t="str">
        <x:v>Must Do</x:v>
      </x:c>
      <x:c r="P367" s="36" t="str">
        <x:v>Upgrades</x:v>
      </x:c>
      <x:c r="Q367" s="36" t="str">
        <x:v>Productivity</x:v>
      </x:c>
      <x:c r="R367" s="36" t="str">
        <x:v>NotAssessed</x:v>
      </x:c>
      <x:c r="S367" s="36" t="str"/>
      <x:c r="T367" s="36" t="str">
        <x:v>Common pot</x:v>
      </x:c>
      <x:c r="U367" s="41" t="n">
        <x:f>VLOOKUP("Priority|"&amp;O367,'Score settings'!$A$14:$C$43,2,FALSE)/'Score settings'!$B$4*'Score settings'!$C$4</x:f>
        <x:v>25</x:v>
      </x:c>
      <x:c r="V367" s="41" t="n">
        <x:f>VLOOKUP("Category|"&amp;P367,'Score settings'!$A$14:$C$43,2,FALSE)/'Score settings'!$B$5*'Score settings'!$C$5</x:f>
        <x:v>10</x:v>
      </x:c>
      <x:c r="W367" s="41" t="n">
        <x:f>VLOOKUP("Area|"&amp;Q367,'Score settings'!$A$14:$C$43,2,FALSE)/'Score settings'!$B$6*'Score settings'!$C$6</x:f>
        <x:v>10</x:v>
      </x:c>
      <x:c r="X367" s="41" t="n">
        <x:f>VLOOKUP("Benefits|"&amp;IF(AND(ISNUMBER(H367),H367&gt;0,ISNUMBER(G367),G367&gt;0),IF(H367/G367&gt;='Score settings'!$E$17,"3plus",IF(H367/G367&gt;='Score settings'!$E$16,"1.5to3",IF(H367/G367&gt;='Score settings'!$E$15,"0.5to1.5","positive"))),"None"),'Score settings'!$A$14:$C$43,2,FALSE)/'Score settings'!$B$7*'Score settings'!$C$7</x:f>
        <x:v>5</x:v>
      </x:c>
      <x:c r="Y367" s="41" t="n">
        <x:f>VLOOKUP("Waste|"&amp;R367,'Score settings'!$A$14:$C$43,2,FALSE)/'Score settings'!$B$8*'Score settings'!$C$8</x:f>
        <x:v>7</x:v>
      </x:c>
      <x:c r="Z367" s="41" t="n">
        <x:f>IF(B367="","",SUM(U367:Y367))</x:f>
        <x:v>57</x:v>
      </x:c>
      <x:c r="AA367" s="41" t="str">
        <x:f>IF(Z367="","Not scored",VLOOKUP(Z367,'Score settings'!$A$47:$C$50,2,TRUE))</x:f>
        <x:v>Strong</x:v>
      </x:c>
      <x:c r="AB367" s="41" t="n">
        <x:f>VLOOKUP("Priority|"&amp;O367,'Score settings'!$A$14:$C$43,3,FALSE)/'Score settings'!$B$4*'Score settings'!$D$4</x:f>
        <x:v>15</x:v>
      </x:c>
      <x:c r="AC367" s="41" t="n">
        <x:f>VLOOKUP("Category|"&amp;P367,'Score settings'!$A$14:$C$43,3,FALSE)/'Score settings'!$B$5*'Score settings'!$D$5</x:f>
        <x:v>5</x:v>
      </x:c>
      <x:c r="AD367" s="41" t="n">
        <x:f>VLOOKUP("Area|"&amp;Q367,'Score settings'!$A$14:$C$43,3,FALSE)/'Score settings'!$B$6*'Score settings'!$D$6</x:f>
        <x:v>6.666666666666666</x:v>
      </x:c>
      <x:c r="AE367" s="41" t="n">
        <x:f>VLOOKUP("Benefits|"&amp;IF(AND(ISNUMBER(K367),K367&gt;0,ISNUMBER(G367),G367&gt;0),IF(K367/G367&gt;='Score settings'!$E$17,"3plus",IF(K367/G367&gt;='Score settings'!$E$16,"1.5to3",IF(K367/G367&gt;='Score settings'!$E$15,"0.5to1.5","positive"))),"None"),'Score settings'!$A$14:$C$43,3,FALSE)/'Score settings'!$B$7*'Score settings'!$D$7</x:f>
        <x:v>0</x:v>
      </x:c>
      <x:c r="AF367" s="41" t="n">
        <x:f>VLOOKUP("Waste|"&amp;R367,'Score settings'!$A$14:$C$43,3,FALSE)/'Score settings'!$B$8*'Score settings'!$D$8</x:f>
        <x:v>0</x:v>
      </x:c>
      <x:c r="AG367" s="41" t="n">
        <x:f>(IF(AND(ISNUMBER(M367),M367&gt;0,ISNUMBER(G367),G367&gt;0),IF(M367/G367&gt;='Score settings'!$E$17,'Score settings'!$G$17,IF(M367/G367&gt;='Score settings'!$E$16,'Score settings'!$G$16,IF(M367/G367&gt;='Score settings'!$E$15,'Score settings'!$G$15,'Score settings'!$G$14))),0)/15*'Score settings'!$B$60+IFERROR(VLOOKUP(IF(ISNUMBER(N367),N367,IF(ISNUMBER(L367),L367,0)),'Score settings'!$E$22:$F$26,2,FALSE),0)/10*'Score settings'!$B$61)/'Score settings'!$B$9*'Score settings'!$D$9</x:f>
        <x:v>0</x:v>
      </x:c>
      <x:c r="AH367" s="41" t="n">
        <x:f>IF(B367="","",SUM(AB367:AG367))</x:f>
        <x:v>26.666666666666664</x:v>
      </x:c>
      <x:c r="AI367" s="41" t="str">
        <x:f>IF(NOT(ISNUMBER(AH367)),"Not scored",VLOOKUP(AH367,'Score settings'!$A$47:$C$50,3,TRUE))</x:f>
        <x:v>Discretionary</x:v>
      </x:c>
      <x:c r="AJ367" s="42" t="n">
        <x:f>IF(OR(NOT(ISNUMBER(AH367)),T367&lt;&gt;"Common pot"),"",COUNTIFS($T$4:$T$509,"Common pot",$AH$4:$AH$509,"&gt;"&amp;AH367)+1)</x:f>
        <x:v>234</x:v>
      </x:c>
      <x:c r="AK367" s="36" t="str">
        <x:f>IF(B367="","Name missing - not scored",IF(OR(NOT(ISNUMBER(G367)),G367&lt;=0),"Investment missing or zero - review",IF(0=1,"Permanent ID missing - reconcile",IF(AND(ISNUMBER(H367),H367/G367&gt;='Score settings'!$B$58,NOT(ISNUMBER(I367))),"Benefit units need review",IF(OR(R367="EXIT",R367="CHALLENGE"),"Waste decision requires scope resolution",IF("Organisation differs or ambiguous"&lt;&gt;"Name and organisation matched","Waste evidence match needs review","Provisional source score - confirm evidence"))))))</x:f>
        <x:v>Waste evidence match needs review</x:v>
      </x:c>
      <x:c r="AL367" s="36"/>
      <x:c r="AM367" s="40"/>
      <x:c r="AN367" s="39"/>
      <x:c r="AO367" s="40"/>
      <x:c r="AP367" s="40"/>
    </x:row>
    <x:row r="368" ht="15" hidden="0" customHeight="1">
      <x:c r="A368" s="36" t="str">
        <x:v>EW-42</x:v>
      </x:c>
      <x:c r="B368" s="37" t="str">
        <x:v>CCB - I&amp;D - Innovation &amp; Digital</x:v>
      </x:c>
      <x:c r="C368" s="36" t="str">
        <x:v>EW</x:v>
      </x:c>
      <x:c r="D368" s="36" t="str">
        <x:v>Information Technology ​</x:v>
      </x:c>
      <x:c r="E368" s="38" t="n">
        <x:v>2</x:v>
      </x:c>
      <x:c r="F368" s="39"/>
      <x:c r="G368" s="38" t="n">
        <x:f>IF(ISNUMBER(F368),F368,IF(E368="","",E368))</x:f>
        <x:v>2</x:v>
      </x:c>
      <x:c r="H368" s="38"/>
      <x:c r="I368" s="39"/>
      <x:c r="J368" s="36" t="str">
        <x:v>Risk exposure</x:v>
      </x:c>
      <x:c r="K368" s="38" t="str">
        <x:f>IF(ISNUMBER(I368),I368,IF(OR(NOT(ISNUMBER(H368)),NOT(ISNUMBER(G368)),G368&lt;=0),"",IF(H368/G368&gt;='Score settings'!$B$58,"",IF(J368="Cash savings",H368,IF(J368="Revenue",H368*'Score settings'!$B$55,"")))))</x:f>
      </x:c>
      <x:c r="L368" s="36"/>
      <x:c r="M368" s="39"/>
      <x:c r="N368" s="40"/>
      <x:c r="O368" s="36" t="str">
        <x:v>Must Have</x:v>
      </x:c>
      <x:c r="P368" s="36" t="str">
        <x:v>CI</x:v>
      </x:c>
      <x:c r="Q368" s="36" t="str">
        <x:v>Compliance</x:v>
      </x:c>
      <x:c r="R368" s="36" t="str">
        <x:v>NotAssessed</x:v>
      </x:c>
      <x:c r="S368" s="36" t="str"/>
      <x:c r="T368" s="36" t="str">
        <x:v>Change and Sustain candidate</x:v>
      </x:c>
      <x:c r="U368" s="41" t="n">
        <x:f>VLOOKUP("Priority|"&amp;O368,'Score settings'!$A$14:$C$43,2,FALSE)/'Score settings'!$B$4*'Score settings'!$C$4</x:f>
        <x:v>18</x:v>
      </x:c>
      <x:c r="V368" s="41" t="n">
        <x:f>VLOOKUP("Category|"&amp;P368,'Score settings'!$A$14:$C$43,2,FALSE)/'Score settings'!$B$5*'Score settings'!$C$5</x:f>
        <x:v>8</x:v>
      </x:c>
      <x:c r="W368" s="41" t="n">
        <x:f>VLOOKUP("Area|"&amp;Q368,'Score settings'!$A$14:$C$43,2,FALSE)/'Score settings'!$B$6*'Score settings'!$C$6</x:f>
        <x:v>15</x:v>
      </x:c>
      <x:c r="X368" s="41" t="n">
        <x:f>VLOOKUP("Benefits|"&amp;IF(AND(ISNUMBER(H368),H368&gt;0,ISNUMBER(G368),G368&gt;0),IF(H368/G368&gt;='Score settings'!$E$17,"3plus",IF(H368/G368&gt;='Score settings'!$E$16,"1.5to3",IF(H368/G368&gt;='Score settings'!$E$15,"0.5to1.5","positive"))),"None"),'Score settings'!$A$14:$C$43,2,FALSE)/'Score settings'!$B$7*'Score settings'!$C$7</x:f>
        <x:v>5</x:v>
      </x:c>
      <x:c r="Y368" s="41" t="n">
        <x:f>VLOOKUP("Waste|"&amp;R368,'Score settings'!$A$14:$C$43,2,FALSE)/'Score settings'!$B$8*'Score settings'!$C$8</x:f>
        <x:v>7</x:v>
      </x:c>
      <x:c r="Z368" s="41" t="n">
        <x:f>IF(B368="","",SUM(U368:Y368))</x:f>
        <x:v>53</x:v>
      </x:c>
      <x:c r="AA368" s="41" t="str">
        <x:f>IF(Z368="","Not scored",VLOOKUP(Z368,'Score settings'!$A$47:$C$50,2,TRUE))</x:f>
        <x:v>Strong</x:v>
      </x:c>
      <x:c r="AB368" s="41" t="n">
        <x:f>VLOOKUP("Priority|"&amp;O368,'Score settings'!$A$14:$C$43,3,FALSE)/'Score settings'!$B$4*'Score settings'!$D$4</x:f>
        <x:v>10.799999999999999</x:v>
      </x:c>
      <x:c r="AC368" s="41" t="n">
        <x:f>VLOOKUP("Category|"&amp;P368,'Score settings'!$A$14:$C$43,3,FALSE)/'Score settings'!$B$5*'Score settings'!$D$5</x:f>
        <x:v>4</x:v>
      </x:c>
      <x:c r="AD368" s="41" t="n">
        <x:f>VLOOKUP("Area|"&amp;Q368,'Score settings'!$A$14:$C$43,3,FALSE)/'Score settings'!$B$6*'Score settings'!$D$6</x:f>
        <x:v>10</x:v>
      </x:c>
      <x:c r="AE368" s="41" t="n">
        <x:f>VLOOKUP("Benefits|"&amp;IF(AND(ISNUMBER(K368),K368&gt;0,ISNUMBER(G368),G368&gt;0),IF(K368/G368&gt;='Score settings'!$E$17,"3plus",IF(K368/G368&gt;='Score settings'!$E$16,"1.5to3",IF(K368/G368&gt;='Score settings'!$E$15,"0.5to1.5","positive"))),"None"),'Score settings'!$A$14:$C$43,3,FALSE)/'Score settings'!$B$7*'Score settings'!$D$7</x:f>
        <x:v>0</x:v>
      </x:c>
      <x:c r="AF368" s="41" t="n">
        <x:f>VLOOKUP("Waste|"&amp;R368,'Score settings'!$A$14:$C$43,3,FALSE)/'Score settings'!$B$8*'Score settings'!$D$8</x:f>
        <x:v>0</x:v>
      </x:c>
      <x:c r="AG368" s="41" t="n">
        <x:f>(IF(AND(ISNUMBER(M368),M368&gt;0,ISNUMBER(G368),G368&gt;0),IF(M368/G368&gt;='Score settings'!$E$17,'Score settings'!$G$17,IF(M368/G368&gt;='Score settings'!$E$16,'Score settings'!$G$16,IF(M368/G368&gt;='Score settings'!$E$15,'Score settings'!$G$15,'Score settings'!$G$14))),0)/15*'Score settings'!$B$60+IFERROR(VLOOKUP(IF(ISNUMBER(N368),N368,IF(ISNUMBER(L368),L368,0)),'Score settings'!$E$22:$F$26,2,FALSE),0)/10*'Score settings'!$B$61)/'Score settings'!$B$9*'Score settings'!$D$9</x:f>
        <x:v>0</x:v>
      </x:c>
      <x:c r="AH368" s="41" t="n">
        <x:f>IF(B368="","",SUM(AB368:AG368))</x:f>
        <x:v>24.799999999999997</x:v>
      </x:c>
      <x:c r="AI368" s="41" t="str">
        <x:f>IF(NOT(ISNUMBER(AH368)),"Not scored",VLOOKUP(AH368,'Score settings'!$A$47:$C$50,3,TRUE))</x:f>
        <x:v>Weak</x:v>
      </x:c>
      <x:c r="AJ368" s="42" t="str">
        <x:f>IF(OR(NOT(ISNUMBER(AH368)),T368&lt;&gt;"Common pot"),"",COUNTIFS($T$4:$T$509,"Common pot",$AH$4:$AH$509,"&gt;"&amp;AH368)+1)</x:f>
      </x:c>
      <x:c r="AK368" s="36" t="str">
        <x:f>IF(B368="","Name missing - not scored",IF(OR(NOT(ISNUMBER(G368)),G368&lt;=0),"Investment missing or zero - review",IF(0=1,"Permanent ID missing - reconcile",IF(AND(ISNUMBER(H368),H368/G368&gt;='Score settings'!$B$58,NOT(ISNUMBER(I368))),"Benefit units need review",IF(OR(R368="EXIT",R368="CHALLENGE"),"Waste decision requires scope resolution",IF("No exact waste match"&lt;&gt;"Name and organisation matched","Waste evidence match needs review","Provisional source score - confirm evidence"))))))</x:f>
        <x:v>Waste evidence match needs review</x:v>
      </x:c>
      <x:c r="AL368" s="36"/>
      <x:c r="AM368" s="40"/>
      <x:c r="AN368" s="39"/>
      <x:c r="AO368" s="40"/>
      <x:c r="AP368" s="40"/>
    </x:row>
    <x:row r="369" ht="15" hidden="0" customHeight="1">
      <x:c r="A369" s="36" t="str">
        <x:v>EW-43</x:v>
      </x:c>
      <x:c r="B369" s="37" t="str">
        <x:v>EADI- Enabling GAIT</x:v>
      </x:c>
      <x:c r="C369" s="36" t="str">
        <x:v>EW</x:v>
      </x:c>
      <x:c r="D369" s="36" t="str">
        <x:v>Information Technology ​</x:v>
      </x:c>
      <x:c r="E369" s="38" t="n">
        <x:v>2</x:v>
      </x:c>
      <x:c r="F369" s="39"/>
      <x:c r="G369" s="38" t="n">
        <x:f>IF(ISNUMBER(F369),F369,IF(E369="","",E369))</x:f>
        <x:v>2</x:v>
      </x:c>
      <x:c r="H369" s="38"/>
      <x:c r="I369" s="39"/>
      <x:c r="J369" s="36" t="str">
        <x:v>Cash savings</x:v>
      </x:c>
      <x:c r="K369" s="38" t="str">
        <x:f>IF(ISNUMBER(I369),I369,IF(OR(NOT(ISNUMBER(H369)),NOT(ISNUMBER(G369)),G369&lt;=0),"",IF(H369/G369&gt;='Score settings'!$B$58,"",IF(J369="Cash savings",H369,IF(J369="Revenue",H369*'Score settings'!$B$55,"")))))</x:f>
      </x:c>
      <x:c r="L369" s="36"/>
      <x:c r="M369" s="39"/>
      <x:c r="N369" s="40"/>
      <x:c r="O369" s="36" t="str">
        <x:v>Must Do</x:v>
      </x:c>
      <x:c r="P369" s="36" t="str">
        <x:v>AI</x:v>
      </x:c>
      <x:c r="Q369" s="36" t="str">
        <x:v>ProcSimp</x:v>
      </x:c>
      <x:c r="R369" s="36" t="str">
        <x:v>HEALTHY</x:v>
      </x:c>
      <x:c r="S369" s="36" t="str"/>
      <x:c r="T369" s="36" t="str">
        <x:v>Common pot</x:v>
      </x:c>
      <x:c r="U369" s="41" t="n">
        <x:f>VLOOKUP("Priority|"&amp;O369,'Score settings'!$A$14:$C$43,2,FALSE)/'Score settings'!$B$4*'Score settings'!$C$4</x:f>
        <x:v>25</x:v>
      </x:c>
      <x:c r="V369" s="41" t="n">
        <x:f>VLOOKUP("Category|"&amp;P369,'Score settings'!$A$14:$C$43,2,FALSE)/'Score settings'!$B$5*'Score settings'!$C$5</x:f>
        <x:v>16</x:v>
      </x:c>
      <x:c r="W369" s="41" t="n">
        <x:f>VLOOKUP("Area|"&amp;Q369,'Score settings'!$A$14:$C$43,2,FALSE)/'Score settings'!$B$6*'Score settings'!$C$6</x:f>
        <x:v>12</x:v>
      </x:c>
      <x:c r="X369" s="41" t="n">
        <x:f>VLOOKUP("Benefits|"&amp;IF(AND(ISNUMBER(H369),H369&gt;0,ISNUMBER(G369),G369&gt;0),IF(H369/G369&gt;='Score settings'!$E$17,"3plus",IF(H369/G369&gt;='Score settings'!$E$16,"1.5to3",IF(H369/G369&gt;='Score settings'!$E$15,"0.5to1.5","positive"))),"None"),'Score settings'!$A$14:$C$43,2,FALSE)/'Score settings'!$B$7*'Score settings'!$C$7</x:f>
        <x:v>5</x:v>
      </x:c>
      <x:c r="Y369" s="41" t="n">
        <x:f>VLOOKUP("Waste|"&amp;R369,'Score settings'!$A$14:$C$43,2,FALSE)/'Score settings'!$B$8*'Score settings'!$C$8</x:f>
        <x:v>15</x:v>
      </x:c>
      <x:c r="Z369" s="41" t="n">
        <x:f>IF(B369="","",SUM(U369:Y369))</x:f>
        <x:v>73</x:v>
      </x:c>
      <x:c r="AA369" s="41" t="str">
        <x:f>IF(Z369="","Not scored",VLOOKUP(Z369,'Score settings'!$A$47:$C$50,2,TRUE))</x:f>
        <x:v>Protected</x:v>
      </x:c>
      <x:c r="AB369" s="41" t="n">
        <x:f>VLOOKUP("Priority|"&amp;O369,'Score settings'!$A$14:$C$43,3,FALSE)/'Score settings'!$B$4*'Score settings'!$D$4</x:f>
        <x:v>15</x:v>
      </x:c>
      <x:c r="AC369" s="41" t="n">
        <x:f>VLOOKUP("Category|"&amp;P369,'Score settings'!$A$14:$C$43,3,FALSE)/'Score settings'!$B$5*'Score settings'!$D$5</x:f>
        <x:v>8</x:v>
      </x:c>
      <x:c r="AD369" s="41" t="n">
        <x:f>VLOOKUP("Area|"&amp;Q369,'Score settings'!$A$14:$C$43,3,FALSE)/'Score settings'!$B$6*'Score settings'!$D$6</x:f>
        <x:v>8</x:v>
      </x:c>
      <x:c r="AE369" s="41" t="n">
        <x:f>VLOOKUP("Benefits|"&amp;IF(AND(ISNUMBER(K369),K369&gt;0,ISNUMBER(G369),G369&gt;0),IF(K369/G369&gt;='Score settings'!$E$17,"3plus",IF(K369/G369&gt;='Score settings'!$E$16,"1.5to3",IF(K369/G369&gt;='Score settings'!$E$15,"0.5to1.5","positive"))),"None"),'Score settings'!$A$14:$C$43,3,FALSE)/'Score settings'!$B$7*'Score settings'!$D$7</x:f>
        <x:v>0</x:v>
      </x:c>
      <x:c r="AF369" s="41" t="n">
        <x:f>VLOOKUP("Waste|"&amp;R369,'Score settings'!$A$14:$C$43,3,FALSE)/'Score settings'!$B$8*'Score settings'!$D$8</x:f>
        <x:v>10</x:v>
      </x:c>
      <x:c r="AG369" s="41" t="n">
        <x:f>(IF(AND(ISNUMBER(M369),M369&gt;0,ISNUMBER(G369),G369&gt;0),IF(M369/G369&gt;='Score settings'!$E$17,'Score settings'!$G$17,IF(M369/G369&gt;='Score settings'!$E$16,'Score settings'!$G$16,IF(M369/G369&gt;='Score settings'!$E$15,'Score settings'!$G$15,'Score settings'!$G$14))),0)/15*'Score settings'!$B$60+IFERROR(VLOOKUP(IF(ISNUMBER(N369),N369,IF(ISNUMBER(L369),L369,0)),'Score settings'!$E$22:$F$26,2,FALSE),0)/10*'Score settings'!$B$61)/'Score settings'!$B$9*'Score settings'!$D$9</x:f>
        <x:v>0</x:v>
      </x:c>
      <x:c r="AH369" s="41" t="n">
        <x:f>IF(B369="","",SUM(AB369:AG369))</x:f>
        <x:v>41</x:v>
      </x:c>
      <x:c r="AI369" s="41" t="str">
        <x:f>IF(NOT(ISNUMBER(AH369)),"Not scored",VLOOKUP(AH369,'Score settings'!$A$47:$C$50,3,TRUE))</x:f>
        <x:v>Discretionary</x:v>
      </x:c>
      <x:c r="AJ369" s="42" t="n">
        <x:f>IF(OR(NOT(ISNUMBER(AH369)),T369&lt;&gt;"Common pot"),"",COUNTIFS($T$4:$T$509,"Common pot",$AH$4:$AH$509,"&gt;"&amp;AH369)+1)</x:f>
        <x:v>89</x:v>
      </x:c>
      <x:c r="AK369" s="36" t="str">
        <x:f>IF(B369="","Name missing - not scored",IF(OR(NOT(ISNUMBER(G369)),G369&lt;=0),"Investment missing or zero - review",IF(0=1,"Permanent ID missing - reconcile",IF(AND(ISNUMBER(H369),H369/G369&gt;='Score settings'!$B$58,NOT(ISNUMBER(I369))),"Benefit units need review",IF(OR(R369="EXIT",R369="CHALLENGE"),"Waste decision requires scope resolution",IF("Name and organisation matched"&lt;&gt;"Name and organisation matched","Waste evidence match needs review","Provisional source score - confirm evidence"))))))</x:f>
        <x:v>Provisional source score - confirm evidence</x:v>
      </x:c>
      <x:c r="AL369" s="36"/>
      <x:c r="AM369" s="40"/>
      <x:c r="AN369" s="39"/>
      <x:c r="AO369" s="40"/>
      <x:c r="AP369" s="40"/>
    </x:row>
    <x:row r="370" ht="15" hidden="0" customHeight="1">
      <x:c r="A370" s="36" t="str">
        <x:v>EW-44</x:v>
      </x:c>
      <x:c r="B370" s="37" t="str">
        <x:v>EADI - CCB Initiative</x:v>
      </x:c>
      <x:c r="C370" s="36" t="str">
        <x:v>EW</x:v>
      </x:c>
      <x:c r="D370" s="36" t="str">
        <x:v>Information Technology ​</x:v>
      </x:c>
      <x:c r="E370" s="38" t="n">
        <x:v>0.5</x:v>
      </x:c>
      <x:c r="F370" s="39"/>
      <x:c r="G370" s="38" t="n">
        <x:f>IF(ISNUMBER(F370),F370,IF(E370="","",E370))</x:f>
        <x:v>0.5</x:v>
      </x:c>
      <x:c r="H370" s="38"/>
      <x:c r="I370" s="39"/>
      <x:c r="J370" s="36" t="str">
        <x:v>Risk exposure</x:v>
      </x:c>
      <x:c r="K370" s="38" t="str">
        <x:f>IF(ISNUMBER(I370),I370,IF(OR(NOT(ISNUMBER(H370)),NOT(ISNUMBER(G370)),G370&lt;=0),"",IF(H370/G370&gt;='Score settings'!$B$58,"",IF(J370="Cash savings",H370,IF(J370="Revenue",H370*'Score settings'!$B$55,"")))))</x:f>
      </x:c>
      <x:c r="L370" s="36"/>
      <x:c r="M370" s="39"/>
      <x:c r="N370" s="40"/>
      <x:c r="O370" s="36" t="str">
        <x:v>Must Have</x:v>
      </x:c>
      <x:c r="P370" s="36" t="str">
        <x:v>CI</x:v>
      </x:c>
      <x:c r="Q370" s="36" t="str">
        <x:v>Compliance</x:v>
      </x:c>
      <x:c r="R370" s="36" t="str">
        <x:v>NotAssessed</x:v>
      </x:c>
      <x:c r="S370" s="36" t="str"/>
      <x:c r="T370" s="36" t="str">
        <x:v>Change and Sustain candidate</x:v>
      </x:c>
      <x:c r="U370" s="41" t="n">
        <x:f>VLOOKUP("Priority|"&amp;O370,'Score settings'!$A$14:$C$43,2,FALSE)/'Score settings'!$B$4*'Score settings'!$C$4</x:f>
        <x:v>18</x:v>
      </x:c>
      <x:c r="V370" s="41" t="n">
        <x:f>VLOOKUP("Category|"&amp;P370,'Score settings'!$A$14:$C$43,2,FALSE)/'Score settings'!$B$5*'Score settings'!$C$5</x:f>
        <x:v>8</x:v>
      </x:c>
      <x:c r="W370" s="41" t="n">
        <x:f>VLOOKUP("Area|"&amp;Q370,'Score settings'!$A$14:$C$43,2,FALSE)/'Score settings'!$B$6*'Score settings'!$C$6</x:f>
        <x:v>15</x:v>
      </x:c>
      <x:c r="X370" s="41" t="n">
        <x:f>VLOOKUP("Benefits|"&amp;IF(AND(ISNUMBER(H370),H370&gt;0,ISNUMBER(G370),G370&gt;0),IF(H370/G370&gt;='Score settings'!$E$17,"3plus",IF(H370/G370&gt;='Score settings'!$E$16,"1.5to3",IF(H370/G370&gt;='Score settings'!$E$15,"0.5to1.5","positive"))),"None"),'Score settings'!$A$14:$C$43,2,FALSE)/'Score settings'!$B$7*'Score settings'!$C$7</x:f>
        <x:v>5</x:v>
      </x:c>
      <x:c r="Y370" s="41" t="n">
        <x:f>VLOOKUP("Waste|"&amp;R370,'Score settings'!$A$14:$C$43,2,FALSE)/'Score settings'!$B$8*'Score settings'!$C$8</x:f>
        <x:v>7</x:v>
      </x:c>
      <x:c r="Z370" s="41" t="n">
        <x:f>IF(B370="","",SUM(U370:Y370))</x:f>
        <x:v>53</x:v>
      </x:c>
      <x:c r="AA370" s="41" t="str">
        <x:f>IF(Z370="","Not scored",VLOOKUP(Z370,'Score settings'!$A$47:$C$50,2,TRUE))</x:f>
        <x:v>Strong</x:v>
      </x:c>
      <x:c r="AB370" s="41" t="n">
        <x:f>VLOOKUP("Priority|"&amp;O370,'Score settings'!$A$14:$C$43,3,FALSE)/'Score settings'!$B$4*'Score settings'!$D$4</x:f>
        <x:v>10.799999999999999</x:v>
      </x:c>
      <x:c r="AC370" s="41" t="n">
        <x:f>VLOOKUP("Category|"&amp;P370,'Score settings'!$A$14:$C$43,3,FALSE)/'Score settings'!$B$5*'Score settings'!$D$5</x:f>
        <x:v>4</x:v>
      </x:c>
      <x:c r="AD370" s="41" t="n">
        <x:f>VLOOKUP("Area|"&amp;Q370,'Score settings'!$A$14:$C$43,3,FALSE)/'Score settings'!$B$6*'Score settings'!$D$6</x:f>
        <x:v>10</x:v>
      </x:c>
      <x:c r="AE370" s="41" t="n">
        <x:f>VLOOKUP("Benefits|"&amp;IF(AND(ISNUMBER(K370),K370&gt;0,ISNUMBER(G370),G370&gt;0),IF(K370/G370&gt;='Score settings'!$E$17,"3plus",IF(K370/G370&gt;='Score settings'!$E$16,"1.5to3",IF(K370/G370&gt;='Score settings'!$E$15,"0.5to1.5","positive"))),"None"),'Score settings'!$A$14:$C$43,3,FALSE)/'Score settings'!$B$7*'Score settings'!$D$7</x:f>
        <x:v>0</x:v>
      </x:c>
      <x:c r="AF370" s="41" t="n">
        <x:f>VLOOKUP("Waste|"&amp;R370,'Score settings'!$A$14:$C$43,3,FALSE)/'Score settings'!$B$8*'Score settings'!$D$8</x:f>
        <x:v>0</x:v>
      </x:c>
      <x:c r="AG370" s="41" t="n">
        <x:f>(IF(AND(ISNUMBER(M370),M370&gt;0,ISNUMBER(G370),G370&gt;0),IF(M370/G370&gt;='Score settings'!$E$17,'Score settings'!$G$17,IF(M370/G370&gt;='Score settings'!$E$16,'Score settings'!$G$16,IF(M370/G370&gt;='Score settings'!$E$15,'Score settings'!$G$15,'Score settings'!$G$14))),0)/15*'Score settings'!$B$60+IFERROR(VLOOKUP(IF(ISNUMBER(N370),N370,IF(ISNUMBER(L370),L370,0)),'Score settings'!$E$22:$F$26,2,FALSE),0)/10*'Score settings'!$B$61)/'Score settings'!$B$9*'Score settings'!$D$9</x:f>
        <x:v>0</x:v>
      </x:c>
      <x:c r="AH370" s="41" t="n">
        <x:f>IF(B370="","",SUM(AB370:AG370))</x:f>
        <x:v>24.799999999999997</x:v>
      </x:c>
      <x:c r="AI370" s="41" t="str">
        <x:f>IF(NOT(ISNUMBER(AH370)),"Not scored",VLOOKUP(AH370,'Score settings'!$A$47:$C$50,3,TRUE))</x:f>
        <x:v>Weak</x:v>
      </x:c>
      <x:c r="AJ370" s="42" t="str">
        <x:f>IF(OR(NOT(ISNUMBER(AH370)),T370&lt;&gt;"Common pot"),"",COUNTIFS($T$4:$T$509,"Common pot",$AH$4:$AH$509,"&gt;"&amp;AH370)+1)</x:f>
      </x:c>
      <x:c r="AK370" s="36" t="str">
        <x:f>IF(B370="","Name missing - not scored",IF(OR(NOT(ISNUMBER(G370)),G370&lt;=0),"Investment missing or zero - review",IF(0=1,"Permanent ID missing - reconcile",IF(AND(ISNUMBER(H370),H370/G370&gt;='Score settings'!$B$58,NOT(ISNUMBER(I370))),"Benefit units need review",IF(OR(R370="EXIT",R370="CHALLENGE"),"Waste decision requires scope resolution",IF("No exact waste match"&lt;&gt;"Name and organisation matched","Waste evidence match needs review","Provisional source score - confirm evidence"))))))</x:f>
        <x:v>Waste evidence match needs review</x:v>
      </x:c>
      <x:c r="AL370" s="36"/>
      <x:c r="AM370" s="40"/>
      <x:c r="AN370" s="39"/>
      <x:c r="AO370" s="40"/>
      <x:c r="AP370" s="40"/>
    </x:row>
    <x:row r="371" ht="15" hidden="0" customHeight="1">
      <x:c r="A371" s="36" t="str">
        <x:v>EW-45</x:v>
      </x:c>
      <x:c r="B371" s="37" t="str">
        <x:v>FIN-IR - Brazil Tax Reform Phase 3</x:v>
      </x:c>
      <x:c r="C371" s="36" t="str">
        <x:v>EW</x:v>
      </x:c>
      <x:c r="D371" s="36" t="str">
        <x:v>International Regions (IR) - Overall </x:v>
      </x:c>
      <x:c r="E371" s="38" t="n">
        <x:v>0.55</x:v>
      </x:c>
      <x:c r="F371" s="39"/>
      <x:c r="G371" s="38" t="n">
        <x:f>IF(ISNUMBER(F371),F371,IF(E371="","",E371))</x:f>
        <x:v>0.55</x:v>
      </x:c>
      <x:c r="H371" s="38" t="n">
        <x:v>1150</x:v>
      </x:c>
      <x:c r="I371" s="39"/>
      <x:c r="J371" s="36" t="str">
        <x:v>Risk exposure</x:v>
      </x:c>
      <x:c r="K371" s="38" t="str">
        <x:f>IF(ISNUMBER(I371),I371,IF(OR(NOT(ISNUMBER(H371)),NOT(ISNUMBER(G371)),G371&lt;=0),"",IF(H371/G371&gt;='Score settings'!$B$58,"",IF(J371="Cash savings",H371,IF(J371="Revenue",H371*'Score settings'!$B$55,"")))))</x:f>
      </x:c>
      <x:c r="L371" s="36"/>
      <x:c r="M371" s="39"/>
      <x:c r="N371" s="40"/>
      <x:c r="O371" s="36" t="str">
        <x:v>Must Do</x:v>
      </x:c>
      <x:c r="P371" s="36" t="str">
        <x:v>LFR</x:v>
      </x:c>
      <x:c r="Q371" s="36" t="str">
        <x:v>Compliance</x:v>
      </x:c>
      <x:c r="R371" s="36" t="str">
        <x:v>NotAssessed</x:v>
      </x:c>
      <x:c r="S371" s="36" t="str"/>
      <x:c r="T371" s="36" t="str">
        <x:v>Region candidate</x:v>
      </x:c>
      <x:c r="U371" s="41" t="n">
        <x:f>VLOOKUP("Priority|"&amp;O371,'Score settings'!$A$14:$C$43,2,FALSE)/'Score settings'!$B$4*'Score settings'!$C$4</x:f>
        <x:v>25</x:v>
      </x:c>
      <x:c r="V371" s="41" t="n">
        <x:f>VLOOKUP("Category|"&amp;P371,'Score settings'!$A$14:$C$43,2,FALSE)/'Score settings'!$B$5*'Score settings'!$C$5</x:f>
        <x:v>20</x:v>
      </x:c>
      <x:c r="W371" s="41" t="n">
        <x:f>VLOOKUP("Area|"&amp;Q371,'Score settings'!$A$14:$C$43,2,FALSE)/'Score settings'!$B$6*'Score settings'!$C$6</x:f>
        <x:v>15</x:v>
      </x:c>
      <x:c r="X371" s="41" t="n">
        <x:f>VLOOKUP("Benefits|"&amp;IF(AND(ISNUMBER(H371),H371&gt;0,ISNUMBER(G371),G371&gt;0),IF(H371/G371&gt;='Score settings'!$E$17,"3plus",IF(H371/G371&gt;='Score settings'!$E$16,"1.5to3",IF(H371/G371&gt;='Score settings'!$E$15,"0.5to1.5","positive"))),"None"),'Score settings'!$A$14:$C$43,2,FALSE)/'Score settings'!$B$7*'Score settings'!$C$7</x:f>
        <x:v>25</x:v>
      </x:c>
      <x:c r="Y371" s="41" t="n">
        <x:f>VLOOKUP("Waste|"&amp;R371,'Score settings'!$A$14:$C$43,2,FALSE)/'Score settings'!$B$8*'Score settings'!$C$8</x:f>
        <x:v>7</x:v>
      </x:c>
      <x:c r="Z371" s="41" t="n">
        <x:f>IF(B371="","",SUM(U371:Y371))</x:f>
        <x:v>92</x:v>
      </x:c>
      <x:c r="AA371" s="41" t="str">
        <x:f>IF(Z371="","Not scored",VLOOKUP(Z371,'Score settings'!$A$47:$C$50,2,TRUE))</x:f>
        <x:v>Protected</x:v>
      </x:c>
      <x:c r="AB371" s="41" t="n">
        <x:f>VLOOKUP("Priority|"&amp;O371,'Score settings'!$A$14:$C$43,3,FALSE)/'Score settings'!$B$4*'Score settings'!$D$4</x:f>
        <x:v>15</x:v>
      </x:c>
      <x:c r="AC371" s="41" t="n">
        <x:f>VLOOKUP("Category|"&amp;P371,'Score settings'!$A$14:$C$43,3,FALSE)/'Score settings'!$B$5*'Score settings'!$D$5</x:f>
        <x:v>10</x:v>
      </x:c>
      <x:c r="AD371" s="41" t="n">
        <x:f>VLOOKUP("Area|"&amp;Q371,'Score settings'!$A$14:$C$43,3,FALSE)/'Score settings'!$B$6*'Score settings'!$D$6</x:f>
        <x:v>10</x:v>
      </x:c>
      <x:c r="AE371" s="41" t="n">
        <x:f>VLOOKUP("Benefits|"&amp;IF(AND(ISNUMBER(K371),K371&gt;0,ISNUMBER(G371),G371&gt;0),IF(K371/G371&gt;='Score settings'!$E$17,"3plus",IF(K371/G371&gt;='Score settings'!$E$16,"1.5to3",IF(K371/G371&gt;='Score settings'!$E$15,"0.5to1.5","positive"))),"None"),'Score settings'!$A$14:$C$43,3,FALSE)/'Score settings'!$B$7*'Score settings'!$D$7</x:f>
        <x:v>0</x:v>
      </x:c>
      <x:c r="AF371" s="41" t="n">
        <x:f>VLOOKUP("Waste|"&amp;R371,'Score settings'!$A$14:$C$43,3,FALSE)/'Score settings'!$B$8*'Score settings'!$D$8</x:f>
        <x:v>0</x:v>
      </x:c>
      <x:c r="AG371" s="41" t="n">
        <x:f>(IF(AND(ISNUMBER(M371),M371&gt;0,ISNUMBER(G371),G371&gt;0),IF(M371/G371&gt;='Score settings'!$E$17,'Score settings'!$G$17,IF(M371/G371&gt;='Score settings'!$E$16,'Score settings'!$G$16,IF(M371/G371&gt;='Score settings'!$E$15,'Score settings'!$G$15,'Score settings'!$G$14))),0)/15*'Score settings'!$B$60+IFERROR(VLOOKUP(IF(ISNUMBER(N371),N371,IF(ISNUMBER(L371),L371,0)),'Score settings'!$E$22:$F$26,2,FALSE),0)/10*'Score settings'!$B$61)/'Score settings'!$B$9*'Score settings'!$D$9</x:f>
        <x:v>0</x:v>
      </x:c>
      <x:c r="AH371" s="41" t="n">
        <x:f>IF(B371="","",SUM(AB371:AG371))</x:f>
        <x:v>35</x:v>
      </x:c>
      <x:c r="AI371" s="41" t="str">
        <x:f>IF(NOT(ISNUMBER(AH371)),"Not scored",VLOOKUP(AH371,'Score settings'!$A$47:$C$50,3,TRUE))</x:f>
        <x:v>Discretionary</x:v>
      </x:c>
      <x:c r="AJ371" s="42" t="str">
        <x:f>IF(OR(NOT(ISNUMBER(AH371)),T371&lt;&gt;"Common pot"),"",COUNTIFS($T$4:$T$509,"Common pot",$AH$4:$AH$509,"&gt;"&amp;AH371)+1)</x:f>
      </x:c>
      <x:c r="AK371" s="36" t="str">
        <x:f>IF(B371="","Name missing - not scored",IF(OR(NOT(ISNUMBER(G371)),G371&lt;=0),"Investment missing or zero - review",IF(0=1,"Permanent ID missing - reconcile",IF(AND(ISNUMBER(H371),H371/G371&gt;='Score settings'!$B$58,NOT(ISNUMBER(I371))),"Benefit units need review",IF(OR(R371="EXIT",R371="CHALLENGE"),"Waste decision requires scope resolution",IF("No exact waste match"&lt;&gt;"Name and organisation matched","Waste evidence match needs review","Provisional source score - confirm evidence"))))))</x:f>
        <x:v>Benefit units need review</x:v>
      </x:c>
      <x:c r="AL371" s="36"/>
      <x:c r="AM371" s="40"/>
      <x:c r="AN371" s="39"/>
      <x:c r="AO371" s="40"/>
      <x:c r="AP371" s="40"/>
    </x:row>
    <x:row r="372" ht="15" hidden="0" customHeight="1">
      <x:c r="A372" s="36" t="str">
        <x:v>EW-46</x:v>
      </x:c>
      <x:c r="B372" s="37" t="str">
        <x:v>FIN-IR - India Privacy Data Protection Bill (deferred from 2026 on PF request)</x:v>
      </x:c>
      <x:c r="C372" s="36" t="str">
        <x:v>EW</x:v>
      </x:c>
      <x:c r="D372" s="36" t="str">
        <x:v>International Regions (IR) - Overall </x:v>
      </x:c>
      <x:c r="E372" s="38" t="n">
        <x:v>0.1</x:v>
      </x:c>
      <x:c r="F372" s="39"/>
      <x:c r="G372" s="38" t="n">
        <x:f>IF(ISNUMBER(F372),F372,IF(E372="","",E372))</x:f>
        <x:v>0.1</x:v>
      </x:c>
      <x:c r="H372" s="38" t="n">
        <x:v>110</x:v>
      </x:c>
      <x:c r="I372" s="39"/>
      <x:c r="J372" s="36" t="str">
        <x:v>Risk exposure</x:v>
      </x:c>
      <x:c r="K372" s="38" t="str">
        <x:f>IF(ISNUMBER(I372),I372,IF(OR(NOT(ISNUMBER(H372)),NOT(ISNUMBER(G372)),G372&lt;=0),"",IF(H372/G372&gt;='Score settings'!$B$58,"",IF(J372="Cash savings",H372,IF(J372="Revenue",H372*'Score settings'!$B$55,"")))))</x:f>
      </x:c>
      <x:c r="L372" s="36"/>
      <x:c r="M372" s="39"/>
      <x:c r="N372" s="40"/>
      <x:c r="O372" s="36" t="str">
        <x:v>Must Do</x:v>
      </x:c>
      <x:c r="P372" s="36" t="str">
        <x:v>LFR</x:v>
      </x:c>
      <x:c r="Q372" s="36" t="str">
        <x:v>Compliance</x:v>
      </x:c>
      <x:c r="R372" s="36" t="str">
        <x:v>NotAssessed</x:v>
      </x:c>
      <x:c r="S372" s="36" t="str"/>
      <x:c r="T372" s="36" t="str">
        <x:v>Region candidate</x:v>
      </x:c>
      <x:c r="U372" s="41" t="n">
        <x:f>VLOOKUP("Priority|"&amp;O372,'Score settings'!$A$14:$C$43,2,FALSE)/'Score settings'!$B$4*'Score settings'!$C$4</x:f>
        <x:v>25</x:v>
      </x:c>
      <x:c r="V372" s="41" t="n">
        <x:f>VLOOKUP("Category|"&amp;P372,'Score settings'!$A$14:$C$43,2,FALSE)/'Score settings'!$B$5*'Score settings'!$C$5</x:f>
        <x:v>20</x:v>
      </x:c>
      <x:c r="W372" s="41" t="n">
        <x:f>VLOOKUP("Area|"&amp;Q372,'Score settings'!$A$14:$C$43,2,FALSE)/'Score settings'!$B$6*'Score settings'!$C$6</x:f>
        <x:v>15</x:v>
      </x:c>
      <x:c r="X372" s="41" t="n">
        <x:f>VLOOKUP("Benefits|"&amp;IF(AND(ISNUMBER(H372),H372&gt;0,ISNUMBER(G372),G372&gt;0),IF(H372/G372&gt;='Score settings'!$E$17,"3plus",IF(H372/G372&gt;='Score settings'!$E$16,"1.5to3",IF(H372/G372&gt;='Score settings'!$E$15,"0.5to1.5","positive"))),"None"),'Score settings'!$A$14:$C$43,2,FALSE)/'Score settings'!$B$7*'Score settings'!$C$7</x:f>
        <x:v>25</x:v>
      </x:c>
      <x:c r="Y372" s="41" t="n">
        <x:f>VLOOKUP("Waste|"&amp;R372,'Score settings'!$A$14:$C$43,2,FALSE)/'Score settings'!$B$8*'Score settings'!$C$8</x:f>
        <x:v>7</x:v>
      </x:c>
      <x:c r="Z372" s="41" t="n">
        <x:f>IF(B372="","",SUM(U372:Y372))</x:f>
        <x:v>92</x:v>
      </x:c>
      <x:c r="AA372" s="41" t="str">
        <x:f>IF(Z372="","Not scored",VLOOKUP(Z372,'Score settings'!$A$47:$C$50,2,TRUE))</x:f>
        <x:v>Protected</x:v>
      </x:c>
      <x:c r="AB372" s="41" t="n">
        <x:f>VLOOKUP("Priority|"&amp;O372,'Score settings'!$A$14:$C$43,3,FALSE)/'Score settings'!$B$4*'Score settings'!$D$4</x:f>
        <x:v>15</x:v>
      </x:c>
      <x:c r="AC372" s="41" t="n">
        <x:f>VLOOKUP("Category|"&amp;P372,'Score settings'!$A$14:$C$43,3,FALSE)/'Score settings'!$B$5*'Score settings'!$D$5</x:f>
        <x:v>10</x:v>
      </x:c>
      <x:c r="AD372" s="41" t="n">
        <x:f>VLOOKUP("Area|"&amp;Q372,'Score settings'!$A$14:$C$43,3,FALSE)/'Score settings'!$B$6*'Score settings'!$D$6</x:f>
        <x:v>10</x:v>
      </x:c>
      <x:c r="AE372" s="41" t="n">
        <x:f>VLOOKUP("Benefits|"&amp;IF(AND(ISNUMBER(K372),K372&gt;0,ISNUMBER(G372),G372&gt;0),IF(K372/G372&gt;='Score settings'!$E$17,"3plus",IF(K372/G372&gt;='Score settings'!$E$16,"1.5to3",IF(K372/G372&gt;='Score settings'!$E$15,"0.5to1.5","positive"))),"None"),'Score settings'!$A$14:$C$43,3,FALSE)/'Score settings'!$B$7*'Score settings'!$D$7</x:f>
        <x:v>0</x:v>
      </x:c>
      <x:c r="AF372" s="41" t="n">
        <x:f>VLOOKUP("Waste|"&amp;R372,'Score settings'!$A$14:$C$43,3,FALSE)/'Score settings'!$B$8*'Score settings'!$D$8</x:f>
        <x:v>0</x:v>
      </x:c>
      <x:c r="AG372" s="41" t="n">
        <x:f>(IF(AND(ISNUMBER(M372),M372&gt;0,ISNUMBER(G372),G372&gt;0),IF(M372/G372&gt;='Score settings'!$E$17,'Score settings'!$G$17,IF(M372/G372&gt;='Score settings'!$E$16,'Score settings'!$G$16,IF(M372/G372&gt;='Score settings'!$E$15,'Score settings'!$G$15,'Score settings'!$G$14))),0)/15*'Score settings'!$B$60+IFERROR(VLOOKUP(IF(ISNUMBER(N372),N372,IF(ISNUMBER(L372),L372,0)),'Score settings'!$E$22:$F$26,2,FALSE),0)/10*'Score settings'!$B$61)/'Score settings'!$B$9*'Score settings'!$D$9</x:f>
        <x:v>0</x:v>
      </x:c>
      <x:c r="AH372" s="41" t="n">
        <x:f>IF(B372="","",SUM(AB372:AG372))</x:f>
        <x:v>35</x:v>
      </x:c>
      <x:c r="AI372" s="41" t="str">
        <x:f>IF(NOT(ISNUMBER(AH372)),"Not scored",VLOOKUP(AH372,'Score settings'!$A$47:$C$50,3,TRUE))</x:f>
        <x:v>Discretionary</x:v>
      </x:c>
      <x:c r="AJ372" s="42" t="str">
        <x:f>IF(OR(NOT(ISNUMBER(AH372)),T372&lt;&gt;"Common pot"),"",COUNTIFS($T$4:$T$509,"Common pot",$AH$4:$AH$509,"&gt;"&amp;AH372)+1)</x:f>
      </x:c>
      <x:c r="AK372" s="36" t="str">
        <x:f>IF(B372="","Name missing - not scored",IF(OR(NOT(ISNUMBER(G372)),G372&lt;=0),"Investment missing or zero - review",IF(0=1,"Permanent ID missing - reconcile",IF(AND(ISNUMBER(H372),H372/G372&gt;='Score settings'!$B$58,NOT(ISNUMBER(I372))),"Benefit units need review",IF(OR(R372="EXIT",R372="CHALLENGE"),"Waste decision requires scope resolution",IF("No exact waste match"&lt;&gt;"Name and organisation matched","Waste evidence match needs review","Provisional source score - confirm evidence"))))))</x:f>
        <x:v>Benefit units need review</x:v>
      </x:c>
      <x:c r="AL372" s="36"/>
      <x:c r="AM372" s="40"/>
      <x:c r="AN372" s="39"/>
      <x:c r="AO372" s="40"/>
      <x:c r="AP372" s="40"/>
    </x:row>
    <x:row r="373" ht="15" hidden="0" customHeight="1">
      <x:c r="A373" s="36" t="str">
        <x:v>EW-47</x:v>
      </x:c>
      <x:c r="B373" s="37" t="str">
        <x:v>FIN-IR - ORU Lebanon (formalize current operations)</x:v>
      </x:c>
      <x:c r="C373" s="36" t="str">
        <x:v>EW</x:v>
      </x:c>
      <x:c r="D373" s="36" t="str">
        <x:v>International Regions (IR) - Overall </x:v>
      </x:c>
      <x:c r="E373" s="38" t="n">
        <x:v>0.085</x:v>
      </x:c>
      <x:c r="F373" s="39"/>
      <x:c r="G373" s="38" t="n">
        <x:f>IF(ISNUMBER(F373),F373,IF(E373="","",E373))</x:f>
        <x:v>0.085</x:v>
      </x:c>
      <x:c r="H373" s="38" t="n">
        <x:v>0.345</x:v>
      </x:c>
      <x:c r="I373" s="39"/>
      <x:c r="J373" s="36" t="str">
        <x:v>Risk exposure</x:v>
      </x:c>
      <x:c r="K373" s="38" t="str">
        <x:f>IF(ISNUMBER(I373),I373,IF(OR(NOT(ISNUMBER(H373)),NOT(ISNUMBER(G373)),G373&lt;=0),"",IF(H373/G373&gt;='Score settings'!$B$58,"",IF(J373="Cash savings",H373,IF(J373="Revenue",H373*'Score settings'!$B$55,"")))))</x:f>
      </x:c>
      <x:c r="L373" s="36"/>
      <x:c r="M373" s="39"/>
      <x:c r="N373" s="40"/>
      <x:c r="O373" s="36" t="str">
        <x:v>Must Do</x:v>
      </x:c>
      <x:c r="P373" s="36" t="str">
        <x:v>LFR</x:v>
      </x:c>
      <x:c r="Q373" s="36" t="str">
        <x:v>Compliance</x:v>
      </x:c>
      <x:c r="R373" s="36" t="str">
        <x:v>NotAssessed</x:v>
      </x:c>
      <x:c r="S373" s="36" t="str"/>
      <x:c r="T373" s="36" t="str">
        <x:v>Region candidate</x:v>
      </x:c>
      <x:c r="U373" s="41" t="n">
        <x:f>VLOOKUP("Priority|"&amp;O373,'Score settings'!$A$14:$C$43,2,FALSE)/'Score settings'!$B$4*'Score settings'!$C$4</x:f>
        <x:v>25</x:v>
      </x:c>
      <x:c r="V373" s="41" t="n">
        <x:f>VLOOKUP("Category|"&amp;P373,'Score settings'!$A$14:$C$43,2,FALSE)/'Score settings'!$B$5*'Score settings'!$C$5</x:f>
        <x:v>20</x:v>
      </x:c>
      <x:c r="W373" s="41" t="n">
        <x:f>VLOOKUP("Area|"&amp;Q373,'Score settings'!$A$14:$C$43,2,FALSE)/'Score settings'!$B$6*'Score settings'!$C$6</x:f>
        <x:v>15</x:v>
      </x:c>
      <x:c r="X373" s="41" t="n">
        <x:f>VLOOKUP("Benefits|"&amp;IF(AND(ISNUMBER(H373),H373&gt;0,ISNUMBER(G373),G373&gt;0),IF(H373/G373&gt;='Score settings'!$E$17,"3plus",IF(H373/G373&gt;='Score settings'!$E$16,"1.5to3",IF(H373/G373&gt;='Score settings'!$E$15,"0.5to1.5","positive"))),"None"),'Score settings'!$A$14:$C$43,2,FALSE)/'Score settings'!$B$7*'Score settings'!$C$7</x:f>
        <x:v>25</x:v>
      </x:c>
      <x:c r="Y373" s="41" t="n">
        <x:f>VLOOKUP("Waste|"&amp;R373,'Score settings'!$A$14:$C$43,2,FALSE)/'Score settings'!$B$8*'Score settings'!$C$8</x:f>
        <x:v>7</x:v>
      </x:c>
      <x:c r="Z373" s="41" t="n">
        <x:f>IF(B373="","",SUM(U373:Y373))</x:f>
        <x:v>92</x:v>
      </x:c>
      <x:c r="AA373" s="41" t="str">
        <x:f>IF(Z373="","Not scored",VLOOKUP(Z373,'Score settings'!$A$47:$C$50,2,TRUE))</x:f>
        <x:v>Protected</x:v>
      </x:c>
      <x:c r="AB373" s="41" t="n">
        <x:f>VLOOKUP("Priority|"&amp;O373,'Score settings'!$A$14:$C$43,3,FALSE)/'Score settings'!$B$4*'Score settings'!$D$4</x:f>
        <x:v>15</x:v>
      </x:c>
      <x:c r="AC373" s="41" t="n">
        <x:f>VLOOKUP("Category|"&amp;P373,'Score settings'!$A$14:$C$43,3,FALSE)/'Score settings'!$B$5*'Score settings'!$D$5</x:f>
        <x:v>10</x:v>
      </x:c>
      <x:c r="AD373" s="41" t="n">
        <x:f>VLOOKUP("Area|"&amp;Q373,'Score settings'!$A$14:$C$43,3,FALSE)/'Score settings'!$B$6*'Score settings'!$D$6</x:f>
        <x:v>10</x:v>
      </x:c>
      <x:c r="AE373" s="41" t="n">
        <x:f>VLOOKUP("Benefits|"&amp;IF(AND(ISNUMBER(K373),K373&gt;0,ISNUMBER(G373),G373&gt;0),IF(K373/G373&gt;='Score settings'!$E$17,"3plus",IF(K373/G373&gt;='Score settings'!$E$16,"1.5to3",IF(K373/G373&gt;='Score settings'!$E$15,"0.5to1.5","positive"))),"None"),'Score settings'!$A$14:$C$43,3,FALSE)/'Score settings'!$B$7*'Score settings'!$D$7</x:f>
        <x:v>0</x:v>
      </x:c>
      <x:c r="AF373" s="41" t="n">
        <x:f>VLOOKUP("Waste|"&amp;R373,'Score settings'!$A$14:$C$43,3,FALSE)/'Score settings'!$B$8*'Score settings'!$D$8</x:f>
        <x:v>0</x:v>
      </x:c>
      <x:c r="AG373" s="41" t="n">
        <x:f>(IF(AND(ISNUMBER(M373),M373&gt;0,ISNUMBER(G373),G373&gt;0),IF(M373/G373&gt;='Score settings'!$E$17,'Score settings'!$G$17,IF(M373/G373&gt;='Score settings'!$E$16,'Score settings'!$G$16,IF(M373/G373&gt;='Score settings'!$E$15,'Score settings'!$G$15,'Score settings'!$G$14))),0)/15*'Score settings'!$B$60+IFERROR(VLOOKUP(IF(ISNUMBER(N373),N373,IF(ISNUMBER(L373),L373,0)),'Score settings'!$E$22:$F$26,2,FALSE),0)/10*'Score settings'!$B$61)/'Score settings'!$B$9*'Score settings'!$D$9</x:f>
        <x:v>0</x:v>
      </x:c>
      <x:c r="AH373" s="41" t="n">
        <x:f>IF(B373="","",SUM(AB373:AG373))</x:f>
        <x:v>35</x:v>
      </x:c>
      <x:c r="AI373" s="41" t="str">
        <x:f>IF(NOT(ISNUMBER(AH373)),"Not scored",VLOOKUP(AH373,'Score settings'!$A$47:$C$50,3,TRUE))</x:f>
        <x:v>Discretionary</x:v>
      </x:c>
      <x:c r="AJ373" s="42" t="str">
        <x:f>IF(OR(NOT(ISNUMBER(AH373)),T373&lt;&gt;"Common pot"),"",COUNTIFS($T$4:$T$509,"Common pot",$AH$4:$AH$509,"&gt;"&amp;AH373)+1)</x:f>
      </x:c>
      <x:c r="AK373" s="36" t="str">
        <x:f>IF(B373="","Name missing - not scored",IF(OR(NOT(ISNUMBER(G373)),G373&lt;=0),"Investment missing or zero - review",IF(0=1,"Permanent ID missing - reconcile",IF(AND(ISNUMBER(H373),H373/G373&gt;='Score settings'!$B$58,NOT(ISNUMBER(I373))),"Benefit units need review",IF(OR(R373="EXIT",R373="CHALLENGE"),"Waste decision requires scope resolution",IF("No exact waste match"&lt;&gt;"Name and organisation matched","Waste evidence match needs review","Provisional source score - confirm evidence"))))))</x:f>
        <x:v>Waste evidence match needs review</x:v>
      </x:c>
      <x:c r="AL373" s="36"/>
      <x:c r="AM373" s="40"/>
      <x:c r="AN373" s="39"/>
      <x:c r="AO373" s="40"/>
      <x:c r="AP373" s="40"/>
    </x:row>
    <x:row r="374" ht="15" hidden="0" customHeight="1">
      <x:c r="A374" s="36" t="str">
        <x:v>EW-50</x:v>
      </x:c>
      <x:c r="B374" s="37" t="str">
        <x:v>Global Hold program Improvement</x:v>
      </x:c>
      <x:c r="C374" s="36" t="str">
        <x:v>EW</x:v>
      </x:c>
      <x:c r="D374" s="36" t="str">
        <x:v>Patient Safety &amp; Quality</x:v>
      </x:c>
      <x:c r="E374" s="38" t="n">
        <x:v>0.5</x:v>
      </x:c>
      <x:c r="F374" s="39"/>
      <x:c r="G374" s="38" t="n">
        <x:f>IF(ISNUMBER(F374),F374,IF(E374="","",E374))</x:f>
        <x:v>0.5</x:v>
      </x:c>
      <x:c r="H374" s="38"/>
      <x:c r="I374" s="39"/>
      <x:c r="J374" s="36" t="str">
        <x:v>Risk exposure</x:v>
      </x:c>
      <x:c r="K374" s="38" t="str">
        <x:f>IF(ISNUMBER(I374),I374,IF(OR(NOT(ISNUMBER(H374)),NOT(ISNUMBER(G374)),G374&lt;=0),"",IF(H374/G374&gt;='Score settings'!$B$58,"",IF(J374="Cash savings",H374,IF(J374="Revenue",H374*'Score settings'!$B$55,"")))))</x:f>
      </x:c>
      <x:c r="L374" s="36"/>
      <x:c r="M374" s="39"/>
      <x:c r="N374" s="40"/>
      <x:c r="O374" s="36" t="str">
        <x:v>Must Do</x:v>
      </x:c>
      <x:c r="P374" s="36" t="str">
        <x:v>LFR</x:v>
      </x:c>
      <x:c r="Q374" s="36" t="str">
        <x:v>Compliance</x:v>
      </x:c>
      <x:c r="R374" s="36" t="str">
        <x:v>NotAssessed</x:v>
      </x:c>
      <x:c r="S374" s="36" t="str"/>
      <x:c r="T374" s="36" t="str">
        <x:v>Common pot</x:v>
      </x:c>
      <x:c r="U374" s="41" t="n">
        <x:f>VLOOKUP("Priority|"&amp;O374,'Score settings'!$A$14:$C$43,2,FALSE)/'Score settings'!$B$4*'Score settings'!$C$4</x:f>
        <x:v>25</x:v>
      </x:c>
      <x:c r="V374" s="41" t="n">
        <x:f>VLOOKUP("Category|"&amp;P374,'Score settings'!$A$14:$C$43,2,FALSE)/'Score settings'!$B$5*'Score settings'!$C$5</x:f>
        <x:v>20</x:v>
      </x:c>
      <x:c r="W374" s="41" t="n">
        <x:f>VLOOKUP("Area|"&amp;Q374,'Score settings'!$A$14:$C$43,2,FALSE)/'Score settings'!$B$6*'Score settings'!$C$6</x:f>
        <x:v>15</x:v>
      </x:c>
      <x:c r="X374" s="41" t="n">
        <x:f>VLOOKUP("Benefits|"&amp;IF(AND(ISNUMBER(H374),H374&gt;0,ISNUMBER(G374),G374&gt;0),IF(H374/G374&gt;='Score settings'!$E$17,"3plus",IF(H374/G374&gt;='Score settings'!$E$16,"1.5to3",IF(H374/G374&gt;='Score settings'!$E$15,"0.5to1.5","positive"))),"None"),'Score settings'!$A$14:$C$43,2,FALSE)/'Score settings'!$B$7*'Score settings'!$C$7</x:f>
        <x:v>5</x:v>
      </x:c>
      <x:c r="Y374" s="41" t="n">
        <x:f>VLOOKUP("Waste|"&amp;R374,'Score settings'!$A$14:$C$43,2,FALSE)/'Score settings'!$B$8*'Score settings'!$C$8</x:f>
        <x:v>7</x:v>
      </x:c>
      <x:c r="Z374" s="41" t="n">
        <x:f>IF(B374="","",SUM(U374:Y374))</x:f>
        <x:v>72</x:v>
      </x:c>
      <x:c r="AA374" s="41" t="str">
        <x:f>IF(Z374="","Not scored",VLOOKUP(Z374,'Score settings'!$A$47:$C$50,2,TRUE))</x:f>
        <x:v>Protected</x:v>
      </x:c>
      <x:c r="AB374" s="41" t="n">
        <x:f>VLOOKUP("Priority|"&amp;O374,'Score settings'!$A$14:$C$43,3,FALSE)/'Score settings'!$B$4*'Score settings'!$D$4</x:f>
        <x:v>15</x:v>
      </x:c>
      <x:c r="AC374" s="41" t="n">
        <x:f>VLOOKUP("Category|"&amp;P374,'Score settings'!$A$14:$C$43,3,FALSE)/'Score settings'!$B$5*'Score settings'!$D$5</x:f>
        <x:v>10</x:v>
      </x:c>
      <x:c r="AD374" s="41" t="n">
        <x:f>VLOOKUP("Area|"&amp;Q374,'Score settings'!$A$14:$C$43,3,FALSE)/'Score settings'!$B$6*'Score settings'!$D$6</x:f>
        <x:v>10</x:v>
      </x:c>
      <x:c r="AE374" s="41" t="n">
        <x:f>VLOOKUP("Benefits|"&amp;IF(AND(ISNUMBER(K374),K374&gt;0,ISNUMBER(G374),G374&gt;0),IF(K374/G374&gt;='Score settings'!$E$17,"3plus",IF(K374/G374&gt;='Score settings'!$E$16,"1.5to3",IF(K374/G374&gt;='Score settings'!$E$15,"0.5to1.5","positive"))),"None"),'Score settings'!$A$14:$C$43,3,FALSE)/'Score settings'!$B$7*'Score settings'!$D$7</x:f>
        <x:v>0</x:v>
      </x:c>
      <x:c r="AF374" s="41" t="n">
        <x:f>VLOOKUP("Waste|"&amp;R374,'Score settings'!$A$14:$C$43,3,FALSE)/'Score settings'!$B$8*'Score settings'!$D$8</x:f>
        <x:v>0</x:v>
      </x:c>
      <x:c r="AG374" s="41" t="n">
        <x:f>(IF(AND(ISNUMBER(M374),M374&gt;0,ISNUMBER(G374),G374&gt;0),IF(M374/G374&gt;='Score settings'!$E$17,'Score settings'!$G$17,IF(M374/G374&gt;='Score settings'!$E$16,'Score settings'!$G$16,IF(M374/G374&gt;='Score settings'!$E$15,'Score settings'!$G$15,'Score settings'!$G$14))),0)/15*'Score settings'!$B$60+IFERROR(VLOOKUP(IF(ISNUMBER(N374),N374,IF(ISNUMBER(L374),L374,0)),'Score settings'!$E$22:$F$26,2,FALSE),0)/10*'Score settings'!$B$61)/'Score settings'!$B$9*'Score settings'!$D$9</x:f>
        <x:v>0</x:v>
      </x:c>
      <x:c r="AH374" s="41" t="n">
        <x:f>IF(B374="","",SUM(AB374:AG374))</x:f>
        <x:v>35</x:v>
      </x:c>
      <x:c r="AI374" s="41" t="str">
        <x:f>IF(NOT(ISNUMBER(AH374)),"Not scored",VLOOKUP(AH374,'Score settings'!$A$47:$C$50,3,TRUE))</x:f>
        <x:v>Discretionary</x:v>
      </x:c>
      <x:c r="AJ374" s="42" t="n">
        <x:f>IF(OR(NOT(ISNUMBER(AH374)),T374&lt;&gt;"Common pot"),"",COUNTIFS($T$4:$T$509,"Common pot",$AH$4:$AH$509,"&gt;"&amp;AH374)+1)</x:f>
        <x:v>142</x:v>
      </x:c>
      <x:c r="AK374" s="36" t="str">
        <x:f>IF(B374="","Name missing - not scored",IF(OR(NOT(ISNUMBER(G374)),G374&lt;=0),"Investment missing or zero - review",IF(0=1,"Permanent ID missing - reconcile",IF(AND(ISNUMBER(H374),H374/G374&gt;='Score settings'!$B$58,NOT(ISNUMBER(I374))),"Benefit units need review",IF(OR(R374="EXIT",R374="CHALLENGE"),"Waste decision requires scope resolution",IF("Organisation differs or ambiguous"&lt;&gt;"Name and organisation matched","Waste evidence match needs review","Provisional source score - confirm evidence"))))))</x:f>
        <x:v>Waste evidence match needs review</x:v>
      </x:c>
      <x:c r="AL374" s="36"/>
      <x:c r="AM374" s="40"/>
      <x:c r="AN374" s="39"/>
      <x:c r="AO374" s="40"/>
      <x:c r="AP374" s="40"/>
    </x:row>
    <x:row r="375" ht="15" hidden="0" customHeight="1">
      <x:c r="A375" s="36" t="str">
        <x:v>EW-51</x:v>
      </x:c>
      <x:c r="B375" s="37" t="str">
        <x:v>Centralized Certificate Verification(CCV) </x:v>
      </x:c>
      <x:c r="C375" s="36" t="str">
        <x:v>EW</x:v>
      </x:c>
      <x:c r="D375" s="36" t="str">
        <x:v>Patient Safety &amp; Quality</x:v>
      </x:c>
      <x:c r="E375" s="38" t="n">
        <x:v>0.35</x:v>
      </x:c>
      <x:c r="F375" s="39"/>
      <x:c r="G375" s="38" t="n">
        <x:f>IF(ISNUMBER(F375),F375,IF(E375="","",E375))</x:f>
        <x:v>0.35</x:v>
      </x:c>
      <x:c r="H375" s="38" t="n">
        <x:v>0.36</x:v>
      </x:c>
      <x:c r="I375" s="39"/>
      <x:c r="J375" s="36" t="str">
        <x:v>Risk exposure</x:v>
      </x:c>
      <x:c r="K375" s="38" t="str">
        <x:f>IF(ISNUMBER(I375),I375,IF(OR(NOT(ISNUMBER(H375)),NOT(ISNUMBER(G375)),G375&lt;=0),"",IF(H375/G375&gt;='Score settings'!$B$58,"",IF(J375="Cash savings",H375,IF(J375="Revenue",H375*'Score settings'!$B$55,"")))))</x:f>
      </x:c>
      <x:c r="L375" s="36"/>
      <x:c r="M375" s="39"/>
      <x:c r="N375" s="40"/>
      <x:c r="O375" s="36" t="str">
        <x:v>Must Do</x:v>
      </x:c>
      <x:c r="P375" s="36" t="str">
        <x:v>Upgrades</x:v>
      </x:c>
      <x:c r="Q375" s="36" t="str">
        <x:v>Compliance</x:v>
      </x:c>
      <x:c r="R375" s="36" t="str">
        <x:v>NotAssessed</x:v>
      </x:c>
      <x:c r="S375" s="36" t="str"/>
      <x:c r="T375" s="36" t="str">
        <x:v>Common pot</x:v>
      </x:c>
      <x:c r="U375" s="41" t="n">
        <x:f>VLOOKUP("Priority|"&amp;O375,'Score settings'!$A$14:$C$43,2,FALSE)/'Score settings'!$B$4*'Score settings'!$C$4</x:f>
        <x:v>25</x:v>
      </x:c>
      <x:c r="V375" s="41" t="n">
        <x:f>VLOOKUP("Category|"&amp;P375,'Score settings'!$A$14:$C$43,2,FALSE)/'Score settings'!$B$5*'Score settings'!$C$5</x:f>
        <x:v>10</x:v>
      </x:c>
      <x:c r="W375" s="41" t="n">
        <x:f>VLOOKUP("Area|"&amp;Q375,'Score settings'!$A$14:$C$43,2,FALSE)/'Score settings'!$B$6*'Score settings'!$C$6</x:f>
        <x:v>15</x:v>
      </x:c>
      <x:c r="X375" s="41" t="n">
        <x:f>VLOOKUP("Benefits|"&amp;IF(AND(ISNUMBER(H375),H375&gt;0,ISNUMBER(G375),G375&gt;0),IF(H375/G375&gt;='Score settings'!$E$17,"3plus",IF(H375/G375&gt;='Score settings'!$E$16,"1.5to3",IF(H375/G375&gt;='Score settings'!$E$15,"0.5to1.5","positive"))),"None"),'Score settings'!$A$14:$C$43,2,FALSE)/'Score settings'!$B$7*'Score settings'!$C$7</x:f>
        <x:v>15</x:v>
      </x:c>
      <x:c r="Y375" s="41" t="n">
        <x:f>VLOOKUP("Waste|"&amp;R375,'Score settings'!$A$14:$C$43,2,FALSE)/'Score settings'!$B$8*'Score settings'!$C$8</x:f>
        <x:v>7</x:v>
      </x:c>
      <x:c r="Z375" s="41" t="n">
        <x:f>IF(B375="","",SUM(U375:Y375))</x:f>
        <x:v>72</x:v>
      </x:c>
      <x:c r="AA375" s="41" t="str">
        <x:f>IF(Z375="","Not scored",VLOOKUP(Z375,'Score settings'!$A$47:$C$50,2,TRUE))</x:f>
        <x:v>Protected</x:v>
      </x:c>
      <x:c r="AB375" s="41" t="n">
        <x:f>VLOOKUP("Priority|"&amp;O375,'Score settings'!$A$14:$C$43,3,FALSE)/'Score settings'!$B$4*'Score settings'!$D$4</x:f>
        <x:v>15</x:v>
      </x:c>
      <x:c r="AC375" s="41" t="n">
        <x:f>VLOOKUP("Category|"&amp;P375,'Score settings'!$A$14:$C$43,3,FALSE)/'Score settings'!$B$5*'Score settings'!$D$5</x:f>
        <x:v>5</x:v>
      </x:c>
      <x:c r="AD375" s="41" t="n">
        <x:f>VLOOKUP("Area|"&amp;Q375,'Score settings'!$A$14:$C$43,3,FALSE)/'Score settings'!$B$6*'Score settings'!$D$6</x:f>
        <x:v>10</x:v>
      </x:c>
      <x:c r="AE375" s="41" t="n">
        <x:f>VLOOKUP("Benefits|"&amp;IF(AND(ISNUMBER(K375),K375&gt;0,ISNUMBER(G375),G375&gt;0),IF(K375/G375&gt;='Score settings'!$E$17,"3plus",IF(K375/G375&gt;='Score settings'!$E$16,"1.5to3",IF(K375/G375&gt;='Score settings'!$E$15,"0.5to1.5","positive"))),"None"),'Score settings'!$A$14:$C$43,3,FALSE)/'Score settings'!$B$7*'Score settings'!$D$7</x:f>
        <x:v>0</x:v>
      </x:c>
      <x:c r="AF375" s="41" t="n">
        <x:f>VLOOKUP("Waste|"&amp;R375,'Score settings'!$A$14:$C$43,3,FALSE)/'Score settings'!$B$8*'Score settings'!$D$8</x:f>
        <x:v>0</x:v>
      </x:c>
      <x:c r="AG375" s="41" t="n">
        <x:f>(IF(AND(ISNUMBER(M375),M375&gt;0,ISNUMBER(G375),G375&gt;0),IF(M375/G375&gt;='Score settings'!$E$17,'Score settings'!$G$17,IF(M375/G375&gt;='Score settings'!$E$16,'Score settings'!$G$16,IF(M375/G375&gt;='Score settings'!$E$15,'Score settings'!$G$15,'Score settings'!$G$14))),0)/15*'Score settings'!$B$60+IFERROR(VLOOKUP(IF(ISNUMBER(N375),N375,IF(ISNUMBER(L375),L375,0)),'Score settings'!$E$22:$F$26,2,FALSE),0)/10*'Score settings'!$B$61)/'Score settings'!$B$9*'Score settings'!$D$9</x:f>
        <x:v>0</x:v>
      </x:c>
      <x:c r="AH375" s="41" t="n">
        <x:f>IF(B375="","",SUM(AB375:AG375))</x:f>
        <x:v>30</x:v>
      </x:c>
      <x:c r="AI375" s="41" t="str">
        <x:f>IF(NOT(ISNUMBER(AH375)),"Not scored",VLOOKUP(AH375,'Score settings'!$A$47:$C$50,3,TRUE))</x:f>
        <x:v>Discretionary</x:v>
      </x:c>
      <x:c r="AJ375" s="42" t="n">
        <x:f>IF(OR(NOT(ISNUMBER(AH375)),T375&lt;&gt;"Common pot"),"",COUNTIFS($T$4:$T$509,"Common pot",$AH$4:$AH$509,"&gt;"&amp;AH375)+1)</x:f>
        <x:v>187</x:v>
      </x:c>
      <x:c r="AK375" s="36" t="str">
        <x:f>IF(B375="","Name missing - not scored",IF(OR(NOT(ISNUMBER(G375)),G375&lt;=0),"Investment missing or zero - review",IF(0=1,"Permanent ID missing - reconcile",IF(AND(ISNUMBER(H375),H375/G375&gt;='Score settings'!$B$58,NOT(ISNUMBER(I375))),"Benefit units need review",IF(OR(R375="EXIT",R375="CHALLENGE"),"Waste decision requires scope resolution",IF("Organisation differs or ambiguous"&lt;&gt;"Name and organisation matched","Waste evidence match needs review","Provisional source score - confirm evidence"))))))</x:f>
        <x:v>Waste evidence match needs review</x:v>
      </x:c>
      <x:c r="AL375" s="36"/>
      <x:c r="AM375" s="40"/>
      <x:c r="AN375" s="39"/>
      <x:c r="AO375" s="40"/>
      <x:c r="AP375" s="40"/>
    </x:row>
    <x:row r="376" ht="15" hidden="0" customHeight="1">
      <x:c r="A376" s="36" t="str">
        <x:v>EW-52</x:v>
      </x:c>
      <x:c r="B376" s="37" t="str">
        <x:v>RM AI big bet</x:v>
      </x:c>
      <x:c r="C376" s="36" t="str">
        <x:v>EW</x:v>
      </x:c>
      <x:c r="D376" s="36" t="str">
        <x:v>Patient Safety &amp; Quality</x:v>
      </x:c>
      <x:c r="E376" s="38" t="n">
        <x:v>0.395</x:v>
      </x:c>
      <x:c r="F376" s="39"/>
      <x:c r="G376" s="38" t="n">
        <x:f>IF(ISNUMBER(F376),F376,IF(E376="","",E376))</x:f>
        <x:v>0.395</x:v>
      </x:c>
      <x:c r="H376" s="38"/>
      <x:c r="I376" s="39"/>
      <x:c r="J376" s="36" t="str">
        <x:v>Risk exposure</x:v>
      </x:c>
      <x:c r="K376" s="38" t="str">
        <x:f>IF(ISNUMBER(I376),I376,IF(OR(NOT(ISNUMBER(H376)),NOT(ISNUMBER(G376)),G376&lt;=0),"",IF(H376/G376&gt;='Score settings'!$B$58,"",IF(J376="Cash savings",H376,IF(J376="Revenue",H376*'Score settings'!$B$55,"")))))</x:f>
      </x:c>
      <x:c r="L376" s="36"/>
      <x:c r="M376" s="39"/>
      <x:c r="N376" s="40"/>
      <x:c r="O376" s="36" t="str">
        <x:v>Must Do</x:v>
      </x:c>
      <x:c r="P376" s="36" t="str">
        <x:v>AI</x:v>
      </x:c>
      <x:c r="Q376" s="36" t="str">
        <x:v>Compliance</x:v>
      </x:c>
      <x:c r="R376" s="36" t="str">
        <x:v>NotAssessed</x:v>
      </x:c>
      <x:c r="S376" s="36" t="str"/>
      <x:c r="T376" s="36" t="str">
        <x:v>Common pot</x:v>
      </x:c>
      <x:c r="U376" s="41" t="n">
        <x:f>VLOOKUP("Priority|"&amp;O376,'Score settings'!$A$14:$C$43,2,FALSE)/'Score settings'!$B$4*'Score settings'!$C$4</x:f>
        <x:v>25</x:v>
      </x:c>
      <x:c r="V376" s="41" t="n">
        <x:f>VLOOKUP("Category|"&amp;P376,'Score settings'!$A$14:$C$43,2,FALSE)/'Score settings'!$B$5*'Score settings'!$C$5</x:f>
        <x:v>16</x:v>
      </x:c>
      <x:c r="W376" s="41" t="n">
        <x:f>VLOOKUP("Area|"&amp;Q376,'Score settings'!$A$14:$C$43,2,FALSE)/'Score settings'!$B$6*'Score settings'!$C$6</x:f>
        <x:v>15</x:v>
      </x:c>
      <x:c r="X376" s="41" t="n">
        <x:f>VLOOKUP("Benefits|"&amp;IF(AND(ISNUMBER(H376),H376&gt;0,ISNUMBER(G376),G376&gt;0),IF(H376/G376&gt;='Score settings'!$E$17,"3plus",IF(H376/G376&gt;='Score settings'!$E$16,"1.5to3",IF(H376/G376&gt;='Score settings'!$E$15,"0.5to1.5","positive"))),"None"),'Score settings'!$A$14:$C$43,2,FALSE)/'Score settings'!$B$7*'Score settings'!$C$7</x:f>
        <x:v>5</x:v>
      </x:c>
      <x:c r="Y376" s="41" t="n">
        <x:f>VLOOKUP("Waste|"&amp;R376,'Score settings'!$A$14:$C$43,2,FALSE)/'Score settings'!$B$8*'Score settings'!$C$8</x:f>
        <x:v>7</x:v>
      </x:c>
      <x:c r="Z376" s="41" t="n">
        <x:f>IF(B376="","",SUM(U376:Y376))</x:f>
        <x:v>68</x:v>
      </x:c>
      <x:c r="AA376" s="41" t="str">
        <x:f>IF(Z376="","Not scored",VLOOKUP(Z376,'Score settings'!$A$47:$C$50,2,TRUE))</x:f>
        <x:v>Protected</x:v>
      </x:c>
      <x:c r="AB376" s="41" t="n">
        <x:f>VLOOKUP("Priority|"&amp;O376,'Score settings'!$A$14:$C$43,3,FALSE)/'Score settings'!$B$4*'Score settings'!$D$4</x:f>
        <x:v>15</x:v>
      </x:c>
      <x:c r="AC376" s="41" t="n">
        <x:f>VLOOKUP("Category|"&amp;P376,'Score settings'!$A$14:$C$43,3,FALSE)/'Score settings'!$B$5*'Score settings'!$D$5</x:f>
        <x:v>8</x:v>
      </x:c>
      <x:c r="AD376" s="41" t="n">
        <x:f>VLOOKUP("Area|"&amp;Q376,'Score settings'!$A$14:$C$43,3,FALSE)/'Score settings'!$B$6*'Score settings'!$D$6</x:f>
        <x:v>10</x:v>
      </x:c>
      <x:c r="AE376" s="41" t="n">
        <x:f>VLOOKUP("Benefits|"&amp;IF(AND(ISNUMBER(K376),K376&gt;0,ISNUMBER(G376),G376&gt;0),IF(K376/G376&gt;='Score settings'!$E$17,"3plus",IF(K376/G376&gt;='Score settings'!$E$16,"1.5to3",IF(K376/G376&gt;='Score settings'!$E$15,"0.5to1.5","positive"))),"None"),'Score settings'!$A$14:$C$43,3,FALSE)/'Score settings'!$B$7*'Score settings'!$D$7</x:f>
        <x:v>0</x:v>
      </x:c>
      <x:c r="AF376" s="41" t="n">
        <x:f>VLOOKUP("Waste|"&amp;R376,'Score settings'!$A$14:$C$43,3,FALSE)/'Score settings'!$B$8*'Score settings'!$D$8</x:f>
        <x:v>0</x:v>
      </x:c>
      <x:c r="AG376" s="41" t="n">
        <x:f>(IF(AND(ISNUMBER(M376),M376&gt;0,ISNUMBER(G376),G376&gt;0),IF(M376/G376&gt;='Score settings'!$E$17,'Score settings'!$G$17,IF(M376/G376&gt;='Score settings'!$E$16,'Score settings'!$G$16,IF(M376/G376&gt;='Score settings'!$E$15,'Score settings'!$G$15,'Score settings'!$G$14))),0)/15*'Score settings'!$B$60+IFERROR(VLOOKUP(IF(ISNUMBER(N376),N376,IF(ISNUMBER(L376),L376,0)),'Score settings'!$E$22:$F$26,2,FALSE),0)/10*'Score settings'!$B$61)/'Score settings'!$B$9*'Score settings'!$D$9</x:f>
        <x:v>0</x:v>
      </x:c>
      <x:c r="AH376" s="41" t="n">
        <x:f>IF(B376="","",SUM(AB376:AG376))</x:f>
        <x:v>33</x:v>
      </x:c>
      <x:c r="AI376" s="41" t="str">
        <x:f>IF(NOT(ISNUMBER(AH376)),"Not scored",VLOOKUP(AH376,'Score settings'!$A$47:$C$50,3,TRUE))</x:f>
        <x:v>Discretionary</x:v>
      </x:c>
      <x:c r="AJ376" s="42" t="n">
        <x:f>IF(OR(NOT(ISNUMBER(AH376)),T376&lt;&gt;"Common pot"),"",COUNTIFS($T$4:$T$509,"Common pot",$AH$4:$AH$509,"&gt;"&amp;AH376)+1)</x:f>
        <x:v>160</x:v>
      </x:c>
      <x:c r="AK376" s="36" t="str">
        <x:f>IF(B376="","Name missing - not scored",IF(OR(NOT(ISNUMBER(G376)),G376&lt;=0),"Investment missing or zero - review",IF(0=1,"Permanent ID missing - reconcile",IF(AND(ISNUMBER(H376),H376/G376&gt;='Score settings'!$B$58,NOT(ISNUMBER(I376))),"Benefit units need review",IF(OR(R376="EXIT",R376="CHALLENGE"),"Waste decision requires scope resolution",IF("Organisation differs or ambiguous"&lt;&gt;"Name and organisation matched","Waste evidence match needs review","Provisional source score - confirm evidence"))))))</x:f>
        <x:v>Waste evidence match needs review</x:v>
      </x:c>
      <x:c r="AL376" s="36"/>
      <x:c r="AM376" s="40"/>
      <x:c r="AN376" s="39"/>
      <x:c r="AO376" s="40"/>
      <x:c r="AP376" s="40"/>
    </x:row>
    <x:row r="377" ht="15" hidden="0" customHeight="1">
      <x:c r="A377" s="36" t="str">
        <x:v>EW-53</x:v>
      </x:c>
      <x:c r="B377" s="37" t="str">
        <x:v>IT-Security - Global one Badge</x:v>
      </x:c>
      <x:c r="C377" s="36" t="str">
        <x:v>EW</x:v>
      </x:c>
      <x:c r="D377" s="36" t="str">
        <x:v>Group Security​</x:v>
      </x:c>
      <x:c r="E377" s="38" t="n">
        <x:v>0.45</x:v>
      </x:c>
      <x:c r="F377" s="39"/>
      <x:c r="G377" s="38" t="n">
        <x:f>IF(ISNUMBER(F377),F377,IF(E377="","",E377))</x:f>
        <x:v>0.45</x:v>
      </x:c>
      <x:c r="H377" s="38"/>
      <x:c r="I377" s="39"/>
      <x:c r="J377" s="36" t="str">
        <x:v>Cash savings</x:v>
      </x:c>
      <x:c r="K377" s="38" t="str">
        <x:f>IF(ISNUMBER(I377),I377,IF(OR(NOT(ISNUMBER(H377)),NOT(ISNUMBER(G377)),G377&lt;=0),"",IF(H377/G377&gt;='Score settings'!$B$58,"",IF(J377="Cash savings",H377,IF(J377="Revenue",H377*'Score settings'!$B$55,"")))))</x:f>
      </x:c>
      <x:c r="L377" s="36"/>
      <x:c r="M377" s="39"/>
      <x:c r="N377" s="40"/>
      <x:c r="O377" s="36" t="str">
        <x:v>Must Do</x:v>
      </x:c>
      <x:c r="P377" s="36" t="str">
        <x:v>NewTech</x:v>
      </x:c>
      <x:c r="Q377" s="36" t="str">
        <x:v>Productivity</x:v>
      </x:c>
      <x:c r="R377" s="36" t="str">
        <x:v>NotAssessed</x:v>
      </x:c>
      <x:c r="S377" s="36" t="str"/>
      <x:c r="T377" s="36" t="str">
        <x:v>Common pot</x:v>
      </x:c>
      <x:c r="U377" s="41" t="n">
        <x:f>VLOOKUP("Priority|"&amp;O377,'Score settings'!$A$14:$C$43,2,FALSE)/'Score settings'!$B$4*'Score settings'!$C$4</x:f>
        <x:v>25</x:v>
      </x:c>
      <x:c r="V377" s="41" t="n">
        <x:f>VLOOKUP("Category|"&amp;P377,'Score settings'!$A$14:$C$43,2,FALSE)/'Score settings'!$B$5*'Score settings'!$C$5</x:f>
        <x:v>5</x:v>
      </x:c>
      <x:c r="W377" s="41" t="n">
        <x:f>VLOOKUP("Area|"&amp;Q377,'Score settings'!$A$14:$C$43,2,FALSE)/'Score settings'!$B$6*'Score settings'!$C$6</x:f>
        <x:v>10</x:v>
      </x:c>
      <x:c r="X377" s="41" t="n">
        <x:f>VLOOKUP("Benefits|"&amp;IF(AND(ISNUMBER(H377),H377&gt;0,ISNUMBER(G377),G377&gt;0),IF(H377/G377&gt;='Score settings'!$E$17,"3plus",IF(H377/G377&gt;='Score settings'!$E$16,"1.5to3",IF(H377/G377&gt;='Score settings'!$E$15,"0.5to1.5","positive"))),"None"),'Score settings'!$A$14:$C$43,2,FALSE)/'Score settings'!$B$7*'Score settings'!$C$7</x:f>
        <x:v>5</x:v>
      </x:c>
      <x:c r="Y377" s="41" t="n">
        <x:f>VLOOKUP("Waste|"&amp;R377,'Score settings'!$A$14:$C$43,2,FALSE)/'Score settings'!$B$8*'Score settings'!$C$8</x:f>
        <x:v>7</x:v>
      </x:c>
      <x:c r="Z377" s="41" t="n">
        <x:f>IF(B377="","",SUM(U377:Y377))</x:f>
        <x:v>52</x:v>
      </x:c>
      <x:c r="AA377" s="41" t="str">
        <x:f>IF(Z377="","Not scored",VLOOKUP(Z377,'Score settings'!$A$47:$C$50,2,TRUE))</x:f>
        <x:v>Strong</x:v>
      </x:c>
      <x:c r="AB377" s="41" t="n">
        <x:f>VLOOKUP("Priority|"&amp;O377,'Score settings'!$A$14:$C$43,3,FALSE)/'Score settings'!$B$4*'Score settings'!$D$4</x:f>
        <x:v>15</x:v>
      </x:c>
      <x:c r="AC377" s="41" t="n">
        <x:f>VLOOKUP("Category|"&amp;P377,'Score settings'!$A$14:$C$43,3,FALSE)/'Score settings'!$B$5*'Score settings'!$D$5</x:f>
        <x:v>2.5</x:v>
      </x:c>
      <x:c r="AD377" s="41" t="n">
        <x:f>VLOOKUP("Area|"&amp;Q377,'Score settings'!$A$14:$C$43,3,FALSE)/'Score settings'!$B$6*'Score settings'!$D$6</x:f>
        <x:v>6.666666666666666</x:v>
      </x:c>
      <x:c r="AE377" s="41" t="n">
        <x:f>VLOOKUP("Benefits|"&amp;IF(AND(ISNUMBER(K377),K377&gt;0,ISNUMBER(G377),G377&gt;0),IF(K377/G377&gt;='Score settings'!$E$17,"3plus",IF(K377/G377&gt;='Score settings'!$E$16,"1.5to3",IF(K377/G377&gt;='Score settings'!$E$15,"0.5to1.5","positive"))),"None"),'Score settings'!$A$14:$C$43,3,FALSE)/'Score settings'!$B$7*'Score settings'!$D$7</x:f>
        <x:v>0</x:v>
      </x:c>
      <x:c r="AF377" s="41" t="n">
        <x:f>VLOOKUP("Waste|"&amp;R377,'Score settings'!$A$14:$C$43,3,FALSE)/'Score settings'!$B$8*'Score settings'!$D$8</x:f>
        <x:v>0</x:v>
      </x:c>
      <x:c r="AG377" s="41" t="n">
        <x:f>(IF(AND(ISNUMBER(M377),M377&gt;0,ISNUMBER(G377),G377&gt;0),IF(M377/G377&gt;='Score settings'!$E$17,'Score settings'!$G$17,IF(M377/G377&gt;='Score settings'!$E$16,'Score settings'!$G$16,IF(M377/G377&gt;='Score settings'!$E$15,'Score settings'!$G$15,'Score settings'!$G$14))),0)/15*'Score settings'!$B$60+IFERROR(VLOOKUP(IF(ISNUMBER(N377),N377,IF(ISNUMBER(L377),L377,0)),'Score settings'!$E$22:$F$26,2,FALSE),0)/10*'Score settings'!$B$61)/'Score settings'!$B$9*'Score settings'!$D$9</x:f>
        <x:v>0</x:v>
      </x:c>
      <x:c r="AH377" s="41" t="n">
        <x:f>IF(B377="","",SUM(AB377:AG377))</x:f>
        <x:v>24.166666666666664</x:v>
      </x:c>
      <x:c r="AI377" s="41" t="str">
        <x:f>IF(NOT(ISNUMBER(AH377)),"Not scored",VLOOKUP(AH377,'Score settings'!$A$47:$C$50,3,TRUE))</x:f>
        <x:v>Weak</x:v>
      </x:c>
      <x:c r="AJ377" s="42" t="n">
        <x:f>IF(OR(NOT(ISNUMBER(AH377)),T377&lt;&gt;"Common pot"),"",COUNTIFS($T$4:$T$509,"Common pot",$AH$4:$AH$509,"&gt;"&amp;AH377)+1)</x:f>
        <x:v>284</x:v>
      </x:c>
      <x:c r="AK377" s="36" t="str">
        <x:f>IF(B377="","Name missing - not scored",IF(OR(NOT(ISNUMBER(G377)),G377&lt;=0),"Investment missing or zero - review",IF(0=1,"Permanent ID missing - reconcile",IF(AND(ISNUMBER(H377),H377/G377&gt;='Score settings'!$B$58,NOT(ISNUMBER(I377))),"Benefit units need review",IF(OR(R377="EXIT",R377="CHALLENGE"),"Waste decision requires scope resolution",IF("Organisation differs or ambiguous"&lt;&gt;"Name and organisation matched","Waste evidence match needs review","Provisional source score - confirm evidence"))))))</x:f>
        <x:v>Waste evidence match needs review</x:v>
      </x:c>
      <x:c r="AL377" s="36"/>
      <x:c r="AM377" s="40"/>
      <x:c r="AN377" s="39"/>
      <x:c r="AO377" s="40"/>
      <x:c r="AP377" s="40"/>
    </x:row>
    <x:row r="378" ht="15" hidden="0" customHeight="1">
      <x:c r="A378" s="36" t="str">
        <x:v>EW-54</x:v>
      </x:c>
      <x:c r="B378" s="37" t="str">
        <x:v>FIN- IT DRP - AP Invoice Process Automation (PIPE) </x:v>
      </x:c>
      <x:c r="C378" s="36" t="str">
        <x:v>EW</x:v>
      </x:c>
      <x:c r="D378" s="36" t="str">
        <x:v>Finance​</x:v>
      </x:c>
      <x:c r="E378" s="38" t="n">
        <x:v>0.43</x:v>
      </x:c>
      <x:c r="F378" s="39"/>
      <x:c r="G378" s="38" t="n">
        <x:f>IF(ISNUMBER(F378),F378,IF(E378="","",E378))</x:f>
        <x:v>0.43</x:v>
      </x:c>
      <x:c r="H378" s="38" t="n">
        <x:v>1.32</x:v>
      </x:c>
      <x:c r="I378" s="39"/>
      <x:c r="J378" s="36" t="str">
        <x:v>Cash savings</x:v>
      </x:c>
      <x:c r="K378" s="38" t="n">
        <x:f>IF(ISNUMBER(I378),I378,IF(OR(NOT(ISNUMBER(H378)),NOT(ISNUMBER(G378)),G378&lt;=0),"",IF(H378/G378&gt;='Score settings'!$B$58,"",IF(J378="Cash savings",H378,IF(J378="Revenue",H378*'Score settings'!$B$55,"")))))</x:f>
        <x:v>1.32</x:v>
      </x:c>
      <x:c r="L378" s="36"/>
      <x:c r="M378" s="39"/>
      <x:c r="N378" s="40"/>
      <x:c r="O378" s="36" t="str">
        <x:v>Must Do</x:v>
      </x:c>
      <x:c r="P378" s="36" t="str">
        <x:v>Decomm</x:v>
      </x:c>
      <x:c r="Q378" s="36" t="str">
        <x:v>ProcSimp</x:v>
      </x:c>
      <x:c r="R378" s="36" t="str">
        <x:v>NotAssessed</x:v>
      </x:c>
      <x:c r="S378" s="36" t="str"/>
      <x:c r="T378" s="36" t="str">
        <x:v>Common pot</x:v>
      </x:c>
      <x:c r="U378" s="41" t="n">
        <x:f>VLOOKUP("Priority|"&amp;O378,'Score settings'!$A$14:$C$43,2,FALSE)/'Score settings'!$B$4*'Score settings'!$C$4</x:f>
        <x:v>25</x:v>
      </x:c>
      <x:c r="V378" s="41" t="n">
        <x:f>VLOOKUP("Category|"&amp;P378,'Score settings'!$A$14:$C$43,2,FALSE)/'Score settings'!$B$5*'Score settings'!$C$5</x:f>
        <x:v>17</x:v>
      </x:c>
      <x:c r="W378" s="41" t="n">
        <x:f>VLOOKUP("Area|"&amp;Q378,'Score settings'!$A$14:$C$43,2,FALSE)/'Score settings'!$B$6*'Score settings'!$C$6</x:f>
        <x:v>12</x:v>
      </x:c>
      <x:c r="X378" s="41" t="n">
        <x:f>VLOOKUP("Benefits|"&amp;IF(AND(ISNUMBER(H378),H378&gt;0,ISNUMBER(G378),G378&gt;0),IF(H378/G378&gt;='Score settings'!$E$17,"3plus",IF(H378/G378&gt;='Score settings'!$E$16,"1.5to3",IF(H378/G378&gt;='Score settings'!$E$15,"0.5to1.5","positive"))),"None"),'Score settings'!$A$14:$C$43,2,FALSE)/'Score settings'!$B$7*'Score settings'!$C$7</x:f>
        <x:v>25</x:v>
      </x:c>
      <x:c r="Y378" s="41" t="n">
        <x:f>VLOOKUP("Waste|"&amp;R378,'Score settings'!$A$14:$C$43,2,FALSE)/'Score settings'!$B$8*'Score settings'!$C$8</x:f>
        <x:v>7</x:v>
      </x:c>
      <x:c r="Z378" s="41" t="n">
        <x:f>IF(B378="","",SUM(U378:Y378))</x:f>
        <x:v>86</x:v>
      </x:c>
      <x:c r="AA378" s="41" t="str">
        <x:f>IF(Z378="","Not scored",VLOOKUP(Z378,'Score settings'!$A$47:$C$50,2,TRUE))</x:f>
        <x:v>Protected</x:v>
      </x:c>
      <x:c r="AB378" s="41" t="n">
        <x:f>VLOOKUP("Priority|"&amp;O378,'Score settings'!$A$14:$C$43,3,FALSE)/'Score settings'!$B$4*'Score settings'!$D$4</x:f>
        <x:v>15</x:v>
      </x:c>
      <x:c r="AC378" s="41" t="n">
        <x:f>VLOOKUP("Category|"&amp;P378,'Score settings'!$A$14:$C$43,3,FALSE)/'Score settings'!$B$5*'Score settings'!$D$5</x:f>
        <x:v>8.5</x:v>
      </x:c>
      <x:c r="AD378" s="41" t="n">
        <x:f>VLOOKUP("Area|"&amp;Q378,'Score settings'!$A$14:$C$43,3,FALSE)/'Score settings'!$B$6*'Score settings'!$D$6</x:f>
        <x:v>8</x:v>
      </x:c>
      <x:c r="AE378" s="41" t="n">
        <x:f>VLOOKUP("Benefits|"&amp;IF(AND(ISNUMBER(K378),K378&gt;0,ISNUMBER(G378),G378&gt;0),IF(K378/G378&gt;='Score settings'!$E$17,"3plus",IF(K378/G378&gt;='Score settings'!$E$16,"1.5to3",IF(K378/G378&gt;='Score settings'!$E$15,"0.5to1.5","positive"))),"None"),'Score settings'!$A$14:$C$43,3,FALSE)/'Score settings'!$B$7*'Score settings'!$D$7</x:f>
        <x:v>30</x:v>
      </x:c>
      <x:c r="AF378" s="41" t="n">
        <x:f>VLOOKUP("Waste|"&amp;R378,'Score settings'!$A$14:$C$43,3,FALSE)/'Score settings'!$B$8*'Score settings'!$D$8</x:f>
        <x:v>0</x:v>
      </x:c>
      <x:c r="AG378" s="41" t="n">
        <x:f>(IF(AND(ISNUMBER(M378),M378&gt;0,ISNUMBER(G378),G378&gt;0),IF(M378/G378&gt;='Score settings'!$E$17,'Score settings'!$G$17,IF(M378/G378&gt;='Score settings'!$E$16,'Score settings'!$G$16,IF(M378/G378&gt;='Score settings'!$E$15,'Score settings'!$G$15,'Score settings'!$G$14))),0)/15*'Score settings'!$B$60+IFERROR(VLOOKUP(IF(ISNUMBER(N378),N378,IF(ISNUMBER(L378),L378,0)),'Score settings'!$E$22:$F$26,2,FALSE),0)/10*'Score settings'!$B$61)/'Score settings'!$B$9*'Score settings'!$D$9</x:f>
        <x:v>0</x:v>
      </x:c>
      <x:c r="AH378" s="41" t="n">
        <x:f>IF(B378="","",SUM(AB378:AG378))</x:f>
        <x:v>61.5</x:v>
      </x:c>
      <x:c r="AI378" s="41" t="str">
        <x:f>IF(NOT(ISNUMBER(AH378)),"Not scored",VLOOKUP(AH378,'Score settings'!$A$47:$C$50,3,TRUE))</x:f>
        <x:v>Strong</x:v>
      </x:c>
      <x:c r="AJ378" s="42" t="n">
        <x:f>IF(OR(NOT(ISNUMBER(AH378)),T378&lt;&gt;"Common pot"),"",COUNTIFS($T$4:$T$509,"Common pot",$AH$4:$AH$509,"&gt;"&amp;AH378)+1)</x:f>
        <x:v>17</x:v>
      </x:c>
      <x:c r="AK378" s="36" t="str">
        <x:f>IF(B378="","Name missing - not scored",IF(OR(NOT(ISNUMBER(G378)),G378&lt;=0),"Investment missing or zero - review",IF(0=1,"Permanent ID missing - reconcile",IF(AND(ISNUMBER(H378),H378/G378&gt;='Score settings'!$B$58,NOT(ISNUMBER(I378))),"Benefit units need review",IF(OR(R378="EXIT",R378="CHALLENGE"),"Waste decision requires scope resolution",IF("No exact waste match"&lt;&gt;"Name and organisation matched","Waste evidence match needs review","Provisional source score - confirm evidence"))))))</x:f>
        <x:v>Waste evidence match needs review</x:v>
      </x:c>
      <x:c r="AL378" s="36"/>
      <x:c r="AM378" s="40"/>
      <x:c r="AN378" s="39"/>
      <x:c r="AO378" s="40"/>
      <x:c r="AP378" s="40"/>
    </x:row>
    <x:row r="379" ht="15" hidden="0" customHeight="1">
      <x:c r="A379" s="36" t="str">
        <x:v>EW-57</x:v>
      </x:c>
      <x:c r="B379" s="37" t="str">
        <x:v>Commercial IT DRP</x:v>
      </x:c>
      <x:c r="C379" s="36" t="str">
        <x:v>EW</x:v>
      </x:c>
      <x:c r="D379" s="36" t="str">
        <x:v>Information Technology ​</x:v>
      </x:c>
      <x:c r="E379" s="38" t="n">
        <x:v>0.5</x:v>
      </x:c>
      <x:c r="F379" s="39"/>
      <x:c r="G379" s="38" t="n">
        <x:f>IF(ISNUMBER(F379),F379,IF(E379="","",E379))</x:f>
        <x:v>0.5</x:v>
      </x:c>
      <x:c r="H379" s="38" t="n">
        <x:v>2.2</x:v>
      </x:c>
      <x:c r="I379" s="39"/>
      <x:c r="J379" s="36" t="str">
        <x:v>Cash savings</x:v>
      </x:c>
      <x:c r="K379" s="38" t="n">
        <x:f>IF(ISNUMBER(I379),I379,IF(OR(NOT(ISNUMBER(H379)),NOT(ISNUMBER(G379)),G379&lt;=0),"",IF(H379/G379&gt;='Score settings'!$B$58,"",IF(J379="Cash savings",H379,IF(J379="Revenue",H379*'Score settings'!$B$55,"")))))</x:f>
        <x:v>2.2</x:v>
      </x:c>
      <x:c r="L379" s="36"/>
      <x:c r="M379" s="39"/>
      <x:c r="N379" s="40"/>
      <x:c r="O379" s="36" t="str">
        <x:v>Must Have</x:v>
      </x:c>
      <x:c r="P379" s="36" t="str">
        <x:v>Decomm</x:v>
      </x:c>
      <x:c r="Q379" s="36" t="str">
        <x:v>Productivity</x:v>
      </x:c>
      <x:c r="R379" s="36" t="str">
        <x:v>HEALTHY</x:v>
      </x:c>
      <x:c r="S379" s="36" t="str"/>
      <x:c r="T379" s="36" t="str">
        <x:v>Common pot</x:v>
      </x:c>
      <x:c r="U379" s="41" t="n">
        <x:f>VLOOKUP("Priority|"&amp;O379,'Score settings'!$A$14:$C$43,2,FALSE)/'Score settings'!$B$4*'Score settings'!$C$4</x:f>
        <x:v>18</x:v>
      </x:c>
      <x:c r="V379" s="41" t="n">
        <x:f>VLOOKUP("Category|"&amp;P379,'Score settings'!$A$14:$C$43,2,FALSE)/'Score settings'!$B$5*'Score settings'!$C$5</x:f>
        <x:v>17</x:v>
      </x:c>
      <x:c r="W379" s="41" t="n">
        <x:f>VLOOKUP("Area|"&amp;Q379,'Score settings'!$A$14:$C$43,2,FALSE)/'Score settings'!$B$6*'Score settings'!$C$6</x:f>
        <x:v>10</x:v>
      </x:c>
      <x:c r="X379" s="41" t="n">
        <x:f>VLOOKUP("Benefits|"&amp;IF(AND(ISNUMBER(H379),H379&gt;0,ISNUMBER(G379),G379&gt;0),IF(H379/G379&gt;='Score settings'!$E$17,"3plus",IF(H379/G379&gt;='Score settings'!$E$16,"1.5to3",IF(H379/G379&gt;='Score settings'!$E$15,"0.5to1.5","positive"))),"None"),'Score settings'!$A$14:$C$43,2,FALSE)/'Score settings'!$B$7*'Score settings'!$C$7</x:f>
        <x:v>25</x:v>
      </x:c>
      <x:c r="Y379" s="41" t="n">
        <x:f>VLOOKUP("Waste|"&amp;R379,'Score settings'!$A$14:$C$43,2,FALSE)/'Score settings'!$B$8*'Score settings'!$C$8</x:f>
        <x:v>15</x:v>
      </x:c>
      <x:c r="Z379" s="41" t="n">
        <x:f>IF(B379="","",SUM(U379:Y379))</x:f>
        <x:v>85</x:v>
      </x:c>
      <x:c r="AA379" s="41" t="str">
        <x:f>IF(Z379="","Not scored",VLOOKUP(Z379,'Score settings'!$A$47:$C$50,2,TRUE))</x:f>
        <x:v>Protected</x:v>
      </x:c>
      <x:c r="AB379" s="41" t="n">
        <x:f>VLOOKUP("Priority|"&amp;O379,'Score settings'!$A$14:$C$43,3,FALSE)/'Score settings'!$B$4*'Score settings'!$D$4</x:f>
        <x:v>10.799999999999999</x:v>
      </x:c>
      <x:c r="AC379" s="41" t="n">
        <x:f>VLOOKUP("Category|"&amp;P379,'Score settings'!$A$14:$C$43,3,FALSE)/'Score settings'!$B$5*'Score settings'!$D$5</x:f>
        <x:v>8.5</x:v>
      </x:c>
      <x:c r="AD379" s="41" t="n">
        <x:f>VLOOKUP("Area|"&amp;Q379,'Score settings'!$A$14:$C$43,3,FALSE)/'Score settings'!$B$6*'Score settings'!$D$6</x:f>
        <x:v>6.666666666666666</x:v>
      </x:c>
      <x:c r="AE379" s="41" t="n">
        <x:f>VLOOKUP("Benefits|"&amp;IF(AND(ISNUMBER(K379),K379&gt;0,ISNUMBER(G379),G379&gt;0),IF(K379/G379&gt;='Score settings'!$E$17,"3plus",IF(K379/G379&gt;='Score settings'!$E$16,"1.5to3",IF(K379/G379&gt;='Score settings'!$E$15,"0.5to1.5","positive"))),"None"),'Score settings'!$A$14:$C$43,3,FALSE)/'Score settings'!$B$7*'Score settings'!$D$7</x:f>
        <x:v>30</x:v>
      </x:c>
      <x:c r="AF379" s="41" t="n">
        <x:f>VLOOKUP("Waste|"&amp;R379,'Score settings'!$A$14:$C$43,3,FALSE)/'Score settings'!$B$8*'Score settings'!$D$8</x:f>
        <x:v>10</x:v>
      </x:c>
      <x:c r="AG379" s="41" t="n">
        <x:f>(IF(AND(ISNUMBER(M379),M379&gt;0,ISNUMBER(G379),G379&gt;0),IF(M379/G379&gt;='Score settings'!$E$17,'Score settings'!$G$17,IF(M379/G379&gt;='Score settings'!$E$16,'Score settings'!$G$16,IF(M379/G379&gt;='Score settings'!$E$15,'Score settings'!$G$15,'Score settings'!$G$14))),0)/15*'Score settings'!$B$60+IFERROR(VLOOKUP(IF(ISNUMBER(N379),N379,IF(ISNUMBER(L379),L379,0)),'Score settings'!$E$22:$F$26,2,FALSE),0)/10*'Score settings'!$B$61)/'Score settings'!$B$9*'Score settings'!$D$9</x:f>
        <x:v>0</x:v>
      </x:c>
      <x:c r="AH379" s="41" t="n">
        <x:f>IF(B379="","",SUM(AB379:AG379))</x:f>
        <x:v>65.96666666666667</x:v>
      </x:c>
      <x:c r="AI379" s="41" t="str">
        <x:f>IF(NOT(ISNUMBER(AH379)),"Not scored",VLOOKUP(AH379,'Score settings'!$A$47:$C$50,3,TRUE))</x:f>
        <x:v>High alignment</x:v>
      </x:c>
      <x:c r="AJ379" s="42" t="n">
        <x:f>IF(OR(NOT(ISNUMBER(AH379)),T379&lt;&gt;"Common pot"),"",COUNTIFS($T$4:$T$509,"Common pot",$AH$4:$AH$509,"&gt;"&amp;AH379)+1)</x:f>
        <x:v>6</x:v>
      </x:c>
      <x:c r="AK379" s="36" t="str">
        <x:f>IF(B379="","Name missing - not scored",IF(OR(NOT(ISNUMBER(G379)),G379&lt;=0),"Investment missing or zero - review",IF(0=1,"Permanent ID missing - reconcile",IF(AND(ISNUMBER(H379),H379/G379&gt;='Score settings'!$B$58,NOT(ISNUMBER(I379))),"Benefit units need review",IF(OR(R379="EXIT",R379="CHALLENGE"),"Waste decision requires scope resolution",IF("Name and organisation matched"&lt;&gt;"Name and organisation matched","Waste evidence match needs review","Provisional source score - confirm evidence"))))))</x:f>
        <x:v>Provisional source score - confirm evidence</x:v>
      </x:c>
      <x:c r="AL379" s="36"/>
      <x:c r="AM379" s="40"/>
      <x:c r="AN379" s="39"/>
      <x:c r="AO379" s="40"/>
      <x:c r="AP379" s="40"/>
    </x:row>
    <x:row r="380" ht="15" hidden="0" customHeight="1">
      <x:c r="A380" s="36" t="str">
        <x:v>EW-58</x:v>
      </x:c>
      <x:c r="B380" s="37" t="str">
        <x:v>PST &amp; Hubwoo Replatforming </x:v>
      </x:c>
      <x:c r="C380" s="36" t="str">
        <x:v>EW</x:v>
      </x:c>
      <x:c r="D380" s="36" t="str">
        <x:v>Information Technology ​</x:v>
      </x:c>
      <x:c r="E380" s="38" t="n">
        <x:v>0.6</x:v>
      </x:c>
      <x:c r="F380" s="39"/>
      <x:c r="G380" s="38" t="n">
        <x:f>IF(ISNUMBER(F380),F380,IF(E380="","",E380))</x:f>
        <x:v>0.6</x:v>
      </x:c>
      <x:c r="H380" s="38" t="n">
        <x:v>1.25</x:v>
      </x:c>
      <x:c r="I380" s="39"/>
      <x:c r="J380" s="36" t="str">
        <x:v>Cash savings</x:v>
      </x:c>
      <x:c r="K380" s="38" t="n">
        <x:f>IF(ISNUMBER(I380),I380,IF(OR(NOT(ISNUMBER(H380)),NOT(ISNUMBER(G380)),G380&lt;=0),"",IF(H380/G380&gt;='Score settings'!$B$58,"",IF(J380="Cash savings",H380,IF(J380="Revenue",H380*'Score settings'!$B$55,"")))))</x:f>
        <x:v>1.25</x:v>
      </x:c>
      <x:c r="L380" s="36"/>
      <x:c r="M380" s="39"/>
      <x:c r="N380" s="40"/>
      <x:c r="O380" s="36" t="str">
        <x:v>Must Have</x:v>
      </x:c>
      <x:c r="P380" s="36" t="str">
        <x:v>Decomm</x:v>
      </x:c>
      <x:c r="Q380" s="36" t="str">
        <x:v>ProcSimp</x:v>
      </x:c>
      <x:c r="R380" s="36" t="str">
        <x:v>HEALTHY</x:v>
      </x:c>
      <x:c r="S380" s="36" t="str"/>
      <x:c r="T380" s="36" t="str">
        <x:v>Common pot</x:v>
      </x:c>
      <x:c r="U380" s="41" t="n">
        <x:f>VLOOKUP("Priority|"&amp;O380,'Score settings'!$A$14:$C$43,2,FALSE)/'Score settings'!$B$4*'Score settings'!$C$4</x:f>
        <x:v>18</x:v>
      </x:c>
      <x:c r="V380" s="41" t="n">
        <x:f>VLOOKUP("Category|"&amp;P380,'Score settings'!$A$14:$C$43,2,FALSE)/'Score settings'!$B$5*'Score settings'!$C$5</x:f>
        <x:v>17</x:v>
      </x:c>
      <x:c r="W380" s="41" t="n">
        <x:f>VLOOKUP("Area|"&amp;Q380,'Score settings'!$A$14:$C$43,2,FALSE)/'Score settings'!$B$6*'Score settings'!$C$6</x:f>
        <x:v>12</x:v>
      </x:c>
      <x:c r="X380" s="41" t="n">
        <x:f>VLOOKUP("Benefits|"&amp;IF(AND(ISNUMBER(H380),H380&gt;0,ISNUMBER(G380),G380&gt;0),IF(H380/G380&gt;='Score settings'!$E$17,"3plus",IF(H380/G380&gt;='Score settings'!$E$16,"1.5to3",IF(H380/G380&gt;='Score settings'!$E$15,"0.5to1.5","positive"))),"None"),'Score settings'!$A$14:$C$43,2,FALSE)/'Score settings'!$B$7*'Score settings'!$C$7</x:f>
        <x:v>20</x:v>
      </x:c>
      <x:c r="Y380" s="41" t="n">
        <x:f>VLOOKUP("Waste|"&amp;R380,'Score settings'!$A$14:$C$43,2,FALSE)/'Score settings'!$B$8*'Score settings'!$C$8</x:f>
        <x:v>15</x:v>
      </x:c>
      <x:c r="Z380" s="41" t="n">
        <x:f>IF(B380="","",SUM(U380:Y380))</x:f>
        <x:v>82</x:v>
      </x:c>
      <x:c r="AA380" s="41" t="str">
        <x:f>IF(Z380="","Not scored",VLOOKUP(Z380,'Score settings'!$A$47:$C$50,2,TRUE))</x:f>
        <x:v>Protected</x:v>
      </x:c>
      <x:c r="AB380" s="41" t="n">
        <x:f>VLOOKUP("Priority|"&amp;O380,'Score settings'!$A$14:$C$43,3,FALSE)/'Score settings'!$B$4*'Score settings'!$D$4</x:f>
        <x:v>10.799999999999999</x:v>
      </x:c>
      <x:c r="AC380" s="41" t="n">
        <x:f>VLOOKUP("Category|"&amp;P380,'Score settings'!$A$14:$C$43,3,FALSE)/'Score settings'!$B$5*'Score settings'!$D$5</x:f>
        <x:v>8.5</x:v>
      </x:c>
      <x:c r="AD380" s="41" t="n">
        <x:f>VLOOKUP("Area|"&amp;Q380,'Score settings'!$A$14:$C$43,3,FALSE)/'Score settings'!$B$6*'Score settings'!$D$6</x:f>
        <x:v>8</x:v>
      </x:c>
      <x:c r="AE380" s="41" t="n">
        <x:f>VLOOKUP("Benefits|"&amp;IF(AND(ISNUMBER(K380),K380&gt;0,ISNUMBER(G380),G380&gt;0),IF(K380/G380&gt;='Score settings'!$E$17,"3plus",IF(K380/G380&gt;='Score settings'!$E$16,"1.5to3",IF(K380/G380&gt;='Score settings'!$E$15,"0.5to1.5","positive"))),"None"),'Score settings'!$A$14:$C$43,3,FALSE)/'Score settings'!$B$7*'Score settings'!$D$7</x:f>
        <x:v>24</x:v>
      </x:c>
      <x:c r="AF380" s="41" t="n">
        <x:f>VLOOKUP("Waste|"&amp;R380,'Score settings'!$A$14:$C$43,3,FALSE)/'Score settings'!$B$8*'Score settings'!$D$8</x:f>
        <x:v>10</x:v>
      </x:c>
      <x:c r="AG380" s="41" t="n">
        <x:f>(IF(AND(ISNUMBER(M380),M380&gt;0,ISNUMBER(G380),G380&gt;0),IF(M380/G380&gt;='Score settings'!$E$17,'Score settings'!$G$17,IF(M380/G380&gt;='Score settings'!$E$16,'Score settings'!$G$16,IF(M380/G380&gt;='Score settings'!$E$15,'Score settings'!$G$15,'Score settings'!$G$14))),0)/15*'Score settings'!$B$60+IFERROR(VLOOKUP(IF(ISNUMBER(N380),N380,IF(ISNUMBER(L380),L380,0)),'Score settings'!$E$22:$F$26,2,FALSE),0)/10*'Score settings'!$B$61)/'Score settings'!$B$9*'Score settings'!$D$9</x:f>
        <x:v>0</x:v>
      </x:c>
      <x:c r="AH380" s="41" t="n">
        <x:f>IF(B380="","",SUM(AB380:AG380))</x:f>
        <x:v>61.3</x:v>
      </x:c>
      <x:c r="AI380" s="41" t="str">
        <x:f>IF(NOT(ISNUMBER(AH380)),"Not scored",VLOOKUP(AH380,'Score settings'!$A$47:$C$50,3,TRUE))</x:f>
        <x:v>Strong</x:v>
      </x:c>
      <x:c r="AJ380" s="42" t="n">
        <x:f>IF(OR(NOT(ISNUMBER(AH380)),T380&lt;&gt;"Common pot"),"",COUNTIFS($T$4:$T$509,"Common pot",$AH$4:$AH$509,"&gt;"&amp;AH380)+1)</x:f>
        <x:v>18</x:v>
      </x:c>
      <x:c r="AK380" s="36" t="str">
        <x:f>IF(B380="","Name missing - not scored",IF(OR(NOT(ISNUMBER(G380)),G380&lt;=0),"Investment missing or zero - review",IF(0=1,"Permanent ID missing - reconcile",IF(AND(ISNUMBER(H380),H380/G380&gt;='Score settings'!$B$58,NOT(ISNUMBER(I380))),"Benefit units need review",IF(OR(R380="EXIT",R380="CHALLENGE"),"Waste decision requires scope resolution",IF("Name and organisation matched"&lt;&gt;"Name and organisation matched","Waste evidence match needs review","Provisional source score - confirm evidence"))))))</x:f>
        <x:v>Provisional source score - confirm evidence</x:v>
      </x:c>
      <x:c r="AL380" s="36"/>
      <x:c r="AM380" s="40"/>
      <x:c r="AN380" s="39"/>
      <x:c r="AO380" s="40"/>
      <x:c r="AP380" s="40"/>
    </x:row>
    <x:row r="381" ht="15" hidden="0" customHeight="1">
      <x:c r="A381" s="36" t="str">
        <x:v>EW-59</x:v>
      </x:c>
      <x:c r="B381" s="37" t="str">
        <x:v>GCR IT Decommission</x:v>
      </x:c>
      <x:c r="C381" s="36" t="str">
        <x:v>EW</x:v>
      </x:c>
      <x:c r="D381" s="36" t="str">
        <x:v>Information Technology ​</x:v>
      </x:c>
      <x:c r="E381" s="38" t="n">
        <x:v>0.48</x:v>
      </x:c>
      <x:c r="F381" s="39"/>
      <x:c r="G381" s="38" t="n">
        <x:f>IF(ISNUMBER(F381),F381,IF(E381="","",E381))</x:f>
        <x:v>0.48</x:v>
      </x:c>
      <x:c r="H381" s="38" t="n">
        <x:v>0.05</x:v>
      </x:c>
      <x:c r="I381" s="39"/>
      <x:c r="J381" s="36" t="str">
        <x:v>Cash savings</x:v>
      </x:c>
      <x:c r="K381" s="38" t="n">
        <x:f>IF(ISNUMBER(I381),I381,IF(OR(NOT(ISNUMBER(H381)),NOT(ISNUMBER(G381)),G381&lt;=0),"",IF(H381/G381&gt;='Score settings'!$B$58,"",IF(J381="Cash savings",H381,IF(J381="Revenue",H381*'Score settings'!$B$55,"")))))</x:f>
        <x:v>0.05</x:v>
      </x:c>
      <x:c r="L381" s="36" t="n">
        <x:v>3</x:v>
      </x:c>
      <x:c r="M381" s="39"/>
      <x:c r="N381" s="40"/>
      <x:c r="O381" s="36" t="str">
        <x:v>Must Do</x:v>
      </x:c>
      <x:c r="P381" s="36" t="str">
        <x:v>Decomm</x:v>
      </x:c>
      <x:c r="Q381" s="36" t="str">
        <x:v>ProcSimp</x:v>
      </x:c>
      <x:c r="R381" s="36" t="str">
        <x:v>HEALTHY</x:v>
      </x:c>
      <x:c r="S381" s="36" t="str">
        <x:v>YES</x:v>
      </x:c>
      <x:c r="T381" s="36" t="str">
        <x:v>LFR validated candidate</x:v>
      </x:c>
      <x:c r="U381" s="41" t="n">
        <x:f>VLOOKUP("Priority|"&amp;O381,'Score settings'!$A$14:$C$43,2,FALSE)/'Score settings'!$B$4*'Score settings'!$C$4</x:f>
        <x:v>25</x:v>
      </x:c>
      <x:c r="V381" s="41" t="n">
        <x:f>VLOOKUP("Category|"&amp;P381,'Score settings'!$A$14:$C$43,2,FALSE)/'Score settings'!$B$5*'Score settings'!$C$5</x:f>
        <x:v>17</x:v>
      </x:c>
      <x:c r="W381" s="41" t="n">
        <x:f>VLOOKUP("Area|"&amp;Q381,'Score settings'!$A$14:$C$43,2,FALSE)/'Score settings'!$B$6*'Score settings'!$C$6</x:f>
        <x:v>12</x:v>
      </x:c>
      <x:c r="X381" s="41" t="n">
        <x:f>VLOOKUP("Benefits|"&amp;IF(AND(ISNUMBER(H381),H381&gt;0,ISNUMBER(G381),G381&gt;0),IF(H381/G381&gt;='Score settings'!$E$17,"3plus",IF(H381/G381&gt;='Score settings'!$E$16,"1.5to3",IF(H381/G381&gt;='Score settings'!$E$15,"0.5to1.5","positive"))),"None"),'Score settings'!$A$14:$C$43,2,FALSE)/'Score settings'!$B$7*'Score settings'!$C$7</x:f>
        <x:v>10</x:v>
      </x:c>
      <x:c r="Y381" s="41" t="n">
        <x:f>VLOOKUP("Waste|"&amp;R381,'Score settings'!$A$14:$C$43,2,FALSE)/'Score settings'!$B$8*'Score settings'!$C$8</x:f>
        <x:v>15</x:v>
      </x:c>
      <x:c r="Z381" s="41" t="n">
        <x:f>IF(B381="","",SUM(U381:Y381))</x:f>
        <x:v>79</x:v>
      </x:c>
      <x:c r="AA381" s="41" t="str">
        <x:f>IF(Z381="","Not scored",VLOOKUP(Z381,'Score settings'!$A$47:$C$50,2,TRUE))</x:f>
        <x:v>Protected</x:v>
      </x:c>
      <x:c r="AB381" s="41" t="n">
        <x:f>VLOOKUP("Priority|"&amp;O381,'Score settings'!$A$14:$C$43,3,FALSE)/'Score settings'!$B$4*'Score settings'!$D$4</x:f>
        <x:v>15</x:v>
      </x:c>
      <x:c r="AC381" s="41" t="n">
        <x:f>VLOOKUP("Category|"&amp;P381,'Score settings'!$A$14:$C$43,3,FALSE)/'Score settings'!$B$5*'Score settings'!$D$5</x:f>
        <x:v>8.5</x:v>
      </x:c>
      <x:c r="AD381" s="41" t="n">
        <x:f>VLOOKUP("Area|"&amp;Q381,'Score settings'!$A$14:$C$43,3,FALSE)/'Score settings'!$B$6*'Score settings'!$D$6</x:f>
        <x:v>8</x:v>
      </x:c>
      <x:c r="AE381" s="41" t="n">
        <x:f>VLOOKUP("Benefits|"&amp;IF(AND(ISNUMBER(K381),K381&gt;0,ISNUMBER(G381),G381&gt;0),IF(K381/G381&gt;='Score settings'!$E$17,"3plus",IF(K381/G381&gt;='Score settings'!$E$16,"1.5to3",IF(K381/G381&gt;='Score settings'!$E$15,"0.5to1.5","positive"))),"None"),'Score settings'!$A$14:$C$43,3,FALSE)/'Score settings'!$B$7*'Score settings'!$D$7</x:f>
        <x:v>12</x:v>
      </x:c>
      <x:c r="AF381" s="41" t="n">
        <x:f>VLOOKUP("Waste|"&amp;R381,'Score settings'!$A$14:$C$43,3,FALSE)/'Score settings'!$B$8*'Score settings'!$D$8</x:f>
        <x:v>10</x:v>
      </x:c>
      <x:c r="AG381" s="41" t="n">
        <x:f>(IF(AND(ISNUMBER(M381),M381&gt;0,ISNUMBER(G381),G381&gt;0),IF(M381/G381&gt;='Score settings'!$E$17,'Score settings'!$G$17,IF(M381/G381&gt;='Score settings'!$E$16,'Score settings'!$G$16,IF(M381/G381&gt;='Score settings'!$E$15,'Score settings'!$G$15,'Score settings'!$G$14))),0)/15*'Score settings'!$B$60+IFERROR(VLOOKUP(IF(ISNUMBER(N381),N381,IF(ISNUMBER(L381),L381,0)),'Score settings'!$E$22:$F$26,2,FALSE),0)/10*'Score settings'!$B$61)/'Score settings'!$B$9*'Score settings'!$D$9</x:f>
        <x:v>6</x:v>
      </x:c>
      <x:c r="AH381" s="41" t="n">
        <x:f>IF(B381="","",SUM(AB381:AG381))</x:f>
        <x:v>59.5</x:v>
      </x:c>
      <x:c r="AI381" s="41" t="str">
        <x:f>IF(NOT(ISNUMBER(AH381)),"Not scored",VLOOKUP(AH381,'Score settings'!$A$47:$C$50,3,TRUE))</x:f>
        <x:v>Strong</x:v>
      </x:c>
      <x:c r="AJ381" s="42" t="str">
        <x:f>IF(OR(NOT(ISNUMBER(AH381)),T381&lt;&gt;"Common pot"),"",COUNTIFS($T$4:$T$509,"Common pot",$AH$4:$AH$509,"&gt;"&amp;AH381)+1)</x:f>
      </x:c>
      <x:c r="AK381" s="36" t="str">
        <x:f>IF(B381="","Name missing - not scored",IF(OR(NOT(ISNUMBER(G381)),G381&lt;=0),"Investment missing or zero - review",IF(0=1,"Permanent ID missing - reconcile",IF(AND(ISNUMBER(H381),H381/G381&gt;='Score settings'!$B$58,NOT(ISNUMBER(I381))),"Benefit units need review",IF(OR(R381="EXIT",R381="CHALLENGE"),"Waste decision requires scope resolution",IF("Name and organisation matched"&lt;&gt;"Name and organisation matched","Waste evidence match needs review","Provisional source score - confirm evidence"))))))</x:f>
        <x:v>Provisional source score - confirm evidence</x:v>
      </x:c>
      <x:c r="AL381" s="36" t="n">
        <x:v>9</x:v>
      </x:c>
      <x:c r="AM381" s="40"/>
      <x:c r="AN381" s="39"/>
      <x:c r="AO381" s="40"/>
      <x:c r="AP381" s="40"/>
    </x:row>
    <x:row r="382" ht="15" hidden="0" customHeight="1">
      <x:c r="A382" s="36" t="str">
        <x:v>EW-60</x:v>
      </x:c>
      <x:c r="B382" s="37" t="str">
        <x:v>3rd Party Screening Replatformation</x:v>
      </x:c>
      <x:c r="C382" s="36" t="str">
        <x:v>EW</x:v>
      </x:c>
      <x:c r="D382" s="36" t="str">
        <x:v>Legal​</x:v>
      </x:c>
      <x:c r="E382" s="38" t="n">
        <x:v>0.2</x:v>
      </x:c>
      <x:c r="F382" s="39"/>
      <x:c r="G382" s="38" t="n">
        <x:f>IF(ISNUMBER(F382),F382,IF(E382="","",E382))</x:f>
        <x:v>0.2</x:v>
      </x:c>
      <x:c r="H382" s="38" t="n">
        <x:v>285</x:v>
      </x:c>
      <x:c r="I382" s="39"/>
      <x:c r="J382" s="36" t="str">
        <x:v>Risk exposure</x:v>
      </x:c>
      <x:c r="K382" s="38" t="str">
        <x:f>IF(ISNUMBER(I382),I382,IF(OR(NOT(ISNUMBER(H382)),NOT(ISNUMBER(G382)),G382&lt;=0),"",IF(H382/G382&gt;='Score settings'!$B$58,"",IF(J382="Cash savings",H382,IF(J382="Revenue",H382*'Score settings'!$B$55,"")))))</x:f>
      </x:c>
      <x:c r="L382" s="36" t="n">
        <x:v>5</x:v>
      </x:c>
      <x:c r="M382" s="39"/>
      <x:c r="N382" s="40"/>
      <x:c r="O382" s="36" t="str">
        <x:v>Must Do</x:v>
      </x:c>
      <x:c r="P382" s="36" t="str">
        <x:v>LFR</x:v>
      </x:c>
      <x:c r="Q382" s="36" t="str">
        <x:v>Compliance</x:v>
      </x:c>
      <x:c r="R382" s="36" t="str">
        <x:v>HEALTHY</x:v>
      </x:c>
      <x:c r="S382" s="36" t="str">
        <x:v>YES</x:v>
      </x:c>
      <x:c r="T382" s="36" t="str">
        <x:v>LFR validated candidate</x:v>
      </x:c>
      <x:c r="U382" s="41" t="n">
        <x:f>VLOOKUP("Priority|"&amp;O382,'Score settings'!$A$14:$C$43,2,FALSE)/'Score settings'!$B$4*'Score settings'!$C$4</x:f>
        <x:v>25</x:v>
      </x:c>
      <x:c r="V382" s="41" t="n">
        <x:f>VLOOKUP("Category|"&amp;P382,'Score settings'!$A$14:$C$43,2,FALSE)/'Score settings'!$B$5*'Score settings'!$C$5</x:f>
        <x:v>20</x:v>
      </x:c>
      <x:c r="W382" s="41" t="n">
        <x:f>VLOOKUP("Area|"&amp;Q382,'Score settings'!$A$14:$C$43,2,FALSE)/'Score settings'!$B$6*'Score settings'!$C$6</x:f>
        <x:v>15</x:v>
      </x:c>
      <x:c r="X382" s="41" t="n">
        <x:f>VLOOKUP("Benefits|"&amp;IF(AND(ISNUMBER(H382),H382&gt;0,ISNUMBER(G382),G382&gt;0),IF(H382/G382&gt;='Score settings'!$E$17,"3plus",IF(H382/G382&gt;='Score settings'!$E$16,"1.5to3",IF(H382/G382&gt;='Score settings'!$E$15,"0.5to1.5","positive"))),"None"),'Score settings'!$A$14:$C$43,2,FALSE)/'Score settings'!$B$7*'Score settings'!$C$7</x:f>
        <x:v>25</x:v>
      </x:c>
      <x:c r="Y382" s="41" t="n">
        <x:f>VLOOKUP("Waste|"&amp;R382,'Score settings'!$A$14:$C$43,2,FALSE)/'Score settings'!$B$8*'Score settings'!$C$8</x:f>
        <x:v>15</x:v>
      </x:c>
      <x:c r="Z382" s="41" t="n">
        <x:f>IF(B382="","",SUM(U382:Y382))</x:f>
        <x:v>100</x:v>
      </x:c>
      <x:c r="AA382" s="41" t="str">
        <x:f>IF(Z382="","Not scored",VLOOKUP(Z382,'Score settings'!$A$47:$C$50,2,TRUE))</x:f>
        <x:v>Protected</x:v>
      </x:c>
      <x:c r="AB382" s="41" t="n">
        <x:f>VLOOKUP("Priority|"&amp;O382,'Score settings'!$A$14:$C$43,3,FALSE)/'Score settings'!$B$4*'Score settings'!$D$4</x:f>
        <x:v>15</x:v>
      </x:c>
      <x:c r="AC382" s="41" t="n">
        <x:f>VLOOKUP("Category|"&amp;P382,'Score settings'!$A$14:$C$43,3,FALSE)/'Score settings'!$B$5*'Score settings'!$D$5</x:f>
        <x:v>10</x:v>
      </x:c>
      <x:c r="AD382" s="41" t="n">
        <x:f>VLOOKUP("Area|"&amp;Q382,'Score settings'!$A$14:$C$43,3,FALSE)/'Score settings'!$B$6*'Score settings'!$D$6</x:f>
        <x:v>10</x:v>
      </x:c>
      <x:c r="AE382" s="41" t="n">
        <x:f>VLOOKUP("Benefits|"&amp;IF(AND(ISNUMBER(K382),K382&gt;0,ISNUMBER(G382),G382&gt;0),IF(K382/G382&gt;='Score settings'!$E$17,"3plus",IF(K382/G382&gt;='Score settings'!$E$16,"1.5to3",IF(K382/G382&gt;='Score settings'!$E$15,"0.5to1.5","positive"))),"None"),'Score settings'!$A$14:$C$43,3,FALSE)/'Score settings'!$B$7*'Score settings'!$D$7</x:f>
        <x:v>0</x:v>
      </x:c>
      <x:c r="AF382" s="41" t="n">
        <x:f>VLOOKUP("Waste|"&amp;R382,'Score settings'!$A$14:$C$43,3,FALSE)/'Score settings'!$B$8*'Score settings'!$D$8</x:f>
        <x:v>10</x:v>
      </x:c>
      <x:c r="AG382" s="41" t="n">
        <x:f>(IF(AND(ISNUMBER(M382),M382&gt;0,ISNUMBER(G382),G382&gt;0),IF(M382/G382&gt;='Score settings'!$E$17,'Score settings'!$G$17,IF(M382/G382&gt;='Score settings'!$E$16,'Score settings'!$G$16,IF(M382/G382&gt;='Score settings'!$E$15,'Score settings'!$G$15,'Score settings'!$G$14))),0)/15*'Score settings'!$B$60+IFERROR(VLOOKUP(IF(ISNUMBER(N382),N382,IF(ISNUMBER(L382),L382,0)),'Score settings'!$E$22:$F$26,2,FALSE),0)/10*'Score settings'!$B$61)/'Score settings'!$B$9*'Score settings'!$D$9</x:f>
        <x:v>10</x:v>
      </x:c>
      <x:c r="AH382" s="41" t="n">
        <x:f>IF(B382="","",SUM(AB382:AG382))</x:f>
        <x:v>55</x:v>
      </x:c>
      <x:c r="AI382" s="41" t="str">
        <x:f>IF(NOT(ISNUMBER(AH382)),"Not scored",VLOOKUP(AH382,'Score settings'!$A$47:$C$50,3,TRUE))</x:f>
        <x:v>Strong</x:v>
      </x:c>
      <x:c r="AJ382" s="42" t="str">
        <x:f>IF(OR(NOT(ISNUMBER(AH382)),T382&lt;&gt;"Common pot"),"",COUNTIFS($T$4:$T$509,"Common pot",$AH$4:$AH$509,"&gt;"&amp;AH382)+1)</x:f>
      </x:c>
      <x:c r="AK382" s="36" t="str">
        <x:f>IF(B382="","Name missing - not scored",IF(OR(NOT(ISNUMBER(G382)),G382&lt;=0),"Investment missing or zero - review",IF(0=1,"Permanent ID missing - reconcile",IF(AND(ISNUMBER(H382),H382/G382&gt;='Score settings'!$B$58,NOT(ISNUMBER(I382))),"Benefit units need review",IF(OR(R382="EXIT",R382="CHALLENGE"),"Waste decision requires scope resolution",IF("Name and organisation matched"&lt;&gt;"Name and organisation matched","Waste evidence match needs review","Provisional source score - confirm evidence"))))))</x:f>
        <x:v>Benefit units need review</x:v>
      </x:c>
      <x:c r="AL382" s="36" t="n">
        <x:v>25</x:v>
      </x:c>
      <x:c r="AM382" s="40"/>
      <x:c r="AN382" s="39"/>
      <x:c r="AO382" s="40"/>
      <x:c r="AP382" s="40"/>
    </x:row>
    <x:row r="383" ht="15" hidden="0" customHeight="1">
      <x:c r="A383" s="36" t="str">
        <x:v>EW-61</x:v>
      </x:c>
      <x:c r="B383" s="37" t="str">
        <x:v>Contractor Management &amp; Permit to Work</x:v>
      </x:c>
      <x:c r="C383" s="36" t="str">
        <x:v>EW</x:v>
      </x:c>
      <x:c r="D383" s="36" t="str">
        <x:v>Health &amp; Safety​</x:v>
      </x:c>
      <x:c r="E383" s="38" t="n">
        <x:v>0.225</x:v>
      </x:c>
      <x:c r="F383" s="39"/>
      <x:c r="G383" s="38" t="n">
        <x:f>IF(ISNUMBER(F383),F383,IF(E383="","",E383))</x:f>
        <x:v>0.225</x:v>
      </x:c>
      <x:c r="H383" s="38" t="n">
        <x:v>0.8</x:v>
      </x:c>
      <x:c r="I383" s="39"/>
      <x:c r="J383" s="36" t="str">
        <x:v>Risk exposure</x:v>
      </x:c>
      <x:c r="K383" s="38" t="str">
        <x:f>IF(ISNUMBER(I383),I383,IF(OR(NOT(ISNUMBER(H383)),NOT(ISNUMBER(G383)),G383&lt;=0),"",IF(H383/G383&gt;='Score settings'!$B$58,"",IF(J383="Cash savings",H383,IF(J383="Revenue",H383*'Score settings'!$B$55,"")))))</x:f>
      </x:c>
      <x:c r="L383" s="36" t="n">
        <x:v>5</x:v>
      </x:c>
      <x:c r="M383" s="39"/>
      <x:c r="N383" s="40"/>
      <x:c r="O383" s="36" t="str">
        <x:v>Must Do</x:v>
      </x:c>
      <x:c r="P383" s="36" t="str">
        <x:v>LFR</x:v>
      </x:c>
      <x:c r="Q383" s="36" t="str">
        <x:v>Compliance</x:v>
      </x:c>
      <x:c r="R383" s="36" t="str">
        <x:v>HEALTHY</x:v>
      </x:c>
      <x:c r="S383" s="36" t="str">
        <x:v>YES</x:v>
      </x:c>
      <x:c r="T383" s="36" t="str">
        <x:v>LFR validated candidate</x:v>
      </x:c>
      <x:c r="U383" s="41" t="n">
        <x:f>VLOOKUP("Priority|"&amp;O383,'Score settings'!$A$14:$C$43,2,FALSE)/'Score settings'!$B$4*'Score settings'!$C$4</x:f>
        <x:v>25</x:v>
      </x:c>
      <x:c r="V383" s="41" t="n">
        <x:f>VLOOKUP("Category|"&amp;P383,'Score settings'!$A$14:$C$43,2,FALSE)/'Score settings'!$B$5*'Score settings'!$C$5</x:f>
        <x:v>20</x:v>
      </x:c>
      <x:c r="W383" s="41" t="n">
        <x:f>VLOOKUP("Area|"&amp;Q383,'Score settings'!$A$14:$C$43,2,FALSE)/'Score settings'!$B$6*'Score settings'!$C$6</x:f>
        <x:v>15</x:v>
      </x:c>
      <x:c r="X383" s="41" t="n">
        <x:f>VLOOKUP("Benefits|"&amp;IF(AND(ISNUMBER(H383),H383&gt;0,ISNUMBER(G383),G383&gt;0),IF(H383/G383&gt;='Score settings'!$E$17,"3plus",IF(H383/G383&gt;='Score settings'!$E$16,"1.5to3",IF(H383/G383&gt;='Score settings'!$E$15,"0.5to1.5","positive"))),"None"),'Score settings'!$A$14:$C$43,2,FALSE)/'Score settings'!$B$7*'Score settings'!$C$7</x:f>
        <x:v>25</x:v>
      </x:c>
      <x:c r="Y383" s="41" t="n">
        <x:f>VLOOKUP("Waste|"&amp;R383,'Score settings'!$A$14:$C$43,2,FALSE)/'Score settings'!$B$8*'Score settings'!$C$8</x:f>
        <x:v>15</x:v>
      </x:c>
      <x:c r="Z383" s="41" t="n">
        <x:f>IF(B383="","",SUM(U383:Y383))</x:f>
        <x:v>100</x:v>
      </x:c>
      <x:c r="AA383" s="41" t="str">
        <x:f>IF(Z383="","Not scored",VLOOKUP(Z383,'Score settings'!$A$47:$C$50,2,TRUE))</x:f>
        <x:v>Protected</x:v>
      </x:c>
      <x:c r="AB383" s="41" t="n">
        <x:f>VLOOKUP("Priority|"&amp;O383,'Score settings'!$A$14:$C$43,3,FALSE)/'Score settings'!$B$4*'Score settings'!$D$4</x:f>
        <x:v>15</x:v>
      </x:c>
      <x:c r="AC383" s="41" t="n">
        <x:f>VLOOKUP("Category|"&amp;P383,'Score settings'!$A$14:$C$43,3,FALSE)/'Score settings'!$B$5*'Score settings'!$D$5</x:f>
        <x:v>10</x:v>
      </x:c>
      <x:c r="AD383" s="41" t="n">
        <x:f>VLOOKUP("Area|"&amp;Q383,'Score settings'!$A$14:$C$43,3,FALSE)/'Score settings'!$B$6*'Score settings'!$D$6</x:f>
        <x:v>10</x:v>
      </x:c>
      <x:c r="AE383" s="41" t="n">
        <x:f>VLOOKUP("Benefits|"&amp;IF(AND(ISNUMBER(K383),K383&gt;0,ISNUMBER(G383),G383&gt;0),IF(K383/G383&gt;='Score settings'!$E$17,"3plus",IF(K383/G383&gt;='Score settings'!$E$16,"1.5to3",IF(K383/G383&gt;='Score settings'!$E$15,"0.5to1.5","positive"))),"None"),'Score settings'!$A$14:$C$43,3,FALSE)/'Score settings'!$B$7*'Score settings'!$D$7</x:f>
        <x:v>0</x:v>
      </x:c>
      <x:c r="AF383" s="41" t="n">
        <x:f>VLOOKUP("Waste|"&amp;R383,'Score settings'!$A$14:$C$43,3,FALSE)/'Score settings'!$B$8*'Score settings'!$D$8</x:f>
        <x:v>10</x:v>
      </x:c>
      <x:c r="AG383" s="41" t="n">
        <x:f>(IF(AND(ISNUMBER(M383),M383&gt;0,ISNUMBER(G383),G383&gt;0),IF(M383/G383&gt;='Score settings'!$E$17,'Score settings'!$G$17,IF(M383/G383&gt;='Score settings'!$E$16,'Score settings'!$G$16,IF(M383/G383&gt;='Score settings'!$E$15,'Score settings'!$G$15,'Score settings'!$G$14))),0)/15*'Score settings'!$B$60+IFERROR(VLOOKUP(IF(ISNUMBER(N383),N383,IF(ISNUMBER(L383),L383,0)),'Score settings'!$E$22:$F$26,2,FALSE),0)/10*'Score settings'!$B$61)/'Score settings'!$B$9*'Score settings'!$D$9</x:f>
        <x:v>10</x:v>
      </x:c>
      <x:c r="AH383" s="41" t="n">
        <x:f>IF(B383="","",SUM(AB383:AG383))</x:f>
        <x:v>55</x:v>
      </x:c>
      <x:c r="AI383" s="41" t="str">
        <x:f>IF(NOT(ISNUMBER(AH383)),"Not scored",VLOOKUP(AH383,'Score settings'!$A$47:$C$50,3,TRUE))</x:f>
        <x:v>Strong</x:v>
      </x:c>
      <x:c r="AJ383" s="42" t="str">
        <x:f>IF(OR(NOT(ISNUMBER(AH383)),T383&lt;&gt;"Common pot"),"",COUNTIFS($T$4:$T$509,"Common pot",$AH$4:$AH$509,"&gt;"&amp;AH383)+1)</x:f>
      </x:c>
      <x:c r="AK383" s="36" t="str">
        <x:f>IF(B383="","Name missing - not scored",IF(OR(NOT(ISNUMBER(G383)),G383&lt;=0),"Investment missing or zero - review",IF(0=1,"Permanent ID missing - reconcile",IF(AND(ISNUMBER(H383),H383/G383&gt;='Score settings'!$B$58,NOT(ISNUMBER(I383))),"Benefit units need review",IF(OR(R383="EXIT",R383="CHALLENGE"),"Waste decision requires scope resolution",IF("Name and organisation matched"&lt;&gt;"Name and organisation matched","Waste evidence match needs review","Provisional source score - confirm evidence"))))))</x:f>
        <x:v>Provisional source score - confirm evidence</x:v>
      </x:c>
      <x:c r="AL383" s="36" t="n">
        <x:v>20</x:v>
      </x:c>
      <x:c r="AM383" s="40"/>
      <x:c r="AN383" s="39"/>
      <x:c r="AO383" s="40"/>
      <x:c r="AP383" s="40"/>
    </x:row>
    <x:row r="384" ht="15" hidden="0" customHeight="1">
      <x:c r="A384" s="36" t="str">
        <x:v>EW-62</x:v>
      </x:c>
      <x:c r="B384" s="37" t="str">
        <x:v>Optro Accelerate Module </x:v>
      </x:c>
      <x:c r="C384" s="36" t="str">
        <x:v>EW</x:v>
      </x:c>
      <x:c r="D384" s="36" t="str">
        <x:v>Internal Audit ​</x:v>
      </x:c>
      <x:c r="E384" s="38" t="n">
        <x:v>0.171</x:v>
      </x:c>
      <x:c r="F384" s="39"/>
      <x:c r="G384" s="38" t="n">
        <x:f>IF(ISNUMBER(F384),F384,IF(E384="","",E384))</x:f>
        <x:v>0.171</x:v>
      </x:c>
      <x:c r="H384" s="38" t="n">
        <x:v>0.171</x:v>
      </x:c>
      <x:c r="I384" s="39"/>
      <x:c r="J384" s="36" t="str">
        <x:v>Risk exposure</x:v>
      </x:c>
      <x:c r="K384" s="38" t="str">
        <x:f>IF(ISNUMBER(I384),I384,IF(OR(NOT(ISNUMBER(H384)),NOT(ISNUMBER(G384)),G384&lt;=0),"",IF(H384/G384&gt;='Score settings'!$B$58,"",IF(J384="Cash savings",H384,IF(J384="Revenue",H384*'Score settings'!$B$55,"")))))</x:f>
      </x:c>
      <x:c r="L384" s="36" t="n">
        <x:v>2</x:v>
      </x:c>
      <x:c r="M384" s="39"/>
      <x:c r="N384" s="40"/>
      <x:c r="O384" s="36" t="str">
        <x:v>Must Do</x:v>
      </x:c>
      <x:c r="P384" s="36" t="str">
        <x:v>LFR</x:v>
      </x:c>
      <x:c r="Q384" s="36" t="str">
        <x:v>Compliance</x:v>
      </x:c>
      <x:c r="R384" s="36" t="str">
        <x:v>HEALTHY</x:v>
      </x:c>
      <x:c r="S384" s="36" t="str">
        <x:v>NO</x:v>
      </x:c>
      <x:c r="T384" s="36" t="str">
        <x:v>Common pot</x:v>
      </x:c>
      <x:c r="U384" s="41" t="n">
        <x:f>VLOOKUP("Priority|"&amp;O384,'Score settings'!$A$14:$C$43,2,FALSE)/'Score settings'!$B$4*'Score settings'!$C$4</x:f>
        <x:v>25</x:v>
      </x:c>
      <x:c r="V384" s="41" t="n">
        <x:f>VLOOKUP("Category|"&amp;P384,'Score settings'!$A$14:$C$43,2,FALSE)/'Score settings'!$B$5*'Score settings'!$C$5</x:f>
        <x:v>20</x:v>
      </x:c>
      <x:c r="W384" s="41" t="n">
        <x:f>VLOOKUP("Area|"&amp;Q384,'Score settings'!$A$14:$C$43,2,FALSE)/'Score settings'!$B$6*'Score settings'!$C$6</x:f>
        <x:v>15</x:v>
      </x:c>
      <x:c r="X384" s="41" t="n">
        <x:f>VLOOKUP("Benefits|"&amp;IF(AND(ISNUMBER(H384),H384&gt;0,ISNUMBER(G384),G384&gt;0),IF(H384/G384&gt;='Score settings'!$E$17,"3plus",IF(H384/G384&gt;='Score settings'!$E$16,"1.5to3",IF(H384/G384&gt;='Score settings'!$E$15,"0.5to1.5","positive"))),"None"),'Score settings'!$A$14:$C$43,2,FALSE)/'Score settings'!$B$7*'Score settings'!$C$7</x:f>
        <x:v>15</x:v>
      </x:c>
      <x:c r="Y384" s="41" t="n">
        <x:f>VLOOKUP("Waste|"&amp;R384,'Score settings'!$A$14:$C$43,2,FALSE)/'Score settings'!$B$8*'Score settings'!$C$8</x:f>
        <x:v>15</x:v>
      </x:c>
      <x:c r="Z384" s="41" t="n">
        <x:f>IF(B384="","",SUM(U384:Y384))</x:f>
        <x:v>90</x:v>
      </x:c>
      <x:c r="AA384" s="41" t="str">
        <x:f>IF(Z384="","Not scored",VLOOKUP(Z384,'Score settings'!$A$47:$C$50,2,TRUE))</x:f>
        <x:v>Protected</x:v>
      </x:c>
      <x:c r="AB384" s="41" t="n">
        <x:f>VLOOKUP("Priority|"&amp;O384,'Score settings'!$A$14:$C$43,3,FALSE)/'Score settings'!$B$4*'Score settings'!$D$4</x:f>
        <x:v>15</x:v>
      </x:c>
      <x:c r="AC384" s="41" t="n">
        <x:f>VLOOKUP("Category|"&amp;P384,'Score settings'!$A$14:$C$43,3,FALSE)/'Score settings'!$B$5*'Score settings'!$D$5</x:f>
        <x:v>10</x:v>
      </x:c>
      <x:c r="AD384" s="41" t="n">
        <x:f>VLOOKUP("Area|"&amp;Q384,'Score settings'!$A$14:$C$43,3,FALSE)/'Score settings'!$B$6*'Score settings'!$D$6</x:f>
        <x:v>10</x:v>
      </x:c>
      <x:c r="AE384" s="41" t="n">
        <x:f>VLOOKUP("Benefits|"&amp;IF(AND(ISNUMBER(K384),K384&gt;0,ISNUMBER(G384),G384&gt;0),IF(K384/G384&gt;='Score settings'!$E$17,"3plus",IF(K384/G384&gt;='Score settings'!$E$16,"1.5to3",IF(K384/G384&gt;='Score settings'!$E$15,"0.5to1.5","positive"))),"None"),'Score settings'!$A$14:$C$43,3,FALSE)/'Score settings'!$B$7*'Score settings'!$D$7</x:f>
        <x:v>0</x:v>
      </x:c>
      <x:c r="AF384" s="41" t="n">
        <x:f>VLOOKUP("Waste|"&amp;R384,'Score settings'!$A$14:$C$43,3,FALSE)/'Score settings'!$B$8*'Score settings'!$D$8</x:f>
        <x:v>10</x:v>
      </x:c>
      <x:c r="AG384" s="41" t="n">
        <x:f>(IF(AND(ISNUMBER(M384),M384&gt;0,ISNUMBER(G384),G384&gt;0),IF(M384/G384&gt;='Score settings'!$E$17,'Score settings'!$G$17,IF(M384/G384&gt;='Score settings'!$E$16,'Score settings'!$G$16,IF(M384/G384&gt;='Score settings'!$E$15,'Score settings'!$G$15,'Score settings'!$G$14))),0)/15*'Score settings'!$B$60+IFERROR(VLOOKUP(IF(ISNUMBER(N384),N384,IF(ISNUMBER(L384),L384,0)),'Score settings'!$E$22:$F$26,2,FALSE),0)/10*'Score settings'!$B$61)/'Score settings'!$B$9*'Score settings'!$D$9</x:f>
        <x:v>4</x:v>
      </x:c>
      <x:c r="AH384" s="41" t="n">
        <x:f>IF(B384="","",SUM(AB384:AG384))</x:f>
        <x:v>49</x:v>
      </x:c>
      <x:c r="AI384" s="41" t="str">
        <x:f>IF(NOT(ISNUMBER(AH384)),"Not scored",VLOOKUP(AH384,'Score settings'!$A$47:$C$50,3,TRUE))</x:f>
        <x:v>Strong</x:v>
      </x:c>
      <x:c r="AJ384" s="42" t="n">
        <x:f>IF(OR(NOT(ISNUMBER(AH384)),T384&lt;&gt;"Common pot"),"",COUNTIFS($T$4:$T$509,"Common pot",$AH$4:$AH$509,"&gt;"&amp;AH384)+1)</x:f>
        <x:v>51</x:v>
      </x:c>
      <x:c r="AK384" s="36" t="str">
        <x:f>IF(B384="","Name missing - not scored",IF(OR(NOT(ISNUMBER(G384)),G384&lt;=0),"Investment missing or zero - review",IF(0=1,"Permanent ID missing - reconcile",IF(AND(ISNUMBER(H384),H384/G384&gt;='Score settings'!$B$58,NOT(ISNUMBER(I384))),"Benefit units need review",IF(OR(R384="EXIT",R384="CHALLENGE"),"Waste decision requires scope resolution",IF("Name and organisation matched"&lt;&gt;"Name and organisation matched","Waste evidence match needs review","Provisional source score - confirm evidence"))))))</x:f>
        <x:v>Provisional source score - confirm evidence</x:v>
      </x:c>
      <x:c r="AL384" s="36" t="n">
        <x:v>6</x:v>
      </x:c>
      <x:c r="AM384" s="40"/>
      <x:c r="AN384" s="39"/>
      <x:c r="AO384" s="40"/>
      <x:c r="AP384" s="40"/>
    </x:row>
    <x:row r="385" ht="15" hidden="0" customHeight="1">
      <x:c r="A385" s="36" t="str">
        <x:v>EW-63</x:v>
      </x:c>
      <x:c r="B385" s="37" t="str">
        <x:v>Internal Audit - AI and Innovation</x:v>
      </x:c>
      <x:c r="C385" s="36" t="str">
        <x:v>EW</x:v>
      </x:c>
      <x:c r="D385" s="36" t="str">
        <x:v>Internal Audit ​</x:v>
      </x:c>
      <x:c r="E385" s="38" t="n">
        <x:v>0.1</x:v>
      </x:c>
      <x:c r="F385" s="39"/>
      <x:c r="G385" s="38" t="n">
        <x:f>IF(ISNUMBER(F385),F385,IF(E385="","",E385))</x:f>
        <x:v>0.1</x:v>
      </x:c>
      <x:c r="H385" s="38" t="n">
        <x:v>0.1</x:v>
      </x:c>
      <x:c r="I385" s="39"/>
      <x:c r="J385" s="36" t="str">
        <x:v>Risk exposure</x:v>
      </x:c>
      <x:c r="K385" s="38" t="str">
        <x:f>IF(ISNUMBER(I385),I385,IF(OR(NOT(ISNUMBER(H385)),NOT(ISNUMBER(G385)),G385&lt;=0),"",IF(H385/G385&gt;='Score settings'!$B$58,"",IF(J385="Cash savings",H385,IF(J385="Revenue",H385*'Score settings'!$B$55,"")))))</x:f>
      </x:c>
      <x:c r="L385" s="36" t="n">
        <x:v>2</x:v>
      </x:c>
      <x:c r="M385" s="39"/>
      <x:c r="N385" s="40"/>
      <x:c r="O385" s="36" t="str">
        <x:v>Must Do</x:v>
      </x:c>
      <x:c r="P385" s="36" t="str">
        <x:v>LFR</x:v>
      </x:c>
      <x:c r="Q385" s="36" t="str">
        <x:v>Compliance</x:v>
      </x:c>
      <x:c r="R385" s="36" t="str">
        <x:v>HEALTHY</x:v>
      </x:c>
      <x:c r="S385" s="36" t="str">
        <x:v>NO</x:v>
      </x:c>
      <x:c r="T385" s="36" t="str">
        <x:v>Common pot</x:v>
      </x:c>
      <x:c r="U385" s="41" t="n">
        <x:f>VLOOKUP("Priority|"&amp;O385,'Score settings'!$A$14:$C$43,2,FALSE)/'Score settings'!$B$4*'Score settings'!$C$4</x:f>
        <x:v>25</x:v>
      </x:c>
      <x:c r="V385" s="41" t="n">
        <x:f>VLOOKUP("Category|"&amp;P385,'Score settings'!$A$14:$C$43,2,FALSE)/'Score settings'!$B$5*'Score settings'!$C$5</x:f>
        <x:v>20</x:v>
      </x:c>
      <x:c r="W385" s="41" t="n">
        <x:f>VLOOKUP("Area|"&amp;Q385,'Score settings'!$A$14:$C$43,2,FALSE)/'Score settings'!$B$6*'Score settings'!$C$6</x:f>
        <x:v>15</x:v>
      </x:c>
      <x:c r="X385" s="41" t="n">
        <x:f>VLOOKUP("Benefits|"&amp;IF(AND(ISNUMBER(H385),H385&gt;0,ISNUMBER(G385),G385&gt;0),IF(H385/G385&gt;='Score settings'!$E$17,"3plus",IF(H385/G385&gt;='Score settings'!$E$16,"1.5to3",IF(H385/G385&gt;='Score settings'!$E$15,"0.5to1.5","positive"))),"None"),'Score settings'!$A$14:$C$43,2,FALSE)/'Score settings'!$B$7*'Score settings'!$C$7</x:f>
        <x:v>15</x:v>
      </x:c>
      <x:c r="Y385" s="41" t="n">
        <x:f>VLOOKUP("Waste|"&amp;R385,'Score settings'!$A$14:$C$43,2,FALSE)/'Score settings'!$B$8*'Score settings'!$C$8</x:f>
        <x:v>15</x:v>
      </x:c>
      <x:c r="Z385" s="41" t="n">
        <x:f>IF(B385="","",SUM(U385:Y385))</x:f>
        <x:v>90</x:v>
      </x:c>
      <x:c r="AA385" s="41" t="str">
        <x:f>IF(Z385="","Not scored",VLOOKUP(Z385,'Score settings'!$A$47:$C$50,2,TRUE))</x:f>
        <x:v>Protected</x:v>
      </x:c>
      <x:c r="AB385" s="41" t="n">
        <x:f>VLOOKUP("Priority|"&amp;O385,'Score settings'!$A$14:$C$43,3,FALSE)/'Score settings'!$B$4*'Score settings'!$D$4</x:f>
        <x:v>15</x:v>
      </x:c>
      <x:c r="AC385" s="41" t="n">
        <x:f>VLOOKUP("Category|"&amp;P385,'Score settings'!$A$14:$C$43,3,FALSE)/'Score settings'!$B$5*'Score settings'!$D$5</x:f>
        <x:v>10</x:v>
      </x:c>
      <x:c r="AD385" s="41" t="n">
        <x:f>VLOOKUP("Area|"&amp;Q385,'Score settings'!$A$14:$C$43,3,FALSE)/'Score settings'!$B$6*'Score settings'!$D$6</x:f>
        <x:v>10</x:v>
      </x:c>
      <x:c r="AE385" s="41" t="n">
        <x:f>VLOOKUP("Benefits|"&amp;IF(AND(ISNUMBER(K385),K385&gt;0,ISNUMBER(G385),G385&gt;0),IF(K385/G385&gt;='Score settings'!$E$17,"3plus",IF(K385/G385&gt;='Score settings'!$E$16,"1.5to3",IF(K385/G385&gt;='Score settings'!$E$15,"0.5to1.5","positive"))),"None"),'Score settings'!$A$14:$C$43,3,FALSE)/'Score settings'!$B$7*'Score settings'!$D$7</x:f>
        <x:v>0</x:v>
      </x:c>
      <x:c r="AF385" s="41" t="n">
        <x:f>VLOOKUP("Waste|"&amp;R385,'Score settings'!$A$14:$C$43,3,FALSE)/'Score settings'!$B$8*'Score settings'!$D$8</x:f>
        <x:v>10</x:v>
      </x:c>
      <x:c r="AG385" s="41" t="n">
        <x:f>(IF(AND(ISNUMBER(M385),M385&gt;0,ISNUMBER(G385),G385&gt;0),IF(M385/G385&gt;='Score settings'!$E$17,'Score settings'!$G$17,IF(M385/G385&gt;='Score settings'!$E$16,'Score settings'!$G$16,IF(M385/G385&gt;='Score settings'!$E$15,'Score settings'!$G$15,'Score settings'!$G$14))),0)/15*'Score settings'!$B$60+IFERROR(VLOOKUP(IF(ISNUMBER(N385),N385,IF(ISNUMBER(L385),L385,0)),'Score settings'!$E$22:$F$26,2,FALSE),0)/10*'Score settings'!$B$61)/'Score settings'!$B$9*'Score settings'!$D$9</x:f>
        <x:v>4</x:v>
      </x:c>
      <x:c r="AH385" s="41" t="n">
        <x:f>IF(B385="","",SUM(AB385:AG385))</x:f>
        <x:v>49</x:v>
      </x:c>
      <x:c r="AI385" s="41" t="str">
        <x:f>IF(NOT(ISNUMBER(AH385)),"Not scored",VLOOKUP(AH385,'Score settings'!$A$47:$C$50,3,TRUE))</x:f>
        <x:v>Strong</x:v>
      </x:c>
      <x:c r="AJ385" s="42" t="n">
        <x:f>IF(OR(NOT(ISNUMBER(AH385)),T385&lt;&gt;"Common pot"),"",COUNTIFS($T$4:$T$509,"Common pot",$AH$4:$AH$509,"&gt;"&amp;AH385)+1)</x:f>
        <x:v>51</x:v>
      </x:c>
      <x:c r="AK385" s="36" t="str">
        <x:f>IF(B385="","Name missing - not scored",IF(OR(NOT(ISNUMBER(G385)),G385&lt;=0),"Investment missing or zero - review",IF(0=1,"Permanent ID missing - reconcile",IF(AND(ISNUMBER(H385),H385/G385&gt;='Score settings'!$B$58,NOT(ISNUMBER(I385))),"Benefit units need review",IF(OR(R385="EXIT",R385="CHALLENGE"),"Waste decision requires scope resolution",IF("Name and organisation matched"&lt;&gt;"Name and organisation matched","Waste evidence match needs review","Provisional source score - confirm evidence"))))))</x:f>
        <x:v>Provisional source score - confirm evidence</x:v>
      </x:c>
      <x:c r="AL385" s="36" t="n">
        <x:v>4</x:v>
      </x:c>
      <x:c r="AM385" s="40"/>
      <x:c r="AN385" s="39"/>
      <x:c r="AO385" s="40"/>
      <x:c r="AP385" s="40"/>
    </x:row>
    <x:row r="386" ht="15" hidden="0" customHeight="1">
      <x:c r="A386" s="36" t="str">
        <x:v>EW-64</x:v>
      </x:c>
      <x:c r="B386" s="37" t="str">
        <x:v>Legal - AI and Innovation</x:v>
      </x:c>
      <x:c r="C386" s="36" t="str">
        <x:v>EW</x:v>
      </x:c>
      <x:c r="D386" s="36" t="str">
        <x:v>Legal​</x:v>
      </x:c>
      <x:c r="E386" s="38" t="n">
        <x:v>0.1</x:v>
      </x:c>
      <x:c r="F386" s="39"/>
      <x:c r="G386" s="38" t="n">
        <x:f>IF(ISNUMBER(F386),F386,IF(E386="","",E386))</x:f>
        <x:v>0.1</x:v>
      </x:c>
      <x:c r="H386" s="38" t="n">
        <x:v>0.1</x:v>
      </x:c>
      <x:c r="I386" s="39"/>
      <x:c r="J386" s="36" t="str">
        <x:v>Risk exposure</x:v>
      </x:c>
      <x:c r="K386" s="38" t="str">
        <x:f>IF(ISNUMBER(I386),I386,IF(OR(NOT(ISNUMBER(H386)),NOT(ISNUMBER(G386)),G386&lt;=0),"",IF(H386/G386&gt;='Score settings'!$B$58,"",IF(J386="Cash savings",H386,IF(J386="Revenue",H386*'Score settings'!$B$55,"")))))</x:f>
      </x:c>
      <x:c r="L386" s="36" t="n">
        <x:v>3</x:v>
      </x:c>
      <x:c r="M386" s="39"/>
      <x:c r="N386" s="40"/>
      <x:c r="O386" s="36" t="str">
        <x:v>Must Do</x:v>
      </x:c>
      <x:c r="P386" s="36" t="str">
        <x:v>LFR</x:v>
      </x:c>
      <x:c r="Q386" s="36" t="str">
        <x:v>Compliance</x:v>
      </x:c>
      <x:c r="R386" s="36" t="str">
        <x:v>HEALTHY</x:v>
      </x:c>
      <x:c r="S386" s="36" t="str">
        <x:v>NO</x:v>
      </x:c>
      <x:c r="T386" s="36" t="str">
        <x:v>Common pot</x:v>
      </x:c>
      <x:c r="U386" s="41" t="n">
        <x:f>VLOOKUP("Priority|"&amp;O386,'Score settings'!$A$14:$C$43,2,FALSE)/'Score settings'!$B$4*'Score settings'!$C$4</x:f>
        <x:v>25</x:v>
      </x:c>
      <x:c r="V386" s="41" t="n">
        <x:f>VLOOKUP("Category|"&amp;P386,'Score settings'!$A$14:$C$43,2,FALSE)/'Score settings'!$B$5*'Score settings'!$C$5</x:f>
        <x:v>20</x:v>
      </x:c>
      <x:c r="W386" s="41" t="n">
        <x:f>VLOOKUP("Area|"&amp;Q386,'Score settings'!$A$14:$C$43,2,FALSE)/'Score settings'!$B$6*'Score settings'!$C$6</x:f>
        <x:v>15</x:v>
      </x:c>
      <x:c r="X386" s="41" t="n">
        <x:f>VLOOKUP("Benefits|"&amp;IF(AND(ISNUMBER(H386),H386&gt;0,ISNUMBER(G386),G386&gt;0),IF(H386/G386&gt;='Score settings'!$E$17,"3plus",IF(H386/G386&gt;='Score settings'!$E$16,"1.5to3",IF(H386/G386&gt;='Score settings'!$E$15,"0.5to1.5","positive"))),"None"),'Score settings'!$A$14:$C$43,2,FALSE)/'Score settings'!$B$7*'Score settings'!$C$7</x:f>
        <x:v>15</x:v>
      </x:c>
      <x:c r="Y386" s="41" t="n">
        <x:f>VLOOKUP("Waste|"&amp;R386,'Score settings'!$A$14:$C$43,2,FALSE)/'Score settings'!$B$8*'Score settings'!$C$8</x:f>
        <x:v>15</x:v>
      </x:c>
      <x:c r="Z386" s="41" t="n">
        <x:f>IF(B386="","",SUM(U386:Y386))</x:f>
        <x:v>90</x:v>
      </x:c>
      <x:c r="AA386" s="41" t="str">
        <x:f>IF(Z386="","Not scored",VLOOKUP(Z386,'Score settings'!$A$47:$C$50,2,TRUE))</x:f>
        <x:v>Protected</x:v>
      </x:c>
      <x:c r="AB386" s="41" t="n">
        <x:f>VLOOKUP("Priority|"&amp;O386,'Score settings'!$A$14:$C$43,3,FALSE)/'Score settings'!$B$4*'Score settings'!$D$4</x:f>
        <x:v>15</x:v>
      </x:c>
      <x:c r="AC386" s="41" t="n">
        <x:f>VLOOKUP("Category|"&amp;P386,'Score settings'!$A$14:$C$43,3,FALSE)/'Score settings'!$B$5*'Score settings'!$D$5</x:f>
        <x:v>10</x:v>
      </x:c>
      <x:c r="AD386" s="41" t="n">
        <x:f>VLOOKUP("Area|"&amp;Q386,'Score settings'!$A$14:$C$43,3,FALSE)/'Score settings'!$B$6*'Score settings'!$D$6</x:f>
        <x:v>10</x:v>
      </x:c>
      <x:c r="AE386" s="41" t="n">
        <x:f>VLOOKUP("Benefits|"&amp;IF(AND(ISNUMBER(K386),K386&gt;0,ISNUMBER(G386),G386&gt;0),IF(K386/G386&gt;='Score settings'!$E$17,"3plus",IF(K386/G386&gt;='Score settings'!$E$16,"1.5to3",IF(K386/G386&gt;='Score settings'!$E$15,"0.5to1.5","positive"))),"None"),'Score settings'!$A$14:$C$43,3,FALSE)/'Score settings'!$B$7*'Score settings'!$D$7</x:f>
        <x:v>0</x:v>
      </x:c>
      <x:c r="AF386" s="41" t="n">
        <x:f>VLOOKUP("Waste|"&amp;R386,'Score settings'!$A$14:$C$43,3,FALSE)/'Score settings'!$B$8*'Score settings'!$D$8</x:f>
        <x:v>10</x:v>
      </x:c>
      <x:c r="AG386" s="41" t="n">
        <x:f>(IF(AND(ISNUMBER(M386),M386&gt;0,ISNUMBER(G386),G386&gt;0),IF(M386/G386&gt;='Score settings'!$E$17,'Score settings'!$G$17,IF(M386/G386&gt;='Score settings'!$E$16,'Score settings'!$G$16,IF(M386/G386&gt;='Score settings'!$E$15,'Score settings'!$G$15,'Score settings'!$G$14))),0)/15*'Score settings'!$B$60+IFERROR(VLOOKUP(IF(ISNUMBER(N386),N386,IF(ISNUMBER(L386),L386,0)),'Score settings'!$E$22:$F$26,2,FALSE),0)/10*'Score settings'!$B$61)/'Score settings'!$B$9*'Score settings'!$D$9</x:f>
        <x:v>6</x:v>
      </x:c>
      <x:c r="AH386" s="41" t="n">
        <x:f>IF(B386="","",SUM(AB386:AG386))</x:f>
        <x:v>51</x:v>
      </x:c>
      <x:c r="AI386" s="41" t="str">
        <x:f>IF(NOT(ISNUMBER(AH386)),"Not scored",VLOOKUP(AH386,'Score settings'!$A$47:$C$50,3,TRUE))</x:f>
        <x:v>Strong</x:v>
      </x:c>
      <x:c r="AJ386" s="42" t="n">
        <x:f>IF(OR(NOT(ISNUMBER(AH386)),T386&lt;&gt;"Common pot"),"",COUNTIFS($T$4:$T$509,"Common pot",$AH$4:$AH$509,"&gt;"&amp;AH386)+1)</x:f>
        <x:v>44</x:v>
      </x:c>
      <x:c r="AK386" s="36" t="str">
        <x:f>IF(B386="","Name missing - not scored",IF(OR(NOT(ISNUMBER(G386)),G386&lt;=0),"Investment missing or zero - review",IF(0=1,"Permanent ID missing - reconcile",IF(AND(ISNUMBER(H386),H386/G386&gt;='Score settings'!$B$58,NOT(ISNUMBER(I386))),"Benefit units need review",IF(OR(R386="EXIT",R386="CHALLENGE"),"Waste decision requires scope resolution",IF("Name and organisation matched"&lt;&gt;"Name and organisation matched","Waste evidence match needs review","Provisional source score - confirm evidence"))))))</x:f>
        <x:v>Provisional source score - confirm evidence</x:v>
      </x:c>
      <x:c r="AL386" s="36" t="n">
        <x:v>9</x:v>
      </x:c>
      <x:c r="AM386" s="40"/>
      <x:c r="AN386" s="39"/>
      <x:c r="AO386" s="40"/>
      <x:c r="AP386" s="40"/>
    </x:row>
    <x:row r="387" ht="15" hidden="0" customHeight="1">
      <x:c r="A387" s="36" t="str">
        <x:v>EW-65</x:v>
      </x:c>
      <x:c r="B387" s="37" t="str">
        <x:v>ISC -CCB - EW</x:v>
      </x:c>
      <x:c r="C387" s="36" t="str">
        <x:v>EW</x:v>
      </x:c>
      <x:c r="D387" s="36" t="str">
        <x:v>Information Technology ​</x:v>
      </x:c>
      <x:c r="E387" s="38" t="n">
        <x:v>4.16</x:v>
      </x:c>
      <x:c r="F387" s="39"/>
      <x:c r="G387" s="38" t="n">
        <x:f>IF(ISNUMBER(F387),F387,IF(E387="","",E387))</x:f>
        <x:v>4.16</x:v>
      </x:c>
      <x:c r="H387" s="38"/>
      <x:c r="I387" s="39"/>
      <x:c r="J387" s="36" t="str">
        <x:v>Risk exposure</x:v>
      </x:c>
      <x:c r="K387" s="38" t="str">
        <x:f>IF(ISNUMBER(I387),I387,IF(OR(NOT(ISNUMBER(H387)),NOT(ISNUMBER(G387)),G387&lt;=0),"",IF(H387/G387&gt;='Score settings'!$B$58,"",IF(J387="Cash savings",H387,IF(J387="Revenue",H387*'Score settings'!$B$55,"")))))</x:f>
      </x:c>
      <x:c r="L387" s="36"/>
      <x:c r="M387" s="39"/>
      <x:c r="N387" s="40"/>
      <x:c r="O387" s="36" t="str">
        <x:v>Must Do</x:v>
      </x:c>
      <x:c r="P387" s="36" t="str">
        <x:v>LFR</x:v>
      </x:c>
      <x:c r="Q387" s="36" t="str">
        <x:v>Compliance</x:v>
      </x:c>
      <x:c r="R387" s="36" t="str">
        <x:v>NotAssessed</x:v>
      </x:c>
      <x:c r="S387" s="36" t="str"/>
      <x:c r="T387" s="36" t="str">
        <x:v>Change and Sustain candidate</x:v>
      </x:c>
      <x:c r="U387" s="41" t="n">
        <x:f>VLOOKUP("Priority|"&amp;O387,'Score settings'!$A$14:$C$43,2,FALSE)/'Score settings'!$B$4*'Score settings'!$C$4</x:f>
        <x:v>25</x:v>
      </x:c>
      <x:c r="V387" s="41" t="n">
        <x:f>VLOOKUP("Category|"&amp;P387,'Score settings'!$A$14:$C$43,2,FALSE)/'Score settings'!$B$5*'Score settings'!$C$5</x:f>
        <x:v>20</x:v>
      </x:c>
      <x:c r="W387" s="41" t="n">
        <x:f>VLOOKUP("Area|"&amp;Q387,'Score settings'!$A$14:$C$43,2,FALSE)/'Score settings'!$B$6*'Score settings'!$C$6</x:f>
        <x:v>15</x:v>
      </x:c>
      <x:c r="X387" s="41" t="n">
        <x:f>VLOOKUP("Benefits|"&amp;IF(AND(ISNUMBER(H387),H387&gt;0,ISNUMBER(G387),G387&gt;0),IF(H387/G387&gt;='Score settings'!$E$17,"3plus",IF(H387/G387&gt;='Score settings'!$E$16,"1.5to3",IF(H387/G387&gt;='Score settings'!$E$15,"0.5to1.5","positive"))),"None"),'Score settings'!$A$14:$C$43,2,FALSE)/'Score settings'!$B$7*'Score settings'!$C$7</x:f>
        <x:v>5</x:v>
      </x:c>
      <x:c r="Y387" s="41" t="n">
        <x:f>VLOOKUP("Waste|"&amp;R387,'Score settings'!$A$14:$C$43,2,FALSE)/'Score settings'!$B$8*'Score settings'!$C$8</x:f>
        <x:v>7</x:v>
      </x:c>
      <x:c r="Z387" s="41" t="n">
        <x:f>IF(B387="","",SUM(U387:Y387))</x:f>
        <x:v>72</x:v>
      </x:c>
      <x:c r="AA387" s="41" t="str">
        <x:f>IF(Z387="","Not scored",VLOOKUP(Z387,'Score settings'!$A$47:$C$50,2,TRUE))</x:f>
        <x:v>Protected</x:v>
      </x:c>
      <x:c r="AB387" s="41" t="n">
        <x:f>VLOOKUP("Priority|"&amp;O387,'Score settings'!$A$14:$C$43,3,FALSE)/'Score settings'!$B$4*'Score settings'!$D$4</x:f>
        <x:v>15</x:v>
      </x:c>
      <x:c r="AC387" s="41" t="n">
        <x:f>VLOOKUP("Category|"&amp;P387,'Score settings'!$A$14:$C$43,3,FALSE)/'Score settings'!$B$5*'Score settings'!$D$5</x:f>
        <x:v>10</x:v>
      </x:c>
      <x:c r="AD387" s="41" t="n">
        <x:f>VLOOKUP("Area|"&amp;Q387,'Score settings'!$A$14:$C$43,3,FALSE)/'Score settings'!$B$6*'Score settings'!$D$6</x:f>
        <x:v>10</x:v>
      </x:c>
      <x:c r="AE387" s="41" t="n">
        <x:f>VLOOKUP("Benefits|"&amp;IF(AND(ISNUMBER(K387),K387&gt;0,ISNUMBER(G387),G387&gt;0),IF(K387/G387&gt;='Score settings'!$E$17,"3plus",IF(K387/G387&gt;='Score settings'!$E$16,"1.5to3",IF(K387/G387&gt;='Score settings'!$E$15,"0.5to1.5","positive"))),"None"),'Score settings'!$A$14:$C$43,3,FALSE)/'Score settings'!$B$7*'Score settings'!$D$7</x:f>
        <x:v>0</x:v>
      </x:c>
      <x:c r="AF387" s="41" t="n">
        <x:f>VLOOKUP("Waste|"&amp;R387,'Score settings'!$A$14:$C$43,3,FALSE)/'Score settings'!$B$8*'Score settings'!$D$8</x:f>
        <x:v>0</x:v>
      </x:c>
      <x:c r="AG387" s="41" t="n">
        <x:f>(IF(AND(ISNUMBER(M387),M387&gt;0,ISNUMBER(G387),G387&gt;0),IF(M387/G387&gt;='Score settings'!$E$17,'Score settings'!$G$17,IF(M387/G387&gt;='Score settings'!$E$16,'Score settings'!$G$16,IF(M387/G387&gt;='Score settings'!$E$15,'Score settings'!$G$15,'Score settings'!$G$14))),0)/15*'Score settings'!$B$60+IFERROR(VLOOKUP(IF(ISNUMBER(N387),N387,IF(ISNUMBER(L387),L387,0)),'Score settings'!$E$22:$F$26,2,FALSE),0)/10*'Score settings'!$B$61)/'Score settings'!$B$9*'Score settings'!$D$9</x:f>
        <x:v>0</x:v>
      </x:c>
      <x:c r="AH387" s="41" t="n">
        <x:f>IF(B387="","",SUM(AB387:AG387))</x:f>
        <x:v>35</x:v>
      </x:c>
      <x:c r="AI387" s="41" t="str">
        <x:f>IF(NOT(ISNUMBER(AH387)),"Not scored",VLOOKUP(AH387,'Score settings'!$A$47:$C$50,3,TRUE))</x:f>
        <x:v>Discretionary</x:v>
      </x:c>
      <x:c r="AJ387" s="42" t="str">
        <x:f>IF(OR(NOT(ISNUMBER(AH387)),T387&lt;&gt;"Common pot"),"",COUNTIFS($T$4:$T$509,"Common pot",$AH$4:$AH$509,"&gt;"&amp;AH387)+1)</x:f>
      </x:c>
      <x:c r="AK387" s="36" t="str">
        <x:f>IF(B387="","Name missing - not scored",IF(OR(NOT(ISNUMBER(G387)),G387&lt;=0),"Investment missing or zero - review",IF(0=1,"Permanent ID missing - reconcile",IF(AND(ISNUMBER(H387),H387/G387&gt;='Score settings'!$B$58,NOT(ISNUMBER(I387))),"Benefit units need review",IF(OR(R387="EXIT",R387="CHALLENGE"),"Waste decision requires scope resolution",IF("No exact waste match"&lt;&gt;"Name and organisation matched","Waste evidence match needs review","Provisional source score - confirm evidence"))))))</x:f>
        <x:v>Waste evidence match needs review</x:v>
      </x:c>
      <x:c r="AL387" s="36"/>
      <x:c r="AM387" s="40"/>
      <x:c r="AN387" s="39"/>
      <x:c r="AO387" s="40"/>
      <x:c r="AP387" s="40"/>
    </x:row>
    <x:row r="388" ht="15" hidden="0" customHeight="1">
      <x:c r="A388" s="36" t="str">
        <x:v>EW-66</x:v>
      </x:c>
      <x:c r="B388" s="37" t="str">
        <x:v>CLARA - Clinical Partnerships (Site &amp; KOL Engagements)</x:v>
      </x:c>
      <x:c r="C388" s="36" t="str">
        <x:v>EW</x:v>
      </x:c>
      <x:c r="D388" s="36" t="str">
        <x:v>Medical Office</x:v>
      </x:c>
      <x:c r="E388" s="38" t="n">
        <x:v>0.4</x:v>
      </x:c>
      <x:c r="F388" s="39"/>
      <x:c r="G388" s="38" t="n">
        <x:f>IF(ISNUMBER(F388),F388,IF(E388="","",E388))</x:f>
        <x:v>0.4</x:v>
      </x:c>
      <x:c r="H388" s="38" t="n">
        <x:v>1</x:v>
      </x:c>
      <x:c r="I388" s="39"/>
      <x:c r="J388" s="36" t="str">
        <x:v>Cash savings</x:v>
      </x:c>
      <x:c r="K388" s="38" t="n">
        <x:f>IF(ISNUMBER(I388),I388,IF(OR(NOT(ISNUMBER(H388)),NOT(ISNUMBER(G388)),G388&lt;=0),"",IF(H388/G388&gt;='Score settings'!$B$58,"",IF(J388="Cash savings",H388,IF(J388="Revenue",H388*'Score settings'!$B$55,"")))))</x:f>
        <x:v>1</x:v>
      </x:c>
      <x:c r="L388" s="36" t="n">
        <x:v>4</x:v>
      </x:c>
      <x:c r="M388" s="39"/>
      <x:c r="N388" s="40"/>
      <x:c r="O388" s="36" t="str">
        <x:v>Must Do</x:v>
      </x:c>
      <x:c r="P388" s="36" t="str">
        <x:v>NewFeat</x:v>
      </x:c>
      <x:c r="Q388" s="36" t="str">
        <x:v>Productivity</x:v>
      </x:c>
      <x:c r="R388" s="36" t="str">
        <x:v>HEALTHY</x:v>
      </x:c>
      <x:c r="S388" s="36" t="str">
        <x:v>NO</x:v>
      </x:c>
      <x:c r="T388" s="36" t="str">
        <x:v>Common pot</x:v>
      </x:c>
      <x:c r="U388" s="41" t="n">
        <x:f>VLOOKUP("Priority|"&amp;O388,'Score settings'!$A$14:$C$43,2,FALSE)/'Score settings'!$B$4*'Score settings'!$C$4</x:f>
        <x:v>25</x:v>
      </x:c>
      <x:c r="V388" s="41" t="n">
        <x:f>VLOOKUP("Category|"&amp;P388,'Score settings'!$A$14:$C$43,2,FALSE)/'Score settings'!$B$5*'Score settings'!$C$5</x:f>
        <x:v>6</x:v>
      </x:c>
      <x:c r="W388" s="41" t="n">
        <x:f>VLOOKUP("Area|"&amp;Q388,'Score settings'!$A$14:$C$43,2,FALSE)/'Score settings'!$B$6*'Score settings'!$C$6</x:f>
        <x:v>10</x:v>
      </x:c>
      <x:c r="X388" s="41" t="n">
        <x:f>VLOOKUP("Benefits|"&amp;IF(AND(ISNUMBER(H388),H388&gt;0,ISNUMBER(G388),G388&gt;0),IF(H388/G388&gt;='Score settings'!$E$17,"3plus",IF(H388/G388&gt;='Score settings'!$E$16,"1.5to3",IF(H388/G388&gt;='Score settings'!$E$15,"0.5to1.5","positive"))),"None"),'Score settings'!$A$14:$C$43,2,FALSE)/'Score settings'!$B$7*'Score settings'!$C$7</x:f>
        <x:v>20</x:v>
      </x:c>
      <x:c r="Y388" s="41" t="n">
        <x:f>VLOOKUP("Waste|"&amp;R388,'Score settings'!$A$14:$C$43,2,FALSE)/'Score settings'!$B$8*'Score settings'!$C$8</x:f>
        <x:v>15</x:v>
      </x:c>
      <x:c r="Z388" s="41" t="n">
        <x:f>IF(B388="","",SUM(U388:Y388))</x:f>
        <x:v>76</x:v>
      </x:c>
      <x:c r="AA388" s="41" t="str">
        <x:f>IF(Z388="","Not scored",VLOOKUP(Z388,'Score settings'!$A$47:$C$50,2,TRUE))</x:f>
        <x:v>Protected</x:v>
      </x:c>
      <x:c r="AB388" s="41" t="n">
        <x:f>VLOOKUP("Priority|"&amp;O388,'Score settings'!$A$14:$C$43,3,FALSE)/'Score settings'!$B$4*'Score settings'!$D$4</x:f>
        <x:v>15</x:v>
      </x:c>
      <x:c r="AC388" s="41" t="n">
        <x:f>VLOOKUP("Category|"&amp;P388,'Score settings'!$A$14:$C$43,3,FALSE)/'Score settings'!$B$5*'Score settings'!$D$5</x:f>
        <x:v>3</x:v>
      </x:c>
      <x:c r="AD388" s="41" t="n">
        <x:f>VLOOKUP("Area|"&amp;Q388,'Score settings'!$A$14:$C$43,3,FALSE)/'Score settings'!$B$6*'Score settings'!$D$6</x:f>
        <x:v>6.666666666666666</x:v>
      </x:c>
      <x:c r="AE388" s="41" t="n">
        <x:f>VLOOKUP("Benefits|"&amp;IF(AND(ISNUMBER(K388),K388&gt;0,ISNUMBER(G388),G388&gt;0),IF(K388/G388&gt;='Score settings'!$E$17,"3plus",IF(K388/G388&gt;='Score settings'!$E$16,"1.5to3",IF(K388/G388&gt;='Score settings'!$E$15,"0.5to1.5","positive"))),"None"),'Score settings'!$A$14:$C$43,3,FALSE)/'Score settings'!$B$7*'Score settings'!$D$7</x:f>
        <x:v>24</x:v>
      </x:c>
      <x:c r="AF388" s="41" t="n">
        <x:f>VLOOKUP("Waste|"&amp;R388,'Score settings'!$A$14:$C$43,3,FALSE)/'Score settings'!$B$8*'Score settings'!$D$8</x:f>
        <x:v>10</x:v>
      </x:c>
      <x:c r="AG388" s="41" t="n">
        <x:f>(IF(AND(ISNUMBER(M388),M388&gt;0,ISNUMBER(G388),G388&gt;0),IF(M388/G388&gt;='Score settings'!$E$17,'Score settings'!$G$17,IF(M388/G388&gt;='Score settings'!$E$16,'Score settings'!$G$16,IF(M388/G388&gt;='Score settings'!$E$15,'Score settings'!$G$15,'Score settings'!$G$14))),0)/15*'Score settings'!$B$60+IFERROR(VLOOKUP(IF(ISNUMBER(N388),N388,IF(ISNUMBER(L388),L388,0)),'Score settings'!$E$22:$F$26,2,FALSE),0)/10*'Score settings'!$B$61)/'Score settings'!$B$9*'Score settings'!$D$9</x:f>
        <x:v>8</x:v>
      </x:c>
      <x:c r="AH388" s="41" t="n">
        <x:f>IF(B388="","",SUM(AB388:AG388))</x:f>
        <x:v>66.66666666666666</x:v>
      </x:c>
      <x:c r="AI388" s="41" t="str">
        <x:f>IF(NOT(ISNUMBER(AH388)),"Not scored",VLOOKUP(AH388,'Score settings'!$A$47:$C$50,3,TRUE))</x:f>
        <x:v>High alignment</x:v>
      </x:c>
      <x:c r="AJ388" s="42" t="n">
        <x:f>IF(OR(NOT(ISNUMBER(AH388)),T388&lt;&gt;"Common pot"),"",COUNTIFS($T$4:$T$509,"Common pot",$AH$4:$AH$509,"&gt;"&amp;AH388)+1)</x:f>
        <x:v>5</x:v>
      </x:c>
      <x:c r="AK388" s="36" t="str">
        <x:f>IF(B388="","Name missing - not scored",IF(OR(NOT(ISNUMBER(G388)),G388&lt;=0),"Investment missing or zero - review",IF(0=1,"Permanent ID missing - reconcile",IF(AND(ISNUMBER(H388),H388/G388&gt;='Score settings'!$B$58,NOT(ISNUMBER(I388))),"Benefit units need review",IF(OR(R388="EXIT",R388="CHALLENGE"),"Waste decision requires scope resolution",IF("Name and organisation matched"&lt;&gt;"Name and organisation matched","Waste evidence match needs review","Provisional source score - confirm evidence"))))))</x:f>
        <x:v>Provisional source score - confirm evidence</x:v>
      </x:c>
      <x:c r="AL388" s="36" t="n">
        <x:v>20</x:v>
      </x:c>
      <x:c r="AM388" s="40"/>
      <x:c r="AN388" s="39"/>
      <x:c r="AO388" s="40"/>
      <x:c r="AP388" s="40"/>
    </x:row>
    <x:row r="389" ht="15" hidden="0" customHeight="1">
      <x:c r="A389" s="36" t="str">
        <x:v>EW-67</x:v>
      </x:c>
      <x:c r="B389" s="37" t="str">
        <x:v>BEACON - Program (BoM - Clinical Research Model)</x:v>
      </x:c>
      <x:c r="C389" s="36" t="str">
        <x:v>EW</x:v>
      </x:c>
      <x:c r="D389" s="36" t="str">
        <x:v>Medical Office</x:v>
      </x:c>
      <x:c r="E389" s="38" t="n">
        <x:v>0.375</x:v>
      </x:c>
      <x:c r="F389" s="39"/>
      <x:c r="G389" s="38" t="n">
        <x:f>IF(ISNUMBER(F389),F389,IF(E389="","",E389))</x:f>
        <x:v>0.375</x:v>
      </x:c>
      <x:c r="H389" s="38" t="n">
        <x:v>0.4</x:v>
      </x:c>
      <x:c r="I389" s="39"/>
      <x:c r="J389" s="36" t="str">
        <x:v>Risk exposure</x:v>
      </x:c>
      <x:c r="K389" s="38" t="str">
        <x:f>IF(ISNUMBER(I389),I389,IF(OR(NOT(ISNUMBER(H389)),NOT(ISNUMBER(G389)),G389&lt;=0),"",IF(H389/G389&gt;='Score settings'!$B$58,"",IF(J389="Cash savings",H389,IF(J389="Revenue",H389*'Score settings'!$B$55,"")))))</x:f>
      </x:c>
      <x:c r="L389" s="36" t="n">
        <x:v>4</x:v>
      </x:c>
      <x:c r="M389" s="39"/>
      <x:c r="N389" s="40"/>
      <x:c r="O389" s="36" t="str">
        <x:v>Must Do</x:v>
      </x:c>
      <x:c r="P389" s="36" t="str">
        <x:v>LFR</x:v>
      </x:c>
      <x:c r="Q389" s="36" t="str">
        <x:v>Compliance</x:v>
      </x:c>
      <x:c r="R389" s="36" t="str">
        <x:v>HEALTHY</x:v>
      </x:c>
      <x:c r="S389" s="36" t="str">
        <x:v>YES</x:v>
      </x:c>
      <x:c r="T389" s="36" t="str">
        <x:v>LFR validated candidate</x:v>
      </x:c>
      <x:c r="U389" s="41" t="n">
        <x:f>VLOOKUP("Priority|"&amp;O389,'Score settings'!$A$14:$C$43,2,FALSE)/'Score settings'!$B$4*'Score settings'!$C$4</x:f>
        <x:v>25</x:v>
      </x:c>
      <x:c r="V389" s="41" t="n">
        <x:f>VLOOKUP("Category|"&amp;P389,'Score settings'!$A$14:$C$43,2,FALSE)/'Score settings'!$B$5*'Score settings'!$C$5</x:f>
        <x:v>20</x:v>
      </x:c>
      <x:c r="W389" s="41" t="n">
        <x:f>VLOOKUP("Area|"&amp;Q389,'Score settings'!$A$14:$C$43,2,FALSE)/'Score settings'!$B$6*'Score settings'!$C$6</x:f>
        <x:v>15</x:v>
      </x:c>
      <x:c r="X389" s="41" t="n">
        <x:f>VLOOKUP("Benefits|"&amp;IF(AND(ISNUMBER(H389),H389&gt;0,ISNUMBER(G389),G389&gt;0),IF(H389/G389&gt;='Score settings'!$E$17,"3plus",IF(H389/G389&gt;='Score settings'!$E$16,"1.5to3",IF(H389/G389&gt;='Score settings'!$E$15,"0.5to1.5","positive"))),"None"),'Score settings'!$A$14:$C$43,2,FALSE)/'Score settings'!$B$7*'Score settings'!$C$7</x:f>
        <x:v>15</x:v>
      </x:c>
      <x:c r="Y389" s="41" t="n">
        <x:f>VLOOKUP("Waste|"&amp;R389,'Score settings'!$A$14:$C$43,2,FALSE)/'Score settings'!$B$8*'Score settings'!$C$8</x:f>
        <x:v>15</x:v>
      </x:c>
      <x:c r="Z389" s="41" t="n">
        <x:f>IF(B389="","",SUM(U389:Y389))</x:f>
        <x:v>90</x:v>
      </x:c>
      <x:c r="AA389" s="41" t="str">
        <x:f>IF(Z389="","Not scored",VLOOKUP(Z389,'Score settings'!$A$47:$C$50,2,TRUE))</x:f>
        <x:v>Protected</x:v>
      </x:c>
      <x:c r="AB389" s="41" t="n">
        <x:f>VLOOKUP("Priority|"&amp;O389,'Score settings'!$A$14:$C$43,3,FALSE)/'Score settings'!$B$4*'Score settings'!$D$4</x:f>
        <x:v>15</x:v>
      </x:c>
      <x:c r="AC389" s="41" t="n">
        <x:f>VLOOKUP("Category|"&amp;P389,'Score settings'!$A$14:$C$43,3,FALSE)/'Score settings'!$B$5*'Score settings'!$D$5</x:f>
        <x:v>10</x:v>
      </x:c>
      <x:c r="AD389" s="41" t="n">
        <x:f>VLOOKUP("Area|"&amp;Q389,'Score settings'!$A$14:$C$43,3,FALSE)/'Score settings'!$B$6*'Score settings'!$D$6</x:f>
        <x:v>10</x:v>
      </x:c>
      <x:c r="AE389" s="41" t="n">
        <x:f>VLOOKUP("Benefits|"&amp;IF(AND(ISNUMBER(K389),K389&gt;0,ISNUMBER(G389),G389&gt;0),IF(K389/G389&gt;='Score settings'!$E$17,"3plus",IF(K389/G389&gt;='Score settings'!$E$16,"1.5to3",IF(K389/G389&gt;='Score settings'!$E$15,"0.5to1.5","positive"))),"None"),'Score settings'!$A$14:$C$43,3,FALSE)/'Score settings'!$B$7*'Score settings'!$D$7</x:f>
        <x:v>0</x:v>
      </x:c>
      <x:c r="AF389" s="41" t="n">
        <x:f>VLOOKUP("Waste|"&amp;R389,'Score settings'!$A$14:$C$43,3,FALSE)/'Score settings'!$B$8*'Score settings'!$D$8</x:f>
        <x:v>10</x:v>
      </x:c>
      <x:c r="AG389" s="41" t="n">
        <x:f>(IF(AND(ISNUMBER(M389),M389&gt;0,ISNUMBER(G389),G389&gt;0),IF(M389/G389&gt;='Score settings'!$E$17,'Score settings'!$G$17,IF(M389/G389&gt;='Score settings'!$E$16,'Score settings'!$G$16,IF(M389/G389&gt;='Score settings'!$E$15,'Score settings'!$G$15,'Score settings'!$G$14))),0)/15*'Score settings'!$B$60+IFERROR(VLOOKUP(IF(ISNUMBER(N389),N389,IF(ISNUMBER(L389),L389,0)),'Score settings'!$E$22:$F$26,2,FALSE),0)/10*'Score settings'!$B$61)/'Score settings'!$B$9*'Score settings'!$D$9</x:f>
        <x:v>8</x:v>
      </x:c>
      <x:c r="AH389" s="41" t="n">
        <x:f>IF(B389="","",SUM(AB389:AG389))</x:f>
        <x:v>53</x:v>
      </x:c>
      <x:c r="AI389" s="41" t="str">
        <x:f>IF(NOT(ISNUMBER(AH389)),"Not scored",VLOOKUP(AH389,'Score settings'!$A$47:$C$50,3,TRUE))</x:f>
        <x:v>Strong</x:v>
      </x:c>
      <x:c r="AJ389" s="42" t="str">
        <x:f>IF(OR(NOT(ISNUMBER(AH389)),T389&lt;&gt;"Common pot"),"",COUNTIFS($T$4:$T$509,"Common pot",$AH$4:$AH$509,"&gt;"&amp;AH389)+1)</x:f>
      </x:c>
      <x:c r="AK389" s="36" t="str">
        <x:f>IF(B389="","Name missing - not scored",IF(OR(NOT(ISNUMBER(G389)),G389&lt;=0),"Investment missing or zero - review",IF(0=1,"Permanent ID missing - reconcile",IF(AND(ISNUMBER(H389),H389/G389&gt;='Score settings'!$B$58,NOT(ISNUMBER(I389))),"Benefit units need review",IF(OR(R389="EXIT",R389="CHALLENGE"),"Waste decision requires scope resolution",IF("Name and organisation matched"&lt;&gt;"Name and organisation matched","Waste evidence match needs review","Provisional source score - confirm evidence"))))))</x:f>
        <x:v>Provisional source score - confirm evidence</x:v>
      </x:c>
      <x:c r="AL389" s="36" t="n">
        <x:v>20</x:v>
      </x:c>
      <x:c r="AM389" s="40"/>
      <x:c r="AN389" s="39"/>
      <x:c r="AO389" s="40"/>
      <x:c r="AP389" s="40"/>
    </x:row>
    <x:row r="390" ht="15" hidden="0" customHeight="1">
      <x:c r="A390" s="36" t="str">
        <x:v>EW-68</x:v>
      </x:c>
      <x:c r="B390" s="37" t="str">
        <x:v>Veeva Program (@investor - Evidence &amp;  Claims Management)</x:v>
      </x:c>
      <x:c r="C390" s="36" t="str">
        <x:v>EW</x:v>
      </x:c>
      <x:c r="D390" s="36" t="str">
        <x:v>Medical Office</x:v>
      </x:c>
      <x:c r="E390" s="38" t="n">
        <x:v>0.725</x:v>
      </x:c>
      <x:c r="F390" s="39"/>
      <x:c r="G390" s="38" t="n">
        <x:f>IF(ISNUMBER(F390),F390,IF(E390="","",E390))</x:f>
        <x:v>0.725</x:v>
      </x:c>
      <x:c r="H390" s="38" t="n">
        <x:v>9.464</x:v>
      </x:c>
      <x:c r="I390" s="39"/>
      <x:c r="J390" s="36" t="str">
        <x:v>Risk exposure</x:v>
      </x:c>
      <x:c r="K390" s="38" t="str">
        <x:f>IF(ISNUMBER(I390),I390,IF(OR(NOT(ISNUMBER(H390)),NOT(ISNUMBER(G390)),G390&lt;=0),"",IF(H390/G390&gt;='Score settings'!$B$58,"",IF(J390="Cash savings",H390,IF(J390="Revenue",H390*'Score settings'!$B$55,"")))))</x:f>
      </x:c>
      <x:c r="L390" s="36" t="n">
        <x:v>4</x:v>
      </x:c>
      <x:c r="M390" s="39"/>
      <x:c r="N390" s="40"/>
      <x:c r="O390" s="36" t="str">
        <x:v>Must Do</x:v>
      </x:c>
      <x:c r="P390" s="36" t="str">
        <x:v>LFR</x:v>
      </x:c>
      <x:c r="Q390" s="36" t="str">
        <x:v>Compliance</x:v>
      </x:c>
      <x:c r="R390" s="36" t="str">
        <x:v>HEALTHY</x:v>
      </x:c>
      <x:c r="S390" s="36" t="str">
        <x:v>YES</x:v>
      </x:c>
      <x:c r="T390" s="36" t="str">
        <x:v>LFR validated candidate</x:v>
      </x:c>
      <x:c r="U390" s="41" t="n">
        <x:f>VLOOKUP("Priority|"&amp;O390,'Score settings'!$A$14:$C$43,2,FALSE)/'Score settings'!$B$4*'Score settings'!$C$4</x:f>
        <x:v>25</x:v>
      </x:c>
      <x:c r="V390" s="41" t="n">
        <x:f>VLOOKUP("Category|"&amp;P390,'Score settings'!$A$14:$C$43,2,FALSE)/'Score settings'!$B$5*'Score settings'!$C$5</x:f>
        <x:v>20</x:v>
      </x:c>
      <x:c r="W390" s="41" t="n">
        <x:f>VLOOKUP("Area|"&amp;Q390,'Score settings'!$A$14:$C$43,2,FALSE)/'Score settings'!$B$6*'Score settings'!$C$6</x:f>
        <x:v>15</x:v>
      </x:c>
      <x:c r="X390" s="41" t="n">
        <x:f>VLOOKUP("Benefits|"&amp;IF(AND(ISNUMBER(H390),H390&gt;0,ISNUMBER(G390),G390&gt;0),IF(H390/G390&gt;='Score settings'!$E$17,"3plus",IF(H390/G390&gt;='Score settings'!$E$16,"1.5to3",IF(H390/G390&gt;='Score settings'!$E$15,"0.5to1.5","positive"))),"None"),'Score settings'!$A$14:$C$43,2,FALSE)/'Score settings'!$B$7*'Score settings'!$C$7</x:f>
        <x:v>25</x:v>
      </x:c>
      <x:c r="Y390" s="41" t="n">
        <x:f>VLOOKUP("Waste|"&amp;R390,'Score settings'!$A$14:$C$43,2,FALSE)/'Score settings'!$B$8*'Score settings'!$C$8</x:f>
        <x:v>15</x:v>
      </x:c>
      <x:c r="Z390" s="41" t="n">
        <x:f>IF(B390="","",SUM(U390:Y390))</x:f>
        <x:v>100</x:v>
      </x:c>
      <x:c r="AA390" s="41" t="str">
        <x:f>IF(Z390="","Not scored",VLOOKUP(Z390,'Score settings'!$A$47:$C$50,2,TRUE))</x:f>
        <x:v>Protected</x:v>
      </x:c>
      <x:c r="AB390" s="41" t="n">
        <x:f>VLOOKUP("Priority|"&amp;O390,'Score settings'!$A$14:$C$43,3,FALSE)/'Score settings'!$B$4*'Score settings'!$D$4</x:f>
        <x:v>15</x:v>
      </x:c>
      <x:c r="AC390" s="41" t="n">
        <x:f>VLOOKUP("Category|"&amp;P390,'Score settings'!$A$14:$C$43,3,FALSE)/'Score settings'!$B$5*'Score settings'!$D$5</x:f>
        <x:v>10</x:v>
      </x:c>
      <x:c r="AD390" s="41" t="n">
        <x:f>VLOOKUP("Area|"&amp;Q390,'Score settings'!$A$14:$C$43,3,FALSE)/'Score settings'!$B$6*'Score settings'!$D$6</x:f>
        <x:v>10</x:v>
      </x:c>
      <x:c r="AE390" s="41" t="n">
        <x:f>VLOOKUP("Benefits|"&amp;IF(AND(ISNUMBER(K390),K390&gt;0,ISNUMBER(G390),G390&gt;0),IF(K390/G390&gt;='Score settings'!$E$17,"3plus",IF(K390/G390&gt;='Score settings'!$E$16,"1.5to3",IF(K390/G390&gt;='Score settings'!$E$15,"0.5to1.5","positive"))),"None"),'Score settings'!$A$14:$C$43,3,FALSE)/'Score settings'!$B$7*'Score settings'!$D$7</x:f>
        <x:v>0</x:v>
      </x:c>
      <x:c r="AF390" s="41" t="n">
        <x:f>VLOOKUP("Waste|"&amp;R390,'Score settings'!$A$14:$C$43,3,FALSE)/'Score settings'!$B$8*'Score settings'!$D$8</x:f>
        <x:v>10</x:v>
      </x:c>
      <x:c r="AG390" s="41" t="n">
        <x:f>(IF(AND(ISNUMBER(M390),M390&gt;0,ISNUMBER(G390),G390&gt;0),IF(M390/G390&gt;='Score settings'!$E$17,'Score settings'!$G$17,IF(M390/G390&gt;='Score settings'!$E$16,'Score settings'!$G$16,IF(M390/G390&gt;='Score settings'!$E$15,'Score settings'!$G$15,'Score settings'!$G$14))),0)/15*'Score settings'!$B$60+IFERROR(VLOOKUP(IF(ISNUMBER(N390),N390,IF(ISNUMBER(L390),L390,0)),'Score settings'!$E$22:$F$26,2,FALSE),0)/10*'Score settings'!$B$61)/'Score settings'!$B$9*'Score settings'!$D$9</x:f>
        <x:v>8</x:v>
      </x:c>
      <x:c r="AH390" s="41" t="n">
        <x:f>IF(B390="","",SUM(AB390:AG390))</x:f>
        <x:v>53</x:v>
      </x:c>
      <x:c r="AI390" s="41" t="str">
        <x:f>IF(NOT(ISNUMBER(AH390)),"Not scored",VLOOKUP(AH390,'Score settings'!$A$47:$C$50,3,TRUE))</x:f>
        <x:v>Strong</x:v>
      </x:c>
      <x:c r="AJ390" s="42" t="str">
        <x:f>IF(OR(NOT(ISNUMBER(AH390)),T390&lt;&gt;"Common pot"),"",COUNTIFS($T$4:$T$509,"Common pot",$AH$4:$AH$509,"&gt;"&amp;AH390)+1)</x:f>
      </x:c>
      <x:c r="AK390" s="36" t="str">
        <x:f>IF(B390="","Name missing - not scored",IF(OR(NOT(ISNUMBER(G390)),G390&lt;=0),"Investment missing or zero - review",IF(0=1,"Permanent ID missing - reconcile",IF(AND(ISNUMBER(H390),H390/G390&gt;='Score settings'!$B$58,NOT(ISNUMBER(I390))),"Benefit units need review",IF(OR(R390="EXIT",R390="CHALLENGE"),"Waste decision requires scope resolution",IF("Name and organisation matched"&lt;&gt;"Name and organisation matched","Waste evidence match needs review","Provisional source score - confirm evidence"))))))</x:f>
        <x:v>Provisional source score - confirm evidence</x:v>
      </x:c>
      <x:c r="AL390" s="36" t="n">
        <x:v>20</x:v>
      </x:c>
      <x:c r="AM390" s="40"/>
      <x:c r="AN390" s="39"/>
      <x:c r="AO390" s="40"/>
      <x:c r="AP390" s="40"/>
    </x:row>
    <x:row r="391" ht="15" hidden="0" customHeight="1">
      <x:c r="A391" s="36" t="str">
        <x:v>EW-69</x:v>
      </x:c>
      <x:c r="B391" s="37" t="str">
        <x:v>eClinical Platform - Compliance &amp; Sustain</x:v>
      </x:c>
      <x:c r="C391" s="36" t="str">
        <x:v>EW</x:v>
      </x:c>
      <x:c r="D391" s="36" t="str">
        <x:v>Medical Office</x:v>
      </x:c>
      <x:c r="E391" s="38" t="n">
        <x:v>0.35</x:v>
      </x:c>
      <x:c r="F391" s="39"/>
      <x:c r="G391" s="38" t="n">
        <x:f>IF(ISNUMBER(F391),F391,IF(E391="","",E391))</x:f>
        <x:v>0.35</x:v>
      </x:c>
      <x:c r="H391" s="38" t="n">
        <x:v>3.9</x:v>
      </x:c>
      <x:c r="I391" s="39"/>
      <x:c r="J391" s="36" t="str">
        <x:v>Risk exposure</x:v>
      </x:c>
      <x:c r="K391" s="38" t="str">
        <x:f>IF(ISNUMBER(I391),I391,IF(OR(NOT(ISNUMBER(H391)),NOT(ISNUMBER(G391)),G391&lt;=0),"",IF(H391/G391&gt;='Score settings'!$B$58,"",IF(J391="Cash savings",H391,IF(J391="Revenue",H391*'Score settings'!$B$55,"")))))</x:f>
      </x:c>
      <x:c r="L391" s="36" t="n">
        <x:v>5</x:v>
      </x:c>
      <x:c r="M391" s="39"/>
      <x:c r="N391" s="40"/>
      <x:c r="O391" s="36" t="str">
        <x:v>Must Do</x:v>
      </x:c>
      <x:c r="P391" s="36" t="str">
        <x:v>LFR</x:v>
      </x:c>
      <x:c r="Q391" s="36" t="str">
        <x:v>Compliance</x:v>
      </x:c>
      <x:c r="R391" s="36" t="str">
        <x:v>HEALTHY</x:v>
      </x:c>
      <x:c r="S391" s="36" t="str">
        <x:v>YES</x:v>
      </x:c>
      <x:c r="T391" s="36" t="str">
        <x:v>LFR validated candidate</x:v>
      </x:c>
      <x:c r="U391" s="41" t="n">
        <x:f>VLOOKUP("Priority|"&amp;O391,'Score settings'!$A$14:$C$43,2,FALSE)/'Score settings'!$B$4*'Score settings'!$C$4</x:f>
        <x:v>25</x:v>
      </x:c>
      <x:c r="V391" s="41" t="n">
        <x:f>VLOOKUP("Category|"&amp;P391,'Score settings'!$A$14:$C$43,2,FALSE)/'Score settings'!$B$5*'Score settings'!$C$5</x:f>
        <x:v>20</x:v>
      </x:c>
      <x:c r="W391" s="41" t="n">
        <x:f>VLOOKUP("Area|"&amp;Q391,'Score settings'!$A$14:$C$43,2,FALSE)/'Score settings'!$B$6*'Score settings'!$C$6</x:f>
        <x:v>15</x:v>
      </x:c>
      <x:c r="X391" s="41" t="n">
        <x:f>VLOOKUP("Benefits|"&amp;IF(AND(ISNUMBER(H391),H391&gt;0,ISNUMBER(G391),G391&gt;0),IF(H391/G391&gt;='Score settings'!$E$17,"3plus",IF(H391/G391&gt;='Score settings'!$E$16,"1.5to3",IF(H391/G391&gt;='Score settings'!$E$15,"0.5to1.5","positive"))),"None"),'Score settings'!$A$14:$C$43,2,FALSE)/'Score settings'!$B$7*'Score settings'!$C$7</x:f>
        <x:v>25</x:v>
      </x:c>
      <x:c r="Y391" s="41" t="n">
        <x:f>VLOOKUP("Waste|"&amp;R391,'Score settings'!$A$14:$C$43,2,FALSE)/'Score settings'!$B$8*'Score settings'!$C$8</x:f>
        <x:v>15</x:v>
      </x:c>
      <x:c r="Z391" s="41" t="n">
        <x:f>IF(B391="","",SUM(U391:Y391))</x:f>
        <x:v>100</x:v>
      </x:c>
      <x:c r="AA391" s="41" t="str">
        <x:f>IF(Z391="","Not scored",VLOOKUP(Z391,'Score settings'!$A$47:$C$50,2,TRUE))</x:f>
        <x:v>Protected</x:v>
      </x:c>
      <x:c r="AB391" s="41" t="n">
        <x:f>VLOOKUP("Priority|"&amp;O391,'Score settings'!$A$14:$C$43,3,FALSE)/'Score settings'!$B$4*'Score settings'!$D$4</x:f>
        <x:v>15</x:v>
      </x:c>
      <x:c r="AC391" s="41" t="n">
        <x:f>VLOOKUP("Category|"&amp;P391,'Score settings'!$A$14:$C$43,3,FALSE)/'Score settings'!$B$5*'Score settings'!$D$5</x:f>
        <x:v>10</x:v>
      </x:c>
      <x:c r="AD391" s="41" t="n">
        <x:f>VLOOKUP("Area|"&amp;Q391,'Score settings'!$A$14:$C$43,3,FALSE)/'Score settings'!$B$6*'Score settings'!$D$6</x:f>
        <x:v>10</x:v>
      </x:c>
      <x:c r="AE391" s="41" t="n">
        <x:f>VLOOKUP("Benefits|"&amp;IF(AND(ISNUMBER(K391),K391&gt;0,ISNUMBER(G391),G391&gt;0),IF(K391/G391&gt;='Score settings'!$E$17,"3plus",IF(K391/G391&gt;='Score settings'!$E$16,"1.5to3",IF(K391/G391&gt;='Score settings'!$E$15,"0.5to1.5","positive"))),"None"),'Score settings'!$A$14:$C$43,3,FALSE)/'Score settings'!$B$7*'Score settings'!$D$7</x:f>
        <x:v>0</x:v>
      </x:c>
      <x:c r="AF391" s="41" t="n">
        <x:f>VLOOKUP("Waste|"&amp;R391,'Score settings'!$A$14:$C$43,3,FALSE)/'Score settings'!$B$8*'Score settings'!$D$8</x:f>
        <x:v>10</x:v>
      </x:c>
      <x:c r="AG391" s="41" t="n">
        <x:f>(IF(AND(ISNUMBER(M391),M391&gt;0,ISNUMBER(G391),G391&gt;0),IF(M391/G391&gt;='Score settings'!$E$17,'Score settings'!$G$17,IF(M391/G391&gt;='Score settings'!$E$16,'Score settings'!$G$16,IF(M391/G391&gt;='Score settings'!$E$15,'Score settings'!$G$15,'Score settings'!$G$14))),0)/15*'Score settings'!$B$60+IFERROR(VLOOKUP(IF(ISNUMBER(N391),N391,IF(ISNUMBER(L391),L391,0)),'Score settings'!$E$22:$F$26,2,FALSE),0)/10*'Score settings'!$B$61)/'Score settings'!$B$9*'Score settings'!$D$9</x:f>
        <x:v>10</x:v>
      </x:c>
      <x:c r="AH391" s="41" t="n">
        <x:f>IF(B391="","",SUM(AB391:AG391))</x:f>
        <x:v>55</x:v>
      </x:c>
      <x:c r="AI391" s="41" t="str">
        <x:f>IF(NOT(ISNUMBER(AH391)),"Not scored",VLOOKUP(AH391,'Score settings'!$A$47:$C$50,3,TRUE))</x:f>
        <x:v>Strong</x:v>
      </x:c>
      <x:c r="AJ391" s="42" t="str">
        <x:f>IF(OR(NOT(ISNUMBER(AH391)),T391&lt;&gt;"Common pot"),"",COUNTIFS($T$4:$T$509,"Common pot",$AH$4:$AH$509,"&gt;"&amp;AH391)+1)</x:f>
      </x:c>
      <x:c r="AK391" s="36" t="str">
        <x:f>IF(B391="","Name missing - not scored",IF(OR(NOT(ISNUMBER(G391)),G391&lt;=0),"Investment missing or zero - review",IF(0=1,"Permanent ID missing - reconcile",IF(AND(ISNUMBER(H391),H391/G391&gt;='Score settings'!$B$58,NOT(ISNUMBER(I391))),"Benefit units need review",IF(OR(R391="EXIT",R391="CHALLENGE"),"Waste decision requires scope resolution",IF("Name and organisation matched"&lt;&gt;"Name and organisation matched","Waste evidence match needs review","Provisional source score - confirm evidence"))))))</x:f>
        <x:v>Provisional source score - confirm evidence</x:v>
      </x:c>
      <x:c r="AL391" s="36" t="n">
        <x:v>25</x:v>
      </x:c>
      <x:c r="AM391" s="40"/>
      <x:c r="AN391" s="39"/>
      <x:c r="AO391" s="40"/>
      <x:c r="AP391" s="40"/>
    </x:row>
    <x:row r="392" ht="15" hidden="0" customHeight="1">
      <x:c r="A392" s="36" t="str">
        <x:v>EW-70</x:v>
      </x:c>
      <x:c r="B392" s="37" t="str">
        <x:v>AI Big Bets - Clinical &amp; Medical Affairs, Medical Safety, and HEMAR</x:v>
      </x:c>
      <x:c r="C392" s="36" t="str">
        <x:v>EW</x:v>
      </x:c>
      <x:c r="D392" s="36" t="str">
        <x:v>Medical Office</x:v>
      </x:c>
      <x:c r="E392" s="38" t="n">
        <x:v>0.3</x:v>
      </x:c>
      <x:c r="F392" s="39"/>
      <x:c r="G392" s="38" t="n">
        <x:f>IF(ISNUMBER(F392),F392,IF(E392="","",E392))</x:f>
        <x:v>0.3</x:v>
      </x:c>
      <x:c r="H392" s="38" t="n">
        <x:v>1.5</x:v>
      </x:c>
      <x:c r="I392" s="39"/>
      <x:c r="J392" s="36" t="str">
        <x:v>Cash savings</x:v>
      </x:c>
      <x:c r="K392" s="38" t="n">
        <x:f>IF(ISNUMBER(I392),I392,IF(OR(NOT(ISNUMBER(H392)),NOT(ISNUMBER(G392)),G392&lt;=0),"",IF(H392/G392&gt;='Score settings'!$B$58,"",IF(J392="Cash savings",H392,IF(J392="Revenue",H392*'Score settings'!$B$55,"")))))</x:f>
        <x:v>1.5</x:v>
      </x:c>
      <x:c r="L392" s="36"/>
      <x:c r="M392" s="39"/>
      <x:c r="N392" s="40"/>
      <x:c r="O392" s="36" t="str">
        <x:v>Must Do</x:v>
      </x:c>
      <x:c r="P392" s="36" t="str">
        <x:v>AI</x:v>
      </x:c>
      <x:c r="Q392" s="36" t="str">
        <x:v>Productivity</x:v>
      </x:c>
      <x:c r="R392" s="36" t="str">
        <x:v>HEALTHY</x:v>
      </x:c>
      <x:c r="S392" s="36" t="str"/>
      <x:c r="T392" s="36" t="str">
        <x:v>Common pot</x:v>
      </x:c>
      <x:c r="U392" s="41" t="n">
        <x:f>VLOOKUP("Priority|"&amp;O392,'Score settings'!$A$14:$C$43,2,FALSE)/'Score settings'!$B$4*'Score settings'!$C$4</x:f>
        <x:v>25</x:v>
      </x:c>
      <x:c r="V392" s="41" t="n">
        <x:f>VLOOKUP("Category|"&amp;P392,'Score settings'!$A$14:$C$43,2,FALSE)/'Score settings'!$B$5*'Score settings'!$C$5</x:f>
        <x:v>16</x:v>
      </x:c>
      <x:c r="W392" s="41" t="n">
        <x:f>VLOOKUP("Area|"&amp;Q392,'Score settings'!$A$14:$C$43,2,FALSE)/'Score settings'!$B$6*'Score settings'!$C$6</x:f>
        <x:v>10</x:v>
      </x:c>
      <x:c r="X392" s="41" t="n">
        <x:f>VLOOKUP("Benefits|"&amp;IF(AND(ISNUMBER(H392),H392&gt;0,ISNUMBER(G392),G392&gt;0),IF(H392/G392&gt;='Score settings'!$E$17,"3plus",IF(H392/G392&gt;='Score settings'!$E$16,"1.5to3",IF(H392/G392&gt;='Score settings'!$E$15,"0.5to1.5","positive"))),"None"),'Score settings'!$A$14:$C$43,2,FALSE)/'Score settings'!$B$7*'Score settings'!$C$7</x:f>
        <x:v>25</x:v>
      </x:c>
      <x:c r="Y392" s="41" t="n">
        <x:f>VLOOKUP("Waste|"&amp;R392,'Score settings'!$A$14:$C$43,2,FALSE)/'Score settings'!$B$8*'Score settings'!$C$8</x:f>
        <x:v>15</x:v>
      </x:c>
      <x:c r="Z392" s="41" t="n">
        <x:f>IF(B392="","",SUM(U392:Y392))</x:f>
        <x:v>91</x:v>
      </x:c>
      <x:c r="AA392" s="41" t="str">
        <x:f>IF(Z392="","Not scored",VLOOKUP(Z392,'Score settings'!$A$47:$C$50,2,TRUE))</x:f>
        <x:v>Protected</x:v>
      </x:c>
      <x:c r="AB392" s="41" t="n">
        <x:f>VLOOKUP("Priority|"&amp;O392,'Score settings'!$A$14:$C$43,3,FALSE)/'Score settings'!$B$4*'Score settings'!$D$4</x:f>
        <x:v>15</x:v>
      </x:c>
      <x:c r="AC392" s="41" t="n">
        <x:f>VLOOKUP("Category|"&amp;P392,'Score settings'!$A$14:$C$43,3,FALSE)/'Score settings'!$B$5*'Score settings'!$D$5</x:f>
        <x:v>8</x:v>
      </x:c>
      <x:c r="AD392" s="41" t="n">
        <x:f>VLOOKUP("Area|"&amp;Q392,'Score settings'!$A$14:$C$43,3,FALSE)/'Score settings'!$B$6*'Score settings'!$D$6</x:f>
        <x:v>6.666666666666666</x:v>
      </x:c>
      <x:c r="AE392" s="41" t="n">
        <x:f>VLOOKUP("Benefits|"&amp;IF(AND(ISNUMBER(K392),K392&gt;0,ISNUMBER(G392),G392&gt;0),IF(K392/G392&gt;='Score settings'!$E$17,"3plus",IF(K392/G392&gt;='Score settings'!$E$16,"1.5to3",IF(K392/G392&gt;='Score settings'!$E$15,"0.5to1.5","positive"))),"None"),'Score settings'!$A$14:$C$43,3,FALSE)/'Score settings'!$B$7*'Score settings'!$D$7</x:f>
        <x:v>30</x:v>
      </x:c>
      <x:c r="AF392" s="41" t="n">
        <x:f>VLOOKUP("Waste|"&amp;R392,'Score settings'!$A$14:$C$43,3,FALSE)/'Score settings'!$B$8*'Score settings'!$D$8</x:f>
        <x:v>10</x:v>
      </x:c>
      <x:c r="AG392" s="41" t="n">
        <x:f>(IF(AND(ISNUMBER(M392),M392&gt;0,ISNUMBER(G392),G392&gt;0),IF(M392/G392&gt;='Score settings'!$E$17,'Score settings'!$G$17,IF(M392/G392&gt;='Score settings'!$E$16,'Score settings'!$G$16,IF(M392/G392&gt;='Score settings'!$E$15,'Score settings'!$G$15,'Score settings'!$G$14))),0)/15*'Score settings'!$B$60+IFERROR(VLOOKUP(IF(ISNUMBER(N392),N392,IF(ISNUMBER(L392),L392,0)),'Score settings'!$E$22:$F$26,2,FALSE),0)/10*'Score settings'!$B$61)/'Score settings'!$B$9*'Score settings'!$D$9</x:f>
        <x:v>0</x:v>
      </x:c>
      <x:c r="AH392" s="41" t="n">
        <x:f>IF(B392="","",SUM(AB392:AG392))</x:f>
        <x:v>69.66666666666666</x:v>
      </x:c>
      <x:c r="AI392" s="41" t="str">
        <x:f>IF(NOT(ISNUMBER(AH392)),"Not scored",VLOOKUP(AH392,'Score settings'!$A$47:$C$50,3,TRUE))</x:f>
        <x:v>High alignment</x:v>
      </x:c>
      <x:c r="AJ392" s="42" t="n">
        <x:f>IF(OR(NOT(ISNUMBER(AH392)),T392&lt;&gt;"Common pot"),"",COUNTIFS($T$4:$T$509,"Common pot",$AH$4:$AH$509,"&gt;"&amp;AH392)+1)</x:f>
        <x:v>2</x:v>
      </x:c>
      <x:c r="AK392" s="36" t="str">
        <x:f>IF(B392="","Name missing - not scored",IF(OR(NOT(ISNUMBER(G392)),G392&lt;=0),"Investment missing or zero - review",IF(0=1,"Permanent ID missing - reconcile",IF(AND(ISNUMBER(H392),H392/G392&gt;='Score settings'!$B$58,NOT(ISNUMBER(I392))),"Benefit units need review",IF(OR(R392="EXIT",R392="CHALLENGE"),"Waste decision requires scope resolution",IF("Name and organisation matched"&lt;&gt;"Name and organisation matched","Waste evidence match needs review","Provisional source score - confirm evidence"))))))</x:f>
        <x:v>Provisional source score - confirm evidence</x:v>
      </x:c>
      <x:c r="AL392" s="36"/>
      <x:c r="AM392" s="40"/>
      <x:c r="AN392" s="39"/>
      <x:c r="AO392" s="40"/>
      <x:c r="AP392" s="40"/>
    </x:row>
    <x:row r="393" ht="15" hidden="0" customHeight="1">
      <x:c r="A393" s="36" t="str">
        <x:v>EW-71</x:v>
      </x:c>
      <x:c r="B393" s="37" t="str">
        <x:v>FIN-CCB - Finance</x:v>
      </x:c>
      <x:c r="C393" s="36" t="str">
        <x:v>EW</x:v>
      </x:c>
      <x:c r="D393" s="36" t="str">
        <x:v>Finance​</x:v>
      </x:c>
      <x:c r="E393" s="38" t="n">
        <x:v>6.225</x:v>
      </x:c>
      <x:c r="F393" s="39"/>
      <x:c r="G393" s="38" t="n">
        <x:f>IF(ISNUMBER(F393),F393,IF(E393="","",E393))</x:f>
        <x:v>6.225</x:v>
      </x:c>
      <x:c r="H393" s="38"/>
      <x:c r="I393" s="39"/>
      <x:c r="J393" s="36" t="str">
        <x:v>Risk exposure</x:v>
      </x:c>
      <x:c r="K393" s="38" t="str">
        <x:f>IF(ISNUMBER(I393),I393,IF(OR(NOT(ISNUMBER(H393)),NOT(ISNUMBER(G393)),G393&lt;=0),"",IF(H393/G393&gt;='Score settings'!$B$58,"",IF(J393="Cash savings",H393,IF(J393="Revenue",H393*'Score settings'!$B$55,"")))))</x:f>
      </x:c>
      <x:c r="L393" s="36"/>
      <x:c r="M393" s="39"/>
      <x:c r="N393" s="40"/>
      <x:c r="O393" s="36" t="str">
        <x:v>Must Do</x:v>
      </x:c>
      <x:c r="P393" s="36" t="str">
        <x:v>LFR</x:v>
      </x:c>
      <x:c r="Q393" s="36" t="str">
        <x:v>Compliance</x:v>
      </x:c>
      <x:c r="R393" s="36" t="str">
        <x:v>NotAssessed</x:v>
      </x:c>
      <x:c r="S393" s="36" t="str"/>
      <x:c r="T393" s="36" t="str">
        <x:v>Change and Sustain candidate</x:v>
      </x:c>
      <x:c r="U393" s="41" t="n">
        <x:f>VLOOKUP("Priority|"&amp;O393,'Score settings'!$A$14:$C$43,2,FALSE)/'Score settings'!$B$4*'Score settings'!$C$4</x:f>
        <x:v>25</x:v>
      </x:c>
      <x:c r="V393" s="41" t="n">
        <x:f>VLOOKUP("Category|"&amp;P393,'Score settings'!$A$14:$C$43,2,FALSE)/'Score settings'!$B$5*'Score settings'!$C$5</x:f>
        <x:v>20</x:v>
      </x:c>
      <x:c r="W393" s="41" t="n">
        <x:f>VLOOKUP("Area|"&amp;Q393,'Score settings'!$A$14:$C$43,2,FALSE)/'Score settings'!$B$6*'Score settings'!$C$6</x:f>
        <x:v>15</x:v>
      </x:c>
      <x:c r="X393" s="41" t="n">
        <x:f>VLOOKUP("Benefits|"&amp;IF(AND(ISNUMBER(H393),H393&gt;0,ISNUMBER(G393),G393&gt;0),IF(H393/G393&gt;='Score settings'!$E$17,"3plus",IF(H393/G393&gt;='Score settings'!$E$16,"1.5to3",IF(H393/G393&gt;='Score settings'!$E$15,"0.5to1.5","positive"))),"None"),'Score settings'!$A$14:$C$43,2,FALSE)/'Score settings'!$B$7*'Score settings'!$C$7</x:f>
        <x:v>5</x:v>
      </x:c>
      <x:c r="Y393" s="41" t="n">
        <x:f>VLOOKUP("Waste|"&amp;R393,'Score settings'!$A$14:$C$43,2,FALSE)/'Score settings'!$B$8*'Score settings'!$C$8</x:f>
        <x:v>7</x:v>
      </x:c>
      <x:c r="Z393" s="41" t="n">
        <x:f>IF(B393="","",SUM(U393:Y393))</x:f>
        <x:v>72</x:v>
      </x:c>
      <x:c r="AA393" s="41" t="str">
        <x:f>IF(Z393="","Not scored",VLOOKUP(Z393,'Score settings'!$A$47:$C$50,2,TRUE))</x:f>
        <x:v>Protected</x:v>
      </x:c>
      <x:c r="AB393" s="41" t="n">
        <x:f>VLOOKUP("Priority|"&amp;O393,'Score settings'!$A$14:$C$43,3,FALSE)/'Score settings'!$B$4*'Score settings'!$D$4</x:f>
        <x:v>15</x:v>
      </x:c>
      <x:c r="AC393" s="41" t="n">
        <x:f>VLOOKUP("Category|"&amp;P393,'Score settings'!$A$14:$C$43,3,FALSE)/'Score settings'!$B$5*'Score settings'!$D$5</x:f>
        <x:v>10</x:v>
      </x:c>
      <x:c r="AD393" s="41" t="n">
        <x:f>VLOOKUP("Area|"&amp;Q393,'Score settings'!$A$14:$C$43,3,FALSE)/'Score settings'!$B$6*'Score settings'!$D$6</x:f>
        <x:v>10</x:v>
      </x:c>
      <x:c r="AE393" s="41" t="n">
        <x:f>VLOOKUP("Benefits|"&amp;IF(AND(ISNUMBER(K393),K393&gt;0,ISNUMBER(G393),G393&gt;0),IF(K393/G393&gt;='Score settings'!$E$17,"3plus",IF(K393/G393&gt;='Score settings'!$E$16,"1.5to3",IF(K393/G393&gt;='Score settings'!$E$15,"0.5to1.5","positive"))),"None"),'Score settings'!$A$14:$C$43,3,FALSE)/'Score settings'!$B$7*'Score settings'!$D$7</x:f>
        <x:v>0</x:v>
      </x:c>
      <x:c r="AF393" s="41" t="n">
        <x:f>VLOOKUP("Waste|"&amp;R393,'Score settings'!$A$14:$C$43,3,FALSE)/'Score settings'!$B$8*'Score settings'!$D$8</x:f>
        <x:v>0</x:v>
      </x:c>
      <x:c r="AG393" s="41" t="n">
        <x:f>(IF(AND(ISNUMBER(M393),M393&gt;0,ISNUMBER(G393),G393&gt;0),IF(M393/G393&gt;='Score settings'!$E$17,'Score settings'!$G$17,IF(M393/G393&gt;='Score settings'!$E$16,'Score settings'!$G$16,IF(M393/G393&gt;='Score settings'!$E$15,'Score settings'!$G$15,'Score settings'!$G$14))),0)/15*'Score settings'!$B$60+IFERROR(VLOOKUP(IF(ISNUMBER(N393),N393,IF(ISNUMBER(L393),L393,0)),'Score settings'!$E$22:$F$26,2,FALSE),0)/10*'Score settings'!$B$61)/'Score settings'!$B$9*'Score settings'!$D$9</x:f>
        <x:v>0</x:v>
      </x:c>
      <x:c r="AH393" s="41" t="n">
        <x:f>IF(B393="","",SUM(AB393:AG393))</x:f>
        <x:v>35</x:v>
      </x:c>
      <x:c r="AI393" s="41" t="str">
        <x:f>IF(NOT(ISNUMBER(AH393)),"Not scored",VLOOKUP(AH393,'Score settings'!$A$47:$C$50,3,TRUE))</x:f>
        <x:v>Discretionary</x:v>
      </x:c>
      <x:c r="AJ393" s="42" t="str">
        <x:f>IF(OR(NOT(ISNUMBER(AH393)),T393&lt;&gt;"Common pot"),"",COUNTIFS($T$4:$T$509,"Common pot",$AH$4:$AH$509,"&gt;"&amp;AH393)+1)</x:f>
      </x:c>
      <x:c r="AK393" s="36" t="str">
        <x:f>IF(B393="","Name missing - not scored",IF(OR(NOT(ISNUMBER(G393)),G393&lt;=0),"Investment missing or zero - review",IF(0=1,"Permanent ID missing - reconcile",IF(AND(ISNUMBER(H393),H393/G393&gt;='Score settings'!$B$58,NOT(ISNUMBER(I393))),"Benefit units need review",IF(OR(R393="EXIT",R393="CHALLENGE"),"Waste decision requires scope resolution",IF("No exact waste match"&lt;&gt;"Name and organisation matched","Waste evidence match needs review","Provisional source score - confirm evidence"))))))</x:f>
        <x:v>Waste evidence match needs review</x:v>
      </x:c>
      <x:c r="AL393" s="36"/>
      <x:c r="AM393" s="40"/>
      <x:c r="AN393" s="39"/>
      <x:c r="AO393" s="40"/>
      <x:c r="AP393" s="40"/>
    </x:row>
    <x:row r="394" ht="15" hidden="0" customHeight="1">
      <x:c r="A394" s="36" t="str">
        <x:v>EW-72</x:v>
      </x:c>
      <x:c r="B394" s="37" t="str">
        <x:v>ARIS Process framework</x:v>
      </x:c>
      <x:c r="C394" s="36" t="str">
        <x:v>EW</x:v>
      </x:c>
      <x:c r="D394" s="36" t="str">
        <x:v>Information Technology ​</x:v>
      </x:c>
      <x:c r="E394" s="38" t="n">
        <x:v>0.4</x:v>
      </x:c>
      <x:c r="F394" s="39"/>
      <x:c r="G394" s="38" t="n">
        <x:f>IF(ISNUMBER(F394),F394,IF(E394="","",E394))</x:f>
        <x:v>0.4</x:v>
      </x:c>
      <x:c r="H394" s="38" t="n">
        <x:v>0.7</x:v>
      </x:c>
      <x:c r="I394" s="39"/>
      <x:c r="J394" s="36" t="str">
        <x:v>Cash savings</x:v>
      </x:c>
      <x:c r="K394" s="38" t="n">
        <x:f>IF(ISNUMBER(I394),I394,IF(OR(NOT(ISNUMBER(H394)),NOT(ISNUMBER(G394)),G394&lt;=0),"",IF(H394/G394&gt;='Score settings'!$B$58,"",IF(J394="Cash savings",H394,IF(J394="Revenue",H394*'Score settings'!$B$55,"")))))</x:f>
        <x:v>0.7</x:v>
      </x:c>
      <x:c r="L394" s="36" t="n">
        <x:v>5</x:v>
      </x:c>
      <x:c r="M394" s="39"/>
      <x:c r="N394" s="40"/>
      <x:c r="O394" s="36" t="str">
        <x:v>Must Do</x:v>
      </x:c>
      <x:c r="P394" s="36" t="str">
        <x:v>Decomm</x:v>
      </x:c>
      <x:c r="Q394" s="36" t="str">
        <x:v>Productivity</x:v>
      </x:c>
      <x:c r="R394" s="36" t="str">
        <x:v>HEALTHY</x:v>
      </x:c>
      <x:c r="S394" s="36" t="str">
        <x:v>YES</x:v>
      </x:c>
      <x:c r="T394" s="36" t="str">
        <x:v>LFR validated candidate</x:v>
      </x:c>
      <x:c r="U394" s="41" t="n">
        <x:f>VLOOKUP("Priority|"&amp;O394,'Score settings'!$A$14:$C$43,2,FALSE)/'Score settings'!$B$4*'Score settings'!$C$4</x:f>
        <x:v>25</x:v>
      </x:c>
      <x:c r="V394" s="41" t="n">
        <x:f>VLOOKUP("Category|"&amp;P394,'Score settings'!$A$14:$C$43,2,FALSE)/'Score settings'!$B$5*'Score settings'!$C$5</x:f>
        <x:v>17</x:v>
      </x:c>
      <x:c r="W394" s="41" t="n">
        <x:f>VLOOKUP("Area|"&amp;Q394,'Score settings'!$A$14:$C$43,2,FALSE)/'Score settings'!$B$6*'Score settings'!$C$6</x:f>
        <x:v>10</x:v>
      </x:c>
      <x:c r="X394" s="41" t="n">
        <x:f>VLOOKUP("Benefits|"&amp;IF(AND(ISNUMBER(H394),H394&gt;0,ISNUMBER(G394),G394&gt;0),IF(H394/G394&gt;='Score settings'!$E$17,"3plus",IF(H394/G394&gt;='Score settings'!$E$16,"1.5to3",IF(H394/G394&gt;='Score settings'!$E$15,"0.5to1.5","positive"))),"None"),'Score settings'!$A$14:$C$43,2,FALSE)/'Score settings'!$B$7*'Score settings'!$C$7</x:f>
        <x:v>20</x:v>
      </x:c>
      <x:c r="Y394" s="41" t="n">
        <x:f>VLOOKUP("Waste|"&amp;R394,'Score settings'!$A$14:$C$43,2,FALSE)/'Score settings'!$B$8*'Score settings'!$C$8</x:f>
        <x:v>15</x:v>
      </x:c>
      <x:c r="Z394" s="41" t="n">
        <x:f>IF(B394="","",SUM(U394:Y394))</x:f>
        <x:v>87</x:v>
      </x:c>
      <x:c r="AA394" s="41" t="str">
        <x:f>IF(Z394="","Not scored",VLOOKUP(Z394,'Score settings'!$A$47:$C$50,2,TRUE))</x:f>
        <x:v>Protected</x:v>
      </x:c>
      <x:c r="AB394" s="41" t="n">
        <x:f>VLOOKUP("Priority|"&amp;O394,'Score settings'!$A$14:$C$43,3,FALSE)/'Score settings'!$B$4*'Score settings'!$D$4</x:f>
        <x:v>15</x:v>
      </x:c>
      <x:c r="AC394" s="41" t="n">
        <x:f>VLOOKUP("Category|"&amp;P394,'Score settings'!$A$14:$C$43,3,FALSE)/'Score settings'!$B$5*'Score settings'!$D$5</x:f>
        <x:v>8.5</x:v>
      </x:c>
      <x:c r="AD394" s="41" t="n">
        <x:f>VLOOKUP("Area|"&amp;Q394,'Score settings'!$A$14:$C$43,3,FALSE)/'Score settings'!$B$6*'Score settings'!$D$6</x:f>
        <x:v>6.666666666666666</x:v>
      </x:c>
      <x:c r="AE394" s="41" t="n">
        <x:f>VLOOKUP("Benefits|"&amp;IF(AND(ISNUMBER(K394),K394&gt;0,ISNUMBER(G394),G394&gt;0),IF(K394/G394&gt;='Score settings'!$E$17,"3plus",IF(K394/G394&gt;='Score settings'!$E$16,"1.5to3",IF(K394/G394&gt;='Score settings'!$E$15,"0.5to1.5","positive"))),"None"),'Score settings'!$A$14:$C$43,3,FALSE)/'Score settings'!$B$7*'Score settings'!$D$7</x:f>
        <x:v>24</x:v>
      </x:c>
      <x:c r="AF394" s="41" t="n">
        <x:f>VLOOKUP("Waste|"&amp;R394,'Score settings'!$A$14:$C$43,3,FALSE)/'Score settings'!$B$8*'Score settings'!$D$8</x:f>
        <x:v>10</x:v>
      </x:c>
      <x:c r="AG394" s="41" t="n">
        <x:f>(IF(AND(ISNUMBER(M394),M394&gt;0,ISNUMBER(G394),G394&gt;0),IF(M394/G394&gt;='Score settings'!$E$17,'Score settings'!$G$17,IF(M394/G394&gt;='Score settings'!$E$16,'Score settings'!$G$16,IF(M394/G394&gt;='Score settings'!$E$15,'Score settings'!$G$15,'Score settings'!$G$14))),0)/15*'Score settings'!$B$60+IFERROR(VLOOKUP(IF(ISNUMBER(N394),N394,IF(ISNUMBER(L394),L394,0)),'Score settings'!$E$22:$F$26,2,FALSE),0)/10*'Score settings'!$B$61)/'Score settings'!$B$9*'Score settings'!$D$9</x:f>
        <x:v>10</x:v>
      </x:c>
      <x:c r="AH394" s="41" t="n">
        <x:f>IF(B394="","",SUM(AB394:AG394))</x:f>
        <x:v>74.16666666666666</x:v>
      </x:c>
      <x:c r="AI394" s="41" t="str">
        <x:f>IF(NOT(ISNUMBER(AH394)),"Not scored",VLOOKUP(AH394,'Score settings'!$A$47:$C$50,3,TRUE))</x:f>
        <x:v>High alignment</x:v>
      </x:c>
      <x:c r="AJ394" s="42" t="str">
        <x:f>IF(OR(NOT(ISNUMBER(AH394)),T394&lt;&gt;"Common pot"),"",COUNTIFS($T$4:$T$509,"Common pot",$AH$4:$AH$509,"&gt;"&amp;AH394)+1)</x:f>
      </x:c>
      <x:c r="AK394" s="36" t="str">
        <x:f>IF(B394="","Name missing - not scored",IF(OR(NOT(ISNUMBER(G394)),G394&lt;=0),"Investment missing or zero - review",IF(0=1,"Permanent ID missing - reconcile",IF(AND(ISNUMBER(H394),H394/G394&gt;='Score settings'!$B$58,NOT(ISNUMBER(I394))),"Benefit units need review",IF(OR(R394="EXIT",R394="CHALLENGE"),"Waste decision requires scope resolution",IF("Name and organisation matched"&lt;&gt;"Name and organisation matched","Waste evidence match needs review","Provisional source score - confirm evidence"))))))</x:f>
        <x:v>Provisional source score - confirm evidence</x:v>
      </x:c>
      <x:c r="AL394" s="36" t="n">
        <x:v>25</x:v>
      </x:c>
      <x:c r="AM394" s="40"/>
      <x:c r="AN394" s="39"/>
      <x:c r="AO394" s="40"/>
      <x:c r="AP394" s="40"/>
    </x:row>
    <x:row r="395" ht="15" hidden="0" customHeight="1">
      <x:c r="A395" s="36" t="str">
        <x:v>EW-73</x:v>
      </x:c>
      <x:c r="B395" s="37" t="str">
        <x:v>SPINE24</x:v>
      </x:c>
      <x:c r="C395" s="36" t="str">
        <x:v>EW</x:v>
      </x:c>
      <x:c r="D395" s="36" t="str">
        <x:v>Information Technology ​</x:v>
      </x:c>
      <x:c r="E395" s="38"/>
      <x:c r="F395" s="39"/>
      <x:c r="G395" s="38" t="str">
        <x:f>IF(ISNUMBER(F395),F395,IF(E395="","",E395))</x:f>
      </x:c>
      <x:c r="H395" s="38"/>
      <x:c r="I395" s="39"/>
      <x:c r="J395" s="36" t="str">
        <x:v>Unclassified</x:v>
      </x:c>
      <x:c r="K395" s="38" t="str">
        <x:f>IF(ISNUMBER(I395),I395,IF(OR(NOT(ISNUMBER(H395)),NOT(ISNUMBER(G395)),G395&lt;=0),"",IF(H395/G395&gt;='Score settings'!$B$58,"",IF(J395="Cash savings",H395,IF(J395="Revenue",H395*'Score settings'!$B$55,"")))))</x:f>
      </x:c>
      <x:c r="L395" s="36"/>
      <x:c r="M395" s="39"/>
      <x:c r="N395" s="40"/>
      <x:c r="O395" s="36" t="str">
        <x:v>Must Do</x:v>
      </x:c>
      <x:c r="P395" s="36" t="str">
        <x:v>NewTech</x:v>
      </x:c>
      <x:c r="Q395" s="36" t="str">
        <x:v>Blank</x:v>
      </x:c>
      <x:c r="R395" s="36" t="str">
        <x:v>HEALTHY</x:v>
      </x:c>
      <x:c r="S395" s="36" t="str"/>
      <x:c r="T395" s="36" t="str">
        <x:v>Common pot</x:v>
      </x:c>
      <x:c r="U395" s="41" t="n">
        <x:f>VLOOKUP("Priority|"&amp;O395,'Score settings'!$A$14:$C$43,2,FALSE)/'Score settings'!$B$4*'Score settings'!$C$4</x:f>
        <x:v>25</x:v>
      </x:c>
      <x:c r="V395" s="41" t="n">
        <x:f>VLOOKUP("Category|"&amp;P395,'Score settings'!$A$14:$C$43,2,FALSE)/'Score settings'!$B$5*'Score settings'!$C$5</x:f>
        <x:v>5</x:v>
      </x:c>
      <x:c r="W395" s="41" t="n">
        <x:f>VLOOKUP("Area|"&amp;Q395,'Score settings'!$A$14:$C$43,2,FALSE)/'Score settings'!$B$6*'Score settings'!$C$6</x:f>
        <x:v>3</x:v>
      </x:c>
      <x:c r="X395" s="41" t="n">
        <x:f>VLOOKUP("Benefits|"&amp;IF(AND(ISNUMBER(H395),H395&gt;0,ISNUMBER(G395),G395&gt;0),IF(H395/G395&gt;='Score settings'!$E$17,"3plus",IF(H395/G395&gt;='Score settings'!$E$16,"1.5to3",IF(H395/G395&gt;='Score settings'!$E$15,"0.5to1.5","positive"))),"None"),'Score settings'!$A$14:$C$43,2,FALSE)/'Score settings'!$B$7*'Score settings'!$C$7</x:f>
        <x:v>5</x:v>
      </x:c>
      <x:c r="Y395" s="41" t="n">
        <x:f>VLOOKUP("Waste|"&amp;R395,'Score settings'!$A$14:$C$43,2,FALSE)/'Score settings'!$B$8*'Score settings'!$C$8</x:f>
        <x:v>15</x:v>
      </x:c>
      <x:c r="Z395" s="41" t="n">
        <x:f>IF(B395="","",SUM(U395:Y395))</x:f>
        <x:v>53</x:v>
      </x:c>
      <x:c r="AA395" s="41" t="str">
        <x:f>IF(Z395="","Not scored",VLOOKUP(Z395,'Score settings'!$A$47:$C$50,2,TRUE))</x:f>
        <x:v>Strong</x:v>
      </x:c>
      <x:c r="AB395" s="41" t="n">
        <x:f>VLOOKUP("Priority|"&amp;O395,'Score settings'!$A$14:$C$43,3,FALSE)/'Score settings'!$B$4*'Score settings'!$D$4</x:f>
        <x:v>15</x:v>
      </x:c>
      <x:c r="AC395" s="41" t="n">
        <x:f>VLOOKUP("Category|"&amp;P395,'Score settings'!$A$14:$C$43,3,FALSE)/'Score settings'!$B$5*'Score settings'!$D$5</x:f>
        <x:v>2.5</x:v>
      </x:c>
      <x:c r="AD395" s="41" t="n">
        <x:f>VLOOKUP("Area|"&amp;Q395,'Score settings'!$A$14:$C$43,3,FALSE)/'Score settings'!$B$6*'Score settings'!$D$6</x:f>
        <x:v>0</x:v>
      </x:c>
      <x:c r="AE395" s="41" t="n">
        <x:f>VLOOKUP("Benefits|"&amp;IF(AND(ISNUMBER(K395),K395&gt;0,ISNUMBER(G395),G395&gt;0),IF(K395/G395&gt;='Score settings'!$E$17,"3plus",IF(K395/G395&gt;='Score settings'!$E$16,"1.5to3",IF(K395/G395&gt;='Score settings'!$E$15,"0.5to1.5","positive"))),"None"),'Score settings'!$A$14:$C$43,3,FALSE)/'Score settings'!$B$7*'Score settings'!$D$7</x:f>
        <x:v>0</x:v>
      </x:c>
      <x:c r="AF395" s="41" t="n">
        <x:f>VLOOKUP("Waste|"&amp;R395,'Score settings'!$A$14:$C$43,3,FALSE)/'Score settings'!$B$8*'Score settings'!$D$8</x:f>
        <x:v>10</x:v>
      </x:c>
      <x:c r="AG395" s="41" t="n">
        <x:f>(IF(AND(ISNUMBER(M395),M395&gt;0,ISNUMBER(G395),G395&gt;0),IF(M395/G395&gt;='Score settings'!$E$17,'Score settings'!$G$17,IF(M395/G395&gt;='Score settings'!$E$16,'Score settings'!$G$16,IF(M395/G395&gt;='Score settings'!$E$15,'Score settings'!$G$15,'Score settings'!$G$14))),0)/15*'Score settings'!$B$60+IFERROR(VLOOKUP(IF(ISNUMBER(N395),N395,IF(ISNUMBER(L395),L395,0)),'Score settings'!$E$22:$F$26,2,FALSE),0)/10*'Score settings'!$B$61)/'Score settings'!$B$9*'Score settings'!$D$9</x:f>
        <x:v>0</x:v>
      </x:c>
      <x:c r="AH395" s="41" t="n">
        <x:f>IF(B395="","",SUM(AB395:AG395))</x:f>
        <x:v>27.5</x:v>
      </x:c>
      <x:c r="AI395" s="41" t="str">
        <x:f>IF(NOT(ISNUMBER(AH395)),"Not scored",VLOOKUP(AH395,'Score settings'!$A$47:$C$50,3,TRUE))</x:f>
        <x:v>Discretionary</x:v>
      </x:c>
      <x:c r="AJ395" s="42" t="n">
        <x:f>IF(OR(NOT(ISNUMBER(AH395)),T395&lt;&gt;"Common pot"),"",COUNTIFS($T$4:$T$509,"Common pot",$AH$4:$AH$509,"&gt;"&amp;AH395)+1)</x:f>
        <x:v>214</x:v>
      </x:c>
      <x:c r="AK395" s="36" t="str">
        <x:f>IF(B395="","Name missing - not scored",IF(OR(NOT(ISNUMBER(G395)),G395&lt;=0),"Investment missing or zero - review",IF(0=1,"Permanent ID missing - reconcile",IF(AND(ISNUMBER(H395),H395/G395&gt;='Score settings'!$B$58,NOT(ISNUMBER(I395))),"Benefit units need review",IF(OR(R395="EXIT",R395="CHALLENGE"),"Waste decision requires scope resolution",IF("Name and organisation matched"&lt;&gt;"Name and organisation matched","Waste evidence match needs review","Provisional source score - confirm evidence"))))))</x:f>
        <x:v>Investment missing or zero - review</x:v>
      </x:c>
      <x:c r="AL395" s="36"/>
      <x:c r="AM395" s="40"/>
      <x:c r="AN395" s="39"/>
      <x:c r="AO395" s="40"/>
      <x:c r="AP395" s="40"/>
    </x:row>
    <x:row r="396" ht="15" hidden="0" customHeight="1">
      <x:c r="A396" s="36" t="str">
        <x:v>EW-74</x:v>
      </x:c>
      <x:c r="B396" s="37" t="str">
        <x:v>Future MES</x:v>
      </x:c>
      <x:c r="C396" s="36" t="str">
        <x:v>EW</x:v>
      </x:c>
      <x:c r="D396" s="36" t="str">
        <x:v>Information Technology ​</x:v>
      </x:c>
      <x:c r="E396" s="38" t="n">
        <x:v>3.2</x:v>
      </x:c>
      <x:c r="F396" s="39"/>
      <x:c r="G396" s="38" t="n">
        <x:f>IF(ISNUMBER(F396),F396,IF(E396="","",E396))</x:f>
        <x:v>3.2</x:v>
      </x:c>
      <x:c r="H396" s="38"/>
      <x:c r="I396" s="39"/>
      <x:c r="J396" s="36" t="str">
        <x:v>Unclassified</x:v>
      </x:c>
      <x:c r="K396" s="38" t="str">
        <x:f>IF(ISNUMBER(I396),I396,IF(OR(NOT(ISNUMBER(H396)),NOT(ISNUMBER(G396)),G396&lt;=0),"",IF(H396/G396&gt;='Score settings'!$B$58,"",IF(J396="Cash savings",H396,IF(J396="Revenue",H396*'Score settings'!$B$55,"")))))</x:f>
      </x:c>
      <x:c r="L396" s="36"/>
      <x:c r="M396" s="39"/>
      <x:c r="N396" s="40"/>
      <x:c r="O396" s="36" t="str">
        <x:v>Must Do</x:v>
      </x:c>
      <x:c r="P396" s="36" t="str">
        <x:v>NewTech</x:v>
      </x:c>
      <x:c r="Q396" s="36" t="str">
        <x:v>Blank</x:v>
      </x:c>
      <x:c r="R396" s="36" t="str">
        <x:v>HEALTHY</x:v>
      </x:c>
      <x:c r="S396" s="36" t="str"/>
      <x:c r="T396" s="36" t="str">
        <x:v>Common pot</x:v>
      </x:c>
      <x:c r="U396" s="41" t="n">
        <x:f>VLOOKUP("Priority|"&amp;O396,'Score settings'!$A$14:$C$43,2,FALSE)/'Score settings'!$B$4*'Score settings'!$C$4</x:f>
        <x:v>25</x:v>
      </x:c>
      <x:c r="V396" s="41" t="n">
        <x:f>VLOOKUP("Category|"&amp;P396,'Score settings'!$A$14:$C$43,2,FALSE)/'Score settings'!$B$5*'Score settings'!$C$5</x:f>
        <x:v>5</x:v>
      </x:c>
      <x:c r="W396" s="41" t="n">
        <x:f>VLOOKUP("Area|"&amp;Q396,'Score settings'!$A$14:$C$43,2,FALSE)/'Score settings'!$B$6*'Score settings'!$C$6</x:f>
        <x:v>3</x:v>
      </x:c>
      <x:c r="X396" s="41" t="n">
        <x:f>VLOOKUP("Benefits|"&amp;IF(AND(ISNUMBER(H396),H396&gt;0,ISNUMBER(G396),G396&gt;0),IF(H396/G396&gt;='Score settings'!$E$17,"3plus",IF(H396/G396&gt;='Score settings'!$E$16,"1.5to3",IF(H396/G396&gt;='Score settings'!$E$15,"0.5to1.5","positive"))),"None"),'Score settings'!$A$14:$C$43,2,FALSE)/'Score settings'!$B$7*'Score settings'!$C$7</x:f>
        <x:v>5</x:v>
      </x:c>
      <x:c r="Y396" s="41" t="n">
        <x:f>VLOOKUP("Waste|"&amp;R396,'Score settings'!$A$14:$C$43,2,FALSE)/'Score settings'!$B$8*'Score settings'!$C$8</x:f>
        <x:v>15</x:v>
      </x:c>
      <x:c r="Z396" s="41" t="n">
        <x:f>IF(B396="","",SUM(U396:Y396))</x:f>
        <x:v>53</x:v>
      </x:c>
      <x:c r="AA396" s="41" t="str">
        <x:f>IF(Z396="","Not scored",VLOOKUP(Z396,'Score settings'!$A$47:$C$50,2,TRUE))</x:f>
        <x:v>Strong</x:v>
      </x:c>
      <x:c r="AB396" s="41" t="n">
        <x:f>VLOOKUP("Priority|"&amp;O396,'Score settings'!$A$14:$C$43,3,FALSE)/'Score settings'!$B$4*'Score settings'!$D$4</x:f>
        <x:v>15</x:v>
      </x:c>
      <x:c r="AC396" s="41" t="n">
        <x:f>VLOOKUP("Category|"&amp;P396,'Score settings'!$A$14:$C$43,3,FALSE)/'Score settings'!$B$5*'Score settings'!$D$5</x:f>
        <x:v>2.5</x:v>
      </x:c>
      <x:c r="AD396" s="41" t="n">
        <x:f>VLOOKUP("Area|"&amp;Q396,'Score settings'!$A$14:$C$43,3,FALSE)/'Score settings'!$B$6*'Score settings'!$D$6</x:f>
        <x:v>0</x:v>
      </x:c>
      <x:c r="AE396" s="41" t="n">
        <x:f>VLOOKUP("Benefits|"&amp;IF(AND(ISNUMBER(K396),K396&gt;0,ISNUMBER(G396),G396&gt;0),IF(K396/G396&gt;='Score settings'!$E$17,"3plus",IF(K396/G396&gt;='Score settings'!$E$16,"1.5to3",IF(K396/G396&gt;='Score settings'!$E$15,"0.5to1.5","positive"))),"None"),'Score settings'!$A$14:$C$43,3,FALSE)/'Score settings'!$B$7*'Score settings'!$D$7</x:f>
        <x:v>0</x:v>
      </x:c>
      <x:c r="AF396" s="41" t="n">
        <x:f>VLOOKUP("Waste|"&amp;R396,'Score settings'!$A$14:$C$43,3,FALSE)/'Score settings'!$B$8*'Score settings'!$D$8</x:f>
        <x:v>10</x:v>
      </x:c>
      <x:c r="AG396" s="41" t="n">
        <x:f>(IF(AND(ISNUMBER(M396),M396&gt;0,ISNUMBER(G396),G396&gt;0),IF(M396/G396&gt;='Score settings'!$E$17,'Score settings'!$G$17,IF(M396/G396&gt;='Score settings'!$E$16,'Score settings'!$G$16,IF(M396/G396&gt;='Score settings'!$E$15,'Score settings'!$G$15,'Score settings'!$G$14))),0)/15*'Score settings'!$B$60+IFERROR(VLOOKUP(IF(ISNUMBER(N396),N396,IF(ISNUMBER(L396),L396,0)),'Score settings'!$E$22:$F$26,2,FALSE),0)/10*'Score settings'!$B$61)/'Score settings'!$B$9*'Score settings'!$D$9</x:f>
        <x:v>0</x:v>
      </x:c>
      <x:c r="AH396" s="41" t="n">
        <x:f>IF(B396="","",SUM(AB396:AG396))</x:f>
        <x:v>27.5</x:v>
      </x:c>
      <x:c r="AI396" s="41" t="str">
        <x:f>IF(NOT(ISNUMBER(AH396)),"Not scored",VLOOKUP(AH396,'Score settings'!$A$47:$C$50,3,TRUE))</x:f>
        <x:v>Discretionary</x:v>
      </x:c>
      <x:c r="AJ396" s="42" t="n">
        <x:f>IF(OR(NOT(ISNUMBER(AH396)),T396&lt;&gt;"Common pot"),"",COUNTIFS($T$4:$T$509,"Common pot",$AH$4:$AH$509,"&gt;"&amp;AH396)+1)</x:f>
        <x:v>214</x:v>
      </x:c>
      <x:c r="AK396" s="36" t="str">
        <x:f>IF(B396="","Name missing - not scored",IF(OR(NOT(ISNUMBER(G396)),G396&lt;=0),"Investment missing or zero - review",IF(0=1,"Permanent ID missing - reconcile",IF(AND(ISNUMBER(H396),H396/G396&gt;='Score settings'!$B$58,NOT(ISNUMBER(I396))),"Benefit units need review",IF(OR(R396="EXIT",R396="CHALLENGE"),"Waste decision requires scope resolution",IF("Name and organisation matched"&lt;&gt;"Name and organisation matched","Waste evidence match needs review","Provisional source score - confirm evidence"))))))</x:f>
        <x:v>Provisional source score - confirm evidence</x:v>
      </x:c>
      <x:c r="AL396" s="36"/>
      <x:c r="AM396" s="40"/>
      <x:c r="AN396" s="39"/>
      <x:c r="AO396" s="40"/>
      <x:c r="AP396" s="40"/>
    </x:row>
    <x:row r="397" ht="15" hidden="0" customHeight="1">
      <x:c r="A397" s="36" t="str">
        <x:v>EW-75</x:v>
      </x:c>
      <x:c r="B397" s="37" t="str">
        <x:v>FIN-ARIC Digital finance strategy - RtR</x:v>
      </x:c>
      <x:c r="C397" s="36" t="str">
        <x:v>EW</x:v>
      </x:c>
      <x:c r="D397" s="36" t="str">
        <x:v>Finance​</x:v>
      </x:c>
      <x:c r="E397" s="38" t="n">
        <x:v>0.5</x:v>
      </x:c>
      <x:c r="F397" s="39"/>
      <x:c r="G397" s="38" t="n">
        <x:f>IF(ISNUMBER(F397),F397,IF(E397="","",E397))</x:f>
        <x:v>0.5</x:v>
      </x:c>
      <x:c r="H397" s="38" t="n">
        <x:v>1.2</x:v>
      </x:c>
      <x:c r="I397" s="39"/>
      <x:c r="J397" s="36" t="str">
        <x:v>Unclassified</x:v>
      </x:c>
      <x:c r="K397" s="38" t="str">
        <x:f>IF(ISNUMBER(I397),I397,IF(OR(NOT(ISNUMBER(H397)),NOT(ISNUMBER(G397)),G397&lt;=0),"",IF(H397/G397&gt;='Score settings'!$B$58,"",IF(J397="Cash savings",H397,IF(J397="Revenue",H397*'Score settings'!$B$55,"")))))</x:f>
      </x:c>
      <x:c r="L397" s="36"/>
      <x:c r="M397" s="39"/>
      <x:c r="N397" s="40"/>
      <x:c r="O397" s="36" t="str">
        <x:v>Must Do</x:v>
      </x:c>
      <x:c r="P397" s="36" t="str">
        <x:v>Decomm</x:v>
      </x:c>
      <x:c r="Q397" s="36" t="str">
        <x:v>Blank</x:v>
      </x:c>
      <x:c r="R397" s="36" t="str">
        <x:v>NotAssessed</x:v>
      </x:c>
      <x:c r="S397" s="36" t="str"/>
      <x:c r="T397" s="36" t="str">
        <x:v>Common pot</x:v>
      </x:c>
      <x:c r="U397" s="41" t="n">
        <x:f>VLOOKUP("Priority|"&amp;O397,'Score settings'!$A$14:$C$43,2,FALSE)/'Score settings'!$B$4*'Score settings'!$C$4</x:f>
        <x:v>25</x:v>
      </x:c>
      <x:c r="V397" s="41" t="n">
        <x:f>VLOOKUP("Category|"&amp;P397,'Score settings'!$A$14:$C$43,2,FALSE)/'Score settings'!$B$5*'Score settings'!$C$5</x:f>
        <x:v>17</x:v>
      </x:c>
      <x:c r="W397" s="41" t="n">
        <x:f>VLOOKUP("Area|"&amp;Q397,'Score settings'!$A$14:$C$43,2,FALSE)/'Score settings'!$B$6*'Score settings'!$C$6</x:f>
        <x:v>3</x:v>
      </x:c>
      <x:c r="X397" s="41" t="n">
        <x:f>VLOOKUP("Benefits|"&amp;IF(AND(ISNUMBER(H397),H397&gt;0,ISNUMBER(G397),G397&gt;0),IF(H397/G397&gt;='Score settings'!$E$17,"3plus",IF(H397/G397&gt;='Score settings'!$E$16,"1.5to3",IF(H397/G397&gt;='Score settings'!$E$15,"0.5to1.5","positive"))),"None"),'Score settings'!$A$14:$C$43,2,FALSE)/'Score settings'!$B$7*'Score settings'!$C$7</x:f>
        <x:v>20</x:v>
      </x:c>
      <x:c r="Y397" s="41" t="n">
        <x:f>VLOOKUP("Waste|"&amp;R397,'Score settings'!$A$14:$C$43,2,FALSE)/'Score settings'!$B$8*'Score settings'!$C$8</x:f>
        <x:v>7</x:v>
      </x:c>
      <x:c r="Z397" s="41" t="n">
        <x:f>IF(B397="","",SUM(U397:Y397))</x:f>
        <x:v>72</x:v>
      </x:c>
      <x:c r="AA397" s="41" t="str">
        <x:f>IF(Z397="","Not scored",VLOOKUP(Z397,'Score settings'!$A$47:$C$50,2,TRUE))</x:f>
        <x:v>Protected</x:v>
      </x:c>
      <x:c r="AB397" s="41" t="n">
        <x:f>VLOOKUP("Priority|"&amp;O397,'Score settings'!$A$14:$C$43,3,FALSE)/'Score settings'!$B$4*'Score settings'!$D$4</x:f>
        <x:v>15</x:v>
      </x:c>
      <x:c r="AC397" s="41" t="n">
        <x:f>VLOOKUP("Category|"&amp;P397,'Score settings'!$A$14:$C$43,3,FALSE)/'Score settings'!$B$5*'Score settings'!$D$5</x:f>
        <x:v>8.5</x:v>
      </x:c>
      <x:c r="AD397" s="41" t="n">
        <x:f>VLOOKUP("Area|"&amp;Q397,'Score settings'!$A$14:$C$43,3,FALSE)/'Score settings'!$B$6*'Score settings'!$D$6</x:f>
        <x:v>0</x:v>
      </x:c>
      <x:c r="AE397" s="41" t="n">
        <x:f>VLOOKUP("Benefits|"&amp;IF(AND(ISNUMBER(K397),K397&gt;0,ISNUMBER(G397),G397&gt;0),IF(K397/G397&gt;='Score settings'!$E$17,"3plus",IF(K397/G397&gt;='Score settings'!$E$16,"1.5to3",IF(K397/G397&gt;='Score settings'!$E$15,"0.5to1.5","positive"))),"None"),'Score settings'!$A$14:$C$43,3,FALSE)/'Score settings'!$B$7*'Score settings'!$D$7</x:f>
        <x:v>0</x:v>
      </x:c>
      <x:c r="AF397" s="41" t="n">
        <x:f>VLOOKUP("Waste|"&amp;R397,'Score settings'!$A$14:$C$43,3,FALSE)/'Score settings'!$B$8*'Score settings'!$D$8</x:f>
        <x:v>0</x:v>
      </x:c>
      <x:c r="AG397" s="41" t="n">
        <x:f>(IF(AND(ISNUMBER(M397),M397&gt;0,ISNUMBER(G397),G397&gt;0),IF(M397/G397&gt;='Score settings'!$E$17,'Score settings'!$G$17,IF(M397/G397&gt;='Score settings'!$E$16,'Score settings'!$G$16,IF(M397/G397&gt;='Score settings'!$E$15,'Score settings'!$G$15,'Score settings'!$G$14))),0)/15*'Score settings'!$B$60+IFERROR(VLOOKUP(IF(ISNUMBER(N397),N397,IF(ISNUMBER(L397),L397,0)),'Score settings'!$E$22:$F$26,2,FALSE),0)/10*'Score settings'!$B$61)/'Score settings'!$B$9*'Score settings'!$D$9</x:f>
        <x:v>0</x:v>
      </x:c>
      <x:c r="AH397" s="41" t="n">
        <x:f>IF(B397="","",SUM(AB397:AG397))</x:f>
        <x:v>23.5</x:v>
      </x:c>
      <x:c r="AI397" s="41" t="str">
        <x:f>IF(NOT(ISNUMBER(AH397)),"Not scored",VLOOKUP(AH397,'Score settings'!$A$47:$C$50,3,TRUE))</x:f>
        <x:v>Weak</x:v>
      </x:c>
      <x:c r="AJ397" s="42" t="n">
        <x:f>IF(OR(NOT(ISNUMBER(AH397)),T397&lt;&gt;"Common pot"),"",COUNTIFS($T$4:$T$509,"Common pot",$AH$4:$AH$509,"&gt;"&amp;AH397)+1)</x:f>
        <x:v>296</x:v>
      </x:c>
      <x:c r="AK397" s="36" t="str">
        <x:f>IF(B397="","Name missing - not scored",IF(OR(NOT(ISNUMBER(G397)),G397&lt;=0),"Investment missing or zero - review",IF(0=1,"Permanent ID missing - reconcile",IF(AND(ISNUMBER(H397),H397/G397&gt;='Score settings'!$B$58,NOT(ISNUMBER(I397))),"Benefit units need review",IF(OR(R397="EXIT",R397="CHALLENGE"),"Waste decision requires scope resolution",IF("No exact waste match"&lt;&gt;"Name and organisation matched","Waste evidence match needs review","Provisional source score - confirm evidence"))))))</x:f>
        <x:v>Waste evidence match needs review</x:v>
      </x:c>
      <x:c r="AL397" s="36"/>
      <x:c r="AM397" s="40"/>
      <x:c r="AN397" s="39"/>
      <x:c r="AO397" s="40"/>
      <x:c r="AP397" s="40"/>
    </x:row>
    <x:row r="398" ht="15" hidden="0" customHeight="1">
      <x:c r="A398" s="36" t="str">
        <x:v>EW-76</x:v>
      </x:c>
      <x:c r="B398" s="37" t="str">
        <x:v>FIN-ARIC Digital finance strategy-C&amp;C</x:v>
      </x:c>
      <x:c r="C398" s="36" t="str">
        <x:v>EW</x:v>
      </x:c>
      <x:c r="D398" s="36" t="str">
        <x:v>Finance​</x:v>
      </x:c>
      <x:c r="E398" s="38" t="n">
        <x:v>0.3</x:v>
      </x:c>
      <x:c r="F398" s="39"/>
      <x:c r="G398" s="38" t="n">
        <x:f>IF(ISNUMBER(F398),F398,IF(E398="","",E398))</x:f>
        <x:v>0.3</x:v>
      </x:c>
      <x:c r="H398" s="38" t="n">
        <x:v>0.8</x:v>
      </x:c>
      <x:c r="I398" s="39"/>
      <x:c r="J398" s="36" t="str">
        <x:v>Unclassified</x:v>
      </x:c>
      <x:c r="K398" s="38" t="str">
        <x:f>IF(ISNUMBER(I398),I398,IF(OR(NOT(ISNUMBER(H398)),NOT(ISNUMBER(G398)),G398&lt;=0),"",IF(H398/G398&gt;='Score settings'!$B$58,"",IF(J398="Cash savings",H398,IF(J398="Revenue",H398*'Score settings'!$B$55,"")))))</x:f>
      </x:c>
      <x:c r="L398" s="36"/>
      <x:c r="M398" s="39"/>
      <x:c r="N398" s="40"/>
      <x:c r="O398" s="36" t="str">
        <x:v>Must Do</x:v>
      </x:c>
      <x:c r="P398" s="36" t="str">
        <x:v>AI</x:v>
      </x:c>
      <x:c r="Q398" s="36" t="str">
        <x:v>Blank</x:v>
      </x:c>
      <x:c r="R398" s="36" t="str">
        <x:v>NotAssessed</x:v>
      </x:c>
      <x:c r="S398" s="36" t="str"/>
      <x:c r="T398" s="36" t="str">
        <x:v>Common pot</x:v>
      </x:c>
      <x:c r="U398" s="41" t="n">
        <x:f>VLOOKUP("Priority|"&amp;O398,'Score settings'!$A$14:$C$43,2,FALSE)/'Score settings'!$B$4*'Score settings'!$C$4</x:f>
        <x:v>25</x:v>
      </x:c>
      <x:c r="V398" s="41" t="n">
        <x:f>VLOOKUP("Category|"&amp;P398,'Score settings'!$A$14:$C$43,2,FALSE)/'Score settings'!$B$5*'Score settings'!$C$5</x:f>
        <x:v>16</x:v>
      </x:c>
      <x:c r="W398" s="41" t="n">
        <x:f>VLOOKUP("Area|"&amp;Q398,'Score settings'!$A$14:$C$43,2,FALSE)/'Score settings'!$B$6*'Score settings'!$C$6</x:f>
        <x:v>3</x:v>
      </x:c>
      <x:c r="X398" s="41" t="n">
        <x:f>VLOOKUP("Benefits|"&amp;IF(AND(ISNUMBER(H398),H398&gt;0,ISNUMBER(G398),G398&gt;0),IF(H398/G398&gt;='Score settings'!$E$17,"3plus",IF(H398/G398&gt;='Score settings'!$E$16,"1.5to3",IF(H398/G398&gt;='Score settings'!$E$15,"0.5to1.5","positive"))),"None"),'Score settings'!$A$14:$C$43,2,FALSE)/'Score settings'!$B$7*'Score settings'!$C$7</x:f>
        <x:v>20</x:v>
      </x:c>
      <x:c r="Y398" s="41" t="n">
        <x:f>VLOOKUP("Waste|"&amp;R398,'Score settings'!$A$14:$C$43,2,FALSE)/'Score settings'!$B$8*'Score settings'!$C$8</x:f>
        <x:v>7</x:v>
      </x:c>
      <x:c r="Z398" s="41" t="n">
        <x:f>IF(B398="","",SUM(U398:Y398))</x:f>
        <x:v>71</x:v>
      </x:c>
      <x:c r="AA398" s="41" t="str">
        <x:f>IF(Z398="","Not scored",VLOOKUP(Z398,'Score settings'!$A$47:$C$50,2,TRUE))</x:f>
        <x:v>Protected</x:v>
      </x:c>
      <x:c r="AB398" s="41" t="n">
        <x:f>VLOOKUP("Priority|"&amp;O398,'Score settings'!$A$14:$C$43,3,FALSE)/'Score settings'!$B$4*'Score settings'!$D$4</x:f>
        <x:v>15</x:v>
      </x:c>
      <x:c r="AC398" s="41" t="n">
        <x:f>VLOOKUP("Category|"&amp;P398,'Score settings'!$A$14:$C$43,3,FALSE)/'Score settings'!$B$5*'Score settings'!$D$5</x:f>
        <x:v>8</x:v>
      </x:c>
      <x:c r="AD398" s="41" t="n">
        <x:f>VLOOKUP("Area|"&amp;Q398,'Score settings'!$A$14:$C$43,3,FALSE)/'Score settings'!$B$6*'Score settings'!$D$6</x:f>
        <x:v>0</x:v>
      </x:c>
      <x:c r="AE398" s="41" t="n">
        <x:f>VLOOKUP("Benefits|"&amp;IF(AND(ISNUMBER(K398),K398&gt;0,ISNUMBER(G398),G398&gt;0),IF(K398/G398&gt;='Score settings'!$E$17,"3plus",IF(K398/G398&gt;='Score settings'!$E$16,"1.5to3",IF(K398/G398&gt;='Score settings'!$E$15,"0.5to1.5","positive"))),"None"),'Score settings'!$A$14:$C$43,3,FALSE)/'Score settings'!$B$7*'Score settings'!$D$7</x:f>
        <x:v>0</x:v>
      </x:c>
      <x:c r="AF398" s="41" t="n">
        <x:f>VLOOKUP("Waste|"&amp;R398,'Score settings'!$A$14:$C$43,3,FALSE)/'Score settings'!$B$8*'Score settings'!$D$8</x:f>
        <x:v>0</x:v>
      </x:c>
      <x:c r="AG398" s="41" t="n">
        <x:f>(IF(AND(ISNUMBER(M398),M398&gt;0,ISNUMBER(G398),G398&gt;0),IF(M398/G398&gt;='Score settings'!$E$17,'Score settings'!$G$17,IF(M398/G398&gt;='Score settings'!$E$16,'Score settings'!$G$16,IF(M398/G398&gt;='Score settings'!$E$15,'Score settings'!$G$15,'Score settings'!$G$14))),0)/15*'Score settings'!$B$60+IFERROR(VLOOKUP(IF(ISNUMBER(N398),N398,IF(ISNUMBER(L398),L398,0)),'Score settings'!$E$22:$F$26,2,FALSE),0)/10*'Score settings'!$B$61)/'Score settings'!$B$9*'Score settings'!$D$9</x:f>
        <x:v>0</x:v>
      </x:c>
      <x:c r="AH398" s="41" t="n">
        <x:f>IF(B398="","",SUM(AB398:AG398))</x:f>
        <x:v>23</x:v>
      </x:c>
      <x:c r="AI398" s="41" t="str">
        <x:f>IF(NOT(ISNUMBER(AH398)),"Not scored",VLOOKUP(AH398,'Score settings'!$A$47:$C$50,3,TRUE))</x:f>
        <x:v>Weak</x:v>
      </x:c>
      <x:c r="AJ398" s="42" t="n">
        <x:f>IF(OR(NOT(ISNUMBER(AH398)),T398&lt;&gt;"Common pot"),"",COUNTIFS($T$4:$T$509,"Common pot",$AH$4:$AH$509,"&gt;"&amp;AH398)+1)</x:f>
        <x:v>301</x:v>
      </x:c>
      <x:c r="AK398" s="36" t="str">
        <x:f>IF(B398="","Name missing - not scored",IF(OR(NOT(ISNUMBER(G398)),G398&lt;=0),"Investment missing or zero - review",IF(0=1,"Permanent ID missing - reconcile",IF(AND(ISNUMBER(H398),H398/G398&gt;='Score settings'!$B$58,NOT(ISNUMBER(I398))),"Benefit units need review",IF(OR(R398="EXIT",R398="CHALLENGE"),"Waste decision requires scope resolution",IF("No exact waste match"&lt;&gt;"Name and organisation matched","Waste evidence match needs review","Provisional source score - confirm evidence"))))))</x:f>
        <x:v>Waste evidence match needs review</x:v>
      </x:c>
      <x:c r="AL398" s="36"/>
      <x:c r="AM398" s="40"/>
      <x:c r="AN398" s="39"/>
      <x:c r="AO398" s="40"/>
      <x:c r="AP398" s="40"/>
    </x:row>
    <x:row r="399" ht="24" hidden="0" customHeight="1">
      <x:c r="A399" s="36" t="str">
        <x:v>EW-77</x:v>
      </x:c>
      <x:c r="B399" s="37" t="str">
        <x:v>FIN-ARIC LFR's Non SAP being ADL/BW/Power BI etc. Dashboard &amp; Reports for SOx &amp; Compliancy purposes </x:v>
      </x:c>
      <x:c r="C399" s="36" t="str">
        <x:v>EW</x:v>
      </x:c>
      <x:c r="D399" s="36" t="str">
        <x:v>Finance​</x:v>
      </x:c>
      <x:c r="E399" s="38" t="n">
        <x:v>0.12</x:v>
      </x:c>
      <x:c r="F399" s="39"/>
      <x:c r="G399" s="38" t="n">
        <x:f>IF(ISNUMBER(F399),F399,IF(E399="","",E399))</x:f>
        <x:v>0.12</x:v>
      </x:c>
      <x:c r="H399" s="38" t="n">
        <x:v>0.12</x:v>
      </x:c>
      <x:c r="I399" s="39"/>
      <x:c r="J399" s="36" t="str">
        <x:v>Unclassified</x:v>
      </x:c>
      <x:c r="K399" s="38" t="str">
        <x:f>IF(ISNUMBER(I399),I399,IF(OR(NOT(ISNUMBER(H399)),NOT(ISNUMBER(G399)),G399&lt;=0),"",IF(H399/G399&gt;='Score settings'!$B$58,"",IF(J399="Cash savings",H399,IF(J399="Revenue",H399*'Score settings'!$B$55,"")))))</x:f>
      </x:c>
      <x:c r="L399" s="36"/>
      <x:c r="M399" s="39"/>
      <x:c r="N399" s="40"/>
      <x:c r="O399" s="36" t="str">
        <x:v>Must Do</x:v>
      </x:c>
      <x:c r="P399" s="36" t="str">
        <x:v>CI</x:v>
      </x:c>
      <x:c r="Q399" s="36" t="str">
        <x:v>Blank</x:v>
      </x:c>
      <x:c r="R399" s="36" t="str">
        <x:v>NotAssessed</x:v>
      </x:c>
      <x:c r="S399" s="36" t="str"/>
      <x:c r="T399" s="36" t="str">
        <x:v>Common pot</x:v>
      </x:c>
      <x:c r="U399" s="41" t="n">
        <x:f>VLOOKUP("Priority|"&amp;O399,'Score settings'!$A$14:$C$43,2,FALSE)/'Score settings'!$B$4*'Score settings'!$C$4</x:f>
        <x:v>25</x:v>
      </x:c>
      <x:c r="V399" s="41" t="n">
        <x:f>VLOOKUP("Category|"&amp;P399,'Score settings'!$A$14:$C$43,2,FALSE)/'Score settings'!$B$5*'Score settings'!$C$5</x:f>
        <x:v>8</x:v>
      </x:c>
      <x:c r="W399" s="41" t="n">
        <x:f>VLOOKUP("Area|"&amp;Q399,'Score settings'!$A$14:$C$43,2,FALSE)/'Score settings'!$B$6*'Score settings'!$C$6</x:f>
        <x:v>3</x:v>
      </x:c>
      <x:c r="X399" s="41" t="n">
        <x:f>VLOOKUP("Benefits|"&amp;IF(AND(ISNUMBER(H399),H399&gt;0,ISNUMBER(G399),G399&gt;0),IF(H399/G399&gt;='Score settings'!$E$17,"3plus",IF(H399/G399&gt;='Score settings'!$E$16,"1.5to3",IF(H399/G399&gt;='Score settings'!$E$15,"0.5to1.5","positive"))),"None"),'Score settings'!$A$14:$C$43,2,FALSE)/'Score settings'!$B$7*'Score settings'!$C$7</x:f>
        <x:v>15</x:v>
      </x:c>
      <x:c r="Y399" s="41" t="n">
        <x:f>VLOOKUP("Waste|"&amp;R399,'Score settings'!$A$14:$C$43,2,FALSE)/'Score settings'!$B$8*'Score settings'!$C$8</x:f>
        <x:v>7</x:v>
      </x:c>
      <x:c r="Z399" s="41" t="n">
        <x:f>IF(B399="","",SUM(U399:Y399))</x:f>
        <x:v>58</x:v>
      </x:c>
      <x:c r="AA399" s="41" t="str">
        <x:f>IF(Z399="","Not scored",VLOOKUP(Z399,'Score settings'!$A$47:$C$50,2,TRUE))</x:f>
        <x:v>Strong</x:v>
      </x:c>
      <x:c r="AB399" s="41" t="n">
        <x:f>VLOOKUP("Priority|"&amp;O399,'Score settings'!$A$14:$C$43,3,FALSE)/'Score settings'!$B$4*'Score settings'!$D$4</x:f>
        <x:v>15</x:v>
      </x:c>
      <x:c r="AC399" s="41" t="n">
        <x:f>VLOOKUP("Category|"&amp;P399,'Score settings'!$A$14:$C$43,3,FALSE)/'Score settings'!$B$5*'Score settings'!$D$5</x:f>
        <x:v>4</x:v>
      </x:c>
      <x:c r="AD399" s="41" t="n">
        <x:f>VLOOKUP("Area|"&amp;Q399,'Score settings'!$A$14:$C$43,3,FALSE)/'Score settings'!$B$6*'Score settings'!$D$6</x:f>
        <x:v>0</x:v>
      </x:c>
      <x:c r="AE399" s="41" t="n">
        <x:f>VLOOKUP("Benefits|"&amp;IF(AND(ISNUMBER(K399),K399&gt;0,ISNUMBER(G399),G399&gt;0),IF(K399/G399&gt;='Score settings'!$E$17,"3plus",IF(K399/G399&gt;='Score settings'!$E$16,"1.5to3",IF(K399/G399&gt;='Score settings'!$E$15,"0.5to1.5","positive"))),"None"),'Score settings'!$A$14:$C$43,3,FALSE)/'Score settings'!$B$7*'Score settings'!$D$7</x:f>
        <x:v>0</x:v>
      </x:c>
      <x:c r="AF399" s="41" t="n">
        <x:f>VLOOKUP("Waste|"&amp;R399,'Score settings'!$A$14:$C$43,3,FALSE)/'Score settings'!$B$8*'Score settings'!$D$8</x:f>
        <x:v>0</x:v>
      </x:c>
      <x:c r="AG399" s="41" t="n">
        <x:f>(IF(AND(ISNUMBER(M399),M399&gt;0,ISNUMBER(G399),G399&gt;0),IF(M399/G399&gt;='Score settings'!$E$17,'Score settings'!$G$17,IF(M399/G399&gt;='Score settings'!$E$16,'Score settings'!$G$16,IF(M399/G399&gt;='Score settings'!$E$15,'Score settings'!$G$15,'Score settings'!$G$14))),0)/15*'Score settings'!$B$60+IFERROR(VLOOKUP(IF(ISNUMBER(N399),N399,IF(ISNUMBER(L399),L399,0)),'Score settings'!$E$22:$F$26,2,FALSE),0)/10*'Score settings'!$B$61)/'Score settings'!$B$9*'Score settings'!$D$9</x:f>
        <x:v>0</x:v>
      </x:c>
      <x:c r="AH399" s="41" t="n">
        <x:f>IF(B399="","",SUM(AB399:AG399))</x:f>
        <x:v>19</x:v>
      </x:c>
      <x:c r="AI399" s="41" t="str">
        <x:f>IF(NOT(ISNUMBER(AH399)),"Not scored",VLOOKUP(AH399,'Score settings'!$A$47:$C$50,3,TRUE))</x:f>
        <x:v>Weak</x:v>
      </x:c>
      <x:c r="AJ399" s="42" t="n">
        <x:f>IF(OR(NOT(ISNUMBER(AH399)),T399&lt;&gt;"Common pot"),"",COUNTIFS($T$4:$T$509,"Common pot",$AH$4:$AH$509,"&gt;"&amp;AH399)+1)</x:f>
        <x:v>355</x:v>
      </x:c>
      <x:c r="AK399" s="36" t="str">
        <x:f>IF(B399="","Name missing - not scored",IF(OR(NOT(ISNUMBER(G399)),G399&lt;=0),"Investment missing or zero - review",IF(0=1,"Permanent ID missing - reconcile",IF(AND(ISNUMBER(H399),H399/G399&gt;='Score settings'!$B$58,NOT(ISNUMBER(I399))),"Benefit units need review",IF(OR(R399="EXIT",R399="CHALLENGE"),"Waste decision requires scope resolution",IF("No exact waste match"&lt;&gt;"Name and organisation matched","Waste evidence match needs review","Provisional source score - confirm evidence"))))))</x:f>
        <x:v>Waste evidence match needs review</x:v>
      </x:c>
      <x:c r="AL399" s="36"/>
      <x:c r="AM399" s="40"/>
      <x:c r="AN399" s="39"/>
      <x:c r="AO399" s="40"/>
      <x:c r="AP399" s="40"/>
    </x:row>
    <x:row r="400" ht="15" hidden="0" customHeight="1">
      <x:c r="A400" s="36" t="str">
        <x:v>EW-78</x:v>
      </x:c>
      <x:c r="B400" s="37" t="str">
        <x:v>FIN-Automated workflow for SLA preparation &amp; signing &amp; archiving </x:v>
      </x:c>
      <x:c r="C400" s="36" t="str">
        <x:v>EW</x:v>
      </x:c>
      <x:c r="D400" s="36" t="str">
        <x:v>Finance​</x:v>
      </x:c>
      <x:c r="E400" s="38" t="n">
        <x:v>0.05</x:v>
      </x:c>
      <x:c r="F400" s="39"/>
      <x:c r="G400" s="38" t="n">
        <x:f>IF(ISNUMBER(F400),F400,IF(E400="","",E400))</x:f>
        <x:v>0.05</x:v>
      </x:c>
      <x:c r="H400" s="38"/>
      <x:c r="I400" s="39"/>
      <x:c r="J400" s="36" t="str">
        <x:v>Unclassified</x:v>
      </x:c>
      <x:c r="K400" s="38" t="str">
        <x:f>IF(ISNUMBER(I400),I400,IF(OR(NOT(ISNUMBER(H400)),NOT(ISNUMBER(G400)),G400&lt;=0),"",IF(H400/G400&gt;='Score settings'!$B$58,"",IF(J400="Cash savings",H400,IF(J400="Revenue",H400*'Score settings'!$B$55,"")))))</x:f>
      </x:c>
      <x:c r="L400" s="36"/>
      <x:c r="M400" s="39"/>
      <x:c r="N400" s="40"/>
      <x:c r="O400" s="36" t="str">
        <x:v>Must Do</x:v>
      </x:c>
      <x:c r="P400" s="36" t="str">
        <x:v>AI</x:v>
      </x:c>
      <x:c r="Q400" s="36" t="str">
        <x:v>Blank</x:v>
      </x:c>
      <x:c r="R400" s="36" t="str">
        <x:v>NotAssessed</x:v>
      </x:c>
      <x:c r="S400" s="36" t="str"/>
      <x:c r="T400" s="36" t="str">
        <x:v>Common pot</x:v>
      </x:c>
      <x:c r="U400" s="41" t="n">
        <x:f>VLOOKUP("Priority|"&amp;O400,'Score settings'!$A$14:$C$43,2,FALSE)/'Score settings'!$B$4*'Score settings'!$C$4</x:f>
        <x:v>25</x:v>
      </x:c>
      <x:c r="V400" s="41" t="n">
        <x:f>VLOOKUP("Category|"&amp;P400,'Score settings'!$A$14:$C$43,2,FALSE)/'Score settings'!$B$5*'Score settings'!$C$5</x:f>
        <x:v>16</x:v>
      </x:c>
      <x:c r="W400" s="41" t="n">
        <x:f>VLOOKUP("Area|"&amp;Q400,'Score settings'!$A$14:$C$43,2,FALSE)/'Score settings'!$B$6*'Score settings'!$C$6</x:f>
        <x:v>3</x:v>
      </x:c>
      <x:c r="X400" s="41" t="n">
        <x:f>VLOOKUP("Benefits|"&amp;IF(AND(ISNUMBER(H400),H400&gt;0,ISNUMBER(G400),G400&gt;0),IF(H400/G400&gt;='Score settings'!$E$17,"3plus",IF(H400/G400&gt;='Score settings'!$E$16,"1.5to3",IF(H400/G400&gt;='Score settings'!$E$15,"0.5to1.5","positive"))),"None"),'Score settings'!$A$14:$C$43,2,FALSE)/'Score settings'!$B$7*'Score settings'!$C$7</x:f>
        <x:v>5</x:v>
      </x:c>
      <x:c r="Y400" s="41" t="n">
        <x:f>VLOOKUP("Waste|"&amp;R400,'Score settings'!$A$14:$C$43,2,FALSE)/'Score settings'!$B$8*'Score settings'!$C$8</x:f>
        <x:v>7</x:v>
      </x:c>
      <x:c r="Z400" s="41" t="n">
        <x:f>IF(B400="","",SUM(U400:Y400))</x:f>
        <x:v>56</x:v>
      </x:c>
      <x:c r="AA400" s="41" t="str">
        <x:f>IF(Z400="","Not scored",VLOOKUP(Z400,'Score settings'!$A$47:$C$50,2,TRUE))</x:f>
        <x:v>Strong</x:v>
      </x:c>
      <x:c r="AB400" s="41" t="n">
        <x:f>VLOOKUP("Priority|"&amp;O400,'Score settings'!$A$14:$C$43,3,FALSE)/'Score settings'!$B$4*'Score settings'!$D$4</x:f>
        <x:v>15</x:v>
      </x:c>
      <x:c r="AC400" s="41" t="n">
        <x:f>VLOOKUP("Category|"&amp;P400,'Score settings'!$A$14:$C$43,3,FALSE)/'Score settings'!$B$5*'Score settings'!$D$5</x:f>
        <x:v>8</x:v>
      </x:c>
      <x:c r="AD400" s="41" t="n">
        <x:f>VLOOKUP("Area|"&amp;Q400,'Score settings'!$A$14:$C$43,3,FALSE)/'Score settings'!$B$6*'Score settings'!$D$6</x:f>
        <x:v>0</x:v>
      </x:c>
      <x:c r="AE400" s="41" t="n">
        <x:f>VLOOKUP("Benefits|"&amp;IF(AND(ISNUMBER(K400),K400&gt;0,ISNUMBER(G400),G400&gt;0),IF(K400/G400&gt;='Score settings'!$E$17,"3plus",IF(K400/G400&gt;='Score settings'!$E$16,"1.5to3",IF(K400/G400&gt;='Score settings'!$E$15,"0.5to1.5","positive"))),"None"),'Score settings'!$A$14:$C$43,3,FALSE)/'Score settings'!$B$7*'Score settings'!$D$7</x:f>
        <x:v>0</x:v>
      </x:c>
      <x:c r="AF400" s="41" t="n">
        <x:f>VLOOKUP("Waste|"&amp;R400,'Score settings'!$A$14:$C$43,3,FALSE)/'Score settings'!$B$8*'Score settings'!$D$8</x:f>
        <x:v>0</x:v>
      </x:c>
      <x:c r="AG400" s="41" t="n">
        <x:f>(IF(AND(ISNUMBER(M400),M400&gt;0,ISNUMBER(G400),G400&gt;0),IF(M400/G400&gt;='Score settings'!$E$17,'Score settings'!$G$17,IF(M400/G400&gt;='Score settings'!$E$16,'Score settings'!$G$16,IF(M400/G400&gt;='Score settings'!$E$15,'Score settings'!$G$15,'Score settings'!$G$14))),0)/15*'Score settings'!$B$60+IFERROR(VLOOKUP(IF(ISNUMBER(N400),N400,IF(ISNUMBER(L400),L400,0)),'Score settings'!$E$22:$F$26,2,FALSE),0)/10*'Score settings'!$B$61)/'Score settings'!$B$9*'Score settings'!$D$9</x:f>
        <x:v>0</x:v>
      </x:c>
      <x:c r="AH400" s="41" t="n">
        <x:f>IF(B400="","",SUM(AB400:AG400))</x:f>
        <x:v>23</x:v>
      </x:c>
      <x:c r="AI400" s="41" t="str">
        <x:f>IF(NOT(ISNUMBER(AH400)),"Not scored",VLOOKUP(AH400,'Score settings'!$A$47:$C$50,3,TRUE))</x:f>
        <x:v>Weak</x:v>
      </x:c>
      <x:c r="AJ400" s="42" t="n">
        <x:f>IF(OR(NOT(ISNUMBER(AH400)),T400&lt;&gt;"Common pot"),"",COUNTIFS($T$4:$T$509,"Common pot",$AH$4:$AH$509,"&gt;"&amp;AH400)+1)</x:f>
        <x:v>301</x:v>
      </x:c>
      <x:c r="AK400" s="36" t="str">
        <x:f>IF(B400="","Name missing - not scored",IF(OR(NOT(ISNUMBER(G400)),G400&lt;=0),"Investment missing or zero - review",IF(0=1,"Permanent ID missing - reconcile",IF(AND(ISNUMBER(H400),H400/G400&gt;='Score settings'!$B$58,NOT(ISNUMBER(I400))),"Benefit units need review",IF(OR(R400="EXIT",R400="CHALLENGE"),"Waste decision requires scope resolution",IF("No exact waste match"&lt;&gt;"Name and organisation matched","Waste evidence match needs review","Provisional source score - confirm evidence"))))))</x:f>
        <x:v>Waste evidence match needs review</x:v>
      </x:c>
      <x:c r="AL400" s="36"/>
      <x:c r="AM400" s="40"/>
      <x:c r="AN400" s="39"/>
      <x:c r="AO400" s="40"/>
      <x:c r="AP400" s="40"/>
    </x:row>
    <x:row r="401" ht="15" hidden="0" customHeight="1">
      <x:c r="A401" s="36" t="str">
        <x:v>EW-79</x:v>
      </x:c>
      <x:c r="B401" s="37" t="str">
        <x:v>FIN-Communication mining for P2P queries</x:v>
      </x:c>
      <x:c r="C401" s="36" t="str">
        <x:v>EW</x:v>
      </x:c>
      <x:c r="D401" s="36" t="str">
        <x:v>Finance​</x:v>
      </x:c>
      <x:c r="E401" s="38" t="n">
        <x:v>0.1</x:v>
      </x:c>
      <x:c r="F401" s="39"/>
      <x:c r="G401" s="38" t="n">
        <x:f>IF(ISNUMBER(F401),F401,IF(E401="","",E401))</x:f>
        <x:v>0.1</x:v>
      </x:c>
      <x:c r="H401" s="38" t="n">
        <x:v>0.1</x:v>
      </x:c>
      <x:c r="I401" s="39"/>
      <x:c r="J401" s="36" t="str">
        <x:v>Unclassified</x:v>
      </x:c>
      <x:c r="K401" s="38" t="str">
        <x:f>IF(ISNUMBER(I401),I401,IF(OR(NOT(ISNUMBER(H401)),NOT(ISNUMBER(G401)),G401&lt;=0),"",IF(H401/G401&gt;='Score settings'!$B$58,"",IF(J401="Cash savings",H401,IF(J401="Revenue",H401*'Score settings'!$B$55,"")))))</x:f>
      </x:c>
      <x:c r="L401" s="36"/>
      <x:c r="M401" s="39"/>
      <x:c r="N401" s="40"/>
      <x:c r="O401" s="36" t="str">
        <x:v>Must Do</x:v>
      </x:c>
      <x:c r="P401" s="36" t="str">
        <x:v>AI</x:v>
      </x:c>
      <x:c r="Q401" s="36" t="str">
        <x:v>Blank</x:v>
      </x:c>
      <x:c r="R401" s="36" t="str">
        <x:v>NotAssessed</x:v>
      </x:c>
      <x:c r="S401" s="36" t="str"/>
      <x:c r="T401" s="36" t="str">
        <x:v>Common pot</x:v>
      </x:c>
      <x:c r="U401" s="41" t="n">
        <x:f>VLOOKUP("Priority|"&amp;O401,'Score settings'!$A$14:$C$43,2,FALSE)/'Score settings'!$B$4*'Score settings'!$C$4</x:f>
        <x:v>25</x:v>
      </x:c>
      <x:c r="V401" s="41" t="n">
        <x:f>VLOOKUP("Category|"&amp;P401,'Score settings'!$A$14:$C$43,2,FALSE)/'Score settings'!$B$5*'Score settings'!$C$5</x:f>
        <x:v>16</x:v>
      </x:c>
      <x:c r="W401" s="41" t="n">
        <x:f>VLOOKUP("Area|"&amp;Q401,'Score settings'!$A$14:$C$43,2,FALSE)/'Score settings'!$B$6*'Score settings'!$C$6</x:f>
        <x:v>3</x:v>
      </x:c>
      <x:c r="X401" s="41" t="n">
        <x:f>VLOOKUP("Benefits|"&amp;IF(AND(ISNUMBER(H401),H401&gt;0,ISNUMBER(G401),G401&gt;0),IF(H401/G401&gt;='Score settings'!$E$17,"3plus",IF(H401/G401&gt;='Score settings'!$E$16,"1.5to3",IF(H401/G401&gt;='Score settings'!$E$15,"0.5to1.5","positive"))),"None"),'Score settings'!$A$14:$C$43,2,FALSE)/'Score settings'!$B$7*'Score settings'!$C$7</x:f>
        <x:v>15</x:v>
      </x:c>
      <x:c r="Y401" s="41" t="n">
        <x:f>VLOOKUP("Waste|"&amp;R401,'Score settings'!$A$14:$C$43,2,FALSE)/'Score settings'!$B$8*'Score settings'!$C$8</x:f>
        <x:v>7</x:v>
      </x:c>
      <x:c r="Z401" s="41" t="n">
        <x:f>IF(B401="","",SUM(U401:Y401))</x:f>
        <x:v>66</x:v>
      </x:c>
      <x:c r="AA401" s="41" t="str">
        <x:f>IF(Z401="","Not scored",VLOOKUP(Z401,'Score settings'!$A$47:$C$50,2,TRUE))</x:f>
        <x:v>Protected</x:v>
      </x:c>
      <x:c r="AB401" s="41" t="n">
        <x:f>VLOOKUP("Priority|"&amp;O401,'Score settings'!$A$14:$C$43,3,FALSE)/'Score settings'!$B$4*'Score settings'!$D$4</x:f>
        <x:v>15</x:v>
      </x:c>
      <x:c r="AC401" s="41" t="n">
        <x:f>VLOOKUP("Category|"&amp;P401,'Score settings'!$A$14:$C$43,3,FALSE)/'Score settings'!$B$5*'Score settings'!$D$5</x:f>
        <x:v>8</x:v>
      </x:c>
      <x:c r="AD401" s="41" t="n">
        <x:f>VLOOKUP("Area|"&amp;Q401,'Score settings'!$A$14:$C$43,3,FALSE)/'Score settings'!$B$6*'Score settings'!$D$6</x:f>
        <x:v>0</x:v>
      </x:c>
      <x:c r="AE401" s="41" t="n">
        <x:f>VLOOKUP("Benefits|"&amp;IF(AND(ISNUMBER(K401),K401&gt;0,ISNUMBER(G401),G401&gt;0),IF(K401/G401&gt;='Score settings'!$E$17,"3plus",IF(K401/G401&gt;='Score settings'!$E$16,"1.5to3",IF(K401/G401&gt;='Score settings'!$E$15,"0.5to1.5","positive"))),"None"),'Score settings'!$A$14:$C$43,3,FALSE)/'Score settings'!$B$7*'Score settings'!$D$7</x:f>
        <x:v>0</x:v>
      </x:c>
      <x:c r="AF401" s="41" t="n">
        <x:f>VLOOKUP("Waste|"&amp;R401,'Score settings'!$A$14:$C$43,3,FALSE)/'Score settings'!$B$8*'Score settings'!$D$8</x:f>
        <x:v>0</x:v>
      </x:c>
      <x:c r="AG401" s="41" t="n">
        <x:f>(IF(AND(ISNUMBER(M401),M401&gt;0,ISNUMBER(G401),G401&gt;0),IF(M401/G401&gt;='Score settings'!$E$17,'Score settings'!$G$17,IF(M401/G401&gt;='Score settings'!$E$16,'Score settings'!$G$16,IF(M401/G401&gt;='Score settings'!$E$15,'Score settings'!$G$15,'Score settings'!$G$14))),0)/15*'Score settings'!$B$60+IFERROR(VLOOKUP(IF(ISNUMBER(N401),N401,IF(ISNUMBER(L401),L401,0)),'Score settings'!$E$22:$F$26,2,FALSE),0)/10*'Score settings'!$B$61)/'Score settings'!$B$9*'Score settings'!$D$9</x:f>
        <x:v>0</x:v>
      </x:c>
      <x:c r="AH401" s="41" t="n">
        <x:f>IF(B401="","",SUM(AB401:AG401))</x:f>
        <x:v>23</x:v>
      </x:c>
      <x:c r="AI401" s="41" t="str">
        <x:f>IF(NOT(ISNUMBER(AH401)),"Not scored",VLOOKUP(AH401,'Score settings'!$A$47:$C$50,3,TRUE))</x:f>
        <x:v>Weak</x:v>
      </x:c>
      <x:c r="AJ401" s="42" t="n">
        <x:f>IF(OR(NOT(ISNUMBER(AH401)),T401&lt;&gt;"Common pot"),"",COUNTIFS($T$4:$T$509,"Common pot",$AH$4:$AH$509,"&gt;"&amp;AH401)+1)</x:f>
        <x:v>301</x:v>
      </x:c>
      <x:c r="AK401" s="36" t="str">
        <x:f>IF(B401="","Name missing - not scored",IF(OR(NOT(ISNUMBER(G401)),G401&lt;=0),"Investment missing or zero - review",IF(0=1,"Permanent ID missing - reconcile",IF(AND(ISNUMBER(H401),H401/G401&gt;='Score settings'!$B$58,NOT(ISNUMBER(I401))),"Benefit units need review",IF(OR(R401="EXIT",R401="CHALLENGE"),"Waste decision requires scope resolution",IF("No exact waste match"&lt;&gt;"Name and organisation matched","Waste evidence match needs review","Provisional source score - confirm evidence"))))))</x:f>
        <x:v>Waste evidence match needs review</x:v>
      </x:c>
      <x:c r="AL401" s="36"/>
      <x:c r="AM401" s="40"/>
      <x:c r="AN401" s="39"/>
      <x:c r="AO401" s="40"/>
      <x:c r="AP401" s="40"/>
    </x:row>
    <x:row r="402" ht="24" hidden="0" customHeight="1">
      <x:c r="A402" s="36" t="str">
        <x:v>EW-80</x:v>
      </x:c>
      <x:c r="B402" s="37" t="str">
        <x:v>FIN-Concur Request integration with Travel &amp; Joule implementation &amp; AI Audit tool</x:v>
      </x:c>
      <x:c r="C402" s="36" t="str">
        <x:v>EW</x:v>
      </x:c>
      <x:c r="D402" s="36" t="str">
        <x:v>Finance​</x:v>
      </x:c>
      <x:c r="E402" s="38" t="n">
        <x:v>0.15</x:v>
      </x:c>
      <x:c r="F402" s="39"/>
      <x:c r="G402" s="38" t="n">
        <x:f>IF(ISNUMBER(F402),F402,IF(E402="","",E402))</x:f>
        <x:v>0.15</x:v>
      </x:c>
      <x:c r="H402" s="38"/>
      <x:c r="I402" s="39"/>
      <x:c r="J402" s="36" t="str">
        <x:v>Unclassified</x:v>
      </x:c>
      <x:c r="K402" s="38" t="str">
        <x:f>IF(ISNUMBER(I402),I402,IF(OR(NOT(ISNUMBER(H402)),NOT(ISNUMBER(G402)),G402&lt;=0),"",IF(H402/G402&gt;='Score settings'!$B$58,"",IF(J402="Cash savings",H402,IF(J402="Revenue",H402*'Score settings'!$B$55,"")))))</x:f>
      </x:c>
      <x:c r="L402" s="36"/>
      <x:c r="M402" s="39"/>
      <x:c r="N402" s="40"/>
      <x:c r="O402" s="36" t="str">
        <x:v>Must Do</x:v>
      </x:c>
      <x:c r="P402" s="36" t="str">
        <x:v>AI</x:v>
      </x:c>
      <x:c r="Q402" s="36" t="str">
        <x:v>Blank</x:v>
      </x:c>
      <x:c r="R402" s="36" t="str">
        <x:v>NotAssessed</x:v>
      </x:c>
      <x:c r="S402" s="36" t="str"/>
      <x:c r="T402" s="36" t="str">
        <x:v>Common pot</x:v>
      </x:c>
      <x:c r="U402" s="41" t="n">
        <x:f>VLOOKUP("Priority|"&amp;O402,'Score settings'!$A$14:$C$43,2,FALSE)/'Score settings'!$B$4*'Score settings'!$C$4</x:f>
        <x:v>25</x:v>
      </x:c>
      <x:c r="V402" s="41" t="n">
        <x:f>VLOOKUP("Category|"&amp;P402,'Score settings'!$A$14:$C$43,2,FALSE)/'Score settings'!$B$5*'Score settings'!$C$5</x:f>
        <x:v>16</x:v>
      </x:c>
      <x:c r="W402" s="41" t="n">
        <x:f>VLOOKUP("Area|"&amp;Q402,'Score settings'!$A$14:$C$43,2,FALSE)/'Score settings'!$B$6*'Score settings'!$C$6</x:f>
        <x:v>3</x:v>
      </x:c>
      <x:c r="X402" s="41" t="n">
        <x:f>VLOOKUP("Benefits|"&amp;IF(AND(ISNUMBER(H402),H402&gt;0,ISNUMBER(G402),G402&gt;0),IF(H402/G402&gt;='Score settings'!$E$17,"3plus",IF(H402/G402&gt;='Score settings'!$E$16,"1.5to3",IF(H402/G402&gt;='Score settings'!$E$15,"0.5to1.5","positive"))),"None"),'Score settings'!$A$14:$C$43,2,FALSE)/'Score settings'!$B$7*'Score settings'!$C$7</x:f>
        <x:v>5</x:v>
      </x:c>
      <x:c r="Y402" s="41" t="n">
        <x:f>VLOOKUP("Waste|"&amp;R402,'Score settings'!$A$14:$C$43,2,FALSE)/'Score settings'!$B$8*'Score settings'!$C$8</x:f>
        <x:v>7</x:v>
      </x:c>
      <x:c r="Z402" s="41" t="n">
        <x:f>IF(B402="","",SUM(U402:Y402))</x:f>
        <x:v>56</x:v>
      </x:c>
      <x:c r="AA402" s="41" t="str">
        <x:f>IF(Z402="","Not scored",VLOOKUP(Z402,'Score settings'!$A$47:$C$50,2,TRUE))</x:f>
        <x:v>Strong</x:v>
      </x:c>
      <x:c r="AB402" s="41" t="n">
        <x:f>VLOOKUP("Priority|"&amp;O402,'Score settings'!$A$14:$C$43,3,FALSE)/'Score settings'!$B$4*'Score settings'!$D$4</x:f>
        <x:v>15</x:v>
      </x:c>
      <x:c r="AC402" s="41" t="n">
        <x:f>VLOOKUP("Category|"&amp;P402,'Score settings'!$A$14:$C$43,3,FALSE)/'Score settings'!$B$5*'Score settings'!$D$5</x:f>
        <x:v>8</x:v>
      </x:c>
      <x:c r="AD402" s="41" t="n">
        <x:f>VLOOKUP("Area|"&amp;Q402,'Score settings'!$A$14:$C$43,3,FALSE)/'Score settings'!$B$6*'Score settings'!$D$6</x:f>
        <x:v>0</x:v>
      </x:c>
      <x:c r="AE402" s="41" t="n">
        <x:f>VLOOKUP("Benefits|"&amp;IF(AND(ISNUMBER(K402),K402&gt;0,ISNUMBER(G402),G402&gt;0),IF(K402/G402&gt;='Score settings'!$E$17,"3plus",IF(K402/G402&gt;='Score settings'!$E$16,"1.5to3",IF(K402/G402&gt;='Score settings'!$E$15,"0.5to1.5","positive"))),"None"),'Score settings'!$A$14:$C$43,3,FALSE)/'Score settings'!$B$7*'Score settings'!$D$7</x:f>
        <x:v>0</x:v>
      </x:c>
      <x:c r="AF402" s="41" t="n">
        <x:f>VLOOKUP("Waste|"&amp;R402,'Score settings'!$A$14:$C$43,3,FALSE)/'Score settings'!$B$8*'Score settings'!$D$8</x:f>
        <x:v>0</x:v>
      </x:c>
      <x:c r="AG402" s="41" t="n">
        <x:f>(IF(AND(ISNUMBER(M402),M402&gt;0,ISNUMBER(G402),G402&gt;0),IF(M402/G402&gt;='Score settings'!$E$17,'Score settings'!$G$17,IF(M402/G402&gt;='Score settings'!$E$16,'Score settings'!$G$16,IF(M402/G402&gt;='Score settings'!$E$15,'Score settings'!$G$15,'Score settings'!$G$14))),0)/15*'Score settings'!$B$60+IFERROR(VLOOKUP(IF(ISNUMBER(N402),N402,IF(ISNUMBER(L402),L402,0)),'Score settings'!$E$22:$F$26,2,FALSE),0)/10*'Score settings'!$B$61)/'Score settings'!$B$9*'Score settings'!$D$9</x:f>
        <x:v>0</x:v>
      </x:c>
      <x:c r="AH402" s="41" t="n">
        <x:f>IF(B402="","",SUM(AB402:AG402))</x:f>
        <x:v>23</x:v>
      </x:c>
      <x:c r="AI402" s="41" t="str">
        <x:f>IF(NOT(ISNUMBER(AH402)),"Not scored",VLOOKUP(AH402,'Score settings'!$A$47:$C$50,3,TRUE))</x:f>
        <x:v>Weak</x:v>
      </x:c>
      <x:c r="AJ402" s="42" t="n">
        <x:f>IF(OR(NOT(ISNUMBER(AH402)),T402&lt;&gt;"Common pot"),"",COUNTIFS($T$4:$T$509,"Common pot",$AH$4:$AH$509,"&gt;"&amp;AH402)+1)</x:f>
        <x:v>301</x:v>
      </x:c>
      <x:c r="AK402" s="36" t="str">
        <x:f>IF(B402="","Name missing - not scored",IF(OR(NOT(ISNUMBER(G402)),G402&lt;=0),"Investment missing or zero - review",IF(0=1,"Permanent ID missing - reconcile",IF(AND(ISNUMBER(H402),H402/G402&gt;='Score settings'!$B$58,NOT(ISNUMBER(I402))),"Benefit units need review",IF(OR(R402="EXIT",R402="CHALLENGE"),"Waste decision requires scope resolution",IF("No exact waste match"&lt;&gt;"Name and organisation matched","Waste evidence match needs review","Provisional source score - confirm evidence"))))))</x:f>
        <x:v>Waste evidence match needs review</x:v>
      </x:c>
      <x:c r="AL402" s="36"/>
      <x:c r="AM402" s="40"/>
      <x:c r="AN402" s="39"/>
      <x:c r="AO402" s="40"/>
      <x:c r="AP402" s="40"/>
    </x:row>
    <x:row r="403" ht="15" hidden="0" customHeight="1">
      <x:c r="A403" s="36" t="str">
        <x:v>EW-81</x:v>
      </x:c>
      <x:c r="B403" s="37" t="str">
        <x:v>FIN-Digital Accounting Operation</x:v>
      </x:c>
      <x:c r="C403" s="36" t="str">
        <x:v>EW</x:v>
      </x:c>
      <x:c r="D403" s="36" t="str">
        <x:v>Finance​</x:v>
      </x:c>
      <x:c r="E403" s="38" t="n">
        <x:v>0.3</x:v>
      </x:c>
      <x:c r="F403" s="39"/>
      <x:c r="G403" s="38" t="n">
        <x:f>IF(ISNUMBER(F403),F403,IF(E403="","",E403))</x:f>
        <x:v>0.3</x:v>
      </x:c>
      <x:c r="H403" s="38"/>
      <x:c r="I403" s="39"/>
      <x:c r="J403" s="36" t="str">
        <x:v>Unclassified</x:v>
      </x:c>
      <x:c r="K403" s="38" t="str">
        <x:f>IF(ISNUMBER(I403),I403,IF(OR(NOT(ISNUMBER(H403)),NOT(ISNUMBER(G403)),G403&lt;=0),"",IF(H403/G403&gt;='Score settings'!$B$58,"",IF(J403="Cash savings",H403,IF(J403="Revenue",H403*'Score settings'!$B$55,"")))))</x:f>
      </x:c>
      <x:c r="L403" s="36"/>
      <x:c r="M403" s="39"/>
      <x:c r="N403" s="40"/>
      <x:c r="O403" s="36" t="str">
        <x:v>Must Do</x:v>
      </x:c>
      <x:c r="P403" s="36" t="str">
        <x:v>AI</x:v>
      </x:c>
      <x:c r="Q403" s="36" t="str">
        <x:v>Blank</x:v>
      </x:c>
      <x:c r="R403" s="36" t="str">
        <x:v>NotAssessed</x:v>
      </x:c>
      <x:c r="S403" s="36" t="str"/>
      <x:c r="T403" s="36" t="str">
        <x:v>Common pot</x:v>
      </x:c>
      <x:c r="U403" s="41" t="n">
        <x:f>VLOOKUP("Priority|"&amp;O403,'Score settings'!$A$14:$C$43,2,FALSE)/'Score settings'!$B$4*'Score settings'!$C$4</x:f>
        <x:v>25</x:v>
      </x:c>
      <x:c r="V403" s="41" t="n">
        <x:f>VLOOKUP("Category|"&amp;P403,'Score settings'!$A$14:$C$43,2,FALSE)/'Score settings'!$B$5*'Score settings'!$C$5</x:f>
        <x:v>16</x:v>
      </x:c>
      <x:c r="W403" s="41" t="n">
        <x:f>VLOOKUP("Area|"&amp;Q403,'Score settings'!$A$14:$C$43,2,FALSE)/'Score settings'!$B$6*'Score settings'!$C$6</x:f>
        <x:v>3</x:v>
      </x:c>
      <x:c r="X403" s="41" t="n">
        <x:f>VLOOKUP("Benefits|"&amp;IF(AND(ISNUMBER(H403),H403&gt;0,ISNUMBER(G403),G403&gt;0),IF(H403/G403&gt;='Score settings'!$E$17,"3plus",IF(H403/G403&gt;='Score settings'!$E$16,"1.5to3",IF(H403/G403&gt;='Score settings'!$E$15,"0.5to1.5","positive"))),"None"),'Score settings'!$A$14:$C$43,2,FALSE)/'Score settings'!$B$7*'Score settings'!$C$7</x:f>
        <x:v>5</x:v>
      </x:c>
      <x:c r="Y403" s="41" t="n">
        <x:f>VLOOKUP("Waste|"&amp;R403,'Score settings'!$A$14:$C$43,2,FALSE)/'Score settings'!$B$8*'Score settings'!$C$8</x:f>
        <x:v>7</x:v>
      </x:c>
      <x:c r="Z403" s="41" t="n">
        <x:f>IF(B403="","",SUM(U403:Y403))</x:f>
        <x:v>56</x:v>
      </x:c>
      <x:c r="AA403" s="41" t="str">
        <x:f>IF(Z403="","Not scored",VLOOKUP(Z403,'Score settings'!$A$47:$C$50,2,TRUE))</x:f>
        <x:v>Strong</x:v>
      </x:c>
      <x:c r="AB403" s="41" t="n">
        <x:f>VLOOKUP("Priority|"&amp;O403,'Score settings'!$A$14:$C$43,3,FALSE)/'Score settings'!$B$4*'Score settings'!$D$4</x:f>
        <x:v>15</x:v>
      </x:c>
      <x:c r="AC403" s="41" t="n">
        <x:f>VLOOKUP("Category|"&amp;P403,'Score settings'!$A$14:$C$43,3,FALSE)/'Score settings'!$B$5*'Score settings'!$D$5</x:f>
        <x:v>8</x:v>
      </x:c>
      <x:c r="AD403" s="41" t="n">
        <x:f>VLOOKUP("Area|"&amp;Q403,'Score settings'!$A$14:$C$43,3,FALSE)/'Score settings'!$B$6*'Score settings'!$D$6</x:f>
        <x:v>0</x:v>
      </x:c>
      <x:c r="AE403" s="41" t="n">
        <x:f>VLOOKUP("Benefits|"&amp;IF(AND(ISNUMBER(K403),K403&gt;0,ISNUMBER(G403),G403&gt;0),IF(K403/G403&gt;='Score settings'!$E$17,"3plus",IF(K403/G403&gt;='Score settings'!$E$16,"1.5to3",IF(K403/G403&gt;='Score settings'!$E$15,"0.5to1.5","positive"))),"None"),'Score settings'!$A$14:$C$43,3,FALSE)/'Score settings'!$B$7*'Score settings'!$D$7</x:f>
        <x:v>0</x:v>
      </x:c>
      <x:c r="AF403" s="41" t="n">
        <x:f>VLOOKUP("Waste|"&amp;R403,'Score settings'!$A$14:$C$43,3,FALSE)/'Score settings'!$B$8*'Score settings'!$D$8</x:f>
        <x:v>0</x:v>
      </x:c>
      <x:c r="AG403" s="41" t="n">
        <x:f>(IF(AND(ISNUMBER(M403),M403&gt;0,ISNUMBER(G403),G403&gt;0),IF(M403/G403&gt;='Score settings'!$E$17,'Score settings'!$G$17,IF(M403/G403&gt;='Score settings'!$E$16,'Score settings'!$G$16,IF(M403/G403&gt;='Score settings'!$E$15,'Score settings'!$G$15,'Score settings'!$G$14))),0)/15*'Score settings'!$B$60+IFERROR(VLOOKUP(IF(ISNUMBER(N403),N403,IF(ISNUMBER(L403),L403,0)),'Score settings'!$E$22:$F$26,2,FALSE),0)/10*'Score settings'!$B$61)/'Score settings'!$B$9*'Score settings'!$D$9</x:f>
        <x:v>0</x:v>
      </x:c>
      <x:c r="AH403" s="41" t="n">
        <x:f>IF(B403="","",SUM(AB403:AG403))</x:f>
        <x:v>23</x:v>
      </x:c>
      <x:c r="AI403" s="41" t="str">
        <x:f>IF(NOT(ISNUMBER(AH403)),"Not scored",VLOOKUP(AH403,'Score settings'!$A$47:$C$50,3,TRUE))</x:f>
        <x:v>Weak</x:v>
      </x:c>
      <x:c r="AJ403" s="42" t="n">
        <x:f>IF(OR(NOT(ISNUMBER(AH403)),T403&lt;&gt;"Common pot"),"",COUNTIFS($T$4:$T$509,"Common pot",$AH$4:$AH$509,"&gt;"&amp;AH403)+1)</x:f>
        <x:v>301</x:v>
      </x:c>
      <x:c r="AK403" s="36" t="str">
        <x:f>IF(B403="","Name missing - not scored",IF(OR(NOT(ISNUMBER(G403)),G403&lt;=0),"Investment missing or zero - review",IF(0=1,"Permanent ID missing - reconcile",IF(AND(ISNUMBER(H403),H403/G403&gt;='Score settings'!$B$58,NOT(ISNUMBER(I403))),"Benefit units need review",IF(OR(R403="EXIT",R403="CHALLENGE"),"Waste decision requires scope resolution",IF("No exact waste match"&lt;&gt;"Name and organisation matched","Waste evidence match needs review","Provisional source score - confirm evidence"))))))</x:f>
        <x:v>Waste evidence match needs review</x:v>
      </x:c>
      <x:c r="AL403" s="36"/>
      <x:c r="AM403" s="40"/>
      <x:c r="AN403" s="39"/>
      <x:c r="AO403" s="40"/>
      <x:c r="AP403" s="40"/>
    </x:row>
    <x:row r="404" ht="15" hidden="0" customHeight="1">
      <x:c r="A404" s="36" t="str">
        <x:v>EW-82</x:v>
      </x:c>
      <x:c r="B404" s="37" t="str">
        <x:v>FIN-VAT/GST tool</x:v>
      </x:c>
      <x:c r="C404" s="36" t="str">
        <x:v>EW</x:v>
      </x:c>
      <x:c r="D404" s="36" t="str">
        <x:v>Finance​</x:v>
      </x:c>
      <x:c r="E404" s="38" t="n">
        <x:v>0.6</x:v>
      </x:c>
      <x:c r="F404" s="39"/>
      <x:c r="G404" s="38" t="n">
        <x:f>IF(ISNUMBER(F404),F404,IF(E404="","",E404))</x:f>
        <x:v>0.6</x:v>
      </x:c>
      <x:c r="H404" s="38" t="n">
        <x:v>0.15</x:v>
      </x:c>
      <x:c r="I404" s="39"/>
      <x:c r="J404" s="36" t="str">
        <x:v>Unclassified</x:v>
      </x:c>
      <x:c r="K404" s="38" t="str">
        <x:f>IF(ISNUMBER(I404),I404,IF(OR(NOT(ISNUMBER(H404)),NOT(ISNUMBER(G404)),G404&lt;=0),"",IF(H404/G404&gt;='Score settings'!$B$58,"",IF(J404="Cash savings",H404,IF(J404="Revenue",H404*'Score settings'!$B$55,"")))))</x:f>
      </x:c>
      <x:c r="L404" s="36"/>
      <x:c r="M404" s="39"/>
      <x:c r="N404" s="40"/>
      <x:c r="O404" s="36" t="str">
        <x:v>Must Do</x:v>
      </x:c>
      <x:c r="P404" s="36" t="str">
        <x:v>AI</x:v>
      </x:c>
      <x:c r="Q404" s="36" t="str">
        <x:v>Blank</x:v>
      </x:c>
      <x:c r="R404" s="36" t="str">
        <x:v>NotAssessed</x:v>
      </x:c>
      <x:c r="S404" s="36" t="str"/>
      <x:c r="T404" s="36" t="str">
        <x:v>Common pot</x:v>
      </x:c>
      <x:c r="U404" s="41" t="n">
        <x:f>VLOOKUP("Priority|"&amp;O404,'Score settings'!$A$14:$C$43,2,FALSE)/'Score settings'!$B$4*'Score settings'!$C$4</x:f>
        <x:v>25</x:v>
      </x:c>
      <x:c r="V404" s="41" t="n">
        <x:f>VLOOKUP("Category|"&amp;P404,'Score settings'!$A$14:$C$43,2,FALSE)/'Score settings'!$B$5*'Score settings'!$C$5</x:f>
        <x:v>16</x:v>
      </x:c>
      <x:c r="W404" s="41" t="n">
        <x:f>VLOOKUP("Area|"&amp;Q404,'Score settings'!$A$14:$C$43,2,FALSE)/'Score settings'!$B$6*'Score settings'!$C$6</x:f>
        <x:v>3</x:v>
      </x:c>
      <x:c r="X404" s="41" t="n">
        <x:f>VLOOKUP("Benefits|"&amp;IF(AND(ISNUMBER(H404),H404&gt;0,ISNUMBER(G404),G404&gt;0),IF(H404/G404&gt;='Score settings'!$E$17,"3plus",IF(H404/G404&gt;='Score settings'!$E$16,"1.5to3",IF(H404/G404&gt;='Score settings'!$E$15,"0.5to1.5","positive"))),"None"),'Score settings'!$A$14:$C$43,2,FALSE)/'Score settings'!$B$7*'Score settings'!$C$7</x:f>
        <x:v>10</x:v>
      </x:c>
      <x:c r="Y404" s="41" t="n">
        <x:f>VLOOKUP("Waste|"&amp;R404,'Score settings'!$A$14:$C$43,2,FALSE)/'Score settings'!$B$8*'Score settings'!$C$8</x:f>
        <x:v>7</x:v>
      </x:c>
      <x:c r="Z404" s="41" t="n">
        <x:f>IF(B404="","",SUM(U404:Y404))</x:f>
        <x:v>61</x:v>
      </x:c>
      <x:c r="AA404" s="41" t="str">
        <x:f>IF(Z404="","Not scored",VLOOKUP(Z404,'Score settings'!$A$47:$C$50,2,TRUE))</x:f>
        <x:v>Strong</x:v>
      </x:c>
      <x:c r="AB404" s="41" t="n">
        <x:f>VLOOKUP("Priority|"&amp;O404,'Score settings'!$A$14:$C$43,3,FALSE)/'Score settings'!$B$4*'Score settings'!$D$4</x:f>
        <x:v>15</x:v>
      </x:c>
      <x:c r="AC404" s="41" t="n">
        <x:f>VLOOKUP("Category|"&amp;P404,'Score settings'!$A$14:$C$43,3,FALSE)/'Score settings'!$B$5*'Score settings'!$D$5</x:f>
        <x:v>8</x:v>
      </x:c>
      <x:c r="AD404" s="41" t="n">
        <x:f>VLOOKUP("Area|"&amp;Q404,'Score settings'!$A$14:$C$43,3,FALSE)/'Score settings'!$B$6*'Score settings'!$D$6</x:f>
        <x:v>0</x:v>
      </x:c>
      <x:c r="AE404" s="41" t="n">
        <x:f>VLOOKUP("Benefits|"&amp;IF(AND(ISNUMBER(K404),K404&gt;0,ISNUMBER(G404),G404&gt;0),IF(K404/G404&gt;='Score settings'!$E$17,"3plus",IF(K404/G404&gt;='Score settings'!$E$16,"1.5to3",IF(K404/G404&gt;='Score settings'!$E$15,"0.5to1.5","positive"))),"None"),'Score settings'!$A$14:$C$43,3,FALSE)/'Score settings'!$B$7*'Score settings'!$D$7</x:f>
        <x:v>0</x:v>
      </x:c>
      <x:c r="AF404" s="41" t="n">
        <x:f>VLOOKUP("Waste|"&amp;R404,'Score settings'!$A$14:$C$43,3,FALSE)/'Score settings'!$B$8*'Score settings'!$D$8</x:f>
        <x:v>0</x:v>
      </x:c>
      <x:c r="AG404" s="41" t="n">
        <x:f>(IF(AND(ISNUMBER(M404),M404&gt;0,ISNUMBER(G404),G404&gt;0),IF(M404/G404&gt;='Score settings'!$E$17,'Score settings'!$G$17,IF(M404/G404&gt;='Score settings'!$E$16,'Score settings'!$G$16,IF(M404/G404&gt;='Score settings'!$E$15,'Score settings'!$G$15,'Score settings'!$G$14))),0)/15*'Score settings'!$B$60+IFERROR(VLOOKUP(IF(ISNUMBER(N404),N404,IF(ISNUMBER(L404),L404,0)),'Score settings'!$E$22:$F$26,2,FALSE),0)/10*'Score settings'!$B$61)/'Score settings'!$B$9*'Score settings'!$D$9</x:f>
        <x:v>0</x:v>
      </x:c>
      <x:c r="AH404" s="41" t="n">
        <x:f>IF(B404="","",SUM(AB404:AG404))</x:f>
        <x:v>23</x:v>
      </x:c>
      <x:c r="AI404" s="41" t="str">
        <x:f>IF(NOT(ISNUMBER(AH404)),"Not scored",VLOOKUP(AH404,'Score settings'!$A$47:$C$50,3,TRUE))</x:f>
        <x:v>Weak</x:v>
      </x:c>
      <x:c r="AJ404" s="42" t="n">
        <x:f>IF(OR(NOT(ISNUMBER(AH404)),T404&lt;&gt;"Common pot"),"",COUNTIFS($T$4:$T$509,"Common pot",$AH$4:$AH$509,"&gt;"&amp;AH404)+1)</x:f>
        <x:v>301</x:v>
      </x:c>
      <x:c r="AK404" s="36" t="str">
        <x:f>IF(B404="","Name missing - not scored",IF(OR(NOT(ISNUMBER(G404)),G404&lt;=0),"Investment missing or zero - review",IF(0=1,"Permanent ID missing - reconcile",IF(AND(ISNUMBER(H404),H404/G404&gt;='Score settings'!$B$58,NOT(ISNUMBER(I404))),"Benefit units need review",IF(OR(R404="EXIT",R404="CHALLENGE"),"Waste decision requires scope resolution",IF("No exact waste match"&lt;&gt;"Name and organisation matched","Waste evidence match needs review","Provisional source score - confirm evidence"))))))</x:f>
        <x:v>Waste evidence match needs review</x:v>
      </x:c>
      <x:c r="AL404" s="36"/>
      <x:c r="AM404" s="40"/>
      <x:c r="AN404" s="39"/>
      <x:c r="AO404" s="40"/>
      <x:c r="AP404" s="40"/>
    </x:row>
    <x:row r="405" ht="15" hidden="0" customHeight="1">
      <x:c r="A405" s="36" t="str">
        <x:v>EW-83</x:v>
      </x:c>
      <x:c r="B405" s="37" t="str">
        <x:v>FIN-Form 1099/1042 withholding tax process improvements</x:v>
      </x:c>
      <x:c r="C405" s="36" t="str">
        <x:v>EW</x:v>
      </x:c>
      <x:c r="D405" s="36" t="str">
        <x:v>Finance​</x:v>
      </x:c>
      <x:c r="E405" s="38" t="n">
        <x:v>0.05</x:v>
      </x:c>
      <x:c r="F405" s="39"/>
      <x:c r="G405" s="38" t="n">
        <x:f>IF(ISNUMBER(F405),F405,IF(E405="","",E405))</x:f>
        <x:v>0.05</x:v>
      </x:c>
      <x:c r="H405" s="38"/>
      <x:c r="I405" s="39"/>
      <x:c r="J405" s="36" t="str">
        <x:v>Unclassified</x:v>
      </x:c>
      <x:c r="K405" s="38" t="str">
        <x:f>IF(ISNUMBER(I405),I405,IF(OR(NOT(ISNUMBER(H405)),NOT(ISNUMBER(G405)),G405&lt;=0),"",IF(H405/G405&gt;='Score settings'!$B$58,"",IF(J405="Cash savings",H405,IF(J405="Revenue",H405*'Score settings'!$B$55,"")))))</x:f>
      </x:c>
      <x:c r="L405" s="36"/>
      <x:c r="M405" s="39"/>
      <x:c r="N405" s="40"/>
      <x:c r="O405" s="36" t="str">
        <x:v>Must Do</x:v>
      </x:c>
      <x:c r="P405" s="36" t="str">
        <x:v>LFR</x:v>
      </x:c>
      <x:c r="Q405" s="36" t="str">
        <x:v>Blank</x:v>
      </x:c>
      <x:c r="R405" s="36" t="str">
        <x:v>NotAssessed</x:v>
      </x:c>
      <x:c r="S405" s="36" t="str"/>
      <x:c r="T405" s="36" t="str">
        <x:v>Common pot</x:v>
      </x:c>
      <x:c r="U405" s="41" t="n">
        <x:f>VLOOKUP("Priority|"&amp;O405,'Score settings'!$A$14:$C$43,2,FALSE)/'Score settings'!$B$4*'Score settings'!$C$4</x:f>
        <x:v>25</x:v>
      </x:c>
      <x:c r="V405" s="41" t="n">
        <x:f>VLOOKUP("Category|"&amp;P405,'Score settings'!$A$14:$C$43,2,FALSE)/'Score settings'!$B$5*'Score settings'!$C$5</x:f>
        <x:v>20</x:v>
      </x:c>
      <x:c r="W405" s="41" t="n">
        <x:f>VLOOKUP("Area|"&amp;Q405,'Score settings'!$A$14:$C$43,2,FALSE)/'Score settings'!$B$6*'Score settings'!$C$6</x:f>
        <x:v>3</x:v>
      </x:c>
      <x:c r="X405" s="41" t="n">
        <x:f>VLOOKUP("Benefits|"&amp;IF(AND(ISNUMBER(H405),H405&gt;0,ISNUMBER(G405),G405&gt;0),IF(H405/G405&gt;='Score settings'!$E$17,"3plus",IF(H405/G405&gt;='Score settings'!$E$16,"1.5to3",IF(H405/G405&gt;='Score settings'!$E$15,"0.5to1.5","positive"))),"None"),'Score settings'!$A$14:$C$43,2,FALSE)/'Score settings'!$B$7*'Score settings'!$C$7</x:f>
        <x:v>5</x:v>
      </x:c>
      <x:c r="Y405" s="41" t="n">
        <x:f>VLOOKUP("Waste|"&amp;R405,'Score settings'!$A$14:$C$43,2,FALSE)/'Score settings'!$B$8*'Score settings'!$C$8</x:f>
        <x:v>7</x:v>
      </x:c>
      <x:c r="Z405" s="41" t="n">
        <x:f>IF(B405="","",SUM(U405:Y405))</x:f>
        <x:v>60</x:v>
      </x:c>
      <x:c r="AA405" s="41" t="str">
        <x:f>IF(Z405="","Not scored",VLOOKUP(Z405,'Score settings'!$A$47:$C$50,2,TRUE))</x:f>
        <x:v>Strong</x:v>
      </x:c>
      <x:c r="AB405" s="41" t="n">
        <x:f>VLOOKUP("Priority|"&amp;O405,'Score settings'!$A$14:$C$43,3,FALSE)/'Score settings'!$B$4*'Score settings'!$D$4</x:f>
        <x:v>15</x:v>
      </x:c>
      <x:c r="AC405" s="41" t="n">
        <x:f>VLOOKUP("Category|"&amp;P405,'Score settings'!$A$14:$C$43,3,FALSE)/'Score settings'!$B$5*'Score settings'!$D$5</x:f>
        <x:v>10</x:v>
      </x:c>
      <x:c r="AD405" s="41" t="n">
        <x:f>VLOOKUP("Area|"&amp;Q405,'Score settings'!$A$14:$C$43,3,FALSE)/'Score settings'!$B$6*'Score settings'!$D$6</x:f>
        <x:v>0</x:v>
      </x:c>
      <x:c r="AE405" s="41" t="n">
        <x:f>VLOOKUP("Benefits|"&amp;IF(AND(ISNUMBER(K405),K405&gt;0,ISNUMBER(G405),G405&gt;0),IF(K405/G405&gt;='Score settings'!$E$17,"3plus",IF(K405/G405&gt;='Score settings'!$E$16,"1.5to3",IF(K405/G405&gt;='Score settings'!$E$15,"0.5to1.5","positive"))),"None"),'Score settings'!$A$14:$C$43,3,FALSE)/'Score settings'!$B$7*'Score settings'!$D$7</x:f>
        <x:v>0</x:v>
      </x:c>
      <x:c r="AF405" s="41" t="n">
        <x:f>VLOOKUP("Waste|"&amp;R405,'Score settings'!$A$14:$C$43,3,FALSE)/'Score settings'!$B$8*'Score settings'!$D$8</x:f>
        <x:v>0</x:v>
      </x:c>
      <x:c r="AG405" s="41" t="n">
        <x:f>(IF(AND(ISNUMBER(M405),M405&gt;0,ISNUMBER(G405),G405&gt;0),IF(M405/G405&gt;='Score settings'!$E$17,'Score settings'!$G$17,IF(M405/G405&gt;='Score settings'!$E$16,'Score settings'!$G$16,IF(M405/G405&gt;='Score settings'!$E$15,'Score settings'!$G$15,'Score settings'!$G$14))),0)/15*'Score settings'!$B$60+IFERROR(VLOOKUP(IF(ISNUMBER(N405),N405,IF(ISNUMBER(L405),L405,0)),'Score settings'!$E$22:$F$26,2,FALSE),0)/10*'Score settings'!$B$61)/'Score settings'!$B$9*'Score settings'!$D$9</x:f>
        <x:v>0</x:v>
      </x:c>
      <x:c r="AH405" s="41" t="n">
        <x:f>IF(B405="","",SUM(AB405:AG405))</x:f>
        <x:v>25</x:v>
      </x:c>
      <x:c r="AI405" s="41" t="str">
        <x:f>IF(NOT(ISNUMBER(AH405)),"Not scored",VLOOKUP(AH405,'Score settings'!$A$47:$C$50,3,TRUE))</x:f>
        <x:v>Discretionary</x:v>
      </x:c>
      <x:c r="AJ405" s="42" t="n">
        <x:f>IF(OR(NOT(ISNUMBER(AH405)),T405&lt;&gt;"Common pot"),"",COUNTIFS($T$4:$T$509,"Common pot",$AH$4:$AH$509,"&gt;"&amp;AH405)+1)</x:f>
        <x:v>264</x:v>
      </x:c>
      <x:c r="AK405" s="36" t="str">
        <x:f>IF(B405="","Name missing - not scored",IF(OR(NOT(ISNUMBER(G405)),G405&lt;=0),"Investment missing or zero - review",IF(0=1,"Permanent ID missing - reconcile",IF(AND(ISNUMBER(H405),H405/G405&gt;='Score settings'!$B$58,NOT(ISNUMBER(I405))),"Benefit units need review",IF(OR(R405="EXIT",R405="CHALLENGE"),"Waste decision requires scope resolution",IF("No exact waste match"&lt;&gt;"Name and organisation matched","Waste evidence match needs review","Provisional source score - confirm evidence"))))))</x:f>
        <x:v>Waste evidence match needs review</x:v>
      </x:c>
      <x:c r="AL405" s="36"/>
      <x:c r="AM405" s="40"/>
      <x:c r="AN405" s="39"/>
      <x:c r="AO405" s="40"/>
      <x:c r="AP405" s="40"/>
    </x:row>
    <x:row r="406" ht="15" hidden="0" customHeight="1">
      <x:c r="A406" s="36" t="str">
        <x:v>EW-84</x:v>
      </x:c>
      <x:c r="B406" s="37" t="str">
        <x:v>FIN-FPA Digital -AI/GenAI implementation (FP&amp;A cases) (Big-Bets)</x:v>
      </x:c>
      <x:c r="C406" s="36" t="str">
        <x:v>EW</x:v>
      </x:c>
      <x:c r="D406" s="36" t="str">
        <x:v>Finance​</x:v>
      </x:c>
      <x:c r="E406" s="38" t="n">
        <x:v>0.25</x:v>
      </x:c>
      <x:c r="F406" s="39"/>
      <x:c r="G406" s="38" t="n">
        <x:f>IF(ISNUMBER(F406),F406,IF(E406="","",E406))</x:f>
        <x:v>0.25</x:v>
      </x:c>
      <x:c r="H406" s="38"/>
      <x:c r="I406" s="39"/>
      <x:c r="J406" s="36" t="str">
        <x:v>Unclassified</x:v>
      </x:c>
      <x:c r="K406" s="38" t="str">
        <x:f>IF(ISNUMBER(I406),I406,IF(OR(NOT(ISNUMBER(H406)),NOT(ISNUMBER(G406)),G406&lt;=0),"",IF(H406/G406&gt;='Score settings'!$B$58,"",IF(J406="Cash savings",H406,IF(J406="Revenue",H406*'Score settings'!$B$55,"")))))</x:f>
      </x:c>
      <x:c r="L406" s="36"/>
      <x:c r="M406" s="39"/>
      <x:c r="N406" s="40"/>
      <x:c r="O406" s="36" t="str">
        <x:v>Must Do</x:v>
      </x:c>
      <x:c r="P406" s="36" t="str">
        <x:v>AI</x:v>
      </x:c>
      <x:c r="Q406" s="36" t="str">
        <x:v>Blank</x:v>
      </x:c>
      <x:c r="R406" s="36" t="str">
        <x:v>NotAssessed</x:v>
      </x:c>
      <x:c r="S406" s="36" t="str"/>
      <x:c r="T406" s="36" t="str">
        <x:v>Common pot</x:v>
      </x:c>
      <x:c r="U406" s="41" t="n">
        <x:f>VLOOKUP("Priority|"&amp;O406,'Score settings'!$A$14:$C$43,2,FALSE)/'Score settings'!$B$4*'Score settings'!$C$4</x:f>
        <x:v>25</x:v>
      </x:c>
      <x:c r="V406" s="41" t="n">
        <x:f>VLOOKUP("Category|"&amp;P406,'Score settings'!$A$14:$C$43,2,FALSE)/'Score settings'!$B$5*'Score settings'!$C$5</x:f>
        <x:v>16</x:v>
      </x:c>
      <x:c r="W406" s="41" t="n">
        <x:f>VLOOKUP("Area|"&amp;Q406,'Score settings'!$A$14:$C$43,2,FALSE)/'Score settings'!$B$6*'Score settings'!$C$6</x:f>
        <x:v>3</x:v>
      </x:c>
      <x:c r="X406" s="41" t="n">
        <x:f>VLOOKUP("Benefits|"&amp;IF(AND(ISNUMBER(H406),H406&gt;0,ISNUMBER(G406),G406&gt;0),IF(H406/G406&gt;='Score settings'!$E$17,"3plus",IF(H406/G406&gt;='Score settings'!$E$16,"1.5to3",IF(H406/G406&gt;='Score settings'!$E$15,"0.5to1.5","positive"))),"None"),'Score settings'!$A$14:$C$43,2,FALSE)/'Score settings'!$B$7*'Score settings'!$C$7</x:f>
        <x:v>5</x:v>
      </x:c>
      <x:c r="Y406" s="41" t="n">
        <x:f>VLOOKUP("Waste|"&amp;R406,'Score settings'!$A$14:$C$43,2,FALSE)/'Score settings'!$B$8*'Score settings'!$C$8</x:f>
        <x:v>7</x:v>
      </x:c>
      <x:c r="Z406" s="41" t="n">
        <x:f>IF(B406="","",SUM(U406:Y406))</x:f>
        <x:v>56</x:v>
      </x:c>
      <x:c r="AA406" s="41" t="str">
        <x:f>IF(Z406="","Not scored",VLOOKUP(Z406,'Score settings'!$A$47:$C$50,2,TRUE))</x:f>
        <x:v>Strong</x:v>
      </x:c>
      <x:c r="AB406" s="41" t="n">
        <x:f>VLOOKUP("Priority|"&amp;O406,'Score settings'!$A$14:$C$43,3,FALSE)/'Score settings'!$B$4*'Score settings'!$D$4</x:f>
        <x:v>15</x:v>
      </x:c>
      <x:c r="AC406" s="41" t="n">
        <x:f>VLOOKUP("Category|"&amp;P406,'Score settings'!$A$14:$C$43,3,FALSE)/'Score settings'!$B$5*'Score settings'!$D$5</x:f>
        <x:v>8</x:v>
      </x:c>
      <x:c r="AD406" s="41" t="n">
        <x:f>VLOOKUP("Area|"&amp;Q406,'Score settings'!$A$14:$C$43,3,FALSE)/'Score settings'!$B$6*'Score settings'!$D$6</x:f>
        <x:v>0</x:v>
      </x:c>
      <x:c r="AE406" s="41" t="n">
        <x:f>VLOOKUP("Benefits|"&amp;IF(AND(ISNUMBER(K406),K406&gt;0,ISNUMBER(G406),G406&gt;0),IF(K406/G406&gt;='Score settings'!$E$17,"3plus",IF(K406/G406&gt;='Score settings'!$E$16,"1.5to3",IF(K406/G406&gt;='Score settings'!$E$15,"0.5to1.5","positive"))),"None"),'Score settings'!$A$14:$C$43,3,FALSE)/'Score settings'!$B$7*'Score settings'!$D$7</x:f>
        <x:v>0</x:v>
      </x:c>
      <x:c r="AF406" s="41" t="n">
        <x:f>VLOOKUP("Waste|"&amp;R406,'Score settings'!$A$14:$C$43,3,FALSE)/'Score settings'!$B$8*'Score settings'!$D$8</x:f>
        <x:v>0</x:v>
      </x:c>
      <x:c r="AG406" s="41" t="n">
        <x:f>(IF(AND(ISNUMBER(M406),M406&gt;0,ISNUMBER(G406),G406&gt;0),IF(M406/G406&gt;='Score settings'!$E$17,'Score settings'!$G$17,IF(M406/G406&gt;='Score settings'!$E$16,'Score settings'!$G$16,IF(M406/G406&gt;='Score settings'!$E$15,'Score settings'!$G$15,'Score settings'!$G$14))),0)/15*'Score settings'!$B$60+IFERROR(VLOOKUP(IF(ISNUMBER(N406),N406,IF(ISNUMBER(L406),L406,0)),'Score settings'!$E$22:$F$26,2,FALSE),0)/10*'Score settings'!$B$61)/'Score settings'!$B$9*'Score settings'!$D$9</x:f>
        <x:v>0</x:v>
      </x:c>
      <x:c r="AH406" s="41" t="n">
        <x:f>IF(B406="","",SUM(AB406:AG406))</x:f>
        <x:v>23</x:v>
      </x:c>
      <x:c r="AI406" s="41" t="str">
        <x:f>IF(NOT(ISNUMBER(AH406)),"Not scored",VLOOKUP(AH406,'Score settings'!$A$47:$C$50,3,TRUE))</x:f>
        <x:v>Weak</x:v>
      </x:c>
      <x:c r="AJ406" s="42" t="n">
        <x:f>IF(OR(NOT(ISNUMBER(AH406)),T406&lt;&gt;"Common pot"),"",COUNTIFS($T$4:$T$509,"Common pot",$AH$4:$AH$509,"&gt;"&amp;AH406)+1)</x:f>
        <x:v>301</x:v>
      </x:c>
      <x:c r="AK406" s="36" t="str">
        <x:f>IF(B406="","Name missing - not scored",IF(OR(NOT(ISNUMBER(G406)),G406&lt;=0),"Investment missing or zero - review",IF(0=1,"Permanent ID missing - reconcile",IF(AND(ISNUMBER(H406),H406/G406&gt;='Score settings'!$B$58,NOT(ISNUMBER(I406))),"Benefit units need review",IF(OR(R406="EXIT",R406="CHALLENGE"),"Waste decision requires scope resolution",IF("No exact waste match"&lt;&gt;"Name and organisation matched","Waste evidence match needs review","Provisional source score - confirm evidence"))))))</x:f>
        <x:v>Waste evidence match needs review</x:v>
      </x:c>
      <x:c r="AL406" s="36"/>
      <x:c r="AM406" s="40"/>
      <x:c r="AN406" s="39"/>
      <x:c r="AO406" s="40"/>
      <x:c r="AP406" s="40"/>
    </x:row>
    <x:row r="407" ht="15" hidden="0" customHeight="1">
      <x:c r="A407" s="36" t="str">
        <x:v>EW-85</x:v>
      </x:c>
      <x:c r="B407" s="37" t="str">
        <x:v>FIN-GenAI use cases</x:v>
      </x:c>
      <x:c r="C407" s="36" t="str">
        <x:v>EW</x:v>
      </x:c>
      <x:c r="D407" s="36" t="str">
        <x:v>Finance​</x:v>
      </x:c>
      <x:c r="E407" s="38" t="n">
        <x:v>0.25</x:v>
      </x:c>
      <x:c r="F407" s="39"/>
      <x:c r="G407" s="38" t="n">
        <x:f>IF(ISNUMBER(F407),F407,IF(E407="","",E407))</x:f>
        <x:v>0.25</x:v>
      </x:c>
      <x:c r="H407" s="38"/>
      <x:c r="I407" s="39"/>
      <x:c r="J407" s="36" t="str">
        <x:v>Unclassified</x:v>
      </x:c>
      <x:c r="K407" s="38" t="str">
        <x:f>IF(ISNUMBER(I407),I407,IF(OR(NOT(ISNUMBER(H407)),NOT(ISNUMBER(G407)),G407&lt;=0),"",IF(H407/G407&gt;='Score settings'!$B$58,"",IF(J407="Cash savings",H407,IF(J407="Revenue",H407*'Score settings'!$B$55,"")))))</x:f>
      </x:c>
      <x:c r="L407" s="36"/>
      <x:c r="M407" s="39"/>
      <x:c r="N407" s="40"/>
      <x:c r="O407" s="36" t="str">
        <x:v>Must Do</x:v>
      </x:c>
      <x:c r="P407" s="36" t="str">
        <x:v>AI</x:v>
      </x:c>
      <x:c r="Q407" s="36" t="str">
        <x:v>Blank</x:v>
      </x:c>
      <x:c r="R407" s="36" t="str">
        <x:v>NotAssessed</x:v>
      </x:c>
      <x:c r="S407" s="36" t="str"/>
      <x:c r="T407" s="36" t="str">
        <x:v>Common pot</x:v>
      </x:c>
      <x:c r="U407" s="41" t="n">
        <x:f>VLOOKUP("Priority|"&amp;O407,'Score settings'!$A$14:$C$43,2,FALSE)/'Score settings'!$B$4*'Score settings'!$C$4</x:f>
        <x:v>25</x:v>
      </x:c>
      <x:c r="V407" s="41" t="n">
        <x:f>VLOOKUP("Category|"&amp;P407,'Score settings'!$A$14:$C$43,2,FALSE)/'Score settings'!$B$5*'Score settings'!$C$5</x:f>
        <x:v>16</x:v>
      </x:c>
      <x:c r="W407" s="41" t="n">
        <x:f>VLOOKUP("Area|"&amp;Q407,'Score settings'!$A$14:$C$43,2,FALSE)/'Score settings'!$B$6*'Score settings'!$C$6</x:f>
        <x:v>3</x:v>
      </x:c>
      <x:c r="X407" s="41" t="n">
        <x:f>VLOOKUP("Benefits|"&amp;IF(AND(ISNUMBER(H407),H407&gt;0,ISNUMBER(G407),G407&gt;0),IF(H407/G407&gt;='Score settings'!$E$17,"3plus",IF(H407/G407&gt;='Score settings'!$E$16,"1.5to3",IF(H407/G407&gt;='Score settings'!$E$15,"0.5to1.5","positive"))),"None"),'Score settings'!$A$14:$C$43,2,FALSE)/'Score settings'!$B$7*'Score settings'!$C$7</x:f>
        <x:v>5</x:v>
      </x:c>
      <x:c r="Y407" s="41" t="n">
        <x:f>VLOOKUP("Waste|"&amp;R407,'Score settings'!$A$14:$C$43,2,FALSE)/'Score settings'!$B$8*'Score settings'!$C$8</x:f>
        <x:v>7</x:v>
      </x:c>
      <x:c r="Z407" s="41" t="n">
        <x:f>IF(B407="","",SUM(U407:Y407))</x:f>
        <x:v>56</x:v>
      </x:c>
      <x:c r="AA407" s="41" t="str">
        <x:f>IF(Z407="","Not scored",VLOOKUP(Z407,'Score settings'!$A$47:$C$50,2,TRUE))</x:f>
        <x:v>Strong</x:v>
      </x:c>
      <x:c r="AB407" s="41" t="n">
        <x:f>VLOOKUP("Priority|"&amp;O407,'Score settings'!$A$14:$C$43,3,FALSE)/'Score settings'!$B$4*'Score settings'!$D$4</x:f>
        <x:v>15</x:v>
      </x:c>
      <x:c r="AC407" s="41" t="n">
        <x:f>VLOOKUP("Category|"&amp;P407,'Score settings'!$A$14:$C$43,3,FALSE)/'Score settings'!$B$5*'Score settings'!$D$5</x:f>
        <x:v>8</x:v>
      </x:c>
      <x:c r="AD407" s="41" t="n">
        <x:f>VLOOKUP("Area|"&amp;Q407,'Score settings'!$A$14:$C$43,3,FALSE)/'Score settings'!$B$6*'Score settings'!$D$6</x:f>
        <x:v>0</x:v>
      </x:c>
      <x:c r="AE407" s="41" t="n">
        <x:f>VLOOKUP("Benefits|"&amp;IF(AND(ISNUMBER(K407),K407&gt;0,ISNUMBER(G407),G407&gt;0),IF(K407/G407&gt;='Score settings'!$E$17,"3plus",IF(K407/G407&gt;='Score settings'!$E$16,"1.5to3",IF(K407/G407&gt;='Score settings'!$E$15,"0.5to1.5","positive"))),"None"),'Score settings'!$A$14:$C$43,3,FALSE)/'Score settings'!$B$7*'Score settings'!$D$7</x:f>
        <x:v>0</x:v>
      </x:c>
      <x:c r="AF407" s="41" t="n">
        <x:f>VLOOKUP("Waste|"&amp;R407,'Score settings'!$A$14:$C$43,3,FALSE)/'Score settings'!$B$8*'Score settings'!$D$8</x:f>
        <x:v>0</x:v>
      </x:c>
      <x:c r="AG407" s="41" t="n">
        <x:f>(IF(AND(ISNUMBER(M407),M407&gt;0,ISNUMBER(G407),G407&gt;0),IF(M407/G407&gt;='Score settings'!$E$17,'Score settings'!$G$17,IF(M407/G407&gt;='Score settings'!$E$16,'Score settings'!$G$16,IF(M407/G407&gt;='Score settings'!$E$15,'Score settings'!$G$15,'Score settings'!$G$14))),0)/15*'Score settings'!$B$60+IFERROR(VLOOKUP(IF(ISNUMBER(N407),N407,IF(ISNUMBER(L407),L407,0)),'Score settings'!$E$22:$F$26,2,FALSE),0)/10*'Score settings'!$B$61)/'Score settings'!$B$9*'Score settings'!$D$9</x:f>
        <x:v>0</x:v>
      </x:c>
      <x:c r="AH407" s="41" t="n">
        <x:f>IF(B407="","",SUM(AB407:AG407))</x:f>
        <x:v>23</x:v>
      </x:c>
      <x:c r="AI407" s="41" t="str">
        <x:f>IF(NOT(ISNUMBER(AH407)),"Not scored",VLOOKUP(AH407,'Score settings'!$A$47:$C$50,3,TRUE))</x:f>
        <x:v>Weak</x:v>
      </x:c>
      <x:c r="AJ407" s="42" t="n">
        <x:f>IF(OR(NOT(ISNUMBER(AH407)),T407&lt;&gt;"Common pot"),"",COUNTIFS($T$4:$T$509,"Common pot",$AH$4:$AH$509,"&gt;"&amp;AH407)+1)</x:f>
        <x:v>301</x:v>
      </x:c>
      <x:c r="AK407" s="36" t="str">
        <x:f>IF(B407="","Name missing - not scored",IF(OR(NOT(ISNUMBER(G407)),G407&lt;=0),"Investment missing or zero - review",IF(0=1,"Permanent ID missing - reconcile",IF(AND(ISNUMBER(H407),H407/G407&gt;='Score settings'!$B$58,NOT(ISNUMBER(I407))),"Benefit units need review",IF(OR(R407="EXIT",R407="CHALLENGE"),"Waste decision requires scope resolution",IF("No exact waste match"&lt;&gt;"Name and organisation matched","Waste evidence match needs review","Provisional source score - confirm evidence"))))))</x:f>
        <x:v>Waste evidence match needs review</x:v>
      </x:c>
      <x:c r="AL407" s="36"/>
      <x:c r="AM407" s="40"/>
      <x:c r="AN407" s="39"/>
      <x:c r="AO407" s="40"/>
      <x:c r="AP407" s="40"/>
    </x:row>
    <x:row r="408" ht="15" hidden="0" customHeight="1">
      <x:c r="A408" s="36" t="str">
        <x:v>EW-86</x:v>
      </x:c>
      <x:c r="B408" s="37" t="str">
        <x:v>FIN-MJV improvements</x:v>
      </x:c>
      <x:c r="C408" s="36" t="str">
        <x:v>EW</x:v>
      </x:c>
      <x:c r="D408" s="36" t="str">
        <x:v>Finance​</x:v>
      </x:c>
      <x:c r="E408" s="38" t="n">
        <x:v>0.5</x:v>
      </x:c>
      <x:c r="F408" s="39"/>
      <x:c r="G408" s="38" t="n">
        <x:f>IF(ISNUMBER(F408),F408,IF(E408="","",E408))</x:f>
        <x:v>0.5</x:v>
      </x:c>
      <x:c r="H408" s="38" t="n">
        <x:v>0.83</x:v>
      </x:c>
      <x:c r="I408" s="39"/>
      <x:c r="J408" s="36" t="str">
        <x:v>Unclassified</x:v>
      </x:c>
      <x:c r="K408" s="38" t="str">
        <x:f>IF(ISNUMBER(I408),I408,IF(OR(NOT(ISNUMBER(H408)),NOT(ISNUMBER(G408)),G408&lt;=0),"",IF(H408/G408&gt;='Score settings'!$B$58,"",IF(J408="Cash savings",H408,IF(J408="Revenue",H408*'Score settings'!$B$55,"")))))</x:f>
      </x:c>
      <x:c r="L408" s="36"/>
      <x:c r="M408" s="39"/>
      <x:c r="N408" s="40"/>
      <x:c r="O408" s="36" t="str">
        <x:v>Must Do</x:v>
      </x:c>
      <x:c r="P408" s="36" t="str">
        <x:v>Decomm</x:v>
      </x:c>
      <x:c r="Q408" s="36" t="str">
        <x:v>Blank</x:v>
      </x:c>
      <x:c r="R408" s="36" t="str">
        <x:v>NotAssessed</x:v>
      </x:c>
      <x:c r="S408" s="36" t="str"/>
      <x:c r="T408" s="36" t="str">
        <x:v>Common pot</x:v>
      </x:c>
      <x:c r="U408" s="41" t="n">
        <x:f>VLOOKUP("Priority|"&amp;O408,'Score settings'!$A$14:$C$43,2,FALSE)/'Score settings'!$B$4*'Score settings'!$C$4</x:f>
        <x:v>25</x:v>
      </x:c>
      <x:c r="V408" s="41" t="n">
        <x:f>VLOOKUP("Category|"&amp;P408,'Score settings'!$A$14:$C$43,2,FALSE)/'Score settings'!$B$5*'Score settings'!$C$5</x:f>
        <x:v>17</x:v>
      </x:c>
      <x:c r="W408" s="41" t="n">
        <x:f>VLOOKUP("Area|"&amp;Q408,'Score settings'!$A$14:$C$43,2,FALSE)/'Score settings'!$B$6*'Score settings'!$C$6</x:f>
        <x:v>3</x:v>
      </x:c>
      <x:c r="X408" s="41" t="n">
        <x:f>VLOOKUP("Benefits|"&amp;IF(AND(ISNUMBER(H408),H408&gt;0,ISNUMBER(G408),G408&gt;0),IF(H408/G408&gt;='Score settings'!$E$17,"3plus",IF(H408/G408&gt;='Score settings'!$E$16,"1.5to3",IF(H408/G408&gt;='Score settings'!$E$15,"0.5to1.5","positive"))),"None"),'Score settings'!$A$14:$C$43,2,FALSE)/'Score settings'!$B$7*'Score settings'!$C$7</x:f>
        <x:v>20</x:v>
      </x:c>
      <x:c r="Y408" s="41" t="n">
        <x:f>VLOOKUP("Waste|"&amp;R408,'Score settings'!$A$14:$C$43,2,FALSE)/'Score settings'!$B$8*'Score settings'!$C$8</x:f>
        <x:v>7</x:v>
      </x:c>
      <x:c r="Z408" s="41" t="n">
        <x:f>IF(B408="","",SUM(U408:Y408))</x:f>
        <x:v>72</x:v>
      </x:c>
      <x:c r="AA408" s="41" t="str">
        <x:f>IF(Z408="","Not scored",VLOOKUP(Z408,'Score settings'!$A$47:$C$50,2,TRUE))</x:f>
        <x:v>Protected</x:v>
      </x:c>
      <x:c r="AB408" s="41" t="n">
        <x:f>VLOOKUP("Priority|"&amp;O408,'Score settings'!$A$14:$C$43,3,FALSE)/'Score settings'!$B$4*'Score settings'!$D$4</x:f>
        <x:v>15</x:v>
      </x:c>
      <x:c r="AC408" s="41" t="n">
        <x:f>VLOOKUP("Category|"&amp;P408,'Score settings'!$A$14:$C$43,3,FALSE)/'Score settings'!$B$5*'Score settings'!$D$5</x:f>
        <x:v>8.5</x:v>
      </x:c>
      <x:c r="AD408" s="41" t="n">
        <x:f>VLOOKUP("Area|"&amp;Q408,'Score settings'!$A$14:$C$43,3,FALSE)/'Score settings'!$B$6*'Score settings'!$D$6</x:f>
        <x:v>0</x:v>
      </x:c>
      <x:c r="AE408" s="41" t="n">
        <x:f>VLOOKUP("Benefits|"&amp;IF(AND(ISNUMBER(K408),K408&gt;0,ISNUMBER(G408),G408&gt;0),IF(K408/G408&gt;='Score settings'!$E$17,"3plus",IF(K408/G408&gt;='Score settings'!$E$16,"1.5to3",IF(K408/G408&gt;='Score settings'!$E$15,"0.5to1.5","positive"))),"None"),'Score settings'!$A$14:$C$43,3,FALSE)/'Score settings'!$B$7*'Score settings'!$D$7</x:f>
        <x:v>0</x:v>
      </x:c>
      <x:c r="AF408" s="41" t="n">
        <x:f>VLOOKUP("Waste|"&amp;R408,'Score settings'!$A$14:$C$43,3,FALSE)/'Score settings'!$B$8*'Score settings'!$D$8</x:f>
        <x:v>0</x:v>
      </x:c>
      <x:c r="AG408" s="41" t="n">
        <x:f>(IF(AND(ISNUMBER(M408),M408&gt;0,ISNUMBER(G408),G408&gt;0),IF(M408/G408&gt;='Score settings'!$E$17,'Score settings'!$G$17,IF(M408/G408&gt;='Score settings'!$E$16,'Score settings'!$G$16,IF(M408/G408&gt;='Score settings'!$E$15,'Score settings'!$G$15,'Score settings'!$G$14))),0)/15*'Score settings'!$B$60+IFERROR(VLOOKUP(IF(ISNUMBER(N408),N408,IF(ISNUMBER(L408),L408,0)),'Score settings'!$E$22:$F$26,2,FALSE),0)/10*'Score settings'!$B$61)/'Score settings'!$B$9*'Score settings'!$D$9</x:f>
        <x:v>0</x:v>
      </x:c>
      <x:c r="AH408" s="41" t="n">
        <x:f>IF(B408="","",SUM(AB408:AG408))</x:f>
        <x:v>23.5</x:v>
      </x:c>
      <x:c r="AI408" s="41" t="str">
        <x:f>IF(NOT(ISNUMBER(AH408)),"Not scored",VLOOKUP(AH408,'Score settings'!$A$47:$C$50,3,TRUE))</x:f>
        <x:v>Weak</x:v>
      </x:c>
      <x:c r="AJ408" s="42" t="n">
        <x:f>IF(OR(NOT(ISNUMBER(AH408)),T408&lt;&gt;"Common pot"),"",COUNTIFS($T$4:$T$509,"Common pot",$AH$4:$AH$509,"&gt;"&amp;AH408)+1)</x:f>
        <x:v>296</x:v>
      </x:c>
      <x:c r="AK408" s="36" t="str">
        <x:f>IF(B408="","Name missing - not scored",IF(OR(NOT(ISNUMBER(G408)),G408&lt;=0),"Investment missing or zero - review",IF(0=1,"Permanent ID missing - reconcile",IF(AND(ISNUMBER(H408),H408/G408&gt;='Score settings'!$B$58,NOT(ISNUMBER(I408))),"Benefit units need review",IF(OR(R408="EXIT",R408="CHALLENGE"),"Waste decision requires scope resolution",IF("No exact waste match"&lt;&gt;"Name and organisation matched","Waste evidence match needs review","Provisional source score - confirm evidence"))))))</x:f>
        <x:v>Waste evidence match needs review</x:v>
      </x:c>
      <x:c r="AL408" s="36"/>
      <x:c r="AM408" s="40"/>
      <x:c r="AN408" s="39"/>
      <x:c r="AO408" s="40"/>
      <x:c r="AP408" s="40"/>
    </x:row>
    <x:row r="409" ht="15" hidden="0" customHeight="1">
      <x:c r="A409" s="36" t="str">
        <x:v>EW-87</x:v>
      </x:c>
      <x:c r="B409" s="37" t="str">
        <x:v>FIN-P2P vendor inquiry chat bot automation &amp; other AI iniciatives</x:v>
      </x:c>
      <x:c r="C409" s="36" t="str">
        <x:v>EW</x:v>
      </x:c>
      <x:c r="D409" s="36" t="str">
        <x:v>Finance​</x:v>
      </x:c>
      <x:c r="E409" s="38" t="n">
        <x:v>0.15</x:v>
      </x:c>
      <x:c r="F409" s="39"/>
      <x:c r="G409" s="38" t="n">
        <x:f>IF(ISNUMBER(F409),F409,IF(E409="","",E409))</x:f>
        <x:v>0.15</x:v>
      </x:c>
      <x:c r="H409" s="38" t="n">
        <x:v>0.18</x:v>
      </x:c>
      <x:c r="I409" s="39"/>
      <x:c r="J409" s="36" t="str">
        <x:v>Unclassified</x:v>
      </x:c>
      <x:c r="K409" s="38" t="str">
        <x:f>IF(ISNUMBER(I409),I409,IF(OR(NOT(ISNUMBER(H409)),NOT(ISNUMBER(G409)),G409&lt;=0),"",IF(H409/G409&gt;='Score settings'!$B$58,"",IF(J409="Cash savings",H409,IF(J409="Revenue",H409*'Score settings'!$B$55,"")))))</x:f>
      </x:c>
      <x:c r="L409" s="36"/>
      <x:c r="M409" s="39"/>
      <x:c r="N409" s="40"/>
      <x:c r="O409" s="36" t="str">
        <x:v>Must Do</x:v>
      </x:c>
      <x:c r="P409" s="36" t="str">
        <x:v>AI</x:v>
      </x:c>
      <x:c r="Q409" s="36" t="str">
        <x:v>Blank</x:v>
      </x:c>
      <x:c r="R409" s="36" t="str">
        <x:v>NotAssessed</x:v>
      </x:c>
      <x:c r="S409" s="36" t="str"/>
      <x:c r="T409" s="36" t="str">
        <x:v>Common pot</x:v>
      </x:c>
      <x:c r="U409" s="41" t="n">
        <x:f>VLOOKUP("Priority|"&amp;O409,'Score settings'!$A$14:$C$43,2,FALSE)/'Score settings'!$B$4*'Score settings'!$C$4</x:f>
        <x:v>25</x:v>
      </x:c>
      <x:c r="V409" s="41" t="n">
        <x:f>VLOOKUP("Category|"&amp;P409,'Score settings'!$A$14:$C$43,2,FALSE)/'Score settings'!$B$5*'Score settings'!$C$5</x:f>
        <x:v>16</x:v>
      </x:c>
      <x:c r="W409" s="41" t="n">
        <x:f>VLOOKUP("Area|"&amp;Q409,'Score settings'!$A$14:$C$43,2,FALSE)/'Score settings'!$B$6*'Score settings'!$C$6</x:f>
        <x:v>3</x:v>
      </x:c>
      <x:c r="X409" s="41" t="n">
        <x:f>VLOOKUP("Benefits|"&amp;IF(AND(ISNUMBER(H409),H409&gt;0,ISNUMBER(G409),G409&gt;0),IF(H409/G409&gt;='Score settings'!$E$17,"3plus",IF(H409/G409&gt;='Score settings'!$E$16,"1.5to3",IF(H409/G409&gt;='Score settings'!$E$15,"0.5to1.5","positive"))),"None"),'Score settings'!$A$14:$C$43,2,FALSE)/'Score settings'!$B$7*'Score settings'!$C$7</x:f>
        <x:v>15</x:v>
      </x:c>
      <x:c r="Y409" s="41" t="n">
        <x:f>VLOOKUP("Waste|"&amp;R409,'Score settings'!$A$14:$C$43,2,FALSE)/'Score settings'!$B$8*'Score settings'!$C$8</x:f>
        <x:v>7</x:v>
      </x:c>
      <x:c r="Z409" s="41" t="n">
        <x:f>IF(B409="","",SUM(U409:Y409))</x:f>
        <x:v>66</x:v>
      </x:c>
      <x:c r="AA409" s="41" t="str">
        <x:f>IF(Z409="","Not scored",VLOOKUP(Z409,'Score settings'!$A$47:$C$50,2,TRUE))</x:f>
        <x:v>Protected</x:v>
      </x:c>
      <x:c r="AB409" s="41" t="n">
        <x:f>VLOOKUP("Priority|"&amp;O409,'Score settings'!$A$14:$C$43,3,FALSE)/'Score settings'!$B$4*'Score settings'!$D$4</x:f>
        <x:v>15</x:v>
      </x:c>
      <x:c r="AC409" s="41" t="n">
        <x:f>VLOOKUP("Category|"&amp;P409,'Score settings'!$A$14:$C$43,3,FALSE)/'Score settings'!$B$5*'Score settings'!$D$5</x:f>
        <x:v>8</x:v>
      </x:c>
      <x:c r="AD409" s="41" t="n">
        <x:f>VLOOKUP("Area|"&amp;Q409,'Score settings'!$A$14:$C$43,3,FALSE)/'Score settings'!$B$6*'Score settings'!$D$6</x:f>
        <x:v>0</x:v>
      </x:c>
      <x:c r="AE409" s="41" t="n">
        <x:f>VLOOKUP("Benefits|"&amp;IF(AND(ISNUMBER(K409),K409&gt;0,ISNUMBER(G409),G409&gt;0),IF(K409/G409&gt;='Score settings'!$E$17,"3plus",IF(K409/G409&gt;='Score settings'!$E$16,"1.5to3",IF(K409/G409&gt;='Score settings'!$E$15,"0.5to1.5","positive"))),"None"),'Score settings'!$A$14:$C$43,3,FALSE)/'Score settings'!$B$7*'Score settings'!$D$7</x:f>
        <x:v>0</x:v>
      </x:c>
      <x:c r="AF409" s="41" t="n">
        <x:f>VLOOKUP("Waste|"&amp;R409,'Score settings'!$A$14:$C$43,3,FALSE)/'Score settings'!$B$8*'Score settings'!$D$8</x:f>
        <x:v>0</x:v>
      </x:c>
      <x:c r="AG409" s="41" t="n">
        <x:f>(IF(AND(ISNUMBER(M409),M409&gt;0,ISNUMBER(G409),G409&gt;0),IF(M409/G409&gt;='Score settings'!$E$17,'Score settings'!$G$17,IF(M409/G409&gt;='Score settings'!$E$16,'Score settings'!$G$16,IF(M409/G409&gt;='Score settings'!$E$15,'Score settings'!$G$15,'Score settings'!$G$14))),0)/15*'Score settings'!$B$60+IFERROR(VLOOKUP(IF(ISNUMBER(N409),N409,IF(ISNUMBER(L409),L409,0)),'Score settings'!$E$22:$F$26,2,FALSE),0)/10*'Score settings'!$B$61)/'Score settings'!$B$9*'Score settings'!$D$9</x:f>
        <x:v>0</x:v>
      </x:c>
      <x:c r="AH409" s="41" t="n">
        <x:f>IF(B409="","",SUM(AB409:AG409))</x:f>
        <x:v>23</x:v>
      </x:c>
      <x:c r="AI409" s="41" t="str">
        <x:f>IF(NOT(ISNUMBER(AH409)),"Not scored",VLOOKUP(AH409,'Score settings'!$A$47:$C$50,3,TRUE))</x:f>
        <x:v>Weak</x:v>
      </x:c>
      <x:c r="AJ409" s="42" t="n">
        <x:f>IF(OR(NOT(ISNUMBER(AH409)),T409&lt;&gt;"Common pot"),"",COUNTIFS($T$4:$T$509,"Common pot",$AH$4:$AH$509,"&gt;"&amp;AH409)+1)</x:f>
        <x:v>301</x:v>
      </x:c>
      <x:c r="AK409" s="36" t="str">
        <x:f>IF(B409="","Name missing - not scored",IF(OR(NOT(ISNUMBER(G409)),G409&lt;=0),"Investment missing or zero - review",IF(0=1,"Permanent ID missing - reconcile",IF(AND(ISNUMBER(H409),H409/G409&gt;='Score settings'!$B$58,NOT(ISNUMBER(I409))),"Benefit units need review",IF(OR(R409="EXIT",R409="CHALLENGE"),"Waste decision requires scope resolution",IF("No exact waste match"&lt;&gt;"Name and organisation matched","Waste evidence match needs review","Provisional source score - confirm evidence"))))))</x:f>
        <x:v>Waste evidence match needs review</x:v>
      </x:c>
      <x:c r="AL409" s="36"/>
      <x:c r="AM409" s="40"/>
      <x:c r="AN409" s="39"/>
      <x:c r="AO409" s="40"/>
      <x:c r="AP409" s="40"/>
    </x:row>
    <x:row r="410" ht="15" hidden="0" customHeight="1">
      <x:c r="A410" s="36" t="str">
        <x:v>EW-88</x:v>
      </x:c>
      <x:c r="B410" s="37" t="str">
        <x:v>FIN-Predictive Planning Tooling via SAC (Cost Center, Industry, Other)</x:v>
      </x:c>
      <x:c r="C410" s="36" t="str">
        <x:v>EW</x:v>
      </x:c>
      <x:c r="D410" s="36" t="str">
        <x:v>Information Technology ​</x:v>
      </x:c>
      <x:c r="E410" s="38" t="n">
        <x:v>0</x:v>
      </x:c>
      <x:c r="F410" s="39"/>
      <x:c r="G410" s="38" t="str">
        <x:f>IF(ISNUMBER(F410),F410,IF(E410="","",E410))</x:f>
      </x:c>
      <x:c r="H410" s="38"/>
      <x:c r="I410" s="39"/>
      <x:c r="J410" s="36" t="str">
        <x:v>Unclassified</x:v>
      </x:c>
      <x:c r="K410" s="38" t="str">
        <x:f>IF(ISNUMBER(I410),I410,IF(OR(NOT(ISNUMBER(H410)),NOT(ISNUMBER(G410)),G410&lt;=0),"",IF(H410/G410&gt;='Score settings'!$B$58,"",IF(J410="Cash savings",H410,IF(J410="Revenue",H410*'Score settings'!$B$55,"")))))</x:f>
      </x:c>
      <x:c r="L410" s="36"/>
      <x:c r="M410" s="39"/>
      <x:c r="N410" s="40"/>
      <x:c r="O410" s="36" t="str">
        <x:v>Must Do</x:v>
      </x:c>
      <x:c r="P410" s="36" t="str">
        <x:v>AI</x:v>
      </x:c>
      <x:c r="Q410" s="36" t="str">
        <x:v>Blank</x:v>
      </x:c>
      <x:c r="R410" s="36" t="str">
        <x:v>NotAssessed</x:v>
      </x:c>
      <x:c r="S410" s="36" t="str"/>
      <x:c r="T410" s="36" t="str">
        <x:v>Common pot</x:v>
      </x:c>
      <x:c r="U410" s="41" t="n">
        <x:f>VLOOKUP("Priority|"&amp;O410,'Score settings'!$A$14:$C$43,2,FALSE)/'Score settings'!$B$4*'Score settings'!$C$4</x:f>
        <x:v>25</x:v>
      </x:c>
      <x:c r="V410" s="41" t="n">
        <x:f>VLOOKUP("Category|"&amp;P410,'Score settings'!$A$14:$C$43,2,FALSE)/'Score settings'!$B$5*'Score settings'!$C$5</x:f>
        <x:v>16</x:v>
      </x:c>
      <x:c r="W410" s="41" t="n">
        <x:f>VLOOKUP("Area|"&amp;Q410,'Score settings'!$A$14:$C$43,2,FALSE)/'Score settings'!$B$6*'Score settings'!$C$6</x:f>
        <x:v>3</x:v>
      </x:c>
      <x:c r="X410" s="41" t="n">
        <x:f>VLOOKUP("Benefits|"&amp;IF(AND(ISNUMBER(H410),H410&gt;0,ISNUMBER(G410),G410&gt;0),IF(H410/G410&gt;='Score settings'!$E$17,"3plus",IF(H410/G410&gt;='Score settings'!$E$16,"1.5to3",IF(H410/G410&gt;='Score settings'!$E$15,"0.5to1.5","positive"))),"None"),'Score settings'!$A$14:$C$43,2,FALSE)/'Score settings'!$B$7*'Score settings'!$C$7</x:f>
        <x:v>5</x:v>
      </x:c>
      <x:c r="Y410" s="41" t="n">
        <x:f>VLOOKUP("Waste|"&amp;R410,'Score settings'!$A$14:$C$43,2,FALSE)/'Score settings'!$B$8*'Score settings'!$C$8</x:f>
        <x:v>7</x:v>
      </x:c>
      <x:c r="Z410" s="41" t="n">
        <x:f>IF(B410="","",SUM(U410:Y410))</x:f>
        <x:v>56</x:v>
      </x:c>
      <x:c r="AA410" s="41" t="str">
        <x:f>IF(Z410="","Not scored",VLOOKUP(Z410,'Score settings'!$A$47:$C$50,2,TRUE))</x:f>
        <x:v>Strong</x:v>
      </x:c>
      <x:c r="AB410" s="41" t="n">
        <x:f>VLOOKUP("Priority|"&amp;O410,'Score settings'!$A$14:$C$43,3,FALSE)/'Score settings'!$B$4*'Score settings'!$D$4</x:f>
        <x:v>15</x:v>
      </x:c>
      <x:c r="AC410" s="41" t="n">
        <x:f>VLOOKUP("Category|"&amp;P410,'Score settings'!$A$14:$C$43,3,FALSE)/'Score settings'!$B$5*'Score settings'!$D$5</x:f>
        <x:v>8</x:v>
      </x:c>
      <x:c r="AD410" s="41" t="n">
        <x:f>VLOOKUP("Area|"&amp;Q410,'Score settings'!$A$14:$C$43,3,FALSE)/'Score settings'!$B$6*'Score settings'!$D$6</x:f>
        <x:v>0</x:v>
      </x:c>
      <x:c r="AE410" s="41" t="n">
        <x:f>VLOOKUP("Benefits|"&amp;IF(AND(ISNUMBER(K410),K410&gt;0,ISNUMBER(G410),G410&gt;0),IF(K410/G410&gt;='Score settings'!$E$17,"3plus",IF(K410/G410&gt;='Score settings'!$E$16,"1.5to3",IF(K410/G410&gt;='Score settings'!$E$15,"0.5to1.5","positive"))),"None"),'Score settings'!$A$14:$C$43,3,FALSE)/'Score settings'!$B$7*'Score settings'!$D$7</x:f>
        <x:v>0</x:v>
      </x:c>
      <x:c r="AF410" s="41" t="n">
        <x:f>VLOOKUP("Waste|"&amp;R410,'Score settings'!$A$14:$C$43,3,FALSE)/'Score settings'!$B$8*'Score settings'!$D$8</x:f>
        <x:v>0</x:v>
      </x:c>
      <x:c r="AG410" s="41" t="n">
        <x:f>(IF(AND(ISNUMBER(M410),M410&gt;0,ISNUMBER(G410),G410&gt;0),IF(M410/G410&gt;='Score settings'!$E$17,'Score settings'!$G$17,IF(M410/G410&gt;='Score settings'!$E$16,'Score settings'!$G$16,IF(M410/G410&gt;='Score settings'!$E$15,'Score settings'!$G$15,'Score settings'!$G$14))),0)/15*'Score settings'!$B$60+IFERROR(VLOOKUP(IF(ISNUMBER(N410),N410,IF(ISNUMBER(L410),L410,0)),'Score settings'!$E$22:$F$26,2,FALSE),0)/10*'Score settings'!$B$61)/'Score settings'!$B$9*'Score settings'!$D$9</x:f>
        <x:v>0</x:v>
      </x:c>
      <x:c r="AH410" s="41" t="n">
        <x:f>IF(B410="","",SUM(AB410:AG410))</x:f>
        <x:v>23</x:v>
      </x:c>
      <x:c r="AI410" s="41" t="str">
        <x:f>IF(NOT(ISNUMBER(AH410)),"Not scored",VLOOKUP(AH410,'Score settings'!$A$47:$C$50,3,TRUE))</x:f>
        <x:v>Weak</x:v>
      </x:c>
      <x:c r="AJ410" s="42" t="n">
        <x:f>IF(OR(NOT(ISNUMBER(AH410)),T410&lt;&gt;"Common pot"),"",COUNTIFS($T$4:$T$509,"Common pot",$AH$4:$AH$509,"&gt;"&amp;AH410)+1)</x:f>
        <x:v>301</x:v>
      </x:c>
      <x:c r="AK410" s="36" t="str">
        <x:f>IF(B410="","Name missing - not scored",IF(OR(NOT(ISNUMBER(G410)),G410&lt;=0),"Investment missing or zero - review",IF(0=1,"Permanent ID missing - reconcile",IF(AND(ISNUMBER(H410),H410/G410&gt;='Score settings'!$B$58,NOT(ISNUMBER(I410))),"Benefit units need review",IF(OR(R410="EXIT",R410="CHALLENGE"),"Waste decision requires scope resolution",IF("No exact waste match"&lt;&gt;"Name and organisation matched","Waste evidence match needs review","Provisional source score - confirm evidence"))))))</x:f>
        <x:v>Investment missing or zero - review</x:v>
      </x:c>
      <x:c r="AL410" s="36"/>
      <x:c r="AM410" s="40"/>
      <x:c r="AN410" s="39"/>
      <x:c r="AO410" s="40"/>
      <x:c r="AP410" s="40"/>
    </x:row>
    <x:row r="411" ht="15" hidden="0" customHeight="1">
      <x:c r="A411" s="36" t="str">
        <x:v>EW-89</x:v>
      </x:c>
      <x:c r="B411" s="37" t="str">
        <x:v>FIN-Digitalized Financial Insight</x:v>
      </x:c>
      <x:c r="C411" s="36" t="str">
        <x:v>EW</x:v>
      </x:c>
      <x:c r="D411" s="36" t="str">
        <x:v>Finance​</x:v>
      </x:c>
      <x:c r="E411" s="38" t="n">
        <x:v>0.25</x:v>
      </x:c>
      <x:c r="F411" s="39"/>
      <x:c r="G411" s="38" t="n">
        <x:f>IF(ISNUMBER(F411),F411,IF(E411="","",E411))</x:f>
        <x:v>0.25</x:v>
      </x:c>
      <x:c r="H411" s="38"/>
      <x:c r="I411" s="39"/>
      <x:c r="J411" s="36" t="str">
        <x:v>Unclassified</x:v>
      </x:c>
      <x:c r="K411" s="38" t="str">
        <x:f>IF(ISNUMBER(I411),I411,IF(OR(NOT(ISNUMBER(H411)),NOT(ISNUMBER(G411)),G411&lt;=0),"",IF(H411/G411&gt;='Score settings'!$B$58,"",IF(J411="Cash savings",H411,IF(J411="Revenue",H411*'Score settings'!$B$55,"")))))</x:f>
      </x:c>
      <x:c r="L411" s="36"/>
      <x:c r="M411" s="39"/>
      <x:c r="N411" s="40"/>
      <x:c r="O411" s="36" t="str">
        <x:v>Must Do</x:v>
      </x:c>
      <x:c r="P411" s="36" t="str">
        <x:v>AI</x:v>
      </x:c>
      <x:c r="Q411" s="36" t="str">
        <x:v>Blank</x:v>
      </x:c>
      <x:c r="R411" s="36" t="str">
        <x:v>NotAssessed</x:v>
      </x:c>
      <x:c r="S411" s="36" t="str"/>
      <x:c r="T411" s="36" t="str">
        <x:v>Common pot</x:v>
      </x:c>
      <x:c r="U411" s="41" t="n">
        <x:f>VLOOKUP("Priority|"&amp;O411,'Score settings'!$A$14:$C$43,2,FALSE)/'Score settings'!$B$4*'Score settings'!$C$4</x:f>
        <x:v>25</x:v>
      </x:c>
      <x:c r="V411" s="41" t="n">
        <x:f>VLOOKUP("Category|"&amp;P411,'Score settings'!$A$14:$C$43,2,FALSE)/'Score settings'!$B$5*'Score settings'!$C$5</x:f>
        <x:v>16</x:v>
      </x:c>
      <x:c r="W411" s="41" t="n">
        <x:f>VLOOKUP("Area|"&amp;Q411,'Score settings'!$A$14:$C$43,2,FALSE)/'Score settings'!$B$6*'Score settings'!$C$6</x:f>
        <x:v>3</x:v>
      </x:c>
      <x:c r="X411" s="41" t="n">
        <x:f>VLOOKUP("Benefits|"&amp;IF(AND(ISNUMBER(H411),H411&gt;0,ISNUMBER(G411),G411&gt;0),IF(H411/G411&gt;='Score settings'!$E$17,"3plus",IF(H411/G411&gt;='Score settings'!$E$16,"1.5to3",IF(H411/G411&gt;='Score settings'!$E$15,"0.5to1.5","positive"))),"None"),'Score settings'!$A$14:$C$43,2,FALSE)/'Score settings'!$B$7*'Score settings'!$C$7</x:f>
        <x:v>5</x:v>
      </x:c>
      <x:c r="Y411" s="41" t="n">
        <x:f>VLOOKUP("Waste|"&amp;R411,'Score settings'!$A$14:$C$43,2,FALSE)/'Score settings'!$B$8*'Score settings'!$C$8</x:f>
        <x:v>7</x:v>
      </x:c>
      <x:c r="Z411" s="41" t="n">
        <x:f>IF(B411="","",SUM(U411:Y411))</x:f>
        <x:v>56</x:v>
      </x:c>
      <x:c r="AA411" s="41" t="str">
        <x:f>IF(Z411="","Not scored",VLOOKUP(Z411,'Score settings'!$A$47:$C$50,2,TRUE))</x:f>
        <x:v>Strong</x:v>
      </x:c>
      <x:c r="AB411" s="41" t="n">
        <x:f>VLOOKUP("Priority|"&amp;O411,'Score settings'!$A$14:$C$43,3,FALSE)/'Score settings'!$B$4*'Score settings'!$D$4</x:f>
        <x:v>15</x:v>
      </x:c>
      <x:c r="AC411" s="41" t="n">
        <x:f>VLOOKUP("Category|"&amp;P411,'Score settings'!$A$14:$C$43,3,FALSE)/'Score settings'!$B$5*'Score settings'!$D$5</x:f>
        <x:v>8</x:v>
      </x:c>
      <x:c r="AD411" s="41" t="n">
        <x:f>VLOOKUP("Area|"&amp;Q411,'Score settings'!$A$14:$C$43,3,FALSE)/'Score settings'!$B$6*'Score settings'!$D$6</x:f>
        <x:v>0</x:v>
      </x:c>
      <x:c r="AE411" s="41" t="n">
        <x:f>VLOOKUP("Benefits|"&amp;IF(AND(ISNUMBER(K411),K411&gt;0,ISNUMBER(G411),G411&gt;0),IF(K411/G411&gt;='Score settings'!$E$17,"3plus",IF(K411/G411&gt;='Score settings'!$E$16,"1.5to3",IF(K411/G411&gt;='Score settings'!$E$15,"0.5to1.5","positive"))),"None"),'Score settings'!$A$14:$C$43,3,FALSE)/'Score settings'!$B$7*'Score settings'!$D$7</x:f>
        <x:v>0</x:v>
      </x:c>
      <x:c r="AF411" s="41" t="n">
        <x:f>VLOOKUP("Waste|"&amp;R411,'Score settings'!$A$14:$C$43,3,FALSE)/'Score settings'!$B$8*'Score settings'!$D$8</x:f>
        <x:v>0</x:v>
      </x:c>
      <x:c r="AG411" s="41" t="n">
        <x:f>(IF(AND(ISNUMBER(M411),M411&gt;0,ISNUMBER(G411),G411&gt;0),IF(M411/G411&gt;='Score settings'!$E$17,'Score settings'!$G$17,IF(M411/G411&gt;='Score settings'!$E$16,'Score settings'!$G$16,IF(M411/G411&gt;='Score settings'!$E$15,'Score settings'!$G$15,'Score settings'!$G$14))),0)/15*'Score settings'!$B$60+IFERROR(VLOOKUP(IF(ISNUMBER(N411),N411,IF(ISNUMBER(L411),L411,0)),'Score settings'!$E$22:$F$26,2,FALSE),0)/10*'Score settings'!$B$61)/'Score settings'!$B$9*'Score settings'!$D$9</x:f>
        <x:v>0</x:v>
      </x:c>
      <x:c r="AH411" s="41" t="n">
        <x:f>IF(B411="","",SUM(AB411:AG411))</x:f>
        <x:v>23</x:v>
      </x:c>
      <x:c r="AI411" s="41" t="str">
        <x:f>IF(NOT(ISNUMBER(AH411)),"Not scored",VLOOKUP(AH411,'Score settings'!$A$47:$C$50,3,TRUE))</x:f>
        <x:v>Weak</x:v>
      </x:c>
      <x:c r="AJ411" s="42" t="n">
        <x:f>IF(OR(NOT(ISNUMBER(AH411)),T411&lt;&gt;"Common pot"),"",COUNTIFS($T$4:$T$509,"Common pot",$AH$4:$AH$509,"&gt;"&amp;AH411)+1)</x:f>
        <x:v>301</x:v>
      </x:c>
      <x:c r="AK411" s="36" t="str">
        <x:f>IF(B411="","Name missing - not scored",IF(OR(NOT(ISNUMBER(G411)),G411&lt;=0),"Investment missing or zero - review",IF(0=1,"Permanent ID missing - reconcile",IF(AND(ISNUMBER(H411),H411/G411&gt;='Score settings'!$B$58,NOT(ISNUMBER(I411))),"Benefit units need review",IF(OR(R411="EXIT",R411="CHALLENGE"),"Waste decision requires scope resolution",IF("No exact waste match"&lt;&gt;"Name and organisation matched","Waste evidence match needs review","Provisional source score - confirm evidence"))))))</x:f>
        <x:v>Waste evidence match needs review</x:v>
      </x:c>
      <x:c r="AL411" s="36"/>
      <x:c r="AM411" s="40"/>
      <x:c r="AN411" s="39"/>
      <x:c r="AO411" s="40"/>
      <x:c r="AP411" s="40"/>
    </x:row>
    <x:row r="412" ht="15" hidden="0" customHeight="1">
      <x:c r="A412" s="36" t="str">
        <x:v>EW-90</x:v>
      </x:c>
      <x:c r="B412" s="37" t="str">
        <x:v>FIN-PSA improvements (cfr issues listed in the audit report)</x:v>
      </x:c>
      <x:c r="C412" s="36" t="str">
        <x:v>EW</x:v>
      </x:c>
      <x:c r="D412" s="36" t="str">
        <x:v>Finance​</x:v>
      </x:c>
      <x:c r="E412" s="38" t="n">
        <x:v>0.25</x:v>
      </x:c>
      <x:c r="F412" s="39"/>
      <x:c r="G412" s="38" t="n">
        <x:f>IF(ISNUMBER(F412),F412,IF(E412="","",E412))</x:f>
        <x:v>0.25</x:v>
      </x:c>
      <x:c r="H412" s="38"/>
      <x:c r="I412" s="39"/>
      <x:c r="J412" s="36" t="str">
        <x:v>Unclassified</x:v>
      </x:c>
      <x:c r="K412" s="38" t="str">
        <x:f>IF(ISNUMBER(I412),I412,IF(OR(NOT(ISNUMBER(H412)),NOT(ISNUMBER(G412)),G412&lt;=0),"",IF(H412/G412&gt;='Score settings'!$B$58,"",IF(J412="Cash savings",H412,IF(J412="Revenue",H412*'Score settings'!$B$55,"")))))</x:f>
      </x:c>
      <x:c r="L412" s="36"/>
      <x:c r="M412" s="39"/>
      <x:c r="N412" s="40"/>
      <x:c r="O412" s="36" t="str">
        <x:v>Must Do</x:v>
      </x:c>
      <x:c r="P412" s="36" t="str">
        <x:v>CI</x:v>
      </x:c>
      <x:c r="Q412" s="36" t="str">
        <x:v>Blank</x:v>
      </x:c>
      <x:c r="R412" s="36" t="str">
        <x:v>NotAssessed</x:v>
      </x:c>
      <x:c r="S412" s="36" t="str"/>
      <x:c r="T412" s="36" t="str">
        <x:v>Common pot</x:v>
      </x:c>
      <x:c r="U412" s="41" t="n">
        <x:f>VLOOKUP("Priority|"&amp;O412,'Score settings'!$A$14:$C$43,2,FALSE)/'Score settings'!$B$4*'Score settings'!$C$4</x:f>
        <x:v>25</x:v>
      </x:c>
      <x:c r="V412" s="41" t="n">
        <x:f>VLOOKUP("Category|"&amp;P412,'Score settings'!$A$14:$C$43,2,FALSE)/'Score settings'!$B$5*'Score settings'!$C$5</x:f>
        <x:v>8</x:v>
      </x:c>
      <x:c r="W412" s="41" t="n">
        <x:f>VLOOKUP("Area|"&amp;Q412,'Score settings'!$A$14:$C$43,2,FALSE)/'Score settings'!$B$6*'Score settings'!$C$6</x:f>
        <x:v>3</x:v>
      </x:c>
      <x:c r="X412" s="41" t="n">
        <x:f>VLOOKUP("Benefits|"&amp;IF(AND(ISNUMBER(H412),H412&gt;0,ISNUMBER(G412),G412&gt;0),IF(H412/G412&gt;='Score settings'!$E$17,"3plus",IF(H412/G412&gt;='Score settings'!$E$16,"1.5to3",IF(H412/G412&gt;='Score settings'!$E$15,"0.5to1.5","positive"))),"None"),'Score settings'!$A$14:$C$43,2,FALSE)/'Score settings'!$B$7*'Score settings'!$C$7</x:f>
        <x:v>5</x:v>
      </x:c>
      <x:c r="Y412" s="41" t="n">
        <x:f>VLOOKUP("Waste|"&amp;R412,'Score settings'!$A$14:$C$43,2,FALSE)/'Score settings'!$B$8*'Score settings'!$C$8</x:f>
        <x:v>7</x:v>
      </x:c>
      <x:c r="Z412" s="41" t="n">
        <x:f>IF(B412="","",SUM(U412:Y412))</x:f>
        <x:v>48</x:v>
      </x:c>
      <x:c r="AA412" s="41" t="str">
        <x:f>IF(Z412="","Not scored",VLOOKUP(Z412,'Score settings'!$A$47:$C$50,2,TRUE))</x:f>
        <x:v>Strong</x:v>
      </x:c>
      <x:c r="AB412" s="41" t="n">
        <x:f>VLOOKUP("Priority|"&amp;O412,'Score settings'!$A$14:$C$43,3,FALSE)/'Score settings'!$B$4*'Score settings'!$D$4</x:f>
        <x:v>15</x:v>
      </x:c>
      <x:c r="AC412" s="41" t="n">
        <x:f>VLOOKUP("Category|"&amp;P412,'Score settings'!$A$14:$C$43,3,FALSE)/'Score settings'!$B$5*'Score settings'!$D$5</x:f>
        <x:v>4</x:v>
      </x:c>
      <x:c r="AD412" s="41" t="n">
        <x:f>VLOOKUP("Area|"&amp;Q412,'Score settings'!$A$14:$C$43,3,FALSE)/'Score settings'!$B$6*'Score settings'!$D$6</x:f>
        <x:v>0</x:v>
      </x:c>
      <x:c r="AE412" s="41" t="n">
        <x:f>VLOOKUP("Benefits|"&amp;IF(AND(ISNUMBER(K412),K412&gt;0,ISNUMBER(G412),G412&gt;0),IF(K412/G412&gt;='Score settings'!$E$17,"3plus",IF(K412/G412&gt;='Score settings'!$E$16,"1.5to3",IF(K412/G412&gt;='Score settings'!$E$15,"0.5to1.5","positive"))),"None"),'Score settings'!$A$14:$C$43,3,FALSE)/'Score settings'!$B$7*'Score settings'!$D$7</x:f>
        <x:v>0</x:v>
      </x:c>
      <x:c r="AF412" s="41" t="n">
        <x:f>VLOOKUP("Waste|"&amp;R412,'Score settings'!$A$14:$C$43,3,FALSE)/'Score settings'!$B$8*'Score settings'!$D$8</x:f>
        <x:v>0</x:v>
      </x:c>
      <x:c r="AG412" s="41" t="n">
        <x:f>(IF(AND(ISNUMBER(M412),M412&gt;0,ISNUMBER(G412),G412&gt;0),IF(M412/G412&gt;='Score settings'!$E$17,'Score settings'!$G$17,IF(M412/G412&gt;='Score settings'!$E$16,'Score settings'!$G$16,IF(M412/G412&gt;='Score settings'!$E$15,'Score settings'!$G$15,'Score settings'!$G$14))),0)/15*'Score settings'!$B$60+IFERROR(VLOOKUP(IF(ISNUMBER(N412),N412,IF(ISNUMBER(L412),L412,0)),'Score settings'!$E$22:$F$26,2,FALSE),0)/10*'Score settings'!$B$61)/'Score settings'!$B$9*'Score settings'!$D$9</x:f>
        <x:v>0</x:v>
      </x:c>
      <x:c r="AH412" s="41" t="n">
        <x:f>IF(B412="","",SUM(AB412:AG412))</x:f>
        <x:v>19</x:v>
      </x:c>
      <x:c r="AI412" s="41" t="str">
        <x:f>IF(NOT(ISNUMBER(AH412)),"Not scored",VLOOKUP(AH412,'Score settings'!$A$47:$C$50,3,TRUE))</x:f>
        <x:v>Weak</x:v>
      </x:c>
      <x:c r="AJ412" s="42" t="n">
        <x:f>IF(OR(NOT(ISNUMBER(AH412)),T412&lt;&gt;"Common pot"),"",COUNTIFS($T$4:$T$509,"Common pot",$AH$4:$AH$509,"&gt;"&amp;AH412)+1)</x:f>
        <x:v>355</x:v>
      </x:c>
      <x:c r="AK412" s="36" t="str">
        <x:f>IF(B412="","Name missing - not scored",IF(OR(NOT(ISNUMBER(G412)),G412&lt;=0),"Investment missing or zero - review",IF(0=1,"Permanent ID missing - reconcile",IF(AND(ISNUMBER(H412),H412/G412&gt;='Score settings'!$B$58,NOT(ISNUMBER(I412))),"Benefit units need review",IF(OR(R412="EXIT",R412="CHALLENGE"),"Waste decision requires scope resolution",IF("No exact waste match"&lt;&gt;"Name and organisation matched","Waste evidence match needs review","Provisional source score - confirm evidence"))))))</x:f>
        <x:v>Waste evidence match needs review</x:v>
      </x:c>
      <x:c r="AL412" s="36"/>
      <x:c r="AM412" s="40"/>
      <x:c r="AN412" s="39"/>
      <x:c r="AO412" s="40"/>
      <x:c r="AP412" s="40"/>
    </x:row>
    <x:row r="413" ht="15" hidden="0" customHeight="1">
      <x:c r="A413" s="36" t="str">
        <x:v>EW-91</x:v>
      </x:c>
      <x:c r="B413" s="37" t="str">
        <x:v>FIN-TESSA BOT phase 2 (use cases shared for 2027 effort estimation)</x:v>
      </x:c>
      <x:c r="C413" s="36" t="str">
        <x:v>EW</x:v>
      </x:c>
      <x:c r="D413" s="36" t="str">
        <x:v>Finance​</x:v>
      </x:c>
      <x:c r="E413" s="38" t="n">
        <x:v>0.3</x:v>
      </x:c>
      <x:c r="F413" s="39"/>
      <x:c r="G413" s="38" t="n">
        <x:f>IF(ISNUMBER(F413),F413,IF(E413="","",E413))</x:f>
        <x:v>0.3</x:v>
      </x:c>
      <x:c r="H413" s="38"/>
      <x:c r="I413" s="39"/>
      <x:c r="J413" s="36" t="str">
        <x:v>Unclassified</x:v>
      </x:c>
      <x:c r="K413" s="38" t="str">
        <x:f>IF(ISNUMBER(I413),I413,IF(OR(NOT(ISNUMBER(H413)),NOT(ISNUMBER(G413)),G413&lt;=0),"",IF(H413/G413&gt;='Score settings'!$B$58,"",IF(J413="Cash savings",H413,IF(J413="Revenue",H413*'Score settings'!$B$55,"")))))</x:f>
      </x:c>
      <x:c r="L413" s="36"/>
      <x:c r="M413" s="39"/>
      <x:c r="N413" s="40"/>
      <x:c r="O413" s="36" t="str">
        <x:v>Must Do</x:v>
      </x:c>
      <x:c r="P413" s="36" t="str">
        <x:v>AI</x:v>
      </x:c>
      <x:c r="Q413" s="36" t="str">
        <x:v>Blank</x:v>
      </x:c>
      <x:c r="R413" s="36" t="str">
        <x:v>NotAssessed</x:v>
      </x:c>
      <x:c r="S413" s="36" t="str"/>
      <x:c r="T413" s="36" t="str">
        <x:v>Common pot</x:v>
      </x:c>
      <x:c r="U413" s="41" t="n">
        <x:f>VLOOKUP("Priority|"&amp;O413,'Score settings'!$A$14:$C$43,2,FALSE)/'Score settings'!$B$4*'Score settings'!$C$4</x:f>
        <x:v>25</x:v>
      </x:c>
      <x:c r="V413" s="41" t="n">
        <x:f>VLOOKUP("Category|"&amp;P413,'Score settings'!$A$14:$C$43,2,FALSE)/'Score settings'!$B$5*'Score settings'!$C$5</x:f>
        <x:v>16</x:v>
      </x:c>
      <x:c r="W413" s="41" t="n">
        <x:f>VLOOKUP("Area|"&amp;Q413,'Score settings'!$A$14:$C$43,2,FALSE)/'Score settings'!$B$6*'Score settings'!$C$6</x:f>
        <x:v>3</x:v>
      </x:c>
      <x:c r="X413" s="41" t="n">
        <x:f>VLOOKUP("Benefits|"&amp;IF(AND(ISNUMBER(H413),H413&gt;0,ISNUMBER(G413),G413&gt;0),IF(H413/G413&gt;='Score settings'!$E$17,"3plus",IF(H413/G413&gt;='Score settings'!$E$16,"1.5to3",IF(H413/G413&gt;='Score settings'!$E$15,"0.5to1.5","positive"))),"None"),'Score settings'!$A$14:$C$43,2,FALSE)/'Score settings'!$B$7*'Score settings'!$C$7</x:f>
        <x:v>5</x:v>
      </x:c>
      <x:c r="Y413" s="41" t="n">
        <x:f>VLOOKUP("Waste|"&amp;R413,'Score settings'!$A$14:$C$43,2,FALSE)/'Score settings'!$B$8*'Score settings'!$C$8</x:f>
        <x:v>7</x:v>
      </x:c>
      <x:c r="Z413" s="41" t="n">
        <x:f>IF(B413="","",SUM(U413:Y413))</x:f>
        <x:v>56</x:v>
      </x:c>
      <x:c r="AA413" s="41" t="str">
        <x:f>IF(Z413="","Not scored",VLOOKUP(Z413,'Score settings'!$A$47:$C$50,2,TRUE))</x:f>
        <x:v>Strong</x:v>
      </x:c>
      <x:c r="AB413" s="41" t="n">
        <x:f>VLOOKUP("Priority|"&amp;O413,'Score settings'!$A$14:$C$43,3,FALSE)/'Score settings'!$B$4*'Score settings'!$D$4</x:f>
        <x:v>15</x:v>
      </x:c>
      <x:c r="AC413" s="41" t="n">
        <x:f>VLOOKUP("Category|"&amp;P413,'Score settings'!$A$14:$C$43,3,FALSE)/'Score settings'!$B$5*'Score settings'!$D$5</x:f>
        <x:v>8</x:v>
      </x:c>
      <x:c r="AD413" s="41" t="n">
        <x:f>VLOOKUP("Area|"&amp;Q413,'Score settings'!$A$14:$C$43,3,FALSE)/'Score settings'!$B$6*'Score settings'!$D$6</x:f>
        <x:v>0</x:v>
      </x:c>
      <x:c r="AE413" s="41" t="n">
        <x:f>VLOOKUP("Benefits|"&amp;IF(AND(ISNUMBER(K413),K413&gt;0,ISNUMBER(G413),G413&gt;0),IF(K413/G413&gt;='Score settings'!$E$17,"3plus",IF(K413/G413&gt;='Score settings'!$E$16,"1.5to3",IF(K413/G413&gt;='Score settings'!$E$15,"0.5to1.5","positive"))),"None"),'Score settings'!$A$14:$C$43,3,FALSE)/'Score settings'!$B$7*'Score settings'!$D$7</x:f>
        <x:v>0</x:v>
      </x:c>
      <x:c r="AF413" s="41" t="n">
        <x:f>VLOOKUP("Waste|"&amp;R413,'Score settings'!$A$14:$C$43,3,FALSE)/'Score settings'!$B$8*'Score settings'!$D$8</x:f>
        <x:v>0</x:v>
      </x:c>
      <x:c r="AG413" s="41" t="n">
        <x:f>(IF(AND(ISNUMBER(M413),M413&gt;0,ISNUMBER(G413),G413&gt;0),IF(M413/G413&gt;='Score settings'!$E$17,'Score settings'!$G$17,IF(M413/G413&gt;='Score settings'!$E$16,'Score settings'!$G$16,IF(M413/G413&gt;='Score settings'!$E$15,'Score settings'!$G$15,'Score settings'!$G$14))),0)/15*'Score settings'!$B$60+IFERROR(VLOOKUP(IF(ISNUMBER(N413),N413,IF(ISNUMBER(L413),L413,0)),'Score settings'!$E$22:$F$26,2,FALSE),0)/10*'Score settings'!$B$61)/'Score settings'!$B$9*'Score settings'!$D$9</x:f>
        <x:v>0</x:v>
      </x:c>
      <x:c r="AH413" s="41" t="n">
        <x:f>IF(B413="","",SUM(AB413:AG413))</x:f>
        <x:v>23</x:v>
      </x:c>
      <x:c r="AI413" s="41" t="str">
        <x:f>IF(NOT(ISNUMBER(AH413)),"Not scored",VLOOKUP(AH413,'Score settings'!$A$47:$C$50,3,TRUE))</x:f>
        <x:v>Weak</x:v>
      </x:c>
      <x:c r="AJ413" s="42" t="n">
        <x:f>IF(OR(NOT(ISNUMBER(AH413)),T413&lt;&gt;"Common pot"),"",COUNTIFS($T$4:$T$509,"Common pot",$AH$4:$AH$509,"&gt;"&amp;AH413)+1)</x:f>
        <x:v>301</x:v>
      </x:c>
      <x:c r="AK413" s="36" t="str">
        <x:f>IF(B413="","Name missing - not scored",IF(OR(NOT(ISNUMBER(G413)),G413&lt;=0),"Investment missing or zero - review",IF(0=1,"Permanent ID missing - reconcile",IF(AND(ISNUMBER(H413),H413/G413&gt;='Score settings'!$B$58,NOT(ISNUMBER(I413))),"Benefit units need review",IF(OR(R413="EXIT",R413="CHALLENGE"),"Waste decision requires scope resolution",IF("No exact waste match"&lt;&gt;"Name and organisation matched","Waste evidence match needs review","Provisional source score - confirm evidence"))))))</x:f>
        <x:v>Waste evidence match needs review</x:v>
      </x:c>
      <x:c r="AL413" s="36"/>
      <x:c r="AM413" s="40"/>
      <x:c r="AN413" s="39"/>
      <x:c r="AO413" s="40"/>
      <x:c r="AP413" s="40"/>
    </x:row>
    <x:row r="414" ht="15" hidden="0" customHeight="1">
      <x:c r="A414" s="36" t="str">
        <x:v>EW-92</x:v>
      </x:c>
      <x:c r="B414" s="37" t="str">
        <x:v>FIN-Decom UiPatch (Communication Mining)</x:v>
      </x:c>
      <x:c r="C414" s="36" t="str">
        <x:v>EW</x:v>
      </x:c>
      <x:c r="D414" s="36" t="str">
        <x:v>Finance​</x:v>
      </x:c>
      <x:c r="E414" s="38" t="n">
        <x:v>0.4</x:v>
      </x:c>
      <x:c r="F414" s="39"/>
      <x:c r="G414" s="38" t="n">
        <x:f>IF(ISNUMBER(F414),F414,IF(E414="","",E414))</x:f>
        <x:v>0.4</x:v>
      </x:c>
      <x:c r="H414" s="38" t="n">
        <x:v>0.4</x:v>
      </x:c>
      <x:c r="I414" s="39"/>
      <x:c r="J414" s="36" t="str">
        <x:v>Unclassified</x:v>
      </x:c>
      <x:c r="K414" s="38" t="str">
        <x:f>IF(ISNUMBER(I414),I414,IF(OR(NOT(ISNUMBER(H414)),NOT(ISNUMBER(G414)),G414&lt;=0),"",IF(H414/G414&gt;='Score settings'!$B$58,"",IF(J414="Cash savings",H414,IF(J414="Revenue",H414*'Score settings'!$B$55,"")))))</x:f>
      </x:c>
      <x:c r="L414" s="36"/>
      <x:c r="M414" s="39"/>
      <x:c r="N414" s="40"/>
      <x:c r="O414" s="36" t="str">
        <x:v>Must Do</x:v>
      </x:c>
      <x:c r="P414" s="36" t="str">
        <x:v>Decomm</x:v>
      </x:c>
      <x:c r="Q414" s="36" t="str">
        <x:v>Blank</x:v>
      </x:c>
      <x:c r="R414" s="36" t="str">
        <x:v>NotAssessed</x:v>
      </x:c>
      <x:c r="S414" s="36" t="str"/>
      <x:c r="T414" s="36" t="str">
        <x:v>Common pot</x:v>
      </x:c>
      <x:c r="U414" s="41" t="n">
        <x:f>VLOOKUP("Priority|"&amp;O414,'Score settings'!$A$14:$C$43,2,FALSE)/'Score settings'!$B$4*'Score settings'!$C$4</x:f>
        <x:v>25</x:v>
      </x:c>
      <x:c r="V414" s="41" t="n">
        <x:f>VLOOKUP("Category|"&amp;P414,'Score settings'!$A$14:$C$43,2,FALSE)/'Score settings'!$B$5*'Score settings'!$C$5</x:f>
        <x:v>17</x:v>
      </x:c>
      <x:c r="W414" s="41" t="n">
        <x:f>VLOOKUP("Area|"&amp;Q414,'Score settings'!$A$14:$C$43,2,FALSE)/'Score settings'!$B$6*'Score settings'!$C$6</x:f>
        <x:v>3</x:v>
      </x:c>
      <x:c r="X414" s="41" t="n">
        <x:f>VLOOKUP("Benefits|"&amp;IF(AND(ISNUMBER(H414),H414&gt;0,ISNUMBER(G414),G414&gt;0),IF(H414/G414&gt;='Score settings'!$E$17,"3plus",IF(H414/G414&gt;='Score settings'!$E$16,"1.5to3",IF(H414/G414&gt;='Score settings'!$E$15,"0.5to1.5","positive"))),"None"),'Score settings'!$A$14:$C$43,2,FALSE)/'Score settings'!$B$7*'Score settings'!$C$7</x:f>
        <x:v>15</x:v>
      </x:c>
      <x:c r="Y414" s="41" t="n">
        <x:f>VLOOKUP("Waste|"&amp;R414,'Score settings'!$A$14:$C$43,2,FALSE)/'Score settings'!$B$8*'Score settings'!$C$8</x:f>
        <x:v>7</x:v>
      </x:c>
      <x:c r="Z414" s="41" t="n">
        <x:f>IF(B414="","",SUM(U414:Y414))</x:f>
        <x:v>67</x:v>
      </x:c>
      <x:c r="AA414" s="41" t="str">
        <x:f>IF(Z414="","Not scored",VLOOKUP(Z414,'Score settings'!$A$47:$C$50,2,TRUE))</x:f>
        <x:v>Protected</x:v>
      </x:c>
      <x:c r="AB414" s="41" t="n">
        <x:f>VLOOKUP("Priority|"&amp;O414,'Score settings'!$A$14:$C$43,3,FALSE)/'Score settings'!$B$4*'Score settings'!$D$4</x:f>
        <x:v>15</x:v>
      </x:c>
      <x:c r="AC414" s="41" t="n">
        <x:f>VLOOKUP("Category|"&amp;P414,'Score settings'!$A$14:$C$43,3,FALSE)/'Score settings'!$B$5*'Score settings'!$D$5</x:f>
        <x:v>8.5</x:v>
      </x:c>
      <x:c r="AD414" s="41" t="n">
        <x:f>VLOOKUP("Area|"&amp;Q414,'Score settings'!$A$14:$C$43,3,FALSE)/'Score settings'!$B$6*'Score settings'!$D$6</x:f>
        <x:v>0</x:v>
      </x:c>
      <x:c r="AE414" s="41" t="n">
        <x:f>VLOOKUP("Benefits|"&amp;IF(AND(ISNUMBER(K414),K414&gt;0,ISNUMBER(G414),G414&gt;0),IF(K414/G414&gt;='Score settings'!$E$17,"3plus",IF(K414/G414&gt;='Score settings'!$E$16,"1.5to3",IF(K414/G414&gt;='Score settings'!$E$15,"0.5to1.5","positive"))),"None"),'Score settings'!$A$14:$C$43,3,FALSE)/'Score settings'!$B$7*'Score settings'!$D$7</x:f>
        <x:v>0</x:v>
      </x:c>
      <x:c r="AF414" s="41" t="n">
        <x:f>VLOOKUP("Waste|"&amp;R414,'Score settings'!$A$14:$C$43,3,FALSE)/'Score settings'!$B$8*'Score settings'!$D$8</x:f>
        <x:v>0</x:v>
      </x:c>
      <x:c r="AG414" s="41" t="n">
        <x:f>(IF(AND(ISNUMBER(M414),M414&gt;0,ISNUMBER(G414),G414&gt;0),IF(M414/G414&gt;='Score settings'!$E$17,'Score settings'!$G$17,IF(M414/G414&gt;='Score settings'!$E$16,'Score settings'!$G$16,IF(M414/G414&gt;='Score settings'!$E$15,'Score settings'!$G$15,'Score settings'!$G$14))),0)/15*'Score settings'!$B$60+IFERROR(VLOOKUP(IF(ISNUMBER(N414),N414,IF(ISNUMBER(L414),L414,0)),'Score settings'!$E$22:$F$26,2,FALSE),0)/10*'Score settings'!$B$61)/'Score settings'!$B$9*'Score settings'!$D$9</x:f>
        <x:v>0</x:v>
      </x:c>
      <x:c r="AH414" s="41" t="n">
        <x:f>IF(B414="","",SUM(AB414:AG414))</x:f>
        <x:v>23.5</x:v>
      </x:c>
      <x:c r="AI414" s="41" t="str">
        <x:f>IF(NOT(ISNUMBER(AH414)),"Not scored",VLOOKUP(AH414,'Score settings'!$A$47:$C$50,3,TRUE))</x:f>
        <x:v>Weak</x:v>
      </x:c>
      <x:c r="AJ414" s="42" t="n">
        <x:f>IF(OR(NOT(ISNUMBER(AH414)),T414&lt;&gt;"Common pot"),"",COUNTIFS($T$4:$T$509,"Common pot",$AH$4:$AH$509,"&gt;"&amp;AH414)+1)</x:f>
        <x:v>296</x:v>
      </x:c>
      <x:c r="AK414" s="36" t="str">
        <x:f>IF(B414="","Name missing - not scored",IF(OR(NOT(ISNUMBER(G414)),G414&lt;=0),"Investment missing or zero - review",IF(0=1,"Permanent ID missing - reconcile",IF(AND(ISNUMBER(H414),H414/G414&gt;='Score settings'!$B$58,NOT(ISNUMBER(I414))),"Benefit units need review",IF(OR(R414="EXIT",R414="CHALLENGE"),"Waste decision requires scope resolution",IF("No exact waste match"&lt;&gt;"Name and organisation matched","Waste evidence match needs review","Provisional source score - confirm evidence"))))))</x:f>
        <x:v>Waste evidence match needs review</x:v>
      </x:c>
      <x:c r="AL414" s="36"/>
      <x:c r="AM414" s="40"/>
      <x:c r="AN414" s="39"/>
      <x:c r="AO414" s="40"/>
      <x:c r="AP414" s="40"/>
    </x:row>
    <x:row r="415" ht="15" hidden="0" customHeight="1">
      <x:c r="A415" s="36" t="str">
        <x:v>EW-93</x:v>
      </x:c>
      <x:c r="B415" s="37" t="str">
        <x:v>FIN-C&amp;C: Credit Management</x:v>
      </x:c>
      <x:c r="C415" s="36" t="str">
        <x:v>EW</x:v>
      </x:c>
      <x:c r="D415" s="36" t="str">
        <x:v>Finance​</x:v>
      </x:c>
      <x:c r="E415" s="38" t="n">
        <x:v>0.15</x:v>
      </x:c>
      <x:c r="F415" s="39"/>
      <x:c r="G415" s="38" t="n">
        <x:f>IF(ISNUMBER(F415),F415,IF(E415="","",E415))</x:f>
        <x:v>0.15</x:v>
      </x:c>
      <x:c r="H415" s="38"/>
      <x:c r="I415" s="39"/>
      <x:c r="J415" s="36" t="str">
        <x:v>Unclassified</x:v>
      </x:c>
      <x:c r="K415" s="38" t="str">
        <x:f>IF(ISNUMBER(I415),I415,IF(OR(NOT(ISNUMBER(H415)),NOT(ISNUMBER(G415)),G415&lt;=0),"",IF(H415/G415&gt;='Score settings'!$B$58,"",IF(J415="Cash savings",H415,IF(J415="Revenue",H415*'Score settings'!$B$55,"")))))</x:f>
      </x:c>
      <x:c r="L415" s="36"/>
      <x:c r="M415" s="39"/>
      <x:c r="N415" s="40"/>
      <x:c r="O415" s="36" t="str">
        <x:v>Must Do</x:v>
      </x:c>
      <x:c r="P415" s="36" t="str">
        <x:v>AI</x:v>
      </x:c>
      <x:c r="Q415" s="36" t="str">
        <x:v>Blank</x:v>
      </x:c>
      <x:c r="R415" s="36" t="str">
        <x:v>NotAssessed</x:v>
      </x:c>
      <x:c r="S415" s="36" t="str"/>
      <x:c r="T415" s="36" t="str">
        <x:v>Common pot</x:v>
      </x:c>
      <x:c r="U415" s="41" t="n">
        <x:f>VLOOKUP("Priority|"&amp;O415,'Score settings'!$A$14:$C$43,2,FALSE)/'Score settings'!$B$4*'Score settings'!$C$4</x:f>
        <x:v>25</x:v>
      </x:c>
      <x:c r="V415" s="41" t="n">
        <x:f>VLOOKUP("Category|"&amp;P415,'Score settings'!$A$14:$C$43,2,FALSE)/'Score settings'!$B$5*'Score settings'!$C$5</x:f>
        <x:v>16</x:v>
      </x:c>
      <x:c r="W415" s="41" t="n">
        <x:f>VLOOKUP("Area|"&amp;Q415,'Score settings'!$A$14:$C$43,2,FALSE)/'Score settings'!$B$6*'Score settings'!$C$6</x:f>
        <x:v>3</x:v>
      </x:c>
      <x:c r="X415" s="41" t="n">
        <x:f>VLOOKUP("Benefits|"&amp;IF(AND(ISNUMBER(H415),H415&gt;0,ISNUMBER(G415),G415&gt;0),IF(H415/G415&gt;='Score settings'!$E$17,"3plus",IF(H415/G415&gt;='Score settings'!$E$16,"1.5to3",IF(H415/G415&gt;='Score settings'!$E$15,"0.5to1.5","positive"))),"None"),'Score settings'!$A$14:$C$43,2,FALSE)/'Score settings'!$B$7*'Score settings'!$C$7</x:f>
        <x:v>5</x:v>
      </x:c>
      <x:c r="Y415" s="41" t="n">
        <x:f>VLOOKUP("Waste|"&amp;R415,'Score settings'!$A$14:$C$43,2,FALSE)/'Score settings'!$B$8*'Score settings'!$C$8</x:f>
        <x:v>7</x:v>
      </x:c>
      <x:c r="Z415" s="41" t="n">
        <x:f>IF(B415="","",SUM(U415:Y415))</x:f>
        <x:v>56</x:v>
      </x:c>
      <x:c r="AA415" s="41" t="str">
        <x:f>IF(Z415="","Not scored",VLOOKUP(Z415,'Score settings'!$A$47:$C$50,2,TRUE))</x:f>
        <x:v>Strong</x:v>
      </x:c>
      <x:c r="AB415" s="41" t="n">
        <x:f>VLOOKUP("Priority|"&amp;O415,'Score settings'!$A$14:$C$43,3,FALSE)/'Score settings'!$B$4*'Score settings'!$D$4</x:f>
        <x:v>15</x:v>
      </x:c>
      <x:c r="AC415" s="41" t="n">
        <x:f>VLOOKUP("Category|"&amp;P415,'Score settings'!$A$14:$C$43,3,FALSE)/'Score settings'!$B$5*'Score settings'!$D$5</x:f>
        <x:v>8</x:v>
      </x:c>
      <x:c r="AD415" s="41" t="n">
        <x:f>VLOOKUP("Area|"&amp;Q415,'Score settings'!$A$14:$C$43,3,FALSE)/'Score settings'!$B$6*'Score settings'!$D$6</x:f>
        <x:v>0</x:v>
      </x:c>
      <x:c r="AE415" s="41" t="n">
        <x:f>VLOOKUP("Benefits|"&amp;IF(AND(ISNUMBER(K415),K415&gt;0,ISNUMBER(G415),G415&gt;0),IF(K415/G415&gt;='Score settings'!$E$17,"3plus",IF(K415/G415&gt;='Score settings'!$E$16,"1.5to3",IF(K415/G415&gt;='Score settings'!$E$15,"0.5to1.5","positive"))),"None"),'Score settings'!$A$14:$C$43,3,FALSE)/'Score settings'!$B$7*'Score settings'!$D$7</x:f>
        <x:v>0</x:v>
      </x:c>
      <x:c r="AF415" s="41" t="n">
        <x:f>VLOOKUP("Waste|"&amp;R415,'Score settings'!$A$14:$C$43,3,FALSE)/'Score settings'!$B$8*'Score settings'!$D$8</x:f>
        <x:v>0</x:v>
      </x:c>
      <x:c r="AG415" s="41" t="n">
        <x:f>(IF(AND(ISNUMBER(M415),M415&gt;0,ISNUMBER(G415),G415&gt;0),IF(M415/G415&gt;='Score settings'!$E$17,'Score settings'!$G$17,IF(M415/G415&gt;='Score settings'!$E$16,'Score settings'!$G$16,IF(M415/G415&gt;='Score settings'!$E$15,'Score settings'!$G$15,'Score settings'!$G$14))),0)/15*'Score settings'!$B$60+IFERROR(VLOOKUP(IF(ISNUMBER(N415),N415,IF(ISNUMBER(L415),L415,0)),'Score settings'!$E$22:$F$26,2,FALSE),0)/10*'Score settings'!$B$61)/'Score settings'!$B$9*'Score settings'!$D$9</x:f>
        <x:v>0</x:v>
      </x:c>
      <x:c r="AH415" s="41" t="n">
        <x:f>IF(B415="","",SUM(AB415:AG415))</x:f>
        <x:v>23</x:v>
      </x:c>
      <x:c r="AI415" s="41" t="str">
        <x:f>IF(NOT(ISNUMBER(AH415)),"Not scored",VLOOKUP(AH415,'Score settings'!$A$47:$C$50,3,TRUE))</x:f>
        <x:v>Weak</x:v>
      </x:c>
      <x:c r="AJ415" s="42" t="n">
        <x:f>IF(OR(NOT(ISNUMBER(AH415)),T415&lt;&gt;"Common pot"),"",COUNTIFS($T$4:$T$509,"Common pot",$AH$4:$AH$509,"&gt;"&amp;AH415)+1)</x:f>
        <x:v>301</x:v>
      </x:c>
      <x:c r="AK415" s="36" t="str">
        <x:f>IF(B415="","Name missing - not scored",IF(OR(NOT(ISNUMBER(G415)),G415&lt;=0),"Investment missing or zero - review",IF(0=1,"Permanent ID missing - reconcile",IF(AND(ISNUMBER(H415),H415/G415&gt;='Score settings'!$B$58,NOT(ISNUMBER(I415))),"Benefit units need review",IF(OR(R415="EXIT",R415="CHALLENGE"),"Waste decision requires scope resolution",IF("No exact waste match"&lt;&gt;"Name and organisation matched","Waste evidence match needs review","Provisional source score - confirm evidence"))))))</x:f>
        <x:v>Waste evidence match needs review</x:v>
      </x:c>
      <x:c r="AL415" s="36"/>
      <x:c r="AM415" s="40"/>
      <x:c r="AN415" s="39"/>
      <x:c r="AO415" s="40"/>
      <x:c r="AP415" s="40"/>
    </x:row>
    <x:row r="416" ht="15" hidden="0" customHeight="1">
      <x:c r="A416" s="36" t="str">
        <x:v>EW-94</x:v>
      </x:c>
      <x:c r="B416" s="37" t="str">
        <x:v>Automation of Certificate Lifecycle Management </x:v>
      </x:c>
      <x:c r="C416" s="36" t="str">
        <x:v>EW</x:v>
      </x:c>
      <x:c r="D416" s="36" t="str">
        <x:v>Information Technology ​</x:v>
      </x:c>
      <x:c r="E416" s="38" t="n">
        <x:v>0</x:v>
      </x:c>
      <x:c r="F416" s="39"/>
      <x:c r="G416" s="38" t="str">
        <x:f>IF(ISNUMBER(F416),F416,IF(E416="","",E416))</x:f>
      </x:c>
      <x:c r="H416" s="38"/>
      <x:c r="I416" s="39"/>
      <x:c r="J416" s="36" t="str">
        <x:v>Cash savings</x:v>
      </x:c>
      <x:c r="K416" s="38" t="str">
        <x:f>IF(ISNUMBER(I416),I416,IF(OR(NOT(ISNUMBER(H416)),NOT(ISNUMBER(G416)),G416&lt;=0),"",IF(H416/G416&gt;='Score settings'!$B$58,"",IF(J416="Cash savings",H416,IF(J416="Revenue",H416*'Score settings'!$B$55,"")))))</x:f>
      </x:c>
      <x:c r="L416" s="36"/>
      <x:c r="M416" s="39"/>
      <x:c r="N416" s="40"/>
      <x:c r="O416" s="36" t="str">
        <x:v>Depri</x:v>
      </x:c>
      <x:c r="P416" s="36" t="str">
        <x:v>CI</x:v>
      </x:c>
      <x:c r="Q416" s="36" t="str">
        <x:v>ProcSimp</x:v>
      </x:c>
      <x:c r="R416" s="36" t="str">
        <x:v>NotAssessed</x:v>
      </x:c>
      <x:c r="S416" s="36" t="str"/>
      <x:c r="T416" s="36" t="str">
        <x:v>Common pot</x:v>
      </x:c>
      <x:c r="U416" s="41" t="n">
        <x:f>VLOOKUP("Priority|"&amp;O416,'Score settings'!$A$14:$C$43,2,FALSE)/'Score settings'!$B$4*'Score settings'!$C$4</x:f>
        <x:v>5</x:v>
      </x:c>
      <x:c r="V416" s="41" t="n">
        <x:f>VLOOKUP("Category|"&amp;P416,'Score settings'!$A$14:$C$43,2,FALSE)/'Score settings'!$B$5*'Score settings'!$C$5</x:f>
        <x:v>8</x:v>
      </x:c>
      <x:c r="W416" s="41" t="n">
        <x:f>VLOOKUP("Area|"&amp;Q416,'Score settings'!$A$14:$C$43,2,FALSE)/'Score settings'!$B$6*'Score settings'!$C$6</x:f>
        <x:v>12</x:v>
      </x:c>
      <x:c r="X416" s="41" t="n">
        <x:f>VLOOKUP("Benefits|"&amp;IF(AND(ISNUMBER(H416),H416&gt;0,ISNUMBER(G416),G416&gt;0),IF(H416/G416&gt;='Score settings'!$E$17,"3plus",IF(H416/G416&gt;='Score settings'!$E$16,"1.5to3",IF(H416/G416&gt;='Score settings'!$E$15,"0.5to1.5","positive"))),"None"),'Score settings'!$A$14:$C$43,2,FALSE)/'Score settings'!$B$7*'Score settings'!$C$7</x:f>
        <x:v>5</x:v>
      </x:c>
      <x:c r="Y416" s="41" t="n">
        <x:f>VLOOKUP("Waste|"&amp;R416,'Score settings'!$A$14:$C$43,2,FALSE)/'Score settings'!$B$8*'Score settings'!$C$8</x:f>
        <x:v>7</x:v>
      </x:c>
      <x:c r="Z416" s="41" t="n">
        <x:f>IF(B416="","",SUM(U416:Y416))</x:f>
        <x:v>37</x:v>
      </x:c>
      <x:c r="AA416" s="41" t="str">
        <x:f>IF(Z416="","Not scored",VLOOKUP(Z416,'Score settings'!$A$47:$C$50,2,TRUE))</x:f>
        <x:v>Discretionary</x:v>
      </x:c>
      <x:c r="AB416" s="41" t="n">
        <x:f>VLOOKUP("Priority|"&amp;O416,'Score settings'!$A$14:$C$43,3,FALSE)/'Score settings'!$B$4*'Score settings'!$D$4</x:f>
        <x:v>3</x:v>
      </x:c>
      <x:c r="AC416" s="41" t="n">
        <x:f>VLOOKUP("Category|"&amp;P416,'Score settings'!$A$14:$C$43,3,FALSE)/'Score settings'!$B$5*'Score settings'!$D$5</x:f>
        <x:v>4</x:v>
      </x:c>
      <x:c r="AD416" s="41" t="n">
        <x:f>VLOOKUP("Area|"&amp;Q416,'Score settings'!$A$14:$C$43,3,FALSE)/'Score settings'!$B$6*'Score settings'!$D$6</x:f>
        <x:v>8</x:v>
      </x:c>
      <x:c r="AE416" s="41" t="n">
        <x:f>VLOOKUP("Benefits|"&amp;IF(AND(ISNUMBER(K416),K416&gt;0,ISNUMBER(G416),G416&gt;0),IF(K416/G416&gt;='Score settings'!$E$17,"3plus",IF(K416/G416&gt;='Score settings'!$E$16,"1.5to3",IF(K416/G416&gt;='Score settings'!$E$15,"0.5to1.5","positive"))),"None"),'Score settings'!$A$14:$C$43,3,FALSE)/'Score settings'!$B$7*'Score settings'!$D$7</x:f>
        <x:v>0</x:v>
      </x:c>
      <x:c r="AF416" s="41" t="n">
        <x:f>VLOOKUP("Waste|"&amp;R416,'Score settings'!$A$14:$C$43,3,FALSE)/'Score settings'!$B$8*'Score settings'!$D$8</x:f>
        <x:v>0</x:v>
      </x:c>
      <x:c r="AG416" s="41" t="n">
        <x:f>(IF(AND(ISNUMBER(M416),M416&gt;0,ISNUMBER(G416),G416&gt;0),IF(M416/G416&gt;='Score settings'!$E$17,'Score settings'!$G$17,IF(M416/G416&gt;='Score settings'!$E$16,'Score settings'!$G$16,IF(M416/G416&gt;='Score settings'!$E$15,'Score settings'!$G$15,'Score settings'!$G$14))),0)/15*'Score settings'!$B$60+IFERROR(VLOOKUP(IF(ISNUMBER(N416),N416,IF(ISNUMBER(L416),L416,0)),'Score settings'!$E$22:$F$26,2,FALSE),0)/10*'Score settings'!$B$61)/'Score settings'!$B$9*'Score settings'!$D$9</x:f>
        <x:v>0</x:v>
      </x:c>
      <x:c r="AH416" s="41" t="n">
        <x:f>IF(B416="","",SUM(AB416:AG416))</x:f>
        <x:v>15</x:v>
      </x:c>
      <x:c r="AI416" s="41" t="str">
        <x:f>IF(NOT(ISNUMBER(AH416)),"Not scored",VLOOKUP(AH416,'Score settings'!$A$47:$C$50,3,TRUE))</x:f>
        <x:v>Weak</x:v>
      </x:c>
      <x:c r="AJ416" s="42" t="n">
        <x:f>IF(OR(NOT(ISNUMBER(AH416)),T416&lt;&gt;"Common pot"),"",COUNTIFS($T$4:$T$509,"Common pot",$AH$4:$AH$509,"&gt;"&amp;AH416)+1)</x:f>
        <x:v>364</x:v>
      </x:c>
      <x:c r="AK416" s="36" t="str">
        <x:f>IF(B416="","Name missing - not scored",IF(OR(NOT(ISNUMBER(G416)),G416&lt;=0),"Investment missing or zero - review",IF(0=1,"Permanent ID missing - reconcile",IF(AND(ISNUMBER(H416),H416/G416&gt;='Score settings'!$B$58,NOT(ISNUMBER(I416))),"Benefit units need review",IF(OR(R416="EXIT",R416="CHALLENGE"),"Waste decision requires scope resolution",IF("No exact waste match"&lt;&gt;"Name and organisation matched","Waste evidence match needs review","Provisional source score - confirm evidence"))))))</x:f>
        <x:v>Investment missing or zero - review</x:v>
      </x:c>
      <x:c r="AL416" s="36"/>
      <x:c r="AM416" s="40"/>
      <x:c r="AN416" s="39"/>
      <x:c r="AO416" s="40"/>
      <x:c r="AP416" s="40"/>
    </x:row>
    <x:row r="417" ht="24" hidden="0" customHeight="1">
      <x:c r="A417" s="36" t="str">
        <x:v>EW-95</x:v>
      </x:c>
      <x:c r="B417" s="37" t="str">
        <x:v>Infrastructure Setup to support Real Estate initiatives (new site setup, relocation and closure)</x:v>
      </x:c>
      <x:c r="C417" s="36" t="str">
        <x:v>EW</x:v>
      </x:c>
      <x:c r="D417" s="36" t="str">
        <x:v>Information Technology ​</x:v>
      </x:c>
      <x:c r="E417" s="38" t="n">
        <x:v>2.5</x:v>
      </x:c>
      <x:c r="F417" s="39"/>
      <x:c r="G417" s="38" t="n">
        <x:f>IF(ISNUMBER(F417),F417,IF(E417="","",E417))</x:f>
        <x:v>2.5</x:v>
      </x:c>
      <x:c r="H417" s="38" t="n">
        <x:v>2000</x:v>
      </x:c>
      <x:c r="I417" s="39"/>
      <x:c r="J417" s="36" t="str">
        <x:v>Risk exposure</x:v>
      </x:c>
      <x:c r="K417" s="38" t="str">
        <x:f>IF(ISNUMBER(I417),I417,IF(OR(NOT(ISNUMBER(H417)),NOT(ISNUMBER(G417)),G417&lt;=0),"",IF(H417/G417&gt;='Score settings'!$B$58,"",IF(J417="Cash savings",H417,IF(J417="Revenue",H417*'Score settings'!$B$55,"")))))</x:f>
      </x:c>
      <x:c r="L417" s="36"/>
      <x:c r="M417" s="39"/>
      <x:c r="N417" s="40"/>
      <x:c r="O417" s="36" t="str">
        <x:v>Must Do</x:v>
      </x:c>
      <x:c r="P417" s="36" t="str">
        <x:v>Decomm</x:v>
      </x:c>
      <x:c r="Q417" s="36" t="str">
        <x:v>Compliance</x:v>
      </x:c>
      <x:c r="R417" s="36" t="str">
        <x:v>HEALTHY</x:v>
      </x:c>
      <x:c r="S417" s="36" t="str"/>
      <x:c r="T417" s="36" t="str">
        <x:v>Common pot</x:v>
      </x:c>
      <x:c r="U417" s="41" t="n">
        <x:f>VLOOKUP("Priority|"&amp;O417,'Score settings'!$A$14:$C$43,2,FALSE)/'Score settings'!$B$4*'Score settings'!$C$4</x:f>
        <x:v>25</x:v>
      </x:c>
      <x:c r="V417" s="41" t="n">
        <x:f>VLOOKUP("Category|"&amp;P417,'Score settings'!$A$14:$C$43,2,FALSE)/'Score settings'!$B$5*'Score settings'!$C$5</x:f>
        <x:v>17</x:v>
      </x:c>
      <x:c r="W417" s="41" t="n">
        <x:f>VLOOKUP("Area|"&amp;Q417,'Score settings'!$A$14:$C$43,2,FALSE)/'Score settings'!$B$6*'Score settings'!$C$6</x:f>
        <x:v>15</x:v>
      </x:c>
      <x:c r="X417" s="41" t="n">
        <x:f>VLOOKUP("Benefits|"&amp;IF(AND(ISNUMBER(H417),H417&gt;0,ISNUMBER(G417),G417&gt;0),IF(H417/G417&gt;='Score settings'!$E$17,"3plus",IF(H417/G417&gt;='Score settings'!$E$16,"1.5to3",IF(H417/G417&gt;='Score settings'!$E$15,"0.5to1.5","positive"))),"None"),'Score settings'!$A$14:$C$43,2,FALSE)/'Score settings'!$B$7*'Score settings'!$C$7</x:f>
        <x:v>25</x:v>
      </x:c>
      <x:c r="Y417" s="41" t="n">
        <x:f>VLOOKUP("Waste|"&amp;R417,'Score settings'!$A$14:$C$43,2,FALSE)/'Score settings'!$B$8*'Score settings'!$C$8</x:f>
        <x:v>15</x:v>
      </x:c>
      <x:c r="Z417" s="41" t="n">
        <x:f>IF(B417="","",SUM(U417:Y417))</x:f>
        <x:v>97</x:v>
      </x:c>
      <x:c r="AA417" s="41" t="str">
        <x:f>IF(Z417="","Not scored",VLOOKUP(Z417,'Score settings'!$A$47:$C$50,2,TRUE))</x:f>
        <x:v>Protected</x:v>
      </x:c>
      <x:c r="AB417" s="41" t="n">
        <x:f>VLOOKUP("Priority|"&amp;O417,'Score settings'!$A$14:$C$43,3,FALSE)/'Score settings'!$B$4*'Score settings'!$D$4</x:f>
        <x:v>15</x:v>
      </x:c>
      <x:c r="AC417" s="41" t="n">
        <x:f>VLOOKUP("Category|"&amp;P417,'Score settings'!$A$14:$C$43,3,FALSE)/'Score settings'!$B$5*'Score settings'!$D$5</x:f>
        <x:v>8.5</x:v>
      </x:c>
      <x:c r="AD417" s="41" t="n">
        <x:f>VLOOKUP("Area|"&amp;Q417,'Score settings'!$A$14:$C$43,3,FALSE)/'Score settings'!$B$6*'Score settings'!$D$6</x:f>
        <x:v>10</x:v>
      </x:c>
      <x:c r="AE417" s="41" t="n">
        <x:f>VLOOKUP("Benefits|"&amp;IF(AND(ISNUMBER(K417),K417&gt;0,ISNUMBER(G417),G417&gt;0),IF(K417/G417&gt;='Score settings'!$E$17,"3plus",IF(K417/G417&gt;='Score settings'!$E$16,"1.5to3",IF(K417/G417&gt;='Score settings'!$E$15,"0.5to1.5","positive"))),"None"),'Score settings'!$A$14:$C$43,3,FALSE)/'Score settings'!$B$7*'Score settings'!$D$7</x:f>
        <x:v>0</x:v>
      </x:c>
      <x:c r="AF417" s="41" t="n">
        <x:f>VLOOKUP("Waste|"&amp;R417,'Score settings'!$A$14:$C$43,3,FALSE)/'Score settings'!$B$8*'Score settings'!$D$8</x:f>
        <x:v>10</x:v>
      </x:c>
      <x:c r="AG417" s="41" t="n">
        <x:f>(IF(AND(ISNUMBER(M417),M417&gt;0,ISNUMBER(G417),G417&gt;0),IF(M417/G417&gt;='Score settings'!$E$17,'Score settings'!$G$17,IF(M417/G417&gt;='Score settings'!$E$16,'Score settings'!$G$16,IF(M417/G417&gt;='Score settings'!$E$15,'Score settings'!$G$15,'Score settings'!$G$14))),0)/15*'Score settings'!$B$60+IFERROR(VLOOKUP(IF(ISNUMBER(N417),N417,IF(ISNUMBER(L417),L417,0)),'Score settings'!$E$22:$F$26,2,FALSE),0)/10*'Score settings'!$B$61)/'Score settings'!$B$9*'Score settings'!$D$9</x:f>
        <x:v>0</x:v>
      </x:c>
      <x:c r="AH417" s="41" t="n">
        <x:f>IF(B417="","",SUM(AB417:AG417))</x:f>
        <x:v>43.5</x:v>
      </x:c>
      <x:c r="AI417" s="41" t="str">
        <x:f>IF(NOT(ISNUMBER(AH417)),"Not scored",VLOOKUP(AH417,'Score settings'!$A$47:$C$50,3,TRUE))</x:f>
        <x:v>Discretionary</x:v>
      </x:c>
      <x:c r="AJ417" s="42" t="n">
        <x:f>IF(OR(NOT(ISNUMBER(AH417)),T417&lt;&gt;"Common pot"),"",COUNTIFS($T$4:$T$509,"Common pot",$AH$4:$AH$509,"&gt;"&amp;AH417)+1)</x:f>
        <x:v>74</x:v>
      </x:c>
      <x:c r="AK417" s="36" t="str">
        <x:f>IF(B417="","Name missing - not scored",IF(OR(NOT(ISNUMBER(G417)),G417&lt;=0),"Investment missing or zero - review",IF(0=1,"Permanent ID missing - reconcile",IF(AND(ISNUMBER(H417),H417/G417&gt;='Score settings'!$B$58,NOT(ISNUMBER(I417))),"Benefit units need review",IF(OR(R417="EXIT",R417="CHALLENGE"),"Waste decision requires scope resolution",IF("Name and organisation matched"&lt;&gt;"Name and organisation matched","Waste evidence match needs review","Provisional source score - confirm evidence"))))))</x:f>
        <x:v>Benefit units need review</x:v>
      </x:c>
      <x:c r="AL417" s="36"/>
      <x:c r="AM417" s="40"/>
      <x:c r="AN417" s="39"/>
      <x:c r="AO417" s="40"/>
      <x:c r="AP417" s="40"/>
    </x:row>
    <x:row r="418" ht="15" hidden="0" customHeight="1">
      <x:c r="A418" s="36" t="str">
        <x:v>EW-96</x:v>
      </x:c>
      <x:c r="B418" s="37" t="str"/>
      <x:c r="C418" s="36" t="str">
        <x:v>EW</x:v>
      </x:c>
      <x:c r="D418" s="36" t="str">
        <x:v>Information Technology ​</x:v>
      </x:c>
      <x:c r="E418" s="38"/>
      <x:c r="F418" s="39"/>
      <x:c r="G418" s="38" t="str">
        <x:f>IF(ISNUMBER(F418),F418,IF(E418="","",E418))</x:f>
      </x:c>
      <x:c r="H418" s="38"/>
      <x:c r="I418" s="39"/>
      <x:c r="J418" s="36" t="str">
        <x:v>Risk exposure</x:v>
      </x:c>
      <x:c r="K418" s="38" t="str">
        <x:f>IF(ISNUMBER(I418),I418,IF(OR(NOT(ISNUMBER(H418)),NOT(ISNUMBER(G418)),G418&lt;=0),"",IF(H418/G418&gt;='Score settings'!$B$58,"",IF(J418="Cash savings",H418,IF(J418="Revenue",H418*'Score settings'!$B$55,"")))))</x:f>
      </x:c>
      <x:c r="L418" s="36"/>
      <x:c r="M418" s="39"/>
      <x:c r="N418" s="40"/>
      <x:c r="O418" s="36" t="str">
        <x:v>Blank</x:v>
      </x:c>
      <x:c r="P418" s="36" t="str">
        <x:v>Upgrades</x:v>
      </x:c>
      <x:c r="Q418" s="36" t="str">
        <x:v>Compliance</x:v>
      </x:c>
      <x:c r="R418" s="36" t="str">
        <x:v>NotAssessed</x:v>
      </x:c>
      <x:c r="S418" s="36" t="str"/>
      <x:c r="T418" s="36" t="str">
        <x:v>Incomplete record</x:v>
      </x:c>
      <x:c r="U418" s="41" t="n">
        <x:f>VLOOKUP("Priority|"&amp;O418,'Score settings'!$A$14:$C$43,2,FALSE)/'Score settings'!$B$4*'Score settings'!$C$4</x:f>
        <x:v>10</x:v>
      </x:c>
      <x:c r="V418" s="41" t="n">
        <x:f>VLOOKUP("Category|"&amp;P418,'Score settings'!$A$14:$C$43,2,FALSE)/'Score settings'!$B$5*'Score settings'!$C$5</x:f>
        <x:v>10</x:v>
      </x:c>
      <x:c r="W418" s="41" t="n">
        <x:f>VLOOKUP("Area|"&amp;Q418,'Score settings'!$A$14:$C$43,2,FALSE)/'Score settings'!$B$6*'Score settings'!$C$6</x:f>
        <x:v>15</x:v>
      </x:c>
      <x:c r="X418" s="41" t="n">
        <x:f>VLOOKUP("Benefits|"&amp;IF(AND(ISNUMBER(H418),H418&gt;0,ISNUMBER(G418),G418&gt;0),IF(H418/G418&gt;='Score settings'!$E$17,"3plus",IF(H418/G418&gt;='Score settings'!$E$16,"1.5to3",IF(H418/G418&gt;='Score settings'!$E$15,"0.5to1.5","positive"))),"None"),'Score settings'!$A$14:$C$43,2,FALSE)/'Score settings'!$B$7*'Score settings'!$C$7</x:f>
        <x:v>5</x:v>
      </x:c>
      <x:c r="Y418" s="41" t="n">
        <x:f>VLOOKUP("Waste|"&amp;R418,'Score settings'!$A$14:$C$43,2,FALSE)/'Score settings'!$B$8*'Score settings'!$C$8</x:f>
        <x:v>7</x:v>
      </x:c>
      <x:c r="Z418" s="41" t="str">
        <x:f>IF(B418="","",SUM(U418:Y418))</x:f>
      </x:c>
      <x:c r="AA418" s="41" t="str">
        <x:f>IF(Z418="","Not scored",VLOOKUP(Z418,'Score settings'!$A$47:$C$50,2,TRUE))</x:f>
        <x:v>Not scored</x:v>
      </x:c>
      <x:c r="AB418" s="41" t="n">
        <x:f>VLOOKUP("Priority|"&amp;O418,'Score settings'!$A$14:$C$43,3,FALSE)/'Score settings'!$B$4*'Score settings'!$D$4</x:f>
        <x:v>0</x:v>
      </x:c>
      <x:c r="AC418" s="41" t="n">
        <x:f>VLOOKUP("Category|"&amp;P418,'Score settings'!$A$14:$C$43,3,FALSE)/'Score settings'!$B$5*'Score settings'!$D$5</x:f>
        <x:v>5</x:v>
      </x:c>
      <x:c r="AD418" s="41" t="n">
        <x:f>VLOOKUP("Area|"&amp;Q418,'Score settings'!$A$14:$C$43,3,FALSE)/'Score settings'!$B$6*'Score settings'!$D$6</x:f>
        <x:v>10</x:v>
      </x:c>
      <x:c r="AE418" s="41" t="n">
        <x:f>VLOOKUP("Benefits|"&amp;IF(AND(ISNUMBER(K418),K418&gt;0,ISNUMBER(G418),G418&gt;0),IF(K418/G418&gt;='Score settings'!$E$17,"3plus",IF(K418/G418&gt;='Score settings'!$E$16,"1.5to3",IF(K418/G418&gt;='Score settings'!$E$15,"0.5to1.5","positive"))),"None"),'Score settings'!$A$14:$C$43,3,FALSE)/'Score settings'!$B$7*'Score settings'!$D$7</x:f>
        <x:v>0</x:v>
      </x:c>
      <x:c r="AF418" s="41" t="n">
        <x:f>VLOOKUP("Waste|"&amp;R418,'Score settings'!$A$14:$C$43,3,FALSE)/'Score settings'!$B$8*'Score settings'!$D$8</x:f>
        <x:v>0</x:v>
      </x:c>
      <x:c r="AG418" s="41" t="n">
        <x:f>(IF(AND(ISNUMBER(M418),M418&gt;0,ISNUMBER(G418),G418&gt;0),IF(M418/G418&gt;='Score settings'!$E$17,'Score settings'!$G$17,IF(M418/G418&gt;='Score settings'!$E$16,'Score settings'!$G$16,IF(M418/G418&gt;='Score settings'!$E$15,'Score settings'!$G$15,'Score settings'!$G$14))),0)/15*'Score settings'!$B$60+IFERROR(VLOOKUP(IF(ISNUMBER(N418),N418,IF(ISNUMBER(L418),L418,0)),'Score settings'!$E$22:$F$26,2,FALSE),0)/10*'Score settings'!$B$61)/'Score settings'!$B$9*'Score settings'!$D$9</x:f>
        <x:v>0</x:v>
      </x:c>
      <x:c r="AH418" s="41" t="str">
        <x:f>IF(B418="","",SUM(AB418:AG418))</x:f>
      </x:c>
      <x:c r="AI418" s="41" t="str">
        <x:f>IF(NOT(ISNUMBER(AH418)),"Not scored",VLOOKUP(AH418,'Score settings'!$A$47:$C$50,3,TRUE))</x:f>
        <x:v>Not scored</x:v>
      </x:c>
      <x:c r="AJ418" s="42" t="str">
        <x:f>IF(OR(NOT(ISNUMBER(AH418)),T418&lt;&gt;"Common pot"),"",COUNTIFS($T$4:$T$509,"Common pot",$AH$4:$AH$509,"&gt;"&amp;AH418)+1)</x:f>
      </x:c>
      <x:c r="AK418" s="36" t="str">
        <x:f>IF(B418="","Name missing - not scored",IF(OR(NOT(ISNUMBER(G418)),G418&lt;=0),"Investment missing or zero - review",IF(0=1,"Permanent ID missing - reconcile",IF(AND(ISNUMBER(H418),H418/G418&gt;='Score settings'!$B$58,NOT(ISNUMBER(I418))),"Benefit units need review",IF(OR(R418="EXIT",R418="CHALLENGE"),"Waste decision requires scope resolution",IF("No exact waste match"&lt;&gt;"Name and organisation matched","Waste evidence match needs review","Provisional source score - confirm evidence"))))))</x:f>
        <x:v>Name missing - not scored</x:v>
      </x:c>
      <x:c r="AL418" s="36"/>
      <x:c r="AM418" s="40"/>
      <x:c r="AN418" s="39"/>
      <x:c r="AO418" s="40"/>
      <x:c r="AP418" s="40"/>
    </x:row>
    <x:row r="419" ht="15" hidden="0" customHeight="1">
      <x:c r="A419" s="36" t="str">
        <x:v>EW-97</x:v>
      </x:c>
      <x:c r="B419" s="37" t="str">
        <x:v>AI Infrastrcture Foundation</x:v>
      </x:c>
      <x:c r="C419" s="36" t="str">
        <x:v>EW</x:v>
      </x:c>
      <x:c r="D419" s="36" t="str">
        <x:v>Information Technology ​</x:v>
      </x:c>
      <x:c r="E419" s="38" t="n">
        <x:v>0.4</x:v>
      </x:c>
      <x:c r="F419" s="39"/>
      <x:c r="G419" s="38" t="n">
        <x:f>IF(ISNUMBER(F419),F419,IF(E419="","",E419))</x:f>
        <x:v>0.4</x:v>
      </x:c>
      <x:c r="H419" s="38"/>
      <x:c r="I419" s="39"/>
      <x:c r="J419" s="36" t="str">
        <x:v>Cash savings</x:v>
      </x:c>
      <x:c r="K419" s="38" t="str">
        <x:f>IF(ISNUMBER(I419),I419,IF(OR(NOT(ISNUMBER(H419)),NOT(ISNUMBER(G419)),G419&lt;=0),"",IF(H419/G419&gt;='Score settings'!$B$58,"",IF(J419="Cash savings",H419,IF(J419="Revenue",H419*'Score settings'!$B$55,"")))))</x:f>
      </x:c>
      <x:c r="L419" s="36"/>
      <x:c r="M419" s="39"/>
      <x:c r="N419" s="40"/>
      <x:c r="O419" s="36" t="str">
        <x:v>Must Do</x:v>
      </x:c>
      <x:c r="P419" s="36" t="str">
        <x:v>AI</x:v>
      </x:c>
      <x:c r="Q419" s="36" t="str">
        <x:v>Productivity</x:v>
      </x:c>
      <x:c r="R419" s="36" t="str">
        <x:v>NotAssessed</x:v>
      </x:c>
      <x:c r="S419" s="36" t="str"/>
      <x:c r="T419" s="36" t="str">
        <x:v>Common pot</x:v>
      </x:c>
      <x:c r="U419" s="41" t="n">
        <x:f>VLOOKUP("Priority|"&amp;O419,'Score settings'!$A$14:$C$43,2,FALSE)/'Score settings'!$B$4*'Score settings'!$C$4</x:f>
        <x:v>25</x:v>
      </x:c>
      <x:c r="V419" s="41" t="n">
        <x:f>VLOOKUP("Category|"&amp;P419,'Score settings'!$A$14:$C$43,2,FALSE)/'Score settings'!$B$5*'Score settings'!$C$5</x:f>
        <x:v>16</x:v>
      </x:c>
      <x:c r="W419" s="41" t="n">
        <x:f>VLOOKUP("Area|"&amp;Q419,'Score settings'!$A$14:$C$43,2,FALSE)/'Score settings'!$B$6*'Score settings'!$C$6</x:f>
        <x:v>10</x:v>
      </x:c>
      <x:c r="X419" s="41" t="n">
        <x:f>VLOOKUP("Benefits|"&amp;IF(AND(ISNUMBER(H419),H419&gt;0,ISNUMBER(G419),G419&gt;0),IF(H419/G419&gt;='Score settings'!$E$17,"3plus",IF(H419/G419&gt;='Score settings'!$E$16,"1.5to3",IF(H419/G419&gt;='Score settings'!$E$15,"0.5to1.5","positive"))),"None"),'Score settings'!$A$14:$C$43,2,FALSE)/'Score settings'!$B$7*'Score settings'!$C$7</x:f>
        <x:v>5</x:v>
      </x:c>
      <x:c r="Y419" s="41" t="n">
        <x:f>VLOOKUP("Waste|"&amp;R419,'Score settings'!$A$14:$C$43,2,FALSE)/'Score settings'!$B$8*'Score settings'!$C$8</x:f>
        <x:v>7</x:v>
      </x:c>
      <x:c r="Z419" s="41" t="n">
        <x:f>IF(B419="","",SUM(U419:Y419))</x:f>
        <x:v>63</x:v>
      </x:c>
      <x:c r="AA419" s="41" t="str">
        <x:f>IF(Z419="","Not scored",VLOOKUP(Z419,'Score settings'!$A$47:$C$50,2,TRUE))</x:f>
        <x:v>Strong</x:v>
      </x:c>
      <x:c r="AB419" s="41" t="n">
        <x:f>VLOOKUP("Priority|"&amp;O419,'Score settings'!$A$14:$C$43,3,FALSE)/'Score settings'!$B$4*'Score settings'!$D$4</x:f>
        <x:v>15</x:v>
      </x:c>
      <x:c r="AC419" s="41" t="n">
        <x:f>VLOOKUP("Category|"&amp;P419,'Score settings'!$A$14:$C$43,3,FALSE)/'Score settings'!$B$5*'Score settings'!$D$5</x:f>
        <x:v>8</x:v>
      </x:c>
      <x:c r="AD419" s="41" t="n">
        <x:f>VLOOKUP("Area|"&amp;Q419,'Score settings'!$A$14:$C$43,3,FALSE)/'Score settings'!$B$6*'Score settings'!$D$6</x:f>
        <x:v>6.666666666666666</x:v>
      </x:c>
      <x:c r="AE419" s="41" t="n">
        <x:f>VLOOKUP("Benefits|"&amp;IF(AND(ISNUMBER(K419),K419&gt;0,ISNUMBER(G419),G419&gt;0),IF(K419/G419&gt;='Score settings'!$E$17,"3plus",IF(K419/G419&gt;='Score settings'!$E$16,"1.5to3",IF(K419/G419&gt;='Score settings'!$E$15,"0.5to1.5","positive"))),"None"),'Score settings'!$A$14:$C$43,3,FALSE)/'Score settings'!$B$7*'Score settings'!$D$7</x:f>
        <x:v>0</x:v>
      </x:c>
      <x:c r="AF419" s="41" t="n">
        <x:f>VLOOKUP("Waste|"&amp;R419,'Score settings'!$A$14:$C$43,3,FALSE)/'Score settings'!$B$8*'Score settings'!$D$8</x:f>
        <x:v>0</x:v>
      </x:c>
      <x:c r="AG419" s="41" t="n">
        <x:f>(IF(AND(ISNUMBER(M419),M419&gt;0,ISNUMBER(G419),G419&gt;0),IF(M419/G419&gt;='Score settings'!$E$17,'Score settings'!$G$17,IF(M419/G419&gt;='Score settings'!$E$16,'Score settings'!$G$16,IF(M419/G419&gt;='Score settings'!$E$15,'Score settings'!$G$15,'Score settings'!$G$14))),0)/15*'Score settings'!$B$60+IFERROR(VLOOKUP(IF(ISNUMBER(N419),N419,IF(ISNUMBER(L419),L419,0)),'Score settings'!$E$22:$F$26,2,FALSE),0)/10*'Score settings'!$B$61)/'Score settings'!$B$9*'Score settings'!$D$9</x:f>
        <x:v>0</x:v>
      </x:c>
      <x:c r="AH419" s="41" t="n">
        <x:f>IF(B419="","",SUM(AB419:AG419))</x:f>
        <x:v>29.666666666666664</x:v>
      </x:c>
      <x:c r="AI419" s="41" t="str">
        <x:f>IF(NOT(ISNUMBER(AH419)),"Not scored",VLOOKUP(AH419,'Score settings'!$A$47:$C$50,3,TRUE))</x:f>
        <x:v>Discretionary</x:v>
      </x:c>
      <x:c r="AJ419" s="42" t="n">
        <x:f>IF(OR(NOT(ISNUMBER(AH419)),T419&lt;&gt;"Common pot"),"",COUNTIFS($T$4:$T$509,"Common pot",$AH$4:$AH$509,"&gt;"&amp;AH419)+1)</x:f>
        <x:v>189</x:v>
      </x:c>
      <x:c r="AK419" s="36" t="str">
        <x:f>IF(B419="","Name missing - not scored",IF(OR(NOT(ISNUMBER(G419)),G419&lt;=0),"Investment missing or zero - review",IF(0=1,"Permanent ID missing - reconcile",IF(AND(ISNUMBER(H419),H419/G419&gt;='Score settings'!$B$58,NOT(ISNUMBER(I419))),"Benefit units need review",IF(OR(R419="EXIT",R419="CHALLENGE"),"Waste decision requires scope resolution",IF("No exact waste match"&lt;&gt;"Name and organisation matched","Waste evidence match needs review","Provisional source score - confirm evidence"))))))</x:f>
        <x:v>Waste evidence match needs review</x:v>
      </x:c>
      <x:c r="AL419" s="36"/>
      <x:c r="AM419" s="40"/>
      <x:c r="AN419" s="39"/>
      <x:c r="AO419" s="40"/>
      <x:c r="AP419" s="40"/>
    </x:row>
    <x:row r="420" ht="15" hidden="0" customHeight="1">
      <x:c r="A420" s="36" t="str">
        <x:v>EW-98</x:v>
      </x:c>
      <x:c r="B420" s="37" t="str">
        <x:v>AI Finops </x:v>
      </x:c>
      <x:c r="C420" s="36" t="str">
        <x:v>EW</x:v>
      </x:c>
      <x:c r="D420" s="36" t="str">
        <x:v>Information Technology ​</x:v>
      </x:c>
      <x:c r="E420" s="38" t="n">
        <x:v>0.5</x:v>
      </x:c>
      <x:c r="F420" s="39"/>
      <x:c r="G420" s="38" t="n">
        <x:f>IF(ISNUMBER(F420),F420,IF(E420="","",E420))</x:f>
        <x:v>0.5</x:v>
      </x:c>
      <x:c r="H420" s="38"/>
      <x:c r="I420" s="39"/>
      <x:c r="J420" s="36" t="str">
        <x:v>Cash savings</x:v>
      </x:c>
      <x:c r="K420" s="38" t="str">
        <x:f>IF(ISNUMBER(I420),I420,IF(OR(NOT(ISNUMBER(H420)),NOT(ISNUMBER(G420)),G420&lt;=0),"",IF(H420/G420&gt;='Score settings'!$B$58,"",IF(J420="Cash savings",H420,IF(J420="Revenue",H420*'Score settings'!$B$55,"")))))</x:f>
      </x:c>
      <x:c r="L420" s="36"/>
      <x:c r="M420" s="39"/>
      <x:c r="N420" s="40"/>
      <x:c r="O420" s="36" t="str">
        <x:v>Must Do</x:v>
      </x:c>
      <x:c r="P420" s="36" t="str">
        <x:v>AI</x:v>
      </x:c>
      <x:c r="Q420" s="36" t="str">
        <x:v>Productivity</x:v>
      </x:c>
      <x:c r="R420" s="36" t="str">
        <x:v>NotAssessed</x:v>
      </x:c>
      <x:c r="S420" s="36" t="str"/>
      <x:c r="T420" s="36" t="str">
        <x:v>Common pot</x:v>
      </x:c>
      <x:c r="U420" s="41" t="n">
        <x:f>VLOOKUP("Priority|"&amp;O420,'Score settings'!$A$14:$C$43,2,FALSE)/'Score settings'!$B$4*'Score settings'!$C$4</x:f>
        <x:v>25</x:v>
      </x:c>
      <x:c r="V420" s="41" t="n">
        <x:f>VLOOKUP("Category|"&amp;P420,'Score settings'!$A$14:$C$43,2,FALSE)/'Score settings'!$B$5*'Score settings'!$C$5</x:f>
        <x:v>16</x:v>
      </x:c>
      <x:c r="W420" s="41" t="n">
        <x:f>VLOOKUP("Area|"&amp;Q420,'Score settings'!$A$14:$C$43,2,FALSE)/'Score settings'!$B$6*'Score settings'!$C$6</x:f>
        <x:v>10</x:v>
      </x:c>
      <x:c r="X420" s="41" t="n">
        <x:f>VLOOKUP("Benefits|"&amp;IF(AND(ISNUMBER(H420),H420&gt;0,ISNUMBER(G420),G420&gt;0),IF(H420/G420&gt;='Score settings'!$E$17,"3plus",IF(H420/G420&gt;='Score settings'!$E$16,"1.5to3",IF(H420/G420&gt;='Score settings'!$E$15,"0.5to1.5","positive"))),"None"),'Score settings'!$A$14:$C$43,2,FALSE)/'Score settings'!$B$7*'Score settings'!$C$7</x:f>
        <x:v>5</x:v>
      </x:c>
      <x:c r="Y420" s="41" t="n">
        <x:f>VLOOKUP("Waste|"&amp;R420,'Score settings'!$A$14:$C$43,2,FALSE)/'Score settings'!$B$8*'Score settings'!$C$8</x:f>
        <x:v>7</x:v>
      </x:c>
      <x:c r="Z420" s="41" t="n">
        <x:f>IF(B420="","",SUM(U420:Y420))</x:f>
        <x:v>63</x:v>
      </x:c>
      <x:c r="AA420" s="41" t="str">
        <x:f>IF(Z420="","Not scored",VLOOKUP(Z420,'Score settings'!$A$47:$C$50,2,TRUE))</x:f>
        <x:v>Strong</x:v>
      </x:c>
      <x:c r="AB420" s="41" t="n">
        <x:f>VLOOKUP("Priority|"&amp;O420,'Score settings'!$A$14:$C$43,3,FALSE)/'Score settings'!$B$4*'Score settings'!$D$4</x:f>
        <x:v>15</x:v>
      </x:c>
      <x:c r="AC420" s="41" t="n">
        <x:f>VLOOKUP("Category|"&amp;P420,'Score settings'!$A$14:$C$43,3,FALSE)/'Score settings'!$B$5*'Score settings'!$D$5</x:f>
        <x:v>8</x:v>
      </x:c>
      <x:c r="AD420" s="41" t="n">
        <x:f>VLOOKUP("Area|"&amp;Q420,'Score settings'!$A$14:$C$43,3,FALSE)/'Score settings'!$B$6*'Score settings'!$D$6</x:f>
        <x:v>6.666666666666666</x:v>
      </x:c>
      <x:c r="AE420" s="41" t="n">
        <x:f>VLOOKUP("Benefits|"&amp;IF(AND(ISNUMBER(K420),K420&gt;0,ISNUMBER(G420),G420&gt;0),IF(K420/G420&gt;='Score settings'!$E$17,"3plus",IF(K420/G420&gt;='Score settings'!$E$16,"1.5to3",IF(K420/G420&gt;='Score settings'!$E$15,"0.5to1.5","positive"))),"None"),'Score settings'!$A$14:$C$43,3,FALSE)/'Score settings'!$B$7*'Score settings'!$D$7</x:f>
        <x:v>0</x:v>
      </x:c>
      <x:c r="AF420" s="41" t="n">
        <x:f>VLOOKUP("Waste|"&amp;R420,'Score settings'!$A$14:$C$43,3,FALSE)/'Score settings'!$B$8*'Score settings'!$D$8</x:f>
        <x:v>0</x:v>
      </x:c>
      <x:c r="AG420" s="41" t="n">
        <x:f>(IF(AND(ISNUMBER(M420),M420&gt;0,ISNUMBER(G420),G420&gt;0),IF(M420/G420&gt;='Score settings'!$E$17,'Score settings'!$G$17,IF(M420/G420&gt;='Score settings'!$E$16,'Score settings'!$G$16,IF(M420/G420&gt;='Score settings'!$E$15,'Score settings'!$G$15,'Score settings'!$G$14))),0)/15*'Score settings'!$B$60+IFERROR(VLOOKUP(IF(ISNUMBER(N420),N420,IF(ISNUMBER(L420),L420,0)),'Score settings'!$E$22:$F$26,2,FALSE),0)/10*'Score settings'!$B$61)/'Score settings'!$B$9*'Score settings'!$D$9</x:f>
        <x:v>0</x:v>
      </x:c>
      <x:c r="AH420" s="41" t="n">
        <x:f>IF(B420="","",SUM(AB420:AG420))</x:f>
        <x:v>29.666666666666664</x:v>
      </x:c>
      <x:c r="AI420" s="41" t="str">
        <x:f>IF(NOT(ISNUMBER(AH420)),"Not scored",VLOOKUP(AH420,'Score settings'!$A$47:$C$50,3,TRUE))</x:f>
        <x:v>Discretionary</x:v>
      </x:c>
      <x:c r="AJ420" s="42" t="n">
        <x:f>IF(OR(NOT(ISNUMBER(AH420)),T420&lt;&gt;"Common pot"),"",COUNTIFS($T$4:$T$509,"Common pot",$AH$4:$AH$509,"&gt;"&amp;AH420)+1)</x:f>
        <x:v>189</x:v>
      </x:c>
      <x:c r="AK420" s="36" t="str">
        <x:f>IF(B420="","Name missing - not scored",IF(OR(NOT(ISNUMBER(G420)),G420&lt;=0),"Investment missing or zero - review",IF(0=1,"Permanent ID missing - reconcile",IF(AND(ISNUMBER(H420),H420/G420&gt;='Score settings'!$B$58,NOT(ISNUMBER(I420))),"Benefit units need review",IF(OR(R420="EXIT",R420="CHALLENGE"),"Waste decision requires scope resolution",IF("No exact waste match"&lt;&gt;"Name and organisation matched","Waste evidence match needs review","Provisional source score - confirm evidence"))))))</x:f>
        <x:v>Waste evidence match needs review</x:v>
      </x:c>
      <x:c r="AL420" s="36"/>
      <x:c r="AM420" s="40"/>
      <x:c r="AN420" s="39"/>
      <x:c r="AO420" s="40"/>
      <x:c r="AP420" s="40"/>
    </x:row>
    <x:row r="421" ht="15" hidden="0" customHeight="1">
      <x:c r="A421" s="36" t="str">
        <x:v>EW-99</x:v>
      </x:c>
      <x:c r="B421" s="37" t="str">
        <x:v>Implementing Zero Trust NEtwork Architecture</x:v>
      </x:c>
      <x:c r="C421" s="36" t="str">
        <x:v>EW</x:v>
      </x:c>
      <x:c r="D421" s="36" t="str">
        <x:v>Information Technology ​</x:v>
      </x:c>
      <x:c r="E421" s="38" t="n">
        <x:v>0.17</x:v>
      </x:c>
      <x:c r="F421" s="39"/>
      <x:c r="G421" s="38" t="n">
        <x:f>IF(ISNUMBER(F421),F421,IF(E421="","",E421))</x:f>
        <x:v>0.17</x:v>
      </x:c>
      <x:c r="H421" s="38" t="n">
        <x:v>5</x:v>
      </x:c>
      <x:c r="I421" s="39"/>
      <x:c r="J421" s="36" t="str">
        <x:v>Risk exposure</x:v>
      </x:c>
      <x:c r="K421" s="38" t="str">
        <x:f>IF(ISNUMBER(I421),I421,IF(OR(NOT(ISNUMBER(H421)),NOT(ISNUMBER(G421)),G421&lt;=0),"",IF(H421/G421&gt;='Score settings'!$B$58,"",IF(J421="Cash savings",H421,IF(J421="Revenue",H421*'Score settings'!$B$55,"")))))</x:f>
      </x:c>
      <x:c r="L421" s="36"/>
      <x:c r="M421" s="39"/>
      <x:c r="N421" s="40"/>
      <x:c r="O421" s="36" t="str">
        <x:v>Must Have</x:v>
      </x:c>
      <x:c r="P421" s="36" t="str">
        <x:v>NewTech</x:v>
      </x:c>
      <x:c r="Q421" s="36" t="str">
        <x:v>Compliance</x:v>
      </x:c>
      <x:c r="R421" s="36" t="str">
        <x:v>HEALTHY</x:v>
      </x:c>
      <x:c r="S421" s="36" t="str"/>
      <x:c r="T421" s="36" t="str">
        <x:v>Common pot</x:v>
      </x:c>
      <x:c r="U421" s="41" t="n">
        <x:f>VLOOKUP("Priority|"&amp;O421,'Score settings'!$A$14:$C$43,2,FALSE)/'Score settings'!$B$4*'Score settings'!$C$4</x:f>
        <x:v>18</x:v>
      </x:c>
      <x:c r="V421" s="41" t="n">
        <x:f>VLOOKUP("Category|"&amp;P421,'Score settings'!$A$14:$C$43,2,FALSE)/'Score settings'!$B$5*'Score settings'!$C$5</x:f>
        <x:v>5</x:v>
      </x:c>
      <x:c r="W421" s="41" t="n">
        <x:f>VLOOKUP("Area|"&amp;Q421,'Score settings'!$A$14:$C$43,2,FALSE)/'Score settings'!$B$6*'Score settings'!$C$6</x:f>
        <x:v>15</x:v>
      </x:c>
      <x:c r="X421" s="41" t="n">
        <x:f>VLOOKUP("Benefits|"&amp;IF(AND(ISNUMBER(H421),H421&gt;0,ISNUMBER(G421),G421&gt;0),IF(H421/G421&gt;='Score settings'!$E$17,"3plus",IF(H421/G421&gt;='Score settings'!$E$16,"1.5to3",IF(H421/G421&gt;='Score settings'!$E$15,"0.5to1.5","positive"))),"None"),'Score settings'!$A$14:$C$43,2,FALSE)/'Score settings'!$B$7*'Score settings'!$C$7</x:f>
        <x:v>25</x:v>
      </x:c>
      <x:c r="Y421" s="41" t="n">
        <x:f>VLOOKUP("Waste|"&amp;R421,'Score settings'!$A$14:$C$43,2,FALSE)/'Score settings'!$B$8*'Score settings'!$C$8</x:f>
        <x:v>15</x:v>
      </x:c>
      <x:c r="Z421" s="41" t="n">
        <x:f>IF(B421="","",SUM(U421:Y421))</x:f>
        <x:v>78</x:v>
      </x:c>
      <x:c r="AA421" s="41" t="str">
        <x:f>IF(Z421="","Not scored",VLOOKUP(Z421,'Score settings'!$A$47:$C$50,2,TRUE))</x:f>
        <x:v>Protected</x:v>
      </x:c>
      <x:c r="AB421" s="41" t="n">
        <x:f>VLOOKUP("Priority|"&amp;O421,'Score settings'!$A$14:$C$43,3,FALSE)/'Score settings'!$B$4*'Score settings'!$D$4</x:f>
        <x:v>10.799999999999999</x:v>
      </x:c>
      <x:c r="AC421" s="41" t="n">
        <x:f>VLOOKUP("Category|"&amp;P421,'Score settings'!$A$14:$C$43,3,FALSE)/'Score settings'!$B$5*'Score settings'!$D$5</x:f>
        <x:v>2.5</x:v>
      </x:c>
      <x:c r="AD421" s="41" t="n">
        <x:f>VLOOKUP("Area|"&amp;Q421,'Score settings'!$A$14:$C$43,3,FALSE)/'Score settings'!$B$6*'Score settings'!$D$6</x:f>
        <x:v>10</x:v>
      </x:c>
      <x:c r="AE421" s="41" t="n">
        <x:f>VLOOKUP("Benefits|"&amp;IF(AND(ISNUMBER(K421),K421&gt;0,ISNUMBER(G421),G421&gt;0),IF(K421/G421&gt;='Score settings'!$E$17,"3plus",IF(K421/G421&gt;='Score settings'!$E$16,"1.5to3",IF(K421/G421&gt;='Score settings'!$E$15,"0.5to1.5","positive"))),"None"),'Score settings'!$A$14:$C$43,3,FALSE)/'Score settings'!$B$7*'Score settings'!$D$7</x:f>
        <x:v>0</x:v>
      </x:c>
      <x:c r="AF421" s="41" t="n">
        <x:f>VLOOKUP("Waste|"&amp;R421,'Score settings'!$A$14:$C$43,3,FALSE)/'Score settings'!$B$8*'Score settings'!$D$8</x:f>
        <x:v>10</x:v>
      </x:c>
      <x:c r="AG421" s="41" t="n">
        <x:f>(IF(AND(ISNUMBER(M421),M421&gt;0,ISNUMBER(G421),G421&gt;0),IF(M421/G421&gt;='Score settings'!$E$17,'Score settings'!$G$17,IF(M421/G421&gt;='Score settings'!$E$16,'Score settings'!$G$16,IF(M421/G421&gt;='Score settings'!$E$15,'Score settings'!$G$15,'Score settings'!$G$14))),0)/15*'Score settings'!$B$60+IFERROR(VLOOKUP(IF(ISNUMBER(N421),N421,IF(ISNUMBER(L421),L421,0)),'Score settings'!$E$22:$F$26,2,FALSE),0)/10*'Score settings'!$B$61)/'Score settings'!$B$9*'Score settings'!$D$9</x:f>
        <x:v>0</x:v>
      </x:c>
      <x:c r="AH421" s="41" t="n">
        <x:f>IF(B421="","",SUM(AB421:AG421))</x:f>
        <x:v>33.3</x:v>
      </x:c>
      <x:c r="AI421" s="41" t="str">
        <x:f>IF(NOT(ISNUMBER(AH421)),"Not scored",VLOOKUP(AH421,'Score settings'!$A$47:$C$50,3,TRUE))</x:f>
        <x:v>Discretionary</x:v>
      </x:c>
      <x:c r="AJ421" s="42" t="n">
        <x:f>IF(OR(NOT(ISNUMBER(AH421)),T421&lt;&gt;"Common pot"),"",COUNTIFS($T$4:$T$509,"Common pot",$AH$4:$AH$509,"&gt;"&amp;AH421)+1)</x:f>
        <x:v>159</x:v>
      </x:c>
      <x:c r="AK421" s="36" t="str">
        <x:f>IF(B421="","Name missing - not scored",IF(OR(NOT(ISNUMBER(G421)),G421&lt;=0),"Investment missing or zero - review",IF(0=1,"Permanent ID missing - reconcile",IF(AND(ISNUMBER(H421),H421/G421&gt;='Score settings'!$B$58,NOT(ISNUMBER(I421))),"Benefit units need review",IF(OR(R421="EXIT",R421="CHALLENGE"),"Waste decision requires scope resolution",IF("Name and organisation matched"&lt;&gt;"Name and organisation matched","Waste evidence match needs review","Provisional source score - confirm evidence"))))))</x:f>
        <x:v>Provisional source score - confirm evidence</x:v>
      </x:c>
      <x:c r="AL421" s="36"/>
      <x:c r="AM421" s="40"/>
      <x:c r="AN421" s="39"/>
      <x:c r="AO421" s="40"/>
      <x:c r="AP421" s="40"/>
    </x:row>
    <x:row r="422" ht="15" hidden="0" customHeight="1">
      <x:c r="A422" s="36" t="str">
        <x:v>EW-100</x:v>
      </x:c>
      <x:c r="B422" s="37" t="str">
        <x:v>HW Lifecycle for NEtwork FW, Access points and core switches</x:v>
      </x:c>
      <x:c r="C422" s="36" t="str">
        <x:v>EW</x:v>
      </x:c>
      <x:c r="D422" s="36" t="str">
        <x:v>Information Technology ​</x:v>
      </x:c>
      <x:c r="E422" s="38" t="n">
        <x:v>1.2</x:v>
      </x:c>
      <x:c r="F422" s="39"/>
      <x:c r="G422" s="38" t="n">
        <x:f>IF(ISNUMBER(F422),F422,IF(E422="","",E422))</x:f>
        <x:v>1.2</x:v>
      </x:c>
      <x:c r="H422" s="38"/>
      <x:c r="I422" s="39"/>
      <x:c r="J422" s="36" t="str">
        <x:v>Risk exposure</x:v>
      </x:c>
      <x:c r="K422" s="38" t="str">
        <x:f>IF(ISNUMBER(I422),I422,IF(OR(NOT(ISNUMBER(H422)),NOT(ISNUMBER(G422)),G422&lt;=0),"",IF(H422/G422&gt;='Score settings'!$B$58,"",IF(J422="Cash savings",H422,IF(J422="Revenue",H422*'Score settings'!$B$55,"")))))</x:f>
      </x:c>
      <x:c r="L422" s="36"/>
      <x:c r="M422" s="39"/>
      <x:c r="N422" s="40"/>
      <x:c r="O422" s="36" t="str">
        <x:v>Must Do</x:v>
      </x:c>
      <x:c r="P422" s="36" t="str">
        <x:v>Upgrades</x:v>
      </x:c>
      <x:c r="Q422" s="36" t="str">
        <x:v>Compliance</x:v>
      </x:c>
      <x:c r="R422" s="36" t="str">
        <x:v>HEALTHY</x:v>
      </x:c>
      <x:c r="S422" s="36" t="str"/>
      <x:c r="T422" s="36" t="str">
        <x:v>Common pot</x:v>
      </x:c>
      <x:c r="U422" s="41" t="n">
        <x:f>VLOOKUP("Priority|"&amp;O422,'Score settings'!$A$14:$C$43,2,FALSE)/'Score settings'!$B$4*'Score settings'!$C$4</x:f>
        <x:v>25</x:v>
      </x:c>
      <x:c r="V422" s="41" t="n">
        <x:f>VLOOKUP("Category|"&amp;P422,'Score settings'!$A$14:$C$43,2,FALSE)/'Score settings'!$B$5*'Score settings'!$C$5</x:f>
        <x:v>10</x:v>
      </x:c>
      <x:c r="W422" s="41" t="n">
        <x:f>VLOOKUP("Area|"&amp;Q422,'Score settings'!$A$14:$C$43,2,FALSE)/'Score settings'!$B$6*'Score settings'!$C$6</x:f>
        <x:v>15</x:v>
      </x:c>
      <x:c r="X422" s="41" t="n">
        <x:f>VLOOKUP("Benefits|"&amp;IF(AND(ISNUMBER(H422),H422&gt;0,ISNUMBER(G422),G422&gt;0),IF(H422/G422&gt;='Score settings'!$E$17,"3plus",IF(H422/G422&gt;='Score settings'!$E$16,"1.5to3",IF(H422/G422&gt;='Score settings'!$E$15,"0.5to1.5","positive"))),"None"),'Score settings'!$A$14:$C$43,2,FALSE)/'Score settings'!$B$7*'Score settings'!$C$7</x:f>
        <x:v>5</x:v>
      </x:c>
      <x:c r="Y422" s="41" t="n">
        <x:f>VLOOKUP("Waste|"&amp;R422,'Score settings'!$A$14:$C$43,2,FALSE)/'Score settings'!$B$8*'Score settings'!$C$8</x:f>
        <x:v>15</x:v>
      </x:c>
      <x:c r="Z422" s="41" t="n">
        <x:f>IF(B422="","",SUM(U422:Y422))</x:f>
        <x:v>70</x:v>
      </x:c>
      <x:c r="AA422" s="41" t="str">
        <x:f>IF(Z422="","Not scored",VLOOKUP(Z422,'Score settings'!$A$47:$C$50,2,TRUE))</x:f>
        <x:v>Protected</x:v>
      </x:c>
      <x:c r="AB422" s="41" t="n">
        <x:f>VLOOKUP("Priority|"&amp;O422,'Score settings'!$A$14:$C$43,3,FALSE)/'Score settings'!$B$4*'Score settings'!$D$4</x:f>
        <x:v>15</x:v>
      </x:c>
      <x:c r="AC422" s="41" t="n">
        <x:f>VLOOKUP("Category|"&amp;P422,'Score settings'!$A$14:$C$43,3,FALSE)/'Score settings'!$B$5*'Score settings'!$D$5</x:f>
        <x:v>5</x:v>
      </x:c>
      <x:c r="AD422" s="41" t="n">
        <x:f>VLOOKUP("Area|"&amp;Q422,'Score settings'!$A$14:$C$43,3,FALSE)/'Score settings'!$B$6*'Score settings'!$D$6</x:f>
        <x:v>10</x:v>
      </x:c>
      <x:c r="AE422" s="41" t="n">
        <x:f>VLOOKUP("Benefits|"&amp;IF(AND(ISNUMBER(K422),K422&gt;0,ISNUMBER(G422),G422&gt;0),IF(K422/G422&gt;='Score settings'!$E$17,"3plus",IF(K422/G422&gt;='Score settings'!$E$16,"1.5to3",IF(K422/G422&gt;='Score settings'!$E$15,"0.5to1.5","positive"))),"None"),'Score settings'!$A$14:$C$43,3,FALSE)/'Score settings'!$B$7*'Score settings'!$D$7</x:f>
        <x:v>0</x:v>
      </x:c>
      <x:c r="AF422" s="41" t="n">
        <x:f>VLOOKUP("Waste|"&amp;R422,'Score settings'!$A$14:$C$43,3,FALSE)/'Score settings'!$B$8*'Score settings'!$D$8</x:f>
        <x:v>10</x:v>
      </x:c>
      <x:c r="AG422" s="41" t="n">
        <x:f>(IF(AND(ISNUMBER(M422),M422&gt;0,ISNUMBER(G422),G422&gt;0),IF(M422/G422&gt;='Score settings'!$E$17,'Score settings'!$G$17,IF(M422/G422&gt;='Score settings'!$E$16,'Score settings'!$G$16,IF(M422/G422&gt;='Score settings'!$E$15,'Score settings'!$G$15,'Score settings'!$G$14))),0)/15*'Score settings'!$B$60+IFERROR(VLOOKUP(IF(ISNUMBER(N422),N422,IF(ISNUMBER(L422),L422,0)),'Score settings'!$E$22:$F$26,2,FALSE),0)/10*'Score settings'!$B$61)/'Score settings'!$B$9*'Score settings'!$D$9</x:f>
        <x:v>0</x:v>
      </x:c>
      <x:c r="AH422" s="41" t="n">
        <x:f>IF(B422="","",SUM(AB422:AG422))</x:f>
        <x:v>40</x:v>
      </x:c>
      <x:c r="AI422" s="41" t="str">
        <x:f>IF(NOT(ISNUMBER(AH422)),"Not scored",VLOOKUP(AH422,'Score settings'!$A$47:$C$50,3,TRUE))</x:f>
        <x:v>Discretionary</x:v>
      </x:c>
      <x:c r="AJ422" s="42" t="n">
        <x:f>IF(OR(NOT(ISNUMBER(AH422)),T422&lt;&gt;"Common pot"),"",COUNTIFS($T$4:$T$509,"Common pot",$AH$4:$AH$509,"&gt;"&amp;AH422)+1)</x:f>
        <x:v>100</x:v>
      </x:c>
      <x:c r="AK422" s="36" t="str">
        <x:f>IF(B422="","Name missing - not scored",IF(OR(NOT(ISNUMBER(G422)),G422&lt;=0),"Investment missing or zero - review",IF(0=1,"Permanent ID missing - reconcile",IF(AND(ISNUMBER(H422),H422/G422&gt;='Score settings'!$B$58,NOT(ISNUMBER(I422))),"Benefit units need review",IF(OR(R422="EXIT",R422="CHALLENGE"),"Waste decision requires scope resolution",IF("Name and organisation matched"&lt;&gt;"Name and organisation matched","Waste evidence match needs review","Provisional source score - confirm evidence"))))))</x:f>
        <x:v>Provisional source score - confirm evidence</x:v>
      </x:c>
      <x:c r="AL422" s="36"/>
      <x:c r="AM422" s="40"/>
      <x:c r="AN422" s="39"/>
      <x:c r="AO422" s="40"/>
      <x:c r="AP422" s="40"/>
    </x:row>
    <x:row r="423" ht="15" hidden="0" customHeight="1">
      <x:c r="A423" s="36" t="str">
        <x:v>EW-101</x:v>
      </x:c>
      <x:c r="B423" s="37" t="str">
        <x:v>Cloud File Share Solution (CFSS)</x:v>
      </x:c>
      <x:c r="C423" s="36" t="str">
        <x:v>EW</x:v>
      </x:c>
      <x:c r="D423" s="36" t="str">
        <x:v>Information Technology ​</x:v>
      </x:c>
      <x:c r="E423" s="38" t="n">
        <x:v>0.7</x:v>
      </x:c>
      <x:c r="F423" s="39"/>
      <x:c r="G423" s="38" t="n">
        <x:f>IF(ISNUMBER(F423),F423,IF(E423="","",E423))</x:f>
        <x:v>0.7</x:v>
      </x:c>
      <x:c r="H423" s="38"/>
      <x:c r="I423" s="39"/>
      <x:c r="J423" s="36" t="str">
        <x:v>Risk exposure</x:v>
      </x:c>
      <x:c r="K423" s="38" t="str">
        <x:f>IF(ISNUMBER(I423),I423,IF(OR(NOT(ISNUMBER(H423)),NOT(ISNUMBER(G423)),G423&lt;=0),"",IF(H423/G423&gt;='Score settings'!$B$58,"",IF(J423="Cash savings",H423,IF(J423="Revenue",H423*'Score settings'!$B$55,"")))))</x:f>
      </x:c>
      <x:c r="L423" s="36"/>
      <x:c r="M423" s="39"/>
      <x:c r="N423" s="40"/>
      <x:c r="O423" s="36" t="str">
        <x:v>Must Have</x:v>
      </x:c>
      <x:c r="P423" s="36" t="str">
        <x:v>Decomm</x:v>
      </x:c>
      <x:c r="Q423" s="36" t="str">
        <x:v>Compliance</x:v>
      </x:c>
      <x:c r="R423" s="36" t="str">
        <x:v>HEALTHY</x:v>
      </x:c>
      <x:c r="S423" s="36" t="str"/>
      <x:c r="T423" s="36" t="str">
        <x:v>Common pot</x:v>
      </x:c>
      <x:c r="U423" s="41" t="n">
        <x:f>VLOOKUP("Priority|"&amp;O423,'Score settings'!$A$14:$C$43,2,FALSE)/'Score settings'!$B$4*'Score settings'!$C$4</x:f>
        <x:v>18</x:v>
      </x:c>
      <x:c r="V423" s="41" t="n">
        <x:f>VLOOKUP("Category|"&amp;P423,'Score settings'!$A$14:$C$43,2,FALSE)/'Score settings'!$B$5*'Score settings'!$C$5</x:f>
        <x:v>17</x:v>
      </x:c>
      <x:c r="W423" s="41" t="n">
        <x:f>VLOOKUP("Area|"&amp;Q423,'Score settings'!$A$14:$C$43,2,FALSE)/'Score settings'!$B$6*'Score settings'!$C$6</x:f>
        <x:v>15</x:v>
      </x:c>
      <x:c r="X423" s="41" t="n">
        <x:f>VLOOKUP("Benefits|"&amp;IF(AND(ISNUMBER(H423),H423&gt;0,ISNUMBER(G423),G423&gt;0),IF(H423/G423&gt;='Score settings'!$E$17,"3plus",IF(H423/G423&gt;='Score settings'!$E$16,"1.5to3",IF(H423/G423&gt;='Score settings'!$E$15,"0.5to1.5","positive"))),"None"),'Score settings'!$A$14:$C$43,2,FALSE)/'Score settings'!$B$7*'Score settings'!$C$7</x:f>
        <x:v>5</x:v>
      </x:c>
      <x:c r="Y423" s="41" t="n">
        <x:f>VLOOKUP("Waste|"&amp;R423,'Score settings'!$A$14:$C$43,2,FALSE)/'Score settings'!$B$8*'Score settings'!$C$8</x:f>
        <x:v>15</x:v>
      </x:c>
      <x:c r="Z423" s="41" t="n">
        <x:f>IF(B423="","",SUM(U423:Y423))</x:f>
        <x:v>70</x:v>
      </x:c>
      <x:c r="AA423" s="41" t="str">
        <x:f>IF(Z423="","Not scored",VLOOKUP(Z423,'Score settings'!$A$47:$C$50,2,TRUE))</x:f>
        <x:v>Protected</x:v>
      </x:c>
      <x:c r="AB423" s="41" t="n">
        <x:f>VLOOKUP("Priority|"&amp;O423,'Score settings'!$A$14:$C$43,3,FALSE)/'Score settings'!$B$4*'Score settings'!$D$4</x:f>
        <x:v>10.799999999999999</x:v>
      </x:c>
      <x:c r="AC423" s="41" t="n">
        <x:f>VLOOKUP("Category|"&amp;P423,'Score settings'!$A$14:$C$43,3,FALSE)/'Score settings'!$B$5*'Score settings'!$D$5</x:f>
        <x:v>8.5</x:v>
      </x:c>
      <x:c r="AD423" s="41" t="n">
        <x:f>VLOOKUP("Area|"&amp;Q423,'Score settings'!$A$14:$C$43,3,FALSE)/'Score settings'!$B$6*'Score settings'!$D$6</x:f>
        <x:v>10</x:v>
      </x:c>
      <x:c r="AE423" s="41" t="n">
        <x:f>VLOOKUP("Benefits|"&amp;IF(AND(ISNUMBER(K423),K423&gt;0,ISNUMBER(G423),G423&gt;0),IF(K423/G423&gt;='Score settings'!$E$17,"3plus",IF(K423/G423&gt;='Score settings'!$E$16,"1.5to3",IF(K423/G423&gt;='Score settings'!$E$15,"0.5to1.5","positive"))),"None"),'Score settings'!$A$14:$C$43,3,FALSE)/'Score settings'!$B$7*'Score settings'!$D$7</x:f>
        <x:v>0</x:v>
      </x:c>
      <x:c r="AF423" s="41" t="n">
        <x:f>VLOOKUP("Waste|"&amp;R423,'Score settings'!$A$14:$C$43,3,FALSE)/'Score settings'!$B$8*'Score settings'!$D$8</x:f>
        <x:v>10</x:v>
      </x:c>
      <x:c r="AG423" s="41" t="n">
        <x:f>(IF(AND(ISNUMBER(M423),M423&gt;0,ISNUMBER(G423),G423&gt;0),IF(M423/G423&gt;='Score settings'!$E$17,'Score settings'!$G$17,IF(M423/G423&gt;='Score settings'!$E$16,'Score settings'!$G$16,IF(M423/G423&gt;='Score settings'!$E$15,'Score settings'!$G$15,'Score settings'!$G$14))),0)/15*'Score settings'!$B$60+IFERROR(VLOOKUP(IF(ISNUMBER(N423),N423,IF(ISNUMBER(L423),L423,0)),'Score settings'!$E$22:$F$26,2,FALSE),0)/10*'Score settings'!$B$61)/'Score settings'!$B$9*'Score settings'!$D$9</x:f>
        <x:v>0</x:v>
      </x:c>
      <x:c r="AH423" s="41" t="n">
        <x:f>IF(B423="","",SUM(AB423:AG423))</x:f>
        <x:v>39.3</x:v>
      </x:c>
      <x:c r="AI423" s="41" t="str">
        <x:f>IF(NOT(ISNUMBER(AH423)),"Not scored",VLOOKUP(AH423,'Score settings'!$A$47:$C$50,3,TRUE))</x:f>
        <x:v>Discretionary</x:v>
      </x:c>
      <x:c r="AJ423" s="42" t="n">
        <x:f>IF(OR(NOT(ISNUMBER(AH423)),T423&lt;&gt;"Common pot"),"",COUNTIFS($T$4:$T$509,"Common pot",$AH$4:$AH$509,"&gt;"&amp;AH423)+1)</x:f>
        <x:v>105</x:v>
      </x:c>
      <x:c r="AK423" s="36" t="str">
        <x:f>IF(B423="","Name missing - not scored",IF(OR(NOT(ISNUMBER(G423)),G423&lt;=0),"Investment missing or zero - review",IF(0=1,"Permanent ID missing - reconcile",IF(AND(ISNUMBER(H423),H423/G423&gt;='Score settings'!$B$58,NOT(ISNUMBER(I423))),"Benefit units need review",IF(OR(R423="EXIT",R423="CHALLENGE"),"Waste decision requires scope resolution",IF("Name and organisation matched"&lt;&gt;"Name and organisation matched","Waste evidence match needs review","Provisional source score - confirm evidence"))))))</x:f>
        <x:v>Provisional source score - confirm evidence</x:v>
      </x:c>
      <x:c r="AL423" s="36"/>
      <x:c r="AM423" s="40"/>
      <x:c r="AN423" s="39"/>
      <x:c r="AO423" s="40"/>
      <x:c r="AP423" s="40"/>
    </x:row>
    <x:row r="424" ht="15" hidden="0" customHeight="1">
      <x:c r="A424" s="36" t="str">
        <x:v>EW-102</x:v>
      </x:c>
      <x:c r="B424" s="37" t="str">
        <x:v>IT ServiceContinuity Management</x:v>
      </x:c>
      <x:c r="C424" s="36" t="str">
        <x:v>EW</x:v>
      </x:c>
      <x:c r="D424" s="36" t="str">
        <x:v>Information Technology ​</x:v>
      </x:c>
      <x:c r="E424" s="38" t="n">
        <x:v>0.125</x:v>
      </x:c>
      <x:c r="F424" s="39"/>
      <x:c r="G424" s="38" t="n">
        <x:f>IF(ISNUMBER(F424),F424,IF(E424="","",E424))</x:f>
        <x:v>0.125</x:v>
      </x:c>
      <x:c r="H424" s="38"/>
      <x:c r="I424" s="39"/>
      <x:c r="J424" s="36" t="str">
        <x:v>Unclassified</x:v>
      </x:c>
      <x:c r="K424" s="38" t="str">
        <x:f>IF(ISNUMBER(I424),I424,IF(OR(NOT(ISNUMBER(H424)),NOT(ISNUMBER(G424)),G424&lt;=0),"",IF(H424/G424&gt;='Score settings'!$B$58,"",IF(J424="Cash savings",H424,IF(J424="Revenue",H424*'Score settings'!$B$55,"")))))</x:f>
      </x:c>
      <x:c r="L424" s="36" t="n">
        <x:v>4</x:v>
      </x:c>
      <x:c r="M424" s="39"/>
      <x:c r="N424" s="40"/>
      <x:c r="O424" s="36" t="str">
        <x:v>Must Do</x:v>
      </x:c>
      <x:c r="P424" s="36" t="str">
        <x:v>LFR</x:v>
      </x:c>
      <x:c r="Q424" s="36" t="str">
        <x:v>Blank</x:v>
      </x:c>
      <x:c r="R424" s="36" t="str">
        <x:v>HEALTHY</x:v>
      </x:c>
      <x:c r="S424" s="36" t="str">
        <x:v>YES</x:v>
      </x:c>
      <x:c r="T424" s="36" t="str">
        <x:v>LFR validated candidate</x:v>
      </x:c>
      <x:c r="U424" s="41" t="n">
        <x:f>VLOOKUP("Priority|"&amp;O424,'Score settings'!$A$14:$C$43,2,FALSE)/'Score settings'!$B$4*'Score settings'!$C$4</x:f>
        <x:v>25</x:v>
      </x:c>
      <x:c r="V424" s="41" t="n">
        <x:f>VLOOKUP("Category|"&amp;P424,'Score settings'!$A$14:$C$43,2,FALSE)/'Score settings'!$B$5*'Score settings'!$C$5</x:f>
        <x:v>20</x:v>
      </x:c>
      <x:c r="W424" s="41" t="n">
        <x:f>VLOOKUP("Area|"&amp;Q424,'Score settings'!$A$14:$C$43,2,FALSE)/'Score settings'!$B$6*'Score settings'!$C$6</x:f>
        <x:v>3</x:v>
      </x:c>
      <x:c r="X424" s="41" t="n">
        <x:f>VLOOKUP("Benefits|"&amp;IF(AND(ISNUMBER(H424),H424&gt;0,ISNUMBER(G424),G424&gt;0),IF(H424/G424&gt;='Score settings'!$E$17,"3plus",IF(H424/G424&gt;='Score settings'!$E$16,"1.5to3",IF(H424/G424&gt;='Score settings'!$E$15,"0.5to1.5","positive"))),"None"),'Score settings'!$A$14:$C$43,2,FALSE)/'Score settings'!$B$7*'Score settings'!$C$7</x:f>
        <x:v>5</x:v>
      </x:c>
      <x:c r="Y424" s="41" t="n">
        <x:f>VLOOKUP("Waste|"&amp;R424,'Score settings'!$A$14:$C$43,2,FALSE)/'Score settings'!$B$8*'Score settings'!$C$8</x:f>
        <x:v>15</x:v>
      </x:c>
      <x:c r="Z424" s="41" t="n">
        <x:f>IF(B424="","",SUM(U424:Y424))</x:f>
        <x:v>68</x:v>
      </x:c>
      <x:c r="AA424" s="41" t="str">
        <x:f>IF(Z424="","Not scored",VLOOKUP(Z424,'Score settings'!$A$47:$C$50,2,TRUE))</x:f>
        <x:v>Protected</x:v>
      </x:c>
      <x:c r="AB424" s="41" t="n">
        <x:f>VLOOKUP("Priority|"&amp;O424,'Score settings'!$A$14:$C$43,3,FALSE)/'Score settings'!$B$4*'Score settings'!$D$4</x:f>
        <x:v>15</x:v>
      </x:c>
      <x:c r="AC424" s="41" t="n">
        <x:f>VLOOKUP("Category|"&amp;P424,'Score settings'!$A$14:$C$43,3,FALSE)/'Score settings'!$B$5*'Score settings'!$D$5</x:f>
        <x:v>10</x:v>
      </x:c>
      <x:c r="AD424" s="41" t="n">
        <x:f>VLOOKUP("Area|"&amp;Q424,'Score settings'!$A$14:$C$43,3,FALSE)/'Score settings'!$B$6*'Score settings'!$D$6</x:f>
        <x:v>0</x:v>
      </x:c>
      <x:c r="AE424" s="41" t="n">
        <x:f>VLOOKUP("Benefits|"&amp;IF(AND(ISNUMBER(K424),K424&gt;0,ISNUMBER(G424),G424&gt;0),IF(K424/G424&gt;='Score settings'!$E$17,"3plus",IF(K424/G424&gt;='Score settings'!$E$16,"1.5to3",IF(K424/G424&gt;='Score settings'!$E$15,"0.5to1.5","positive"))),"None"),'Score settings'!$A$14:$C$43,3,FALSE)/'Score settings'!$B$7*'Score settings'!$D$7</x:f>
        <x:v>0</x:v>
      </x:c>
      <x:c r="AF424" s="41" t="n">
        <x:f>VLOOKUP("Waste|"&amp;R424,'Score settings'!$A$14:$C$43,3,FALSE)/'Score settings'!$B$8*'Score settings'!$D$8</x:f>
        <x:v>10</x:v>
      </x:c>
      <x:c r="AG424" s="41" t="n">
        <x:f>(IF(AND(ISNUMBER(M424),M424&gt;0,ISNUMBER(G424),G424&gt;0),IF(M424/G424&gt;='Score settings'!$E$17,'Score settings'!$G$17,IF(M424/G424&gt;='Score settings'!$E$16,'Score settings'!$G$16,IF(M424/G424&gt;='Score settings'!$E$15,'Score settings'!$G$15,'Score settings'!$G$14))),0)/15*'Score settings'!$B$60+IFERROR(VLOOKUP(IF(ISNUMBER(N424),N424,IF(ISNUMBER(L424),L424,0)),'Score settings'!$E$22:$F$26,2,FALSE),0)/10*'Score settings'!$B$61)/'Score settings'!$B$9*'Score settings'!$D$9</x:f>
        <x:v>8</x:v>
      </x:c>
      <x:c r="AH424" s="41" t="n">
        <x:f>IF(B424="","",SUM(AB424:AG424))</x:f>
        <x:v>43</x:v>
      </x:c>
      <x:c r="AI424" s="41" t="str">
        <x:f>IF(NOT(ISNUMBER(AH424)),"Not scored",VLOOKUP(AH424,'Score settings'!$A$47:$C$50,3,TRUE))</x:f>
        <x:v>Discretionary</x:v>
      </x:c>
      <x:c r="AJ424" s="42" t="str">
        <x:f>IF(OR(NOT(ISNUMBER(AH424)),T424&lt;&gt;"Common pot"),"",COUNTIFS($T$4:$T$509,"Common pot",$AH$4:$AH$509,"&gt;"&amp;AH424)+1)</x:f>
      </x:c>
      <x:c r="AK424" s="36" t="str">
        <x:f>IF(B424="","Name missing - not scored",IF(OR(NOT(ISNUMBER(G424)),G424&lt;=0),"Investment missing or zero - review",IF(0=1,"Permanent ID missing - reconcile",IF(AND(ISNUMBER(H424),H424/G424&gt;='Score settings'!$B$58,NOT(ISNUMBER(I424))),"Benefit units need review",IF(OR(R424="EXIT",R424="CHALLENGE"),"Waste decision requires scope resolution",IF("Name and organisation matched"&lt;&gt;"Name and organisation matched","Waste evidence match needs review","Provisional source score - confirm evidence"))))))</x:f>
        <x:v>Provisional source score - confirm evidence</x:v>
      </x:c>
      <x:c r="AL424" s="36" t="n">
        <x:v>16</x:v>
      </x:c>
      <x:c r="AM424" s="40"/>
      <x:c r="AN424" s="39"/>
      <x:c r="AO424" s="40"/>
      <x:c r="AP424" s="40"/>
    </x:row>
    <x:row r="425" ht="15" hidden="0" customHeight="1">
      <x:c r="A425" s="36" t="str">
        <x:v>EW-103</x:v>
      </x:c>
      <x:c r="B425" s="37" t="str">
        <x:v>AI &amp; Ops</x:v>
      </x:c>
      <x:c r="C425" s="36" t="str">
        <x:v>EW</x:v>
      </x:c>
      <x:c r="D425" s="36" t="str">
        <x:v>People function​</x:v>
      </x:c>
      <x:c r="E425" s="38" t="n">
        <x:v>0.2</x:v>
      </x:c>
      <x:c r="F425" s="39"/>
      <x:c r="G425" s="38" t="n">
        <x:f>IF(ISNUMBER(F425),F425,IF(E425="","",E425))</x:f>
        <x:v>0.2</x:v>
      </x:c>
      <x:c r="H425" s="38" t="n">
        <x:v>0.3</x:v>
      </x:c>
      <x:c r="I425" s="39"/>
      <x:c r="J425" s="36" t="str">
        <x:v>Cash savings</x:v>
      </x:c>
      <x:c r="K425" s="38" t="n">
        <x:f>IF(ISNUMBER(I425),I425,IF(OR(NOT(ISNUMBER(H425)),NOT(ISNUMBER(G425)),G425&lt;=0),"",IF(H425/G425&gt;='Score settings'!$B$58,"",IF(J425="Cash savings",H425,IF(J425="Revenue",H425*'Score settings'!$B$55,"")))))</x:f>
        <x:v>0.3</x:v>
      </x:c>
      <x:c r="L425" s="36"/>
      <x:c r="M425" s="39"/>
      <x:c r="N425" s="40"/>
      <x:c r="O425" s="36" t="str">
        <x:v>Must Do</x:v>
      </x:c>
      <x:c r="P425" s="36" t="str">
        <x:v>AI</x:v>
      </x:c>
      <x:c r="Q425" s="36" t="str">
        <x:v>ProcSimp</x:v>
      </x:c>
      <x:c r="R425" s="36" t="str">
        <x:v>HEALTHY</x:v>
      </x:c>
      <x:c r="S425" s="36" t="str"/>
      <x:c r="T425" s="36" t="str">
        <x:v>Common pot</x:v>
      </x:c>
      <x:c r="U425" s="41" t="n">
        <x:f>VLOOKUP("Priority|"&amp;O425,'Score settings'!$A$14:$C$43,2,FALSE)/'Score settings'!$B$4*'Score settings'!$C$4</x:f>
        <x:v>25</x:v>
      </x:c>
      <x:c r="V425" s="41" t="n">
        <x:f>VLOOKUP("Category|"&amp;P425,'Score settings'!$A$14:$C$43,2,FALSE)/'Score settings'!$B$5*'Score settings'!$C$5</x:f>
        <x:v>16</x:v>
      </x:c>
      <x:c r="W425" s="41" t="n">
        <x:f>VLOOKUP("Area|"&amp;Q425,'Score settings'!$A$14:$C$43,2,FALSE)/'Score settings'!$B$6*'Score settings'!$C$6</x:f>
        <x:v>12</x:v>
      </x:c>
      <x:c r="X425" s="41" t="n">
        <x:f>VLOOKUP("Benefits|"&amp;IF(AND(ISNUMBER(H425),H425&gt;0,ISNUMBER(G425),G425&gt;0),IF(H425/G425&gt;='Score settings'!$E$17,"3plus",IF(H425/G425&gt;='Score settings'!$E$16,"1.5to3",IF(H425/G425&gt;='Score settings'!$E$15,"0.5to1.5","positive"))),"None"),'Score settings'!$A$14:$C$43,2,FALSE)/'Score settings'!$B$7*'Score settings'!$C$7</x:f>
        <x:v>20</x:v>
      </x:c>
      <x:c r="Y425" s="41" t="n">
        <x:f>VLOOKUP("Waste|"&amp;R425,'Score settings'!$A$14:$C$43,2,FALSE)/'Score settings'!$B$8*'Score settings'!$C$8</x:f>
        <x:v>15</x:v>
      </x:c>
      <x:c r="Z425" s="41" t="n">
        <x:f>IF(B425="","",SUM(U425:Y425))</x:f>
        <x:v>88</x:v>
      </x:c>
      <x:c r="AA425" s="41" t="str">
        <x:f>IF(Z425="","Not scored",VLOOKUP(Z425,'Score settings'!$A$47:$C$50,2,TRUE))</x:f>
        <x:v>Protected</x:v>
      </x:c>
      <x:c r="AB425" s="41" t="n">
        <x:f>VLOOKUP("Priority|"&amp;O425,'Score settings'!$A$14:$C$43,3,FALSE)/'Score settings'!$B$4*'Score settings'!$D$4</x:f>
        <x:v>15</x:v>
      </x:c>
      <x:c r="AC425" s="41" t="n">
        <x:f>VLOOKUP("Category|"&amp;P425,'Score settings'!$A$14:$C$43,3,FALSE)/'Score settings'!$B$5*'Score settings'!$D$5</x:f>
        <x:v>8</x:v>
      </x:c>
      <x:c r="AD425" s="41" t="n">
        <x:f>VLOOKUP("Area|"&amp;Q425,'Score settings'!$A$14:$C$43,3,FALSE)/'Score settings'!$B$6*'Score settings'!$D$6</x:f>
        <x:v>8</x:v>
      </x:c>
      <x:c r="AE425" s="41" t="n">
        <x:f>VLOOKUP("Benefits|"&amp;IF(AND(ISNUMBER(K425),K425&gt;0,ISNUMBER(G425),G425&gt;0),IF(K425/G425&gt;='Score settings'!$E$17,"3plus",IF(K425/G425&gt;='Score settings'!$E$16,"1.5to3",IF(K425/G425&gt;='Score settings'!$E$15,"0.5to1.5","positive"))),"None"),'Score settings'!$A$14:$C$43,3,FALSE)/'Score settings'!$B$7*'Score settings'!$D$7</x:f>
        <x:v>24</x:v>
      </x:c>
      <x:c r="AF425" s="41" t="n">
        <x:f>VLOOKUP("Waste|"&amp;R425,'Score settings'!$A$14:$C$43,3,FALSE)/'Score settings'!$B$8*'Score settings'!$D$8</x:f>
        <x:v>10</x:v>
      </x:c>
      <x:c r="AG425" s="41" t="n">
        <x:f>(IF(AND(ISNUMBER(M425),M425&gt;0,ISNUMBER(G425),G425&gt;0),IF(M425/G425&gt;='Score settings'!$E$17,'Score settings'!$G$17,IF(M425/G425&gt;='Score settings'!$E$16,'Score settings'!$G$16,IF(M425/G425&gt;='Score settings'!$E$15,'Score settings'!$G$15,'Score settings'!$G$14))),0)/15*'Score settings'!$B$60+IFERROR(VLOOKUP(IF(ISNUMBER(N425),N425,IF(ISNUMBER(L425),L425,0)),'Score settings'!$E$22:$F$26,2,FALSE),0)/10*'Score settings'!$B$61)/'Score settings'!$B$9*'Score settings'!$D$9</x:f>
        <x:v>0</x:v>
      </x:c>
      <x:c r="AH425" s="41" t="n">
        <x:f>IF(B425="","",SUM(AB425:AG425))</x:f>
        <x:v>65</x:v>
      </x:c>
      <x:c r="AI425" s="41" t="str">
        <x:f>IF(NOT(ISNUMBER(AH425)),"Not scored",VLOOKUP(AH425,'Score settings'!$A$47:$C$50,3,TRUE))</x:f>
        <x:v>High alignment</x:v>
      </x:c>
      <x:c r="AJ425" s="42" t="n">
        <x:f>IF(OR(NOT(ISNUMBER(AH425)),T425&lt;&gt;"Common pot"),"",COUNTIFS($T$4:$T$509,"Common pot",$AH$4:$AH$509,"&gt;"&amp;AH425)+1)</x:f>
        <x:v>9</x:v>
      </x:c>
      <x:c r="AK425" s="36" t="str">
        <x:f>IF(B425="","Name missing - not scored",IF(OR(NOT(ISNUMBER(G425)),G425&lt;=0),"Investment missing or zero - review",IF(0=1,"Permanent ID missing - reconcile",IF(AND(ISNUMBER(H425),H425/G425&gt;='Score settings'!$B$58,NOT(ISNUMBER(I425))),"Benefit units need review",IF(OR(R425="EXIT",R425="CHALLENGE"),"Waste decision requires scope resolution",IF("Name and organisation matched"&lt;&gt;"Name and organisation matched","Waste evidence match needs review","Provisional source score - confirm evidence"))))))</x:f>
        <x:v>Provisional source score - confirm evidence</x:v>
      </x:c>
      <x:c r="AL425" s="36"/>
      <x:c r="AM425" s="40"/>
      <x:c r="AN425" s="39"/>
      <x:c r="AO425" s="40"/>
      <x:c r="AP425" s="40"/>
    </x:row>
    <x:row r="426" ht="15" hidden="0" customHeight="1">
      <x:c r="A426" s="36" t="str">
        <x:v>EW-104</x:v>
      </x:c>
      <x:c r="B426" s="37" t="str">
        <x:v>AI hiring (autonomous)</x:v>
      </x:c>
      <x:c r="C426" s="36" t="str">
        <x:v>EW</x:v>
      </x:c>
      <x:c r="D426" s="36" t="str">
        <x:v>People function​</x:v>
      </x:c>
      <x:c r="E426" s="38" t="n">
        <x:v>0.3</x:v>
      </x:c>
      <x:c r="F426" s="39"/>
      <x:c r="G426" s="38" t="n">
        <x:f>IF(ISNUMBER(F426),F426,IF(E426="","",E426))</x:f>
        <x:v>0.3</x:v>
      </x:c>
      <x:c r="H426" s="38" t="n">
        <x:v>0.4</x:v>
      </x:c>
      <x:c r="I426" s="39"/>
      <x:c r="J426" s="36" t="str">
        <x:v>Cash savings</x:v>
      </x:c>
      <x:c r="K426" s="38" t="n">
        <x:f>IF(ISNUMBER(I426),I426,IF(OR(NOT(ISNUMBER(H426)),NOT(ISNUMBER(G426)),G426&lt;=0),"",IF(H426/G426&gt;='Score settings'!$B$58,"",IF(J426="Cash savings",H426,IF(J426="Revenue",H426*'Score settings'!$B$55,"")))))</x:f>
        <x:v>0.4</x:v>
      </x:c>
      <x:c r="L426" s="36"/>
      <x:c r="M426" s="39"/>
      <x:c r="N426" s="40"/>
      <x:c r="O426" s="36" t="str">
        <x:v>Must Have</x:v>
      </x:c>
      <x:c r="P426" s="36" t="str">
        <x:v>AI</x:v>
      </x:c>
      <x:c r="Q426" s="36" t="str">
        <x:v>Productivity</x:v>
      </x:c>
      <x:c r="R426" s="36" t="str">
        <x:v>HEALTHY</x:v>
      </x:c>
      <x:c r="S426" s="36" t="str"/>
      <x:c r="T426" s="36" t="str">
        <x:v>Common pot</x:v>
      </x:c>
      <x:c r="U426" s="41" t="n">
        <x:f>VLOOKUP("Priority|"&amp;O426,'Score settings'!$A$14:$C$43,2,FALSE)/'Score settings'!$B$4*'Score settings'!$C$4</x:f>
        <x:v>18</x:v>
      </x:c>
      <x:c r="V426" s="41" t="n">
        <x:f>VLOOKUP("Category|"&amp;P426,'Score settings'!$A$14:$C$43,2,FALSE)/'Score settings'!$B$5*'Score settings'!$C$5</x:f>
        <x:v>16</x:v>
      </x:c>
      <x:c r="W426" s="41" t="n">
        <x:f>VLOOKUP("Area|"&amp;Q426,'Score settings'!$A$14:$C$43,2,FALSE)/'Score settings'!$B$6*'Score settings'!$C$6</x:f>
        <x:v>10</x:v>
      </x:c>
      <x:c r="X426" s="41" t="n">
        <x:f>VLOOKUP("Benefits|"&amp;IF(AND(ISNUMBER(H426),H426&gt;0,ISNUMBER(G426),G426&gt;0),IF(H426/G426&gt;='Score settings'!$E$17,"3plus",IF(H426/G426&gt;='Score settings'!$E$16,"1.5to3",IF(H426/G426&gt;='Score settings'!$E$15,"0.5to1.5","positive"))),"None"),'Score settings'!$A$14:$C$43,2,FALSE)/'Score settings'!$B$7*'Score settings'!$C$7</x:f>
        <x:v>15</x:v>
      </x:c>
      <x:c r="Y426" s="41" t="n">
        <x:f>VLOOKUP("Waste|"&amp;R426,'Score settings'!$A$14:$C$43,2,FALSE)/'Score settings'!$B$8*'Score settings'!$C$8</x:f>
        <x:v>15</x:v>
      </x:c>
      <x:c r="Z426" s="41" t="n">
        <x:f>IF(B426="","",SUM(U426:Y426))</x:f>
        <x:v>74</x:v>
      </x:c>
      <x:c r="AA426" s="41" t="str">
        <x:f>IF(Z426="","Not scored",VLOOKUP(Z426,'Score settings'!$A$47:$C$50,2,TRUE))</x:f>
        <x:v>Protected</x:v>
      </x:c>
      <x:c r="AB426" s="41" t="n">
        <x:f>VLOOKUP("Priority|"&amp;O426,'Score settings'!$A$14:$C$43,3,FALSE)/'Score settings'!$B$4*'Score settings'!$D$4</x:f>
        <x:v>10.799999999999999</x:v>
      </x:c>
      <x:c r="AC426" s="41" t="n">
        <x:f>VLOOKUP("Category|"&amp;P426,'Score settings'!$A$14:$C$43,3,FALSE)/'Score settings'!$B$5*'Score settings'!$D$5</x:f>
        <x:v>8</x:v>
      </x:c>
      <x:c r="AD426" s="41" t="n">
        <x:f>VLOOKUP("Area|"&amp;Q426,'Score settings'!$A$14:$C$43,3,FALSE)/'Score settings'!$B$6*'Score settings'!$D$6</x:f>
        <x:v>6.666666666666666</x:v>
      </x:c>
      <x:c r="AE426" s="41" t="n">
        <x:f>VLOOKUP("Benefits|"&amp;IF(AND(ISNUMBER(K426),K426&gt;0,ISNUMBER(G426),G426&gt;0),IF(K426/G426&gt;='Score settings'!$E$17,"3plus",IF(K426/G426&gt;='Score settings'!$E$16,"1.5to3",IF(K426/G426&gt;='Score settings'!$E$15,"0.5to1.5","positive"))),"None"),'Score settings'!$A$14:$C$43,3,FALSE)/'Score settings'!$B$7*'Score settings'!$D$7</x:f>
        <x:v>18</x:v>
      </x:c>
      <x:c r="AF426" s="41" t="n">
        <x:f>VLOOKUP("Waste|"&amp;R426,'Score settings'!$A$14:$C$43,3,FALSE)/'Score settings'!$B$8*'Score settings'!$D$8</x:f>
        <x:v>10</x:v>
      </x:c>
      <x:c r="AG426" s="41" t="n">
        <x:f>(IF(AND(ISNUMBER(M426),M426&gt;0,ISNUMBER(G426),G426&gt;0),IF(M426/G426&gt;='Score settings'!$E$17,'Score settings'!$G$17,IF(M426/G426&gt;='Score settings'!$E$16,'Score settings'!$G$16,IF(M426/G426&gt;='Score settings'!$E$15,'Score settings'!$G$15,'Score settings'!$G$14))),0)/15*'Score settings'!$B$60+IFERROR(VLOOKUP(IF(ISNUMBER(N426),N426,IF(ISNUMBER(L426),L426,0)),'Score settings'!$E$22:$F$26,2,FALSE),0)/10*'Score settings'!$B$61)/'Score settings'!$B$9*'Score settings'!$D$9</x:f>
        <x:v>0</x:v>
      </x:c>
      <x:c r="AH426" s="41" t="n">
        <x:f>IF(B426="","",SUM(AB426:AG426))</x:f>
        <x:v>53.46666666666666</x:v>
      </x:c>
      <x:c r="AI426" s="41" t="str">
        <x:f>IF(NOT(ISNUMBER(AH426)),"Not scored",VLOOKUP(AH426,'Score settings'!$A$47:$C$50,3,TRUE))</x:f>
        <x:v>Strong</x:v>
      </x:c>
      <x:c r="AJ426" s="42" t="n">
        <x:f>IF(OR(NOT(ISNUMBER(AH426)),T426&lt;&gt;"Common pot"),"",COUNTIFS($T$4:$T$509,"Common pot",$AH$4:$AH$509,"&gt;"&amp;AH426)+1)</x:f>
        <x:v>39</x:v>
      </x:c>
      <x:c r="AK426" s="36" t="str">
        <x:f>IF(B426="","Name missing - not scored",IF(OR(NOT(ISNUMBER(G426)),G426&lt;=0),"Investment missing or zero - review",IF(0=1,"Permanent ID missing - reconcile",IF(AND(ISNUMBER(H426),H426/G426&gt;='Score settings'!$B$58,NOT(ISNUMBER(I426))),"Benefit units need review",IF(OR(R426="EXIT",R426="CHALLENGE"),"Waste decision requires scope resolution",IF("Name and organisation matched"&lt;&gt;"Name and organisation matched","Waste evidence match needs review","Provisional source score - confirm evidence"))))))</x:f>
        <x:v>Provisional source score - confirm evidence</x:v>
      </x:c>
      <x:c r="AL426" s="36"/>
      <x:c r="AM426" s="40"/>
      <x:c r="AN426" s="39"/>
      <x:c r="AO426" s="40"/>
      <x:c r="AP426" s="40"/>
    </x:row>
    <x:row r="427" ht="15" hidden="0" customHeight="1">
      <x:c r="A427" s="36" t="str">
        <x:v>EW-105</x:v>
      </x:c>
      <x:c r="B427" s="37" t="str">
        <x:v>Listening</x:v>
      </x:c>
      <x:c r="C427" s="36" t="str">
        <x:v>EW</x:v>
      </x:c>
      <x:c r="D427" s="36" t="str">
        <x:v>People function​</x:v>
      </x:c>
      <x:c r="E427" s="38" t="n">
        <x:v>0.3</x:v>
      </x:c>
      <x:c r="F427" s="39"/>
      <x:c r="G427" s="38" t="n">
        <x:f>IF(ISNUMBER(F427),F427,IF(E427="","",E427))</x:f>
        <x:v>0.3</x:v>
      </x:c>
      <x:c r="H427" s="38"/>
      <x:c r="I427" s="39"/>
      <x:c r="J427" s="36" t="str">
        <x:v>Cash savings</x:v>
      </x:c>
      <x:c r="K427" s="38" t="str">
        <x:f>IF(ISNUMBER(I427),I427,IF(OR(NOT(ISNUMBER(H427)),NOT(ISNUMBER(G427)),G427&lt;=0),"",IF(H427/G427&gt;='Score settings'!$B$58,"",IF(J427="Cash savings",H427,IF(J427="Revenue",H427*'Score settings'!$B$55,"")))))</x:f>
      </x:c>
      <x:c r="L427" s="36"/>
      <x:c r="M427" s="39"/>
      <x:c r="N427" s="40"/>
      <x:c r="O427" s="36" t="str">
        <x:v>Must Have</x:v>
      </x:c>
      <x:c r="P427" s="36" t="str">
        <x:v>NewTech</x:v>
      </x:c>
      <x:c r="Q427" s="36" t="str">
        <x:v>ProcSimp</x:v>
      </x:c>
      <x:c r="R427" s="36" t="str">
        <x:v>HEALTHY</x:v>
      </x:c>
      <x:c r="S427" s="36" t="str"/>
      <x:c r="T427" s="36" t="str">
        <x:v>Common pot</x:v>
      </x:c>
      <x:c r="U427" s="41" t="n">
        <x:f>VLOOKUP("Priority|"&amp;O427,'Score settings'!$A$14:$C$43,2,FALSE)/'Score settings'!$B$4*'Score settings'!$C$4</x:f>
        <x:v>18</x:v>
      </x:c>
      <x:c r="V427" s="41" t="n">
        <x:f>VLOOKUP("Category|"&amp;P427,'Score settings'!$A$14:$C$43,2,FALSE)/'Score settings'!$B$5*'Score settings'!$C$5</x:f>
        <x:v>5</x:v>
      </x:c>
      <x:c r="W427" s="41" t="n">
        <x:f>VLOOKUP("Area|"&amp;Q427,'Score settings'!$A$14:$C$43,2,FALSE)/'Score settings'!$B$6*'Score settings'!$C$6</x:f>
        <x:v>12</x:v>
      </x:c>
      <x:c r="X427" s="41" t="n">
        <x:f>VLOOKUP("Benefits|"&amp;IF(AND(ISNUMBER(H427),H427&gt;0,ISNUMBER(G427),G427&gt;0),IF(H427/G427&gt;='Score settings'!$E$17,"3plus",IF(H427/G427&gt;='Score settings'!$E$16,"1.5to3",IF(H427/G427&gt;='Score settings'!$E$15,"0.5to1.5","positive"))),"None"),'Score settings'!$A$14:$C$43,2,FALSE)/'Score settings'!$B$7*'Score settings'!$C$7</x:f>
        <x:v>5</x:v>
      </x:c>
      <x:c r="Y427" s="41" t="n">
        <x:f>VLOOKUP("Waste|"&amp;R427,'Score settings'!$A$14:$C$43,2,FALSE)/'Score settings'!$B$8*'Score settings'!$C$8</x:f>
        <x:v>15</x:v>
      </x:c>
      <x:c r="Z427" s="41" t="n">
        <x:f>IF(B427="","",SUM(U427:Y427))</x:f>
        <x:v>55</x:v>
      </x:c>
      <x:c r="AA427" s="41" t="str">
        <x:f>IF(Z427="","Not scored",VLOOKUP(Z427,'Score settings'!$A$47:$C$50,2,TRUE))</x:f>
        <x:v>Strong</x:v>
      </x:c>
      <x:c r="AB427" s="41" t="n">
        <x:f>VLOOKUP("Priority|"&amp;O427,'Score settings'!$A$14:$C$43,3,FALSE)/'Score settings'!$B$4*'Score settings'!$D$4</x:f>
        <x:v>10.799999999999999</x:v>
      </x:c>
      <x:c r="AC427" s="41" t="n">
        <x:f>VLOOKUP("Category|"&amp;P427,'Score settings'!$A$14:$C$43,3,FALSE)/'Score settings'!$B$5*'Score settings'!$D$5</x:f>
        <x:v>2.5</x:v>
      </x:c>
      <x:c r="AD427" s="41" t="n">
        <x:f>VLOOKUP("Area|"&amp;Q427,'Score settings'!$A$14:$C$43,3,FALSE)/'Score settings'!$B$6*'Score settings'!$D$6</x:f>
        <x:v>8</x:v>
      </x:c>
      <x:c r="AE427" s="41" t="n">
        <x:f>VLOOKUP("Benefits|"&amp;IF(AND(ISNUMBER(K427),K427&gt;0,ISNUMBER(G427),G427&gt;0),IF(K427/G427&gt;='Score settings'!$E$17,"3plus",IF(K427/G427&gt;='Score settings'!$E$16,"1.5to3",IF(K427/G427&gt;='Score settings'!$E$15,"0.5to1.5","positive"))),"None"),'Score settings'!$A$14:$C$43,3,FALSE)/'Score settings'!$B$7*'Score settings'!$D$7</x:f>
        <x:v>0</x:v>
      </x:c>
      <x:c r="AF427" s="41" t="n">
        <x:f>VLOOKUP("Waste|"&amp;R427,'Score settings'!$A$14:$C$43,3,FALSE)/'Score settings'!$B$8*'Score settings'!$D$8</x:f>
        <x:v>10</x:v>
      </x:c>
      <x:c r="AG427" s="41" t="n">
        <x:f>(IF(AND(ISNUMBER(M427),M427&gt;0,ISNUMBER(G427),G427&gt;0),IF(M427/G427&gt;='Score settings'!$E$17,'Score settings'!$G$17,IF(M427/G427&gt;='Score settings'!$E$16,'Score settings'!$G$16,IF(M427/G427&gt;='Score settings'!$E$15,'Score settings'!$G$15,'Score settings'!$G$14))),0)/15*'Score settings'!$B$60+IFERROR(VLOOKUP(IF(ISNUMBER(N427),N427,IF(ISNUMBER(L427),L427,0)),'Score settings'!$E$22:$F$26,2,FALSE),0)/10*'Score settings'!$B$61)/'Score settings'!$B$9*'Score settings'!$D$9</x:f>
        <x:v>0</x:v>
      </x:c>
      <x:c r="AH427" s="41" t="n">
        <x:f>IF(B427="","",SUM(AB427:AG427))</x:f>
        <x:v>31.299999999999997</x:v>
      </x:c>
      <x:c r="AI427" s="41" t="str">
        <x:f>IF(NOT(ISNUMBER(AH427)),"Not scored",VLOOKUP(AH427,'Score settings'!$A$47:$C$50,3,TRUE))</x:f>
        <x:v>Discretionary</x:v>
      </x:c>
      <x:c r="AJ427" s="42" t="n">
        <x:f>IF(OR(NOT(ISNUMBER(AH427)),T427&lt;&gt;"Common pot"),"",COUNTIFS($T$4:$T$509,"Common pot",$AH$4:$AH$509,"&gt;"&amp;AH427)+1)</x:f>
        <x:v>177</x:v>
      </x:c>
      <x:c r="AK427" s="36" t="str">
        <x:f>IF(B427="","Name missing - not scored",IF(OR(NOT(ISNUMBER(G427)),G427&lt;=0),"Investment missing or zero - review",IF(0=1,"Permanent ID missing - reconcile",IF(AND(ISNUMBER(H427),H427/G427&gt;='Score settings'!$B$58,NOT(ISNUMBER(I427))),"Benefit units need review",IF(OR(R427="EXIT",R427="CHALLENGE"),"Waste decision requires scope resolution",IF("Name and organisation matched"&lt;&gt;"Name and organisation matched","Waste evidence match needs review","Provisional source score - confirm evidence"))))))</x:f>
        <x:v>Provisional source score - confirm evidence</x:v>
      </x:c>
      <x:c r="AL427" s="36"/>
      <x:c r="AM427" s="40"/>
      <x:c r="AN427" s="39"/>
      <x:c r="AO427" s="40"/>
      <x:c r="AP427" s="40"/>
    </x:row>
    <x:row r="428" ht="15" hidden="0" customHeight="1">
      <x:c r="A428" s="36" t="str">
        <x:v>EW-106</x:v>
      </x:c>
      <x:c r="B428" s="37" t="str">
        <x:v>Personalized learning</x:v>
      </x:c>
      <x:c r="C428" s="36" t="str">
        <x:v>EW</x:v>
      </x:c>
      <x:c r="D428" s="36" t="str">
        <x:v>People function​</x:v>
      </x:c>
      <x:c r="E428" s="38" t="n">
        <x:v>0.1</x:v>
      </x:c>
      <x:c r="F428" s="39"/>
      <x:c r="G428" s="38" t="n">
        <x:f>IF(ISNUMBER(F428),F428,IF(E428="","",E428))</x:f>
        <x:v>0.1</x:v>
      </x:c>
      <x:c r="H428" s="38" t="n">
        <x:v>0.25</x:v>
      </x:c>
      <x:c r="I428" s="39"/>
      <x:c r="J428" s="36" t="str">
        <x:v>Cash savings</x:v>
      </x:c>
      <x:c r="K428" s="38" t="n">
        <x:f>IF(ISNUMBER(I428),I428,IF(OR(NOT(ISNUMBER(H428)),NOT(ISNUMBER(G428)),G428&lt;=0),"",IF(H428/G428&gt;='Score settings'!$B$58,"",IF(J428="Cash savings",H428,IF(J428="Revenue",H428*'Score settings'!$B$55,"")))))</x:f>
        <x:v>0.25</x:v>
      </x:c>
      <x:c r="L428" s="36"/>
      <x:c r="M428" s="39"/>
      <x:c r="N428" s="40"/>
      <x:c r="O428" s="36" t="str">
        <x:v>Must Do</x:v>
      </x:c>
      <x:c r="P428" s="36" t="str">
        <x:v>NewTech</x:v>
      </x:c>
      <x:c r="Q428" s="36" t="str">
        <x:v>Productivity</x:v>
      </x:c>
      <x:c r="R428" s="36" t="str">
        <x:v>HEALTHY</x:v>
      </x:c>
      <x:c r="S428" s="36" t="str"/>
      <x:c r="T428" s="36" t="str">
        <x:v>Common pot</x:v>
      </x:c>
      <x:c r="U428" s="41" t="n">
        <x:f>VLOOKUP("Priority|"&amp;O428,'Score settings'!$A$14:$C$43,2,FALSE)/'Score settings'!$B$4*'Score settings'!$C$4</x:f>
        <x:v>25</x:v>
      </x:c>
      <x:c r="V428" s="41" t="n">
        <x:f>VLOOKUP("Category|"&amp;P428,'Score settings'!$A$14:$C$43,2,FALSE)/'Score settings'!$B$5*'Score settings'!$C$5</x:f>
        <x:v>5</x:v>
      </x:c>
      <x:c r="W428" s="41" t="n">
        <x:f>VLOOKUP("Area|"&amp;Q428,'Score settings'!$A$14:$C$43,2,FALSE)/'Score settings'!$B$6*'Score settings'!$C$6</x:f>
        <x:v>10</x:v>
      </x:c>
      <x:c r="X428" s="41" t="n">
        <x:f>VLOOKUP("Benefits|"&amp;IF(AND(ISNUMBER(H428),H428&gt;0,ISNUMBER(G428),G428&gt;0),IF(H428/G428&gt;='Score settings'!$E$17,"3plus",IF(H428/G428&gt;='Score settings'!$E$16,"1.5to3",IF(H428/G428&gt;='Score settings'!$E$15,"0.5to1.5","positive"))),"None"),'Score settings'!$A$14:$C$43,2,FALSE)/'Score settings'!$B$7*'Score settings'!$C$7</x:f>
        <x:v>20</x:v>
      </x:c>
      <x:c r="Y428" s="41" t="n">
        <x:f>VLOOKUP("Waste|"&amp;R428,'Score settings'!$A$14:$C$43,2,FALSE)/'Score settings'!$B$8*'Score settings'!$C$8</x:f>
        <x:v>15</x:v>
      </x:c>
      <x:c r="Z428" s="41" t="n">
        <x:f>IF(B428="","",SUM(U428:Y428))</x:f>
        <x:v>75</x:v>
      </x:c>
      <x:c r="AA428" s="41" t="str">
        <x:f>IF(Z428="","Not scored",VLOOKUP(Z428,'Score settings'!$A$47:$C$50,2,TRUE))</x:f>
        <x:v>Protected</x:v>
      </x:c>
      <x:c r="AB428" s="41" t="n">
        <x:f>VLOOKUP("Priority|"&amp;O428,'Score settings'!$A$14:$C$43,3,FALSE)/'Score settings'!$B$4*'Score settings'!$D$4</x:f>
        <x:v>15</x:v>
      </x:c>
      <x:c r="AC428" s="41" t="n">
        <x:f>VLOOKUP("Category|"&amp;P428,'Score settings'!$A$14:$C$43,3,FALSE)/'Score settings'!$B$5*'Score settings'!$D$5</x:f>
        <x:v>2.5</x:v>
      </x:c>
      <x:c r="AD428" s="41" t="n">
        <x:f>VLOOKUP("Area|"&amp;Q428,'Score settings'!$A$14:$C$43,3,FALSE)/'Score settings'!$B$6*'Score settings'!$D$6</x:f>
        <x:v>6.666666666666666</x:v>
      </x:c>
      <x:c r="AE428" s="41" t="n">
        <x:f>VLOOKUP("Benefits|"&amp;IF(AND(ISNUMBER(K428),K428&gt;0,ISNUMBER(G428),G428&gt;0),IF(K428/G428&gt;='Score settings'!$E$17,"3plus",IF(K428/G428&gt;='Score settings'!$E$16,"1.5to3",IF(K428/G428&gt;='Score settings'!$E$15,"0.5to1.5","positive"))),"None"),'Score settings'!$A$14:$C$43,3,FALSE)/'Score settings'!$B$7*'Score settings'!$D$7</x:f>
        <x:v>24</x:v>
      </x:c>
      <x:c r="AF428" s="41" t="n">
        <x:f>VLOOKUP("Waste|"&amp;R428,'Score settings'!$A$14:$C$43,3,FALSE)/'Score settings'!$B$8*'Score settings'!$D$8</x:f>
        <x:v>10</x:v>
      </x:c>
      <x:c r="AG428" s="41" t="n">
        <x:f>(IF(AND(ISNUMBER(M428),M428&gt;0,ISNUMBER(G428),G428&gt;0),IF(M428/G428&gt;='Score settings'!$E$17,'Score settings'!$G$17,IF(M428/G428&gt;='Score settings'!$E$16,'Score settings'!$G$16,IF(M428/G428&gt;='Score settings'!$E$15,'Score settings'!$G$15,'Score settings'!$G$14))),0)/15*'Score settings'!$B$60+IFERROR(VLOOKUP(IF(ISNUMBER(N428),N428,IF(ISNUMBER(L428),L428,0)),'Score settings'!$E$22:$F$26,2,FALSE),0)/10*'Score settings'!$B$61)/'Score settings'!$B$9*'Score settings'!$D$9</x:f>
        <x:v>0</x:v>
      </x:c>
      <x:c r="AH428" s="41" t="n">
        <x:f>IF(B428="","",SUM(AB428:AG428))</x:f>
        <x:v>58.166666666666664</x:v>
      </x:c>
      <x:c r="AI428" s="41" t="str">
        <x:f>IF(NOT(ISNUMBER(AH428)),"Not scored",VLOOKUP(AH428,'Score settings'!$A$47:$C$50,3,TRUE))</x:f>
        <x:v>Strong</x:v>
      </x:c>
      <x:c r="AJ428" s="42" t="n">
        <x:f>IF(OR(NOT(ISNUMBER(AH428)),T428&lt;&gt;"Common pot"),"",COUNTIFS($T$4:$T$509,"Common pot",$AH$4:$AH$509,"&gt;"&amp;AH428)+1)</x:f>
        <x:v>22</x:v>
      </x:c>
      <x:c r="AK428" s="36" t="str">
        <x:f>IF(B428="","Name missing - not scored",IF(OR(NOT(ISNUMBER(G428)),G428&lt;=0),"Investment missing or zero - review",IF(0=1,"Permanent ID missing - reconcile",IF(AND(ISNUMBER(H428),H428/G428&gt;='Score settings'!$B$58,NOT(ISNUMBER(I428))),"Benefit units need review",IF(OR(R428="EXIT",R428="CHALLENGE"),"Waste decision requires scope resolution",IF("Name and organisation matched"&lt;&gt;"Name and organisation matched","Waste evidence match needs review","Provisional source score - confirm evidence"))))))</x:f>
        <x:v>Provisional source score - confirm evidence</x:v>
      </x:c>
      <x:c r="AL428" s="36"/>
      <x:c r="AM428" s="40"/>
      <x:c r="AN428" s="39"/>
      <x:c r="AO428" s="40"/>
      <x:c r="AP428" s="40"/>
    </x:row>
    <x:row r="429" ht="15" hidden="0" customHeight="1">
      <x:c r="A429" s="36" t="str">
        <x:v>EW-107</x:v>
      </x:c>
      <x:c r="B429" s="37" t="str">
        <x:v>Leadership development</x:v>
      </x:c>
      <x:c r="C429" s="36" t="str">
        <x:v>EW</x:v>
      </x:c>
      <x:c r="D429" s="36" t="str">
        <x:v>People function​</x:v>
      </x:c>
      <x:c r="E429" s="38" t="n">
        <x:v>0.435</x:v>
      </x:c>
      <x:c r="F429" s="39"/>
      <x:c r="G429" s="38" t="n">
        <x:f>IF(ISNUMBER(F429),F429,IF(E429="","",E429))</x:f>
        <x:v>0.435</x:v>
      </x:c>
      <x:c r="H429" s="38"/>
      <x:c r="I429" s="39"/>
      <x:c r="J429" s="36" t="str">
        <x:v>Cash savings</x:v>
      </x:c>
      <x:c r="K429" s="38" t="str">
        <x:f>IF(ISNUMBER(I429),I429,IF(OR(NOT(ISNUMBER(H429)),NOT(ISNUMBER(G429)),G429&lt;=0),"",IF(H429/G429&gt;='Score settings'!$B$58,"",IF(J429="Cash savings",H429,IF(J429="Revenue",H429*'Score settings'!$B$55,"")))))</x:f>
      </x:c>
      <x:c r="L429" s="36"/>
      <x:c r="M429" s="39"/>
      <x:c r="N429" s="40"/>
      <x:c r="O429" s="36" t="str">
        <x:v>Must Do</x:v>
      </x:c>
      <x:c r="P429" s="36" t="str">
        <x:v>AI</x:v>
      </x:c>
      <x:c r="Q429" s="36" t="str">
        <x:v>Productivity</x:v>
      </x:c>
      <x:c r="R429" s="36" t="str">
        <x:v>HEALTHY</x:v>
      </x:c>
      <x:c r="S429" s="36" t="str"/>
      <x:c r="T429" s="36" t="str">
        <x:v>Common pot</x:v>
      </x:c>
      <x:c r="U429" s="41" t="n">
        <x:f>VLOOKUP("Priority|"&amp;O429,'Score settings'!$A$14:$C$43,2,FALSE)/'Score settings'!$B$4*'Score settings'!$C$4</x:f>
        <x:v>25</x:v>
      </x:c>
      <x:c r="V429" s="41" t="n">
        <x:f>VLOOKUP("Category|"&amp;P429,'Score settings'!$A$14:$C$43,2,FALSE)/'Score settings'!$B$5*'Score settings'!$C$5</x:f>
        <x:v>16</x:v>
      </x:c>
      <x:c r="W429" s="41" t="n">
        <x:f>VLOOKUP("Area|"&amp;Q429,'Score settings'!$A$14:$C$43,2,FALSE)/'Score settings'!$B$6*'Score settings'!$C$6</x:f>
        <x:v>10</x:v>
      </x:c>
      <x:c r="X429" s="41" t="n">
        <x:f>VLOOKUP("Benefits|"&amp;IF(AND(ISNUMBER(H429),H429&gt;0,ISNUMBER(G429),G429&gt;0),IF(H429/G429&gt;='Score settings'!$E$17,"3plus",IF(H429/G429&gt;='Score settings'!$E$16,"1.5to3",IF(H429/G429&gt;='Score settings'!$E$15,"0.5to1.5","positive"))),"None"),'Score settings'!$A$14:$C$43,2,FALSE)/'Score settings'!$B$7*'Score settings'!$C$7</x:f>
        <x:v>5</x:v>
      </x:c>
      <x:c r="Y429" s="41" t="n">
        <x:f>VLOOKUP("Waste|"&amp;R429,'Score settings'!$A$14:$C$43,2,FALSE)/'Score settings'!$B$8*'Score settings'!$C$8</x:f>
        <x:v>15</x:v>
      </x:c>
      <x:c r="Z429" s="41" t="n">
        <x:f>IF(B429="","",SUM(U429:Y429))</x:f>
        <x:v>71</x:v>
      </x:c>
      <x:c r="AA429" s="41" t="str">
        <x:f>IF(Z429="","Not scored",VLOOKUP(Z429,'Score settings'!$A$47:$C$50,2,TRUE))</x:f>
        <x:v>Protected</x:v>
      </x:c>
      <x:c r="AB429" s="41" t="n">
        <x:f>VLOOKUP("Priority|"&amp;O429,'Score settings'!$A$14:$C$43,3,FALSE)/'Score settings'!$B$4*'Score settings'!$D$4</x:f>
        <x:v>15</x:v>
      </x:c>
      <x:c r="AC429" s="41" t="n">
        <x:f>VLOOKUP("Category|"&amp;P429,'Score settings'!$A$14:$C$43,3,FALSE)/'Score settings'!$B$5*'Score settings'!$D$5</x:f>
        <x:v>8</x:v>
      </x:c>
      <x:c r="AD429" s="41" t="n">
        <x:f>VLOOKUP("Area|"&amp;Q429,'Score settings'!$A$14:$C$43,3,FALSE)/'Score settings'!$B$6*'Score settings'!$D$6</x:f>
        <x:v>6.666666666666666</x:v>
      </x:c>
      <x:c r="AE429" s="41" t="n">
        <x:f>VLOOKUP("Benefits|"&amp;IF(AND(ISNUMBER(K429),K429&gt;0,ISNUMBER(G429),G429&gt;0),IF(K429/G429&gt;='Score settings'!$E$17,"3plus",IF(K429/G429&gt;='Score settings'!$E$16,"1.5to3",IF(K429/G429&gt;='Score settings'!$E$15,"0.5to1.5","positive"))),"None"),'Score settings'!$A$14:$C$43,3,FALSE)/'Score settings'!$B$7*'Score settings'!$D$7</x:f>
        <x:v>0</x:v>
      </x:c>
      <x:c r="AF429" s="41" t="n">
        <x:f>VLOOKUP("Waste|"&amp;R429,'Score settings'!$A$14:$C$43,3,FALSE)/'Score settings'!$B$8*'Score settings'!$D$8</x:f>
        <x:v>10</x:v>
      </x:c>
      <x:c r="AG429" s="41" t="n">
        <x:f>(IF(AND(ISNUMBER(M429),M429&gt;0,ISNUMBER(G429),G429&gt;0),IF(M429/G429&gt;='Score settings'!$E$17,'Score settings'!$G$17,IF(M429/G429&gt;='Score settings'!$E$16,'Score settings'!$G$16,IF(M429/G429&gt;='Score settings'!$E$15,'Score settings'!$G$15,'Score settings'!$G$14))),0)/15*'Score settings'!$B$60+IFERROR(VLOOKUP(IF(ISNUMBER(N429),N429,IF(ISNUMBER(L429),L429,0)),'Score settings'!$E$22:$F$26,2,FALSE),0)/10*'Score settings'!$B$61)/'Score settings'!$B$9*'Score settings'!$D$9</x:f>
        <x:v>0</x:v>
      </x:c>
      <x:c r="AH429" s="41" t="n">
        <x:f>IF(B429="","",SUM(AB429:AG429))</x:f>
        <x:v>39.666666666666664</x:v>
      </x:c>
      <x:c r="AI429" s="41" t="str">
        <x:f>IF(NOT(ISNUMBER(AH429)),"Not scored",VLOOKUP(AH429,'Score settings'!$A$47:$C$50,3,TRUE))</x:f>
        <x:v>Discretionary</x:v>
      </x:c>
      <x:c r="AJ429" s="42" t="n">
        <x:f>IF(OR(NOT(ISNUMBER(AH429)),T429&lt;&gt;"Common pot"),"",COUNTIFS($T$4:$T$509,"Common pot",$AH$4:$AH$509,"&gt;"&amp;AH429)+1)</x:f>
        <x:v>101</x:v>
      </x:c>
      <x:c r="AK429" s="36" t="str">
        <x:f>IF(B429="","Name missing - not scored",IF(OR(NOT(ISNUMBER(G429)),G429&lt;=0),"Investment missing or zero - review",IF(0=1,"Permanent ID missing - reconcile",IF(AND(ISNUMBER(H429),H429/G429&gt;='Score settings'!$B$58,NOT(ISNUMBER(I429))),"Benefit units need review",IF(OR(R429="EXIT",R429="CHALLENGE"),"Waste decision requires scope resolution",IF("Name and organisation matched"&lt;&gt;"Name and organisation matched","Waste evidence match needs review","Provisional source score - confirm evidence"))))))</x:f>
        <x:v>Provisional source score - confirm evidence</x:v>
      </x:c>
      <x:c r="AL429" s="36"/>
      <x:c r="AM429" s="40"/>
      <x:c r="AN429" s="39"/>
      <x:c r="AO429" s="40"/>
      <x:c r="AP429" s="40"/>
    </x:row>
    <x:row r="430" ht="15" hidden="0" customHeight="1">
      <x:c r="A430" s="36" t="str">
        <x:v>EW-108</x:v>
      </x:c>
      <x:c r="B430" s="37" t="str">
        <x:v>Agentic Contact Center</x:v>
      </x:c>
      <x:c r="C430" s="36" t="str">
        <x:v>EW</x:v>
      </x:c>
      <x:c r="D430" s="36" t="str">
        <x:v>People function​</x:v>
      </x:c>
      <x:c r="E430" s="38" t="n">
        <x:v>0.4</x:v>
      </x:c>
      <x:c r="F430" s="39"/>
      <x:c r="G430" s="38" t="n">
        <x:f>IF(ISNUMBER(F430),F430,IF(E430="","",E430))</x:f>
        <x:v>0.4</x:v>
      </x:c>
      <x:c r="H430" s="38" t="n">
        <x:v>0.4</x:v>
      </x:c>
      <x:c r="I430" s="39"/>
      <x:c r="J430" s="36" t="str">
        <x:v>Cash savings</x:v>
      </x:c>
      <x:c r="K430" s="38" t="n">
        <x:f>IF(ISNUMBER(I430),I430,IF(OR(NOT(ISNUMBER(H430)),NOT(ISNUMBER(G430)),G430&lt;=0),"",IF(H430/G430&gt;='Score settings'!$B$58,"",IF(J430="Cash savings",H430,IF(J430="Revenue",H430*'Score settings'!$B$55,"")))))</x:f>
        <x:v>0.4</x:v>
      </x:c>
      <x:c r="L430" s="36"/>
      <x:c r="M430" s="39"/>
      <x:c r="N430" s="40"/>
      <x:c r="O430" s="36" t="str">
        <x:v>Must Do</x:v>
      </x:c>
      <x:c r="P430" s="36" t="str">
        <x:v>AI</x:v>
      </x:c>
      <x:c r="Q430" s="36" t="str">
        <x:v>Productivity</x:v>
      </x:c>
      <x:c r="R430" s="36" t="str">
        <x:v>HEALTHY</x:v>
      </x:c>
      <x:c r="S430" s="36" t="str"/>
      <x:c r="T430" s="36" t="str">
        <x:v>Common pot</x:v>
      </x:c>
      <x:c r="U430" s="41" t="n">
        <x:f>VLOOKUP("Priority|"&amp;O430,'Score settings'!$A$14:$C$43,2,FALSE)/'Score settings'!$B$4*'Score settings'!$C$4</x:f>
        <x:v>25</x:v>
      </x:c>
      <x:c r="V430" s="41" t="n">
        <x:f>VLOOKUP("Category|"&amp;P430,'Score settings'!$A$14:$C$43,2,FALSE)/'Score settings'!$B$5*'Score settings'!$C$5</x:f>
        <x:v>16</x:v>
      </x:c>
      <x:c r="W430" s="41" t="n">
        <x:f>VLOOKUP("Area|"&amp;Q430,'Score settings'!$A$14:$C$43,2,FALSE)/'Score settings'!$B$6*'Score settings'!$C$6</x:f>
        <x:v>10</x:v>
      </x:c>
      <x:c r="X430" s="41" t="n">
        <x:f>VLOOKUP("Benefits|"&amp;IF(AND(ISNUMBER(H430),H430&gt;0,ISNUMBER(G430),G430&gt;0),IF(H430/G430&gt;='Score settings'!$E$17,"3plus",IF(H430/G430&gt;='Score settings'!$E$16,"1.5to3",IF(H430/G430&gt;='Score settings'!$E$15,"0.5to1.5","positive"))),"None"),'Score settings'!$A$14:$C$43,2,FALSE)/'Score settings'!$B$7*'Score settings'!$C$7</x:f>
        <x:v>15</x:v>
      </x:c>
      <x:c r="Y430" s="41" t="n">
        <x:f>VLOOKUP("Waste|"&amp;R430,'Score settings'!$A$14:$C$43,2,FALSE)/'Score settings'!$B$8*'Score settings'!$C$8</x:f>
        <x:v>15</x:v>
      </x:c>
      <x:c r="Z430" s="41" t="n">
        <x:f>IF(B430="","",SUM(U430:Y430))</x:f>
        <x:v>81</x:v>
      </x:c>
      <x:c r="AA430" s="41" t="str">
        <x:f>IF(Z430="","Not scored",VLOOKUP(Z430,'Score settings'!$A$47:$C$50,2,TRUE))</x:f>
        <x:v>Protected</x:v>
      </x:c>
      <x:c r="AB430" s="41" t="n">
        <x:f>VLOOKUP("Priority|"&amp;O430,'Score settings'!$A$14:$C$43,3,FALSE)/'Score settings'!$B$4*'Score settings'!$D$4</x:f>
        <x:v>15</x:v>
      </x:c>
      <x:c r="AC430" s="41" t="n">
        <x:f>VLOOKUP("Category|"&amp;P430,'Score settings'!$A$14:$C$43,3,FALSE)/'Score settings'!$B$5*'Score settings'!$D$5</x:f>
        <x:v>8</x:v>
      </x:c>
      <x:c r="AD430" s="41" t="n">
        <x:f>VLOOKUP("Area|"&amp;Q430,'Score settings'!$A$14:$C$43,3,FALSE)/'Score settings'!$B$6*'Score settings'!$D$6</x:f>
        <x:v>6.666666666666666</x:v>
      </x:c>
      <x:c r="AE430" s="41" t="n">
        <x:f>VLOOKUP("Benefits|"&amp;IF(AND(ISNUMBER(K430),K430&gt;0,ISNUMBER(G430),G430&gt;0),IF(K430/G430&gt;='Score settings'!$E$17,"3plus",IF(K430/G430&gt;='Score settings'!$E$16,"1.5to3",IF(K430/G430&gt;='Score settings'!$E$15,"0.5to1.5","positive"))),"None"),'Score settings'!$A$14:$C$43,3,FALSE)/'Score settings'!$B$7*'Score settings'!$D$7</x:f>
        <x:v>18</x:v>
      </x:c>
      <x:c r="AF430" s="41" t="n">
        <x:f>VLOOKUP("Waste|"&amp;R430,'Score settings'!$A$14:$C$43,3,FALSE)/'Score settings'!$B$8*'Score settings'!$D$8</x:f>
        <x:v>10</x:v>
      </x:c>
      <x:c r="AG430" s="41" t="n">
        <x:f>(IF(AND(ISNUMBER(M430),M430&gt;0,ISNUMBER(G430),G430&gt;0),IF(M430/G430&gt;='Score settings'!$E$17,'Score settings'!$G$17,IF(M430/G430&gt;='Score settings'!$E$16,'Score settings'!$G$16,IF(M430/G430&gt;='Score settings'!$E$15,'Score settings'!$G$15,'Score settings'!$G$14))),0)/15*'Score settings'!$B$60+IFERROR(VLOOKUP(IF(ISNUMBER(N430),N430,IF(ISNUMBER(L430),L430,0)),'Score settings'!$E$22:$F$26,2,FALSE),0)/10*'Score settings'!$B$61)/'Score settings'!$B$9*'Score settings'!$D$9</x:f>
        <x:v>0</x:v>
      </x:c>
      <x:c r="AH430" s="41" t="n">
        <x:f>IF(B430="","",SUM(AB430:AG430))</x:f>
        <x:v>57.666666666666664</x:v>
      </x:c>
      <x:c r="AI430" s="41" t="str">
        <x:f>IF(NOT(ISNUMBER(AH430)),"Not scored",VLOOKUP(AH430,'Score settings'!$A$47:$C$50,3,TRUE))</x:f>
        <x:v>Strong</x:v>
      </x:c>
      <x:c r="AJ430" s="42" t="n">
        <x:f>IF(OR(NOT(ISNUMBER(AH430)),T430&lt;&gt;"Common pot"),"",COUNTIFS($T$4:$T$509,"Common pot",$AH$4:$AH$509,"&gt;"&amp;AH430)+1)</x:f>
        <x:v>26</x:v>
      </x:c>
      <x:c r="AK430" s="36" t="str">
        <x:f>IF(B430="","Name missing - not scored",IF(OR(NOT(ISNUMBER(G430)),G430&lt;=0),"Investment missing or zero - review",IF(0=1,"Permanent ID missing - reconcile",IF(AND(ISNUMBER(H430),H430/G430&gt;='Score settings'!$B$58,NOT(ISNUMBER(I430))),"Benefit units need review",IF(OR(R430="EXIT",R430="CHALLENGE"),"Waste decision requires scope resolution",IF("Name and organisation matched"&lt;&gt;"Name and organisation matched","Waste evidence match needs review","Provisional source score - confirm evidence"))))))</x:f>
        <x:v>Provisional source score - confirm evidence</x:v>
      </x:c>
      <x:c r="AL430" s="36"/>
      <x:c r="AM430" s="40"/>
      <x:c r="AN430" s="39"/>
      <x:c r="AO430" s="40"/>
      <x:c r="AP430" s="40"/>
    </x:row>
    <x:row r="431" ht="15" hidden="0" customHeight="1">
      <x:c r="A431" s="36" t="str">
        <x:v>EW-109</x:v>
      </x:c>
      <x:c r="B431" s="37" t="str">
        <x:v>Pay to perform</x:v>
      </x:c>
      <x:c r="C431" s="36" t="str">
        <x:v>EW</x:v>
      </x:c>
      <x:c r="D431" s="36" t="str">
        <x:v>People function​</x:v>
      </x:c>
      <x:c r="E431" s="38" t="n">
        <x:v>0.48</x:v>
      </x:c>
      <x:c r="F431" s="39"/>
      <x:c r="G431" s="38" t="n">
        <x:f>IF(ISNUMBER(F431),F431,IF(E431="","",E431))</x:f>
        <x:v>0.48</x:v>
      </x:c>
      <x:c r="H431" s="38" t="n">
        <x:v>0.3</x:v>
      </x:c>
      <x:c r="I431" s="39"/>
      <x:c r="J431" s="36" t="str">
        <x:v>Cash savings</x:v>
      </x:c>
      <x:c r="K431" s="38" t="n">
        <x:f>IF(ISNUMBER(I431),I431,IF(OR(NOT(ISNUMBER(H431)),NOT(ISNUMBER(G431)),G431&lt;=0),"",IF(H431/G431&gt;='Score settings'!$B$58,"",IF(J431="Cash savings",H431,IF(J431="Revenue",H431*'Score settings'!$B$55,"")))))</x:f>
        <x:v>0.3</x:v>
      </x:c>
      <x:c r="L431" s="36"/>
      <x:c r="M431" s="39"/>
      <x:c r="N431" s="40"/>
      <x:c r="O431" s="36" t="str">
        <x:v>Must Have</x:v>
      </x:c>
      <x:c r="P431" s="36" t="str">
        <x:v>CI</x:v>
      </x:c>
      <x:c r="Q431" s="36" t="str">
        <x:v>Productivity</x:v>
      </x:c>
      <x:c r="R431" s="36" t="str">
        <x:v>HEALTHY</x:v>
      </x:c>
      <x:c r="S431" s="36" t="str"/>
      <x:c r="T431" s="36" t="str">
        <x:v>Common pot</x:v>
      </x:c>
      <x:c r="U431" s="41" t="n">
        <x:f>VLOOKUP("Priority|"&amp;O431,'Score settings'!$A$14:$C$43,2,FALSE)/'Score settings'!$B$4*'Score settings'!$C$4</x:f>
        <x:v>18</x:v>
      </x:c>
      <x:c r="V431" s="41" t="n">
        <x:f>VLOOKUP("Category|"&amp;P431,'Score settings'!$A$14:$C$43,2,FALSE)/'Score settings'!$B$5*'Score settings'!$C$5</x:f>
        <x:v>8</x:v>
      </x:c>
      <x:c r="W431" s="41" t="n">
        <x:f>VLOOKUP("Area|"&amp;Q431,'Score settings'!$A$14:$C$43,2,FALSE)/'Score settings'!$B$6*'Score settings'!$C$6</x:f>
        <x:v>10</x:v>
      </x:c>
      <x:c r="X431" s="41" t="n">
        <x:f>VLOOKUP("Benefits|"&amp;IF(AND(ISNUMBER(H431),H431&gt;0,ISNUMBER(G431),G431&gt;0),IF(H431/G431&gt;='Score settings'!$E$17,"3plus",IF(H431/G431&gt;='Score settings'!$E$16,"1.5to3",IF(H431/G431&gt;='Score settings'!$E$15,"0.5to1.5","positive"))),"None"),'Score settings'!$A$14:$C$43,2,FALSE)/'Score settings'!$B$7*'Score settings'!$C$7</x:f>
        <x:v>15</x:v>
      </x:c>
      <x:c r="Y431" s="41" t="n">
        <x:f>VLOOKUP("Waste|"&amp;R431,'Score settings'!$A$14:$C$43,2,FALSE)/'Score settings'!$B$8*'Score settings'!$C$8</x:f>
        <x:v>15</x:v>
      </x:c>
      <x:c r="Z431" s="41" t="n">
        <x:f>IF(B431="","",SUM(U431:Y431))</x:f>
        <x:v>66</x:v>
      </x:c>
      <x:c r="AA431" s="41" t="str">
        <x:f>IF(Z431="","Not scored",VLOOKUP(Z431,'Score settings'!$A$47:$C$50,2,TRUE))</x:f>
        <x:v>Protected</x:v>
      </x:c>
      <x:c r="AB431" s="41" t="n">
        <x:f>VLOOKUP("Priority|"&amp;O431,'Score settings'!$A$14:$C$43,3,FALSE)/'Score settings'!$B$4*'Score settings'!$D$4</x:f>
        <x:v>10.799999999999999</x:v>
      </x:c>
      <x:c r="AC431" s="41" t="n">
        <x:f>VLOOKUP("Category|"&amp;P431,'Score settings'!$A$14:$C$43,3,FALSE)/'Score settings'!$B$5*'Score settings'!$D$5</x:f>
        <x:v>4</x:v>
      </x:c>
      <x:c r="AD431" s="41" t="n">
        <x:f>VLOOKUP("Area|"&amp;Q431,'Score settings'!$A$14:$C$43,3,FALSE)/'Score settings'!$B$6*'Score settings'!$D$6</x:f>
        <x:v>6.666666666666666</x:v>
      </x:c>
      <x:c r="AE431" s="41" t="n">
        <x:f>VLOOKUP("Benefits|"&amp;IF(AND(ISNUMBER(K431),K431&gt;0,ISNUMBER(G431),G431&gt;0),IF(K431/G431&gt;='Score settings'!$E$17,"3plus",IF(K431/G431&gt;='Score settings'!$E$16,"1.5to3",IF(K431/G431&gt;='Score settings'!$E$15,"0.5to1.5","positive"))),"None"),'Score settings'!$A$14:$C$43,3,FALSE)/'Score settings'!$B$7*'Score settings'!$D$7</x:f>
        <x:v>18</x:v>
      </x:c>
      <x:c r="AF431" s="41" t="n">
        <x:f>VLOOKUP("Waste|"&amp;R431,'Score settings'!$A$14:$C$43,3,FALSE)/'Score settings'!$B$8*'Score settings'!$D$8</x:f>
        <x:v>10</x:v>
      </x:c>
      <x:c r="AG431" s="41" t="n">
        <x:f>(IF(AND(ISNUMBER(M431),M431&gt;0,ISNUMBER(G431),G431&gt;0),IF(M431/G431&gt;='Score settings'!$E$17,'Score settings'!$G$17,IF(M431/G431&gt;='Score settings'!$E$16,'Score settings'!$G$16,IF(M431/G431&gt;='Score settings'!$E$15,'Score settings'!$G$15,'Score settings'!$G$14))),0)/15*'Score settings'!$B$60+IFERROR(VLOOKUP(IF(ISNUMBER(N431),N431,IF(ISNUMBER(L431),L431,0)),'Score settings'!$E$22:$F$26,2,FALSE),0)/10*'Score settings'!$B$61)/'Score settings'!$B$9*'Score settings'!$D$9</x:f>
        <x:v>0</x:v>
      </x:c>
      <x:c r="AH431" s="41" t="n">
        <x:f>IF(B431="","",SUM(AB431:AG431))</x:f>
        <x:v>49.46666666666667</x:v>
      </x:c>
      <x:c r="AI431" s="41" t="str">
        <x:f>IF(NOT(ISNUMBER(AH431)),"Not scored",VLOOKUP(AH431,'Score settings'!$A$47:$C$50,3,TRUE))</x:f>
        <x:v>Strong</x:v>
      </x:c>
      <x:c r="AJ431" s="42" t="n">
        <x:f>IF(OR(NOT(ISNUMBER(AH431)),T431&lt;&gt;"Common pot"),"",COUNTIFS($T$4:$T$509,"Common pot",$AH$4:$AH$509,"&gt;"&amp;AH431)+1)</x:f>
        <x:v>48</x:v>
      </x:c>
      <x:c r="AK431" s="36" t="str">
        <x:f>IF(B431="","Name missing - not scored",IF(OR(NOT(ISNUMBER(G431)),G431&lt;=0),"Investment missing or zero - review",IF(0=1,"Permanent ID missing - reconcile",IF(AND(ISNUMBER(H431),H431/G431&gt;='Score settings'!$B$58,NOT(ISNUMBER(I431))),"Benefit units need review",IF(OR(R431="EXIT",R431="CHALLENGE"),"Waste decision requires scope resolution",IF("Name and organisation matched"&lt;&gt;"Name and organisation matched","Waste evidence match needs review","Provisional source score - confirm evidence"))))))</x:f>
        <x:v>Provisional source score - confirm evidence</x:v>
      </x:c>
      <x:c r="AL431" s="36"/>
      <x:c r="AM431" s="40"/>
      <x:c r="AN431" s="39"/>
      <x:c r="AO431" s="40"/>
      <x:c r="AP431" s="40"/>
    </x:row>
    <x:row r="432" ht="15" hidden="0" customHeight="1">
      <x:c r="A432" s="36" t="str">
        <x:v>EW-110</x:v>
      </x:c>
      <x:c r="B432" s="37" t="str">
        <x:v>Sales incentives</x:v>
      </x:c>
      <x:c r="C432" s="36" t="str">
        <x:v>EW</x:v>
      </x:c>
      <x:c r="D432" s="36" t="str">
        <x:v>People function​</x:v>
      </x:c>
      <x:c r="E432" s="38" t="n">
        <x:v>0.55</x:v>
      </x:c>
      <x:c r="F432" s="39"/>
      <x:c r="G432" s="38" t="n">
        <x:f>IF(ISNUMBER(F432),F432,IF(E432="","",E432))</x:f>
        <x:v>0.55</x:v>
      </x:c>
      <x:c r="H432" s="38"/>
      <x:c r="I432" s="39"/>
      <x:c r="J432" s="36" t="str">
        <x:v>Revenue</x:v>
      </x:c>
      <x:c r="K432" s="38" t="str">
        <x:f>IF(ISNUMBER(I432),I432,IF(OR(NOT(ISNUMBER(H432)),NOT(ISNUMBER(G432)),G432&lt;=0),"",IF(H432/G432&gt;='Score settings'!$B$58,"",IF(J432="Cash savings",H432,IF(J432="Revenue",H432*'Score settings'!$B$55,"")))))</x:f>
      </x:c>
      <x:c r="L432" s="36"/>
      <x:c r="M432" s="39"/>
      <x:c r="N432" s="40"/>
      <x:c r="O432" s="36" t="str">
        <x:v>Must Have</x:v>
      </x:c>
      <x:c r="P432" s="36" t="str">
        <x:v>CI</x:v>
      </x:c>
      <x:c r="Q432" s="36" t="str">
        <x:v>Revenue</x:v>
      </x:c>
      <x:c r="R432" s="36" t="str">
        <x:v>HEALTHY</x:v>
      </x:c>
      <x:c r="S432" s="36" t="str"/>
      <x:c r="T432" s="36" t="str">
        <x:v>Common pot</x:v>
      </x:c>
      <x:c r="U432" s="41" t="n">
        <x:f>VLOOKUP("Priority|"&amp;O432,'Score settings'!$A$14:$C$43,2,FALSE)/'Score settings'!$B$4*'Score settings'!$C$4</x:f>
        <x:v>18</x:v>
      </x:c>
      <x:c r="V432" s="41" t="n">
        <x:f>VLOOKUP("Category|"&amp;P432,'Score settings'!$A$14:$C$43,2,FALSE)/'Score settings'!$B$5*'Score settings'!$C$5</x:f>
        <x:v>8</x:v>
      </x:c>
      <x:c r="W432" s="41" t="n">
        <x:f>VLOOKUP("Area|"&amp;Q432,'Score settings'!$A$14:$C$43,2,FALSE)/'Score settings'!$B$6*'Score settings'!$C$6</x:f>
        <x:v>11</x:v>
      </x:c>
      <x:c r="X432" s="41" t="n">
        <x:f>VLOOKUP("Benefits|"&amp;IF(AND(ISNUMBER(H432),H432&gt;0,ISNUMBER(G432),G432&gt;0),IF(H432/G432&gt;='Score settings'!$E$17,"3plus",IF(H432/G432&gt;='Score settings'!$E$16,"1.5to3",IF(H432/G432&gt;='Score settings'!$E$15,"0.5to1.5","positive"))),"None"),'Score settings'!$A$14:$C$43,2,FALSE)/'Score settings'!$B$7*'Score settings'!$C$7</x:f>
        <x:v>5</x:v>
      </x:c>
      <x:c r="Y432" s="41" t="n">
        <x:f>VLOOKUP("Waste|"&amp;R432,'Score settings'!$A$14:$C$43,2,FALSE)/'Score settings'!$B$8*'Score settings'!$C$8</x:f>
        <x:v>15</x:v>
      </x:c>
      <x:c r="Z432" s="41" t="n">
        <x:f>IF(B432="","",SUM(U432:Y432))</x:f>
        <x:v>57</x:v>
      </x:c>
      <x:c r="AA432" s="41" t="str">
        <x:f>IF(Z432="","Not scored",VLOOKUP(Z432,'Score settings'!$A$47:$C$50,2,TRUE))</x:f>
        <x:v>Strong</x:v>
      </x:c>
      <x:c r="AB432" s="41" t="n">
        <x:f>VLOOKUP("Priority|"&amp;O432,'Score settings'!$A$14:$C$43,3,FALSE)/'Score settings'!$B$4*'Score settings'!$D$4</x:f>
        <x:v>10.799999999999999</x:v>
      </x:c>
      <x:c r="AC432" s="41" t="n">
        <x:f>VLOOKUP("Category|"&amp;P432,'Score settings'!$A$14:$C$43,3,FALSE)/'Score settings'!$B$5*'Score settings'!$D$5</x:f>
        <x:v>4</x:v>
      </x:c>
      <x:c r="AD432" s="41" t="n">
        <x:f>VLOOKUP("Area|"&amp;Q432,'Score settings'!$A$14:$C$43,3,FALSE)/'Score settings'!$B$6*'Score settings'!$D$6</x:f>
        <x:v>7.333333333333333</x:v>
      </x:c>
      <x:c r="AE432" s="41" t="n">
        <x:f>VLOOKUP("Benefits|"&amp;IF(AND(ISNUMBER(K432),K432&gt;0,ISNUMBER(G432),G432&gt;0),IF(K432/G432&gt;='Score settings'!$E$17,"3plus",IF(K432/G432&gt;='Score settings'!$E$16,"1.5to3",IF(K432/G432&gt;='Score settings'!$E$15,"0.5to1.5","positive"))),"None"),'Score settings'!$A$14:$C$43,3,FALSE)/'Score settings'!$B$7*'Score settings'!$D$7</x:f>
        <x:v>0</x:v>
      </x:c>
      <x:c r="AF432" s="41" t="n">
        <x:f>VLOOKUP("Waste|"&amp;R432,'Score settings'!$A$14:$C$43,3,FALSE)/'Score settings'!$B$8*'Score settings'!$D$8</x:f>
        <x:v>10</x:v>
      </x:c>
      <x:c r="AG432" s="41" t="n">
        <x:f>(IF(AND(ISNUMBER(M432),M432&gt;0,ISNUMBER(G432),G432&gt;0),IF(M432/G432&gt;='Score settings'!$E$17,'Score settings'!$G$17,IF(M432/G432&gt;='Score settings'!$E$16,'Score settings'!$G$16,IF(M432/G432&gt;='Score settings'!$E$15,'Score settings'!$G$15,'Score settings'!$G$14))),0)/15*'Score settings'!$B$60+IFERROR(VLOOKUP(IF(ISNUMBER(N432),N432,IF(ISNUMBER(L432),L432,0)),'Score settings'!$E$22:$F$26,2,FALSE),0)/10*'Score settings'!$B$61)/'Score settings'!$B$9*'Score settings'!$D$9</x:f>
        <x:v>0</x:v>
      </x:c>
      <x:c r="AH432" s="41" t="n">
        <x:f>IF(B432="","",SUM(AB432:AG432))</x:f>
        <x:v>32.13333333333333</x:v>
      </x:c>
      <x:c r="AI432" s="41" t="str">
        <x:f>IF(NOT(ISNUMBER(AH432)),"Not scored",VLOOKUP(AH432,'Score settings'!$A$47:$C$50,3,TRUE))</x:f>
        <x:v>Discretionary</x:v>
      </x:c>
      <x:c r="AJ432" s="42" t="n">
        <x:f>IF(OR(NOT(ISNUMBER(AH432)),T432&lt;&gt;"Common pot"),"",COUNTIFS($T$4:$T$509,"Common pot",$AH$4:$AH$509,"&gt;"&amp;AH432)+1)</x:f>
        <x:v>174</x:v>
      </x:c>
      <x:c r="AK432" s="36" t="str">
        <x:f>IF(B432="","Name missing - not scored",IF(OR(NOT(ISNUMBER(G432)),G432&lt;=0),"Investment missing or zero - review",IF(0=1,"Permanent ID missing - reconcile",IF(AND(ISNUMBER(H432),H432/G432&gt;='Score settings'!$B$58,NOT(ISNUMBER(I432))),"Benefit units need review",IF(OR(R432="EXIT",R432="CHALLENGE"),"Waste decision requires scope resolution",IF("Name and organisation matched"&lt;&gt;"Name and organisation matched","Waste evidence match needs review","Provisional source score - confirm evidence"))))))</x:f>
        <x:v>Provisional source score - confirm evidence</x:v>
      </x:c>
      <x:c r="AL432" s="36"/>
      <x:c r="AM432" s="40"/>
      <x:c r="AN432" s="39"/>
      <x:c r="AO432" s="40"/>
      <x:c r="AP432" s="40"/>
    </x:row>
    <x:row r="433" ht="15" hidden="0" customHeight="1">
      <x:c r="A433" s="36" t="str">
        <x:v>EW-111</x:v>
      </x:c>
      <x:c r="B433" s="37" t="str">
        <x:v>Spequinox 2.0</x:v>
      </x:c>
      <x:c r="C433" s="36" t="str">
        <x:v>EW</x:v>
      </x:c>
      <x:c r="D433" s="36" t="str">
        <x:v>People function​</x:v>
      </x:c>
      <x:c r="E433" s="38" t="n">
        <x:v>0.16</x:v>
      </x:c>
      <x:c r="F433" s="39"/>
      <x:c r="G433" s="38" t="n">
        <x:f>IF(ISNUMBER(F433),F433,IF(E433="","",E433))</x:f>
        <x:v>0.16</x:v>
      </x:c>
      <x:c r="H433" s="38"/>
      <x:c r="I433" s="39"/>
      <x:c r="J433" s="36" t="str">
        <x:v>Risk exposure</x:v>
      </x:c>
      <x:c r="K433" s="38" t="str">
        <x:f>IF(ISNUMBER(I433),I433,IF(OR(NOT(ISNUMBER(H433)),NOT(ISNUMBER(G433)),G433&lt;=0),"",IF(H433/G433&gt;='Score settings'!$B$58,"",IF(J433="Cash savings",H433,IF(J433="Revenue",H433*'Score settings'!$B$55,"")))))</x:f>
      </x:c>
      <x:c r="L433" s="36"/>
      <x:c r="M433" s="39"/>
      <x:c r="N433" s="40"/>
      <x:c r="O433" s="36" t="str">
        <x:v>Must Do</x:v>
      </x:c>
      <x:c r="P433" s="36" t="str">
        <x:v>CI</x:v>
      </x:c>
      <x:c r="Q433" s="36" t="str">
        <x:v>Compliance</x:v>
      </x:c>
      <x:c r="R433" s="36" t="str">
        <x:v>HEALTHY</x:v>
      </x:c>
      <x:c r="S433" s="36" t="str"/>
      <x:c r="T433" s="36" t="str">
        <x:v>Common pot</x:v>
      </x:c>
      <x:c r="U433" s="41" t="n">
        <x:f>VLOOKUP("Priority|"&amp;O433,'Score settings'!$A$14:$C$43,2,FALSE)/'Score settings'!$B$4*'Score settings'!$C$4</x:f>
        <x:v>25</x:v>
      </x:c>
      <x:c r="V433" s="41" t="n">
        <x:f>VLOOKUP("Category|"&amp;P433,'Score settings'!$A$14:$C$43,2,FALSE)/'Score settings'!$B$5*'Score settings'!$C$5</x:f>
        <x:v>8</x:v>
      </x:c>
      <x:c r="W433" s="41" t="n">
        <x:f>VLOOKUP("Area|"&amp;Q433,'Score settings'!$A$14:$C$43,2,FALSE)/'Score settings'!$B$6*'Score settings'!$C$6</x:f>
        <x:v>15</x:v>
      </x:c>
      <x:c r="X433" s="41" t="n">
        <x:f>VLOOKUP("Benefits|"&amp;IF(AND(ISNUMBER(H433),H433&gt;0,ISNUMBER(G433),G433&gt;0),IF(H433/G433&gt;='Score settings'!$E$17,"3plus",IF(H433/G433&gt;='Score settings'!$E$16,"1.5to3",IF(H433/G433&gt;='Score settings'!$E$15,"0.5to1.5","positive"))),"None"),'Score settings'!$A$14:$C$43,2,FALSE)/'Score settings'!$B$7*'Score settings'!$C$7</x:f>
        <x:v>5</x:v>
      </x:c>
      <x:c r="Y433" s="41" t="n">
        <x:f>VLOOKUP("Waste|"&amp;R433,'Score settings'!$A$14:$C$43,2,FALSE)/'Score settings'!$B$8*'Score settings'!$C$8</x:f>
        <x:v>15</x:v>
      </x:c>
      <x:c r="Z433" s="41" t="n">
        <x:f>IF(B433="","",SUM(U433:Y433))</x:f>
        <x:v>68</x:v>
      </x:c>
      <x:c r="AA433" s="41" t="str">
        <x:f>IF(Z433="","Not scored",VLOOKUP(Z433,'Score settings'!$A$47:$C$50,2,TRUE))</x:f>
        <x:v>Protected</x:v>
      </x:c>
      <x:c r="AB433" s="41" t="n">
        <x:f>VLOOKUP("Priority|"&amp;O433,'Score settings'!$A$14:$C$43,3,FALSE)/'Score settings'!$B$4*'Score settings'!$D$4</x:f>
        <x:v>15</x:v>
      </x:c>
      <x:c r="AC433" s="41" t="n">
        <x:f>VLOOKUP("Category|"&amp;P433,'Score settings'!$A$14:$C$43,3,FALSE)/'Score settings'!$B$5*'Score settings'!$D$5</x:f>
        <x:v>4</x:v>
      </x:c>
      <x:c r="AD433" s="41" t="n">
        <x:f>VLOOKUP("Area|"&amp;Q433,'Score settings'!$A$14:$C$43,3,FALSE)/'Score settings'!$B$6*'Score settings'!$D$6</x:f>
        <x:v>10</x:v>
      </x:c>
      <x:c r="AE433" s="41" t="n">
        <x:f>VLOOKUP("Benefits|"&amp;IF(AND(ISNUMBER(K433),K433&gt;0,ISNUMBER(G433),G433&gt;0),IF(K433/G433&gt;='Score settings'!$E$17,"3plus",IF(K433/G433&gt;='Score settings'!$E$16,"1.5to3",IF(K433/G433&gt;='Score settings'!$E$15,"0.5to1.5","positive"))),"None"),'Score settings'!$A$14:$C$43,3,FALSE)/'Score settings'!$B$7*'Score settings'!$D$7</x:f>
        <x:v>0</x:v>
      </x:c>
      <x:c r="AF433" s="41" t="n">
        <x:f>VLOOKUP("Waste|"&amp;R433,'Score settings'!$A$14:$C$43,3,FALSE)/'Score settings'!$B$8*'Score settings'!$D$8</x:f>
        <x:v>10</x:v>
      </x:c>
      <x:c r="AG433" s="41" t="n">
        <x:f>(IF(AND(ISNUMBER(M433),M433&gt;0,ISNUMBER(G433),G433&gt;0),IF(M433/G433&gt;='Score settings'!$E$17,'Score settings'!$G$17,IF(M433/G433&gt;='Score settings'!$E$16,'Score settings'!$G$16,IF(M433/G433&gt;='Score settings'!$E$15,'Score settings'!$G$15,'Score settings'!$G$14))),0)/15*'Score settings'!$B$60+IFERROR(VLOOKUP(IF(ISNUMBER(N433),N433,IF(ISNUMBER(L433),L433,0)),'Score settings'!$E$22:$F$26,2,FALSE),0)/10*'Score settings'!$B$61)/'Score settings'!$B$9*'Score settings'!$D$9</x:f>
        <x:v>0</x:v>
      </x:c>
      <x:c r="AH433" s="41" t="n">
        <x:f>IF(B433="","",SUM(AB433:AG433))</x:f>
        <x:v>39</x:v>
      </x:c>
      <x:c r="AI433" s="41" t="str">
        <x:f>IF(NOT(ISNUMBER(AH433)),"Not scored",VLOOKUP(AH433,'Score settings'!$A$47:$C$50,3,TRUE))</x:f>
        <x:v>Discretionary</x:v>
      </x:c>
      <x:c r="AJ433" s="42" t="n">
        <x:f>IF(OR(NOT(ISNUMBER(AH433)),T433&lt;&gt;"Common pot"),"",COUNTIFS($T$4:$T$509,"Common pot",$AH$4:$AH$509,"&gt;"&amp;AH433)+1)</x:f>
        <x:v>107</x:v>
      </x:c>
      <x:c r="AK433" s="36" t="str">
        <x:f>IF(B433="","Name missing - not scored",IF(OR(NOT(ISNUMBER(G433)),G433&lt;=0),"Investment missing or zero - review",IF(0=1,"Permanent ID missing - reconcile",IF(AND(ISNUMBER(H433),H433/G433&gt;='Score settings'!$B$58,NOT(ISNUMBER(I433))),"Benefit units need review",IF(OR(R433="EXIT",R433="CHALLENGE"),"Waste decision requires scope resolution",IF("Name and organisation matched"&lt;&gt;"Name and organisation matched","Waste evidence match needs review","Provisional source score - confirm evidence"))))))</x:f>
        <x:v>Provisional source score - confirm evidence</x:v>
      </x:c>
      <x:c r="AL433" s="36"/>
      <x:c r="AM433" s="40"/>
      <x:c r="AN433" s="39"/>
      <x:c r="AO433" s="40"/>
      <x:c r="AP433" s="40"/>
    </x:row>
    <x:row r="434" ht="15" hidden="0" customHeight="1">
      <x:c r="A434" s="36" t="str">
        <x:v>EW-112</x:v>
      </x:c>
      <x:c r="B434" s="37" t="str">
        <x:v>Org Effectiveness </x:v>
      </x:c>
      <x:c r="C434" s="36" t="str">
        <x:v>EW</x:v>
      </x:c>
      <x:c r="D434" s="36" t="str">
        <x:v>People function​</x:v>
      </x:c>
      <x:c r="E434" s="38" t="n">
        <x:v>0.5</x:v>
      </x:c>
      <x:c r="F434" s="39"/>
      <x:c r="G434" s="38" t="n">
        <x:f>IF(ISNUMBER(F434),F434,IF(E434="","",E434))</x:f>
        <x:v>0.5</x:v>
      </x:c>
      <x:c r="H434" s="38"/>
      <x:c r="I434" s="39"/>
      <x:c r="J434" s="36" t="str">
        <x:v>Cash savings</x:v>
      </x:c>
      <x:c r="K434" s="38" t="str">
        <x:f>IF(ISNUMBER(I434),I434,IF(OR(NOT(ISNUMBER(H434)),NOT(ISNUMBER(G434)),G434&lt;=0),"",IF(H434/G434&gt;='Score settings'!$B$58,"",IF(J434="Cash savings",H434,IF(J434="Revenue",H434*'Score settings'!$B$55,"")))))</x:f>
      </x:c>
      <x:c r="L434" s="36"/>
      <x:c r="M434" s="39"/>
      <x:c r="N434" s="40"/>
      <x:c r="O434" s="36" t="str">
        <x:v>Must Have</x:v>
      </x:c>
      <x:c r="P434" s="36" t="str">
        <x:v>CI</x:v>
      </x:c>
      <x:c r="Q434" s="36" t="str">
        <x:v>ProcSimp</x:v>
      </x:c>
      <x:c r="R434" s="36" t="str">
        <x:v>HEALTHY</x:v>
      </x:c>
      <x:c r="S434" s="36" t="str"/>
      <x:c r="T434" s="36" t="str">
        <x:v>Common pot</x:v>
      </x:c>
      <x:c r="U434" s="41" t="n">
        <x:f>VLOOKUP("Priority|"&amp;O434,'Score settings'!$A$14:$C$43,2,FALSE)/'Score settings'!$B$4*'Score settings'!$C$4</x:f>
        <x:v>18</x:v>
      </x:c>
      <x:c r="V434" s="41" t="n">
        <x:f>VLOOKUP("Category|"&amp;P434,'Score settings'!$A$14:$C$43,2,FALSE)/'Score settings'!$B$5*'Score settings'!$C$5</x:f>
        <x:v>8</x:v>
      </x:c>
      <x:c r="W434" s="41" t="n">
        <x:f>VLOOKUP("Area|"&amp;Q434,'Score settings'!$A$14:$C$43,2,FALSE)/'Score settings'!$B$6*'Score settings'!$C$6</x:f>
        <x:v>12</x:v>
      </x:c>
      <x:c r="X434" s="41" t="n">
        <x:f>VLOOKUP("Benefits|"&amp;IF(AND(ISNUMBER(H434),H434&gt;0,ISNUMBER(G434),G434&gt;0),IF(H434/G434&gt;='Score settings'!$E$17,"3plus",IF(H434/G434&gt;='Score settings'!$E$16,"1.5to3",IF(H434/G434&gt;='Score settings'!$E$15,"0.5to1.5","positive"))),"None"),'Score settings'!$A$14:$C$43,2,FALSE)/'Score settings'!$B$7*'Score settings'!$C$7</x:f>
        <x:v>5</x:v>
      </x:c>
      <x:c r="Y434" s="41" t="n">
        <x:f>VLOOKUP("Waste|"&amp;R434,'Score settings'!$A$14:$C$43,2,FALSE)/'Score settings'!$B$8*'Score settings'!$C$8</x:f>
        <x:v>15</x:v>
      </x:c>
      <x:c r="Z434" s="41" t="n">
        <x:f>IF(B434="","",SUM(U434:Y434))</x:f>
        <x:v>58</x:v>
      </x:c>
      <x:c r="AA434" s="41" t="str">
        <x:f>IF(Z434="","Not scored",VLOOKUP(Z434,'Score settings'!$A$47:$C$50,2,TRUE))</x:f>
        <x:v>Strong</x:v>
      </x:c>
      <x:c r="AB434" s="41" t="n">
        <x:f>VLOOKUP("Priority|"&amp;O434,'Score settings'!$A$14:$C$43,3,FALSE)/'Score settings'!$B$4*'Score settings'!$D$4</x:f>
        <x:v>10.799999999999999</x:v>
      </x:c>
      <x:c r="AC434" s="41" t="n">
        <x:f>VLOOKUP("Category|"&amp;P434,'Score settings'!$A$14:$C$43,3,FALSE)/'Score settings'!$B$5*'Score settings'!$D$5</x:f>
        <x:v>4</x:v>
      </x:c>
      <x:c r="AD434" s="41" t="n">
        <x:f>VLOOKUP("Area|"&amp;Q434,'Score settings'!$A$14:$C$43,3,FALSE)/'Score settings'!$B$6*'Score settings'!$D$6</x:f>
        <x:v>8</x:v>
      </x:c>
      <x:c r="AE434" s="41" t="n">
        <x:f>VLOOKUP("Benefits|"&amp;IF(AND(ISNUMBER(K434),K434&gt;0,ISNUMBER(G434),G434&gt;0),IF(K434/G434&gt;='Score settings'!$E$17,"3plus",IF(K434/G434&gt;='Score settings'!$E$16,"1.5to3",IF(K434/G434&gt;='Score settings'!$E$15,"0.5to1.5","positive"))),"None"),'Score settings'!$A$14:$C$43,3,FALSE)/'Score settings'!$B$7*'Score settings'!$D$7</x:f>
        <x:v>0</x:v>
      </x:c>
      <x:c r="AF434" s="41" t="n">
        <x:f>VLOOKUP("Waste|"&amp;R434,'Score settings'!$A$14:$C$43,3,FALSE)/'Score settings'!$B$8*'Score settings'!$D$8</x:f>
        <x:v>10</x:v>
      </x:c>
      <x:c r="AG434" s="41" t="n">
        <x:f>(IF(AND(ISNUMBER(M434),M434&gt;0,ISNUMBER(G434),G434&gt;0),IF(M434/G434&gt;='Score settings'!$E$17,'Score settings'!$G$17,IF(M434/G434&gt;='Score settings'!$E$16,'Score settings'!$G$16,IF(M434/G434&gt;='Score settings'!$E$15,'Score settings'!$G$15,'Score settings'!$G$14))),0)/15*'Score settings'!$B$60+IFERROR(VLOOKUP(IF(ISNUMBER(N434),N434,IF(ISNUMBER(L434),L434,0)),'Score settings'!$E$22:$F$26,2,FALSE),0)/10*'Score settings'!$B$61)/'Score settings'!$B$9*'Score settings'!$D$9</x:f>
        <x:v>0</x:v>
      </x:c>
      <x:c r="AH434" s="41" t="n">
        <x:f>IF(B434="","",SUM(AB434:AG434))</x:f>
        <x:v>32.8</x:v>
      </x:c>
      <x:c r="AI434" s="41" t="str">
        <x:f>IF(NOT(ISNUMBER(AH434)),"Not scored",VLOOKUP(AH434,'Score settings'!$A$47:$C$50,3,TRUE))</x:f>
        <x:v>Discretionary</x:v>
      </x:c>
      <x:c r="AJ434" s="42" t="n">
        <x:f>IF(OR(NOT(ISNUMBER(AH434)),T434&lt;&gt;"Common pot"),"",COUNTIFS($T$4:$T$509,"Common pot",$AH$4:$AH$509,"&gt;"&amp;AH434)+1)</x:f>
        <x:v>164</x:v>
      </x:c>
      <x:c r="AK434" s="36" t="str">
        <x:f>IF(B434="","Name missing - not scored",IF(OR(NOT(ISNUMBER(G434)),G434&lt;=0),"Investment missing or zero - review",IF(0=1,"Permanent ID missing - reconcile",IF(AND(ISNUMBER(H434),H434/G434&gt;='Score settings'!$B$58,NOT(ISNUMBER(I434))),"Benefit units need review",IF(OR(R434="EXIT",R434="CHALLENGE"),"Waste decision requires scope resolution",IF("Name and organisation matched"&lt;&gt;"Name and organisation matched","Waste evidence match needs review","Provisional source score - confirm evidence"))))))</x:f>
        <x:v>Provisional source score - confirm evidence</x:v>
      </x:c>
      <x:c r="AL434" s="36"/>
      <x:c r="AM434" s="40"/>
      <x:c r="AN434" s="39"/>
      <x:c r="AO434" s="40"/>
      <x:c r="AP434" s="40"/>
    </x:row>
    <x:row r="435" ht="15" hidden="0" customHeight="1">
      <x:c r="A435" s="36" t="str">
        <x:v>EW-113</x:v>
      </x:c>
      <x:c r="B435" s="37" t="str">
        <x:v>Content (PRX merge into PCP)</x:v>
      </x:c>
      <x:c r="C435" s="36" t="str">
        <x:v>EW</x:v>
      </x:c>
      <x:c r="D435" s="36" t="str">
        <x:v>Information Technology ​</x:v>
      </x:c>
      <x:c r="E435" s="38" t="n">
        <x:v>0.3</x:v>
      </x:c>
      <x:c r="F435" s="39"/>
      <x:c r="G435" s="38" t="n">
        <x:f>IF(ISNUMBER(F435),F435,IF(E435="","",E435))</x:f>
        <x:v>0.3</x:v>
      </x:c>
      <x:c r="H435" s="38"/>
      <x:c r="I435" s="39"/>
      <x:c r="J435" s="36" t="str">
        <x:v>Cash savings</x:v>
      </x:c>
      <x:c r="K435" s="38" t="str">
        <x:f>IF(ISNUMBER(I435),I435,IF(OR(NOT(ISNUMBER(H435)),NOT(ISNUMBER(G435)),G435&lt;=0),"",IF(H435/G435&gt;='Score settings'!$B$58,"",IF(J435="Cash savings",H435,IF(J435="Revenue",H435*'Score settings'!$B$55,"")))))</x:f>
      </x:c>
      <x:c r="L435" s="36"/>
      <x:c r="M435" s="39"/>
      <x:c r="N435" s="40"/>
      <x:c r="O435" s="36" t="str">
        <x:v>Must Do</x:v>
      </x:c>
      <x:c r="P435" s="36" t="str">
        <x:v>Decomm</x:v>
      </x:c>
      <x:c r="Q435" s="36" t="str">
        <x:v>Productivity</x:v>
      </x:c>
      <x:c r="R435" s="36" t="str">
        <x:v>HEALTHY</x:v>
      </x:c>
      <x:c r="S435" s="36" t="str"/>
      <x:c r="T435" s="36" t="str">
        <x:v>Common pot</x:v>
      </x:c>
      <x:c r="U435" s="41" t="n">
        <x:f>VLOOKUP("Priority|"&amp;O435,'Score settings'!$A$14:$C$43,2,FALSE)/'Score settings'!$B$4*'Score settings'!$C$4</x:f>
        <x:v>25</x:v>
      </x:c>
      <x:c r="V435" s="41" t="n">
        <x:f>VLOOKUP("Category|"&amp;P435,'Score settings'!$A$14:$C$43,2,FALSE)/'Score settings'!$B$5*'Score settings'!$C$5</x:f>
        <x:v>17</x:v>
      </x:c>
      <x:c r="W435" s="41" t="n">
        <x:f>VLOOKUP("Area|"&amp;Q435,'Score settings'!$A$14:$C$43,2,FALSE)/'Score settings'!$B$6*'Score settings'!$C$6</x:f>
        <x:v>10</x:v>
      </x:c>
      <x:c r="X435" s="41" t="n">
        <x:f>VLOOKUP("Benefits|"&amp;IF(AND(ISNUMBER(H435),H435&gt;0,ISNUMBER(G435),G435&gt;0),IF(H435/G435&gt;='Score settings'!$E$17,"3plus",IF(H435/G435&gt;='Score settings'!$E$16,"1.5to3",IF(H435/G435&gt;='Score settings'!$E$15,"0.5to1.5","positive"))),"None"),'Score settings'!$A$14:$C$43,2,FALSE)/'Score settings'!$B$7*'Score settings'!$C$7</x:f>
        <x:v>5</x:v>
      </x:c>
      <x:c r="Y435" s="41" t="n">
        <x:f>VLOOKUP("Waste|"&amp;R435,'Score settings'!$A$14:$C$43,2,FALSE)/'Score settings'!$B$8*'Score settings'!$C$8</x:f>
        <x:v>15</x:v>
      </x:c>
      <x:c r="Z435" s="41" t="n">
        <x:f>IF(B435="","",SUM(U435:Y435))</x:f>
        <x:v>72</x:v>
      </x:c>
      <x:c r="AA435" s="41" t="str">
        <x:f>IF(Z435="","Not scored",VLOOKUP(Z435,'Score settings'!$A$47:$C$50,2,TRUE))</x:f>
        <x:v>Protected</x:v>
      </x:c>
      <x:c r="AB435" s="41" t="n">
        <x:f>VLOOKUP("Priority|"&amp;O435,'Score settings'!$A$14:$C$43,3,FALSE)/'Score settings'!$B$4*'Score settings'!$D$4</x:f>
        <x:v>15</x:v>
      </x:c>
      <x:c r="AC435" s="41" t="n">
        <x:f>VLOOKUP("Category|"&amp;P435,'Score settings'!$A$14:$C$43,3,FALSE)/'Score settings'!$B$5*'Score settings'!$D$5</x:f>
        <x:v>8.5</x:v>
      </x:c>
      <x:c r="AD435" s="41" t="n">
        <x:f>VLOOKUP("Area|"&amp;Q435,'Score settings'!$A$14:$C$43,3,FALSE)/'Score settings'!$B$6*'Score settings'!$D$6</x:f>
        <x:v>6.666666666666666</x:v>
      </x:c>
      <x:c r="AE435" s="41" t="n">
        <x:f>VLOOKUP("Benefits|"&amp;IF(AND(ISNUMBER(K435),K435&gt;0,ISNUMBER(G435),G435&gt;0),IF(K435/G435&gt;='Score settings'!$E$17,"3plus",IF(K435/G435&gt;='Score settings'!$E$16,"1.5to3",IF(K435/G435&gt;='Score settings'!$E$15,"0.5to1.5","positive"))),"None"),'Score settings'!$A$14:$C$43,3,FALSE)/'Score settings'!$B$7*'Score settings'!$D$7</x:f>
        <x:v>0</x:v>
      </x:c>
      <x:c r="AF435" s="41" t="n">
        <x:f>VLOOKUP("Waste|"&amp;R435,'Score settings'!$A$14:$C$43,3,FALSE)/'Score settings'!$B$8*'Score settings'!$D$8</x:f>
        <x:v>10</x:v>
      </x:c>
      <x:c r="AG435" s="41" t="n">
        <x:f>(IF(AND(ISNUMBER(M435),M435&gt;0,ISNUMBER(G435),G435&gt;0),IF(M435/G435&gt;='Score settings'!$E$17,'Score settings'!$G$17,IF(M435/G435&gt;='Score settings'!$E$16,'Score settings'!$G$16,IF(M435/G435&gt;='Score settings'!$E$15,'Score settings'!$G$15,'Score settings'!$G$14))),0)/15*'Score settings'!$B$60+IFERROR(VLOOKUP(IF(ISNUMBER(N435),N435,IF(ISNUMBER(L435),L435,0)),'Score settings'!$E$22:$F$26,2,FALSE),0)/10*'Score settings'!$B$61)/'Score settings'!$B$9*'Score settings'!$D$9</x:f>
        <x:v>0</x:v>
      </x:c>
      <x:c r="AH435" s="41" t="n">
        <x:f>IF(B435="","",SUM(AB435:AG435))</x:f>
        <x:v>40.166666666666664</x:v>
      </x:c>
      <x:c r="AI435" s="41" t="str">
        <x:f>IF(NOT(ISNUMBER(AH435)),"Not scored",VLOOKUP(AH435,'Score settings'!$A$47:$C$50,3,TRUE))</x:f>
        <x:v>Discretionary</x:v>
      </x:c>
      <x:c r="AJ435" s="42" t="n">
        <x:f>IF(OR(NOT(ISNUMBER(AH435)),T435&lt;&gt;"Common pot"),"",COUNTIFS($T$4:$T$509,"Common pot",$AH$4:$AH$509,"&gt;"&amp;AH435)+1)</x:f>
        <x:v>96</x:v>
      </x:c>
      <x:c r="AK435" s="36" t="str">
        <x:f>IF(B435="","Name missing - not scored",IF(OR(NOT(ISNUMBER(G435)),G435&lt;=0),"Investment missing or zero - review",IF(0=1,"Permanent ID missing - reconcile",IF(AND(ISNUMBER(H435),H435/G435&gt;='Score settings'!$B$58,NOT(ISNUMBER(I435))),"Benefit units need review",IF(OR(R435="EXIT",R435="CHALLENGE"),"Waste decision requires scope resolution",IF("Name and organisation matched"&lt;&gt;"Name and organisation matched","Waste evidence match needs review","Provisional source score - confirm evidence"))))))</x:f>
        <x:v>Provisional source score - confirm evidence</x:v>
      </x:c>
      <x:c r="AL435" s="36"/>
      <x:c r="AM435" s="40"/>
      <x:c r="AN435" s="39"/>
      <x:c r="AO435" s="40"/>
      <x:c r="AP435" s="40"/>
    </x:row>
    <x:row r="436" ht="15" hidden="0" customHeight="1">
      <x:c r="A436" s="36" t="str">
        <x:v>EW-114</x:v>
      </x:c>
      <x:c r="B436" s="37" t="str">
        <x:v>CPQ/CLM Replatforming Capability Development</x:v>
      </x:c>
      <x:c r="C436" s="36" t="str">
        <x:v>EW</x:v>
      </x:c>
      <x:c r="D436" s="36" t="str">
        <x:v>Information Technology ​</x:v>
      </x:c>
      <x:c r="E436" s="38" t="n">
        <x:v>1.8</x:v>
      </x:c>
      <x:c r="F436" s="39"/>
      <x:c r="G436" s="38" t="n">
        <x:f>IF(ISNUMBER(F436),F436,IF(E436="","",E436))</x:f>
        <x:v>1.8</x:v>
      </x:c>
      <x:c r="H436" s="38"/>
      <x:c r="I436" s="39"/>
      <x:c r="J436" s="36" t="str">
        <x:v>Cash savings</x:v>
      </x:c>
      <x:c r="K436" s="38" t="str">
        <x:f>IF(ISNUMBER(I436),I436,IF(OR(NOT(ISNUMBER(H436)),NOT(ISNUMBER(G436)),G436&lt;=0),"",IF(H436/G436&gt;='Score settings'!$B$58,"",IF(J436="Cash savings",H436,IF(J436="Revenue",H436*'Score settings'!$B$55,"")))))</x:f>
      </x:c>
      <x:c r="L436" s="36"/>
      <x:c r="M436" s="39"/>
      <x:c r="N436" s="40"/>
      <x:c r="O436" s="36" t="str">
        <x:v>Must Do</x:v>
      </x:c>
      <x:c r="P436" s="36" t="str">
        <x:v>NewTech</x:v>
      </x:c>
      <x:c r="Q436" s="36" t="str">
        <x:v>ProcSimp</x:v>
      </x:c>
      <x:c r="R436" s="36" t="str">
        <x:v>HEALTHY</x:v>
      </x:c>
      <x:c r="S436" s="36" t="str"/>
      <x:c r="T436" s="36" t="str">
        <x:v>Common pot</x:v>
      </x:c>
      <x:c r="U436" s="41" t="n">
        <x:f>VLOOKUP("Priority|"&amp;O436,'Score settings'!$A$14:$C$43,2,FALSE)/'Score settings'!$B$4*'Score settings'!$C$4</x:f>
        <x:v>25</x:v>
      </x:c>
      <x:c r="V436" s="41" t="n">
        <x:f>VLOOKUP("Category|"&amp;P436,'Score settings'!$A$14:$C$43,2,FALSE)/'Score settings'!$B$5*'Score settings'!$C$5</x:f>
        <x:v>5</x:v>
      </x:c>
      <x:c r="W436" s="41" t="n">
        <x:f>VLOOKUP("Area|"&amp;Q436,'Score settings'!$A$14:$C$43,2,FALSE)/'Score settings'!$B$6*'Score settings'!$C$6</x:f>
        <x:v>12</x:v>
      </x:c>
      <x:c r="X436" s="41" t="n">
        <x:f>VLOOKUP("Benefits|"&amp;IF(AND(ISNUMBER(H436),H436&gt;0,ISNUMBER(G436),G436&gt;0),IF(H436/G436&gt;='Score settings'!$E$17,"3plus",IF(H436/G436&gt;='Score settings'!$E$16,"1.5to3",IF(H436/G436&gt;='Score settings'!$E$15,"0.5to1.5","positive"))),"None"),'Score settings'!$A$14:$C$43,2,FALSE)/'Score settings'!$B$7*'Score settings'!$C$7</x:f>
        <x:v>5</x:v>
      </x:c>
      <x:c r="Y436" s="41" t="n">
        <x:f>VLOOKUP("Waste|"&amp;R436,'Score settings'!$A$14:$C$43,2,FALSE)/'Score settings'!$B$8*'Score settings'!$C$8</x:f>
        <x:v>15</x:v>
      </x:c>
      <x:c r="Z436" s="41" t="n">
        <x:f>IF(B436="","",SUM(U436:Y436))</x:f>
        <x:v>62</x:v>
      </x:c>
      <x:c r="AA436" s="41" t="str">
        <x:f>IF(Z436="","Not scored",VLOOKUP(Z436,'Score settings'!$A$47:$C$50,2,TRUE))</x:f>
        <x:v>Strong</x:v>
      </x:c>
      <x:c r="AB436" s="41" t="n">
        <x:f>VLOOKUP("Priority|"&amp;O436,'Score settings'!$A$14:$C$43,3,FALSE)/'Score settings'!$B$4*'Score settings'!$D$4</x:f>
        <x:v>15</x:v>
      </x:c>
      <x:c r="AC436" s="41" t="n">
        <x:f>VLOOKUP("Category|"&amp;P436,'Score settings'!$A$14:$C$43,3,FALSE)/'Score settings'!$B$5*'Score settings'!$D$5</x:f>
        <x:v>2.5</x:v>
      </x:c>
      <x:c r="AD436" s="41" t="n">
        <x:f>VLOOKUP("Area|"&amp;Q436,'Score settings'!$A$14:$C$43,3,FALSE)/'Score settings'!$B$6*'Score settings'!$D$6</x:f>
        <x:v>8</x:v>
      </x:c>
      <x:c r="AE436" s="41" t="n">
        <x:f>VLOOKUP("Benefits|"&amp;IF(AND(ISNUMBER(K436),K436&gt;0,ISNUMBER(G436),G436&gt;0),IF(K436/G436&gt;='Score settings'!$E$17,"3plus",IF(K436/G436&gt;='Score settings'!$E$16,"1.5to3",IF(K436/G436&gt;='Score settings'!$E$15,"0.5to1.5","positive"))),"None"),'Score settings'!$A$14:$C$43,3,FALSE)/'Score settings'!$B$7*'Score settings'!$D$7</x:f>
        <x:v>0</x:v>
      </x:c>
      <x:c r="AF436" s="41" t="n">
        <x:f>VLOOKUP("Waste|"&amp;R436,'Score settings'!$A$14:$C$43,3,FALSE)/'Score settings'!$B$8*'Score settings'!$D$8</x:f>
        <x:v>10</x:v>
      </x:c>
      <x:c r="AG436" s="41" t="n">
        <x:f>(IF(AND(ISNUMBER(M436),M436&gt;0,ISNUMBER(G436),G436&gt;0),IF(M436/G436&gt;='Score settings'!$E$17,'Score settings'!$G$17,IF(M436/G436&gt;='Score settings'!$E$16,'Score settings'!$G$16,IF(M436/G436&gt;='Score settings'!$E$15,'Score settings'!$G$15,'Score settings'!$G$14))),0)/15*'Score settings'!$B$60+IFERROR(VLOOKUP(IF(ISNUMBER(N436),N436,IF(ISNUMBER(L436),L436,0)),'Score settings'!$E$22:$F$26,2,FALSE),0)/10*'Score settings'!$B$61)/'Score settings'!$B$9*'Score settings'!$D$9</x:f>
        <x:v>0</x:v>
      </x:c>
      <x:c r="AH436" s="41" t="n">
        <x:f>IF(B436="","",SUM(AB436:AG436))</x:f>
        <x:v>35.5</x:v>
      </x:c>
      <x:c r="AI436" s="41" t="str">
        <x:f>IF(NOT(ISNUMBER(AH436)),"Not scored",VLOOKUP(AH436,'Score settings'!$A$47:$C$50,3,TRUE))</x:f>
        <x:v>Discretionary</x:v>
      </x:c>
      <x:c r="AJ436" s="42" t="n">
        <x:f>IF(OR(NOT(ISNUMBER(AH436)),T436&lt;&gt;"Common pot"),"",COUNTIFS($T$4:$T$509,"Common pot",$AH$4:$AH$509,"&gt;"&amp;AH436)+1)</x:f>
        <x:v>135</x:v>
      </x:c>
      <x:c r="AK436" s="36" t="str">
        <x:f>IF(B436="","Name missing - not scored",IF(OR(NOT(ISNUMBER(G436)),G436&lt;=0),"Investment missing or zero - review",IF(0=1,"Permanent ID missing - reconcile",IF(AND(ISNUMBER(H436),H436/G436&gt;='Score settings'!$B$58,NOT(ISNUMBER(I436))),"Benefit units need review",IF(OR(R436="EXIT",R436="CHALLENGE"),"Waste decision requires scope resolution",IF("Name and organisation matched"&lt;&gt;"Name and organisation matched","Waste evidence match needs review","Provisional source score - confirm evidence"))))))</x:f>
        <x:v>Provisional source score - confirm evidence</x:v>
      </x:c>
      <x:c r="AL436" s="36"/>
      <x:c r="AM436" s="40"/>
      <x:c r="AN436" s="39"/>
      <x:c r="AO436" s="40"/>
      <x:c r="AP436" s="40"/>
    </x:row>
    <x:row r="437" ht="15" hidden="0" customHeight="1">
      <x:c r="A437" s="36" t="str">
        <x:v>EW-115</x:v>
      </x:c>
      <x:c r="B437" s="37" t="str">
        <x:v>RFP.ai</x:v>
      </x:c>
      <x:c r="C437" s="36" t="str">
        <x:v>EW</x:v>
      </x:c>
      <x:c r="D437" s="36" t="str">
        <x:v>Information Technology ​</x:v>
      </x:c>
      <x:c r="E437" s="38" t="n">
        <x:v>0.5</x:v>
      </x:c>
      <x:c r="F437" s="39"/>
      <x:c r="G437" s="38" t="n">
        <x:f>IF(ISNUMBER(F437),F437,IF(E437="","",E437))</x:f>
        <x:v>0.5</x:v>
      </x:c>
      <x:c r="H437" s="38"/>
      <x:c r="I437" s="39"/>
      <x:c r="J437" s="36" t="str">
        <x:v>Cash savings</x:v>
      </x:c>
      <x:c r="K437" s="38" t="str">
        <x:f>IF(ISNUMBER(I437),I437,IF(OR(NOT(ISNUMBER(H437)),NOT(ISNUMBER(G437)),G437&lt;=0),"",IF(H437/G437&gt;='Score settings'!$B$58,"",IF(J437="Cash savings",H437,IF(J437="Revenue",H437*'Score settings'!$B$55,"")))))</x:f>
      </x:c>
      <x:c r="L437" s="36"/>
      <x:c r="M437" s="39"/>
      <x:c r="N437" s="40"/>
      <x:c r="O437" s="36" t="str">
        <x:v>Must Do</x:v>
      </x:c>
      <x:c r="P437" s="36" t="str">
        <x:v>AI</x:v>
      </x:c>
      <x:c r="Q437" s="36" t="str">
        <x:v>Productivity</x:v>
      </x:c>
      <x:c r="R437" s="36" t="str">
        <x:v>HEALTHY</x:v>
      </x:c>
      <x:c r="S437" s="36" t="str"/>
      <x:c r="T437" s="36" t="str">
        <x:v>Common pot</x:v>
      </x:c>
      <x:c r="U437" s="41" t="n">
        <x:f>VLOOKUP("Priority|"&amp;O437,'Score settings'!$A$14:$C$43,2,FALSE)/'Score settings'!$B$4*'Score settings'!$C$4</x:f>
        <x:v>25</x:v>
      </x:c>
      <x:c r="V437" s="41" t="n">
        <x:f>VLOOKUP("Category|"&amp;P437,'Score settings'!$A$14:$C$43,2,FALSE)/'Score settings'!$B$5*'Score settings'!$C$5</x:f>
        <x:v>16</x:v>
      </x:c>
      <x:c r="W437" s="41" t="n">
        <x:f>VLOOKUP("Area|"&amp;Q437,'Score settings'!$A$14:$C$43,2,FALSE)/'Score settings'!$B$6*'Score settings'!$C$6</x:f>
        <x:v>10</x:v>
      </x:c>
      <x:c r="X437" s="41" t="n">
        <x:f>VLOOKUP("Benefits|"&amp;IF(AND(ISNUMBER(H437),H437&gt;0,ISNUMBER(G437),G437&gt;0),IF(H437/G437&gt;='Score settings'!$E$17,"3plus",IF(H437/G437&gt;='Score settings'!$E$16,"1.5to3",IF(H437/G437&gt;='Score settings'!$E$15,"0.5to1.5","positive"))),"None"),'Score settings'!$A$14:$C$43,2,FALSE)/'Score settings'!$B$7*'Score settings'!$C$7</x:f>
        <x:v>5</x:v>
      </x:c>
      <x:c r="Y437" s="41" t="n">
        <x:f>VLOOKUP("Waste|"&amp;R437,'Score settings'!$A$14:$C$43,2,FALSE)/'Score settings'!$B$8*'Score settings'!$C$8</x:f>
        <x:v>15</x:v>
      </x:c>
      <x:c r="Z437" s="41" t="n">
        <x:f>IF(B437="","",SUM(U437:Y437))</x:f>
        <x:v>71</x:v>
      </x:c>
      <x:c r="AA437" s="41" t="str">
        <x:f>IF(Z437="","Not scored",VLOOKUP(Z437,'Score settings'!$A$47:$C$50,2,TRUE))</x:f>
        <x:v>Protected</x:v>
      </x:c>
      <x:c r="AB437" s="41" t="n">
        <x:f>VLOOKUP("Priority|"&amp;O437,'Score settings'!$A$14:$C$43,3,FALSE)/'Score settings'!$B$4*'Score settings'!$D$4</x:f>
        <x:v>15</x:v>
      </x:c>
      <x:c r="AC437" s="41" t="n">
        <x:f>VLOOKUP("Category|"&amp;P437,'Score settings'!$A$14:$C$43,3,FALSE)/'Score settings'!$B$5*'Score settings'!$D$5</x:f>
        <x:v>8</x:v>
      </x:c>
      <x:c r="AD437" s="41" t="n">
        <x:f>VLOOKUP("Area|"&amp;Q437,'Score settings'!$A$14:$C$43,3,FALSE)/'Score settings'!$B$6*'Score settings'!$D$6</x:f>
        <x:v>6.666666666666666</x:v>
      </x:c>
      <x:c r="AE437" s="41" t="n">
        <x:f>VLOOKUP("Benefits|"&amp;IF(AND(ISNUMBER(K437),K437&gt;0,ISNUMBER(G437),G437&gt;0),IF(K437/G437&gt;='Score settings'!$E$17,"3plus",IF(K437/G437&gt;='Score settings'!$E$16,"1.5to3",IF(K437/G437&gt;='Score settings'!$E$15,"0.5to1.5","positive"))),"None"),'Score settings'!$A$14:$C$43,3,FALSE)/'Score settings'!$B$7*'Score settings'!$D$7</x:f>
        <x:v>0</x:v>
      </x:c>
      <x:c r="AF437" s="41" t="n">
        <x:f>VLOOKUP("Waste|"&amp;R437,'Score settings'!$A$14:$C$43,3,FALSE)/'Score settings'!$B$8*'Score settings'!$D$8</x:f>
        <x:v>10</x:v>
      </x:c>
      <x:c r="AG437" s="41" t="n">
        <x:f>(IF(AND(ISNUMBER(M437),M437&gt;0,ISNUMBER(G437),G437&gt;0),IF(M437/G437&gt;='Score settings'!$E$17,'Score settings'!$G$17,IF(M437/G437&gt;='Score settings'!$E$16,'Score settings'!$G$16,IF(M437/G437&gt;='Score settings'!$E$15,'Score settings'!$G$15,'Score settings'!$G$14))),0)/15*'Score settings'!$B$60+IFERROR(VLOOKUP(IF(ISNUMBER(N437),N437,IF(ISNUMBER(L437),L437,0)),'Score settings'!$E$22:$F$26,2,FALSE),0)/10*'Score settings'!$B$61)/'Score settings'!$B$9*'Score settings'!$D$9</x:f>
        <x:v>0</x:v>
      </x:c>
      <x:c r="AH437" s="41" t="n">
        <x:f>IF(B437="","",SUM(AB437:AG437))</x:f>
        <x:v>39.666666666666664</x:v>
      </x:c>
      <x:c r="AI437" s="41" t="str">
        <x:f>IF(NOT(ISNUMBER(AH437)),"Not scored",VLOOKUP(AH437,'Score settings'!$A$47:$C$50,3,TRUE))</x:f>
        <x:v>Discretionary</x:v>
      </x:c>
      <x:c r="AJ437" s="42" t="n">
        <x:f>IF(OR(NOT(ISNUMBER(AH437)),T437&lt;&gt;"Common pot"),"",COUNTIFS($T$4:$T$509,"Common pot",$AH$4:$AH$509,"&gt;"&amp;AH437)+1)</x:f>
        <x:v>101</x:v>
      </x:c>
      <x:c r="AK437" s="36" t="str">
        <x:f>IF(B437="","Name missing - not scored",IF(OR(NOT(ISNUMBER(G437)),G437&lt;=0),"Investment missing or zero - review",IF(0=1,"Permanent ID missing - reconcile",IF(AND(ISNUMBER(H437),H437/G437&gt;='Score settings'!$B$58,NOT(ISNUMBER(I437))),"Benefit units need review",IF(OR(R437="EXIT",R437="CHALLENGE"),"Waste decision requires scope resolution",IF("Name and organisation matched"&lt;&gt;"Name and organisation matched","Waste evidence match needs review","Provisional source score - confirm evidence"))))))</x:f>
        <x:v>Provisional source score - confirm evidence</x:v>
      </x:c>
      <x:c r="AL437" s="36"/>
      <x:c r="AM437" s="40"/>
      <x:c r="AN437" s="39"/>
      <x:c r="AO437" s="40"/>
      <x:c r="AP437" s="40"/>
    </x:row>
    <x:row r="438" ht="15" hidden="0" customHeight="1">
      <x:c r="A438" s="36" t="str">
        <x:v>EW-116</x:v>
      </x:c>
      <x:c r="B438" s="37" t="str">
        <x:v>Installbase and Quoting AI Productivity - NAM</x:v>
      </x:c>
      <x:c r="C438" s="36" t="str">
        <x:v>EW</x:v>
      </x:c>
      <x:c r="D438" s="36" t="str">
        <x:v>Information Technology ​</x:v>
      </x:c>
      <x:c r="E438" s="38" t="n">
        <x:v>0.5</x:v>
      </x:c>
      <x:c r="F438" s="39"/>
      <x:c r="G438" s="38" t="n">
        <x:f>IF(ISNUMBER(F438),F438,IF(E438="","",E438))</x:f>
        <x:v>0.5</x:v>
      </x:c>
      <x:c r="H438" s="38"/>
      <x:c r="I438" s="39"/>
      <x:c r="J438" s="36" t="str">
        <x:v>Cash savings</x:v>
      </x:c>
      <x:c r="K438" s="38" t="str">
        <x:f>IF(ISNUMBER(I438),I438,IF(OR(NOT(ISNUMBER(H438)),NOT(ISNUMBER(G438)),G438&lt;=0),"",IF(H438/G438&gt;='Score settings'!$B$58,"",IF(J438="Cash savings",H438,IF(J438="Revenue",H438*'Score settings'!$B$55,"")))))</x:f>
      </x:c>
      <x:c r="L438" s="36"/>
      <x:c r="M438" s="39"/>
      <x:c r="N438" s="40"/>
      <x:c r="O438" s="36" t="str">
        <x:v>Must Have</x:v>
      </x:c>
      <x:c r="P438" s="36" t="str">
        <x:v>AI</x:v>
      </x:c>
      <x:c r="Q438" s="36" t="str">
        <x:v>Productivity</x:v>
      </x:c>
      <x:c r="R438" s="36" t="str">
        <x:v>HEALTHY</x:v>
      </x:c>
      <x:c r="S438" s="36" t="str"/>
      <x:c r="T438" s="36" t="str">
        <x:v>Common pot</x:v>
      </x:c>
      <x:c r="U438" s="41" t="n">
        <x:f>VLOOKUP("Priority|"&amp;O438,'Score settings'!$A$14:$C$43,2,FALSE)/'Score settings'!$B$4*'Score settings'!$C$4</x:f>
        <x:v>18</x:v>
      </x:c>
      <x:c r="V438" s="41" t="n">
        <x:f>VLOOKUP("Category|"&amp;P438,'Score settings'!$A$14:$C$43,2,FALSE)/'Score settings'!$B$5*'Score settings'!$C$5</x:f>
        <x:v>16</x:v>
      </x:c>
      <x:c r="W438" s="41" t="n">
        <x:f>VLOOKUP("Area|"&amp;Q438,'Score settings'!$A$14:$C$43,2,FALSE)/'Score settings'!$B$6*'Score settings'!$C$6</x:f>
        <x:v>10</x:v>
      </x:c>
      <x:c r="X438" s="41" t="n">
        <x:f>VLOOKUP("Benefits|"&amp;IF(AND(ISNUMBER(H438),H438&gt;0,ISNUMBER(G438),G438&gt;0),IF(H438/G438&gt;='Score settings'!$E$17,"3plus",IF(H438/G438&gt;='Score settings'!$E$16,"1.5to3",IF(H438/G438&gt;='Score settings'!$E$15,"0.5to1.5","positive"))),"None"),'Score settings'!$A$14:$C$43,2,FALSE)/'Score settings'!$B$7*'Score settings'!$C$7</x:f>
        <x:v>5</x:v>
      </x:c>
      <x:c r="Y438" s="41" t="n">
        <x:f>VLOOKUP("Waste|"&amp;R438,'Score settings'!$A$14:$C$43,2,FALSE)/'Score settings'!$B$8*'Score settings'!$C$8</x:f>
        <x:v>15</x:v>
      </x:c>
      <x:c r="Z438" s="41" t="n">
        <x:f>IF(B438="","",SUM(U438:Y438))</x:f>
        <x:v>64</x:v>
      </x:c>
      <x:c r="AA438" s="41" t="str">
        <x:f>IF(Z438="","Not scored",VLOOKUP(Z438,'Score settings'!$A$47:$C$50,2,TRUE))</x:f>
        <x:v>Strong</x:v>
      </x:c>
      <x:c r="AB438" s="41" t="n">
        <x:f>VLOOKUP("Priority|"&amp;O438,'Score settings'!$A$14:$C$43,3,FALSE)/'Score settings'!$B$4*'Score settings'!$D$4</x:f>
        <x:v>10.799999999999999</x:v>
      </x:c>
      <x:c r="AC438" s="41" t="n">
        <x:f>VLOOKUP("Category|"&amp;P438,'Score settings'!$A$14:$C$43,3,FALSE)/'Score settings'!$B$5*'Score settings'!$D$5</x:f>
        <x:v>8</x:v>
      </x:c>
      <x:c r="AD438" s="41" t="n">
        <x:f>VLOOKUP("Area|"&amp;Q438,'Score settings'!$A$14:$C$43,3,FALSE)/'Score settings'!$B$6*'Score settings'!$D$6</x:f>
        <x:v>6.666666666666666</x:v>
      </x:c>
      <x:c r="AE438" s="41" t="n">
        <x:f>VLOOKUP("Benefits|"&amp;IF(AND(ISNUMBER(K438),K438&gt;0,ISNUMBER(G438),G438&gt;0),IF(K438/G438&gt;='Score settings'!$E$17,"3plus",IF(K438/G438&gt;='Score settings'!$E$16,"1.5to3",IF(K438/G438&gt;='Score settings'!$E$15,"0.5to1.5","positive"))),"None"),'Score settings'!$A$14:$C$43,3,FALSE)/'Score settings'!$B$7*'Score settings'!$D$7</x:f>
        <x:v>0</x:v>
      </x:c>
      <x:c r="AF438" s="41" t="n">
        <x:f>VLOOKUP("Waste|"&amp;R438,'Score settings'!$A$14:$C$43,3,FALSE)/'Score settings'!$B$8*'Score settings'!$D$8</x:f>
        <x:v>10</x:v>
      </x:c>
      <x:c r="AG438" s="41" t="n">
        <x:f>(IF(AND(ISNUMBER(M438),M438&gt;0,ISNUMBER(G438),G438&gt;0),IF(M438/G438&gt;='Score settings'!$E$17,'Score settings'!$G$17,IF(M438/G438&gt;='Score settings'!$E$16,'Score settings'!$G$16,IF(M438/G438&gt;='Score settings'!$E$15,'Score settings'!$G$15,'Score settings'!$G$14))),0)/15*'Score settings'!$B$60+IFERROR(VLOOKUP(IF(ISNUMBER(N438),N438,IF(ISNUMBER(L438),L438,0)),'Score settings'!$E$22:$F$26,2,FALSE),0)/10*'Score settings'!$B$61)/'Score settings'!$B$9*'Score settings'!$D$9</x:f>
        <x:v>0</x:v>
      </x:c>
      <x:c r="AH438" s="41" t="n">
        <x:f>IF(B438="","",SUM(AB438:AG438))</x:f>
        <x:v>35.46666666666666</x:v>
      </x:c>
      <x:c r="AI438" s="41" t="str">
        <x:f>IF(NOT(ISNUMBER(AH438)),"Not scored",VLOOKUP(AH438,'Score settings'!$A$47:$C$50,3,TRUE))</x:f>
        <x:v>Discretionary</x:v>
      </x:c>
      <x:c r="AJ438" s="42" t="n">
        <x:f>IF(OR(NOT(ISNUMBER(AH438)),T438&lt;&gt;"Common pot"),"",COUNTIFS($T$4:$T$509,"Common pot",$AH$4:$AH$509,"&gt;"&amp;AH438)+1)</x:f>
        <x:v>140</x:v>
      </x:c>
      <x:c r="AK438" s="36" t="str">
        <x:f>IF(B438="","Name missing - not scored",IF(OR(NOT(ISNUMBER(G438)),G438&lt;=0),"Investment missing or zero - review",IF(0=1,"Permanent ID missing - reconcile",IF(AND(ISNUMBER(H438),H438/G438&gt;='Score settings'!$B$58,NOT(ISNUMBER(I438))),"Benefit units need review",IF(OR(R438="EXIT",R438="CHALLENGE"),"Waste decision requires scope resolution",IF("Name and organisation matched"&lt;&gt;"Name and organisation matched","Waste evidence match needs review","Provisional source score - confirm evidence"))))))</x:f>
        <x:v>Provisional source score - confirm evidence</x:v>
      </x:c>
      <x:c r="AL438" s="36"/>
      <x:c r="AM438" s="40"/>
      <x:c r="AN438" s="39"/>
      <x:c r="AO438" s="40"/>
      <x:c r="AP438" s="40"/>
    </x:row>
    <x:row r="439" ht="15" hidden="0" customHeight="1">
      <x:c r="A439" s="36" t="str">
        <x:v>EW-117</x:v>
      </x:c>
      <x:c r="B439" s="37" t="str">
        <x:v>Sales &amp; Commercial Intelligence</x:v>
      </x:c>
      <x:c r="C439" s="36" t="str">
        <x:v>EW</x:v>
      </x:c>
      <x:c r="D439" s="36" t="str">
        <x:v>Information Technology ​</x:v>
      </x:c>
      <x:c r="E439" s="38" t="n">
        <x:v>0.3</x:v>
      </x:c>
      <x:c r="F439" s="39"/>
      <x:c r="G439" s="38" t="n">
        <x:f>IF(ISNUMBER(F439),F439,IF(E439="","",E439))</x:f>
        <x:v>0.3</x:v>
      </x:c>
      <x:c r="H439" s="38"/>
      <x:c r="I439" s="39"/>
      <x:c r="J439" s="36" t="str">
        <x:v>Cash savings</x:v>
      </x:c>
      <x:c r="K439" s="38" t="str">
        <x:f>IF(ISNUMBER(I439),I439,IF(OR(NOT(ISNUMBER(H439)),NOT(ISNUMBER(G439)),G439&lt;=0),"",IF(H439/G439&gt;='Score settings'!$B$58,"",IF(J439="Cash savings",H439,IF(J439="Revenue",H439*'Score settings'!$B$55,"")))))</x:f>
      </x:c>
      <x:c r="L439" s="36"/>
      <x:c r="M439" s="39"/>
      <x:c r="N439" s="40"/>
      <x:c r="O439" s="36" t="str">
        <x:v>Must Have</x:v>
      </x:c>
      <x:c r="P439" s="36" t="str">
        <x:v>Upgrades</x:v>
      </x:c>
      <x:c r="Q439" s="36" t="str">
        <x:v>Productivity</x:v>
      </x:c>
      <x:c r="R439" s="36" t="str">
        <x:v>HEALTHY</x:v>
      </x:c>
      <x:c r="S439" s="36" t="str"/>
      <x:c r="T439" s="36" t="str">
        <x:v>Common pot</x:v>
      </x:c>
      <x:c r="U439" s="41" t="n">
        <x:f>VLOOKUP("Priority|"&amp;O439,'Score settings'!$A$14:$C$43,2,FALSE)/'Score settings'!$B$4*'Score settings'!$C$4</x:f>
        <x:v>18</x:v>
      </x:c>
      <x:c r="V439" s="41" t="n">
        <x:f>VLOOKUP("Category|"&amp;P439,'Score settings'!$A$14:$C$43,2,FALSE)/'Score settings'!$B$5*'Score settings'!$C$5</x:f>
        <x:v>10</x:v>
      </x:c>
      <x:c r="W439" s="41" t="n">
        <x:f>VLOOKUP("Area|"&amp;Q439,'Score settings'!$A$14:$C$43,2,FALSE)/'Score settings'!$B$6*'Score settings'!$C$6</x:f>
        <x:v>10</x:v>
      </x:c>
      <x:c r="X439" s="41" t="n">
        <x:f>VLOOKUP("Benefits|"&amp;IF(AND(ISNUMBER(H439),H439&gt;0,ISNUMBER(G439),G439&gt;0),IF(H439/G439&gt;='Score settings'!$E$17,"3plus",IF(H439/G439&gt;='Score settings'!$E$16,"1.5to3",IF(H439/G439&gt;='Score settings'!$E$15,"0.5to1.5","positive"))),"None"),'Score settings'!$A$14:$C$43,2,FALSE)/'Score settings'!$B$7*'Score settings'!$C$7</x:f>
        <x:v>5</x:v>
      </x:c>
      <x:c r="Y439" s="41" t="n">
        <x:f>VLOOKUP("Waste|"&amp;R439,'Score settings'!$A$14:$C$43,2,FALSE)/'Score settings'!$B$8*'Score settings'!$C$8</x:f>
        <x:v>15</x:v>
      </x:c>
      <x:c r="Z439" s="41" t="n">
        <x:f>IF(B439="","",SUM(U439:Y439))</x:f>
        <x:v>58</x:v>
      </x:c>
      <x:c r="AA439" s="41" t="str">
        <x:f>IF(Z439="","Not scored",VLOOKUP(Z439,'Score settings'!$A$47:$C$50,2,TRUE))</x:f>
        <x:v>Strong</x:v>
      </x:c>
      <x:c r="AB439" s="41" t="n">
        <x:f>VLOOKUP("Priority|"&amp;O439,'Score settings'!$A$14:$C$43,3,FALSE)/'Score settings'!$B$4*'Score settings'!$D$4</x:f>
        <x:v>10.799999999999999</x:v>
      </x:c>
      <x:c r="AC439" s="41" t="n">
        <x:f>VLOOKUP("Category|"&amp;P439,'Score settings'!$A$14:$C$43,3,FALSE)/'Score settings'!$B$5*'Score settings'!$D$5</x:f>
        <x:v>5</x:v>
      </x:c>
      <x:c r="AD439" s="41" t="n">
        <x:f>VLOOKUP("Area|"&amp;Q439,'Score settings'!$A$14:$C$43,3,FALSE)/'Score settings'!$B$6*'Score settings'!$D$6</x:f>
        <x:v>6.666666666666666</x:v>
      </x:c>
      <x:c r="AE439" s="41" t="n">
        <x:f>VLOOKUP("Benefits|"&amp;IF(AND(ISNUMBER(K439),K439&gt;0,ISNUMBER(G439),G439&gt;0),IF(K439/G439&gt;='Score settings'!$E$17,"3plus",IF(K439/G439&gt;='Score settings'!$E$16,"1.5to3",IF(K439/G439&gt;='Score settings'!$E$15,"0.5to1.5","positive"))),"None"),'Score settings'!$A$14:$C$43,3,FALSE)/'Score settings'!$B$7*'Score settings'!$D$7</x:f>
        <x:v>0</x:v>
      </x:c>
      <x:c r="AF439" s="41" t="n">
        <x:f>VLOOKUP("Waste|"&amp;R439,'Score settings'!$A$14:$C$43,3,FALSE)/'Score settings'!$B$8*'Score settings'!$D$8</x:f>
        <x:v>10</x:v>
      </x:c>
      <x:c r="AG439" s="41" t="n">
        <x:f>(IF(AND(ISNUMBER(M439),M439&gt;0,ISNUMBER(G439),G439&gt;0),IF(M439/G439&gt;='Score settings'!$E$17,'Score settings'!$G$17,IF(M439/G439&gt;='Score settings'!$E$16,'Score settings'!$G$16,IF(M439/G439&gt;='Score settings'!$E$15,'Score settings'!$G$15,'Score settings'!$G$14))),0)/15*'Score settings'!$B$60+IFERROR(VLOOKUP(IF(ISNUMBER(N439),N439,IF(ISNUMBER(L439),L439,0)),'Score settings'!$E$22:$F$26,2,FALSE),0)/10*'Score settings'!$B$61)/'Score settings'!$B$9*'Score settings'!$D$9</x:f>
        <x:v>0</x:v>
      </x:c>
      <x:c r="AH439" s="41" t="n">
        <x:f>IF(B439="","",SUM(AB439:AG439))</x:f>
        <x:v>32.46666666666667</x:v>
      </x:c>
      <x:c r="AI439" s="41" t="str">
        <x:f>IF(NOT(ISNUMBER(AH439)),"Not scored",VLOOKUP(AH439,'Score settings'!$A$47:$C$50,3,TRUE))</x:f>
        <x:v>Discretionary</x:v>
      </x:c>
      <x:c r="AJ439" s="42" t="n">
        <x:f>IF(OR(NOT(ISNUMBER(AH439)),T439&lt;&gt;"Common pot"),"",COUNTIFS($T$4:$T$509,"Common pot",$AH$4:$AH$509,"&gt;"&amp;AH439)+1)</x:f>
        <x:v>172</x:v>
      </x:c>
      <x:c r="AK439" s="36" t="str">
        <x:f>IF(B439="","Name missing - not scored",IF(OR(NOT(ISNUMBER(G439)),G439&lt;=0),"Investment missing or zero - review",IF(0=1,"Permanent ID missing - reconcile",IF(AND(ISNUMBER(H439),H439/G439&gt;='Score settings'!$B$58,NOT(ISNUMBER(I439))),"Benefit units need review",IF(OR(R439="EXIT",R439="CHALLENGE"),"Waste decision requires scope resolution",IF("Name and organisation matched"&lt;&gt;"Name and organisation matched","Waste evidence match needs review","Provisional source score - confirm evidence"))))))</x:f>
        <x:v>Provisional source score - confirm evidence</x:v>
      </x:c>
      <x:c r="AL439" s="36"/>
      <x:c r="AM439" s="40"/>
      <x:c r="AN439" s="39"/>
      <x:c r="AO439" s="40"/>
      <x:c r="AP439" s="40"/>
    </x:row>
    <x:row r="440" ht="15" hidden="0" customHeight="1">
      <x:c r="A440" s="36" t="str">
        <x:v>EW-118</x:v>
      </x:c>
      <x:c r="B440" s="37" t="str">
        <x:v>Replace Appian with cheaper alternative solution</x:v>
      </x:c>
      <x:c r="C440" s="36" t="str">
        <x:v>EW</x:v>
      </x:c>
      <x:c r="D440" s="36" t="str">
        <x:v>Information Technology ​</x:v>
      </x:c>
      <x:c r="E440" s="38" t="n">
        <x:v>0.8</x:v>
      </x:c>
      <x:c r="F440" s="39"/>
      <x:c r="G440" s="38" t="n">
        <x:f>IF(ISNUMBER(F440),F440,IF(E440="","",E440))</x:f>
        <x:v>0.8</x:v>
      </x:c>
      <x:c r="H440" s="38"/>
      <x:c r="I440" s="39"/>
      <x:c r="J440" s="36" t="str">
        <x:v>Cash savings</x:v>
      </x:c>
      <x:c r="K440" s="38" t="str">
        <x:f>IF(ISNUMBER(I440),I440,IF(OR(NOT(ISNUMBER(H440)),NOT(ISNUMBER(G440)),G440&lt;=0),"",IF(H440/G440&gt;='Score settings'!$B$58,"",IF(J440="Cash savings",H440,IF(J440="Revenue",H440*'Score settings'!$B$55,"")))))</x:f>
      </x:c>
      <x:c r="L440" s="36"/>
      <x:c r="M440" s="39"/>
      <x:c r="N440" s="40"/>
      <x:c r="O440" s="36" t="str">
        <x:v>Must Do</x:v>
      </x:c>
      <x:c r="P440" s="36" t="str">
        <x:v>Decomm</x:v>
      </x:c>
      <x:c r="Q440" s="36" t="str">
        <x:v>Productivity</x:v>
      </x:c>
      <x:c r="R440" s="36" t="str">
        <x:v>HEALTHY</x:v>
      </x:c>
      <x:c r="S440" s="36" t="str"/>
      <x:c r="T440" s="36" t="str">
        <x:v>Common pot</x:v>
      </x:c>
      <x:c r="U440" s="41" t="n">
        <x:f>VLOOKUP("Priority|"&amp;O440,'Score settings'!$A$14:$C$43,2,FALSE)/'Score settings'!$B$4*'Score settings'!$C$4</x:f>
        <x:v>25</x:v>
      </x:c>
      <x:c r="V440" s="41" t="n">
        <x:f>VLOOKUP("Category|"&amp;P440,'Score settings'!$A$14:$C$43,2,FALSE)/'Score settings'!$B$5*'Score settings'!$C$5</x:f>
        <x:v>17</x:v>
      </x:c>
      <x:c r="W440" s="41" t="n">
        <x:f>VLOOKUP("Area|"&amp;Q440,'Score settings'!$A$14:$C$43,2,FALSE)/'Score settings'!$B$6*'Score settings'!$C$6</x:f>
        <x:v>10</x:v>
      </x:c>
      <x:c r="X440" s="41" t="n">
        <x:f>VLOOKUP("Benefits|"&amp;IF(AND(ISNUMBER(H440),H440&gt;0,ISNUMBER(G440),G440&gt;0),IF(H440/G440&gt;='Score settings'!$E$17,"3plus",IF(H440/G440&gt;='Score settings'!$E$16,"1.5to3",IF(H440/G440&gt;='Score settings'!$E$15,"0.5to1.5","positive"))),"None"),'Score settings'!$A$14:$C$43,2,FALSE)/'Score settings'!$B$7*'Score settings'!$C$7</x:f>
        <x:v>5</x:v>
      </x:c>
      <x:c r="Y440" s="41" t="n">
        <x:f>VLOOKUP("Waste|"&amp;R440,'Score settings'!$A$14:$C$43,2,FALSE)/'Score settings'!$B$8*'Score settings'!$C$8</x:f>
        <x:v>15</x:v>
      </x:c>
      <x:c r="Z440" s="41" t="n">
        <x:f>IF(B440="","",SUM(U440:Y440))</x:f>
        <x:v>72</x:v>
      </x:c>
      <x:c r="AA440" s="41" t="str">
        <x:f>IF(Z440="","Not scored",VLOOKUP(Z440,'Score settings'!$A$47:$C$50,2,TRUE))</x:f>
        <x:v>Protected</x:v>
      </x:c>
      <x:c r="AB440" s="41" t="n">
        <x:f>VLOOKUP("Priority|"&amp;O440,'Score settings'!$A$14:$C$43,3,FALSE)/'Score settings'!$B$4*'Score settings'!$D$4</x:f>
        <x:v>15</x:v>
      </x:c>
      <x:c r="AC440" s="41" t="n">
        <x:f>VLOOKUP("Category|"&amp;P440,'Score settings'!$A$14:$C$43,3,FALSE)/'Score settings'!$B$5*'Score settings'!$D$5</x:f>
        <x:v>8.5</x:v>
      </x:c>
      <x:c r="AD440" s="41" t="n">
        <x:f>VLOOKUP("Area|"&amp;Q440,'Score settings'!$A$14:$C$43,3,FALSE)/'Score settings'!$B$6*'Score settings'!$D$6</x:f>
        <x:v>6.666666666666666</x:v>
      </x:c>
      <x:c r="AE440" s="41" t="n">
        <x:f>VLOOKUP("Benefits|"&amp;IF(AND(ISNUMBER(K440),K440&gt;0,ISNUMBER(G440),G440&gt;0),IF(K440/G440&gt;='Score settings'!$E$17,"3plus",IF(K440/G440&gt;='Score settings'!$E$16,"1.5to3",IF(K440/G440&gt;='Score settings'!$E$15,"0.5to1.5","positive"))),"None"),'Score settings'!$A$14:$C$43,3,FALSE)/'Score settings'!$B$7*'Score settings'!$D$7</x:f>
        <x:v>0</x:v>
      </x:c>
      <x:c r="AF440" s="41" t="n">
        <x:f>VLOOKUP("Waste|"&amp;R440,'Score settings'!$A$14:$C$43,3,FALSE)/'Score settings'!$B$8*'Score settings'!$D$8</x:f>
        <x:v>10</x:v>
      </x:c>
      <x:c r="AG440" s="41" t="n">
        <x:f>(IF(AND(ISNUMBER(M440),M440&gt;0,ISNUMBER(G440),G440&gt;0),IF(M440/G440&gt;='Score settings'!$E$17,'Score settings'!$G$17,IF(M440/G440&gt;='Score settings'!$E$16,'Score settings'!$G$16,IF(M440/G440&gt;='Score settings'!$E$15,'Score settings'!$G$15,'Score settings'!$G$14))),0)/15*'Score settings'!$B$60+IFERROR(VLOOKUP(IF(ISNUMBER(N440),N440,IF(ISNUMBER(L440),L440,0)),'Score settings'!$E$22:$F$26,2,FALSE),0)/10*'Score settings'!$B$61)/'Score settings'!$B$9*'Score settings'!$D$9</x:f>
        <x:v>0</x:v>
      </x:c>
      <x:c r="AH440" s="41" t="n">
        <x:f>IF(B440="","",SUM(AB440:AG440))</x:f>
        <x:v>40.166666666666664</x:v>
      </x:c>
      <x:c r="AI440" s="41" t="str">
        <x:f>IF(NOT(ISNUMBER(AH440)),"Not scored",VLOOKUP(AH440,'Score settings'!$A$47:$C$50,3,TRUE))</x:f>
        <x:v>Discretionary</x:v>
      </x:c>
      <x:c r="AJ440" s="42" t="n">
        <x:f>IF(OR(NOT(ISNUMBER(AH440)),T440&lt;&gt;"Common pot"),"",COUNTIFS($T$4:$T$509,"Common pot",$AH$4:$AH$509,"&gt;"&amp;AH440)+1)</x:f>
        <x:v>96</x:v>
      </x:c>
      <x:c r="AK440" s="36" t="str">
        <x:f>IF(B440="","Name missing - not scored",IF(OR(NOT(ISNUMBER(G440)),G440&lt;=0),"Investment missing or zero - review",IF(0=1,"Permanent ID missing - reconcile",IF(AND(ISNUMBER(H440),H440/G440&gt;='Score settings'!$B$58,NOT(ISNUMBER(I440))),"Benefit units need review",IF(OR(R440="EXIT",R440="CHALLENGE"),"Waste decision requires scope resolution",IF("Name and organisation matched"&lt;&gt;"Name and organisation matched","Waste evidence match needs review","Provisional source score - confirm evidence"))))))</x:f>
        <x:v>Provisional source score - confirm evidence</x:v>
      </x:c>
      <x:c r="AL440" s="36"/>
      <x:c r="AM440" s="40"/>
      <x:c r="AN440" s="39"/>
      <x:c r="AO440" s="40"/>
      <x:c r="AP440" s="40"/>
    </x:row>
    <x:row r="441" ht="15" hidden="0" customHeight="1">
      <x:c r="A441" s="36" t="str">
        <x:v>EW-119</x:v>
      </x:c>
      <x:c r="B441" s="37" t="str">
        <x:v>LLM, AI Foundation &amp; ITaaP Extension in GCR</x:v>
      </x:c>
      <x:c r="C441" s="36" t="str">
        <x:v>EW</x:v>
      </x:c>
      <x:c r="D441" s="36" t="str">
        <x:v>Greater China </x:v>
      </x:c>
      <x:c r="E441" s="38" t="n">
        <x:v>0.5</x:v>
      </x:c>
      <x:c r="F441" s="39"/>
      <x:c r="G441" s="38" t="n">
        <x:f>IF(ISNUMBER(F441),F441,IF(E441="","",E441))</x:f>
        <x:v>0.5</x:v>
      </x:c>
      <x:c r="H441" s="38"/>
      <x:c r="I441" s="39"/>
      <x:c r="J441" s="36" t="str">
        <x:v>Risk exposure</x:v>
      </x:c>
      <x:c r="K441" s="38" t="str">
        <x:f>IF(ISNUMBER(I441),I441,IF(OR(NOT(ISNUMBER(H441)),NOT(ISNUMBER(G441)),G441&lt;=0),"",IF(H441/G441&gt;='Score settings'!$B$58,"",IF(J441="Cash savings",H441,IF(J441="Revenue",H441*'Score settings'!$B$55,"")))))</x:f>
      </x:c>
      <x:c r="L441" s="36"/>
      <x:c r="M441" s="39"/>
      <x:c r="N441" s="40"/>
      <x:c r="O441" s="36" t="str">
        <x:v>Must Do</x:v>
      </x:c>
      <x:c r="P441" s="36" t="str">
        <x:v>AI</x:v>
      </x:c>
      <x:c r="Q441" s="36" t="str">
        <x:v>Compliance</x:v>
      </x:c>
      <x:c r="R441" s="36" t="str">
        <x:v>NotAssessed</x:v>
      </x:c>
      <x:c r="S441" s="36" t="str"/>
      <x:c r="T441" s="36" t="str">
        <x:v>Region candidate</x:v>
      </x:c>
      <x:c r="U441" s="41" t="n">
        <x:f>VLOOKUP("Priority|"&amp;O441,'Score settings'!$A$14:$C$43,2,FALSE)/'Score settings'!$B$4*'Score settings'!$C$4</x:f>
        <x:v>25</x:v>
      </x:c>
      <x:c r="V441" s="41" t="n">
        <x:f>VLOOKUP("Category|"&amp;P441,'Score settings'!$A$14:$C$43,2,FALSE)/'Score settings'!$B$5*'Score settings'!$C$5</x:f>
        <x:v>16</x:v>
      </x:c>
      <x:c r="W441" s="41" t="n">
        <x:f>VLOOKUP("Area|"&amp;Q441,'Score settings'!$A$14:$C$43,2,FALSE)/'Score settings'!$B$6*'Score settings'!$C$6</x:f>
        <x:v>15</x:v>
      </x:c>
      <x:c r="X441" s="41" t="n">
        <x:f>VLOOKUP("Benefits|"&amp;IF(AND(ISNUMBER(H441),H441&gt;0,ISNUMBER(G441),G441&gt;0),IF(H441/G441&gt;='Score settings'!$E$17,"3plus",IF(H441/G441&gt;='Score settings'!$E$16,"1.5to3",IF(H441/G441&gt;='Score settings'!$E$15,"0.5to1.5","positive"))),"None"),'Score settings'!$A$14:$C$43,2,FALSE)/'Score settings'!$B$7*'Score settings'!$C$7</x:f>
        <x:v>5</x:v>
      </x:c>
      <x:c r="Y441" s="41" t="n">
        <x:f>VLOOKUP("Waste|"&amp;R441,'Score settings'!$A$14:$C$43,2,FALSE)/'Score settings'!$B$8*'Score settings'!$C$8</x:f>
        <x:v>7</x:v>
      </x:c>
      <x:c r="Z441" s="41" t="n">
        <x:f>IF(B441="","",SUM(U441:Y441))</x:f>
        <x:v>68</x:v>
      </x:c>
      <x:c r="AA441" s="41" t="str">
        <x:f>IF(Z441="","Not scored",VLOOKUP(Z441,'Score settings'!$A$47:$C$50,2,TRUE))</x:f>
        <x:v>Protected</x:v>
      </x:c>
      <x:c r="AB441" s="41" t="n">
        <x:f>VLOOKUP("Priority|"&amp;O441,'Score settings'!$A$14:$C$43,3,FALSE)/'Score settings'!$B$4*'Score settings'!$D$4</x:f>
        <x:v>15</x:v>
      </x:c>
      <x:c r="AC441" s="41" t="n">
        <x:f>VLOOKUP("Category|"&amp;P441,'Score settings'!$A$14:$C$43,3,FALSE)/'Score settings'!$B$5*'Score settings'!$D$5</x:f>
        <x:v>8</x:v>
      </x:c>
      <x:c r="AD441" s="41" t="n">
        <x:f>VLOOKUP("Area|"&amp;Q441,'Score settings'!$A$14:$C$43,3,FALSE)/'Score settings'!$B$6*'Score settings'!$D$6</x:f>
        <x:v>10</x:v>
      </x:c>
      <x:c r="AE441" s="41" t="n">
        <x:f>VLOOKUP("Benefits|"&amp;IF(AND(ISNUMBER(K441),K441&gt;0,ISNUMBER(G441),G441&gt;0),IF(K441/G441&gt;='Score settings'!$E$17,"3plus",IF(K441/G441&gt;='Score settings'!$E$16,"1.5to3",IF(K441/G441&gt;='Score settings'!$E$15,"0.5to1.5","positive"))),"None"),'Score settings'!$A$14:$C$43,3,FALSE)/'Score settings'!$B$7*'Score settings'!$D$7</x:f>
        <x:v>0</x:v>
      </x:c>
      <x:c r="AF441" s="41" t="n">
        <x:f>VLOOKUP("Waste|"&amp;R441,'Score settings'!$A$14:$C$43,3,FALSE)/'Score settings'!$B$8*'Score settings'!$D$8</x:f>
        <x:v>0</x:v>
      </x:c>
      <x:c r="AG441" s="41" t="n">
        <x:f>(IF(AND(ISNUMBER(M441),M441&gt;0,ISNUMBER(G441),G441&gt;0),IF(M441/G441&gt;='Score settings'!$E$17,'Score settings'!$G$17,IF(M441/G441&gt;='Score settings'!$E$16,'Score settings'!$G$16,IF(M441/G441&gt;='Score settings'!$E$15,'Score settings'!$G$15,'Score settings'!$G$14))),0)/15*'Score settings'!$B$60+IFERROR(VLOOKUP(IF(ISNUMBER(N441),N441,IF(ISNUMBER(L441),L441,0)),'Score settings'!$E$22:$F$26,2,FALSE),0)/10*'Score settings'!$B$61)/'Score settings'!$B$9*'Score settings'!$D$9</x:f>
        <x:v>0</x:v>
      </x:c>
      <x:c r="AH441" s="41" t="n">
        <x:f>IF(B441="","",SUM(AB441:AG441))</x:f>
        <x:v>33</x:v>
      </x:c>
      <x:c r="AI441" s="41" t="str">
        <x:f>IF(NOT(ISNUMBER(AH441)),"Not scored",VLOOKUP(AH441,'Score settings'!$A$47:$C$50,3,TRUE))</x:f>
        <x:v>Discretionary</x:v>
      </x:c>
      <x:c r="AJ441" s="42" t="str">
        <x:f>IF(OR(NOT(ISNUMBER(AH441)),T441&lt;&gt;"Common pot"),"",COUNTIFS($T$4:$T$509,"Common pot",$AH$4:$AH$509,"&gt;"&amp;AH441)+1)</x:f>
      </x:c>
      <x:c r="AK441" s="36" t="str">
        <x:f>IF(B441="","Name missing - not scored",IF(OR(NOT(ISNUMBER(G441)),G441&lt;=0),"Investment missing or zero - review",IF(0=1,"Permanent ID missing - reconcile",IF(AND(ISNUMBER(H441),H441/G441&gt;='Score settings'!$B$58,NOT(ISNUMBER(I441))),"Benefit units need review",IF(OR(R441="EXIT",R441="CHALLENGE"),"Waste decision requires scope resolution",IF("Organisation differs or ambiguous"&lt;&gt;"Name and organisation matched","Waste evidence match needs review","Provisional source score - confirm evidence"))))))</x:f>
        <x:v>Waste evidence match needs review</x:v>
      </x:c>
      <x:c r="AL441" s="36"/>
      <x:c r="AM441" s="40"/>
      <x:c r="AN441" s="39"/>
      <x:c r="AO441" s="40"/>
      <x:c r="AP441" s="40"/>
    </x:row>
    <x:row r="442" ht="15" hidden="0" customHeight="1">
      <x:c r="A442" s="36" t="str">
        <x:v>EW-120</x:v>
      </x:c>
      <x:c r="B442" s="37" t="str">
        <x:v>EADI - MDM Decom</x:v>
      </x:c>
      <x:c r="C442" s="36" t="str">
        <x:v>EW</x:v>
      </x:c>
      <x:c r="D442" s="36" t="str">
        <x:v>Information Technology ​</x:v>
      </x:c>
      <x:c r="E442" s="38" t="n">
        <x:v>0.575</x:v>
      </x:c>
      <x:c r="F442" s="39"/>
      <x:c r="G442" s="38" t="n">
        <x:f>IF(ISNUMBER(F442),F442,IF(E442="","",E442))</x:f>
        <x:v>0.575</x:v>
      </x:c>
      <x:c r="H442" s="38"/>
      <x:c r="I442" s="39"/>
      <x:c r="J442" s="36" t="str">
        <x:v>Cash savings</x:v>
      </x:c>
      <x:c r="K442" s="38" t="str">
        <x:f>IF(ISNUMBER(I442),I442,IF(OR(NOT(ISNUMBER(H442)),NOT(ISNUMBER(G442)),G442&lt;=0),"",IF(H442/G442&gt;='Score settings'!$B$58,"",IF(J442="Cash savings",H442,IF(J442="Revenue",H442*'Score settings'!$B$55,"")))))</x:f>
      </x:c>
      <x:c r="L442" s="36"/>
      <x:c r="M442" s="39"/>
      <x:c r="N442" s="40"/>
      <x:c r="O442" s="36" t="str">
        <x:v>Must Do</x:v>
      </x:c>
      <x:c r="P442" s="36" t="str">
        <x:v>Decomm</x:v>
      </x:c>
      <x:c r="Q442" s="36" t="str">
        <x:v>Productivity</x:v>
      </x:c>
      <x:c r="R442" s="36" t="str">
        <x:v>HEALTHY</x:v>
      </x:c>
      <x:c r="S442" s="36" t="str"/>
      <x:c r="T442" s="36" t="str">
        <x:v>Common pot</x:v>
      </x:c>
      <x:c r="U442" s="41" t="n">
        <x:f>VLOOKUP("Priority|"&amp;O442,'Score settings'!$A$14:$C$43,2,FALSE)/'Score settings'!$B$4*'Score settings'!$C$4</x:f>
        <x:v>25</x:v>
      </x:c>
      <x:c r="V442" s="41" t="n">
        <x:f>VLOOKUP("Category|"&amp;P442,'Score settings'!$A$14:$C$43,2,FALSE)/'Score settings'!$B$5*'Score settings'!$C$5</x:f>
        <x:v>17</x:v>
      </x:c>
      <x:c r="W442" s="41" t="n">
        <x:f>VLOOKUP("Area|"&amp;Q442,'Score settings'!$A$14:$C$43,2,FALSE)/'Score settings'!$B$6*'Score settings'!$C$6</x:f>
        <x:v>10</x:v>
      </x:c>
      <x:c r="X442" s="41" t="n">
        <x:f>VLOOKUP("Benefits|"&amp;IF(AND(ISNUMBER(H442),H442&gt;0,ISNUMBER(G442),G442&gt;0),IF(H442/G442&gt;='Score settings'!$E$17,"3plus",IF(H442/G442&gt;='Score settings'!$E$16,"1.5to3",IF(H442/G442&gt;='Score settings'!$E$15,"0.5to1.5","positive"))),"None"),'Score settings'!$A$14:$C$43,2,FALSE)/'Score settings'!$B$7*'Score settings'!$C$7</x:f>
        <x:v>5</x:v>
      </x:c>
      <x:c r="Y442" s="41" t="n">
        <x:f>VLOOKUP("Waste|"&amp;R442,'Score settings'!$A$14:$C$43,2,FALSE)/'Score settings'!$B$8*'Score settings'!$C$8</x:f>
        <x:v>15</x:v>
      </x:c>
      <x:c r="Z442" s="41" t="n">
        <x:f>IF(B442="","",SUM(U442:Y442))</x:f>
        <x:v>72</x:v>
      </x:c>
      <x:c r="AA442" s="41" t="str">
        <x:f>IF(Z442="","Not scored",VLOOKUP(Z442,'Score settings'!$A$47:$C$50,2,TRUE))</x:f>
        <x:v>Protected</x:v>
      </x:c>
      <x:c r="AB442" s="41" t="n">
        <x:f>VLOOKUP("Priority|"&amp;O442,'Score settings'!$A$14:$C$43,3,FALSE)/'Score settings'!$B$4*'Score settings'!$D$4</x:f>
        <x:v>15</x:v>
      </x:c>
      <x:c r="AC442" s="41" t="n">
        <x:f>VLOOKUP("Category|"&amp;P442,'Score settings'!$A$14:$C$43,3,FALSE)/'Score settings'!$B$5*'Score settings'!$D$5</x:f>
        <x:v>8.5</x:v>
      </x:c>
      <x:c r="AD442" s="41" t="n">
        <x:f>VLOOKUP("Area|"&amp;Q442,'Score settings'!$A$14:$C$43,3,FALSE)/'Score settings'!$B$6*'Score settings'!$D$6</x:f>
        <x:v>6.666666666666666</x:v>
      </x:c>
      <x:c r="AE442" s="41" t="n">
        <x:f>VLOOKUP("Benefits|"&amp;IF(AND(ISNUMBER(K442),K442&gt;0,ISNUMBER(G442),G442&gt;0),IF(K442/G442&gt;='Score settings'!$E$17,"3plus",IF(K442/G442&gt;='Score settings'!$E$16,"1.5to3",IF(K442/G442&gt;='Score settings'!$E$15,"0.5to1.5","positive"))),"None"),'Score settings'!$A$14:$C$43,3,FALSE)/'Score settings'!$B$7*'Score settings'!$D$7</x:f>
        <x:v>0</x:v>
      </x:c>
      <x:c r="AF442" s="41" t="n">
        <x:f>VLOOKUP("Waste|"&amp;R442,'Score settings'!$A$14:$C$43,3,FALSE)/'Score settings'!$B$8*'Score settings'!$D$8</x:f>
        <x:v>10</x:v>
      </x:c>
      <x:c r="AG442" s="41" t="n">
        <x:f>(IF(AND(ISNUMBER(M442),M442&gt;0,ISNUMBER(G442),G442&gt;0),IF(M442/G442&gt;='Score settings'!$E$17,'Score settings'!$G$17,IF(M442/G442&gt;='Score settings'!$E$16,'Score settings'!$G$16,IF(M442/G442&gt;='Score settings'!$E$15,'Score settings'!$G$15,'Score settings'!$G$14))),0)/15*'Score settings'!$B$60+IFERROR(VLOOKUP(IF(ISNUMBER(N442),N442,IF(ISNUMBER(L442),L442,0)),'Score settings'!$E$22:$F$26,2,FALSE),0)/10*'Score settings'!$B$61)/'Score settings'!$B$9*'Score settings'!$D$9</x:f>
        <x:v>0</x:v>
      </x:c>
      <x:c r="AH442" s="41" t="n">
        <x:f>IF(B442="","",SUM(AB442:AG442))</x:f>
        <x:v>40.166666666666664</x:v>
      </x:c>
      <x:c r="AI442" s="41" t="str">
        <x:f>IF(NOT(ISNUMBER(AH442)),"Not scored",VLOOKUP(AH442,'Score settings'!$A$47:$C$50,3,TRUE))</x:f>
        <x:v>Discretionary</x:v>
      </x:c>
      <x:c r="AJ442" s="42" t="n">
        <x:f>IF(OR(NOT(ISNUMBER(AH442)),T442&lt;&gt;"Common pot"),"",COUNTIFS($T$4:$T$509,"Common pot",$AH$4:$AH$509,"&gt;"&amp;AH442)+1)</x:f>
        <x:v>96</x:v>
      </x:c>
      <x:c r="AK442" s="36" t="str">
        <x:f>IF(B442="","Name missing - not scored",IF(OR(NOT(ISNUMBER(G442)),G442&lt;=0),"Investment missing or zero - review",IF(0=1,"Permanent ID missing - reconcile",IF(AND(ISNUMBER(H442),H442/G442&gt;='Score settings'!$B$58,NOT(ISNUMBER(I442))),"Benefit units need review",IF(OR(R442="EXIT",R442="CHALLENGE"),"Waste decision requires scope resolution",IF("Name and organisation matched"&lt;&gt;"Name and organisation matched","Waste evidence match needs review","Provisional source score - confirm evidence"))))))</x:f>
        <x:v>Provisional source score - confirm evidence</x:v>
      </x:c>
      <x:c r="AL442" s="36"/>
      <x:c r="AM442" s="40"/>
      <x:c r="AN442" s="39"/>
      <x:c r="AO442" s="40"/>
      <x:c r="AP442" s="40"/>
    </x:row>
    <x:row r="443" ht="15" hidden="0" customHeight="1">
      <x:c r="A443" s="36" t="str">
        <x:v>EW-121</x:v>
      </x:c>
      <x:c r="B443" s="37" t="str">
        <x:v>Conga Advantage</x:v>
      </x:c>
      <x:c r="C443" s="36" t="str">
        <x:v>EW</x:v>
      </x:c>
      <x:c r="D443" s="36" t="str">
        <x:v>Information Technology ​</x:v>
      </x:c>
      <x:c r="E443" s="38" t="n">
        <x:v>0.65</x:v>
      </x:c>
      <x:c r="F443" s="39"/>
      <x:c r="G443" s="38" t="n">
        <x:f>IF(ISNUMBER(F443),F443,IF(E443="","",E443))</x:f>
        <x:v>0.65</x:v>
      </x:c>
      <x:c r="H443" s="38" t="n">
        <x:v>1.2</x:v>
      </x:c>
      <x:c r="I443" s="39"/>
      <x:c r="J443" s="36" t="str">
        <x:v>Cash savings</x:v>
      </x:c>
      <x:c r="K443" s="38" t="n">
        <x:f>IF(ISNUMBER(I443),I443,IF(OR(NOT(ISNUMBER(H443)),NOT(ISNUMBER(G443)),G443&lt;=0),"",IF(H443/G443&gt;='Score settings'!$B$58,"",IF(J443="Cash savings",H443,IF(J443="Revenue",H443*'Score settings'!$B$55,"")))))</x:f>
        <x:v>1.2</x:v>
      </x:c>
      <x:c r="L443" s="36"/>
      <x:c r="M443" s="39"/>
      <x:c r="N443" s="40"/>
      <x:c r="O443" s="36" t="str">
        <x:v>Must Do</x:v>
      </x:c>
      <x:c r="P443" s="36" t="str">
        <x:v>Upgrades</x:v>
      </x:c>
      <x:c r="Q443" s="36" t="str">
        <x:v>ProcSimp</x:v>
      </x:c>
      <x:c r="R443" s="36" t="str">
        <x:v>HEALTHY</x:v>
      </x:c>
      <x:c r="S443" s="36" t="str"/>
      <x:c r="T443" s="36" t="str">
        <x:v>Common pot</x:v>
      </x:c>
      <x:c r="U443" s="41" t="n">
        <x:f>VLOOKUP("Priority|"&amp;O443,'Score settings'!$A$14:$C$43,2,FALSE)/'Score settings'!$B$4*'Score settings'!$C$4</x:f>
        <x:v>25</x:v>
      </x:c>
      <x:c r="V443" s="41" t="n">
        <x:f>VLOOKUP("Category|"&amp;P443,'Score settings'!$A$14:$C$43,2,FALSE)/'Score settings'!$B$5*'Score settings'!$C$5</x:f>
        <x:v>10</x:v>
      </x:c>
      <x:c r="W443" s="41" t="n">
        <x:f>VLOOKUP("Area|"&amp;Q443,'Score settings'!$A$14:$C$43,2,FALSE)/'Score settings'!$B$6*'Score settings'!$C$6</x:f>
        <x:v>12</x:v>
      </x:c>
      <x:c r="X443" s="41" t="n">
        <x:f>VLOOKUP("Benefits|"&amp;IF(AND(ISNUMBER(H443),H443&gt;0,ISNUMBER(G443),G443&gt;0),IF(H443/G443&gt;='Score settings'!$E$17,"3plus",IF(H443/G443&gt;='Score settings'!$E$16,"1.5to3",IF(H443/G443&gt;='Score settings'!$E$15,"0.5to1.5","positive"))),"None"),'Score settings'!$A$14:$C$43,2,FALSE)/'Score settings'!$B$7*'Score settings'!$C$7</x:f>
        <x:v>20</x:v>
      </x:c>
      <x:c r="Y443" s="41" t="n">
        <x:f>VLOOKUP("Waste|"&amp;R443,'Score settings'!$A$14:$C$43,2,FALSE)/'Score settings'!$B$8*'Score settings'!$C$8</x:f>
        <x:v>15</x:v>
      </x:c>
      <x:c r="Z443" s="41" t="n">
        <x:f>IF(B443="","",SUM(U443:Y443))</x:f>
        <x:v>82</x:v>
      </x:c>
      <x:c r="AA443" s="41" t="str">
        <x:f>IF(Z443="","Not scored",VLOOKUP(Z443,'Score settings'!$A$47:$C$50,2,TRUE))</x:f>
        <x:v>Protected</x:v>
      </x:c>
      <x:c r="AB443" s="41" t="n">
        <x:f>VLOOKUP("Priority|"&amp;O443,'Score settings'!$A$14:$C$43,3,FALSE)/'Score settings'!$B$4*'Score settings'!$D$4</x:f>
        <x:v>15</x:v>
      </x:c>
      <x:c r="AC443" s="41" t="n">
        <x:f>VLOOKUP("Category|"&amp;P443,'Score settings'!$A$14:$C$43,3,FALSE)/'Score settings'!$B$5*'Score settings'!$D$5</x:f>
        <x:v>5</x:v>
      </x:c>
      <x:c r="AD443" s="41" t="n">
        <x:f>VLOOKUP("Area|"&amp;Q443,'Score settings'!$A$14:$C$43,3,FALSE)/'Score settings'!$B$6*'Score settings'!$D$6</x:f>
        <x:v>8</x:v>
      </x:c>
      <x:c r="AE443" s="41" t="n">
        <x:f>VLOOKUP("Benefits|"&amp;IF(AND(ISNUMBER(K443),K443&gt;0,ISNUMBER(G443),G443&gt;0),IF(K443/G443&gt;='Score settings'!$E$17,"3plus",IF(K443/G443&gt;='Score settings'!$E$16,"1.5to3",IF(K443/G443&gt;='Score settings'!$E$15,"0.5to1.5","positive"))),"None"),'Score settings'!$A$14:$C$43,3,FALSE)/'Score settings'!$B$7*'Score settings'!$D$7</x:f>
        <x:v>24</x:v>
      </x:c>
      <x:c r="AF443" s="41" t="n">
        <x:f>VLOOKUP("Waste|"&amp;R443,'Score settings'!$A$14:$C$43,3,FALSE)/'Score settings'!$B$8*'Score settings'!$D$8</x:f>
        <x:v>10</x:v>
      </x:c>
      <x:c r="AG443" s="41" t="n">
        <x:f>(IF(AND(ISNUMBER(M443),M443&gt;0,ISNUMBER(G443),G443&gt;0),IF(M443/G443&gt;='Score settings'!$E$17,'Score settings'!$G$17,IF(M443/G443&gt;='Score settings'!$E$16,'Score settings'!$G$16,IF(M443/G443&gt;='Score settings'!$E$15,'Score settings'!$G$15,'Score settings'!$G$14))),0)/15*'Score settings'!$B$60+IFERROR(VLOOKUP(IF(ISNUMBER(N443),N443,IF(ISNUMBER(L443),L443,0)),'Score settings'!$E$22:$F$26,2,FALSE),0)/10*'Score settings'!$B$61)/'Score settings'!$B$9*'Score settings'!$D$9</x:f>
        <x:v>0</x:v>
      </x:c>
      <x:c r="AH443" s="41" t="n">
        <x:f>IF(B443="","",SUM(AB443:AG443))</x:f>
        <x:v>62</x:v>
      </x:c>
      <x:c r="AI443" s="41" t="str">
        <x:f>IF(NOT(ISNUMBER(AH443)),"Not scored",VLOOKUP(AH443,'Score settings'!$A$47:$C$50,3,TRUE))</x:f>
        <x:v>Strong</x:v>
      </x:c>
      <x:c r="AJ443" s="42" t="n">
        <x:f>IF(OR(NOT(ISNUMBER(AH443)),T443&lt;&gt;"Common pot"),"",COUNTIFS($T$4:$T$509,"Common pot",$AH$4:$AH$509,"&gt;"&amp;AH443)+1)</x:f>
        <x:v>16</x:v>
      </x:c>
      <x:c r="AK443" s="36" t="str">
        <x:f>IF(B443="","Name missing - not scored",IF(OR(NOT(ISNUMBER(G443)),G443&lt;=0),"Investment missing or zero - review",IF(0=1,"Permanent ID missing - reconcile",IF(AND(ISNUMBER(H443),H443/G443&gt;='Score settings'!$B$58,NOT(ISNUMBER(I443))),"Benefit units need review",IF(OR(R443="EXIT",R443="CHALLENGE"),"Waste decision requires scope resolution",IF("Name and organisation matched"&lt;&gt;"Name and organisation matched","Waste evidence match needs review","Provisional source score - confirm evidence"))))))</x:f>
        <x:v>Provisional source score - confirm evidence</x:v>
      </x:c>
      <x:c r="AL443" s="36"/>
      <x:c r="AM443" s="40"/>
      <x:c r="AN443" s="39"/>
      <x:c r="AO443" s="40"/>
      <x:c r="AP443" s="40"/>
    </x:row>
    <x:row r="444" ht="15" hidden="0" customHeight="1">
      <x:c r="A444" s="36" t="str">
        <x:v>EW-122</x:v>
      </x:c>
      <x:c r="B444" s="37" t="str">
        <x:v>Sales Replatforming</x:v>
      </x:c>
      <x:c r="C444" s="36" t="str">
        <x:v>EW</x:v>
      </x:c>
      <x:c r="D444" s="36" t="str">
        <x:v>Information Technology ​</x:v>
      </x:c>
      <x:c r="E444" s="38" t="n">
        <x:v>7</x:v>
      </x:c>
      <x:c r="F444" s="39"/>
      <x:c r="G444" s="38" t="n">
        <x:f>IF(ISNUMBER(F444),F444,IF(E444="","",E444))</x:f>
        <x:v>7</x:v>
      </x:c>
      <x:c r="H444" s="38" t="n">
        <x:v>22</x:v>
      </x:c>
      <x:c r="I444" s="39"/>
      <x:c r="J444" s="36" t="str">
        <x:v>Cash savings</x:v>
      </x:c>
      <x:c r="K444" s="38" t="n">
        <x:f>IF(ISNUMBER(I444),I444,IF(OR(NOT(ISNUMBER(H444)),NOT(ISNUMBER(G444)),G444&lt;=0),"",IF(H444/G444&gt;='Score settings'!$B$58,"",IF(J444="Cash savings",H444,IF(J444="Revenue",H444*'Score settings'!$B$55,"")))))</x:f>
        <x:v>22</x:v>
      </x:c>
      <x:c r="L444" s="36"/>
      <x:c r="M444" s="39"/>
      <x:c r="N444" s="40"/>
      <x:c r="O444" s="36" t="str">
        <x:v>Must Have</x:v>
      </x:c>
      <x:c r="P444" s="36" t="str">
        <x:v>Decomm</x:v>
      </x:c>
      <x:c r="Q444" s="36" t="str">
        <x:v>ProcSimp</x:v>
      </x:c>
      <x:c r="R444" s="36" t="str">
        <x:v>NotAssessed</x:v>
      </x:c>
      <x:c r="S444" s="36" t="str"/>
      <x:c r="T444" s="36" t="str">
        <x:v>Common pot</x:v>
      </x:c>
      <x:c r="U444" s="41" t="n">
        <x:f>VLOOKUP("Priority|"&amp;O444,'Score settings'!$A$14:$C$43,2,FALSE)/'Score settings'!$B$4*'Score settings'!$C$4</x:f>
        <x:v>18</x:v>
      </x:c>
      <x:c r="V444" s="41" t="n">
        <x:f>VLOOKUP("Category|"&amp;P444,'Score settings'!$A$14:$C$43,2,FALSE)/'Score settings'!$B$5*'Score settings'!$C$5</x:f>
        <x:v>17</x:v>
      </x:c>
      <x:c r="W444" s="41" t="n">
        <x:f>VLOOKUP("Area|"&amp;Q444,'Score settings'!$A$14:$C$43,2,FALSE)/'Score settings'!$B$6*'Score settings'!$C$6</x:f>
        <x:v>12</x:v>
      </x:c>
      <x:c r="X444" s="41" t="n">
        <x:f>VLOOKUP("Benefits|"&amp;IF(AND(ISNUMBER(H444),H444&gt;0,ISNUMBER(G444),G444&gt;0),IF(H444/G444&gt;='Score settings'!$E$17,"3plus",IF(H444/G444&gt;='Score settings'!$E$16,"1.5to3",IF(H444/G444&gt;='Score settings'!$E$15,"0.5to1.5","positive"))),"None"),'Score settings'!$A$14:$C$43,2,FALSE)/'Score settings'!$B$7*'Score settings'!$C$7</x:f>
        <x:v>25</x:v>
      </x:c>
      <x:c r="Y444" s="41" t="n">
        <x:f>VLOOKUP("Waste|"&amp;R444,'Score settings'!$A$14:$C$43,2,FALSE)/'Score settings'!$B$8*'Score settings'!$C$8</x:f>
        <x:v>7</x:v>
      </x:c>
      <x:c r="Z444" s="41" t="n">
        <x:f>IF(B444="","",SUM(U444:Y444))</x:f>
        <x:v>79</x:v>
      </x:c>
      <x:c r="AA444" s="41" t="str">
        <x:f>IF(Z444="","Not scored",VLOOKUP(Z444,'Score settings'!$A$47:$C$50,2,TRUE))</x:f>
        <x:v>Protected</x:v>
      </x:c>
      <x:c r="AB444" s="41" t="n">
        <x:f>VLOOKUP("Priority|"&amp;O444,'Score settings'!$A$14:$C$43,3,FALSE)/'Score settings'!$B$4*'Score settings'!$D$4</x:f>
        <x:v>10.799999999999999</x:v>
      </x:c>
      <x:c r="AC444" s="41" t="n">
        <x:f>VLOOKUP("Category|"&amp;P444,'Score settings'!$A$14:$C$43,3,FALSE)/'Score settings'!$B$5*'Score settings'!$D$5</x:f>
        <x:v>8.5</x:v>
      </x:c>
      <x:c r="AD444" s="41" t="n">
        <x:f>VLOOKUP("Area|"&amp;Q444,'Score settings'!$A$14:$C$43,3,FALSE)/'Score settings'!$B$6*'Score settings'!$D$6</x:f>
        <x:v>8</x:v>
      </x:c>
      <x:c r="AE444" s="41" t="n">
        <x:f>VLOOKUP("Benefits|"&amp;IF(AND(ISNUMBER(K444),K444&gt;0,ISNUMBER(G444),G444&gt;0),IF(K444/G444&gt;='Score settings'!$E$17,"3plus",IF(K444/G444&gt;='Score settings'!$E$16,"1.5to3",IF(K444/G444&gt;='Score settings'!$E$15,"0.5to1.5","positive"))),"None"),'Score settings'!$A$14:$C$43,3,FALSE)/'Score settings'!$B$7*'Score settings'!$D$7</x:f>
        <x:v>30</x:v>
      </x:c>
      <x:c r="AF444" s="41" t="n">
        <x:f>VLOOKUP("Waste|"&amp;R444,'Score settings'!$A$14:$C$43,3,FALSE)/'Score settings'!$B$8*'Score settings'!$D$8</x:f>
        <x:v>0</x:v>
      </x:c>
      <x:c r="AG444" s="41" t="n">
        <x:f>(IF(AND(ISNUMBER(M444),M444&gt;0,ISNUMBER(G444),G444&gt;0),IF(M444/G444&gt;='Score settings'!$E$17,'Score settings'!$G$17,IF(M444/G444&gt;='Score settings'!$E$16,'Score settings'!$G$16,IF(M444/G444&gt;='Score settings'!$E$15,'Score settings'!$G$15,'Score settings'!$G$14))),0)/15*'Score settings'!$B$60+IFERROR(VLOOKUP(IF(ISNUMBER(N444),N444,IF(ISNUMBER(L444),L444,0)),'Score settings'!$E$22:$F$26,2,FALSE),0)/10*'Score settings'!$B$61)/'Score settings'!$B$9*'Score settings'!$D$9</x:f>
        <x:v>0</x:v>
      </x:c>
      <x:c r="AH444" s="41" t="n">
        <x:f>IF(B444="","",SUM(AB444:AG444))</x:f>
        <x:v>57.3</x:v>
      </x:c>
      <x:c r="AI444" s="41" t="str">
        <x:f>IF(NOT(ISNUMBER(AH444)),"Not scored",VLOOKUP(AH444,'Score settings'!$A$47:$C$50,3,TRUE))</x:f>
        <x:v>Strong</x:v>
      </x:c>
      <x:c r="AJ444" s="42" t="n">
        <x:f>IF(OR(NOT(ISNUMBER(AH444)),T444&lt;&gt;"Common pot"),"",COUNTIFS($T$4:$T$509,"Common pot",$AH$4:$AH$509,"&gt;"&amp;AH444)+1)</x:f>
        <x:v>28</x:v>
      </x:c>
      <x:c r="AK444" s="36" t="str">
        <x:f>IF(B444="","Name missing - not scored",IF(OR(NOT(ISNUMBER(G444)),G444&lt;=0),"Investment missing or zero - review",IF(0=1,"Permanent ID missing - reconcile",IF(AND(ISNUMBER(H444),H444/G444&gt;='Score settings'!$B$58,NOT(ISNUMBER(I444))),"Benefit units need review",IF(OR(R444="EXIT",R444="CHALLENGE"),"Waste decision requires scope resolution",IF("Name and organisation matched"&lt;&gt;"Name and organisation matched","Waste evidence match needs review","Provisional source score - confirm evidence"))))))</x:f>
        <x:v>Provisional source score - confirm evidence</x:v>
      </x:c>
      <x:c r="AL444" s="36"/>
      <x:c r="AM444" s="40"/>
      <x:c r="AN444" s="39"/>
      <x:c r="AO444" s="40"/>
      <x:c r="AP444" s="40"/>
    </x:row>
    <x:row r="445" ht="15" hidden="0" customHeight="1">
      <x:c r="A445" s="36" t="str">
        <x:v>EW-123</x:v>
      </x:c>
      <x:c r="B445" s="37" t="str">
        <x:v>FIN-IR - Latam SOVOS 2 DCR (ex Brazil) eInvoices, save 305K IT Ops p.a.</x:v>
      </x:c>
      <x:c r="C445" s="36" t="str">
        <x:v>EW</x:v>
      </x:c>
      <x:c r="D445" s="36" t="str">
        <x:v>International Regions (IR) - Overall </x:v>
      </x:c>
      <x:c r="E445" s="38" t="n">
        <x:v>0.5</x:v>
      </x:c>
      <x:c r="F445" s="39"/>
      <x:c r="G445" s="38" t="n">
        <x:f>IF(ISNUMBER(F445),F445,IF(E445="","",E445))</x:f>
        <x:v>0.5</x:v>
      </x:c>
      <x:c r="H445" s="38" t="n">
        <x:v>1.22</x:v>
      </x:c>
      <x:c r="I445" s="39"/>
      <x:c r="J445" s="36" t="str">
        <x:v>Cash savings</x:v>
      </x:c>
      <x:c r="K445" s="38" t="n">
        <x:f>IF(ISNUMBER(I445),I445,IF(OR(NOT(ISNUMBER(H445)),NOT(ISNUMBER(G445)),G445&lt;=0),"",IF(H445/G445&gt;='Score settings'!$B$58,"",IF(J445="Cash savings",H445,IF(J445="Revenue",H445*'Score settings'!$B$55,"")))))</x:f>
        <x:v>1.22</x:v>
      </x:c>
      <x:c r="L445" s="36"/>
      <x:c r="M445" s="39"/>
      <x:c r="N445" s="40"/>
      <x:c r="O445" s="36" t="str">
        <x:v>Must Have</x:v>
      </x:c>
      <x:c r="P445" s="36" t="str">
        <x:v>Decomm</x:v>
      </x:c>
      <x:c r="Q445" s="36" t="str">
        <x:v>Productivity</x:v>
      </x:c>
      <x:c r="R445" s="36" t="str">
        <x:v>NotAssessed</x:v>
      </x:c>
      <x:c r="S445" s="36" t="str"/>
      <x:c r="T445" s="36" t="str">
        <x:v>Region candidate</x:v>
      </x:c>
      <x:c r="U445" s="41" t="n">
        <x:f>VLOOKUP("Priority|"&amp;O445,'Score settings'!$A$14:$C$43,2,FALSE)/'Score settings'!$B$4*'Score settings'!$C$4</x:f>
        <x:v>18</x:v>
      </x:c>
      <x:c r="V445" s="41" t="n">
        <x:f>VLOOKUP("Category|"&amp;P445,'Score settings'!$A$14:$C$43,2,FALSE)/'Score settings'!$B$5*'Score settings'!$C$5</x:f>
        <x:v>17</x:v>
      </x:c>
      <x:c r="W445" s="41" t="n">
        <x:f>VLOOKUP("Area|"&amp;Q445,'Score settings'!$A$14:$C$43,2,FALSE)/'Score settings'!$B$6*'Score settings'!$C$6</x:f>
        <x:v>10</x:v>
      </x:c>
      <x:c r="X445" s="41" t="n">
        <x:f>VLOOKUP("Benefits|"&amp;IF(AND(ISNUMBER(H445),H445&gt;0,ISNUMBER(G445),G445&gt;0),IF(H445/G445&gt;='Score settings'!$E$17,"3plus",IF(H445/G445&gt;='Score settings'!$E$16,"1.5to3",IF(H445/G445&gt;='Score settings'!$E$15,"0.5to1.5","positive"))),"None"),'Score settings'!$A$14:$C$43,2,FALSE)/'Score settings'!$B$7*'Score settings'!$C$7</x:f>
        <x:v>20</x:v>
      </x:c>
      <x:c r="Y445" s="41" t="n">
        <x:f>VLOOKUP("Waste|"&amp;R445,'Score settings'!$A$14:$C$43,2,FALSE)/'Score settings'!$B$8*'Score settings'!$C$8</x:f>
        <x:v>7</x:v>
      </x:c>
      <x:c r="Z445" s="41" t="n">
        <x:f>IF(B445="","",SUM(U445:Y445))</x:f>
        <x:v>72</x:v>
      </x:c>
      <x:c r="AA445" s="41" t="str">
        <x:f>IF(Z445="","Not scored",VLOOKUP(Z445,'Score settings'!$A$47:$C$50,2,TRUE))</x:f>
        <x:v>Protected</x:v>
      </x:c>
      <x:c r="AB445" s="41" t="n">
        <x:f>VLOOKUP("Priority|"&amp;O445,'Score settings'!$A$14:$C$43,3,FALSE)/'Score settings'!$B$4*'Score settings'!$D$4</x:f>
        <x:v>10.799999999999999</x:v>
      </x:c>
      <x:c r="AC445" s="41" t="n">
        <x:f>VLOOKUP("Category|"&amp;P445,'Score settings'!$A$14:$C$43,3,FALSE)/'Score settings'!$B$5*'Score settings'!$D$5</x:f>
        <x:v>8.5</x:v>
      </x:c>
      <x:c r="AD445" s="41" t="n">
        <x:f>VLOOKUP("Area|"&amp;Q445,'Score settings'!$A$14:$C$43,3,FALSE)/'Score settings'!$B$6*'Score settings'!$D$6</x:f>
        <x:v>6.666666666666666</x:v>
      </x:c>
      <x:c r="AE445" s="41" t="n">
        <x:f>VLOOKUP("Benefits|"&amp;IF(AND(ISNUMBER(K445),K445&gt;0,ISNUMBER(G445),G445&gt;0),IF(K445/G445&gt;='Score settings'!$E$17,"3plus",IF(K445/G445&gt;='Score settings'!$E$16,"1.5to3",IF(K445/G445&gt;='Score settings'!$E$15,"0.5to1.5","positive"))),"None"),'Score settings'!$A$14:$C$43,3,FALSE)/'Score settings'!$B$7*'Score settings'!$D$7</x:f>
        <x:v>24</x:v>
      </x:c>
      <x:c r="AF445" s="41" t="n">
        <x:f>VLOOKUP("Waste|"&amp;R445,'Score settings'!$A$14:$C$43,3,FALSE)/'Score settings'!$B$8*'Score settings'!$D$8</x:f>
        <x:v>0</x:v>
      </x:c>
      <x:c r="AG445" s="41" t="n">
        <x:f>(IF(AND(ISNUMBER(M445),M445&gt;0,ISNUMBER(G445),G445&gt;0),IF(M445/G445&gt;='Score settings'!$E$17,'Score settings'!$G$17,IF(M445/G445&gt;='Score settings'!$E$16,'Score settings'!$G$16,IF(M445/G445&gt;='Score settings'!$E$15,'Score settings'!$G$15,'Score settings'!$G$14))),0)/15*'Score settings'!$B$60+IFERROR(VLOOKUP(IF(ISNUMBER(N445),N445,IF(ISNUMBER(L445),L445,0)),'Score settings'!$E$22:$F$26,2,FALSE),0)/10*'Score settings'!$B$61)/'Score settings'!$B$9*'Score settings'!$D$9</x:f>
        <x:v>0</x:v>
      </x:c>
      <x:c r="AH445" s="41" t="n">
        <x:f>IF(B445="","",SUM(AB445:AG445))</x:f>
        <x:v>49.96666666666666</x:v>
      </x:c>
      <x:c r="AI445" s="41" t="str">
        <x:f>IF(NOT(ISNUMBER(AH445)),"Not scored",VLOOKUP(AH445,'Score settings'!$A$47:$C$50,3,TRUE))</x:f>
        <x:v>Strong</x:v>
      </x:c>
      <x:c r="AJ445" s="42" t="str">
        <x:f>IF(OR(NOT(ISNUMBER(AH445)),T445&lt;&gt;"Common pot"),"",COUNTIFS($T$4:$T$509,"Common pot",$AH$4:$AH$509,"&gt;"&amp;AH445)+1)</x:f>
      </x:c>
      <x:c r="AK445" s="36" t="str">
        <x:f>IF(B445="","Name missing - not scored",IF(OR(NOT(ISNUMBER(G445)),G445&lt;=0),"Investment missing or zero - review",IF(0=1,"Permanent ID missing - reconcile",IF(AND(ISNUMBER(H445),H445/G445&gt;='Score settings'!$B$58,NOT(ISNUMBER(I445))),"Benefit units need review",IF(OR(R445="EXIT",R445="CHALLENGE"),"Waste decision requires scope resolution",IF("No exact waste match"&lt;&gt;"Name and organisation matched","Waste evidence match needs review","Provisional source score - confirm evidence"))))))</x:f>
        <x:v>Waste evidence match needs review</x:v>
      </x:c>
      <x:c r="AL445" s="36"/>
      <x:c r="AM445" s="40"/>
      <x:c r="AN445" s="39"/>
      <x:c r="AO445" s="40"/>
      <x:c r="AP445" s="40"/>
    </x:row>
    <x:row r="446" ht="15" hidden="0" customHeight="1">
      <x:c r="A446" s="36" t="str">
        <x:v>EW-124</x:v>
      </x:c>
      <x:c r="B446" s="37" t="str">
        <x:v>I2M Planisware : Audit Readiness &amp; Innovation Reporting Enablement</x:v>
      </x:c>
      <x:c r="C446" s="36" t="str">
        <x:v>EW</x:v>
      </x:c>
      <x:c r="D446" s="36" t="str">
        <x:v>Innovation and Design Business Operations</x:v>
      </x:c>
      <x:c r="E446" s="38" t="n">
        <x:v>0.5</x:v>
      </x:c>
      <x:c r="F446" s="39"/>
      <x:c r="G446" s="38" t="n">
        <x:f>IF(ISNUMBER(F446),F446,IF(E446="","",E446))</x:f>
        <x:v>0.5</x:v>
      </x:c>
      <x:c r="H446" s="38" t="n">
        <x:v>250</x:v>
      </x:c>
      <x:c r="I446" s="39"/>
      <x:c r="J446" s="36" t="str">
        <x:v>Risk exposure</x:v>
      </x:c>
      <x:c r="K446" s="38" t="str">
        <x:f>IF(ISNUMBER(I446),I446,IF(OR(NOT(ISNUMBER(H446)),NOT(ISNUMBER(G446)),G446&lt;=0),"",IF(H446/G446&gt;='Score settings'!$B$58,"",IF(J446="Cash savings",H446,IF(J446="Revenue",H446*'Score settings'!$B$55,"")))))</x:f>
      </x:c>
      <x:c r="L446" s="36" t="n">
        <x:v>4</x:v>
      </x:c>
      <x:c r="M446" s="39"/>
      <x:c r="N446" s="40"/>
      <x:c r="O446" s="36" t="str">
        <x:v>Must Do</x:v>
      </x:c>
      <x:c r="P446" s="36" t="str">
        <x:v>LFR</x:v>
      </x:c>
      <x:c r="Q446" s="36" t="str">
        <x:v>Compliance</x:v>
      </x:c>
      <x:c r="R446" s="36" t="str">
        <x:v>HEALTHY</x:v>
      </x:c>
      <x:c r="S446" s="36" t="str">
        <x:v>YES</x:v>
      </x:c>
      <x:c r="T446" s="36" t="str">
        <x:v>LFR validated candidate</x:v>
      </x:c>
      <x:c r="U446" s="41" t="n">
        <x:f>VLOOKUP("Priority|"&amp;O446,'Score settings'!$A$14:$C$43,2,FALSE)/'Score settings'!$B$4*'Score settings'!$C$4</x:f>
        <x:v>25</x:v>
      </x:c>
      <x:c r="V446" s="41" t="n">
        <x:f>VLOOKUP("Category|"&amp;P446,'Score settings'!$A$14:$C$43,2,FALSE)/'Score settings'!$B$5*'Score settings'!$C$5</x:f>
        <x:v>20</x:v>
      </x:c>
      <x:c r="W446" s="41" t="n">
        <x:f>VLOOKUP("Area|"&amp;Q446,'Score settings'!$A$14:$C$43,2,FALSE)/'Score settings'!$B$6*'Score settings'!$C$6</x:f>
        <x:v>15</x:v>
      </x:c>
      <x:c r="X446" s="41" t="n">
        <x:f>VLOOKUP("Benefits|"&amp;IF(AND(ISNUMBER(H446),H446&gt;0,ISNUMBER(G446),G446&gt;0),IF(H446/G446&gt;='Score settings'!$E$17,"3plus",IF(H446/G446&gt;='Score settings'!$E$16,"1.5to3",IF(H446/G446&gt;='Score settings'!$E$15,"0.5to1.5","positive"))),"None"),'Score settings'!$A$14:$C$43,2,FALSE)/'Score settings'!$B$7*'Score settings'!$C$7</x:f>
        <x:v>25</x:v>
      </x:c>
      <x:c r="Y446" s="41" t="n">
        <x:f>VLOOKUP("Waste|"&amp;R446,'Score settings'!$A$14:$C$43,2,FALSE)/'Score settings'!$B$8*'Score settings'!$C$8</x:f>
        <x:v>15</x:v>
      </x:c>
      <x:c r="Z446" s="41" t="n">
        <x:f>IF(B446="","",SUM(U446:Y446))</x:f>
        <x:v>100</x:v>
      </x:c>
      <x:c r="AA446" s="41" t="str">
        <x:f>IF(Z446="","Not scored",VLOOKUP(Z446,'Score settings'!$A$47:$C$50,2,TRUE))</x:f>
        <x:v>Protected</x:v>
      </x:c>
      <x:c r="AB446" s="41" t="n">
        <x:f>VLOOKUP("Priority|"&amp;O446,'Score settings'!$A$14:$C$43,3,FALSE)/'Score settings'!$B$4*'Score settings'!$D$4</x:f>
        <x:v>15</x:v>
      </x:c>
      <x:c r="AC446" s="41" t="n">
        <x:f>VLOOKUP("Category|"&amp;P446,'Score settings'!$A$14:$C$43,3,FALSE)/'Score settings'!$B$5*'Score settings'!$D$5</x:f>
        <x:v>10</x:v>
      </x:c>
      <x:c r="AD446" s="41" t="n">
        <x:f>VLOOKUP("Area|"&amp;Q446,'Score settings'!$A$14:$C$43,3,FALSE)/'Score settings'!$B$6*'Score settings'!$D$6</x:f>
        <x:v>10</x:v>
      </x:c>
      <x:c r="AE446" s="41" t="n">
        <x:f>VLOOKUP("Benefits|"&amp;IF(AND(ISNUMBER(K446),K446&gt;0,ISNUMBER(G446),G446&gt;0),IF(K446/G446&gt;='Score settings'!$E$17,"3plus",IF(K446/G446&gt;='Score settings'!$E$16,"1.5to3",IF(K446/G446&gt;='Score settings'!$E$15,"0.5to1.5","positive"))),"None"),'Score settings'!$A$14:$C$43,3,FALSE)/'Score settings'!$B$7*'Score settings'!$D$7</x:f>
        <x:v>0</x:v>
      </x:c>
      <x:c r="AF446" s="41" t="n">
        <x:f>VLOOKUP("Waste|"&amp;R446,'Score settings'!$A$14:$C$43,3,FALSE)/'Score settings'!$B$8*'Score settings'!$D$8</x:f>
        <x:v>10</x:v>
      </x:c>
      <x:c r="AG446" s="41" t="n">
        <x:f>(IF(AND(ISNUMBER(M446),M446&gt;0,ISNUMBER(G446),G446&gt;0),IF(M446/G446&gt;='Score settings'!$E$17,'Score settings'!$G$17,IF(M446/G446&gt;='Score settings'!$E$16,'Score settings'!$G$16,IF(M446/G446&gt;='Score settings'!$E$15,'Score settings'!$G$15,'Score settings'!$G$14))),0)/15*'Score settings'!$B$60+IFERROR(VLOOKUP(IF(ISNUMBER(N446),N446,IF(ISNUMBER(L446),L446,0)),'Score settings'!$E$22:$F$26,2,FALSE),0)/10*'Score settings'!$B$61)/'Score settings'!$B$9*'Score settings'!$D$9</x:f>
        <x:v>8</x:v>
      </x:c>
      <x:c r="AH446" s="41" t="n">
        <x:f>IF(B446="","",SUM(AB446:AG446))</x:f>
        <x:v>53</x:v>
      </x:c>
      <x:c r="AI446" s="41" t="str">
        <x:f>IF(NOT(ISNUMBER(AH446)),"Not scored",VLOOKUP(AH446,'Score settings'!$A$47:$C$50,3,TRUE))</x:f>
        <x:v>Strong</x:v>
      </x:c>
      <x:c r="AJ446" s="42" t="str">
        <x:f>IF(OR(NOT(ISNUMBER(AH446)),T446&lt;&gt;"Common pot"),"",COUNTIFS($T$4:$T$509,"Common pot",$AH$4:$AH$509,"&gt;"&amp;AH446)+1)</x:f>
      </x:c>
      <x:c r="AK446" s="36" t="str">
        <x:f>IF(B446="","Name missing - not scored",IF(OR(NOT(ISNUMBER(G446)),G446&lt;=0),"Investment missing or zero - review",IF(0=1,"Permanent ID missing - reconcile",IF(AND(ISNUMBER(H446),H446/G446&gt;='Score settings'!$B$58,NOT(ISNUMBER(I446))),"Benefit units need review",IF(OR(R446="EXIT",R446="CHALLENGE"),"Waste decision requires scope resolution",IF("Name and organisation matched"&lt;&gt;"Name and organisation matched","Waste evidence match needs review","Provisional source score - confirm evidence"))))))</x:f>
        <x:v>Benefit units need review</x:v>
      </x:c>
      <x:c r="AL446" s="36" t="n">
        <x:v>20</x:v>
      </x:c>
      <x:c r="AM446" s="40"/>
      <x:c r="AN446" s="39"/>
      <x:c r="AO446" s="40"/>
      <x:c r="AP446" s="40"/>
    </x:row>
    <x:row r="447" ht="24" hidden="0" customHeight="1">
      <x:c r="A447" s="36" t="str">
        <x:v>EW-125</x:v>
      </x:c>
      <x:c r="B447" s="37" t="str">
        <x:v>I2M Planisware : AI-Driven Portfolio Management focused on Insights &amp; Value Realization</x:v>
      </x:c>
      <x:c r="C447" s="36" t="str">
        <x:v>EW</x:v>
      </x:c>
      <x:c r="D447" s="36" t="str">
        <x:v>Innovation and Design Business Operations</x:v>
      </x:c>
      <x:c r="E447" s="38" t="n">
        <x:v>1</x:v>
      </x:c>
      <x:c r="F447" s="39"/>
      <x:c r="G447" s="38" t="n">
        <x:f>IF(ISNUMBER(F447),F447,IF(E447="","",E447))</x:f>
        <x:v>1</x:v>
      </x:c>
      <x:c r="H447" s="38" t="n">
        <x:v>42.5</x:v>
      </x:c>
      <x:c r="I447" s="39"/>
      <x:c r="J447" s="36" t="str">
        <x:v>Cash savings</x:v>
      </x:c>
      <x:c r="K447" s="38" t="n">
        <x:f>IF(ISNUMBER(I447),I447,IF(OR(NOT(ISNUMBER(H447)),NOT(ISNUMBER(G447)),G447&lt;=0),"",IF(H447/G447&gt;='Score settings'!$B$58,"",IF(J447="Cash savings",H447,IF(J447="Revenue",H447*'Score settings'!$B$55,"")))))</x:f>
        <x:v>42.5</x:v>
      </x:c>
      <x:c r="L447" s="36"/>
      <x:c r="M447" s="39"/>
      <x:c r="N447" s="40"/>
      <x:c r="O447" s="36" t="str">
        <x:v>Must Have</x:v>
      </x:c>
      <x:c r="P447" s="36" t="str">
        <x:v>CI</x:v>
      </x:c>
      <x:c r="Q447" s="36" t="str">
        <x:v>ProcSimp</x:v>
      </x:c>
      <x:c r="R447" s="36" t="str">
        <x:v>HEALTHY</x:v>
      </x:c>
      <x:c r="S447" s="36" t="str"/>
      <x:c r="T447" s="36" t="str">
        <x:v>Common pot</x:v>
      </x:c>
      <x:c r="U447" s="41" t="n">
        <x:f>VLOOKUP("Priority|"&amp;O447,'Score settings'!$A$14:$C$43,2,FALSE)/'Score settings'!$B$4*'Score settings'!$C$4</x:f>
        <x:v>18</x:v>
      </x:c>
      <x:c r="V447" s="41" t="n">
        <x:f>VLOOKUP("Category|"&amp;P447,'Score settings'!$A$14:$C$43,2,FALSE)/'Score settings'!$B$5*'Score settings'!$C$5</x:f>
        <x:v>8</x:v>
      </x:c>
      <x:c r="W447" s="41" t="n">
        <x:f>VLOOKUP("Area|"&amp;Q447,'Score settings'!$A$14:$C$43,2,FALSE)/'Score settings'!$B$6*'Score settings'!$C$6</x:f>
        <x:v>12</x:v>
      </x:c>
      <x:c r="X447" s="41" t="n">
        <x:f>VLOOKUP("Benefits|"&amp;IF(AND(ISNUMBER(H447),H447&gt;0,ISNUMBER(G447),G447&gt;0),IF(H447/G447&gt;='Score settings'!$E$17,"3plus",IF(H447/G447&gt;='Score settings'!$E$16,"1.5to3",IF(H447/G447&gt;='Score settings'!$E$15,"0.5to1.5","positive"))),"None"),'Score settings'!$A$14:$C$43,2,FALSE)/'Score settings'!$B$7*'Score settings'!$C$7</x:f>
        <x:v>25</x:v>
      </x:c>
      <x:c r="Y447" s="41" t="n">
        <x:f>VLOOKUP("Waste|"&amp;R447,'Score settings'!$A$14:$C$43,2,FALSE)/'Score settings'!$B$8*'Score settings'!$C$8</x:f>
        <x:v>15</x:v>
      </x:c>
      <x:c r="Z447" s="41" t="n">
        <x:f>IF(B447="","",SUM(U447:Y447))</x:f>
        <x:v>78</x:v>
      </x:c>
      <x:c r="AA447" s="41" t="str">
        <x:f>IF(Z447="","Not scored",VLOOKUP(Z447,'Score settings'!$A$47:$C$50,2,TRUE))</x:f>
        <x:v>Protected</x:v>
      </x:c>
      <x:c r="AB447" s="41" t="n">
        <x:f>VLOOKUP("Priority|"&amp;O447,'Score settings'!$A$14:$C$43,3,FALSE)/'Score settings'!$B$4*'Score settings'!$D$4</x:f>
        <x:v>10.799999999999999</x:v>
      </x:c>
      <x:c r="AC447" s="41" t="n">
        <x:f>VLOOKUP("Category|"&amp;P447,'Score settings'!$A$14:$C$43,3,FALSE)/'Score settings'!$B$5*'Score settings'!$D$5</x:f>
        <x:v>4</x:v>
      </x:c>
      <x:c r="AD447" s="41" t="n">
        <x:f>VLOOKUP("Area|"&amp;Q447,'Score settings'!$A$14:$C$43,3,FALSE)/'Score settings'!$B$6*'Score settings'!$D$6</x:f>
        <x:v>8</x:v>
      </x:c>
      <x:c r="AE447" s="41" t="n">
        <x:f>VLOOKUP("Benefits|"&amp;IF(AND(ISNUMBER(K447),K447&gt;0,ISNUMBER(G447),G447&gt;0),IF(K447/G447&gt;='Score settings'!$E$17,"3plus",IF(K447/G447&gt;='Score settings'!$E$16,"1.5to3",IF(K447/G447&gt;='Score settings'!$E$15,"0.5to1.5","positive"))),"None"),'Score settings'!$A$14:$C$43,3,FALSE)/'Score settings'!$B$7*'Score settings'!$D$7</x:f>
        <x:v>30</x:v>
      </x:c>
      <x:c r="AF447" s="41" t="n">
        <x:f>VLOOKUP("Waste|"&amp;R447,'Score settings'!$A$14:$C$43,3,FALSE)/'Score settings'!$B$8*'Score settings'!$D$8</x:f>
        <x:v>10</x:v>
      </x:c>
      <x:c r="AG447" s="41" t="n">
        <x:f>(IF(AND(ISNUMBER(M447),M447&gt;0,ISNUMBER(G447),G447&gt;0),IF(M447/G447&gt;='Score settings'!$E$17,'Score settings'!$G$17,IF(M447/G447&gt;='Score settings'!$E$16,'Score settings'!$G$16,IF(M447/G447&gt;='Score settings'!$E$15,'Score settings'!$G$15,'Score settings'!$G$14))),0)/15*'Score settings'!$B$60+IFERROR(VLOOKUP(IF(ISNUMBER(N447),N447,IF(ISNUMBER(L447),L447,0)),'Score settings'!$E$22:$F$26,2,FALSE),0)/10*'Score settings'!$B$61)/'Score settings'!$B$9*'Score settings'!$D$9</x:f>
        <x:v>0</x:v>
      </x:c>
      <x:c r="AH447" s="41" t="n">
        <x:f>IF(B447="","",SUM(AB447:AG447))</x:f>
        <x:v>62.8</x:v>
      </x:c>
      <x:c r="AI447" s="41" t="str">
        <x:f>IF(NOT(ISNUMBER(AH447)),"Not scored",VLOOKUP(AH447,'Score settings'!$A$47:$C$50,3,TRUE))</x:f>
        <x:v>Strong</x:v>
      </x:c>
      <x:c r="AJ447" s="42" t="n">
        <x:f>IF(OR(NOT(ISNUMBER(AH447)),T447&lt;&gt;"Common pot"),"",COUNTIFS($T$4:$T$509,"Common pot",$AH$4:$AH$509,"&gt;"&amp;AH447)+1)</x:f>
        <x:v>14</x:v>
      </x:c>
      <x:c r="AK447" s="36" t="str">
        <x:f>IF(B447="","Name missing - not scored",IF(OR(NOT(ISNUMBER(G447)),G447&lt;=0),"Investment missing or zero - review",IF(0=1,"Permanent ID missing - reconcile",IF(AND(ISNUMBER(H447),H447/G447&gt;='Score settings'!$B$58,NOT(ISNUMBER(I447))),"Benefit units need review",IF(OR(R447="EXIT",R447="CHALLENGE"),"Waste decision requires scope resolution",IF("Name and organisation matched"&lt;&gt;"Name and organisation matched","Waste evidence match needs review","Provisional source score - confirm evidence"))))))</x:f>
        <x:v>Provisional source score - confirm evidence</x:v>
      </x:c>
      <x:c r="AL447" s="36"/>
      <x:c r="AM447" s="40"/>
      <x:c r="AN447" s="39"/>
      <x:c r="AO447" s="40"/>
      <x:c r="AP447" s="40"/>
    </x:row>
    <x:row r="448" ht="15" hidden="0" customHeight="1">
      <x:c r="A448" s="36" t="str">
        <x:v>EW-126</x:v>
      </x:c>
      <x:c r="B448" s="37" t="str">
        <x:v>MCP Service Windchill</x:v>
      </x:c>
      <x:c r="C448" s="36" t="str">
        <x:v>EW</x:v>
      </x:c>
      <x:c r="D448" s="36" t="str">
        <x:v>Innovation and Design Business Operations</x:v>
      </x:c>
      <x:c r="E448" s="38" t="n">
        <x:v>0.1</x:v>
      </x:c>
      <x:c r="F448" s="39"/>
      <x:c r="G448" s="38" t="n">
        <x:f>IF(ISNUMBER(F448),F448,IF(E448="","",E448))</x:f>
        <x:v>0.1</x:v>
      </x:c>
      <x:c r="H448" s="38"/>
      <x:c r="I448" s="39"/>
      <x:c r="J448" s="36" t="str">
        <x:v>Cash savings</x:v>
      </x:c>
      <x:c r="K448" s="38" t="str">
        <x:f>IF(ISNUMBER(I448),I448,IF(OR(NOT(ISNUMBER(H448)),NOT(ISNUMBER(G448)),G448&lt;=0),"",IF(H448/G448&gt;='Score settings'!$B$58,"",IF(J448="Cash savings",H448,IF(J448="Revenue",H448*'Score settings'!$B$55,"")))))</x:f>
      </x:c>
      <x:c r="L448" s="36"/>
      <x:c r="M448" s="39"/>
      <x:c r="N448" s="40"/>
      <x:c r="O448" s="36" t="str">
        <x:v>Must Have</x:v>
      </x:c>
      <x:c r="P448" s="36" t="str">
        <x:v>CI</x:v>
      </x:c>
      <x:c r="Q448" s="36" t="str">
        <x:v>ProcSimp</x:v>
      </x:c>
      <x:c r="R448" s="36" t="str">
        <x:v>HEALTHY</x:v>
      </x:c>
      <x:c r="S448" s="36" t="str"/>
      <x:c r="T448" s="36" t="str">
        <x:v>Common pot</x:v>
      </x:c>
      <x:c r="U448" s="41" t="n">
        <x:f>VLOOKUP("Priority|"&amp;O448,'Score settings'!$A$14:$C$43,2,FALSE)/'Score settings'!$B$4*'Score settings'!$C$4</x:f>
        <x:v>18</x:v>
      </x:c>
      <x:c r="V448" s="41" t="n">
        <x:f>VLOOKUP("Category|"&amp;P448,'Score settings'!$A$14:$C$43,2,FALSE)/'Score settings'!$B$5*'Score settings'!$C$5</x:f>
        <x:v>8</x:v>
      </x:c>
      <x:c r="W448" s="41" t="n">
        <x:f>VLOOKUP("Area|"&amp;Q448,'Score settings'!$A$14:$C$43,2,FALSE)/'Score settings'!$B$6*'Score settings'!$C$6</x:f>
        <x:v>12</x:v>
      </x:c>
      <x:c r="X448" s="41" t="n">
        <x:f>VLOOKUP("Benefits|"&amp;IF(AND(ISNUMBER(H448),H448&gt;0,ISNUMBER(G448),G448&gt;0),IF(H448/G448&gt;='Score settings'!$E$17,"3plus",IF(H448/G448&gt;='Score settings'!$E$16,"1.5to3",IF(H448/G448&gt;='Score settings'!$E$15,"0.5to1.5","positive"))),"None"),'Score settings'!$A$14:$C$43,2,FALSE)/'Score settings'!$B$7*'Score settings'!$C$7</x:f>
        <x:v>5</x:v>
      </x:c>
      <x:c r="Y448" s="41" t="n">
        <x:f>VLOOKUP("Waste|"&amp;R448,'Score settings'!$A$14:$C$43,2,FALSE)/'Score settings'!$B$8*'Score settings'!$C$8</x:f>
        <x:v>15</x:v>
      </x:c>
      <x:c r="Z448" s="41" t="n">
        <x:f>IF(B448="","",SUM(U448:Y448))</x:f>
        <x:v>58</x:v>
      </x:c>
      <x:c r="AA448" s="41" t="str">
        <x:f>IF(Z448="","Not scored",VLOOKUP(Z448,'Score settings'!$A$47:$C$50,2,TRUE))</x:f>
        <x:v>Strong</x:v>
      </x:c>
      <x:c r="AB448" s="41" t="n">
        <x:f>VLOOKUP("Priority|"&amp;O448,'Score settings'!$A$14:$C$43,3,FALSE)/'Score settings'!$B$4*'Score settings'!$D$4</x:f>
        <x:v>10.799999999999999</x:v>
      </x:c>
      <x:c r="AC448" s="41" t="n">
        <x:f>VLOOKUP("Category|"&amp;P448,'Score settings'!$A$14:$C$43,3,FALSE)/'Score settings'!$B$5*'Score settings'!$D$5</x:f>
        <x:v>4</x:v>
      </x:c>
      <x:c r="AD448" s="41" t="n">
        <x:f>VLOOKUP("Area|"&amp;Q448,'Score settings'!$A$14:$C$43,3,FALSE)/'Score settings'!$B$6*'Score settings'!$D$6</x:f>
        <x:v>8</x:v>
      </x:c>
      <x:c r="AE448" s="41" t="n">
        <x:f>VLOOKUP("Benefits|"&amp;IF(AND(ISNUMBER(K448),K448&gt;0,ISNUMBER(G448),G448&gt;0),IF(K448/G448&gt;='Score settings'!$E$17,"3plus",IF(K448/G448&gt;='Score settings'!$E$16,"1.5to3",IF(K448/G448&gt;='Score settings'!$E$15,"0.5to1.5","positive"))),"None"),'Score settings'!$A$14:$C$43,3,FALSE)/'Score settings'!$B$7*'Score settings'!$D$7</x:f>
        <x:v>0</x:v>
      </x:c>
      <x:c r="AF448" s="41" t="n">
        <x:f>VLOOKUP("Waste|"&amp;R448,'Score settings'!$A$14:$C$43,3,FALSE)/'Score settings'!$B$8*'Score settings'!$D$8</x:f>
        <x:v>10</x:v>
      </x:c>
      <x:c r="AG448" s="41" t="n">
        <x:f>(IF(AND(ISNUMBER(M448),M448&gt;0,ISNUMBER(G448),G448&gt;0),IF(M448/G448&gt;='Score settings'!$E$17,'Score settings'!$G$17,IF(M448/G448&gt;='Score settings'!$E$16,'Score settings'!$G$16,IF(M448/G448&gt;='Score settings'!$E$15,'Score settings'!$G$15,'Score settings'!$G$14))),0)/15*'Score settings'!$B$60+IFERROR(VLOOKUP(IF(ISNUMBER(N448),N448,IF(ISNUMBER(L448),L448,0)),'Score settings'!$E$22:$F$26,2,FALSE),0)/10*'Score settings'!$B$61)/'Score settings'!$B$9*'Score settings'!$D$9</x:f>
        <x:v>0</x:v>
      </x:c>
      <x:c r="AH448" s="41" t="n">
        <x:f>IF(B448="","",SUM(AB448:AG448))</x:f>
        <x:v>32.8</x:v>
      </x:c>
      <x:c r="AI448" s="41" t="str">
        <x:f>IF(NOT(ISNUMBER(AH448)),"Not scored",VLOOKUP(AH448,'Score settings'!$A$47:$C$50,3,TRUE))</x:f>
        <x:v>Discretionary</x:v>
      </x:c>
      <x:c r="AJ448" s="42" t="n">
        <x:f>IF(OR(NOT(ISNUMBER(AH448)),T448&lt;&gt;"Common pot"),"",COUNTIFS($T$4:$T$509,"Common pot",$AH$4:$AH$509,"&gt;"&amp;AH448)+1)</x:f>
        <x:v>164</x:v>
      </x:c>
      <x:c r="AK448" s="36" t="str">
        <x:f>IF(B448="","Name missing - not scored",IF(OR(NOT(ISNUMBER(G448)),G448&lt;=0),"Investment missing or zero - review",IF(0=1,"Permanent ID missing - reconcile",IF(AND(ISNUMBER(H448),H448/G448&gt;='Score settings'!$B$58,NOT(ISNUMBER(I448))),"Benefit units need review",IF(OR(R448="EXIT",R448="CHALLENGE"),"Waste decision requires scope resolution",IF("Name and organisation matched"&lt;&gt;"Name and organisation matched","Waste evidence match needs review","Provisional source score - confirm evidence"))))))</x:f>
        <x:v>Provisional source score - confirm evidence</x:v>
      </x:c>
      <x:c r="AL448" s="36"/>
      <x:c r="AM448" s="40"/>
      <x:c r="AN448" s="39"/>
      <x:c r="AO448" s="40"/>
      <x:c r="AP448" s="40"/>
    </x:row>
    <x:row r="449" ht="24" hidden="0" customHeight="1">
      <x:c r="A449" s="36" t="str">
        <x:v>EW-127</x:v>
      </x:c>
      <x:c r="B449" s="37" t="str">
        <x:v>Digitization of Business Case template: Future proof and AI-powered for smart Portfolio prioritization</x:v>
      </x:c>
      <x:c r="C449" s="36" t="str">
        <x:v>EW</x:v>
      </x:c>
      <x:c r="D449" s="36" t="str">
        <x:v>Innovation and Design Business Operations</x:v>
      </x:c>
      <x:c r="E449" s="38" t="n">
        <x:v>2.5</x:v>
      </x:c>
      <x:c r="F449" s="39"/>
      <x:c r="G449" s="38" t="n">
        <x:f>IF(ISNUMBER(F449),F449,IF(E449="","",E449))</x:f>
        <x:v>2.5</x:v>
      </x:c>
      <x:c r="H449" s="38"/>
      <x:c r="I449" s="39"/>
      <x:c r="J449" s="36" t="str">
        <x:v>Cash savings</x:v>
      </x:c>
      <x:c r="K449" s="38" t="str">
        <x:f>IF(ISNUMBER(I449),I449,IF(OR(NOT(ISNUMBER(H449)),NOT(ISNUMBER(G449)),G449&lt;=0),"",IF(H449/G449&gt;='Score settings'!$B$58,"",IF(J449="Cash savings",H449,IF(J449="Revenue",H449*'Score settings'!$B$55,"")))))</x:f>
      </x:c>
      <x:c r="L449" s="36" t="n">
        <x:v>4</x:v>
      </x:c>
      <x:c r="M449" s="39"/>
      <x:c r="N449" s="40"/>
      <x:c r="O449" s="36" t="str">
        <x:v>Must Have</x:v>
      </x:c>
      <x:c r="P449" s="36" t="str">
        <x:v>CI</x:v>
      </x:c>
      <x:c r="Q449" s="36" t="str">
        <x:v>ProcSimp</x:v>
      </x:c>
      <x:c r="R449" s="36" t="str">
        <x:v>HEALTHY</x:v>
      </x:c>
      <x:c r="S449" s="36" t="str">
        <x:v>YES</x:v>
      </x:c>
      <x:c r="T449" s="36" t="str">
        <x:v>LFR validated candidate</x:v>
      </x:c>
      <x:c r="U449" s="41" t="n">
        <x:f>VLOOKUP("Priority|"&amp;O449,'Score settings'!$A$14:$C$43,2,FALSE)/'Score settings'!$B$4*'Score settings'!$C$4</x:f>
        <x:v>18</x:v>
      </x:c>
      <x:c r="V449" s="41" t="n">
        <x:f>VLOOKUP("Category|"&amp;P449,'Score settings'!$A$14:$C$43,2,FALSE)/'Score settings'!$B$5*'Score settings'!$C$5</x:f>
        <x:v>8</x:v>
      </x:c>
      <x:c r="W449" s="41" t="n">
        <x:f>VLOOKUP("Area|"&amp;Q449,'Score settings'!$A$14:$C$43,2,FALSE)/'Score settings'!$B$6*'Score settings'!$C$6</x:f>
        <x:v>12</x:v>
      </x:c>
      <x:c r="X449" s="41" t="n">
        <x:f>VLOOKUP("Benefits|"&amp;IF(AND(ISNUMBER(H449),H449&gt;0,ISNUMBER(G449),G449&gt;0),IF(H449/G449&gt;='Score settings'!$E$17,"3plus",IF(H449/G449&gt;='Score settings'!$E$16,"1.5to3",IF(H449/G449&gt;='Score settings'!$E$15,"0.5to1.5","positive"))),"None"),'Score settings'!$A$14:$C$43,2,FALSE)/'Score settings'!$B$7*'Score settings'!$C$7</x:f>
        <x:v>5</x:v>
      </x:c>
      <x:c r="Y449" s="41" t="n">
        <x:f>VLOOKUP("Waste|"&amp;R449,'Score settings'!$A$14:$C$43,2,FALSE)/'Score settings'!$B$8*'Score settings'!$C$8</x:f>
        <x:v>15</x:v>
      </x:c>
      <x:c r="Z449" s="41" t="n">
        <x:f>IF(B449="","",SUM(U449:Y449))</x:f>
        <x:v>58</x:v>
      </x:c>
      <x:c r="AA449" s="41" t="str">
        <x:f>IF(Z449="","Not scored",VLOOKUP(Z449,'Score settings'!$A$47:$C$50,2,TRUE))</x:f>
        <x:v>Strong</x:v>
      </x:c>
      <x:c r="AB449" s="41" t="n">
        <x:f>VLOOKUP("Priority|"&amp;O449,'Score settings'!$A$14:$C$43,3,FALSE)/'Score settings'!$B$4*'Score settings'!$D$4</x:f>
        <x:v>10.799999999999999</x:v>
      </x:c>
      <x:c r="AC449" s="41" t="n">
        <x:f>VLOOKUP("Category|"&amp;P449,'Score settings'!$A$14:$C$43,3,FALSE)/'Score settings'!$B$5*'Score settings'!$D$5</x:f>
        <x:v>4</x:v>
      </x:c>
      <x:c r="AD449" s="41" t="n">
        <x:f>VLOOKUP("Area|"&amp;Q449,'Score settings'!$A$14:$C$43,3,FALSE)/'Score settings'!$B$6*'Score settings'!$D$6</x:f>
        <x:v>8</x:v>
      </x:c>
      <x:c r="AE449" s="41" t="n">
        <x:f>VLOOKUP("Benefits|"&amp;IF(AND(ISNUMBER(K449),K449&gt;0,ISNUMBER(G449),G449&gt;0),IF(K449/G449&gt;='Score settings'!$E$17,"3plus",IF(K449/G449&gt;='Score settings'!$E$16,"1.5to3",IF(K449/G449&gt;='Score settings'!$E$15,"0.5to1.5","positive"))),"None"),'Score settings'!$A$14:$C$43,3,FALSE)/'Score settings'!$B$7*'Score settings'!$D$7</x:f>
        <x:v>0</x:v>
      </x:c>
      <x:c r="AF449" s="41" t="n">
        <x:f>VLOOKUP("Waste|"&amp;R449,'Score settings'!$A$14:$C$43,3,FALSE)/'Score settings'!$B$8*'Score settings'!$D$8</x:f>
        <x:v>10</x:v>
      </x:c>
      <x:c r="AG449" s="41" t="n">
        <x:f>(IF(AND(ISNUMBER(M449),M449&gt;0,ISNUMBER(G449),G449&gt;0),IF(M449/G449&gt;='Score settings'!$E$17,'Score settings'!$G$17,IF(M449/G449&gt;='Score settings'!$E$16,'Score settings'!$G$16,IF(M449/G449&gt;='Score settings'!$E$15,'Score settings'!$G$15,'Score settings'!$G$14))),0)/15*'Score settings'!$B$60+IFERROR(VLOOKUP(IF(ISNUMBER(N449),N449,IF(ISNUMBER(L449),L449,0)),'Score settings'!$E$22:$F$26,2,FALSE),0)/10*'Score settings'!$B$61)/'Score settings'!$B$9*'Score settings'!$D$9</x:f>
        <x:v>8</x:v>
      </x:c>
      <x:c r="AH449" s="41" t="n">
        <x:f>IF(B449="","",SUM(AB449:AG449))</x:f>
        <x:v>40.8</x:v>
      </x:c>
      <x:c r="AI449" s="41" t="str">
        <x:f>IF(NOT(ISNUMBER(AH449)),"Not scored",VLOOKUP(AH449,'Score settings'!$A$47:$C$50,3,TRUE))</x:f>
        <x:v>Discretionary</x:v>
      </x:c>
      <x:c r="AJ449" s="42" t="str">
        <x:f>IF(OR(NOT(ISNUMBER(AH449)),T449&lt;&gt;"Common pot"),"",COUNTIFS($T$4:$T$509,"Common pot",$AH$4:$AH$509,"&gt;"&amp;AH449)+1)</x:f>
      </x:c>
      <x:c r="AK449" s="36" t="str">
        <x:f>IF(B449="","Name missing - not scored",IF(OR(NOT(ISNUMBER(G449)),G449&lt;=0),"Investment missing or zero - review",IF(0=1,"Permanent ID missing - reconcile",IF(AND(ISNUMBER(H449),H449/G449&gt;='Score settings'!$B$58,NOT(ISNUMBER(I449))),"Benefit units need review",IF(OR(R449="EXIT",R449="CHALLENGE"),"Waste decision requires scope resolution",IF("Name and organisation matched"&lt;&gt;"Name and organisation matched","Waste evidence match needs review","Provisional source score - confirm evidence"))))))</x:f>
        <x:v>Provisional source score - confirm evidence</x:v>
      </x:c>
      <x:c r="AL449" s="36" t="n">
        <x:v>20</x:v>
      </x:c>
      <x:c r="AM449" s="40"/>
      <x:c r="AN449" s="39"/>
      <x:c r="AO449" s="40"/>
      <x:c r="AP449" s="40"/>
    </x:row>
    <x:row r="450" ht="15" hidden="0" customHeight="1">
      <x:c r="A450" s="36" t="str">
        <x:v>EW-128</x:v>
      </x:c>
      <x:c r="B450" s="37" t="str">
        <x:v>Integrated project &amp; business performance modernization</x:v>
      </x:c>
      <x:c r="C450" s="36" t="str">
        <x:v>EW</x:v>
      </x:c>
      <x:c r="D450" s="36" t="str">
        <x:v>Innovation and Design Business Operations</x:v>
      </x:c>
      <x:c r="E450" s="38" t="n">
        <x:v>0.09</x:v>
      </x:c>
      <x:c r="F450" s="39"/>
      <x:c r="G450" s="38" t="n">
        <x:f>IF(ISNUMBER(F450),F450,IF(E450="","",E450))</x:f>
        <x:v>0.09</x:v>
      </x:c>
      <x:c r="H450" s="38" t="n">
        <x:v>0.55</x:v>
      </x:c>
      <x:c r="I450" s="39"/>
      <x:c r="J450" s="36" t="str">
        <x:v>Cash savings</x:v>
      </x:c>
      <x:c r="K450" s="38" t="n">
        <x:f>IF(ISNUMBER(I450),I450,IF(OR(NOT(ISNUMBER(H450)),NOT(ISNUMBER(G450)),G450&lt;=0),"",IF(H450/G450&gt;='Score settings'!$B$58,"",IF(J450="Cash savings",H450,IF(J450="Revenue",H450*'Score settings'!$B$55,"")))))</x:f>
        <x:v>0.55</x:v>
      </x:c>
      <x:c r="L450" s="36"/>
      <x:c r="M450" s="39"/>
      <x:c r="N450" s="40"/>
      <x:c r="O450" s="36" t="str">
        <x:v>Must Have</x:v>
      </x:c>
      <x:c r="P450" s="36" t="str">
        <x:v>CI</x:v>
      </x:c>
      <x:c r="Q450" s="36" t="str">
        <x:v>ProcSimp</x:v>
      </x:c>
      <x:c r="R450" s="36" t="str">
        <x:v>HEALTHY</x:v>
      </x:c>
      <x:c r="S450" s="36" t="str"/>
      <x:c r="T450" s="36" t="str">
        <x:v>Common pot</x:v>
      </x:c>
      <x:c r="U450" s="41" t="n">
        <x:f>VLOOKUP("Priority|"&amp;O450,'Score settings'!$A$14:$C$43,2,FALSE)/'Score settings'!$B$4*'Score settings'!$C$4</x:f>
        <x:v>18</x:v>
      </x:c>
      <x:c r="V450" s="41" t="n">
        <x:f>VLOOKUP("Category|"&amp;P450,'Score settings'!$A$14:$C$43,2,FALSE)/'Score settings'!$B$5*'Score settings'!$C$5</x:f>
        <x:v>8</x:v>
      </x:c>
      <x:c r="W450" s="41" t="n">
        <x:f>VLOOKUP("Area|"&amp;Q450,'Score settings'!$A$14:$C$43,2,FALSE)/'Score settings'!$B$6*'Score settings'!$C$6</x:f>
        <x:v>12</x:v>
      </x:c>
      <x:c r="X450" s="41" t="n">
        <x:f>VLOOKUP("Benefits|"&amp;IF(AND(ISNUMBER(H450),H450&gt;0,ISNUMBER(G450),G450&gt;0),IF(H450/G450&gt;='Score settings'!$E$17,"3plus",IF(H450/G450&gt;='Score settings'!$E$16,"1.5to3",IF(H450/G450&gt;='Score settings'!$E$15,"0.5to1.5","positive"))),"None"),'Score settings'!$A$14:$C$43,2,FALSE)/'Score settings'!$B$7*'Score settings'!$C$7</x:f>
        <x:v>25</x:v>
      </x:c>
      <x:c r="Y450" s="41" t="n">
        <x:f>VLOOKUP("Waste|"&amp;R450,'Score settings'!$A$14:$C$43,2,FALSE)/'Score settings'!$B$8*'Score settings'!$C$8</x:f>
        <x:v>15</x:v>
      </x:c>
      <x:c r="Z450" s="41" t="n">
        <x:f>IF(B450="","",SUM(U450:Y450))</x:f>
        <x:v>78</x:v>
      </x:c>
      <x:c r="AA450" s="41" t="str">
        <x:f>IF(Z450="","Not scored",VLOOKUP(Z450,'Score settings'!$A$47:$C$50,2,TRUE))</x:f>
        <x:v>Protected</x:v>
      </x:c>
      <x:c r="AB450" s="41" t="n">
        <x:f>VLOOKUP("Priority|"&amp;O450,'Score settings'!$A$14:$C$43,3,FALSE)/'Score settings'!$B$4*'Score settings'!$D$4</x:f>
        <x:v>10.799999999999999</x:v>
      </x:c>
      <x:c r="AC450" s="41" t="n">
        <x:f>VLOOKUP("Category|"&amp;P450,'Score settings'!$A$14:$C$43,3,FALSE)/'Score settings'!$B$5*'Score settings'!$D$5</x:f>
        <x:v>4</x:v>
      </x:c>
      <x:c r="AD450" s="41" t="n">
        <x:f>VLOOKUP("Area|"&amp;Q450,'Score settings'!$A$14:$C$43,3,FALSE)/'Score settings'!$B$6*'Score settings'!$D$6</x:f>
        <x:v>8</x:v>
      </x:c>
      <x:c r="AE450" s="41" t="n">
        <x:f>VLOOKUP("Benefits|"&amp;IF(AND(ISNUMBER(K450),K450&gt;0,ISNUMBER(G450),G450&gt;0),IF(K450/G450&gt;='Score settings'!$E$17,"3plus",IF(K450/G450&gt;='Score settings'!$E$16,"1.5to3",IF(K450/G450&gt;='Score settings'!$E$15,"0.5to1.5","positive"))),"None"),'Score settings'!$A$14:$C$43,3,FALSE)/'Score settings'!$B$7*'Score settings'!$D$7</x:f>
        <x:v>30</x:v>
      </x:c>
      <x:c r="AF450" s="41" t="n">
        <x:f>VLOOKUP("Waste|"&amp;R450,'Score settings'!$A$14:$C$43,3,FALSE)/'Score settings'!$B$8*'Score settings'!$D$8</x:f>
        <x:v>10</x:v>
      </x:c>
      <x:c r="AG450" s="41" t="n">
        <x:f>(IF(AND(ISNUMBER(M450),M450&gt;0,ISNUMBER(G450),G450&gt;0),IF(M450/G450&gt;='Score settings'!$E$17,'Score settings'!$G$17,IF(M450/G450&gt;='Score settings'!$E$16,'Score settings'!$G$16,IF(M450/G450&gt;='Score settings'!$E$15,'Score settings'!$G$15,'Score settings'!$G$14))),0)/15*'Score settings'!$B$60+IFERROR(VLOOKUP(IF(ISNUMBER(N450),N450,IF(ISNUMBER(L450),L450,0)),'Score settings'!$E$22:$F$26,2,FALSE),0)/10*'Score settings'!$B$61)/'Score settings'!$B$9*'Score settings'!$D$9</x:f>
        <x:v>0</x:v>
      </x:c>
      <x:c r="AH450" s="41" t="n">
        <x:f>IF(B450="","",SUM(AB450:AG450))</x:f>
        <x:v>62.8</x:v>
      </x:c>
      <x:c r="AI450" s="41" t="str">
        <x:f>IF(NOT(ISNUMBER(AH450)),"Not scored",VLOOKUP(AH450,'Score settings'!$A$47:$C$50,3,TRUE))</x:f>
        <x:v>Strong</x:v>
      </x:c>
      <x:c r="AJ450" s="42" t="n">
        <x:f>IF(OR(NOT(ISNUMBER(AH450)),T450&lt;&gt;"Common pot"),"",COUNTIFS($T$4:$T$509,"Common pot",$AH$4:$AH$509,"&gt;"&amp;AH450)+1)</x:f>
        <x:v>14</x:v>
      </x:c>
      <x:c r="AK450" s="36" t="str">
        <x:f>IF(B450="","Name missing - not scored",IF(OR(NOT(ISNUMBER(G450)),G450&lt;=0),"Investment missing or zero - review",IF(0=1,"Permanent ID missing - reconcile",IF(AND(ISNUMBER(H450),H450/G450&gt;='Score settings'!$B$58,NOT(ISNUMBER(I450))),"Benefit units need review",IF(OR(R450="EXIT",R450="CHALLENGE"),"Waste decision requires scope resolution",IF("Name and organisation matched"&lt;&gt;"Name and organisation matched","Waste evidence match needs review","Provisional source score - confirm evidence"))))))</x:f>
        <x:v>Provisional source score - confirm evidence</x:v>
      </x:c>
      <x:c r="AL450" s="36"/>
      <x:c r="AM450" s="40"/>
      <x:c r="AN450" s="39"/>
      <x:c r="AO450" s="40"/>
      <x:c r="AP450" s="40"/>
    </x:row>
    <x:row r="451" ht="15" hidden="0" customHeight="1">
      <x:c r="A451" s="36" t="str">
        <x:v>EW-129</x:v>
      </x:c>
      <x:c r="B451" s="37" t="str">
        <x:v>FIN-IR - DACH DMS 2 OpenText document archive, save 92K IT Ops p.a.</x:v>
      </x:c>
      <x:c r="C451" s="36" t="str">
        <x:v>EW</x:v>
      </x:c>
      <x:c r="D451" s="36" t="str">
        <x:v>International Regions (IR) - Overall </x:v>
      </x:c>
      <x:c r="E451" s="38" t="n">
        <x:v>0.08</x:v>
      </x:c>
      <x:c r="F451" s="39"/>
      <x:c r="G451" s="38" t="n">
        <x:f>IF(ISNUMBER(F451),F451,IF(E451="","",E451))</x:f>
        <x:v>0.08</x:v>
      </x:c>
      <x:c r="H451" s="38" t="n">
        <x:v>0.393</x:v>
      </x:c>
      <x:c r="I451" s="39"/>
      <x:c r="J451" s="36" t="str">
        <x:v>Cash savings</x:v>
      </x:c>
      <x:c r="K451" s="38" t="n">
        <x:f>IF(ISNUMBER(I451),I451,IF(OR(NOT(ISNUMBER(H451)),NOT(ISNUMBER(G451)),G451&lt;=0),"",IF(H451/G451&gt;='Score settings'!$B$58,"",IF(J451="Cash savings",H451,IF(J451="Revenue",H451*'Score settings'!$B$55,"")))))</x:f>
        <x:v>0.393</x:v>
      </x:c>
      <x:c r="L451" s="36"/>
      <x:c r="M451" s="39"/>
      <x:c r="N451" s="40"/>
      <x:c r="O451" s="36" t="str">
        <x:v>Must Have</x:v>
      </x:c>
      <x:c r="P451" s="36" t="str">
        <x:v>Decomm</x:v>
      </x:c>
      <x:c r="Q451" s="36" t="str">
        <x:v>Productivity</x:v>
      </x:c>
      <x:c r="R451" s="36" t="str">
        <x:v>HEALTHY</x:v>
      </x:c>
      <x:c r="S451" s="36" t="str"/>
      <x:c r="T451" s="36" t="str">
        <x:v>Region candidate</x:v>
      </x:c>
      <x:c r="U451" s="41" t="n">
        <x:f>VLOOKUP("Priority|"&amp;O451,'Score settings'!$A$14:$C$43,2,FALSE)/'Score settings'!$B$4*'Score settings'!$C$4</x:f>
        <x:v>18</x:v>
      </x:c>
      <x:c r="V451" s="41" t="n">
        <x:f>VLOOKUP("Category|"&amp;P451,'Score settings'!$A$14:$C$43,2,FALSE)/'Score settings'!$B$5*'Score settings'!$C$5</x:f>
        <x:v>17</x:v>
      </x:c>
      <x:c r="W451" s="41" t="n">
        <x:f>VLOOKUP("Area|"&amp;Q451,'Score settings'!$A$14:$C$43,2,FALSE)/'Score settings'!$B$6*'Score settings'!$C$6</x:f>
        <x:v>10</x:v>
      </x:c>
      <x:c r="X451" s="41" t="n">
        <x:f>VLOOKUP("Benefits|"&amp;IF(AND(ISNUMBER(H451),H451&gt;0,ISNUMBER(G451),G451&gt;0),IF(H451/G451&gt;='Score settings'!$E$17,"3plus",IF(H451/G451&gt;='Score settings'!$E$16,"1.5to3",IF(H451/G451&gt;='Score settings'!$E$15,"0.5to1.5","positive"))),"None"),'Score settings'!$A$14:$C$43,2,FALSE)/'Score settings'!$B$7*'Score settings'!$C$7</x:f>
        <x:v>25</x:v>
      </x:c>
      <x:c r="Y451" s="41" t="n">
        <x:f>VLOOKUP("Waste|"&amp;R451,'Score settings'!$A$14:$C$43,2,FALSE)/'Score settings'!$B$8*'Score settings'!$C$8</x:f>
        <x:v>15</x:v>
      </x:c>
      <x:c r="Z451" s="41" t="n">
        <x:f>IF(B451="","",SUM(U451:Y451))</x:f>
        <x:v>85</x:v>
      </x:c>
      <x:c r="AA451" s="41" t="str">
        <x:f>IF(Z451="","Not scored",VLOOKUP(Z451,'Score settings'!$A$47:$C$50,2,TRUE))</x:f>
        <x:v>Protected</x:v>
      </x:c>
      <x:c r="AB451" s="41" t="n">
        <x:f>VLOOKUP("Priority|"&amp;O451,'Score settings'!$A$14:$C$43,3,FALSE)/'Score settings'!$B$4*'Score settings'!$D$4</x:f>
        <x:v>10.799999999999999</x:v>
      </x:c>
      <x:c r="AC451" s="41" t="n">
        <x:f>VLOOKUP("Category|"&amp;P451,'Score settings'!$A$14:$C$43,3,FALSE)/'Score settings'!$B$5*'Score settings'!$D$5</x:f>
        <x:v>8.5</x:v>
      </x:c>
      <x:c r="AD451" s="41" t="n">
        <x:f>VLOOKUP("Area|"&amp;Q451,'Score settings'!$A$14:$C$43,3,FALSE)/'Score settings'!$B$6*'Score settings'!$D$6</x:f>
        <x:v>6.666666666666666</x:v>
      </x:c>
      <x:c r="AE451" s="41" t="n">
        <x:f>VLOOKUP("Benefits|"&amp;IF(AND(ISNUMBER(K451),K451&gt;0,ISNUMBER(G451),G451&gt;0),IF(K451/G451&gt;='Score settings'!$E$17,"3plus",IF(K451/G451&gt;='Score settings'!$E$16,"1.5to3",IF(K451/G451&gt;='Score settings'!$E$15,"0.5to1.5","positive"))),"None"),'Score settings'!$A$14:$C$43,3,FALSE)/'Score settings'!$B$7*'Score settings'!$D$7</x:f>
        <x:v>30</x:v>
      </x:c>
      <x:c r="AF451" s="41" t="n">
        <x:f>VLOOKUP("Waste|"&amp;R451,'Score settings'!$A$14:$C$43,3,FALSE)/'Score settings'!$B$8*'Score settings'!$D$8</x:f>
        <x:v>10</x:v>
      </x:c>
      <x:c r="AG451" s="41" t="n">
        <x:f>(IF(AND(ISNUMBER(M451),M451&gt;0,ISNUMBER(G451),G451&gt;0),IF(M451/G451&gt;='Score settings'!$E$17,'Score settings'!$G$17,IF(M451/G451&gt;='Score settings'!$E$16,'Score settings'!$G$16,IF(M451/G451&gt;='Score settings'!$E$15,'Score settings'!$G$15,'Score settings'!$G$14))),0)/15*'Score settings'!$B$60+IFERROR(VLOOKUP(IF(ISNUMBER(N451),N451,IF(ISNUMBER(L451),L451,0)),'Score settings'!$E$22:$F$26,2,FALSE),0)/10*'Score settings'!$B$61)/'Score settings'!$B$9*'Score settings'!$D$9</x:f>
        <x:v>0</x:v>
      </x:c>
      <x:c r="AH451" s="41" t="n">
        <x:f>IF(B451="","",SUM(AB451:AG451))</x:f>
        <x:v>65.96666666666667</x:v>
      </x:c>
      <x:c r="AI451" s="41" t="str">
        <x:f>IF(NOT(ISNUMBER(AH451)),"Not scored",VLOOKUP(AH451,'Score settings'!$A$47:$C$50,3,TRUE))</x:f>
        <x:v>High alignment</x:v>
      </x:c>
      <x:c r="AJ451" s="42" t="str">
        <x:f>IF(OR(NOT(ISNUMBER(AH451)),T451&lt;&gt;"Common pot"),"",COUNTIFS($T$4:$T$509,"Common pot",$AH$4:$AH$509,"&gt;"&amp;AH451)+1)</x:f>
      </x:c>
      <x:c r="AK451" s="36" t="str">
        <x:f>IF(B451="","Name missing - not scored",IF(OR(NOT(ISNUMBER(G451)),G451&lt;=0),"Investment missing or zero - review",IF(0=1,"Permanent ID missing - reconcile",IF(AND(ISNUMBER(H451),H451/G451&gt;='Score settings'!$B$58,NOT(ISNUMBER(I451))),"Benefit units need review",IF(OR(R451="EXIT",R451="CHALLENGE"),"Waste decision requires scope resolution",IF("Name and organisation matched"&lt;&gt;"Name and organisation matched","Waste evidence match needs review","Provisional source score - confirm evidence"))))))</x:f>
        <x:v>Provisional source score - confirm evidence</x:v>
      </x:c>
      <x:c r="AL451" s="36"/>
      <x:c r="AM451" s="40"/>
      <x:c r="AN451" s="39"/>
      <x:c r="AO451" s="40"/>
      <x:c r="AP451" s="40"/>
    </x:row>
    <x:row r="452" ht="15" hidden="0" customHeight="1">
      <x:c r="A452" s="36" t="str">
        <x:v>EW-130</x:v>
      </x:c>
      <x:c r="B452" s="37" t="str"/>
      <x:c r="C452" s="36" t="str">
        <x:v>EW</x:v>
      </x:c>
      <x:c r="D452" s="36" t="str">
        <x:v>Information Technology ​</x:v>
      </x:c>
      <x:c r="E452" s="38"/>
      <x:c r="F452" s="39"/>
      <x:c r="G452" s="38" t="str">
        <x:f>IF(ISNUMBER(F452),F452,IF(E452="","",E452))</x:f>
      </x:c>
      <x:c r="H452" s="38"/>
      <x:c r="I452" s="39"/>
      <x:c r="J452" s="36" t="str">
        <x:v>Unclassified</x:v>
      </x:c>
      <x:c r="K452" s="38" t="str">
        <x:f>IF(ISNUMBER(I452),I452,IF(OR(NOT(ISNUMBER(H452)),NOT(ISNUMBER(G452)),G452&lt;=0),"",IF(H452/G452&gt;='Score settings'!$B$58,"",IF(J452="Cash savings",H452,IF(J452="Revenue",H452*'Score settings'!$B$55,"")))))</x:f>
      </x:c>
      <x:c r="L452" s="36"/>
      <x:c r="M452" s="39"/>
      <x:c r="N452" s="40"/>
      <x:c r="O452" s="36" t="str">
        <x:v>Blank</x:v>
      </x:c>
      <x:c r="P452" s="36" t="str">
        <x:v>Upgrades</x:v>
      </x:c>
      <x:c r="Q452" s="36" t="str">
        <x:v>Blank</x:v>
      </x:c>
      <x:c r="R452" s="36" t="str">
        <x:v>NotAssessed</x:v>
      </x:c>
      <x:c r="S452" s="36" t="str"/>
      <x:c r="T452" s="36" t="str">
        <x:v>Incomplete record</x:v>
      </x:c>
      <x:c r="U452" s="41" t="n">
        <x:f>VLOOKUP("Priority|"&amp;O452,'Score settings'!$A$14:$C$43,2,FALSE)/'Score settings'!$B$4*'Score settings'!$C$4</x:f>
        <x:v>10</x:v>
      </x:c>
      <x:c r="V452" s="41" t="n">
        <x:f>VLOOKUP("Category|"&amp;P452,'Score settings'!$A$14:$C$43,2,FALSE)/'Score settings'!$B$5*'Score settings'!$C$5</x:f>
        <x:v>10</x:v>
      </x:c>
      <x:c r="W452" s="41" t="n">
        <x:f>VLOOKUP("Area|"&amp;Q452,'Score settings'!$A$14:$C$43,2,FALSE)/'Score settings'!$B$6*'Score settings'!$C$6</x:f>
        <x:v>3</x:v>
      </x:c>
      <x:c r="X452" s="41" t="n">
        <x:f>VLOOKUP("Benefits|"&amp;IF(AND(ISNUMBER(H452),H452&gt;0,ISNUMBER(G452),G452&gt;0),IF(H452/G452&gt;='Score settings'!$E$17,"3plus",IF(H452/G452&gt;='Score settings'!$E$16,"1.5to3",IF(H452/G452&gt;='Score settings'!$E$15,"0.5to1.5","positive"))),"None"),'Score settings'!$A$14:$C$43,2,FALSE)/'Score settings'!$B$7*'Score settings'!$C$7</x:f>
        <x:v>5</x:v>
      </x:c>
      <x:c r="Y452" s="41" t="n">
        <x:f>VLOOKUP("Waste|"&amp;R452,'Score settings'!$A$14:$C$43,2,FALSE)/'Score settings'!$B$8*'Score settings'!$C$8</x:f>
        <x:v>7</x:v>
      </x:c>
      <x:c r="Z452" s="41" t="str">
        <x:f>IF(B452="","",SUM(U452:Y452))</x:f>
      </x:c>
      <x:c r="AA452" s="41" t="str">
        <x:f>IF(Z452="","Not scored",VLOOKUP(Z452,'Score settings'!$A$47:$C$50,2,TRUE))</x:f>
        <x:v>Not scored</x:v>
      </x:c>
      <x:c r="AB452" s="41" t="n">
        <x:f>VLOOKUP("Priority|"&amp;O452,'Score settings'!$A$14:$C$43,3,FALSE)/'Score settings'!$B$4*'Score settings'!$D$4</x:f>
        <x:v>0</x:v>
      </x:c>
      <x:c r="AC452" s="41" t="n">
        <x:f>VLOOKUP("Category|"&amp;P452,'Score settings'!$A$14:$C$43,3,FALSE)/'Score settings'!$B$5*'Score settings'!$D$5</x:f>
        <x:v>5</x:v>
      </x:c>
      <x:c r="AD452" s="41" t="n">
        <x:f>VLOOKUP("Area|"&amp;Q452,'Score settings'!$A$14:$C$43,3,FALSE)/'Score settings'!$B$6*'Score settings'!$D$6</x:f>
        <x:v>0</x:v>
      </x:c>
      <x:c r="AE452" s="41" t="n">
        <x:f>VLOOKUP("Benefits|"&amp;IF(AND(ISNUMBER(K452),K452&gt;0,ISNUMBER(G452),G452&gt;0),IF(K452/G452&gt;='Score settings'!$E$17,"3plus",IF(K452/G452&gt;='Score settings'!$E$16,"1.5to3",IF(K452/G452&gt;='Score settings'!$E$15,"0.5to1.5","positive"))),"None"),'Score settings'!$A$14:$C$43,3,FALSE)/'Score settings'!$B$7*'Score settings'!$D$7</x:f>
        <x:v>0</x:v>
      </x:c>
      <x:c r="AF452" s="41" t="n">
        <x:f>VLOOKUP("Waste|"&amp;R452,'Score settings'!$A$14:$C$43,3,FALSE)/'Score settings'!$B$8*'Score settings'!$D$8</x:f>
        <x:v>0</x:v>
      </x:c>
      <x:c r="AG452" s="41" t="n">
        <x:f>(IF(AND(ISNUMBER(M452),M452&gt;0,ISNUMBER(G452),G452&gt;0),IF(M452/G452&gt;='Score settings'!$E$17,'Score settings'!$G$17,IF(M452/G452&gt;='Score settings'!$E$16,'Score settings'!$G$16,IF(M452/G452&gt;='Score settings'!$E$15,'Score settings'!$G$15,'Score settings'!$G$14))),0)/15*'Score settings'!$B$60+IFERROR(VLOOKUP(IF(ISNUMBER(N452),N452,IF(ISNUMBER(L452),L452,0)),'Score settings'!$E$22:$F$26,2,FALSE),0)/10*'Score settings'!$B$61)/'Score settings'!$B$9*'Score settings'!$D$9</x:f>
        <x:v>0</x:v>
      </x:c>
      <x:c r="AH452" s="41" t="str">
        <x:f>IF(B452="","",SUM(AB452:AG452))</x:f>
      </x:c>
      <x:c r="AI452" s="41" t="str">
        <x:f>IF(NOT(ISNUMBER(AH452)),"Not scored",VLOOKUP(AH452,'Score settings'!$A$47:$C$50,3,TRUE))</x:f>
        <x:v>Not scored</x:v>
      </x:c>
      <x:c r="AJ452" s="42" t="str">
        <x:f>IF(OR(NOT(ISNUMBER(AH452)),T452&lt;&gt;"Common pot"),"",COUNTIFS($T$4:$T$509,"Common pot",$AH$4:$AH$509,"&gt;"&amp;AH452)+1)</x:f>
      </x:c>
      <x:c r="AK452" s="36" t="str">
        <x:f>IF(B452="","Name missing - not scored",IF(OR(NOT(ISNUMBER(G452)),G452&lt;=0),"Investment missing or zero - review",IF(0=1,"Permanent ID missing - reconcile",IF(AND(ISNUMBER(H452),H452/G452&gt;='Score settings'!$B$58,NOT(ISNUMBER(I452))),"Benefit units need review",IF(OR(R452="EXIT",R452="CHALLENGE"),"Waste decision requires scope resolution",IF("No exact waste match"&lt;&gt;"Name and organisation matched","Waste evidence match needs review","Provisional source score - confirm evidence"))))))</x:f>
        <x:v>Name missing - not scored</x:v>
      </x:c>
      <x:c r="AL452" s="36"/>
      <x:c r="AM452" s="40"/>
      <x:c r="AN452" s="39"/>
      <x:c r="AO452" s="40"/>
      <x:c r="AP452" s="40"/>
    </x:row>
    <x:row r="453" ht="15" hidden="0" customHeight="1">
      <x:c r="A453" s="36" t="str">
        <x:v>EW-131</x:v>
      </x:c>
      <x:c r="B453" s="37" t="str">
        <x:v>EADI- Synapse Decommissioning</x:v>
      </x:c>
      <x:c r="C453" s="36" t="str">
        <x:v>EW</x:v>
      </x:c>
      <x:c r="D453" s="36" t="str">
        <x:v>Information Technology ​</x:v>
      </x:c>
      <x:c r="E453" s="38" t="n">
        <x:v>1.062</x:v>
      </x:c>
      <x:c r="F453" s="39"/>
      <x:c r="G453" s="38" t="n">
        <x:f>IF(ISNUMBER(F453),F453,IF(E453="","",E453))</x:f>
        <x:v>1.062</x:v>
      </x:c>
      <x:c r="H453" s="38" t="n">
        <x:v>3.06</x:v>
      </x:c>
      <x:c r="I453" s="39"/>
      <x:c r="J453" s="36" t="str">
        <x:v>Risk exposure</x:v>
      </x:c>
      <x:c r="K453" s="38" t="str">
        <x:f>IF(ISNUMBER(I453),I453,IF(OR(NOT(ISNUMBER(H453)),NOT(ISNUMBER(G453)),G453&lt;=0),"",IF(H453/G453&gt;='Score settings'!$B$58,"",IF(J453="Cash savings",H453,IF(J453="Revenue",H453*'Score settings'!$B$55,"")))))</x:f>
      </x:c>
      <x:c r="L453" s="36"/>
      <x:c r="M453" s="39"/>
      <x:c r="N453" s="40"/>
      <x:c r="O453" s="36" t="str">
        <x:v>Must Do</x:v>
      </x:c>
      <x:c r="P453" s="36" t="str">
        <x:v>Decomm</x:v>
      </x:c>
      <x:c r="Q453" s="36" t="str">
        <x:v>Compliance</x:v>
      </x:c>
      <x:c r="R453" s="36" t="str">
        <x:v>NotAssessed</x:v>
      </x:c>
      <x:c r="S453" s="36" t="str"/>
      <x:c r="T453" s="36" t="str">
        <x:v>Common pot</x:v>
      </x:c>
      <x:c r="U453" s="41" t="n">
        <x:f>VLOOKUP("Priority|"&amp;O453,'Score settings'!$A$14:$C$43,2,FALSE)/'Score settings'!$B$4*'Score settings'!$C$4</x:f>
        <x:v>25</x:v>
      </x:c>
      <x:c r="V453" s="41" t="n">
        <x:f>VLOOKUP("Category|"&amp;P453,'Score settings'!$A$14:$C$43,2,FALSE)/'Score settings'!$B$5*'Score settings'!$C$5</x:f>
        <x:v>17</x:v>
      </x:c>
      <x:c r="W453" s="41" t="n">
        <x:f>VLOOKUP("Area|"&amp;Q453,'Score settings'!$A$14:$C$43,2,FALSE)/'Score settings'!$B$6*'Score settings'!$C$6</x:f>
        <x:v>15</x:v>
      </x:c>
      <x:c r="X453" s="41" t="n">
        <x:f>VLOOKUP("Benefits|"&amp;IF(AND(ISNUMBER(H453),H453&gt;0,ISNUMBER(G453),G453&gt;0),IF(H453/G453&gt;='Score settings'!$E$17,"3plus",IF(H453/G453&gt;='Score settings'!$E$16,"1.5to3",IF(H453/G453&gt;='Score settings'!$E$15,"0.5to1.5","positive"))),"None"),'Score settings'!$A$14:$C$43,2,FALSE)/'Score settings'!$B$7*'Score settings'!$C$7</x:f>
        <x:v>20</x:v>
      </x:c>
      <x:c r="Y453" s="41" t="n">
        <x:f>VLOOKUP("Waste|"&amp;R453,'Score settings'!$A$14:$C$43,2,FALSE)/'Score settings'!$B$8*'Score settings'!$C$8</x:f>
        <x:v>7</x:v>
      </x:c>
      <x:c r="Z453" s="41" t="n">
        <x:f>IF(B453="","",SUM(U453:Y453))</x:f>
        <x:v>84</x:v>
      </x:c>
      <x:c r="AA453" s="41" t="str">
        <x:f>IF(Z453="","Not scored",VLOOKUP(Z453,'Score settings'!$A$47:$C$50,2,TRUE))</x:f>
        <x:v>Protected</x:v>
      </x:c>
      <x:c r="AB453" s="41" t="n">
        <x:f>VLOOKUP("Priority|"&amp;O453,'Score settings'!$A$14:$C$43,3,FALSE)/'Score settings'!$B$4*'Score settings'!$D$4</x:f>
        <x:v>15</x:v>
      </x:c>
      <x:c r="AC453" s="41" t="n">
        <x:f>VLOOKUP("Category|"&amp;P453,'Score settings'!$A$14:$C$43,3,FALSE)/'Score settings'!$B$5*'Score settings'!$D$5</x:f>
        <x:v>8.5</x:v>
      </x:c>
      <x:c r="AD453" s="41" t="n">
        <x:f>VLOOKUP("Area|"&amp;Q453,'Score settings'!$A$14:$C$43,3,FALSE)/'Score settings'!$B$6*'Score settings'!$D$6</x:f>
        <x:v>10</x:v>
      </x:c>
      <x:c r="AE453" s="41" t="n">
        <x:f>VLOOKUP("Benefits|"&amp;IF(AND(ISNUMBER(K453),K453&gt;0,ISNUMBER(G453),G453&gt;0),IF(K453/G453&gt;='Score settings'!$E$17,"3plus",IF(K453/G453&gt;='Score settings'!$E$16,"1.5to3",IF(K453/G453&gt;='Score settings'!$E$15,"0.5to1.5","positive"))),"None"),'Score settings'!$A$14:$C$43,3,FALSE)/'Score settings'!$B$7*'Score settings'!$D$7</x:f>
        <x:v>0</x:v>
      </x:c>
      <x:c r="AF453" s="41" t="n">
        <x:f>VLOOKUP("Waste|"&amp;R453,'Score settings'!$A$14:$C$43,3,FALSE)/'Score settings'!$B$8*'Score settings'!$D$8</x:f>
        <x:v>0</x:v>
      </x:c>
      <x:c r="AG453" s="41" t="n">
        <x:f>(IF(AND(ISNUMBER(M453),M453&gt;0,ISNUMBER(G453),G453&gt;0),IF(M453/G453&gt;='Score settings'!$E$17,'Score settings'!$G$17,IF(M453/G453&gt;='Score settings'!$E$16,'Score settings'!$G$16,IF(M453/G453&gt;='Score settings'!$E$15,'Score settings'!$G$15,'Score settings'!$G$14))),0)/15*'Score settings'!$B$60+IFERROR(VLOOKUP(IF(ISNUMBER(N453),N453,IF(ISNUMBER(L453),L453,0)),'Score settings'!$E$22:$F$26,2,FALSE),0)/10*'Score settings'!$B$61)/'Score settings'!$B$9*'Score settings'!$D$9</x:f>
        <x:v>0</x:v>
      </x:c>
      <x:c r="AH453" s="41" t="n">
        <x:f>IF(B453="","",SUM(AB453:AG453))</x:f>
        <x:v>33.5</x:v>
      </x:c>
      <x:c r="AI453" s="41" t="str">
        <x:f>IF(NOT(ISNUMBER(AH453)),"Not scored",VLOOKUP(AH453,'Score settings'!$A$47:$C$50,3,TRUE))</x:f>
        <x:v>Discretionary</x:v>
      </x:c>
      <x:c r="AJ453" s="42" t="n">
        <x:f>IF(OR(NOT(ISNUMBER(AH453)),T453&lt;&gt;"Common pot"),"",COUNTIFS($T$4:$T$509,"Common pot",$AH$4:$AH$509,"&gt;"&amp;AH453)+1)</x:f>
        <x:v>157</x:v>
      </x:c>
      <x:c r="AK453" s="36" t="str">
        <x:f>IF(B453="","Name missing - not scored",IF(OR(NOT(ISNUMBER(G453)),G453&lt;=0),"Investment missing or zero - review",IF(0=1,"Permanent ID missing - reconcile",IF(AND(ISNUMBER(H453),H453/G453&gt;='Score settings'!$B$58,NOT(ISNUMBER(I453))),"Benefit units need review",IF(OR(R453="EXIT",R453="CHALLENGE"),"Waste decision requires scope resolution",IF("No exact waste match"&lt;&gt;"Name and organisation matched","Waste evidence match needs review","Provisional source score - confirm evidence"))))))</x:f>
        <x:v>Waste evidence match needs review</x:v>
      </x:c>
      <x:c r="AL453" s="36"/>
      <x:c r="AM453" s="40"/>
      <x:c r="AN453" s="39"/>
      <x:c r="AO453" s="40"/>
      <x:c r="AP453" s="40"/>
    </x:row>
    <x:row r="454" ht="15" hidden="0" customHeight="1">
      <x:c r="A454" s="36" t="str">
        <x:v>EW-132</x:v>
      </x:c>
      <x:c r="B454" s="37" t="str">
        <x:v>SPC Data Re-platforming</x:v>
      </x:c>
      <x:c r="C454" s="36" t="str">
        <x:v>EW</x:v>
      </x:c>
      <x:c r="D454" s="36" t="str">
        <x:v>Information Technology ​</x:v>
      </x:c>
      <x:c r="E454" s="38" t="n">
        <x:v>0</x:v>
      </x:c>
      <x:c r="F454" s="39"/>
      <x:c r="G454" s="38" t="str">
        <x:f>IF(ISNUMBER(F454),F454,IF(E454="","",E454))</x:f>
      </x:c>
      <x:c r="H454" s="38"/>
      <x:c r="I454" s="39"/>
      <x:c r="J454" s="36" t="str">
        <x:v>Cash savings</x:v>
      </x:c>
      <x:c r="K454" s="38" t="str">
        <x:f>IF(ISNUMBER(I454),I454,IF(OR(NOT(ISNUMBER(H454)),NOT(ISNUMBER(G454)),G454&lt;=0),"",IF(H454/G454&gt;='Score settings'!$B$58,"",IF(J454="Cash savings",H454,IF(J454="Revenue",H454*'Score settings'!$B$55,"")))))</x:f>
      </x:c>
      <x:c r="L454" s="36" t="n">
        <x:v>1</x:v>
      </x:c>
      <x:c r="M454" s="39"/>
      <x:c r="N454" s="40"/>
      <x:c r="O454" s="36" t="str">
        <x:v>Blank</x:v>
      </x:c>
      <x:c r="P454" s="36" t="str">
        <x:v>Decomm</x:v>
      </x:c>
      <x:c r="Q454" s="36" t="str">
        <x:v>Productivity</x:v>
      </x:c>
      <x:c r="R454" s="36" t="str">
        <x:v>HEALTHY</x:v>
      </x:c>
      <x:c r="S454" s="36" t="str">
        <x:v>NO</x:v>
      </x:c>
      <x:c r="T454" s="36" t="str">
        <x:v>Common pot</x:v>
      </x:c>
      <x:c r="U454" s="41" t="n">
        <x:f>VLOOKUP("Priority|"&amp;O454,'Score settings'!$A$14:$C$43,2,FALSE)/'Score settings'!$B$4*'Score settings'!$C$4</x:f>
        <x:v>10</x:v>
      </x:c>
      <x:c r="V454" s="41" t="n">
        <x:f>VLOOKUP("Category|"&amp;P454,'Score settings'!$A$14:$C$43,2,FALSE)/'Score settings'!$B$5*'Score settings'!$C$5</x:f>
        <x:v>17</x:v>
      </x:c>
      <x:c r="W454" s="41" t="n">
        <x:f>VLOOKUP("Area|"&amp;Q454,'Score settings'!$A$14:$C$43,2,FALSE)/'Score settings'!$B$6*'Score settings'!$C$6</x:f>
        <x:v>10</x:v>
      </x:c>
      <x:c r="X454" s="41" t="n">
        <x:f>VLOOKUP("Benefits|"&amp;IF(AND(ISNUMBER(H454),H454&gt;0,ISNUMBER(G454),G454&gt;0),IF(H454/G454&gt;='Score settings'!$E$17,"3plus",IF(H454/G454&gt;='Score settings'!$E$16,"1.5to3",IF(H454/G454&gt;='Score settings'!$E$15,"0.5to1.5","positive"))),"None"),'Score settings'!$A$14:$C$43,2,FALSE)/'Score settings'!$B$7*'Score settings'!$C$7</x:f>
        <x:v>5</x:v>
      </x:c>
      <x:c r="Y454" s="41" t="n">
        <x:f>VLOOKUP("Waste|"&amp;R454,'Score settings'!$A$14:$C$43,2,FALSE)/'Score settings'!$B$8*'Score settings'!$C$8</x:f>
        <x:v>15</x:v>
      </x:c>
      <x:c r="Z454" s="41" t="n">
        <x:f>IF(B454="","",SUM(U454:Y454))</x:f>
        <x:v>57</x:v>
      </x:c>
      <x:c r="AA454" s="41" t="str">
        <x:f>IF(Z454="","Not scored",VLOOKUP(Z454,'Score settings'!$A$47:$C$50,2,TRUE))</x:f>
        <x:v>Strong</x:v>
      </x:c>
      <x:c r="AB454" s="41" t="n">
        <x:f>VLOOKUP("Priority|"&amp;O454,'Score settings'!$A$14:$C$43,3,FALSE)/'Score settings'!$B$4*'Score settings'!$D$4</x:f>
        <x:v>0</x:v>
      </x:c>
      <x:c r="AC454" s="41" t="n">
        <x:f>VLOOKUP("Category|"&amp;P454,'Score settings'!$A$14:$C$43,3,FALSE)/'Score settings'!$B$5*'Score settings'!$D$5</x:f>
        <x:v>8.5</x:v>
      </x:c>
      <x:c r="AD454" s="41" t="n">
        <x:f>VLOOKUP("Area|"&amp;Q454,'Score settings'!$A$14:$C$43,3,FALSE)/'Score settings'!$B$6*'Score settings'!$D$6</x:f>
        <x:v>6.666666666666666</x:v>
      </x:c>
      <x:c r="AE454" s="41" t="n">
        <x:f>VLOOKUP("Benefits|"&amp;IF(AND(ISNUMBER(K454),K454&gt;0,ISNUMBER(G454),G454&gt;0),IF(K454/G454&gt;='Score settings'!$E$17,"3plus",IF(K454/G454&gt;='Score settings'!$E$16,"1.5to3",IF(K454/G454&gt;='Score settings'!$E$15,"0.5to1.5","positive"))),"None"),'Score settings'!$A$14:$C$43,3,FALSE)/'Score settings'!$B$7*'Score settings'!$D$7</x:f>
        <x:v>0</x:v>
      </x:c>
      <x:c r="AF454" s="41" t="n">
        <x:f>VLOOKUP("Waste|"&amp;R454,'Score settings'!$A$14:$C$43,3,FALSE)/'Score settings'!$B$8*'Score settings'!$D$8</x:f>
        <x:v>10</x:v>
      </x:c>
      <x:c r="AG454" s="41" t="n">
        <x:f>(IF(AND(ISNUMBER(M454),M454&gt;0,ISNUMBER(G454),G454&gt;0),IF(M454/G454&gt;='Score settings'!$E$17,'Score settings'!$G$17,IF(M454/G454&gt;='Score settings'!$E$16,'Score settings'!$G$16,IF(M454/G454&gt;='Score settings'!$E$15,'Score settings'!$G$15,'Score settings'!$G$14))),0)/15*'Score settings'!$B$60+IFERROR(VLOOKUP(IF(ISNUMBER(N454),N454,IF(ISNUMBER(L454),L454,0)),'Score settings'!$E$22:$F$26,2,FALSE),0)/10*'Score settings'!$B$61)/'Score settings'!$B$9*'Score settings'!$D$9</x:f>
        <x:v>2</x:v>
      </x:c>
      <x:c r="AH454" s="41" t="n">
        <x:f>IF(B454="","",SUM(AB454:AG454))</x:f>
        <x:v>27.166666666666664</x:v>
      </x:c>
      <x:c r="AI454" s="41" t="str">
        <x:f>IF(NOT(ISNUMBER(AH454)),"Not scored",VLOOKUP(AH454,'Score settings'!$A$47:$C$50,3,TRUE))</x:f>
        <x:v>Discretionary</x:v>
      </x:c>
      <x:c r="AJ454" s="42" t="n">
        <x:f>IF(OR(NOT(ISNUMBER(AH454)),T454&lt;&gt;"Common pot"),"",COUNTIFS($T$4:$T$509,"Common pot",$AH$4:$AH$509,"&gt;"&amp;AH454)+1)</x:f>
        <x:v>223</x:v>
      </x:c>
      <x:c r="AK454" s="36" t="str">
        <x:f>IF(B454="","Name missing - not scored",IF(OR(NOT(ISNUMBER(G454)),G454&lt;=0),"Investment missing or zero - review",IF(0=1,"Permanent ID missing - reconcile",IF(AND(ISNUMBER(H454),H454/G454&gt;='Score settings'!$B$58,NOT(ISNUMBER(I454))),"Benefit units need review",IF(OR(R454="EXIT",R454="CHALLENGE"),"Waste decision requires scope resolution",IF("Name and organisation matched"&lt;&gt;"Name and organisation matched","Waste evidence match needs review","Provisional source score - confirm evidence"))))))</x:f>
        <x:v>Investment missing or zero - review</x:v>
      </x:c>
      <x:c r="AL454" s="36" t="n">
        <x:v>2</x:v>
      </x:c>
      <x:c r="AM454" s="40"/>
      <x:c r="AN454" s="39"/>
      <x:c r="AO454" s="40"/>
      <x:c r="AP454" s="40"/>
    </x:row>
    <x:row r="455" ht="15" hidden="0" customHeight="1">
      <x:c r="A455" s="36" t="str">
        <x:v>EW-133</x:v>
      </x:c>
      <x:c r="B455" s="37" t="str">
        <x:v>EADI Data Replatforming</x:v>
      </x:c>
      <x:c r="C455" s="36" t="str">
        <x:v>EW</x:v>
      </x:c>
      <x:c r="D455" s="36" t="str">
        <x:v>Information Technology ​</x:v>
      </x:c>
      <x:c r="E455" s="38" t="n">
        <x:v>0.15</x:v>
      </x:c>
      <x:c r="F455" s="39"/>
      <x:c r="G455" s="38" t="n">
        <x:f>IF(ISNUMBER(F455),F455,IF(E455="","",E455))</x:f>
        <x:v>0.15</x:v>
      </x:c>
      <x:c r="H455" s="38" t="n">
        <x:v>0.624</x:v>
      </x:c>
      <x:c r="I455" s="39"/>
      <x:c r="J455" s="36" t="str">
        <x:v>Cash savings</x:v>
      </x:c>
      <x:c r="K455" s="38" t="n">
        <x:f>IF(ISNUMBER(I455),I455,IF(OR(NOT(ISNUMBER(H455)),NOT(ISNUMBER(G455)),G455&lt;=0),"",IF(H455/G455&gt;='Score settings'!$B$58,"",IF(J455="Cash savings",H455,IF(J455="Revenue",H455*'Score settings'!$B$55,"")))))</x:f>
        <x:v>0.624</x:v>
      </x:c>
      <x:c r="L455" s="36"/>
      <x:c r="M455" s="39"/>
      <x:c r="N455" s="40"/>
      <x:c r="O455" s="36" t="str">
        <x:v>Must Have</x:v>
      </x:c>
      <x:c r="P455" s="36" t="str">
        <x:v>Decomm</x:v>
      </x:c>
      <x:c r="Q455" s="36" t="str">
        <x:v>ProcSimp</x:v>
      </x:c>
      <x:c r="R455" s="36" t="str">
        <x:v>HEALTHY</x:v>
      </x:c>
      <x:c r="S455" s="36" t="str"/>
      <x:c r="T455" s="36" t="str">
        <x:v>Common pot</x:v>
      </x:c>
      <x:c r="U455" s="41" t="n">
        <x:f>VLOOKUP("Priority|"&amp;O455,'Score settings'!$A$14:$C$43,2,FALSE)/'Score settings'!$B$4*'Score settings'!$C$4</x:f>
        <x:v>18</x:v>
      </x:c>
      <x:c r="V455" s="41" t="n">
        <x:f>VLOOKUP("Category|"&amp;P455,'Score settings'!$A$14:$C$43,2,FALSE)/'Score settings'!$B$5*'Score settings'!$C$5</x:f>
        <x:v>17</x:v>
      </x:c>
      <x:c r="W455" s="41" t="n">
        <x:f>VLOOKUP("Area|"&amp;Q455,'Score settings'!$A$14:$C$43,2,FALSE)/'Score settings'!$B$6*'Score settings'!$C$6</x:f>
        <x:v>12</x:v>
      </x:c>
      <x:c r="X455" s="41" t="n">
        <x:f>VLOOKUP("Benefits|"&amp;IF(AND(ISNUMBER(H455),H455&gt;0,ISNUMBER(G455),G455&gt;0),IF(H455/G455&gt;='Score settings'!$E$17,"3plus",IF(H455/G455&gt;='Score settings'!$E$16,"1.5to3",IF(H455/G455&gt;='Score settings'!$E$15,"0.5to1.5","positive"))),"None"),'Score settings'!$A$14:$C$43,2,FALSE)/'Score settings'!$B$7*'Score settings'!$C$7</x:f>
        <x:v>25</x:v>
      </x:c>
      <x:c r="Y455" s="41" t="n">
        <x:f>VLOOKUP("Waste|"&amp;R455,'Score settings'!$A$14:$C$43,2,FALSE)/'Score settings'!$B$8*'Score settings'!$C$8</x:f>
        <x:v>15</x:v>
      </x:c>
      <x:c r="Z455" s="41" t="n">
        <x:f>IF(B455="","",SUM(U455:Y455))</x:f>
        <x:v>87</x:v>
      </x:c>
      <x:c r="AA455" s="41" t="str">
        <x:f>IF(Z455="","Not scored",VLOOKUP(Z455,'Score settings'!$A$47:$C$50,2,TRUE))</x:f>
        <x:v>Protected</x:v>
      </x:c>
      <x:c r="AB455" s="41" t="n">
        <x:f>VLOOKUP("Priority|"&amp;O455,'Score settings'!$A$14:$C$43,3,FALSE)/'Score settings'!$B$4*'Score settings'!$D$4</x:f>
        <x:v>10.799999999999999</x:v>
      </x:c>
      <x:c r="AC455" s="41" t="n">
        <x:f>VLOOKUP("Category|"&amp;P455,'Score settings'!$A$14:$C$43,3,FALSE)/'Score settings'!$B$5*'Score settings'!$D$5</x:f>
        <x:v>8.5</x:v>
      </x:c>
      <x:c r="AD455" s="41" t="n">
        <x:f>VLOOKUP("Area|"&amp;Q455,'Score settings'!$A$14:$C$43,3,FALSE)/'Score settings'!$B$6*'Score settings'!$D$6</x:f>
        <x:v>8</x:v>
      </x:c>
      <x:c r="AE455" s="41" t="n">
        <x:f>VLOOKUP("Benefits|"&amp;IF(AND(ISNUMBER(K455),K455&gt;0,ISNUMBER(G455),G455&gt;0),IF(K455/G455&gt;='Score settings'!$E$17,"3plus",IF(K455/G455&gt;='Score settings'!$E$16,"1.5to3",IF(K455/G455&gt;='Score settings'!$E$15,"0.5to1.5","positive"))),"None"),'Score settings'!$A$14:$C$43,3,FALSE)/'Score settings'!$B$7*'Score settings'!$D$7</x:f>
        <x:v>30</x:v>
      </x:c>
      <x:c r="AF455" s="41" t="n">
        <x:f>VLOOKUP("Waste|"&amp;R455,'Score settings'!$A$14:$C$43,3,FALSE)/'Score settings'!$B$8*'Score settings'!$D$8</x:f>
        <x:v>10</x:v>
      </x:c>
      <x:c r="AG455" s="41" t="n">
        <x:f>(IF(AND(ISNUMBER(M455),M455&gt;0,ISNUMBER(G455),G455&gt;0),IF(M455/G455&gt;='Score settings'!$E$17,'Score settings'!$G$17,IF(M455/G455&gt;='Score settings'!$E$16,'Score settings'!$G$16,IF(M455/G455&gt;='Score settings'!$E$15,'Score settings'!$G$15,'Score settings'!$G$14))),0)/15*'Score settings'!$B$60+IFERROR(VLOOKUP(IF(ISNUMBER(N455),N455,IF(ISNUMBER(L455),L455,0)),'Score settings'!$E$22:$F$26,2,FALSE),0)/10*'Score settings'!$B$61)/'Score settings'!$B$9*'Score settings'!$D$9</x:f>
        <x:v>0</x:v>
      </x:c>
      <x:c r="AH455" s="41" t="n">
        <x:f>IF(B455="","",SUM(AB455:AG455))</x:f>
        <x:v>67.3</x:v>
      </x:c>
      <x:c r="AI455" s="41" t="str">
        <x:f>IF(NOT(ISNUMBER(AH455)),"Not scored",VLOOKUP(AH455,'Score settings'!$A$47:$C$50,3,TRUE))</x:f>
        <x:v>High alignment</x:v>
      </x:c>
      <x:c r="AJ455" s="42" t="n">
        <x:f>IF(OR(NOT(ISNUMBER(AH455)),T455&lt;&gt;"Common pot"),"",COUNTIFS($T$4:$T$509,"Common pot",$AH$4:$AH$509,"&gt;"&amp;AH455)+1)</x:f>
        <x:v>3</x:v>
      </x:c>
      <x:c r="AK455" s="36" t="str">
        <x:f>IF(B455="","Name missing - not scored",IF(OR(NOT(ISNUMBER(G455)),G455&lt;=0),"Investment missing or zero - review",IF(0=1,"Permanent ID missing - reconcile",IF(AND(ISNUMBER(H455),H455/G455&gt;='Score settings'!$B$58,NOT(ISNUMBER(I455))),"Benefit units need review",IF(OR(R455="EXIT",R455="CHALLENGE"),"Waste decision requires scope resolution",IF("Name and organisation matched"&lt;&gt;"Name and organisation matched","Waste evidence match needs review","Provisional source score - confirm evidence"))))))</x:f>
        <x:v>Provisional source score - confirm evidence</x:v>
      </x:c>
      <x:c r="AL455" s="36"/>
      <x:c r="AM455" s="40"/>
      <x:c r="AN455" s="39"/>
      <x:c r="AO455" s="40"/>
      <x:c r="AP455" s="40"/>
    </x:row>
    <x:row r="456" ht="15" hidden="0" customHeight="1">
      <x:c r="A456" s="36" t="str">
        <x:v>EW-134</x:v>
      </x:c>
      <x:c r="B456" s="37" t="str">
        <x:v>Every Angle for MP1, Decommissioning ( Included in ISCM IT)</x:v>
      </x:c>
      <x:c r="C456" s="36" t="str">
        <x:v>EW</x:v>
      </x:c>
      <x:c r="D456" s="36" t="str">
        <x:v>Information Technology ​</x:v>
      </x:c>
      <x:c r="E456" s="38" t="n">
        <x:v>0</x:v>
      </x:c>
      <x:c r="F456" s="39"/>
      <x:c r="G456" s="38" t="str">
        <x:f>IF(ISNUMBER(F456),F456,IF(E456="","",E456))</x:f>
      </x:c>
      <x:c r="H456" s="38"/>
      <x:c r="I456" s="39"/>
      <x:c r="J456" s="36" t="str">
        <x:v>Cash savings</x:v>
      </x:c>
      <x:c r="K456" s="38" t="str">
        <x:f>IF(ISNUMBER(I456),I456,IF(OR(NOT(ISNUMBER(H456)),NOT(ISNUMBER(G456)),G456&lt;=0),"",IF(H456/G456&gt;='Score settings'!$B$58,"",IF(J456="Cash savings",H456,IF(J456="Revenue",H456*'Score settings'!$B$55,"")))))</x:f>
      </x:c>
      <x:c r="L456" s="36"/>
      <x:c r="M456" s="39"/>
      <x:c r="N456" s="40"/>
      <x:c r="O456" s="36" t="str">
        <x:v>Blank</x:v>
      </x:c>
      <x:c r="P456" s="36" t="str">
        <x:v>Decomm</x:v>
      </x:c>
      <x:c r="Q456" s="36" t="str">
        <x:v>Productivity</x:v>
      </x:c>
      <x:c r="R456" s="36" t="str">
        <x:v>NotAssessed</x:v>
      </x:c>
      <x:c r="S456" s="36" t="str"/>
      <x:c r="T456" s="36" t="str">
        <x:v>Common pot</x:v>
      </x:c>
      <x:c r="U456" s="41" t="n">
        <x:f>VLOOKUP("Priority|"&amp;O456,'Score settings'!$A$14:$C$43,2,FALSE)/'Score settings'!$B$4*'Score settings'!$C$4</x:f>
        <x:v>10</x:v>
      </x:c>
      <x:c r="V456" s="41" t="n">
        <x:f>VLOOKUP("Category|"&amp;P456,'Score settings'!$A$14:$C$43,2,FALSE)/'Score settings'!$B$5*'Score settings'!$C$5</x:f>
        <x:v>17</x:v>
      </x:c>
      <x:c r="W456" s="41" t="n">
        <x:f>VLOOKUP("Area|"&amp;Q456,'Score settings'!$A$14:$C$43,2,FALSE)/'Score settings'!$B$6*'Score settings'!$C$6</x:f>
        <x:v>10</x:v>
      </x:c>
      <x:c r="X456" s="41" t="n">
        <x:f>VLOOKUP("Benefits|"&amp;IF(AND(ISNUMBER(H456),H456&gt;0,ISNUMBER(G456),G456&gt;0),IF(H456/G456&gt;='Score settings'!$E$17,"3plus",IF(H456/G456&gt;='Score settings'!$E$16,"1.5to3",IF(H456/G456&gt;='Score settings'!$E$15,"0.5to1.5","positive"))),"None"),'Score settings'!$A$14:$C$43,2,FALSE)/'Score settings'!$B$7*'Score settings'!$C$7</x:f>
        <x:v>5</x:v>
      </x:c>
      <x:c r="Y456" s="41" t="n">
        <x:f>VLOOKUP("Waste|"&amp;R456,'Score settings'!$A$14:$C$43,2,FALSE)/'Score settings'!$B$8*'Score settings'!$C$8</x:f>
        <x:v>7</x:v>
      </x:c>
      <x:c r="Z456" s="41" t="n">
        <x:f>IF(B456="","",SUM(U456:Y456))</x:f>
        <x:v>49</x:v>
      </x:c>
      <x:c r="AA456" s="41" t="str">
        <x:f>IF(Z456="","Not scored",VLOOKUP(Z456,'Score settings'!$A$47:$C$50,2,TRUE))</x:f>
        <x:v>Strong</x:v>
      </x:c>
      <x:c r="AB456" s="41" t="n">
        <x:f>VLOOKUP("Priority|"&amp;O456,'Score settings'!$A$14:$C$43,3,FALSE)/'Score settings'!$B$4*'Score settings'!$D$4</x:f>
        <x:v>0</x:v>
      </x:c>
      <x:c r="AC456" s="41" t="n">
        <x:f>VLOOKUP("Category|"&amp;P456,'Score settings'!$A$14:$C$43,3,FALSE)/'Score settings'!$B$5*'Score settings'!$D$5</x:f>
        <x:v>8.5</x:v>
      </x:c>
      <x:c r="AD456" s="41" t="n">
        <x:f>VLOOKUP("Area|"&amp;Q456,'Score settings'!$A$14:$C$43,3,FALSE)/'Score settings'!$B$6*'Score settings'!$D$6</x:f>
        <x:v>6.666666666666666</x:v>
      </x:c>
      <x:c r="AE456" s="41" t="n">
        <x:f>VLOOKUP("Benefits|"&amp;IF(AND(ISNUMBER(K456),K456&gt;0,ISNUMBER(G456),G456&gt;0),IF(K456/G456&gt;='Score settings'!$E$17,"3plus",IF(K456/G456&gt;='Score settings'!$E$16,"1.5to3",IF(K456/G456&gt;='Score settings'!$E$15,"0.5to1.5","positive"))),"None"),'Score settings'!$A$14:$C$43,3,FALSE)/'Score settings'!$B$7*'Score settings'!$D$7</x:f>
        <x:v>0</x:v>
      </x:c>
      <x:c r="AF456" s="41" t="n">
        <x:f>VLOOKUP("Waste|"&amp;R456,'Score settings'!$A$14:$C$43,3,FALSE)/'Score settings'!$B$8*'Score settings'!$D$8</x:f>
        <x:v>0</x:v>
      </x:c>
      <x:c r="AG456" s="41" t="n">
        <x:f>(IF(AND(ISNUMBER(M456),M456&gt;0,ISNUMBER(G456),G456&gt;0),IF(M456/G456&gt;='Score settings'!$E$17,'Score settings'!$G$17,IF(M456/G456&gt;='Score settings'!$E$16,'Score settings'!$G$16,IF(M456/G456&gt;='Score settings'!$E$15,'Score settings'!$G$15,'Score settings'!$G$14))),0)/15*'Score settings'!$B$60+IFERROR(VLOOKUP(IF(ISNUMBER(N456),N456,IF(ISNUMBER(L456),L456,0)),'Score settings'!$E$22:$F$26,2,FALSE),0)/10*'Score settings'!$B$61)/'Score settings'!$B$9*'Score settings'!$D$9</x:f>
        <x:v>0</x:v>
      </x:c>
      <x:c r="AH456" s="41" t="n">
        <x:f>IF(B456="","",SUM(AB456:AG456))</x:f>
        <x:v>15.166666666666666</x:v>
      </x:c>
      <x:c r="AI456" s="41" t="str">
        <x:f>IF(NOT(ISNUMBER(AH456)),"Not scored",VLOOKUP(AH456,'Score settings'!$A$47:$C$50,3,TRUE))</x:f>
        <x:v>Weak</x:v>
      </x:c>
      <x:c r="AJ456" s="42" t="n">
        <x:f>IF(OR(NOT(ISNUMBER(AH456)),T456&lt;&gt;"Common pot"),"",COUNTIFS($T$4:$T$509,"Common pot",$AH$4:$AH$509,"&gt;"&amp;AH456)+1)</x:f>
        <x:v>363</x:v>
      </x:c>
      <x:c r="AK456" s="36" t="str">
        <x:f>IF(B456="","Name missing - not scored",IF(OR(NOT(ISNUMBER(G456)),G456&lt;=0),"Investment missing or zero - review",IF(0=1,"Permanent ID missing - reconcile",IF(AND(ISNUMBER(H456),H456/G456&gt;='Score settings'!$B$58,NOT(ISNUMBER(I456))),"Benefit units need review",IF(OR(R456="EXIT",R456="CHALLENGE"),"Waste decision requires scope resolution",IF("No exact waste match"&lt;&gt;"Name and organisation matched","Waste evidence match needs review","Provisional source score - confirm evidence"))))))</x:f>
        <x:v>Investment missing or zero - review</x:v>
      </x:c>
      <x:c r="AL456" s="36"/>
      <x:c r="AM456" s="40"/>
      <x:c r="AN456" s="39"/>
      <x:c r="AO456" s="40"/>
      <x:c r="AP456" s="40"/>
    </x:row>
    <x:row r="457" ht="15" hidden="0" customHeight="1">
      <x:c r="A457" s="36" t="str">
        <x:v>EW-135</x:v>
      </x:c>
      <x:c r="B457" s="37" t="str">
        <x:v>Knowledge Mgmt - InCenter 2.0 - CSIP Compliance</x:v>
      </x:c>
      <x:c r="C457" s="36" t="str">
        <x:v>EW</x:v>
      </x:c>
      <x:c r="D457" s="36" t="str">
        <x:v>Intellectual Property &amp; Standards (IP&amp;S)​</x:v>
      </x:c>
      <x:c r="E457" s="38" t="n">
        <x:v>0.2</x:v>
      </x:c>
      <x:c r="F457" s="39"/>
      <x:c r="G457" s="38" t="n">
        <x:f>IF(ISNUMBER(F457),F457,IF(E457="","",E457))</x:f>
        <x:v>0.2</x:v>
      </x:c>
      <x:c r="H457" s="38"/>
      <x:c r="I457" s="39"/>
      <x:c r="J457" s="36" t="str">
        <x:v>Risk exposure</x:v>
      </x:c>
      <x:c r="K457" s="38" t="str">
        <x:f>IF(ISNUMBER(I457),I457,IF(OR(NOT(ISNUMBER(H457)),NOT(ISNUMBER(G457)),G457&lt;=0),"",IF(H457/G457&gt;='Score settings'!$B$58,"",IF(J457="Cash savings",H457,IF(J457="Revenue",H457*'Score settings'!$B$55,"")))))</x:f>
      </x:c>
      <x:c r="L457" s="36" t="n">
        <x:v>1</x:v>
      </x:c>
      <x:c r="M457" s="39"/>
      <x:c r="N457" s="40"/>
      <x:c r="O457" s="36" t="str">
        <x:v>Must Do</x:v>
      </x:c>
      <x:c r="P457" s="36" t="str">
        <x:v>LFR</x:v>
      </x:c>
      <x:c r="Q457" s="36" t="str">
        <x:v>Compliance</x:v>
      </x:c>
      <x:c r="R457" s="36" t="str">
        <x:v>HEALTHY</x:v>
      </x:c>
      <x:c r="S457" s="36" t="str">
        <x:v>NO</x:v>
      </x:c>
      <x:c r="T457" s="36" t="str">
        <x:v>Common pot</x:v>
      </x:c>
      <x:c r="U457" s="41" t="n">
        <x:f>VLOOKUP("Priority|"&amp;O457,'Score settings'!$A$14:$C$43,2,FALSE)/'Score settings'!$B$4*'Score settings'!$C$4</x:f>
        <x:v>25</x:v>
      </x:c>
      <x:c r="V457" s="41" t="n">
        <x:f>VLOOKUP("Category|"&amp;P457,'Score settings'!$A$14:$C$43,2,FALSE)/'Score settings'!$B$5*'Score settings'!$C$5</x:f>
        <x:v>20</x:v>
      </x:c>
      <x:c r="W457" s="41" t="n">
        <x:f>VLOOKUP("Area|"&amp;Q457,'Score settings'!$A$14:$C$43,2,FALSE)/'Score settings'!$B$6*'Score settings'!$C$6</x:f>
        <x:v>15</x:v>
      </x:c>
      <x:c r="X457" s="41" t="n">
        <x:f>VLOOKUP("Benefits|"&amp;IF(AND(ISNUMBER(H457),H457&gt;0,ISNUMBER(G457),G457&gt;0),IF(H457/G457&gt;='Score settings'!$E$17,"3plus",IF(H457/G457&gt;='Score settings'!$E$16,"1.5to3",IF(H457/G457&gt;='Score settings'!$E$15,"0.5to1.5","positive"))),"None"),'Score settings'!$A$14:$C$43,2,FALSE)/'Score settings'!$B$7*'Score settings'!$C$7</x:f>
        <x:v>5</x:v>
      </x:c>
      <x:c r="Y457" s="41" t="n">
        <x:f>VLOOKUP("Waste|"&amp;R457,'Score settings'!$A$14:$C$43,2,FALSE)/'Score settings'!$B$8*'Score settings'!$C$8</x:f>
        <x:v>15</x:v>
      </x:c>
      <x:c r="Z457" s="41" t="n">
        <x:f>IF(B457="","",SUM(U457:Y457))</x:f>
        <x:v>80</x:v>
      </x:c>
      <x:c r="AA457" s="41" t="str">
        <x:f>IF(Z457="","Not scored",VLOOKUP(Z457,'Score settings'!$A$47:$C$50,2,TRUE))</x:f>
        <x:v>Protected</x:v>
      </x:c>
      <x:c r="AB457" s="41" t="n">
        <x:f>VLOOKUP("Priority|"&amp;O457,'Score settings'!$A$14:$C$43,3,FALSE)/'Score settings'!$B$4*'Score settings'!$D$4</x:f>
        <x:v>15</x:v>
      </x:c>
      <x:c r="AC457" s="41" t="n">
        <x:f>VLOOKUP("Category|"&amp;P457,'Score settings'!$A$14:$C$43,3,FALSE)/'Score settings'!$B$5*'Score settings'!$D$5</x:f>
        <x:v>10</x:v>
      </x:c>
      <x:c r="AD457" s="41" t="n">
        <x:f>VLOOKUP("Area|"&amp;Q457,'Score settings'!$A$14:$C$43,3,FALSE)/'Score settings'!$B$6*'Score settings'!$D$6</x:f>
        <x:v>10</x:v>
      </x:c>
      <x:c r="AE457" s="41" t="n">
        <x:f>VLOOKUP("Benefits|"&amp;IF(AND(ISNUMBER(K457),K457&gt;0,ISNUMBER(G457),G457&gt;0),IF(K457/G457&gt;='Score settings'!$E$17,"3plus",IF(K457/G457&gt;='Score settings'!$E$16,"1.5to3",IF(K457/G457&gt;='Score settings'!$E$15,"0.5to1.5","positive"))),"None"),'Score settings'!$A$14:$C$43,3,FALSE)/'Score settings'!$B$7*'Score settings'!$D$7</x:f>
        <x:v>0</x:v>
      </x:c>
      <x:c r="AF457" s="41" t="n">
        <x:f>VLOOKUP("Waste|"&amp;R457,'Score settings'!$A$14:$C$43,3,FALSE)/'Score settings'!$B$8*'Score settings'!$D$8</x:f>
        <x:v>10</x:v>
      </x:c>
      <x:c r="AG457" s="41" t="n">
        <x:f>(IF(AND(ISNUMBER(M457),M457&gt;0,ISNUMBER(G457),G457&gt;0),IF(M457/G457&gt;='Score settings'!$E$17,'Score settings'!$G$17,IF(M457/G457&gt;='Score settings'!$E$16,'Score settings'!$G$16,IF(M457/G457&gt;='Score settings'!$E$15,'Score settings'!$G$15,'Score settings'!$G$14))),0)/15*'Score settings'!$B$60+IFERROR(VLOOKUP(IF(ISNUMBER(N457),N457,IF(ISNUMBER(L457),L457,0)),'Score settings'!$E$22:$F$26,2,FALSE),0)/10*'Score settings'!$B$61)/'Score settings'!$B$9*'Score settings'!$D$9</x:f>
        <x:v>2</x:v>
      </x:c>
      <x:c r="AH457" s="41" t="n">
        <x:f>IF(B457="","",SUM(AB457:AG457))</x:f>
        <x:v>47</x:v>
      </x:c>
      <x:c r="AI457" s="41" t="str">
        <x:f>IF(NOT(ISNUMBER(AH457)),"Not scored",VLOOKUP(AH457,'Score settings'!$A$47:$C$50,3,TRUE))</x:f>
        <x:v>Strong</x:v>
      </x:c>
      <x:c r="AJ457" s="42" t="n">
        <x:f>IF(OR(NOT(ISNUMBER(AH457)),T457&lt;&gt;"Common pot"),"",COUNTIFS($T$4:$T$509,"Common pot",$AH$4:$AH$509,"&gt;"&amp;AH457)+1)</x:f>
        <x:v>60</x:v>
      </x:c>
      <x:c r="AK457" s="36" t="str">
        <x:f>IF(B457="","Name missing - not scored",IF(OR(NOT(ISNUMBER(G457)),G457&lt;=0),"Investment missing or zero - review",IF(0=1,"Permanent ID missing - reconcile",IF(AND(ISNUMBER(H457),H457/G457&gt;='Score settings'!$B$58,NOT(ISNUMBER(I457))),"Benefit units need review",IF(OR(R457="EXIT",R457="CHALLENGE"),"Waste decision requires scope resolution",IF("Name and organisation matched"&lt;&gt;"Name and organisation matched","Waste evidence match needs review","Provisional source score - confirm evidence"))))))</x:f>
        <x:v>Provisional source score - confirm evidence</x:v>
      </x:c>
      <x:c r="AL457" s="36" t="n">
        <x:v>2</x:v>
      </x:c>
      <x:c r="AM457" s="40"/>
      <x:c r="AN457" s="39"/>
      <x:c r="AO457" s="40"/>
      <x:c r="AP457" s="40"/>
    </x:row>
    <x:row r="458" ht="15" hidden="0" customHeight="1">
      <x:c r="A458" s="36" t="str">
        <x:v>EW-136</x:v>
      </x:c>
      <x:c r="B458" s="37" t="str">
        <x:v>FIN-Managed Services automation  </x:v>
      </x:c>
      <x:c r="C458" s="36" t="str">
        <x:v>EW</x:v>
      </x:c>
      <x:c r="D458" s="36" t="str">
        <x:v>Finance​</x:v>
      </x:c>
      <x:c r="E458" s="38" t="n">
        <x:v>0.3</x:v>
      </x:c>
      <x:c r="F458" s="39"/>
      <x:c r="G458" s="38" t="n">
        <x:f>IF(ISNUMBER(F458),F458,IF(E458="","",E458))</x:f>
        <x:v>0.3</x:v>
      </x:c>
      <x:c r="H458" s="38"/>
      <x:c r="I458" s="39"/>
      <x:c r="J458" s="36" t="str">
        <x:v>Unclassified</x:v>
      </x:c>
      <x:c r="K458" s="38" t="str">
        <x:f>IF(ISNUMBER(I458),I458,IF(OR(NOT(ISNUMBER(H458)),NOT(ISNUMBER(G458)),G458&lt;=0),"",IF(H458/G458&gt;='Score settings'!$B$58,"",IF(J458="Cash savings",H458,IF(J458="Revenue",H458*'Score settings'!$B$55,"")))))</x:f>
      </x:c>
      <x:c r="L458" s="36"/>
      <x:c r="M458" s="39"/>
      <x:c r="N458" s="40"/>
      <x:c r="O458" s="36" t="str">
        <x:v>Must Do</x:v>
      </x:c>
      <x:c r="P458" s="36" t="str">
        <x:v>CI</x:v>
      </x:c>
      <x:c r="Q458" s="36" t="str">
        <x:v>Blank</x:v>
      </x:c>
      <x:c r="R458" s="36" t="str">
        <x:v>NotAssessed</x:v>
      </x:c>
      <x:c r="S458" s="36" t="str"/>
      <x:c r="T458" s="36" t="str">
        <x:v>Common pot</x:v>
      </x:c>
      <x:c r="U458" s="41" t="n">
        <x:f>VLOOKUP("Priority|"&amp;O458,'Score settings'!$A$14:$C$43,2,FALSE)/'Score settings'!$B$4*'Score settings'!$C$4</x:f>
        <x:v>25</x:v>
      </x:c>
      <x:c r="V458" s="41" t="n">
        <x:f>VLOOKUP("Category|"&amp;P458,'Score settings'!$A$14:$C$43,2,FALSE)/'Score settings'!$B$5*'Score settings'!$C$5</x:f>
        <x:v>8</x:v>
      </x:c>
      <x:c r="W458" s="41" t="n">
        <x:f>VLOOKUP("Area|"&amp;Q458,'Score settings'!$A$14:$C$43,2,FALSE)/'Score settings'!$B$6*'Score settings'!$C$6</x:f>
        <x:v>3</x:v>
      </x:c>
      <x:c r="X458" s="41" t="n">
        <x:f>VLOOKUP("Benefits|"&amp;IF(AND(ISNUMBER(H458),H458&gt;0,ISNUMBER(G458),G458&gt;0),IF(H458/G458&gt;='Score settings'!$E$17,"3plus",IF(H458/G458&gt;='Score settings'!$E$16,"1.5to3",IF(H458/G458&gt;='Score settings'!$E$15,"0.5to1.5","positive"))),"None"),'Score settings'!$A$14:$C$43,2,FALSE)/'Score settings'!$B$7*'Score settings'!$C$7</x:f>
        <x:v>5</x:v>
      </x:c>
      <x:c r="Y458" s="41" t="n">
        <x:f>VLOOKUP("Waste|"&amp;R458,'Score settings'!$A$14:$C$43,2,FALSE)/'Score settings'!$B$8*'Score settings'!$C$8</x:f>
        <x:v>7</x:v>
      </x:c>
      <x:c r="Z458" s="41" t="n">
        <x:f>IF(B458="","",SUM(U458:Y458))</x:f>
        <x:v>48</x:v>
      </x:c>
      <x:c r="AA458" s="41" t="str">
        <x:f>IF(Z458="","Not scored",VLOOKUP(Z458,'Score settings'!$A$47:$C$50,2,TRUE))</x:f>
        <x:v>Strong</x:v>
      </x:c>
      <x:c r="AB458" s="41" t="n">
        <x:f>VLOOKUP("Priority|"&amp;O458,'Score settings'!$A$14:$C$43,3,FALSE)/'Score settings'!$B$4*'Score settings'!$D$4</x:f>
        <x:v>15</x:v>
      </x:c>
      <x:c r="AC458" s="41" t="n">
        <x:f>VLOOKUP("Category|"&amp;P458,'Score settings'!$A$14:$C$43,3,FALSE)/'Score settings'!$B$5*'Score settings'!$D$5</x:f>
        <x:v>4</x:v>
      </x:c>
      <x:c r="AD458" s="41" t="n">
        <x:f>VLOOKUP("Area|"&amp;Q458,'Score settings'!$A$14:$C$43,3,FALSE)/'Score settings'!$B$6*'Score settings'!$D$6</x:f>
        <x:v>0</x:v>
      </x:c>
      <x:c r="AE458" s="41" t="n">
        <x:f>VLOOKUP("Benefits|"&amp;IF(AND(ISNUMBER(K458),K458&gt;0,ISNUMBER(G458),G458&gt;0),IF(K458/G458&gt;='Score settings'!$E$17,"3plus",IF(K458/G458&gt;='Score settings'!$E$16,"1.5to3",IF(K458/G458&gt;='Score settings'!$E$15,"0.5to1.5","positive"))),"None"),'Score settings'!$A$14:$C$43,3,FALSE)/'Score settings'!$B$7*'Score settings'!$D$7</x:f>
        <x:v>0</x:v>
      </x:c>
      <x:c r="AF458" s="41" t="n">
        <x:f>VLOOKUP("Waste|"&amp;R458,'Score settings'!$A$14:$C$43,3,FALSE)/'Score settings'!$B$8*'Score settings'!$D$8</x:f>
        <x:v>0</x:v>
      </x:c>
      <x:c r="AG458" s="41" t="n">
        <x:f>(IF(AND(ISNUMBER(M458),M458&gt;0,ISNUMBER(G458),G458&gt;0),IF(M458/G458&gt;='Score settings'!$E$17,'Score settings'!$G$17,IF(M458/G458&gt;='Score settings'!$E$16,'Score settings'!$G$16,IF(M458/G458&gt;='Score settings'!$E$15,'Score settings'!$G$15,'Score settings'!$G$14))),0)/15*'Score settings'!$B$60+IFERROR(VLOOKUP(IF(ISNUMBER(N458),N458,IF(ISNUMBER(L458),L458,0)),'Score settings'!$E$22:$F$26,2,FALSE),0)/10*'Score settings'!$B$61)/'Score settings'!$B$9*'Score settings'!$D$9</x:f>
        <x:v>0</x:v>
      </x:c>
      <x:c r="AH458" s="41" t="n">
        <x:f>IF(B458="","",SUM(AB458:AG458))</x:f>
        <x:v>19</x:v>
      </x:c>
      <x:c r="AI458" s="41" t="str">
        <x:f>IF(NOT(ISNUMBER(AH458)),"Not scored",VLOOKUP(AH458,'Score settings'!$A$47:$C$50,3,TRUE))</x:f>
        <x:v>Weak</x:v>
      </x:c>
      <x:c r="AJ458" s="42" t="n">
        <x:f>IF(OR(NOT(ISNUMBER(AH458)),T458&lt;&gt;"Common pot"),"",COUNTIFS($T$4:$T$509,"Common pot",$AH$4:$AH$509,"&gt;"&amp;AH458)+1)</x:f>
        <x:v>355</x:v>
      </x:c>
      <x:c r="AK458" s="36" t="str">
        <x:f>IF(B458="","Name missing - not scored",IF(OR(NOT(ISNUMBER(G458)),G458&lt;=0),"Investment missing or zero - review",IF(0=1,"Permanent ID missing - reconcile",IF(AND(ISNUMBER(H458),H458/G458&gt;='Score settings'!$B$58,NOT(ISNUMBER(I458))),"Benefit units need review",IF(OR(R458="EXIT",R458="CHALLENGE"),"Waste decision requires scope resolution",IF("No exact waste match"&lt;&gt;"Name and organisation matched","Waste evidence match needs review","Provisional source score - confirm evidence"))))))</x:f>
        <x:v>Waste evidence match needs review</x:v>
      </x:c>
      <x:c r="AL458" s="36"/>
      <x:c r="AM458" s="40"/>
      <x:c r="AN458" s="39"/>
      <x:c r="AO458" s="40"/>
      <x:c r="AP458" s="40"/>
    </x:row>
    <x:row r="459" ht="15" hidden="0" customHeight="1">
      <x:c r="A459" s="36" t="str">
        <x:v>EW-137</x:v>
      </x:c>
      <x:c r="B459" s="37" t="str">
        <x:v>FIN-Process Mining RTR</x:v>
      </x:c>
      <x:c r="C459" s="36" t="str">
        <x:v>EW</x:v>
      </x:c>
      <x:c r="D459" s="36" t="str">
        <x:v>Finance​</x:v>
      </x:c>
      <x:c r="E459" s="38" t="n">
        <x:v>0.1</x:v>
      </x:c>
      <x:c r="F459" s="39"/>
      <x:c r="G459" s="38" t="n">
        <x:f>IF(ISNUMBER(F459),F459,IF(E459="","",E459))</x:f>
        <x:v>0.1</x:v>
      </x:c>
      <x:c r="H459" s="38" t="n">
        <x:v>0.32</x:v>
      </x:c>
      <x:c r="I459" s="39"/>
      <x:c r="J459" s="36" t="str">
        <x:v>Unclassified</x:v>
      </x:c>
      <x:c r="K459" s="38" t="str">
        <x:f>IF(ISNUMBER(I459),I459,IF(OR(NOT(ISNUMBER(H459)),NOT(ISNUMBER(G459)),G459&lt;=0),"",IF(H459/G459&gt;='Score settings'!$B$58,"",IF(J459="Cash savings",H459,IF(J459="Revenue",H459*'Score settings'!$B$55,"")))))</x:f>
      </x:c>
      <x:c r="L459" s="36"/>
      <x:c r="M459" s="39"/>
      <x:c r="N459" s="40"/>
      <x:c r="O459" s="36" t="str">
        <x:v>Must Do</x:v>
      </x:c>
      <x:c r="P459" s="36" t="str">
        <x:v>CI</x:v>
      </x:c>
      <x:c r="Q459" s="36" t="str">
        <x:v>Blank</x:v>
      </x:c>
      <x:c r="R459" s="36" t="str">
        <x:v>NotAssessed</x:v>
      </x:c>
      <x:c r="S459" s="36" t="str"/>
      <x:c r="T459" s="36" t="str">
        <x:v>Common pot</x:v>
      </x:c>
      <x:c r="U459" s="41" t="n">
        <x:f>VLOOKUP("Priority|"&amp;O459,'Score settings'!$A$14:$C$43,2,FALSE)/'Score settings'!$B$4*'Score settings'!$C$4</x:f>
        <x:v>25</x:v>
      </x:c>
      <x:c r="V459" s="41" t="n">
        <x:f>VLOOKUP("Category|"&amp;P459,'Score settings'!$A$14:$C$43,2,FALSE)/'Score settings'!$B$5*'Score settings'!$C$5</x:f>
        <x:v>8</x:v>
      </x:c>
      <x:c r="W459" s="41" t="n">
        <x:f>VLOOKUP("Area|"&amp;Q459,'Score settings'!$A$14:$C$43,2,FALSE)/'Score settings'!$B$6*'Score settings'!$C$6</x:f>
        <x:v>3</x:v>
      </x:c>
      <x:c r="X459" s="41" t="n">
        <x:f>VLOOKUP("Benefits|"&amp;IF(AND(ISNUMBER(H459),H459&gt;0,ISNUMBER(G459),G459&gt;0),IF(H459/G459&gt;='Score settings'!$E$17,"3plus",IF(H459/G459&gt;='Score settings'!$E$16,"1.5to3",IF(H459/G459&gt;='Score settings'!$E$15,"0.5to1.5","positive"))),"None"),'Score settings'!$A$14:$C$43,2,FALSE)/'Score settings'!$B$7*'Score settings'!$C$7</x:f>
        <x:v>25</x:v>
      </x:c>
      <x:c r="Y459" s="41" t="n">
        <x:f>VLOOKUP("Waste|"&amp;R459,'Score settings'!$A$14:$C$43,2,FALSE)/'Score settings'!$B$8*'Score settings'!$C$8</x:f>
        <x:v>7</x:v>
      </x:c>
      <x:c r="Z459" s="41" t="n">
        <x:f>IF(B459="","",SUM(U459:Y459))</x:f>
        <x:v>68</x:v>
      </x:c>
      <x:c r="AA459" s="41" t="str">
        <x:f>IF(Z459="","Not scored",VLOOKUP(Z459,'Score settings'!$A$47:$C$50,2,TRUE))</x:f>
        <x:v>Protected</x:v>
      </x:c>
      <x:c r="AB459" s="41" t="n">
        <x:f>VLOOKUP("Priority|"&amp;O459,'Score settings'!$A$14:$C$43,3,FALSE)/'Score settings'!$B$4*'Score settings'!$D$4</x:f>
        <x:v>15</x:v>
      </x:c>
      <x:c r="AC459" s="41" t="n">
        <x:f>VLOOKUP("Category|"&amp;P459,'Score settings'!$A$14:$C$43,3,FALSE)/'Score settings'!$B$5*'Score settings'!$D$5</x:f>
        <x:v>4</x:v>
      </x:c>
      <x:c r="AD459" s="41" t="n">
        <x:f>VLOOKUP("Area|"&amp;Q459,'Score settings'!$A$14:$C$43,3,FALSE)/'Score settings'!$B$6*'Score settings'!$D$6</x:f>
        <x:v>0</x:v>
      </x:c>
      <x:c r="AE459" s="41" t="n">
        <x:f>VLOOKUP("Benefits|"&amp;IF(AND(ISNUMBER(K459),K459&gt;0,ISNUMBER(G459),G459&gt;0),IF(K459/G459&gt;='Score settings'!$E$17,"3plus",IF(K459/G459&gt;='Score settings'!$E$16,"1.5to3",IF(K459/G459&gt;='Score settings'!$E$15,"0.5to1.5","positive"))),"None"),'Score settings'!$A$14:$C$43,3,FALSE)/'Score settings'!$B$7*'Score settings'!$D$7</x:f>
        <x:v>0</x:v>
      </x:c>
      <x:c r="AF459" s="41" t="n">
        <x:f>VLOOKUP("Waste|"&amp;R459,'Score settings'!$A$14:$C$43,3,FALSE)/'Score settings'!$B$8*'Score settings'!$D$8</x:f>
        <x:v>0</x:v>
      </x:c>
      <x:c r="AG459" s="41" t="n">
        <x:f>(IF(AND(ISNUMBER(M459),M459&gt;0,ISNUMBER(G459),G459&gt;0),IF(M459/G459&gt;='Score settings'!$E$17,'Score settings'!$G$17,IF(M459/G459&gt;='Score settings'!$E$16,'Score settings'!$G$16,IF(M459/G459&gt;='Score settings'!$E$15,'Score settings'!$G$15,'Score settings'!$G$14))),0)/15*'Score settings'!$B$60+IFERROR(VLOOKUP(IF(ISNUMBER(N459),N459,IF(ISNUMBER(L459),L459,0)),'Score settings'!$E$22:$F$26,2,FALSE),0)/10*'Score settings'!$B$61)/'Score settings'!$B$9*'Score settings'!$D$9</x:f>
        <x:v>0</x:v>
      </x:c>
      <x:c r="AH459" s="41" t="n">
        <x:f>IF(B459="","",SUM(AB459:AG459))</x:f>
        <x:v>19</x:v>
      </x:c>
      <x:c r="AI459" s="41" t="str">
        <x:f>IF(NOT(ISNUMBER(AH459)),"Not scored",VLOOKUP(AH459,'Score settings'!$A$47:$C$50,3,TRUE))</x:f>
        <x:v>Weak</x:v>
      </x:c>
      <x:c r="AJ459" s="42" t="n">
        <x:f>IF(OR(NOT(ISNUMBER(AH459)),T459&lt;&gt;"Common pot"),"",COUNTIFS($T$4:$T$509,"Common pot",$AH$4:$AH$509,"&gt;"&amp;AH459)+1)</x:f>
        <x:v>355</x:v>
      </x:c>
      <x:c r="AK459" s="36" t="str">
        <x:f>IF(B459="","Name missing - not scored",IF(OR(NOT(ISNUMBER(G459)),G459&lt;=0),"Investment missing or zero - review",IF(0=1,"Permanent ID missing - reconcile",IF(AND(ISNUMBER(H459),H459/G459&gt;='Score settings'!$B$58,NOT(ISNUMBER(I459))),"Benefit units need review",IF(OR(R459="EXIT",R459="CHALLENGE"),"Waste decision requires scope resolution",IF("No exact waste match"&lt;&gt;"Name and organisation matched","Waste evidence match needs review","Provisional source score - confirm evidence"))))))</x:f>
        <x:v>Waste evidence match needs review</x:v>
      </x:c>
      <x:c r="AL459" s="36"/>
      <x:c r="AM459" s="40"/>
      <x:c r="AN459" s="39"/>
      <x:c r="AO459" s="40"/>
      <x:c r="AP459" s="40"/>
    </x:row>
    <x:row r="460" ht="15" hidden="0" customHeight="1">
      <x:c r="A460" s="36" t="str">
        <x:v>EW-138</x:v>
      </x:c>
      <x:c r="B460" s="37" t="str">
        <x:v>FIN-RTR ChatBOT</x:v>
      </x:c>
      <x:c r="C460" s="36" t="str">
        <x:v>EW</x:v>
      </x:c>
      <x:c r="D460" s="36" t="str">
        <x:v>Information Technology ​</x:v>
      </x:c>
      <x:c r="E460" s="38" t="n">
        <x:v>0</x:v>
      </x:c>
      <x:c r="F460" s="39"/>
      <x:c r="G460" s="38" t="str">
        <x:f>IF(ISNUMBER(F460),F460,IF(E460="","",E460))</x:f>
      </x:c>
      <x:c r="H460" s="38"/>
      <x:c r="I460" s="39"/>
      <x:c r="J460" s="36" t="str">
        <x:v>Unclassified</x:v>
      </x:c>
      <x:c r="K460" s="38" t="str">
        <x:f>IF(ISNUMBER(I460),I460,IF(OR(NOT(ISNUMBER(H460)),NOT(ISNUMBER(G460)),G460&lt;=0),"",IF(H460/G460&gt;='Score settings'!$B$58,"",IF(J460="Cash savings",H460,IF(J460="Revenue",H460*'Score settings'!$B$55,"")))))</x:f>
      </x:c>
      <x:c r="L460" s="36"/>
      <x:c r="M460" s="39"/>
      <x:c r="N460" s="40"/>
      <x:c r="O460" s="36" t="str">
        <x:v>Must Do</x:v>
      </x:c>
      <x:c r="P460" s="36" t="str">
        <x:v>AI</x:v>
      </x:c>
      <x:c r="Q460" s="36" t="str">
        <x:v>Blank</x:v>
      </x:c>
      <x:c r="R460" s="36" t="str">
        <x:v>NotAssessed</x:v>
      </x:c>
      <x:c r="S460" s="36" t="str"/>
      <x:c r="T460" s="36" t="str">
        <x:v>Common pot</x:v>
      </x:c>
      <x:c r="U460" s="41" t="n">
        <x:f>VLOOKUP("Priority|"&amp;O460,'Score settings'!$A$14:$C$43,2,FALSE)/'Score settings'!$B$4*'Score settings'!$C$4</x:f>
        <x:v>25</x:v>
      </x:c>
      <x:c r="V460" s="41" t="n">
        <x:f>VLOOKUP("Category|"&amp;P460,'Score settings'!$A$14:$C$43,2,FALSE)/'Score settings'!$B$5*'Score settings'!$C$5</x:f>
        <x:v>16</x:v>
      </x:c>
      <x:c r="W460" s="41" t="n">
        <x:f>VLOOKUP("Area|"&amp;Q460,'Score settings'!$A$14:$C$43,2,FALSE)/'Score settings'!$B$6*'Score settings'!$C$6</x:f>
        <x:v>3</x:v>
      </x:c>
      <x:c r="X460" s="41" t="n">
        <x:f>VLOOKUP("Benefits|"&amp;IF(AND(ISNUMBER(H460),H460&gt;0,ISNUMBER(G460),G460&gt;0),IF(H460/G460&gt;='Score settings'!$E$17,"3plus",IF(H460/G460&gt;='Score settings'!$E$16,"1.5to3",IF(H460/G460&gt;='Score settings'!$E$15,"0.5to1.5","positive"))),"None"),'Score settings'!$A$14:$C$43,2,FALSE)/'Score settings'!$B$7*'Score settings'!$C$7</x:f>
        <x:v>5</x:v>
      </x:c>
      <x:c r="Y460" s="41" t="n">
        <x:f>VLOOKUP("Waste|"&amp;R460,'Score settings'!$A$14:$C$43,2,FALSE)/'Score settings'!$B$8*'Score settings'!$C$8</x:f>
        <x:v>7</x:v>
      </x:c>
      <x:c r="Z460" s="41" t="n">
        <x:f>IF(B460="","",SUM(U460:Y460))</x:f>
        <x:v>56</x:v>
      </x:c>
      <x:c r="AA460" s="41" t="str">
        <x:f>IF(Z460="","Not scored",VLOOKUP(Z460,'Score settings'!$A$47:$C$50,2,TRUE))</x:f>
        <x:v>Strong</x:v>
      </x:c>
      <x:c r="AB460" s="41" t="n">
        <x:f>VLOOKUP("Priority|"&amp;O460,'Score settings'!$A$14:$C$43,3,FALSE)/'Score settings'!$B$4*'Score settings'!$D$4</x:f>
        <x:v>15</x:v>
      </x:c>
      <x:c r="AC460" s="41" t="n">
        <x:f>VLOOKUP("Category|"&amp;P460,'Score settings'!$A$14:$C$43,3,FALSE)/'Score settings'!$B$5*'Score settings'!$D$5</x:f>
        <x:v>8</x:v>
      </x:c>
      <x:c r="AD460" s="41" t="n">
        <x:f>VLOOKUP("Area|"&amp;Q460,'Score settings'!$A$14:$C$43,3,FALSE)/'Score settings'!$B$6*'Score settings'!$D$6</x:f>
        <x:v>0</x:v>
      </x:c>
      <x:c r="AE460" s="41" t="n">
        <x:f>VLOOKUP("Benefits|"&amp;IF(AND(ISNUMBER(K460),K460&gt;0,ISNUMBER(G460),G460&gt;0),IF(K460/G460&gt;='Score settings'!$E$17,"3plus",IF(K460/G460&gt;='Score settings'!$E$16,"1.5to3",IF(K460/G460&gt;='Score settings'!$E$15,"0.5to1.5","positive"))),"None"),'Score settings'!$A$14:$C$43,3,FALSE)/'Score settings'!$B$7*'Score settings'!$D$7</x:f>
        <x:v>0</x:v>
      </x:c>
      <x:c r="AF460" s="41" t="n">
        <x:f>VLOOKUP("Waste|"&amp;R460,'Score settings'!$A$14:$C$43,3,FALSE)/'Score settings'!$B$8*'Score settings'!$D$8</x:f>
        <x:v>0</x:v>
      </x:c>
      <x:c r="AG460" s="41" t="n">
        <x:f>(IF(AND(ISNUMBER(M460),M460&gt;0,ISNUMBER(G460),G460&gt;0),IF(M460/G460&gt;='Score settings'!$E$17,'Score settings'!$G$17,IF(M460/G460&gt;='Score settings'!$E$16,'Score settings'!$G$16,IF(M460/G460&gt;='Score settings'!$E$15,'Score settings'!$G$15,'Score settings'!$G$14))),0)/15*'Score settings'!$B$60+IFERROR(VLOOKUP(IF(ISNUMBER(N460),N460,IF(ISNUMBER(L460),L460,0)),'Score settings'!$E$22:$F$26,2,FALSE),0)/10*'Score settings'!$B$61)/'Score settings'!$B$9*'Score settings'!$D$9</x:f>
        <x:v>0</x:v>
      </x:c>
      <x:c r="AH460" s="41" t="n">
        <x:f>IF(B460="","",SUM(AB460:AG460))</x:f>
        <x:v>23</x:v>
      </x:c>
      <x:c r="AI460" s="41" t="str">
        <x:f>IF(NOT(ISNUMBER(AH460)),"Not scored",VLOOKUP(AH460,'Score settings'!$A$47:$C$50,3,TRUE))</x:f>
        <x:v>Weak</x:v>
      </x:c>
      <x:c r="AJ460" s="42" t="n">
        <x:f>IF(OR(NOT(ISNUMBER(AH460)),T460&lt;&gt;"Common pot"),"",COUNTIFS($T$4:$T$509,"Common pot",$AH$4:$AH$509,"&gt;"&amp;AH460)+1)</x:f>
        <x:v>301</x:v>
      </x:c>
      <x:c r="AK460" s="36" t="str">
        <x:f>IF(B460="","Name missing - not scored",IF(OR(NOT(ISNUMBER(G460)),G460&lt;=0),"Investment missing or zero - review",IF(0=1,"Permanent ID missing - reconcile",IF(AND(ISNUMBER(H460),H460/G460&gt;='Score settings'!$B$58,NOT(ISNUMBER(I460))),"Benefit units need review",IF(OR(R460="EXIT",R460="CHALLENGE"),"Waste decision requires scope resolution",IF("No exact waste match"&lt;&gt;"Name and organisation matched","Waste evidence match needs review","Provisional source score - confirm evidence"))))))</x:f>
        <x:v>Investment missing or zero - review</x:v>
      </x:c>
      <x:c r="AL460" s="36"/>
      <x:c r="AM460" s="40"/>
      <x:c r="AN460" s="39"/>
      <x:c r="AO460" s="40"/>
      <x:c r="AP460" s="40"/>
    </x:row>
    <x:row r="461" ht="15" hidden="0" customHeight="1">
      <x:c r="A461" s="36" t="str">
        <x:v>EW-139</x:v>
      </x:c>
      <x:c r="B461" s="37" t="str">
        <x:v>Global AI Hub</x:v>
      </x:c>
      <x:c r="C461" s="36" t="str">
        <x:v>EW</x:v>
      </x:c>
      <x:c r="D461" s="36" t="str">
        <x:v>Information Technology ​</x:v>
      </x:c>
      <x:c r="E461" s="38" t="n">
        <x:v>1.5</x:v>
      </x:c>
      <x:c r="F461" s="39"/>
      <x:c r="G461" s="38" t="n">
        <x:f>IF(ISNUMBER(F461),F461,IF(E461="","",E461))</x:f>
        <x:v>1.5</x:v>
      </x:c>
      <x:c r="H461" s="38"/>
      <x:c r="I461" s="39"/>
      <x:c r="J461" s="36" t="str">
        <x:v>Cash savings</x:v>
      </x:c>
      <x:c r="K461" s="38" t="str">
        <x:f>IF(ISNUMBER(I461),I461,IF(OR(NOT(ISNUMBER(H461)),NOT(ISNUMBER(G461)),G461&lt;=0),"",IF(H461/G461&gt;='Score settings'!$B$58,"",IF(J461="Cash savings",H461,IF(J461="Revenue",H461*'Score settings'!$B$55,"")))))</x:f>
      </x:c>
      <x:c r="L461" s="36"/>
      <x:c r="M461" s="39"/>
      <x:c r="N461" s="40"/>
      <x:c r="O461" s="36" t="str">
        <x:v>Must Do</x:v>
      </x:c>
      <x:c r="P461" s="36" t="str">
        <x:v>AI</x:v>
      </x:c>
      <x:c r="Q461" s="36" t="str">
        <x:v>Productivity</x:v>
      </x:c>
      <x:c r="R461" s="36" t="str">
        <x:v>HEALTHY</x:v>
      </x:c>
      <x:c r="S461" s="36" t="str"/>
      <x:c r="T461" s="36" t="str">
        <x:v>Common pot</x:v>
      </x:c>
      <x:c r="U461" s="41" t="n">
        <x:f>VLOOKUP("Priority|"&amp;O461,'Score settings'!$A$14:$C$43,2,FALSE)/'Score settings'!$B$4*'Score settings'!$C$4</x:f>
        <x:v>25</x:v>
      </x:c>
      <x:c r="V461" s="41" t="n">
        <x:f>VLOOKUP("Category|"&amp;P461,'Score settings'!$A$14:$C$43,2,FALSE)/'Score settings'!$B$5*'Score settings'!$C$5</x:f>
        <x:v>16</x:v>
      </x:c>
      <x:c r="W461" s="41" t="n">
        <x:f>VLOOKUP("Area|"&amp;Q461,'Score settings'!$A$14:$C$43,2,FALSE)/'Score settings'!$B$6*'Score settings'!$C$6</x:f>
        <x:v>10</x:v>
      </x:c>
      <x:c r="X461" s="41" t="n">
        <x:f>VLOOKUP("Benefits|"&amp;IF(AND(ISNUMBER(H461),H461&gt;0,ISNUMBER(G461),G461&gt;0),IF(H461/G461&gt;='Score settings'!$E$17,"3plus",IF(H461/G461&gt;='Score settings'!$E$16,"1.5to3",IF(H461/G461&gt;='Score settings'!$E$15,"0.5to1.5","positive"))),"None"),'Score settings'!$A$14:$C$43,2,FALSE)/'Score settings'!$B$7*'Score settings'!$C$7</x:f>
        <x:v>5</x:v>
      </x:c>
      <x:c r="Y461" s="41" t="n">
        <x:f>VLOOKUP("Waste|"&amp;R461,'Score settings'!$A$14:$C$43,2,FALSE)/'Score settings'!$B$8*'Score settings'!$C$8</x:f>
        <x:v>15</x:v>
      </x:c>
      <x:c r="Z461" s="41" t="n">
        <x:f>IF(B461="","",SUM(U461:Y461))</x:f>
        <x:v>71</x:v>
      </x:c>
      <x:c r="AA461" s="41" t="str">
        <x:f>IF(Z461="","Not scored",VLOOKUP(Z461,'Score settings'!$A$47:$C$50,2,TRUE))</x:f>
        <x:v>Protected</x:v>
      </x:c>
      <x:c r="AB461" s="41" t="n">
        <x:f>VLOOKUP("Priority|"&amp;O461,'Score settings'!$A$14:$C$43,3,FALSE)/'Score settings'!$B$4*'Score settings'!$D$4</x:f>
        <x:v>15</x:v>
      </x:c>
      <x:c r="AC461" s="41" t="n">
        <x:f>VLOOKUP("Category|"&amp;P461,'Score settings'!$A$14:$C$43,3,FALSE)/'Score settings'!$B$5*'Score settings'!$D$5</x:f>
        <x:v>8</x:v>
      </x:c>
      <x:c r="AD461" s="41" t="n">
        <x:f>VLOOKUP("Area|"&amp;Q461,'Score settings'!$A$14:$C$43,3,FALSE)/'Score settings'!$B$6*'Score settings'!$D$6</x:f>
        <x:v>6.666666666666666</x:v>
      </x:c>
      <x:c r="AE461" s="41" t="n">
        <x:f>VLOOKUP("Benefits|"&amp;IF(AND(ISNUMBER(K461),K461&gt;0,ISNUMBER(G461),G461&gt;0),IF(K461/G461&gt;='Score settings'!$E$17,"3plus",IF(K461/G461&gt;='Score settings'!$E$16,"1.5to3",IF(K461/G461&gt;='Score settings'!$E$15,"0.5to1.5","positive"))),"None"),'Score settings'!$A$14:$C$43,3,FALSE)/'Score settings'!$B$7*'Score settings'!$D$7</x:f>
        <x:v>0</x:v>
      </x:c>
      <x:c r="AF461" s="41" t="n">
        <x:f>VLOOKUP("Waste|"&amp;R461,'Score settings'!$A$14:$C$43,3,FALSE)/'Score settings'!$B$8*'Score settings'!$D$8</x:f>
        <x:v>10</x:v>
      </x:c>
      <x:c r="AG461" s="41" t="n">
        <x:f>(IF(AND(ISNUMBER(M461),M461&gt;0,ISNUMBER(G461),G461&gt;0),IF(M461/G461&gt;='Score settings'!$E$17,'Score settings'!$G$17,IF(M461/G461&gt;='Score settings'!$E$16,'Score settings'!$G$16,IF(M461/G461&gt;='Score settings'!$E$15,'Score settings'!$G$15,'Score settings'!$G$14))),0)/15*'Score settings'!$B$60+IFERROR(VLOOKUP(IF(ISNUMBER(N461),N461,IF(ISNUMBER(L461),L461,0)),'Score settings'!$E$22:$F$26,2,FALSE),0)/10*'Score settings'!$B$61)/'Score settings'!$B$9*'Score settings'!$D$9</x:f>
        <x:v>0</x:v>
      </x:c>
      <x:c r="AH461" s="41" t="n">
        <x:f>IF(B461="","",SUM(AB461:AG461))</x:f>
        <x:v>39.666666666666664</x:v>
      </x:c>
      <x:c r="AI461" s="41" t="str">
        <x:f>IF(NOT(ISNUMBER(AH461)),"Not scored",VLOOKUP(AH461,'Score settings'!$A$47:$C$50,3,TRUE))</x:f>
        <x:v>Discretionary</x:v>
      </x:c>
      <x:c r="AJ461" s="42" t="n">
        <x:f>IF(OR(NOT(ISNUMBER(AH461)),T461&lt;&gt;"Common pot"),"",COUNTIFS($T$4:$T$509,"Common pot",$AH$4:$AH$509,"&gt;"&amp;AH461)+1)</x:f>
        <x:v>101</x:v>
      </x:c>
      <x:c r="AK461" s="36" t="str">
        <x:f>IF(B461="","Name missing - not scored",IF(OR(NOT(ISNUMBER(G461)),G461&lt;=0),"Investment missing or zero - review",IF(0=1,"Permanent ID missing - reconcile",IF(AND(ISNUMBER(H461),H461/G461&gt;='Score settings'!$B$58,NOT(ISNUMBER(I461))),"Benefit units need review",IF(OR(R461="EXIT",R461="CHALLENGE"),"Waste decision requires scope resolution",IF("Name and organisation matched"&lt;&gt;"Name and organisation matched","Waste evidence match needs review","Provisional source score - confirm evidence"))))))</x:f>
        <x:v>Provisional source score - confirm evidence</x:v>
      </x:c>
      <x:c r="AL461" s="36"/>
      <x:c r="AM461" s="40"/>
      <x:c r="AN461" s="39"/>
      <x:c r="AO461" s="40"/>
      <x:c r="AP461" s="40"/>
    </x:row>
    <x:row r="462" ht="15" hidden="0" customHeight="1">
      <x:c r="A462" s="36" t="str">
        <x:v>EW-140</x:v>
      </x:c>
      <x:c r="B462" s="37" t="str"/>
      <x:c r="C462" s="36" t="str">
        <x:v>EW</x:v>
      </x:c>
      <x:c r="D462" s="36" t="str">
        <x:v>Information Technology ​</x:v>
      </x:c>
      <x:c r="E462" s="38"/>
      <x:c r="F462" s="39"/>
      <x:c r="G462" s="38" t="str">
        <x:f>IF(ISNUMBER(F462),F462,IF(E462="","",E462))</x:f>
      </x:c>
      <x:c r="H462" s="38"/>
      <x:c r="I462" s="39"/>
      <x:c r="J462" s="36" t="str">
        <x:v>Cash savings</x:v>
      </x:c>
      <x:c r="K462" s="38" t="str">
        <x:f>IF(ISNUMBER(I462),I462,IF(OR(NOT(ISNUMBER(H462)),NOT(ISNUMBER(G462)),G462&lt;=0),"",IF(H462/G462&gt;='Score settings'!$B$58,"",IF(J462="Cash savings",H462,IF(J462="Revenue",H462*'Score settings'!$B$55,"")))))</x:f>
      </x:c>
      <x:c r="L462" s="36"/>
      <x:c r="M462" s="39"/>
      <x:c r="N462" s="40"/>
      <x:c r="O462" s="36" t="str">
        <x:v>Blank</x:v>
      </x:c>
      <x:c r="P462" s="36" t="str">
        <x:v>Upgrades</x:v>
      </x:c>
      <x:c r="Q462" s="36" t="str">
        <x:v>Productivity</x:v>
      </x:c>
      <x:c r="R462" s="36" t="str">
        <x:v>NotAssessed</x:v>
      </x:c>
      <x:c r="S462" s="36" t="str"/>
      <x:c r="T462" s="36" t="str">
        <x:v>Incomplete record</x:v>
      </x:c>
      <x:c r="U462" s="41" t="n">
        <x:f>VLOOKUP("Priority|"&amp;O462,'Score settings'!$A$14:$C$43,2,FALSE)/'Score settings'!$B$4*'Score settings'!$C$4</x:f>
        <x:v>10</x:v>
      </x:c>
      <x:c r="V462" s="41" t="n">
        <x:f>VLOOKUP("Category|"&amp;P462,'Score settings'!$A$14:$C$43,2,FALSE)/'Score settings'!$B$5*'Score settings'!$C$5</x:f>
        <x:v>10</x:v>
      </x:c>
      <x:c r="W462" s="41" t="n">
        <x:f>VLOOKUP("Area|"&amp;Q462,'Score settings'!$A$14:$C$43,2,FALSE)/'Score settings'!$B$6*'Score settings'!$C$6</x:f>
        <x:v>10</x:v>
      </x:c>
      <x:c r="X462" s="41" t="n">
        <x:f>VLOOKUP("Benefits|"&amp;IF(AND(ISNUMBER(H462),H462&gt;0,ISNUMBER(G462),G462&gt;0),IF(H462/G462&gt;='Score settings'!$E$17,"3plus",IF(H462/G462&gt;='Score settings'!$E$16,"1.5to3",IF(H462/G462&gt;='Score settings'!$E$15,"0.5to1.5","positive"))),"None"),'Score settings'!$A$14:$C$43,2,FALSE)/'Score settings'!$B$7*'Score settings'!$C$7</x:f>
        <x:v>5</x:v>
      </x:c>
      <x:c r="Y462" s="41" t="n">
        <x:f>VLOOKUP("Waste|"&amp;R462,'Score settings'!$A$14:$C$43,2,FALSE)/'Score settings'!$B$8*'Score settings'!$C$8</x:f>
        <x:v>7</x:v>
      </x:c>
      <x:c r="Z462" s="41" t="str">
        <x:f>IF(B462="","",SUM(U462:Y462))</x:f>
      </x:c>
      <x:c r="AA462" s="41" t="str">
        <x:f>IF(Z462="","Not scored",VLOOKUP(Z462,'Score settings'!$A$47:$C$50,2,TRUE))</x:f>
        <x:v>Not scored</x:v>
      </x:c>
      <x:c r="AB462" s="41" t="n">
        <x:f>VLOOKUP("Priority|"&amp;O462,'Score settings'!$A$14:$C$43,3,FALSE)/'Score settings'!$B$4*'Score settings'!$D$4</x:f>
        <x:v>0</x:v>
      </x:c>
      <x:c r="AC462" s="41" t="n">
        <x:f>VLOOKUP("Category|"&amp;P462,'Score settings'!$A$14:$C$43,3,FALSE)/'Score settings'!$B$5*'Score settings'!$D$5</x:f>
        <x:v>5</x:v>
      </x:c>
      <x:c r="AD462" s="41" t="n">
        <x:f>VLOOKUP("Area|"&amp;Q462,'Score settings'!$A$14:$C$43,3,FALSE)/'Score settings'!$B$6*'Score settings'!$D$6</x:f>
        <x:v>6.666666666666666</x:v>
      </x:c>
      <x:c r="AE462" s="41" t="n">
        <x:f>VLOOKUP("Benefits|"&amp;IF(AND(ISNUMBER(K462),K462&gt;0,ISNUMBER(G462),G462&gt;0),IF(K462/G462&gt;='Score settings'!$E$17,"3plus",IF(K462/G462&gt;='Score settings'!$E$16,"1.5to3",IF(K462/G462&gt;='Score settings'!$E$15,"0.5to1.5","positive"))),"None"),'Score settings'!$A$14:$C$43,3,FALSE)/'Score settings'!$B$7*'Score settings'!$D$7</x:f>
        <x:v>0</x:v>
      </x:c>
      <x:c r="AF462" s="41" t="n">
        <x:f>VLOOKUP("Waste|"&amp;R462,'Score settings'!$A$14:$C$43,3,FALSE)/'Score settings'!$B$8*'Score settings'!$D$8</x:f>
        <x:v>0</x:v>
      </x:c>
      <x:c r="AG462" s="41" t="n">
        <x:f>(IF(AND(ISNUMBER(M462),M462&gt;0,ISNUMBER(G462),G462&gt;0),IF(M462/G462&gt;='Score settings'!$E$17,'Score settings'!$G$17,IF(M462/G462&gt;='Score settings'!$E$16,'Score settings'!$G$16,IF(M462/G462&gt;='Score settings'!$E$15,'Score settings'!$G$15,'Score settings'!$G$14))),0)/15*'Score settings'!$B$60+IFERROR(VLOOKUP(IF(ISNUMBER(N462),N462,IF(ISNUMBER(L462),L462,0)),'Score settings'!$E$22:$F$26,2,FALSE),0)/10*'Score settings'!$B$61)/'Score settings'!$B$9*'Score settings'!$D$9</x:f>
        <x:v>0</x:v>
      </x:c>
      <x:c r="AH462" s="41" t="str">
        <x:f>IF(B462="","",SUM(AB462:AG462))</x:f>
      </x:c>
      <x:c r="AI462" s="41" t="str">
        <x:f>IF(NOT(ISNUMBER(AH462)),"Not scored",VLOOKUP(AH462,'Score settings'!$A$47:$C$50,3,TRUE))</x:f>
        <x:v>Not scored</x:v>
      </x:c>
      <x:c r="AJ462" s="42" t="str">
        <x:f>IF(OR(NOT(ISNUMBER(AH462)),T462&lt;&gt;"Common pot"),"",COUNTIFS($T$4:$T$509,"Common pot",$AH$4:$AH$509,"&gt;"&amp;AH462)+1)</x:f>
      </x:c>
      <x:c r="AK462" s="36" t="str">
        <x:f>IF(B462="","Name missing - not scored",IF(OR(NOT(ISNUMBER(G462)),G462&lt;=0),"Investment missing or zero - review",IF(0=1,"Permanent ID missing - reconcile",IF(AND(ISNUMBER(H462),H462/G462&gt;='Score settings'!$B$58,NOT(ISNUMBER(I462))),"Benefit units need review",IF(OR(R462="EXIT",R462="CHALLENGE"),"Waste decision requires scope resolution",IF("No exact waste match"&lt;&gt;"Name and organisation matched","Waste evidence match needs review","Provisional source score - confirm evidence"))))))</x:f>
        <x:v>Name missing - not scored</x:v>
      </x:c>
      <x:c r="AL462" s="36"/>
      <x:c r="AM462" s="40"/>
      <x:c r="AN462" s="39"/>
      <x:c r="AO462" s="40"/>
      <x:c r="AP462" s="40"/>
    </x:row>
    <x:row r="463" ht="15" hidden="0" customHeight="1">
      <x:c r="A463" s="36" t="str">
        <x:v>EW-141</x:v>
      </x:c>
      <x:c r="B463" s="37" t="str"/>
      <x:c r="C463" s="36" t="str">
        <x:v>EW</x:v>
      </x:c>
      <x:c r="D463" s="36" t="str">
        <x:v>Information Technology ​</x:v>
      </x:c>
      <x:c r="E463" s="38"/>
      <x:c r="F463" s="39"/>
      <x:c r="G463" s="38" t="str">
        <x:f>IF(ISNUMBER(F463),F463,IF(E463="","",E463))</x:f>
      </x:c>
      <x:c r="H463" s="38"/>
      <x:c r="I463" s="39"/>
      <x:c r="J463" s="36" t="str">
        <x:v>Unclassified</x:v>
      </x:c>
      <x:c r="K463" s="38" t="str">
        <x:f>IF(ISNUMBER(I463),I463,IF(OR(NOT(ISNUMBER(H463)),NOT(ISNUMBER(G463)),G463&lt;=0),"",IF(H463/G463&gt;='Score settings'!$B$58,"",IF(J463="Cash savings",H463,IF(J463="Revenue",H463*'Score settings'!$B$55,"")))))</x:f>
      </x:c>
      <x:c r="L463" s="36"/>
      <x:c r="M463" s="39"/>
      <x:c r="N463" s="40"/>
      <x:c r="O463" s="36" t="str">
        <x:v>Blank</x:v>
      </x:c>
      <x:c r="P463" s="36" t="str">
        <x:v>Upgrades</x:v>
      </x:c>
      <x:c r="Q463" s="36" t="str">
        <x:v>Blank</x:v>
      </x:c>
      <x:c r="R463" s="36" t="str">
        <x:v>NotAssessed</x:v>
      </x:c>
      <x:c r="S463" s="36" t="str"/>
      <x:c r="T463" s="36" t="str">
        <x:v>Incomplete record</x:v>
      </x:c>
      <x:c r="U463" s="41" t="n">
        <x:f>VLOOKUP("Priority|"&amp;O463,'Score settings'!$A$14:$C$43,2,FALSE)/'Score settings'!$B$4*'Score settings'!$C$4</x:f>
        <x:v>10</x:v>
      </x:c>
      <x:c r="V463" s="41" t="n">
        <x:f>VLOOKUP("Category|"&amp;P463,'Score settings'!$A$14:$C$43,2,FALSE)/'Score settings'!$B$5*'Score settings'!$C$5</x:f>
        <x:v>10</x:v>
      </x:c>
      <x:c r="W463" s="41" t="n">
        <x:f>VLOOKUP("Area|"&amp;Q463,'Score settings'!$A$14:$C$43,2,FALSE)/'Score settings'!$B$6*'Score settings'!$C$6</x:f>
        <x:v>3</x:v>
      </x:c>
      <x:c r="X463" s="41" t="n">
        <x:f>VLOOKUP("Benefits|"&amp;IF(AND(ISNUMBER(H463),H463&gt;0,ISNUMBER(G463),G463&gt;0),IF(H463/G463&gt;='Score settings'!$E$17,"3plus",IF(H463/G463&gt;='Score settings'!$E$16,"1.5to3",IF(H463/G463&gt;='Score settings'!$E$15,"0.5to1.5","positive"))),"None"),'Score settings'!$A$14:$C$43,2,FALSE)/'Score settings'!$B$7*'Score settings'!$C$7</x:f>
        <x:v>5</x:v>
      </x:c>
      <x:c r="Y463" s="41" t="n">
        <x:f>VLOOKUP("Waste|"&amp;R463,'Score settings'!$A$14:$C$43,2,FALSE)/'Score settings'!$B$8*'Score settings'!$C$8</x:f>
        <x:v>7</x:v>
      </x:c>
      <x:c r="Z463" s="41" t="str">
        <x:f>IF(B463="","",SUM(U463:Y463))</x:f>
      </x:c>
      <x:c r="AA463" s="41" t="str">
        <x:f>IF(Z463="","Not scored",VLOOKUP(Z463,'Score settings'!$A$47:$C$50,2,TRUE))</x:f>
        <x:v>Not scored</x:v>
      </x:c>
      <x:c r="AB463" s="41" t="n">
        <x:f>VLOOKUP("Priority|"&amp;O463,'Score settings'!$A$14:$C$43,3,FALSE)/'Score settings'!$B$4*'Score settings'!$D$4</x:f>
        <x:v>0</x:v>
      </x:c>
      <x:c r="AC463" s="41" t="n">
        <x:f>VLOOKUP("Category|"&amp;P463,'Score settings'!$A$14:$C$43,3,FALSE)/'Score settings'!$B$5*'Score settings'!$D$5</x:f>
        <x:v>5</x:v>
      </x:c>
      <x:c r="AD463" s="41" t="n">
        <x:f>VLOOKUP("Area|"&amp;Q463,'Score settings'!$A$14:$C$43,3,FALSE)/'Score settings'!$B$6*'Score settings'!$D$6</x:f>
        <x:v>0</x:v>
      </x:c>
      <x:c r="AE463" s="41" t="n">
        <x:f>VLOOKUP("Benefits|"&amp;IF(AND(ISNUMBER(K463),K463&gt;0,ISNUMBER(G463),G463&gt;0),IF(K463/G463&gt;='Score settings'!$E$17,"3plus",IF(K463/G463&gt;='Score settings'!$E$16,"1.5to3",IF(K463/G463&gt;='Score settings'!$E$15,"0.5to1.5","positive"))),"None"),'Score settings'!$A$14:$C$43,3,FALSE)/'Score settings'!$B$7*'Score settings'!$D$7</x:f>
        <x:v>0</x:v>
      </x:c>
      <x:c r="AF463" s="41" t="n">
        <x:f>VLOOKUP("Waste|"&amp;R463,'Score settings'!$A$14:$C$43,3,FALSE)/'Score settings'!$B$8*'Score settings'!$D$8</x:f>
        <x:v>0</x:v>
      </x:c>
      <x:c r="AG463" s="41" t="n">
        <x:f>(IF(AND(ISNUMBER(M463),M463&gt;0,ISNUMBER(G463),G463&gt;0),IF(M463/G463&gt;='Score settings'!$E$17,'Score settings'!$G$17,IF(M463/G463&gt;='Score settings'!$E$16,'Score settings'!$G$16,IF(M463/G463&gt;='Score settings'!$E$15,'Score settings'!$G$15,'Score settings'!$G$14))),0)/15*'Score settings'!$B$60+IFERROR(VLOOKUP(IF(ISNUMBER(N463),N463,IF(ISNUMBER(L463),L463,0)),'Score settings'!$E$22:$F$26,2,FALSE),0)/10*'Score settings'!$B$61)/'Score settings'!$B$9*'Score settings'!$D$9</x:f>
        <x:v>0</x:v>
      </x:c>
      <x:c r="AH463" s="41" t="str">
        <x:f>IF(B463="","",SUM(AB463:AG463))</x:f>
      </x:c>
      <x:c r="AI463" s="41" t="str">
        <x:f>IF(NOT(ISNUMBER(AH463)),"Not scored",VLOOKUP(AH463,'Score settings'!$A$47:$C$50,3,TRUE))</x:f>
        <x:v>Not scored</x:v>
      </x:c>
      <x:c r="AJ463" s="42" t="str">
        <x:f>IF(OR(NOT(ISNUMBER(AH463)),T463&lt;&gt;"Common pot"),"",COUNTIFS($T$4:$T$509,"Common pot",$AH$4:$AH$509,"&gt;"&amp;AH463)+1)</x:f>
      </x:c>
      <x:c r="AK463" s="36" t="str">
        <x:f>IF(B463="","Name missing - not scored",IF(OR(NOT(ISNUMBER(G463)),G463&lt;=0),"Investment missing or zero - review",IF(0=1,"Permanent ID missing - reconcile",IF(AND(ISNUMBER(H463),H463/G463&gt;='Score settings'!$B$58,NOT(ISNUMBER(I463))),"Benefit units need review",IF(OR(R463="EXIT",R463="CHALLENGE"),"Waste decision requires scope resolution",IF("No exact waste match"&lt;&gt;"Name and organisation matched","Waste evidence match needs review","Provisional source score - confirm evidence"))))))</x:f>
        <x:v>Name missing - not scored</x:v>
      </x:c>
      <x:c r="AL463" s="36"/>
      <x:c r="AM463" s="40"/>
      <x:c r="AN463" s="39"/>
      <x:c r="AO463" s="40"/>
      <x:c r="AP463" s="40"/>
    </x:row>
    <x:row r="464" ht="15" hidden="0" customHeight="1">
      <x:c r="A464" s="36" t="str">
        <x:v>EW-142</x:v>
      </x:c>
      <x:c r="B464" s="37" t="str">
        <x:v>Vmware/Broadcom exit for Compute estate (GoA)</x:v>
      </x:c>
      <x:c r="C464" s="36" t="str">
        <x:v>EW</x:v>
      </x:c>
      <x:c r="D464" s="36" t="str">
        <x:v>Information Technology ​</x:v>
      </x:c>
      <x:c r="E464" s="38" t="n">
        <x:v>0.7</x:v>
      </x:c>
      <x:c r="F464" s="39"/>
      <x:c r="G464" s="38" t="n">
        <x:f>IF(ISNUMBER(F464),F464,IF(E464="","",E464))</x:f>
        <x:v>0.7</x:v>
      </x:c>
      <x:c r="H464" s="38"/>
      <x:c r="I464" s="39"/>
      <x:c r="J464" s="36" t="str">
        <x:v>Risk exposure</x:v>
      </x:c>
      <x:c r="K464" s="38" t="str">
        <x:f>IF(ISNUMBER(I464),I464,IF(OR(NOT(ISNUMBER(H464)),NOT(ISNUMBER(G464)),G464&lt;=0),"",IF(H464/G464&gt;='Score settings'!$B$58,"",IF(J464="Cash savings",H464,IF(J464="Revenue",H464*'Score settings'!$B$55,"")))))</x:f>
      </x:c>
      <x:c r="L464" s="36" t="n">
        <x:v>4</x:v>
      </x:c>
      <x:c r="M464" s="39"/>
      <x:c r="N464" s="40"/>
      <x:c r="O464" s="36" t="str">
        <x:v>Must Do</x:v>
      </x:c>
      <x:c r="P464" s="36" t="str">
        <x:v>LFR</x:v>
      </x:c>
      <x:c r="Q464" s="36" t="str">
        <x:v>Compliance</x:v>
      </x:c>
      <x:c r="R464" s="36" t="str">
        <x:v>CONTAIN</x:v>
      </x:c>
      <x:c r="S464" s="36" t="str">
        <x:v>YES</x:v>
      </x:c>
      <x:c r="T464" s="36" t="str">
        <x:v>LFR validated candidate</x:v>
      </x:c>
      <x:c r="U464" s="41" t="n">
        <x:f>VLOOKUP("Priority|"&amp;O464,'Score settings'!$A$14:$C$43,2,FALSE)/'Score settings'!$B$4*'Score settings'!$C$4</x:f>
        <x:v>25</x:v>
      </x:c>
      <x:c r="V464" s="41" t="n">
        <x:f>VLOOKUP("Category|"&amp;P464,'Score settings'!$A$14:$C$43,2,FALSE)/'Score settings'!$B$5*'Score settings'!$C$5</x:f>
        <x:v>20</x:v>
      </x:c>
      <x:c r="W464" s="41" t="n">
        <x:f>VLOOKUP("Area|"&amp;Q464,'Score settings'!$A$14:$C$43,2,FALSE)/'Score settings'!$B$6*'Score settings'!$C$6</x:f>
        <x:v>15</x:v>
      </x:c>
      <x:c r="X464" s="41" t="n">
        <x:f>VLOOKUP("Benefits|"&amp;IF(AND(ISNUMBER(H464),H464&gt;0,ISNUMBER(G464),G464&gt;0),IF(H464/G464&gt;='Score settings'!$E$17,"3plus",IF(H464/G464&gt;='Score settings'!$E$16,"1.5to3",IF(H464/G464&gt;='Score settings'!$E$15,"0.5to1.5","positive"))),"None"),'Score settings'!$A$14:$C$43,2,FALSE)/'Score settings'!$B$7*'Score settings'!$C$7</x:f>
        <x:v>5</x:v>
      </x:c>
      <x:c r="Y464" s="41" t="n">
        <x:f>VLOOKUP("Waste|"&amp;R464,'Score settings'!$A$14:$C$43,2,FALSE)/'Score settings'!$B$8*'Score settings'!$C$8</x:f>
        <x:v>9</x:v>
      </x:c>
      <x:c r="Z464" s="41" t="n">
        <x:f>IF(B464="","",SUM(U464:Y464))</x:f>
        <x:v>74</x:v>
      </x:c>
      <x:c r="AA464" s="41" t="str">
        <x:f>IF(Z464="","Not scored",VLOOKUP(Z464,'Score settings'!$A$47:$C$50,2,TRUE))</x:f>
        <x:v>Protected</x:v>
      </x:c>
      <x:c r="AB464" s="41" t="n">
        <x:f>VLOOKUP("Priority|"&amp;O464,'Score settings'!$A$14:$C$43,3,FALSE)/'Score settings'!$B$4*'Score settings'!$D$4</x:f>
        <x:v>15</x:v>
      </x:c>
      <x:c r="AC464" s="41" t="n">
        <x:f>VLOOKUP("Category|"&amp;P464,'Score settings'!$A$14:$C$43,3,FALSE)/'Score settings'!$B$5*'Score settings'!$D$5</x:f>
        <x:v>10</x:v>
      </x:c>
      <x:c r="AD464" s="41" t="n">
        <x:f>VLOOKUP("Area|"&amp;Q464,'Score settings'!$A$14:$C$43,3,FALSE)/'Score settings'!$B$6*'Score settings'!$D$6</x:f>
        <x:v>10</x:v>
      </x:c>
      <x:c r="AE464" s="41" t="n">
        <x:f>VLOOKUP("Benefits|"&amp;IF(AND(ISNUMBER(K464),K464&gt;0,ISNUMBER(G464),G464&gt;0),IF(K464/G464&gt;='Score settings'!$E$17,"3plus",IF(K464/G464&gt;='Score settings'!$E$16,"1.5to3",IF(K464/G464&gt;='Score settings'!$E$15,"0.5to1.5","positive"))),"None"),'Score settings'!$A$14:$C$43,3,FALSE)/'Score settings'!$B$7*'Score settings'!$D$7</x:f>
        <x:v>0</x:v>
      </x:c>
      <x:c r="AF464" s="41" t="n">
        <x:f>VLOOKUP("Waste|"&amp;R464,'Score settings'!$A$14:$C$43,3,FALSE)/'Score settings'!$B$8*'Score settings'!$D$8</x:f>
        <x:v>6</x:v>
      </x:c>
      <x:c r="AG464" s="41" t="n">
        <x:f>(IF(AND(ISNUMBER(M464),M464&gt;0,ISNUMBER(G464),G464&gt;0),IF(M464/G464&gt;='Score settings'!$E$17,'Score settings'!$G$17,IF(M464/G464&gt;='Score settings'!$E$16,'Score settings'!$G$16,IF(M464/G464&gt;='Score settings'!$E$15,'Score settings'!$G$15,'Score settings'!$G$14))),0)/15*'Score settings'!$B$60+IFERROR(VLOOKUP(IF(ISNUMBER(N464),N464,IF(ISNUMBER(L464),L464,0)),'Score settings'!$E$22:$F$26,2,FALSE),0)/10*'Score settings'!$B$61)/'Score settings'!$B$9*'Score settings'!$D$9</x:f>
        <x:v>8</x:v>
      </x:c>
      <x:c r="AH464" s="41" t="n">
        <x:f>IF(B464="","",SUM(AB464:AG464))</x:f>
        <x:v>49</x:v>
      </x:c>
      <x:c r="AI464" s="41" t="str">
        <x:f>IF(NOT(ISNUMBER(AH464)),"Not scored",VLOOKUP(AH464,'Score settings'!$A$47:$C$50,3,TRUE))</x:f>
        <x:v>Strong</x:v>
      </x:c>
      <x:c r="AJ464" s="42" t="str">
        <x:f>IF(OR(NOT(ISNUMBER(AH464)),T464&lt;&gt;"Common pot"),"",COUNTIFS($T$4:$T$509,"Common pot",$AH$4:$AH$509,"&gt;"&amp;AH464)+1)</x:f>
      </x:c>
      <x:c r="AK464" s="36" t="str">
        <x:f>IF(B464="","Name missing - not scored",IF(OR(NOT(ISNUMBER(G464)),G464&lt;=0),"Investment missing or zero - review",IF(0=1,"Permanent ID missing - reconcile",IF(AND(ISNUMBER(H464),H464/G464&gt;='Score settings'!$B$58,NOT(ISNUMBER(I464))),"Benefit units need review",IF(OR(R464="EXIT",R464="CHALLENGE"),"Waste decision requires scope resolution",IF("Name and organisation matched"&lt;&gt;"Name and organisation matched","Waste evidence match needs review","Provisional source score - confirm evidence"))))))</x:f>
        <x:v>Provisional source score - confirm evidence</x:v>
      </x:c>
      <x:c r="AL464" s="36" t="n">
        <x:v>20</x:v>
      </x:c>
      <x:c r="AM464" s="40"/>
      <x:c r="AN464" s="39"/>
      <x:c r="AO464" s="40"/>
      <x:c r="AP464" s="40"/>
    </x:row>
    <x:row r="465" ht="24" hidden="0" customHeight="1">
      <x:c r="A465" s="36" t="str">
        <x:v>EW-143</x:v>
      </x:c>
      <x:c r="B465" s="37" t="str">
        <x:v>FIN-IGM performance management improvement ( Tagged to - IT Finance Foundation)</x:v>
      </x:c>
      <x:c r="C465" s="36" t="str">
        <x:v>EW</x:v>
      </x:c>
      <x:c r="D465" s="36" t="str">
        <x:v>Finance​</x:v>
      </x:c>
      <x:c r="E465" s="38" t="n">
        <x:v>0.2</x:v>
      </x:c>
      <x:c r="F465" s="39"/>
      <x:c r="G465" s="38" t="n">
        <x:f>IF(ISNUMBER(F465),F465,IF(E465="","",E465))</x:f>
        <x:v>0.2</x:v>
      </x:c>
      <x:c r="H465" s="38" t="n">
        <x:v>0.981</x:v>
      </x:c>
      <x:c r="I465" s="39"/>
      <x:c r="J465" s="36" t="str">
        <x:v>Cash savings</x:v>
      </x:c>
      <x:c r="K465" s="38" t="n">
        <x:f>IF(ISNUMBER(I465),I465,IF(OR(NOT(ISNUMBER(H465)),NOT(ISNUMBER(G465)),G465&lt;=0),"",IF(H465/G465&gt;='Score settings'!$B$58,"",IF(J465="Cash savings",H465,IF(J465="Revenue",H465*'Score settings'!$B$55,"")))))</x:f>
        <x:v>0.981</x:v>
      </x:c>
      <x:c r="L465" s="36"/>
      <x:c r="M465" s="39"/>
      <x:c r="N465" s="40"/>
      <x:c r="O465" s="36" t="str">
        <x:v>Must Do</x:v>
      </x:c>
      <x:c r="P465" s="36" t="str">
        <x:v>CI</x:v>
      </x:c>
      <x:c r="Q465" s="36" t="str">
        <x:v>CostAvoidance</x:v>
      </x:c>
      <x:c r="R465" s="36" t="str">
        <x:v>NotAssessed</x:v>
      </x:c>
      <x:c r="S465" s="36" t="str"/>
      <x:c r="T465" s="36" t="str">
        <x:v>Common pot</x:v>
      </x:c>
      <x:c r="U465" s="41" t="n">
        <x:f>VLOOKUP("Priority|"&amp;O465,'Score settings'!$A$14:$C$43,2,FALSE)/'Score settings'!$B$4*'Score settings'!$C$4</x:f>
        <x:v>25</x:v>
      </x:c>
      <x:c r="V465" s="41" t="n">
        <x:f>VLOOKUP("Category|"&amp;P465,'Score settings'!$A$14:$C$43,2,FALSE)/'Score settings'!$B$5*'Score settings'!$C$5</x:f>
        <x:v>8</x:v>
      </x:c>
      <x:c r="W465" s="41" t="n">
        <x:f>VLOOKUP("Area|"&amp;Q465,'Score settings'!$A$14:$C$43,2,FALSE)/'Score settings'!$B$6*'Score settings'!$C$6</x:f>
        <x:v>11</x:v>
      </x:c>
      <x:c r="X465" s="41" t="n">
        <x:f>VLOOKUP("Benefits|"&amp;IF(AND(ISNUMBER(H465),H465&gt;0,ISNUMBER(G465),G465&gt;0),IF(H465/G465&gt;='Score settings'!$E$17,"3plus",IF(H465/G465&gt;='Score settings'!$E$16,"1.5to3",IF(H465/G465&gt;='Score settings'!$E$15,"0.5to1.5","positive"))),"None"),'Score settings'!$A$14:$C$43,2,FALSE)/'Score settings'!$B$7*'Score settings'!$C$7</x:f>
        <x:v>25</x:v>
      </x:c>
      <x:c r="Y465" s="41" t="n">
        <x:f>VLOOKUP("Waste|"&amp;R465,'Score settings'!$A$14:$C$43,2,FALSE)/'Score settings'!$B$8*'Score settings'!$C$8</x:f>
        <x:v>7</x:v>
      </x:c>
      <x:c r="Z465" s="41" t="n">
        <x:f>IF(B465="","",SUM(U465:Y465))</x:f>
        <x:v>76</x:v>
      </x:c>
      <x:c r="AA465" s="41" t="str">
        <x:f>IF(Z465="","Not scored",VLOOKUP(Z465,'Score settings'!$A$47:$C$50,2,TRUE))</x:f>
        <x:v>Protected</x:v>
      </x:c>
      <x:c r="AB465" s="41" t="n">
        <x:f>VLOOKUP("Priority|"&amp;O465,'Score settings'!$A$14:$C$43,3,FALSE)/'Score settings'!$B$4*'Score settings'!$D$4</x:f>
        <x:v>15</x:v>
      </x:c>
      <x:c r="AC465" s="41" t="n">
        <x:f>VLOOKUP("Category|"&amp;P465,'Score settings'!$A$14:$C$43,3,FALSE)/'Score settings'!$B$5*'Score settings'!$D$5</x:f>
        <x:v>4</x:v>
      </x:c>
      <x:c r="AD465" s="41" t="n">
        <x:f>VLOOKUP("Area|"&amp;Q465,'Score settings'!$A$14:$C$43,3,FALSE)/'Score settings'!$B$6*'Score settings'!$D$6</x:f>
        <x:v>7.333333333333333</x:v>
      </x:c>
      <x:c r="AE465" s="41" t="n">
        <x:f>VLOOKUP("Benefits|"&amp;IF(AND(ISNUMBER(K465),K465&gt;0,ISNUMBER(G465),G465&gt;0),IF(K465/G465&gt;='Score settings'!$E$17,"3plus",IF(K465/G465&gt;='Score settings'!$E$16,"1.5to3",IF(K465/G465&gt;='Score settings'!$E$15,"0.5to1.5","positive"))),"None"),'Score settings'!$A$14:$C$43,3,FALSE)/'Score settings'!$B$7*'Score settings'!$D$7</x:f>
        <x:v>30</x:v>
      </x:c>
      <x:c r="AF465" s="41" t="n">
        <x:f>VLOOKUP("Waste|"&amp;R465,'Score settings'!$A$14:$C$43,3,FALSE)/'Score settings'!$B$8*'Score settings'!$D$8</x:f>
        <x:v>0</x:v>
      </x:c>
      <x:c r="AG465" s="41" t="n">
        <x:f>(IF(AND(ISNUMBER(M465),M465&gt;0,ISNUMBER(G465),G465&gt;0),IF(M465/G465&gt;='Score settings'!$E$17,'Score settings'!$G$17,IF(M465/G465&gt;='Score settings'!$E$16,'Score settings'!$G$16,IF(M465/G465&gt;='Score settings'!$E$15,'Score settings'!$G$15,'Score settings'!$G$14))),0)/15*'Score settings'!$B$60+IFERROR(VLOOKUP(IF(ISNUMBER(N465),N465,IF(ISNUMBER(L465),L465,0)),'Score settings'!$E$22:$F$26,2,FALSE),0)/10*'Score settings'!$B$61)/'Score settings'!$B$9*'Score settings'!$D$9</x:f>
        <x:v>0</x:v>
      </x:c>
      <x:c r="AH465" s="41" t="n">
        <x:f>IF(B465="","",SUM(AB465:AG465))</x:f>
        <x:v>56.33333333333333</x:v>
      </x:c>
      <x:c r="AI465" s="41" t="str">
        <x:f>IF(NOT(ISNUMBER(AH465)),"Not scored",VLOOKUP(AH465,'Score settings'!$A$47:$C$50,3,TRUE))</x:f>
        <x:v>Strong</x:v>
      </x:c>
      <x:c r="AJ465" s="42" t="n">
        <x:f>IF(OR(NOT(ISNUMBER(AH465)),T465&lt;&gt;"Common pot"),"",COUNTIFS($T$4:$T$509,"Common pot",$AH$4:$AH$509,"&gt;"&amp;AH465)+1)</x:f>
        <x:v>31</x:v>
      </x:c>
      <x:c r="AK465" s="36" t="str">
        <x:f>IF(B465="","Name missing - not scored",IF(OR(NOT(ISNUMBER(G465)),G465&lt;=0),"Investment missing or zero - review",IF(0=1,"Permanent ID missing - reconcile",IF(AND(ISNUMBER(H465),H465/G465&gt;='Score settings'!$B$58,NOT(ISNUMBER(I465))),"Benefit units need review",IF(OR(R465="EXIT",R465="CHALLENGE"),"Waste decision requires scope resolution",IF("No exact waste match"&lt;&gt;"Name and organisation matched","Waste evidence match needs review","Provisional source score - confirm evidence"))))))</x:f>
        <x:v>Waste evidence match needs review</x:v>
      </x:c>
      <x:c r="AL465" s="36"/>
      <x:c r="AM465" s="40"/>
      <x:c r="AN465" s="39"/>
      <x:c r="AO465" s="40"/>
      <x:c r="AP465" s="40"/>
    </x:row>
    <x:row r="466" ht="15" hidden="0" customHeight="1">
      <x:c r="A466" s="36" t="str">
        <x:v>EW-144</x:v>
      </x:c>
      <x:c r="B466" s="37" t="str">
        <x:v>ISC IT DRP - Software Optimization: RunMyJob</x:v>
      </x:c>
      <x:c r="C466" s="36" t="str">
        <x:v>EW</x:v>
      </x:c>
      <x:c r="D466" s="36" t="str">
        <x:v>Information Technology ​</x:v>
      </x:c>
      <x:c r="E466" s="38" t="n">
        <x:v>0.3</x:v>
      </x:c>
      <x:c r="F466" s="39"/>
      <x:c r="G466" s="38" t="n">
        <x:f>IF(ISNUMBER(F466),F466,IF(E466="","",E466))</x:f>
        <x:v>0.3</x:v>
      </x:c>
      <x:c r="H466" s="38" t="n">
        <x:v>0.5</x:v>
      </x:c>
      <x:c r="I466" s="39"/>
      <x:c r="J466" s="36" t="str">
        <x:v>Cash savings</x:v>
      </x:c>
      <x:c r="K466" s="38" t="n">
        <x:f>IF(ISNUMBER(I466),I466,IF(OR(NOT(ISNUMBER(H466)),NOT(ISNUMBER(G466)),G466&lt;=0),"",IF(H466/G466&gt;='Score settings'!$B$58,"",IF(J466="Cash savings",H466,IF(J466="Revenue",H466*'Score settings'!$B$55,"")))))</x:f>
        <x:v>0.5</x:v>
      </x:c>
      <x:c r="L466" s="36"/>
      <x:c r="M466" s="39"/>
      <x:c r="N466" s="40"/>
      <x:c r="O466" s="36" t="str">
        <x:v>Must Do</x:v>
      </x:c>
      <x:c r="P466" s="36" t="str">
        <x:v>Decomm</x:v>
      </x:c>
      <x:c r="Q466" s="36" t="str">
        <x:v>Productivity</x:v>
      </x:c>
      <x:c r="R466" s="36" t="str">
        <x:v>HEALTHY</x:v>
      </x:c>
      <x:c r="S466" s="36" t="str"/>
      <x:c r="T466" s="36" t="str">
        <x:v>Common pot</x:v>
      </x:c>
      <x:c r="U466" s="41" t="n">
        <x:f>VLOOKUP("Priority|"&amp;O466,'Score settings'!$A$14:$C$43,2,FALSE)/'Score settings'!$B$4*'Score settings'!$C$4</x:f>
        <x:v>25</x:v>
      </x:c>
      <x:c r="V466" s="41" t="n">
        <x:f>VLOOKUP("Category|"&amp;P466,'Score settings'!$A$14:$C$43,2,FALSE)/'Score settings'!$B$5*'Score settings'!$C$5</x:f>
        <x:v>17</x:v>
      </x:c>
      <x:c r="W466" s="41" t="n">
        <x:f>VLOOKUP("Area|"&amp;Q466,'Score settings'!$A$14:$C$43,2,FALSE)/'Score settings'!$B$6*'Score settings'!$C$6</x:f>
        <x:v>10</x:v>
      </x:c>
      <x:c r="X466" s="41" t="n">
        <x:f>VLOOKUP("Benefits|"&amp;IF(AND(ISNUMBER(H466),H466&gt;0,ISNUMBER(G466),G466&gt;0),IF(H466/G466&gt;='Score settings'!$E$17,"3plus",IF(H466/G466&gt;='Score settings'!$E$16,"1.5to3",IF(H466/G466&gt;='Score settings'!$E$15,"0.5to1.5","positive"))),"None"),'Score settings'!$A$14:$C$43,2,FALSE)/'Score settings'!$B$7*'Score settings'!$C$7</x:f>
        <x:v>20</x:v>
      </x:c>
      <x:c r="Y466" s="41" t="n">
        <x:f>VLOOKUP("Waste|"&amp;R466,'Score settings'!$A$14:$C$43,2,FALSE)/'Score settings'!$B$8*'Score settings'!$C$8</x:f>
        <x:v>15</x:v>
      </x:c>
      <x:c r="Z466" s="41" t="n">
        <x:f>IF(B466="","",SUM(U466:Y466))</x:f>
        <x:v>87</x:v>
      </x:c>
      <x:c r="AA466" s="41" t="str">
        <x:f>IF(Z466="","Not scored",VLOOKUP(Z466,'Score settings'!$A$47:$C$50,2,TRUE))</x:f>
        <x:v>Protected</x:v>
      </x:c>
      <x:c r="AB466" s="41" t="n">
        <x:f>VLOOKUP("Priority|"&amp;O466,'Score settings'!$A$14:$C$43,3,FALSE)/'Score settings'!$B$4*'Score settings'!$D$4</x:f>
        <x:v>15</x:v>
      </x:c>
      <x:c r="AC466" s="41" t="n">
        <x:f>VLOOKUP("Category|"&amp;P466,'Score settings'!$A$14:$C$43,3,FALSE)/'Score settings'!$B$5*'Score settings'!$D$5</x:f>
        <x:v>8.5</x:v>
      </x:c>
      <x:c r="AD466" s="41" t="n">
        <x:f>VLOOKUP("Area|"&amp;Q466,'Score settings'!$A$14:$C$43,3,FALSE)/'Score settings'!$B$6*'Score settings'!$D$6</x:f>
        <x:v>6.666666666666666</x:v>
      </x:c>
      <x:c r="AE466" s="41" t="n">
        <x:f>VLOOKUP("Benefits|"&amp;IF(AND(ISNUMBER(K466),K466&gt;0,ISNUMBER(G466),G466&gt;0),IF(K466/G466&gt;='Score settings'!$E$17,"3plus",IF(K466/G466&gt;='Score settings'!$E$16,"1.5to3",IF(K466/G466&gt;='Score settings'!$E$15,"0.5to1.5","positive"))),"None"),'Score settings'!$A$14:$C$43,3,FALSE)/'Score settings'!$B$7*'Score settings'!$D$7</x:f>
        <x:v>24</x:v>
      </x:c>
      <x:c r="AF466" s="41" t="n">
        <x:f>VLOOKUP("Waste|"&amp;R466,'Score settings'!$A$14:$C$43,3,FALSE)/'Score settings'!$B$8*'Score settings'!$D$8</x:f>
        <x:v>10</x:v>
      </x:c>
      <x:c r="AG466" s="41" t="n">
        <x:f>(IF(AND(ISNUMBER(M466),M466&gt;0,ISNUMBER(G466),G466&gt;0),IF(M466/G466&gt;='Score settings'!$E$17,'Score settings'!$G$17,IF(M466/G466&gt;='Score settings'!$E$16,'Score settings'!$G$16,IF(M466/G466&gt;='Score settings'!$E$15,'Score settings'!$G$15,'Score settings'!$G$14))),0)/15*'Score settings'!$B$60+IFERROR(VLOOKUP(IF(ISNUMBER(N466),N466,IF(ISNUMBER(L466),L466,0)),'Score settings'!$E$22:$F$26,2,FALSE),0)/10*'Score settings'!$B$61)/'Score settings'!$B$9*'Score settings'!$D$9</x:f>
        <x:v>0</x:v>
      </x:c>
      <x:c r="AH466" s="41" t="n">
        <x:f>IF(B466="","",SUM(AB466:AG466))</x:f>
        <x:v>64.16666666666666</x:v>
      </x:c>
      <x:c r="AI466" s="41" t="str">
        <x:f>IF(NOT(ISNUMBER(AH466)),"Not scored",VLOOKUP(AH466,'Score settings'!$A$47:$C$50,3,TRUE))</x:f>
        <x:v>Strong</x:v>
      </x:c>
      <x:c r="AJ466" s="42" t="n">
        <x:f>IF(OR(NOT(ISNUMBER(AH466)),T466&lt;&gt;"Common pot"),"",COUNTIFS($T$4:$T$509,"Common pot",$AH$4:$AH$509,"&gt;"&amp;AH466)+1)</x:f>
        <x:v>11</x:v>
      </x:c>
      <x:c r="AK466" s="36" t="str">
        <x:f>IF(B466="","Name missing - not scored",IF(OR(NOT(ISNUMBER(G466)),G466&lt;=0),"Investment missing or zero - review",IF(0=1,"Permanent ID missing - reconcile",IF(AND(ISNUMBER(H466),H466/G466&gt;='Score settings'!$B$58,NOT(ISNUMBER(I466))),"Benefit units need review",IF(OR(R466="EXIT",R466="CHALLENGE"),"Waste decision requires scope resolution",IF("Name and organisation matched"&lt;&gt;"Name and organisation matched","Waste evidence match needs review","Provisional source score - confirm evidence"))))))</x:f>
        <x:v>Provisional source score - confirm evidence</x:v>
      </x:c>
      <x:c r="AL466" s="36"/>
      <x:c r="AM466" s="40"/>
      <x:c r="AN466" s="39"/>
      <x:c r="AO466" s="40"/>
      <x:c r="AP466" s="40"/>
    </x:row>
    <x:row r="467" ht="15" hidden="0" customHeight="1">
      <x:c r="A467" s="36" t="str">
        <x:v>EW-145</x:v>
      </x:c>
      <x:c r="B467" s="37" t="str">
        <x:v>ISC IT DRP - Software Optimization: EveryAngle -&gt; ADL</x:v>
      </x:c>
      <x:c r="C467" s="36" t="str">
        <x:v>EW</x:v>
      </x:c>
      <x:c r="D467" s="36" t="str">
        <x:v>Information Technology ​</x:v>
      </x:c>
      <x:c r="E467" s="38" t="n">
        <x:v>0.5</x:v>
      </x:c>
      <x:c r="F467" s="39"/>
      <x:c r="G467" s="38" t="n">
        <x:f>IF(ISNUMBER(F467),F467,IF(E467="","",E467))</x:f>
        <x:v>0.5</x:v>
      </x:c>
      <x:c r="H467" s="38" t="n">
        <x:v>0.7</x:v>
      </x:c>
      <x:c r="I467" s="39"/>
      <x:c r="J467" s="36" t="str">
        <x:v>Cash savings</x:v>
      </x:c>
      <x:c r="K467" s="38" t="n">
        <x:f>IF(ISNUMBER(I467),I467,IF(OR(NOT(ISNUMBER(H467)),NOT(ISNUMBER(G467)),G467&lt;=0),"",IF(H467/G467&gt;='Score settings'!$B$58,"",IF(J467="Cash savings",H467,IF(J467="Revenue",H467*'Score settings'!$B$55,"")))))</x:f>
        <x:v>0.7</x:v>
      </x:c>
      <x:c r="L467" s="36"/>
      <x:c r="M467" s="39"/>
      <x:c r="N467" s="40"/>
      <x:c r="O467" s="36" t="str">
        <x:v>Must Do</x:v>
      </x:c>
      <x:c r="P467" s="36" t="str">
        <x:v>Decomm</x:v>
      </x:c>
      <x:c r="Q467" s="36" t="str">
        <x:v>Productivity</x:v>
      </x:c>
      <x:c r="R467" s="36" t="str">
        <x:v>HEALTHY</x:v>
      </x:c>
      <x:c r="S467" s="36" t="str"/>
      <x:c r="T467" s="36" t="str">
        <x:v>Common pot</x:v>
      </x:c>
      <x:c r="U467" s="41" t="n">
        <x:f>VLOOKUP("Priority|"&amp;O467,'Score settings'!$A$14:$C$43,2,FALSE)/'Score settings'!$B$4*'Score settings'!$C$4</x:f>
        <x:v>25</x:v>
      </x:c>
      <x:c r="V467" s="41" t="n">
        <x:f>VLOOKUP("Category|"&amp;P467,'Score settings'!$A$14:$C$43,2,FALSE)/'Score settings'!$B$5*'Score settings'!$C$5</x:f>
        <x:v>17</x:v>
      </x:c>
      <x:c r="W467" s="41" t="n">
        <x:f>VLOOKUP("Area|"&amp;Q467,'Score settings'!$A$14:$C$43,2,FALSE)/'Score settings'!$B$6*'Score settings'!$C$6</x:f>
        <x:v>10</x:v>
      </x:c>
      <x:c r="X467" s="41" t="n">
        <x:f>VLOOKUP("Benefits|"&amp;IF(AND(ISNUMBER(H467),H467&gt;0,ISNUMBER(G467),G467&gt;0),IF(H467/G467&gt;='Score settings'!$E$17,"3plus",IF(H467/G467&gt;='Score settings'!$E$16,"1.5to3",IF(H467/G467&gt;='Score settings'!$E$15,"0.5to1.5","positive"))),"None"),'Score settings'!$A$14:$C$43,2,FALSE)/'Score settings'!$B$7*'Score settings'!$C$7</x:f>
        <x:v>15</x:v>
      </x:c>
      <x:c r="Y467" s="41" t="n">
        <x:f>VLOOKUP("Waste|"&amp;R467,'Score settings'!$A$14:$C$43,2,FALSE)/'Score settings'!$B$8*'Score settings'!$C$8</x:f>
        <x:v>15</x:v>
      </x:c>
      <x:c r="Z467" s="41" t="n">
        <x:f>IF(B467="","",SUM(U467:Y467))</x:f>
        <x:v>82</x:v>
      </x:c>
      <x:c r="AA467" s="41" t="str">
        <x:f>IF(Z467="","Not scored",VLOOKUP(Z467,'Score settings'!$A$47:$C$50,2,TRUE))</x:f>
        <x:v>Protected</x:v>
      </x:c>
      <x:c r="AB467" s="41" t="n">
        <x:f>VLOOKUP("Priority|"&amp;O467,'Score settings'!$A$14:$C$43,3,FALSE)/'Score settings'!$B$4*'Score settings'!$D$4</x:f>
        <x:v>15</x:v>
      </x:c>
      <x:c r="AC467" s="41" t="n">
        <x:f>VLOOKUP("Category|"&amp;P467,'Score settings'!$A$14:$C$43,3,FALSE)/'Score settings'!$B$5*'Score settings'!$D$5</x:f>
        <x:v>8.5</x:v>
      </x:c>
      <x:c r="AD467" s="41" t="n">
        <x:f>VLOOKUP("Area|"&amp;Q467,'Score settings'!$A$14:$C$43,3,FALSE)/'Score settings'!$B$6*'Score settings'!$D$6</x:f>
        <x:v>6.666666666666666</x:v>
      </x:c>
      <x:c r="AE467" s="41" t="n">
        <x:f>VLOOKUP("Benefits|"&amp;IF(AND(ISNUMBER(K467),K467&gt;0,ISNUMBER(G467),G467&gt;0),IF(K467/G467&gt;='Score settings'!$E$17,"3plus",IF(K467/G467&gt;='Score settings'!$E$16,"1.5to3",IF(K467/G467&gt;='Score settings'!$E$15,"0.5to1.5","positive"))),"None"),'Score settings'!$A$14:$C$43,3,FALSE)/'Score settings'!$B$7*'Score settings'!$D$7</x:f>
        <x:v>18</x:v>
      </x:c>
      <x:c r="AF467" s="41" t="n">
        <x:f>VLOOKUP("Waste|"&amp;R467,'Score settings'!$A$14:$C$43,3,FALSE)/'Score settings'!$B$8*'Score settings'!$D$8</x:f>
        <x:v>10</x:v>
      </x:c>
      <x:c r="AG467" s="41" t="n">
        <x:f>(IF(AND(ISNUMBER(M467),M467&gt;0,ISNUMBER(G467),G467&gt;0),IF(M467/G467&gt;='Score settings'!$E$17,'Score settings'!$G$17,IF(M467/G467&gt;='Score settings'!$E$16,'Score settings'!$G$16,IF(M467/G467&gt;='Score settings'!$E$15,'Score settings'!$G$15,'Score settings'!$G$14))),0)/15*'Score settings'!$B$60+IFERROR(VLOOKUP(IF(ISNUMBER(N467),N467,IF(ISNUMBER(L467),L467,0)),'Score settings'!$E$22:$F$26,2,FALSE),0)/10*'Score settings'!$B$61)/'Score settings'!$B$9*'Score settings'!$D$9</x:f>
        <x:v>0</x:v>
      </x:c>
      <x:c r="AH467" s="41" t="n">
        <x:f>IF(B467="","",SUM(AB467:AG467))</x:f>
        <x:v>58.166666666666664</x:v>
      </x:c>
      <x:c r="AI467" s="41" t="str">
        <x:f>IF(NOT(ISNUMBER(AH467)),"Not scored",VLOOKUP(AH467,'Score settings'!$A$47:$C$50,3,TRUE))</x:f>
        <x:v>Strong</x:v>
      </x:c>
      <x:c r="AJ467" s="42" t="n">
        <x:f>IF(OR(NOT(ISNUMBER(AH467)),T467&lt;&gt;"Common pot"),"",COUNTIFS($T$4:$T$509,"Common pot",$AH$4:$AH$509,"&gt;"&amp;AH467)+1)</x:f>
        <x:v>22</x:v>
      </x:c>
      <x:c r="AK467" s="36" t="str">
        <x:f>IF(B467="","Name missing - not scored",IF(OR(NOT(ISNUMBER(G467)),G467&lt;=0),"Investment missing or zero - review",IF(0=1,"Permanent ID missing - reconcile",IF(AND(ISNUMBER(H467),H467/G467&gt;='Score settings'!$B$58,NOT(ISNUMBER(I467))),"Benefit units need review",IF(OR(R467="EXIT",R467="CHALLENGE"),"Waste decision requires scope resolution",IF("Name and organisation matched"&lt;&gt;"Name and organisation matched","Waste evidence match needs review","Provisional source score - confirm evidence"))))))</x:f>
        <x:v>Provisional source score - confirm evidence</x:v>
      </x:c>
      <x:c r="AL467" s="36"/>
      <x:c r="AM467" s="40"/>
      <x:c r="AN467" s="39"/>
      <x:c r="AO467" s="40"/>
      <x:c r="AP467" s="40"/>
    </x:row>
    <x:row r="468" ht="15" hidden="0" customHeight="1">
      <x:c r="A468" s="36" t="str">
        <x:v>EW-146</x:v>
      </x:c>
      <x:c r="B468" s="37" t="str">
        <x:v>ISC IT DRP - SAP OneBi &amp; BCS to BDC</x:v>
      </x:c>
      <x:c r="C468" s="36" t="str">
        <x:v>EW</x:v>
      </x:c>
      <x:c r="D468" s="36" t="str">
        <x:v>Information Technology ​</x:v>
      </x:c>
      <x:c r="E468" s="38" t="n">
        <x:v>0.3</x:v>
      </x:c>
      <x:c r="F468" s="39"/>
      <x:c r="G468" s="38" t="n">
        <x:f>IF(ISNUMBER(F468),F468,IF(E468="","",E468))</x:f>
        <x:v>0.3</x:v>
      </x:c>
      <x:c r="H468" s="38" t="n">
        <x:v>0.5</x:v>
      </x:c>
      <x:c r="I468" s="39"/>
      <x:c r="J468" s="36" t="str">
        <x:v>Cash savings</x:v>
      </x:c>
      <x:c r="K468" s="38" t="n">
        <x:f>IF(ISNUMBER(I468),I468,IF(OR(NOT(ISNUMBER(H468)),NOT(ISNUMBER(G468)),G468&lt;=0),"",IF(H468/G468&gt;='Score settings'!$B$58,"",IF(J468="Cash savings",H468,IF(J468="Revenue",H468*'Score settings'!$B$55,"")))))</x:f>
        <x:v>0.5</x:v>
      </x:c>
      <x:c r="L468" s="36"/>
      <x:c r="M468" s="39"/>
      <x:c r="N468" s="40"/>
      <x:c r="O468" s="36" t="str">
        <x:v>Must Do</x:v>
      </x:c>
      <x:c r="P468" s="36" t="str">
        <x:v>Decomm</x:v>
      </x:c>
      <x:c r="Q468" s="36" t="str">
        <x:v>Productivity</x:v>
      </x:c>
      <x:c r="R468" s="36" t="str">
        <x:v>HEALTHY</x:v>
      </x:c>
      <x:c r="S468" s="36" t="str"/>
      <x:c r="T468" s="36" t="str">
        <x:v>Common pot</x:v>
      </x:c>
      <x:c r="U468" s="41" t="n">
        <x:f>VLOOKUP("Priority|"&amp;O468,'Score settings'!$A$14:$C$43,2,FALSE)/'Score settings'!$B$4*'Score settings'!$C$4</x:f>
        <x:v>25</x:v>
      </x:c>
      <x:c r="V468" s="41" t="n">
        <x:f>VLOOKUP("Category|"&amp;P468,'Score settings'!$A$14:$C$43,2,FALSE)/'Score settings'!$B$5*'Score settings'!$C$5</x:f>
        <x:v>17</x:v>
      </x:c>
      <x:c r="W468" s="41" t="n">
        <x:f>VLOOKUP("Area|"&amp;Q468,'Score settings'!$A$14:$C$43,2,FALSE)/'Score settings'!$B$6*'Score settings'!$C$6</x:f>
        <x:v>10</x:v>
      </x:c>
      <x:c r="X468" s="41" t="n">
        <x:f>VLOOKUP("Benefits|"&amp;IF(AND(ISNUMBER(H468),H468&gt;0,ISNUMBER(G468),G468&gt;0),IF(H468/G468&gt;='Score settings'!$E$17,"3plus",IF(H468/G468&gt;='Score settings'!$E$16,"1.5to3",IF(H468/G468&gt;='Score settings'!$E$15,"0.5to1.5","positive"))),"None"),'Score settings'!$A$14:$C$43,2,FALSE)/'Score settings'!$B$7*'Score settings'!$C$7</x:f>
        <x:v>20</x:v>
      </x:c>
      <x:c r="Y468" s="41" t="n">
        <x:f>VLOOKUP("Waste|"&amp;R468,'Score settings'!$A$14:$C$43,2,FALSE)/'Score settings'!$B$8*'Score settings'!$C$8</x:f>
        <x:v>15</x:v>
      </x:c>
      <x:c r="Z468" s="41" t="n">
        <x:f>IF(B468="","",SUM(U468:Y468))</x:f>
        <x:v>87</x:v>
      </x:c>
      <x:c r="AA468" s="41" t="str">
        <x:f>IF(Z468="","Not scored",VLOOKUP(Z468,'Score settings'!$A$47:$C$50,2,TRUE))</x:f>
        <x:v>Protected</x:v>
      </x:c>
      <x:c r="AB468" s="41" t="n">
        <x:f>VLOOKUP("Priority|"&amp;O468,'Score settings'!$A$14:$C$43,3,FALSE)/'Score settings'!$B$4*'Score settings'!$D$4</x:f>
        <x:v>15</x:v>
      </x:c>
      <x:c r="AC468" s="41" t="n">
        <x:f>VLOOKUP("Category|"&amp;P468,'Score settings'!$A$14:$C$43,3,FALSE)/'Score settings'!$B$5*'Score settings'!$D$5</x:f>
        <x:v>8.5</x:v>
      </x:c>
      <x:c r="AD468" s="41" t="n">
        <x:f>VLOOKUP("Area|"&amp;Q468,'Score settings'!$A$14:$C$43,3,FALSE)/'Score settings'!$B$6*'Score settings'!$D$6</x:f>
        <x:v>6.666666666666666</x:v>
      </x:c>
      <x:c r="AE468" s="41" t="n">
        <x:f>VLOOKUP("Benefits|"&amp;IF(AND(ISNUMBER(K468),K468&gt;0,ISNUMBER(G468),G468&gt;0),IF(K468/G468&gt;='Score settings'!$E$17,"3plus",IF(K468/G468&gt;='Score settings'!$E$16,"1.5to3",IF(K468/G468&gt;='Score settings'!$E$15,"0.5to1.5","positive"))),"None"),'Score settings'!$A$14:$C$43,3,FALSE)/'Score settings'!$B$7*'Score settings'!$D$7</x:f>
        <x:v>24</x:v>
      </x:c>
      <x:c r="AF468" s="41" t="n">
        <x:f>VLOOKUP("Waste|"&amp;R468,'Score settings'!$A$14:$C$43,3,FALSE)/'Score settings'!$B$8*'Score settings'!$D$8</x:f>
        <x:v>10</x:v>
      </x:c>
      <x:c r="AG468" s="41" t="n">
        <x:f>(IF(AND(ISNUMBER(M468),M468&gt;0,ISNUMBER(G468),G468&gt;0),IF(M468/G468&gt;='Score settings'!$E$17,'Score settings'!$G$17,IF(M468/G468&gt;='Score settings'!$E$16,'Score settings'!$G$16,IF(M468/G468&gt;='Score settings'!$E$15,'Score settings'!$G$15,'Score settings'!$G$14))),0)/15*'Score settings'!$B$60+IFERROR(VLOOKUP(IF(ISNUMBER(N468),N468,IF(ISNUMBER(L468),L468,0)),'Score settings'!$E$22:$F$26,2,FALSE),0)/10*'Score settings'!$B$61)/'Score settings'!$B$9*'Score settings'!$D$9</x:f>
        <x:v>0</x:v>
      </x:c>
      <x:c r="AH468" s="41" t="n">
        <x:f>IF(B468="","",SUM(AB468:AG468))</x:f>
        <x:v>64.16666666666666</x:v>
      </x:c>
      <x:c r="AI468" s="41" t="str">
        <x:f>IF(NOT(ISNUMBER(AH468)),"Not scored",VLOOKUP(AH468,'Score settings'!$A$47:$C$50,3,TRUE))</x:f>
        <x:v>Strong</x:v>
      </x:c>
      <x:c r="AJ468" s="42" t="n">
        <x:f>IF(OR(NOT(ISNUMBER(AH468)),T468&lt;&gt;"Common pot"),"",COUNTIFS($T$4:$T$509,"Common pot",$AH$4:$AH$509,"&gt;"&amp;AH468)+1)</x:f>
        <x:v>11</x:v>
      </x:c>
      <x:c r="AK468" s="36" t="str">
        <x:f>IF(B468="","Name missing - not scored",IF(OR(NOT(ISNUMBER(G468)),G468&lt;=0),"Investment missing or zero - review",IF(0=1,"Permanent ID missing - reconcile",IF(AND(ISNUMBER(H468),H468/G468&gt;='Score settings'!$B$58,NOT(ISNUMBER(I468))),"Benefit units need review",IF(OR(R468="EXIT",R468="CHALLENGE"),"Waste decision requires scope resolution",IF("Name and organisation matched"&lt;&gt;"Name and organisation matched","Waste evidence match needs review","Provisional source score - confirm evidence"))))))</x:f>
        <x:v>Provisional source score - confirm evidence</x:v>
      </x:c>
      <x:c r="AL468" s="36"/>
      <x:c r="AM468" s="40"/>
      <x:c r="AN468" s="39"/>
      <x:c r="AO468" s="40"/>
      <x:c r="AP468" s="40"/>
    </x:row>
    <x:row r="469" ht="24" hidden="0" customHeight="1">
      <x:c r="A469" s="36" t="str">
        <x:v>EW-147</x:v>
      </x:c>
      <x:c r="B469" s="37" t="str">
        <x:v>ISC IT DRP - Decommission legacy app and rebuild via GenAI - HS Industry app</x:v>
      </x:c>
      <x:c r="C469" s="36" t="str">
        <x:v>EW</x:v>
      </x:c>
      <x:c r="D469" s="36" t="str">
        <x:v>Information Technology ​</x:v>
      </x:c>
      <x:c r="E469" s="38" t="n">
        <x:v>0.35</x:v>
      </x:c>
      <x:c r="F469" s="39"/>
      <x:c r="G469" s="38" t="n">
        <x:f>IF(ISNUMBER(F469),F469,IF(E469="","",E469))</x:f>
        <x:v>0.35</x:v>
      </x:c>
      <x:c r="H469" s="38"/>
      <x:c r="I469" s="39"/>
      <x:c r="J469" s="36" t="str">
        <x:v>Cash savings</x:v>
      </x:c>
      <x:c r="K469" s="38" t="str">
        <x:f>IF(ISNUMBER(I469),I469,IF(OR(NOT(ISNUMBER(H469)),NOT(ISNUMBER(G469)),G469&lt;=0),"",IF(H469/G469&gt;='Score settings'!$B$58,"",IF(J469="Cash savings",H469,IF(J469="Revenue",H469*'Score settings'!$B$55,"")))))</x:f>
      </x:c>
      <x:c r="L469" s="36"/>
      <x:c r="M469" s="39"/>
      <x:c r="N469" s="40"/>
      <x:c r="O469" s="36" t="str">
        <x:v>Must Have</x:v>
      </x:c>
      <x:c r="P469" s="36" t="str">
        <x:v>Decomm</x:v>
      </x:c>
      <x:c r="Q469" s="36" t="str">
        <x:v>Productivity</x:v>
      </x:c>
      <x:c r="R469" s="36" t="str">
        <x:v>HEALTHY</x:v>
      </x:c>
      <x:c r="S469" s="36" t="str"/>
      <x:c r="T469" s="36" t="str">
        <x:v>Common pot</x:v>
      </x:c>
      <x:c r="U469" s="41" t="n">
        <x:f>VLOOKUP("Priority|"&amp;O469,'Score settings'!$A$14:$C$43,2,FALSE)/'Score settings'!$B$4*'Score settings'!$C$4</x:f>
        <x:v>18</x:v>
      </x:c>
      <x:c r="V469" s="41" t="n">
        <x:f>VLOOKUP("Category|"&amp;P469,'Score settings'!$A$14:$C$43,2,FALSE)/'Score settings'!$B$5*'Score settings'!$C$5</x:f>
        <x:v>17</x:v>
      </x:c>
      <x:c r="W469" s="41" t="n">
        <x:f>VLOOKUP("Area|"&amp;Q469,'Score settings'!$A$14:$C$43,2,FALSE)/'Score settings'!$B$6*'Score settings'!$C$6</x:f>
        <x:v>10</x:v>
      </x:c>
      <x:c r="X469" s="41" t="n">
        <x:f>VLOOKUP("Benefits|"&amp;IF(AND(ISNUMBER(H469),H469&gt;0,ISNUMBER(G469),G469&gt;0),IF(H469/G469&gt;='Score settings'!$E$17,"3plus",IF(H469/G469&gt;='Score settings'!$E$16,"1.5to3",IF(H469/G469&gt;='Score settings'!$E$15,"0.5to1.5","positive"))),"None"),'Score settings'!$A$14:$C$43,2,FALSE)/'Score settings'!$B$7*'Score settings'!$C$7</x:f>
        <x:v>5</x:v>
      </x:c>
      <x:c r="Y469" s="41" t="n">
        <x:f>VLOOKUP("Waste|"&amp;R469,'Score settings'!$A$14:$C$43,2,FALSE)/'Score settings'!$B$8*'Score settings'!$C$8</x:f>
        <x:v>15</x:v>
      </x:c>
      <x:c r="Z469" s="41" t="n">
        <x:f>IF(B469="","",SUM(U469:Y469))</x:f>
        <x:v>65</x:v>
      </x:c>
      <x:c r="AA469" s="41" t="str">
        <x:f>IF(Z469="","Not scored",VLOOKUP(Z469,'Score settings'!$A$47:$C$50,2,TRUE))</x:f>
        <x:v>Protected</x:v>
      </x:c>
      <x:c r="AB469" s="41" t="n">
        <x:f>VLOOKUP("Priority|"&amp;O469,'Score settings'!$A$14:$C$43,3,FALSE)/'Score settings'!$B$4*'Score settings'!$D$4</x:f>
        <x:v>10.799999999999999</x:v>
      </x:c>
      <x:c r="AC469" s="41" t="n">
        <x:f>VLOOKUP("Category|"&amp;P469,'Score settings'!$A$14:$C$43,3,FALSE)/'Score settings'!$B$5*'Score settings'!$D$5</x:f>
        <x:v>8.5</x:v>
      </x:c>
      <x:c r="AD469" s="41" t="n">
        <x:f>VLOOKUP("Area|"&amp;Q469,'Score settings'!$A$14:$C$43,3,FALSE)/'Score settings'!$B$6*'Score settings'!$D$6</x:f>
        <x:v>6.666666666666666</x:v>
      </x:c>
      <x:c r="AE469" s="41" t="n">
        <x:f>VLOOKUP("Benefits|"&amp;IF(AND(ISNUMBER(K469),K469&gt;0,ISNUMBER(G469),G469&gt;0),IF(K469/G469&gt;='Score settings'!$E$17,"3plus",IF(K469/G469&gt;='Score settings'!$E$16,"1.5to3",IF(K469/G469&gt;='Score settings'!$E$15,"0.5to1.5","positive"))),"None"),'Score settings'!$A$14:$C$43,3,FALSE)/'Score settings'!$B$7*'Score settings'!$D$7</x:f>
        <x:v>0</x:v>
      </x:c>
      <x:c r="AF469" s="41" t="n">
        <x:f>VLOOKUP("Waste|"&amp;R469,'Score settings'!$A$14:$C$43,3,FALSE)/'Score settings'!$B$8*'Score settings'!$D$8</x:f>
        <x:v>10</x:v>
      </x:c>
      <x:c r="AG469" s="41" t="n">
        <x:f>(IF(AND(ISNUMBER(M469),M469&gt;0,ISNUMBER(G469),G469&gt;0),IF(M469/G469&gt;='Score settings'!$E$17,'Score settings'!$G$17,IF(M469/G469&gt;='Score settings'!$E$16,'Score settings'!$G$16,IF(M469/G469&gt;='Score settings'!$E$15,'Score settings'!$G$15,'Score settings'!$G$14))),0)/15*'Score settings'!$B$60+IFERROR(VLOOKUP(IF(ISNUMBER(N469),N469,IF(ISNUMBER(L469),L469,0)),'Score settings'!$E$22:$F$26,2,FALSE),0)/10*'Score settings'!$B$61)/'Score settings'!$B$9*'Score settings'!$D$9</x:f>
        <x:v>0</x:v>
      </x:c>
      <x:c r="AH469" s="41" t="n">
        <x:f>IF(B469="","",SUM(AB469:AG469))</x:f>
        <x:v>35.96666666666666</x:v>
      </x:c>
      <x:c r="AI469" s="41" t="str">
        <x:f>IF(NOT(ISNUMBER(AH469)),"Not scored",VLOOKUP(AH469,'Score settings'!$A$47:$C$50,3,TRUE))</x:f>
        <x:v>Discretionary</x:v>
      </x:c>
      <x:c r="AJ469" s="42" t="n">
        <x:f>IF(OR(NOT(ISNUMBER(AH469)),T469&lt;&gt;"Common pot"),"",COUNTIFS($T$4:$T$509,"Common pot",$AH$4:$AH$509,"&gt;"&amp;AH469)+1)</x:f>
        <x:v>133</x:v>
      </x:c>
      <x:c r="AK469" s="36" t="str">
        <x:f>IF(B469="","Name missing - not scored",IF(OR(NOT(ISNUMBER(G469)),G469&lt;=0),"Investment missing or zero - review",IF(0=1,"Permanent ID missing - reconcile",IF(AND(ISNUMBER(H469),H469/G469&gt;='Score settings'!$B$58,NOT(ISNUMBER(I469))),"Benefit units need review",IF(OR(R469="EXIT",R469="CHALLENGE"),"Waste decision requires scope resolution",IF("Name and organisation matched"&lt;&gt;"Name and organisation matched","Waste evidence match needs review","Provisional source score - confirm evidence"))))))</x:f>
        <x:v>Provisional source score - confirm evidence</x:v>
      </x:c>
      <x:c r="AL469" s="36"/>
      <x:c r="AM469" s="40"/>
      <x:c r="AN469" s="39"/>
      <x:c r="AO469" s="40"/>
      <x:c r="AP469" s="40"/>
    </x:row>
    <x:row r="470" ht="15" hidden="0" customHeight="1">
      <x:c r="A470" s="36" t="str">
        <x:v>EW-148</x:v>
      </x:c>
      <x:c r="B470" s="37" t="str">
        <x:v>TrueContext replacement</x:v>
      </x:c>
      <x:c r="C470" s="36" t="str">
        <x:v>EW</x:v>
      </x:c>
      <x:c r="D470" s="36" t="str">
        <x:v>Information Technology ​</x:v>
      </x:c>
      <x:c r="E470" s="38" t="n">
        <x:v>0.7</x:v>
      </x:c>
      <x:c r="F470" s="39"/>
      <x:c r="G470" s="38" t="n">
        <x:f>IF(ISNUMBER(F470),F470,IF(E470="","",E470))</x:f>
        <x:v>0.7</x:v>
      </x:c>
      <x:c r="H470" s="38" t="n">
        <x:v>1.675</x:v>
      </x:c>
      <x:c r="I470" s="39"/>
      <x:c r="J470" s="36" t="str">
        <x:v>Risk exposure</x:v>
      </x:c>
      <x:c r="K470" s="38" t="str">
        <x:f>IF(ISNUMBER(I470),I470,IF(OR(NOT(ISNUMBER(H470)),NOT(ISNUMBER(G470)),G470&lt;=0),"",IF(H470/G470&gt;='Score settings'!$B$58,"",IF(J470="Cash savings",H470,IF(J470="Revenue",H470*'Score settings'!$B$55,"")))))</x:f>
      </x:c>
      <x:c r="L470" s="36" t="n">
        <x:v>1</x:v>
      </x:c>
      <x:c r="M470" s="39"/>
      <x:c r="N470" s="40"/>
      <x:c r="O470" s="36" t="str">
        <x:v>Must Do</x:v>
      </x:c>
      <x:c r="P470" s="36" t="str">
        <x:v>Decomm</x:v>
      </x:c>
      <x:c r="Q470" s="36" t="str">
        <x:v>Compliance</x:v>
      </x:c>
      <x:c r="R470" s="36" t="str">
        <x:v>HEALTHY</x:v>
      </x:c>
      <x:c r="S470" s="36" t="str">
        <x:v>NO</x:v>
      </x:c>
      <x:c r="T470" s="36" t="str">
        <x:v>Common pot</x:v>
      </x:c>
      <x:c r="U470" s="41" t="n">
        <x:f>VLOOKUP("Priority|"&amp;O470,'Score settings'!$A$14:$C$43,2,FALSE)/'Score settings'!$B$4*'Score settings'!$C$4</x:f>
        <x:v>25</x:v>
      </x:c>
      <x:c r="V470" s="41" t="n">
        <x:f>VLOOKUP("Category|"&amp;P470,'Score settings'!$A$14:$C$43,2,FALSE)/'Score settings'!$B$5*'Score settings'!$C$5</x:f>
        <x:v>17</x:v>
      </x:c>
      <x:c r="W470" s="41" t="n">
        <x:f>VLOOKUP("Area|"&amp;Q470,'Score settings'!$A$14:$C$43,2,FALSE)/'Score settings'!$B$6*'Score settings'!$C$6</x:f>
        <x:v>15</x:v>
      </x:c>
      <x:c r="X470" s="41" t="n">
        <x:f>VLOOKUP("Benefits|"&amp;IF(AND(ISNUMBER(H470),H470&gt;0,ISNUMBER(G470),G470&gt;0),IF(H470/G470&gt;='Score settings'!$E$17,"3plus",IF(H470/G470&gt;='Score settings'!$E$16,"1.5to3",IF(H470/G470&gt;='Score settings'!$E$15,"0.5to1.5","positive"))),"None"),'Score settings'!$A$14:$C$43,2,FALSE)/'Score settings'!$B$7*'Score settings'!$C$7</x:f>
        <x:v>20</x:v>
      </x:c>
      <x:c r="Y470" s="41" t="n">
        <x:f>VLOOKUP("Waste|"&amp;R470,'Score settings'!$A$14:$C$43,2,FALSE)/'Score settings'!$B$8*'Score settings'!$C$8</x:f>
        <x:v>15</x:v>
      </x:c>
      <x:c r="Z470" s="41" t="n">
        <x:f>IF(B470="","",SUM(U470:Y470))</x:f>
        <x:v>92</x:v>
      </x:c>
      <x:c r="AA470" s="41" t="str">
        <x:f>IF(Z470="","Not scored",VLOOKUP(Z470,'Score settings'!$A$47:$C$50,2,TRUE))</x:f>
        <x:v>Protected</x:v>
      </x:c>
      <x:c r="AB470" s="41" t="n">
        <x:f>VLOOKUP("Priority|"&amp;O470,'Score settings'!$A$14:$C$43,3,FALSE)/'Score settings'!$B$4*'Score settings'!$D$4</x:f>
        <x:v>15</x:v>
      </x:c>
      <x:c r="AC470" s="41" t="n">
        <x:f>VLOOKUP("Category|"&amp;P470,'Score settings'!$A$14:$C$43,3,FALSE)/'Score settings'!$B$5*'Score settings'!$D$5</x:f>
        <x:v>8.5</x:v>
      </x:c>
      <x:c r="AD470" s="41" t="n">
        <x:f>VLOOKUP("Area|"&amp;Q470,'Score settings'!$A$14:$C$43,3,FALSE)/'Score settings'!$B$6*'Score settings'!$D$6</x:f>
        <x:v>10</x:v>
      </x:c>
      <x:c r="AE470" s="41" t="n">
        <x:f>VLOOKUP("Benefits|"&amp;IF(AND(ISNUMBER(K470),K470&gt;0,ISNUMBER(G470),G470&gt;0),IF(K470/G470&gt;='Score settings'!$E$17,"3plus",IF(K470/G470&gt;='Score settings'!$E$16,"1.5to3",IF(K470/G470&gt;='Score settings'!$E$15,"0.5to1.5","positive"))),"None"),'Score settings'!$A$14:$C$43,3,FALSE)/'Score settings'!$B$7*'Score settings'!$D$7</x:f>
        <x:v>0</x:v>
      </x:c>
      <x:c r="AF470" s="41" t="n">
        <x:f>VLOOKUP("Waste|"&amp;R470,'Score settings'!$A$14:$C$43,3,FALSE)/'Score settings'!$B$8*'Score settings'!$D$8</x:f>
        <x:v>10</x:v>
      </x:c>
      <x:c r="AG470" s="41" t="n">
        <x:f>(IF(AND(ISNUMBER(M470),M470&gt;0,ISNUMBER(G470),G470&gt;0),IF(M470/G470&gt;='Score settings'!$E$17,'Score settings'!$G$17,IF(M470/G470&gt;='Score settings'!$E$16,'Score settings'!$G$16,IF(M470/G470&gt;='Score settings'!$E$15,'Score settings'!$G$15,'Score settings'!$G$14))),0)/15*'Score settings'!$B$60+IFERROR(VLOOKUP(IF(ISNUMBER(N470),N470,IF(ISNUMBER(L470),L470,0)),'Score settings'!$E$22:$F$26,2,FALSE),0)/10*'Score settings'!$B$61)/'Score settings'!$B$9*'Score settings'!$D$9</x:f>
        <x:v>2</x:v>
      </x:c>
      <x:c r="AH470" s="41" t="n">
        <x:f>IF(B470="","",SUM(AB470:AG470))</x:f>
        <x:v>45.5</x:v>
      </x:c>
      <x:c r="AI470" s="41" t="str">
        <x:f>IF(NOT(ISNUMBER(AH470)),"Not scored",VLOOKUP(AH470,'Score settings'!$A$47:$C$50,3,TRUE))</x:f>
        <x:v>Strong</x:v>
      </x:c>
      <x:c r="AJ470" s="42" t="n">
        <x:f>IF(OR(NOT(ISNUMBER(AH470)),T470&lt;&gt;"Common pot"),"",COUNTIFS($T$4:$T$509,"Common pot",$AH$4:$AH$509,"&gt;"&amp;AH470)+1)</x:f>
        <x:v>63</x:v>
      </x:c>
      <x:c r="AK470" s="36" t="str">
        <x:f>IF(B470="","Name missing - not scored",IF(OR(NOT(ISNUMBER(G470)),G470&lt;=0),"Investment missing or zero - review",IF(0=1,"Permanent ID missing - reconcile",IF(AND(ISNUMBER(H470),H470/G470&gt;='Score settings'!$B$58,NOT(ISNUMBER(I470))),"Benefit units need review",IF(OR(R470="EXIT",R470="CHALLENGE"),"Waste decision requires scope resolution",IF("Name and organisation matched"&lt;&gt;"Name and organisation matched","Waste evidence match needs review","Provisional source score - confirm evidence"))))))</x:f>
        <x:v>Provisional source score - confirm evidence</x:v>
      </x:c>
      <x:c r="AL470" s="36" t="n">
        <x:v>2</x:v>
      </x:c>
      <x:c r="AM470" s="40"/>
      <x:c r="AN470" s="39"/>
      <x:c r="AO470" s="40"/>
      <x:c r="AP470" s="40"/>
    </x:row>
    <x:row r="471" ht="15" hidden="0" customHeight="1">
      <x:c r="A471" s="36" t="str">
        <x:v>EW-149</x:v>
      </x:c>
      <x:c r="B471" s="37" t="str">
        <x:v>Decisions replacement</x:v>
      </x:c>
      <x:c r="C471" s="36" t="str">
        <x:v>EW</x:v>
      </x:c>
      <x:c r="D471" s="36" t="str">
        <x:v>Information Technology ​</x:v>
      </x:c>
      <x:c r="E471" s="38" t="n">
        <x:v>0.1</x:v>
      </x:c>
      <x:c r="F471" s="39"/>
      <x:c r="G471" s="38" t="n">
        <x:f>IF(ISNUMBER(F471),F471,IF(E471="","",E471))</x:f>
        <x:v>0.1</x:v>
      </x:c>
      <x:c r="H471" s="38" t="n">
        <x:v>0.229</x:v>
      </x:c>
      <x:c r="I471" s="39"/>
      <x:c r="J471" s="36" t="str">
        <x:v>Unclassified</x:v>
      </x:c>
      <x:c r="K471" s="38" t="str">
        <x:f>IF(ISNUMBER(I471),I471,IF(OR(NOT(ISNUMBER(H471)),NOT(ISNUMBER(G471)),G471&lt;=0),"",IF(H471/G471&gt;='Score settings'!$B$58,"",IF(J471="Cash savings",H471,IF(J471="Revenue",H471*'Score settings'!$B$55,"")))))</x:f>
      </x:c>
      <x:c r="L471" s="36" t="n">
        <x:v>1</x:v>
      </x:c>
      <x:c r="M471" s="39"/>
      <x:c r="N471" s="40"/>
      <x:c r="O471" s="36" t="str">
        <x:v>Must Do</x:v>
      </x:c>
      <x:c r="P471" s="36" t="str">
        <x:v>Decomm</x:v>
      </x:c>
      <x:c r="Q471" s="36" t="str">
        <x:v>Blank</x:v>
      </x:c>
      <x:c r="R471" s="36" t="str">
        <x:v>HEALTHY</x:v>
      </x:c>
      <x:c r="S471" s="36" t="str">
        <x:v>NO</x:v>
      </x:c>
      <x:c r="T471" s="36" t="str">
        <x:v>Common pot</x:v>
      </x:c>
      <x:c r="U471" s="41" t="n">
        <x:f>VLOOKUP("Priority|"&amp;O471,'Score settings'!$A$14:$C$43,2,FALSE)/'Score settings'!$B$4*'Score settings'!$C$4</x:f>
        <x:v>25</x:v>
      </x:c>
      <x:c r="V471" s="41" t="n">
        <x:f>VLOOKUP("Category|"&amp;P471,'Score settings'!$A$14:$C$43,2,FALSE)/'Score settings'!$B$5*'Score settings'!$C$5</x:f>
        <x:v>17</x:v>
      </x:c>
      <x:c r="W471" s="41" t="n">
        <x:f>VLOOKUP("Area|"&amp;Q471,'Score settings'!$A$14:$C$43,2,FALSE)/'Score settings'!$B$6*'Score settings'!$C$6</x:f>
        <x:v>3</x:v>
      </x:c>
      <x:c r="X471" s="41" t="n">
        <x:f>VLOOKUP("Benefits|"&amp;IF(AND(ISNUMBER(H471),H471&gt;0,ISNUMBER(G471),G471&gt;0),IF(H471/G471&gt;='Score settings'!$E$17,"3plus",IF(H471/G471&gt;='Score settings'!$E$16,"1.5to3",IF(H471/G471&gt;='Score settings'!$E$15,"0.5to1.5","positive"))),"None"),'Score settings'!$A$14:$C$43,2,FALSE)/'Score settings'!$B$7*'Score settings'!$C$7</x:f>
        <x:v>20</x:v>
      </x:c>
      <x:c r="Y471" s="41" t="n">
        <x:f>VLOOKUP("Waste|"&amp;R471,'Score settings'!$A$14:$C$43,2,FALSE)/'Score settings'!$B$8*'Score settings'!$C$8</x:f>
        <x:v>15</x:v>
      </x:c>
      <x:c r="Z471" s="41" t="n">
        <x:f>IF(B471="","",SUM(U471:Y471))</x:f>
        <x:v>80</x:v>
      </x:c>
      <x:c r="AA471" s="41" t="str">
        <x:f>IF(Z471="","Not scored",VLOOKUP(Z471,'Score settings'!$A$47:$C$50,2,TRUE))</x:f>
        <x:v>Protected</x:v>
      </x:c>
      <x:c r="AB471" s="41" t="n">
        <x:f>VLOOKUP("Priority|"&amp;O471,'Score settings'!$A$14:$C$43,3,FALSE)/'Score settings'!$B$4*'Score settings'!$D$4</x:f>
        <x:v>15</x:v>
      </x:c>
      <x:c r="AC471" s="41" t="n">
        <x:f>VLOOKUP("Category|"&amp;P471,'Score settings'!$A$14:$C$43,3,FALSE)/'Score settings'!$B$5*'Score settings'!$D$5</x:f>
        <x:v>8.5</x:v>
      </x:c>
      <x:c r="AD471" s="41" t="n">
        <x:f>VLOOKUP("Area|"&amp;Q471,'Score settings'!$A$14:$C$43,3,FALSE)/'Score settings'!$B$6*'Score settings'!$D$6</x:f>
        <x:v>0</x:v>
      </x:c>
      <x:c r="AE471" s="41" t="n">
        <x:f>VLOOKUP("Benefits|"&amp;IF(AND(ISNUMBER(K471),K471&gt;0,ISNUMBER(G471),G471&gt;0),IF(K471/G471&gt;='Score settings'!$E$17,"3plus",IF(K471/G471&gt;='Score settings'!$E$16,"1.5to3",IF(K471/G471&gt;='Score settings'!$E$15,"0.5to1.5","positive"))),"None"),'Score settings'!$A$14:$C$43,3,FALSE)/'Score settings'!$B$7*'Score settings'!$D$7</x:f>
        <x:v>0</x:v>
      </x:c>
      <x:c r="AF471" s="41" t="n">
        <x:f>VLOOKUP("Waste|"&amp;R471,'Score settings'!$A$14:$C$43,3,FALSE)/'Score settings'!$B$8*'Score settings'!$D$8</x:f>
        <x:v>10</x:v>
      </x:c>
      <x:c r="AG471" s="41" t="n">
        <x:f>(IF(AND(ISNUMBER(M471),M471&gt;0,ISNUMBER(G471),G471&gt;0),IF(M471/G471&gt;='Score settings'!$E$17,'Score settings'!$G$17,IF(M471/G471&gt;='Score settings'!$E$16,'Score settings'!$G$16,IF(M471/G471&gt;='Score settings'!$E$15,'Score settings'!$G$15,'Score settings'!$G$14))),0)/15*'Score settings'!$B$60+IFERROR(VLOOKUP(IF(ISNUMBER(N471),N471,IF(ISNUMBER(L471),L471,0)),'Score settings'!$E$22:$F$26,2,FALSE),0)/10*'Score settings'!$B$61)/'Score settings'!$B$9*'Score settings'!$D$9</x:f>
        <x:v>2</x:v>
      </x:c>
      <x:c r="AH471" s="41" t="n">
        <x:f>IF(B471="","",SUM(AB471:AG471))</x:f>
        <x:v>35.5</x:v>
      </x:c>
      <x:c r="AI471" s="41" t="str">
        <x:f>IF(NOT(ISNUMBER(AH471)),"Not scored",VLOOKUP(AH471,'Score settings'!$A$47:$C$50,3,TRUE))</x:f>
        <x:v>Discretionary</x:v>
      </x:c>
      <x:c r="AJ471" s="42" t="n">
        <x:f>IF(OR(NOT(ISNUMBER(AH471)),T471&lt;&gt;"Common pot"),"",COUNTIFS($T$4:$T$509,"Common pot",$AH$4:$AH$509,"&gt;"&amp;AH471)+1)</x:f>
        <x:v>135</x:v>
      </x:c>
      <x:c r="AK471" s="36" t="str">
        <x:f>IF(B471="","Name missing - not scored",IF(OR(NOT(ISNUMBER(G471)),G471&lt;=0),"Investment missing or zero - review",IF(0=1,"Permanent ID missing - reconcile",IF(AND(ISNUMBER(H471),H471/G471&gt;='Score settings'!$B$58,NOT(ISNUMBER(I471))),"Benefit units need review",IF(OR(R471="EXIT",R471="CHALLENGE"),"Waste decision requires scope resolution",IF("Name and organisation matched"&lt;&gt;"Name and organisation matched","Waste evidence match needs review","Provisional source score - confirm evidence"))))))</x:f>
        <x:v>Provisional source score - confirm evidence</x:v>
      </x:c>
      <x:c r="AL471" s="36" t="n">
        <x:v>2</x:v>
      </x:c>
      <x:c r="AM471" s="40"/>
      <x:c r="AN471" s="39"/>
      <x:c r="AO471" s="40"/>
      <x:c r="AP471" s="40"/>
    </x:row>
    <x:row r="472" ht="15" hidden="0" customHeight="1">
      <x:c r="A472" s="36" t="str">
        <x:v>EW-150</x:v>
      </x:c>
      <x:c r="B472" s="37" t="str">
        <x:v>PS Cloud replacement</x:v>
      </x:c>
      <x:c r="C472" s="36" t="str">
        <x:v>EW</x:v>
      </x:c>
      <x:c r="D472" s="36" t="str">
        <x:v>Information Technology ​</x:v>
      </x:c>
      <x:c r="E472" s="38" t="n">
        <x:v>1.2</x:v>
      </x:c>
      <x:c r="F472" s="39"/>
      <x:c r="G472" s="38" t="n">
        <x:f>IF(ISNUMBER(F472),F472,IF(E472="","",E472))</x:f>
        <x:v>1.2</x:v>
      </x:c>
      <x:c r="H472" s="38" t="n">
        <x:v>1.7</x:v>
      </x:c>
      <x:c r="I472" s="39"/>
      <x:c r="J472" s="36" t="str">
        <x:v>Unclassified</x:v>
      </x:c>
      <x:c r="K472" s="38" t="str">
        <x:f>IF(ISNUMBER(I472),I472,IF(OR(NOT(ISNUMBER(H472)),NOT(ISNUMBER(G472)),G472&lt;=0),"",IF(H472/G472&gt;='Score settings'!$B$58,"",IF(J472="Cash savings",H472,IF(J472="Revenue",H472*'Score settings'!$B$55,"")))))</x:f>
      </x:c>
      <x:c r="L472" s="36" t="n">
        <x:v>1</x:v>
      </x:c>
      <x:c r="M472" s="39"/>
      <x:c r="N472" s="40"/>
      <x:c r="O472" s="36" t="str">
        <x:v>Must Do</x:v>
      </x:c>
      <x:c r="P472" s="36" t="str">
        <x:v>Decomm</x:v>
      </x:c>
      <x:c r="Q472" s="36" t="str">
        <x:v>Blank</x:v>
      </x:c>
      <x:c r="R472" s="36" t="str">
        <x:v>HEALTHY</x:v>
      </x:c>
      <x:c r="S472" s="36" t="str">
        <x:v>NO</x:v>
      </x:c>
      <x:c r="T472" s="36" t="str">
        <x:v>Common pot</x:v>
      </x:c>
      <x:c r="U472" s="41" t="n">
        <x:f>VLOOKUP("Priority|"&amp;O472,'Score settings'!$A$14:$C$43,2,FALSE)/'Score settings'!$B$4*'Score settings'!$C$4</x:f>
        <x:v>25</x:v>
      </x:c>
      <x:c r="V472" s="41" t="n">
        <x:f>VLOOKUP("Category|"&amp;P472,'Score settings'!$A$14:$C$43,2,FALSE)/'Score settings'!$B$5*'Score settings'!$C$5</x:f>
        <x:v>17</x:v>
      </x:c>
      <x:c r="W472" s="41" t="n">
        <x:f>VLOOKUP("Area|"&amp;Q472,'Score settings'!$A$14:$C$43,2,FALSE)/'Score settings'!$B$6*'Score settings'!$C$6</x:f>
        <x:v>3</x:v>
      </x:c>
      <x:c r="X472" s="41" t="n">
        <x:f>VLOOKUP("Benefits|"&amp;IF(AND(ISNUMBER(H472),H472&gt;0,ISNUMBER(G472),G472&gt;0),IF(H472/G472&gt;='Score settings'!$E$17,"3plus",IF(H472/G472&gt;='Score settings'!$E$16,"1.5to3",IF(H472/G472&gt;='Score settings'!$E$15,"0.5to1.5","positive"))),"None"),'Score settings'!$A$14:$C$43,2,FALSE)/'Score settings'!$B$7*'Score settings'!$C$7</x:f>
        <x:v>15</x:v>
      </x:c>
      <x:c r="Y472" s="41" t="n">
        <x:f>VLOOKUP("Waste|"&amp;R472,'Score settings'!$A$14:$C$43,2,FALSE)/'Score settings'!$B$8*'Score settings'!$C$8</x:f>
        <x:v>15</x:v>
      </x:c>
      <x:c r="Z472" s="41" t="n">
        <x:f>IF(B472="","",SUM(U472:Y472))</x:f>
        <x:v>75</x:v>
      </x:c>
      <x:c r="AA472" s="41" t="str">
        <x:f>IF(Z472="","Not scored",VLOOKUP(Z472,'Score settings'!$A$47:$C$50,2,TRUE))</x:f>
        <x:v>Protected</x:v>
      </x:c>
      <x:c r="AB472" s="41" t="n">
        <x:f>VLOOKUP("Priority|"&amp;O472,'Score settings'!$A$14:$C$43,3,FALSE)/'Score settings'!$B$4*'Score settings'!$D$4</x:f>
        <x:v>15</x:v>
      </x:c>
      <x:c r="AC472" s="41" t="n">
        <x:f>VLOOKUP("Category|"&amp;P472,'Score settings'!$A$14:$C$43,3,FALSE)/'Score settings'!$B$5*'Score settings'!$D$5</x:f>
        <x:v>8.5</x:v>
      </x:c>
      <x:c r="AD472" s="41" t="n">
        <x:f>VLOOKUP("Area|"&amp;Q472,'Score settings'!$A$14:$C$43,3,FALSE)/'Score settings'!$B$6*'Score settings'!$D$6</x:f>
        <x:v>0</x:v>
      </x:c>
      <x:c r="AE472" s="41" t="n">
        <x:f>VLOOKUP("Benefits|"&amp;IF(AND(ISNUMBER(K472),K472&gt;0,ISNUMBER(G472),G472&gt;0),IF(K472/G472&gt;='Score settings'!$E$17,"3plus",IF(K472/G472&gt;='Score settings'!$E$16,"1.5to3",IF(K472/G472&gt;='Score settings'!$E$15,"0.5to1.5","positive"))),"None"),'Score settings'!$A$14:$C$43,3,FALSE)/'Score settings'!$B$7*'Score settings'!$D$7</x:f>
        <x:v>0</x:v>
      </x:c>
      <x:c r="AF472" s="41" t="n">
        <x:f>VLOOKUP("Waste|"&amp;R472,'Score settings'!$A$14:$C$43,3,FALSE)/'Score settings'!$B$8*'Score settings'!$D$8</x:f>
        <x:v>10</x:v>
      </x:c>
      <x:c r="AG472" s="41" t="n">
        <x:f>(IF(AND(ISNUMBER(M472),M472&gt;0,ISNUMBER(G472),G472&gt;0),IF(M472/G472&gt;='Score settings'!$E$17,'Score settings'!$G$17,IF(M472/G472&gt;='Score settings'!$E$16,'Score settings'!$G$16,IF(M472/G472&gt;='Score settings'!$E$15,'Score settings'!$G$15,'Score settings'!$G$14))),0)/15*'Score settings'!$B$60+IFERROR(VLOOKUP(IF(ISNUMBER(N472),N472,IF(ISNUMBER(L472),L472,0)),'Score settings'!$E$22:$F$26,2,FALSE),0)/10*'Score settings'!$B$61)/'Score settings'!$B$9*'Score settings'!$D$9</x:f>
        <x:v>2</x:v>
      </x:c>
      <x:c r="AH472" s="41" t="n">
        <x:f>IF(B472="","",SUM(AB472:AG472))</x:f>
        <x:v>35.5</x:v>
      </x:c>
      <x:c r="AI472" s="41" t="str">
        <x:f>IF(NOT(ISNUMBER(AH472)),"Not scored",VLOOKUP(AH472,'Score settings'!$A$47:$C$50,3,TRUE))</x:f>
        <x:v>Discretionary</x:v>
      </x:c>
      <x:c r="AJ472" s="42" t="n">
        <x:f>IF(OR(NOT(ISNUMBER(AH472)),T472&lt;&gt;"Common pot"),"",COUNTIFS($T$4:$T$509,"Common pot",$AH$4:$AH$509,"&gt;"&amp;AH472)+1)</x:f>
        <x:v>135</x:v>
      </x:c>
      <x:c r="AK472" s="36" t="str">
        <x:f>IF(B472="","Name missing - not scored",IF(OR(NOT(ISNUMBER(G472)),G472&lt;=0),"Investment missing or zero - review",IF(0=1,"Permanent ID missing - reconcile",IF(AND(ISNUMBER(H472),H472/G472&gt;='Score settings'!$B$58,NOT(ISNUMBER(I472))),"Benefit units need review",IF(OR(R472="EXIT",R472="CHALLENGE"),"Waste decision requires scope resolution",IF("Name and organisation matched"&lt;&gt;"Name and organisation matched","Waste evidence match needs review","Provisional source score - confirm evidence"))))))</x:f>
        <x:v>Provisional source score - confirm evidence</x:v>
      </x:c>
      <x:c r="AL472" s="36" t="n">
        <x:v>2</x:v>
      </x:c>
      <x:c r="AM472" s="40"/>
      <x:c r="AN472" s="39"/>
      <x:c r="AO472" s="40"/>
      <x:c r="AP472" s="40"/>
    </x:row>
    <x:row r="473" ht="15" hidden="0" customHeight="1">
      <x:c r="A473" s="36" t="str">
        <x:v>EW-151</x:v>
      </x:c>
      <x:c r="B473" s="37" t="str">
        <x:v>Incenter replacement</x:v>
      </x:c>
      <x:c r="C473" s="36" t="str">
        <x:v>EW</x:v>
      </x:c>
      <x:c r="D473" s="36" t="str">
        <x:v>Information Technology ​</x:v>
      </x:c>
      <x:c r="E473" s="38" t="n">
        <x:v>0.8</x:v>
      </x:c>
      <x:c r="F473" s="39"/>
      <x:c r="G473" s="38" t="n">
        <x:f>IF(ISNUMBER(F473),F473,IF(E473="","",E473))</x:f>
        <x:v>0.8</x:v>
      </x:c>
      <x:c r="H473" s="38" t="n">
        <x:v>1.7</x:v>
      </x:c>
      <x:c r="I473" s="39"/>
      <x:c r="J473" s="36" t="str">
        <x:v>Unclassified</x:v>
      </x:c>
      <x:c r="K473" s="38" t="str">
        <x:f>IF(ISNUMBER(I473),I473,IF(OR(NOT(ISNUMBER(H473)),NOT(ISNUMBER(G473)),G473&lt;=0),"",IF(H473/G473&gt;='Score settings'!$B$58,"",IF(J473="Cash savings",H473,IF(J473="Revenue",H473*'Score settings'!$B$55,"")))))</x:f>
      </x:c>
      <x:c r="L473" s="36" t="n">
        <x:v>1</x:v>
      </x:c>
      <x:c r="M473" s="39"/>
      <x:c r="N473" s="40"/>
      <x:c r="O473" s="36" t="str">
        <x:v>Must Do</x:v>
      </x:c>
      <x:c r="P473" s="36" t="str">
        <x:v>Decomm</x:v>
      </x:c>
      <x:c r="Q473" s="36" t="str">
        <x:v>Blank</x:v>
      </x:c>
      <x:c r="R473" s="36" t="str">
        <x:v>HEALTHY</x:v>
      </x:c>
      <x:c r="S473" s="36" t="str">
        <x:v>NO</x:v>
      </x:c>
      <x:c r="T473" s="36" t="str">
        <x:v>Common pot</x:v>
      </x:c>
      <x:c r="U473" s="41" t="n">
        <x:f>VLOOKUP("Priority|"&amp;O473,'Score settings'!$A$14:$C$43,2,FALSE)/'Score settings'!$B$4*'Score settings'!$C$4</x:f>
        <x:v>25</x:v>
      </x:c>
      <x:c r="V473" s="41" t="n">
        <x:f>VLOOKUP("Category|"&amp;P473,'Score settings'!$A$14:$C$43,2,FALSE)/'Score settings'!$B$5*'Score settings'!$C$5</x:f>
        <x:v>17</x:v>
      </x:c>
      <x:c r="W473" s="41" t="n">
        <x:f>VLOOKUP("Area|"&amp;Q473,'Score settings'!$A$14:$C$43,2,FALSE)/'Score settings'!$B$6*'Score settings'!$C$6</x:f>
        <x:v>3</x:v>
      </x:c>
      <x:c r="X473" s="41" t="n">
        <x:f>VLOOKUP("Benefits|"&amp;IF(AND(ISNUMBER(H473),H473&gt;0,ISNUMBER(G473),G473&gt;0),IF(H473/G473&gt;='Score settings'!$E$17,"3plus",IF(H473/G473&gt;='Score settings'!$E$16,"1.5to3",IF(H473/G473&gt;='Score settings'!$E$15,"0.5to1.5","positive"))),"None"),'Score settings'!$A$14:$C$43,2,FALSE)/'Score settings'!$B$7*'Score settings'!$C$7</x:f>
        <x:v>20</x:v>
      </x:c>
      <x:c r="Y473" s="41" t="n">
        <x:f>VLOOKUP("Waste|"&amp;R473,'Score settings'!$A$14:$C$43,2,FALSE)/'Score settings'!$B$8*'Score settings'!$C$8</x:f>
        <x:v>15</x:v>
      </x:c>
      <x:c r="Z473" s="41" t="n">
        <x:f>IF(B473="","",SUM(U473:Y473))</x:f>
        <x:v>80</x:v>
      </x:c>
      <x:c r="AA473" s="41" t="str">
        <x:f>IF(Z473="","Not scored",VLOOKUP(Z473,'Score settings'!$A$47:$C$50,2,TRUE))</x:f>
        <x:v>Protected</x:v>
      </x:c>
      <x:c r="AB473" s="41" t="n">
        <x:f>VLOOKUP("Priority|"&amp;O473,'Score settings'!$A$14:$C$43,3,FALSE)/'Score settings'!$B$4*'Score settings'!$D$4</x:f>
        <x:v>15</x:v>
      </x:c>
      <x:c r="AC473" s="41" t="n">
        <x:f>VLOOKUP("Category|"&amp;P473,'Score settings'!$A$14:$C$43,3,FALSE)/'Score settings'!$B$5*'Score settings'!$D$5</x:f>
        <x:v>8.5</x:v>
      </x:c>
      <x:c r="AD473" s="41" t="n">
        <x:f>VLOOKUP("Area|"&amp;Q473,'Score settings'!$A$14:$C$43,3,FALSE)/'Score settings'!$B$6*'Score settings'!$D$6</x:f>
        <x:v>0</x:v>
      </x:c>
      <x:c r="AE473" s="41" t="n">
        <x:f>VLOOKUP("Benefits|"&amp;IF(AND(ISNUMBER(K473),K473&gt;0,ISNUMBER(G473),G473&gt;0),IF(K473/G473&gt;='Score settings'!$E$17,"3plus",IF(K473/G473&gt;='Score settings'!$E$16,"1.5to3",IF(K473/G473&gt;='Score settings'!$E$15,"0.5to1.5","positive"))),"None"),'Score settings'!$A$14:$C$43,3,FALSE)/'Score settings'!$B$7*'Score settings'!$D$7</x:f>
        <x:v>0</x:v>
      </x:c>
      <x:c r="AF473" s="41" t="n">
        <x:f>VLOOKUP("Waste|"&amp;R473,'Score settings'!$A$14:$C$43,3,FALSE)/'Score settings'!$B$8*'Score settings'!$D$8</x:f>
        <x:v>10</x:v>
      </x:c>
      <x:c r="AG473" s="41" t="n">
        <x:f>(IF(AND(ISNUMBER(M473),M473&gt;0,ISNUMBER(G473),G473&gt;0),IF(M473/G473&gt;='Score settings'!$E$17,'Score settings'!$G$17,IF(M473/G473&gt;='Score settings'!$E$16,'Score settings'!$G$16,IF(M473/G473&gt;='Score settings'!$E$15,'Score settings'!$G$15,'Score settings'!$G$14))),0)/15*'Score settings'!$B$60+IFERROR(VLOOKUP(IF(ISNUMBER(N473),N473,IF(ISNUMBER(L473),L473,0)),'Score settings'!$E$22:$F$26,2,FALSE),0)/10*'Score settings'!$B$61)/'Score settings'!$B$9*'Score settings'!$D$9</x:f>
        <x:v>2</x:v>
      </x:c>
      <x:c r="AH473" s="41" t="n">
        <x:f>IF(B473="","",SUM(AB473:AG473))</x:f>
        <x:v>35.5</x:v>
      </x:c>
      <x:c r="AI473" s="41" t="str">
        <x:f>IF(NOT(ISNUMBER(AH473)),"Not scored",VLOOKUP(AH473,'Score settings'!$A$47:$C$50,3,TRUE))</x:f>
        <x:v>Discretionary</x:v>
      </x:c>
      <x:c r="AJ473" s="42" t="n">
        <x:f>IF(OR(NOT(ISNUMBER(AH473)),T473&lt;&gt;"Common pot"),"",COUNTIFS($T$4:$T$509,"Common pot",$AH$4:$AH$509,"&gt;"&amp;AH473)+1)</x:f>
        <x:v>135</x:v>
      </x:c>
      <x:c r="AK473" s="36" t="str">
        <x:f>IF(B473="","Name missing - not scored",IF(OR(NOT(ISNUMBER(G473)),G473&lt;=0),"Investment missing or zero - review",IF(0=1,"Permanent ID missing - reconcile",IF(AND(ISNUMBER(H473),H473/G473&gt;='Score settings'!$B$58,NOT(ISNUMBER(I473))),"Benefit units need review",IF(OR(R473="EXIT",R473="CHALLENGE"),"Waste decision requires scope resolution",IF("Name and organisation matched"&lt;&gt;"Name and organisation matched","Waste evidence match needs review","Provisional source score - confirm evidence"))))))</x:f>
        <x:v>Provisional source score - confirm evidence</x:v>
      </x:c>
      <x:c r="AL473" s="36" t="n">
        <x:v>2</x:v>
      </x:c>
      <x:c r="AM473" s="40"/>
      <x:c r="AN473" s="39"/>
      <x:c r="AO473" s="40"/>
      <x:c r="AP473" s="40"/>
    </x:row>
    <x:row r="474" ht="15" hidden="0" customHeight="1">
      <x:c r="A474" s="36" t="str">
        <x:v>EW-152</x:v>
      </x:c>
      <x:c r="B474" s="37" t="str">
        <x:v>Grading (framework, governance &amp; job catalogue) </x:v>
      </x:c>
      <x:c r="C474" s="36" t="str">
        <x:v>EW</x:v>
      </x:c>
      <x:c r="D474" s="36" t="str">
        <x:v>People function​</x:v>
      </x:c>
      <x:c r="E474" s="38" t="n">
        <x:v>0.35</x:v>
      </x:c>
      <x:c r="F474" s="39"/>
      <x:c r="G474" s="38" t="n">
        <x:f>IF(ISNUMBER(F474),F474,IF(E474="","",E474))</x:f>
        <x:v>0.35</x:v>
      </x:c>
      <x:c r="H474" s="38"/>
      <x:c r="I474" s="39"/>
      <x:c r="J474" s="36" t="str">
        <x:v>Cash savings</x:v>
      </x:c>
      <x:c r="K474" s="38" t="str">
        <x:f>IF(ISNUMBER(I474),I474,IF(OR(NOT(ISNUMBER(H474)),NOT(ISNUMBER(G474)),G474&lt;=0),"",IF(H474/G474&gt;='Score settings'!$B$58,"",IF(J474="Cash savings",H474,IF(J474="Revenue",H474*'Score settings'!$B$55,"")))))</x:f>
      </x:c>
      <x:c r="L474" s="36"/>
      <x:c r="M474" s="39"/>
      <x:c r="N474" s="40"/>
      <x:c r="O474" s="36" t="str">
        <x:v>Must Have</x:v>
      </x:c>
      <x:c r="P474" s="36" t="str">
        <x:v>CI</x:v>
      </x:c>
      <x:c r="Q474" s="36" t="str">
        <x:v>ProcSimp</x:v>
      </x:c>
      <x:c r="R474" s="36" t="str">
        <x:v>HEALTHY</x:v>
      </x:c>
      <x:c r="S474" s="36" t="str"/>
      <x:c r="T474" s="36" t="str">
        <x:v>Common pot</x:v>
      </x:c>
      <x:c r="U474" s="41" t="n">
        <x:f>VLOOKUP("Priority|"&amp;O474,'Score settings'!$A$14:$C$43,2,FALSE)/'Score settings'!$B$4*'Score settings'!$C$4</x:f>
        <x:v>18</x:v>
      </x:c>
      <x:c r="V474" s="41" t="n">
        <x:f>VLOOKUP("Category|"&amp;P474,'Score settings'!$A$14:$C$43,2,FALSE)/'Score settings'!$B$5*'Score settings'!$C$5</x:f>
        <x:v>8</x:v>
      </x:c>
      <x:c r="W474" s="41" t="n">
        <x:f>VLOOKUP("Area|"&amp;Q474,'Score settings'!$A$14:$C$43,2,FALSE)/'Score settings'!$B$6*'Score settings'!$C$6</x:f>
        <x:v>12</x:v>
      </x:c>
      <x:c r="X474" s="41" t="n">
        <x:f>VLOOKUP("Benefits|"&amp;IF(AND(ISNUMBER(H474),H474&gt;0,ISNUMBER(G474),G474&gt;0),IF(H474/G474&gt;='Score settings'!$E$17,"3plus",IF(H474/G474&gt;='Score settings'!$E$16,"1.5to3",IF(H474/G474&gt;='Score settings'!$E$15,"0.5to1.5","positive"))),"None"),'Score settings'!$A$14:$C$43,2,FALSE)/'Score settings'!$B$7*'Score settings'!$C$7</x:f>
        <x:v>5</x:v>
      </x:c>
      <x:c r="Y474" s="41" t="n">
        <x:f>VLOOKUP("Waste|"&amp;R474,'Score settings'!$A$14:$C$43,2,FALSE)/'Score settings'!$B$8*'Score settings'!$C$8</x:f>
        <x:v>15</x:v>
      </x:c>
      <x:c r="Z474" s="41" t="n">
        <x:f>IF(B474="","",SUM(U474:Y474))</x:f>
        <x:v>58</x:v>
      </x:c>
      <x:c r="AA474" s="41" t="str">
        <x:f>IF(Z474="","Not scored",VLOOKUP(Z474,'Score settings'!$A$47:$C$50,2,TRUE))</x:f>
        <x:v>Strong</x:v>
      </x:c>
      <x:c r="AB474" s="41" t="n">
        <x:f>VLOOKUP("Priority|"&amp;O474,'Score settings'!$A$14:$C$43,3,FALSE)/'Score settings'!$B$4*'Score settings'!$D$4</x:f>
        <x:v>10.799999999999999</x:v>
      </x:c>
      <x:c r="AC474" s="41" t="n">
        <x:f>VLOOKUP("Category|"&amp;P474,'Score settings'!$A$14:$C$43,3,FALSE)/'Score settings'!$B$5*'Score settings'!$D$5</x:f>
        <x:v>4</x:v>
      </x:c>
      <x:c r="AD474" s="41" t="n">
        <x:f>VLOOKUP("Area|"&amp;Q474,'Score settings'!$A$14:$C$43,3,FALSE)/'Score settings'!$B$6*'Score settings'!$D$6</x:f>
        <x:v>8</x:v>
      </x:c>
      <x:c r="AE474" s="41" t="n">
        <x:f>VLOOKUP("Benefits|"&amp;IF(AND(ISNUMBER(K474),K474&gt;0,ISNUMBER(G474),G474&gt;0),IF(K474/G474&gt;='Score settings'!$E$17,"3plus",IF(K474/G474&gt;='Score settings'!$E$16,"1.5to3",IF(K474/G474&gt;='Score settings'!$E$15,"0.5to1.5","positive"))),"None"),'Score settings'!$A$14:$C$43,3,FALSE)/'Score settings'!$B$7*'Score settings'!$D$7</x:f>
        <x:v>0</x:v>
      </x:c>
      <x:c r="AF474" s="41" t="n">
        <x:f>VLOOKUP("Waste|"&amp;R474,'Score settings'!$A$14:$C$43,3,FALSE)/'Score settings'!$B$8*'Score settings'!$D$8</x:f>
        <x:v>10</x:v>
      </x:c>
      <x:c r="AG474" s="41" t="n">
        <x:f>(IF(AND(ISNUMBER(M474),M474&gt;0,ISNUMBER(G474),G474&gt;0),IF(M474/G474&gt;='Score settings'!$E$17,'Score settings'!$G$17,IF(M474/G474&gt;='Score settings'!$E$16,'Score settings'!$G$16,IF(M474/G474&gt;='Score settings'!$E$15,'Score settings'!$G$15,'Score settings'!$G$14))),0)/15*'Score settings'!$B$60+IFERROR(VLOOKUP(IF(ISNUMBER(N474),N474,IF(ISNUMBER(L474),L474,0)),'Score settings'!$E$22:$F$26,2,FALSE),0)/10*'Score settings'!$B$61)/'Score settings'!$B$9*'Score settings'!$D$9</x:f>
        <x:v>0</x:v>
      </x:c>
      <x:c r="AH474" s="41" t="n">
        <x:f>IF(B474="","",SUM(AB474:AG474))</x:f>
        <x:v>32.8</x:v>
      </x:c>
      <x:c r="AI474" s="41" t="str">
        <x:f>IF(NOT(ISNUMBER(AH474)),"Not scored",VLOOKUP(AH474,'Score settings'!$A$47:$C$50,3,TRUE))</x:f>
        <x:v>Discretionary</x:v>
      </x:c>
      <x:c r="AJ474" s="42" t="n">
        <x:f>IF(OR(NOT(ISNUMBER(AH474)),T474&lt;&gt;"Common pot"),"",COUNTIFS($T$4:$T$509,"Common pot",$AH$4:$AH$509,"&gt;"&amp;AH474)+1)</x:f>
        <x:v>164</x:v>
      </x:c>
      <x:c r="AK474" s="36" t="str">
        <x:f>IF(B474="","Name missing - not scored",IF(OR(NOT(ISNUMBER(G474)),G474&lt;=0),"Investment missing or zero - review",IF(0=1,"Permanent ID missing - reconcile",IF(AND(ISNUMBER(H474),H474/G474&gt;='Score settings'!$B$58,NOT(ISNUMBER(I474))),"Benefit units need review",IF(OR(R474="EXIT",R474="CHALLENGE"),"Waste decision requires scope resolution",IF("Name and organisation matched"&lt;&gt;"Name and organisation matched","Waste evidence match needs review","Provisional source score - confirm evidence"))))))</x:f>
        <x:v>Provisional source score - confirm evidence</x:v>
      </x:c>
      <x:c r="AL474" s="36"/>
      <x:c r="AM474" s="40"/>
      <x:c r="AN474" s="39"/>
      <x:c r="AO474" s="40"/>
      <x:c r="AP474" s="40"/>
    </x:row>
    <x:row r="475" ht="15" hidden="0" customHeight="1">
      <x:c r="A475" s="36" t="str">
        <x:v>EW-153</x:v>
      </x:c>
      <x:c r="B475" s="37" t="str">
        <x:v>Onboarding </x:v>
      </x:c>
      <x:c r="C475" s="36" t="str">
        <x:v>EW</x:v>
      </x:c>
      <x:c r="D475" s="36" t="str">
        <x:v>People function​</x:v>
      </x:c>
      <x:c r="E475" s="38" t="n">
        <x:v>0.152</x:v>
      </x:c>
      <x:c r="F475" s="39"/>
      <x:c r="G475" s="38" t="n">
        <x:f>IF(ISNUMBER(F475),F475,IF(E475="","",E475))</x:f>
        <x:v>0.152</x:v>
      </x:c>
      <x:c r="H475" s="38"/>
      <x:c r="I475" s="39"/>
      <x:c r="J475" s="36" t="str">
        <x:v>Cash savings</x:v>
      </x:c>
      <x:c r="K475" s="38" t="str">
        <x:f>IF(ISNUMBER(I475),I475,IF(OR(NOT(ISNUMBER(H475)),NOT(ISNUMBER(G475)),G475&lt;=0),"",IF(H475/G475&gt;='Score settings'!$B$58,"",IF(J475="Cash savings",H475,IF(J475="Revenue",H475*'Score settings'!$B$55,"")))))</x:f>
      </x:c>
      <x:c r="L475" s="36"/>
      <x:c r="M475" s="39"/>
      <x:c r="N475" s="40"/>
      <x:c r="O475" s="36" t="str">
        <x:v>Must Have</x:v>
      </x:c>
      <x:c r="P475" s="36" t="str">
        <x:v>CI</x:v>
      </x:c>
      <x:c r="Q475" s="36" t="str">
        <x:v>ProcSimp</x:v>
      </x:c>
      <x:c r="R475" s="36" t="str">
        <x:v>HEALTHY</x:v>
      </x:c>
      <x:c r="S475" s="36" t="str"/>
      <x:c r="T475" s="36" t="str">
        <x:v>Common pot</x:v>
      </x:c>
      <x:c r="U475" s="41" t="n">
        <x:f>VLOOKUP("Priority|"&amp;O475,'Score settings'!$A$14:$C$43,2,FALSE)/'Score settings'!$B$4*'Score settings'!$C$4</x:f>
        <x:v>18</x:v>
      </x:c>
      <x:c r="V475" s="41" t="n">
        <x:f>VLOOKUP("Category|"&amp;P475,'Score settings'!$A$14:$C$43,2,FALSE)/'Score settings'!$B$5*'Score settings'!$C$5</x:f>
        <x:v>8</x:v>
      </x:c>
      <x:c r="W475" s="41" t="n">
        <x:f>VLOOKUP("Area|"&amp;Q475,'Score settings'!$A$14:$C$43,2,FALSE)/'Score settings'!$B$6*'Score settings'!$C$6</x:f>
        <x:v>12</x:v>
      </x:c>
      <x:c r="X475" s="41" t="n">
        <x:f>VLOOKUP("Benefits|"&amp;IF(AND(ISNUMBER(H475),H475&gt;0,ISNUMBER(G475),G475&gt;0),IF(H475/G475&gt;='Score settings'!$E$17,"3plus",IF(H475/G475&gt;='Score settings'!$E$16,"1.5to3",IF(H475/G475&gt;='Score settings'!$E$15,"0.5to1.5","positive"))),"None"),'Score settings'!$A$14:$C$43,2,FALSE)/'Score settings'!$B$7*'Score settings'!$C$7</x:f>
        <x:v>5</x:v>
      </x:c>
      <x:c r="Y475" s="41" t="n">
        <x:f>VLOOKUP("Waste|"&amp;R475,'Score settings'!$A$14:$C$43,2,FALSE)/'Score settings'!$B$8*'Score settings'!$C$8</x:f>
        <x:v>15</x:v>
      </x:c>
      <x:c r="Z475" s="41" t="n">
        <x:f>IF(B475="","",SUM(U475:Y475))</x:f>
        <x:v>58</x:v>
      </x:c>
      <x:c r="AA475" s="41" t="str">
        <x:f>IF(Z475="","Not scored",VLOOKUP(Z475,'Score settings'!$A$47:$C$50,2,TRUE))</x:f>
        <x:v>Strong</x:v>
      </x:c>
      <x:c r="AB475" s="41" t="n">
        <x:f>VLOOKUP("Priority|"&amp;O475,'Score settings'!$A$14:$C$43,3,FALSE)/'Score settings'!$B$4*'Score settings'!$D$4</x:f>
        <x:v>10.799999999999999</x:v>
      </x:c>
      <x:c r="AC475" s="41" t="n">
        <x:f>VLOOKUP("Category|"&amp;P475,'Score settings'!$A$14:$C$43,3,FALSE)/'Score settings'!$B$5*'Score settings'!$D$5</x:f>
        <x:v>4</x:v>
      </x:c>
      <x:c r="AD475" s="41" t="n">
        <x:f>VLOOKUP("Area|"&amp;Q475,'Score settings'!$A$14:$C$43,3,FALSE)/'Score settings'!$B$6*'Score settings'!$D$6</x:f>
        <x:v>8</x:v>
      </x:c>
      <x:c r="AE475" s="41" t="n">
        <x:f>VLOOKUP("Benefits|"&amp;IF(AND(ISNUMBER(K475),K475&gt;0,ISNUMBER(G475),G475&gt;0),IF(K475/G475&gt;='Score settings'!$E$17,"3plus",IF(K475/G475&gt;='Score settings'!$E$16,"1.5to3",IF(K475/G475&gt;='Score settings'!$E$15,"0.5to1.5","positive"))),"None"),'Score settings'!$A$14:$C$43,3,FALSE)/'Score settings'!$B$7*'Score settings'!$D$7</x:f>
        <x:v>0</x:v>
      </x:c>
      <x:c r="AF475" s="41" t="n">
        <x:f>VLOOKUP("Waste|"&amp;R475,'Score settings'!$A$14:$C$43,3,FALSE)/'Score settings'!$B$8*'Score settings'!$D$8</x:f>
        <x:v>10</x:v>
      </x:c>
      <x:c r="AG475" s="41" t="n">
        <x:f>(IF(AND(ISNUMBER(M475),M475&gt;0,ISNUMBER(G475),G475&gt;0),IF(M475/G475&gt;='Score settings'!$E$17,'Score settings'!$G$17,IF(M475/G475&gt;='Score settings'!$E$16,'Score settings'!$G$16,IF(M475/G475&gt;='Score settings'!$E$15,'Score settings'!$G$15,'Score settings'!$G$14))),0)/15*'Score settings'!$B$60+IFERROR(VLOOKUP(IF(ISNUMBER(N475),N475,IF(ISNUMBER(L475),L475,0)),'Score settings'!$E$22:$F$26,2,FALSE),0)/10*'Score settings'!$B$61)/'Score settings'!$B$9*'Score settings'!$D$9</x:f>
        <x:v>0</x:v>
      </x:c>
      <x:c r="AH475" s="41" t="n">
        <x:f>IF(B475="","",SUM(AB475:AG475))</x:f>
        <x:v>32.8</x:v>
      </x:c>
      <x:c r="AI475" s="41" t="str">
        <x:f>IF(NOT(ISNUMBER(AH475)),"Not scored",VLOOKUP(AH475,'Score settings'!$A$47:$C$50,3,TRUE))</x:f>
        <x:v>Discretionary</x:v>
      </x:c>
      <x:c r="AJ475" s="42" t="n">
        <x:f>IF(OR(NOT(ISNUMBER(AH475)),T475&lt;&gt;"Common pot"),"",COUNTIFS($T$4:$T$509,"Common pot",$AH$4:$AH$509,"&gt;"&amp;AH475)+1)</x:f>
        <x:v>164</x:v>
      </x:c>
      <x:c r="AK475" s="36" t="str">
        <x:f>IF(B475="","Name missing - not scored",IF(OR(NOT(ISNUMBER(G475)),G475&lt;=0),"Investment missing or zero - review",IF(0=1,"Permanent ID missing - reconcile",IF(AND(ISNUMBER(H475),H475/G475&gt;='Score settings'!$B$58,NOT(ISNUMBER(I475))),"Benefit units need review",IF(OR(R475="EXIT",R475="CHALLENGE"),"Waste decision requires scope resolution",IF("Name and organisation matched"&lt;&gt;"Name and organisation matched","Waste evidence match needs review","Provisional source score - confirm evidence"))))))</x:f>
        <x:v>Provisional source score - confirm evidence</x:v>
      </x:c>
      <x:c r="AL475" s="36"/>
      <x:c r="AM475" s="40"/>
      <x:c r="AN475" s="39"/>
      <x:c r="AO475" s="40"/>
      <x:c r="AP475" s="40"/>
    </x:row>
    <x:row r="476" ht="24" hidden="0" customHeight="1">
      <x:c r="A476" s="36" t="str">
        <x:v>EW-154</x:v>
      </x:c>
      <x:c r="B476" s="37" t="str">
        <x:v>E2E event planning incl. GBP compliance review, HCP engagement review &amp; registration for GCR (Engage - Legal not usable)</x:v>
      </x:c>
      <x:c r="C476" s="36" t="str">
        <x:v>EW</x:v>
      </x:c>
      <x:c r="D476" s="36" t="str">
        <x:v>Greater China </x:v>
      </x:c>
      <x:c r="E476" s="38" t="n">
        <x:v>0.25</x:v>
      </x:c>
      <x:c r="F476" s="39"/>
      <x:c r="G476" s="38" t="n">
        <x:f>IF(ISNUMBER(F476),F476,IF(E476="","",E476))</x:f>
        <x:v>0.25</x:v>
      </x:c>
      <x:c r="H476" s="38"/>
      <x:c r="I476" s="39"/>
      <x:c r="J476" s="36" t="str">
        <x:v>Unclassified</x:v>
      </x:c>
      <x:c r="K476" s="38" t="str">
        <x:f>IF(ISNUMBER(I476),I476,IF(OR(NOT(ISNUMBER(H476)),NOT(ISNUMBER(G476)),G476&lt;=0),"",IF(H476/G476&gt;='Score settings'!$B$58,"",IF(J476="Cash savings",H476,IF(J476="Revenue",H476*'Score settings'!$B$55,"")))))</x:f>
      </x:c>
      <x:c r="L476" s="36" t="n">
        <x:v>5</x:v>
      </x:c>
      <x:c r="M476" s="39"/>
      <x:c r="N476" s="40"/>
      <x:c r="O476" s="36" t="str">
        <x:v>Must Have</x:v>
      </x:c>
      <x:c r="P476" s="36" t="str">
        <x:v>Decomm</x:v>
      </x:c>
      <x:c r="Q476" s="36" t="str">
        <x:v>Blank</x:v>
      </x:c>
      <x:c r="R476" s="36" t="str">
        <x:v>HEALTHY</x:v>
      </x:c>
      <x:c r="S476" s="36" t="str">
        <x:v>YES</x:v>
      </x:c>
      <x:c r="T476" s="36" t="str">
        <x:v>LFR validated candidate</x:v>
      </x:c>
      <x:c r="U476" s="41" t="n">
        <x:f>VLOOKUP("Priority|"&amp;O476,'Score settings'!$A$14:$C$43,2,FALSE)/'Score settings'!$B$4*'Score settings'!$C$4</x:f>
        <x:v>18</x:v>
      </x:c>
      <x:c r="V476" s="41" t="n">
        <x:f>VLOOKUP("Category|"&amp;P476,'Score settings'!$A$14:$C$43,2,FALSE)/'Score settings'!$B$5*'Score settings'!$C$5</x:f>
        <x:v>17</x:v>
      </x:c>
      <x:c r="W476" s="41" t="n">
        <x:f>VLOOKUP("Area|"&amp;Q476,'Score settings'!$A$14:$C$43,2,FALSE)/'Score settings'!$B$6*'Score settings'!$C$6</x:f>
        <x:v>3</x:v>
      </x:c>
      <x:c r="X476" s="41" t="n">
        <x:f>VLOOKUP("Benefits|"&amp;IF(AND(ISNUMBER(H476),H476&gt;0,ISNUMBER(G476),G476&gt;0),IF(H476/G476&gt;='Score settings'!$E$17,"3plus",IF(H476/G476&gt;='Score settings'!$E$16,"1.5to3",IF(H476/G476&gt;='Score settings'!$E$15,"0.5to1.5","positive"))),"None"),'Score settings'!$A$14:$C$43,2,FALSE)/'Score settings'!$B$7*'Score settings'!$C$7</x:f>
        <x:v>5</x:v>
      </x:c>
      <x:c r="Y476" s="41" t="n">
        <x:f>VLOOKUP("Waste|"&amp;R476,'Score settings'!$A$14:$C$43,2,FALSE)/'Score settings'!$B$8*'Score settings'!$C$8</x:f>
        <x:v>15</x:v>
      </x:c>
      <x:c r="Z476" s="41" t="n">
        <x:f>IF(B476="","",SUM(U476:Y476))</x:f>
        <x:v>58</x:v>
      </x:c>
      <x:c r="AA476" s="41" t="str">
        <x:f>IF(Z476="","Not scored",VLOOKUP(Z476,'Score settings'!$A$47:$C$50,2,TRUE))</x:f>
        <x:v>Strong</x:v>
      </x:c>
      <x:c r="AB476" s="41" t="n">
        <x:f>VLOOKUP("Priority|"&amp;O476,'Score settings'!$A$14:$C$43,3,FALSE)/'Score settings'!$B$4*'Score settings'!$D$4</x:f>
        <x:v>10.799999999999999</x:v>
      </x:c>
      <x:c r="AC476" s="41" t="n">
        <x:f>VLOOKUP("Category|"&amp;P476,'Score settings'!$A$14:$C$43,3,FALSE)/'Score settings'!$B$5*'Score settings'!$D$5</x:f>
        <x:v>8.5</x:v>
      </x:c>
      <x:c r="AD476" s="41" t="n">
        <x:f>VLOOKUP("Area|"&amp;Q476,'Score settings'!$A$14:$C$43,3,FALSE)/'Score settings'!$B$6*'Score settings'!$D$6</x:f>
        <x:v>0</x:v>
      </x:c>
      <x:c r="AE476" s="41" t="n">
        <x:f>VLOOKUP("Benefits|"&amp;IF(AND(ISNUMBER(K476),K476&gt;0,ISNUMBER(G476),G476&gt;0),IF(K476/G476&gt;='Score settings'!$E$17,"3plus",IF(K476/G476&gt;='Score settings'!$E$16,"1.5to3",IF(K476/G476&gt;='Score settings'!$E$15,"0.5to1.5","positive"))),"None"),'Score settings'!$A$14:$C$43,3,FALSE)/'Score settings'!$B$7*'Score settings'!$D$7</x:f>
        <x:v>0</x:v>
      </x:c>
      <x:c r="AF476" s="41" t="n">
        <x:f>VLOOKUP("Waste|"&amp;R476,'Score settings'!$A$14:$C$43,3,FALSE)/'Score settings'!$B$8*'Score settings'!$D$8</x:f>
        <x:v>10</x:v>
      </x:c>
      <x:c r="AG476" s="41" t="n">
        <x:f>(IF(AND(ISNUMBER(M476),M476&gt;0,ISNUMBER(G476),G476&gt;0),IF(M476/G476&gt;='Score settings'!$E$17,'Score settings'!$G$17,IF(M476/G476&gt;='Score settings'!$E$16,'Score settings'!$G$16,IF(M476/G476&gt;='Score settings'!$E$15,'Score settings'!$G$15,'Score settings'!$G$14))),0)/15*'Score settings'!$B$60+IFERROR(VLOOKUP(IF(ISNUMBER(N476),N476,IF(ISNUMBER(L476),L476,0)),'Score settings'!$E$22:$F$26,2,FALSE),0)/10*'Score settings'!$B$61)/'Score settings'!$B$9*'Score settings'!$D$9</x:f>
        <x:v>10</x:v>
      </x:c>
      <x:c r="AH476" s="41" t="n">
        <x:f>IF(B476="","",SUM(AB476:AG476))</x:f>
        <x:v>39.3</x:v>
      </x:c>
      <x:c r="AI476" s="41" t="str">
        <x:f>IF(NOT(ISNUMBER(AH476)),"Not scored",VLOOKUP(AH476,'Score settings'!$A$47:$C$50,3,TRUE))</x:f>
        <x:v>Discretionary</x:v>
      </x:c>
      <x:c r="AJ476" s="42" t="str">
        <x:f>IF(OR(NOT(ISNUMBER(AH476)),T476&lt;&gt;"Common pot"),"",COUNTIFS($T$4:$T$509,"Common pot",$AH$4:$AH$509,"&gt;"&amp;AH476)+1)</x:f>
      </x:c>
      <x:c r="AK476" s="36" t="str">
        <x:f>IF(B476="","Name missing - not scored",IF(OR(NOT(ISNUMBER(G476)),G476&lt;=0),"Investment missing or zero - review",IF(0=1,"Permanent ID missing - reconcile",IF(AND(ISNUMBER(H476),H476/G476&gt;='Score settings'!$B$58,NOT(ISNUMBER(I476))),"Benefit units need review",IF(OR(R476="EXIT",R476="CHALLENGE"),"Waste decision requires scope resolution",IF("Name and organisation matched"&lt;&gt;"Name and organisation matched","Waste evidence match needs review","Provisional source score - confirm evidence"))))))</x:f>
        <x:v>Provisional source score - confirm evidence</x:v>
      </x:c>
      <x:c r="AL476" s="36" t="n">
        <x:v>15</x:v>
      </x:c>
      <x:c r="AM476" s="40"/>
      <x:c r="AN476" s="39"/>
      <x:c r="AO476" s="40"/>
      <x:c r="AP476" s="40"/>
    </x:row>
    <x:row r="477" ht="15" hidden="0" customHeight="1">
      <x:c r="A477" s="36" t="str">
        <x:v>EW-155</x:v>
      </x:c>
      <x:c r="B477" s="37" t="str">
        <x:v>CRMA and Qlikview Decom - Commercial Analytics</x:v>
      </x:c>
      <x:c r="C477" s="36" t="str">
        <x:v>EW</x:v>
      </x:c>
      <x:c r="D477" s="36" t="str">
        <x:v>Information Technology ​</x:v>
      </x:c>
      <x:c r="E477" s="38" t="n">
        <x:v>0.15</x:v>
      </x:c>
      <x:c r="F477" s="39"/>
      <x:c r="G477" s="38" t="n">
        <x:f>IF(ISNUMBER(F477),F477,IF(E477="","",E477))</x:f>
        <x:v>0.15</x:v>
      </x:c>
      <x:c r="H477" s="38" t="n">
        <x:v>0.77</x:v>
      </x:c>
      <x:c r="I477" s="39"/>
      <x:c r="J477" s="36" t="str">
        <x:v>Cash savings</x:v>
      </x:c>
      <x:c r="K477" s="38" t="n">
        <x:f>IF(ISNUMBER(I477),I477,IF(OR(NOT(ISNUMBER(H477)),NOT(ISNUMBER(G477)),G477&lt;=0),"",IF(H477/G477&gt;='Score settings'!$B$58,"",IF(J477="Cash savings",H477,IF(J477="Revenue",H477*'Score settings'!$B$55,"")))))</x:f>
        <x:v>0.77</x:v>
      </x:c>
      <x:c r="L477" s="36"/>
      <x:c r="M477" s="39"/>
      <x:c r="N477" s="40"/>
      <x:c r="O477" s="36" t="str">
        <x:v>Must Have</x:v>
      </x:c>
      <x:c r="P477" s="36" t="str">
        <x:v>Decomm</x:v>
      </x:c>
      <x:c r="Q477" s="36" t="str">
        <x:v>Productivity</x:v>
      </x:c>
      <x:c r="R477" s="36" t="str">
        <x:v>HEALTHY</x:v>
      </x:c>
      <x:c r="S477" s="36" t="str"/>
      <x:c r="T477" s="36" t="str">
        <x:v>Common pot</x:v>
      </x:c>
      <x:c r="U477" s="41" t="n">
        <x:f>VLOOKUP("Priority|"&amp;O477,'Score settings'!$A$14:$C$43,2,FALSE)/'Score settings'!$B$4*'Score settings'!$C$4</x:f>
        <x:v>18</x:v>
      </x:c>
      <x:c r="V477" s="41" t="n">
        <x:f>VLOOKUP("Category|"&amp;P477,'Score settings'!$A$14:$C$43,2,FALSE)/'Score settings'!$B$5*'Score settings'!$C$5</x:f>
        <x:v>17</x:v>
      </x:c>
      <x:c r="W477" s="41" t="n">
        <x:f>VLOOKUP("Area|"&amp;Q477,'Score settings'!$A$14:$C$43,2,FALSE)/'Score settings'!$B$6*'Score settings'!$C$6</x:f>
        <x:v>10</x:v>
      </x:c>
      <x:c r="X477" s="41" t="n">
        <x:f>VLOOKUP("Benefits|"&amp;IF(AND(ISNUMBER(H477),H477&gt;0,ISNUMBER(G477),G477&gt;0),IF(H477/G477&gt;='Score settings'!$E$17,"3plus",IF(H477/G477&gt;='Score settings'!$E$16,"1.5to3",IF(H477/G477&gt;='Score settings'!$E$15,"0.5to1.5","positive"))),"None"),'Score settings'!$A$14:$C$43,2,FALSE)/'Score settings'!$B$7*'Score settings'!$C$7</x:f>
        <x:v>25</x:v>
      </x:c>
      <x:c r="Y477" s="41" t="n">
        <x:f>VLOOKUP("Waste|"&amp;R477,'Score settings'!$A$14:$C$43,2,FALSE)/'Score settings'!$B$8*'Score settings'!$C$8</x:f>
        <x:v>15</x:v>
      </x:c>
      <x:c r="Z477" s="41" t="n">
        <x:f>IF(B477="","",SUM(U477:Y477))</x:f>
        <x:v>85</x:v>
      </x:c>
      <x:c r="AA477" s="41" t="str">
        <x:f>IF(Z477="","Not scored",VLOOKUP(Z477,'Score settings'!$A$47:$C$50,2,TRUE))</x:f>
        <x:v>Protected</x:v>
      </x:c>
      <x:c r="AB477" s="41" t="n">
        <x:f>VLOOKUP("Priority|"&amp;O477,'Score settings'!$A$14:$C$43,3,FALSE)/'Score settings'!$B$4*'Score settings'!$D$4</x:f>
        <x:v>10.799999999999999</x:v>
      </x:c>
      <x:c r="AC477" s="41" t="n">
        <x:f>VLOOKUP("Category|"&amp;P477,'Score settings'!$A$14:$C$43,3,FALSE)/'Score settings'!$B$5*'Score settings'!$D$5</x:f>
        <x:v>8.5</x:v>
      </x:c>
      <x:c r="AD477" s="41" t="n">
        <x:f>VLOOKUP("Area|"&amp;Q477,'Score settings'!$A$14:$C$43,3,FALSE)/'Score settings'!$B$6*'Score settings'!$D$6</x:f>
        <x:v>6.666666666666666</x:v>
      </x:c>
      <x:c r="AE477" s="41" t="n">
        <x:f>VLOOKUP("Benefits|"&amp;IF(AND(ISNUMBER(K477),K477&gt;0,ISNUMBER(G477),G477&gt;0),IF(K477/G477&gt;='Score settings'!$E$17,"3plus",IF(K477/G477&gt;='Score settings'!$E$16,"1.5to3",IF(K477/G477&gt;='Score settings'!$E$15,"0.5to1.5","positive"))),"None"),'Score settings'!$A$14:$C$43,3,FALSE)/'Score settings'!$B$7*'Score settings'!$D$7</x:f>
        <x:v>30</x:v>
      </x:c>
      <x:c r="AF477" s="41" t="n">
        <x:f>VLOOKUP("Waste|"&amp;R477,'Score settings'!$A$14:$C$43,3,FALSE)/'Score settings'!$B$8*'Score settings'!$D$8</x:f>
        <x:v>10</x:v>
      </x:c>
      <x:c r="AG477" s="41" t="n">
        <x:f>(IF(AND(ISNUMBER(M477),M477&gt;0,ISNUMBER(G477),G477&gt;0),IF(M477/G477&gt;='Score settings'!$E$17,'Score settings'!$G$17,IF(M477/G477&gt;='Score settings'!$E$16,'Score settings'!$G$16,IF(M477/G477&gt;='Score settings'!$E$15,'Score settings'!$G$15,'Score settings'!$G$14))),0)/15*'Score settings'!$B$60+IFERROR(VLOOKUP(IF(ISNUMBER(N477),N477,IF(ISNUMBER(L477),L477,0)),'Score settings'!$E$22:$F$26,2,FALSE),0)/10*'Score settings'!$B$61)/'Score settings'!$B$9*'Score settings'!$D$9</x:f>
        <x:v>0</x:v>
      </x:c>
      <x:c r="AH477" s="41" t="n">
        <x:f>IF(B477="","",SUM(AB477:AG477))</x:f>
        <x:v>65.96666666666667</x:v>
      </x:c>
      <x:c r="AI477" s="41" t="str">
        <x:f>IF(NOT(ISNUMBER(AH477)),"Not scored",VLOOKUP(AH477,'Score settings'!$A$47:$C$50,3,TRUE))</x:f>
        <x:v>High alignment</x:v>
      </x:c>
      <x:c r="AJ477" s="42" t="n">
        <x:f>IF(OR(NOT(ISNUMBER(AH477)),T477&lt;&gt;"Common pot"),"",COUNTIFS($T$4:$T$509,"Common pot",$AH$4:$AH$509,"&gt;"&amp;AH477)+1)</x:f>
        <x:v>6</x:v>
      </x:c>
      <x:c r="AK477" s="36" t="str">
        <x:f>IF(B477="","Name missing - not scored",IF(OR(NOT(ISNUMBER(G477)),G477&lt;=0),"Investment missing or zero - review",IF(0=1,"Permanent ID missing - reconcile",IF(AND(ISNUMBER(H477),H477/G477&gt;='Score settings'!$B$58,NOT(ISNUMBER(I477))),"Benefit units need review",IF(OR(R477="EXIT",R477="CHALLENGE"),"Waste decision requires scope resolution",IF("Name and organisation matched"&lt;&gt;"Name and organisation matched","Waste evidence match needs review","Provisional source score - confirm evidence"))))))</x:f>
        <x:v>Provisional source score - confirm evidence</x:v>
      </x:c>
      <x:c r="AL477" s="36"/>
      <x:c r="AM477" s="40"/>
      <x:c r="AN477" s="39"/>
      <x:c r="AO477" s="40"/>
      <x:c r="AP477" s="40"/>
    </x:row>
    <x:row r="478" ht="15" hidden="0" customHeight="1">
      <x:c r="A478" s="36" t="str">
        <x:v>EW-156</x:v>
      </x:c>
      <x:c r="B478" s="37" t="str">
        <x:v>Philips Skills Framework </x:v>
      </x:c>
      <x:c r="C478" s="36" t="str">
        <x:v>EW</x:v>
      </x:c>
      <x:c r="D478" s="36" t="str">
        <x:v>People function​</x:v>
      </x:c>
      <x:c r="E478" s="38" t="n">
        <x:v>0.3</x:v>
      </x:c>
      <x:c r="F478" s="39"/>
      <x:c r="G478" s="38" t="n">
        <x:f>IF(ISNUMBER(F478),F478,IF(E478="","",E478))</x:f>
        <x:v>0.3</x:v>
      </x:c>
      <x:c r="H478" s="38"/>
      <x:c r="I478" s="39"/>
      <x:c r="J478" s="36" t="str">
        <x:v>Cash savings</x:v>
      </x:c>
      <x:c r="K478" s="38" t="str">
        <x:f>IF(ISNUMBER(I478),I478,IF(OR(NOT(ISNUMBER(H478)),NOT(ISNUMBER(G478)),G478&lt;=0),"",IF(H478/G478&gt;='Score settings'!$B$58,"",IF(J478="Cash savings",H478,IF(J478="Revenue",H478*'Score settings'!$B$55,"")))))</x:f>
      </x:c>
      <x:c r="L478" s="36"/>
      <x:c r="M478" s="39"/>
      <x:c r="N478" s="40"/>
      <x:c r="O478" s="36" t="str">
        <x:v>Must Have</x:v>
      </x:c>
      <x:c r="P478" s="36" t="str">
        <x:v>CI</x:v>
      </x:c>
      <x:c r="Q478" s="36" t="str">
        <x:v>ProcSimp</x:v>
      </x:c>
      <x:c r="R478" s="36" t="str">
        <x:v>CONTAIN</x:v>
      </x:c>
      <x:c r="S478" s="36" t="str"/>
      <x:c r="T478" s="36" t="str">
        <x:v>Common pot</x:v>
      </x:c>
      <x:c r="U478" s="41" t="n">
        <x:f>VLOOKUP("Priority|"&amp;O478,'Score settings'!$A$14:$C$43,2,FALSE)/'Score settings'!$B$4*'Score settings'!$C$4</x:f>
        <x:v>18</x:v>
      </x:c>
      <x:c r="V478" s="41" t="n">
        <x:f>VLOOKUP("Category|"&amp;P478,'Score settings'!$A$14:$C$43,2,FALSE)/'Score settings'!$B$5*'Score settings'!$C$5</x:f>
        <x:v>8</x:v>
      </x:c>
      <x:c r="W478" s="41" t="n">
        <x:f>VLOOKUP("Area|"&amp;Q478,'Score settings'!$A$14:$C$43,2,FALSE)/'Score settings'!$B$6*'Score settings'!$C$6</x:f>
        <x:v>12</x:v>
      </x:c>
      <x:c r="X478" s="41" t="n">
        <x:f>VLOOKUP("Benefits|"&amp;IF(AND(ISNUMBER(H478),H478&gt;0,ISNUMBER(G478),G478&gt;0),IF(H478/G478&gt;='Score settings'!$E$17,"3plus",IF(H478/G478&gt;='Score settings'!$E$16,"1.5to3",IF(H478/G478&gt;='Score settings'!$E$15,"0.5to1.5","positive"))),"None"),'Score settings'!$A$14:$C$43,2,FALSE)/'Score settings'!$B$7*'Score settings'!$C$7</x:f>
        <x:v>5</x:v>
      </x:c>
      <x:c r="Y478" s="41" t="n">
        <x:f>VLOOKUP("Waste|"&amp;R478,'Score settings'!$A$14:$C$43,2,FALSE)/'Score settings'!$B$8*'Score settings'!$C$8</x:f>
        <x:v>9</x:v>
      </x:c>
      <x:c r="Z478" s="41" t="n">
        <x:f>IF(B478="","",SUM(U478:Y478))</x:f>
        <x:v>52</x:v>
      </x:c>
      <x:c r="AA478" s="41" t="str">
        <x:f>IF(Z478="","Not scored",VLOOKUP(Z478,'Score settings'!$A$47:$C$50,2,TRUE))</x:f>
        <x:v>Strong</x:v>
      </x:c>
      <x:c r="AB478" s="41" t="n">
        <x:f>VLOOKUP("Priority|"&amp;O478,'Score settings'!$A$14:$C$43,3,FALSE)/'Score settings'!$B$4*'Score settings'!$D$4</x:f>
        <x:v>10.799999999999999</x:v>
      </x:c>
      <x:c r="AC478" s="41" t="n">
        <x:f>VLOOKUP("Category|"&amp;P478,'Score settings'!$A$14:$C$43,3,FALSE)/'Score settings'!$B$5*'Score settings'!$D$5</x:f>
        <x:v>4</x:v>
      </x:c>
      <x:c r="AD478" s="41" t="n">
        <x:f>VLOOKUP("Area|"&amp;Q478,'Score settings'!$A$14:$C$43,3,FALSE)/'Score settings'!$B$6*'Score settings'!$D$6</x:f>
        <x:v>8</x:v>
      </x:c>
      <x:c r="AE478" s="41" t="n">
        <x:f>VLOOKUP("Benefits|"&amp;IF(AND(ISNUMBER(K478),K478&gt;0,ISNUMBER(G478),G478&gt;0),IF(K478/G478&gt;='Score settings'!$E$17,"3plus",IF(K478/G478&gt;='Score settings'!$E$16,"1.5to3",IF(K478/G478&gt;='Score settings'!$E$15,"0.5to1.5","positive"))),"None"),'Score settings'!$A$14:$C$43,3,FALSE)/'Score settings'!$B$7*'Score settings'!$D$7</x:f>
        <x:v>0</x:v>
      </x:c>
      <x:c r="AF478" s="41" t="n">
        <x:f>VLOOKUP("Waste|"&amp;R478,'Score settings'!$A$14:$C$43,3,FALSE)/'Score settings'!$B$8*'Score settings'!$D$8</x:f>
        <x:v>6</x:v>
      </x:c>
      <x:c r="AG478" s="41" t="n">
        <x:f>(IF(AND(ISNUMBER(M478),M478&gt;0,ISNUMBER(G478),G478&gt;0),IF(M478/G478&gt;='Score settings'!$E$17,'Score settings'!$G$17,IF(M478/G478&gt;='Score settings'!$E$16,'Score settings'!$G$16,IF(M478/G478&gt;='Score settings'!$E$15,'Score settings'!$G$15,'Score settings'!$G$14))),0)/15*'Score settings'!$B$60+IFERROR(VLOOKUP(IF(ISNUMBER(N478),N478,IF(ISNUMBER(L478),L478,0)),'Score settings'!$E$22:$F$26,2,FALSE),0)/10*'Score settings'!$B$61)/'Score settings'!$B$9*'Score settings'!$D$9</x:f>
        <x:v>0</x:v>
      </x:c>
      <x:c r="AH478" s="41" t="n">
        <x:f>IF(B478="","",SUM(AB478:AG478))</x:f>
        <x:v>28.799999999999997</x:v>
      </x:c>
      <x:c r="AI478" s="41" t="str">
        <x:f>IF(NOT(ISNUMBER(AH478)),"Not scored",VLOOKUP(AH478,'Score settings'!$A$47:$C$50,3,TRUE))</x:f>
        <x:v>Discretionary</x:v>
      </x:c>
      <x:c r="AJ478" s="42" t="n">
        <x:f>IF(OR(NOT(ISNUMBER(AH478)),T478&lt;&gt;"Common pot"),"",COUNTIFS($T$4:$T$509,"Common pot",$AH$4:$AH$509,"&gt;"&amp;AH478)+1)</x:f>
        <x:v>202</x:v>
      </x:c>
      <x:c r="AK478" s="36" t="str">
        <x:f>IF(B478="","Name missing - not scored",IF(OR(NOT(ISNUMBER(G478)),G478&lt;=0),"Investment missing or zero - review",IF(0=1,"Permanent ID missing - reconcile",IF(AND(ISNUMBER(H478),H478/G478&gt;='Score settings'!$B$58,NOT(ISNUMBER(I478))),"Benefit units need review",IF(OR(R478="EXIT",R478="CHALLENGE"),"Waste decision requires scope resolution",IF("Name and organisation matched"&lt;&gt;"Name and organisation matched","Waste evidence match needs review","Provisional source score - confirm evidence"))))))</x:f>
        <x:v>Provisional source score - confirm evidence</x:v>
      </x:c>
      <x:c r="AL478" s="36"/>
      <x:c r="AM478" s="40"/>
      <x:c r="AN478" s="39"/>
      <x:c r="AO478" s="40"/>
      <x:c r="AP478" s="40"/>
    </x:row>
    <x:row r="479" ht="15" hidden="0" customHeight="1">
      <x:c r="A479" s="36" t="str">
        <x:v>EW-157</x:v>
      </x:c>
      <x:c r="B479" s="37" t="str">
        <x:v>PPM</x:v>
      </x:c>
      <x:c r="C479" s="36" t="str">
        <x:v>EW</x:v>
      </x:c>
      <x:c r="D479" s="36" t="str">
        <x:v>People function​</x:v>
      </x:c>
      <x:c r="E479" s="38" t="n">
        <x:v>0.195</x:v>
      </x:c>
      <x:c r="F479" s="39"/>
      <x:c r="G479" s="38" t="n">
        <x:f>IF(ISNUMBER(F479),F479,IF(E479="","",E479))</x:f>
        <x:v>0.195</x:v>
      </x:c>
      <x:c r="H479" s="38"/>
      <x:c r="I479" s="39"/>
      <x:c r="J479" s="36" t="str">
        <x:v>Cash savings</x:v>
      </x:c>
      <x:c r="K479" s="38" t="str">
        <x:f>IF(ISNUMBER(I479),I479,IF(OR(NOT(ISNUMBER(H479)),NOT(ISNUMBER(G479)),G479&lt;=0),"",IF(H479/G479&gt;='Score settings'!$B$58,"",IF(J479="Cash savings",H479,IF(J479="Revenue",H479*'Score settings'!$B$55,"")))))</x:f>
      </x:c>
      <x:c r="L479" s="36"/>
      <x:c r="M479" s="39"/>
      <x:c r="N479" s="40"/>
      <x:c r="O479" s="36" t="str">
        <x:v>Must Do</x:v>
      </x:c>
      <x:c r="P479" s="36" t="str">
        <x:v>CI</x:v>
      </x:c>
      <x:c r="Q479" s="36" t="str">
        <x:v>ProcSimp</x:v>
      </x:c>
      <x:c r="R479" s="36" t="str">
        <x:v>HEALTHY</x:v>
      </x:c>
      <x:c r="S479" s="36" t="str"/>
      <x:c r="T479" s="36" t="str">
        <x:v>Common pot</x:v>
      </x:c>
      <x:c r="U479" s="41" t="n">
        <x:f>VLOOKUP("Priority|"&amp;O479,'Score settings'!$A$14:$C$43,2,FALSE)/'Score settings'!$B$4*'Score settings'!$C$4</x:f>
        <x:v>25</x:v>
      </x:c>
      <x:c r="V479" s="41" t="n">
        <x:f>VLOOKUP("Category|"&amp;P479,'Score settings'!$A$14:$C$43,2,FALSE)/'Score settings'!$B$5*'Score settings'!$C$5</x:f>
        <x:v>8</x:v>
      </x:c>
      <x:c r="W479" s="41" t="n">
        <x:f>VLOOKUP("Area|"&amp;Q479,'Score settings'!$A$14:$C$43,2,FALSE)/'Score settings'!$B$6*'Score settings'!$C$6</x:f>
        <x:v>12</x:v>
      </x:c>
      <x:c r="X479" s="41" t="n">
        <x:f>VLOOKUP("Benefits|"&amp;IF(AND(ISNUMBER(H479),H479&gt;0,ISNUMBER(G479),G479&gt;0),IF(H479/G479&gt;='Score settings'!$E$17,"3plus",IF(H479/G479&gt;='Score settings'!$E$16,"1.5to3",IF(H479/G479&gt;='Score settings'!$E$15,"0.5to1.5","positive"))),"None"),'Score settings'!$A$14:$C$43,2,FALSE)/'Score settings'!$B$7*'Score settings'!$C$7</x:f>
        <x:v>5</x:v>
      </x:c>
      <x:c r="Y479" s="41" t="n">
        <x:f>VLOOKUP("Waste|"&amp;R479,'Score settings'!$A$14:$C$43,2,FALSE)/'Score settings'!$B$8*'Score settings'!$C$8</x:f>
        <x:v>15</x:v>
      </x:c>
      <x:c r="Z479" s="41" t="n">
        <x:f>IF(B479="","",SUM(U479:Y479))</x:f>
        <x:v>65</x:v>
      </x:c>
      <x:c r="AA479" s="41" t="str">
        <x:f>IF(Z479="","Not scored",VLOOKUP(Z479,'Score settings'!$A$47:$C$50,2,TRUE))</x:f>
        <x:v>Protected</x:v>
      </x:c>
      <x:c r="AB479" s="41" t="n">
        <x:f>VLOOKUP("Priority|"&amp;O479,'Score settings'!$A$14:$C$43,3,FALSE)/'Score settings'!$B$4*'Score settings'!$D$4</x:f>
        <x:v>15</x:v>
      </x:c>
      <x:c r="AC479" s="41" t="n">
        <x:f>VLOOKUP("Category|"&amp;P479,'Score settings'!$A$14:$C$43,3,FALSE)/'Score settings'!$B$5*'Score settings'!$D$5</x:f>
        <x:v>4</x:v>
      </x:c>
      <x:c r="AD479" s="41" t="n">
        <x:f>VLOOKUP("Area|"&amp;Q479,'Score settings'!$A$14:$C$43,3,FALSE)/'Score settings'!$B$6*'Score settings'!$D$6</x:f>
        <x:v>8</x:v>
      </x:c>
      <x:c r="AE479" s="41" t="n">
        <x:f>VLOOKUP("Benefits|"&amp;IF(AND(ISNUMBER(K479),K479&gt;0,ISNUMBER(G479),G479&gt;0),IF(K479/G479&gt;='Score settings'!$E$17,"3plus",IF(K479/G479&gt;='Score settings'!$E$16,"1.5to3",IF(K479/G479&gt;='Score settings'!$E$15,"0.5to1.5","positive"))),"None"),'Score settings'!$A$14:$C$43,3,FALSE)/'Score settings'!$B$7*'Score settings'!$D$7</x:f>
        <x:v>0</x:v>
      </x:c>
      <x:c r="AF479" s="41" t="n">
        <x:f>VLOOKUP("Waste|"&amp;R479,'Score settings'!$A$14:$C$43,3,FALSE)/'Score settings'!$B$8*'Score settings'!$D$8</x:f>
        <x:v>10</x:v>
      </x:c>
      <x:c r="AG479" s="41" t="n">
        <x:f>(IF(AND(ISNUMBER(M479),M479&gt;0,ISNUMBER(G479),G479&gt;0),IF(M479/G479&gt;='Score settings'!$E$17,'Score settings'!$G$17,IF(M479/G479&gt;='Score settings'!$E$16,'Score settings'!$G$16,IF(M479/G479&gt;='Score settings'!$E$15,'Score settings'!$G$15,'Score settings'!$G$14))),0)/15*'Score settings'!$B$60+IFERROR(VLOOKUP(IF(ISNUMBER(N479),N479,IF(ISNUMBER(L479),L479,0)),'Score settings'!$E$22:$F$26,2,FALSE),0)/10*'Score settings'!$B$61)/'Score settings'!$B$9*'Score settings'!$D$9</x:f>
        <x:v>0</x:v>
      </x:c>
      <x:c r="AH479" s="41" t="n">
        <x:f>IF(B479="","",SUM(AB479:AG479))</x:f>
        <x:v>37</x:v>
      </x:c>
      <x:c r="AI479" s="41" t="str">
        <x:f>IF(NOT(ISNUMBER(AH479)),"Not scored",VLOOKUP(AH479,'Score settings'!$A$47:$C$50,3,TRUE))</x:f>
        <x:v>Discretionary</x:v>
      </x:c>
      <x:c r="AJ479" s="42" t="n">
        <x:f>IF(OR(NOT(ISNUMBER(AH479)),T479&lt;&gt;"Common pot"),"",COUNTIFS($T$4:$T$509,"Common pot",$AH$4:$AH$509,"&gt;"&amp;AH479)+1)</x:f>
        <x:v>123</x:v>
      </x:c>
      <x:c r="AK479" s="36" t="str">
        <x:f>IF(B479="","Name missing - not scored",IF(OR(NOT(ISNUMBER(G479)),G479&lt;=0),"Investment missing or zero - review",IF(0=1,"Permanent ID missing - reconcile",IF(AND(ISNUMBER(H479),H479/G479&gt;='Score settings'!$B$58,NOT(ISNUMBER(I479))),"Benefit units need review",IF(OR(R479="EXIT",R479="CHALLENGE"),"Waste decision requires scope resolution",IF("Name and organisation matched"&lt;&gt;"Name and organisation matched","Waste evidence match needs review","Provisional source score - confirm evidence"))))))</x:f>
        <x:v>Provisional source score - confirm evidence</x:v>
      </x:c>
      <x:c r="AL479" s="36"/>
      <x:c r="AM479" s="40"/>
      <x:c r="AN479" s="39"/>
      <x:c r="AO479" s="40"/>
      <x:c r="AP479" s="40"/>
    </x:row>
    <x:row r="480" ht="15" hidden="0" customHeight="1">
      <x:c r="A480" s="36" t="str">
        <x:v>EW-158</x:v>
      </x:c>
      <x:c r="B480" s="37" t="str">
        <x:v>Scheduling</x:v>
      </x:c>
      <x:c r="C480" s="36" t="str">
        <x:v>EW</x:v>
      </x:c>
      <x:c r="D480" s="36" t="str">
        <x:v>People function​</x:v>
      </x:c>
      <x:c r="E480" s="38" t="n">
        <x:v>0.05</x:v>
      </x:c>
      <x:c r="F480" s="39"/>
      <x:c r="G480" s="38" t="n">
        <x:f>IF(ISNUMBER(F480),F480,IF(E480="","",E480))</x:f>
        <x:v>0.05</x:v>
      </x:c>
      <x:c r="H480" s="38" t="n">
        <x:v>0.1</x:v>
      </x:c>
      <x:c r="I480" s="39"/>
      <x:c r="J480" s="36" t="str">
        <x:v>Cash savings</x:v>
      </x:c>
      <x:c r="K480" s="38" t="n">
        <x:f>IF(ISNUMBER(I480),I480,IF(OR(NOT(ISNUMBER(H480)),NOT(ISNUMBER(G480)),G480&lt;=0),"",IF(H480/G480&gt;='Score settings'!$B$58,"",IF(J480="Cash savings",H480,IF(J480="Revenue",H480*'Score settings'!$B$55,"")))))</x:f>
        <x:v>0.1</x:v>
      </x:c>
      <x:c r="L480" s="36"/>
      <x:c r="M480" s="39"/>
      <x:c r="N480" s="40"/>
      <x:c r="O480" s="36" t="str">
        <x:v>Must Do</x:v>
      </x:c>
      <x:c r="P480" s="36" t="str">
        <x:v>CI</x:v>
      </x:c>
      <x:c r="Q480" s="36" t="str">
        <x:v>Productivity</x:v>
      </x:c>
      <x:c r="R480" s="36" t="str">
        <x:v>HEALTHY</x:v>
      </x:c>
      <x:c r="S480" s="36" t="str"/>
      <x:c r="T480" s="36" t="str">
        <x:v>Common pot</x:v>
      </x:c>
      <x:c r="U480" s="41" t="n">
        <x:f>VLOOKUP("Priority|"&amp;O480,'Score settings'!$A$14:$C$43,2,FALSE)/'Score settings'!$B$4*'Score settings'!$C$4</x:f>
        <x:v>25</x:v>
      </x:c>
      <x:c r="V480" s="41" t="n">
        <x:f>VLOOKUP("Category|"&amp;P480,'Score settings'!$A$14:$C$43,2,FALSE)/'Score settings'!$B$5*'Score settings'!$C$5</x:f>
        <x:v>8</x:v>
      </x:c>
      <x:c r="W480" s="41" t="n">
        <x:f>VLOOKUP("Area|"&amp;Q480,'Score settings'!$A$14:$C$43,2,FALSE)/'Score settings'!$B$6*'Score settings'!$C$6</x:f>
        <x:v>10</x:v>
      </x:c>
      <x:c r="X480" s="41" t="n">
        <x:f>VLOOKUP("Benefits|"&amp;IF(AND(ISNUMBER(H480),H480&gt;0,ISNUMBER(G480),G480&gt;0),IF(H480/G480&gt;='Score settings'!$E$17,"3plus",IF(H480/G480&gt;='Score settings'!$E$16,"1.5to3",IF(H480/G480&gt;='Score settings'!$E$15,"0.5to1.5","positive"))),"None"),'Score settings'!$A$14:$C$43,2,FALSE)/'Score settings'!$B$7*'Score settings'!$C$7</x:f>
        <x:v>20</x:v>
      </x:c>
      <x:c r="Y480" s="41" t="n">
        <x:f>VLOOKUP("Waste|"&amp;R480,'Score settings'!$A$14:$C$43,2,FALSE)/'Score settings'!$B$8*'Score settings'!$C$8</x:f>
        <x:v>15</x:v>
      </x:c>
      <x:c r="Z480" s="41" t="n">
        <x:f>IF(B480="","",SUM(U480:Y480))</x:f>
        <x:v>78</x:v>
      </x:c>
      <x:c r="AA480" s="41" t="str">
        <x:f>IF(Z480="","Not scored",VLOOKUP(Z480,'Score settings'!$A$47:$C$50,2,TRUE))</x:f>
        <x:v>Protected</x:v>
      </x:c>
      <x:c r="AB480" s="41" t="n">
        <x:f>VLOOKUP("Priority|"&amp;O480,'Score settings'!$A$14:$C$43,3,FALSE)/'Score settings'!$B$4*'Score settings'!$D$4</x:f>
        <x:v>15</x:v>
      </x:c>
      <x:c r="AC480" s="41" t="n">
        <x:f>VLOOKUP("Category|"&amp;P480,'Score settings'!$A$14:$C$43,3,FALSE)/'Score settings'!$B$5*'Score settings'!$D$5</x:f>
        <x:v>4</x:v>
      </x:c>
      <x:c r="AD480" s="41" t="n">
        <x:f>VLOOKUP("Area|"&amp;Q480,'Score settings'!$A$14:$C$43,3,FALSE)/'Score settings'!$B$6*'Score settings'!$D$6</x:f>
        <x:v>6.666666666666666</x:v>
      </x:c>
      <x:c r="AE480" s="41" t="n">
        <x:f>VLOOKUP("Benefits|"&amp;IF(AND(ISNUMBER(K480),K480&gt;0,ISNUMBER(G480),G480&gt;0),IF(K480/G480&gt;='Score settings'!$E$17,"3plus",IF(K480/G480&gt;='Score settings'!$E$16,"1.5to3",IF(K480/G480&gt;='Score settings'!$E$15,"0.5to1.5","positive"))),"None"),'Score settings'!$A$14:$C$43,3,FALSE)/'Score settings'!$B$7*'Score settings'!$D$7</x:f>
        <x:v>24</x:v>
      </x:c>
      <x:c r="AF480" s="41" t="n">
        <x:f>VLOOKUP("Waste|"&amp;R480,'Score settings'!$A$14:$C$43,3,FALSE)/'Score settings'!$B$8*'Score settings'!$D$8</x:f>
        <x:v>10</x:v>
      </x:c>
      <x:c r="AG480" s="41" t="n">
        <x:f>(IF(AND(ISNUMBER(M480),M480&gt;0,ISNUMBER(G480),G480&gt;0),IF(M480/G480&gt;='Score settings'!$E$17,'Score settings'!$G$17,IF(M480/G480&gt;='Score settings'!$E$16,'Score settings'!$G$16,IF(M480/G480&gt;='Score settings'!$E$15,'Score settings'!$G$15,'Score settings'!$G$14))),0)/15*'Score settings'!$B$60+IFERROR(VLOOKUP(IF(ISNUMBER(N480),N480,IF(ISNUMBER(L480),L480,0)),'Score settings'!$E$22:$F$26,2,FALSE),0)/10*'Score settings'!$B$61)/'Score settings'!$B$9*'Score settings'!$D$9</x:f>
        <x:v>0</x:v>
      </x:c>
      <x:c r="AH480" s="41" t="n">
        <x:f>IF(B480="","",SUM(AB480:AG480))</x:f>
        <x:v>59.666666666666664</x:v>
      </x:c>
      <x:c r="AI480" s="41" t="str">
        <x:f>IF(NOT(ISNUMBER(AH480)),"Not scored",VLOOKUP(AH480,'Score settings'!$A$47:$C$50,3,TRUE))</x:f>
        <x:v>Strong</x:v>
      </x:c>
      <x:c r="AJ480" s="42" t="n">
        <x:f>IF(OR(NOT(ISNUMBER(AH480)),T480&lt;&gt;"Common pot"),"",COUNTIFS($T$4:$T$509,"Common pot",$AH$4:$AH$509,"&gt;"&amp;AH480)+1)</x:f>
        <x:v>20</x:v>
      </x:c>
      <x:c r="AK480" s="36" t="str">
        <x:f>IF(B480="","Name missing - not scored",IF(OR(NOT(ISNUMBER(G480)),G480&lt;=0),"Investment missing or zero - review",IF(0=1,"Permanent ID missing - reconcile",IF(AND(ISNUMBER(H480),H480/G480&gt;='Score settings'!$B$58,NOT(ISNUMBER(I480))),"Benefit units need review",IF(OR(R480="EXIT",R480="CHALLENGE"),"Waste decision requires scope resolution",IF("Name and organisation matched"&lt;&gt;"Name and organisation matched","Waste evidence match needs review","Provisional source score - confirm evidence"))))))</x:f>
        <x:v>Provisional source score - confirm evidence</x:v>
      </x:c>
      <x:c r="AL480" s="36"/>
      <x:c r="AM480" s="40"/>
      <x:c r="AN480" s="39"/>
      <x:c r="AO480" s="40"/>
      <x:c r="AP480" s="40"/>
    </x:row>
    <x:row r="481" ht="15" hidden="0" customHeight="1">
      <x:c r="A481" s="36" t="str">
        <x:v>EW-159</x:v>
      </x:c>
      <x:c r="B481" s="37" t="str">
        <x:v>Sourcing </x:v>
      </x:c>
      <x:c r="C481" s="36" t="str">
        <x:v>EW</x:v>
      </x:c>
      <x:c r="D481" s="36" t="str">
        <x:v>People function​</x:v>
      </x:c>
      <x:c r="E481" s="38" t="n">
        <x:v>0.129</x:v>
      </x:c>
      <x:c r="F481" s="39"/>
      <x:c r="G481" s="38" t="n">
        <x:f>IF(ISNUMBER(F481),F481,IF(E481="","",E481))</x:f>
        <x:v>0.129</x:v>
      </x:c>
      <x:c r="H481" s="38"/>
      <x:c r="I481" s="39"/>
      <x:c r="J481" s="36" t="str">
        <x:v>Cash savings</x:v>
      </x:c>
      <x:c r="K481" s="38" t="str">
        <x:f>IF(ISNUMBER(I481),I481,IF(OR(NOT(ISNUMBER(H481)),NOT(ISNUMBER(G481)),G481&lt;=0),"",IF(H481/G481&gt;='Score settings'!$B$58,"",IF(J481="Cash savings",H481,IF(J481="Revenue",H481*'Score settings'!$B$55,"")))))</x:f>
      </x:c>
      <x:c r="L481" s="36"/>
      <x:c r="M481" s="39"/>
      <x:c r="N481" s="40"/>
      <x:c r="O481" s="36" t="str">
        <x:v>Must Have</x:v>
      </x:c>
      <x:c r="P481" s="36" t="str">
        <x:v>CI</x:v>
      </x:c>
      <x:c r="Q481" s="36" t="str">
        <x:v>ProcSimp</x:v>
      </x:c>
      <x:c r="R481" s="36" t="str">
        <x:v>HEALTHY</x:v>
      </x:c>
      <x:c r="S481" s="36" t="str"/>
      <x:c r="T481" s="36" t="str">
        <x:v>Common pot</x:v>
      </x:c>
      <x:c r="U481" s="41" t="n">
        <x:f>VLOOKUP("Priority|"&amp;O481,'Score settings'!$A$14:$C$43,2,FALSE)/'Score settings'!$B$4*'Score settings'!$C$4</x:f>
        <x:v>18</x:v>
      </x:c>
      <x:c r="V481" s="41" t="n">
        <x:f>VLOOKUP("Category|"&amp;P481,'Score settings'!$A$14:$C$43,2,FALSE)/'Score settings'!$B$5*'Score settings'!$C$5</x:f>
        <x:v>8</x:v>
      </x:c>
      <x:c r="W481" s="41" t="n">
        <x:f>VLOOKUP("Area|"&amp;Q481,'Score settings'!$A$14:$C$43,2,FALSE)/'Score settings'!$B$6*'Score settings'!$C$6</x:f>
        <x:v>12</x:v>
      </x:c>
      <x:c r="X481" s="41" t="n">
        <x:f>VLOOKUP("Benefits|"&amp;IF(AND(ISNUMBER(H481),H481&gt;0,ISNUMBER(G481),G481&gt;0),IF(H481/G481&gt;='Score settings'!$E$17,"3plus",IF(H481/G481&gt;='Score settings'!$E$16,"1.5to3",IF(H481/G481&gt;='Score settings'!$E$15,"0.5to1.5","positive"))),"None"),'Score settings'!$A$14:$C$43,2,FALSE)/'Score settings'!$B$7*'Score settings'!$C$7</x:f>
        <x:v>5</x:v>
      </x:c>
      <x:c r="Y481" s="41" t="n">
        <x:f>VLOOKUP("Waste|"&amp;R481,'Score settings'!$A$14:$C$43,2,FALSE)/'Score settings'!$B$8*'Score settings'!$C$8</x:f>
        <x:v>15</x:v>
      </x:c>
      <x:c r="Z481" s="41" t="n">
        <x:f>IF(B481="","",SUM(U481:Y481))</x:f>
        <x:v>58</x:v>
      </x:c>
      <x:c r="AA481" s="41" t="str">
        <x:f>IF(Z481="","Not scored",VLOOKUP(Z481,'Score settings'!$A$47:$C$50,2,TRUE))</x:f>
        <x:v>Strong</x:v>
      </x:c>
      <x:c r="AB481" s="41" t="n">
        <x:f>VLOOKUP("Priority|"&amp;O481,'Score settings'!$A$14:$C$43,3,FALSE)/'Score settings'!$B$4*'Score settings'!$D$4</x:f>
        <x:v>10.799999999999999</x:v>
      </x:c>
      <x:c r="AC481" s="41" t="n">
        <x:f>VLOOKUP("Category|"&amp;P481,'Score settings'!$A$14:$C$43,3,FALSE)/'Score settings'!$B$5*'Score settings'!$D$5</x:f>
        <x:v>4</x:v>
      </x:c>
      <x:c r="AD481" s="41" t="n">
        <x:f>VLOOKUP("Area|"&amp;Q481,'Score settings'!$A$14:$C$43,3,FALSE)/'Score settings'!$B$6*'Score settings'!$D$6</x:f>
        <x:v>8</x:v>
      </x:c>
      <x:c r="AE481" s="41" t="n">
        <x:f>VLOOKUP("Benefits|"&amp;IF(AND(ISNUMBER(K481),K481&gt;0,ISNUMBER(G481),G481&gt;0),IF(K481/G481&gt;='Score settings'!$E$17,"3plus",IF(K481/G481&gt;='Score settings'!$E$16,"1.5to3",IF(K481/G481&gt;='Score settings'!$E$15,"0.5to1.5","positive"))),"None"),'Score settings'!$A$14:$C$43,3,FALSE)/'Score settings'!$B$7*'Score settings'!$D$7</x:f>
        <x:v>0</x:v>
      </x:c>
      <x:c r="AF481" s="41" t="n">
        <x:f>VLOOKUP("Waste|"&amp;R481,'Score settings'!$A$14:$C$43,3,FALSE)/'Score settings'!$B$8*'Score settings'!$D$8</x:f>
        <x:v>10</x:v>
      </x:c>
      <x:c r="AG481" s="41" t="n">
        <x:f>(IF(AND(ISNUMBER(M481),M481&gt;0,ISNUMBER(G481),G481&gt;0),IF(M481/G481&gt;='Score settings'!$E$17,'Score settings'!$G$17,IF(M481/G481&gt;='Score settings'!$E$16,'Score settings'!$G$16,IF(M481/G481&gt;='Score settings'!$E$15,'Score settings'!$G$15,'Score settings'!$G$14))),0)/15*'Score settings'!$B$60+IFERROR(VLOOKUP(IF(ISNUMBER(N481),N481,IF(ISNUMBER(L481),L481,0)),'Score settings'!$E$22:$F$26,2,FALSE),0)/10*'Score settings'!$B$61)/'Score settings'!$B$9*'Score settings'!$D$9</x:f>
        <x:v>0</x:v>
      </x:c>
      <x:c r="AH481" s="41" t="n">
        <x:f>IF(B481="","",SUM(AB481:AG481))</x:f>
        <x:v>32.8</x:v>
      </x:c>
      <x:c r="AI481" s="41" t="str">
        <x:f>IF(NOT(ISNUMBER(AH481)),"Not scored",VLOOKUP(AH481,'Score settings'!$A$47:$C$50,3,TRUE))</x:f>
        <x:v>Discretionary</x:v>
      </x:c>
      <x:c r="AJ481" s="42" t="n">
        <x:f>IF(OR(NOT(ISNUMBER(AH481)),T481&lt;&gt;"Common pot"),"",COUNTIFS($T$4:$T$509,"Common pot",$AH$4:$AH$509,"&gt;"&amp;AH481)+1)</x:f>
        <x:v>164</x:v>
      </x:c>
      <x:c r="AK481" s="36" t="str">
        <x:f>IF(B481="","Name missing - not scored",IF(OR(NOT(ISNUMBER(G481)),G481&lt;=0),"Investment missing or zero - review",IF(0=1,"Permanent ID missing - reconcile",IF(AND(ISNUMBER(H481),H481/G481&gt;='Score settings'!$B$58,NOT(ISNUMBER(I481))),"Benefit units need review",IF(OR(R481="EXIT",R481="CHALLENGE"),"Waste decision requires scope resolution",IF("Name and organisation matched"&lt;&gt;"Name and organisation matched","Waste evidence match needs review","Provisional source score - confirm evidence"))))))</x:f>
        <x:v>Provisional source score - confirm evidence</x:v>
      </x:c>
      <x:c r="AL481" s="36"/>
      <x:c r="AM481" s="40"/>
      <x:c r="AN481" s="39"/>
      <x:c r="AO481" s="40"/>
      <x:c r="AP481" s="40"/>
    </x:row>
    <x:row r="482" ht="15" hidden="0" customHeight="1">
      <x:c r="A482" s="36" t="str">
        <x:v>EW-160</x:v>
      </x:c>
      <x:c r="B482" s="37" t="str">
        <x:v>Well-being Insights Platform</x:v>
      </x:c>
      <x:c r="C482" s="36" t="str">
        <x:v>EW</x:v>
      </x:c>
      <x:c r="D482" s="36" t="str">
        <x:v>People function​</x:v>
      </x:c>
      <x:c r="E482" s="38" t="n">
        <x:v>0.075</x:v>
      </x:c>
      <x:c r="F482" s="39"/>
      <x:c r="G482" s="38" t="n">
        <x:f>IF(ISNUMBER(F482),F482,IF(E482="","",E482))</x:f>
        <x:v>0.075</x:v>
      </x:c>
      <x:c r="H482" s="38"/>
      <x:c r="I482" s="39"/>
      <x:c r="J482" s="36" t="str">
        <x:v>Cash savings</x:v>
      </x:c>
      <x:c r="K482" s="38" t="str">
        <x:f>IF(ISNUMBER(I482),I482,IF(OR(NOT(ISNUMBER(H482)),NOT(ISNUMBER(G482)),G482&lt;=0),"",IF(H482/G482&gt;='Score settings'!$B$58,"",IF(J482="Cash savings",H482,IF(J482="Revenue",H482*'Score settings'!$B$55,"")))))</x:f>
      </x:c>
      <x:c r="L482" s="36"/>
      <x:c r="M482" s="39"/>
      <x:c r="N482" s="40"/>
      <x:c r="O482" s="36" t="str">
        <x:v>Must Have</x:v>
      </x:c>
      <x:c r="P482" s="36" t="str">
        <x:v>CI</x:v>
      </x:c>
      <x:c r="Q482" s="36" t="str">
        <x:v>ProcSimp</x:v>
      </x:c>
      <x:c r="R482" s="36" t="str">
        <x:v>HEALTHY</x:v>
      </x:c>
      <x:c r="S482" s="36" t="str"/>
      <x:c r="T482" s="36" t="str">
        <x:v>Common pot</x:v>
      </x:c>
      <x:c r="U482" s="41" t="n">
        <x:f>VLOOKUP("Priority|"&amp;O482,'Score settings'!$A$14:$C$43,2,FALSE)/'Score settings'!$B$4*'Score settings'!$C$4</x:f>
        <x:v>18</x:v>
      </x:c>
      <x:c r="V482" s="41" t="n">
        <x:f>VLOOKUP("Category|"&amp;P482,'Score settings'!$A$14:$C$43,2,FALSE)/'Score settings'!$B$5*'Score settings'!$C$5</x:f>
        <x:v>8</x:v>
      </x:c>
      <x:c r="W482" s="41" t="n">
        <x:f>VLOOKUP("Area|"&amp;Q482,'Score settings'!$A$14:$C$43,2,FALSE)/'Score settings'!$B$6*'Score settings'!$C$6</x:f>
        <x:v>12</x:v>
      </x:c>
      <x:c r="X482" s="41" t="n">
        <x:f>VLOOKUP("Benefits|"&amp;IF(AND(ISNUMBER(H482),H482&gt;0,ISNUMBER(G482),G482&gt;0),IF(H482/G482&gt;='Score settings'!$E$17,"3plus",IF(H482/G482&gt;='Score settings'!$E$16,"1.5to3",IF(H482/G482&gt;='Score settings'!$E$15,"0.5to1.5","positive"))),"None"),'Score settings'!$A$14:$C$43,2,FALSE)/'Score settings'!$B$7*'Score settings'!$C$7</x:f>
        <x:v>5</x:v>
      </x:c>
      <x:c r="Y482" s="41" t="n">
        <x:f>VLOOKUP("Waste|"&amp;R482,'Score settings'!$A$14:$C$43,2,FALSE)/'Score settings'!$B$8*'Score settings'!$C$8</x:f>
        <x:v>15</x:v>
      </x:c>
      <x:c r="Z482" s="41" t="n">
        <x:f>IF(B482="","",SUM(U482:Y482))</x:f>
        <x:v>58</x:v>
      </x:c>
      <x:c r="AA482" s="41" t="str">
        <x:f>IF(Z482="","Not scored",VLOOKUP(Z482,'Score settings'!$A$47:$C$50,2,TRUE))</x:f>
        <x:v>Strong</x:v>
      </x:c>
      <x:c r="AB482" s="41" t="n">
        <x:f>VLOOKUP("Priority|"&amp;O482,'Score settings'!$A$14:$C$43,3,FALSE)/'Score settings'!$B$4*'Score settings'!$D$4</x:f>
        <x:v>10.799999999999999</x:v>
      </x:c>
      <x:c r="AC482" s="41" t="n">
        <x:f>VLOOKUP("Category|"&amp;P482,'Score settings'!$A$14:$C$43,3,FALSE)/'Score settings'!$B$5*'Score settings'!$D$5</x:f>
        <x:v>4</x:v>
      </x:c>
      <x:c r="AD482" s="41" t="n">
        <x:f>VLOOKUP("Area|"&amp;Q482,'Score settings'!$A$14:$C$43,3,FALSE)/'Score settings'!$B$6*'Score settings'!$D$6</x:f>
        <x:v>8</x:v>
      </x:c>
      <x:c r="AE482" s="41" t="n">
        <x:f>VLOOKUP("Benefits|"&amp;IF(AND(ISNUMBER(K482),K482&gt;0,ISNUMBER(G482),G482&gt;0),IF(K482/G482&gt;='Score settings'!$E$17,"3plus",IF(K482/G482&gt;='Score settings'!$E$16,"1.5to3",IF(K482/G482&gt;='Score settings'!$E$15,"0.5to1.5","positive"))),"None"),'Score settings'!$A$14:$C$43,3,FALSE)/'Score settings'!$B$7*'Score settings'!$D$7</x:f>
        <x:v>0</x:v>
      </x:c>
      <x:c r="AF482" s="41" t="n">
        <x:f>VLOOKUP("Waste|"&amp;R482,'Score settings'!$A$14:$C$43,3,FALSE)/'Score settings'!$B$8*'Score settings'!$D$8</x:f>
        <x:v>10</x:v>
      </x:c>
      <x:c r="AG482" s="41" t="n">
        <x:f>(IF(AND(ISNUMBER(M482),M482&gt;0,ISNUMBER(G482),G482&gt;0),IF(M482/G482&gt;='Score settings'!$E$17,'Score settings'!$G$17,IF(M482/G482&gt;='Score settings'!$E$16,'Score settings'!$G$16,IF(M482/G482&gt;='Score settings'!$E$15,'Score settings'!$G$15,'Score settings'!$G$14))),0)/15*'Score settings'!$B$60+IFERROR(VLOOKUP(IF(ISNUMBER(N482),N482,IF(ISNUMBER(L482),L482,0)),'Score settings'!$E$22:$F$26,2,FALSE),0)/10*'Score settings'!$B$61)/'Score settings'!$B$9*'Score settings'!$D$9</x:f>
        <x:v>0</x:v>
      </x:c>
      <x:c r="AH482" s="41" t="n">
        <x:f>IF(B482="","",SUM(AB482:AG482))</x:f>
        <x:v>32.8</x:v>
      </x:c>
      <x:c r="AI482" s="41" t="str">
        <x:f>IF(NOT(ISNUMBER(AH482)),"Not scored",VLOOKUP(AH482,'Score settings'!$A$47:$C$50,3,TRUE))</x:f>
        <x:v>Discretionary</x:v>
      </x:c>
      <x:c r="AJ482" s="42" t="n">
        <x:f>IF(OR(NOT(ISNUMBER(AH482)),T482&lt;&gt;"Common pot"),"",COUNTIFS($T$4:$T$509,"Common pot",$AH$4:$AH$509,"&gt;"&amp;AH482)+1)</x:f>
        <x:v>164</x:v>
      </x:c>
      <x:c r="AK482" s="36" t="str">
        <x:f>IF(B482="","Name missing - not scored",IF(OR(NOT(ISNUMBER(G482)),G482&lt;=0),"Investment missing or zero - review",IF(0=1,"Permanent ID missing - reconcile",IF(AND(ISNUMBER(H482),H482/G482&gt;='Score settings'!$B$58,NOT(ISNUMBER(I482))),"Benefit units need review",IF(OR(R482="EXIT",R482="CHALLENGE"),"Waste decision requires scope resolution",IF("Name and organisation matched"&lt;&gt;"Name and organisation matched","Waste evidence match needs review","Provisional source score - confirm evidence"))))))</x:f>
        <x:v>Provisional source score - confirm evidence</x:v>
      </x:c>
      <x:c r="AL482" s="36"/>
      <x:c r="AM482" s="40"/>
      <x:c r="AN482" s="39"/>
      <x:c r="AO482" s="40"/>
      <x:c r="AP482" s="40"/>
    </x:row>
    <x:row r="483" ht="15" hidden="0" customHeight="1">
      <x:c r="A483" s="36" t="str">
        <x:v>EW-161</x:v>
      </x:c>
      <x:c r="B483" s="37" t="str">
        <x:v>Regina AI - GCR NMPA Submission Assistant for Regulatory Affair</x:v>
      </x:c>
      <x:c r="C483" s="36" t="str">
        <x:v>EW</x:v>
      </x:c>
      <x:c r="D483" s="36" t="str">
        <x:v>Greater China </x:v>
      </x:c>
      <x:c r="E483" s="38" t="n">
        <x:v>0.15</x:v>
      </x:c>
      <x:c r="F483" s="39"/>
      <x:c r="G483" s="38" t="n">
        <x:f>IF(ISNUMBER(F483),F483,IF(E483="","",E483))</x:f>
        <x:v>0.15</x:v>
      </x:c>
      <x:c r="H483" s="38"/>
      <x:c r="I483" s="39"/>
      <x:c r="J483" s="36" t="str">
        <x:v>Cash savings</x:v>
      </x:c>
      <x:c r="K483" s="38" t="str">
        <x:f>IF(ISNUMBER(I483),I483,IF(OR(NOT(ISNUMBER(H483)),NOT(ISNUMBER(G483)),G483&lt;=0),"",IF(H483/G483&gt;='Score settings'!$B$58,"",IF(J483="Cash savings",H483,IF(J483="Revenue",H483*'Score settings'!$B$55,"")))))</x:f>
      </x:c>
      <x:c r="L483" s="36"/>
      <x:c r="M483" s="39"/>
      <x:c r="N483" s="40"/>
      <x:c r="O483" s="36" t="str">
        <x:v>Must Have</x:v>
      </x:c>
      <x:c r="P483" s="36" t="str">
        <x:v>CI</x:v>
      </x:c>
      <x:c r="Q483" s="36" t="str">
        <x:v>Productivity</x:v>
      </x:c>
      <x:c r="R483" s="36" t="str">
        <x:v>NotAssessed</x:v>
      </x:c>
      <x:c r="S483" s="36" t="str"/>
      <x:c r="T483" s="36" t="str">
        <x:v>Change and Sustain candidate</x:v>
      </x:c>
      <x:c r="U483" s="41" t="n">
        <x:f>VLOOKUP("Priority|"&amp;O483,'Score settings'!$A$14:$C$43,2,FALSE)/'Score settings'!$B$4*'Score settings'!$C$4</x:f>
        <x:v>18</x:v>
      </x:c>
      <x:c r="V483" s="41" t="n">
        <x:f>VLOOKUP("Category|"&amp;P483,'Score settings'!$A$14:$C$43,2,FALSE)/'Score settings'!$B$5*'Score settings'!$C$5</x:f>
        <x:v>8</x:v>
      </x:c>
      <x:c r="W483" s="41" t="n">
        <x:f>VLOOKUP("Area|"&amp;Q483,'Score settings'!$A$14:$C$43,2,FALSE)/'Score settings'!$B$6*'Score settings'!$C$6</x:f>
        <x:v>10</x:v>
      </x:c>
      <x:c r="X483" s="41" t="n">
        <x:f>VLOOKUP("Benefits|"&amp;IF(AND(ISNUMBER(H483),H483&gt;0,ISNUMBER(G483),G483&gt;0),IF(H483/G483&gt;='Score settings'!$E$17,"3plus",IF(H483/G483&gt;='Score settings'!$E$16,"1.5to3",IF(H483/G483&gt;='Score settings'!$E$15,"0.5to1.5","positive"))),"None"),'Score settings'!$A$14:$C$43,2,FALSE)/'Score settings'!$B$7*'Score settings'!$C$7</x:f>
        <x:v>5</x:v>
      </x:c>
      <x:c r="Y483" s="41" t="n">
        <x:f>VLOOKUP("Waste|"&amp;R483,'Score settings'!$A$14:$C$43,2,FALSE)/'Score settings'!$B$8*'Score settings'!$C$8</x:f>
        <x:v>7</x:v>
      </x:c>
      <x:c r="Z483" s="41" t="n">
        <x:f>IF(B483="","",SUM(U483:Y483))</x:f>
        <x:v>48</x:v>
      </x:c>
      <x:c r="AA483" s="41" t="str">
        <x:f>IF(Z483="","Not scored",VLOOKUP(Z483,'Score settings'!$A$47:$C$50,2,TRUE))</x:f>
        <x:v>Strong</x:v>
      </x:c>
      <x:c r="AB483" s="41" t="n">
        <x:f>VLOOKUP("Priority|"&amp;O483,'Score settings'!$A$14:$C$43,3,FALSE)/'Score settings'!$B$4*'Score settings'!$D$4</x:f>
        <x:v>10.799999999999999</x:v>
      </x:c>
      <x:c r="AC483" s="41" t="n">
        <x:f>VLOOKUP("Category|"&amp;P483,'Score settings'!$A$14:$C$43,3,FALSE)/'Score settings'!$B$5*'Score settings'!$D$5</x:f>
        <x:v>4</x:v>
      </x:c>
      <x:c r="AD483" s="41" t="n">
        <x:f>VLOOKUP("Area|"&amp;Q483,'Score settings'!$A$14:$C$43,3,FALSE)/'Score settings'!$B$6*'Score settings'!$D$6</x:f>
        <x:v>6.666666666666666</x:v>
      </x:c>
      <x:c r="AE483" s="41" t="n">
        <x:f>VLOOKUP("Benefits|"&amp;IF(AND(ISNUMBER(K483),K483&gt;0,ISNUMBER(G483),G483&gt;0),IF(K483/G483&gt;='Score settings'!$E$17,"3plus",IF(K483/G483&gt;='Score settings'!$E$16,"1.5to3",IF(K483/G483&gt;='Score settings'!$E$15,"0.5to1.5","positive"))),"None"),'Score settings'!$A$14:$C$43,3,FALSE)/'Score settings'!$B$7*'Score settings'!$D$7</x:f>
        <x:v>0</x:v>
      </x:c>
      <x:c r="AF483" s="41" t="n">
        <x:f>VLOOKUP("Waste|"&amp;R483,'Score settings'!$A$14:$C$43,3,FALSE)/'Score settings'!$B$8*'Score settings'!$D$8</x:f>
        <x:v>0</x:v>
      </x:c>
      <x:c r="AG483" s="41" t="n">
        <x:f>(IF(AND(ISNUMBER(M483),M483&gt;0,ISNUMBER(G483),G483&gt;0),IF(M483/G483&gt;='Score settings'!$E$17,'Score settings'!$G$17,IF(M483/G483&gt;='Score settings'!$E$16,'Score settings'!$G$16,IF(M483/G483&gt;='Score settings'!$E$15,'Score settings'!$G$15,'Score settings'!$G$14))),0)/15*'Score settings'!$B$60+IFERROR(VLOOKUP(IF(ISNUMBER(N483),N483,IF(ISNUMBER(L483),L483,0)),'Score settings'!$E$22:$F$26,2,FALSE),0)/10*'Score settings'!$B$61)/'Score settings'!$B$9*'Score settings'!$D$9</x:f>
        <x:v>0</x:v>
      </x:c>
      <x:c r="AH483" s="41" t="n">
        <x:f>IF(B483="","",SUM(AB483:AG483))</x:f>
        <x:v>21.466666666666665</x:v>
      </x:c>
      <x:c r="AI483" s="41" t="str">
        <x:f>IF(NOT(ISNUMBER(AH483)),"Not scored",VLOOKUP(AH483,'Score settings'!$A$47:$C$50,3,TRUE))</x:f>
        <x:v>Weak</x:v>
      </x:c>
      <x:c r="AJ483" s="42" t="str">
        <x:f>IF(OR(NOT(ISNUMBER(AH483)),T483&lt;&gt;"Common pot"),"",COUNTIFS($T$4:$T$509,"Common pot",$AH$4:$AH$509,"&gt;"&amp;AH483)+1)</x:f>
      </x:c>
      <x:c r="AK483" s="36" t="str">
        <x:f>IF(B483="","Name missing - not scored",IF(OR(NOT(ISNUMBER(G483)),G483&lt;=0),"Investment missing or zero - review",IF(0=1,"Permanent ID missing - reconcile",IF(AND(ISNUMBER(H483),H483/G483&gt;='Score settings'!$B$58,NOT(ISNUMBER(I483))),"Benefit units need review",IF(OR(R483="EXIT",R483="CHALLENGE"),"Waste decision requires scope resolution",IF("No exact waste match"&lt;&gt;"Name and organisation matched","Waste evidence match needs review","Provisional source score - confirm evidence"))))))</x:f>
        <x:v>Waste evidence match needs review</x:v>
      </x:c>
      <x:c r="AL483" s="36"/>
      <x:c r="AM483" s="40"/>
      <x:c r="AN483" s="39"/>
      <x:c r="AO483" s="40"/>
      <x:c r="AP483" s="40"/>
    </x:row>
    <x:row r="484" ht="15" hidden="0" customHeight="1">
      <x:c r="A484" s="36" t="str">
        <x:v>EW-162</x:v>
      </x:c>
      <x:c r="B484" s="37" t="str">
        <x:v>Quality AI for GCR Adverse Event Report and Post Market Vigilance</x:v>
      </x:c>
      <x:c r="C484" s="36" t="str">
        <x:v>EW</x:v>
      </x:c>
      <x:c r="D484" s="36" t="str">
        <x:v>Patient Safety &amp; Quality</x:v>
      </x:c>
      <x:c r="E484" s="38" t="n">
        <x:v>0.35</x:v>
      </x:c>
      <x:c r="F484" s="39"/>
      <x:c r="G484" s="38" t="n">
        <x:f>IF(ISNUMBER(F484),F484,IF(E484="","",E484))</x:f>
        <x:v>0.35</x:v>
      </x:c>
      <x:c r="H484" s="38" t="n">
        <x:v>1</x:v>
      </x:c>
      <x:c r="I484" s="39"/>
      <x:c r="J484" s="36" t="str">
        <x:v>Cash savings</x:v>
      </x:c>
      <x:c r="K484" s="38" t="n">
        <x:f>IF(ISNUMBER(I484),I484,IF(OR(NOT(ISNUMBER(H484)),NOT(ISNUMBER(G484)),G484&lt;=0),"",IF(H484/G484&gt;='Score settings'!$B$58,"",IF(J484="Cash savings",H484,IF(J484="Revenue",H484*'Score settings'!$B$55,"")))))</x:f>
        <x:v>1</x:v>
      </x:c>
      <x:c r="L484" s="36" t="n">
        <x:v>5</x:v>
      </x:c>
      <x:c r="M484" s="39"/>
      <x:c r="N484" s="40"/>
      <x:c r="O484" s="36" t="str">
        <x:v>Must Have</x:v>
      </x:c>
      <x:c r="P484" s="36" t="str">
        <x:v>NewTech</x:v>
      </x:c>
      <x:c r="Q484" s="36" t="str">
        <x:v>ProcSimp</x:v>
      </x:c>
      <x:c r="R484" s="36" t="str">
        <x:v>HEALTHY</x:v>
      </x:c>
      <x:c r="S484" s="36" t="str">
        <x:v>YES</x:v>
      </x:c>
      <x:c r="T484" s="36" t="str">
        <x:v>LFR validated candidate</x:v>
      </x:c>
      <x:c r="U484" s="41" t="n">
        <x:f>VLOOKUP("Priority|"&amp;O484,'Score settings'!$A$14:$C$43,2,FALSE)/'Score settings'!$B$4*'Score settings'!$C$4</x:f>
        <x:v>18</x:v>
      </x:c>
      <x:c r="V484" s="41" t="n">
        <x:f>VLOOKUP("Category|"&amp;P484,'Score settings'!$A$14:$C$43,2,FALSE)/'Score settings'!$B$5*'Score settings'!$C$5</x:f>
        <x:v>5</x:v>
      </x:c>
      <x:c r="W484" s="41" t="n">
        <x:f>VLOOKUP("Area|"&amp;Q484,'Score settings'!$A$14:$C$43,2,FALSE)/'Score settings'!$B$6*'Score settings'!$C$6</x:f>
        <x:v>12</x:v>
      </x:c>
      <x:c r="X484" s="41" t="n">
        <x:f>VLOOKUP("Benefits|"&amp;IF(AND(ISNUMBER(H484),H484&gt;0,ISNUMBER(G484),G484&gt;0),IF(H484/G484&gt;='Score settings'!$E$17,"3plus",IF(H484/G484&gt;='Score settings'!$E$16,"1.5to3",IF(H484/G484&gt;='Score settings'!$E$15,"0.5to1.5","positive"))),"None"),'Score settings'!$A$14:$C$43,2,FALSE)/'Score settings'!$B$7*'Score settings'!$C$7</x:f>
        <x:v>20</x:v>
      </x:c>
      <x:c r="Y484" s="41" t="n">
        <x:f>VLOOKUP("Waste|"&amp;R484,'Score settings'!$A$14:$C$43,2,FALSE)/'Score settings'!$B$8*'Score settings'!$C$8</x:f>
        <x:v>15</x:v>
      </x:c>
      <x:c r="Z484" s="41" t="n">
        <x:f>IF(B484="","",SUM(U484:Y484))</x:f>
        <x:v>70</x:v>
      </x:c>
      <x:c r="AA484" s="41" t="str">
        <x:f>IF(Z484="","Not scored",VLOOKUP(Z484,'Score settings'!$A$47:$C$50,2,TRUE))</x:f>
        <x:v>Protected</x:v>
      </x:c>
      <x:c r="AB484" s="41" t="n">
        <x:f>VLOOKUP("Priority|"&amp;O484,'Score settings'!$A$14:$C$43,3,FALSE)/'Score settings'!$B$4*'Score settings'!$D$4</x:f>
        <x:v>10.799999999999999</x:v>
      </x:c>
      <x:c r="AC484" s="41" t="n">
        <x:f>VLOOKUP("Category|"&amp;P484,'Score settings'!$A$14:$C$43,3,FALSE)/'Score settings'!$B$5*'Score settings'!$D$5</x:f>
        <x:v>2.5</x:v>
      </x:c>
      <x:c r="AD484" s="41" t="n">
        <x:f>VLOOKUP("Area|"&amp;Q484,'Score settings'!$A$14:$C$43,3,FALSE)/'Score settings'!$B$6*'Score settings'!$D$6</x:f>
        <x:v>8</x:v>
      </x:c>
      <x:c r="AE484" s="41" t="n">
        <x:f>VLOOKUP("Benefits|"&amp;IF(AND(ISNUMBER(K484),K484&gt;0,ISNUMBER(G484),G484&gt;0),IF(K484/G484&gt;='Score settings'!$E$17,"3plus",IF(K484/G484&gt;='Score settings'!$E$16,"1.5to3",IF(K484/G484&gt;='Score settings'!$E$15,"0.5to1.5","positive"))),"None"),'Score settings'!$A$14:$C$43,3,FALSE)/'Score settings'!$B$7*'Score settings'!$D$7</x:f>
        <x:v>24</x:v>
      </x:c>
      <x:c r="AF484" s="41" t="n">
        <x:f>VLOOKUP("Waste|"&amp;R484,'Score settings'!$A$14:$C$43,3,FALSE)/'Score settings'!$B$8*'Score settings'!$D$8</x:f>
        <x:v>10</x:v>
      </x:c>
      <x:c r="AG484" s="41" t="n">
        <x:f>(IF(AND(ISNUMBER(M484),M484&gt;0,ISNUMBER(G484),G484&gt;0),IF(M484/G484&gt;='Score settings'!$E$17,'Score settings'!$G$17,IF(M484/G484&gt;='Score settings'!$E$16,'Score settings'!$G$16,IF(M484/G484&gt;='Score settings'!$E$15,'Score settings'!$G$15,'Score settings'!$G$14))),0)/15*'Score settings'!$B$60+IFERROR(VLOOKUP(IF(ISNUMBER(N484),N484,IF(ISNUMBER(L484),L484,0)),'Score settings'!$E$22:$F$26,2,FALSE),0)/10*'Score settings'!$B$61)/'Score settings'!$B$9*'Score settings'!$D$9</x:f>
        <x:v>10</x:v>
      </x:c>
      <x:c r="AH484" s="41" t="n">
        <x:f>IF(B484="","",SUM(AB484:AG484))</x:f>
        <x:v>65.3</x:v>
      </x:c>
      <x:c r="AI484" s="41" t="str">
        <x:f>IF(NOT(ISNUMBER(AH484)),"Not scored",VLOOKUP(AH484,'Score settings'!$A$47:$C$50,3,TRUE))</x:f>
        <x:v>High alignment</x:v>
      </x:c>
      <x:c r="AJ484" s="42" t="str">
        <x:f>IF(OR(NOT(ISNUMBER(AH484)),T484&lt;&gt;"Common pot"),"",COUNTIFS($T$4:$T$509,"Common pot",$AH$4:$AH$509,"&gt;"&amp;AH484)+1)</x:f>
      </x:c>
      <x:c r="AK484" s="36" t="str">
        <x:f>IF(B484="","Name missing - not scored",IF(OR(NOT(ISNUMBER(G484)),G484&lt;=0),"Investment missing or zero - review",IF(0=1,"Permanent ID missing - reconcile",IF(AND(ISNUMBER(H484),H484/G484&gt;='Score settings'!$B$58,NOT(ISNUMBER(I484))),"Benefit units need review",IF(OR(R484="EXIT",R484="CHALLENGE"),"Waste decision requires scope resolution",IF("Name and organisation matched"&lt;&gt;"Name and organisation matched","Waste evidence match needs review","Provisional source score - confirm evidence"))))))</x:f>
        <x:v>Provisional source score - confirm evidence</x:v>
      </x:c>
      <x:c r="AL484" s="36" t="n">
        <x:v>25</x:v>
      </x:c>
      <x:c r="AM484" s="40"/>
      <x:c r="AN484" s="39"/>
      <x:c r="AO484" s="40"/>
      <x:c r="AP484" s="40"/>
    </x:row>
    <x:row r="485" ht="24" hidden="0" customHeight="1">
      <x:c r="A485" s="36" t="str">
        <x:v>EW-163</x:v>
      </x:c>
      <x:c r="B485" s="37" t="str">
        <x:v>Master Data Clean up, Harmonization &amp; Data Stweart for HS &amp; PH (incl. mainland, TW, HK split) for IT SoX readiness, Key Reports</x:v>
      </x:c>
      <x:c r="C485" s="36" t="str">
        <x:v>EW</x:v>
      </x:c>
      <x:c r="D485" s="36" t="str">
        <x:v>Greater China </x:v>
      </x:c>
      <x:c r="E485" s="38" t="n">
        <x:v>0.1</x:v>
      </x:c>
      <x:c r="F485" s="39"/>
      <x:c r="G485" s="38" t="n">
        <x:f>IF(ISNUMBER(F485),F485,IF(E485="","",E485))</x:f>
        <x:v>0.1</x:v>
      </x:c>
      <x:c r="H485" s="38"/>
      <x:c r="I485" s="39"/>
      <x:c r="J485" s="36" t="str">
        <x:v>Risk exposure</x:v>
      </x:c>
      <x:c r="K485" s="38" t="str">
        <x:f>IF(ISNUMBER(I485),I485,IF(OR(NOT(ISNUMBER(H485)),NOT(ISNUMBER(G485)),G485&lt;=0),"",IF(H485/G485&gt;='Score settings'!$B$58,"",IF(J485="Cash savings",H485,IF(J485="Revenue",H485*'Score settings'!$B$55,"")))))</x:f>
      </x:c>
      <x:c r="L485" s="36" t="n">
        <x:v>5</x:v>
      </x:c>
      <x:c r="M485" s="39"/>
      <x:c r="N485" s="40"/>
      <x:c r="O485" s="36" t="str">
        <x:v>Must Have</x:v>
      </x:c>
      <x:c r="P485" s="36" t="str">
        <x:v>LFR</x:v>
      </x:c>
      <x:c r="Q485" s="36" t="str">
        <x:v>Compliance</x:v>
      </x:c>
      <x:c r="R485" s="36" t="str">
        <x:v>HEALTHY</x:v>
      </x:c>
      <x:c r="S485" s="36" t="str">
        <x:v>YES</x:v>
      </x:c>
      <x:c r="T485" s="36" t="str">
        <x:v>LFR validated candidate</x:v>
      </x:c>
      <x:c r="U485" s="41" t="n">
        <x:f>VLOOKUP("Priority|"&amp;O485,'Score settings'!$A$14:$C$43,2,FALSE)/'Score settings'!$B$4*'Score settings'!$C$4</x:f>
        <x:v>18</x:v>
      </x:c>
      <x:c r="V485" s="41" t="n">
        <x:f>VLOOKUP("Category|"&amp;P485,'Score settings'!$A$14:$C$43,2,FALSE)/'Score settings'!$B$5*'Score settings'!$C$5</x:f>
        <x:v>20</x:v>
      </x:c>
      <x:c r="W485" s="41" t="n">
        <x:f>VLOOKUP("Area|"&amp;Q485,'Score settings'!$A$14:$C$43,2,FALSE)/'Score settings'!$B$6*'Score settings'!$C$6</x:f>
        <x:v>15</x:v>
      </x:c>
      <x:c r="X485" s="41" t="n">
        <x:f>VLOOKUP("Benefits|"&amp;IF(AND(ISNUMBER(H485),H485&gt;0,ISNUMBER(G485),G485&gt;0),IF(H485/G485&gt;='Score settings'!$E$17,"3plus",IF(H485/G485&gt;='Score settings'!$E$16,"1.5to3",IF(H485/G485&gt;='Score settings'!$E$15,"0.5to1.5","positive"))),"None"),'Score settings'!$A$14:$C$43,2,FALSE)/'Score settings'!$B$7*'Score settings'!$C$7</x:f>
        <x:v>5</x:v>
      </x:c>
      <x:c r="Y485" s="41" t="n">
        <x:f>VLOOKUP("Waste|"&amp;R485,'Score settings'!$A$14:$C$43,2,FALSE)/'Score settings'!$B$8*'Score settings'!$C$8</x:f>
        <x:v>15</x:v>
      </x:c>
      <x:c r="Z485" s="41" t="n">
        <x:f>IF(B485="","",SUM(U485:Y485))</x:f>
        <x:v>73</x:v>
      </x:c>
      <x:c r="AA485" s="41" t="str">
        <x:f>IF(Z485="","Not scored",VLOOKUP(Z485,'Score settings'!$A$47:$C$50,2,TRUE))</x:f>
        <x:v>Protected</x:v>
      </x:c>
      <x:c r="AB485" s="41" t="n">
        <x:f>VLOOKUP("Priority|"&amp;O485,'Score settings'!$A$14:$C$43,3,FALSE)/'Score settings'!$B$4*'Score settings'!$D$4</x:f>
        <x:v>10.799999999999999</x:v>
      </x:c>
      <x:c r="AC485" s="41" t="n">
        <x:f>VLOOKUP("Category|"&amp;P485,'Score settings'!$A$14:$C$43,3,FALSE)/'Score settings'!$B$5*'Score settings'!$D$5</x:f>
        <x:v>10</x:v>
      </x:c>
      <x:c r="AD485" s="41" t="n">
        <x:f>VLOOKUP("Area|"&amp;Q485,'Score settings'!$A$14:$C$43,3,FALSE)/'Score settings'!$B$6*'Score settings'!$D$6</x:f>
        <x:v>10</x:v>
      </x:c>
      <x:c r="AE485" s="41" t="n">
        <x:f>VLOOKUP("Benefits|"&amp;IF(AND(ISNUMBER(K485),K485&gt;0,ISNUMBER(G485),G485&gt;0),IF(K485/G485&gt;='Score settings'!$E$17,"3plus",IF(K485/G485&gt;='Score settings'!$E$16,"1.5to3",IF(K485/G485&gt;='Score settings'!$E$15,"0.5to1.5","positive"))),"None"),'Score settings'!$A$14:$C$43,3,FALSE)/'Score settings'!$B$7*'Score settings'!$D$7</x:f>
        <x:v>0</x:v>
      </x:c>
      <x:c r="AF485" s="41" t="n">
        <x:f>VLOOKUP("Waste|"&amp;R485,'Score settings'!$A$14:$C$43,3,FALSE)/'Score settings'!$B$8*'Score settings'!$D$8</x:f>
        <x:v>10</x:v>
      </x:c>
      <x:c r="AG485" s="41" t="n">
        <x:f>(IF(AND(ISNUMBER(M485),M485&gt;0,ISNUMBER(G485),G485&gt;0),IF(M485/G485&gt;='Score settings'!$E$17,'Score settings'!$G$17,IF(M485/G485&gt;='Score settings'!$E$16,'Score settings'!$G$16,IF(M485/G485&gt;='Score settings'!$E$15,'Score settings'!$G$15,'Score settings'!$G$14))),0)/15*'Score settings'!$B$60+IFERROR(VLOOKUP(IF(ISNUMBER(N485),N485,IF(ISNUMBER(L485),L485,0)),'Score settings'!$E$22:$F$26,2,FALSE),0)/10*'Score settings'!$B$61)/'Score settings'!$B$9*'Score settings'!$D$9</x:f>
        <x:v>10</x:v>
      </x:c>
      <x:c r="AH485" s="41" t="n">
        <x:f>IF(B485="","",SUM(AB485:AG485))</x:f>
        <x:v>50.8</x:v>
      </x:c>
      <x:c r="AI485" s="41" t="str">
        <x:f>IF(NOT(ISNUMBER(AH485)),"Not scored",VLOOKUP(AH485,'Score settings'!$A$47:$C$50,3,TRUE))</x:f>
        <x:v>Strong</x:v>
      </x:c>
      <x:c r="AJ485" s="42" t="str">
        <x:f>IF(OR(NOT(ISNUMBER(AH485)),T485&lt;&gt;"Common pot"),"",COUNTIFS($T$4:$T$509,"Common pot",$AH$4:$AH$509,"&gt;"&amp;AH485)+1)</x:f>
      </x:c>
      <x:c r="AK485" s="36" t="str">
        <x:f>IF(B485="","Name missing - not scored",IF(OR(NOT(ISNUMBER(G485)),G485&lt;=0),"Investment missing or zero - review",IF(0=1,"Permanent ID missing - reconcile",IF(AND(ISNUMBER(H485),H485/G485&gt;='Score settings'!$B$58,NOT(ISNUMBER(I485))),"Benefit units need review",IF(OR(R485="EXIT",R485="CHALLENGE"),"Waste decision requires scope resolution",IF("Name and organisation matched"&lt;&gt;"Name and organisation matched","Waste evidence match needs review","Provisional source score - confirm evidence"))))))</x:f>
        <x:v>Provisional source score - confirm evidence</x:v>
      </x:c>
      <x:c r="AL485" s="36" t="n">
        <x:v>25</x:v>
      </x:c>
      <x:c r="AM485" s="40"/>
      <x:c r="AN485" s="39"/>
      <x:c r="AO485" s="40"/>
      <x:c r="AP485" s="40"/>
    </x:row>
    <x:row r="486" ht="15" hidden="0" customHeight="1">
      <x:c r="A486" s="36" t="str">
        <x:v>EW-164</x:v>
      </x:c>
      <x:c r="B486" s="37" t="str">
        <x:v>Lexa AI - GCR Legal Review &amp; Compliance Assistant</x:v>
      </x:c>
      <x:c r="C486" s="36" t="str">
        <x:v>EW</x:v>
      </x:c>
      <x:c r="D486" s="36" t="str">
        <x:v>Legal​</x:v>
      </x:c>
      <x:c r="E486" s="38" t="n">
        <x:v>0.15</x:v>
      </x:c>
      <x:c r="F486" s="39"/>
      <x:c r="G486" s="38" t="n">
        <x:f>IF(ISNUMBER(F486),F486,IF(E486="","",E486))</x:f>
        <x:v>0.15</x:v>
      </x:c>
      <x:c r="H486" s="38"/>
      <x:c r="I486" s="39"/>
      <x:c r="J486" s="36" t="str">
        <x:v>Cash savings</x:v>
      </x:c>
      <x:c r="K486" s="38" t="str">
        <x:f>IF(ISNUMBER(I486),I486,IF(OR(NOT(ISNUMBER(H486)),NOT(ISNUMBER(G486)),G486&lt;=0),"",IF(H486/G486&gt;='Score settings'!$B$58,"",IF(J486="Cash savings",H486,IF(J486="Revenue",H486*'Score settings'!$B$55,"")))))</x:f>
      </x:c>
      <x:c r="L486" s="36"/>
      <x:c r="M486" s="39"/>
      <x:c r="N486" s="40"/>
      <x:c r="O486" s="36" t="str">
        <x:v>Must Have</x:v>
      </x:c>
      <x:c r="P486" s="36" t="str">
        <x:v>CI</x:v>
      </x:c>
      <x:c r="Q486" s="36" t="str">
        <x:v>Productivity</x:v>
      </x:c>
      <x:c r="R486" s="36" t="str">
        <x:v>HEALTHY</x:v>
      </x:c>
      <x:c r="S486" s="36" t="str"/>
      <x:c r="T486" s="36" t="str">
        <x:v>Common pot</x:v>
      </x:c>
      <x:c r="U486" s="41" t="n">
        <x:f>VLOOKUP("Priority|"&amp;O486,'Score settings'!$A$14:$C$43,2,FALSE)/'Score settings'!$B$4*'Score settings'!$C$4</x:f>
        <x:v>18</x:v>
      </x:c>
      <x:c r="V486" s="41" t="n">
        <x:f>VLOOKUP("Category|"&amp;P486,'Score settings'!$A$14:$C$43,2,FALSE)/'Score settings'!$B$5*'Score settings'!$C$5</x:f>
        <x:v>8</x:v>
      </x:c>
      <x:c r="W486" s="41" t="n">
        <x:f>VLOOKUP("Area|"&amp;Q486,'Score settings'!$A$14:$C$43,2,FALSE)/'Score settings'!$B$6*'Score settings'!$C$6</x:f>
        <x:v>10</x:v>
      </x:c>
      <x:c r="X486" s="41" t="n">
        <x:f>VLOOKUP("Benefits|"&amp;IF(AND(ISNUMBER(H486),H486&gt;0,ISNUMBER(G486),G486&gt;0),IF(H486/G486&gt;='Score settings'!$E$17,"3plus",IF(H486/G486&gt;='Score settings'!$E$16,"1.5to3",IF(H486/G486&gt;='Score settings'!$E$15,"0.5to1.5","positive"))),"None"),'Score settings'!$A$14:$C$43,2,FALSE)/'Score settings'!$B$7*'Score settings'!$C$7</x:f>
        <x:v>5</x:v>
      </x:c>
      <x:c r="Y486" s="41" t="n">
        <x:f>VLOOKUP("Waste|"&amp;R486,'Score settings'!$A$14:$C$43,2,FALSE)/'Score settings'!$B$8*'Score settings'!$C$8</x:f>
        <x:v>15</x:v>
      </x:c>
      <x:c r="Z486" s="41" t="n">
        <x:f>IF(B486="","",SUM(U486:Y486))</x:f>
        <x:v>56</x:v>
      </x:c>
      <x:c r="AA486" s="41" t="str">
        <x:f>IF(Z486="","Not scored",VLOOKUP(Z486,'Score settings'!$A$47:$C$50,2,TRUE))</x:f>
        <x:v>Strong</x:v>
      </x:c>
      <x:c r="AB486" s="41" t="n">
        <x:f>VLOOKUP("Priority|"&amp;O486,'Score settings'!$A$14:$C$43,3,FALSE)/'Score settings'!$B$4*'Score settings'!$D$4</x:f>
        <x:v>10.799999999999999</x:v>
      </x:c>
      <x:c r="AC486" s="41" t="n">
        <x:f>VLOOKUP("Category|"&amp;P486,'Score settings'!$A$14:$C$43,3,FALSE)/'Score settings'!$B$5*'Score settings'!$D$5</x:f>
        <x:v>4</x:v>
      </x:c>
      <x:c r="AD486" s="41" t="n">
        <x:f>VLOOKUP("Area|"&amp;Q486,'Score settings'!$A$14:$C$43,3,FALSE)/'Score settings'!$B$6*'Score settings'!$D$6</x:f>
        <x:v>6.666666666666666</x:v>
      </x:c>
      <x:c r="AE486" s="41" t="n">
        <x:f>VLOOKUP("Benefits|"&amp;IF(AND(ISNUMBER(K486),K486&gt;0,ISNUMBER(G486),G486&gt;0),IF(K486/G486&gt;='Score settings'!$E$17,"3plus",IF(K486/G486&gt;='Score settings'!$E$16,"1.5to3",IF(K486/G486&gt;='Score settings'!$E$15,"0.5to1.5","positive"))),"None"),'Score settings'!$A$14:$C$43,3,FALSE)/'Score settings'!$B$7*'Score settings'!$D$7</x:f>
        <x:v>0</x:v>
      </x:c>
      <x:c r="AF486" s="41" t="n">
        <x:f>VLOOKUP("Waste|"&amp;R486,'Score settings'!$A$14:$C$43,3,FALSE)/'Score settings'!$B$8*'Score settings'!$D$8</x:f>
        <x:v>10</x:v>
      </x:c>
      <x:c r="AG486" s="41" t="n">
        <x:f>(IF(AND(ISNUMBER(M486),M486&gt;0,ISNUMBER(G486),G486&gt;0),IF(M486/G486&gt;='Score settings'!$E$17,'Score settings'!$G$17,IF(M486/G486&gt;='Score settings'!$E$16,'Score settings'!$G$16,IF(M486/G486&gt;='Score settings'!$E$15,'Score settings'!$G$15,'Score settings'!$G$14))),0)/15*'Score settings'!$B$60+IFERROR(VLOOKUP(IF(ISNUMBER(N486),N486,IF(ISNUMBER(L486),L486,0)),'Score settings'!$E$22:$F$26,2,FALSE),0)/10*'Score settings'!$B$61)/'Score settings'!$B$9*'Score settings'!$D$9</x:f>
        <x:v>0</x:v>
      </x:c>
      <x:c r="AH486" s="41" t="n">
        <x:f>IF(B486="","",SUM(AB486:AG486))</x:f>
        <x:v>31.466666666666665</x:v>
      </x:c>
      <x:c r="AI486" s="41" t="str">
        <x:f>IF(NOT(ISNUMBER(AH486)),"Not scored",VLOOKUP(AH486,'Score settings'!$A$47:$C$50,3,TRUE))</x:f>
        <x:v>Discretionary</x:v>
      </x:c>
      <x:c r="AJ486" s="42" t="n">
        <x:f>IF(OR(NOT(ISNUMBER(AH486)),T486&lt;&gt;"Common pot"),"",COUNTIFS($T$4:$T$509,"Common pot",$AH$4:$AH$509,"&gt;"&amp;AH486)+1)</x:f>
        <x:v>175</x:v>
      </x:c>
      <x:c r="AK486" s="36" t="str">
        <x:f>IF(B486="","Name missing - not scored",IF(OR(NOT(ISNUMBER(G486)),G486&lt;=0),"Investment missing or zero - review",IF(0=1,"Permanent ID missing - reconcile",IF(AND(ISNUMBER(H486),H486/G486&gt;='Score settings'!$B$58,NOT(ISNUMBER(I486))),"Benefit units need review",IF(OR(R486="EXIT",R486="CHALLENGE"),"Waste decision requires scope resolution",IF("Name and organisation matched"&lt;&gt;"Name and organisation matched","Waste evidence match needs review","Provisional source score - confirm evidence"))))))</x:f>
        <x:v>Provisional source score - confirm evidence</x:v>
      </x:c>
      <x:c r="AL486" s="36"/>
      <x:c r="AM486" s="40"/>
      <x:c r="AN486" s="39"/>
      <x:c r="AO486" s="40"/>
      <x:c r="AP486" s="40"/>
    </x:row>
    <x:row r="487" ht="36" hidden="0" customHeight="1">
      <x:c r="A487" s="36" t="str">
        <x:v>EW-165</x:v>
      </x:c>
      <x:c r="B487" s="37" t="str">
        <x:v>Multiple GCR Application Enhancement (VAT Mainland, VAT Taiwan, VAT Hongkong, e-Invoice, T&amp;E company billing, EHS Lone woker, USB DLP for IP protection etc.)</x:v>
      </x:c>
      <x:c r="C487" s="36" t="str">
        <x:v>EW</x:v>
      </x:c>
      <x:c r="D487" s="36" t="str">
        <x:v>Greater China </x:v>
      </x:c>
      <x:c r="E487" s="38" t="n">
        <x:v>0.05</x:v>
      </x:c>
      <x:c r="F487" s="39"/>
      <x:c r="G487" s="38" t="n">
        <x:f>IF(ISNUMBER(F487),F487,IF(E487="","",E487))</x:f>
        <x:v>0.05</x:v>
      </x:c>
      <x:c r="H487" s="38"/>
      <x:c r="I487" s="39"/>
      <x:c r="J487" s="36" t="str">
        <x:v>Risk exposure</x:v>
      </x:c>
      <x:c r="K487" s="38" t="str">
        <x:f>IF(ISNUMBER(I487),I487,IF(OR(NOT(ISNUMBER(H487)),NOT(ISNUMBER(G487)),G487&lt;=0),"",IF(H487/G487&gt;='Score settings'!$B$58,"",IF(J487="Cash savings",H487,IF(J487="Revenue",H487*'Score settings'!$B$55,"")))))</x:f>
      </x:c>
      <x:c r="L487" s="36" t="n">
        <x:v>5</x:v>
      </x:c>
      <x:c r="M487" s="39"/>
      <x:c r="N487" s="40"/>
      <x:c r="O487" s="36" t="str">
        <x:v>Must Have</x:v>
      </x:c>
      <x:c r="P487" s="36" t="str">
        <x:v>LFR</x:v>
      </x:c>
      <x:c r="Q487" s="36" t="str">
        <x:v>Compliance</x:v>
      </x:c>
      <x:c r="R487" s="36" t="str">
        <x:v>HEALTHY</x:v>
      </x:c>
      <x:c r="S487" s="36" t="str">
        <x:v>YES</x:v>
      </x:c>
      <x:c r="T487" s="36" t="str">
        <x:v>LFR validated candidate</x:v>
      </x:c>
      <x:c r="U487" s="41" t="n">
        <x:f>VLOOKUP("Priority|"&amp;O487,'Score settings'!$A$14:$C$43,2,FALSE)/'Score settings'!$B$4*'Score settings'!$C$4</x:f>
        <x:v>18</x:v>
      </x:c>
      <x:c r="V487" s="41" t="n">
        <x:f>VLOOKUP("Category|"&amp;P487,'Score settings'!$A$14:$C$43,2,FALSE)/'Score settings'!$B$5*'Score settings'!$C$5</x:f>
        <x:v>20</x:v>
      </x:c>
      <x:c r="W487" s="41" t="n">
        <x:f>VLOOKUP("Area|"&amp;Q487,'Score settings'!$A$14:$C$43,2,FALSE)/'Score settings'!$B$6*'Score settings'!$C$6</x:f>
        <x:v>15</x:v>
      </x:c>
      <x:c r="X487" s="41" t="n">
        <x:f>VLOOKUP("Benefits|"&amp;IF(AND(ISNUMBER(H487),H487&gt;0,ISNUMBER(G487),G487&gt;0),IF(H487/G487&gt;='Score settings'!$E$17,"3plus",IF(H487/G487&gt;='Score settings'!$E$16,"1.5to3",IF(H487/G487&gt;='Score settings'!$E$15,"0.5to1.5","positive"))),"None"),'Score settings'!$A$14:$C$43,2,FALSE)/'Score settings'!$B$7*'Score settings'!$C$7</x:f>
        <x:v>5</x:v>
      </x:c>
      <x:c r="Y487" s="41" t="n">
        <x:f>VLOOKUP("Waste|"&amp;R487,'Score settings'!$A$14:$C$43,2,FALSE)/'Score settings'!$B$8*'Score settings'!$C$8</x:f>
        <x:v>15</x:v>
      </x:c>
      <x:c r="Z487" s="41" t="n">
        <x:f>IF(B487="","",SUM(U487:Y487))</x:f>
        <x:v>73</x:v>
      </x:c>
      <x:c r="AA487" s="41" t="str">
        <x:f>IF(Z487="","Not scored",VLOOKUP(Z487,'Score settings'!$A$47:$C$50,2,TRUE))</x:f>
        <x:v>Protected</x:v>
      </x:c>
      <x:c r="AB487" s="41" t="n">
        <x:f>VLOOKUP("Priority|"&amp;O487,'Score settings'!$A$14:$C$43,3,FALSE)/'Score settings'!$B$4*'Score settings'!$D$4</x:f>
        <x:v>10.799999999999999</x:v>
      </x:c>
      <x:c r="AC487" s="41" t="n">
        <x:f>VLOOKUP("Category|"&amp;P487,'Score settings'!$A$14:$C$43,3,FALSE)/'Score settings'!$B$5*'Score settings'!$D$5</x:f>
        <x:v>10</x:v>
      </x:c>
      <x:c r="AD487" s="41" t="n">
        <x:f>VLOOKUP("Area|"&amp;Q487,'Score settings'!$A$14:$C$43,3,FALSE)/'Score settings'!$B$6*'Score settings'!$D$6</x:f>
        <x:v>10</x:v>
      </x:c>
      <x:c r="AE487" s="41" t="n">
        <x:f>VLOOKUP("Benefits|"&amp;IF(AND(ISNUMBER(K487),K487&gt;0,ISNUMBER(G487),G487&gt;0),IF(K487/G487&gt;='Score settings'!$E$17,"3plus",IF(K487/G487&gt;='Score settings'!$E$16,"1.5to3",IF(K487/G487&gt;='Score settings'!$E$15,"0.5to1.5","positive"))),"None"),'Score settings'!$A$14:$C$43,3,FALSE)/'Score settings'!$B$7*'Score settings'!$D$7</x:f>
        <x:v>0</x:v>
      </x:c>
      <x:c r="AF487" s="41" t="n">
        <x:f>VLOOKUP("Waste|"&amp;R487,'Score settings'!$A$14:$C$43,3,FALSE)/'Score settings'!$B$8*'Score settings'!$D$8</x:f>
        <x:v>10</x:v>
      </x:c>
      <x:c r="AG487" s="41" t="n">
        <x:f>(IF(AND(ISNUMBER(M487),M487&gt;0,ISNUMBER(G487),G487&gt;0),IF(M487/G487&gt;='Score settings'!$E$17,'Score settings'!$G$17,IF(M487/G487&gt;='Score settings'!$E$16,'Score settings'!$G$16,IF(M487/G487&gt;='Score settings'!$E$15,'Score settings'!$G$15,'Score settings'!$G$14))),0)/15*'Score settings'!$B$60+IFERROR(VLOOKUP(IF(ISNUMBER(N487),N487,IF(ISNUMBER(L487),L487,0)),'Score settings'!$E$22:$F$26,2,FALSE),0)/10*'Score settings'!$B$61)/'Score settings'!$B$9*'Score settings'!$D$9</x:f>
        <x:v>10</x:v>
      </x:c>
      <x:c r="AH487" s="41" t="n">
        <x:f>IF(B487="","",SUM(AB487:AG487))</x:f>
        <x:v>50.8</x:v>
      </x:c>
      <x:c r="AI487" s="41" t="str">
        <x:f>IF(NOT(ISNUMBER(AH487)),"Not scored",VLOOKUP(AH487,'Score settings'!$A$47:$C$50,3,TRUE))</x:f>
        <x:v>Strong</x:v>
      </x:c>
      <x:c r="AJ487" s="42" t="str">
        <x:f>IF(OR(NOT(ISNUMBER(AH487)),T487&lt;&gt;"Common pot"),"",COUNTIFS($T$4:$T$509,"Common pot",$AH$4:$AH$509,"&gt;"&amp;AH487)+1)</x:f>
      </x:c>
      <x:c r="AK487" s="36" t="str">
        <x:f>IF(B487="","Name missing - not scored",IF(OR(NOT(ISNUMBER(G487)),G487&lt;=0),"Investment missing or zero - review",IF(0=1,"Permanent ID missing - reconcile",IF(AND(ISNUMBER(H487),H487/G487&gt;='Score settings'!$B$58,NOT(ISNUMBER(I487))),"Benefit units need review",IF(OR(R487="EXIT",R487="CHALLENGE"),"Waste decision requires scope resolution",IF("Name and organisation matched"&lt;&gt;"Name and organisation matched","Waste evidence match needs review","Provisional source score - confirm evidence"))))))</x:f>
        <x:v>Provisional source score - confirm evidence</x:v>
      </x:c>
      <x:c r="AL487" s="36" t="n">
        <x:v>15</x:v>
      </x:c>
      <x:c r="AM487" s="40"/>
      <x:c r="AN487" s="39"/>
      <x:c r="AO487" s="40"/>
      <x:c r="AP487" s="40"/>
    </x:row>
    <x:row r="488" ht="24" hidden="0" customHeight="1">
      <x:c r="A488" s="36" t="str">
        <x:v>EW-166</x:v>
      </x:c>
      <x:c r="B488" s="37" t="str">
        <x:v>WeComm implementation &amp; AI analysis (official wechat platform to derisk IP leakage and security violation) for GCR</x:v>
      </x:c>
      <x:c r="C488" s="36" t="str">
        <x:v>EW</x:v>
      </x:c>
      <x:c r="D488" s="36" t="str">
        <x:v>Group Security​</x:v>
      </x:c>
      <x:c r="E488" s="38" t="n">
        <x:v>0.1</x:v>
      </x:c>
      <x:c r="F488" s="39"/>
      <x:c r="G488" s="38" t="n">
        <x:f>IF(ISNUMBER(F488),F488,IF(E488="","",E488))</x:f>
        <x:v>0.1</x:v>
      </x:c>
      <x:c r="H488" s="38"/>
      <x:c r="I488" s="39"/>
      <x:c r="J488" s="36" t="str">
        <x:v>Risk exposure</x:v>
      </x:c>
      <x:c r="K488" s="38" t="str">
        <x:f>IF(ISNUMBER(I488),I488,IF(OR(NOT(ISNUMBER(H488)),NOT(ISNUMBER(G488)),G488&lt;=0),"",IF(H488/G488&gt;='Score settings'!$B$58,"",IF(J488="Cash savings",H488,IF(J488="Revenue",H488*'Score settings'!$B$55,"")))))</x:f>
      </x:c>
      <x:c r="L488" s="36"/>
      <x:c r="M488" s="39"/>
      <x:c r="N488" s="40"/>
      <x:c r="O488" s="36" t="str">
        <x:v>Blank</x:v>
      </x:c>
      <x:c r="P488" s="36" t="str">
        <x:v>LFR</x:v>
      </x:c>
      <x:c r="Q488" s="36" t="str">
        <x:v>Compliance</x:v>
      </x:c>
      <x:c r="R488" s="36" t="str">
        <x:v>NotAssessed</x:v>
      </x:c>
      <x:c r="S488" s="36" t="str"/>
      <x:c r="T488" s="36" t="str">
        <x:v>Common pot</x:v>
      </x:c>
      <x:c r="U488" s="41" t="n">
        <x:f>VLOOKUP("Priority|"&amp;O488,'Score settings'!$A$14:$C$43,2,FALSE)/'Score settings'!$B$4*'Score settings'!$C$4</x:f>
        <x:v>10</x:v>
      </x:c>
      <x:c r="V488" s="41" t="n">
        <x:f>VLOOKUP("Category|"&amp;P488,'Score settings'!$A$14:$C$43,2,FALSE)/'Score settings'!$B$5*'Score settings'!$C$5</x:f>
        <x:v>20</x:v>
      </x:c>
      <x:c r="W488" s="41" t="n">
        <x:f>VLOOKUP("Area|"&amp;Q488,'Score settings'!$A$14:$C$43,2,FALSE)/'Score settings'!$B$6*'Score settings'!$C$6</x:f>
        <x:v>15</x:v>
      </x:c>
      <x:c r="X488" s="41" t="n">
        <x:f>VLOOKUP("Benefits|"&amp;IF(AND(ISNUMBER(H488),H488&gt;0,ISNUMBER(G488),G488&gt;0),IF(H488/G488&gt;='Score settings'!$E$17,"3plus",IF(H488/G488&gt;='Score settings'!$E$16,"1.5to3",IF(H488/G488&gt;='Score settings'!$E$15,"0.5to1.5","positive"))),"None"),'Score settings'!$A$14:$C$43,2,FALSE)/'Score settings'!$B$7*'Score settings'!$C$7</x:f>
        <x:v>5</x:v>
      </x:c>
      <x:c r="Y488" s="41" t="n">
        <x:f>VLOOKUP("Waste|"&amp;R488,'Score settings'!$A$14:$C$43,2,FALSE)/'Score settings'!$B$8*'Score settings'!$C$8</x:f>
        <x:v>7</x:v>
      </x:c>
      <x:c r="Z488" s="41" t="n">
        <x:f>IF(B488="","",SUM(U488:Y488))</x:f>
        <x:v>57</x:v>
      </x:c>
      <x:c r="AA488" s="41" t="str">
        <x:f>IF(Z488="","Not scored",VLOOKUP(Z488,'Score settings'!$A$47:$C$50,2,TRUE))</x:f>
        <x:v>Strong</x:v>
      </x:c>
      <x:c r="AB488" s="41" t="n">
        <x:f>VLOOKUP("Priority|"&amp;O488,'Score settings'!$A$14:$C$43,3,FALSE)/'Score settings'!$B$4*'Score settings'!$D$4</x:f>
        <x:v>0</x:v>
      </x:c>
      <x:c r="AC488" s="41" t="n">
        <x:f>VLOOKUP("Category|"&amp;P488,'Score settings'!$A$14:$C$43,3,FALSE)/'Score settings'!$B$5*'Score settings'!$D$5</x:f>
        <x:v>10</x:v>
      </x:c>
      <x:c r="AD488" s="41" t="n">
        <x:f>VLOOKUP("Area|"&amp;Q488,'Score settings'!$A$14:$C$43,3,FALSE)/'Score settings'!$B$6*'Score settings'!$D$6</x:f>
        <x:v>10</x:v>
      </x:c>
      <x:c r="AE488" s="41" t="n">
        <x:f>VLOOKUP("Benefits|"&amp;IF(AND(ISNUMBER(K488),K488&gt;0,ISNUMBER(G488),G488&gt;0),IF(K488/G488&gt;='Score settings'!$E$17,"3plus",IF(K488/G488&gt;='Score settings'!$E$16,"1.5to3",IF(K488/G488&gt;='Score settings'!$E$15,"0.5to1.5","positive"))),"None"),'Score settings'!$A$14:$C$43,3,FALSE)/'Score settings'!$B$7*'Score settings'!$D$7</x:f>
        <x:v>0</x:v>
      </x:c>
      <x:c r="AF488" s="41" t="n">
        <x:f>VLOOKUP("Waste|"&amp;R488,'Score settings'!$A$14:$C$43,3,FALSE)/'Score settings'!$B$8*'Score settings'!$D$8</x:f>
        <x:v>0</x:v>
      </x:c>
      <x:c r="AG488" s="41" t="n">
        <x:f>(IF(AND(ISNUMBER(M488),M488&gt;0,ISNUMBER(G488),G488&gt;0),IF(M488/G488&gt;='Score settings'!$E$17,'Score settings'!$G$17,IF(M488/G488&gt;='Score settings'!$E$16,'Score settings'!$G$16,IF(M488/G488&gt;='Score settings'!$E$15,'Score settings'!$G$15,'Score settings'!$G$14))),0)/15*'Score settings'!$B$60+IFERROR(VLOOKUP(IF(ISNUMBER(N488),N488,IF(ISNUMBER(L488),L488,0)),'Score settings'!$E$22:$F$26,2,FALSE),0)/10*'Score settings'!$B$61)/'Score settings'!$B$9*'Score settings'!$D$9</x:f>
        <x:v>0</x:v>
      </x:c>
      <x:c r="AH488" s="41" t="n">
        <x:f>IF(B488="","",SUM(AB488:AG488))</x:f>
        <x:v>20</x:v>
      </x:c>
      <x:c r="AI488" s="41" t="str">
        <x:f>IF(NOT(ISNUMBER(AH488)),"Not scored",VLOOKUP(AH488,'Score settings'!$A$47:$C$50,3,TRUE))</x:f>
        <x:v>Weak</x:v>
      </x:c>
      <x:c r="AJ488" s="42" t="n">
        <x:f>IF(OR(NOT(ISNUMBER(AH488)),T488&lt;&gt;"Common pot"),"",COUNTIFS($T$4:$T$509,"Common pot",$AH$4:$AH$509,"&gt;"&amp;AH488)+1)</x:f>
        <x:v>351</x:v>
      </x:c>
      <x:c r="AK488" s="36" t="str">
        <x:f>IF(B488="","Name missing - not scored",IF(OR(NOT(ISNUMBER(G488)),G488&lt;=0),"Investment missing or zero - review",IF(0=1,"Permanent ID missing - reconcile",IF(AND(ISNUMBER(H488),H488/G488&gt;='Score settings'!$B$58,NOT(ISNUMBER(I488))),"Benefit units need review",IF(OR(R488="EXIT",R488="CHALLENGE"),"Waste decision requires scope resolution",IF("Name and organisation matched"&lt;&gt;"Name and organisation matched","Waste evidence match needs review","Provisional source score - confirm evidence"))))))</x:f>
        <x:v>Provisional source score - confirm evidence</x:v>
      </x:c>
      <x:c r="AL488" s="36"/>
      <x:c r="AM488" s="40"/>
      <x:c r="AN488" s="39"/>
      <x:c r="AO488" s="40"/>
      <x:c r="AP488" s="40"/>
    </x:row>
    <x:row r="489" ht="15" hidden="0" customHeight="1">
      <x:c r="A489" s="36" t="str">
        <x:v>EW-167</x:v>
      </x:c>
      <x:c r="B489" s="37" t="str">
        <x:v>Veeva-Seismic-PAL Integration API upgrade</x:v>
      </x:c>
      <x:c r="C489" s="36" t="str">
        <x:v>EW</x:v>
      </x:c>
      <x:c r="D489" s="36" t="str"/>
      <x:c r="E489" s="38" t="n">
        <x:v>0.05</x:v>
      </x:c>
      <x:c r="F489" s="39"/>
      <x:c r="G489" s="38" t="n">
        <x:f>IF(ISNUMBER(F489),F489,IF(E489="","",E489))</x:f>
        <x:v>0.05</x:v>
      </x:c>
      <x:c r="H489" s="38"/>
      <x:c r="I489" s="39"/>
      <x:c r="J489" s="36" t="str">
        <x:v>Risk exposure</x:v>
      </x:c>
      <x:c r="K489" s="38" t="str">
        <x:f>IF(ISNUMBER(I489),I489,IF(OR(NOT(ISNUMBER(H489)),NOT(ISNUMBER(G489)),G489&lt;=0),"",IF(H489/G489&gt;='Score settings'!$B$58,"",IF(J489="Cash savings",H489,IF(J489="Revenue",H489*'Score settings'!$B$55,"")))))</x:f>
      </x:c>
      <x:c r="L489" s="36"/>
      <x:c r="M489" s="39"/>
      <x:c r="N489" s="40"/>
      <x:c r="O489" s="36" t="str">
        <x:v>Must Do</x:v>
      </x:c>
      <x:c r="P489" s="36" t="str">
        <x:v>CI</x:v>
      </x:c>
      <x:c r="Q489" s="36" t="str">
        <x:v>Compliance</x:v>
      </x:c>
      <x:c r="R489" s="36" t="str">
        <x:v>HEALTHY</x:v>
      </x:c>
      <x:c r="S489" s="36" t="str"/>
      <x:c r="T489" s="36" t="str">
        <x:v>Common pot</x:v>
      </x:c>
      <x:c r="U489" s="41" t="n">
        <x:f>VLOOKUP("Priority|"&amp;O489,'Score settings'!$A$14:$C$43,2,FALSE)/'Score settings'!$B$4*'Score settings'!$C$4</x:f>
        <x:v>25</x:v>
      </x:c>
      <x:c r="V489" s="41" t="n">
        <x:f>VLOOKUP("Category|"&amp;P489,'Score settings'!$A$14:$C$43,2,FALSE)/'Score settings'!$B$5*'Score settings'!$C$5</x:f>
        <x:v>8</x:v>
      </x:c>
      <x:c r="W489" s="41" t="n">
        <x:f>VLOOKUP("Area|"&amp;Q489,'Score settings'!$A$14:$C$43,2,FALSE)/'Score settings'!$B$6*'Score settings'!$C$6</x:f>
        <x:v>15</x:v>
      </x:c>
      <x:c r="X489" s="41" t="n">
        <x:f>VLOOKUP("Benefits|"&amp;IF(AND(ISNUMBER(H489),H489&gt;0,ISNUMBER(G489),G489&gt;0),IF(H489/G489&gt;='Score settings'!$E$17,"3plus",IF(H489/G489&gt;='Score settings'!$E$16,"1.5to3",IF(H489/G489&gt;='Score settings'!$E$15,"0.5to1.5","positive"))),"None"),'Score settings'!$A$14:$C$43,2,FALSE)/'Score settings'!$B$7*'Score settings'!$C$7</x:f>
        <x:v>5</x:v>
      </x:c>
      <x:c r="Y489" s="41" t="n">
        <x:f>VLOOKUP("Waste|"&amp;R489,'Score settings'!$A$14:$C$43,2,FALSE)/'Score settings'!$B$8*'Score settings'!$C$8</x:f>
        <x:v>15</x:v>
      </x:c>
      <x:c r="Z489" s="41" t="n">
        <x:f>IF(B489="","",SUM(U489:Y489))</x:f>
        <x:v>68</x:v>
      </x:c>
      <x:c r="AA489" s="41" t="str">
        <x:f>IF(Z489="","Not scored",VLOOKUP(Z489,'Score settings'!$A$47:$C$50,2,TRUE))</x:f>
        <x:v>Protected</x:v>
      </x:c>
      <x:c r="AB489" s="41" t="n">
        <x:f>VLOOKUP("Priority|"&amp;O489,'Score settings'!$A$14:$C$43,3,FALSE)/'Score settings'!$B$4*'Score settings'!$D$4</x:f>
        <x:v>15</x:v>
      </x:c>
      <x:c r="AC489" s="41" t="n">
        <x:f>VLOOKUP("Category|"&amp;P489,'Score settings'!$A$14:$C$43,3,FALSE)/'Score settings'!$B$5*'Score settings'!$D$5</x:f>
        <x:v>4</x:v>
      </x:c>
      <x:c r="AD489" s="41" t="n">
        <x:f>VLOOKUP("Area|"&amp;Q489,'Score settings'!$A$14:$C$43,3,FALSE)/'Score settings'!$B$6*'Score settings'!$D$6</x:f>
        <x:v>10</x:v>
      </x:c>
      <x:c r="AE489" s="41" t="n">
        <x:f>VLOOKUP("Benefits|"&amp;IF(AND(ISNUMBER(K489),K489&gt;0,ISNUMBER(G489),G489&gt;0),IF(K489/G489&gt;='Score settings'!$E$17,"3plus",IF(K489/G489&gt;='Score settings'!$E$16,"1.5to3",IF(K489/G489&gt;='Score settings'!$E$15,"0.5to1.5","positive"))),"None"),'Score settings'!$A$14:$C$43,3,FALSE)/'Score settings'!$B$7*'Score settings'!$D$7</x:f>
        <x:v>0</x:v>
      </x:c>
      <x:c r="AF489" s="41" t="n">
        <x:f>VLOOKUP("Waste|"&amp;R489,'Score settings'!$A$14:$C$43,3,FALSE)/'Score settings'!$B$8*'Score settings'!$D$8</x:f>
        <x:v>10</x:v>
      </x:c>
      <x:c r="AG489" s="41" t="n">
        <x:f>(IF(AND(ISNUMBER(M489),M489&gt;0,ISNUMBER(G489),G489&gt;0),IF(M489/G489&gt;='Score settings'!$E$17,'Score settings'!$G$17,IF(M489/G489&gt;='Score settings'!$E$16,'Score settings'!$G$16,IF(M489/G489&gt;='Score settings'!$E$15,'Score settings'!$G$15,'Score settings'!$G$14))),0)/15*'Score settings'!$B$60+IFERROR(VLOOKUP(IF(ISNUMBER(N489),N489,IF(ISNUMBER(L489),L489,0)),'Score settings'!$E$22:$F$26,2,FALSE),0)/10*'Score settings'!$B$61)/'Score settings'!$B$9*'Score settings'!$D$9</x:f>
        <x:v>0</x:v>
      </x:c>
      <x:c r="AH489" s="41" t="n">
        <x:f>IF(B489="","",SUM(AB489:AG489))</x:f>
        <x:v>39</x:v>
      </x:c>
      <x:c r="AI489" s="41" t="str">
        <x:f>IF(NOT(ISNUMBER(AH489)),"Not scored",VLOOKUP(AH489,'Score settings'!$A$47:$C$50,3,TRUE))</x:f>
        <x:v>Discretionary</x:v>
      </x:c>
      <x:c r="AJ489" s="42" t="n">
        <x:f>IF(OR(NOT(ISNUMBER(AH489)),T489&lt;&gt;"Common pot"),"",COUNTIFS($T$4:$T$509,"Common pot",$AH$4:$AH$509,"&gt;"&amp;AH489)+1)</x:f>
        <x:v>107</x:v>
      </x:c>
      <x:c r="AK489" s="36" t="str">
        <x:f>IF(B489="","Name missing - not scored",IF(OR(NOT(ISNUMBER(G489)),G489&lt;=0),"Investment missing or zero - review",IF(0=1,"Permanent ID missing - reconcile",IF(AND(ISNUMBER(H489),H489/G489&gt;='Score settings'!$B$58,NOT(ISNUMBER(I489))),"Benefit units need review",IF(OR(R489="EXIT",R489="CHALLENGE"),"Waste decision requires scope resolution",IF("Name and organisation matched"&lt;&gt;"Name and organisation matched","Waste evidence match needs review","Provisional source score - confirm evidence"))))))</x:f>
        <x:v>Provisional source score - confirm evidence</x:v>
      </x:c>
      <x:c r="AL489" s="36"/>
      <x:c r="AM489" s="40"/>
      <x:c r="AN489" s="39"/>
      <x:c r="AO489" s="40"/>
      <x:c r="AP489" s="40"/>
    </x:row>
    <x:row r="490" ht="15" hidden="0" customHeight="1">
      <x:c r="A490" s="36" t="str">
        <x:v>EW-168</x:v>
      </x:c>
      <x:c r="B490" s="37" t="str">
        <x:v>Standardization</x:v>
      </x:c>
      <x:c r="C490" s="36" t="str">
        <x:v>EW</x:v>
      </x:c>
      <x:c r="D490" s="36" t="str">
        <x:v>People function​</x:v>
      </x:c>
      <x:c r="E490" s="38" t="n">
        <x:v>0.2</x:v>
      </x:c>
      <x:c r="F490" s="39"/>
      <x:c r="G490" s="38" t="n">
        <x:f>IF(ISNUMBER(F490),F490,IF(E490="","",E490))</x:f>
        <x:v>0.2</x:v>
      </x:c>
      <x:c r="H490" s="38" t="n">
        <x:v>0.7</x:v>
      </x:c>
      <x:c r="I490" s="39"/>
      <x:c r="J490" s="36" t="str">
        <x:v>Cash savings</x:v>
      </x:c>
      <x:c r="K490" s="38" t="n">
        <x:f>IF(ISNUMBER(I490),I490,IF(OR(NOT(ISNUMBER(H490)),NOT(ISNUMBER(G490)),G490&lt;=0),"",IF(H490/G490&gt;='Score settings'!$B$58,"",IF(J490="Cash savings",H490,IF(J490="Revenue",H490*'Score settings'!$B$55,"")))))</x:f>
        <x:v>0.7</x:v>
      </x:c>
      <x:c r="L490" s="36"/>
      <x:c r="M490" s="39"/>
      <x:c r="N490" s="40"/>
      <x:c r="O490" s="36" t="str">
        <x:v>Must Do</x:v>
      </x:c>
      <x:c r="P490" s="36" t="str">
        <x:v>CI</x:v>
      </x:c>
      <x:c r="Q490" s="36" t="str">
        <x:v>Productivity</x:v>
      </x:c>
      <x:c r="R490" s="36" t="str">
        <x:v>HEALTHY</x:v>
      </x:c>
      <x:c r="S490" s="36" t="str"/>
      <x:c r="T490" s="36" t="str">
        <x:v>Common pot</x:v>
      </x:c>
      <x:c r="U490" s="41" t="n">
        <x:f>VLOOKUP("Priority|"&amp;O490,'Score settings'!$A$14:$C$43,2,FALSE)/'Score settings'!$B$4*'Score settings'!$C$4</x:f>
        <x:v>25</x:v>
      </x:c>
      <x:c r="V490" s="41" t="n">
        <x:f>VLOOKUP("Category|"&amp;P490,'Score settings'!$A$14:$C$43,2,FALSE)/'Score settings'!$B$5*'Score settings'!$C$5</x:f>
        <x:v>8</x:v>
      </x:c>
      <x:c r="W490" s="41" t="n">
        <x:f>VLOOKUP("Area|"&amp;Q490,'Score settings'!$A$14:$C$43,2,FALSE)/'Score settings'!$B$6*'Score settings'!$C$6</x:f>
        <x:v>10</x:v>
      </x:c>
      <x:c r="X490" s="41" t="n">
        <x:f>VLOOKUP("Benefits|"&amp;IF(AND(ISNUMBER(H490),H490&gt;0,ISNUMBER(G490),G490&gt;0),IF(H490/G490&gt;='Score settings'!$E$17,"3plus",IF(H490/G490&gt;='Score settings'!$E$16,"1.5to3",IF(H490/G490&gt;='Score settings'!$E$15,"0.5to1.5","positive"))),"None"),'Score settings'!$A$14:$C$43,2,FALSE)/'Score settings'!$B$7*'Score settings'!$C$7</x:f>
        <x:v>25</x:v>
      </x:c>
      <x:c r="Y490" s="41" t="n">
        <x:f>VLOOKUP("Waste|"&amp;R490,'Score settings'!$A$14:$C$43,2,FALSE)/'Score settings'!$B$8*'Score settings'!$C$8</x:f>
        <x:v>15</x:v>
      </x:c>
      <x:c r="Z490" s="41" t="n">
        <x:f>IF(B490="","",SUM(U490:Y490))</x:f>
        <x:v>83</x:v>
      </x:c>
      <x:c r="AA490" s="41" t="str">
        <x:f>IF(Z490="","Not scored",VLOOKUP(Z490,'Score settings'!$A$47:$C$50,2,TRUE))</x:f>
        <x:v>Protected</x:v>
      </x:c>
      <x:c r="AB490" s="41" t="n">
        <x:f>VLOOKUP("Priority|"&amp;O490,'Score settings'!$A$14:$C$43,3,FALSE)/'Score settings'!$B$4*'Score settings'!$D$4</x:f>
        <x:v>15</x:v>
      </x:c>
      <x:c r="AC490" s="41" t="n">
        <x:f>VLOOKUP("Category|"&amp;P490,'Score settings'!$A$14:$C$43,3,FALSE)/'Score settings'!$B$5*'Score settings'!$D$5</x:f>
        <x:v>4</x:v>
      </x:c>
      <x:c r="AD490" s="41" t="n">
        <x:f>VLOOKUP("Area|"&amp;Q490,'Score settings'!$A$14:$C$43,3,FALSE)/'Score settings'!$B$6*'Score settings'!$D$6</x:f>
        <x:v>6.666666666666666</x:v>
      </x:c>
      <x:c r="AE490" s="41" t="n">
        <x:f>VLOOKUP("Benefits|"&amp;IF(AND(ISNUMBER(K490),K490&gt;0,ISNUMBER(G490),G490&gt;0),IF(K490/G490&gt;='Score settings'!$E$17,"3plus",IF(K490/G490&gt;='Score settings'!$E$16,"1.5to3",IF(K490/G490&gt;='Score settings'!$E$15,"0.5to1.5","positive"))),"None"),'Score settings'!$A$14:$C$43,3,FALSE)/'Score settings'!$B$7*'Score settings'!$D$7</x:f>
        <x:v>30</x:v>
      </x:c>
      <x:c r="AF490" s="41" t="n">
        <x:f>VLOOKUP("Waste|"&amp;R490,'Score settings'!$A$14:$C$43,3,FALSE)/'Score settings'!$B$8*'Score settings'!$D$8</x:f>
        <x:v>10</x:v>
      </x:c>
      <x:c r="AG490" s="41" t="n">
        <x:f>(IF(AND(ISNUMBER(M490),M490&gt;0,ISNUMBER(G490),G490&gt;0),IF(M490/G490&gt;='Score settings'!$E$17,'Score settings'!$G$17,IF(M490/G490&gt;='Score settings'!$E$16,'Score settings'!$G$16,IF(M490/G490&gt;='Score settings'!$E$15,'Score settings'!$G$15,'Score settings'!$G$14))),0)/15*'Score settings'!$B$60+IFERROR(VLOOKUP(IF(ISNUMBER(N490),N490,IF(ISNUMBER(L490),L490,0)),'Score settings'!$E$22:$F$26,2,FALSE),0)/10*'Score settings'!$B$61)/'Score settings'!$B$9*'Score settings'!$D$9</x:f>
        <x:v>0</x:v>
      </x:c>
      <x:c r="AH490" s="41" t="n">
        <x:f>IF(B490="","",SUM(AB490:AG490))</x:f>
        <x:v>65.66666666666666</x:v>
      </x:c>
      <x:c r="AI490" s="41" t="str">
        <x:f>IF(NOT(ISNUMBER(AH490)),"Not scored",VLOOKUP(AH490,'Score settings'!$A$47:$C$50,3,TRUE))</x:f>
        <x:v>High alignment</x:v>
      </x:c>
      <x:c r="AJ490" s="42" t="n">
        <x:f>IF(OR(NOT(ISNUMBER(AH490)),T490&lt;&gt;"Common pot"),"",COUNTIFS($T$4:$T$509,"Common pot",$AH$4:$AH$509,"&gt;"&amp;AH490)+1)</x:f>
        <x:v>8</x:v>
      </x:c>
      <x:c r="AK490" s="36" t="str">
        <x:f>IF(B490="","Name missing - not scored",IF(OR(NOT(ISNUMBER(G490)),G490&lt;=0),"Investment missing or zero - review",IF(0=1,"Permanent ID missing - reconcile",IF(AND(ISNUMBER(H490),H490/G490&gt;='Score settings'!$B$58,NOT(ISNUMBER(I490))),"Benefit units need review",IF(OR(R490="EXIT",R490="CHALLENGE"),"Waste decision requires scope resolution",IF("Name and organisation matched"&lt;&gt;"Name and organisation matched","Waste evidence match needs review","Provisional source score - confirm evidence"))))))</x:f>
        <x:v>Provisional source score - confirm evidence</x:v>
      </x:c>
      <x:c r="AL490" s="36"/>
      <x:c r="AM490" s="40"/>
      <x:c r="AN490" s="39"/>
      <x:c r="AO490" s="40"/>
      <x:c r="AP490" s="40"/>
    </x:row>
    <x:row r="491" ht="15" hidden="0" customHeight="1">
      <x:c r="A491" s="36" t="str">
        <x:v>EW-169</x:v>
      </x:c>
      <x:c r="B491" s="37" t="str">
        <x:v>People data architechture &amp; AI solutions enablement</x:v>
      </x:c>
      <x:c r="C491" s="36" t="str">
        <x:v>EW</x:v>
      </x:c>
      <x:c r="D491" s="36" t="str">
        <x:v>People function​</x:v>
      </x:c>
      <x:c r="E491" s="38" t="n">
        <x:v>0.3</x:v>
      </x:c>
      <x:c r="F491" s="39"/>
      <x:c r="G491" s="38" t="n">
        <x:f>IF(ISNUMBER(F491),F491,IF(E491="","",E491))</x:f>
        <x:v>0.3</x:v>
      </x:c>
      <x:c r="H491" s="38" t="n">
        <x:v>0.4</x:v>
      </x:c>
      <x:c r="I491" s="39"/>
      <x:c r="J491" s="36" t="str">
        <x:v>Cash savings</x:v>
      </x:c>
      <x:c r="K491" s="38" t="n">
        <x:f>IF(ISNUMBER(I491),I491,IF(OR(NOT(ISNUMBER(H491)),NOT(ISNUMBER(G491)),G491&lt;=0),"",IF(H491/G491&gt;='Score settings'!$B$58,"",IF(J491="Cash savings",H491,IF(J491="Revenue",H491*'Score settings'!$B$55,"")))))</x:f>
        <x:v>0.4</x:v>
      </x:c>
      <x:c r="L491" s="36"/>
      <x:c r="M491" s="39"/>
      <x:c r="N491" s="40"/>
      <x:c r="O491" s="36" t="str">
        <x:v>Must Have</x:v>
      </x:c>
      <x:c r="P491" s="36" t="str">
        <x:v>CI</x:v>
      </x:c>
      <x:c r="Q491" s="36" t="str">
        <x:v>Productivity</x:v>
      </x:c>
      <x:c r="R491" s="36" t="str">
        <x:v>HEALTHY</x:v>
      </x:c>
      <x:c r="S491" s="36" t="str"/>
      <x:c r="T491" s="36" t="str">
        <x:v>Common pot</x:v>
      </x:c>
      <x:c r="U491" s="41" t="n">
        <x:f>VLOOKUP("Priority|"&amp;O491,'Score settings'!$A$14:$C$43,2,FALSE)/'Score settings'!$B$4*'Score settings'!$C$4</x:f>
        <x:v>18</x:v>
      </x:c>
      <x:c r="V491" s="41" t="n">
        <x:f>VLOOKUP("Category|"&amp;P491,'Score settings'!$A$14:$C$43,2,FALSE)/'Score settings'!$B$5*'Score settings'!$C$5</x:f>
        <x:v>8</x:v>
      </x:c>
      <x:c r="W491" s="41" t="n">
        <x:f>VLOOKUP("Area|"&amp;Q491,'Score settings'!$A$14:$C$43,2,FALSE)/'Score settings'!$B$6*'Score settings'!$C$6</x:f>
        <x:v>10</x:v>
      </x:c>
      <x:c r="X491" s="41" t="n">
        <x:f>VLOOKUP("Benefits|"&amp;IF(AND(ISNUMBER(H491),H491&gt;0,ISNUMBER(G491),G491&gt;0),IF(H491/G491&gt;='Score settings'!$E$17,"3plus",IF(H491/G491&gt;='Score settings'!$E$16,"1.5to3",IF(H491/G491&gt;='Score settings'!$E$15,"0.5to1.5","positive"))),"None"),'Score settings'!$A$14:$C$43,2,FALSE)/'Score settings'!$B$7*'Score settings'!$C$7</x:f>
        <x:v>15</x:v>
      </x:c>
      <x:c r="Y491" s="41" t="n">
        <x:f>VLOOKUP("Waste|"&amp;R491,'Score settings'!$A$14:$C$43,2,FALSE)/'Score settings'!$B$8*'Score settings'!$C$8</x:f>
        <x:v>15</x:v>
      </x:c>
      <x:c r="Z491" s="41" t="n">
        <x:f>IF(B491="","",SUM(U491:Y491))</x:f>
        <x:v>66</x:v>
      </x:c>
      <x:c r="AA491" s="41" t="str">
        <x:f>IF(Z491="","Not scored",VLOOKUP(Z491,'Score settings'!$A$47:$C$50,2,TRUE))</x:f>
        <x:v>Protected</x:v>
      </x:c>
      <x:c r="AB491" s="41" t="n">
        <x:f>VLOOKUP("Priority|"&amp;O491,'Score settings'!$A$14:$C$43,3,FALSE)/'Score settings'!$B$4*'Score settings'!$D$4</x:f>
        <x:v>10.799999999999999</x:v>
      </x:c>
      <x:c r="AC491" s="41" t="n">
        <x:f>VLOOKUP("Category|"&amp;P491,'Score settings'!$A$14:$C$43,3,FALSE)/'Score settings'!$B$5*'Score settings'!$D$5</x:f>
        <x:v>4</x:v>
      </x:c>
      <x:c r="AD491" s="41" t="n">
        <x:f>VLOOKUP("Area|"&amp;Q491,'Score settings'!$A$14:$C$43,3,FALSE)/'Score settings'!$B$6*'Score settings'!$D$6</x:f>
        <x:v>6.666666666666666</x:v>
      </x:c>
      <x:c r="AE491" s="41" t="n">
        <x:f>VLOOKUP("Benefits|"&amp;IF(AND(ISNUMBER(K491),K491&gt;0,ISNUMBER(G491),G491&gt;0),IF(K491/G491&gt;='Score settings'!$E$17,"3plus",IF(K491/G491&gt;='Score settings'!$E$16,"1.5to3",IF(K491/G491&gt;='Score settings'!$E$15,"0.5to1.5","positive"))),"None"),'Score settings'!$A$14:$C$43,3,FALSE)/'Score settings'!$B$7*'Score settings'!$D$7</x:f>
        <x:v>18</x:v>
      </x:c>
      <x:c r="AF491" s="41" t="n">
        <x:f>VLOOKUP("Waste|"&amp;R491,'Score settings'!$A$14:$C$43,3,FALSE)/'Score settings'!$B$8*'Score settings'!$D$8</x:f>
        <x:v>10</x:v>
      </x:c>
      <x:c r="AG491" s="41" t="n">
        <x:f>(IF(AND(ISNUMBER(M491),M491&gt;0,ISNUMBER(G491),G491&gt;0),IF(M491/G491&gt;='Score settings'!$E$17,'Score settings'!$G$17,IF(M491/G491&gt;='Score settings'!$E$16,'Score settings'!$G$16,IF(M491/G491&gt;='Score settings'!$E$15,'Score settings'!$G$15,'Score settings'!$G$14))),0)/15*'Score settings'!$B$60+IFERROR(VLOOKUP(IF(ISNUMBER(N491),N491,IF(ISNUMBER(L491),L491,0)),'Score settings'!$E$22:$F$26,2,FALSE),0)/10*'Score settings'!$B$61)/'Score settings'!$B$9*'Score settings'!$D$9</x:f>
        <x:v>0</x:v>
      </x:c>
      <x:c r="AH491" s="41" t="n">
        <x:f>IF(B491="","",SUM(AB491:AG491))</x:f>
        <x:v>49.46666666666667</x:v>
      </x:c>
      <x:c r="AI491" s="41" t="str">
        <x:f>IF(NOT(ISNUMBER(AH491)),"Not scored",VLOOKUP(AH491,'Score settings'!$A$47:$C$50,3,TRUE))</x:f>
        <x:v>Strong</x:v>
      </x:c>
      <x:c r="AJ491" s="42" t="n">
        <x:f>IF(OR(NOT(ISNUMBER(AH491)),T491&lt;&gt;"Common pot"),"",COUNTIFS($T$4:$T$509,"Common pot",$AH$4:$AH$509,"&gt;"&amp;AH491)+1)</x:f>
        <x:v>48</x:v>
      </x:c>
      <x:c r="AK491" s="36" t="str">
        <x:f>IF(B491="","Name missing - not scored",IF(OR(NOT(ISNUMBER(G491)),G491&lt;=0),"Investment missing or zero - review",IF(0=1,"Permanent ID missing - reconcile",IF(AND(ISNUMBER(H491),H491/G491&gt;='Score settings'!$B$58,NOT(ISNUMBER(I491))),"Benefit units need review",IF(OR(R491="EXIT",R491="CHALLENGE"),"Waste decision requires scope resolution",IF("Name and organisation matched"&lt;&gt;"Name and organisation matched","Waste evidence match needs review","Provisional source score - confirm evidence"))))))</x:f>
        <x:v>Provisional source score - confirm evidence</x:v>
      </x:c>
      <x:c r="AL491" s="36"/>
      <x:c r="AM491" s="40"/>
      <x:c r="AN491" s="39"/>
      <x:c r="AO491" s="40"/>
      <x:c r="AP491" s="40"/>
    </x:row>
    <x:row r="492" ht="15" hidden="0" customHeight="1">
      <x:c r="A492" s="36" t="str">
        <x:v>EW-170</x:v>
      </x:c>
      <x:c r="B492" s="37" t="str">
        <x:v>Long term incentive</x:v>
      </x:c>
      <x:c r="C492" s="36" t="str">
        <x:v>EW</x:v>
      </x:c>
      <x:c r="D492" s="36" t="str">
        <x:v>People function​</x:v>
      </x:c>
      <x:c r="E492" s="38" t="n">
        <x:v>0.05</x:v>
      </x:c>
      <x:c r="F492" s="39"/>
      <x:c r="G492" s="38" t="n">
        <x:f>IF(ISNUMBER(F492),F492,IF(E492="","",E492))</x:f>
        <x:v>0.05</x:v>
      </x:c>
      <x:c r="H492" s="38"/>
      <x:c r="I492" s="39"/>
      <x:c r="J492" s="36" t="str">
        <x:v>Revenue</x:v>
      </x:c>
      <x:c r="K492" s="38" t="str">
        <x:f>IF(ISNUMBER(I492),I492,IF(OR(NOT(ISNUMBER(H492)),NOT(ISNUMBER(G492)),G492&lt;=0),"",IF(H492/G492&gt;='Score settings'!$B$58,"",IF(J492="Cash savings",H492,IF(J492="Revenue",H492*'Score settings'!$B$55,"")))))</x:f>
      </x:c>
      <x:c r="L492" s="36"/>
      <x:c r="M492" s="39"/>
      <x:c r="N492" s="40"/>
      <x:c r="O492" s="36" t="str">
        <x:v>Must Have</x:v>
      </x:c>
      <x:c r="P492" s="36" t="str">
        <x:v>CI</x:v>
      </x:c>
      <x:c r="Q492" s="36" t="str">
        <x:v>Revenue</x:v>
      </x:c>
      <x:c r="R492" s="36" t="str">
        <x:v>CONTAIN</x:v>
      </x:c>
      <x:c r="S492" s="36" t="str"/>
      <x:c r="T492" s="36" t="str">
        <x:v>Common pot</x:v>
      </x:c>
      <x:c r="U492" s="41" t="n">
        <x:f>VLOOKUP("Priority|"&amp;O492,'Score settings'!$A$14:$C$43,2,FALSE)/'Score settings'!$B$4*'Score settings'!$C$4</x:f>
        <x:v>18</x:v>
      </x:c>
      <x:c r="V492" s="41" t="n">
        <x:f>VLOOKUP("Category|"&amp;P492,'Score settings'!$A$14:$C$43,2,FALSE)/'Score settings'!$B$5*'Score settings'!$C$5</x:f>
        <x:v>8</x:v>
      </x:c>
      <x:c r="W492" s="41" t="n">
        <x:f>VLOOKUP("Area|"&amp;Q492,'Score settings'!$A$14:$C$43,2,FALSE)/'Score settings'!$B$6*'Score settings'!$C$6</x:f>
        <x:v>11</x:v>
      </x:c>
      <x:c r="X492" s="41" t="n">
        <x:f>VLOOKUP("Benefits|"&amp;IF(AND(ISNUMBER(H492),H492&gt;0,ISNUMBER(G492),G492&gt;0),IF(H492/G492&gt;='Score settings'!$E$17,"3plus",IF(H492/G492&gt;='Score settings'!$E$16,"1.5to3",IF(H492/G492&gt;='Score settings'!$E$15,"0.5to1.5","positive"))),"None"),'Score settings'!$A$14:$C$43,2,FALSE)/'Score settings'!$B$7*'Score settings'!$C$7</x:f>
        <x:v>5</x:v>
      </x:c>
      <x:c r="Y492" s="41" t="n">
        <x:f>VLOOKUP("Waste|"&amp;R492,'Score settings'!$A$14:$C$43,2,FALSE)/'Score settings'!$B$8*'Score settings'!$C$8</x:f>
        <x:v>9</x:v>
      </x:c>
      <x:c r="Z492" s="41" t="n">
        <x:f>IF(B492="","",SUM(U492:Y492))</x:f>
        <x:v>51</x:v>
      </x:c>
      <x:c r="AA492" s="41" t="str">
        <x:f>IF(Z492="","Not scored",VLOOKUP(Z492,'Score settings'!$A$47:$C$50,2,TRUE))</x:f>
        <x:v>Strong</x:v>
      </x:c>
      <x:c r="AB492" s="41" t="n">
        <x:f>VLOOKUP("Priority|"&amp;O492,'Score settings'!$A$14:$C$43,3,FALSE)/'Score settings'!$B$4*'Score settings'!$D$4</x:f>
        <x:v>10.799999999999999</x:v>
      </x:c>
      <x:c r="AC492" s="41" t="n">
        <x:f>VLOOKUP("Category|"&amp;P492,'Score settings'!$A$14:$C$43,3,FALSE)/'Score settings'!$B$5*'Score settings'!$D$5</x:f>
        <x:v>4</x:v>
      </x:c>
      <x:c r="AD492" s="41" t="n">
        <x:f>VLOOKUP("Area|"&amp;Q492,'Score settings'!$A$14:$C$43,3,FALSE)/'Score settings'!$B$6*'Score settings'!$D$6</x:f>
        <x:v>7.333333333333333</x:v>
      </x:c>
      <x:c r="AE492" s="41" t="n">
        <x:f>VLOOKUP("Benefits|"&amp;IF(AND(ISNUMBER(K492),K492&gt;0,ISNUMBER(G492),G492&gt;0),IF(K492/G492&gt;='Score settings'!$E$17,"3plus",IF(K492/G492&gt;='Score settings'!$E$16,"1.5to3",IF(K492/G492&gt;='Score settings'!$E$15,"0.5to1.5","positive"))),"None"),'Score settings'!$A$14:$C$43,3,FALSE)/'Score settings'!$B$7*'Score settings'!$D$7</x:f>
        <x:v>0</x:v>
      </x:c>
      <x:c r="AF492" s="41" t="n">
        <x:f>VLOOKUP("Waste|"&amp;R492,'Score settings'!$A$14:$C$43,3,FALSE)/'Score settings'!$B$8*'Score settings'!$D$8</x:f>
        <x:v>6</x:v>
      </x:c>
      <x:c r="AG492" s="41" t="n">
        <x:f>(IF(AND(ISNUMBER(M492),M492&gt;0,ISNUMBER(G492),G492&gt;0),IF(M492/G492&gt;='Score settings'!$E$17,'Score settings'!$G$17,IF(M492/G492&gt;='Score settings'!$E$16,'Score settings'!$G$16,IF(M492/G492&gt;='Score settings'!$E$15,'Score settings'!$G$15,'Score settings'!$G$14))),0)/15*'Score settings'!$B$60+IFERROR(VLOOKUP(IF(ISNUMBER(N492),N492,IF(ISNUMBER(L492),L492,0)),'Score settings'!$E$22:$F$26,2,FALSE),0)/10*'Score settings'!$B$61)/'Score settings'!$B$9*'Score settings'!$D$9</x:f>
        <x:v>0</x:v>
      </x:c>
      <x:c r="AH492" s="41" t="n">
        <x:f>IF(B492="","",SUM(AB492:AG492))</x:f>
        <x:v>28.133333333333333</x:v>
      </x:c>
      <x:c r="AI492" s="41" t="str">
        <x:f>IF(NOT(ISNUMBER(AH492)),"Not scored",VLOOKUP(AH492,'Score settings'!$A$47:$C$50,3,TRUE))</x:f>
        <x:v>Discretionary</x:v>
      </x:c>
      <x:c r="AJ492" s="42" t="n">
        <x:f>IF(OR(NOT(ISNUMBER(AH492)),T492&lt;&gt;"Common pot"),"",COUNTIFS($T$4:$T$509,"Common pot",$AH$4:$AH$509,"&gt;"&amp;AH492)+1)</x:f>
        <x:v>205</x:v>
      </x:c>
      <x:c r="AK492" s="36" t="str">
        <x:f>IF(B492="","Name missing - not scored",IF(OR(NOT(ISNUMBER(G492)),G492&lt;=0),"Investment missing or zero - review",IF(0=1,"Permanent ID missing - reconcile",IF(AND(ISNUMBER(H492),H492/G492&gt;='Score settings'!$B$58,NOT(ISNUMBER(I492))),"Benefit units need review",IF(OR(R492="EXIT",R492="CHALLENGE"),"Waste decision requires scope resolution",IF("Name and organisation matched"&lt;&gt;"Name and organisation matched","Waste evidence match needs review","Provisional source score - confirm evidence"))))))</x:f>
        <x:v>Provisional source score - confirm evidence</x:v>
      </x:c>
      <x:c r="AL492" s="36"/>
      <x:c r="AM492" s="40"/>
      <x:c r="AN492" s="39"/>
      <x:c r="AO492" s="40"/>
      <x:c r="AP492" s="40"/>
    </x:row>
    <x:row r="493" ht="15" hidden="0" customHeight="1">
      <x:c r="A493" s="36" t="str">
        <x:v>EW-171</x:v>
      </x:c>
      <x:c r="B493" s="37" t="str">
        <x:v>Critical Capabilities</x:v>
      </x:c>
      <x:c r="C493" s="36" t="str">
        <x:v>EW</x:v>
      </x:c>
      <x:c r="D493" s="36" t="str">
        <x:v>People function​</x:v>
      </x:c>
      <x:c r="E493" s="38" t="n">
        <x:v>0.425</x:v>
      </x:c>
      <x:c r="F493" s="39"/>
      <x:c r="G493" s="38" t="n">
        <x:f>IF(ISNUMBER(F493),F493,IF(E493="","",E493))</x:f>
        <x:v>0.425</x:v>
      </x:c>
      <x:c r="H493" s="38"/>
      <x:c r="I493" s="39"/>
      <x:c r="J493" s="36" t="str">
        <x:v>Cash savings</x:v>
      </x:c>
      <x:c r="K493" s="38" t="str">
        <x:f>IF(ISNUMBER(I493),I493,IF(OR(NOT(ISNUMBER(H493)),NOT(ISNUMBER(G493)),G493&lt;=0),"",IF(H493/G493&gt;='Score settings'!$B$58,"",IF(J493="Cash savings",H493,IF(J493="Revenue",H493*'Score settings'!$B$55,"")))))</x:f>
      </x:c>
      <x:c r="L493" s="36"/>
      <x:c r="M493" s="39"/>
      <x:c r="N493" s="40"/>
      <x:c r="O493" s="36" t="str">
        <x:v>Must Have</x:v>
      </x:c>
      <x:c r="P493" s="36" t="str">
        <x:v>CI</x:v>
      </x:c>
      <x:c r="Q493" s="36" t="str">
        <x:v>ProcSimp</x:v>
      </x:c>
      <x:c r="R493" s="36" t="str">
        <x:v>HEALTHY</x:v>
      </x:c>
      <x:c r="S493" s="36" t="str"/>
      <x:c r="T493" s="36" t="str">
        <x:v>Common pot</x:v>
      </x:c>
      <x:c r="U493" s="41" t="n">
        <x:f>VLOOKUP("Priority|"&amp;O493,'Score settings'!$A$14:$C$43,2,FALSE)/'Score settings'!$B$4*'Score settings'!$C$4</x:f>
        <x:v>18</x:v>
      </x:c>
      <x:c r="V493" s="41" t="n">
        <x:f>VLOOKUP("Category|"&amp;P493,'Score settings'!$A$14:$C$43,2,FALSE)/'Score settings'!$B$5*'Score settings'!$C$5</x:f>
        <x:v>8</x:v>
      </x:c>
      <x:c r="W493" s="41" t="n">
        <x:f>VLOOKUP("Area|"&amp;Q493,'Score settings'!$A$14:$C$43,2,FALSE)/'Score settings'!$B$6*'Score settings'!$C$6</x:f>
        <x:v>12</x:v>
      </x:c>
      <x:c r="X493" s="41" t="n">
        <x:f>VLOOKUP("Benefits|"&amp;IF(AND(ISNUMBER(H493),H493&gt;0,ISNUMBER(G493),G493&gt;0),IF(H493/G493&gt;='Score settings'!$E$17,"3plus",IF(H493/G493&gt;='Score settings'!$E$16,"1.5to3",IF(H493/G493&gt;='Score settings'!$E$15,"0.5to1.5","positive"))),"None"),'Score settings'!$A$14:$C$43,2,FALSE)/'Score settings'!$B$7*'Score settings'!$C$7</x:f>
        <x:v>5</x:v>
      </x:c>
      <x:c r="Y493" s="41" t="n">
        <x:f>VLOOKUP("Waste|"&amp;R493,'Score settings'!$A$14:$C$43,2,FALSE)/'Score settings'!$B$8*'Score settings'!$C$8</x:f>
        <x:v>15</x:v>
      </x:c>
      <x:c r="Z493" s="41" t="n">
        <x:f>IF(B493="","",SUM(U493:Y493))</x:f>
        <x:v>58</x:v>
      </x:c>
      <x:c r="AA493" s="41" t="str">
        <x:f>IF(Z493="","Not scored",VLOOKUP(Z493,'Score settings'!$A$47:$C$50,2,TRUE))</x:f>
        <x:v>Strong</x:v>
      </x:c>
      <x:c r="AB493" s="41" t="n">
        <x:f>VLOOKUP("Priority|"&amp;O493,'Score settings'!$A$14:$C$43,3,FALSE)/'Score settings'!$B$4*'Score settings'!$D$4</x:f>
        <x:v>10.799999999999999</x:v>
      </x:c>
      <x:c r="AC493" s="41" t="n">
        <x:f>VLOOKUP("Category|"&amp;P493,'Score settings'!$A$14:$C$43,3,FALSE)/'Score settings'!$B$5*'Score settings'!$D$5</x:f>
        <x:v>4</x:v>
      </x:c>
      <x:c r="AD493" s="41" t="n">
        <x:f>VLOOKUP("Area|"&amp;Q493,'Score settings'!$A$14:$C$43,3,FALSE)/'Score settings'!$B$6*'Score settings'!$D$6</x:f>
        <x:v>8</x:v>
      </x:c>
      <x:c r="AE493" s="41" t="n">
        <x:f>VLOOKUP("Benefits|"&amp;IF(AND(ISNUMBER(K493),K493&gt;0,ISNUMBER(G493),G493&gt;0),IF(K493/G493&gt;='Score settings'!$E$17,"3plus",IF(K493/G493&gt;='Score settings'!$E$16,"1.5to3",IF(K493/G493&gt;='Score settings'!$E$15,"0.5to1.5","positive"))),"None"),'Score settings'!$A$14:$C$43,3,FALSE)/'Score settings'!$B$7*'Score settings'!$D$7</x:f>
        <x:v>0</x:v>
      </x:c>
      <x:c r="AF493" s="41" t="n">
        <x:f>VLOOKUP("Waste|"&amp;R493,'Score settings'!$A$14:$C$43,3,FALSE)/'Score settings'!$B$8*'Score settings'!$D$8</x:f>
        <x:v>10</x:v>
      </x:c>
      <x:c r="AG493" s="41" t="n">
        <x:f>(IF(AND(ISNUMBER(M493),M493&gt;0,ISNUMBER(G493),G493&gt;0),IF(M493/G493&gt;='Score settings'!$E$17,'Score settings'!$G$17,IF(M493/G493&gt;='Score settings'!$E$16,'Score settings'!$G$16,IF(M493/G493&gt;='Score settings'!$E$15,'Score settings'!$G$15,'Score settings'!$G$14))),0)/15*'Score settings'!$B$60+IFERROR(VLOOKUP(IF(ISNUMBER(N493),N493,IF(ISNUMBER(L493),L493,0)),'Score settings'!$E$22:$F$26,2,FALSE),0)/10*'Score settings'!$B$61)/'Score settings'!$B$9*'Score settings'!$D$9</x:f>
        <x:v>0</x:v>
      </x:c>
      <x:c r="AH493" s="41" t="n">
        <x:f>IF(B493="","",SUM(AB493:AG493))</x:f>
        <x:v>32.8</x:v>
      </x:c>
      <x:c r="AI493" s="41" t="str">
        <x:f>IF(NOT(ISNUMBER(AH493)),"Not scored",VLOOKUP(AH493,'Score settings'!$A$47:$C$50,3,TRUE))</x:f>
        <x:v>Discretionary</x:v>
      </x:c>
      <x:c r="AJ493" s="42" t="n">
        <x:f>IF(OR(NOT(ISNUMBER(AH493)),T493&lt;&gt;"Common pot"),"",COUNTIFS($T$4:$T$509,"Common pot",$AH$4:$AH$509,"&gt;"&amp;AH493)+1)</x:f>
        <x:v>164</x:v>
      </x:c>
      <x:c r="AK493" s="36" t="str">
        <x:f>IF(B493="","Name missing - not scored",IF(OR(NOT(ISNUMBER(G493)),G493&lt;=0),"Investment missing or zero - review",IF(0=1,"Permanent ID missing - reconcile",IF(AND(ISNUMBER(H493),H493/G493&gt;='Score settings'!$B$58,NOT(ISNUMBER(I493))),"Benefit units need review",IF(OR(R493="EXIT",R493="CHALLENGE"),"Waste decision requires scope resolution",IF("Name and organisation matched"&lt;&gt;"Name and organisation matched","Waste evidence match needs review","Provisional source score - confirm evidence"))))))</x:f>
        <x:v>Provisional source score - confirm evidence</x:v>
      </x:c>
      <x:c r="AL493" s="36"/>
      <x:c r="AM493" s="40"/>
      <x:c r="AN493" s="39"/>
      <x:c r="AO493" s="40"/>
      <x:c r="AP493" s="40"/>
    </x:row>
    <x:row r="494" ht="15" hidden="0" customHeight="1">
      <x:c r="A494" s="36" t="str">
        <x:v>EW-172</x:v>
      </x:c>
      <x:c r="B494" s="37" t="str">
        <x:v>Learning architecture</x:v>
      </x:c>
      <x:c r="C494" s="36" t="str">
        <x:v>EW</x:v>
      </x:c>
      <x:c r="D494" s="36" t="str">
        <x:v>People function​</x:v>
      </x:c>
      <x:c r="E494" s="38" t="n">
        <x:v>1.5</x:v>
      </x:c>
      <x:c r="F494" s="39"/>
      <x:c r="G494" s="38" t="n">
        <x:f>IF(ISNUMBER(F494),F494,IF(E494="","",E494))</x:f>
        <x:v>1.5</x:v>
      </x:c>
      <x:c r="H494" s="38"/>
      <x:c r="I494" s="39"/>
      <x:c r="J494" s="36" t="str">
        <x:v>Cash savings</x:v>
      </x:c>
      <x:c r="K494" s="38" t="str">
        <x:f>IF(ISNUMBER(I494),I494,IF(OR(NOT(ISNUMBER(H494)),NOT(ISNUMBER(G494)),G494&lt;=0),"",IF(H494/G494&gt;='Score settings'!$B$58,"",IF(J494="Cash savings",H494,IF(J494="Revenue",H494*'Score settings'!$B$55,"")))))</x:f>
      </x:c>
      <x:c r="L494" s="36"/>
      <x:c r="M494" s="39"/>
      <x:c r="N494" s="40"/>
      <x:c r="O494" s="36" t="str">
        <x:v>Must Have</x:v>
      </x:c>
      <x:c r="P494" s="36" t="str">
        <x:v>CI</x:v>
      </x:c>
      <x:c r="Q494" s="36" t="str">
        <x:v>ProcSimp</x:v>
      </x:c>
      <x:c r="R494" s="36" t="str">
        <x:v>HEALTHY</x:v>
      </x:c>
      <x:c r="S494" s="36" t="str"/>
      <x:c r="T494" s="36" t="str">
        <x:v>Common pot</x:v>
      </x:c>
      <x:c r="U494" s="41" t="n">
        <x:f>VLOOKUP("Priority|"&amp;O494,'Score settings'!$A$14:$C$43,2,FALSE)/'Score settings'!$B$4*'Score settings'!$C$4</x:f>
        <x:v>18</x:v>
      </x:c>
      <x:c r="V494" s="41" t="n">
        <x:f>VLOOKUP("Category|"&amp;P494,'Score settings'!$A$14:$C$43,2,FALSE)/'Score settings'!$B$5*'Score settings'!$C$5</x:f>
        <x:v>8</x:v>
      </x:c>
      <x:c r="W494" s="41" t="n">
        <x:f>VLOOKUP("Area|"&amp;Q494,'Score settings'!$A$14:$C$43,2,FALSE)/'Score settings'!$B$6*'Score settings'!$C$6</x:f>
        <x:v>12</x:v>
      </x:c>
      <x:c r="X494" s="41" t="n">
        <x:f>VLOOKUP("Benefits|"&amp;IF(AND(ISNUMBER(H494),H494&gt;0,ISNUMBER(G494),G494&gt;0),IF(H494/G494&gt;='Score settings'!$E$17,"3plus",IF(H494/G494&gt;='Score settings'!$E$16,"1.5to3",IF(H494/G494&gt;='Score settings'!$E$15,"0.5to1.5","positive"))),"None"),'Score settings'!$A$14:$C$43,2,FALSE)/'Score settings'!$B$7*'Score settings'!$C$7</x:f>
        <x:v>5</x:v>
      </x:c>
      <x:c r="Y494" s="41" t="n">
        <x:f>VLOOKUP("Waste|"&amp;R494,'Score settings'!$A$14:$C$43,2,FALSE)/'Score settings'!$B$8*'Score settings'!$C$8</x:f>
        <x:v>15</x:v>
      </x:c>
      <x:c r="Z494" s="41" t="n">
        <x:f>IF(B494="","",SUM(U494:Y494))</x:f>
        <x:v>58</x:v>
      </x:c>
      <x:c r="AA494" s="41" t="str">
        <x:f>IF(Z494="","Not scored",VLOOKUP(Z494,'Score settings'!$A$47:$C$50,2,TRUE))</x:f>
        <x:v>Strong</x:v>
      </x:c>
      <x:c r="AB494" s="41" t="n">
        <x:f>VLOOKUP("Priority|"&amp;O494,'Score settings'!$A$14:$C$43,3,FALSE)/'Score settings'!$B$4*'Score settings'!$D$4</x:f>
        <x:v>10.799999999999999</x:v>
      </x:c>
      <x:c r="AC494" s="41" t="n">
        <x:f>VLOOKUP("Category|"&amp;P494,'Score settings'!$A$14:$C$43,3,FALSE)/'Score settings'!$B$5*'Score settings'!$D$5</x:f>
        <x:v>4</x:v>
      </x:c>
      <x:c r="AD494" s="41" t="n">
        <x:f>VLOOKUP("Area|"&amp;Q494,'Score settings'!$A$14:$C$43,3,FALSE)/'Score settings'!$B$6*'Score settings'!$D$6</x:f>
        <x:v>8</x:v>
      </x:c>
      <x:c r="AE494" s="41" t="n">
        <x:f>VLOOKUP("Benefits|"&amp;IF(AND(ISNUMBER(K494),K494&gt;0,ISNUMBER(G494),G494&gt;0),IF(K494/G494&gt;='Score settings'!$E$17,"3plus",IF(K494/G494&gt;='Score settings'!$E$16,"1.5to3",IF(K494/G494&gt;='Score settings'!$E$15,"0.5to1.5","positive"))),"None"),'Score settings'!$A$14:$C$43,3,FALSE)/'Score settings'!$B$7*'Score settings'!$D$7</x:f>
        <x:v>0</x:v>
      </x:c>
      <x:c r="AF494" s="41" t="n">
        <x:f>VLOOKUP("Waste|"&amp;R494,'Score settings'!$A$14:$C$43,3,FALSE)/'Score settings'!$B$8*'Score settings'!$D$8</x:f>
        <x:v>10</x:v>
      </x:c>
      <x:c r="AG494" s="41" t="n">
        <x:f>(IF(AND(ISNUMBER(M494),M494&gt;0,ISNUMBER(G494),G494&gt;0),IF(M494/G494&gt;='Score settings'!$E$17,'Score settings'!$G$17,IF(M494/G494&gt;='Score settings'!$E$16,'Score settings'!$G$16,IF(M494/G494&gt;='Score settings'!$E$15,'Score settings'!$G$15,'Score settings'!$G$14))),0)/15*'Score settings'!$B$60+IFERROR(VLOOKUP(IF(ISNUMBER(N494),N494,IF(ISNUMBER(L494),L494,0)),'Score settings'!$E$22:$F$26,2,FALSE),0)/10*'Score settings'!$B$61)/'Score settings'!$B$9*'Score settings'!$D$9</x:f>
        <x:v>0</x:v>
      </x:c>
      <x:c r="AH494" s="41" t="n">
        <x:f>IF(B494="","",SUM(AB494:AG494))</x:f>
        <x:v>32.8</x:v>
      </x:c>
      <x:c r="AI494" s="41" t="str">
        <x:f>IF(NOT(ISNUMBER(AH494)),"Not scored",VLOOKUP(AH494,'Score settings'!$A$47:$C$50,3,TRUE))</x:f>
        <x:v>Discretionary</x:v>
      </x:c>
      <x:c r="AJ494" s="42" t="n">
        <x:f>IF(OR(NOT(ISNUMBER(AH494)),T494&lt;&gt;"Common pot"),"",COUNTIFS($T$4:$T$509,"Common pot",$AH$4:$AH$509,"&gt;"&amp;AH494)+1)</x:f>
        <x:v>164</x:v>
      </x:c>
      <x:c r="AK494" s="36" t="str">
        <x:f>IF(B494="","Name missing - not scored",IF(OR(NOT(ISNUMBER(G494)),G494&lt;=0),"Investment missing or zero - review",IF(0=1,"Permanent ID missing - reconcile",IF(AND(ISNUMBER(H494),H494/G494&gt;='Score settings'!$B$58,NOT(ISNUMBER(I494))),"Benefit units need review",IF(OR(R494="EXIT",R494="CHALLENGE"),"Waste decision requires scope resolution",IF("Name and organisation matched"&lt;&gt;"Name and organisation matched","Waste evidence match needs review","Provisional source score - confirm evidence"))))))</x:f>
        <x:v>Provisional source score - confirm evidence</x:v>
      </x:c>
      <x:c r="AL494" s="36"/>
      <x:c r="AM494" s="40"/>
      <x:c r="AN494" s="39"/>
      <x:c r="AO494" s="40"/>
      <x:c r="AP494" s="40"/>
    </x:row>
    <x:row r="495" ht="15" hidden="0" customHeight="1">
      <x:c r="A495" s="36" t="str">
        <x:v>EW-173</x:v>
      </x:c>
      <x:c r="B495" s="37" t="str">
        <x:v>ISC IT DRP - DESCARTES</x:v>
      </x:c>
      <x:c r="C495" s="36" t="str">
        <x:v>EW</x:v>
      </x:c>
      <x:c r="D495" s="36" t="str">
        <x:v>Information Technology ​</x:v>
      </x:c>
      <x:c r="E495" s="38" t="n">
        <x:v>0.5</x:v>
      </x:c>
      <x:c r="F495" s="39"/>
      <x:c r="G495" s="38" t="n">
        <x:f>IF(ISNUMBER(F495),F495,IF(E495="","",E495))</x:f>
        <x:v>0.5</x:v>
      </x:c>
      <x:c r="H495" s="38" t="n">
        <x:v>0.8</x:v>
      </x:c>
      <x:c r="I495" s="39"/>
      <x:c r="J495" s="36" t="str">
        <x:v>Cash savings</x:v>
      </x:c>
      <x:c r="K495" s="38" t="n">
        <x:f>IF(ISNUMBER(I495),I495,IF(OR(NOT(ISNUMBER(H495)),NOT(ISNUMBER(G495)),G495&lt;=0),"",IF(H495/G495&gt;='Score settings'!$B$58,"",IF(J495="Cash savings",H495,IF(J495="Revenue",H495*'Score settings'!$B$55,"")))))</x:f>
        <x:v>0.8</x:v>
      </x:c>
      <x:c r="L495" s="36"/>
      <x:c r="M495" s="39"/>
      <x:c r="N495" s="40"/>
      <x:c r="O495" s="36" t="str">
        <x:v>Must Do</x:v>
      </x:c>
      <x:c r="P495" s="36" t="str">
        <x:v>Decomm</x:v>
      </x:c>
      <x:c r="Q495" s="36" t="str">
        <x:v>Productivity</x:v>
      </x:c>
      <x:c r="R495" s="36" t="str">
        <x:v>NotAssessed</x:v>
      </x:c>
      <x:c r="S495" s="36" t="str"/>
      <x:c r="T495" s="36" t="str">
        <x:v>Common pot</x:v>
      </x:c>
      <x:c r="U495" s="41" t="n">
        <x:f>VLOOKUP("Priority|"&amp;O495,'Score settings'!$A$14:$C$43,2,FALSE)/'Score settings'!$B$4*'Score settings'!$C$4</x:f>
        <x:v>25</x:v>
      </x:c>
      <x:c r="V495" s="41" t="n">
        <x:f>VLOOKUP("Category|"&amp;P495,'Score settings'!$A$14:$C$43,2,FALSE)/'Score settings'!$B$5*'Score settings'!$C$5</x:f>
        <x:v>17</x:v>
      </x:c>
      <x:c r="W495" s="41" t="n">
        <x:f>VLOOKUP("Area|"&amp;Q495,'Score settings'!$A$14:$C$43,2,FALSE)/'Score settings'!$B$6*'Score settings'!$C$6</x:f>
        <x:v>10</x:v>
      </x:c>
      <x:c r="X495" s="41" t="n">
        <x:f>VLOOKUP("Benefits|"&amp;IF(AND(ISNUMBER(H495),H495&gt;0,ISNUMBER(G495),G495&gt;0),IF(H495/G495&gt;='Score settings'!$E$17,"3plus",IF(H495/G495&gt;='Score settings'!$E$16,"1.5to3",IF(H495/G495&gt;='Score settings'!$E$15,"0.5to1.5","positive"))),"None"),'Score settings'!$A$14:$C$43,2,FALSE)/'Score settings'!$B$7*'Score settings'!$C$7</x:f>
        <x:v>20</x:v>
      </x:c>
      <x:c r="Y495" s="41" t="n">
        <x:f>VLOOKUP("Waste|"&amp;R495,'Score settings'!$A$14:$C$43,2,FALSE)/'Score settings'!$B$8*'Score settings'!$C$8</x:f>
        <x:v>7</x:v>
      </x:c>
      <x:c r="Z495" s="41" t="n">
        <x:f>IF(B495="","",SUM(U495:Y495))</x:f>
        <x:v>79</x:v>
      </x:c>
      <x:c r="AA495" s="41" t="str">
        <x:f>IF(Z495="","Not scored",VLOOKUP(Z495,'Score settings'!$A$47:$C$50,2,TRUE))</x:f>
        <x:v>Protected</x:v>
      </x:c>
      <x:c r="AB495" s="41" t="n">
        <x:f>VLOOKUP("Priority|"&amp;O495,'Score settings'!$A$14:$C$43,3,FALSE)/'Score settings'!$B$4*'Score settings'!$D$4</x:f>
        <x:v>15</x:v>
      </x:c>
      <x:c r="AC495" s="41" t="n">
        <x:f>VLOOKUP("Category|"&amp;P495,'Score settings'!$A$14:$C$43,3,FALSE)/'Score settings'!$B$5*'Score settings'!$D$5</x:f>
        <x:v>8.5</x:v>
      </x:c>
      <x:c r="AD495" s="41" t="n">
        <x:f>VLOOKUP("Area|"&amp;Q495,'Score settings'!$A$14:$C$43,3,FALSE)/'Score settings'!$B$6*'Score settings'!$D$6</x:f>
        <x:v>6.666666666666666</x:v>
      </x:c>
      <x:c r="AE495" s="41" t="n">
        <x:f>VLOOKUP("Benefits|"&amp;IF(AND(ISNUMBER(K495),K495&gt;0,ISNUMBER(G495),G495&gt;0),IF(K495/G495&gt;='Score settings'!$E$17,"3plus",IF(K495/G495&gt;='Score settings'!$E$16,"1.5to3",IF(K495/G495&gt;='Score settings'!$E$15,"0.5to1.5","positive"))),"None"),'Score settings'!$A$14:$C$43,3,FALSE)/'Score settings'!$B$7*'Score settings'!$D$7</x:f>
        <x:v>24</x:v>
      </x:c>
      <x:c r="AF495" s="41" t="n">
        <x:f>VLOOKUP("Waste|"&amp;R495,'Score settings'!$A$14:$C$43,3,FALSE)/'Score settings'!$B$8*'Score settings'!$D$8</x:f>
        <x:v>0</x:v>
      </x:c>
      <x:c r="AG495" s="41" t="n">
        <x:f>(IF(AND(ISNUMBER(M495),M495&gt;0,ISNUMBER(G495),G495&gt;0),IF(M495/G495&gt;='Score settings'!$E$17,'Score settings'!$G$17,IF(M495/G495&gt;='Score settings'!$E$16,'Score settings'!$G$16,IF(M495/G495&gt;='Score settings'!$E$15,'Score settings'!$G$15,'Score settings'!$G$14))),0)/15*'Score settings'!$B$60+IFERROR(VLOOKUP(IF(ISNUMBER(N495),N495,IF(ISNUMBER(L495),L495,0)),'Score settings'!$E$22:$F$26,2,FALSE),0)/10*'Score settings'!$B$61)/'Score settings'!$B$9*'Score settings'!$D$9</x:f>
        <x:v>0</x:v>
      </x:c>
      <x:c r="AH495" s="41" t="n">
        <x:f>IF(B495="","",SUM(AB495:AG495))</x:f>
        <x:v>54.166666666666664</x:v>
      </x:c>
      <x:c r="AI495" s="41" t="str">
        <x:f>IF(NOT(ISNUMBER(AH495)),"Not scored",VLOOKUP(AH495,'Score settings'!$A$47:$C$50,3,TRUE))</x:f>
        <x:v>Strong</x:v>
      </x:c>
      <x:c r="AJ495" s="42" t="n">
        <x:f>IF(OR(NOT(ISNUMBER(AH495)),T495&lt;&gt;"Common pot"),"",COUNTIFS($T$4:$T$509,"Common pot",$AH$4:$AH$509,"&gt;"&amp;AH495)+1)</x:f>
        <x:v>37</x:v>
      </x:c>
      <x:c r="AK495" s="36" t="str">
        <x:f>IF(B495="","Name missing - not scored",IF(OR(NOT(ISNUMBER(G495)),G495&lt;=0),"Investment missing or zero - review",IF(0=1,"Permanent ID missing - reconcile",IF(AND(ISNUMBER(H495),H495/G495&gt;='Score settings'!$B$58,NOT(ISNUMBER(I495))),"Benefit units need review",IF(OR(R495="EXIT",R495="CHALLENGE"),"Waste decision requires scope resolution",IF("No exact waste match"&lt;&gt;"Name and organisation matched","Waste evidence match needs review","Provisional source score - confirm evidence"))))))</x:f>
        <x:v>Waste evidence match needs review</x:v>
      </x:c>
      <x:c r="AL495" s="36"/>
      <x:c r="AM495" s="40"/>
      <x:c r="AN495" s="39"/>
      <x:c r="AO495" s="40"/>
      <x:c r="AP495" s="40"/>
    </x:row>
    <x:row r="496" ht="15" hidden="0" customHeight="1">
      <x:c r="A496" s="36" t="str">
        <x:v>EW-174</x:v>
      </x:c>
      <x:c r="B496" s="37" t="str">
        <x:v>Global Intranet &amp; Sharepoint</x:v>
      </x:c>
      <x:c r="C496" s="36" t="str">
        <x:v>EW</x:v>
      </x:c>
      <x:c r="D496" s="36" t="str">
        <x:v>Communications &amp; Brand</x:v>
      </x:c>
      <x:c r="E496" s="38" t="n">
        <x:v>0.175</x:v>
      </x:c>
      <x:c r="F496" s="39"/>
      <x:c r="G496" s="38" t="n">
        <x:f>IF(ISNUMBER(F496),F496,IF(E496="","",E496))</x:f>
        <x:v>0.175</x:v>
      </x:c>
      <x:c r="H496" s="38"/>
      <x:c r="I496" s="39"/>
      <x:c r="J496" s="36" t="str">
        <x:v>Risk exposure</x:v>
      </x:c>
      <x:c r="K496" s="38" t="str">
        <x:f>IF(ISNUMBER(I496),I496,IF(OR(NOT(ISNUMBER(H496)),NOT(ISNUMBER(G496)),G496&lt;=0),"",IF(H496/G496&gt;='Score settings'!$B$58,"",IF(J496="Cash savings",H496,IF(J496="Revenue",H496*'Score settings'!$B$55,"")))))</x:f>
      </x:c>
      <x:c r="L496" s="36"/>
      <x:c r="M496" s="39"/>
      <x:c r="N496" s="40"/>
      <x:c r="O496" s="36" t="str">
        <x:v>Must Do</x:v>
      </x:c>
      <x:c r="P496" s="36" t="str">
        <x:v>CI</x:v>
      </x:c>
      <x:c r="Q496" s="36" t="str">
        <x:v>Compliance</x:v>
      </x:c>
      <x:c r="R496" s="36" t="str">
        <x:v>HEALTHY</x:v>
      </x:c>
      <x:c r="S496" s="36" t="str"/>
      <x:c r="T496" s="36" t="str">
        <x:v>Common pot</x:v>
      </x:c>
      <x:c r="U496" s="41" t="n">
        <x:f>VLOOKUP("Priority|"&amp;O496,'Score settings'!$A$14:$C$43,2,FALSE)/'Score settings'!$B$4*'Score settings'!$C$4</x:f>
        <x:v>25</x:v>
      </x:c>
      <x:c r="V496" s="41" t="n">
        <x:f>VLOOKUP("Category|"&amp;P496,'Score settings'!$A$14:$C$43,2,FALSE)/'Score settings'!$B$5*'Score settings'!$C$5</x:f>
        <x:v>8</x:v>
      </x:c>
      <x:c r="W496" s="41" t="n">
        <x:f>VLOOKUP("Area|"&amp;Q496,'Score settings'!$A$14:$C$43,2,FALSE)/'Score settings'!$B$6*'Score settings'!$C$6</x:f>
        <x:v>15</x:v>
      </x:c>
      <x:c r="X496" s="41" t="n">
        <x:f>VLOOKUP("Benefits|"&amp;IF(AND(ISNUMBER(H496),H496&gt;0,ISNUMBER(G496),G496&gt;0),IF(H496/G496&gt;='Score settings'!$E$17,"3plus",IF(H496/G496&gt;='Score settings'!$E$16,"1.5to3",IF(H496/G496&gt;='Score settings'!$E$15,"0.5to1.5","positive"))),"None"),'Score settings'!$A$14:$C$43,2,FALSE)/'Score settings'!$B$7*'Score settings'!$C$7</x:f>
        <x:v>5</x:v>
      </x:c>
      <x:c r="Y496" s="41" t="n">
        <x:f>VLOOKUP("Waste|"&amp;R496,'Score settings'!$A$14:$C$43,2,FALSE)/'Score settings'!$B$8*'Score settings'!$C$8</x:f>
        <x:v>15</x:v>
      </x:c>
      <x:c r="Z496" s="41" t="n">
        <x:f>IF(B496="","",SUM(U496:Y496))</x:f>
        <x:v>68</x:v>
      </x:c>
      <x:c r="AA496" s="41" t="str">
        <x:f>IF(Z496="","Not scored",VLOOKUP(Z496,'Score settings'!$A$47:$C$50,2,TRUE))</x:f>
        <x:v>Protected</x:v>
      </x:c>
      <x:c r="AB496" s="41" t="n">
        <x:f>VLOOKUP("Priority|"&amp;O496,'Score settings'!$A$14:$C$43,3,FALSE)/'Score settings'!$B$4*'Score settings'!$D$4</x:f>
        <x:v>15</x:v>
      </x:c>
      <x:c r="AC496" s="41" t="n">
        <x:f>VLOOKUP("Category|"&amp;P496,'Score settings'!$A$14:$C$43,3,FALSE)/'Score settings'!$B$5*'Score settings'!$D$5</x:f>
        <x:v>4</x:v>
      </x:c>
      <x:c r="AD496" s="41" t="n">
        <x:f>VLOOKUP("Area|"&amp;Q496,'Score settings'!$A$14:$C$43,3,FALSE)/'Score settings'!$B$6*'Score settings'!$D$6</x:f>
        <x:v>10</x:v>
      </x:c>
      <x:c r="AE496" s="41" t="n">
        <x:f>VLOOKUP("Benefits|"&amp;IF(AND(ISNUMBER(K496),K496&gt;0,ISNUMBER(G496),G496&gt;0),IF(K496/G496&gt;='Score settings'!$E$17,"3plus",IF(K496/G496&gt;='Score settings'!$E$16,"1.5to3",IF(K496/G496&gt;='Score settings'!$E$15,"0.5to1.5","positive"))),"None"),'Score settings'!$A$14:$C$43,3,FALSE)/'Score settings'!$B$7*'Score settings'!$D$7</x:f>
        <x:v>0</x:v>
      </x:c>
      <x:c r="AF496" s="41" t="n">
        <x:f>VLOOKUP("Waste|"&amp;R496,'Score settings'!$A$14:$C$43,3,FALSE)/'Score settings'!$B$8*'Score settings'!$D$8</x:f>
        <x:v>10</x:v>
      </x:c>
      <x:c r="AG496" s="41" t="n">
        <x:f>(IF(AND(ISNUMBER(M496),M496&gt;0,ISNUMBER(G496),G496&gt;0),IF(M496/G496&gt;='Score settings'!$E$17,'Score settings'!$G$17,IF(M496/G496&gt;='Score settings'!$E$16,'Score settings'!$G$16,IF(M496/G496&gt;='Score settings'!$E$15,'Score settings'!$G$15,'Score settings'!$G$14))),0)/15*'Score settings'!$B$60+IFERROR(VLOOKUP(IF(ISNUMBER(N496),N496,IF(ISNUMBER(L496),L496,0)),'Score settings'!$E$22:$F$26,2,FALSE),0)/10*'Score settings'!$B$61)/'Score settings'!$B$9*'Score settings'!$D$9</x:f>
        <x:v>0</x:v>
      </x:c>
      <x:c r="AH496" s="41" t="n">
        <x:f>IF(B496="","",SUM(AB496:AG496))</x:f>
        <x:v>39</x:v>
      </x:c>
      <x:c r="AI496" s="41" t="str">
        <x:f>IF(NOT(ISNUMBER(AH496)),"Not scored",VLOOKUP(AH496,'Score settings'!$A$47:$C$50,3,TRUE))</x:f>
        <x:v>Discretionary</x:v>
      </x:c>
      <x:c r="AJ496" s="42" t="n">
        <x:f>IF(OR(NOT(ISNUMBER(AH496)),T496&lt;&gt;"Common pot"),"",COUNTIFS($T$4:$T$509,"Common pot",$AH$4:$AH$509,"&gt;"&amp;AH496)+1)</x:f>
        <x:v>107</x:v>
      </x:c>
      <x:c r="AK496" s="36" t="str">
        <x:f>IF(B496="","Name missing - not scored",IF(OR(NOT(ISNUMBER(G496)),G496&lt;=0),"Investment missing or zero - review",IF(0=1,"Permanent ID missing - reconcile",IF(AND(ISNUMBER(H496),H496/G496&gt;='Score settings'!$B$58,NOT(ISNUMBER(I496))),"Benefit units need review",IF(OR(R496="EXIT",R496="CHALLENGE"),"Waste decision requires scope resolution",IF("Name and organisation matched"&lt;&gt;"Name and organisation matched","Waste evidence match needs review","Provisional source score - confirm evidence"))))))</x:f>
        <x:v>Provisional source score - confirm evidence</x:v>
      </x:c>
      <x:c r="AL496" s="36"/>
      <x:c r="AM496" s="40"/>
      <x:c r="AN496" s="39"/>
      <x:c r="AO496" s="40"/>
      <x:c r="AP496" s="40"/>
    </x:row>
    <x:row r="497" ht="24" hidden="0" customHeight="1">
      <x:c r="A497" s="36" t="str">
        <x:v>EW-175</x:v>
      </x:c>
      <x:c r="B497" s="37" t="str">
        <x:v>Corporate website (Investors, Legal &amp; Regulatory pages, ExCo pages, News, Museum, Foundation etc.)</x:v>
      </x:c>
      <x:c r="C497" s="36" t="str">
        <x:v>EW</x:v>
      </x:c>
      <x:c r="D497" s="36" t="str">
        <x:v>Communications &amp; Brand</x:v>
      </x:c>
      <x:c r="E497" s="38" t="n">
        <x:v>0.6</x:v>
      </x:c>
      <x:c r="F497" s="39"/>
      <x:c r="G497" s="38" t="n">
        <x:f>IF(ISNUMBER(F497),F497,IF(E497="","",E497))</x:f>
        <x:v>0.6</x:v>
      </x:c>
      <x:c r="H497" s="38"/>
      <x:c r="I497" s="39"/>
      <x:c r="J497" s="36" t="str">
        <x:v>Risk exposure</x:v>
      </x:c>
      <x:c r="K497" s="38" t="str">
        <x:f>IF(ISNUMBER(I497),I497,IF(OR(NOT(ISNUMBER(H497)),NOT(ISNUMBER(G497)),G497&lt;=0),"",IF(H497/G497&gt;='Score settings'!$B$58,"",IF(J497="Cash savings",H497,IF(J497="Revenue",H497*'Score settings'!$B$55,"")))))</x:f>
      </x:c>
      <x:c r="L497" s="36"/>
      <x:c r="M497" s="39"/>
      <x:c r="N497" s="40"/>
      <x:c r="O497" s="36" t="str">
        <x:v>Must Have</x:v>
      </x:c>
      <x:c r="P497" s="36" t="str">
        <x:v>Decomm</x:v>
      </x:c>
      <x:c r="Q497" s="36" t="str">
        <x:v>Compliance</x:v>
      </x:c>
      <x:c r="R497" s="36" t="str">
        <x:v>HEALTHY</x:v>
      </x:c>
      <x:c r="S497" s="36" t="str"/>
      <x:c r="T497" s="36" t="str">
        <x:v>Common pot</x:v>
      </x:c>
      <x:c r="U497" s="41" t="n">
        <x:f>VLOOKUP("Priority|"&amp;O497,'Score settings'!$A$14:$C$43,2,FALSE)/'Score settings'!$B$4*'Score settings'!$C$4</x:f>
        <x:v>18</x:v>
      </x:c>
      <x:c r="V497" s="41" t="n">
        <x:f>VLOOKUP("Category|"&amp;P497,'Score settings'!$A$14:$C$43,2,FALSE)/'Score settings'!$B$5*'Score settings'!$C$5</x:f>
        <x:v>17</x:v>
      </x:c>
      <x:c r="W497" s="41" t="n">
        <x:f>VLOOKUP("Area|"&amp;Q497,'Score settings'!$A$14:$C$43,2,FALSE)/'Score settings'!$B$6*'Score settings'!$C$6</x:f>
        <x:v>15</x:v>
      </x:c>
      <x:c r="X497" s="41" t="n">
        <x:f>VLOOKUP("Benefits|"&amp;IF(AND(ISNUMBER(H497),H497&gt;0,ISNUMBER(G497),G497&gt;0),IF(H497/G497&gt;='Score settings'!$E$17,"3plus",IF(H497/G497&gt;='Score settings'!$E$16,"1.5to3",IF(H497/G497&gt;='Score settings'!$E$15,"0.5to1.5","positive"))),"None"),'Score settings'!$A$14:$C$43,2,FALSE)/'Score settings'!$B$7*'Score settings'!$C$7</x:f>
        <x:v>5</x:v>
      </x:c>
      <x:c r="Y497" s="41" t="n">
        <x:f>VLOOKUP("Waste|"&amp;R497,'Score settings'!$A$14:$C$43,2,FALSE)/'Score settings'!$B$8*'Score settings'!$C$8</x:f>
        <x:v>15</x:v>
      </x:c>
      <x:c r="Z497" s="41" t="n">
        <x:f>IF(B497="","",SUM(U497:Y497))</x:f>
        <x:v>70</x:v>
      </x:c>
      <x:c r="AA497" s="41" t="str">
        <x:f>IF(Z497="","Not scored",VLOOKUP(Z497,'Score settings'!$A$47:$C$50,2,TRUE))</x:f>
        <x:v>Protected</x:v>
      </x:c>
      <x:c r="AB497" s="41" t="n">
        <x:f>VLOOKUP("Priority|"&amp;O497,'Score settings'!$A$14:$C$43,3,FALSE)/'Score settings'!$B$4*'Score settings'!$D$4</x:f>
        <x:v>10.799999999999999</x:v>
      </x:c>
      <x:c r="AC497" s="41" t="n">
        <x:f>VLOOKUP("Category|"&amp;P497,'Score settings'!$A$14:$C$43,3,FALSE)/'Score settings'!$B$5*'Score settings'!$D$5</x:f>
        <x:v>8.5</x:v>
      </x:c>
      <x:c r="AD497" s="41" t="n">
        <x:f>VLOOKUP("Area|"&amp;Q497,'Score settings'!$A$14:$C$43,3,FALSE)/'Score settings'!$B$6*'Score settings'!$D$6</x:f>
        <x:v>10</x:v>
      </x:c>
      <x:c r="AE497" s="41" t="n">
        <x:f>VLOOKUP("Benefits|"&amp;IF(AND(ISNUMBER(K497),K497&gt;0,ISNUMBER(G497),G497&gt;0),IF(K497/G497&gt;='Score settings'!$E$17,"3plus",IF(K497/G497&gt;='Score settings'!$E$16,"1.5to3",IF(K497/G497&gt;='Score settings'!$E$15,"0.5to1.5","positive"))),"None"),'Score settings'!$A$14:$C$43,3,FALSE)/'Score settings'!$B$7*'Score settings'!$D$7</x:f>
        <x:v>0</x:v>
      </x:c>
      <x:c r="AF497" s="41" t="n">
        <x:f>VLOOKUP("Waste|"&amp;R497,'Score settings'!$A$14:$C$43,3,FALSE)/'Score settings'!$B$8*'Score settings'!$D$8</x:f>
        <x:v>10</x:v>
      </x:c>
      <x:c r="AG497" s="41" t="n">
        <x:f>(IF(AND(ISNUMBER(M497),M497&gt;0,ISNUMBER(G497),G497&gt;0),IF(M497/G497&gt;='Score settings'!$E$17,'Score settings'!$G$17,IF(M497/G497&gt;='Score settings'!$E$16,'Score settings'!$G$16,IF(M497/G497&gt;='Score settings'!$E$15,'Score settings'!$G$15,'Score settings'!$G$14))),0)/15*'Score settings'!$B$60+IFERROR(VLOOKUP(IF(ISNUMBER(N497),N497,IF(ISNUMBER(L497),L497,0)),'Score settings'!$E$22:$F$26,2,FALSE),0)/10*'Score settings'!$B$61)/'Score settings'!$B$9*'Score settings'!$D$9</x:f>
        <x:v>0</x:v>
      </x:c>
      <x:c r="AH497" s="41" t="n">
        <x:f>IF(B497="","",SUM(AB497:AG497))</x:f>
        <x:v>39.3</x:v>
      </x:c>
      <x:c r="AI497" s="41" t="str">
        <x:f>IF(NOT(ISNUMBER(AH497)),"Not scored",VLOOKUP(AH497,'Score settings'!$A$47:$C$50,3,TRUE))</x:f>
        <x:v>Discretionary</x:v>
      </x:c>
      <x:c r="AJ497" s="42" t="n">
        <x:f>IF(OR(NOT(ISNUMBER(AH497)),T497&lt;&gt;"Common pot"),"",COUNTIFS($T$4:$T$509,"Common pot",$AH$4:$AH$509,"&gt;"&amp;AH497)+1)</x:f>
        <x:v>105</x:v>
      </x:c>
      <x:c r="AK497" s="36" t="str">
        <x:f>IF(B497="","Name missing - not scored",IF(OR(NOT(ISNUMBER(G497)),G497&lt;=0),"Investment missing or zero - review",IF(0=1,"Permanent ID missing - reconcile",IF(AND(ISNUMBER(H497),H497/G497&gt;='Score settings'!$B$58,NOT(ISNUMBER(I497))),"Benefit units need review",IF(OR(R497="EXIT",R497="CHALLENGE"),"Waste decision requires scope resolution",IF("Name and organisation matched"&lt;&gt;"Name and organisation matched","Waste evidence match needs review","Provisional source score - confirm evidence"))))))</x:f>
        <x:v>Provisional source score - confirm evidence</x:v>
      </x:c>
      <x:c r="AL497" s="36"/>
      <x:c r="AM497" s="40"/>
      <x:c r="AN497" s="39"/>
      <x:c r="AO497" s="40"/>
      <x:c r="AP497" s="40"/>
    </x:row>
    <x:row r="498" ht="15" hidden="0" customHeight="1">
      <x:c r="A498" s="36" t="str">
        <x:v>EW-176</x:v>
      </x:c>
      <x:c r="B498" s="37" t="str">
        <x:v>Results hub replatforming (Quarterly and annual financial reporting)</x:v>
      </x:c>
      <x:c r="C498" s="36" t="str">
        <x:v>EW</x:v>
      </x:c>
      <x:c r="D498" s="36" t="str">
        <x:v>Communications &amp; Brand</x:v>
      </x:c>
      <x:c r="E498" s="38" t="n">
        <x:v>0.4</x:v>
      </x:c>
      <x:c r="F498" s="39"/>
      <x:c r="G498" s="38" t="n">
        <x:f>IF(ISNUMBER(F498),F498,IF(E498="","",E498))</x:f>
        <x:v>0.4</x:v>
      </x:c>
      <x:c r="H498" s="38"/>
      <x:c r="I498" s="39"/>
      <x:c r="J498" s="36" t="str">
        <x:v>Risk exposure</x:v>
      </x:c>
      <x:c r="K498" s="38" t="str">
        <x:f>IF(ISNUMBER(I498),I498,IF(OR(NOT(ISNUMBER(H498)),NOT(ISNUMBER(G498)),G498&lt;=0),"",IF(H498/G498&gt;='Score settings'!$B$58,"",IF(J498="Cash savings",H498,IF(J498="Revenue",H498*'Score settings'!$B$55,"")))))</x:f>
      </x:c>
      <x:c r="L498" s="36"/>
      <x:c r="M498" s="39"/>
      <x:c r="N498" s="40"/>
      <x:c r="O498" s="36" t="str">
        <x:v>Must Do</x:v>
      </x:c>
      <x:c r="P498" s="36" t="str">
        <x:v>Decomm</x:v>
      </x:c>
      <x:c r="Q498" s="36" t="str">
        <x:v>Compliance</x:v>
      </x:c>
      <x:c r="R498" s="36" t="str">
        <x:v>HEALTHY</x:v>
      </x:c>
      <x:c r="S498" s="36" t="str"/>
      <x:c r="T498" s="36" t="str">
        <x:v>Common pot</x:v>
      </x:c>
      <x:c r="U498" s="41" t="n">
        <x:f>VLOOKUP("Priority|"&amp;O498,'Score settings'!$A$14:$C$43,2,FALSE)/'Score settings'!$B$4*'Score settings'!$C$4</x:f>
        <x:v>25</x:v>
      </x:c>
      <x:c r="V498" s="41" t="n">
        <x:f>VLOOKUP("Category|"&amp;P498,'Score settings'!$A$14:$C$43,2,FALSE)/'Score settings'!$B$5*'Score settings'!$C$5</x:f>
        <x:v>17</x:v>
      </x:c>
      <x:c r="W498" s="41" t="n">
        <x:f>VLOOKUP("Area|"&amp;Q498,'Score settings'!$A$14:$C$43,2,FALSE)/'Score settings'!$B$6*'Score settings'!$C$6</x:f>
        <x:v>15</x:v>
      </x:c>
      <x:c r="X498" s="41" t="n">
        <x:f>VLOOKUP("Benefits|"&amp;IF(AND(ISNUMBER(H498),H498&gt;0,ISNUMBER(G498),G498&gt;0),IF(H498/G498&gt;='Score settings'!$E$17,"3plus",IF(H498/G498&gt;='Score settings'!$E$16,"1.5to3",IF(H498/G498&gt;='Score settings'!$E$15,"0.5to1.5","positive"))),"None"),'Score settings'!$A$14:$C$43,2,FALSE)/'Score settings'!$B$7*'Score settings'!$C$7</x:f>
        <x:v>5</x:v>
      </x:c>
      <x:c r="Y498" s="41" t="n">
        <x:f>VLOOKUP("Waste|"&amp;R498,'Score settings'!$A$14:$C$43,2,FALSE)/'Score settings'!$B$8*'Score settings'!$C$8</x:f>
        <x:v>15</x:v>
      </x:c>
      <x:c r="Z498" s="41" t="n">
        <x:f>IF(B498="","",SUM(U498:Y498))</x:f>
        <x:v>77</x:v>
      </x:c>
      <x:c r="AA498" s="41" t="str">
        <x:f>IF(Z498="","Not scored",VLOOKUP(Z498,'Score settings'!$A$47:$C$50,2,TRUE))</x:f>
        <x:v>Protected</x:v>
      </x:c>
      <x:c r="AB498" s="41" t="n">
        <x:f>VLOOKUP("Priority|"&amp;O498,'Score settings'!$A$14:$C$43,3,FALSE)/'Score settings'!$B$4*'Score settings'!$D$4</x:f>
        <x:v>15</x:v>
      </x:c>
      <x:c r="AC498" s="41" t="n">
        <x:f>VLOOKUP("Category|"&amp;P498,'Score settings'!$A$14:$C$43,3,FALSE)/'Score settings'!$B$5*'Score settings'!$D$5</x:f>
        <x:v>8.5</x:v>
      </x:c>
      <x:c r="AD498" s="41" t="n">
        <x:f>VLOOKUP("Area|"&amp;Q498,'Score settings'!$A$14:$C$43,3,FALSE)/'Score settings'!$B$6*'Score settings'!$D$6</x:f>
        <x:v>10</x:v>
      </x:c>
      <x:c r="AE498" s="41" t="n">
        <x:f>VLOOKUP("Benefits|"&amp;IF(AND(ISNUMBER(K498),K498&gt;0,ISNUMBER(G498),G498&gt;0),IF(K498/G498&gt;='Score settings'!$E$17,"3plus",IF(K498/G498&gt;='Score settings'!$E$16,"1.5to3",IF(K498/G498&gt;='Score settings'!$E$15,"0.5to1.5","positive"))),"None"),'Score settings'!$A$14:$C$43,3,FALSE)/'Score settings'!$B$7*'Score settings'!$D$7</x:f>
        <x:v>0</x:v>
      </x:c>
      <x:c r="AF498" s="41" t="n">
        <x:f>VLOOKUP("Waste|"&amp;R498,'Score settings'!$A$14:$C$43,3,FALSE)/'Score settings'!$B$8*'Score settings'!$D$8</x:f>
        <x:v>10</x:v>
      </x:c>
      <x:c r="AG498" s="41" t="n">
        <x:f>(IF(AND(ISNUMBER(M498),M498&gt;0,ISNUMBER(G498),G498&gt;0),IF(M498/G498&gt;='Score settings'!$E$17,'Score settings'!$G$17,IF(M498/G498&gt;='Score settings'!$E$16,'Score settings'!$G$16,IF(M498/G498&gt;='Score settings'!$E$15,'Score settings'!$G$15,'Score settings'!$G$14))),0)/15*'Score settings'!$B$60+IFERROR(VLOOKUP(IF(ISNUMBER(N498),N498,IF(ISNUMBER(L498),L498,0)),'Score settings'!$E$22:$F$26,2,FALSE),0)/10*'Score settings'!$B$61)/'Score settings'!$B$9*'Score settings'!$D$9</x:f>
        <x:v>0</x:v>
      </x:c>
      <x:c r="AH498" s="41" t="n">
        <x:f>IF(B498="","",SUM(AB498:AG498))</x:f>
        <x:v>43.5</x:v>
      </x:c>
      <x:c r="AI498" s="41" t="str">
        <x:f>IF(NOT(ISNUMBER(AH498)),"Not scored",VLOOKUP(AH498,'Score settings'!$A$47:$C$50,3,TRUE))</x:f>
        <x:v>Discretionary</x:v>
      </x:c>
      <x:c r="AJ498" s="42" t="n">
        <x:f>IF(OR(NOT(ISNUMBER(AH498)),T498&lt;&gt;"Common pot"),"",COUNTIFS($T$4:$T$509,"Common pot",$AH$4:$AH$509,"&gt;"&amp;AH498)+1)</x:f>
        <x:v>74</x:v>
      </x:c>
      <x:c r="AK498" s="36" t="str">
        <x:f>IF(B498="","Name missing - not scored",IF(OR(NOT(ISNUMBER(G498)),G498&lt;=0),"Investment missing or zero - review",IF(0=1,"Permanent ID missing - reconcile",IF(AND(ISNUMBER(H498),H498/G498&gt;='Score settings'!$B$58,NOT(ISNUMBER(I498))),"Benefit units need review",IF(OR(R498="EXIT",R498="CHALLENGE"),"Waste decision requires scope resolution",IF("Name and organisation matched"&lt;&gt;"Name and organisation matched","Waste evidence match needs review","Provisional source score - confirm evidence"))))))</x:f>
        <x:v>Provisional source score - confirm evidence</x:v>
      </x:c>
      <x:c r="AL498" s="36"/>
      <x:c r="AM498" s="40"/>
      <x:c r="AN498" s="39"/>
      <x:c r="AO498" s="40"/>
      <x:c r="AP498" s="40"/>
    </x:row>
    <x:row r="499" ht="24" hidden="0" customHeight="1">
      <x:c r="A499" s="36" t="str">
        <x:v>EW-177</x:v>
      </x:c>
      <x:c r="B499" s="37" t="str">
        <x:v>Extending Artifactory footprint &amp; offering to support SDLC and SDLC Security at scale</x:v>
      </x:c>
      <x:c r="C499" s="36" t="str">
        <x:v>EW</x:v>
      </x:c>
      <x:c r="D499" s="36" t="str">
        <x:v>Group Security​</x:v>
      </x:c>
      <x:c r="E499" s="38" t="n">
        <x:v>0.7</x:v>
      </x:c>
      <x:c r="F499" s="39"/>
      <x:c r="G499" s="38" t="n">
        <x:f>IF(ISNUMBER(F499),F499,IF(E499="","",E499))</x:f>
        <x:v>0.7</x:v>
      </x:c>
      <x:c r="H499" s="38"/>
      <x:c r="I499" s="39"/>
      <x:c r="J499" s="36" t="str">
        <x:v>Unclassified</x:v>
      </x:c>
      <x:c r="K499" s="38" t="str">
        <x:f>IF(ISNUMBER(I499),I499,IF(OR(NOT(ISNUMBER(H499)),NOT(ISNUMBER(G499)),G499&lt;=0),"",IF(H499/G499&gt;='Score settings'!$B$58,"",IF(J499="Cash savings",H499,IF(J499="Revenue",H499*'Score settings'!$B$55,"")))))</x:f>
      </x:c>
      <x:c r="L499" s="36"/>
      <x:c r="M499" s="39"/>
      <x:c r="N499" s="40"/>
      <x:c r="O499" s="36" t="str">
        <x:v>Must Do</x:v>
      </x:c>
      <x:c r="P499" s="36" t="str">
        <x:v>Upgrades</x:v>
      </x:c>
      <x:c r="Q499" s="36" t="str">
        <x:v>Security</x:v>
      </x:c>
      <x:c r="R499" s="36" t="str">
        <x:v>HEALTHY</x:v>
      </x:c>
      <x:c r="S499" s="36" t="str"/>
      <x:c r="T499" s="36" t="str">
        <x:v>Common pot</x:v>
      </x:c>
      <x:c r="U499" s="41" t="n">
        <x:f>VLOOKUP("Priority|"&amp;O499,'Score settings'!$A$14:$C$43,2,FALSE)/'Score settings'!$B$4*'Score settings'!$C$4</x:f>
        <x:v>25</x:v>
      </x:c>
      <x:c r="V499" s="41" t="n">
        <x:f>VLOOKUP("Category|"&amp;P499,'Score settings'!$A$14:$C$43,2,FALSE)/'Score settings'!$B$5*'Score settings'!$C$5</x:f>
        <x:v>10</x:v>
      </x:c>
      <x:c r="W499" s="41" t="n">
        <x:f>VLOOKUP("Area|"&amp;Q499,'Score settings'!$A$14:$C$43,2,FALSE)/'Score settings'!$B$6*'Score settings'!$C$6</x:f>
        <x:v>14</x:v>
      </x:c>
      <x:c r="X499" s="41" t="n">
        <x:f>VLOOKUP("Benefits|"&amp;IF(AND(ISNUMBER(H499),H499&gt;0,ISNUMBER(G499),G499&gt;0),IF(H499/G499&gt;='Score settings'!$E$17,"3plus",IF(H499/G499&gt;='Score settings'!$E$16,"1.5to3",IF(H499/G499&gt;='Score settings'!$E$15,"0.5to1.5","positive"))),"None"),'Score settings'!$A$14:$C$43,2,FALSE)/'Score settings'!$B$7*'Score settings'!$C$7</x:f>
        <x:v>5</x:v>
      </x:c>
      <x:c r="Y499" s="41" t="n">
        <x:f>VLOOKUP("Waste|"&amp;R499,'Score settings'!$A$14:$C$43,2,FALSE)/'Score settings'!$B$8*'Score settings'!$C$8</x:f>
        <x:v>15</x:v>
      </x:c>
      <x:c r="Z499" s="41" t="n">
        <x:f>IF(B499="","",SUM(U499:Y499))</x:f>
        <x:v>69</x:v>
      </x:c>
      <x:c r="AA499" s="41" t="str">
        <x:f>IF(Z499="","Not scored",VLOOKUP(Z499,'Score settings'!$A$47:$C$50,2,TRUE))</x:f>
        <x:v>Protected</x:v>
      </x:c>
      <x:c r="AB499" s="41" t="n">
        <x:f>VLOOKUP("Priority|"&amp;O499,'Score settings'!$A$14:$C$43,3,FALSE)/'Score settings'!$B$4*'Score settings'!$D$4</x:f>
        <x:v>15</x:v>
      </x:c>
      <x:c r="AC499" s="41" t="n">
        <x:f>VLOOKUP("Category|"&amp;P499,'Score settings'!$A$14:$C$43,3,FALSE)/'Score settings'!$B$5*'Score settings'!$D$5</x:f>
        <x:v>5</x:v>
      </x:c>
      <x:c r="AD499" s="41" t="n">
        <x:f>VLOOKUP("Area|"&amp;Q499,'Score settings'!$A$14:$C$43,3,FALSE)/'Score settings'!$B$6*'Score settings'!$D$6</x:f>
        <x:v>9.333333333333334</x:v>
      </x:c>
      <x:c r="AE499" s="41" t="n">
        <x:f>VLOOKUP("Benefits|"&amp;IF(AND(ISNUMBER(K499),K499&gt;0,ISNUMBER(G499),G499&gt;0),IF(K499/G499&gt;='Score settings'!$E$17,"3plus",IF(K499/G499&gt;='Score settings'!$E$16,"1.5to3",IF(K499/G499&gt;='Score settings'!$E$15,"0.5to1.5","positive"))),"None"),'Score settings'!$A$14:$C$43,3,FALSE)/'Score settings'!$B$7*'Score settings'!$D$7</x:f>
        <x:v>0</x:v>
      </x:c>
      <x:c r="AF499" s="41" t="n">
        <x:f>VLOOKUP("Waste|"&amp;R499,'Score settings'!$A$14:$C$43,3,FALSE)/'Score settings'!$B$8*'Score settings'!$D$8</x:f>
        <x:v>10</x:v>
      </x:c>
      <x:c r="AG499" s="41" t="n">
        <x:f>(IF(AND(ISNUMBER(M499),M499&gt;0,ISNUMBER(G499),G499&gt;0),IF(M499/G499&gt;='Score settings'!$E$17,'Score settings'!$G$17,IF(M499/G499&gt;='Score settings'!$E$16,'Score settings'!$G$16,IF(M499/G499&gt;='Score settings'!$E$15,'Score settings'!$G$15,'Score settings'!$G$14))),0)/15*'Score settings'!$B$60+IFERROR(VLOOKUP(IF(ISNUMBER(N499),N499,IF(ISNUMBER(L499),L499,0)),'Score settings'!$E$22:$F$26,2,FALSE),0)/10*'Score settings'!$B$61)/'Score settings'!$B$9*'Score settings'!$D$9</x:f>
        <x:v>0</x:v>
      </x:c>
      <x:c r="AH499" s="41" t="n">
        <x:f>IF(B499="","",SUM(AB499:AG499))</x:f>
        <x:v>39.333333333333336</x:v>
      </x:c>
      <x:c r="AI499" s="41" t="str">
        <x:f>IF(NOT(ISNUMBER(AH499)),"Not scored",VLOOKUP(AH499,'Score settings'!$A$47:$C$50,3,TRUE))</x:f>
        <x:v>Discretionary</x:v>
      </x:c>
      <x:c r="AJ499" s="42" t="n">
        <x:f>IF(OR(NOT(ISNUMBER(AH499)),T499&lt;&gt;"Common pot"),"",COUNTIFS($T$4:$T$509,"Common pot",$AH$4:$AH$509,"&gt;"&amp;AH499)+1)</x:f>
        <x:v>104</x:v>
      </x:c>
      <x:c r="AK499" s="36" t="str">
        <x:f>IF(B499="","Name missing - not scored",IF(OR(NOT(ISNUMBER(G499)),G499&lt;=0),"Investment missing or zero - review",IF(0=1,"Permanent ID missing - reconcile",IF(AND(ISNUMBER(H499),H499/G499&gt;='Score settings'!$B$58,NOT(ISNUMBER(I499))),"Benefit units need review",IF(OR(R499="EXIT",R499="CHALLENGE"),"Waste decision requires scope resolution",IF("Name and organisation matched"&lt;&gt;"Name and organisation matched","Waste evidence match needs review","Provisional source score - confirm evidence"))))))</x:f>
        <x:v>Provisional source score - confirm evidence</x:v>
      </x:c>
      <x:c r="AL499" s="36"/>
      <x:c r="AM499" s="40"/>
      <x:c r="AN499" s="39"/>
      <x:c r="AO499" s="40"/>
      <x:c r="AP499" s="40"/>
    </x:row>
    <x:row r="500" ht="15" hidden="0" customHeight="1">
      <x:c r="A500" s="36" t="str">
        <x:v>EW-178</x:v>
      </x:c>
      <x:c r="B500" s="37" t="str">
        <x:v>CCB - I&amp;D: Brand Licensing</x:v>
      </x:c>
      <x:c r="C500" s="36" t="str">
        <x:v>EW</x:v>
      </x:c>
      <x:c r="D500" s="36" t="str">
        <x:v>Intellectual Property &amp; Standards (IP&amp;S)​</x:v>
      </x:c>
      <x:c r="E500" s="38" t="n">
        <x:v>0.333</x:v>
      </x:c>
      <x:c r="F500" s="39"/>
      <x:c r="G500" s="38" t="n">
        <x:f>IF(ISNUMBER(F500),F500,IF(E500="","",E500))</x:f>
        <x:v>0.333</x:v>
      </x:c>
      <x:c r="H500" s="38"/>
      <x:c r="I500" s="39"/>
      <x:c r="J500" s="36" t="str">
        <x:v>Risk exposure</x:v>
      </x:c>
      <x:c r="K500" s="38" t="str">
        <x:f>IF(ISNUMBER(I500),I500,IF(OR(NOT(ISNUMBER(H500)),NOT(ISNUMBER(G500)),G500&lt;=0),"",IF(H500/G500&gt;='Score settings'!$B$58,"",IF(J500="Cash savings",H500,IF(J500="Revenue",H500*'Score settings'!$B$55,"")))))</x:f>
      </x:c>
      <x:c r="L500" s="36"/>
      <x:c r="M500" s="39"/>
      <x:c r="N500" s="40"/>
      <x:c r="O500" s="36" t="str">
        <x:v>Must Have</x:v>
      </x:c>
      <x:c r="P500" s="36" t="str">
        <x:v>CI</x:v>
      </x:c>
      <x:c r="Q500" s="36" t="str">
        <x:v>Compliance</x:v>
      </x:c>
      <x:c r="R500" s="36" t="str">
        <x:v>NotAssessed</x:v>
      </x:c>
      <x:c r="S500" s="36" t="str"/>
      <x:c r="T500" s="36" t="str">
        <x:v>Change and Sustain candidate</x:v>
      </x:c>
      <x:c r="U500" s="41" t="n">
        <x:f>VLOOKUP("Priority|"&amp;O500,'Score settings'!$A$14:$C$43,2,FALSE)/'Score settings'!$B$4*'Score settings'!$C$4</x:f>
        <x:v>18</x:v>
      </x:c>
      <x:c r="V500" s="41" t="n">
        <x:f>VLOOKUP("Category|"&amp;P500,'Score settings'!$A$14:$C$43,2,FALSE)/'Score settings'!$B$5*'Score settings'!$C$5</x:f>
        <x:v>8</x:v>
      </x:c>
      <x:c r="W500" s="41" t="n">
        <x:f>VLOOKUP("Area|"&amp;Q500,'Score settings'!$A$14:$C$43,2,FALSE)/'Score settings'!$B$6*'Score settings'!$C$6</x:f>
        <x:v>15</x:v>
      </x:c>
      <x:c r="X500" s="41" t="n">
        <x:f>VLOOKUP("Benefits|"&amp;IF(AND(ISNUMBER(H500),H500&gt;0,ISNUMBER(G500),G500&gt;0),IF(H500/G500&gt;='Score settings'!$E$17,"3plus",IF(H500/G500&gt;='Score settings'!$E$16,"1.5to3",IF(H500/G500&gt;='Score settings'!$E$15,"0.5to1.5","positive"))),"None"),'Score settings'!$A$14:$C$43,2,FALSE)/'Score settings'!$B$7*'Score settings'!$C$7</x:f>
        <x:v>5</x:v>
      </x:c>
      <x:c r="Y500" s="41" t="n">
        <x:f>VLOOKUP("Waste|"&amp;R500,'Score settings'!$A$14:$C$43,2,FALSE)/'Score settings'!$B$8*'Score settings'!$C$8</x:f>
        <x:v>7</x:v>
      </x:c>
      <x:c r="Z500" s="41" t="n">
        <x:f>IF(B500="","",SUM(U500:Y500))</x:f>
        <x:v>53</x:v>
      </x:c>
      <x:c r="AA500" s="41" t="str">
        <x:f>IF(Z500="","Not scored",VLOOKUP(Z500,'Score settings'!$A$47:$C$50,2,TRUE))</x:f>
        <x:v>Strong</x:v>
      </x:c>
      <x:c r="AB500" s="41" t="n">
        <x:f>VLOOKUP("Priority|"&amp;O500,'Score settings'!$A$14:$C$43,3,FALSE)/'Score settings'!$B$4*'Score settings'!$D$4</x:f>
        <x:v>10.799999999999999</x:v>
      </x:c>
      <x:c r="AC500" s="41" t="n">
        <x:f>VLOOKUP("Category|"&amp;P500,'Score settings'!$A$14:$C$43,3,FALSE)/'Score settings'!$B$5*'Score settings'!$D$5</x:f>
        <x:v>4</x:v>
      </x:c>
      <x:c r="AD500" s="41" t="n">
        <x:f>VLOOKUP("Area|"&amp;Q500,'Score settings'!$A$14:$C$43,3,FALSE)/'Score settings'!$B$6*'Score settings'!$D$6</x:f>
        <x:v>10</x:v>
      </x:c>
      <x:c r="AE500" s="41" t="n">
        <x:f>VLOOKUP("Benefits|"&amp;IF(AND(ISNUMBER(K500),K500&gt;0,ISNUMBER(G500),G500&gt;0),IF(K500/G500&gt;='Score settings'!$E$17,"3plus",IF(K500/G500&gt;='Score settings'!$E$16,"1.5to3",IF(K500/G500&gt;='Score settings'!$E$15,"0.5to1.5","positive"))),"None"),'Score settings'!$A$14:$C$43,3,FALSE)/'Score settings'!$B$7*'Score settings'!$D$7</x:f>
        <x:v>0</x:v>
      </x:c>
      <x:c r="AF500" s="41" t="n">
        <x:f>VLOOKUP("Waste|"&amp;R500,'Score settings'!$A$14:$C$43,3,FALSE)/'Score settings'!$B$8*'Score settings'!$D$8</x:f>
        <x:v>0</x:v>
      </x:c>
      <x:c r="AG500" s="41" t="n">
        <x:f>(IF(AND(ISNUMBER(M500),M500&gt;0,ISNUMBER(G500),G500&gt;0),IF(M500/G500&gt;='Score settings'!$E$17,'Score settings'!$G$17,IF(M500/G500&gt;='Score settings'!$E$16,'Score settings'!$G$16,IF(M500/G500&gt;='Score settings'!$E$15,'Score settings'!$G$15,'Score settings'!$G$14))),0)/15*'Score settings'!$B$60+IFERROR(VLOOKUP(IF(ISNUMBER(N500),N500,IF(ISNUMBER(L500),L500,0)),'Score settings'!$E$22:$F$26,2,FALSE),0)/10*'Score settings'!$B$61)/'Score settings'!$B$9*'Score settings'!$D$9</x:f>
        <x:v>0</x:v>
      </x:c>
      <x:c r="AH500" s="41" t="n">
        <x:f>IF(B500="","",SUM(AB500:AG500))</x:f>
        <x:v>24.799999999999997</x:v>
      </x:c>
      <x:c r="AI500" s="41" t="str">
        <x:f>IF(NOT(ISNUMBER(AH500)),"Not scored",VLOOKUP(AH500,'Score settings'!$A$47:$C$50,3,TRUE))</x:f>
        <x:v>Weak</x:v>
      </x:c>
      <x:c r="AJ500" s="42" t="str">
        <x:f>IF(OR(NOT(ISNUMBER(AH500)),T500&lt;&gt;"Common pot"),"",COUNTIFS($T$4:$T$509,"Common pot",$AH$4:$AH$509,"&gt;"&amp;AH500)+1)</x:f>
      </x:c>
      <x:c r="AK500" s="36" t="str">
        <x:f>IF(B500="","Name missing - not scored",IF(OR(NOT(ISNUMBER(G500)),G500&lt;=0),"Investment missing or zero - review",IF(0=1,"Permanent ID missing - reconcile",IF(AND(ISNUMBER(H500),H500/G500&gt;='Score settings'!$B$58,NOT(ISNUMBER(I500))),"Benefit units need review",IF(OR(R500="EXIT",R500="CHALLENGE"),"Waste decision requires scope resolution",IF("No exact waste match"&lt;&gt;"Name and organisation matched","Waste evidence match needs review","Provisional source score - confirm evidence"))))))</x:f>
        <x:v>Waste evidence match needs review</x:v>
      </x:c>
      <x:c r="AL500" s="36"/>
      <x:c r="AM500" s="40"/>
      <x:c r="AN500" s="39"/>
      <x:c r="AO500" s="40"/>
      <x:c r="AP500" s="40"/>
    </x:row>
    <x:row r="501" ht="15" hidden="0" customHeight="1">
      <x:c r="A501" s="36" t="str">
        <x:v>EW-179</x:v>
      </x:c>
      <x:c r="B501" s="37" t="str">
        <x:v>Upgrade Windchill 2027 to meet support compliance requirements</x:v>
      </x:c>
      <x:c r="C501" s="36" t="str">
        <x:v>EW</x:v>
      </x:c>
      <x:c r="D501" s="36" t="str">
        <x:v>Information Technology ​</x:v>
      </x:c>
      <x:c r="E501" s="38" t="n">
        <x:v>1</x:v>
      </x:c>
      <x:c r="F501" s="39"/>
      <x:c r="G501" s="38" t="n">
        <x:f>IF(ISNUMBER(F501),F501,IF(E501="","",E501))</x:f>
        <x:v>1</x:v>
      </x:c>
      <x:c r="H501" s="38"/>
      <x:c r="I501" s="39"/>
      <x:c r="J501" s="36" t="str">
        <x:v>Risk exposure</x:v>
      </x:c>
      <x:c r="K501" s="38" t="str">
        <x:f>IF(ISNUMBER(I501),I501,IF(OR(NOT(ISNUMBER(H501)),NOT(ISNUMBER(G501)),G501&lt;=0),"",IF(H501/G501&gt;='Score settings'!$B$58,"",IF(J501="Cash savings",H501,IF(J501="Revenue",H501*'Score settings'!$B$55,"")))))</x:f>
      </x:c>
      <x:c r="L501" s="36"/>
      <x:c r="M501" s="39"/>
      <x:c r="N501" s="40"/>
      <x:c r="O501" s="36" t="str">
        <x:v>Must Do</x:v>
      </x:c>
      <x:c r="P501" s="36" t="str">
        <x:v>CI</x:v>
      </x:c>
      <x:c r="Q501" s="36" t="str">
        <x:v>Compliance</x:v>
      </x:c>
      <x:c r="R501" s="36" t="str">
        <x:v>NotAssessed</x:v>
      </x:c>
      <x:c r="S501" s="36" t="str"/>
      <x:c r="T501" s="36" t="str">
        <x:v>Change and Sustain candidate</x:v>
      </x:c>
      <x:c r="U501" s="41" t="n">
        <x:f>VLOOKUP("Priority|"&amp;O501,'Score settings'!$A$14:$C$43,2,FALSE)/'Score settings'!$B$4*'Score settings'!$C$4</x:f>
        <x:v>25</x:v>
      </x:c>
      <x:c r="V501" s="41" t="n">
        <x:f>VLOOKUP("Category|"&amp;P501,'Score settings'!$A$14:$C$43,2,FALSE)/'Score settings'!$B$5*'Score settings'!$C$5</x:f>
        <x:v>8</x:v>
      </x:c>
      <x:c r="W501" s="41" t="n">
        <x:f>VLOOKUP("Area|"&amp;Q501,'Score settings'!$A$14:$C$43,2,FALSE)/'Score settings'!$B$6*'Score settings'!$C$6</x:f>
        <x:v>15</x:v>
      </x:c>
      <x:c r="X501" s="41" t="n">
        <x:f>VLOOKUP("Benefits|"&amp;IF(AND(ISNUMBER(H501),H501&gt;0,ISNUMBER(G501),G501&gt;0),IF(H501/G501&gt;='Score settings'!$E$17,"3plus",IF(H501/G501&gt;='Score settings'!$E$16,"1.5to3",IF(H501/G501&gt;='Score settings'!$E$15,"0.5to1.5","positive"))),"None"),'Score settings'!$A$14:$C$43,2,FALSE)/'Score settings'!$B$7*'Score settings'!$C$7</x:f>
        <x:v>5</x:v>
      </x:c>
      <x:c r="Y501" s="41" t="n">
        <x:f>VLOOKUP("Waste|"&amp;R501,'Score settings'!$A$14:$C$43,2,FALSE)/'Score settings'!$B$8*'Score settings'!$C$8</x:f>
        <x:v>7</x:v>
      </x:c>
      <x:c r="Z501" s="41" t="n">
        <x:f>IF(B501="","",SUM(U501:Y501))</x:f>
        <x:v>60</x:v>
      </x:c>
      <x:c r="AA501" s="41" t="str">
        <x:f>IF(Z501="","Not scored",VLOOKUP(Z501,'Score settings'!$A$47:$C$50,2,TRUE))</x:f>
        <x:v>Strong</x:v>
      </x:c>
      <x:c r="AB501" s="41" t="n">
        <x:f>VLOOKUP("Priority|"&amp;O501,'Score settings'!$A$14:$C$43,3,FALSE)/'Score settings'!$B$4*'Score settings'!$D$4</x:f>
        <x:v>15</x:v>
      </x:c>
      <x:c r="AC501" s="41" t="n">
        <x:f>VLOOKUP("Category|"&amp;P501,'Score settings'!$A$14:$C$43,3,FALSE)/'Score settings'!$B$5*'Score settings'!$D$5</x:f>
        <x:v>4</x:v>
      </x:c>
      <x:c r="AD501" s="41" t="n">
        <x:f>VLOOKUP("Area|"&amp;Q501,'Score settings'!$A$14:$C$43,3,FALSE)/'Score settings'!$B$6*'Score settings'!$D$6</x:f>
        <x:v>10</x:v>
      </x:c>
      <x:c r="AE501" s="41" t="n">
        <x:f>VLOOKUP("Benefits|"&amp;IF(AND(ISNUMBER(K501),K501&gt;0,ISNUMBER(G501),G501&gt;0),IF(K501/G501&gt;='Score settings'!$E$17,"3plus",IF(K501/G501&gt;='Score settings'!$E$16,"1.5to3",IF(K501/G501&gt;='Score settings'!$E$15,"0.5to1.5","positive"))),"None"),'Score settings'!$A$14:$C$43,3,FALSE)/'Score settings'!$B$7*'Score settings'!$D$7</x:f>
        <x:v>0</x:v>
      </x:c>
      <x:c r="AF501" s="41" t="n">
        <x:f>VLOOKUP("Waste|"&amp;R501,'Score settings'!$A$14:$C$43,3,FALSE)/'Score settings'!$B$8*'Score settings'!$D$8</x:f>
        <x:v>0</x:v>
      </x:c>
      <x:c r="AG501" s="41" t="n">
        <x:f>(IF(AND(ISNUMBER(M501),M501&gt;0,ISNUMBER(G501),G501&gt;0),IF(M501/G501&gt;='Score settings'!$E$17,'Score settings'!$G$17,IF(M501/G501&gt;='Score settings'!$E$16,'Score settings'!$G$16,IF(M501/G501&gt;='Score settings'!$E$15,'Score settings'!$G$15,'Score settings'!$G$14))),0)/15*'Score settings'!$B$60+IFERROR(VLOOKUP(IF(ISNUMBER(N501),N501,IF(ISNUMBER(L501),L501,0)),'Score settings'!$E$22:$F$26,2,FALSE),0)/10*'Score settings'!$B$61)/'Score settings'!$B$9*'Score settings'!$D$9</x:f>
        <x:v>0</x:v>
      </x:c>
      <x:c r="AH501" s="41" t="n">
        <x:f>IF(B501="","",SUM(AB501:AG501))</x:f>
        <x:v>29</x:v>
      </x:c>
      <x:c r="AI501" s="41" t="str">
        <x:f>IF(NOT(ISNUMBER(AH501)),"Not scored",VLOOKUP(AH501,'Score settings'!$A$47:$C$50,3,TRUE))</x:f>
        <x:v>Discretionary</x:v>
      </x:c>
      <x:c r="AJ501" s="42" t="str">
        <x:f>IF(OR(NOT(ISNUMBER(AH501)),T501&lt;&gt;"Common pot"),"",COUNTIFS($T$4:$T$509,"Common pot",$AH$4:$AH$509,"&gt;"&amp;AH501)+1)</x:f>
      </x:c>
      <x:c r="AK501" s="36" t="str">
        <x:f>IF(B501="","Name missing - not scored",IF(OR(NOT(ISNUMBER(G501)),G501&lt;=0),"Investment missing or zero - review",IF(0=1,"Permanent ID missing - reconcile",IF(AND(ISNUMBER(H501),H501/G501&gt;='Score settings'!$B$58,NOT(ISNUMBER(I501))),"Benefit units need review",IF(OR(R501="EXIT",R501="CHALLENGE"),"Waste decision requires scope resolution",IF("No exact waste match"&lt;&gt;"Name and organisation matched","Waste evidence match needs review","Provisional source score - confirm evidence"))))))</x:f>
        <x:v>Waste evidence match needs review</x:v>
      </x:c>
      <x:c r="AL501" s="36"/>
      <x:c r="AM501" s="40"/>
      <x:c r="AN501" s="39"/>
      <x:c r="AO501" s="40"/>
      <x:c r="AP501" s="40"/>
    </x:row>
    <x:row r="502" ht="15" hidden="0" customHeight="1">
      <x:c r="A502" s="36" t="str">
        <x:v>EW-180</x:v>
      </x:c>
      <x:c r="B502" s="37" t="str">
        <x:v>CCB - I&amp;D - The Vault</x:v>
      </x:c>
      <x:c r="C502" s="36" t="str">
        <x:v>EW</x:v>
      </x:c>
      <x:c r="D502" s="36" t="str">
        <x:v>Intellectual Property &amp; Standards (IP&amp;S)​</x:v>
      </x:c>
      <x:c r="E502" s="38" t="n">
        <x:v>0.05</x:v>
      </x:c>
      <x:c r="F502" s="39"/>
      <x:c r="G502" s="38" t="n">
        <x:f>IF(ISNUMBER(F502),F502,IF(E502="","",E502))</x:f>
        <x:v>0.05</x:v>
      </x:c>
      <x:c r="H502" s="38"/>
      <x:c r="I502" s="39"/>
      <x:c r="J502" s="36" t="str">
        <x:v>Risk exposure</x:v>
      </x:c>
      <x:c r="K502" s="38" t="str">
        <x:f>IF(ISNUMBER(I502),I502,IF(OR(NOT(ISNUMBER(H502)),NOT(ISNUMBER(G502)),G502&lt;=0),"",IF(H502/G502&gt;='Score settings'!$B$58,"",IF(J502="Cash savings",H502,IF(J502="Revenue",H502*'Score settings'!$B$55,"")))))</x:f>
      </x:c>
      <x:c r="L502" s="36"/>
      <x:c r="M502" s="39"/>
      <x:c r="N502" s="40"/>
      <x:c r="O502" s="36" t="str">
        <x:v>Must Do</x:v>
      </x:c>
      <x:c r="P502" s="36" t="str">
        <x:v>CI</x:v>
      </x:c>
      <x:c r="Q502" s="36" t="str">
        <x:v>Compliance</x:v>
      </x:c>
      <x:c r="R502" s="36" t="str">
        <x:v>NotAssessed</x:v>
      </x:c>
      <x:c r="S502" s="36" t="str"/>
      <x:c r="T502" s="36" t="str">
        <x:v>Change and Sustain candidate</x:v>
      </x:c>
      <x:c r="U502" s="41" t="n">
        <x:f>VLOOKUP("Priority|"&amp;O502,'Score settings'!$A$14:$C$43,2,FALSE)/'Score settings'!$B$4*'Score settings'!$C$4</x:f>
        <x:v>25</x:v>
      </x:c>
      <x:c r="V502" s="41" t="n">
        <x:f>VLOOKUP("Category|"&amp;P502,'Score settings'!$A$14:$C$43,2,FALSE)/'Score settings'!$B$5*'Score settings'!$C$5</x:f>
        <x:v>8</x:v>
      </x:c>
      <x:c r="W502" s="41" t="n">
        <x:f>VLOOKUP("Area|"&amp;Q502,'Score settings'!$A$14:$C$43,2,FALSE)/'Score settings'!$B$6*'Score settings'!$C$6</x:f>
        <x:v>15</x:v>
      </x:c>
      <x:c r="X502" s="41" t="n">
        <x:f>VLOOKUP("Benefits|"&amp;IF(AND(ISNUMBER(H502),H502&gt;0,ISNUMBER(G502),G502&gt;0),IF(H502/G502&gt;='Score settings'!$E$17,"3plus",IF(H502/G502&gt;='Score settings'!$E$16,"1.5to3",IF(H502/G502&gt;='Score settings'!$E$15,"0.5to1.5","positive"))),"None"),'Score settings'!$A$14:$C$43,2,FALSE)/'Score settings'!$B$7*'Score settings'!$C$7</x:f>
        <x:v>5</x:v>
      </x:c>
      <x:c r="Y502" s="41" t="n">
        <x:f>VLOOKUP("Waste|"&amp;R502,'Score settings'!$A$14:$C$43,2,FALSE)/'Score settings'!$B$8*'Score settings'!$C$8</x:f>
        <x:v>7</x:v>
      </x:c>
      <x:c r="Z502" s="41" t="n">
        <x:f>IF(B502="","",SUM(U502:Y502))</x:f>
        <x:v>60</x:v>
      </x:c>
      <x:c r="AA502" s="41" t="str">
        <x:f>IF(Z502="","Not scored",VLOOKUP(Z502,'Score settings'!$A$47:$C$50,2,TRUE))</x:f>
        <x:v>Strong</x:v>
      </x:c>
      <x:c r="AB502" s="41" t="n">
        <x:f>VLOOKUP("Priority|"&amp;O502,'Score settings'!$A$14:$C$43,3,FALSE)/'Score settings'!$B$4*'Score settings'!$D$4</x:f>
        <x:v>15</x:v>
      </x:c>
      <x:c r="AC502" s="41" t="n">
        <x:f>VLOOKUP("Category|"&amp;P502,'Score settings'!$A$14:$C$43,3,FALSE)/'Score settings'!$B$5*'Score settings'!$D$5</x:f>
        <x:v>4</x:v>
      </x:c>
      <x:c r="AD502" s="41" t="n">
        <x:f>VLOOKUP("Area|"&amp;Q502,'Score settings'!$A$14:$C$43,3,FALSE)/'Score settings'!$B$6*'Score settings'!$D$6</x:f>
        <x:v>10</x:v>
      </x:c>
      <x:c r="AE502" s="41" t="n">
        <x:f>VLOOKUP("Benefits|"&amp;IF(AND(ISNUMBER(K502),K502&gt;0,ISNUMBER(G502),G502&gt;0),IF(K502/G502&gt;='Score settings'!$E$17,"3plus",IF(K502/G502&gt;='Score settings'!$E$16,"1.5to3",IF(K502/G502&gt;='Score settings'!$E$15,"0.5to1.5","positive"))),"None"),'Score settings'!$A$14:$C$43,3,FALSE)/'Score settings'!$B$7*'Score settings'!$D$7</x:f>
        <x:v>0</x:v>
      </x:c>
      <x:c r="AF502" s="41" t="n">
        <x:f>VLOOKUP("Waste|"&amp;R502,'Score settings'!$A$14:$C$43,3,FALSE)/'Score settings'!$B$8*'Score settings'!$D$8</x:f>
        <x:v>0</x:v>
      </x:c>
      <x:c r="AG502" s="41" t="n">
        <x:f>(IF(AND(ISNUMBER(M502),M502&gt;0,ISNUMBER(G502),G502&gt;0),IF(M502/G502&gt;='Score settings'!$E$17,'Score settings'!$G$17,IF(M502/G502&gt;='Score settings'!$E$16,'Score settings'!$G$16,IF(M502/G502&gt;='Score settings'!$E$15,'Score settings'!$G$15,'Score settings'!$G$14))),0)/15*'Score settings'!$B$60+IFERROR(VLOOKUP(IF(ISNUMBER(N502),N502,IF(ISNUMBER(L502),L502,0)),'Score settings'!$E$22:$F$26,2,FALSE),0)/10*'Score settings'!$B$61)/'Score settings'!$B$9*'Score settings'!$D$9</x:f>
        <x:v>0</x:v>
      </x:c>
      <x:c r="AH502" s="41" t="n">
        <x:f>IF(B502="","",SUM(AB502:AG502))</x:f>
        <x:v>29</x:v>
      </x:c>
      <x:c r="AI502" s="41" t="str">
        <x:f>IF(NOT(ISNUMBER(AH502)),"Not scored",VLOOKUP(AH502,'Score settings'!$A$47:$C$50,3,TRUE))</x:f>
        <x:v>Discretionary</x:v>
      </x:c>
      <x:c r="AJ502" s="42" t="str">
        <x:f>IF(OR(NOT(ISNUMBER(AH502)),T502&lt;&gt;"Common pot"),"",COUNTIFS($T$4:$T$509,"Common pot",$AH$4:$AH$509,"&gt;"&amp;AH502)+1)</x:f>
      </x:c>
      <x:c r="AK502" s="36" t="str">
        <x:f>IF(B502="","Name missing - not scored",IF(OR(NOT(ISNUMBER(G502)),G502&lt;=0),"Investment missing or zero - review",IF(0=1,"Permanent ID missing - reconcile",IF(AND(ISNUMBER(H502),H502/G502&gt;='Score settings'!$B$58,NOT(ISNUMBER(I502))),"Benefit units need review",IF(OR(R502="EXIT",R502="CHALLENGE"),"Waste decision requires scope resolution",IF("No exact waste match"&lt;&gt;"Name and organisation matched","Waste evidence match needs review","Provisional source score - confirm evidence"))))))</x:f>
        <x:v>Waste evidence match needs review</x:v>
      </x:c>
      <x:c r="AL502" s="36"/>
      <x:c r="AM502" s="40"/>
      <x:c r="AN502" s="39"/>
      <x:c r="AO502" s="40"/>
      <x:c r="AP502" s="40"/>
    </x:row>
    <x:row r="503" ht="15" hidden="0" customHeight="1">
      <x:c r="A503" s="36" t="str">
        <x:v>EW-181</x:v>
      </x:c>
      <x:c r="B503" s="37" t="str">
        <x:v>GALA refactoring (license revenue management)</x:v>
      </x:c>
      <x:c r="C503" s="36" t="str">
        <x:v>EW</x:v>
      </x:c>
      <x:c r="D503" s="36" t="str">
        <x:v>Intellectual Property &amp; Standards (IP&amp;S)​</x:v>
      </x:c>
      <x:c r="E503" s="38" t="n">
        <x:v>1.1</x:v>
      </x:c>
      <x:c r="F503" s="39"/>
      <x:c r="G503" s="38" t="n">
        <x:f>IF(ISNUMBER(F503),F503,IF(E503="","",E503))</x:f>
        <x:v>1.1</x:v>
      </x:c>
      <x:c r="H503" s="38"/>
      <x:c r="I503" s="39"/>
      <x:c r="J503" s="36" t="str">
        <x:v>Risk exposure</x:v>
      </x:c>
      <x:c r="K503" s="38" t="str">
        <x:f>IF(ISNUMBER(I503),I503,IF(OR(NOT(ISNUMBER(H503)),NOT(ISNUMBER(G503)),G503&lt;=0),"",IF(H503/G503&gt;='Score settings'!$B$58,"",IF(J503="Cash savings",H503,IF(J503="Revenue",H503*'Score settings'!$B$55,"")))))</x:f>
      </x:c>
      <x:c r="L503" s="36"/>
      <x:c r="M503" s="39"/>
      <x:c r="N503" s="40"/>
      <x:c r="O503" s="36" t="str">
        <x:v>Must Do</x:v>
      </x:c>
      <x:c r="P503" s="36" t="str">
        <x:v>Decomm</x:v>
      </x:c>
      <x:c r="Q503" s="36" t="str">
        <x:v>Compliance</x:v>
      </x:c>
      <x:c r="R503" s="36" t="str">
        <x:v>NotAssessed</x:v>
      </x:c>
      <x:c r="S503" s="36" t="str"/>
      <x:c r="T503" s="36" t="str">
        <x:v>Common pot</x:v>
      </x:c>
      <x:c r="U503" s="41" t="n">
        <x:f>VLOOKUP("Priority|"&amp;O503,'Score settings'!$A$14:$C$43,2,FALSE)/'Score settings'!$B$4*'Score settings'!$C$4</x:f>
        <x:v>25</x:v>
      </x:c>
      <x:c r="V503" s="41" t="n">
        <x:f>VLOOKUP("Category|"&amp;P503,'Score settings'!$A$14:$C$43,2,FALSE)/'Score settings'!$B$5*'Score settings'!$C$5</x:f>
        <x:v>17</x:v>
      </x:c>
      <x:c r="W503" s="41" t="n">
        <x:f>VLOOKUP("Area|"&amp;Q503,'Score settings'!$A$14:$C$43,2,FALSE)/'Score settings'!$B$6*'Score settings'!$C$6</x:f>
        <x:v>15</x:v>
      </x:c>
      <x:c r="X503" s="41" t="n">
        <x:f>VLOOKUP("Benefits|"&amp;IF(AND(ISNUMBER(H503),H503&gt;0,ISNUMBER(G503),G503&gt;0),IF(H503/G503&gt;='Score settings'!$E$17,"3plus",IF(H503/G503&gt;='Score settings'!$E$16,"1.5to3",IF(H503/G503&gt;='Score settings'!$E$15,"0.5to1.5","positive"))),"None"),'Score settings'!$A$14:$C$43,2,FALSE)/'Score settings'!$B$7*'Score settings'!$C$7</x:f>
        <x:v>5</x:v>
      </x:c>
      <x:c r="Y503" s="41" t="n">
        <x:f>VLOOKUP("Waste|"&amp;R503,'Score settings'!$A$14:$C$43,2,FALSE)/'Score settings'!$B$8*'Score settings'!$C$8</x:f>
        <x:v>7</x:v>
      </x:c>
      <x:c r="Z503" s="41" t="n">
        <x:f>IF(B503="","",SUM(U503:Y503))</x:f>
        <x:v>69</x:v>
      </x:c>
      <x:c r="AA503" s="41" t="str">
        <x:f>IF(Z503="","Not scored",VLOOKUP(Z503,'Score settings'!$A$47:$C$50,2,TRUE))</x:f>
        <x:v>Protected</x:v>
      </x:c>
      <x:c r="AB503" s="41" t="n">
        <x:f>VLOOKUP("Priority|"&amp;O503,'Score settings'!$A$14:$C$43,3,FALSE)/'Score settings'!$B$4*'Score settings'!$D$4</x:f>
        <x:v>15</x:v>
      </x:c>
      <x:c r="AC503" s="41" t="n">
        <x:f>VLOOKUP("Category|"&amp;P503,'Score settings'!$A$14:$C$43,3,FALSE)/'Score settings'!$B$5*'Score settings'!$D$5</x:f>
        <x:v>8.5</x:v>
      </x:c>
      <x:c r="AD503" s="41" t="n">
        <x:f>VLOOKUP("Area|"&amp;Q503,'Score settings'!$A$14:$C$43,3,FALSE)/'Score settings'!$B$6*'Score settings'!$D$6</x:f>
        <x:v>10</x:v>
      </x:c>
      <x:c r="AE503" s="41" t="n">
        <x:f>VLOOKUP("Benefits|"&amp;IF(AND(ISNUMBER(K503),K503&gt;0,ISNUMBER(G503),G503&gt;0),IF(K503/G503&gt;='Score settings'!$E$17,"3plus",IF(K503/G503&gt;='Score settings'!$E$16,"1.5to3",IF(K503/G503&gt;='Score settings'!$E$15,"0.5to1.5","positive"))),"None"),'Score settings'!$A$14:$C$43,3,FALSE)/'Score settings'!$B$7*'Score settings'!$D$7</x:f>
        <x:v>0</x:v>
      </x:c>
      <x:c r="AF503" s="41" t="n">
        <x:f>VLOOKUP("Waste|"&amp;R503,'Score settings'!$A$14:$C$43,3,FALSE)/'Score settings'!$B$8*'Score settings'!$D$8</x:f>
        <x:v>0</x:v>
      </x:c>
      <x:c r="AG503" s="41" t="n">
        <x:f>(IF(AND(ISNUMBER(M503),M503&gt;0,ISNUMBER(G503),G503&gt;0),IF(M503/G503&gt;='Score settings'!$E$17,'Score settings'!$G$17,IF(M503/G503&gt;='Score settings'!$E$16,'Score settings'!$G$16,IF(M503/G503&gt;='Score settings'!$E$15,'Score settings'!$G$15,'Score settings'!$G$14))),0)/15*'Score settings'!$B$60+IFERROR(VLOOKUP(IF(ISNUMBER(N503),N503,IF(ISNUMBER(L503),L503,0)),'Score settings'!$E$22:$F$26,2,FALSE),0)/10*'Score settings'!$B$61)/'Score settings'!$B$9*'Score settings'!$D$9</x:f>
        <x:v>0</x:v>
      </x:c>
      <x:c r="AH503" s="41" t="n">
        <x:f>IF(B503="","",SUM(AB503:AG503))</x:f>
        <x:v>33.5</x:v>
      </x:c>
      <x:c r="AI503" s="41" t="str">
        <x:f>IF(NOT(ISNUMBER(AH503)),"Not scored",VLOOKUP(AH503,'Score settings'!$A$47:$C$50,3,TRUE))</x:f>
        <x:v>Discretionary</x:v>
      </x:c>
      <x:c r="AJ503" s="42" t="n">
        <x:f>IF(OR(NOT(ISNUMBER(AH503)),T503&lt;&gt;"Common pot"),"",COUNTIFS($T$4:$T$509,"Common pot",$AH$4:$AH$509,"&gt;"&amp;AH503)+1)</x:f>
        <x:v>157</x:v>
      </x:c>
      <x:c r="AK503" s="36" t="str">
        <x:f>IF(B503="","Name missing - not scored",IF(OR(NOT(ISNUMBER(G503)),G503&lt;=0),"Investment missing or zero - review",IF(0=1,"Permanent ID missing - reconcile",IF(AND(ISNUMBER(H503),H503/G503&gt;='Score settings'!$B$58,NOT(ISNUMBER(I503))),"Benefit units need review",IF(OR(R503="EXIT",R503="CHALLENGE"),"Waste decision requires scope resolution",IF("No exact waste match"&lt;&gt;"Name and organisation matched","Waste evidence match needs review","Provisional source score - confirm evidence"))))))</x:f>
        <x:v>Waste evidence match needs review</x:v>
      </x:c>
      <x:c r="AL503" s="36"/>
      <x:c r="AM503" s="40"/>
      <x:c r="AN503" s="39"/>
      <x:c r="AO503" s="40"/>
      <x:c r="AP503" s="40"/>
    </x:row>
    <x:row r="504" ht="15" hidden="0" customHeight="1">
      <x:c r="A504" s="36" t="str">
        <x:v>EW-182</x:v>
      </x:c>
      <x:c r="B504" s="37" t="str">
        <x:v>Future State Product Configuration Platform</x:v>
      </x:c>
      <x:c r="C504" s="36" t="str">
        <x:v>EW</x:v>
      </x:c>
      <x:c r="D504" s="36" t="str">
        <x:v>Information Technology ​</x:v>
      </x:c>
      <x:c r="E504" s="38" t="n">
        <x:v>0.7</x:v>
      </x:c>
      <x:c r="F504" s="39"/>
      <x:c r="G504" s="38" t="n">
        <x:f>IF(ISNUMBER(F504),F504,IF(E504="","",E504))</x:f>
        <x:v>0.7</x:v>
      </x:c>
      <x:c r="H504" s="38"/>
      <x:c r="I504" s="39"/>
      <x:c r="J504" s="36" t="str">
        <x:v>Cash savings</x:v>
      </x:c>
      <x:c r="K504" s="38" t="str">
        <x:f>IF(ISNUMBER(I504),I504,IF(OR(NOT(ISNUMBER(H504)),NOT(ISNUMBER(G504)),G504&lt;=0),"",IF(H504/G504&gt;='Score settings'!$B$58,"",IF(J504="Cash savings",H504,IF(J504="Revenue",H504*'Score settings'!$B$55,"")))))</x:f>
      </x:c>
      <x:c r="L504" s="36"/>
      <x:c r="M504" s="39"/>
      <x:c r="N504" s="40"/>
      <x:c r="O504" s="36" t="str">
        <x:v>Must Do</x:v>
      </x:c>
      <x:c r="P504" s="36" t="str">
        <x:v>Decomm</x:v>
      </x:c>
      <x:c r="Q504" s="36" t="str">
        <x:v>Productivity</x:v>
      </x:c>
      <x:c r="R504" s="36" t="str">
        <x:v>NotAssessed</x:v>
      </x:c>
      <x:c r="S504" s="36" t="str"/>
      <x:c r="T504" s="36" t="str">
        <x:v>Common pot</x:v>
      </x:c>
      <x:c r="U504" s="41" t="n">
        <x:f>VLOOKUP("Priority|"&amp;O504,'Score settings'!$A$14:$C$43,2,FALSE)/'Score settings'!$B$4*'Score settings'!$C$4</x:f>
        <x:v>25</x:v>
      </x:c>
      <x:c r="V504" s="41" t="n">
        <x:f>VLOOKUP("Category|"&amp;P504,'Score settings'!$A$14:$C$43,2,FALSE)/'Score settings'!$B$5*'Score settings'!$C$5</x:f>
        <x:v>17</x:v>
      </x:c>
      <x:c r="W504" s="41" t="n">
        <x:f>VLOOKUP("Area|"&amp;Q504,'Score settings'!$A$14:$C$43,2,FALSE)/'Score settings'!$B$6*'Score settings'!$C$6</x:f>
        <x:v>10</x:v>
      </x:c>
      <x:c r="X504" s="41" t="n">
        <x:f>VLOOKUP("Benefits|"&amp;IF(AND(ISNUMBER(H504),H504&gt;0,ISNUMBER(G504),G504&gt;0),IF(H504/G504&gt;='Score settings'!$E$17,"3plus",IF(H504/G504&gt;='Score settings'!$E$16,"1.5to3",IF(H504/G504&gt;='Score settings'!$E$15,"0.5to1.5","positive"))),"None"),'Score settings'!$A$14:$C$43,2,FALSE)/'Score settings'!$B$7*'Score settings'!$C$7</x:f>
        <x:v>5</x:v>
      </x:c>
      <x:c r="Y504" s="41" t="n">
        <x:f>VLOOKUP("Waste|"&amp;R504,'Score settings'!$A$14:$C$43,2,FALSE)/'Score settings'!$B$8*'Score settings'!$C$8</x:f>
        <x:v>7</x:v>
      </x:c>
      <x:c r="Z504" s="41" t="n">
        <x:f>IF(B504="","",SUM(U504:Y504))</x:f>
        <x:v>64</x:v>
      </x:c>
      <x:c r="AA504" s="41" t="str">
        <x:f>IF(Z504="","Not scored",VLOOKUP(Z504,'Score settings'!$A$47:$C$50,2,TRUE))</x:f>
        <x:v>Strong</x:v>
      </x:c>
      <x:c r="AB504" s="41" t="n">
        <x:f>VLOOKUP("Priority|"&amp;O504,'Score settings'!$A$14:$C$43,3,FALSE)/'Score settings'!$B$4*'Score settings'!$D$4</x:f>
        <x:v>15</x:v>
      </x:c>
      <x:c r="AC504" s="41" t="n">
        <x:f>VLOOKUP("Category|"&amp;P504,'Score settings'!$A$14:$C$43,3,FALSE)/'Score settings'!$B$5*'Score settings'!$D$5</x:f>
        <x:v>8.5</x:v>
      </x:c>
      <x:c r="AD504" s="41" t="n">
        <x:f>VLOOKUP("Area|"&amp;Q504,'Score settings'!$A$14:$C$43,3,FALSE)/'Score settings'!$B$6*'Score settings'!$D$6</x:f>
        <x:v>6.666666666666666</x:v>
      </x:c>
      <x:c r="AE504" s="41" t="n">
        <x:f>VLOOKUP("Benefits|"&amp;IF(AND(ISNUMBER(K504),K504&gt;0,ISNUMBER(G504),G504&gt;0),IF(K504/G504&gt;='Score settings'!$E$17,"3plus",IF(K504/G504&gt;='Score settings'!$E$16,"1.5to3",IF(K504/G504&gt;='Score settings'!$E$15,"0.5to1.5","positive"))),"None"),'Score settings'!$A$14:$C$43,3,FALSE)/'Score settings'!$B$7*'Score settings'!$D$7</x:f>
        <x:v>0</x:v>
      </x:c>
      <x:c r="AF504" s="41" t="n">
        <x:f>VLOOKUP("Waste|"&amp;R504,'Score settings'!$A$14:$C$43,3,FALSE)/'Score settings'!$B$8*'Score settings'!$D$8</x:f>
        <x:v>0</x:v>
      </x:c>
      <x:c r="AG504" s="41" t="n">
        <x:f>(IF(AND(ISNUMBER(M504),M504&gt;0,ISNUMBER(G504),G504&gt;0),IF(M504/G504&gt;='Score settings'!$E$17,'Score settings'!$G$17,IF(M504/G504&gt;='Score settings'!$E$16,'Score settings'!$G$16,IF(M504/G504&gt;='Score settings'!$E$15,'Score settings'!$G$15,'Score settings'!$G$14))),0)/15*'Score settings'!$B$60+IFERROR(VLOOKUP(IF(ISNUMBER(N504),N504,IF(ISNUMBER(L504),L504,0)),'Score settings'!$E$22:$F$26,2,FALSE),0)/10*'Score settings'!$B$61)/'Score settings'!$B$9*'Score settings'!$D$9</x:f>
        <x:v>0</x:v>
      </x:c>
      <x:c r="AH504" s="41" t="n">
        <x:f>IF(B504="","",SUM(AB504:AG504))</x:f>
        <x:v>30.166666666666664</x:v>
      </x:c>
      <x:c r="AI504" s="41" t="str">
        <x:f>IF(NOT(ISNUMBER(AH504)),"Not scored",VLOOKUP(AH504,'Score settings'!$A$47:$C$50,3,TRUE))</x:f>
        <x:v>Discretionary</x:v>
      </x:c>
      <x:c r="AJ504" s="42" t="n">
        <x:f>IF(OR(NOT(ISNUMBER(AH504)),T504&lt;&gt;"Common pot"),"",COUNTIFS($T$4:$T$509,"Common pot",$AH$4:$AH$509,"&gt;"&amp;AH504)+1)</x:f>
        <x:v>184</x:v>
      </x:c>
      <x:c r="AK504" s="36" t="str">
        <x:f>IF(B504="","Name missing - not scored",IF(OR(NOT(ISNUMBER(G504)),G504&lt;=0),"Investment missing or zero - review",IF(0=1,"Permanent ID missing - reconcile",IF(AND(ISNUMBER(H504),H504/G504&gt;='Score settings'!$B$58,NOT(ISNUMBER(I504))),"Benefit units need review",IF(OR(R504="EXIT",R504="CHALLENGE"),"Waste decision requires scope resolution",IF("Name and organisation matched"&lt;&gt;"Name and organisation matched","Waste evidence match needs review","Provisional source score - confirm evidence"))))))</x:f>
        <x:v>Provisional source score - confirm evidence</x:v>
      </x:c>
      <x:c r="AL504" s="36"/>
      <x:c r="AM504" s="40"/>
      <x:c r="AN504" s="39"/>
      <x:c r="AO504" s="40"/>
      <x:c r="AP504" s="40"/>
    </x:row>
    <x:row r="505" ht="15" hidden="0" customHeight="1">
      <x:c r="A505" s="36" t="str">
        <x:v>EW-183</x:v>
      </x:c>
      <x:c r="B505" s="37" t="str">
        <x:v>FIN - Internal Controls Automation</x:v>
      </x:c>
      <x:c r="C505" s="36" t="str">
        <x:v>EW</x:v>
      </x:c>
      <x:c r="D505" s="36" t="str">
        <x:v>Finance​</x:v>
      </x:c>
      <x:c r="E505" s="38" t="n">
        <x:v>0.15</x:v>
      </x:c>
      <x:c r="F505" s="39"/>
      <x:c r="G505" s="38" t="n">
        <x:f>IF(ISNUMBER(F505),F505,IF(E505="","",E505))</x:f>
        <x:v>0.15</x:v>
      </x:c>
      <x:c r="H505" s="38"/>
      <x:c r="I505" s="39"/>
      <x:c r="J505" s="36" t="str">
        <x:v>Cash savings</x:v>
      </x:c>
      <x:c r="K505" s="38" t="str">
        <x:f>IF(ISNUMBER(I505),I505,IF(OR(NOT(ISNUMBER(H505)),NOT(ISNUMBER(G505)),G505&lt;=0),"",IF(H505/G505&gt;='Score settings'!$B$58,"",IF(J505="Cash savings",H505,IF(J505="Revenue",H505*'Score settings'!$B$55,"")))))</x:f>
      </x:c>
      <x:c r="L505" s="36"/>
      <x:c r="M505" s="39"/>
      <x:c r="N505" s="40"/>
      <x:c r="O505" s="36" t="str">
        <x:v>Must Do</x:v>
      </x:c>
      <x:c r="P505" s="36" t="str">
        <x:v>CI</x:v>
      </x:c>
      <x:c r="Q505" s="36" t="str">
        <x:v>Productivity</x:v>
      </x:c>
      <x:c r="R505" s="36" t="str">
        <x:v>NotAssessed</x:v>
      </x:c>
      <x:c r="S505" s="36" t="str"/>
      <x:c r="T505" s="36" t="str">
        <x:v>Common pot</x:v>
      </x:c>
      <x:c r="U505" s="41" t="n">
        <x:f>VLOOKUP("Priority|"&amp;O505,'Score settings'!$A$14:$C$43,2,FALSE)/'Score settings'!$B$4*'Score settings'!$C$4</x:f>
        <x:v>25</x:v>
      </x:c>
      <x:c r="V505" s="41" t="n">
        <x:f>VLOOKUP("Category|"&amp;P505,'Score settings'!$A$14:$C$43,2,FALSE)/'Score settings'!$B$5*'Score settings'!$C$5</x:f>
        <x:v>8</x:v>
      </x:c>
      <x:c r="W505" s="41" t="n">
        <x:f>VLOOKUP("Area|"&amp;Q505,'Score settings'!$A$14:$C$43,2,FALSE)/'Score settings'!$B$6*'Score settings'!$C$6</x:f>
        <x:v>10</x:v>
      </x:c>
      <x:c r="X505" s="41" t="n">
        <x:f>VLOOKUP("Benefits|"&amp;IF(AND(ISNUMBER(H505),H505&gt;0,ISNUMBER(G505),G505&gt;0),IF(H505/G505&gt;='Score settings'!$E$17,"3plus",IF(H505/G505&gt;='Score settings'!$E$16,"1.5to3",IF(H505/G505&gt;='Score settings'!$E$15,"0.5to1.5","positive"))),"None"),'Score settings'!$A$14:$C$43,2,FALSE)/'Score settings'!$B$7*'Score settings'!$C$7</x:f>
        <x:v>5</x:v>
      </x:c>
      <x:c r="Y505" s="41" t="n">
        <x:f>VLOOKUP("Waste|"&amp;R505,'Score settings'!$A$14:$C$43,2,FALSE)/'Score settings'!$B$8*'Score settings'!$C$8</x:f>
        <x:v>7</x:v>
      </x:c>
      <x:c r="Z505" s="41" t="n">
        <x:f>IF(B505="","",SUM(U505:Y505))</x:f>
        <x:v>55</x:v>
      </x:c>
      <x:c r="AA505" s="41" t="str">
        <x:f>IF(Z505="","Not scored",VLOOKUP(Z505,'Score settings'!$A$47:$C$50,2,TRUE))</x:f>
        <x:v>Strong</x:v>
      </x:c>
      <x:c r="AB505" s="41" t="n">
        <x:f>VLOOKUP("Priority|"&amp;O505,'Score settings'!$A$14:$C$43,3,FALSE)/'Score settings'!$B$4*'Score settings'!$D$4</x:f>
        <x:v>15</x:v>
      </x:c>
      <x:c r="AC505" s="41" t="n">
        <x:f>VLOOKUP("Category|"&amp;P505,'Score settings'!$A$14:$C$43,3,FALSE)/'Score settings'!$B$5*'Score settings'!$D$5</x:f>
        <x:v>4</x:v>
      </x:c>
      <x:c r="AD505" s="41" t="n">
        <x:f>VLOOKUP("Area|"&amp;Q505,'Score settings'!$A$14:$C$43,3,FALSE)/'Score settings'!$B$6*'Score settings'!$D$6</x:f>
        <x:v>6.666666666666666</x:v>
      </x:c>
      <x:c r="AE505" s="41" t="n">
        <x:f>VLOOKUP("Benefits|"&amp;IF(AND(ISNUMBER(K505),K505&gt;0,ISNUMBER(G505),G505&gt;0),IF(K505/G505&gt;='Score settings'!$E$17,"3plus",IF(K505/G505&gt;='Score settings'!$E$16,"1.5to3",IF(K505/G505&gt;='Score settings'!$E$15,"0.5to1.5","positive"))),"None"),'Score settings'!$A$14:$C$43,3,FALSE)/'Score settings'!$B$7*'Score settings'!$D$7</x:f>
        <x:v>0</x:v>
      </x:c>
      <x:c r="AF505" s="41" t="n">
        <x:f>VLOOKUP("Waste|"&amp;R505,'Score settings'!$A$14:$C$43,3,FALSE)/'Score settings'!$B$8*'Score settings'!$D$8</x:f>
        <x:v>0</x:v>
      </x:c>
      <x:c r="AG505" s="41" t="n">
        <x:f>(IF(AND(ISNUMBER(M505),M505&gt;0,ISNUMBER(G505),G505&gt;0),IF(M505/G505&gt;='Score settings'!$E$17,'Score settings'!$G$17,IF(M505/G505&gt;='Score settings'!$E$16,'Score settings'!$G$16,IF(M505/G505&gt;='Score settings'!$E$15,'Score settings'!$G$15,'Score settings'!$G$14))),0)/15*'Score settings'!$B$60+IFERROR(VLOOKUP(IF(ISNUMBER(N505),N505,IF(ISNUMBER(L505),L505,0)),'Score settings'!$E$22:$F$26,2,FALSE),0)/10*'Score settings'!$B$61)/'Score settings'!$B$9*'Score settings'!$D$9</x:f>
        <x:v>0</x:v>
      </x:c>
      <x:c r="AH505" s="41" t="n">
        <x:f>IF(B505="","",SUM(AB505:AG505))</x:f>
        <x:v>25.666666666666664</x:v>
      </x:c>
      <x:c r="AI505" s="41" t="str">
        <x:f>IF(NOT(ISNUMBER(AH505)),"Not scored",VLOOKUP(AH505,'Score settings'!$A$47:$C$50,3,TRUE))</x:f>
        <x:v>Discretionary</x:v>
      </x:c>
      <x:c r="AJ505" s="42" t="n">
        <x:f>IF(OR(NOT(ISNUMBER(AH505)),T505&lt;&gt;"Common pot"),"",COUNTIFS($T$4:$T$509,"Common pot",$AH$4:$AH$509,"&gt;"&amp;AH505)+1)</x:f>
        <x:v>247</x:v>
      </x:c>
      <x:c r="AK505" s="36" t="str">
        <x:f>IF(B505="","Name missing - not scored",IF(OR(NOT(ISNUMBER(G505)),G505&lt;=0),"Investment missing or zero - review",IF(0=1,"Permanent ID missing - reconcile",IF(AND(ISNUMBER(H505),H505/G505&gt;='Score settings'!$B$58,NOT(ISNUMBER(I505))),"Benefit units need review",IF(OR(R505="EXIT",R505="CHALLENGE"),"Waste decision requires scope resolution",IF("Name and organisation matched"&lt;&gt;"Name and organisation matched","Waste evidence match needs review","Provisional source score - confirm evidence"))))))</x:f>
        <x:v>Provisional source score - confirm evidence</x:v>
      </x:c>
      <x:c r="AL505" s="36"/>
      <x:c r="AM505" s="40"/>
      <x:c r="AN505" s="39"/>
      <x:c r="AO505" s="40"/>
      <x:c r="AP505" s="40"/>
    </x:row>
    <x:row r="506" ht="15" hidden="0" customHeight="1">
      <x:c r="A506" s="36" t="str">
        <x:v>EW-unassigned-row-354</x:v>
      </x:c>
      <x:c r="B506" s="37" t="str">
        <x:v>ISC - Hardware Refresh 3 Sites</x:v>
      </x:c>
      <x:c r="C506" s="36" t="str">
        <x:v>EW</x:v>
      </x:c>
      <x:c r="D506" s="36" t="str">
        <x:v>Information Technology ​</x:v>
      </x:c>
      <x:c r="E506" s="38" t="n">
        <x:v>4</x:v>
      </x:c>
      <x:c r="F506" s="39"/>
      <x:c r="G506" s="38" t="n">
        <x:f>IF(ISNUMBER(F506),F506,IF(E506="","",E506))</x:f>
        <x:v>4</x:v>
      </x:c>
      <x:c r="H506" s="38" t="n">
        <x:v>0.87</x:v>
      </x:c>
      <x:c r="I506" s="39"/>
      <x:c r="J506" s="36" t="str">
        <x:v>Risk exposure</x:v>
      </x:c>
      <x:c r="K506" s="38" t="str">
        <x:f>IF(ISNUMBER(I506),I506,IF(OR(NOT(ISNUMBER(H506)),NOT(ISNUMBER(G506)),G506&lt;=0),"",IF(H506/G506&gt;='Score settings'!$B$58,"",IF(J506="Cash savings",H506,IF(J506="Revenue",H506*'Score settings'!$B$55,"")))))</x:f>
      </x:c>
      <x:c r="L506" s="36"/>
      <x:c r="M506" s="39"/>
      <x:c r="N506" s="40"/>
      <x:c r="O506" s="36" t="str">
        <x:v>Must Do</x:v>
      </x:c>
      <x:c r="P506" s="36" t="str">
        <x:v>NewTech</x:v>
      </x:c>
      <x:c r="Q506" s="36" t="str">
        <x:v>Compliance</x:v>
      </x:c>
      <x:c r="R506" s="36" t="str">
        <x:v>HEALTHY</x:v>
      </x:c>
      <x:c r="S506" s="36" t="str"/>
      <x:c r="T506" s="36" t="str">
        <x:v>Common pot</x:v>
      </x:c>
      <x:c r="U506" s="41" t="n">
        <x:f>VLOOKUP("Priority|"&amp;O506,'Score settings'!$A$14:$C$43,2,FALSE)/'Score settings'!$B$4*'Score settings'!$C$4</x:f>
        <x:v>25</x:v>
      </x:c>
      <x:c r="V506" s="41" t="n">
        <x:f>VLOOKUP("Category|"&amp;P506,'Score settings'!$A$14:$C$43,2,FALSE)/'Score settings'!$B$5*'Score settings'!$C$5</x:f>
        <x:v>5</x:v>
      </x:c>
      <x:c r="W506" s="41" t="n">
        <x:f>VLOOKUP("Area|"&amp;Q506,'Score settings'!$A$14:$C$43,2,FALSE)/'Score settings'!$B$6*'Score settings'!$C$6</x:f>
        <x:v>15</x:v>
      </x:c>
      <x:c r="X506" s="41" t="n">
        <x:f>VLOOKUP("Benefits|"&amp;IF(AND(ISNUMBER(H506),H506&gt;0,ISNUMBER(G506),G506&gt;0),IF(H506/G506&gt;='Score settings'!$E$17,"3plus",IF(H506/G506&gt;='Score settings'!$E$16,"1.5to3",IF(H506/G506&gt;='Score settings'!$E$15,"0.5to1.5","positive"))),"None"),'Score settings'!$A$14:$C$43,2,FALSE)/'Score settings'!$B$7*'Score settings'!$C$7</x:f>
        <x:v>10</x:v>
      </x:c>
      <x:c r="Y506" s="41" t="n">
        <x:f>VLOOKUP("Waste|"&amp;R506,'Score settings'!$A$14:$C$43,2,FALSE)/'Score settings'!$B$8*'Score settings'!$C$8</x:f>
        <x:v>15</x:v>
      </x:c>
      <x:c r="Z506" s="41" t="n">
        <x:f>IF(B506="","",SUM(U506:Y506))</x:f>
        <x:v>70</x:v>
      </x:c>
      <x:c r="AA506" s="41" t="str">
        <x:f>IF(Z506="","Not scored",VLOOKUP(Z506,'Score settings'!$A$47:$C$50,2,TRUE))</x:f>
        <x:v>Protected</x:v>
      </x:c>
      <x:c r="AB506" s="41" t="n">
        <x:f>VLOOKUP("Priority|"&amp;O506,'Score settings'!$A$14:$C$43,3,FALSE)/'Score settings'!$B$4*'Score settings'!$D$4</x:f>
        <x:v>15</x:v>
      </x:c>
      <x:c r="AC506" s="41" t="n">
        <x:f>VLOOKUP("Category|"&amp;P506,'Score settings'!$A$14:$C$43,3,FALSE)/'Score settings'!$B$5*'Score settings'!$D$5</x:f>
        <x:v>2.5</x:v>
      </x:c>
      <x:c r="AD506" s="41" t="n">
        <x:f>VLOOKUP("Area|"&amp;Q506,'Score settings'!$A$14:$C$43,3,FALSE)/'Score settings'!$B$6*'Score settings'!$D$6</x:f>
        <x:v>10</x:v>
      </x:c>
      <x:c r="AE506" s="41" t="n">
        <x:f>VLOOKUP("Benefits|"&amp;IF(AND(ISNUMBER(K506),K506&gt;0,ISNUMBER(G506),G506&gt;0),IF(K506/G506&gt;='Score settings'!$E$17,"3plus",IF(K506/G506&gt;='Score settings'!$E$16,"1.5to3",IF(K506/G506&gt;='Score settings'!$E$15,"0.5to1.5","positive"))),"None"),'Score settings'!$A$14:$C$43,3,FALSE)/'Score settings'!$B$7*'Score settings'!$D$7</x:f>
        <x:v>0</x:v>
      </x:c>
      <x:c r="AF506" s="41" t="n">
        <x:f>VLOOKUP("Waste|"&amp;R506,'Score settings'!$A$14:$C$43,3,FALSE)/'Score settings'!$B$8*'Score settings'!$D$8</x:f>
        <x:v>10</x:v>
      </x:c>
      <x:c r="AG506" s="41" t="n">
        <x:f>(IF(AND(ISNUMBER(M506),M506&gt;0,ISNUMBER(G506),G506&gt;0),IF(M506/G506&gt;='Score settings'!$E$17,'Score settings'!$G$17,IF(M506/G506&gt;='Score settings'!$E$16,'Score settings'!$G$16,IF(M506/G506&gt;='Score settings'!$E$15,'Score settings'!$G$15,'Score settings'!$G$14))),0)/15*'Score settings'!$B$60+IFERROR(VLOOKUP(IF(ISNUMBER(N506),N506,IF(ISNUMBER(L506),L506,0)),'Score settings'!$E$22:$F$26,2,FALSE),0)/10*'Score settings'!$B$61)/'Score settings'!$B$9*'Score settings'!$D$9</x:f>
        <x:v>0</x:v>
      </x:c>
      <x:c r="AH506" s="41" t="n">
        <x:f>IF(B506="","",SUM(AB506:AG506))</x:f>
        <x:v>37.5</x:v>
      </x:c>
      <x:c r="AI506" s="41" t="str">
        <x:f>IF(NOT(ISNUMBER(AH506)),"Not scored",VLOOKUP(AH506,'Score settings'!$A$47:$C$50,3,TRUE))</x:f>
        <x:v>Discretionary</x:v>
      </x:c>
      <x:c r="AJ506" s="42" t="n">
        <x:f>IF(OR(NOT(ISNUMBER(AH506)),T506&lt;&gt;"Common pot"),"",COUNTIFS($T$4:$T$509,"Common pot",$AH$4:$AH$509,"&gt;"&amp;AH506)+1)</x:f>
        <x:v>116</x:v>
      </x:c>
      <x:c r="AK506" s="36" t="str">
        <x:f>IF(B506="","Name missing - not scored",IF(OR(NOT(ISNUMBER(G506)),G506&lt;=0),"Investment missing or zero - review",IF(1=1,"Permanent ID missing - reconcile",IF(AND(ISNUMBER(H506),H506/G506&gt;='Score settings'!$B$58,NOT(ISNUMBER(I506))),"Benefit units need review",IF(OR(R506="EXIT",R506="CHALLENGE"),"Waste decision requires scope resolution",IF("Name and organisation matched"&lt;&gt;"Name and organisation matched","Waste evidence match needs review","Provisional source score - confirm evidence"))))))</x:f>
        <x:v>Permanent ID missing - reconcile</x:v>
      </x:c>
      <x:c r="AL506" s="36"/>
      <x:c r="AM506" s="40"/>
      <x:c r="AN506" s="39"/>
      <x:c r="AO506" s="40"/>
      <x:c r="AP506" s="40"/>
    </x:row>
    <x:row r="507" ht="15" hidden="0" customHeight="1">
      <x:c r="A507" s="36" t="str">
        <x:v>EW-unassigned-row-355</x:v>
      </x:c>
      <x:c r="B507" s="37" t="str">
        <x:v>ISC - Stable MES</x:v>
      </x:c>
      <x:c r="C507" s="36" t="str">
        <x:v>EW</x:v>
      </x:c>
      <x:c r="D507" s="36" t="str">
        <x:v>Information Technology ​</x:v>
      </x:c>
      <x:c r="E507" s="38" t="n">
        <x:v>0.5</x:v>
      </x:c>
      <x:c r="F507" s="39"/>
      <x:c r="G507" s="38" t="n">
        <x:f>IF(ISNUMBER(F507),F507,IF(E507="","",E507))</x:f>
        <x:v>0.5</x:v>
      </x:c>
      <x:c r="H507" s="38"/>
      <x:c r="I507" s="39"/>
      <x:c r="J507" s="36" t="str">
        <x:v>Risk exposure</x:v>
      </x:c>
      <x:c r="K507" s="38" t="str">
        <x:f>IF(ISNUMBER(I507),I507,IF(OR(NOT(ISNUMBER(H507)),NOT(ISNUMBER(G507)),G507&lt;=0),"",IF(H507/G507&gt;='Score settings'!$B$58,"",IF(J507="Cash savings",H507,IF(J507="Revenue",H507*'Score settings'!$B$55,"")))))</x:f>
      </x:c>
      <x:c r="L507" s="36"/>
      <x:c r="M507" s="39"/>
      <x:c r="N507" s="40"/>
      <x:c r="O507" s="36" t="str">
        <x:v>Must Have</x:v>
      </x:c>
      <x:c r="P507" s="36" t="str">
        <x:v>Blank</x:v>
      </x:c>
      <x:c r="Q507" s="36" t="str">
        <x:v>Compliance</x:v>
      </x:c>
      <x:c r="R507" s="36" t="str">
        <x:v>CONTAIN</x:v>
      </x:c>
      <x:c r="S507" s="36" t="str"/>
      <x:c r="T507" s="36" t="str">
        <x:v>Common pot</x:v>
      </x:c>
      <x:c r="U507" s="41" t="n">
        <x:f>VLOOKUP("Priority|"&amp;O507,'Score settings'!$A$14:$C$43,2,FALSE)/'Score settings'!$B$4*'Score settings'!$C$4</x:f>
        <x:v>18</x:v>
      </x:c>
      <x:c r="V507" s="41" t="n">
        <x:f>VLOOKUP("Category|"&amp;P507,'Score settings'!$A$14:$C$43,2,FALSE)/'Score settings'!$B$5*'Score settings'!$C$5</x:f>
        <x:v>4</x:v>
      </x:c>
      <x:c r="W507" s="41" t="n">
        <x:f>VLOOKUP("Area|"&amp;Q507,'Score settings'!$A$14:$C$43,2,FALSE)/'Score settings'!$B$6*'Score settings'!$C$6</x:f>
        <x:v>15</x:v>
      </x:c>
      <x:c r="X507" s="41" t="n">
        <x:f>VLOOKUP("Benefits|"&amp;IF(AND(ISNUMBER(H507),H507&gt;0,ISNUMBER(G507),G507&gt;0),IF(H507/G507&gt;='Score settings'!$E$17,"3plus",IF(H507/G507&gt;='Score settings'!$E$16,"1.5to3",IF(H507/G507&gt;='Score settings'!$E$15,"0.5to1.5","positive"))),"None"),'Score settings'!$A$14:$C$43,2,FALSE)/'Score settings'!$B$7*'Score settings'!$C$7</x:f>
        <x:v>5</x:v>
      </x:c>
      <x:c r="Y507" s="41" t="n">
        <x:f>VLOOKUP("Waste|"&amp;R507,'Score settings'!$A$14:$C$43,2,FALSE)/'Score settings'!$B$8*'Score settings'!$C$8</x:f>
        <x:v>9</x:v>
      </x:c>
      <x:c r="Z507" s="41" t="n">
        <x:f>IF(B507="","",SUM(U507:Y507))</x:f>
        <x:v>51</x:v>
      </x:c>
      <x:c r="AA507" s="41" t="str">
        <x:f>IF(Z507="","Not scored",VLOOKUP(Z507,'Score settings'!$A$47:$C$50,2,TRUE))</x:f>
        <x:v>Strong</x:v>
      </x:c>
      <x:c r="AB507" s="41" t="n">
        <x:f>VLOOKUP("Priority|"&amp;O507,'Score settings'!$A$14:$C$43,3,FALSE)/'Score settings'!$B$4*'Score settings'!$D$4</x:f>
        <x:v>10.799999999999999</x:v>
      </x:c>
      <x:c r="AC507" s="41" t="n">
        <x:f>VLOOKUP("Category|"&amp;P507,'Score settings'!$A$14:$C$43,3,FALSE)/'Score settings'!$B$5*'Score settings'!$D$5</x:f>
        <x:v>0</x:v>
      </x:c>
      <x:c r="AD507" s="41" t="n">
        <x:f>VLOOKUP("Area|"&amp;Q507,'Score settings'!$A$14:$C$43,3,FALSE)/'Score settings'!$B$6*'Score settings'!$D$6</x:f>
        <x:v>10</x:v>
      </x:c>
      <x:c r="AE507" s="41" t="n">
        <x:f>VLOOKUP("Benefits|"&amp;IF(AND(ISNUMBER(K507),K507&gt;0,ISNUMBER(G507),G507&gt;0),IF(K507/G507&gt;='Score settings'!$E$17,"3plus",IF(K507/G507&gt;='Score settings'!$E$16,"1.5to3",IF(K507/G507&gt;='Score settings'!$E$15,"0.5to1.5","positive"))),"None"),'Score settings'!$A$14:$C$43,3,FALSE)/'Score settings'!$B$7*'Score settings'!$D$7</x:f>
        <x:v>0</x:v>
      </x:c>
      <x:c r="AF507" s="41" t="n">
        <x:f>VLOOKUP("Waste|"&amp;R507,'Score settings'!$A$14:$C$43,3,FALSE)/'Score settings'!$B$8*'Score settings'!$D$8</x:f>
        <x:v>6</x:v>
      </x:c>
      <x:c r="AG507" s="41" t="n">
        <x:f>(IF(AND(ISNUMBER(M507),M507&gt;0,ISNUMBER(G507),G507&gt;0),IF(M507/G507&gt;='Score settings'!$E$17,'Score settings'!$G$17,IF(M507/G507&gt;='Score settings'!$E$16,'Score settings'!$G$16,IF(M507/G507&gt;='Score settings'!$E$15,'Score settings'!$G$15,'Score settings'!$G$14))),0)/15*'Score settings'!$B$60+IFERROR(VLOOKUP(IF(ISNUMBER(N507),N507,IF(ISNUMBER(L507),L507,0)),'Score settings'!$E$22:$F$26,2,FALSE),0)/10*'Score settings'!$B$61)/'Score settings'!$B$9*'Score settings'!$D$9</x:f>
        <x:v>0</x:v>
      </x:c>
      <x:c r="AH507" s="41" t="n">
        <x:f>IF(B507="","",SUM(AB507:AG507))</x:f>
        <x:v>26.799999999999997</x:v>
      </x:c>
      <x:c r="AI507" s="41" t="str">
        <x:f>IF(NOT(ISNUMBER(AH507)),"Not scored",VLOOKUP(AH507,'Score settings'!$A$47:$C$50,3,TRUE))</x:f>
        <x:v>Discretionary</x:v>
      </x:c>
      <x:c r="AJ507" s="42" t="n">
        <x:f>IF(OR(NOT(ISNUMBER(AH507)),T507&lt;&gt;"Common pot"),"",COUNTIFS($T$4:$T$509,"Common pot",$AH$4:$AH$509,"&gt;"&amp;AH507)+1)</x:f>
        <x:v>230</x:v>
      </x:c>
      <x:c r="AK507" s="36" t="str">
        <x:f>IF(B507="","Name missing - not scored",IF(OR(NOT(ISNUMBER(G507)),G507&lt;=0),"Investment missing or zero - review",IF(1=1,"Permanent ID missing - reconcile",IF(AND(ISNUMBER(H507),H507/G507&gt;='Score settings'!$B$58,NOT(ISNUMBER(I507))),"Benefit units need review",IF(OR(R507="EXIT",R507="CHALLENGE"),"Waste decision requires scope resolution",IF("Name and organisation matched"&lt;&gt;"Name and organisation matched","Waste evidence match needs review","Provisional source score - confirm evidence"))))))</x:f>
        <x:v>Permanent ID missing - reconcile</x:v>
      </x:c>
      <x:c r="AL507" s="36"/>
      <x:c r="AM507" s="40"/>
      <x:c r="AN507" s="39"/>
      <x:c r="AO507" s="40"/>
      <x:c r="AP507" s="40"/>
    </x:row>
    <x:row r="508" ht="15" hidden="0" customHeight="1">
      <x:c r="A508" s="36" t="str">
        <x:v>EW-unassigned-row-356</x:v>
      </x:c>
      <x:c r="B508" s="37" t="str">
        <x:v>Agent Atelier</x:v>
      </x:c>
      <x:c r="C508" s="36" t="str">
        <x:v>EW</x:v>
      </x:c>
      <x:c r="D508" s="36" t="str">
        <x:v>Innovation and Design Business Operations</x:v>
      </x:c>
      <x:c r="E508" s="38" t="n">
        <x:v>0.075</x:v>
      </x:c>
      <x:c r="F508" s="39"/>
      <x:c r="G508" s="38" t="n">
        <x:f>IF(ISNUMBER(F508),F508,IF(E508="","",E508))</x:f>
        <x:v>0.075</x:v>
      </x:c>
      <x:c r="H508" s="38" t="n">
        <x:v>0.4</x:v>
      </x:c>
      <x:c r="I508" s="39"/>
      <x:c r="J508" s="36" t="str">
        <x:v>Cash savings</x:v>
      </x:c>
      <x:c r="K508" s="38" t="n">
        <x:f>IF(ISNUMBER(I508),I508,IF(OR(NOT(ISNUMBER(H508)),NOT(ISNUMBER(G508)),G508&lt;=0),"",IF(H508/G508&gt;='Score settings'!$B$58,"",IF(J508="Cash savings",H508,IF(J508="Revenue",H508*'Score settings'!$B$55,"")))))</x:f>
        <x:v>0.4</x:v>
      </x:c>
      <x:c r="L508" s="36"/>
      <x:c r="M508" s="39"/>
      <x:c r="N508" s="40"/>
      <x:c r="O508" s="36" t="str">
        <x:v>Must Have</x:v>
      </x:c>
      <x:c r="P508" s="36" t="str">
        <x:v>CI</x:v>
      </x:c>
      <x:c r="Q508" s="36" t="str">
        <x:v>ProcSimp</x:v>
      </x:c>
      <x:c r="R508" s="36" t="str">
        <x:v>NotAssessed</x:v>
      </x:c>
      <x:c r="S508" s="36" t="str"/>
      <x:c r="T508" s="36" t="str">
        <x:v>Common pot</x:v>
      </x:c>
      <x:c r="U508" s="41" t="n">
        <x:f>VLOOKUP("Priority|"&amp;O508,'Score settings'!$A$14:$C$43,2,FALSE)/'Score settings'!$B$4*'Score settings'!$C$4</x:f>
        <x:v>18</x:v>
      </x:c>
      <x:c r="V508" s="41" t="n">
        <x:f>VLOOKUP("Category|"&amp;P508,'Score settings'!$A$14:$C$43,2,FALSE)/'Score settings'!$B$5*'Score settings'!$C$5</x:f>
        <x:v>8</x:v>
      </x:c>
      <x:c r="W508" s="41" t="n">
        <x:f>VLOOKUP("Area|"&amp;Q508,'Score settings'!$A$14:$C$43,2,FALSE)/'Score settings'!$B$6*'Score settings'!$C$6</x:f>
        <x:v>12</x:v>
      </x:c>
      <x:c r="X508" s="41" t="n">
        <x:f>VLOOKUP("Benefits|"&amp;IF(AND(ISNUMBER(H508),H508&gt;0,ISNUMBER(G508),G508&gt;0),IF(H508/G508&gt;='Score settings'!$E$17,"3plus",IF(H508/G508&gt;='Score settings'!$E$16,"1.5to3",IF(H508/G508&gt;='Score settings'!$E$15,"0.5to1.5","positive"))),"None"),'Score settings'!$A$14:$C$43,2,FALSE)/'Score settings'!$B$7*'Score settings'!$C$7</x:f>
        <x:v>25</x:v>
      </x:c>
      <x:c r="Y508" s="41" t="n">
        <x:f>VLOOKUP("Waste|"&amp;R508,'Score settings'!$A$14:$C$43,2,FALSE)/'Score settings'!$B$8*'Score settings'!$C$8</x:f>
        <x:v>7</x:v>
      </x:c>
      <x:c r="Z508" s="41" t="n">
        <x:f>IF(B508="","",SUM(U508:Y508))</x:f>
        <x:v>70</x:v>
      </x:c>
      <x:c r="AA508" s="41" t="str">
        <x:f>IF(Z508="","Not scored",VLOOKUP(Z508,'Score settings'!$A$47:$C$50,2,TRUE))</x:f>
        <x:v>Protected</x:v>
      </x:c>
      <x:c r="AB508" s="41" t="n">
        <x:f>VLOOKUP("Priority|"&amp;O508,'Score settings'!$A$14:$C$43,3,FALSE)/'Score settings'!$B$4*'Score settings'!$D$4</x:f>
        <x:v>10.799999999999999</x:v>
      </x:c>
      <x:c r="AC508" s="41" t="n">
        <x:f>VLOOKUP("Category|"&amp;P508,'Score settings'!$A$14:$C$43,3,FALSE)/'Score settings'!$B$5*'Score settings'!$D$5</x:f>
        <x:v>4</x:v>
      </x:c>
      <x:c r="AD508" s="41" t="n">
        <x:f>VLOOKUP("Area|"&amp;Q508,'Score settings'!$A$14:$C$43,3,FALSE)/'Score settings'!$B$6*'Score settings'!$D$6</x:f>
        <x:v>8</x:v>
      </x:c>
      <x:c r="AE508" s="41" t="n">
        <x:f>VLOOKUP("Benefits|"&amp;IF(AND(ISNUMBER(K508),K508&gt;0,ISNUMBER(G508),G508&gt;0),IF(K508/G508&gt;='Score settings'!$E$17,"3plus",IF(K508/G508&gt;='Score settings'!$E$16,"1.5to3",IF(K508/G508&gt;='Score settings'!$E$15,"0.5to1.5","positive"))),"None"),'Score settings'!$A$14:$C$43,3,FALSE)/'Score settings'!$B$7*'Score settings'!$D$7</x:f>
        <x:v>30</x:v>
      </x:c>
      <x:c r="AF508" s="41" t="n">
        <x:f>VLOOKUP("Waste|"&amp;R508,'Score settings'!$A$14:$C$43,3,FALSE)/'Score settings'!$B$8*'Score settings'!$D$8</x:f>
        <x:v>0</x:v>
      </x:c>
      <x:c r="AG508" s="41" t="n">
        <x:f>(IF(AND(ISNUMBER(M508),M508&gt;0,ISNUMBER(G508),G508&gt;0),IF(M508/G508&gt;='Score settings'!$E$17,'Score settings'!$G$17,IF(M508/G508&gt;='Score settings'!$E$16,'Score settings'!$G$16,IF(M508/G508&gt;='Score settings'!$E$15,'Score settings'!$G$15,'Score settings'!$G$14))),0)/15*'Score settings'!$B$60+IFERROR(VLOOKUP(IF(ISNUMBER(N508),N508,IF(ISNUMBER(L508),L508,0)),'Score settings'!$E$22:$F$26,2,FALSE),0)/10*'Score settings'!$B$61)/'Score settings'!$B$9*'Score settings'!$D$9</x:f>
        <x:v>0</x:v>
      </x:c>
      <x:c r="AH508" s="41" t="n">
        <x:f>IF(B508="","",SUM(AB508:AG508))</x:f>
        <x:v>52.8</x:v>
      </x:c>
      <x:c r="AI508" s="41" t="str">
        <x:f>IF(NOT(ISNUMBER(AH508)),"Not scored",VLOOKUP(AH508,'Score settings'!$A$47:$C$50,3,TRUE))</x:f>
        <x:v>Strong</x:v>
      </x:c>
      <x:c r="AJ508" s="42" t="n">
        <x:f>IF(OR(NOT(ISNUMBER(AH508)),T508&lt;&gt;"Common pot"),"",COUNTIFS($T$4:$T$509,"Common pot",$AH$4:$AH$509,"&gt;"&amp;AH508)+1)</x:f>
        <x:v>40</x:v>
      </x:c>
      <x:c r="AK508" s="36" t="str">
        <x:f>IF(B508="","Name missing - not scored",IF(OR(NOT(ISNUMBER(G508)),G508&lt;=0),"Investment missing or zero - review",IF(1=1,"Permanent ID missing - reconcile",IF(AND(ISNUMBER(H508),H508/G508&gt;='Score settings'!$B$58,NOT(ISNUMBER(I508))),"Benefit units need review",IF(OR(R508="EXIT",R508="CHALLENGE"),"Waste decision requires scope resolution",IF("No exact waste match"&lt;&gt;"Name and organisation matched","Waste evidence match needs review","Provisional source score - confirm evidence"))))))</x:f>
        <x:v>Permanent ID missing - reconcile</x:v>
      </x:c>
      <x:c r="AL508" s="36"/>
      <x:c r="AM508" s="40"/>
      <x:c r="AN508" s="39"/>
      <x:c r="AO508" s="40"/>
      <x:c r="AP508" s="40"/>
    </x:row>
    <x:row r="509" ht="15" hidden="0" customHeight="1">
      <x:c r="A509" s="36" t="str">
        <x:v>EW-unassigned-row-357</x:v>
      </x:c>
      <x:c r="B509" s="37" t="str">
        <x:v>Innovation &amp; AI Atlas</x:v>
      </x:c>
      <x:c r="C509" s="36" t="str">
        <x:v>EW</x:v>
      </x:c>
      <x:c r="D509" s="36" t="str">
        <x:v>Innovation and Design Business Operations</x:v>
      </x:c>
      <x:c r="E509" s="38" t="n">
        <x:v>0.075</x:v>
      </x:c>
      <x:c r="F509" s="39"/>
      <x:c r="G509" s="38" t="n">
        <x:f>IF(ISNUMBER(F509),F509,IF(E509="","",E509))</x:f>
        <x:v>0.075</x:v>
      </x:c>
      <x:c r="H509" s="38" t="n">
        <x:v>0.4</x:v>
      </x:c>
      <x:c r="I509" s="39"/>
      <x:c r="J509" s="36" t="str">
        <x:v>Cash savings</x:v>
      </x:c>
      <x:c r="K509" s="38" t="n">
        <x:f>IF(ISNUMBER(I509),I509,IF(OR(NOT(ISNUMBER(H509)),NOT(ISNUMBER(G509)),G509&lt;=0),"",IF(H509/G509&gt;='Score settings'!$B$58,"",IF(J509="Cash savings",H509,IF(J509="Revenue",H509*'Score settings'!$B$55,"")))))</x:f>
        <x:v>0.4</x:v>
      </x:c>
      <x:c r="L509" s="36"/>
      <x:c r="M509" s="39"/>
      <x:c r="N509" s="40"/>
      <x:c r="O509" s="36" t="str">
        <x:v>Must Have</x:v>
      </x:c>
      <x:c r="P509" s="36" t="str">
        <x:v>CI</x:v>
      </x:c>
      <x:c r="Q509" s="36" t="str">
        <x:v>ProcSimp</x:v>
      </x:c>
      <x:c r="R509" s="36" t="str">
        <x:v>NotAssessed</x:v>
      </x:c>
      <x:c r="S509" s="36" t="str"/>
      <x:c r="T509" s="36" t="str">
        <x:v>Common pot</x:v>
      </x:c>
      <x:c r="U509" s="41" t="n">
        <x:f>VLOOKUP("Priority|"&amp;O509,'Score settings'!$A$14:$C$43,2,FALSE)/'Score settings'!$B$4*'Score settings'!$C$4</x:f>
        <x:v>18</x:v>
      </x:c>
      <x:c r="V509" s="41" t="n">
        <x:f>VLOOKUP("Category|"&amp;P509,'Score settings'!$A$14:$C$43,2,FALSE)/'Score settings'!$B$5*'Score settings'!$C$5</x:f>
        <x:v>8</x:v>
      </x:c>
      <x:c r="W509" s="41" t="n">
        <x:f>VLOOKUP("Area|"&amp;Q509,'Score settings'!$A$14:$C$43,2,FALSE)/'Score settings'!$B$6*'Score settings'!$C$6</x:f>
        <x:v>12</x:v>
      </x:c>
      <x:c r="X509" s="41" t="n">
        <x:f>VLOOKUP("Benefits|"&amp;IF(AND(ISNUMBER(H509),H509&gt;0,ISNUMBER(G509),G509&gt;0),IF(H509/G509&gt;='Score settings'!$E$17,"3plus",IF(H509/G509&gt;='Score settings'!$E$16,"1.5to3",IF(H509/G509&gt;='Score settings'!$E$15,"0.5to1.5","positive"))),"None"),'Score settings'!$A$14:$C$43,2,FALSE)/'Score settings'!$B$7*'Score settings'!$C$7</x:f>
        <x:v>25</x:v>
      </x:c>
      <x:c r="Y509" s="41" t="n">
        <x:f>VLOOKUP("Waste|"&amp;R509,'Score settings'!$A$14:$C$43,2,FALSE)/'Score settings'!$B$8*'Score settings'!$C$8</x:f>
        <x:v>7</x:v>
      </x:c>
      <x:c r="Z509" s="41" t="n">
        <x:f>IF(B509="","",SUM(U509:Y509))</x:f>
        <x:v>70</x:v>
      </x:c>
      <x:c r="AA509" s="41" t="str">
        <x:f>IF(Z509="","Not scored",VLOOKUP(Z509,'Score settings'!$A$47:$C$50,2,TRUE))</x:f>
        <x:v>Protected</x:v>
      </x:c>
      <x:c r="AB509" s="41" t="n">
        <x:f>VLOOKUP("Priority|"&amp;O509,'Score settings'!$A$14:$C$43,3,FALSE)/'Score settings'!$B$4*'Score settings'!$D$4</x:f>
        <x:v>10.799999999999999</x:v>
      </x:c>
      <x:c r="AC509" s="41" t="n">
        <x:f>VLOOKUP("Category|"&amp;P509,'Score settings'!$A$14:$C$43,3,FALSE)/'Score settings'!$B$5*'Score settings'!$D$5</x:f>
        <x:v>4</x:v>
      </x:c>
      <x:c r="AD509" s="41" t="n">
        <x:f>VLOOKUP("Area|"&amp;Q509,'Score settings'!$A$14:$C$43,3,FALSE)/'Score settings'!$B$6*'Score settings'!$D$6</x:f>
        <x:v>8</x:v>
      </x:c>
      <x:c r="AE509" s="41" t="n">
        <x:f>VLOOKUP("Benefits|"&amp;IF(AND(ISNUMBER(K509),K509&gt;0,ISNUMBER(G509),G509&gt;0),IF(K509/G509&gt;='Score settings'!$E$17,"3plus",IF(K509/G509&gt;='Score settings'!$E$16,"1.5to3",IF(K509/G509&gt;='Score settings'!$E$15,"0.5to1.5","positive"))),"None"),'Score settings'!$A$14:$C$43,3,FALSE)/'Score settings'!$B$7*'Score settings'!$D$7</x:f>
        <x:v>30</x:v>
      </x:c>
      <x:c r="AF509" s="41" t="n">
        <x:f>VLOOKUP("Waste|"&amp;R509,'Score settings'!$A$14:$C$43,3,FALSE)/'Score settings'!$B$8*'Score settings'!$D$8</x:f>
        <x:v>0</x:v>
      </x:c>
      <x:c r="AG509" s="41" t="n">
        <x:f>(IF(AND(ISNUMBER(M509),M509&gt;0,ISNUMBER(G509),G509&gt;0),IF(M509/G509&gt;='Score settings'!$E$17,'Score settings'!$G$17,IF(M509/G509&gt;='Score settings'!$E$16,'Score settings'!$G$16,IF(M509/G509&gt;='Score settings'!$E$15,'Score settings'!$G$15,'Score settings'!$G$14))),0)/15*'Score settings'!$B$60+IFERROR(VLOOKUP(IF(ISNUMBER(N509),N509,IF(ISNUMBER(L509),L509,0)),'Score settings'!$E$22:$F$26,2,FALSE),0)/10*'Score settings'!$B$61)/'Score settings'!$B$9*'Score settings'!$D$9</x:f>
        <x:v>0</x:v>
      </x:c>
      <x:c r="AH509" s="41" t="n">
        <x:f>IF(B509="","",SUM(AB509:AG509))</x:f>
        <x:v>52.8</x:v>
      </x:c>
      <x:c r="AI509" s="41" t="str">
        <x:f>IF(NOT(ISNUMBER(AH509)),"Not scored",VLOOKUP(AH509,'Score settings'!$A$47:$C$50,3,TRUE))</x:f>
        <x:v>Strong</x:v>
      </x:c>
      <x:c r="AJ509" s="42" t="n">
        <x:f>IF(OR(NOT(ISNUMBER(AH509)),T509&lt;&gt;"Common pot"),"",COUNTIFS($T$4:$T$509,"Common pot",$AH$4:$AH$509,"&gt;"&amp;AH509)+1)</x:f>
        <x:v>40</x:v>
      </x:c>
      <x:c r="AK509" s="36" t="str">
        <x:f>IF(B509="","Name missing - not scored",IF(OR(NOT(ISNUMBER(G509)),G509&lt;=0),"Investment missing or zero - review",IF(1=1,"Permanent ID missing - reconcile",IF(AND(ISNUMBER(H509),H509/G509&gt;='Score settings'!$B$58,NOT(ISNUMBER(I509))),"Benefit units need review",IF(OR(R509="EXIT",R509="CHALLENGE"),"Waste decision requires scope resolution",IF("No exact waste match"&lt;&gt;"Name and organisation matched","Waste evidence match needs review","Provisional source score - confirm evidence"))))))</x:f>
        <x:v>Permanent ID missing - reconcile</x:v>
      </x:c>
      <x:c r="AL509" s="36"/>
      <x:c r="AM509" s="40"/>
      <x:c r="AN509" s="39"/>
      <x:c r="AO509" s="40"/>
      <x:c r="AP509" s="40"/>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row>
  </x:sheetData>
  <x:conditionalFormatting sqref="AH4:AH509">
    <x:cfRule type="colorScale" priority="1">
      <x:colorScale>
        <x:cfvo type="min"/>
        <x:cfvo type="percentile" val="50"/>
        <x:cfvo type="max"/>
        <x:color rgb="FFFBE4E5"/>
        <x:color rgb="FFFFF2CC"/>
        <x:color rgb="FFE2F0D9"/>
      </x:colorScale>
    </x:cfRule>
  </x:conditionalFormatting>
  <x:dataValidations count="6">
    <x:dataValidation type="whole" operator="between" sqref="N4:N509">
      <x:formula1>0</x:formula1>
      <x:formula2>5</x:formula2>
    </x:dataValidation>
    <x:dataValidation type="decimal" operator="greaterThanOrEqual" sqref="F4:F509">
      <x:formula1>0</x:formula1>
    </x:dataValidation>
    <x:dataValidation type="decimal" operator="greaterThanOrEqual" sqref="I4:I509">
      <x:formula1>0</x:formula1>
    </x:dataValidation>
    <x:dataValidation type="decimal" operator="greaterThanOrEqual" sqref="M4:M509">
      <x:formula1>0</x:formula1>
    </x:dataValidation>
    <x:dataValidation type="decimal" operator="greaterThanOrEqual" sqref="AN4:AN509">
      <x:formula1>0</x:formula1>
    </x:dataValidation>
    <x:dataValidation type="list" sqref="AM4:AM509">
      <x:formula1>"Review,Fund,Phase,Defer,Exclude"</x:formula1>
    </x:dataValidation>
  </x:dataValidations>
  <x:pageMargins left="0.7" right="0.7" top="0.75" bottom="0.75" header="0.3" footer="0.3"/>
  <x:tableParts count="1">
    <x:tablePart xmlns:r="http://schemas.openxmlformats.org/officeDocument/2006/relationships" r:id="R7cd3fc0ee3a14e29"/>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4" hidden="0" customWidth="1"/>
    <x:col min="2" max="2" width="58" hidden="0" customWidth="1"/>
    <x:col min="3" max="3" width="17" hidden="0" customWidth="1"/>
    <x:col min="4" max="4" width="38" hidden="0" customWidth="1"/>
    <x:col min="5" max="5" width="17" hidden="0" customWidth="1"/>
    <x:col min="6" max="6" width="35" hidden="0" customWidth="1"/>
    <x:col min="7" max="7" width="3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70" hidden="0" customWidth="1"/>
    <x:col min="17" max="17" width="17" hidden="0" customWidth="1"/>
    <x:col min="18" max="18" width="75" hidden="0" customWidth="1"/>
    <x:col min="19" max="19" width="80" hidden="0" customWidth="1"/>
    <x:col min="20" max="20" width="80" hidden="0" customWidth="1"/>
    <x:col min="21" max="21" width="60" hidden="0" customWidth="1"/>
    <x:col min="22" max="22" width="17" hidden="0" customWidth="1"/>
    <x:col min="23" max="23" width="17" hidden="0" customWidth="1"/>
    <x:col min="24" max="24" width="17" hidden="0" customWidth="1"/>
    <x:col min="25" max="25" width="17" hidden="0" customWidth="1"/>
    <x:col min="26" max="26" width="17" hidden="0" customWidth="1"/>
    <x:col min="27" max="27" width="60" hidden="0" customWidth="1"/>
    <x:col min="28" max="28" width="17" hidden="0" customWidth="1"/>
    <x:col min="29" max="29" width="17" hidden="0" customWidth="1"/>
    <x:col min="30" max="30" width="17" hidden="0" customWidth="1"/>
    <x:col min="31" max="31" width="42" hidden="0" customWidth="1"/>
    <x:col min="32" max="32" width="17" hidden="0" customWidth="1"/>
    <x:col min="33" max="33" width="17" hidden="0" customWidth="1"/>
    <x:col min="34" max="34" width="30" hidden="0" customWidth="1"/>
    <x:col min="35" max="35" width="17" hidden="0" customWidth="1"/>
    <x:col min="36" max="36" width="17" hidden="0" customWidth="1"/>
    <x:col min="37" max="37" width="17" hidden="0" customWidth="1"/>
    <x:col min="38" max="38" width="17" hidden="0" customWidth="1"/>
    <x:col min="39" max="39" width="17" hidden="0" customWidth="1"/>
  </x:cols>
  <x:sheetData>
    <x:row r="1" ht="32" customHeight="1">
      <x:c r="A1" s="2" t="str">
        <x:v>Demand details</x:v>
      </x:c>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row>
    <x:row r="2">
      <x:c r="A2" s="1" t="str">
        <x:v>Source values retained; numeric money converted from K€ to M€. Narrative text is verbatim. No finance approval inferred.</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row>
    <x:row r="3" ht="42" customHeight="1">
      <x:c r="A3" s="6" t="str">
        <x:v>Record ID</x:v>
      </x:c>
      <x:c r="B3" s="6" t="str">
        <x:v>Program name</x:v>
      </x:c>
      <x:c r="C3" s="6" t="str">
        <x:v>Stream</x:v>
      </x:c>
      <x:c r="D3" s="6" t="str">
        <x:v>Organisation</x:v>
      </x:c>
      <x:c r="E3" s="6" t="str">
        <x:v>Planisware ID</x:v>
      </x:c>
      <x:c r="F3" s="6" t="str">
        <x:v>Category</x:v>
      </x:c>
      <x:c r="G3" s="6" t="str">
        <x:v>Investment area</x:v>
      </x:c>
      <x:c r="H3" s="6" t="str">
        <x:v>Priority</x:v>
      </x:c>
      <x:c r="I3" s="6" t="str">
        <x:v>New or carry over</x:v>
      </x:c>
      <x:c r="J3" s="6" t="str">
        <x:v>Requested investment M€</x:v>
      </x:c>
      <x:c r="K3" s="6" t="str">
        <x:v>Updated request M€</x:v>
      </x:c>
      <x:c r="L3" s="6" t="str">
        <x:v>Carry over baselined M€</x:v>
      </x:c>
      <x:c r="M3" s="6" t="str">
        <x:v>Handshaked M€</x:v>
      </x:c>
      <x:c r="N3" s="6" t="str">
        <x:v>Prioritized in source M€</x:v>
      </x:c>
      <x:c r="O3" s="6" t="str">
        <x:v>Numeric source benefit M€</x:v>
      </x:c>
      <x:c r="P3" s="6" t="str">
        <x:v>Benefit text as supplied</x:v>
      </x:c>
      <x:c r="Q3" s="6" t="str">
        <x:v>Benefit classification candidate</x:v>
      </x:c>
      <x:c r="R3" s="6" t="str">
        <x:v>Impact and cost of not doing</x:v>
      </x:c>
      <x:c r="S3" s="6" t="str">
        <x:v>Problem statement</x:v>
      </x:c>
      <x:c r="T3" s="6" t="str">
        <x:v>Scope</x:v>
      </x:c>
      <x:c r="U3" s="6" t="str">
        <x:v>Dependencies</x:v>
      </x:c>
      <x:c r="V3" s="6" t="str">
        <x:v>LFR year</x:v>
      </x:c>
      <x:c r="W3" s="6" t="str">
        <x:v>LFR instrument name</x:v>
      </x:c>
      <x:c r="X3" s="6" t="str">
        <x:v>Waste score</x:v>
      </x:c>
      <x:c r="Y3" s="6" t="str">
        <x:v>Waste band</x:v>
      </x:c>
      <x:c r="Z3" s="6" t="str">
        <x:v>Validated must do</x:v>
      </x:c>
      <x:c r="AA3" s="6" t="str">
        <x:v>Minimum viable scope assessment</x:v>
      </x:c>
      <x:c r="AB3" s="6" t="str">
        <x:v>Recorded impact tier</x:v>
      </x:c>
      <x:c r="AC3" s="6" t="str">
        <x:v>Risk exposure score</x:v>
      </x:c>
      <x:c r="AD3" s="6" t="str">
        <x:v>Risk priority tier</x:v>
      </x:c>
      <x:c r="AE3" s="6" t="str">
        <x:v>Overall AOP decision</x:v>
      </x:c>
      <x:c r="AF3" s="6" t="str">
        <x:v>Waste matching</x:v>
      </x:c>
      <x:c r="AG3" s="6" t="str">
        <x:v>Funding pool candidate</x:v>
      </x:c>
      <x:c r="AH3" s="6" t="str">
        <x:v>Source location</x:v>
      </x:c>
      <x:c r="AI3" s="6" t="str">
        <x:v>Category scoring key</x:v>
      </x:c>
      <x:c r="AJ3" s="6" t="str">
        <x:v>Area scoring key</x:v>
      </x:c>
      <x:c r="AK3" s="6" t="str">
        <x:v>Priority scoring key</x:v>
      </x:c>
      <x:c r="AL3" s="6" t="str">
        <x:v>Missing permanent ID</x:v>
      </x:c>
      <x:c r="AM3" s="6" t="str">
        <x:v>Missing name</x:v>
      </x:c>
    </x:row>
    <x:row r="4" ht="15" hidden="0" customHeight="1">
      <x:c r="A4" s="36" t="str">
        <x:v>Bu-01</x:v>
      </x:c>
      <x:c r="B4" s="37" t="str">
        <x:v>EI-IS-AI Service Excellence program - SPM--&gt; Microsoft Project Operations</x:v>
      </x:c>
      <x:c r="C4" s="36" t="str">
        <x:v>BU Led</x:v>
      </x:c>
      <x:c r="D4" s="36" t="str">
        <x:v>Enterprise Informatics (EI)</x:v>
      </x:c>
      <x:c r="E4" s="36" t="str">
        <x:v>1006324</x:v>
      </x:c>
      <x:c r="F4" s="36" t="str">
        <x:v>New Technology</x:v>
      </x:c>
      <x:c r="G4" s="36" t="str">
        <x:v>Productivity savings</x:v>
      </x:c>
      <x:c r="H4" s="36" t="str">
        <x:v>Must Do</x:v>
      </x:c>
      <x:c r="I4" s="36" t="str">
        <x:v>Carry Over</x:v>
      </x:c>
      <x:c r="J4" s="38" t="n">
        <x:v>1.3</x:v>
      </x:c>
      <x:c r="K4" s="38"/>
      <x:c r="L4" s="38" t="n">
        <x:v>0.6</x:v>
      </x:c>
      <x:c r="M4" s="38"/>
      <x:c r="N4" s="38"/>
      <x:c r="O4" s="38" t="n">
        <x:v>0.8</x:v>
      </x:c>
      <x:c r="P4" s="37" t="str">
        <x:v>800</x:v>
      </x:c>
      <x:c r="Q4" s="37" t="str">
        <x:v>Cash savings</x:v>
      </x:c>
      <x:c r="R4" s="37" t="str"/>
      <x:c r="S4" s="37" t="str">
        <x:v>Existing PS Cloud system is having basic functionality and not connected with downstream / upstream systems that is required to complete the E2E Project Management activity for R&amp;D team</x:v>
      </x:c>
      <x:c r="T4" s="37" t="str">
        <x: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x:v>
      </x:c>
      <x:c r="U4" s="37" t="str"/>
      <x:c r="V4" s="36" t="str"/>
      <x:c r="W4" s="36" t="str"/>
      <x:c r="X4" s="36"/>
      <x:c r="Y4" s="36" t="str">
        <x:v>NotAssessed</x:v>
      </x:c>
      <x:c r="Z4" s="36" t="str"/>
      <x:c r="AA4" s="36" t="str"/>
      <x:c r="AB4" s="36"/>
      <x:c r="AC4" s="36"/>
      <x:c r="AD4" s="36" t="str"/>
      <x:c r="AE4" s="36" t="str"/>
      <x:c r="AF4" s="36" t="str">
        <x:v>No exact waste match</x:v>
      </x:c>
      <x:c r="AG4" s="36" t="str">
        <x:v>Common pot</x:v>
      </x:c>
      <x:c r="AH4" s="36" t="str">
        <x:v>BU Demand!row 4</x:v>
      </x:c>
      <x:c r="AI4" s="36" t="str">
        <x:v>NewTech</x:v>
      </x:c>
      <x:c r="AJ4" s="36" t="str">
        <x:v>Productivity</x:v>
      </x:c>
      <x:c r="AK4" s="36" t="str">
        <x:v>Must Do</x:v>
      </x:c>
      <x:c r="AL4" s="36" t="n">
        <x:v>0</x:v>
      </x:c>
      <x:c r="AM4" s="36" t="n">
        <x:v>0</x:v>
      </x:c>
      <x:c r="AN4" s="43"/>
      <x:c r="AO4" s="43"/>
      <x:c r="AP4" s="43"/>
    </x:row>
    <x:row r="5" ht="15" hidden="0" customHeight="1">
      <x:c r="A5" s="36" t="str">
        <x:v>Bu-02</x:v>
      </x:c>
      <x:c r="B5" s="37" t="str">
        <x:v>Sensei Usage-to-Cash: Contract, Billing &amp; Invoice Automation</x:v>
      </x:c>
      <x:c r="C5" s="36" t="str">
        <x:v>BU Led</x:v>
      </x:c>
      <x:c r="D5" s="36" t="str">
        <x:v>Enterprise Informatics (EI)</x:v>
      </x:c>
      <x:c r="E5" s="36" t="str">
        <x:v>1006326</x:v>
      </x:c>
      <x:c r="F5" s="36" t="str">
        <x:v>New Technology</x:v>
      </x:c>
      <x:c r="G5" s="36" t="str">
        <x:v>Revenue Increase</x:v>
      </x:c>
      <x:c r="H5" s="36" t="str">
        <x:v>Must Do</x:v>
      </x:c>
      <x:c r="I5" s="36" t="str">
        <x:v>Carry Over</x:v>
      </x:c>
      <x:c r="J5" s="38" t="n">
        <x:v>0.75</x:v>
      </x:c>
      <x:c r="K5" s="38"/>
      <x:c r="L5" s="38"/>
      <x:c r="M5" s="38"/>
      <x:c r="N5" s="38"/>
      <x:c r="O5" s="38" t="n">
        <x:v>0.5</x:v>
      </x:c>
      <x:c r="P5" s="37" t="str">
        <x:v>500</x:v>
      </x:c>
      <x:c r="Q5" s="37" t="str">
        <x:v>Revenue</x:v>
      </x:c>
      <x:c r="R5" s="37" t="str"/>
      <x:c r="S5" s="37" t="str">
        <x:v>Replace legacy Quoting and Subscription Management applications</x:v>
      </x:c>
      <x:c r="T5" s="37" t="str">
        <x:v>Build Sensei into the operational layer from commercial agreement through usage capture, entitlement validation, billing trigger, SAP order/invoice creation, collections visibility and contract changes.</x:v>
      </x:c>
      <x:c r="U5" s="37" t="str"/>
      <x:c r="V5" s="36" t="str"/>
      <x:c r="W5" s="36" t="str"/>
      <x:c r="X5" s="36"/>
      <x:c r="Y5" s="36" t="str">
        <x:v>NotAssessed</x:v>
      </x:c>
      <x:c r="Z5" s="36" t="str"/>
      <x:c r="AA5" s="36" t="str"/>
      <x:c r="AB5" s="36"/>
      <x:c r="AC5" s="36"/>
      <x:c r="AD5" s="36" t="str"/>
      <x:c r="AE5" s="36" t="str"/>
      <x:c r="AF5" s="36" t="str">
        <x:v>Name and organisation matched</x:v>
      </x:c>
      <x:c r="AG5" s="36" t="str">
        <x:v>Common pot</x:v>
      </x:c>
      <x:c r="AH5" s="36" t="str">
        <x:v>BU Demand!row 6</x:v>
      </x:c>
      <x:c r="AI5" s="36" t="str">
        <x:v>NewTech</x:v>
      </x:c>
      <x:c r="AJ5" s="36" t="str">
        <x:v>Revenue</x:v>
      </x:c>
      <x:c r="AK5" s="36" t="str">
        <x:v>Must Do</x:v>
      </x:c>
      <x:c r="AL5" s="36" t="n">
        <x:v>0</x:v>
      </x:c>
      <x:c r="AM5" s="36" t="n">
        <x:v>0</x:v>
      </x:c>
      <x:c r="AN5" s="43"/>
      <x:c r="AO5" s="43"/>
      <x:c r="AP5" s="43"/>
    </x:row>
    <x:row r="6" ht="60" hidden="0" customHeight="1">
      <x:c r="A6" s="36" t="str">
        <x:v>Bu-03</x:v>
      </x:c>
      <x:c r="B6" s="37" t="str">
        <x:v>Service CLV (TechMax Enablement and eZCQ workflow with EMO integration, Rmeote Software Distribution Workflow), Complete NPSC requested by Service ISC
Budget request excludes payment to other enterprise systems like EMO, ITaaP, SAP, Trackwise for integration)</x:v>
      </x:c>
      <x:c r="C6" s="36" t="str">
        <x:v>BU Led</x:v>
      </x:c>
      <x:c r="D6" s="36" t="str">
        <x:v>Greater China (GRC)</x:v>
      </x:c>
      <x:c r="E6" s="36" t="str">
        <x:v>New</x:v>
      </x:c>
      <x:c r="F6" s="36" t="str">
        <x:v>New Feature</x:v>
      </x:c>
      <x:c r="G6" s="36" t="str"/>
      <x:c r="H6" s="36" t="str">
        <x:v>Must Have</x:v>
      </x:c>
      <x:c r="I6" s="36" t="str">
        <x:v>New Initiative</x:v>
      </x:c>
      <x:c r="J6" s="38" t="n">
        <x:v>0.4</x:v>
      </x:c>
      <x:c r="K6" s="38"/>
      <x:c r="L6" s="38" t="n">
        <x:v>0.35</x:v>
      </x:c>
      <x:c r="M6" s="38"/>
      <x:c r="N6" s="38"/>
      <x:c r="O6" s="38" t="n">
        <x:v>2</x:v>
      </x:c>
      <x:c r="P6" s="37" t="str">
        <x:v>2000</x:v>
      </x:c>
      <x:c r="Q6" s="37" t="str">
        <x:v>Unclassified</x:v>
      </x:c>
      <x:c r="R6" s="37" t="str">
        <x:v>Manual Techmax and other CLV services, not able to support business growth</x:v>
      </x:c>
      <x:c r="S6" s="37" t="str"/>
      <x:c r="T6" s="37" t="str"/>
      <x:c r="U6" s="37" t="str"/>
      <x:c r="V6" s="36" t="str"/>
      <x:c r="W6" s="36" t="str"/>
      <x:c r="X6" s="36"/>
      <x:c r="Y6" s="36" t="str">
        <x:v>NotAssessed</x:v>
      </x:c>
      <x:c r="Z6" s="36" t="str"/>
      <x:c r="AA6" s="36" t="str"/>
      <x:c r="AB6" s="36"/>
      <x:c r="AC6" s="36"/>
      <x:c r="AD6" s="36" t="str"/>
      <x:c r="AE6" s="36" t="str"/>
      <x:c r="AF6" s="36" t="str">
        <x:v>No exact waste match</x:v>
      </x:c>
      <x:c r="AG6" s="36" t="str">
        <x:v>Region candidate</x:v>
      </x:c>
      <x:c r="AH6" s="36" t="str">
        <x:v>BU Demand!row 7</x:v>
      </x:c>
      <x:c r="AI6" s="36" t="str">
        <x:v>NewFeat</x:v>
      </x:c>
      <x:c r="AJ6" s="36" t="str">
        <x:v>Blank</x:v>
      </x:c>
      <x:c r="AK6" s="36" t="str">
        <x:v>Must Have</x:v>
      </x:c>
      <x:c r="AL6" s="36" t="n">
        <x:v>0</x:v>
      </x:c>
      <x:c r="AM6" s="36" t="n">
        <x:v>0</x:v>
      </x:c>
      <x:c r="AN6" s="43"/>
      <x:c r="AO6" s="43"/>
      <x:c r="AP6" s="43"/>
    </x:row>
    <x:row r="7" ht="15" hidden="0" customHeight="1">
      <x:c r="A7" s="36" t="str">
        <x:v>Bu-04</x:v>
      </x:c>
      <x:c r="B7" s="37" t="str">
        <x:v>2027 IGTD DATA and INSIGHTS</x:v>
      </x:c>
      <x:c r="C7" s="36" t="str">
        <x:v>BU Led</x:v>
      </x:c>
      <x:c r="D7" s="36" t="str">
        <x:v>Image Guided Therapy - Devices (IGT-D)</x:v>
      </x:c>
      <x:c r="E7" s="36" t="str">
        <x:v>1006439</x:v>
      </x:c>
      <x:c r="F7" s="36" t="str">
        <x:v>New Feature</x:v>
      </x:c>
      <x:c r="G7" s="36" t="str">
        <x:v>Revenue Increase</x:v>
      </x:c>
      <x:c r="H7" s="36" t="str">
        <x:v>Must Do</x:v>
      </x:c>
      <x:c r="I7" s="36" t="str">
        <x:v>Carry Over</x:v>
      </x:c>
      <x:c r="J7" s="38" t="n">
        <x:v>0.345</x:v>
      </x:c>
      <x:c r="K7" s="38"/>
      <x:c r="L7" s="38"/>
      <x:c r="M7" s="38"/>
      <x:c r="N7" s="38"/>
      <x:c r="O7" s="38" t="n">
        <x:v>117</x:v>
      </x:c>
      <x:c r="P7" s="37" t="str">
        <x:v>117000</x:v>
      </x:c>
      <x:c r="Q7" s="37" t="str">
        <x:v>Revenue</x:v>
      </x:c>
      <x:c r="R7" s="37" t="str">
        <x:v>Critical to support sales growth targets</x:v>
      </x:c>
      <x:c r="S7" s="37" t="str"/>
      <x:c r="T7" s="37" t="str">
        <x:v>Cross-domain analytics IGT-D (commercial; service; other); support &amp; enable strategic objectives </x:v>
      </x:c>
      <x:c r="U7" s="37" t="str"/>
      <x:c r="V7" s="36" t="str"/>
      <x:c r="W7" s="36" t="str"/>
      <x:c r="X7" s="36"/>
      <x:c r="Y7" s="36" t="str">
        <x:v>NotAssessed</x:v>
      </x:c>
      <x:c r="Z7" s="36" t="str"/>
      <x:c r="AA7" s="36" t="str"/>
      <x:c r="AB7" s="36"/>
      <x:c r="AC7" s="36"/>
      <x:c r="AD7" s="36" t="str"/>
      <x:c r="AE7" s="36" t="str"/>
      <x:c r="AF7" s="36" t="str">
        <x:v>Name and organisation matched</x:v>
      </x:c>
      <x:c r="AG7" s="36" t="str">
        <x:v>Common pot</x:v>
      </x:c>
      <x:c r="AH7" s="36" t="str">
        <x:v>BU Demand!row 9</x:v>
      </x:c>
      <x:c r="AI7" s="36" t="str">
        <x:v>NewFeat</x:v>
      </x:c>
      <x:c r="AJ7" s="36" t="str">
        <x:v>Revenue</x:v>
      </x:c>
      <x:c r="AK7" s="36" t="str">
        <x:v>Must Do</x:v>
      </x:c>
      <x:c r="AL7" s="36" t="n">
        <x:v>0</x:v>
      </x:c>
      <x:c r="AM7" s="36" t="n">
        <x:v>0</x:v>
      </x:c>
      <x:c r="AN7" s="43"/>
      <x:c r="AO7" s="43"/>
      <x:c r="AP7" s="43"/>
    </x:row>
    <x:row r="8" ht="15" hidden="0" customHeight="1">
      <x:c r="A8" s="36" t="str">
        <x:v>Bu-05</x:v>
      </x:c>
      <x:c r="B8" s="37" t="str"/>
      <x:c r="C8" s="36" t="str">
        <x:v>BU Led</x:v>
      </x:c>
      <x:c r="D8" s="36" t="str"/>
      <x:c r="E8" s="36" t="str"/>
      <x:c r="F8" s="36" t="str"/>
      <x:c r="G8" s="36" t="str"/>
      <x:c r="H8" s="36" t="str"/>
      <x:c r="I8" s="36" t="str"/>
      <x:c r="J8" s="38"/>
      <x:c r="K8" s="38"/>
      <x:c r="L8" s="38"/>
      <x:c r="M8" s="38"/>
      <x:c r="N8" s="38"/>
      <x:c r="O8" s="38"/>
      <x:c r="P8" s="37" t="str"/>
      <x:c r="Q8" s="37" t="str">
        <x:v>Unclassified</x:v>
      </x:c>
      <x:c r="R8" s="37" t="str"/>
      <x:c r="S8" s="37" t="str"/>
      <x:c r="T8" s="37" t="str"/>
      <x:c r="U8" s="37" t="str"/>
      <x:c r="V8" s="36" t="str"/>
      <x:c r="W8" s="36" t="str"/>
      <x:c r="X8" s="36"/>
      <x:c r="Y8" s="36" t="str">
        <x:v>NotAssessed</x:v>
      </x:c>
      <x:c r="Z8" s="36" t="str"/>
      <x:c r="AA8" s="36" t="str"/>
      <x:c r="AB8" s="36"/>
      <x:c r="AC8" s="36"/>
      <x:c r="AD8" s="36" t="str"/>
      <x:c r="AE8" s="36" t="str"/>
      <x:c r="AF8" s="36" t="str">
        <x:v>No exact waste match</x:v>
      </x:c>
      <x:c r="AG8" s="36" t="str">
        <x:v>Incomplete record</x:v>
      </x:c>
      <x:c r="AH8" s="36" t="str">
        <x:v>BU Demand!row 10</x:v>
      </x:c>
      <x:c r="AI8" s="36" t="str">
        <x:v>Blank</x:v>
      </x:c>
      <x:c r="AJ8" s="36" t="str">
        <x:v>Blank</x:v>
      </x:c>
      <x:c r="AK8" s="36" t="str">
        <x:v>Blank</x:v>
      </x:c>
      <x:c r="AL8" s="36" t="n">
        <x:v>0</x:v>
      </x:c>
      <x:c r="AM8" s="36" t="n">
        <x:v>1</x:v>
      </x:c>
      <x:c r="AN8" s="43"/>
      <x:c r="AO8" s="43"/>
      <x:c r="AP8" s="43"/>
    </x:row>
    <x:row r="9" ht="15" hidden="0" customHeight="1">
      <x:c r="A9" s="36" t="str">
        <x:v>Bu-06</x:v>
      </x:c>
      <x:c r="B9" s="37" t="str">
        <x:v>Compliance - GTS</x:v>
      </x:c>
      <x:c r="C9" s="36" t="str">
        <x:v>BU Led</x:v>
      </x:c>
      <x:c r="D9" s="36" t="str">
        <x:v>Integrated Supply Chain (ISC)</x:v>
      </x:c>
      <x:c r="E9" s="36" t="str">
        <x:v>1002294</x:v>
      </x:c>
      <x:c r="F9" s="36" t="str">
        <x:v>Legal Fiscal, Regulatory &amp; Compliancy</x:v>
      </x:c>
      <x:c r="G9" s="36" t="str"/>
      <x:c r="H9" s="36" t="str">
        <x:v>Must Do</x:v>
      </x:c>
      <x:c r="I9" s="36" t="str">
        <x:v>Carry Over</x:v>
      </x:c>
      <x:c r="J9" s="38" t="n">
        <x:v>2.07</x:v>
      </x:c>
      <x:c r="K9" s="38"/>
      <x:c r="L9" s="38"/>
      <x:c r="M9" s="38"/>
      <x:c r="N9" s="38"/>
      <x:c r="O9" s="38"/>
      <x:c r="P9" s="37" t="str"/>
      <x:c r="Q9" s="37" t="str">
        <x:v>Unclassified</x:v>
      </x:c>
      <x:c r="R9" s="37" t="str">
        <x:v>Compliance must do activities on compliance. (e.g. Export controls &amp; sanction screening)</x:v>
      </x:c>
      <x:c r="S9" s="37" t="str"/>
      <x:c r="T9" s="37" t="str"/>
      <x:c r="U9" s="37" t="str"/>
      <x:c r="V9" s="36" t="str"/>
      <x:c r="W9" s="36" t="str"/>
      <x:c r="X9" s="36" t="n">
        <x:v>1</x:v>
      </x:c>
      <x:c r="Y9" s="36" t="str">
        <x:v>HEALTHY</x:v>
      </x:c>
      <x:c r="Z9" s="36" t="str"/>
      <x:c r="AA9" s="36" t="str"/>
      <x:c r="AB9" s="36"/>
      <x:c r="AC9" s="36"/>
      <x:c r="AD9" s="36" t="str"/>
      <x:c r="AE9" s="36" t="str">
        <x:v>HEALTHY — Rank in priority matrix</x:v>
      </x:c>
      <x:c r="AF9" s="36" t="str">
        <x:v>Name and organisation matched</x:v>
      </x:c>
      <x:c r="AG9" s="36" t="str">
        <x:v>Common pot</x:v>
      </x:c>
      <x:c r="AH9" s="36" t="str">
        <x:v>BU Demand!row 11</x:v>
      </x:c>
      <x:c r="AI9" s="36" t="str">
        <x:v>LFR</x:v>
      </x:c>
      <x:c r="AJ9" s="36" t="str">
        <x:v>Blank</x:v>
      </x:c>
      <x:c r="AK9" s="36" t="str">
        <x:v>Must Do</x:v>
      </x:c>
      <x:c r="AL9" s="36" t="n">
        <x:v>0</x:v>
      </x:c>
      <x:c r="AM9" s="36" t="n">
        <x:v>0</x:v>
      </x:c>
      <x:c r="AN9" s="43"/>
      <x:c r="AO9" s="43"/>
      <x:c r="AP9" s="43"/>
    </x:row>
    <x:row r="10" ht="15" hidden="0" customHeight="1">
      <x:c r="A10" s="36" t="str">
        <x:v>Bu-07</x:v>
      </x:c>
      <x:c r="B10" s="37" t="str">
        <x:v>Implement Tech Enabled Integrated Planning</x:v>
      </x:c>
      <x:c r="C10" s="36" t="str">
        <x:v>BU Led</x:v>
      </x:c>
      <x:c r="D10" s="36" t="str">
        <x:v>Integrated Supply Chain (ISC)</x:v>
      </x:c>
      <x:c r="E10" s="36" t="str">
        <x:v>1002301</x:v>
      </x:c>
      <x:c r="F10" s="36" t="str"/>
      <x:c r="G10" s="36" t="str"/>
      <x:c r="H10" s="36" t="str">
        <x:v>Must Do</x:v>
      </x:c>
      <x:c r="I10" s="36" t="str">
        <x:v>Carry Over</x:v>
      </x:c>
      <x:c r="J10" s="38" t="n">
        <x:v>5.74</x:v>
      </x:c>
      <x:c r="K10" s="38"/>
      <x:c r="L10" s="38"/>
      <x:c r="M10" s="38"/>
      <x:c r="N10" s="38"/>
      <x:c r="O10" s="38"/>
      <x:c r="P10" s="37" t="str"/>
      <x:c r="Q10" s="37" t="str">
        <x:v>Unclassified</x:v>
      </x:c>
      <x:c r="R10" s="37" t="str">
        <x:v>OTIF improvements imapcted</x:v>
      </x:c>
      <x:c r="S10" s="37" t="str"/>
      <x:c r="T10" s="37" t="str"/>
      <x:c r="U10" s="37" t="str"/>
      <x:c r="V10" s="36" t="str"/>
      <x:c r="W10" s="36" t="str"/>
      <x:c r="X10" s="36" t="n">
        <x:v>1</x:v>
      </x:c>
      <x:c r="Y10" s="36" t="str">
        <x:v>HEALTHY</x:v>
      </x:c>
      <x:c r="Z10" s="36" t="str"/>
      <x:c r="AA10" s="36" t="str"/>
      <x:c r="AB10" s="36"/>
      <x:c r="AC10" s="36"/>
      <x:c r="AD10" s="36" t="str"/>
      <x:c r="AE10" s="36" t="str">
        <x:v>HEALTHY — Rank in priority matrix</x:v>
      </x:c>
      <x:c r="AF10" s="36" t="str">
        <x:v>Name and organisation matched</x:v>
      </x:c>
      <x:c r="AG10" s="36" t="str">
        <x:v>Common pot</x:v>
      </x:c>
      <x:c r="AH10" s="36" t="str">
        <x:v>BU Demand!row 12</x:v>
      </x:c>
      <x:c r="AI10" s="36" t="str">
        <x:v>Blank</x:v>
      </x:c>
      <x:c r="AJ10" s="36" t="str">
        <x:v>Blank</x:v>
      </x:c>
      <x:c r="AK10" s="36" t="str">
        <x:v>Must Do</x:v>
      </x:c>
      <x:c r="AL10" s="36" t="n">
        <x:v>0</x:v>
      </x:c>
      <x:c r="AM10" s="36" t="n">
        <x:v>0</x:v>
      </x:c>
      <x:c r="AN10" s="43"/>
      <x:c r="AO10" s="43"/>
      <x:c r="AP10" s="43"/>
    </x:row>
    <x:row r="11" ht="15" hidden="0" customHeight="1">
      <x:c r="A11" s="36" t="str">
        <x:v>Bu-08</x:v>
      </x:c>
      <x:c r="B11" s="37" t="str">
        <x:v>IWD capabilities improvements and cost reductions</x:v>
      </x:c>
      <x:c r="C11" s="36" t="str">
        <x:v>BU Led</x:v>
      </x:c>
      <x:c r="D11" s="36" t="str">
        <x:v>Integrated Supply Chain (ISC)</x:v>
      </x:c>
      <x:c r="E11" s="36" t="str">
        <x:v>1002304</x:v>
      </x:c>
      <x:c r="F11" s="36" t="str">
        <x:v>Upgrades &amp; Enhancements</x:v>
      </x:c>
      <x:c r="G11" s="36" t="str"/>
      <x:c r="H11" s="36" t="str">
        <x:v>Must Do</x:v>
      </x:c>
      <x:c r="I11" s="36" t="str">
        <x:v>Carry Over</x:v>
      </x:c>
      <x:c r="J11" s="38" t="n">
        <x:v>0.14</x:v>
      </x:c>
      <x:c r="K11" s="38"/>
      <x:c r="L11" s="38"/>
      <x:c r="M11" s="38"/>
      <x:c r="N11" s="38"/>
      <x:c r="O11" s="38"/>
      <x:c r="P11" s="37" t="str"/>
      <x:c r="Q11" s="37" t="str">
        <x:v>Unclassified</x:v>
      </x:c>
      <x:c r="R11" s="37" t="str">
        <x:v>OTIF imapct</x:v>
      </x:c>
      <x:c r="S11" s="37" t="str"/>
      <x:c r="T11" s="37" t="str"/>
      <x:c r="U11" s="37" t="str"/>
      <x:c r="V11" s="36" t="str"/>
      <x:c r="W11" s="36" t="str"/>
      <x:c r="X11" s="36" t="n">
        <x:v>1.35</x:v>
      </x:c>
      <x:c r="Y11" s="36" t="str">
        <x:v>HEALTHY</x:v>
      </x:c>
      <x:c r="Z11" s="36" t="str"/>
      <x:c r="AA11" s="36" t="str"/>
      <x:c r="AB11" s="36"/>
      <x:c r="AC11" s="36"/>
      <x:c r="AD11" s="36" t="str"/>
      <x:c r="AE11" s="36" t="str">
        <x:v>HEALTHY — Rank in priority matrix</x:v>
      </x:c>
      <x:c r="AF11" s="36" t="str">
        <x:v>Name and organisation matched</x:v>
      </x:c>
      <x:c r="AG11" s="36" t="str">
        <x:v>Common pot</x:v>
      </x:c>
      <x:c r="AH11" s="36" t="str">
        <x:v>BU Demand!row 14</x:v>
      </x:c>
      <x:c r="AI11" s="36" t="str">
        <x:v>Upgrades</x:v>
      </x:c>
      <x:c r="AJ11" s="36" t="str">
        <x:v>Blank</x:v>
      </x:c>
      <x:c r="AK11" s="36" t="str">
        <x:v>Must Do</x:v>
      </x:c>
      <x:c r="AL11" s="36" t="n">
        <x:v>0</x:v>
      </x:c>
      <x:c r="AM11" s="36" t="n">
        <x:v>0</x:v>
      </x:c>
      <x:c r="AN11" s="43"/>
      <x:c r="AO11" s="43"/>
      <x:c r="AP11" s="43"/>
    </x:row>
    <x:row r="12" ht="15" hidden="0" customHeight="1">
      <x:c r="A12" s="36" t="str">
        <x:v>Bu-09</x:v>
      </x:c>
      <x:c r="B12" s="37" t="str">
        <x:v>Circular Lifecycle Solutions and Spare parts delivery</x:v>
      </x:c>
      <x:c r="C12" s="36" t="str">
        <x:v>BU Led</x:v>
      </x:c>
      <x:c r="D12" s="36" t="str">
        <x:v>Integrated Supply Chain (ISC)</x:v>
      </x:c>
      <x:c r="E12" s="36" t="str">
        <x:v>1002308</x:v>
      </x:c>
      <x:c r="F12" s="36" t="str">
        <x:v>New Feature</x:v>
      </x:c>
      <x:c r="G12" s="36" t="str"/>
      <x:c r="H12" s="36" t="str">
        <x:v>Must Do</x:v>
      </x:c>
      <x:c r="I12" s="36" t="str">
        <x:v>Carry Over</x:v>
      </x:c>
      <x:c r="J12" s="38" t="n">
        <x:v>1.18</x:v>
      </x:c>
      <x:c r="K12" s="38"/>
      <x:c r="L12" s="38"/>
      <x:c r="M12" s="38"/>
      <x:c r="N12" s="38"/>
      <x:c r="O12" s="38"/>
      <x:c r="P12" s="37" t="str"/>
      <x:c r="Q12" s="37" t="str">
        <x:v>Unclassified</x:v>
      </x:c>
      <x:c r="R12" s="37" t="str">
        <x:v>Compliance: Uphold Legal, Fiscal and Regulatory requirements.</x:v>
      </x:c>
      <x:c r="S12" s="37" t="str"/>
      <x:c r="T12" s="37" t="str"/>
      <x:c r="U12" s="37" t="str"/>
      <x:c r="V12" s="36" t="str"/>
      <x:c r="W12" s="36" t="str"/>
      <x:c r="X12" s="36" t="n">
        <x:v>1</x:v>
      </x:c>
      <x:c r="Y12" s="36" t="str">
        <x:v>HEALTHY</x:v>
      </x:c>
      <x:c r="Z12" s="36" t="str"/>
      <x:c r="AA12" s="36" t="str"/>
      <x:c r="AB12" s="36"/>
      <x:c r="AC12" s="36"/>
      <x:c r="AD12" s="36" t="str"/>
      <x:c r="AE12" s="36" t="str">
        <x:v>HEALTHY — Rank in priority matrix</x:v>
      </x:c>
      <x:c r="AF12" s="36" t="str">
        <x:v>Name and organisation matched</x:v>
      </x:c>
      <x:c r="AG12" s="36" t="str">
        <x:v>Common pot</x:v>
      </x:c>
      <x:c r="AH12" s="36" t="str">
        <x:v>BU Demand!row 15</x:v>
      </x:c>
      <x:c r="AI12" s="36" t="str">
        <x:v>NewFeat</x:v>
      </x:c>
      <x:c r="AJ12" s="36" t="str">
        <x:v>Blank</x:v>
      </x:c>
      <x:c r="AK12" s="36" t="str">
        <x:v>Must Do</x:v>
      </x:c>
      <x:c r="AL12" s="36" t="n">
        <x:v>0</x:v>
      </x:c>
      <x:c r="AM12" s="36" t="n">
        <x:v>0</x:v>
      </x:c>
      <x:c r="AN12" s="43"/>
      <x:c r="AO12" s="43"/>
      <x:c r="AP12" s="43"/>
    </x:row>
    <x:row r="13" ht="15" hidden="0" customHeight="1">
      <x:c r="A13" s="36" t="str">
        <x:v>Bu-10</x:v>
      </x:c>
      <x:c r="B13" s="37" t="str">
        <x:v>Master Data and Data Quality</x:v>
      </x:c>
      <x:c r="C13" s="36" t="str">
        <x:v>BU Led</x:v>
      </x:c>
      <x:c r="D13" s="36" t="str">
        <x:v>Integrated Supply Chain (ISC)</x:v>
      </x:c>
      <x:c r="E13" s="36" t="str">
        <x:v>1002309</x:v>
      </x:c>
      <x:c r="F13" s="36" t="str">
        <x:v>New Feature</x:v>
      </x:c>
      <x:c r="G13" s="36" t="str"/>
      <x:c r="H13" s="36" t="str">
        <x:v>Must Do</x:v>
      </x:c>
      <x:c r="I13" s="36" t="str">
        <x:v>Carry Over</x:v>
      </x:c>
      <x:c r="J13" s="38" t="n">
        <x:v>1.07</x:v>
      </x:c>
      <x:c r="K13" s="38"/>
      <x:c r="L13" s="38"/>
      <x:c r="M13" s="38"/>
      <x:c r="N13" s="38"/>
      <x:c r="O13" s="38"/>
      <x:c r="P13" s="37" t="str"/>
      <x:c r="Q13" s="37" t="str">
        <x:v>Unclassified</x:v>
      </x:c>
      <x:c r="R13" s="37" t="str">
        <x:v>data quality gaps not addressed - increasing  ‘Value At Risk’, the value of orders with operational risk</x:v>
      </x:c>
      <x:c r="S13" s="37" t="str"/>
      <x:c r="T13" s="37" t="str"/>
      <x:c r="U13" s="37" t="str"/>
      <x:c r="V13" s="36" t="str"/>
      <x:c r="W13" s="36" t="str"/>
      <x:c r="X13" s="36" t="n">
        <x:v>1</x:v>
      </x:c>
      <x:c r="Y13" s="36" t="str">
        <x:v>HEALTHY</x:v>
      </x:c>
      <x:c r="Z13" s="36" t="str"/>
      <x:c r="AA13" s="36" t="str"/>
      <x:c r="AB13" s="36"/>
      <x:c r="AC13" s="36"/>
      <x:c r="AD13" s="36" t="str"/>
      <x:c r="AE13" s="36" t="str">
        <x:v>HEALTHY — Rank in priority matrix</x:v>
      </x:c>
      <x:c r="AF13" s="36" t="str">
        <x:v>Name and organisation matched</x:v>
      </x:c>
      <x:c r="AG13" s="36" t="str">
        <x:v>Common pot</x:v>
      </x:c>
      <x:c r="AH13" s="36" t="str">
        <x:v>BU Demand!row 16</x:v>
      </x:c>
      <x:c r="AI13" s="36" t="str">
        <x:v>NewFeat</x:v>
      </x:c>
      <x:c r="AJ13" s="36" t="str">
        <x:v>Blank</x:v>
      </x:c>
      <x:c r="AK13" s="36" t="str">
        <x:v>Must Do</x:v>
      </x:c>
      <x:c r="AL13" s="36" t="n">
        <x:v>0</x:v>
      </x:c>
      <x:c r="AM13" s="36" t="n">
        <x:v>0</x:v>
      </x:c>
      <x:c r="AN13" s="43"/>
      <x:c r="AO13" s="43"/>
      <x:c r="AP13" s="43"/>
    </x:row>
    <x:row r="14" ht="15" hidden="0" customHeight="1">
      <x:c r="A14" s="36" t="str">
        <x:v>Bu-11</x:v>
      </x:c>
      <x:c r="B14" s="37" t="str">
        <x:v>Direct Procurement Transformation</x:v>
      </x:c>
      <x:c r="C14" s="36" t="str">
        <x:v>BU Led</x:v>
      </x:c>
      <x:c r="D14" s="36" t="str">
        <x:v>Integrated Supply Chain (ISC)</x:v>
      </x:c>
      <x:c r="E14" s="36" t="str">
        <x:v>1007106</x:v>
      </x:c>
      <x:c r="F14" s="36" t="str">
        <x:v>New Feature</x:v>
      </x:c>
      <x:c r="G14" s="36" t="str"/>
      <x:c r="H14" s="36" t="str">
        <x:v>Must Do</x:v>
      </x:c>
      <x:c r="I14" s="36" t="str">
        <x:v>Carry Over</x:v>
      </x:c>
      <x:c r="J14" s="38" t="n">
        <x:v>7.03</x:v>
      </x:c>
      <x:c r="K14" s="38"/>
      <x:c r="L14" s="38"/>
      <x:c r="M14" s="38"/>
      <x:c r="N14" s="38"/>
      <x:c r="O14" s="38"/>
      <x:c r="P14" s="37" t="str"/>
      <x:c r="Q14" s="37" t="str">
        <x:v>Unclassified</x:v>
      </x:c>
      <x:c r="R14" s="37" t="str">
        <x:v>Affecting cost savings possible due to lean, standardized, simplified Software BOM ordering process (BUs, Markets)​</x:v>
      </x:c>
      <x:c r="S14" s="37" t="str"/>
      <x:c r="T14" s="37" t="str"/>
      <x:c r="U14" s="37" t="str"/>
      <x:c r="V14" s="36" t="str"/>
      <x:c r="W14" s="36" t="str"/>
      <x:c r="X14" s="36" t="n">
        <x:v>1.05</x:v>
      </x:c>
      <x:c r="Y14" s="36" t="str">
        <x:v>HEALTHY</x:v>
      </x:c>
      <x:c r="Z14" s="36" t="str"/>
      <x:c r="AA14" s="36" t="str"/>
      <x:c r="AB14" s="36"/>
      <x:c r="AC14" s="36"/>
      <x:c r="AD14" s="36" t="str"/>
      <x:c r="AE14" s="36" t="str">
        <x:v>HEALTHY — Rank in priority matrix</x:v>
      </x:c>
      <x:c r="AF14" s="36" t="str">
        <x:v>Name and organisation matched</x:v>
      </x:c>
      <x:c r="AG14" s="36" t="str">
        <x:v>Common pot</x:v>
      </x:c>
      <x:c r="AH14" s="36" t="str">
        <x:v>BU Demand!row 19</x:v>
      </x:c>
      <x:c r="AI14" s="36" t="str">
        <x:v>NewFeat</x:v>
      </x:c>
      <x:c r="AJ14" s="36" t="str">
        <x:v>Blank</x:v>
      </x:c>
      <x:c r="AK14" s="36" t="str">
        <x:v>Must Do</x:v>
      </x:c>
      <x:c r="AL14" s="36" t="n">
        <x:v>0</x:v>
      </x:c>
      <x:c r="AM14" s="36" t="n">
        <x:v>0</x:v>
      </x:c>
      <x:c r="AN14" s="43"/>
      <x:c r="AO14" s="43"/>
      <x:c r="AP14" s="43"/>
    </x:row>
    <x:row r="15" ht="15" hidden="0" customHeight="1">
      <x:c r="A15" s="36" t="str">
        <x:v>Bu-12</x:v>
      </x:c>
      <x:c r="B15" s="37" t="str">
        <x:v>Implement Integrated Planning Basics</x:v>
      </x:c>
      <x:c r="C15" s="36" t="str">
        <x:v>BU Led</x:v>
      </x:c>
      <x:c r="D15" s="36" t="str">
        <x:v>Integrated Supply Chain (ISC)</x:v>
      </x:c>
      <x:c r="E15" s="36" t="str">
        <x:v>1002302</x:v>
      </x:c>
      <x:c r="F15" s="36" t="str">
        <x:v>New Feature</x:v>
      </x:c>
      <x:c r="G15" s="36" t="str"/>
      <x:c r="H15" s="36" t="str">
        <x:v>Must Do</x:v>
      </x:c>
      <x:c r="I15" s="36" t="str">
        <x:v>Carry Over</x:v>
      </x:c>
      <x:c r="J15" s="38" t="n">
        <x:v>0.5</x:v>
      </x:c>
      <x:c r="K15" s="38"/>
      <x:c r="L15" s="38"/>
      <x:c r="M15" s="38"/>
      <x:c r="N15" s="38"/>
      <x:c r="O15" s="38"/>
      <x:c r="P15" s="37" t="str"/>
      <x:c r="Q15" s="37" t="str">
        <x:v>Unclassified</x:v>
      </x:c>
      <x:c r="R15" s="37" t="str">
        <x:v>No Bill of material cost productivity enablement - annual recurring BOM cost reduction</x:v>
      </x:c>
      <x:c r="S15" s="37" t="str"/>
      <x:c r="T15" s="37" t="str"/>
      <x:c r="U15" s="37" t="str"/>
      <x:c r="V15" s="36" t="str"/>
      <x:c r="W15" s="36" t="str"/>
      <x:c r="X15" s="36" t="n">
        <x:v>1</x:v>
      </x:c>
      <x:c r="Y15" s="36" t="str">
        <x:v>HEALTHY</x:v>
      </x:c>
      <x:c r="Z15" s="36" t="str"/>
      <x:c r="AA15" s="36" t="str"/>
      <x:c r="AB15" s="36"/>
      <x:c r="AC15" s="36"/>
      <x:c r="AD15" s="36" t="str"/>
      <x:c r="AE15" s="36" t="str">
        <x:v>HEALTHY — Rank in priority matrix</x:v>
      </x:c>
      <x:c r="AF15" s="36" t="str">
        <x:v>Name and organisation matched</x:v>
      </x:c>
      <x:c r="AG15" s="36" t="str">
        <x:v>Common pot</x:v>
      </x:c>
      <x:c r="AH15" s="36" t="str">
        <x:v>BU Demand!row 21</x:v>
      </x:c>
      <x:c r="AI15" s="36" t="str">
        <x:v>NewFeat</x:v>
      </x:c>
      <x:c r="AJ15" s="36" t="str">
        <x:v>Blank</x:v>
      </x:c>
      <x:c r="AK15" s="36" t="str">
        <x:v>Must Do</x:v>
      </x:c>
      <x:c r="AL15" s="36" t="n">
        <x:v>0</x:v>
      </x:c>
      <x:c r="AM15" s="36" t="n">
        <x:v>0</x:v>
      </x:c>
      <x:c r="AN15" s="43"/>
      <x:c r="AO15" s="43"/>
      <x:c r="AP15" s="43"/>
    </x:row>
    <x:row r="16" ht="15" hidden="0" customHeight="1">
      <x:c r="A16" s="36" t="str">
        <x:v>Bu-13</x:v>
      </x:c>
      <x:c r="B16" s="37" t="str">
        <x:v>HPM - P3S - MaaS Capability Program: Scaling</x:v>
      </x:c>
      <x:c r="C16" s="36" t="str">
        <x:v>BU Led</x:v>
      </x:c>
      <x:c r="D16" s="36" t="str">
        <x:v>Monitoring - HPM (MCH)</x:v>
      </x:c>
      <x:c r="E16" s="36" t="str">
        <x:v>1002581</x:v>
      </x:c>
      <x:c r="F16" s="36" t="str">
        <x:v>New Feature</x:v>
      </x:c>
      <x:c r="G16" s="36" t="str">
        <x:v>Revenue Increase</x:v>
      </x:c>
      <x:c r="H16" s="36" t="str">
        <x:v>Must Do</x:v>
      </x:c>
      <x:c r="I16" s="36" t="str">
        <x:v>Carry Over</x:v>
      </x:c>
      <x:c r="J16" s="38" t="n">
        <x:v>5</x:v>
      </x:c>
      <x:c r="K16" s="38"/>
      <x:c r="L16" s="38" t="n">
        <x:v>1</x:v>
      </x:c>
      <x:c r="M16" s="38"/>
      <x:c r="N16" s="38"/>
      <x:c r="O16" s="38"/>
      <x:c r="P16" s="37" t="str"/>
      <x:c r="Q16" s="37" t="str">
        <x:v>Revenue</x:v>
      </x:c>
      <x:c r="R16" s="37" t="str">
        <x:v>Carry Over stops</x:v>
      </x:c>
      <x:c r="S16" s="37" t="str"/>
      <x:c r="T16" s="37" t="str"/>
      <x:c r="U16" s="37" t="str"/>
      <x:c r="V16" s="36" t="str"/>
      <x:c r="W16" s="36" t="str"/>
      <x:c r="X16" s="36"/>
      <x:c r="Y16" s="36" t="str">
        <x:v>NotAssessed</x:v>
      </x:c>
      <x:c r="Z16" s="36" t="str"/>
      <x:c r="AA16" s="36" t="str"/>
      <x:c r="AB16" s="36"/>
      <x:c r="AC16" s="36"/>
      <x:c r="AD16" s="36" t="str"/>
      <x:c r="AE16" s="36" t="str"/>
      <x:c r="AF16" s="36" t="str">
        <x:v>Name and organisation matched</x:v>
      </x:c>
      <x:c r="AG16" s="36" t="str">
        <x:v>Common pot</x:v>
      </x:c>
      <x:c r="AH16" s="36" t="str">
        <x:v>BU Demand!row 23</x:v>
      </x:c>
      <x:c r="AI16" s="36" t="str">
        <x:v>NewFeat</x:v>
      </x:c>
      <x:c r="AJ16" s="36" t="str">
        <x:v>Revenue</x:v>
      </x:c>
      <x:c r="AK16" s="36" t="str">
        <x:v>Must Do</x:v>
      </x:c>
      <x:c r="AL16" s="36" t="n">
        <x:v>0</x:v>
      </x:c>
      <x:c r="AM16" s="36" t="n">
        <x:v>0</x:v>
      </x:c>
      <x:c r="AN16" s="43"/>
      <x:c r="AO16" s="43"/>
      <x:c r="AP16" s="43"/>
    </x:row>
    <x:row r="17" ht="15" hidden="0" customHeight="1">
      <x:c r="A17" s="36" t="str">
        <x:v>Bu-14</x:v>
      </x:c>
      <x:c r="B17" s="37" t="str">
        <x:v>HPM - Tariff Mitigation - long term (LTS-4 Late Customization)</x:v>
      </x:c>
      <x:c r="C17" s="36" t="str">
        <x:v>BU Led</x:v>
      </x:c>
      <x:c r="D17" s="36" t="str">
        <x:v>Monitoring - HPM (MCH)</x:v>
      </x:c>
      <x:c r="E17" s="36" t="str">
        <x:v>1007355</x:v>
      </x:c>
      <x:c r="F17" s="36" t="str">
        <x:v>Legal Fiscal, Regulatory &amp; Compliancy</x:v>
      </x:c>
      <x:c r="G17" s="36" t="str">
        <x:v>Productivity savings</x:v>
      </x:c>
      <x:c r="H17" s="36" t="str">
        <x:v>Must Do</x:v>
      </x:c>
      <x:c r="I17" s="36" t="str">
        <x:v>Carry Over</x:v>
      </x:c>
      <x:c r="J17" s="38" t="n">
        <x:v>0.35</x:v>
      </x:c>
      <x:c r="K17" s="38"/>
      <x:c r="L17" s="38" t="n">
        <x:v>0.3</x:v>
      </x:c>
      <x:c r="M17" s="38"/>
      <x:c r="N17" s="38"/>
      <x:c r="O17" s="38"/>
      <x:c r="P17" s="37" t="str"/>
      <x:c r="Q17" s="37" t="str">
        <x:v>Cash savings</x:v>
      </x:c>
      <x:c r="R17" s="37" t="str">
        <x:v>Carry Over stops</x:v>
      </x:c>
      <x:c r="S17" s="37" t="str"/>
      <x:c r="T17" s="37" t="str"/>
      <x:c r="U17" s="37" t="str"/>
      <x:c r="V17" s="36" t="str"/>
      <x:c r="W17" s="36" t="str"/>
      <x:c r="X17" s="36" t="n">
        <x:v>1</x:v>
      </x:c>
      <x:c r="Y17" s="36" t="str">
        <x:v>HEALTHY</x:v>
      </x:c>
      <x:c r="Z17" s="36" t="str"/>
      <x:c r="AA17" s="36" t="str"/>
      <x:c r="AB17" s="36"/>
      <x:c r="AC17" s="36"/>
      <x:c r="AD17" s="36" t="str"/>
      <x:c r="AE17" s="36" t="str">
        <x:v>HEALTHY — Rank in priority matrix</x:v>
      </x:c>
      <x:c r="AF17" s="36" t="str">
        <x:v>Name and organisation matched</x:v>
      </x:c>
      <x:c r="AG17" s="36" t="str">
        <x:v>Common pot</x:v>
      </x:c>
      <x:c r="AH17" s="36" t="str">
        <x:v>BU Demand!row 24</x:v>
      </x:c>
      <x:c r="AI17" s="36" t="str">
        <x:v>LFR</x:v>
      </x:c>
      <x:c r="AJ17" s="36" t="str">
        <x:v>Productivity</x:v>
      </x:c>
      <x:c r="AK17" s="36" t="str">
        <x:v>Must Do</x:v>
      </x:c>
      <x:c r="AL17" s="36" t="n">
        <x:v>0</x:v>
      </x:c>
      <x:c r="AM17" s="36" t="n">
        <x:v>0</x:v>
      </x:c>
      <x:c r="AN17" s="43"/>
      <x:c r="AO17" s="43"/>
      <x:c r="AP17" s="43"/>
    </x:row>
    <x:row r="18" ht="15" hidden="0" customHeight="1">
      <x:c r="A18" s="36" t="str">
        <x:v>Bu-15</x:v>
      </x:c>
      <x:c r="B18" s="37" t="str">
        <x:v>HPM - Sofon Q2O automation</x:v>
      </x:c>
      <x:c r="C18" s="36" t="str">
        <x:v>BU Led</x:v>
      </x:c>
      <x:c r="D18" s="36" t="str">
        <x:v>Monitoring - HPM (MCH)</x:v>
      </x:c>
      <x:c r="E18" s="36" t="str">
        <x:v>1006368</x:v>
      </x:c>
      <x:c r="F18" s="36" t="str">
        <x:v>New Technology</x:v>
      </x:c>
      <x:c r="G18" s="36" t="str">
        <x:v>Productivity savings</x:v>
      </x:c>
      <x:c r="H18" s="36" t="str">
        <x:v>Must Do</x:v>
      </x:c>
      <x:c r="I18" s="36" t="str">
        <x:v>Carry Over</x:v>
      </x:c>
      <x:c r="J18" s="38" t="n">
        <x:v>0.2</x:v>
      </x:c>
      <x:c r="K18" s="38"/>
      <x:c r="L18" s="38"/>
      <x:c r="M18" s="38"/>
      <x:c r="N18" s="38"/>
      <x:c r="O18" s="38"/>
      <x:c r="P18" s="37" t="str"/>
      <x:c r="Q18" s="37" t="str">
        <x:v>Cash savings</x:v>
      </x:c>
      <x:c r="R18" s="37" t="str">
        <x:v>Carry Over stops</x:v>
      </x:c>
      <x:c r="S18" s="37" t="str"/>
      <x:c r="T18" s="37" t="str"/>
      <x:c r="U18" s="37" t="str"/>
      <x:c r="V18" s="36" t="str"/>
      <x:c r="W18" s="36" t="str"/>
      <x:c r="X18" s="36"/>
      <x:c r="Y18" s="36" t="str">
        <x:v>NotAssessed</x:v>
      </x:c>
      <x:c r="Z18" s="36" t="str"/>
      <x:c r="AA18" s="36" t="str"/>
      <x:c r="AB18" s="36"/>
      <x:c r="AC18" s="36"/>
      <x:c r="AD18" s="36" t="str"/>
      <x:c r="AE18" s="36" t="str"/>
      <x:c r="AF18" s="36" t="str">
        <x:v>Name and organisation matched</x:v>
      </x:c>
      <x:c r="AG18" s="36" t="str">
        <x:v>Common pot</x:v>
      </x:c>
      <x:c r="AH18" s="36" t="str">
        <x:v>BU Demand!row 25</x:v>
      </x:c>
      <x:c r="AI18" s="36" t="str">
        <x:v>NewTech</x:v>
      </x:c>
      <x:c r="AJ18" s="36" t="str">
        <x:v>Productivity</x:v>
      </x:c>
      <x:c r="AK18" s="36" t="str">
        <x:v>Must Do</x:v>
      </x:c>
      <x:c r="AL18" s="36" t="n">
        <x:v>0</x:v>
      </x:c>
      <x:c r="AM18" s="36" t="n">
        <x:v>0</x:v>
      </x:c>
      <x:c r="AN18" s="43"/>
      <x:c r="AO18" s="43"/>
      <x:c r="AP18" s="43"/>
    </x:row>
    <x:row r="19" ht="15" hidden="0" customHeight="1">
      <x:c r="A19" s="36" t="str">
        <x:v>Bu-16</x:v>
      </x:c>
      <x:c r="B19" s="37" t="str">
        <x:v>HPM - AI capabilities</x:v>
      </x:c>
      <x:c r="C19" s="36" t="str">
        <x:v>BU Led</x:v>
      </x:c>
      <x:c r="D19" s="36" t="str">
        <x:v>Monitoring - HPM (MCH)</x:v>
      </x:c>
      <x:c r="E19" s="36" t="str">
        <x:v>1006398</x:v>
      </x:c>
      <x:c r="F19" s="36" t="str">
        <x:v>New Feature</x:v>
      </x:c>
      <x:c r="G19" s="36" t="str">
        <x:v>Productivity savings</x:v>
      </x:c>
      <x:c r="H19" s="36" t="str">
        <x:v>Must Do</x:v>
      </x:c>
      <x:c r="I19" s="36" t="str">
        <x:v>Carry Over</x:v>
      </x:c>
      <x:c r="J19" s="38" t="n">
        <x:v>0.5</x:v>
      </x:c>
      <x:c r="K19" s="38"/>
      <x:c r="L19" s="38"/>
      <x:c r="M19" s="38"/>
      <x:c r="N19" s="38"/>
      <x:c r="O19" s="38"/>
      <x:c r="P19" s="37" t="str"/>
      <x:c r="Q19" s="37" t="str">
        <x:v>Cash savings</x:v>
      </x:c>
      <x:c r="R19" s="37" t="str">
        <x:v>Carry Over stops</x:v>
      </x:c>
      <x:c r="S19" s="37" t="str"/>
      <x:c r="T19" s="37" t="str"/>
      <x:c r="U19" s="37" t="str"/>
      <x:c r="V19" s="36" t="str"/>
      <x:c r="W19" s="36" t="str"/>
      <x:c r="X19" s="36"/>
      <x:c r="Y19" s="36" t="str">
        <x:v>NotAssessed</x:v>
      </x:c>
      <x:c r="Z19" s="36" t="str"/>
      <x:c r="AA19" s="36" t="str"/>
      <x:c r="AB19" s="36"/>
      <x:c r="AC19" s="36"/>
      <x:c r="AD19" s="36" t="str"/>
      <x:c r="AE19" s="36" t="str"/>
      <x:c r="AF19" s="36" t="str">
        <x:v>Name and organisation matched</x:v>
      </x:c>
      <x:c r="AG19" s="36" t="str">
        <x:v>Common pot</x:v>
      </x:c>
      <x:c r="AH19" s="36" t="str">
        <x:v>BU Demand!row 26</x:v>
      </x:c>
      <x:c r="AI19" s="36" t="str">
        <x:v>NewFeat</x:v>
      </x:c>
      <x:c r="AJ19" s="36" t="str">
        <x:v>Productivity</x:v>
      </x:c>
      <x:c r="AK19" s="36" t="str">
        <x:v>Must Do</x:v>
      </x:c>
      <x:c r="AL19" s="36" t="n">
        <x:v>0</x:v>
      </x:c>
      <x:c r="AM19" s="36" t="n">
        <x:v>0</x:v>
      </x:c>
      <x:c r="AN19" s="43"/>
      <x:c r="AO19" s="43"/>
      <x:c r="AP19" s="43"/>
    </x:row>
    <x:row r="20" ht="15" hidden="0" customHeight="1">
      <x:c r="A20" s="36" t="str">
        <x:v>Bu-17</x:v>
      </x:c>
      <x:c r="B20" s="37" t="str">
        <x:v>NAR Contract Execution and Compliance</x:v>
      </x:c>
      <x:c r="C20" s="36" t="str">
        <x:v>BU Led</x:v>
      </x:c>
      <x:c r="D20" s="36" t="str">
        <x:v>North America (NAR)</x:v>
      </x:c>
      <x:c r="E20" s="36" t="str">
        <x:v>1004732</x:v>
      </x:c>
      <x:c r="F20" s="36" t="str">
        <x:v>New Technology</x:v>
      </x:c>
      <x:c r="G20" s="36" t="str">
        <x:v>Revenue Increase</x:v>
      </x:c>
      <x:c r="H20" s="36" t="str">
        <x:v>Deprioritised</x:v>
      </x:c>
      <x:c r="I20" s="36" t="str">
        <x:v>Carry Over</x:v>
      </x:c>
      <x:c r="J20" s="38" t="n">
        <x:v>0</x:v>
      </x:c>
      <x:c r="K20" s="38"/>
      <x:c r="L20" s="38"/>
      <x:c r="M20" s="38"/>
      <x:c r="N20" s="38"/>
      <x:c r="O20" s="38"/>
      <x:c r="P20" s="37" t="str"/>
      <x:c r="Q20" s="37" t="str">
        <x:v>Revenue</x:v>
      </x:c>
      <x:c r="R20" s="37" t="str"/>
      <x:c r="S20" s="37" t="str"/>
      <x:c r="T20" s="37" t="str"/>
      <x:c r="U20" s="37" t="str"/>
      <x:c r="V20" s="36" t="str"/>
      <x:c r="W20" s="36" t="str"/>
      <x:c r="X20" s="36"/>
      <x:c r="Y20" s="36" t="str">
        <x:v>NotAssessed</x:v>
      </x:c>
      <x:c r="Z20" s="36" t="str"/>
      <x:c r="AA20" s="36" t="str"/>
      <x:c r="AB20" s="36"/>
      <x:c r="AC20" s="36"/>
      <x:c r="AD20" s="36" t="str"/>
      <x:c r="AE20" s="36" t="str"/>
      <x:c r="AF20" s="36" t="str">
        <x:v>Name and organisation matched</x:v>
      </x:c>
      <x:c r="AG20" s="36" t="str">
        <x:v>Region candidate</x:v>
      </x:c>
      <x:c r="AH20" s="36" t="str">
        <x:v>BU Demand!row 27</x:v>
      </x:c>
      <x:c r="AI20" s="36" t="str">
        <x:v>NewTech</x:v>
      </x:c>
      <x:c r="AJ20" s="36" t="str">
        <x:v>Revenue</x:v>
      </x:c>
      <x:c r="AK20" s="36" t="str">
        <x:v>Depri</x:v>
      </x:c>
      <x:c r="AL20" s="36" t="n">
        <x:v>0</x:v>
      </x:c>
      <x:c r="AM20" s="36" t="n">
        <x:v>0</x:v>
      </x:c>
      <x:c r="AN20" s="43"/>
      <x:c r="AO20" s="43"/>
      <x:c r="AP20" s="43"/>
    </x:row>
    <x:row r="21" ht="15" hidden="0" customHeight="1">
      <x:c r="A21" s="36" t="str">
        <x:v>Bu-18</x:v>
      </x:c>
      <x:c r="B21" s="37" t="str">
        <x:v>06. Unlocking Digital Marketplaces: Expansion for future growth</x:v>
      </x:c>
      <x:c r="C21" s="36" t="str">
        <x:v>BU Led</x:v>
      </x:c>
      <x:c r="D21" s="36" t="str">
        <x:v>Personal Health (PH)</x:v>
      </x:c>
      <x:c r="E21" s="36" t="str">
        <x:v>1001239</x:v>
      </x:c>
      <x:c r="F21" s="36" t="str">
        <x:v>Continous Improvement</x:v>
      </x:c>
      <x:c r="G21" s="36" t="str">
        <x:v>Revenue Increase</x:v>
      </x:c>
      <x:c r="H21" s="36" t="str">
        <x:v>Must Do</x:v>
      </x:c>
      <x:c r="I21" s="36" t="str">
        <x:v>Carry Over</x:v>
      </x:c>
      <x:c r="J21" s="38" t="n">
        <x:v>0.2</x:v>
      </x:c>
      <x:c r="K21" s="38"/>
      <x:c r="L21" s="38"/>
      <x:c r="M21" s="38"/>
      <x:c r="N21" s="38"/>
      <x:c r="O21" s="38" t="n">
        <x:v>0.239</x:v>
      </x:c>
      <x:c r="P21" s="37" t="str">
        <x:v>239</x:v>
      </x:c>
      <x:c r="Q21" s="37" t="str">
        <x:v>Revenue</x:v>
      </x:c>
      <x:c r="R21" s="37" t="str"/>
      <x:c r="S21" s="37" t="str"/>
      <x:c r="T21" s="37" t="str"/>
      <x:c r="U21" s="37" t="str"/>
      <x:c r="V21" s="36" t="str"/>
      <x:c r="W21" s="36" t="str"/>
      <x:c r="X21" s="36"/>
      <x:c r="Y21" s="36" t="str">
        <x:v>NotAssessed</x:v>
      </x:c>
      <x:c r="Z21" s="36" t="str"/>
      <x:c r="AA21" s="36" t="str"/>
      <x:c r="AB21" s="36"/>
      <x:c r="AC21" s="36"/>
      <x:c r="AD21" s="36" t="str"/>
      <x:c r="AE21" s="36" t="str"/>
      <x:c r="AF21" s="36" t="str">
        <x:v>Name and organisation matched</x:v>
      </x:c>
      <x:c r="AG21" s="36" t="str">
        <x:v>Common pot</x:v>
      </x:c>
      <x:c r="AH21" s="36" t="str">
        <x:v>BU Demand!row 28</x:v>
      </x:c>
      <x:c r="AI21" s="36" t="str">
        <x:v>CI</x:v>
      </x:c>
      <x:c r="AJ21" s="36" t="str">
        <x:v>Revenue</x:v>
      </x:c>
      <x:c r="AK21" s="36" t="str">
        <x:v>Must Do</x:v>
      </x:c>
      <x:c r="AL21" s="36" t="n">
        <x:v>0</x:v>
      </x:c>
      <x:c r="AM21" s="36" t="n">
        <x:v>0</x:v>
      </x:c>
      <x:c r="AN21" s="43"/>
      <x:c r="AO21" s="43"/>
      <x:c r="AP21" s="43"/>
    </x:row>
    <x:row r="22" ht="15" hidden="0" customHeight="1">
      <x:c r="A22" s="36" t="str">
        <x:v>Bu-19</x:v>
      </x:c>
      <x:c r="B22" s="37" t="str">
        <x:v>01. Unleashing the power of Subscriptions </x:v>
      </x:c>
      <x:c r="C22" s="36" t="str">
        <x:v>BU Led</x:v>
      </x:c>
      <x:c r="D22" s="36" t="str">
        <x:v>Personal Health (PH)</x:v>
      </x:c>
      <x:c r="E22" s="36" t="str">
        <x:v>1001339</x:v>
      </x:c>
      <x:c r="F22" s="36" t="str">
        <x:v>Continous Improvement</x:v>
      </x:c>
      <x:c r="G22" s="36" t="str">
        <x:v>Revenue Increase</x:v>
      </x:c>
      <x:c r="H22" s="36" t="str">
        <x:v>Must Do</x:v>
      </x:c>
      <x:c r="I22" s="36" t="str">
        <x:v>Carry Over</x:v>
      </x:c>
      <x:c r="J22" s="38" t="n">
        <x:v>0.1</x:v>
      </x:c>
      <x:c r="K22" s="38"/>
      <x:c r="L22" s="38"/>
      <x:c r="M22" s="38"/>
      <x:c r="N22" s="38"/>
      <x:c r="O22" s="38" t="n">
        <x:v>0.113</x:v>
      </x:c>
      <x:c r="P22" s="37" t="str">
        <x:v>113</x:v>
      </x:c>
      <x:c r="Q22" s="37" t="str">
        <x:v>Revenue</x:v>
      </x:c>
      <x:c r="R22" s="37" t="str"/>
      <x:c r="S22" s="37" t="str"/>
      <x:c r="T22" s="37" t="str"/>
      <x:c r="U22" s="37" t="str"/>
      <x:c r="V22" s="36" t="str"/>
      <x:c r="W22" s="36" t="str"/>
      <x:c r="X22" s="36"/>
      <x:c r="Y22" s="36" t="str">
        <x:v>NotAssessed</x:v>
      </x:c>
      <x:c r="Z22" s="36" t="str"/>
      <x:c r="AA22" s="36" t="str"/>
      <x:c r="AB22" s="36"/>
      <x:c r="AC22" s="36"/>
      <x:c r="AD22" s="36" t="str"/>
      <x:c r="AE22" s="36" t="str"/>
      <x:c r="AF22" s="36" t="str">
        <x:v>Name and organisation matched</x:v>
      </x:c>
      <x:c r="AG22" s="36" t="str">
        <x:v>Common pot</x:v>
      </x:c>
      <x:c r="AH22" s="36" t="str">
        <x:v>BU Demand!row 29</x:v>
      </x:c>
      <x:c r="AI22" s="36" t="str">
        <x:v>CI</x:v>
      </x:c>
      <x:c r="AJ22" s="36" t="str">
        <x:v>Revenue</x:v>
      </x:c>
      <x:c r="AK22" s="36" t="str">
        <x:v>Must Do</x:v>
      </x:c>
      <x:c r="AL22" s="36" t="n">
        <x:v>0</x:v>
      </x:c>
      <x:c r="AM22" s="36" t="n">
        <x:v>0</x:v>
      </x:c>
      <x:c r="AN22" s="43"/>
      <x:c r="AO22" s="43"/>
      <x:c r="AP22" s="43"/>
    </x:row>
    <x:row r="23" ht="15" hidden="0" customHeight="1">
      <x:c r="A23" s="36" t="str">
        <x:v>Bu-20</x:v>
      </x:c>
      <x:c r="B23" s="37" t="str">
        <x:v>17.2 GCS/WCMS replacement</x:v>
      </x:c>
      <x:c r="C23" s="36" t="str">
        <x:v>BU Led</x:v>
      </x:c>
      <x:c r="D23" s="36" t="str">
        <x:v>Personal Health (PH)</x:v>
      </x:c>
      <x:c r="E23" s="36" t="str">
        <x:v>1001487</x:v>
      </x:c>
      <x:c r="F23" s="36" t="str">
        <x:v>New Technology</x:v>
      </x:c>
      <x:c r="G23" s="36" t="str">
        <x:v>Compliance/Keeping the lights on</x:v>
      </x:c>
      <x:c r="H23" s="36" t="str">
        <x:v>Must Do</x:v>
      </x:c>
      <x:c r="I23" s="36" t="str">
        <x:v>Carry Over</x:v>
      </x:c>
      <x:c r="J23" s="38" t="n">
        <x:v>0.25</x:v>
      </x:c>
      <x:c r="K23" s="38"/>
      <x:c r="L23" s="38" t="n">
        <x:v>0.25</x:v>
      </x:c>
      <x:c r="M23" s="38"/>
      <x:c r="N23" s="38"/>
      <x:c r="O23" s="38"/>
      <x:c r="P23" s="37" t="str"/>
      <x:c r="Q23" s="37" t="str">
        <x:v>Risk exposure</x:v>
      </x:c>
      <x:c r="R23" s="37" t="str">
        <x:v>Regulatory Compliance fines regarding claims management</x:v>
      </x:c>
      <x:c r="S23" s="37" t="str">
        <x:v>We submitted to Replace InfoTip (Self Service) from 15 existing countries to the new platform and extend to further 23 countries (in total 38 countries).two new LRF items need to be implemented: Enable repair product flow and refund flow as part of repairability directive within WCMS</x:v>
      </x:c>
      <x:c r="T23" s="37" t="str">
        <x:v>Backlog and continuous improvement roadmap to be defined via the Quarterly planning
Enable repair product flow and refund flow as part of repairability directive within WCMS </x:v>
      </x:c>
      <x:c r="U23" s="37" t="str">
        <x:v>Xcellent Care</x:v>
      </x:c>
      <x:c r="V23" s="36" t="str"/>
      <x:c r="W23" s="36" t="str"/>
      <x:c r="X23" s="36"/>
      <x:c r="Y23" s="36" t="str">
        <x:v>NotAssessed</x:v>
      </x:c>
      <x:c r="Z23" s="36" t="str"/>
      <x:c r="AA23" s="36" t="str"/>
      <x:c r="AB23" s="36"/>
      <x:c r="AC23" s="36"/>
      <x:c r="AD23" s="36" t="str"/>
      <x:c r="AE23" s="36" t="str"/>
      <x:c r="AF23" s="36" t="str">
        <x:v>Name and organisation matched</x:v>
      </x:c>
      <x:c r="AG23" s="36" t="str">
        <x:v>Common pot</x:v>
      </x:c>
      <x:c r="AH23" s="36" t="str">
        <x:v>BU Demand!row 30</x:v>
      </x:c>
      <x:c r="AI23" s="36" t="str">
        <x:v>NewTech</x:v>
      </x:c>
      <x:c r="AJ23" s="36" t="str">
        <x:v>Compliance</x:v>
      </x:c>
      <x:c r="AK23" s="36" t="str">
        <x:v>Must Do</x:v>
      </x:c>
      <x:c r="AL23" s="36" t="n">
        <x:v>0</x:v>
      </x:c>
      <x:c r="AM23" s="36" t="n">
        <x:v>0</x:v>
      </x:c>
      <x:c r="AN23" s="43"/>
      <x:c r="AO23" s="43"/>
      <x:c r="AP23" s="43"/>
    </x:row>
    <x:row r="24" ht="15" hidden="0" customHeight="1">
      <x:c r="A24" s="36" t="str">
        <x:v>Bu-21</x:v>
      </x:c>
      <x:c r="B24" s="37" t="str">
        <x:v>13. Finish the ecommerce  brilliant basics</x:v>
      </x:c>
      <x:c r="C24" s="36" t="str">
        <x:v>BU Led</x:v>
      </x:c>
      <x:c r="D24" s="36" t="str">
        <x:v>Personal Health (PH)</x:v>
      </x:c>
      <x:c r="E24" s="36" t="str">
        <x:v>1002331</x:v>
      </x:c>
      <x:c r="F24" s="36" t="str">
        <x:v>Continous Improvement</x:v>
      </x:c>
      <x:c r="G24" s="36" t="str">
        <x:v>Revenue Increase</x:v>
      </x:c>
      <x:c r="H24" s="36" t="str">
        <x:v>Must Do</x:v>
      </x:c>
      <x:c r="I24" s="36" t="str">
        <x:v>Carry Over</x:v>
      </x:c>
      <x:c r="J24" s="38" t="n">
        <x:v>0.32</x:v>
      </x:c>
      <x:c r="K24" s="38"/>
      <x:c r="L24" s="38"/>
      <x:c r="M24" s="38"/>
      <x:c r="N24" s="38"/>
      <x:c r="O24" s="38" t="n">
        <x:v>0.679</x:v>
      </x:c>
      <x:c r="P24" s="37" t="str">
        <x:v>679</x:v>
      </x:c>
      <x:c r="Q24" s="37" t="str">
        <x:v>Revenue</x:v>
      </x:c>
      <x:c r="R24" s="37" t="str"/>
      <x:c r="S24" s="37" t="str"/>
      <x:c r="T24" s="37" t="str"/>
      <x:c r="U24" s="37" t="str"/>
      <x:c r="V24" s="36" t="str"/>
      <x:c r="W24" s="36" t="str"/>
      <x:c r="X24" s="36"/>
      <x:c r="Y24" s="36" t="str">
        <x:v>NotAssessed</x:v>
      </x:c>
      <x:c r="Z24" s="36" t="str"/>
      <x:c r="AA24" s="36" t="str"/>
      <x:c r="AB24" s="36"/>
      <x:c r="AC24" s="36"/>
      <x:c r="AD24" s="36" t="str"/>
      <x:c r="AE24" s="36" t="str"/>
      <x:c r="AF24" s="36" t="str">
        <x:v>Name and organisation matched</x:v>
      </x:c>
      <x:c r="AG24" s="36" t="str">
        <x:v>Common pot</x:v>
      </x:c>
      <x:c r="AH24" s="36" t="str">
        <x:v>BU Demand!row 32</x:v>
      </x:c>
      <x:c r="AI24" s="36" t="str">
        <x:v>CI</x:v>
      </x:c>
      <x:c r="AJ24" s="36" t="str">
        <x:v>Revenue</x:v>
      </x:c>
      <x:c r="AK24" s="36" t="str">
        <x:v>Must Do</x:v>
      </x:c>
      <x:c r="AL24" s="36" t="n">
        <x:v>0</x:v>
      </x:c>
      <x:c r="AM24" s="36" t="n">
        <x:v>0</x:v>
      </x:c>
      <x:c r="AN24" s="43"/>
      <x:c r="AO24" s="43"/>
      <x:c r="AP24" s="43"/>
    </x:row>
    <x:row r="25" ht="15" hidden="0" customHeight="1">
      <x:c r="A25" s="36" t="str">
        <x:v>Bu-22</x:v>
      </x:c>
      <x:c r="B25" s="37" t="str">
        <x:v>03. Professionals / D2B2C</x:v>
      </x:c>
      <x:c r="C25" s="36" t="str">
        <x:v>BU Led</x:v>
      </x:c>
      <x:c r="D25" s="36" t="str">
        <x:v>Personal Health (PH)</x:v>
      </x:c>
      <x:c r="E25" s="36" t="str">
        <x:v>1002338</x:v>
      </x:c>
      <x:c r="F25" s="36" t="str">
        <x:v>Upgrades &amp; Enhancements</x:v>
      </x:c>
      <x:c r="G25" s="36" t="str">
        <x:v>Revenue Increase</x:v>
      </x:c>
      <x:c r="H25" s="36" t="str">
        <x:v>Must Do</x:v>
      </x:c>
      <x:c r="I25" s="36" t="str">
        <x:v>Carry Over</x:v>
      </x:c>
      <x:c r="J25" s="38" t="n">
        <x:v>1</x:v>
      </x:c>
      <x:c r="K25" s="38"/>
      <x:c r="L25" s="38" t="n">
        <x:v>0.525</x:v>
      </x:c>
      <x:c r="M25" s="38" t="n">
        <x:v>1</x:v>
      </x:c>
      <x:c r="N25" s="38"/>
      <x:c r="O25" s="38" t="n">
        <x:v>5.053</x:v>
      </x:c>
      <x:c r="P25" s="37" t="str">
        <x:v>5053</x:v>
      </x:c>
      <x:c r="Q25" s="37" t="str">
        <x:v>Revenue</x:v>
      </x:c>
      <x:c r="R25" s="37" t="str">
        <x: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x:v>
      </x:c>
      <x:c r="S25" s="37" t="str">
        <x: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x:v>
      </x:c>
      <x:c r="T25" s="37" t="str">
        <x: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x:v>
      </x:c>
      <x:c r="U25" s="37" t="str">
        <x:v>Informatica, WPP (SAP), ITAAP, ELQ, Identity &amp;Consent
03.a. Customer Service Incident Management
07. D2B Store replatforming,
27. RGM, commercial automation</x:v>
      </x:c>
      <x:c r="V25" s="36" t="str"/>
      <x:c r="W25" s="36" t="str"/>
      <x:c r="X25" s="36"/>
      <x:c r="Y25" s="36" t="str">
        <x:v>NotAssessed</x:v>
      </x:c>
      <x:c r="Z25" s="36" t="str"/>
      <x:c r="AA25" s="36" t="str"/>
      <x:c r="AB25" s="36"/>
      <x:c r="AC25" s="36"/>
      <x:c r="AD25" s="36" t="str"/>
      <x:c r="AE25" s="36" t="str"/>
      <x:c r="AF25" s="36" t="str">
        <x:v>Name and organisation matched</x:v>
      </x:c>
      <x:c r="AG25" s="36" t="str">
        <x:v>Common pot</x:v>
      </x:c>
      <x:c r="AH25" s="36" t="str">
        <x:v>BU Demand!row 33</x:v>
      </x:c>
      <x:c r="AI25" s="36" t="str">
        <x:v>Upgrades</x:v>
      </x:c>
      <x:c r="AJ25" s="36" t="str">
        <x:v>Revenue</x:v>
      </x:c>
      <x:c r="AK25" s="36" t="str">
        <x:v>Must Do</x:v>
      </x:c>
      <x:c r="AL25" s="36" t="n">
        <x:v>0</x:v>
      </x:c>
      <x:c r="AM25" s="36" t="n">
        <x:v>0</x:v>
      </x:c>
      <x:c r="AN25" s="43"/>
      <x:c r="AO25" s="43"/>
      <x:c r="AP25" s="43"/>
    </x:row>
    <x:row r="26" ht="15" hidden="0" customHeight="1">
      <x:c r="A26" s="36" t="str">
        <x:v>Bu-23</x:v>
      </x:c>
      <x:c r="B26" s="37" t="str">
        <x:v>02. CRM | Building meaningful relationships</x:v>
      </x:c>
      <x:c r="C26" s="36" t="str">
        <x:v>BU Led</x:v>
      </x:c>
      <x:c r="D26" s="36" t="str">
        <x:v>Personal Health (PH)</x:v>
      </x:c>
      <x:c r="E26" s="36" t="str">
        <x:v>1002340</x:v>
      </x:c>
      <x:c r="F26" s="36" t="str">
        <x:v>Upgrades &amp; Enhancements</x:v>
      </x:c>
      <x:c r="G26" s="36" t="str">
        <x:v>Revenue Increase</x:v>
      </x:c>
      <x:c r="H26" s="36" t="str">
        <x:v>Must Do</x:v>
      </x:c>
      <x:c r="I26" s="36" t="str">
        <x:v>Carry Over</x:v>
      </x:c>
      <x:c r="J26" s="38" t="n">
        <x:v>0.25</x:v>
      </x:c>
      <x:c r="K26" s="38"/>
      <x:c r="L26" s="38" t="n">
        <x:v>0.6</x:v>
      </x:c>
      <x:c r="M26" s="38"/>
      <x:c r="N26" s="38"/>
      <x:c r="O26" s="38" t="n">
        <x:v>1</x:v>
      </x:c>
      <x:c r="P26" s="37" t="str">
        <x:v>1000</x:v>
      </x:c>
      <x:c r="Q26" s="37" t="str">
        <x:v>Revenue</x:v>
      </x:c>
      <x:c r="R26" s="37" t="str">
        <x: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x:v>
      </x:c>
      <x:c r="S26" s="37" t="str">
        <x: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x:v>
      </x:c>
      <x:c r="T26" s="37" t="str">
        <x:v>Evaluate opportunities to reduce the current €2.05M annual SFMC license cost and operating costs. Savings remain to be validated.</x:v>
      </x:c>
      <x:c r="U26" s="37" t="str">
        <x:v>Consent Mangement DS, Bus Content</x:v>
      </x:c>
      <x:c r="V26" s="36" t="str"/>
      <x:c r="W26" s="36" t="str"/>
      <x:c r="X26" s="36"/>
      <x:c r="Y26" s="36" t="str">
        <x:v>NotAssessed</x:v>
      </x:c>
      <x:c r="Z26" s="36" t="str"/>
      <x:c r="AA26" s="36" t="str"/>
      <x:c r="AB26" s="36"/>
      <x:c r="AC26" s="36"/>
      <x:c r="AD26" s="36" t="str"/>
      <x:c r="AE26" s="36" t="str"/>
      <x:c r="AF26" s="36" t="str">
        <x:v>Name and organisation matched</x:v>
      </x:c>
      <x:c r="AG26" s="36" t="str">
        <x:v>Common pot</x:v>
      </x:c>
      <x:c r="AH26" s="36" t="str">
        <x:v>BU Demand!row 42</x:v>
      </x:c>
      <x:c r="AI26" s="36" t="str">
        <x:v>Upgrades</x:v>
      </x:c>
      <x:c r="AJ26" s="36" t="str">
        <x:v>Revenue</x:v>
      </x:c>
      <x:c r="AK26" s="36" t="str">
        <x:v>Must Do</x:v>
      </x:c>
      <x:c r="AL26" s="36" t="n">
        <x:v>0</x:v>
      </x:c>
      <x:c r="AM26" s="36" t="n">
        <x:v>0</x:v>
      </x:c>
      <x:c r="AN26" s="43"/>
      <x:c r="AO26" s="43"/>
      <x:c r="AP26" s="43"/>
    </x:row>
    <x:row r="27" ht="15" hidden="0" customHeight="1">
      <x:c r="A27" s="36" t="str">
        <x:v>Bu-24</x:v>
      </x:c>
      <x:c r="B27" s="37" t="str">
        <x:v>22. PH Digitalization Innovation Process - Development</x:v>
      </x:c>
      <x:c r="C27" s="36" t="str">
        <x:v>BU Led</x:v>
      </x:c>
      <x:c r="D27" s="36" t="str">
        <x:v>Personal Health (PH)</x:v>
      </x:c>
      <x:c r="E27" s="36" t="str">
        <x:v>1002353</x:v>
      </x:c>
      <x:c r="F27" s="36" t="str">
        <x:v>New Feature</x:v>
      </x:c>
      <x:c r="G27" s="36" t="str">
        <x:v>Productivity savings</x:v>
      </x:c>
      <x:c r="H27" s="36" t="str">
        <x:v>Must Do</x:v>
      </x:c>
      <x:c r="I27" s="36" t="str">
        <x:v>Carry Over</x:v>
      </x:c>
      <x:c r="J27" s="38" t="n">
        <x:v>2.95</x:v>
      </x:c>
      <x:c r="K27" s="38"/>
      <x:c r="L27" s="38" t="n">
        <x:v>2.175</x:v>
      </x:c>
      <x:c r="M27" s="38" t="n">
        <x:v>2.95</x:v>
      </x:c>
      <x:c r="N27" s="38"/>
      <x:c r="O27" s="38" t="n">
        <x:v>7.628</x:v>
      </x:c>
      <x:c r="P27" s="37" t="str">
        <x:v>7628</x:v>
      </x:c>
      <x:c r="Q27" s="37" t="str">
        <x:v>Cash savings</x:v>
      </x:c>
      <x:c r="R27" s="37" t="str">
        <x:v>7-10% productivity loss, and 2.2 M of sunk cost if this project is not continued</x:v>
      </x:c>
      <x:c r="S27" s="37" t="str">
        <x: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x:v>
      </x:c>
      <x:c r="T27" s="37" t="str">
        <x: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x:v>
      </x:c>
      <x:c r="U27" s="37" t="str">
        <x:v>Harmony, PiPo, AI GamePlan  Pillar 3, Consumer centric launch, First, Sustainability, Content Engine</x:v>
      </x:c>
      <x:c r="V27" s="36" t="str"/>
      <x:c r="W27" s="36" t="str"/>
      <x:c r="X27" s="36"/>
      <x:c r="Y27" s="36" t="str">
        <x:v>NotAssessed</x:v>
      </x:c>
      <x:c r="Z27" s="36" t="str"/>
      <x:c r="AA27" s="36" t="str"/>
      <x:c r="AB27" s="36"/>
      <x:c r="AC27" s="36"/>
      <x:c r="AD27" s="36" t="str"/>
      <x:c r="AE27" s="36" t="str"/>
      <x:c r="AF27" s="36" t="str">
        <x:v>Name and organisation matched</x:v>
      </x:c>
      <x:c r="AG27" s="36" t="str">
        <x:v>Common pot</x:v>
      </x:c>
      <x:c r="AH27" s="36" t="str">
        <x:v>BU Demand!row 43</x:v>
      </x:c>
      <x:c r="AI27" s="36" t="str">
        <x:v>NewFeat</x:v>
      </x:c>
      <x:c r="AJ27" s="36" t="str">
        <x:v>Productivity</x:v>
      </x:c>
      <x:c r="AK27" s="36" t="str">
        <x:v>Must Do</x:v>
      </x:c>
      <x:c r="AL27" s="36" t="n">
        <x:v>0</x:v>
      </x:c>
      <x:c r="AM27" s="36" t="n">
        <x:v>0</x:v>
      </x:c>
      <x:c r="AN27" s="43"/>
      <x:c r="AO27" s="43"/>
      <x:c r="AP27" s="43"/>
    </x:row>
    <x:row r="28" ht="15" hidden="0" customHeight="1">
      <x:c r="A28" s="36" t="str">
        <x:v>Bu-25</x:v>
      </x:c>
      <x:c r="B28" s="37" t="str">
        <x:v>19 Consumer Care capabilities AI &amp; simplification &amp; Infotip replacement</x:v>
      </x:c>
      <x:c r="C28" s="36" t="str">
        <x:v>BU Led</x:v>
      </x:c>
      <x:c r="D28" s="36" t="str">
        <x:v>Personal Health (PH)</x:v>
      </x:c>
      <x:c r="E28" s="36" t="str">
        <x:v>1002354</x:v>
      </x:c>
      <x:c r="F28" s="36" t="str">
        <x:v>New Feature</x:v>
      </x:c>
      <x:c r="G28" s="36" t="str">
        <x:v>Revenue Increase</x:v>
      </x:c>
      <x:c r="H28" s="36" t="str">
        <x:v>Must Do</x:v>
      </x:c>
      <x:c r="I28" s="36" t="str">
        <x:v>Carry Over</x:v>
      </x:c>
      <x:c r="J28" s="38" t="n">
        <x:v>1.68</x:v>
      </x:c>
      <x:c r="K28" s="38"/>
      <x:c r="L28" s="38" t="n">
        <x:v>1.315</x:v>
      </x:c>
      <x:c r="M28" s="38"/>
      <x:c r="N28" s="38"/>
      <x:c r="O28" s="38" t="n">
        <x:v>1.777</x:v>
      </x:c>
      <x:c r="P28" s="37" t="str">
        <x:v>1777</x:v>
      </x:c>
      <x:c r="Q28" s="37" t="str">
        <x:v>Revenue</x:v>
      </x:c>
      <x:c r="R28" s="37" t="str">
        <x:v>If not approved, legacy dependency, vendor cost and fragmented country flows remain</x:v>
      </x:c>
      <x:c r="S28" s="37" t="str">
        <x: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x:v>
      </x:c>
      <x:c r="T28" s="37" t="str">
        <x: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x:v>
      </x:c>
      <x:c r="U28" s="37" t="str">
        <x:v>XcellentCare; WCMS</x:v>
      </x:c>
      <x:c r="V28" s="36" t="str"/>
      <x:c r="W28" s="36" t="str"/>
      <x:c r="X28" s="36"/>
      <x:c r="Y28" s="36" t="str">
        <x:v>NotAssessed</x:v>
      </x:c>
      <x:c r="Z28" s="36" t="str"/>
      <x:c r="AA28" s="36" t="str"/>
      <x:c r="AB28" s="36"/>
      <x:c r="AC28" s="36"/>
      <x:c r="AD28" s="36" t="str"/>
      <x:c r="AE28" s="36" t="str"/>
      <x:c r="AF28" s="36" t="str">
        <x:v>No exact waste match</x:v>
      </x:c>
      <x:c r="AG28" s="36" t="str">
        <x:v>Common pot</x:v>
      </x:c>
      <x:c r="AH28" s="36" t="str">
        <x:v>BU Demand!row 49</x:v>
      </x:c>
      <x:c r="AI28" s="36" t="str">
        <x:v>NewFeat</x:v>
      </x:c>
      <x:c r="AJ28" s="36" t="str">
        <x:v>Revenue</x:v>
      </x:c>
      <x:c r="AK28" s="36" t="str">
        <x:v>Must Do</x:v>
      </x:c>
      <x:c r="AL28" s="36" t="n">
        <x:v>0</x:v>
      </x:c>
      <x:c r="AM28" s="36" t="n">
        <x:v>0</x:v>
      </x:c>
      <x:c r="AN28" s="43"/>
      <x:c r="AO28" s="43"/>
      <x:c r="AP28" s="43"/>
    </x:row>
    <x:row r="29" ht="15" hidden="0" customHeight="1">
      <x:c r="A29" s="36" t="str">
        <x:v>Bu-26</x:v>
      </x:c>
      <x:c r="B29" s="37" t="str">
        <x:v>18. Product Content Excellence - Content Engine</x:v>
      </x:c>
      <x:c r="C29" s="36" t="str">
        <x:v>BU Led</x:v>
      </x:c>
      <x:c r="D29" s="36" t="str">
        <x:v>Personal Health (PH)</x:v>
      </x:c>
      <x:c r="E29" s="36" t="str">
        <x:v>1002355</x:v>
      </x:c>
      <x:c r="F29" s="36" t="str">
        <x:v>Continous Improvement</x:v>
      </x:c>
      <x:c r="G29" s="36" t="str">
        <x:v>Productivity savings</x:v>
      </x:c>
      <x:c r="H29" s="36" t="str">
        <x:v>Must Do</x:v>
      </x:c>
      <x:c r="I29" s="36" t="str">
        <x:v>Carry Over</x:v>
      </x:c>
      <x:c r="J29" s="38" t="n">
        <x:v>0.9</x:v>
      </x:c>
      <x:c r="K29" s="38"/>
      <x:c r="L29" s="38" t="n">
        <x:v>0.9</x:v>
      </x:c>
      <x:c r="M29" s="38"/>
      <x:c r="N29" s="38"/>
      <x:c r="O29" s="38" t="n">
        <x:v>0.48</x:v>
      </x:c>
      <x:c r="P29" s="37" t="str">
        <x:v>480</x:v>
      </x:c>
      <x:c r="Q29" s="37" t="str">
        <x:v>Cash savings</x:v>
      </x:c>
      <x:c r="R29" s="37" t="str"/>
      <x:c r="S29" s="37" t="str">
        <x: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x:v>
      </x:c>
      <x:c r="T29" s="37" t="str">
        <x: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x:v>
      </x:c>
      <x:c r="U29" s="37" t="str">
        <x:v>Digitalization of innovation
PXM
Claims
Harmony
Airtable integration</x:v>
      </x:c>
      <x:c r="V29" s="36" t="str"/>
      <x:c r="W29" s="36" t="str"/>
      <x:c r="X29" s="36"/>
      <x:c r="Y29" s="36" t="str">
        <x:v>NotAssessed</x:v>
      </x:c>
      <x:c r="Z29" s="36" t="str"/>
      <x:c r="AA29" s="36" t="str"/>
      <x:c r="AB29" s="36"/>
      <x:c r="AC29" s="36"/>
      <x:c r="AD29" s="36" t="str"/>
      <x:c r="AE29" s="36" t="str"/>
      <x:c r="AF29" s="36" t="str">
        <x:v>Name and organisation matched</x:v>
      </x:c>
      <x:c r="AG29" s="36" t="str">
        <x:v>Common pot</x:v>
      </x:c>
      <x:c r="AH29" s="36" t="str">
        <x:v>BU Demand!row 55</x:v>
      </x:c>
      <x:c r="AI29" s="36" t="str">
        <x:v>CI</x:v>
      </x:c>
      <x:c r="AJ29" s="36" t="str">
        <x:v>Productivity</x:v>
      </x:c>
      <x:c r="AK29" s="36" t="str">
        <x:v>Must Do</x:v>
      </x:c>
      <x:c r="AL29" s="36" t="n">
        <x:v>0</x:v>
      </x:c>
      <x:c r="AM29" s="36" t="n">
        <x:v>0</x:v>
      </x:c>
      <x:c r="AN29" s="43"/>
      <x:c r="AO29" s="43"/>
      <x:c r="AP29" s="43"/>
    </x:row>
    <x:row r="30" ht="15" hidden="0" customHeight="1">
      <x:c r="A30" s="36" t="str">
        <x:v>Bu-27</x:v>
      </x:c>
      <x:c r="B30" s="37" t="str">
        <x:v>34. Retailer Sell-out Dashboard (RSD)</x:v>
      </x:c>
      <x:c r="C30" s="36" t="str">
        <x:v>BU Led</x:v>
      </x:c>
      <x:c r="D30" s="36" t="str">
        <x:v>Personal Health (PH)</x:v>
      </x:c>
      <x:c r="E30" s="36" t="str">
        <x:v>1002357</x:v>
      </x:c>
      <x:c r="F30" s="36" t="str">
        <x:v>Continous Improvement</x:v>
      </x:c>
      <x:c r="G30" s="36" t="str">
        <x:v>Revenue Increase</x:v>
      </x:c>
      <x:c r="H30" s="36" t="str">
        <x:v>Must Have</x:v>
      </x:c>
      <x:c r="I30" s="36" t="str">
        <x:v>Carry Over</x:v>
      </x:c>
      <x:c r="J30" s="38" t="n">
        <x:v>1.5</x:v>
      </x:c>
      <x:c r="K30" s="38"/>
      <x:c r="L30" s="38" t="n">
        <x:v>0.758</x:v>
      </x:c>
      <x:c r="M30" s="38" t="n">
        <x:v>1.5</x:v>
      </x:c>
      <x:c r="N30" s="38"/>
      <x:c r="O30" s="38" t="n">
        <x:v>5.273</x:v>
      </x:c>
      <x:c r="P30" s="37" t="str">
        <x:v>5273</x:v>
      </x:c>
      <x:c r="Q30" s="37" t="str">
        <x:v>Revenue</x:v>
      </x:c>
      <x:c r="R30" s="37" t="str">
        <x:v>Philips risks disruption to critical retailer sell out analytics capabilities, reduced visibility into customer performance, degraded forecast accuracy, productivity gains, cost savings, and AI-driven decision-making capabilities.</x:v>
      </x:c>
      <x:c r="S30" s="37" t="str">
        <x: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x:v>
      </x:c>
      <x:c r="T30" s="37" t="str">
        <x:v>5 Regional AI Agents
Sell out Data Ingestion for LATAM &amp; CEE
Walmart Scintilla ingestion including Canada and Walmart ONE Dashboard </x:v>
      </x:c>
      <x:c r="U30" s="37" t="str"/>
      <x:c r="V30" s="36" t="str"/>
      <x:c r="W30" s="36" t="str"/>
      <x:c r="X30" s="36"/>
      <x:c r="Y30" s="36" t="str">
        <x:v>NotAssessed</x:v>
      </x:c>
      <x:c r="Z30" s="36" t="str"/>
      <x:c r="AA30" s="36" t="str"/>
      <x:c r="AB30" s="36"/>
      <x:c r="AC30" s="36"/>
      <x:c r="AD30" s="36" t="str"/>
      <x:c r="AE30" s="36" t="str"/>
      <x:c r="AF30" s="36" t="str">
        <x:v>Name and organisation matched</x:v>
      </x:c>
      <x:c r="AG30" s="36" t="str">
        <x:v>Common pot</x:v>
      </x:c>
      <x:c r="AH30" s="36" t="str">
        <x:v>BU Demand!row 60</x:v>
      </x:c>
      <x:c r="AI30" s="36" t="str">
        <x:v>CI</x:v>
      </x:c>
      <x:c r="AJ30" s="36" t="str">
        <x:v>Revenue</x:v>
      </x:c>
      <x:c r="AK30" s="36" t="str">
        <x:v>Must Have</x:v>
      </x:c>
      <x:c r="AL30" s="36" t="n">
        <x:v>0</x:v>
      </x:c>
      <x:c r="AM30" s="36" t="n">
        <x:v>0</x:v>
      </x:c>
      <x:c r="AN30" s="43"/>
      <x:c r="AO30" s="43"/>
      <x:c r="AP30" s="43"/>
    </x:row>
    <x:row r="31" ht="15" hidden="0" customHeight="1">
      <x:c r="A31" s="36" t="str">
        <x:v>Bu-28</x:v>
      </x:c>
      <x:c r="B31" s="37" t="str">
        <x:v>27. Sales operations | Raise the norm in commercial excellence</x:v>
      </x:c>
      <x:c r="C31" s="36" t="str">
        <x:v>BU Led</x:v>
      </x:c>
      <x:c r="D31" s="36" t="str">
        <x:v>Personal Health (PH)</x:v>
      </x:c>
      <x:c r="E31" s="36" t="str">
        <x:v>1002379</x:v>
      </x:c>
      <x:c r="F31" s="36" t="str">
        <x:v>Continous Improvement</x:v>
      </x:c>
      <x:c r="G31" s="36" t="str">
        <x:v>Revenue Increase</x:v>
      </x:c>
      <x:c r="H31" s="36" t="str">
        <x:v>Must Do</x:v>
      </x:c>
      <x:c r="I31" s="36" t="str">
        <x:v>Carry Over</x:v>
      </x:c>
      <x:c r="J31" s="38" t="n">
        <x:v>1</x:v>
      </x:c>
      <x:c r="K31" s="38"/>
      <x:c r="L31" s="38" t="n">
        <x:v>0.3</x:v>
      </x:c>
      <x:c r="M31" s="38"/>
      <x:c r="N31" s="38"/>
      <x:c r="O31" s="38" t="n">
        <x:v>4.392</x:v>
      </x:c>
      <x:c r="P31" s="37" t="str">
        <x:v>4392</x:v>
      </x:c>
      <x:c r="Q31" s="37" t="str">
        <x:v>Revenue</x:v>
      </x:c>
      <x:c r="R31" s="37" t="str"/>
      <x:c r="S31" s="37" t="str"/>
      <x:c r="T31" s="37" t="str"/>
      <x:c r="U31" s="37" t="str"/>
      <x:c r="V31" s="36" t="str"/>
      <x:c r="W31" s="36" t="str"/>
      <x:c r="X31" s="36"/>
      <x:c r="Y31" s="36" t="str">
        <x:v>NotAssessed</x:v>
      </x:c>
      <x:c r="Z31" s="36" t="str"/>
      <x:c r="AA31" s="36" t="str"/>
      <x:c r="AB31" s="36"/>
      <x:c r="AC31" s="36"/>
      <x:c r="AD31" s="36" t="str"/>
      <x:c r="AE31" s="36" t="str"/>
      <x:c r="AF31" s="36" t="str">
        <x:v>Name and organisation matched</x:v>
      </x:c>
      <x:c r="AG31" s="36" t="str">
        <x:v>Common pot</x:v>
      </x:c>
      <x:c r="AH31" s="36" t="str">
        <x:v>BU Demand!row 63</x:v>
      </x:c>
      <x:c r="AI31" s="36" t="str">
        <x:v>CI</x:v>
      </x:c>
      <x:c r="AJ31" s="36" t="str">
        <x:v>Revenue</x:v>
      </x:c>
      <x:c r="AK31" s="36" t="str">
        <x:v>Must Do</x:v>
      </x:c>
      <x:c r="AL31" s="36" t="n">
        <x:v>0</x:v>
      </x:c>
      <x:c r="AM31" s="36" t="n">
        <x:v>0</x:v>
      </x:c>
      <x:c r="AN31" s="43"/>
      <x:c r="AO31" s="43"/>
      <x:c r="AP31" s="43"/>
    </x:row>
    <x:row r="32" ht="15" hidden="0" customHeight="1">
      <x:c r="A32" s="36" t="str">
        <x:v>Bu-29</x:v>
      </x:c>
      <x:c r="B32" s="37" t="str">
        <x:v>41. Accelerate Incremental Sales from Media Investments (MMM)</x:v>
      </x:c>
      <x:c r="C32" s="36" t="str">
        <x:v>BU Led</x:v>
      </x:c>
      <x:c r="D32" s="36" t="str">
        <x:v>Personal Health (PH)</x:v>
      </x:c>
      <x:c r="E32" s="36" t="str">
        <x:v>1002391</x:v>
      </x:c>
      <x:c r="F32" s="36" t="str">
        <x:v>Continous Improvement</x:v>
      </x:c>
      <x:c r="G32" s="36" t="str">
        <x:v>Revenue Increase</x:v>
      </x:c>
      <x:c r="H32" s="36" t="str">
        <x:v>Must Do</x:v>
      </x:c>
      <x:c r="I32" s="36" t="str">
        <x:v>Carry Over</x:v>
      </x:c>
      <x:c r="J32" s="38" t="n">
        <x:v>1.2</x:v>
      </x:c>
      <x:c r="K32" s="38"/>
      <x:c r="L32" s="38" t="n">
        <x:v>1.088</x:v>
      </x:c>
      <x:c r="M32" s="38" t="n">
        <x:v>1.2</x:v>
      </x:c>
      <x:c r="N32" s="38"/>
      <x:c r="O32" s="38" t="n">
        <x:v>3.697</x:v>
      </x:c>
      <x:c r="P32" s="37" t="str">
        <x:v>3697</x:v>
      </x:c>
      <x:c r="Q32" s="37" t="str">
        <x:v>Revenue</x:v>
      </x:c>
      <x:c r="R32" s="37" t="str">
        <x:v>No insights for Marketing teams to assess media effectiveness by combining ROI, response curves, halo impact, and predictive recommendations into planning decisions</x:v>
      </x:c>
      <x:c r="S32" s="37" t="str">
        <x:v>Evolve PHCAT’s MMM Program from a cost-efficient in-house measurement capability into a predictive MMM engine, reducing reliance on €80K–150K third-party studies while scaling ROI decision support across ~85% of Philips’ €311M media spend.
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x:v>
      </x:c>
      <x:c r="T32" s="37" t="str">
        <x: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x:v>
      </x:c>
      <x:c r="U32" s="37" t="str">
        <x:v>CXE (Data provided by Agency), AI, Data &amp; IT Architecture and RSD</x:v>
      </x:c>
      <x:c r="V32" s="36" t="str"/>
      <x:c r="W32" s="36" t="str"/>
      <x:c r="X32" s="36"/>
      <x:c r="Y32" s="36" t="str">
        <x:v>NotAssessed</x:v>
      </x:c>
      <x:c r="Z32" s="36" t="str"/>
      <x:c r="AA32" s="36" t="str"/>
      <x:c r="AB32" s="36"/>
      <x:c r="AC32" s="36"/>
      <x:c r="AD32" s="36" t="str"/>
      <x:c r="AE32" s="36" t="str"/>
      <x:c r="AF32" s="36" t="str">
        <x:v>Name and organisation matched</x:v>
      </x:c>
      <x:c r="AG32" s="36" t="str">
        <x:v>Common pot</x:v>
      </x:c>
      <x:c r="AH32" s="36" t="str">
        <x:v>BU Demand!row 64</x:v>
      </x:c>
      <x:c r="AI32" s="36" t="str">
        <x:v>CI</x:v>
      </x:c>
      <x:c r="AJ32" s="36" t="str">
        <x:v>Revenue</x:v>
      </x:c>
      <x:c r="AK32" s="36" t="str">
        <x:v>Must Do</x:v>
      </x:c>
      <x:c r="AL32" s="36" t="n">
        <x:v>0</x:v>
      </x:c>
      <x:c r="AM32" s="36" t="n">
        <x:v>0</x:v>
      </x:c>
      <x:c r="AN32" s="43"/>
      <x:c r="AO32" s="43"/>
      <x:c r="AP32" s="43"/>
    </x:row>
    <x:row r="33" ht="15" hidden="0" customHeight="1">
      <x:c r="A33" s="36" t="str">
        <x:v>Bu-30</x:v>
      </x:c>
      <x:c r="B33" s="37" t="str">
        <x:v>07 Philips Store for Business</x:v>
      </x:c>
      <x:c r="C33" s="36" t="str">
        <x:v>BU Led</x:v>
      </x:c>
      <x:c r="D33" s="36" t="str">
        <x:v>Personal Health (PH)</x:v>
      </x:c>
      <x:c r="E33" s="36" t="str">
        <x:v>1002392</x:v>
      </x:c>
      <x:c r="F33" s="36" t="str">
        <x:v>Decomm/Replatforming</x:v>
      </x:c>
      <x:c r="G33" s="36" t="str">
        <x:v>Revenue Increase</x:v>
      </x:c>
      <x:c r="H33" s="36" t="str">
        <x:v>Must Do</x:v>
      </x:c>
      <x:c r="I33" s="36" t="str">
        <x:v>Carry Over</x:v>
      </x:c>
      <x:c r="J33" s="38" t="n">
        <x:v>1.5</x:v>
      </x:c>
      <x:c r="K33" s="38"/>
      <x:c r="L33" s="38" t="n">
        <x:v>1</x:v>
      </x:c>
      <x:c r="M33" s="38" t="n">
        <x:v>1.5</x:v>
      </x:c>
      <x:c r="N33" s="38"/>
      <x:c r="O33" s="38" t="n">
        <x:v>1.015</x:v>
      </x:c>
      <x:c r="P33" s="37" t="str">
        <x:v>1015</x:v>
      </x:c>
      <x:c r="Q33" s="37" t="str">
        <x:v>Revenue</x:v>
      </x:c>
      <x:c r="R33" s="37" t="n">
        <x:v>1015</x:v>
      </x:c>
      <x:c r="S33" s="37" t="str">
        <x: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x:v>
      </x:c>
      <x:c r="T33" s="37" t="str">
        <x: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x:v>
      </x:c>
      <x:c r="U33" s="37" t="str">
        <x:v>27. RGM &amp; Sales Operations
03. PH Professionals</x:v>
      </x:c>
      <x:c r="V33" s="36" t="str"/>
      <x:c r="W33" s="36" t="str"/>
      <x:c r="X33" s="36"/>
      <x:c r="Y33" s="36" t="str">
        <x:v>NotAssessed</x:v>
      </x:c>
      <x:c r="Z33" s="36" t="str"/>
      <x:c r="AA33" s="36" t="str"/>
      <x:c r="AB33" s="36"/>
      <x:c r="AC33" s="36"/>
      <x:c r="AD33" s="36" t="str"/>
      <x:c r="AE33" s="36" t="str"/>
      <x:c r="AF33" s="36" t="str">
        <x:v>Name and organisation matched</x:v>
      </x:c>
      <x:c r="AG33" s="36" t="str">
        <x:v>Common pot</x:v>
      </x:c>
      <x:c r="AH33" s="36" t="str">
        <x:v>BU Demand!row 68</x:v>
      </x:c>
      <x:c r="AI33" s="36" t="str">
        <x:v>Decomm</x:v>
      </x:c>
      <x:c r="AJ33" s="36" t="str">
        <x:v>Revenue</x:v>
      </x:c>
      <x:c r="AK33" s="36" t="str">
        <x:v>Must Do</x:v>
      </x:c>
      <x:c r="AL33" s="36" t="n">
        <x:v>0</x:v>
      </x:c>
      <x:c r="AM33" s="36" t="n">
        <x:v>0</x:v>
      </x:c>
      <x:c r="AN33" s="43"/>
      <x:c r="AO33" s="43"/>
      <x:c r="AP33" s="43"/>
    </x:row>
    <x:row r="34" ht="15" hidden="0" customHeight="1">
      <x:c r="A34" s="36" t="str">
        <x:v>Bu-31</x:v>
      </x:c>
      <x:c r="B34" s="37" t="str">
        <x:v>31.1 E-Commerce Analytics &amp; Digital Shelf</x:v>
      </x:c>
      <x:c r="C34" s="36" t="str">
        <x:v>BU Led</x:v>
      </x:c>
      <x:c r="D34" s="36" t="str">
        <x:v>Personal Health (PH)</x:v>
      </x:c>
      <x:c r="E34" s="36" t="str">
        <x:v>1002397</x:v>
      </x:c>
      <x:c r="F34" s="36" t="str">
        <x:v>Continous Improvement</x:v>
      </x:c>
      <x:c r="G34" s="36" t="str">
        <x:v>Revenue Increase</x:v>
      </x:c>
      <x:c r="H34" s="36" t="str">
        <x:v>Must Do</x:v>
      </x:c>
      <x:c r="I34" s="36" t="str">
        <x:v>Carry Over</x:v>
      </x:c>
      <x:c r="J34" s="38" t="n">
        <x:v>0.22</x:v>
      </x:c>
      <x:c r="K34" s="38"/>
      <x:c r="L34" s="38" t="n">
        <x:v>0.65</x:v>
      </x:c>
      <x:c r="M34" s="38"/>
      <x:c r="N34" s="38"/>
      <x:c r="O34" s="38" t="n">
        <x:v>1.533</x:v>
      </x:c>
      <x:c r="P34" s="37" t="str">
        <x:v>1533</x:v>
      </x:c>
      <x:c r="Q34" s="37" t="str">
        <x:v>Revenue</x:v>
      </x:c>
      <x:c r="R34" s="37" t="str">
        <x:v>loss of revenue uplift that can be achieved with the continuouse investment on the amazon analytics</x:v>
      </x:c>
      <x:c r="S34" s="37" t="str">
        <x:v>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x:v>
      </x:c>
      <x:c r="T34" s="37" t="str">
        <x: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x:v>
      </x:c>
      <x:c r="U34" s="37" t="str">
        <x:v>PH Data Strategy and Azure data lake setup(PSE)</x:v>
      </x:c>
      <x:c r="V34" s="36" t="str"/>
      <x:c r="W34" s="36" t="str"/>
      <x:c r="X34" s="36"/>
      <x:c r="Y34" s="36" t="str">
        <x:v>NotAssessed</x:v>
      </x:c>
      <x:c r="Z34" s="36" t="str"/>
      <x:c r="AA34" s="36" t="str"/>
      <x:c r="AB34" s="36"/>
      <x:c r="AC34" s="36"/>
      <x:c r="AD34" s="36" t="str"/>
      <x:c r="AE34" s="36" t="str"/>
      <x:c r="AF34" s="36" t="str">
        <x:v>No exact waste match</x:v>
      </x:c>
      <x:c r="AG34" s="36" t="str">
        <x:v>Common pot</x:v>
      </x:c>
      <x:c r="AH34" s="36" t="str">
        <x:v>BU Demand!row 73</x:v>
      </x:c>
      <x:c r="AI34" s="36" t="str">
        <x:v>CI</x:v>
      </x:c>
      <x:c r="AJ34" s="36" t="str">
        <x:v>Revenue</x:v>
      </x:c>
      <x:c r="AK34" s="36" t="str">
        <x:v>Must Do</x:v>
      </x:c>
      <x:c r="AL34" s="36" t="n">
        <x:v>0</x:v>
      </x:c>
      <x:c r="AM34" s="36" t="n">
        <x:v>0</x:v>
      </x:c>
      <x:c r="AN34" s="43"/>
      <x:c r="AO34" s="43"/>
      <x:c r="AP34" s="43"/>
    </x:row>
    <x:row r="35" ht="15" hidden="0" customHeight="1">
      <x:c r="A35" s="36" t="str">
        <x:v>Bu-32</x:v>
      </x:c>
      <x:c r="B35" s="37" t="str">
        <x:v>30. COPAD (Customer One performance Analytics Dashboards)</x:v>
      </x:c>
      <x:c r="C35" s="36" t="str">
        <x:v>BU Led</x:v>
      </x:c>
      <x:c r="D35" s="36" t="str">
        <x:v>Personal Health (PH)</x:v>
      </x:c>
      <x:c r="E35" s="36" t="str">
        <x:v>1002399</x:v>
      </x:c>
      <x:c r="F35" s="36" t="str">
        <x:v>Continous Improvement</x:v>
      </x:c>
      <x:c r="G35" s="36" t="str">
        <x:v>Revenue Increase</x:v>
      </x:c>
      <x:c r="H35" s="36" t="str">
        <x:v>Must Do</x:v>
      </x:c>
      <x:c r="I35" s="36" t="str">
        <x:v>Carry Over</x:v>
      </x:c>
      <x:c r="J35" s="38" t="n">
        <x:v>0.2</x:v>
      </x:c>
      <x:c r="K35" s="38"/>
      <x:c r="L35" s="38" t="n">
        <x:v>0.429</x:v>
      </x:c>
      <x:c r="M35" s="38"/>
      <x:c r="N35" s="38"/>
      <x:c r="O35" s="38" t="n">
        <x:v>2.954</x:v>
      </x:c>
      <x:c r="P35" s="37" t="str">
        <x:v>2954</x:v>
      </x:c>
      <x:c r="Q35" s="37" t="str">
        <x:v>Revenue</x:v>
      </x:c>
      <x:c r="R35" s="37" t="str">
        <x:v>long time to get insights on leading indicators like distribution and availability dur to lack of  automation of all the manual efforts currently done by regions, LATAM, GCR, &amp; CEE</x:v>
      </x:c>
      <x:c r="S35" s="37" t="str">
        <x: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x:v>
      </x:c>
      <x:c r="T35" s="37" t="str">
        <x:v>LATAM CO-PAD
GCR CO-PAD
CEE CO-PAD</x:v>
      </x:c>
      <x:c r="U35" s="37" t="str"/>
      <x:c r="V35" s="36" t="str"/>
      <x:c r="W35" s="36" t="str"/>
      <x:c r="X35" s="36"/>
      <x:c r="Y35" s="36" t="str">
        <x:v>NotAssessed</x:v>
      </x:c>
      <x:c r="Z35" s="36" t="str"/>
      <x:c r="AA35" s="36" t="str"/>
      <x:c r="AB35" s="36"/>
      <x:c r="AC35" s="36"/>
      <x:c r="AD35" s="36" t="str"/>
      <x:c r="AE35" s="36" t="str"/>
      <x:c r="AF35" s="36" t="str">
        <x:v>Name and organisation matched</x:v>
      </x:c>
      <x:c r="AG35" s="36" t="str">
        <x:v>Common pot</x:v>
      </x:c>
      <x:c r="AH35" s="36" t="str">
        <x:v>BU Demand!row 81</x:v>
      </x:c>
      <x:c r="AI35" s="36" t="str">
        <x:v>CI</x:v>
      </x:c>
      <x:c r="AJ35" s="36" t="str">
        <x:v>Revenue</x:v>
      </x:c>
      <x:c r="AK35" s="36" t="str">
        <x:v>Must Do</x:v>
      </x:c>
      <x:c r="AL35" s="36" t="n">
        <x:v>0</x:v>
      </x:c>
      <x:c r="AM35" s="36" t="n">
        <x:v>0</x:v>
      </x:c>
      <x:c r="AN35" s="43"/>
      <x:c r="AO35" s="43"/>
      <x:c r="AP35" s="43"/>
    </x:row>
    <x:row r="36" ht="15" hidden="0" customHeight="1">
      <x:c r="A36" s="36" t="str">
        <x:v>Bu-33</x:v>
      </x:c>
      <x:c r="B36" s="37" t="str">
        <x:v>28. Social Care and Project Management</x:v>
      </x:c>
      <x:c r="C36" s="36" t="str">
        <x:v>BU Led</x:v>
      </x:c>
      <x:c r="D36" s="36" t="str">
        <x:v>Personal Health (PH)</x:v>
      </x:c>
      <x:c r="E36" s="36" t="str">
        <x:v>1004523</x:v>
      </x:c>
      <x:c r="F36" s="36" t="str">
        <x:v>Upgrades &amp; Enhancements</x:v>
      </x:c>
      <x:c r="G36" s="36" t="str">
        <x:v>Productivity savings</x:v>
      </x:c>
      <x:c r="H36" s="36" t="str">
        <x:v>Must Do</x:v>
      </x:c>
      <x:c r="I36" s="36" t="str">
        <x:v>Carry Over</x:v>
      </x:c>
      <x:c r="J36" s="38" t="n">
        <x:v>0.025</x:v>
      </x:c>
      <x:c r="K36" s="38"/>
      <x:c r="L36" s="38"/>
      <x:c r="M36" s="38"/>
      <x:c r="N36" s="38"/>
      <x:c r="O36" s="38" t="n">
        <x:v>0.283</x:v>
      </x:c>
      <x:c r="P36" s="37" t="str">
        <x:v>283</x:v>
      </x:c>
      <x:c r="Q36" s="37" t="str">
        <x:v>Cash savings</x:v>
      </x:c>
      <x:c r="R36" s="37" t="str"/>
      <x:c r="S36" s="37" t="str">
        <x:v>BYOC (carry over): PH is currently participating in a beta program to test and validate Sprout Socials Bring Your Own Channel (BYOC) integration in Salesforce Service Cloud</x:v>
      </x:c>
      <x:c r="T36" s="37" t="str">
        <x:v>Complete Sprout Social -&gt; SF integration for all private cases.
Complete rollout of Guardian for all Sprout cases.</x:v>
      </x:c>
      <x:c r="U36" s="37" t="str"/>
      <x:c r="V36" s="36" t="str"/>
      <x:c r="W36" s="36" t="str"/>
      <x:c r="X36" s="36"/>
      <x:c r="Y36" s="36" t="str">
        <x:v>NotAssessed</x:v>
      </x:c>
      <x:c r="Z36" s="36" t="str"/>
      <x:c r="AA36" s="36" t="str"/>
      <x:c r="AB36" s="36"/>
      <x:c r="AC36" s="36"/>
      <x:c r="AD36" s="36" t="str"/>
      <x:c r="AE36" s="36" t="str"/>
      <x:c r="AF36" s="36" t="str">
        <x:v>Name and organisation matched</x:v>
      </x:c>
      <x:c r="AG36" s="36" t="str">
        <x:v>Common pot</x:v>
      </x:c>
      <x:c r="AH36" s="36" t="str">
        <x:v>BU Demand!row 87</x:v>
      </x:c>
      <x:c r="AI36" s="36" t="str">
        <x:v>Upgrades</x:v>
      </x:c>
      <x:c r="AJ36" s="36" t="str">
        <x:v>Productivity</x:v>
      </x:c>
      <x:c r="AK36" s="36" t="str">
        <x:v>Must Do</x:v>
      </x:c>
      <x:c r="AL36" s="36" t="n">
        <x:v>0</x:v>
      </x:c>
      <x:c r="AM36" s="36" t="n">
        <x:v>0</x:v>
      </x:c>
      <x:c r="AN36" s="43"/>
      <x:c r="AO36" s="43"/>
      <x:c r="AP36" s="43"/>
    </x:row>
    <x:row r="37" ht="15" hidden="0" customHeight="1">
      <x:c r="A37" s="36" t="str">
        <x:v>Bu-34</x:v>
      </x:c>
      <x:c r="B37" s="37" t="str"/>
      <x:c r="C37" s="36" t="str">
        <x:v>BU Led</x:v>
      </x:c>
      <x:c r="D37" s="36" t="str"/>
      <x:c r="E37" s="36" t="str">
        <x:v>1005036</x:v>
      </x:c>
      <x:c r="F37" s="36" t="str"/>
      <x:c r="G37" s="36" t="str">
        <x:v>Revenue Increase</x:v>
      </x:c>
      <x:c r="H37" s="36" t="str"/>
      <x:c r="I37" s="36" t="str"/>
      <x:c r="J37" s="38"/>
      <x:c r="K37" s="38"/>
      <x:c r="L37" s="38" t="n">
        <x:v>1.315</x:v>
      </x:c>
      <x:c r="M37" s="38"/>
      <x:c r="N37" s="38"/>
      <x:c r="O37" s="38"/>
      <x:c r="P37" s="37" t="str"/>
      <x:c r="Q37" s="37" t="str">
        <x:v>Revenue</x:v>
      </x:c>
      <x:c r="R37" s="37" t="str"/>
      <x:c r="S37" s="37" t="str"/>
      <x:c r="T37" s="37" t="str"/>
      <x:c r="U37" s="37" t="str"/>
      <x:c r="V37" s="36" t="str"/>
      <x:c r="W37" s="36" t="str"/>
      <x:c r="X37" s="36"/>
      <x:c r="Y37" s="36" t="str">
        <x:v>NotAssessed</x:v>
      </x:c>
      <x:c r="Z37" s="36" t="str"/>
      <x:c r="AA37" s="36" t="str"/>
      <x:c r="AB37" s="36"/>
      <x:c r="AC37" s="36"/>
      <x:c r="AD37" s="36" t="str"/>
      <x:c r="AE37" s="36" t="str"/>
      <x:c r="AF37" s="36" t="str">
        <x:v>No exact waste match</x:v>
      </x:c>
      <x:c r="AG37" s="36" t="str">
        <x:v>Incomplete record</x:v>
      </x:c>
      <x:c r="AH37" s="36" t="str">
        <x:v>BU Demand!row 89</x:v>
      </x:c>
      <x:c r="AI37" s="36" t="str">
        <x:v>Blank</x:v>
      </x:c>
      <x:c r="AJ37" s="36" t="str">
        <x:v>Revenue</x:v>
      </x:c>
      <x:c r="AK37" s="36" t="str">
        <x:v>Blank</x:v>
      </x:c>
      <x:c r="AL37" s="36" t="n">
        <x:v>0</x:v>
      </x:c>
      <x:c r="AM37" s="36" t="n">
        <x:v>1</x:v>
      </x:c>
      <x:c r="AN37" s="43"/>
      <x:c r="AO37" s="43"/>
      <x:c r="AP37" s="43"/>
    </x:row>
    <x:row r="38" ht="15" hidden="0" customHeight="1">
      <x:c r="A38" s="36" t="str">
        <x:v>Bu-35</x:v>
      </x:c>
      <x:c r="B38" s="37" t="str">
        <x:v>54. AI in Consumer Insights and Innovation</x:v>
      </x:c>
      <x:c r="C38" s="36" t="str">
        <x:v>BU Led</x:v>
      </x:c>
      <x:c r="D38" s="36" t="str">
        <x:v>Personal Health (PH)</x:v>
      </x:c>
      <x:c r="E38" s="36" t="str">
        <x:v>1005038</x:v>
      </x:c>
      <x:c r="F38" s="36" t="str">
        <x:v>AI Enablement</x:v>
      </x:c>
      <x:c r="G38" s="36" t="str">
        <x:v>Revenue Increase</x:v>
      </x:c>
      <x:c r="H38" s="36" t="str">
        <x:v>Must Do</x:v>
      </x:c>
      <x:c r="I38" s="36" t="str">
        <x:v>Carry Over</x:v>
      </x:c>
      <x:c r="J38" s="38" t="n">
        <x:v>1</x:v>
      </x:c>
      <x:c r="K38" s="38"/>
      <x:c r="L38" s="38" t="n">
        <x:v>1.112</x:v>
      </x:c>
      <x:c r="M38" s="38"/>
      <x:c r="N38" s="38"/>
      <x:c r="O38" s="38" t="n">
        <x:v>3.57</x:v>
      </x:c>
      <x:c r="P38" s="37" t="str">
        <x:v>3570</x:v>
      </x:c>
      <x:c r="Q38" s="37" t="str">
        <x:v>Revenue</x:v>
      </x:c>
      <x:c r="R38" s="37" t="str">
        <x:v>Derailing a key AI investment approved by PH LT</x:v>
      </x:c>
      <x:c r="S38" s="37" t="str">
        <x: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x:v>
      </x:c>
      <x:c r="T38" s="37" t="str">
        <x: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x:v>
      </x:c>
      <x:c r="U38" s="37" t="str">
        <x:v>New data sources: Wonderflow Competitors information (dependency Wonderflow), Google Search, Foresight F</x:v>
      </x:c>
      <x:c r="V38" s="36" t="str"/>
      <x:c r="W38" s="36" t="str"/>
      <x:c r="X38" s="36"/>
      <x:c r="Y38" s="36" t="str">
        <x:v>NotAssessed</x:v>
      </x:c>
      <x:c r="Z38" s="36" t="str"/>
      <x:c r="AA38" s="36" t="str"/>
      <x:c r="AB38" s="36"/>
      <x:c r="AC38" s="36"/>
      <x:c r="AD38" s="36" t="str"/>
      <x:c r="AE38" s="36" t="str"/>
      <x:c r="AF38" s="36" t="str">
        <x:v>Name and organisation matched</x:v>
      </x:c>
      <x:c r="AG38" s="36" t="str">
        <x:v>Common pot</x:v>
      </x:c>
      <x:c r="AH38" s="36" t="str">
        <x:v>BU Demand!row 90</x:v>
      </x:c>
      <x:c r="AI38" s="36" t="str">
        <x:v>AI</x:v>
      </x:c>
      <x:c r="AJ38" s="36" t="str">
        <x:v>Revenue</x:v>
      </x:c>
      <x:c r="AK38" s="36" t="str">
        <x:v>Must Do</x:v>
      </x:c>
      <x:c r="AL38" s="36" t="n">
        <x:v>0</x:v>
      </x:c>
      <x:c r="AM38" s="36" t="n">
        <x:v>0</x:v>
      </x:c>
      <x:c r="AN38" s="43"/>
      <x:c r="AO38" s="43"/>
      <x:c r="AP38" s="43"/>
    </x:row>
    <x:row r="39" ht="15" hidden="0" customHeight="1">
      <x:c r="A39" s="36" t="str">
        <x:v>Bu-36</x:v>
      </x:c>
      <x:c r="B39" s="37" t="str">
        <x:v>58. Akamai replatforming (Identify &amp; Access Management)</x:v>
      </x:c>
      <x:c r="C39" s="36" t="str">
        <x:v>BU Led</x:v>
      </x:c>
      <x:c r="D39" s="36" t="str">
        <x:v>Personal Health (PH)</x:v>
      </x:c>
      <x:c r="E39" s="36" t="str">
        <x:v>1006754</x:v>
      </x:c>
      <x:c r="F39" s="36" t="str">
        <x:v>New Technology</x:v>
      </x:c>
      <x:c r="G39" s="36" t="str">
        <x:v>Compliance/Keeping the lights on</x:v>
      </x:c>
      <x:c r="H39" s="36" t="str">
        <x:v>Must Do</x:v>
      </x:c>
      <x:c r="I39" s="36" t="str">
        <x:v>Carry Over</x:v>
      </x:c>
      <x:c r="J39" s="38" t="n">
        <x:v>1.27</x:v>
      </x:c>
      <x:c r="K39" s="38"/>
      <x:c r="L39" s="38" t="n">
        <x:v>0.15</x:v>
      </x:c>
      <x:c r="M39" s="38" t="n">
        <x:v>1.27</x:v>
      </x:c>
      <x:c r="N39" s="38"/>
      <x:c r="O39" s="38"/>
      <x:c r="P39" s="37" t="str"/>
      <x:c r="Q39" s="37" t="str">
        <x:v>Risk exposure</x:v>
      </x:c>
      <x:c r="R39" s="37" t="str">
        <x:v>No migration to Consumer identiy and Access management platforms,  Risk of losing credibility with non-secure systems</x:v>
      </x:c>
      <x:c r="S39" s="37" t="str">
        <x: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x:v>
      </x:c>
      <x:c r="T39" s="37" t="str">
        <x: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 </x:v>
      </x:c>
      <x:c r="U39" s="37" t="str">
        <x:v>17. PH Privacy, BUs, RGs, Flagship, Digital IT, Group Security, Compliance, Proc.</x:v>
      </x:c>
      <x:c r="V39" s="36" t="str"/>
      <x:c r="W39" s="36" t="str"/>
      <x:c r="X39" s="36"/>
      <x:c r="Y39" s="36" t="str">
        <x:v>NotAssessed</x:v>
      </x:c>
      <x:c r="Z39" s="36" t="str"/>
      <x:c r="AA39" s="36" t="str"/>
      <x:c r="AB39" s="36"/>
      <x:c r="AC39" s="36"/>
      <x:c r="AD39" s="36" t="str"/>
      <x:c r="AE39" s="36" t="str"/>
      <x:c r="AF39" s="36" t="str">
        <x:v>Name and organisation matched</x:v>
      </x:c>
      <x:c r="AG39" s="36" t="str">
        <x:v>Common pot</x:v>
      </x:c>
      <x:c r="AH39" s="36" t="str">
        <x:v>BU Demand!row 100</x:v>
      </x:c>
      <x:c r="AI39" s="36" t="str">
        <x:v>NewTech</x:v>
      </x:c>
      <x:c r="AJ39" s="36" t="str">
        <x:v>Compliance</x:v>
      </x:c>
      <x:c r="AK39" s="36" t="str">
        <x:v>Must Do</x:v>
      </x:c>
      <x:c r="AL39" s="36" t="n">
        <x:v>0</x:v>
      </x:c>
      <x:c r="AM39" s="36" t="n">
        <x:v>0</x:v>
      </x:c>
      <x:c r="AN39" s="43"/>
      <x:c r="AO39" s="43"/>
      <x:c r="AP39" s="43"/>
    </x:row>
    <x:row r="40" ht="15" hidden="0" customHeight="1">
      <x:c r="A40" s="36" t="str">
        <x:v>Bu-37</x:v>
      </x:c>
      <x:c r="B40" s="37" t="str">
        <x:v>05. One AI-powered Translation Solution for PH</x:v>
      </x:c>
      <x:c r="C40" s="36" t="str">
        <x:v>BU Led</x:v>
      </x:c>
      <x:c r="D40" s="36" t="str">
        <x:v>Personal Health (PH)</x:v>
      </x:c>
      <x:c r="E40" s="36" t="str">
        <x:v>1006972</x:v>
      </x:c>
      <x:c r="F40" s="36" t="str">
        <x:v>AI Enablement</x:v>
      </x:c>
      <x:c r="G40" s="36" t="str">
        <x:v>Productivity savings</x:v>
      </x:c>
      <x:c r="H40" s="36" t="str">
        <x:v>Must Do</x:v>
      </x:c>
      <x:c r="I40" s="36" t="str">
        <x:v>Carry Over</x:v>
      </x:c>
      <x:c r="J40" s="38" t="n">
        <x:v>0.4</x:v>
      </x:c>
      <x:c r="K40" s="38"/>
      <x:c r="L40" s="38"/>
      <x:c r="M40" s="38"/>
      <x:c r="N40" s="38"/>
      <x:c r="O40" s="38" t="n">
        <x:v>0.15</x:v>
      </x:c>
      <x:c r="P40" s="37" t="str">
        <x:v>150</x:v>
      </x:c>
      <x:c r="Q40" s="37" t="str">
        <x:v>Cash savings</x:v>
      </x:c>
      <x:c r="R40" s="37" t="str">
        <x:v>Investment in 2026 will be wasted and we will face inefficiencies and inconsistencies in consumer facing content dur to various local translators and language service partners </x:v>
      </x:c>
      <x:c r="S40" s="37" t="str">
        <x: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x:v>
      </x:c>
      <x:c r="T40" s="37" t="str">
        <x:v>In 2027 we will onboard and deploy the one AI powered TMS(including set up of workflows/Translation Memories etc) for the following content types
Claims 2.CRM (existing CSV file) 3 User Manuals 4. BUApp content  5..Packaging (file based)</x:v>
      </x:c>
      <x:c r="U40" s="37" t="str">
        <x:v>Claims program (localization)
Itaap configuration</x:v>
      </x:c>
      <x:c r="V40" s="36" t="str"/>
      <x:c r="W40" s="36" t="str"/>
      <x:c r="X40" s="36"/>
      <x:c r="Y40" s="36" t="str">
        <x:v>NotAssessed</x:v>
      </x:c>
      <x:c r="Z40" s="36" t="str"/>
      <x:c r="AA40" s="36" t="str"/>
      <x:c r="AB40" s="36"/>
      <x:c r="AC40" s="36"/>
      <x:c r="AD40" s="36" t="str"/>
      <x:c r="AE40" s="36" t="str"/>
      <x:c r="AF40" s="36" t="str">
        <x:v>Name and organisation matched</x:v>
      </x:c>
      <x:c r="AG40" s="36" t="str">
        <x:v>Common pot</x:v>
      </x:c>
      <x:c r="AH40" s="36" t="str">
        <x:v>BU Demand!row 105</x:v>
      </x:c>
      <x:c r="AI40" s="36" t="str">
        <x:v>AI</x:v>
      </x:c>
      <x:c r="AJ40" s="36" t="str">
        <x:v>Productivity</x:v>
      </x:c>
      <x:c r="AK40" s="36" t="str">
        <x:v>Must Do</x:v>
      </x:c>
      <x:c r="AL40" s="36" t="n">
        <x:v>0</x:v>
      </x:c>
      <x:c r="AM40" s="36" t="n">
        <x:v>0</x:v>
      </x:c>
      <x:c r="AN40" s="43"/>
      <x:c r="AO40" s="43"/>
      <x:c r="AP40" s="43"/>
    </x:row>
    <x:row r="41" ht="15" hidden="0" customHeight="1">
      <x:c r="A41" s="36" t="str">
        <x:v>Bu-38</x:v>
      </x:c>
      <x:c r="B41" s="37" t="str">
        <x:v>32. PH ISC Analytics</x:v>
      </x:c>
      <x:c r="C41" s="36" t="str">
        <x:v>BU Led</x:v>
      </x:c>
      <x:c r="D41" s="36" t="str">
        <x:v>Personal Health (PH)</x:v>
      </x:c>
      <x:c r="E41" s="36" t="str">
        <x:v>1007791</x:v>
      </x:c>
      <x:c r="F41" s="36" t="str">
        <x:v>New Feature</x:v>
      </x:c>
      <x:c r="G41" s="36" t="str">
        <x:v>Revenue Increase</x:v>
      </x:c>
      <x:c r="H41" s="36" t="str">
        <x:v>Must Do</x:v>
      </x:c>
      <x:c r="I41" s="36" t="str">
        <x:v>Carry Over</x:v>
      </x:c>
      <x:c r="J41" s="38" t="n">
        <x:v>0.638</x:v>
      </x:c>
      <x:c r="K41" s="38"/>
      <x:c r="L41" s="38"/>
      <x:c r="M41" s="38"/>
      <x:c r="N41" s="38"/>
      <x:c r="O41" s="38" t="n">
        <x:v>2.297</x:v>
      </x:c>
      <x:c r="P41" s="37" t="str">
        <x:v>2297</x:v>
      </x:c>
      <x:c r="Q41" s="37" t="str">
        <x:v>Revenue</x:v>
      </x:c>
      <x:c r="R41" s="37" t="str">
        <x:v>Continue with legacy dashboards for PH ISC with incomplete information requiring lots of manual effort for teams</x:v>
      </x:c>
      <x:c r="S41" s="37" t="str"/>
      <x:c r="T41" s="37" t="str"/>
      <x:c r="U41" s="37" t="str"/>
      <x:c r="V41" s="36" t="str"/>
      <x:c r="W41" s="36" t="str"/>
      <x:c r="X41" s="36"/>
      <x:c r="Y41" s="36" t="str">
        <x:v>NotAssessed</x:v>
      </x:c>
      <x:c r="Z41" s="36" t="str"/>
      <x:c r="AA41" s="36" t="str"/>
      <x:c r="AB41" s="36"/>
      <x:c r="AC41" s="36"/>
      <x:c r="AD41" s="36" t="str"/>
      <x:c r="AE41" s="36" t="str"/>
      <x:c r="AF41" s="36" t="str">
        <x:v>Name and organisation matched</x:v>
      </x:c>
      <x:c r="AG41" s="36" t="str">
        <x:v>Common pot</x:v>
      </x:c>
      <x:c r="AH41" s="36" t="str">
        <x:v>BU Demand!row 108</x:v>
      </x:c>
      <x:c r="AI41" s="36" t="str">
        <x:v>NewFeat</x:v>
      </x:c>
      <x:c r="AJ41" s="36" t="str">
        <x:v>Revenue</x:v>
      </x:c>
      <x:c r="AK41" s="36" t="str">
        <x:v>Must Do</x:v>
      </x:c>
      <x:c r="AL41" s="36" t="n">
        <x:v>0</x:v>
      </x:c>
      <x:c r="AM41" s="36" t="n">
        <x:v>0</x:v>
      </x:c>
      <x:c r="AN41" s="43"/>
      <x:c r="AO41" s="43"/>
      <x:c r="AP41" s="43"/>
    </x:row>
    <x:row r="42" ht="15" hidden="0" customHeight="1">
      <x:c r="A42" s="36" t="str">
        <x:v>Bu-39</x:v>
      </x:c>
      <x:c r="B42" s="37" t="str">
        <x:v>09. Refurbishment: reverse set-up Supply Chain</x:v>
      </x:c>
      <x:c r="C42" s="36" t="str">
        <x:v>BU Led</x:v>
      </x:c>
      <x:c r="D42" s="36" t="str">
        <x:v>Personal Health (PH)</x:v>
      </x:c>
      <x:c r="E42" s="36" t="str">
        <x:v>1002393</x:v>
      </x:c>
      <x:c r="F42" s="36" t="str">
        <x:v>Continous Improvement</x:v>
      </x:c>
      <x:c r="G42" s="36" t="str">
        <x:v>Revenue Increase</x:v>
      </x:c>
      <x:c r="H42" s="36" t="str">
        <x:v>Deprioritised</x:v>
      </x:c>
      <x:c r="I42" s="36" t="str">
        <x:v>Carry Over</x:v>
      </x:c>
      <x:c r="J42" s="38"/>
      <x:c r="K42" s="38"/>
      <x:c r="L42" s="38" t="n">
        <x:v>0.13</x:v>
      </x:c>
      <x:c r="M42" s="38"/>
      <x:c r="N42" s="38"/>
      <x:c r="O42" s="38" t="n">
        <x:v>2.096</x:v>
      </x:c>
      <x:c r="P42" s="37" t="str">
        <x:v>2096</x:v>
      </x:c>
      <x:c r="Q42" s="37" t="str">
        <x:v>Revenue</x:v>
      </x:c>
      <x:c r="R42" s="37" t="str"/>
      <x:c r="S42" s="37" t="str"/>
      <x:c r="T42" s="37" t="str"/>
      <x:c r="U42" s="37" t="str"/>
      <x:c r="V42" s="36" t="str"/>
      <x:c r="W42" s="36" t="str"/>
      <x:c r="X42" s="36" t="n">
        <x:v>1</x:v>
      </x:c>
      <x:c r="Y42" s="36" t="str">
        <x:v>HEALTHY</x:v>
      </x:c>
      <x:c r="Z42" s="36" t="str"/>
      <x:c r="AA42" s="36" t="str"/>
      <x:c r="AB42" s="36"/>
      <x:c r="AC42" s="36"/>
      <x:c r="AD42" s="36" t="str"/>
      <x:c r="AE42" s="36" t="str">
        <x:v>HEALTHY — Rank in priority matrix</x:v>
      </x:c>
      <x:c r="AF42" s="36" t="str">
        <x:v>Name and organisation matched</x:v>
      </x:c>
      <x:c r="AG42" s="36" t="str">
        <x:v>Common pot</x:v>
      </x:c>
      <x:c r="AH42" s="36" t="str">
        <x:v>BU Demand!row 109</x:v>
      </x:c>
      <x:c r="AI42" s="36" t="str">
        <x:v>CI</x:v>
      </x:c>
      <x:c r="AJ42" s="36" t="str">
        <x:v>Revenue</x:v>
      </x:c>
      <x:c r="AK42" s="36" t="str">
        <x:v>Depri</x:v>
      </x:c>
      <x:c r="AL42" s="36" t="n">
        <x:v>0</x:v>
      </x:c>
      <x:c r="AM42" s="36" t="n">
        <x:v>0</x:v>
      </x:c>
      <x:c r="AN42" s="43"/>
      <x:c r="AO42" s="43"/>
      <x:c r="AP42" s="43"/>
    </x:row>
    <x:row r="43" ht="15" hidden="0" customHeight="1">
      <x:c r="A43" s="36" t="str">
        <x:v>Bu-48</x:v>
      </x:c>
      <x:c r="B43" s="37" t="str">
        <x:v>STO Carryover Demand</x:v>
      </x:c>
      <x:c r="C43" s="36" t="str">
        <x:v>BU Led</x:v>
      </x:c>
      <x:c r="D43" s="36" t="str">
        <x:v>Service Transformation Office (STO)</x:v>
      </x:c>
      <x:c r="E43" s="36" t="str"/>
      <x:c r="F43" s="36" t="str"/>
      <x:c r="G43" s="36" t="str"/>
      <x:c r="H43" s="36" t="str"/>
      <x:c r="I43" s="36" t="str">
        <x:v>Carry Over</x:v>
      </x:c>
      <x:c r="J43" s="38" t="n">
        <x:v>22.7</x:v>
      </x:c>
      <x:c r="K43" s="38"/>
      <x:c r="L43" s="38"/>
      <x:c r="M43" s="38"/>
      <x:c r="N43" s="38"/>
      <x:c r="O43" s="38"/>
      <x:c r="P43" s="37" t="str"/>
      <x:c r="Q43" s="37" t="str">
        <x:v>Unclassified</x:v>
      </x:c>
      <x:c r="R43" s="37" t="str"/>
      <x:c r="S43" s="37" t="str"/>
      <x:c r="T43" s="37" t="str"/>
      <x:c r="U43" s="37" t="str"/>
      <x:c r="V43" s="36" t="str"/>
      <x:c r="W43" s="36" t="str"/>
      <x:c r="X43" s="36"/>
      <x:c r="Y43" s="36" t="str">
        <x:v>NotAssessed</x:v>
      </x:c>
      <x:c r="Z43" s="36" t="str"/>
      <x:c r="AA43" s="36" t="str"/>
      <x:c r="AB43" s="36"/>
      <x:c r="AC43" s="36"/>
      <x:c r="AD43" s="36" t="str"/>
      <x:c r="AE43" s="36" t="str"/>
      <x:c r="AF43" s="36" t="str">
        <x:v>Name and organisation matched</x:v>
      </x:c>
      <x:c r="AG43" s="36" t="str">
        <x:v>Common pot</x:v>
      </x:c>
      <x:c r="AH43" s="36" t="str">
        <x:v>BU Demand!row 110</x:v>
      </x:c>
      <x:c r="AI43" s="36" t="str">
        <x:v>Blank</x:v>
      </x:c>
      <x:c r="AJ43" s="36" t="str">
        <x:v>Blank</x:v>
      </x:c>
      <x:c r="AK43" s="36" t="str">
        <x:v>Blank</x:v>
      </x:c>
      <x:c r="AL43" s="36" t="n">
        <x:v>0</x:v>
      </x:c>
      <x:c r="AM43" s="36" t="n">
        <x:v>0</x:v>
      </x:c>
      <x:c r="AN43" s="43"/>
      <x:c r="AO43" s="43"/>
      <x:c r="AP43" s="43"/>
    </x:row>
    <x:row r="44" ht="15" hidden="0" customHeight="1">
      <x:c r="A44" s="36" t="str">
        <x:v>Bu-49</x:v>
      </x:c>
      <x:c r="B44" s="37" t="str">
        <x:v>Demand &amp; Supply Planning SRC</x:v>
      </x:c>
      <x:c r="C44" s="36" t="str">
        <x:v>BU Led</x:v>
      </x:c>
      <x:c r="D44" s="36" t="str">
        <x:v>Sleep &amp; Respiratory Care (SRC)</x:v>
      </x:c>
      <x:c r="E44" s="36" t="str">
        <x:v>1006470</x:v>
      </x:c>
      <x:c r="F44" s="36" t="str">
        <x:v>New Technology</x:v>
      </x:c>
      <x:c r="G44" s="36" t="str">
        <x:v>Productivity savings</x:v>
      </x:c>
      <x:c r="H44" s="36" t="str">
        <x:v>Must Do</x:v>
      </x:c>
      <x:c r="I44" s="36" t="str">
        <x:v>Carry Over</x:v>
      </x:c>
      <x:c r="J44" s="38" t="n">
        <x:v>1.7</x:v>
      </x:c>
      <x:c r="K44" s="38"/>
      <x:c r="L44" s="38" t="n">
        <x:v>1.7</x:v>
      </x:c>
      <x:c r="M44" s="38" t="n">
        <x:v>1.7</x:v>
      </x:c>
      <x:c r="N44" s="38"/>
      <x:c r="O44" s="38" t="n">
        <x:v>29.3</x:v>
      </x:c>
      <x:c r="P44" s="37" t="str">
        <x:v>29300</x:v>
      </x:c>
      <x:c r="Q44" s="37" t="str">
        <x:v>Cash savings</x:v>
      </x:c>
      <x:c r="R44" s="37" t="str">
        <x:v>Direct impact on our NA Comeback program which targets revenue growth of 300-500 M over next 2 years</x:v>
      </x:c>
      <x:c r="S44" s="37" t="str">
        <x: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x:v>
      </x:c>
      <x:c r="T44" s="37" t="str">
        <x:v>create a globally standardized, AI-enabled, data-driven planning capability that allows Philips to make faster, more accurate and more synchronized supply chain decisions across the enterprise</x:v>
      </x:c>
      <x:c r="U44" s="37" t="str"/>
      <x:c r="V44" s="36" t="str"/>
      <x:c r="W44" s="36" t="str"/>
      <x:c r="X44" s="36" t="n">
        <x:v>1.15</x:v>
      </x:c>
      <x:c r="Y44" s="36" t="str">
        <x:v>HEALTHY</x:v>
      </x:c>
      <x:c r="Z44" s="36" t="str"/>
      <x:c r="AA44" s="36" t="str"/>
      <x:c r="AB44" s="36"/>
      <x:c r="AC44" s="36"/>
      <x:c r="AD44" s="36" t="str"/>
      <x:c r="AE44" s="36" t="str">
        <x:v>HEALTHY — Rank in priority matrix</x:v>
      </x:c>
      <x:c r="AF44" s="36" t="str">
        <x:v>Name and organisation matched</x:v>
      </x:c>
      <x:c r="AG44" s="36" t="str">
        <x:v>Common pot</x:v>
      </x:c>
      <x:c r="AH44" s="36" t="str">
        <x:v>BU Demand!row 111</x:v>
      </x:c>
      <x:c r="AI44" s="36" t="str">
        <x:v>NewTech</x:v>
      </x:c>
      <x:c r="AJ44" s="36" t="str">
        <x:v>Productivity</x:v>
      </x:c>
      <x:c r="AK44" s="36" t="str">
        <x:v>Must Do</x:v>
      </x:c>
      <x:c r="AL44" s="36" t="n">
        <x:v>0</x:v>
      </x:c>
      <x:c r="AM44" s="36" t="n">
        <x:v>0</x:v>
      </x:c>
      <x:c r="AN44" s="43"/>
      <x:c r="AO44" s="43"/>
      <x:c r="AP44" s="43"/>
    </x:row>
    <x:row r="45" ht="15" hidden="0" customHeight="1">
      <x:c r="A45" s="36" t="str">
        <x:v>Bu-50</x:v>
      </x:c>
      <x:c r="B45" s="37" t="str">
        <x:v>E2E NAM Re-entry Digital SRC</x:v>
      </x:c>
      <x:c r="C45" s="36" t="str">
        <x:v>BU Led</x:v>
      </x:c>
      <x:c r="D45" s="36" t="str">
        <x:v>Sleep &amp; Respiratory Care (SRC)</x:v>
      </x:c>
      <x:c r="E45" s="36" t="str">
        <x:v>1006472</x:v>
      </x:c>
      <x:c r="F45" s="36" t="str">
        <x:v>New Technology</x:v>
      </x:c>
      <x:c r="G45" s="36" t="str">
        <x:v>Revenue Increase</x:v>
      </x:c>
      <x:c r="H45" s="36" t="str">
        <x:v>Must Do</x:v>
      </x:c>
      <x:c r="I45" s="36" t="str">
        <x:v>Carry Over</x:v>
      </x:c>
      <x:c r="J45" s="38" t="n">
        <x:v>1.95</x:v>
      </x:c>
      <x:c r="K45" s="38"/>
      <x:c r="L45" s="38" t="n">
        <x:v>3.05</x:v>
      </x:c>
      <x:c r="M45" s="38" t="n">
        <x:v>1.95</x:v>
      </x:c>
      <x:c r="N45" s="38"/>
      <x:c r="O45" s="38" t="n">
        <x:v>50</x:v>
      </x:c>
      <x:c r="P45" s="37" t="str">
        <x:v>50000</x:v>
      </x:c>
      <x:c r="Q45" s="37" t="str">
        <x:v>Revenue</x:v>
      </x:c>
      <x:c r="R45" s="37" t="str">
        <x:v>Direct impact on our NA Comeback program which targets revenue growth of 300-500 M over next 2 years</x:v>
      </x:c>
      <x:c r="S45" s="37" t="str">
        <x:v>Enhanced user experience as both website and estore will be on same platform; madated project due to product discontinuation; store rollout 1.5M/yr benefit (based on CAN rollout)</x:v>
      </x:c>
      <x:c r="T45" s="37" t="str">
        <x:v>This is a mandatory project due to IT requirement (app is getting unsupported by the vendor)</x:v>
      </x:c>
      <x:c r="U45" s="37" t="str"/>
      <x:c r="V45" s="36" t="str"/>
      <x:c r="W45" s="36" t="str"/>
      <x:c r="X45" s="36"/>
      <x:c r="Y45" s="36" t="str">
        <x:v>NotAssessed</x:v>
      </x:c>
      <x:c r="Z45" s="36" t="str"/>
      <x:c r="AA45" s="36" t="str"/>
      <x:c r="AB45" s="36"/>
      <x:c r="AC45" s="36"/>
      <x:c r="AD45" s="36" t="str"/>
      <x:c r="AE45" s="36" t="str"/>
      <x:c r="AF45" s="36" t="str">
        <x:v>Name and organisation matched</x:v>
      </x:c>
      <x:c r="AG45" s="36" t="str">
        <x:v>Common pot</x:v>
      </x:c>
      <x:c r="AH45" s="36" t="str">
        <x:v>BU Demand!row 112</x:v>
      </x:c>
      <x:c r="AI45" s="36" t="str">
        <x:v>NewTech</x:v>
      </x:c>
      <x:c r="AJ45" s="36" t="str">
        <x:v>Revenue</x:v>
      </x:c>
      <x:c r="AK45" s="36" t="str">
        <x:v>Must Do</x:v>
      </x:c>
      <x:c r="AL45" s="36" t="n">
        <x:v>0</x:v>
      </x:c>
      <x:c r="AM45" s="36" t="n">
        <x:v>0</x:v>
      </x:c>
      <x:c r="AN45" s="43"/>
      <x:c r="AO45" s="43"/>
      <x:c r="AP45" s="43"/>
    </x:row>
    <x:row r="46" ht="15" hidden="0" customHeight="1">
      <x:c r="A46" s="36" t="str">
        <x:v>Bu-51</x:v>
      </x:c>
      <x:c r="B46" s="37" t="str">
        <x:v>Customer Service Management SRC</x:v>
      </x:c>
      <x:c r="C46" s="36" t="str">
        <x:v>BU Led</x:v>
      </x:c>
      <x:c r="D46" s="36" t="str">
        <x:v>Sleep &amp; Respiratory Care (SRC)</x:v>
      </x:c>
      <x:c r="E46" s="36" t="str">
        <x:v>1006578</x:v>
      </x:c>
      <x:c r="F46" s="36" t="str">
        <x:v>Legal Fiscal, Regulatory &amp; Compliancy</x:v>
      </x:c>
      <x:c r="G46" s="36" t="str">
        <x:v>Compliance/Keeping the lights on</x:v>
      </x:c>
      <x:c r="H46" s="36" t="str">
        <x:v>Must Do</x:v>
      </x:c>
      <x:c r="I46" s="36" t="str">
        <x:v>Carry Over</x:v>
      </x:c>
      <x:c r="J46" s="38" t="n">
        <x:v>1.825</x:v>
      </x:c>
      <x:c r="K46" s="38"/>
      <x:c r="L46" s="38" t="n">
        <x:v>1</x:v>
      </x:c>
      <x:c r="M46" s="38" t="n">
        <x:v>1.825</x:v>
      </x:c>
      <x:c r="N46" s="38"/>
      <x:c r="O46" s="38" t="n">
        <x:v>5</x:v>
      </x:c>
      <x:c r="P46" s="37" t="str">
        <x:v>5000</x:v>
      </x:c>
      <x:c r="Q46" s="37" t="str">
        <x:v>Risk exposure</x:v>
      </x:c>
      <x:c r="R46" s="37" t="str">
        <x:v>Direct impact on CD and injunction lift which prohibits us to sell in NA; overall revenue for that category was ~1000 M before injunction</x:v>
      </x:c>
      <x:c r="S46" s="37" t="str">
        <x:v>We do not have any IT system to log and monitor customer repair requests and monitor the progress which is flagged as gap in CD</x:v>
      </x:c>
      <x:c r="T46" s="37" t="str">
        <x: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x:v>
      </x:c>
      <x:c r="U46" s="37" t="str"/>
      <x:c r="V46" s="36" t="str">
        <x:v>2027</x:v>
      </x:c>
      <x:c r="W46" s="36" t="str">
        <x:v>Consent Decree</x:v>
      </x:c>
      <x:c r="X46" s="36"/>
      <x:c r="Y46" s="36" t="str">
        <x:v>NotAssessed</x:v>
      </x:c>
      <x:c r="Z46" s="36" t="str">
        <x:v>YES</x:v>
      </x:c>
      <x:c r="AA46" s="36" t="str">
        <x:v>5 — Exactly the minimum — only what's needed to meet the rule, nothing more.</x:v>
      </x:c>
      <x:c r="AB46" s="36" t="n">
        <x:v>5</x:v>
      </x:c>
      <x:c r="AC46" s="36" t="n">
        <x:v>20</x:v>
      </x:c>
      <x:c r="AD46" s="36" t="str">
        <x:v>P1 — Immediate</x:v>
      </x:c>
      <x:c r="AE46" s="36" t="str"/>
      <x:c r="AF46" s="36" t="str">
        <x:v>Name and organisation matched</x:v>
      </x:c>
      <x:c r="AG46" s="36" t="str">
        <x:v>LFR validated candidate</x:v>
      </x:c>
      <x:c r="AH46" s="36" t="str">
        <x:v>BU Demand!row 113</x:v>
      </x:c>
      <x:c r="AI46" s="36" t="str">
        <x:v>LFR</x:v>
      </x:c>
      <x:c r="AJ46" s="36" t="str">
        <x:v>Compliance</x:v>
      </x:c>
      <x:c r="AK46" s="36" t="str">
        <x:v>Must Do</x:v>
      </x:c>
      <x:c r="AL46" s="36" t="n">
        <x:v>0</x:v>
      </x:c>
      <x:c r="AM46" s="36" t="n">
        <x:v>0</x:v>
      </x:c>
      <x:c r="AN46" s="43"/>
      <x:c r="AO46" s="43"/>
      <x:c r="AP46" s="43"/>
    </x:row>
    <x:row r="47" ht="15" hidden="0" customHeight="1">
      <x:c r="A47" s="36" t="str">
        <x:v>Bu-52</x:v>
      </x:c>
      <x:c r="B47" s="37" t="str">
        <x:v>Web Replatforming SRC - phase 2</x:v>
      </x:c>
      <x:c r="C47" s="36" t="str">
        <x:v>BU Led</x:v>
      </x:c>
      <x:c r="D47" s="36" t="str">
        <x:v>Sleep &amp; Respiratory Care (SRC)</x:v>
      </x:c>
      <x:c r="E47" s="36" t="str">
        <x:v>1006582</x:v>
      </x:c>
      <x:c r="F47" s="36" t="str">
        <x:v>New Technology</x:v>
      </x:c>
      <x:c r="G47" s="36" t="str">
        <x:v>Productivity savings</x:v>
      </x:c>
      <x:c r="H47" s="36" t="str">
        <x:v>Must Do</x:v>
      </x:c>
      <x:c r="I47" s="36" t="str">
        <x:v>Carry Over</x:v>
      </x:c>
      <x:c r="J47" s="38" t="n">
        <x:v>0.85</x:v>
      </x:c>
      <x:c r="K47" s="38"/>
      <x:c r="L47" s="38" t="n">
        <x:v>0.5</x:v>
      </x:c>
      <x:c r="M47" s="38" t="n">
        <x:v>0.85</x:v>
      </x:c>
      <x:c r="N47" s="38"/>
      <x:c r="O47" s="38"/>
      <x:c r="P47" s="37" t="str"/>
      <x:c r="Q47" s="37" t="str">
        <x:v>Cash savings</x:v>
      </x:c>
      <x:c r="R47" s="37" t="n">
        <x:v>3500</x:v>
      </x:c>
      <x:c r="S47" s="37" t="str">
        <x:v>IT driven project due to platform migration</x:v>
      </x:c>
      <x:c r="T47" s="37" t="str">
        <x:v>IT driven project due to platform migration</x:v>
      </x:c>
      <x:c r="U47" s="37" t="str"/>
      <x:c r="V47" s="36" t="str"/>
      <x:c r="W47" s="36" t="str"/>
      <x:c r="X47" s="36"/>
      <x:c r="Y47" s="36" t="str">
        <x:v>NotAssessed</x:v>
      </x:c>
      <x:c r="Z47" s="36" t="str"/>
      <x:c r="AA47" s="36" t="str"/>
      <x:c r="AB47" s="36"/>
      <x:c r="AC47" s="36"/>
      <x:c r="AD47" s="36" t="str"/>
      <x:c r="AE47" s="36" t="str"/>
      <x:c r="AF47" s="36" t="str">
        <x:v>Name and organisation matched</x:v>
      </x:c>
      <x:c r="AG47" s="36" t="str">
        <x:v>Common pot</x:v>
      </x:c>
      <x:c r="AH47" s="36" t="str">
        <x:v>BU Demand!row 117</x:v>
      </x:c>
      <x:c r="AI47" s="36" t="str">
        <x:v>NewTech</x:v>
      </x:c>
      <x:c r="AJ47" s="36" t="str">
        <x:v>Productivity</x:v>
      </x:c>
      <x:c r="AK47" s="36" t="str">
        <x:v>Must Do</x:v>
      </x:c>
      <x:c r="AL47" s="36" t="n">
        <x:v>0</x:v>
      </x:c>
      <x:c r="AM47" s="36" t="n">
        <x:v>0</x:v>
      </x:c>
      <x:c r="AN47" s="43"/>
      <x:c r="AO47" s="43"/>
      <x:c r="AP47" s="43"/>
    </x:row>
    <x:row r="48" ht="15" hidden="0" customHeight="1">
      <x:c r="A48" s="36" t="str">
        <x:v>Bu-53</x:v>
      </x:c>
      <x:c r="B48" s="37" t="str">
        <x:v>E2E Trade Item Integration</x:v>
      </x:c>
      <x:c r="C48" s="36" t="str">
        <x:v>BU Led</x:v>
      </x:c>
      <x:c r="D48" s="36" t="str">
        <x:v>Sleep &amp; Respiratory Care (SRC)</x:v>
      </x:c>
      <x:c r="E48" s="36" t="str">
        <x:v>1006556</x:v>
      </x:c>
      <x:c r="F48" s="36" t="str">
        <x:v>Legal Fiscal, Regulatory &amp; Compliancy</x:v>
      </x:c>
      <x:c r="G48" s="36" t="str">
        <x:v>Compliance/Keeping the lights on</x:v>
      </x:c>
      <x:c r="H48" s="36" t="str">
        <x:v>Deprioritised</x:v>
      </x:c>
      <x:c r="I48" s="36" t="str">
        <x:v>Carry Over</x:v>
      </x:c>
      <x:c r="J48" s="38" t="n">
        <x:v>0</x:v>
      </x:c>
      <x:c r="K48" s="38"/>
      <x:c r="L48" s="38"/>
      <x:c r="M48" s="38" t="n">
        <x:v>0</x:v>
      </x:c>
      <x:c r="N48" s="38"/>
      <x:c r="O48" s="38"/>
      <x:c r="P48" s="37" t="str"/>
      <x:c r="Q48" s="37" t="str">
        <x:v>Risk exposure</x:v>
      </x:c>
      <x:c r="R48" s="37" t="str">
        <x:v>NA</x:v>
      </x:c>
      <x:c r="S48" s="37" t="str">
        <x:v>Deprioritized</x:v>
      </x:c>
      <x:c r="T48" s="37" t="str">
        <x:v>Deprioritized</x:v>
      </x:c>
      <x:c r="U48" s="37" t="str"/>
      <x:c r="V48" s="36" t="str">
        <x:v>2027</x:v>
      </x:c>
      <x:c r="W48" s="36" t="str">
        <x:v>Consent Decree</x:v>
      </x:c>
      <x:c r="X48" s="36"/>
      <x:c r="Y48" s="36" t="str">
        <x:v>NotAssessed</x:v>
      </x:c>
      <x:c r="Z48" s="36" t="str"/>
      <x:c r="AA48" s="36" t="str"/>
      <x:c r="AB48" s="36"/>
      <x:c r="AC48" s="36"/>
      <x:c r="AD48" s="36" t="str"/>
      <x:c r="AE48" s="36" t="str"/>
      <x:c r="AF48" s="36" t="str">
        <x:v>No exact waste match</x:v>
      </x:c>
      <x:c r="AG48" s="36" t="str">
        <x:v>Common pot</x:v>
      </x:c>
      <x:c r="AH48" s="36" t="str">
        <x:v>BU Demand!row 118</x:v>
      </x:c>
      <x:c r="AI48" s="36" t="str">
        <x:v>LFR</x:v>
      </x:c>
      <x:c r="AJ48" s="36" t="str">
        <x:v>Compliance</x:v>
      </x:c>
      <x:c r="AK48" s="36" t="str">
        <x:v>Depri</x:v>
      </x:c>
      <x:c r="AL48" s="36" t="n">
        <x:v>0</x:v>
      </x:c>
      <x:c r="AM48" s="36" t="n">
        <x:v>0</x:v>
      </x:c>
      <x:c r="AN48" s="43"/>
      <x:c r="AO48" s="43"/>
      <x:c r="AP48" s="43"/>
    </x:row>
    <x:row r="49" ht="15" hidden="0" customHeight="1">
      <x:c r="A49" s="36" t="str">
        <x:v>Bu-54</x:v>
      </x:c>
      <x:c r="B49" s="37" t="str">
        <x:v>Procurement</x:v>
      </x:c>
      <x:c r="C49" s="36" t="str">
        <x:v>BU Led</x:v>
      </x:c>
      <x:c r="D49" s="36" t="str">
        <x:v>Integrated Supply Chain (ISC)</x:v>
      </x:c>
      <x:c r="E49" s="36" t="str">
        <x:v>1002303</x:v>
      </x:c>
      <x:c r="F49" s="36" t="str"/>
      <x:c r="G49" s="36" t="str"/>
      <x:c r="H49" s="36" t="str">
        <x:v>Must Do</x:v>
      </x:c>
      <x:c r="I49" s="36" t="str">
        <x:v>Carry Over</x:v>
      </x:c>
      <x:c r="J49" s="38" t="n">
        <x:v>0.22</x:v>
      </x:c>
      <x:c r="K49" s="38"/>
      <x:c r="L49" s="38"/>
      <x:c r="M49" s="38"/>
      <x:c r="N49" s="38"/>
      <x:c r="O49" s="38"/>
      <x:c r="P49" s="37" t="str"/>
      <x:c r="Q49" s="37" t="str">
        <x:v>Unclassified</x:v>
      </x:c>
      <x:c r="R49" s="37" t="str"/>
      <x:c r="S49" s="37" t="str"/>
      <x:c r="T49" s="37" t="str"/>
      <x:c r="U49" s="37" t="str"/>
      <x:c r="V49" s="36" t="str"/>
      <x:c r="W49" s="36" t="str"/>
      <x:c r="X49" s="36" t="n">
        <x:v>1</x:v>
      </x:c>
      <x:c r="Y49" s="36" t="str">
        <x:v>HEALTHY</x:v>
      </x:c>
      <x:c r="Z49" s="36" t="str"/>
      <x:c r="AA49" s="36" t="str"/>
      <x:c r="AB49" s="36"/>
      <x:c r="AC49" s="36"/>
      <x:c r="AD49" s="36" t="str"/>
      <x:c r="AE49" s="36" t="str">
        <x:v>HEALTHY — Rank in priority matrix</x:v>
      </x:c>
      <x:c r="AF49" s="36" t="str">
        <x:v>Name and organisation matched</x:v>
      </x:c>
      <x:c r="AG49" s="36" t="str">
        <x:v>Common pot</x:v>
      </x:c>
      <x:c r="AH49" s="36" t="str">
        <x:v>BU Demand!row 119</x:v>
      </x:c>
      <x:c r="AI49" s="36" t="str">
        <x:v>Blank</x:v>
      </x:c>
      <x:c r="AJ49" s="36" t="str">
        <x:v>Blank</x:v>
      </x:c>
      <x:c r="AK49" s="36" t="str">
        <x:v>Must Do</x:v>
      </x:c>
      <x:c r="AL49" s="36" t="n">
        <x:v>0</x:v>
      </x:c>
      <x:c r="AM49" s="36" t="n">
        <x:v>0</x:v>
      </x:c>
      <x:c r="AN49" s="43"/>
      <x:c r="AO49" s="43"/>
      <x:c r="AP49" s="43"/>
    </x:row>
    <x:row r="50" ht="15" hidden="0" customHeight="1">
      <x:c r="A50" s="36" t="str">
        <x:v>Bu-55</x:v>
      </x:c>
      <x:c r="B50" s="37" t="str">
        <x:v>D2B HS eCommerce 2025_26</x:v>
      </x:c>
      <x:c r="C50" s="36" t="str">
        <x:v>BU Led</x:v>
      </x:c>
      <x:c r="D50" s="36" t="str">
        <x:v>CoE Marketing – HS (former DMEC)​</x:v>
      </x:c>
      <x:c r="E50" s="36" t="str">
        <x:v>1004837</x:v>
      </x:c>
      <x:c r="F50" s="36" t="str">
        <x:v>Continous Improvement</x:v>
      </x:c>
      <x:c r="G50" s="36" t="str">
        <x:v>Revenue Increase</x:v>
      </x:c>
      <x:c r="H50" s="36" t="str">
        <x:v>Must Do</x:v>
      </x:c>
      <x:c r="I50" s="36" t="str">
        <x:v>Carry Over</x:v>
      </x:c>
      <x:c r="J50" s="38" t="n">
        <x:v>0.4</x:v>
      </x:c>
      <x:c r="K50" s="38"/>
      <x:c r="L50" s="38" t="n">
        <x:v>2</x:v>
      </x:c>
      <x:c r="M50" s="38"/>
      <x:c r="N50" s="38"/>
      <x:c r="O50" s="38" t="n">
        <x:v>3</x:v>
      </x:c>
      <x:c r="P50" s="37" t="str">
        <x:v>3000</x:v>
      </x:c>
      <x:c r="Q50" s="37" t="str">
        <x:v>Revenue</x:v>
      </x:c>
      <x:c r="R50" s="37" t="str">
        <x:v>Continue headless store launch to drive incremental revenue - if not done continued decline of OIT</x:v>
      </x:c>
      <x:c r="S50" s="37" t="str">
        <x:v>Headless store rollout must continue into priority markets to protect and grow revenue (ex. Germany), where inaction will result in a decline in eCom performance - improved experience is not yet uniformly distributed to key markets </x:v>
      </x:c>
      <x:c r="T50" s="37" t="str">
        <x:v>Development of additional front end stores including DX transformation to support lightweight launches of stores in new markets</x:v>
      </x:c>
      <x:c r="U50" s="37" t="str"/>
      <x:c r="V50" s="36" t="str"/>
      <x:c r="W50" s="36" t="str"/>
      <x:c r="X50" s="36"/>
      <x:c r="Y50" s="36" t="str">
        <x:v>NotAssessed</x:v>
      </x:c>
      <x:c r="Z50" s="36" t="str"/>
      <x:c r="AA50" s="36" t="str"/>
      <x:c r="AB50" s="36"/>
      <x:c r="AC50" s="36"/>
      <x:c r="AD50" s="36" t="str"/>
      <x:c r="AE50" s="36" t="str"/>
      <x:c r="AF50" s="36" t="str">
        <x:v>Name and organisation matched</x:v>
      </x:c>
      <x:c r="AG50" s="36" t="str">
        <x:v>Common pot</x:v>
      </x:c>
      <x:c r="AH50" s="36" t="str">
        <x:v>BU Demand!row 120</x:v>
      </x:c>
      <x:c r="AI50" s="36" t="str">
        <x:v>CI</x:v>
      </x:c>
      <x:c r="AJ50" s="36" t="str">
        <x:v>Revenue</x:v>
      </x:c>
      <x:c r="AK50" s="36" t="str">
        <x:v>Must Do</x:v>
      </x:c>
      <x:c r="AL50" s="36" t="n">
        <x:v>0</x:v>
      </x:c>
      <x:c r="AM50" s="36" t="n">
        <x:v>0</x:v>
      </x:c>
      <x:c r="AN50" s="43"/>
      <x:c r="AO50" s="43"/>
      <x:c r="AP50" s="43"/>
    </x:row>
    <x:row r="51" ht="15" hidden="0" customHeight="1">
      <x:c r="A51" s="36" t="str">
        <x:v>Bu-56</x:v>
      </x:c>
      <x:c r="B51" s="37" t="str"/>
      <x:c r="C51" s="36" t="str">
        <x:v>BU Led</x:v>
      </x:c>
      <x:c r="D51" s="36" t="str"/>
      <x:c r="E51" s="36" t="str"/>
      <x:c r="F51" s="36" t="str"/>
      <x:c r="G51" s="36" t="str"/>
      <x:c r="H51" s="36" t="str"/>
      <x:c r="I51" s="36" t="str"/>
      <x:c r="J51" s="38"/>
      <x:c r="K51" s="38"/>
      <x:c r="L51" s="38"/>
      <x:c r="M51" s="38"/>
      <x:c r="N51" s="38"/>
      <x:c r="O51" s="38"/>
      <x:c r="P51" s="37" t="str"/>
      <x:c r="Q51" s="37" t="str">
        <x:v>Unclassified</x:v>
      </x:c>
      <x:c r="R51" s="37" t="str"/>
      <x:c r="S51" s="37" t="str"/>
      <x:c r="T51" s="37" t="str"/>
      <x:c r="U51" s="37" t="str"/>
      <x:c r="V51" s="36" t="str"/>
      <x:c r="W51" s="36" t="str"/>
      <x:c r="X51" s="36"/>
      <x:c r="Y51" s="36" t="str">
        <x:v>NotAssessed</x:v>
      </x:c>
      <x:c r="Z51" s="36" t="str"/>
      <x:c r="AA51" s="36" t="str"/>
      <x:c r="AB51" s="36"/>
      <x:c r="AC51" s="36"/>
      <x:c r="AD51" s="36" t="str"/>
      <x:c r="AE51" s="36" t="str"/>
      <x:c r="AF51" s="36" t="str">
        <x:v>No exact waste match</x:v>
      </x:c>
      <x:c r="AG51" s="36" t="str">
        <x:v>Incomplete record</x:v>
      </x:c>
      <x:c r="AH51" s="36" t="str">
        <x:v>BU Demand!row 121</x:v>
      </x:c>
      <x:c r="AI51" s="36" t="str">
        <x:v>Blank</x:v>
      </x:c>
      <x:c r="AJ51" s="36" t="str">
        <x:v>Blank</x:v>
      </x:c>
      <x:c r="AK51" s="36" t="str">
        <x:v>Blank</x:v>
      </x:c>
      <x:c r="AL51" s="36" t="n">
        <x:v>0</x:v>
      </x:c>
      <x:c r="AM51" s="36" t="n">
        <x:v>1</x:v>
      </x:c>
      <x:c r="AN51" s="43"/>
      <x:c r="AO51" s="43"/>
      <x:c r="AP51" s="43"/>
    </x:row>
    <x:row r="52" ht="15" hidden="0" customHeight="1">
      <x:c r="A52" s="36" t="str">
        <x:v>Bu-57</x:v>
      </x:c>
      <x:c r="B52" s="37" t="str">
        <x:v>Symphony Eye</x:v>
      </x:c>
      <x:c r="C52" s="36" t="str">
        <x:v>BU Led</x:v>
      </x:c>
      <x:c r="D52" s="36" t="str">
        <x:v>Image Guided Therapy - Systems (IGT-S)</x:v>
      </x:c>
      <x:c r="E52" s="36" t="str"/>
      <x:c r="F52" s="36" t="str">
        <x:v>New Feature</x:v>
      </x:c>
      <x:c r="G52" s="36" t="str">
        <x:v>Revenue Increase</x:v>
      </x:c>
      <x:c r="H52" s="36" t="str">
        <x:v>Must Do</x:v>
      </x:c>
      <x:c r="I52" s="36" t="str">
        <x:v>New Initiative</x:v>
      </x:c>
      <x:c r="J52" s="38" t="n">
        <x:v>4</x:v>
      </x:c>
      <x:c r="K52" s="38"/>
      <x:c r="L52" s="38"/>
      <x:c r="M52" s="38"/>
      <x:c r="N52" s="38"/>
      <x:c r="O52" s="38" t="n">
        <x:v>202</x:v>
      </x:c>
      <x:c r="P52" s="37" t="str">
        <x:v>202000</x:v>
      </x:c>
      <x:c r="Q52" s="37" t="str">
        <x:v>Revenue</x:v>
      </x:c>
      <x:c r="R52" s="37" t="str">
        <x:v>Delays Azurion Eye commercialization, prevents adoption of software-enabled and recurring revenue business models, and postpones future digital service and data-driven revenue opportunities.</x:v>
      </x:c>
      <x:c r="S52" s="37" t="str">
        <x:v>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x:v>
      </x:c>
      <x:c r="T52" s="37" t="str">
        <x:v>1. Cloud Operations,
2. Sensing Lab,
3. Try and Buy,
4.Pay Per Use
5. DataHub installation process definition
6. Req2Res - allow s/w distribution to a physically connected device even when the work order is not created on that specific device</x:v>
      </x:c>
      <x:c r="U52" s="37" t="str">
        <x:v>1006540 - Symphony Eye has strong dependencies on Symphony NextGen as many of the capabilities such as Procument &amp; Partner Management, Support &amp; Adopt etc are pre-requisite to Symphony Eye</x:v>
      </x:c>
      <x:c r="V52" s="36" t="str"/>
      <x:c r="W52" s="36" t="str"/>
      <x:c r="X52" s="36" t="n">
        <x:v>1</x:v>
      </x:c>
      <x:c r="Y52" s="36" t="str">
        <x:v>HEALTHY</x:v>
      </x:c>
      <x:c r="Z52" s="36" t="str"/>
      <x:c r="AA52" s="36" t="str"/>
      <x:c r="AB52" s="36"/>
      <x:c r="AC52" s="36"/>
      <x:c r="AD52" s="36" t="str"/>
      <x:c r="AE52" s="36" t="str">
        <x:v>HEALTHY — Rank in priority matrix</x:v>
      </x:c>
      <x:c r="AF52" s="36" t="str">
        <x:v>Name and organisation matched</x:v>
      </x:c>
      <x:c r="AG52" s="36" t="str">
        <x:v>Common pot</x:v>
      </x:c>
      <x:c r="AH52" s="36" t="str">
        <x:v>BU Demand!row 122</x:v>
      </x:c>
      <x:c r="AI52" s="36" t="str">
        <x:v>NewFeat</x:v>
      </x:c>
      <x:c r="AJ52" s="36" t="str">
        <x:v>Revenue</x:v>
      </x:c>
      <x:c r="AK52" s="36" t="str">
        <x:v>Must Do</x:v>
      </x:c>
      <x:c r="AL52" s="36" t="n">
        <x:v>0</x:v>
      </x:c>
      <x:c r="AM52" s="36" t="n">
        <x:v>0</x:v>
      </x:c>
      <x:c r="AN52" s="43"/>
      <x:c r="AO52" s="43"/>
      <x:c r="AP52" s="43"/>
    </x:row>
    <x:row r="53" ht="15" hidden="0" customHeight="1">
      <x:c r="A53" s="36" t="str">
        <x:v>Bu-58</x:v>
      </x:c>
      <x:c r="B53" s="37" t="str">
        <x:v>MI&amp;A Workbench program</x:v>
      </x:c>
      <x:c r="C53" s="36" t="str">
        <x:v>BU Led</x:v>
      </x:c>
      <x:c r="D53" s="36" t="str">
        <x:v>CoE Marketing – HS (former DMEC)​</x:v>
      </x:c>
      <x:c r="E53" s="36" t="str">
        <x:v>1005000</x:v>
      </x:c>
      <x:c r="F53" s="36" t="str">
        <x:v>Continous Improvement</x:v>
      </x:c>
      <x:c r="G53" s="36" t="str">
        <x:v>Process simplification/ efficiency gain</x:v>
      </x:c>
      <x:c r="H53" s="36" t="str">
        <x:v>Must Do</x:v>
      </x:c>
      <x:c r="I53" s="36" t="str">
        <x:v>Carry Over</x:v>
      </x:c>
      <x:c r="J53" s="38" t="n">
        <x:v>0.2</x:v>
      </x:c>
      <x:c r="K53" s="38"/>
      <x:c r="L53" s="38" t="n">
        <x:v>0.129</x:v>
      </x:c>
      <x:c r="M53" s="38"/>
      <x:c r="N53" s="38"/>
      <x:c r="O53" s="38"/>
      <x:c r="P53" s="37" t="str"/>
      <x:c r="Q53" s="37" t="str">
        <x:v>Cash savings</x:v>
      </x:c>
      <x:c r="R53" s="37" t="str">
        <x:v>Without the marketing datalake,we lose all ability to support HS with insights and analytics, thereby leaving Business &amp; Regions blind, which will negatively impact overall HS business results</x:v>
      </x:c>
      <x:c r="S53" s="37" t="str"/>
      <x:c r="T53" s="37" t="str"/>
      <x:c r="U53" s="37" t="str"/>
      <x:c r="V53" s="36" t="str"/>
      <x:c r="W53" s="36" t="str"/>
      <x:c r="X53" s="36"/>
      <x:c r="Y53" s="36" t="str">
        <x:v>NotAssessed</x:v>
      </x:c>
      <x:c r="Z53" s="36" t="str"/>
      <x:c r="AA53" s="36" t="str"/>
      <x:c r="AB53" s="36"/>
      <x:c r="AC53" s="36"/>
      <x:c r="AD53" s="36" t="str"/>
      <x:c r="AE53" s="36" t="str"/>
      <x:c r="AF53" s="36" t="str">
        <x:v>Name and organisation matched</x:v>
      </x:c>
      <x:c r="AG53" s="36" t="str">
        <x:v>Common pot</x:v>
      </x:c>
      <x:c r="AH53" s="36" t="str">
        <x:v>BU Demand!row 128</x:v>
      </x:c>
      <x:c r="AI53" s="36" t="str">
        <x:v>CI</x:v>
      </x:c>
      <x:c r="AJ53" s="36" t="str">
        <x:v>ProcSimp</x:v>
      </x:c>
      <x:c r="AK53" s="36" t="str">
        <x:v>Must Do</x:v>
      </x:c>
      <x:c r="AL53" s="36" t="n">
        <x:v>0</x:v>
      </x:c>
      <x:c r="AM53" s="36" t="n">
        <x:v>0</x:v>
      </x:c>
      <x:c r="AN53" s="43"/>
      <x:c r="AO53" s="43"/>
      <x:c r="AP53" s="43"/>
    </x:row>
    <x:row r="54" ht="15" hidden="0" customHeight="1">
      <x:c r="A54" s="36" t="str">
        <x:v>Bu-59</x:v>
      </x:c>
      <x:c r="B54" s="37" t="str">
        <x:v>Event CoE_Data Quality, Visibility &amp; Simplification Program</x:v>
      </x:c>
      <x:c r="C54" s="36" t="str">
        <x:v>BU Led</x:v>
      </x:c>
      <x:c r="D54" s="36" t="str">
        <x:v>CoE Marketing – HS (former DMEC)​</x:v>
      </x:c>
      <x:c r="E54" s="36" t="str">
        <x:v>1005046</x:v>
      </x:c>
      <x:c r="F54" s="36" t="str">
        <x:v>Continous Improvement</x:v>
      </x:c>
      <x:c r="G54" s="36" t="str">
        <x:v>Process simplification/ efficiency gain</x:v>
      </x:c>
      <x:c r="H54" s="36" t="str">
        <x:v>Must Do</x:v>
      </x:c>
      <x:c r="I54" s="36" t="str">
        <x:v>Carry Over</x:v>
      </x:c>
      <x:c r="J54" s="38" t="n">
        <x:v>0.21</x:v>
      </x:c>
      <x:c r="K54" s="38"/>
      <x:c r="L54" s="38"/>
      <x:c r="M54" s="38"/>
      <x:c r="N54" s="38"/>
      <x:c r="O54" s="38"/>
      <x:c r="P54" s="37" t="str"/>
      <x:c r="Q54" s="37" t="str">
        <x:v>Cash savings</x:v>
      </x:c>
      <x:c r="R54" s="37" t="str"/>
      <x:c r="S54" s="37" t="str"/>
      <x:c r="T54" s="37" t="str"/>
      <x:c r="U54" s="37" t="str"/>
      <x:c r="V54" s="36" t="str"/>
      <x:c r="W54" s="36" t="str"/>
      <x:c r="X54" s="36"/>
      <x:c r="Y54" s="36" t="str">
        <x:v>NotAssessed</x:v>
      </x:c>
      <x:c r="Z54" s="36" t="str"/>
      <x:c r="AA54" s="36" t="str"/>
      <x:c r="AB54" s="36"/>
      <x:c r="AC54" s="36"/>
      <x:c r="AD54" s="36" t="str"/>
      <x:c r="AE54" s="36" t="str"/>
      <x:c r="AF54" s="36" t="str">
        <x:v>Name and organisation matched</x:v>
      </x:c>
      <x:c r="AG54" s="36" t="str">
        <x:v>Common pot</x:v>
      </x:c>
      <x:c r="AH54" s="36" t="str">
        <x:v>BU Demand!row 129</x:v>
      </x:c>
      <x:c r="AI54" s="36" t="str">
        <x:v>CI</x:v>
      </x:c>
      <x:c r="AJ54" s="36" t="str">
        <x:v>ProcSimp</x:v>
      </x:c>
      <x:c r="AK54" s="36" t="str">
        <x:v>Must Do</x:v>
      </x:c>
      <x:c r="AL54" s="36" t="n">
        <x:v>0</x:v>
      </x:c>
      <x:c r="AM54" s="36" t="n">
        <x:v>0</x:v>
      </x:c>
      <x:c r="AN54" s="43"/>
      <x:c r="AO54" s="43"/>
      <x:c r="AP54" s="43"/>
    </x:row>
    <x:row r="55" ht="15" hidden="0" customHeight="1">
      <x:c r="A55" s="36" t="str">
        <x:v>Bu-60</x:v>
      </x:c>
      <x:c r="B55" s="37" t="str">
        <x:v>Symphony - Azurion NextGen</x:v>
      </x:c>
      <x:c r="C55" s="36" t="str">
        <x:v>BU Led</x:v>
      </x:c>
      <x:c r="D55" s="36" t="str">
        <x:v>Image Guided Therapy - Systems (IGT-S)</x:v>
      </x:c>
      <x:c r="E55" s="36" t="str">
        <x:v>1006540</x:v>
      </x:c>
      <x:c r="F55" s="36" t="str">
        <x:v>New Feature</x:v>
      </x:c>
      <x:c r="G55" s="36" t="str">
        <x:v>Revenue Increase</x:v>
      </x:c>
      <x:c r="H55" s="36" t="str">
        <x:v>Must Do</x:v>
      </x:c>
      <x:c r="I55" s="36" t="str">
        <x:v>Carry Over</x:v>
      </x:c>
      <x:c r="J55" s="38" t="n">
        <x:v>2.8</x:v>
      </x:c>
      <x:c r="K55" s="38"/>
      <x:c r="L55" s="38"/>
      <x:c r="M55" s="38" t="n">
        <x:v>2.8</x:v>
      </x:c>
      <x:c r="N55" s="38"/>
      <x:c r="O55" s="38" t="n">
        <x:v>48</x:v>
      </x:c>
      <x:c r="P55" s="37" t="str">
        <x:v>48000</x:v>
      </x:c>
      <x:c r="Q55" s="37" t="str">
        <x:v>Revenue</x:v>
      </x:c>
      <x:c r="R55" s="37" t="str">
        <x:v>Inability to launch Azurion Next Gen with software subscription and 3rd party ecosystem offerings, delaying recurring revenue generation and IGT's ability to scale future business models.</x:v>
      </x:c>
      <x:c r="S55" s="37" t="str">
        <x:v>The objective of this business case is to deliver the required capabilities to support Azurion Next Gen, ensuring continuity of the approved Azurion roadmap, of which Azurion Eye is a dependent next step from an end-2-end capability perspective.</x:v>
      </x:c>
      <x:c r="T55" s="37" t="str">
        <x:v>1. Quote to delivery
2. Support &amp; Adopt
3. Procurement &amp; Partner Management
4. Configuration Management
5. Remote Software Deliverability</x:v>
      </x:c>
      <x:c r="U55" s="37" t="str"/>
      <x:c r="V55" s="36" t="str"/>
      <x:c r="W55" s="36" t="str"/>
      <x:c r="X55" s="36" t="n">
        <x:v>1</x:v>
      </x:c>
      <x:c r="Y55" s="36" t="str">
        <x:v>HEALTHY</x:v>
      </x:c>
      <x:c r="Z55" s="36" t="str"/>
      <x:c r="AA55" s="36" t="str"/>
      <x:c r="AB55" s="36"/>
      <x:c r="AC55" s="36"/>
      <x:c r="AD55" s="36" t="str"/>
      <x:c r="AE55" s="36" t="str">
        <x:v>HEALTHY — Rank in priority matrix</x:v>
      </x:c>
      <x:c r="AF55" s="36" t="str">
        <x:v>Name and organisation matched</x:v>
      </x:c>
      <x:c r="AG55" s="36" t="str">
        <x:v>Common pot</x:v>
      </x:c>
      <x:c r="AH55" s="36" t="str">
        <x:v>BU Demand!row 130</x:v>
      </x:c>
      <x:c r="AI55" s="36" t="str">
        <x:v>NewFeat</x:v>
      </x:c>
      <x:c r="AJ55" s="36" t="str">
        <x:v>Revenue</x:v>
      </x:c>
      <x:c r="AK55" s="36" t="str">
        <x:v>Must Do</x:v>
      </x:c>
      <x:c r="AL55" s="36" t="n">
        <x:v>0</x:v>
      </x:c>
      <x:c r="AM55" s="36" t="n">
        <x:v>0</x:v>
      </x:c>
      <x:c r="AN55" s="43"/>
      <x:c r="AO55" s="43"/>
      <x:c r="AP55" s="43"/>
    </x:row>
    <x:row r="56" ht="15" hidden="0" customHeight="1">
      <x:c r="A56" s="36" t="str">
        <x:v>Bu-61</x:v>
      </x:c>
      <x:c r="B56" s="37" t="str">
        <x:v>Entrepreneur Split</x:v>
      </x:c>
      <x:c r="C56" s="36" t="str">
        <x:v>BU Led</x:v>
      </x:c>
      <x:c r="D56" s="36" t="str">
        <x:v>Image Guided Therapy - Systems (IGT-S)</x:v>
      </x:c>
      <x:c r="E56" s="36" t="str"/>
      <x:c r="F56" s="36" t="str">
        <x:v>New Feature</x:v>
      </x:c>
      <x:c r="G56" s="36" t="str">
        <x:v>Compliance/Keeping the lights on</x:v>
      </x:c>
      <x:c r="H56" s="36" t="str">
        <x:v>Must Do</x:v>
      </x:c>
      <x:c r="I56" s="36" t="str">
        <x:v>New Initiative</x:v>
      </x:c>
      <x:c r="J56" s="38" t="n">
        <x:v>0.7</x:v>
      </x:c>
      <x:c r="K56" s="38"/>
      <x:c r="L56" s="38"/>
      <x:c r="M56" s="38" t="n">
        <x:v>0.7</x:v>
      </x:c>
      <x:c r="N56" s="38"/>
      <x:c r="O56" s="38" t="n">
        <x:v>29.4</x:v>
      </x:c>
      <x:c r="P56" s="37" t="str">
        <x:v>29400</x:v>
      </x:c>
      <x:c r="Q56" s="37" t="str">
        <x:v>Risk exposure</x:v>
      </x:c>
      <x:c r="R56" s="37" t="str">
        <x:v>Key enabler for network optimization driving ~€10M+ net P&amp;L impact.</x:v>
      </x:c>
      <x:c r="S56" s="37" t="str">
        <x:v>Entrepreneur split - Split of SAP MBP Best factory from the Entrepreneur organization; future-factory blueprint.</x:v>
      </x:c>
      <x:c r="T56" s="37" t="str">
        <x:v>Entrepreneur split - Split of SAP MBP Best factory from the Entrepreneur organization; future-factory blueprint.</x:v>
      </x:c>
      <x:c r="U56" s="37" t="str"/>
      <x:c r="V56" s="36" t="str">
        <x:v>2027</x:v>
      </x:c>
      <x:c r="W56" s="36" t="str"/>
      <x:c r="X56" s="36" t="n">
        <x:v>1</x:v>
      </x:c>
      <x:c r="Y56" s="36" t="str">
        <x:v>HEALTHY</x:v>
      </x:c>
      <x:c r="Z56" s="36" t="str">
        <x:v>YES</x:v>
      </x:c>
      <x:c r="AA56" s="36" t="str">
        <x:v>5 — Exactly the minimum — only what's needed to meet the rule, nothing more.</x:v>
      </x:c>
      <x:c r="AB56" s="36" t="n">
        <x:v>4</x:v>
      </x:c>
      <x:c r="AC56" s="36" t="n">
        <x:v>20</x:v>
      </x:c>
      <x:c r="AD56" s="36" t="str">
        <x:v>P1 — Immediate</x:v>
      </x:c>
      <x:c r="AE56" s="36" t="str">
        <x:v>HEALTHY / MUST-DO — P1 — Immediate</x:v>
      </x:c>
      <x:c r="AF56" s="36" t="str">
        <x:v>Name and organisation matched</x:v>
      </x:c>
      <x:c r="AG56" s="36" t="str">
        <x:v>LFR validated candidate</x:v>
      </x:c>
      <x:c r="AH56" s="36" t="str">
        <x:v>BU Demand!row 135</x:v>
      </x:c>
      <x:c r="AI56" s="36" t="str">
        <x:v>NewFeat</x:v>
      </x:c>
      <x:c r="AJ56" s="36" t="str">
        <x:v>Compliance</x:v>
      </x:c>
      <x:c r="AK56" s="36" t="str">
        <x:v>Must Do</x:v>
      </x:c>
      <x:c r="AL56" s="36" t="n">
        <x:v>0</x:v>
      </x:c>
      <x:c r="AM56" s="36" t="n">
        <x:v>0</x:v>
      </x:c>
      <x:c r="AN56" s="43"/>
      <x:c r="AO56" s="43"/>
      <x:c r="AP56" s="43"/>
    </x:row>
    <x:row r="57" ht="15" hidden="0" customHeight="1">
      <x:c r="A57" s="36" t="str">
        <x:v>Bu-62</x:v>
      </x:c>
      <x:c r="B57" s="37" t="str"/>
      <x:c r="C57" s="36" t="str">
        <x:v>BU Led</x:v>
      </x:c>
      <x:c r="D57" s="36" t="str"/>
      <x:c r="E57" s="36" t="str"/>
      <x:c r="F57" s="36" t="str"/>
      <x:c r="G57" s="36" t="str"/>
      <x:c r="H57" s="36" t="str"/>
      <x:c r="I57" s="36" t="str"/>
      <x:c r="J57" s="38"/>
      <x:c r="K57" s="38"/>
      <x:c r="L57" s="38"/>
      <x:c r="M57" s="38"/>
      <x:c r="N57" s="38"/>
      <x:c r="O57" s="38"/>
      <x:c r="P57" s="37" t="str"/>
      <x:c r="Q57" s="37" t="str">
        <x:v>Unclassified</x:v>
      </x:c>
      <x:c r="R57" s="37" t="str"/>
      <x:c r="S57" s="37" t="str"/>
      <x:c r="T57" s="37" t="str"/>
      <x:c r="U57" s="37" t="str"/>
      <x:c r="V57" s="36" t="str"/>
      <x:c r="W57" s="36" t="str"/>
      <x:c r="X57" s="36"/>
      <x:c r="Y57" s="36" t="str">
        <x:v>NotAssessed</x:v>
      </x:c>
      <x:c r="Z57" s="36" t="str"/>
      <x:c r="AA57" s="36" t="str"/>
      <x:c r="AB57" s="36"/>
      <x:c r="AC57" s="36"/>
      <x:c r="AD57" s="36" t="str"/>
      <x:c r="AE57" s="36" t="str"/>
      <x:c r="AF57" s="36" t="str">
        <x:v>No exact waste match</x:v>
      </x:c>
      <x:c r="AG57" s="36" t="str">
        <x:v>Incomplete record</x:v>
      </x:c>
      <x:c r="AH57" s="36" t="str">
        <x:v>BU Demand!row 136</x:v>
      </x:c>
      <x:c r="AI57" s="36" t="str">
        <x:v>Blank</x:v>
      </x:c>
      <x:c r="AJ57" s="36" t="str">
        <x:v>Blank</x:v>
      </x:c>
      <x:c r="AK57" s="36" t="str">
        <x:v>Blank</x:v>
      </x:c>
      <x:c r="AL57" s="36" t="n">
        <x:v>0</x:v>
      </x:c>
      <x:c r="AM57" s="36" t="n">
        <x:v>1</x:v>
      </x:c>
      <x:c r="AN57" s="43"/>
      <x:c r="AO57" s="43"/>
      <x:c r="AP57" s="43"/>
    </x:row>
    <x:row r="58" ht="15" hidden="0" customHeight="1">
      <x:c r="A58" s="36" t="str">
        <x:v>Bu-63</x:v>
      </x:c>
      <x:c r="B58" s="37" t="str">
        <x:v>Commercial Intelligence &amp; CRM KOL Management tool</x:v>
      </x:c>
      <x:c r="C58" s="36" t="str">
        <x:v>BU Led</x:v>
      </x:c>
      <x:c r="D58" s="36" t="str">
        <x:v>Image Guided Therapy - Systems (IGT-S)</x:v>
      </x:c>
      <x:c r="E58" s="36" t="str"/>
      <x:c r="F58" s="36" t="str">
        <x:v>New Feature</x:v>
      </x:c>
      <x:c r="G58" s="36" t="str">
        <x:v>Revenue Increase</x:v>
      </x:c>
      <x:c r="H58" s="36" t="str">
        <x:v>Must Do</x:v>
      </x:c>
      <x:c r="I58" s="36" t="str">
        <x:v>New Initiative</x:v>
      </x:c>
      <x:c r="J58" s="38" t="n">
        <x:v>0.55</x:v>
      </x:c>
      <x:c r="K58" s="38"/>
      <x:c r="L58" s="38"/>
      <x:c r="M58" s="38"/>
      <x:c r="N58" s="38"/>
      <x:c r="O58" s="38" t="n">
        <x:v>9.6</x:v>
      </x:c>
      <x:c r="P58" s="37" t="str">
        <x:v>9600</x:v>
      </x:c>
      <x:c r="Q58" s="37" t="str">
        <x:v>Revenue</x:v>
      </x:c>
      <x:c r="R58" s="37" t="str">
        <x:v>Reduced visibility of growth opportunities, deterioration in forecasting accuracy and commercial decision-making, leading to slower productivity improvements and delayed realization of growth ambitions.</x:v>
      </x:c>
      <x:c r="S58" s="37" t="str">
        <x:v>1) Improve win rate in competition IB sockets and new sockets
2) Increase win rate by providing sales, marketing and leadership with improved commercial insights and decision making through a commercial intelligence transformation</x:v>
      </x:c>
      <x:c r="T58" s="37" t="str">
        <x:v>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 </x:v>
      </x:c>
      <x:c r="U58" s="37" t="str"/>
      <x:c r="V58" s="36" t="str"/>
      <x:c r="W58" s="36" t="str"/>
      <x:c r="X58" s="36"/>
      <x:c r="Y58" s="36" t="str">
        <x:v>NotAssessed</x:v>
      </x:c>
      <x:c r="Z58" s="36" t="str"/>
      <x:c r="AA58" s="36" t="str"/>
      <x:c r="AB58" s="36"/>
      <x:c r="AC58" s="36"/>
      <x:c r="AD58" s="36" t="str"/>
      <x:c r="AE58" s="36" t="str"/>
      <x:c r="AF58" s="36" t="str">
        <x:v>No exact waste match</x:v>
      </x:c>
      <x:c r="AG58" s="36" t="str">
        <x:v>Common pot</x:v>
      </x:c>
      <x:c r="AH58" s="36" t="str">
        <x:v>BU Demand!row 137</x:v>
      </x:c>
      <x:c r="AI58" s="36" t="str">
        <x:v>NewFeat</x:v>
      </x:c>
      <x:c r="AJ58" s="36" t="str">
        <x:v>Revenue</x:v>
      </x:c>
      <x:c r="AK58" s="36" t="str">
        <x:v>Must Do</x:v>
      </x:c>
      <x:c r="AL58" s="36" t="n">
        <x:v>0</x:v>
      </x:c>
      <x:c r="AM58" s="36" t="n">
        <x:v>0</x:v>
      </x:c>
      <x:c r="AN58" s="43"/>
      <x:c r="AO58" s="43"/>
      <x:c r="AP58" s="43"/>
    </x:row>
    <x:row r="59" ht="15" hidden="0" customHeight="1">
      <x:c r="A59" s="36" t="str">
        <x:v>Bu-64</x:v>
      </x:c>
      <x:c r="B59" s="37" t="str"/>
      <x:c r="C59" s="36" t="str">
        <x:v>BU Led</x:v>
      </x:c>
      <x:c r="D59" s="36" t="str"/>
      <x:c r="E59" s="36" t="str"/>
      <x:c r="F59" s="36" t="str"/>
      <x:c r="G59" s="36" t="str"/>
      <x:c r="H59" s="36" t="str"/>
      <x:c r="I59" s="36" t="str"/>
      <x:c r="J59" s="38"/>
      <x:c r="K59" s="38"/>
      <x:c r="L59" s="38"/>
      <x:c r="M59" s="38"/>
      <x:c r="N59" s="38"/>
      <x:c r="O59" s="38"/>
      <x:c r="P59" s="37" t="str"/>
      <x:c r="Q59" s="37" t="str">
        <x:v>Unclassified</x:v>
      </x:c>
      <x:c r="R59" s="37" t="str"/>
      <x:c r="S59" s="37" t="str"/>
      <x:c r="T59" s="37" t="str"/>
      <x:c r="U59" s="37" t="str"/>
      <x:c r="V59" s="36" t="str"/>
      <x:c r="W59" s="36" t="str"/>
      <x:c r="X59" s="36"/>
      <x:c r="Y59" s="36" t="str">
        <x:v>NotAssessed</x:v>
      </x:c>
      <x:c r="Z59" s="36" t="str"/>
      <x:c r="AA59" s="36" t="str"/>
      <x:c r="AB59" s="36"/>
      <x:c r="AC59" s="36"/>
      <x:c r="AD59" s="36" t="str"/>
      <x:c r="AE59" s="36" t="str"/>
      <x:c r="AF59" s="36" t="str">
        <x:v>No exact waste match</x:v>
      </x:c>
      <x:c r="AG59" s="36" t="str">
        <x:v>Incomplete record</x:v>
      </x:c>
      <x:c r="AH59" s="36" t="str">
        <x:v>BU Demand!row 139</x:v>
      </x:c>
      <x:c r="AI59" s="36" t="str">
        <x:v>Blank</x:v>
      </x:c>
      <x:c r="AJ59" s="36" t="str">
        <x:v>Blank</x:v>
      </x:c>
      <x:c r="AK59" s="36" t="str">
        <x:v>Blank</x:v>
      </x:c>
      <x:c r="AL59" s="36" t="n">
        <x:v>0</x:v>
      </x:c>
      <x:c r="AM59" s="36" t="n">
        <x:v>1</x:v>
      </x:c>
      <x:c r="AN59" s="43"/>
      <x:c r="AO59" s="43"/>
      <x:c r="AP59" s="43"/>
    </x:row>
    <x:row r="60" ht="15" hidden="0" customHeight="1">
      <x:c r="A60" s="36" t="str">
        <x:v>Bu-65</x:v>
      </x:c>
      <x:c r="B60" s="37" t="str">
        <x:v>IR27#18 - Performance Split Automation Step 2</x:v>
      </x:c>
      <x:c r="C60" s="36" t="str">
        <x:v>BU Led</x:v>
      </x:c>
      <x:c r="D60" s="36" t="str">
        <x:v>International Regions (IR)</x:v>
      </x:c>
      <x:c r="E60" s="36" t="str"/>
      <x:c r="F60" s="36" t="str">
        <x:v>Upgrades &amp; Enhancements</x:v>
      </x:c>
      <x:c r="G60" s="36" t="str">
        <x:v>Process simplification/ efficiency gain</x:v>
      </x:c>
      <x:c r="H60" s="36" t="str">
        <x:v>Must Do</x:v>
      </x:c>
      <x:c r="I60" s="36" t="str">
        <x:v>New Initiative</x:v>
      </x:c>
      <x:c r="J60" s="38" t="n">
        <x:v>0.2</x:v>
      </x:c>
      <x:c r="K60" s="38"/>
      <x:c r="L60" s="38"/>
      <x:c r="M60" s="38"/>
      <x:c r="N60" s="38"/>
      <x:c r="O60" s="38" t="n">
        <x:v>5</x:v>
      </x:c>
      <x:c r="P60" s="37" t="str">
        <x:v>5000</x:v>
      </x:c>
      <x:c r="Q60" s="37" t="str">
        <x:v>Cash savings</x:v>
      </x:c>
      <x:c r="R60" s="37" t="str">
        <x:v>Semi-automated Performance split process is not sufficiently “guiding” the organization and is leading to potential errors in Quoting, OM, CPM, Services and finance resulting in</x:v>
      </x:c>
      <x:c r="S60" s="37" t="str">
        <x:v>High manual work introduced by PerfSplit involves risks in critical audit scope (a.o. revenue recognition)</x:v>
      </x:c>
      <x:c r="T60" s="37" t="str">
        <x:v>IR, NAR, GCR &amp; DI, IGTS, HPM, ULS; E2E NPI 2Service.
Deferred Service scope, catalogue control (eligible Eq), compliance risk (inconsistent quotes; order booking &amp; downstream process), LFR need (CFD layout, VAT, ...), new fast flow scope</x:v>
      </x:c>
      <x:c r="U60" s="37" t="str"/>
      <x:c r="V60" s="36" t="str"/>
      <x:c r="W60" s="36" t="str"/>
      <x:c r="X60" s="36" t="n">
        <x:v>1.05</x:v>
      </x:c>
      <x:c r="Y60" s="36" t="str">
        <x:v>HEALTHY</x:v>
      </x:c>
      <x:c r="Z60" s="36" t="str"/>
      <x:c r="AA60" s="36" t="str"/>
      <x:c r="AB60" s="36"/>
      <x:c r="AC60" s="36"/>
      <x:c r="AD60" s="36" t="str"/>
      <x:c r="AE60" s="36" t="str">
        <x:v>HEALTHY — Rank in priority matrix</x:v>
      </x:c>
      <x:c r="AF60" s="36" t="str">
        <x:v>Name and organisation matched</x:v>
      </x:c>
      <x:c r="AG60" s="36" t="str">
        <x:v>Region candidate</x:v>
      </x:c>
      <x:c r="AH60" s="36" t="str">
        <x:v>BU Demand!row 140</x:v>
      </x:c>
      <x:c r="AI60" s="36" t="str">
        <x:v>Upgrades</x:v>
      </x:c>
      <x:c r="AJ60" s="36" t="str">
        <x:v>ProcSimp</x:v>
      </x:c>
      <x:c r="AK60" s="36" t="str">
        <x:v>Must Do</x:v>
      </x:c>
      <x:c r="AL60" s="36" t="n">
        <x:v>0</x:v>
      </x:c>
      <x:c r="AM60" s="36" t="n">
        <x:v>0</x:v>
      </x:c>
      <x:c r="AN60" s="43"/>
      <x:c r="AO60" s="43"/>
      <x:c r="AP60" s="43"/>
    </x:row>
    <x:row r="61" ht="15" hidden="0" customHeight="1">
      <x:c r="A61" s="36" t="str">
        <x:v>Bu-66</x:v>
      </x:c>
      <x:c r="B61" s="37" t="str">
        <x:v>IR27#21 - AI in Commercial Excellence</x:v>
      </x:c>
      <x:c r="C61" s="36" t="str">
        <x:v>BU Led</x:v>
      </x:c>
      <x:c r="D61" s="36" t="str">
        <x:v>International Regions (IR)</x:v>
      </x:c>
      <x:c r="E61" s="36" t="str"/>
      <x:c r="F61" s="36" t="str">
        <x:v>New Feature</x:v>
      </x:c>
      <x:c r="G61" s="36" t="str">
        <x:v>Revenue Increase</x:v>
      </x:c>
      <x:c r="H61" s="36" t="str">
        <x:v>Must Do</x:v>
      </x:c>
      <x:c r="I61" s="36" t="str">
        <x:v>New Initiative</x:v>
      </x:c>
      <x:c r="J61" s="38" t="n">
        <x:v>0.95</x:v>
      </x:c>
      <x:c r="K61" s="38"/>
      <x:c r="L61" s="38"/>
      <x:c r="M61" s="38"/>
      <x:c r="N61" s="38"/>
      <x:c r="O61" s="38" t="n">
        <x:v>735</x:v>
      </x:c>
      <x:c r="P61" s="37" t="str">
        <x:v>735000</x:v>
      </x:c>
      <x:c r="Q61" s="37" t="str">
        <x:v>Revenue</x:v>
      </x:c>
      <x:c r="R61" s="37" t="str">
        <x:v>Without funding: AI pilots remain local and non-scalable, leaving sellers with 3–5 disconnected tools, duplicated effort and inconsistent data.</x:v>
      </x:c>
      <x:c r="S61" s="37" t="str">
        <x:v>Drive profitable growth by efficiency in sales team: faster execution, better information, more customer focus</x:v>
      </x:c>
      <x:c r="T61" s="37" t="str">
        <x:v>All HS Bus, IT systems along the commercial process. Exploration, piloting and scaling of solutions with proven value creation, collaboration with IT platforms to achieve this.</x:v>
      </x:c>
      <x:c r="U61" s="37" t="str"/>
      <x:c r="V61" s="36" t="str"/>
      <x:c r="W61" s="36" t="str"/>
      <x:c r="X61" s="36"/>
      <x:c r="Y61" s="36" t="str">
        <x:v>NotAssessed</x:v>
      </x:c>
      <x:c r="Z61" s="36" t="str"/>
      <x:c r="AA61" s="36" t="str"/>
      <x:c r="AB61" s="36"/>
      <x:c r="AC61" s="36"/>
      <x:c r="AD61" s="36" t="str"/>
      <x:c r="AE61" s="36" t="str"/>
      <x:c r="AF61" s="36" t="str">
        <x:v>Name and organisation matched</x:v>
      </x:c>
      <x:c r="AG61" s="36" t="str">
        <x:v>Region candidate</x:v>
      </x:c>
      <x:c r="AH61" s="36" t="str">
        <x:v>BU Demand!row 145</x:v>
      </x:c>
      <x:c r="AI61" s="36" t="str">
        <x:v>NewFeat</x:v>
      </x:c>
      <x:c r="AJ61" s="36" t="str">
        <x:v>Revenue</x:v>
      </x:c>
      <x:c r="AK61" s="36" t="str">
        <x:v>Must Do</x:v>
      </x:c>
      <x:c r="AL61" s="36" t="n">
        <x:v>0</x:v>
      </x:c>
      <x:c r="AM61" s="36" t="n">
        <x:v>0</x:v>
      </x:c>
      <x:c r="AN61" s="43"/>
      <x:c r="AO61" s="43"/>
      <x:c r="AP61" s="43"/>
    </x:row>
    <x:row r="62" ht="15" hidden="0" customHeight="1">
      <x:c r="A62" s="36" t="str">
        <x:v>Bu-67</x:v>
      </x:c>
      <x:c r="B62" s="37" t="str">
        <x:v>IR27#22 - Sales Incentives Auto-Credit</x:v>
      </x:c>
      <x:c r="C62" s="36" t="str">
        <x:v>BU Led</x:v>
      </x:c>
      <x:c r="D62" s="36" t="str">
        <x:v>International Regions (IR)</x:v>
      </x:c>
      <x:c r="E62" s="36" t="str"/>
      <x:c r="F62" s="36" t="str">
        <x:v>New Feature</x:v>
      </x:c>
      <x:c r="G62" s="36" t="str">
        <x:v>Revenue Increase</x:v>
      </x:c>
      <x:c r="H62" s="36" t="str">
        <x:v>Must Have</x:v>
      </x:c>
      <x:c r="I62" s="36" t="str">
        <x:v>New Initiative</x:v>
      </x:c>
      <x:c r="J62" s="38" t="n">
        <x:v>0.25</x:v>
      </x:c>
      <x:c r="K62" s="38"/>
      <x:c r="L62" s="38"/>
      <x:c r="M62" s="38"/>
      <x:c r="N62" s="38"/>
      <x:c r="O62" s="38" t="n">
        <x:v>9</x:v>
      </x:c>
      <x:c r="P62" s="37" t="str">
        <x:v>9000</x:v>
      </x:c>
      <x:c r="Q62" s="37" t="str">
        <x:v>Revenue</x:v>
      </x:c>
      <x:c r="R62" s="37" t="str">
        <x:v>Without funding, crediting stays manual in every zone. Workaround: continue spreadsheet crediting with added Sales Excellence/HR effort – capacity that cannot be redeployed to growth work.</x:v>
      </x:c>
      <x:c r="S62" s="37" t="str">
        <x:v>Sales Incentives remains a heavily manual (error prone) process. Anaplan is a foundation but not leveraged to automate main workload yet.</x:v>
      </x:c>
      <x:c r="T62" s="37" t="str">
        <x:v>Sales incentives process and involved executing roles across IR, possible leverage for NAR/GCR depending on how they utilize the system. All BUs  involved, while focus on HS.</x:v>
      </x:c>
      <x:c r="U62" s="37" t="str"/>
      <x:c r="V62" s="36" t="str"/>
      <x:c r="W62" s="36" t="str"/>
      <x:c r="X62" s="36"/>
      <x:c r="Y62" s="36" t="str">
        <x:v>NotAssessed</x:v>
      </x:c>
      <x:c r="Z62" s="36" t="str"/>
      <x:c r="AA62" s="36" t="str"/>
      <x:c r="AB62" s="36"/>
      <x:c r="AC62" s="36"/>
      <x:c r="AD62" s="36" t="str"/>
      <x:c r="AE62" s="36" t="str"/>
      <x:c r="AF62" s="36" t="str">
        <x:v>Name and organisation matched</x:v>
      </x:c>
      <x:c r="AG62" s="36" t="str">
        <x:v>Region candidate</x:v>
      </x:c>
      <x:c r="AH62" s="36" t="str">
        <x:v>BU Demand!row 152</x:v>
      </x:c>
      <x:c r="AI62" s="36" t="str">
        <x:v>NewFeat</x:v>
      </x:c>
      <x:c r="AJ62" s="36" t="str">
        <x:v>Revenue</x:v>
      </x:c>
      <x:c r="AK62" s="36" t="str">
        <x:v>Must Have</x:v>
      </x:c>
      <x:c r="AL62" s="36" t="n">
        <x:v>0</x:v>
      </x:c>
      <x:c r="AM62" s="36" t="n">
        <x:v>0</x:v>
      </x:c>
      <x:c r="AN62" s="43"/>
      <x:c r="AO62" s="43"/>
      <x:c r="AP62" s="43"/>
    </x:row>
    <x:row r="63" ht="15" hidden="0" customHeight="1">
      <x:c r="A63" s="36" t="str">
        <x:v>Bu-68</x:v>
      </x:c>
      <x:c r="B63" s="37" t="str">
        <x:v>IR27#23 - Sales Deals compliance</x:v>
      </x:c>
      <x:c r="C63" s="36" t="str">
        <x:v>BU Led</x:v>
      </x:c>
      <x:c r="D63" s="36" t="str">
        <x:v>International Regions (IR)</x:v>
      </x:c>
      <x:c r="E63" s="36" t="str"/>
      <x:c r="F63" s="36" t="str">
        <x:v>Legal Fiscal, Regulatory &amp; Compliancy</x:v>
      </x:c>
      <x:c r="G63" s="36" t="str">
        <x:v>Compliance/Keeping the lights on</x:v>
      </x:c>
      <x:c r="H63" s="36" t="str">
        <x:v>Must Do</x:v>
      </x:c>
      <x:c r="I63" s="36" t="str">
        <x:v>New Initiative</x:v>
      </x:c>
      <x:c r="J63" s="38" t="n">
        <x:v>0.1</x:v>
      </x:c>
      <x:c r="K63" s="38"/>
      <x:c r="L63" s="38"/>
      <x:c r="M63" s="38"/>
      <x:c r="N63" s="38"/>
      <x:c r="O63" s="38" t="n">
        <x:v>2500</x:v>
      </x:c>
      <x:c r="P63" s="37" t="str">
        <x:v>2500000</x:v>
      </x:c>
      <x:c r="Q63" s="37" t="str">
        <x:v>Risk exposure</x:v>
      </x:c>
      <x:c r="R63" s="37" t="str">
        <x:v>[ANTICIPATED EXTERNAL AUDIT ISSUE]</x:v>
      </x:c>
      <x:c r="S63" s="37" t="str">
        <x:v>Sales deals are not well controlable manually and we would expect external audit to raise this as a concern on next occasion (rather not wait for it).</x:v>
      </x:c>
      <x:c r="T63" s="37" t="str">
        <x:v>all HS BUss for Sales Deals, all IR</x:v>
      </x:c>
      <x:c r="U63" s="37" t="str"/>
      <x:c r="V63" s="36" t="str">
        <x:v>2027</x:v>
      </x:c>
      <x:c r="W63" s="36" t="str">
        <x:v>anticipated external audit issue</x:v>
      </x:c>
      <x:c r="X63" s="36"/>
      <x:c r="Y63" s="36" t="str">
        <x:v>NotAssessed</x:v>
      </x:c>
      <x:c r="Z63" s="36" t="str"/>
      <x:c r="AA63" s="36" t="str"/>
      <x:c r="AB63" s="36"/>
      <x:c r="AC63" s="36"/>
      <x:c r="AD63" s="36" t="str"/>
      <x:c r="AE63" s="36" t="str"/>
      <x:c r="AF63" s="36" t="str">
        <x:v>Name and organisation matched</x:v>
      </x:c>
      <x:c r="AG63" s="36" t="str">
        <x:v>Region candidate</x:v>
      </x:c>
      <x:c r="AH63" s="36" t="str">
        <x:v>BU Demand!row 157</x:v>
      </x:c>
      <x:c r="AI63" s="36" t="str">
        <x:v>LFR</x:v>
      </x:c>
      <x:c r="AJ63" s="36" t="str">
        <x:v>Compliance</x:v>
      </x:c>
      <x:c r="AK63" s="36" t="str">
        <x:v>Must Do</x:v>
      </x:c>
      <x:c r="AL63" s="36" t="n">
        <x:v>0</x:v>
      </x:c>
      <x:c r="AM63" s="36" t="n">
        <x:v>0</x:v>
      </x:c>
      <x:c r="AN63" s="43"/>
      <x:c r="AO63" s="43"/>
      <x:c r="AP63" s="43"/>
    </x:row>
    <x:row r="64" ht="15" hidden="0" customHeight="1">
      <x:c r="A64" s="36" t="str">
        <x:v>Bu-69</x:v>
      </x:c>
      <x:c r="B64" s="37" t="str">
        <x:v>IR27#31 - Partner Central: Democratize Action to Allow Scale </x:v>
      </x:c>
      <x:c r="C64" s="36" t="str">
        <x:v>BU Led</x:v>
      </x:c>
      <x:c r="D64" s="36" t="str">
        <x:v>International Regions (IR)</x:v>
      </x:c>
      <x:c r="E64" s="36" t="str"/>
      <x:c r="F64" s="36" t="str">
        <x:v>New Feature</x:v>
      </x:c>
      <x:c r="G64" s="36" t="str">
        <x:v>Revenue Increase</x:v>
      </x:c>
      <x:c r="H64" s="36" t="str">
        <x:v>Must Do</x:v>
      </x:c>
      <x:c r="I64" s="36" t="str">
        <x:v>New Initiative</x:v>
      </x:c>
      <x:c r="J64" s="38" t="n">
        <x:v>0.39</x:v>
      </x:c>
      <x:c r="K64" s="38"/>
      <x:c r="L64" s="38"/>
      <x:c r="M64" s="38"/>
      <x:c r="N64" s="38"/>
      <x:c r="O64" s="38" t="n">
        <x:v>5.6</x:v>
      </x:c>
      <x:c r="P64" s="37" t="str">
        <x:v>5600</x:v>
      </x:c>
      <x:c r="Q64" s="37" t="str">
        <x:v>Revenue</x:v>
      </x:c>
      <x:c r="R64" s="37" t="str">
        <x:v>• €5.6M opportunity remains dependent on manual, centralized execution</x:v>
      </x:c>
      <x:c r="S64" s="37" t="str">
        <x:v>Partner team is at limit with central management of all BU / Partner context, cannot scale Partner Business further and need to organize for more shared actions.</x:v>
      </x:c>
      <x:c r="T64" s="37" t="str">
        <x:v>Channel Partner business IR / all HS BUs</x:v>
      </x:c>
      <x:c r="U64" s="37" t="str"/>
      <x:c r="V64" s="36" t="str"/>
      <x:c r="W64" s="36" t="str"/>
      <x:c r="X64" s="36"/>
      <x:c r="Y64" s="36" t="str">
        <x:v>NotAssessed</x:v>
      </x:c>
      <x:c r="Z64" s="36" t="str"/>
      <x:c r="AA64" s="36" t="str"/>
      <x:c r="AB64" s="36"/>
      <x:c r="AC64" s="36"/>
      <x:c r="AD64" s="36" t="str"/>
      <x:c r="AE64" s="36" t="str"/>
      <x:c r="AF64" s="36" t="str">
        <x:v>Name and organisation matched</x:v>
      </x:c>
      <x:c r="AG64" s="36" t="str">
        <x:v>Region candidate</x:v>
      </x:c>
      <x:c r="AH64" s="36" t="str">
        <x:v>BU Demand!row 163</x:v>
      </x:c>
      <x:c r="AI64" s="36" t="str">
        <x:v>NewFeat</x:v>
      </x:c>
      <x:c r="AJ64" s="36" t="str">
        <x:v>Revenue</x:v>
      </x:c>
      <x:c r="AK64" s="36" t="str">
        <x:v>Must Do</x:v>
      </x:c>
      <x:c r="AL64" s="36" t="n">
        <x:v>0</x:v>
      </x:c>
      <x:c r="AM64" s="36" t="n">
        <x:v>0</x:v>
      </x:c>
      <x:c r="AN64" s="43"/>
      <x:c r="AO64" s="43"/>
      <x:c r="AP64" s="43"/>
    </x:row>
    <x:row r="65" ht="15" hidden="0" customHeight="1">
      <x:c r="A65" s="36" t="str">
        <x:v>Bu-70</x:v>
      </x:c>
      <x:c r="B65" s="37" t="str">
        <x:v>IR27#32 - Partner Journeys to Drive Value Extraction</x:v>
      </x:c>
      <x:c r="C65" s="36" t="str">
        <x:v>BU Led</x:v>
      </x:c>
      <x:c r="D65" s="36" t="str">
        <x:v>International Regions (IR)</x:v>
      </x:c>
      <x:c r="E65" s="36" t="str"/>
      <x:c r="F65" s="36" t="str">
        <x:v>New Feature</x:v>
      </x:c>
      <x:c r="G65" s="36" t="str">
        <x:v>Revenue Increase</x:v>
      </x:c>
      <x:c r="H65" s="36" t="str">
        <x:v>Must Do</x:v>
      </x:c>
      <x:c r="I65" s="36" t="str">
        <x:v>New Initiative</x:v>
      </x:c>
      <x:c r="J65" s="38" t="n">
        <x:v>0.27</x:v>
      </x:c>
      <x:c r="K65" s="38"/>
      <x:c r="L65" s="38"/>
      <x:c r="M65" s="38"/>
      <x:c r="N65" s="38"/>
      <x:c r="O65" s="38" t="n">
        <x:v>11.3</x:v>
      </x:c>
      <x:c r="P65" s="37" t="str">
        <x:v>11300</x:v>
      </x:c>
      <x:c r="Q65" s="37" t="str">
        <x:v>Revenue</x:v>
      </x:c>
      <x:c r="R65" s="37" t="str">
        <x:v>Baseline traffic and existing campaigns continue without new IT</x:v>
      </x:c>
      <x:c r="S65" s="37" t="str">
        <x:v>Ease of use and also proactive nudging of partners enables further business opportunities for them and hence Philips</x:v>
      </x:c>
      <x:c r="T65" s="37" t="str">
        <x:v>Channel Partner business IR / all HS BUs</x:v>
      </x:c>
      <x:c r="U65" s="37" t="str"/>
      <x:c r="V65" s="36" t="str"/>
      <x:c r="W65" s="36" t="str"/>
      <x:c r="X65" s="36"/>
      <x:c r="Y65" s="36" t="str">
        <x:v>NotAssessed</x:v>
      </x:c>
      <x:c r="Z65" s="36" t="str"/>
      <x:c r="AA65" s="36" t="str"/>
      <x:c r="AB65" s="36"/>
      <x:c r="AC65" s="36"/>
      <x:c r="AD65" s="36" t="str"/>
      <x:c r="AE65" s="36" t="str"/>
      <x:c r="AF65" s="36" t="str">
        <x:v>Name and organisation matched</x:v>
      </x:c>
      <x:c r="AG65" s="36" t="str">
        <x:v>Region candidate</x:v>
      </x:c>
      <x:c r="AH65" s="36" t="str">
        <x:v>BU Demand!row 168</x:v>
      </x:c>
      <x:c r="AI65" s="36" t="str">
        <x:v>NewFeat</x:v>
      </x:c>
      <x:c r="AJ65" s="36" t="str">
        <x:v>Revenue</x:v>
      </x:c>
      <x:c r="AK65" s="36" t="str">
        <x:v>Must Do</x:v>
      </x:c>
      <x:c r="AL65" s="36" t="n">
        <x:v>0</x:v>
      </x:c>
      <x:c r="AM65" s="36" t="n">
        <x:v>0</x:v>
      </x:c>
      <x:c r="AN65" s="43"/>
      <x:c r="AO65" s="43"/>
      <x:c r="AP65" s="43"/>
    </x:row>
    <x:row r="66" ht="15" hidden="0" customHeight="1">
      <x:c r="A66" s="36" t="str">
        <x:v>Bu-71</x:v>
      </x:c>
      <x:c r="B66" s="37" t="str">
        <x:v>IR27#33 - Partner Data towards Commercial Action</x:v>
      </x:c>
      <x:c r="C66" s="36" t="str">
        <x:v>BU Led</x:v>
      </x:c>
      <x:c r="D66" s="36" t="str">
        <x:v>International Regions (IR)</x:v>
      </x:c>
      <x:c r="E66" s="36" t="str"/>
      <x:c r="F66" s="36" t="str">
        <x:v>New Feature</x:v>
      </x:c>
      <x:c r="G66" s="36" t="str">
        <x:v>Revenue Increase</x:v>
      </x:c>
      <x:c r="H66" s="36" t="str">
        <x:v>Must Do</x:v>
      </x:c>
      <x:c r="I66" s="36" t="str">
        <x:v>New Initiative</x:v>
      </x:c>
      <x:c r="J66" s="38" t="n">
        <x:v>0.14</x:v>
      </x:c>
      <x:c r="K66" s="38"/>
      <x:c r="L66" s="38"/>
      <x:c r="M66" s="38"/>
      <x:c r="N66" s="38"/>
      <x:c r="O66" s="38" t="n">
        <x:v>11.9</x:v>
      </x:c>
      <x:c r="P66" s="37" t="str">
        <x:v>11900</x:v>
      </x:c>
      <x:c r="Q66" s="37" t="str">
        <x:v>Revenue</x:v>
      </x:c>
      <x:c r="R66" s="37" t="str">
        <x:v>Existing reports and local analysis continue without new IT</x:v>
      </x:c>
      <x:c r="S66" s="37" t="str">
        <x:v>Leverage of data as information for commercial decision making allows further growth, also tuned towards Channel Partner needs</x:v>
      </x:c>
      <x:c r="T66" s="37" t="str">
        <x:v>Channel Partner business IR / all HS BUs</x:v>
      </x:c>
      <x:c r="U66" s="37" t="str"/>
      <x:c r="V66" s="36" t="str"/>
      <x:c r="W66" s="36" t="str"/>
      <x:c r="X66" s="36"/>
      <x:c r="Y66" s="36" t="str">
        <x:v>NotAssessed</x:v>
      </x:c>
      <x:c r="Z66" s="36" t="str"/>
      <x:c r="AA66" s="36" t="str"/>
      <x:c r="AB66" s="36"/>
      <x:c r="AC66" s="36"/>
      <x:c r="AD66" s="36" t="str"/>
      <x:c r="AE66" s="36" t="str"/>
      <x:c r="AF66" s="36" t="str">
        <x:v>Name and organisation matched</x:v>
      </x:c>
      <x:c r="AG66" s="36" t="str">
        <x:v>Region candidate</x:v>
      </x:c>
      <x:c r="AH66" s="36" t="str">
        <x:v>BU Demand!row 172</x:v>
      </x:c>
      <x:c r="AI66" s="36" t="str">
        <x:v>NewFeat</x:v>
      </x:c>
      <x:c r="AJ66" s="36" t="str">
        <x:v>Revenue</x:v>
      </x:c>
      <x:c r="AK66" s="36" t="str">
        <x:v>Must Do</x:v>
      </x:c>
      <x:c r="AL66" s="36" t="n">
        <x:v>0</x:v>
      </x:c>
      <x:c r="AM66" s="36" t="n">
        <x:v>0</x:v>
      </x:c>
      <x:c r="AN66" s="43"/>
      <x:c r="AO66" s="43"/>
      <x:c r="AP66" s="43"/>
    </x:row>
    <x:row r="67" ht="15" hidden="0" customHeight="1">
      <x:c r="A67" s="36" t="str">
        <x:v>Bu-72</x:v>
      </x:c>
      <x:c r="B67" s="37" t="str">
        <x:v>IR27#34 - Partner Central Consistency While Scaling</x:v>
      </x:c>
      <x:c r="C67" s="36" t="str">
        <x:v>BU Led</x:v>
      </x:c>
      <x:c r="D67" s="36" t="str">
        <x:v>International Regions (IR)</x:v>
      </x:c>
      <x:c r="E67" s="36" t="str"/>
      <x:c r="F67" s="36" t="str">
        <x:v>Upgrades &amp; Enhancements</x:v>
      </x:c>
      <x:c r="G67" s="36" t="str">
        <x:v>Compliance/Keeping the lights on</x:v>
      </x:c>
      <x:c r="H67" s="36" t="str">
        <x:v>Must Do</x:v>
      </x:c>
      <x:c r="I67" s="36" t="str">
        <x:v>New Initiative</x:v>
      </x:c>
      <x:c r="J67" s="38" t="n">
        <x:v>0.14</x:v>
      </x:c>
      <x:c r="K67" s="38"/>
      <x:c r="L67" s="38"/>
      <x:c r="M67" s="38"/>
      <x:c r="N67" s="38"/>
      <x:c r="O67" s="38" t="n">
        <x:v>4.4</x:v>
      </x:c>
      <x:c r="P67" s="37" t="str">
        <x:v>4400</x:v>
      </x:c>
      <x:c r="Q67" s="37" t="str">
        <x:v>Risk exposure</x:v>
      </x:c>
      <x:c r="R67" s="37" t="str">
        <x:v>Existing manual controls continue without new IT investment</x:v>
      </x:c>
      <x:c r="S67" s="37" t="str">
        <x:v>Current environment is too much tuned to 'all or nothing' and needs revision for a more tailored access by partners, but also Philips roles</x:v>
      </x:c>
      <x:c r="T67" s="37" t="str">
        <x:v>Channel Partner business IR / all HS BUs</x:v>
      </x:c>
      <x:c r="U67" s="37" t="str"/>
      <x:c r="V67" s="36" t="str"/>
      <x:c r="W67" s="36" t="str"/>
      <x:c r="X67" s="36"/>
      <x:c r="Y67" s="36" t="str">
        <x:v>NotAssessed</x:v>
      </x:c>
      <x:c r="Z67" s="36" t="str"/>
      <x:c r="AA67" s="36" t="str"/>
      <x:c r="AB67" s="36"/>
      <x:c r="AC67" s="36"/>
      <x:c r="AD67" s="36" t="str"/>
      <x:c r="AE67" s="36" t="str"/>
      <x:c r="AF67" s="36" t="str">
        <x:v>Name and organisation matched</x:v>
      </x:c>
      <x:c r="AG67" s="36" t="str">
        <x:v>Region candidate</x:v>
      </x:c>
      <x:c r="AH67" s="36" t="str">
        <x:v>BU Demand!row 176</x:v>
      </x:c>
      <x:c r="AI67" s="36" t="str">
        <x:v>Upgrades</x:v>
      </x:c>
      <x:c r="AJ67" s="36" t="str">
        <x:v>Compliance</x:v>
      </x:c>
      <x:c r="AK67" s="36" t="str">
        <x:v>Must Do</x:v>
      </x:c>
      <x:c r="AL67" s="36" t="n">
        <x:v>0</x:v>
      </x:c>
      <x:c r="AM67" s="36" t="n">
        <x:v>0</x:v>
      </x:c>
      <x:c r="AN67" s="43"/>
      <x:c r="AO67" s="43"/>
      <x:c r="AP67" s="43"/>
    </x:row>
    <x:row r="68" ht="15" hidden="0" customHeight="1">
      <x:c r="A68" s="36" t="str">
        <x:v>Bu-73</x:v>
      </x:c>
      <x:c r="B68" s="37" t="str">
        <x:v>IR27#35 - Partner: Scale Impact with Agile Publishing</x:v>
      </x:c>
      <x:c r="C68" s="36" t="str">
        <x:v>BU Led</x:v>
      </x:c>
      <x:c r="D68" s="36" t="str">
        <x:v>International Regions (IR)</x:v>
      </x:c>
      <x:c r="E68" s="36" t="str"/>
      <x:c r="F68" s="36" t="str">
        <x:v>New Feature</x:v>
      </x:c>
      <x:c r="G68" s="36" t="str">
        <x:v>Revenue Increase</x:v>
      </x:c>
      <x:c r="H68" s="36" t="str">
        <x:v>Must Do</x:v>
      </x:c>
      <x:c r="I68" s="36" t="str">
        <x:v>New Initiative</x:v>
      </x:c>
      <x:c r="J68" s="38" t="n">
        <x:v>0.05</x:v>
      </x:c>
      <x:c r="K68" s="38"/>
      <x:c r="L68" s="38"/>
      <x:c r="M68" s="38"/>
      <x:c r="N68" s="38"/>
      <x:c r="O68" s="38" t="n">
        <x:v>5.6</x:v>
      </x:c>
      <x:c r="P68" s="37" t="str">
        <x:v>5600</x:v>
      </x:c>
      <x:c r="Q68" s="37" t="str">
        <x:v>Revenue</x:v>
      </x:c>
      <x:c r="R68" s="37" t="str">
        <x:v>Existing content and campaigns continue without new IT investment</x:v>
      </x:c>
      <x:c r="S68" s="37" t="str">
        <x:v>Marketing content from BUs currently routed via Partner team (congests pipeline of work), delayed execution and more interfaces.</x:v>
      </x:c>
      <x:c r="T68" s="37" t="str">
        <x:v>Channel Partner business IR / all HS BUs</x:v>
      </x:c>
      <x:c r="U68" s="37" t="str"/>
      <x:c r="V68" s="36" t="str"/>
      <x:c r="W68" s="36" t="str"/>
      <x:c r="X68" s="36"/>
      <x:c r="Y68" s="36" t="str">
        <x:v>NotAssessed</x:v>
      </x:c>
      <x:c r="Z68" s="36" t="str"/>
      <x:c r="AA68" s="36" t="str"/>
      <x:c r="AB68" s="36"/>
      <x:c r="AC68" s="36"/>
      <x:c r="AD68" s="36" t="str"/>
      <x:c r="AE68" s="36" t="str"/>
      <x:c r="AF68" s="36" t="str">
        <x:v>Name and organisation matched</x:v>
      </x:c>
      <x:c r="AG68" s="36" t="str">
        <x:v>Region candidate</x:v>
      </x:c>
      <x:c r="AH68" s="36" t="str">
        <x:v>BU Demand!row 180</x:v>
      </x:c>
      <x:c r="AI68" s="36" t="str">
        <x:v>NewFeat</x:v>
      </x:c>
      <x:c r="AJ68" s="36" t="str">
        <x:v>Revenue</x:v>
      </x:c>
      <x:c r="AK68" s="36" t="str">
        <x:v>Must Do</x:v>
      </x:c>
      <x:c r="AL68" s="36" t="n">
        <x:v>0</x:v>
      </x:c>
      <x:c r="AM68" s="36" t="n">
        <x:v>0</x:v>
      </x:c>
      <x:c r="AN68" s="43"/>
      <x:c r="AO68" s="43"/>
      <x:c r="AP68" s="43"/>
    </x:row>
    <x:row r="69" ht="15" hidden="0" customHeight="1">
      <x:c r="A69" s="36" t="str">
        <x:v>Bu-74</x:v>
      </x:c>
      <x:c r="B69" s="37" t="str">
        <x:v>IR27#43 - D2B Configurable Product Mgt</x:v>
      </x:c>
      <x:c r="C69" s="36" t="str">
        <x:v>BU Led</x:v>
      </x:c>
      <x:c r="D69" s="36" t="str">
        <x:v>International Regions (IR)</x:v>
      </x:c>
      <x:c r="E69" s="36" t="str"/>
      <x:c r="F69" s="36" t="str">
        <x:v>Upgrades &amp; Enhancements</x:v>
      </x:c>
      <x:c r="G69" s="36" t="str">
        <x:v>Revenue Increase</x:v>
      </x:c>
      <x:c r="H69" s="36" t="str">
        <x:v>Must Have</x:v>
      </x:c>
      <x:c r="I69" s="36" t="str">
        <x:v>Change &amp; Sustain</x:v>
      </x:c>
      <x:c r="J69" s="38" t="n">
        <x:v>0.08</x:v>
      </x:c>
      <x:c r="K69" s="38"/>
      <x:c r="L69" s="38"/>
      <x:c r="M69" s="38"/>
      <x:c r="N69" s="38"/>
      <x:c r="O69" s="38" t="n">
        <x:v>5.95</x:v>
      </x:c>
      <x:c r="P69" s="37" t="str">
        <x:v>5950</x:v>
      </x:c>
      <x:c r="Q69" s="37" t="str">
        <x:v>Revenue</x:v>
      </x:c>
      <x:c r="R69" s="37" t="str">
        <x:v>Business continuity challenge. All the 6NC products which are enabled with Configit are generating approx. 8M EUR revenue yearly on Hybris e-Store. Missing an opportunity to potentially grow the revenue via this channel by 1.4M EUR.</x:v>
      </x:c>
      <x:c r="S69" s="37" t="str">
        <x:v>eStore volume stagnates with opportunity on low-config items. Prepare and scale.</x:v>
      </x:c>
      <x:c r="T69" s="37" t="str">
        <x:v>Focus on Europe with BUs HPM &amp; ULS</x:v>
      </x:c>
      <x:c r="U69" s="37" t="str"/>
      <x:c r="V69" s="36" t="str"/>
      <x:c r="W69" s="36" t="str"/>
      <x:c r="X69" s="36"/>
      <x:c r="Y69" s="36" t="str">
        <x:v>NotAssessed</x:v>
      </x:c>
      <x:c r="Z69" s="36" t="str"/>
      <x:c r="AA69" s="36" t="str"/>
      <x:c r="AB69" s="36"/>
      <x:c r="AC69" s="36"/>
      <x:c r="AD69" s="36" t="str"/>
      <x:c r="AE69" s="36" t="str"/>
      <x:c r="AF69" s="36" t="str">
        <x:v>Name and organisation matched</x:v>
      </x:c>
      <x:c r="AG69" s="36" t="str">
        <x:v>Change and Sustain candidate</x:v>
      </x:c>
      <x:c r="AH69" s="36" t="str">
        <x:v>BU Demand!row 184</x:v>
      </x:c>
      <x:c r="AI69" s="36" t="str">
        <x:v>Upgrades</x:v>
      </x:c>
      <x:c r="AJ69" s="36" t="str">
        <x:v>Revenue</x:v>
      </x:c>
      <x:c r="AK69" s="36" t="str">
        <x:v>Must Have</x:v>
      </x:c>
      <x:c r="AL69" s="36" t="n">
        <x:v>0</x:v>
      </x:c>
      <x:c r="AM69" s="36" t="n">
        <x:v>0</x:v>
      </x:c>
      <x:c r="AN69" s="43"/>
      <x:c r="AO69" s="43"/>
      <x:c r="AP69" s="43"/>
    </x:row>
    <x:row r="70" ht="15" hidden="0" customHeight="1">
      <x:c r="A70" s="36" t="str">
        <x:v>Bu-75</x:v>
      </x:c>
      <x:c r="B70" s="37" t="str">
        <x:v>IR27#44 - EDI Continuous Improvement incl BNL Peppol Orders</x:v>
      </x:c>
      <x:c r="C70" s="36" t="str">
        <x:v>BU Led</x:v>
      </x:c>
      <x:c r="D70" s="36" t="str">
        <x:v>International Regions (IR)</x:v>
      </x:c>
      <x:c r="E70" s="36" t="str"/>
      <x:c r="F70" s="36" t="str">
        <x:v>Continous Improvement</x:v>
      </x:c>
      <x:c r="G70" s="36" t="str">
        <x:v>Process simplification/ efficiency gain</x:v>
      </x:c>
      <x:c r="H70" s="36" t="str">
        <x:v>Must Do</x:v>
      </x:c>
      <x:c r="I70" s="36" t="str">
        <x:v>Change &amp; Sustain</x:v>
      </x:c>
      <x:c r="J70" s="38" t="n">
        <x:v>0.078</x:v>
      </x:c>
      <x:c r="K70" s="38"/>
      <x:c r="L70" s="38"/>
      <x:c r="M70" s="38"/>
      <x:c r="N70" s="38"/>
      <x:c r="O70" s="38" t="n">
        <x:v>2.25</x:v>
      </x:c>
      <x:c r="P70" s="37" t="str">
        <x:v>2250</x:v>
      </x:c>
      <x:c r="Q70" s="37" t="str">
        <x:v>Cash savings</x:v>
      </x:c>
      <x:c r="R70" s="37" t="str">
        <x:v>BNL OIT risk (500K p.a).</x:v>
      </x:c>
      <x:c r="S70" s="37" t="str">
        <x:v>EDI is an established standard but requires tweaks of existing connections and sometimes new connections as preconditions in tenders / for contracts. I.e. Peppol Orders required in BNL by 4 customers now </x:v>
      </x:c>
      <x:c r="T70" s="37" t="str">
        <x:v>Mainly HPM / IGTD, across IR</x:v>
      </x:c>
      <x:c r="U70" s="37" t="str"/>
      <x:c r="V70" s="36" t="str"/>
      <x:c r="W70" s="36" t="str"/>
      <x:c r="X70" s="36"/>
      <x:c r="Y70" s="36" t="str">
        <x:v>NotAssessed</x:v>
      </x:c>
      <x:c r="Z70" s="36" t="str"/>
      <x:c r="AA70" s="36" t="str"/>
      <x:c r="AB70" s="36"/>
      <x:c r="AC70" s="36"/>
      <x:c r="AD70" s="36" t="str"/>
      <x:c r="AE70" s="36" t="str"/>
      <x:c r="AF70" s="36" t="str">
        <x:v>Name and organisation matched</x:v>
      </x:c>
      <x:c r="AG70" s="36" t="str">
        <x:v>Change and Sustain candidate</x:v>
      </x:c>
      <x:c r="AH70" s="36" t="str">
        <x:v>BU Demand!row 185</x:v>
      </x:c>
      <x:c r="AI70" s="36" t="str">
        <x:v>CI</x:v>
      </x:c>
      <x:c r="AJ70" s="36" t="str">
        <x:v>ProcSimp</x:v>
      </x:c>
      <x:c r="AK70" s="36" t="str">
        <x:v>Must Do</x:v>
      </x:c>
      <x:c r="AL70" s="36" t="n">
        <x:v>0</x:v>
      </x:c>
      <x:c r="AM70" s="36" t="n">
        <x:v>0</x:v>
      </x:c>
      <x:c r="AN70" s="43"/>
      <x:c r="AO70" s="43"/>
      <x:c r="AP70" s="43"/>
    </x:row>
    <x:row r="71" ht="24" hidden="0" customHeight="1">
      <x:c r="A71" s="36" t="str">
        <x:v>Bu-76</x:v>
      </x:c>
      <x:c r="B71" s="37" t="str">
        <x:v>IR27#60 - Supply Chain Excellence (in fact 3x Type 1: each 50K HPM SE, ULS DK, IGTD Italy) - create 3 lines?</x:v>
      </x:c>
      <x:c r="C71" s="36" t="str">
        <x:v>BU Led</x:v>
      </x:c>
      <x:c r="D71" s="36" t="str">
        <x:v>International Regions (IR)</x:v>
      </x:c>
      <x:c r="E71" s="36" t="str">
        <x:v> </x:v>
      </x:c>
      <x:c r="F71" s="36" t="str">
        <x:v>Upgrades &amp; Enhancements</x:v>
      </x:c>
      <x:c r="G71" s="36" t="str">
        <x:v>Process simplification/ efficiency gain</x:v>
      </x:c>
      <x:c r="H71" s="36" t="str">
        <x:v>Must Do</x:v>
      </x:c>
      <x:c r="I71" s="36" t="str">
        <x:v>Change &amp; Sustain</x:v>
      </x:c>
      <x:c r="J71" s="38" t="n">
        <x:v>0.15</x:v>
      </x:c>
      <x:c r="K71" s="38"/>
      <x:c r="L71" s="38"/>
      <x:c r="M71" s="38"/>
      <x:c r="N71" s="38"/>
      <x:c r="O71" s="38" t="n">
        <x:v>128.25</x:v>
      </x:c>
      <x:c r="P71" s="37" t="str">
        <x:v>128250</x:v>
      </x:c>
      <x:c r="Q71" s="37" t="str">
        <x:v>Cash savings</x:v>
      </x:c>
      <x:c r="R71" s="37" t="str">
        <x:v>Loss of revenue due to breach of existing contracts and potential impact to customer decision on future orders for IGTD in Italy.</x:v>
      </x:c>
      <x:c r="S71" s="37" t="str">
        <x:v>3 dedicated small investments by individual BUs:
- eDelivery IIG in public (IGTD) -
- Stockpoint / pre-install NDC/SE (HPM)
- Consignment to meet committed customer requirement, deal wip NDC/DK (ULS)</x:v>
      </x:c>
      <x:c r="T71" s="37" t="str">
        <x:v>SC twists for designated country/BU needs</x:v>
      </x:c>
      <x:c r="U71" s="37" t="str"/>
      <x:c r="V71" s="36" t="str"/>
      <x:c r="W71" s="36" t="str"/>
      <x:c r="X71" s="36" t="n">
        <x:v>1.2</x:v>
      </x:c>
      <x:c r="Y71" s="36" t="str">
        <x:v>HEALTHY</x:v>
      </x:c>
      <x:c r="Z71" s="36" t="str"/>
      <x:c r="AA71" s="36" t="str"/>
      <x:c r="AB71" s="36"/>
      <x:c r="AC71" s="36"/>
      <x:c r="AD71" s="36" t="str"/>
      <x:c r="AE71" s="36" t="str">
        <x:v>HEALTHY — Rank in priority matrix</x:v>
      </x:c>
      <x:c r="AF71" s="36" t="str">
        <x:v>Name and organisation matched</x:v>
      </x:c>
      <x:c r="AG71" s="36" t="str">
        <x:v>Change and Sustain candidate</x:v>
      </x:c>
      <x:c r="AH71" s="36" t="str">
        <x:v>BU Demand!row 191</x:v>
      </x:c>
      <x:c r="AI71" s="36" t="str">
        <x:v>Upgrades</x:v>
      </x:c>
      <x:c r="AJ71" s="36" t="str">
        <x:v>ProcSimp</x:v>
      </x:c>
      <x:c r="AK71" s="36" t="str">
        <x:v>Must Do</x:v>
      </x:c>
      <x:c r="AL71" s="36" t="n">
        <x:v>0</x:v>
      </x:c>
      <x:c r="AM71" s="36" t="n">
        <x:v>0</x:v>
      </x:c>
      <x:c r="AN71" s="43"/>
      <x:c r="AO71" s="43"/>
      <x:c r="AP71" s="43"/>
    </x:row>
    <x:row r="72" ht="15" hidden="0" customHeight="1">
      <x:c r="A72" s="36" t="str">
        <x:v>Bu-77</x:v>
      </x:c>
      <x:c r="B72" s="37" t="str">
        <x:v>IR27#70 - SC IW&amp;D Excellence</x:v>
      </x:c>
      <x:c r="C72" s="36" t="str">
        <x:v>BU Led</x:v>
      </x:c>
      <x:c r="D72" s="36" t="str">
        <x:v>International Regions (IR)</x:v>
      </x:c>
      <x:c r="E72" s="36" t="str"/>
      <x:c r="F72" s="36" t="str">
        <x:v>Upgrades &amp; Enhancements</x:v>
      </x:c>
      <x:c r="G72" s="36" t="str">
        <x:v>Process simplification/ efficiency gain</x:v>
      </x:c>
      <x:c r="H72" s="36" t="str">
        <x:v>Deprioritised</x:v>
      </x:c>
      <x:c r="I72" s="36" t="str">
        <x:v>Change &amp; Sustain</x:v>
      </x:c>
      <x:c r="J72" s="38" t="n">
        <x:v>0</x:v>
      </x:c>
      <x:c r="K72" s="38"/>
      <x:c r="L72" s="38"/>
      <x:c r="M72" s="38"/>
      <x:c r="N72" s="38"/>
      <x:c r="O72" s="38" t="n">
        <x:v>0.585</x:v>
      </x:c>
      <x:c r="P72" s="37" t="str">
        <x:v>585</x:v>
      </x:c>
      <x:c r="Q72" s="37" t="str">
        <x:v>Cash savings</x:v>
      </x:c>
      <x:c r="R72" s="37" t="str">
        <x:v>Current inefficiencies will continue.</x:v>
      </x:c>
      <x:c r="S72" s="37" t="str">
        <x:v>Warehouse operations and information automation where needed most - too much manual work hinders speed, agility &amp; quality.</x:v>
      </x:c>
      <x:c r="T72" s="37" t="str">
        <x:v>IR scope, all BUs</x:v>
      </x:c>
      <x:c r="U72" s="37" t="str"/>
      <x:c r="V72" s="36" t="str"/>
      <x:c r="W72" s="36" t="str"/>
      <x:c r="X72" s="36" t="n">
        <x:v>1.55</x:v>
      </x:c>
      <x:c r="Y72" s="36" t="str">
        <x:v>HEALTHY</x:v>
      </x:c>
      <x:c r="Z72" s="36" t="str"/>
      <x:c r="AA72" s="36" t="str"/>
      <x:c r="AB72" s="36"/>
      <x:c r="AC72" s="36"/>
      <x:c r="AD72" s="36" t="str"/>
      <x:c r="AE72" s="36" t="str">
        <x:v>HEALTHY — Rank in priority matrix</x:v>
      </x:c>
      <x:c r="AF72" s="36" t="str">
        <x:v>Name and organisation matched</x:v>
      </x:c>
      <x:c r="AG72" s="36" t="str">
        <x:v>Change and Sustain candidate</x:v>
      </x:c>
      <x:c r="AH72" s="36" t="str">
        <x:v>BU Demand!row 196</x:v>
      </x:c>
      <x:c r="AI72" s="36" t="str">
        <x:v>Upgrades</x:v>
      </x:c>
      <x:c r="AJ72" s="36" t="str">
        <x:v>ProcSimp</x:v>
      </x:c>
      <x:c r="AK72" s="36" t="str">
        <x:v>Depri</x:v>
      </x:c>
      <x:c r="AL72" s="36" t="n">
        <x:v>0</x:v>
      </x:c>
      <x:c r="AM72" s="36" t="n">
        <x:v>0</x:v>
      </x:c>
      <x:c r="AN72" s="43"/>
      <x:c r="AO72" s="43"/>
      <x:c r="AP72" s="43"/>
    </x:row>
    <x:row r="73" ht="15" hidden="0" customHeight="1">
      <x:c r="A73" s="36" t="str">
        <x:v>Bu-78</x:v>
      </x:c>
      <x:c r="B73" s="37" t="str">
        <x:v>(idle)</x:v>
      </x:c>
      <x:c r="C73" s="36" t="str">
        <x:v>BU Led</x:v>
      </x:c>
      <x:c r="D73" s="36" t="str">
        <x:v>International Regions (IR)</x:v>
      </x:c>
      <x:c r="E73" s="36" t="str"/>
      <x:c r="F73" s="36" t="str"/>
      <x:c r="G73" s="36" t="str"/>
      <x:c r="H73" s="36" t="str">
        <x:v>Deprioritised</x:v>
      </x:c>
      <x:c r="I73" s="36" t="str"/>
      <x:c r="J73" s="38"/>
      <x:c r="K73" s="38"/>
      <x:c r="L73" s="38"/>
      <x:c r="M73" s="38"/>
      <x:c r="N73" s="38"/>
      <x:c r="O73" s="38"/>
      <x:c r="P73" s="37" t="str"/>
      <x:c r="Q73" s="37" t="str">
        <x:v>Unclassified</x:v>
      </x:c>
      <x:c r="R73" s="37" t="str"/>
      <x:c r="S73" s="37" t="str"/>
      <x:c r="T73" s="37" t="str"/>
      <x:c r="U73" s="37" t="str"/>
      <x:c r="V73" s="36" t="str"/>
      <x:c r="W73" s="36" t="str"/>
      <x:c r="X73" s="36"/>
      <x:c r="Y73" s="36" t="str">
        <x:v>NotAssessed</x:v>
      </x:c>
      <x:c r="Z73" s="36" t="str"/>
      <x:c r="AA73" s="36" t="str"/>
      <x:c r="AB73" s="36"/>
      <x:c r="AC73" s="36"/>
      <x:c r="AD73" s="36" t="str"/>
      <x:c r="AE73" s="36" t="str"/>
      <x:c r="AF73" s="36" t="str">
        <x:v>Name and organisation matched</x:v>
      </x:c>
      <x:c r="AG73" s="36" t="str">
        <x:v>Region candidate</x:v>
      </x:c>
      <x:c r="AH73" s="36" t="str">
        <x:v>BU Demand!row 200</x:v>
      </x:c>
      <x:c r="AI73" s="36" t="str">
        <x:v>Blank</x:v>
      </x:c>
      <x:c r="AJ73" s="36" t="str">
        <x:v>Blank</x:v>
      </x:c>
      <x:c r="AK73" s="36" t="str">
        <x:v>Depri</x:v>
      </x:c>
      <x:c r="AL73" s="36" t="n">
        <x:v>0</x:v>
      </x:c>
      <x:c r="AM73" s="36" t="n">
        <x:v>0</x:v>
      </x:c>
      <x:c r="AN73" s="43"/>
      <x:c r="AO73" s="43"/>
      <x:c r="AP73" s="43"/>
    </x:row>
    <x:row r="74" ht="15" hidden="0" customHeight="1">
      <x:c r="A74" s="36" t="str">
        <x:v>Bu-79</x:v>
      </x:c>
      <x:c r="B74" s="37" t="str">
        <x:v>IR27#14 - ORU KSA APM 'Kafu' </x:v>
      </x:c>
      <x:c r="C74" s="36" t="str">
        <x:v>BU Led</x:v>
      </x:c>
      <x:c r="D74" s="36" t="str">
        <x:v>International Regions (IR)</x:v>
      </x:c>
      <x:c r="E74" s="36" t="str"/>
      <x:c r="F74" s="36" t="str">
        <x:v>New Feature</x:v>
      </x:c>
      <x:c r="G74" s="36" t="str">
        <x:v>Process simplification/ efficiency gain</x:v>
      </x:c>
      <x:c r="H74" s="36" t="str">
        <x:v>Must Do</x:v>
      </x:c>
      <x:c r="I74" s="36" t="str">
        <x:v>New Initiative</x:v>
      </x:c>
      <x:c r="J74" s="38" t="n">
        <x:v>0.15</x:v>
      </x:c>
      <x:c r="K74" s="38"/>
      <x:c r="L74" s="38"/>
      <x:c r="M74" s="38"/>
      <x:c r="N74" s="38"/>
      <x:c r="O74" s="38" t="n">
        <x:v>60</x:v>
      </x:c>
      <x:c r="P74" s="37" t="str">
        <x:v>60000</x:v>
      </x:c>
      <x:c r="Q74" s="37" t="str">
        <x:v>Cash savings</x:v>
      </x:c>
      <x:c r="R74" s="37" t="str">
        <x:v>IT system is need to fully utilize the value of the new initiative.</x:v>
      </x:c>
      <x:c r="S74" s="37" t="str">
        <x:v>KSA market with strong growth opportunity ('big bet'), precondition for govt attention is local engagement and most suitable is spare parts based presence, possibly also covering competition parts. Opportunity window is closing (competition).</x:v>
      </x:c>
      <x:c r="T74" s="37" t="str">
        <x:v>Imaging, IGTS, ULS; for KSA &amp; potenbtially the closer region</x:v>
      </x:c>
      <x:c r="U74" s="37" t="str"/>
      <x:c r="V74" s="36" t="str"/>
      <x:c r="W74" s="36" t="str"/>
      <x:c r="X74" s="36" t="n">
        <x:v>1.2</x:v>
      </x:c>
      <x:c r="Y74" s="36" t="str">
        <x:v>HEALTHY</x:v>
      </x:c>
      <x:c r="Z74" s="36" t="str"/>
      <x:c r="AA74" s="36" t="str"/>
      <x:c r="AB74" s="36"/>
      <x:c r="AC74" s="36"/>
      <x:c r="AD74" s="36" t="str"/>
      <x:c r="AE74" s="36" t="str">
        <x:v>HEALTHY — Rank in priority matrix</x:v>
      </x:c>
      <x:c r="AF74" s="36" t="str">
        <x:v>Name and organisation matched</x:v>
      </x:c>
      <x:c r="AG74" s="36" t="str">
        <x:v>Region candidate</x:v>
      </x:c>
      <x:c r="AH74" s="36" t="str">
        <x:v>BU Demand!row 201</x:v>
      </x:c>
      <x:c r="AI74" s="36" t="str">
        <x:v>NewFeat</x:v>
      </x:c>
      <x:c r="AJ74" s="36" t="str">
        <x:v>ProcSimp</x:v>
      </x:c>
      <x:c r="AK74" s="36" t="str">
        <x:v>Must Do</x:v>
      </x:c>
      <x:c r="AL74" s="36" t="n">
        <x:v>0</x:v>
      </x:c>
      <x:c r="AM74" s="36" t="n">
        <x:v>0</x:v>
      </x:c>
      <x:c r="AN74" s="43"/>
      <x:c r="AO74" s="43"/>
      <x:c r="AP74" s="43"/>
    </x:row>
    <x:row r="75" ht="24" hidden="0" customHeight="1">
      <x:c r="A75" s="36" t="str">
        <x:v>Bu-80</x:v>
      </x:c>
      <x:c r="B75" s="37" t="str">
        <x:v>IR27#15 - ORU extension requirement (too early to submit/judge, ballpark 500K, Exco discussion proceeding)</x:v>
      </x:c>
      <x:c r="C75" s="36" t="str">
        <x:v>BU Led</x:v>
      </x:c>
      <x:c r="D75" s="36" t="str">
        <x:v>International Regions (IR)</x:v>
      </x:c>
      <x:c r="E75" s="36" t="str"/>
      <x:c r="F75" s="36" t="str">
        <x:v>New Feature</x:v>
      </x:c>
      <x:c r="G75" s="36" t="str">
        <x:v>Process simplification/ efficiency gain</x:v>
      </x:c>
      <x:c r="H75" s="36" t="str">
        <x:v>Deprioritised</x:v>
      </x:c>
      <x:c r="I75" s="36" t="str">
        <x:v>New Initiative</x:v>
      </x:c>
      <x:c r="J75" s="38" t="n">
        <x:v>0</x:v>
      </x:c>
      <x:c r="K75" s="38"/>
      <x:c r="L75" s="38"/>
      <x:c r="M75" s="38"/>
      <x:c r="N75" s="38"/>
      <x:c r="O75" s="38"/>
      <x:c r="P75" s="37" t="str">
        <x:v>t.b.d</x:v>
      </x:c>
      <x:c r="Q75" s="37" t="str">
        <x:v>Cash savings</x:v>
      </x:c>
      <x:c r="R75" s="37" t="str">
        <x:v>t.b.d</x:v>
      </x:c>
      <x:c r="S75" s="37" t="str">
        <x:v>India market with steep growth opportunity ('big bet'), but partial mismatch with Philips portfolio (low pricing). Unlock with local upstream footprint (details tbd). Opportunity window is closing (competition).</x:v>
      </x:c>
      <x:c r="T75" s="37" t="str">
        <x:v>India only; CT/MR, then IGTS, then possibly HPM</x:v>
      </x:c>
      <x:c r="U75" s="37" t="str"/>
      <x:c r="V75" s="36" t="str"/>
      <x:c r="W75" s="36" t="str"/>
      <x:c r="X75" s="36" t="n">
        <x:v>1.05</x:v>
      </x:c>
      <x:c r="Y75" s="36" t="str">
        <x:v>HEALTHY</x:v>
      </x:c>
      <x:c r="Z75" s="36" t="str"/>
      <x:c r="AA75" s="36" t="str"/>
      <x:c r="AB75" s="36"/>
      <x:c r="AC75" s="36"/>
      <x:c r="AD75" s="36" t="str"/>
      <x:c r="AE75" s="36" t="str">
        <x:v>HEALTHY — Rank in priority matrix</x:v>
      </x:c>
      <x:c r="AF75" s="36" t="str">
        <x:v>Name and organisation matched</x:v>
      </x:c>
      <x:c r="AG75" s="36" t="str">
        <x:v>Region candidate</x:v>
      </x:c>
      <x:c r="AH75" s="36" t="str">
        <x:v>BU Demand!row 205</x:v>
      </x:c>
      <x:c r="AI75" s="36" t="str">
        <x:v>NewFeat</x:v>
      </x:c>
      <x:c r="AJ75" s="36" t="str">
        <x:v>ProcSimp</x:v>
      </x:c>
      <x:c r="AK75" s="36" t="str">
        <x:v>Depri</x:v>
      </x:c>
      <x:c r="AL75" s="36" t="n">
        <x:v>0</x:v>
      </x:c>
      <x:c r="AM75" s="36" t="n">
        <x:v>0</x:v>
      </x:c>
      <x:c r="AN75" s="43"/>
      <x:c r="AO75" s="43"/>
      <x:c r="AP75" s="43"/>
    </x:row>
    <x:row r="76" ht="15" hidden="0" customHeight="1">
      <x:c r="A76" s="36" t="str">
        <x:v>Bu-81</x:v>
      </x:c>
      <x:c r="B76" s="37" t="str">
        <x:v>Data Analytics &amp; IB Fix2Perform</x:v>
      </x:c>
      <x:c r="C76" s="36" t="str">
        <x:v>BU Led</x:v>
      </x:c>
      <x:c r="D76" s="36" t="str">
        <x:v>Image Guided Therapy - Systems (IGT-S)</x:v>
      </x:c>
      <x:c r="E76" s="36" t="str"/>
      <x:c r="F76" s="36" t="str">
        <x:v>New Feature</x:v>
      </x:c>
      <x:c r="G76" s="36" t="str">
        <x:v>Compliance/Keeping the lights on</x:v>
      </x:c>
      <x:c r="H76" s="36" t="str">
        <x:v>Must Do</x:v>
      </x:c>
      <x:c r="I76" s="36" t="str">
        <x:v>Carry Over</x:v>
      </x:c>
      <x:c r="J76" s="38" t="n">
        <x:v>0.85</x:v>
      </x:c>
      <x:c r="K76" s="38"/>
      <x:c r="L76" s="38"/>
      <x:c r="M76" s="38"/>
      <x:c r="N76" s="38"/>
      <x:c r="O76" s="38" t="n">
        <x:v>10.3</x:v>
      </x:c>
      <x:c r="P76" s="37" t="str">
        <x:v>10300</x:v>
      </x:c>
      <x:c r="Q76" s="37" t="str">
        <x:v>Risk exposure</x:v>
      </x:c>
      <x:c r="R76" s="37" t="str">
        <x:v>Forego ~€8.5M annual quality and operational cost improvements and delay deployment of enabling quality analytics and Fix2Perform capabilities.Unnecessary FSE visits for FCO due to incorrect UAL (€1.8M reduction on ~€40M annual cost)</x:v>
      </x:c>
      <x:c r="S76" s="37" t="str">
        <x:v>Updates to data analytics solutions &amp; workbench AI</x:v>
      </x:c>
      <x:c r="T76" s="37" t="str">
        <x:v>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x:v>
      </x:c>
      <x:c r="U76" s="37" t="str"/>
      <x:c r="V76" s="36" t="str"/>
      <x:c r="W76" s="36" t="str"/>
      <x:c r="X76" s="36" t="n">
        <x:v>1.4</x:v>
      </x:c>
      <x:c r="Y76" s="36" t="str">
        <x:v>HEALTHY</x:v>
      </x:c>
      <x:c r="Z76" s="36" t="str">
        <x:v>NO</x:v>
      </x:c>
      <x:c r="AA76" s="36" t="str">
        <x:v>3 — Mostly lean — only a few extras beyond the minimum remain.</x:v>
      </x:c>
      <x:c r="AB76" s="36" t="n">
        <x:v>3</x:v>
      </x:c>
      <x:c r="AC76" s="36" t="n">
        <x:v>12</x:v>
      </x:c>
      <x:c r="AD76" s="36" t="str">
        <x:v>P2 — Scheduled</x:v>
      </x:c>
      <x:c r="AE76" s="36" t="str">
        <x:v>HEALTHY — Rank in priority matrix</x:v>
      </x:c>
      <x:c r="AF76" s="36" t="str">
        <x:v>Name and organisation matched</x:v>
      </x:c>
      <x:c r="AG76" s="36" t="str">
        <x:v>Common pot</x:v>
      </x:c>
      <x:c r="AH76" s="36" t="str">
        <x:v>BU Demand!row 206</x:v>
      </x:c>
      <x:c r="AI76" s="36" t="str">
        <x:v>NewFeat</x:v>
      </x:c>
      <x:c r="AJ76" s="36" t="str">
        <x:v>Compliance</x:v>
      </x:c>
      <x:c r="AK76" s="36" t="str">
        <x:v>Must Do</x:v>
      </x:c>
      <x:c r="AL76" s="36" t="n">
        <x:v>0</x:v>
      </x:c>
      <x:c r="AM76" s="36" t="n">
        <x:v>0</x:v>
      </x:c>
      <x:c r="AN76" s="43"/>
      <x:c r="AO76" s="43"/>
      <x:c r="AP76" s="43"/>
    </x:row>
    <x:row r="77" ht="15" hidden="0" customHeight="1">
      <x:c r="A77" s="36" t="str">
        <x:v>Bu-82</x:v>
      </x:c>
      <x:c r="B77" s="37" t="str">
        <x:v>IGTS AI 2027</x:v>
      </x:c>
      <x:c r="C77" s="36" t="str">
        <x:v>BU Led</x:v>
      </x:c>
      <x:c r="D77" s="36" t="str">
        <x:v>Image Guided Therapy - Systems (IGT-S)</x:v>
      </x:c>
      <x:c r="E77" s="36" t="str"/>
      <x:c r="F77" s="36" t="str">
        <x:v>New Feature</x:v>
      </x:c>
      <x:c r="G77" s="36" t="str">
        <x:v>Productivity savings</x:v>
      </x:c>
      <x:c r="H77" s="36" t="str">
        <x:v>Must Do</x:v>
      </x:c>
      <x:c r="I77" s="36" t="str">
        <x:v>Carry Over</x:v>
      </x:c>
      <x:c r="J77" s="38" t="n">
        <x:v>2.468</x:v>
      </x:c>
      <x:c r="K77" s="38"/>
      <x:c r="L77" s="38"/>
      <x:c r="M77" s="38"/>
      <x:c r="N77" s="38"/>
      <x:c r="O77" s="38" t="n">
        <x:v>42</x:v>
      </x:c>
      <x:c r="P77" s="37" t="str">
        <x:v>42000</x:v>
      </x:c>
      <x:c r="Q77" s="37" t="str">
        <x:v>Cash savings</x:v>
      </x:c>
      <x:c r="R77" s="37" t="str">
        <x:v>Without funding, AI transformation outcomes across IGTS will be delayed, slowing productivity gains, innovation, time-to-market improvements and operational reliability, while increasing future execution costs</x:v>
      </x:c>
      <x:c r="S77" s="37" t="str">
        <x:v>AI and Analytics</x:v>
      </x:c>
      <x:c r="T77" s="37" t="str">
        <x:v>Move Delphi to ATAAP, GenAI hosting, maintaining, new agents, Analytics - new reports, changes, MCP servers, IT architecture support, new data soruces, tables, NPSS</x:v>
      </x:c>
      <x:c r="U77" s="37" t="str"/>
      <x:c r="V77" s="36" t="str"/>
      <x:c r="W77" s="36" t="str"/>
      <x:c r="X77" s="36" t="n">
        <x:v>1.05</x:v>
      </x:c>
      <x:c r="Y77" s="36" t="str">
        <x:v>HEALTHY</x:v>
      </x:c>
      <x:c r="Z77" s="36" t="str"/>
      <x:c r="AA77" s="36" t="str"/>
      <x:c r="AB77" s="36"/>
      <x:c r="AC77" s="36"/>
      <x:c r="AD77" s="36" t="str"/>
      <x:c r="AE77" s="36" t="str">
        <x:v>HEALTHY — Rank in priority matrix</x:v>
      </x:c>
      <x:c r="AF77" s="36" t="str">
        <x:v>Name and organisation matched</x:v>
      </x:c>
      <x:c r="AG77" s="36" t="str">
        <x:v>Common pot</x:v>
      </x:c>
      <x:c r="AH77" s="36" t="str">
        <x:v>BU Demand!row 215</x:v>
      </x:c>
      <x:c r="AI77" s="36" t="str">
        <x:v>NewFeat</x:v>
      </x:c>
      <x:c r="AJ77" s="36" t="str">
        <x:v>Productivity</x:v>
      </x:c>
      <x:c r="AK77" s="36" t="str">
        <x:v>Must Do</x:v>
      </x:c>
      <x:c r="AL77" s="36" t="n">
        <x:v>0</x:v>
      </x:c>
      <x:c r="AM77" s="36" t="n">
        <x:v>0</x:v>
      </x:c>
      <x:c r="AN77" s="43"/>
      <x:c r="AO77" s="43"/>
      <x:c r="AP77" s="43"/>
    </x:row>
    <x:row r="78" ht="15" hidden="0" customHeight="1">
      <x:c r="A78" s="36" t="str">
        <x:v>Bu-83</x:v>
      </x:c>
      <x:c r="B78" s="37" t="str">
        <x:v>M&amp;A PMI Matrix</x:v>
      </x:c>
      <x:c r="C78" s="36" t="str">
        <x:v>BU Led</x:v>
      </x:c>
      <x:c r="D78" s="36" t="str">
        <x:v>Group Innovation &amp; Strategy ​</x:v>
      </x:c>
      <x:c r="E78" s="36" t="str">
        <x:v>1007173</x:v>
      </x:c>
      <x:c r="F78" s="36" t="str"/>
      <x:c r="G78" s="36" t="str">
        <x:v>Process simplification/ efficiency gain</x:v>
      </x:c>
      <x:c r="H78" s="36" t="str">
        <x:v>Must Do</x:v>
      </x:c>
      <x:c r="I78" s="36" t="str">
        <x:v>Carry Over</x:v>
      </x:c>
      <x:c r="J78" s="38" t="n">
        <x:v>0.01</x:v>
      </x:c>
      <x:c r="K78" s="38"/>
      <x:c r="L78" s="38"/>
      <x:c r="M78" s="38" t="n">
        <x:v>0.01</x:v>
      </x:c>
      <x:c r="N78" s="38"/>
      <x:c r="O78" s="38"/>
      <x:c r="P78" s="37" t="str">
        <x:v>difficult to quantify</x:v>
      </x:c>
      <x:c r="Q78" s="37" t="str">
        <x:v>Cash savings</x:v>
      </x:c>
      <x:c r="R78" s="37" t="str">
        <x:v>M&amp;A</x:v>
      </x:c>
      <x:c r="S78" s="37" t="str"/>
      <x:c r="T78" s="37" t="str"/>
      <x:c r="U78" s="37" t="str"/>
      <x:c r="V78" s="36" t="str"/>
      <x:c r="W78" s="36" t="str"/>
      <x:c r="X78" s="36"/>
      <x:c r="Y78" s="36" t="str">
        <x:v>NotAssessed</x:v>
      </x:c>
      <x:c r="Z78" s="36" t="str"/>
      <x:c r="AA78" s="36" t="str"/>
      <x:c r="AB78" s="36"/>
      <x:c r="AC78" s="36"/>
      <x:c r="AD78" s="36" t="str"/>
      <x:c r="AE78" s="36" t="str"/>
      <x:c r="AF78" s="36" t="str">
        <x:v>Name and organisation matched</x:v>
      </x:c>
      <x:c r="AG78" s="36" t="str">
        <x:v>Common pot</x:v>
      </x:c>
      <x:c r="AH78" s="36" t="str">
        <x:v>BU Demand!row 216</x:v>
      </x:c>
      <x:c r="AI78" s="36" t="str">
        <x:v>Blank</x:v>
      </x:c>
      <x:c r="AJ78" s="36" t="str">
        <x:v>ProcSimp</x:v>
      </x:c>
      <x:c r="AK78" s="36" t="str">
        <x:v>Must Do</x:v>
      </x:c>
      <x:c r="AL78" s="36" t="n">
        <x:v>0</x:v>
      </x:c>
      <x:c r="AM78" s="36" t="n">
        <x:v>0</x:v>
      </x:c>
      <x:c r="AN78" s="43"/>
      <x:c r="AO78" s="43"/>
      <x:c r="AP78" s="43"/>
    </x:row>
    <x:row r="79" ht="15" hidden="0" customHeight="1">
      <x:c r="A79" s="36" t="str">
        <x:v>Bu-84</x:v>
      </x:c>
      <x:c r="B79" s="37" t="str">
        <x:v>M&amp;A PMI Helios</x:v>
      </x:c>
      <x:c r="C79" s="36" t="str">
        <x:v>BU Led</x:v>
      </x:c>
      <x:c r="D79" s="36" t="str">
        <x:v>Image Guided Therapy - Devices (IGT-D)</x:v>
      </x:c>
      <x:c r="E79" s="36" t="str">
        <x:v>1007294</x:v>
      </x:c>
      <x:c r="F79" s="36" t="str"/>
      <x:c r="G79" s="36" t="str">
        <x:v>Revenue Increase</x:v>
      </x:c>
      <x:c r="H79" s="36" t="str">
        <x:v>Must Do</x:v>
      </x:c>
      <x:c r="I79" s="36" t="str">
        <x:v>Carry Over</x:v>
      </x:c>
      <x:c r="J79" s="38" t="n">
        <x:v>3.18</x:v>
      </x:c>
      <x:c r="K79" s="38"/>
      <x:c r="L79" s="38"/>
      <x:c r="M79" s="38" t="n">
        <x:v>3.18</x:v>
      </x:c>
      <x:c r="N79" s="38"/>
      <x:c r="O79" s="38"/>
      <x:c r="P79" s="37" t="str"/>
      <x:c r="Q79" s="37" t="str">
        <x:v>Revenue</x:v>
      </x:c>
      <x:c r="R79" s="37" t="str">
        <x:v>M&amp;A</x:v>
      </x:c>
      <x:c r="S79" s="37" t="str"/>
      <x:c r="T79" s="37" t="str"/>
      <x:c r="U79" s="37" t="str"/>
      <x:c r="V79" s="36" t="str"/>
      <x:c r="W79" s="36" t="str"/>
      <x:c r="X79" s="36"/>
      <x:c r="Y79" s="36" t="str">
        <x:v>NotAssessed</x:v>
      </x:c>
      <x:c r="Z79" s="36" t="str"/>
      <x:c r="AA79" s="36" t="str"/>
      <x:c r="AB79" s="36"/>
      <x:c r="AC79" s="36"/>
      <x:c r="AD79" s="36" t="str"/>
      <x:c r="AE79" s="36" t="str"/>
      <x:c r="AF79" s="36" t="str">
        <x:v>Name and organisation matched</x:v>
      </x:c>
      <x:c r="AG79" s="36" t="str">
        <x:v>Common pot</x:v>
      </x:c>
      <x:c r="AH79" s="36" t="str">
        <x:v>BU Demand!row 217</x:v>
      </x:c>
      <x:c r="AI79" s="36" t="str">
        <x:v>Blank</x:v>
      </x:c>
      <x:c r="AJ79" s="36" t="str">
        <x:v>Revenue</x:v>
      </x:c>
      <x:c r="AK79" s="36" t="str">
        <x:v>Must Do</x:v>
      </x:c>
      <x:c r="AL79" s="36" t="n">
        <x:v>0</x:v>
      </x:c>
      <x:c r="AM79" s="36" t="n">
        <x:v>0</x:v>
      </x:c>
      <x:c r="AN79" s="43"/>
      <x:c r="AO79" s="43"/>
      <x:c r="AP79" s="43"/>
    </x:row>
    <x:row r="80" ht="15" hidden="0" customHeight="1">
      <x:c r="A80" s="36" t="str">
        <x:v>Bu-85</x:v>
      </x:c>
      <x:c r="B80" s="37" t="str">
        <x:v>M&amp;A PMI HeartStream</x:v>
      </x:c>
      <x:c r="C80" s="36" t="str">
        <x:v>BU Led</x:v>
      </x:c>
      <x:c r="D80" s="36" t="str">
        <x:v>Monitoring - HPM (MCH)</x:v>
      </x:c>
      <x:c r="E80" s="36" t="str">
        <x:v>1007853</x:v>
      </x:c>
      <x:c r="F80" s="36" t="str"/>
      <x:c r="G80" s="36" t="str">
        <x:v>Productivity savings</x:v>
      </x:c>
      <x:c r="H80" s="36" t="str">
        <x:v>Must Do</x:v>
      </x:c>
      <x:c r="I80" s="36" t="str">
        <x:v>Carry Over</x:v>
      </x:c>
      <x:c r="J80" s="38" t="n">
        <x:v>1.5</x:v>
      </x:c>
      <x:c r="K80" s="38"/>
      <x:c r="L80" s="38"/>
      <x:c r="M80" s="38" t="n">
        <x:v>1.5</x:v>
      </x:c>
      <x:c r="N80" s="38"/>
      <x:c r="O80" s="38"/>
      <x:c r="P80" s="37" t="str">
        <x:v>difficult to quantify</x:v>
      </x:c>
      <x:c r="Q80" s="37" t="str">
        <x:v>Cash savings</x:v>
      </x:c>
      <x:c r="R80" s="37" t="str">
        <x:v>M&amp;A</x:v>
      </x:c>
      <x:c r="S80" s="37" t="str"/>
      <x:c r="T80" s="37" t="str"/>
      <x:c r="U80" s="37" t="str"/>
      <x:c r="V80" s="36" t="str"/>
      <x:c r="W80" s="36" t="str"/>
      <x:c r="X80" s="36"/>
      <x:c r="Y80" s="36" t="str">
        <x:v>NotAssessed</x:v>
      </x:c>
      <x:c r="Z80" s="36" t="str"/>
      <x:c r="AA80" s="36" t="str"/>
      <x:c r="AB80" s="36"/>
      <x:c r="AC80" s="36"/>
      <x:c r="AD80" s="36" t="str"/>
      <x:c r="AE80" s="36" t="str"/>
      <x:c r="AF80" s="36" t="str">
        <x:v>Name and organisation matched</x:v>
      </x:c>
      <x:c r="AG80" s="36" t="str">
        <x:v>Common pot</x:v>
      </x:c>
      <x:c r="AH80" s="36" t="str">
        <x:v>BU Demand!row 218</x:v>
      </x:c>
      <x:c r="AI80" s="36" t="str">
        <x:v>Blank</x:v>
      </x:c>
      <x:c r="AJ80" s="36" t="str">
        <x:v>Productivity</x:v>
      </x:c>
      <x:c r="AK80" s="36" t="str">
        <x:v>Must Do</x:v>
      </x:c>
      <x:c r="AL80" s="36" t="n">
        <x:v>0</x:v>
      </x:c>
      <x:c r="AM80" s="36" t="n">
        <x:v>0</x:v>
      </x:c>
      <x:c r="AN80" s="43"/>
      <x:c r="AO80" s="43"/>
      <x:c r="AP80" s="43"/>
    </x:row>
    <x:row r="81" ht="15" hidden="0" customHeight="1">
      <x:c r="A81" s="36" t="str">
        <x:v>Bu-86</x:v>
      </x:c>
      <x:c r="B81" s="37" t="str">
        <x:v>M&amp;A PMI Everest Change Request</x:v>
      </x:c>
      <x:c r="C81" s="36" t="str">
        <x:v>BU Led</x:v>
      </x:c>
      <x:c r="D81" s="36" t="str">
        <x:v>Monitoring - HPM (MCH)</x:v>
      </x:c>
      <x:c r="E81" s="36" t="str">
        <x:v>1007549</x:v>
      </x:c>
      <x:c r="F81" s="36" t="str"/>
      <x:c r="G81" s="36" t="str">
        <x:v>Productivity savings</x:v>
      </x:c>
      <x:c r="H81" s="36" t="str">
        <x:v>Must Do</x:v>
      </x:c>
      <x:c r="I81" s="36" t="str">
        <x:v>Carry Over</x:v>
      </x:c>
      <x:c r="J81" s="38" t="n">
        <x:v>0.5</x:v>
      </x:c>
      <x:c r="K81" s="38"/>
      <x:c r="L81" s="38"/>
      <x:c r="M81" s="38" t="n">
        <x:v>0.5</x:v>
      </x:c>
      <x:c r="N81" s="38"/>
      <x:c r="O81" s="38"/>
      <x:c r="P81" s="37" t="str">
        <x:v>difficult to quantify</x:v>
      </x:c>
      <x:c r="Q81" s="37" t="str">
        <x:v>Cash savings</x:v>
      </x:c>
      <x:c r="R81" s="37" t="str">
        <x:v>M&amp;A</x:v>
      </x:c>
      <x:c r="S81" s="37" t="str"/>
      <x:c r="T81" s="37" t="str"/>
      <x:c r="U81" s="37" t="str"/>
      <x:c r="V81" s="36" t="str"/>
      <x:c r="W81" s="36" t="str"/>
      <x:c r="X81" s="36"/>
      <x:c r="Y81" s="36" t="str">
        <x:v>NotAssessed</x:v>
      </x:c>
      <x:c r="Z81" s="36" t="str"/>
      <x:c r="AA81" s="36" t="str"/>
      <x:c r="AB81" s="36"/>
      <x:c r="AC81" s="36"/>
      <x:c r="AD81" s="36" t="str"/>
      <x:c r="AE81" s="36" t="str"/>
      <x:c r="AF81" s="36" t="str">
        <x:v>Name and organisation matched</x:v>
      </x:c>
      <x:c r="AG81" s="36" t="str">
        <x:v>Common pot</x:v>
      </x:c>
      <x:c r="AH81" s="36" t="str">
        <x:v>BU Demand!row 219</x:v>
      </x:c>
      <x:c r="AI81" s="36" t="str">
        <x:v>Blank</x:v>
      </x:c>
      <x:c r="AJ81" s="36" t="str">
        <x:v>Productivity</x:v>
      </x:c>
      <x:c r="AK81" s="36" t="str">
        <x:v>Must Do</x:v>
      </x:c>
      <x:c r="AL81" s="36" t="n">
        <x:v>0</x:v>
      </x:c>
      <x:c r="AM81" s="36" t="n">
        <x:v>0</x:v>
      </x:c>
      <x:c r="AN81" s="43"/>
      <x:c r="AO81" s="43"/>
      <x:c r="AP81" s="43"/>
    </x:row>
    <x:row r="82" ht="15" hidden="0" customHeight="1">
      <x:c r="A82" s="36" t="str">
        <x:v>Bu-87</x:v>
      </x:c>
      <x:c r="B82" s="37" t="str">
        <x:v>NAR Commercial Excellence</x:v>
      </x:c>
      <x:c r="C82" s="36" t="str">
        <x:v>BU Led</x:v>
      </x:c>
      <x:c r="D82" s="36" t="str">
        <x:v>North America (NAR)</x:v>
      </x:c>
      <x:c r="E82" s="36" t="str">
        <x:v>new</x:v>
      </x:c>
      <x:c r="F82" s="36" t="str">
        <x:v>New Technology</x:v>
      </x:c>
      <x:c r="G82" s="36" t="str">
        <x:v>Revenue Increase</x:v>
      </x:c>
      <x:c r="H82" s="36" t="str">
        <x:v>Must Do</x:v>
      </x:c>
      <x:c r="I82" s="36" t="str">
        <x:v>New Initiative</x:v>
      </x:c>
      <x:c r="J82" s="38" t="n">
        <x:v>3.5</x:v>
      </x:c>
      <x:c r="K82" s="38"/>
      <x:c r="L82" s="38" t="n">
        <x:v>0</x:v>
      </x:c>
      <x:c r="M82" s="38"/>
      <x:c r="N82" s="38"/>
      <x:c r="O82" s="38" t="n">
        <x:v>14</x:v>
      </x:c>
      <x:c r="P82" s="37" t="str">
        <x:v>14000</x:v>
      </x:c>
      <x:c r="Q82" s="37" t="str">
        <x:v>Revenue</x:v>
      </x:c>
      <x:c r="R82" s="37" t="str">
        <x:v>Revenue, margin, audit risk</x:v>
      </x:c>
      <x:c r="S82" s="37" t="str">
        <x: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x:v>
      </x:c>
      <x:c r="T82" s="37" t="str">
        <x: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x:v>
      </x:c>
      <x:c r="U82" s="37" t="str"/>
      <x:c r="V82" s="36" t="str"/>
      <x:c r="W82" s="36" t="str"/>
      <x:c r="X82" s="36" t="n">
        <x:v>1</x:v>
      </x:c>
      <x:c r="Y82" s="36" t="str">
        <x:v>HEALTHY</x:v>
      </x:c>
      <x:c r="Z82" s="36" t="str">
        <x:v>NO</x:v>
      </x:c>
      <x:c r="AA82" s="36" t="str">
        <x:v>5 — Exactly the minimum — only what's needed to meet the rule, nothing more.</x:v>
      </x:c>
      <x:c r="AB82" s="36" t="n">
        <x:v>4</x:v>
      </x:c>
      <x:c r="AC82" s="36" t="n">
        <x:v>16</x:v>
      </x:c>
      <x:c r="AD82" s="36" t="str">
        <x:v>P1 — Immediate</x:v>
      </x:c>
      <x:c r="AE82" s="36" t="str">
        <x:v>HEALTHY — Rank in priority matrix</x:v>
      </x:c>
      <x:c r="AF82" s="36" t="str">
        <x:v>Name and organisation matched</x:v>
      </x:c>
      <x:c r="AG82" s="36" t="str">
        <x:v>Region candidate</x:v>
      </x:c>
      <x:c r="AH82" s="36" t="str">
        <x:v>BU Demand!row 220</x:v>
      </x:c>
      <x:c r="AI82" s="36" t="str">
        <x:v>NewTech</x:v>
      </x:c>
      <x:c r="AJ82" s="36" t="str">
        <x:v>Revenue</x:v>
      </x:c>
      <x:c r="AK82" s="36" t="str">
        <x:v>Must Do</x:v>
      </x:c>
      <x:c r="AL82" s="36" t="n">
        <x:v>0</x:v>
      </x:c>
      <x:c r="AM82" s="36" t="n">
        <x:v>0</x:v>
      </x:c>
      <x:c r="AN82" s="43"/>
      <x:c r="AO82" s="43"/>
      <x:c r="AP82" s="43"/>
    </x:row>
    <x:row r="83" ht="15" hidden="0" customHeight="1">
      <x:c r="A83" s="36" t="str">
        <x:v>Bu-88</x:v>
      </x:c>
      <x:c r="B83" s="37" t="str"/>
      <x:c r="C83" s="36" t="str">
        <x:v>BU Led</x:v>
      </x:c>
      <x:c r="D83" s="36" t="str"/>
      <x:c r="E83" s="36" t="str"/>
      <x:c r="F83" s="36" t="str"/>
      <x:c r="G83" s="36" t="str"/>
      <x:c r="H83" s="36" t="str"/>
      <x:c r="I83" s="36" t="str"/>
      <x:c r="J83" s="38"/>
      <x:c r="K83" s="38"/>
      <x:c r="L83" s="38"/>
      <x:c r="M83" s="38"/>
      <x:c r="N83" s="38"/>
      <x:c r="O83" s="38"/>
      <x:c r="P83" s="37" t="str"/>
      <x:c r="Q83" s="37" t="str">
        <x:v>Unclassified</x:v>
      </x:c>
      <x:c r="R83" s="37" t="str"/>
      <x:c r="S83" s="37" t="str"/>
      <x:c r="T83" s="37" t="str"/>
      <x:c r="U83" s="37" t="str"/>
      <x:c r="V83" s="36" t="str"/>
      <x:c r="W83" s="36" t="str"/>
      <x:c r="X83" s="36"/>
      <x:c r="Y83" s="36" t="str">
        <x:v>NotAssessed</x:v>
      </x:c>
      <x:c r="Z83" s="36" t="str"/>
      <x:c r="AA83" s="36" t="str"/>
      <x:c r="AB83" s="36"/>
      <x:c r="AC83" s="36"/>
      <x:c r="AD83" s="36" t="str"/>
      <x:c r="AE83" s="36" t="str"/>
      <x:c r="AF83" s="36" t="str">
        <x:v>No exact waste match</x:v>
      </x:c>
      <x:c r="AG83" s="36" t="str">
        <x:v>Incomplete record</x:v>
      </x:c>
      <x:c r="AH83" s="36" t="str">
        <x:v>BU Demand!row 229</x:v>
      </x:c>
      <x:c r="AI83" s="36" t="str">
        <x:v>Blank</x:v>
      </x:c>
      <x:c r="AJ83" s="36" t="str">
        <x:v>Blank</x:v>
      </x:c>
      <x:c r="AK83" s="36" t="str">
        <x:v>Blank</x:v>
      </x:c>
      <x:c r="AL83" s="36" t="n">
        <x:v>0</x:v>
      </x:c>
      <x:c r="AM83" s="36" t="n">
        <x:v>1</x:v>
      </x:c>
      <x:c r="AN83" s="43"/>
      <x:c r="AO83" s="43"/>
      <x:c r="AP83" s="43"/>
    </x:row>
    <x:row r="84" ht="15" hidden="0" customHeight="1">
      <x:c r="A84" s="36" t="str">
        <x:v>Bu-89</x:v>
      </x:c>
      <x:c r="B84" s="37" t="str">
        <x:v>Estore Headless and transformation</x:v>
      </x:c>
      <x:c r="C84" s="36" t="str">
        <x:v>BU Led</x:v>
      </x:c>
      <x:c r="D84" s="36" t="str">
        <x:v>Sleep &amp; Respiratory Care (SRC)</x:v>
      </x:c>
      <x:c r="E84" s="36" t="str"/>
      <x:c r="F84" s="36" t="str">
        <x:v>Decomm/Replatforming</x:v>
      </x:c>
      <x:c r="G84" s="36" t="str">
        <x:v>Productivity savings</x:v>
      </x:c>
      <x:c r="H84" s="36" t="str">
        <x:v>Must Do</x:v>
      </x:c>
      <x:c r="I84" s="36" t="str">
        <x:v>New Initiative</x:v>
      </x:c>
      <x:c r="J84" s="38" t="n">
        <x:v>0</x:v>
      </x:c>
      <x:c r="K84" s="38"/>
      <x:c r="L84" s="38"/>
      <x:c r="M84" s="38" t="n">
        <x:v>0</x:v>
      </x:c>
      <x:c r="N84" s="38"/>
      <x:c r="O84" s="38"/>
      <x:c r="P84" s="37" t="str"/>
      <x:c r="Q84" s="37" t="str">
        <x:v>Cash savings</x:v>
      </x:c>
      <x:c r="R84" s="37" t="str">
        <x:v>Estores will stop working and direct loss of revenue &gt;25 M</x:v>
      </x:c>
      <x:c r="S84" s="37" t="str">
        <x:v>The current IT platform is getting decommed by the vendor hence there is no choice other than to migrate to Contentful</x:v>
      </x:c>
      <x:c r="T84" s="37" t="str">
        <x:v>All estores will be in scope as there is no other choice</x:v>
      </x:c>
      <x:c r="U84" s="37" t="str"/>
      <x:c r="V84" s="36" t="str"/>
      <x:c r="W84" s="36" t="str"/>
      <x:c r="X84" s="36"/>
      <x:c r="Y84" s="36" t="str">
        <x:v>NotAssessed</x:v>
      </x:c>
      <x:c r="Z84" s="36" t="str"/>
      <x:c r="AA84" s="36" t="str"/>
      <x:c r="AB84" s="36"/>
      <x:c r="AC84" s="36"/>
      <x:c r="AD84" s="36" t="str"/>
      <x:c r="AE84" s="36" t="str"/>
      <x:c r="AF84" s="36" t="str">
        <x:v>Name and organisation matched</x:v>
      </x:c>
      <x:c r="AG84" s="36" t="str">
        <x:v>Common pot</x:v>
      </x:c>
      <x:c r="AH84" s="36" t="str">
        <x:v>BU Demand!row 230</x:v>
      </x:c>
      <x:c r="AI84" s="36" t="str">
        <x:v>Decomm</x:v>
      </x:c>
      <x:c r="AJ84" s="36" t="str">
        <x:v>Productivity</x:v>
      </x:c>
      <x:c r="AK84" s="36" t="str">
        <x:v>Must Do</x:v>
      </x:c>
      <x:c r="AL84" s="36" t="n">
        <x:v>0</x:v>
      </x:c>
      <x:c r="AM84" s="36" t="n">
        <x:v>0</x:v>
      </x:c>
      <x:c r="AN84" s="43"/>
      <x:c r="AO84" s="43"/>
      <x:c r="AP84" s="43"/>
    </x:row>
    <x:row r="85" ht="15" hidden="0" customHeight="1">
      <x:c r="A85" s="36" t="str">
        <x:v>Bu-90</x:v>
      </x:c>
      <x:c r="B85" s="37" t="str">
        <x:v>SRC PPL Tree</x:v>
      </x:c>
      <x:c r="C85" s="36" t="str">
        <x:v>BU Led</x:v>
      </x:c>
      <x:c r="D85" s="36" t="str">
        <x:v>Sleep &amp; Respiratory Care (SRC)</x:v>
      </x:c>
      <x:c r="E85" s="36" t="str"/>
      <x:c r="F85" s="36" t="str">
        <x:v>New Feature</x:v>
      </x:c>
      <x:c r="G85" s="36" t="str">
        <x:v>Process simplification/ efficiency gain</x:v>
      </x:c>
      <x:c r="H85" s="36" t="str">
        <x:v>Must Do</x:v>
      </x:c>
      <x:c r="I85" s="36" t="str">
        <x:v>New Initiative</x:v>
      </x:c>
      <x:c r="J85" s="38" t="n">
        <x:v>0</x:v>
      </x:c>
      <x:c r="K85" s="38"/>
      <x:c r="L85" s="38"/>
      <x:c r="M85" s="38" t="n">
        <x:v>0</x:v>
      </x:c>
      <x:c r="N85" s="38"/>
      <x:c r="O85" s="38" t="n">
        <x:v>50</x:v>
      </x:c>
      <x:c r="P85" s="37" t="str">
        <x:v>50000</x:v>
      </x:c>
      <x:c r="Q85" s="37" t="str">
        <x:v>Cash savings</x:v>
      </x:c>
      <x:c r="R85" s="37" t="str">
        <x:v>Direct impact on our NA Comeback program which targets revenue growth of 300-500 M over next 2 years</x:v>
      </x:c>
      <x:c r="S85" s="37" t="str">
        <x:v>SRC is struggling due to forced adoption of PPL structure of PH/HS leading to sub-optimal cutomer experience</x:v>
      </x:c>
      <x:c r="T85" s="37" t="str">
        <x:v>Create a new PPL tree for SRC so that we can optimize our experience as per our business model</x:v>
      </x:c>
      <x:c r="U85" s="37" t="str"/>
      <x:c r="V85" s="36" t="str"/>
      <x:c r="W85" s="36" t="str"/>
      <x:c r="X85" s="36"/>
      <x:c r="Y85" s="36" t="str">
        <x:v>NotAssessed</x:v>
      </x:c>
      <x:c r="Z85" s="36" t="str"/>
      <x:c r="AA85" s="36" t="str"/>
      <x:c r="AB85" s="36"/>
      <x:c r="AC85" s="36"/>
      <x:c r="AD85" s="36" t="str"/>
      <x:c r="AE85" s="36" t="str"/>
      <x:c r="AF85" s="36" t="str">
        <x:v>Name and organisation matched</x:v>
      </x:c>
      <x:c r="AG85" s="36" t="str">
        <x:v>Common pot</x:v>
      </x:c>
      <x:c r="AH85" s="36" t="str">
        <x:v>BU Demand!row 231</x:v>
      </x:c>
      <x:c r="AI85" s="36" t="str">
        <x:v>NewFeat</x:v>
      </x:c>
      <x:c r="AJ85" s="36" t="str">
        <x:v>ProcSimp</x:v>
      </x:c>
      <x:c r="AK85" s="36" t="str">
        <x:v>Must Do</x:v>
      </x:c>
      <x:c r="AL85" s="36" t="n">
        <x:v>0</x:v>
      </x:c>
      <x:c r="AM85" s="36" t="n">
        <x:v>0</x:v>
      </x:c>
      <x:c r="AN85" s="43"/>
      <x:c r="AO85" s="43"/>
      <x:c r="AP85" s="43"/>
    </x:row>
    <x:row r="86" ht="15" hidden="0" customHeight="1">
      <x:c r="A86" s="36" t="str">
        <x:v>Bu-91</x:v>
      </x:c>
      <x:c r="B86" s="37" t="str">
        <x:v>SRC Integrated Portal</x:v>
      </x:c>
      <x:c r="C86" s="36" t="str">
        <x:v>BU Led</x:v>
      </x:c>
      <x:c r="D86" s="36" t="str">
        <x:v>Sleep &amp; Respiratory Care (SRC)</x:v>
      </x:c>
      <x:c r="E86" s="36" t="str"/>
      <x:c r="F86" s="36" t="str">
        <x:v>New Technology</x:v>
      </x:c>
      <x:c r="G86" s="36" t="str">
        <x:v>Revenue Increase</x:v>
      </x:c>
      <x:c r="H86" s="36" t="str">
        <x:v>Must Do</x:v>
      </x:c>
      <x:c r="I86" s="36" t="str">
        <x:v>New Initiative</x:v>
      </x:c>
      <x:c r="J86" s="38" t="n">
        <x:v>0</x:v>
      </x:c>
      <x:c r="K86" s="38"/>
      <x:c r="L86" s="38"/>
      <x:c r="M86" s="38" t="n">
        <x:v>0</x:v>
      </x:c>
      <x:c r="N86" s="38"/>
      <x:c r="O86" s="38" t="n">
        <x:v>50</x:v>
      </x:c>
      <x:c r="P86" s="37" t="str">
        <x:v>50000</x:v>
      </x:c>
      <x:c r="Q86" s="37" t="str">
        <x:v>Revenue</x:v>
      </x:c>
      <x:c r="R86" s="37" t="str">
        <x:v>Direct impact on our NA Comeback program which targets revenue growth of 300-500 M over next 2 years</x:v>
      </x:c>
      <x:c r="S86" s="37" t="str">
        <x:v>SRC does not have any integrated portal/landing page for the customers to navigate and they need to have separate links and login credentials for each App</x:v>
      </x:c>
      <x:c r="T86" s="37" t="str">
        <x:v>Creating an integrated portal using PING authentication mechanism and onboard estore and MSD on this. This is critical for our NAM comeback program</x:v>
      </x:c>
      <x:c r="U86" s="37" t="str"/>
      <x:c r="V86" s="36" t="str"/>
      <x:c r="W86" s="36" t="str"/>
      <x:c r="X86" s="36"/>
      <x:c r="Y86" s="36" t="str">
        <x:v>NotAssessed</x:v>
      </x:c>
      <x:c r="Z86" s="36" t="str"/>
      <x:c r="AA86" s="36" t="str"/>
      <x:c r="AB86" s="36"/>
      <x:c r="AC86" s="36"/>
      <x:c r="AD86" s="36" t="str"/>
      <x:c r="AE86" s="36" t="str"/>
      <x:c r="AF86" s="36" t="str">
        <x:v>Name and organisation matched</x:v>
      </x:c>
      <x:c r="AG86" s="36" t="str">
        <x:v>Common pot</x:v>
      </x:c>
      <x:c r="AH86" s="36" t="str">
        <x:v>BU Demand!row 232</x:v>
      </x:c>
      <x:c r="AI86" s="36" t="str">
        <x:v>NewTech</x:v>
      </x:c>
      <x:c r="AJ86" s="36" t="str">
        <x:v>Revenue</x:v>
      </x:c>
      <x:c r="AK86" s="36" t="str">
        <x:v>Must Do</x:v>
      </x:c>
      <x:c r="AL86" s="36" t="n">
        <x:v>0</x:v>
      </x:c>
      <x:c r="AM86" s="36" t="n">
        <x:v>0</x:v>
      </x:c>
      <x:c r="AN86" s="43"/>
      <x:c r="AO86" s="43"/>
      <x:c r="AP86" s="43"/>
    </x:row>
    <x:row r="87" ht="15" hidden="0" customHeight="1">
      <x:c r="A87" s="36" t="str">
        <x:v>Bu-92</x:v>
      </x:c>
      <x:c r="B87" s="37" t="str">
        <x:v>Website - New Functionality</x:v>
      </x:c>
      <x:c r="C87" s="36" t="str">
        <x:v>BU Led</x:v>
      </x:c>
      <x:c r="D87" s="36" t="str">
        <x:v>Sleep &amp; Respiratory Care (SRC)</x:v>
      </x:c>
      <x:c r="E87" s="36" t="str"/>
      <x:c r="F87" s="36" t="str">
        <x:v>New Feature</x:v>
      </x:c>
      <x:c r="G87" s="36" t="str">
        <x:v>Revenue Increase</x:v>
      </x:c>
      <x:c r="H87" s="36" t="str">
        <x:v>Must Do</x:v>
      </x:c>
      <x:c r="I87" s="36" t="str">
        <x:v>New Initiative</x:v>
      </x:c>
      <x:c r="J87" s="38" t="n">
        <x:v>0</x:v>
      </x:c>
      <x:c r="K87" s="38"/>
      <x:c r="L87" s="38"/>
      <x:c r="M87" s="38" t="n">
        <x:v>0</x:v>
      </x:c>
      <x:c r="N87" s="38"/>
      <x:c r="O87" s="38" t="n">
        <x:v>50</x:v>
      </x:c>
      <x:c r="P87" s="37" t="str">
        <x:v>50000</x:v>
      </x:c>
      <x:c r="Q87" s="37" t="str">
        <x:v>Revenue</x:v>
      </x:c>
      <x:c r="R87" s="37" t="str">
        <x:v>Direct impact on our NA Comeback program which targets revenue growth of 300-500 M over next 2 years</x:v>
      </x:c>
      <x:c r="S87" s="37" t="str">
        <x:v>During the migration of the platform, a lot of critical features were not migrated due to lack of time</x:v>
      </x:c>
      <x:c r="T87" s="37" t="str">
        <x:v>Due to new platform that has been implemented, we had to move many critical features into 2027 due to hard deadline from IT, those features would be implemented now</x:v>
      </x:c>
      <x:c r="U87" s="37" t="str"/>
      <x:c r="V87" s="36" t="str"/>
      <x:c r="W87" s="36" t="str"/>
      <x:c r="X87" s="36"/>
      <x:c r="Y87" s="36" t="str">
        <x:v>NotAssessed</x:v>
      </x:c>
      <x:c r="Z87" s="36" t="str"/>
      <x:c r="AA87" s="36" t="str"/>
      <x:c r="AB87" s="36"/>
      <x:c r="AC87" s="36"/>
      <x:c r="AD87" s="36" t="str"/>
      <x:c r="AE87" s="36" t="str"/>
      <x:c r="AF87" s="36" t="str">
        <x:v>No exact waste match</x:v>
      </x:c>
      <x:c r="AG87" s="36" t="str">
        <x:v>Common pot</x:v>
      </x:c>
      <x:c r="AH87" s="36" t="str">
        <x:v>BU Demand!row 233</x:v>
      </x:c>
      <x:c r="AI87" s="36" t="str">
        <x:v>NewFeat</x:v>
      </x:c>
      <x:c r="AJ87" s="36" t="str">
        <x:v>Revenue</x:v>
      </x:c>
      <x:c r="AK87" s="36" t="str">
        <x:v>Must Do</x:v>
      </x:c>
      <x:c r="AL87" s="36" t="n">
        <x:v>0</x:v>
      </x:c>
      <x:c r="AM87" s="36" t="n">
        <x:v>0</x:v>
      </x:c>
      <x:c r="AN87" s="43"/>
      <x:c r="AO87" s="43"/>
      <x:c r="AP87" s="43"/>
    </x:row>
    <x:row r="88" ht="15" hidden="0" customHeight="1">
      <x:c r="A88" s="36" t="str">
        <x:v>Bu-93</x:v>
      </x:c>
      <x:c r="B88" s="37" t="str">
        <x:v>Salsify Integration</x:v>
      </x:c>
      <x:c r="C88" s="36" t="str">
        <x:v>BU Led</x:v>
      </x:c>
      <x:c r="D88" s="36" t="str">
        <x:v>Sleep &amp; Respiratory Care (SRC)</x:v>
      </x:c>
      <x:c r="E88" s="36" t="str"/>
      <x:c r="F88" s="36" t="str">
        <x:v>Continous Improvement</x:v>
      </x:c>
      <x:c r="G88" s="36" t="str">
        <x:v>Process simplification/ efficiency gain</x:v>
      </x:c>
      <x:c r="H88" s="36" t="str">
        <x:v>Must Do</x:v>
      </x:c>
      <x:c r="I88" s="36" t="str">
        <x:v>New Initiative</x:v>
      </x:c>
      <x:c r="J88" s="38" t="n">
        <x:v>0</x:v>
      </x:c>
      <x:c r="K88" s="38"/>
      <x:c r="L88" s="38"/>
      <x:c r="M88" s="38" t="n">
        <x:v>0</x:v>
      </x:c>
      <x:c r="N88" s="38"/>
      <x:c r="O88" s="38"/>
      <x:c r="P88" s="37" t="str"/>
      <x:c r="Q88" s="37" t="str">
        <x:v>Cash savings</x:v>
      </x:c>
      <x:c r="R88" s="37" t="str">
        <x:v>Impacts our eretailer sales and requires a lof of manual work for which we do not have resources</x:v>
      </x:c>
      <x:c r="S88" s="37" t="str">
        <x:v>Lots of manual activities to send data to Salsify</x:v>
      </x:c>
      <x:c r="T88" s="37" t="str">
        <x:v>Integrate Salsify to PPL to automate and save costs</x:v>
      </x:c>
      <x:c r="U88" s="37" t="str"/>
      <x:c r="V88" s="36" t="str"/>
      <x:c r="W88" s="36" t="str"/>
      <x:c r="X88" s="36"/>
      <x:c r="Y88" s="36" t="str">
        <x:v>NotAssessed</x:v>
      </x:c>
      <x:c r="Z88" s="36" t="str"/>
      <x:c r="AA88" s="36" t="str"/>
      <x:c r="AB88" s="36"/>
      <x:c r="AC88" s="36"/>
      <x:c r="AD88" s="36" t="str"/>
      <x:c r="AE88" s="36" t="str"/>
      <x:c r="AF88" s="36" t="str">
        <x:v>Name and organisation matched</x:v>
      </x:c>
      <x:c r="AG88" s="36" t="str">
        <x:v>Common pot</x:v>
      </x:c>
      <x:c r="AH88" s="36" t="str">
        <x:v>BU Demand!row 234</x:v>
      </x:c>
      <x:c r="AI88" s="36" t="str">
        <x:v>CI</x:v>
      </x:c>
      <x:c r="AJ88" s="36" t="str">
        <x:v>ProcSimp</x:v>
      </x:c>
      <x:c r="AK88" s="36" t="str">
        <x:v>Must Do</x:v>
      </x:c>
      <x:c r="AL88" s="36" t="n">
        <x:v>0</x:v>
      </x:c>
      <x:c r="AM88" s="36" t="n">
        <x:v>0</x:v>
      </x:c>
      <x:c r="AN88" s="43"/>
      <x:c r="AO88" s="43"/>
      <x:c r="AP88" s="43"/>
    </x:row>
    <x:row r="89" ht="15" hidden="0" customHeight="1">
      <x:c r="A89" s="36" t="str">
        <x:v>Bu-94</x:v>
      </x:c>
      <x:c r="B89" s="37" t="str">
        <x:v>Content Syndication - SRC</x:v>
      </x:c>
      <x:c r="C89" s="36" t="str">
        <x:v>BU Led</x:v>
      </x:c>
      <x:c r="D89" s="36" t="str">
        <x:v>Sleep &amp; Respiratory Care (SRC)</x:v>
      </x:c>
      <x:c r="E89" s="36" t="str"/>
      <x:c r="F89" s="36" t="str">
        <x:v>New Technology</x:v>
      </x:c>
      <x:c r="G89" s="36" t="str">
        <x:v>Revenue Increase</x:v>
      </x:c>
      <x:c r="H89" s="36" t="str">
        <x:v>Must Do</x:v>
      </x:c>
      <x:c r="I89" s="36" t="str">
        <x:v>New Initiative</x:v>
      </x:c>
      <x:c r="J89" s="38" t="n">
        <x:v>0.15</x:v>
      </x:c>
      <x:c r="K89" s="38"/>
      <x:c r="L89" s="38"/>
      <x:c r="M89" s="38" t="n">
        <x:v>0.15</x:v>
      </x:c>
      <x:c r="N89" s="38"/>
      <x:c r="O89" s="38"/>
      <x:c r="P89" s="37" t="str"/>
      <x:c r="Q89" s="37" t="str">
        <x:v>Revenue</x:v>
      </x:c>
      <x:c r="R89" s="37" t="str">
        <x:v>Loss of revenue in IR &gt;10 M </x:v>
      </x:c>
      <x:c r="S89" s="37" t="str">
        <x:v>SRC does not have any content syndication tool which severely impacts our ability to sell on third party eretailers and impacts revenue directly</x:v>
      </x:c>
      <x:c r="T89" s="37" t="str">
        <x:v>We are working with PH to identify a content sydication tool and deploy that to few markets. It has a direct impact on our revenue and AOP for 2027</x:v>
      </x:c>
      <x:c r="U89" s="37" t="str"/>
      <x:c r="V89" s="36" t="str"/>
      <x:c r="W89" s="36" t="str"/>
      <x:c r="X89" s="36"/>
      <x:c r="Y89" s="36" t="str">
        <x:v>NotAssessed</x:v>
      </x:c>
      <x:c r="Z89" s="36" t="str"/>
      <x:c r="AA89" s="36" t="str"/>
      <x:c r="AB89" s="36"/>
      <x:c r="AC89" s="36"/>
      <x:c r="AD89" s="36" t="str"/>
      <x:c r="AE89" s="36" t="str"/>
      <x:c r="AF89" s="36" t="str">
        <x:v>Name and organisation matched</x:v>
      </x:c>
      <x:c r="AG89" s="36" t="str">
        <x:v>Common pot</x:v>
      </x:c>
      <x:c r="AH89" s="36" t="str">
        <x:v>BU Demand!row 235</x:v>
      </x:c>
      <x:c r="AI89" s="36" t="str">
        <x:v>NewTech</x:v>
      </x:c>
      <x:c r="AJ89" s="36" t="str">
        <x:v>Revenue</x:v>
      </x:c>
      <x:c r="AK89" s="36" t="str">
        <x:v>Must Do</x:v>
      </x:c>
      <x:c r="AL89" s="36" t="n">
        <x:v>0</x:v>
      </x:c>
      <x:c r="AM89" s="36" t="n">
        <x:v>0</x:v>
      </x:c>
      <x:c r="AN89" s="43"/>
      <x:c r="AO89" s="43"/>
      <x:c r="AP89" s="43"/>
    </x:row>
    <x:row r="90" ht="15" hidden="0" customHeight="1">
      <x:c r="A90" s="36" t="str">
        <x:v>Bu-95</x:v>
      </x:c>
      <x:c r="B90" s="37" t="str">
        <x:v>Supply Planning and Demand Planning (BY)</x:v>
      </x:c>
      <x:c r="C90" s="36" t="str">
        <x:v>BU Led</x:v>
      </x:c>
      <x:c r="D90" s="36" t="str">
        <x:v>Sleep &amp; Respiratory Care (SRC)</x:v>
      </x:c>
      <x:c r="E90" s="36" t="str"/>
      <x:c r="F90" s="36" t="str">
        <x:v>New Technology</x:v>
      </x:c>
      <x:c r="G90" s="36" t="str">
        <x:v>Productivity savings</x:v>
      </x:c>
      <x:c r="H90" s="36" t="str">
        <x:v>Must Do</x:v>
      </x:c>
      <x:c r="I90" s="36" t="str">
        <x:v>New Initiative</x:v>
      </x:c>
      <x:c r="J90" s="38" t="n">
        <x:v>0</x:v>
      </x:c>
      <x:c r="K90" s="38"/>
      <x:c r="L90" s="38"/>
      <x:c r="M90" s="38" t="n">
        <x:v>0</x:v>
      </x:c>
      <x:c r="N90" s="38"/>
      <x:c r="O90" s="38" t="n">
        <x:v>29.3</x:v>
      </x:c>
      <x:c r="P90" s="37" t="str">
        <x:v>29300</x:v>
      </x:c>
      <x:c r="Q90" s="37" t="str">
        <x:v>Cash savings</x:v>
      </x:c>
      <x:c r="R90" s="37" t="str">
        <x:v>Direct impact on our NA Comeback program which targets revenue growth of 300-500 M over next 2 years</x:v>
      </x:c>
      <x:c r="S90" s="37" t="str">
        <x:v>We do not have a Supply and demand planning tool and need to implement Blue Yonder for SRC</x:v>
      </x:c>
      <x:c r="T90" s="37" t="str">
        <x:v>Implement BY for SRC with minimum scope as required; this is critical for our NA comeback</x:v>
      </x:c>
      <x:c r="U90" s="37" t="str"/>
      <x:c r="V90" s="36" t="str"/>
      <x:c r="W90" s="36" t="str"/>
      <x:c r="X90" s="36"/>
      <x:c r="Y90" s="36" t="str">
        <x:v>NotAssessed</x:v>
      </x:c>
      <x:c r="Z90" s="36" t="str"/>
      <x:c r="AA90" s="36" t="str"/>
      <x:c r="AB90" s="36"/>
      <x:c r="AC90" s="36"/>
      <x:c r="AD90" s="36" t="str"/>
      <x:c r="AE90" s="36" t="str"/>
      <x:c r="AF90" s="36" t="str">
        <x:v>No exact waste match</x:v>
      </x:c>
      <x:c r="AG90" s="36" t="str">
        <x:v>Common pot</x:v>
      </x:c>
      <x:c r="AH90" s="36" t="str">
        <x:v>BU Demand!row 236</x:v>
      </x:c>
      <x:c r="AI90" s="36" t="str">
        <x:v>NewTech</x:v>
      </x:c>
      <x:c r="AJ90" s="36" t="str">
        <x:v>Productivity</x:v>
      </x:c>
      <x:c r="AK90" s="36" t="str">
        <x:v>Must Do</x:v>
      </x:c>
      <x:c r="AL90" s="36" t="n">
        <x:v>0</x:v>
      </x:c>
      <x:c r="AM90" s="36" t="n">
        <x:v>0</x:v>
      </x:c>
      <x:c r="AN90" s="43"/>
      <x:c r="AO90" s="43"/>
      <x:c r="AP90" s="43"/>
    </x:row>
    <x:row r="91" ht="15" hidden="0" customHeight="1">
      <x:c r="A91" s="36" t="str">
        <x:v>Bu-96</x:v>
      </x:c>
      <x:c r="B91" s="37" t="str">
        <x:v>ISC Lanscape Transformation</x:v>
      </x:c>
      <x:c r="C91" s="36" t="str">
        <x:v>BU Led</x:v>
      </x:c>
      <x:c r="D91" s="36" t="str">
        <x:v>Sleep &amp; Respiratory Care (SRC)</x:v>
      </x:c>
      <x:c r="E91" s="36" t="str"/>
      <x:c r="F91" s="36" t="str">
        <x:v>Legal Fiscal, Regulatory &amp; Compliancy</x:v>
      </x:c>
      <x:c r="G91" s="36" t="str">
        <x:v>Productivity savings</x:v>
      </x:c>
      <x:c r="H91" s="36" t="str">
        <x:v>Must Do</x:v>
      </x:c>
      <x:c r="I91" s="36" t="str">
        <x:v>New Initiative</x:v>
      </x:c>
      <x:c r="J91" s="38" t="n">
        <x:v>0.6</x:v>
      </x:c>
      <x:c r="K91" s="38"/>
      <x:c r="L91" s="38"/>
      <x:c r="M91" s="38" t="n">
        <x:v>0.6</x:v>
      </x:c>
      <x:c r="N91" s="38"/>
      <x:c r="O91" s="38" t="n">
        <x:v>2.5</x:v>
      </x:c>
      <x:c r="P91" s="37" t="str">
        <x:v>2500</x:v>
      </x:c>
      <x:c r="Q91" s="37" t="str">
        <x:v>Cash savings</x:v>
      </x:c>
      <x:c r="R91" s="37" t="str">
        <x:v>Direct impact on our NA Comeback program which targets revenue growth of 300-500 M over next 2 years</x:v>
      </x:c>
      <x:c r="S91" s="37" t="str">
        <x:v>Multiple SBO instances across regions that need to be moved to PRD; current setup leads to additional costs and high inefficiencies
We also need to deploy FASC to other regions based on our SPOR</x:v>
      </x:c>
      <x:c r="T91" s="37" t="str">
        <x:v>All SBO instances to be moved to PRD and later decomed; FASC to be deployed to 3 regions leading to significant savings</x:v>
      </x:c>
      <x:c r="U91" s="37" t="str"/>
      <x:c r="V91" s="36" t="str">
        <x:v>2027</x:v>
      </x:c>
      <x:c r="W91" s="36" t="str">
        <x:v>Consent Decree</x:v>
      </x:c>
      <x:c r="X91" s="36" t="n">
        <x:v>1</x:v>
      </x:c>
      <x:c r="Y91" s="36" t="str">
        <x:v>HEALTHY</x:v>
      </x:c>
      <x:c r="Z91" s="36" t="str"/>
      <x:c r="AA91" s="36" t="str"/>
      <x:c r="AB91" s="36"/>
      <x:c r="AC91" s="36"/>
      <x:c r="AD91" s="36" t="str"/>
      <x:c r="AE91" s="36" t="str">
        <x:v>HEALTHY — Rank in priority matrix</x:v>
      </x:c>
      <x:c r="AF91" s="36" t="str">
        <x:v>Name and organisation matched</x:v>
      </x:c>
      <x:c r="AG91" s="36" t="str">
        <x:v>Common pot</x:v>
      </x:c>
      <x:c r="AH91" s="36" t="str">
        <x:v>BU Demand!row 237</x:v>
      </x:c>
      <x:c r="AI91" s="36" t="str">
        <x:v>LFR</x:v>
      </x:c>
      <x:c r="AJ91" s="36" t="str">
        <x:v>Productivity</x:v>
      </x:c>
      <x:c r="AK91" s="36" t="str">
        <x:v>Must Do</x:v>
      </x:c>
      <x:c r="AL91" s="36" t="n">
        <x:v>0</x:v>
      </x:c>
      <x:c r="AM91" s="36" t="n">
        <x:v>0</x:v>
      </x:c>
      <x:c r="AN91" s="43"/>
      <x:c r="AO91" s="43"/>
      <x:c r="AP91" s="43"/>
    </x:row>
    <x:row r="92" ht="15" hidden="0" customHeight="1">
      <x:c r="A92" s="36" t="str">
        <x:v>Bu-97</x:v>
      </x:c>
      <x:c r="B92" s="37" t="str">
        <x:v>Contract Lifecycle Management</x:v>
      </x:c>
      <x:c r="C92" s="36" t="str">
        <x:v>BU Led</x:v>
      </x:c>
      <x:c r="D92" s="36" t="str">
        <x:v>Sleep &amp; Respiratory Care (SRC)</x:v>
      </x:c>
      <x:c r="E92" s="36" t="str"/>
      <x:c r="F92" s="36" t="str">
        <x:v>Legal Fiscal, Regulatory &amp; Compliancy</x:v>
      </x:c>
      <x:c r="G92" s="36" t="str">
        <x:v>Compliance/Keeping the lights on</x:v>
      </x:c>
      <x:c r="H92" s="36" t="str">
        <x:v>Must Do</x:v>
      </x:c>
      <x:c r="I92" s="36" t="str">
        <x:v>New Initiative</x:v>
      </x:c>
      <x:c r="J92" s="38" t="n">
        <x:v>0.27</x:v>
      </x:c>
      <x:c r="K92" s="38"/>
      <x:c r="L92" s="38"/>
      <x:c r="M92" s="38" t="n">
        <x:v>0.27</x:v>
      </x:c>
      <x:c r="N92" s="38"/>
      <x:c r="O92" s="38" t="n">
        <x:v>2.5</x:v>
      </x:c>
      <x:c r="P92" s="37" t="str">
        <x:v>2500</x:v>
      </x:c>
      <x:c r="Q92" s="37" t="str">
        <x:v>Risk exposure</x:v>
      </x:c>
      <x:c r="R92" s="37" t="str">
        <x:v>Direct impact on CD and injunction lift which prohibits us to sell in NA; overall revenue for that category was ~1000 M before injunction</x:v>
      </x:c>
      <x:c r="S92" s="37" t="str">
        <x:v>Continue the CLM implementation in 2027; it will be 50% done in 2026</x:v>
      </x:c>
      <x:c r="T92" s="37" t="str">
        <x:v>Continue deployment of Contract Hub &amp; Contract Intelligence in NAM for contract management which is flagged as audit gap in CD</x:v>
      </x:c>
      <x:c r="U92" s="37" t="str"/>
      <x:c r="V92" s="36" t="str">
        <x:v>2027</x:v>
      </x:c>
      <x:c r="W92" s="36" t="str">
        <x:v>Consent Decree</x:v>
      </x:c>
      <x:c r="X92" s="36"/>
      <x:c r="Y92" s="36" t="str">
        <x:v>NotAssessed</x:v>
      </x:c>
      <x:c r="Z92" s="36" t="str">
        <x:v>YES</x:v>
      </x:c>
      <x:c r="AA92" s="36" t="str">
        <x:v>5 — Exactly the minimum — only what's needed to meet the rule, nothing more.</x:v>
      </x:c>
      <x:c r="AB92" s="36" t="n">
        <x:v>4</x:v>
      </x:c>
      <x:c r="AC92" s="36" t="n">
        <x:v>16</x:v>
      </x:c>
      <x:c r="AD92" s="36" t="str">
        <x:v>P1 — Immediate</x:v>
      </x:c>
      <x:c r="AE92" s="36" t="str"/>
      <x:c r="AF92" s="36" t="str">
        <x:v>Name and organisation matched</x:v>
      </x:c>
      <x:c r="AG92" s="36" t="str">
        <x:v>LFR validated candidate</x:v>
      </x:c>
      <x:c r="AH92" s="36" t="str">
        <x:v>BU Demand!row 239</x:v>
      </x:c>
      <x:c r="AI92" s="36" t="str">
        <x:v>LFR</x:v>
      </x:c>
      <x:c r="AJ92" s="36" t="str">
        <x:v>Compliance</x:v>
      </x:c>
      <x:c r="AK92" s="36" t="str">
        <x:v>Must Do</x:v>
      </x:c>
      <x:c r="AL92" s="36" t="n">
        <x:v>0</x:v>
      </x:c>
      <x:c r="AM92" s="36" t="n">
        <x:v>0</x:v>
      </x:c>
      <x:c r="AN92" s="43"/>
      <x:c r="AO92" s="43"/>
      <x:c r="AP92" s="43"/>
    </x:row>
    <x:row r="93" ht="15" hidden="0" customHeight="1">
      <x:c r="A93" s="36" t="str">
        <x:v>Bu-98</x:v>
      </x:c>
      <x:c r="B93" s="37" t="str">
        <x:v>ISC CRs</x:v>
      </x:c>
      <x:c r="C93" s="36" t="str">
        <x:v>BU Led</x:v>
      </x:c>
      <x:c r="D93" s="36" t="str">
        <x:v>Sleep &amp; Respiratory Care (SRC)</x:v>
      </x:c>
      <x:c r="E93" s="36" t="str"/>
      <x:c r="F93" s="36" t="str">
        <x:v>Continous Improvement</x:v>
      </x:c>
      <x:c r="G93" s="36" t="str">
        <x:v>Process simplification/ efficiency gain</x:v>
      </x:c>
      <x:c r="H93" s="36" t="str">
        <x:v>Must Do</x:v>
      </x:c>
      <x:c r="I93" s="36" t="str">
        <x:v>New Initiative</x:v>
      </x:c>
      <x:c r="J93" s="38" t="n">
        <x:v>0.1</x:v>
      </x:c>
      <x:c r="K93" s="38"/>
      <x:c r="L93" s="38"/>
      <x:c r="M93" s="38" t="n">
        <x:v>0.1</x:v>
      </x:c>
      <x:c r="N93" s="38"/>
      <x:c r="O93" s="38" t="n">
        <x:v>0.5</x:v>
      </x:c>
      <x:c r="P93" s="37" t="str">
        <x:v>500</x:v>
      </x:c>
      <x:c r="Q93" s="37" t="str">
        <x:v>Cash savings</x:v>
      </x:c>
      <x:c r="R93" s="37" t="str">
        <x:v>Critical budget required to support SAP CRs for multiple projects</x:v>
      </x:c>
      <x:c r="S93" s="37" t="str">
        <x:v>SRC spare parts purchase orders under CN90 (China) + establish manual debit notes to replace the previous automatic charging under CN95 + New Purchasing Org for Costa Rica</x:v>
      </x:c>
      <x:c r="T93" s="37" t="str">
        <x:v>SRC spare parts purchase orders under CN90 (China) + establish manual debit notes to replace the previous automatic charging under CN95 + New Purchasing Org for Costa Rica</x:v>
      </x:c>
      <x:c r="U93" s="37" t="str"/>
      <x:c r="V93" s="36" t="str"/>
      <x:c r="W93" s="36" t="str"/>
      <x:c r="X93" s="36" t="n">
        <x:v>1.35</x:v>
      </x:c>
      <x:c r="Y93" s="36" t="str">
        <x:v>HEALTHY</x:v>
      </x:c>
      <x:c r="Z93" s="36" t="str"/>
      <x:c r="AA93" s="36" t="str"/>
      <x:c r="AB93" s="36"/>
      <x:c r="AC93" s="36"/>
      <x:c r="AD93" s="36" t="str"/>
      <x:c r="AE93" s="36" t="str">
        <x:v>HEALTHY — Rank in priority matrix</x:v>
      </x:c>
      <x:c r="AF93" s="36" t="str">
        <x:v>Name and organisation matched</x:v>
      </x:c>
      <x:c r="AG93" s="36" t="str">
        <x:v>Common pot</x:v>
      </x:c>
      <x:c r="AH93" s="36" t="str">
        <x:v>BU Demand!row 240</x:v>
      </x:c>
      <x:c r="AI93" s="36" t="str">
        <x:v>CI</x:v>
      </x:c>
      <x:c r="AJ93" s="36" t="str">
        <x:v>ProcSimp</x:v>
      </x:c>
      <x:c r="AK93" s="36" t="str">
        <x:v>Must Do</x:v>
      </x:c>
      <x:c r="AL93" s="36" t="n">
        <x:v>0</x:v>
      </x:c>
      <x:c r="AM93" s="36" t="n">
        <x:v>0</x:v>
      </x:c>
      <x:c r="AN93" s="43"/>
      <x:c r="AO93" s="43"/>
      <x:c r="AP93" s="43"/>
    </x:row>
    <x:row r="94" ht="15" hidden="0" customHeight="1">
      <x:c r="A94" s="36" t="str">
        <x:v>Bu-99</x:v>
      </x:c>
      <x:c r="B94" s="37" t="str">
        <x:v>Rotech  Virtual Org (CPG in BY)</x:v>
      </x:c>
      <x:c r="C94" s="36" t="str">
        <x:v>BU Led</x:v>
      </x:c>
      <x:c r="D94" s="36" t="str">
        <x:v>Sleep &amp; Respiratory Care (SRC)</x:v>
      </x:c>
      <x:c r="E94" s="36" t="str"/>
      <x:c r="F94" s="36" t="str">
        <x:v>Continous Improvement</x:v>
      </x:c>
      <x:c r="G94" s="36" t="str">
        <x:v>Process simplification/ efficiency gain</x:v>
      </x:c>
      <x:c r="H94" s="36" t="str">
        <x:v>Must Do</x:v>
      </x:c>
      <x:c r="I94" s="36" t="str">
        <x:v>New Initiative</x:v>
      </x:c>
      <x:c r="J94" s="38" t="n">
        <x:v>0.1</x:v>
      </x:c>
      <x:c r="K94" s="38"/>
      <x:c r="L94" s="38"/>
      <x:c r="M94" s="38" t="n">
        <x:v>0.1</x:v>
      </x:c>
      <x:c r="N94" s="38"/>
      <x:c r="O94" s="38" t="n">
        <x:v>38</x:v>
      </x:c>
      <x:c r="P94" s="37" t="str">
        <x:v>38000</x:v>
      </x:c>
      <x:c r="Q94" s="37" t="str">
        <x:v>Cash savings</x:v>
      </x:c>
      <x:c r="R94" s="37" t="str">
        <x:v>We will miss significant benefits</x:v>
      </x:c>
      <x:c r="S94" s="37" t="str">
        <x:v>Enable Philips to hold protected, replenishable customer-specific inventory for Rotech to guarantee stock availability, recover market share, and unlock up to ~$38M in incremental revenue.</x:v>
      </x:c>
      <x:c r="T94" s="37" t="str">
        <x:v>Market-share recovery with Rotech (15% → up to 60%), delivering up to ~$38M incremental annual revenue, enabled by a reliable dedicated-inventory model with zero stock-out-driven service failures.</x:v>
      </x:c>
      <x:c r="U94" s="37" t="str"/>
      <x:c r="V94" s="36" t="str"/>
      <x:c r="W94" s="36" t="str"/>
      <x:c r="X94" s="36"/>
      <x:c r="Y94" s="36" t="str">
        <x:v>NotAssessed</x:v>
      </x:c>
      <x:c r="Z94" s="36" t="str"/>
      <x:c r="AA94" s="36" t="str"/>
      <x:c r="AB94" s="36"/>
      <x:c r="AC94" s="36"/>
      <x:c r="AD94" s="36" t="str"/>
      <x:c r="AE94" s="36" t="str"/>
      <x:c r="AF94" s="36" t="str">
        <x:v>Name and organisation matched</x:v>
      </x:c>
      <x:c r="AG94" s="36" t="str">
        <x:v>Common pot</x:v>
      </x:c>
      <x:c r="AH94" s="36" t="str">
        <x:v>BU Demand!row 241</x:v>
      </x:c>
      <x:c r="AI94" s="36" t="str">
        <x:v>CI</x:v>
      </x:c>
      <x:c r="AJ94" s="36" t="str">
        <x:v>ProcSimp</x:v>
      </x:c>
      <x:c r="AK94" s="36" t="str">
        <x:v>Must Do</x:v>
      </x:c>
      <x:c r="AL94" s="36" t="n">
        <x:v>0</x:v>
      </x:c>
      <x:c r="AM94" s="36" t="n">
        <x:v>0</x:v>
      </x:c>
      <x:c r="AN94" s="43"/>
      <x:c r="AO94" s="43"/>
      <x:c r="AP94" s="43"/>
    </x:row>
    <x:row r="95" ht="15" hidden="0" customHeight="1">
      <x:c r="A95" s="36" t="str">
        <x:v>Bu-100</x:v>
      </x:c>
      <x:c r="B95" s="37" t="str">
        <x:v>ATP Changes</x:v>
      </x:c>
      <x:c r="C95" s="36" t="str">
        <x:v>BU Led</x:v>
      </x:c>
      <x:c r="D95" s="36" t="str">
        <x:v>Sleep &amp; Respiratory Care (SRC)</x:v>
      </x:c>
      <x:c r="E95" s="36" t="str"/>
      <x:c r="F95" s="36" t="str">
        <x:v>New Feature</x:v>
      </x:c>
      <x:c r="G95" s="36" t="str">
        <x:v>Revenue Increase</x:v>
      </x:c>
      <x:c r="H95" s="36" t="str">
        <x:v>Must Do</x:v>
      </x:c>
      <x:c r="I95" s="36" t="str">
        <x:v>New Initiative</x:v>
      </x:c>
      <x:c r="J95" s="38" t="n">
        <x:v>0</x:v>
      </x:c>
      <x:c r="K95" s="38"/>
      <x:c r="L95" s="38"/>
      <x:c r="M95" s="38" t="n">
        <x:v>0</x:v>
      </x:c>
      <x:c r="N95" s="38"/>
      <x:c r="O95" s="38" t="n">
        <x:v>1.5</x:v>
      </x:c>
      <x:c r="P95" s="37" t="str">
        <x:v>1500</x:v>
      </x:c>
      <x:c r="Q95" s="37" t="str">
        <x:v>Revenue</x:v>
      </x:c>
      <x:c r="R95" s="37" t="str">
        <x:v>Direct impact on our NA Comeback program which targets revenue growth of 300-500 M over next 2 years</x:v>
      </x:c>
      <x:c r="S95" s="37" t="str">
        <x:v>We are not able to provide clear delivery dates to our customer which leads to order cancellations and revenue loss</x:v>
      </x:c>
      <x:c r="T95" s="37" t="str">
        <x:v>Publish delivery dates to our customers after order is placed which requires changes in SAP and Hybris. Has direct business benefits and business case &gt; 1M</x:v>
      </x:c>
      <x:c r="U95" s="37" t="str"/>
      <x:c r="V95" s="36" t="str"/>
      <x:c r="W95" s="36" t="str"/>
      <x:c r="X95" s="36"/>
      <x:c r="Y95" s="36" t="str">
        <x:v>NotAssessed</x:v>
      </x:c>
      <x:c r="Z95" s="36" t="str"/>
      <x:c r="AA95" s="36" t="str"/>
      <x:c r="AB95" s="36"/>
      <x:c r="AC95" s="36"/>
      <x:c r="AD95" s="36" t="str"/>
      <x:c r="AE95" s="36" t="str"/>
      <x:c r="AF95" s="36" t="str">
        <x:v>Name and organisation matched</x:v>
      </x:c>
      <x:c r="AG95" s="36" t="str">
        <x:v>Common pot</x:v>
      </x:c>
      <x:c r="AH95" s="36" t="str">
        <x:v>BU Demand!row 242</x:v>
      </x:c>
      <x:c r="AI95" s="36" t="str">
        <x:v>NewFeat</x:v>
      </x:c>
      <x:c r="AJ95" s="36" t="str">
        <x:v>Revenue</x:v>
      </x:c>
      <x:c r="AK95" s="36" t="str">
        <x:v>Must Do</x:v>
      </x:c>
      <x:c r="AL95" s="36" t="n">
        <x:v>0</x:v>
      </x:c>
      <x:c r="AM95" s="36" t="n">
        <x:v>0</x:v>
      </x:c>
      <x:c r="AN95" s="43"/>
      <x:c r="AO95" s="43"/>
      <x:c r="AP95" s="43"/>
    </x:row>
    <x:row r="96" ht="15" hidden="0" customHeight="1">
      <x:c r="A96" s="36" t="str">
        <x:v>Bu-101</x:v>
      </x:c>
      <x:c r="B96" s="37" t="str">
        <x:v>Kimball/Smoke changes </x:v>
      </x:c>
      <x:c r="C96" s="36" t="str">
        <x:v>BU Led</x:v>
      </x:c>
      <x:c r="D96" s="36" t="str">
        <x:v>Sleep &amp; Respiratory Care (SRC)</x:v>
      </x:c>
      <x:c r="E96" s="36" t="str"/>
      <x:c r="F96" s="36" t="str">
        <x:v>Legal Fiscal, Regulatory &amp; Compliancy</x:v>
      </x:c>
      <x:c r="G96" s="36" t="str">
        <x:v>Compliance/Keeping the lights on</x:v>
      </x:c>
      <x:c r="H96" s="36" t="str">
        <x:v>Must Do</x:v>
      </x:c>
      <x:c r="I96" s="36" t="str">
        <x:v>New Initiative</x:v>
      </x:c>
      <x:c r="J96" s="38" t="n">
        <x:v>0.1</x:v>
      </x:c>
      <x:c r="K96" s="38"/>
      <x:c r="L96" s="38"/>
      <x:c r="M96" s="38" t="n">
        <x:v>0.1</x:v>
      </x:c>
      <x:c r="N96" s="38"/>
      <x:c r="O96" s="38" t="n">
        <x:v>5.9</x:v>
      </x:c>
      <x:c r="P96" s="37" t="str">
        <x:v>5900</x:v>
      </x:c>
      <x:c r="Q96" s="37" t="str">
        <x:v>Risk exposure</x:v>
      </x:c>
      <x:c r="R96" s="37" t="str">
        <x:v>Direct impact on CD and injunction lift which prohibits us to sell in NA; overall revenue for that category was ~1000 M before injunction</x:v>
      </x:c>
      <x:c r="S96" s="37" t="str">
        <x:v>Continuation of Smoke project with left over changes;</x:v>
      </x:c>
      <x:c r="T96" s="37" t="str">
        <x:v>Continuation of Smoke project with left over changes;</x:v>
      </x:c>
      <x:c r="U96" s="37" t="str"/>
      <x:c r="V96" s="36" t="str">
        <x:v>2027</x:v>
      </x:c>
      <x:c r="W96" s="36" t="str">
        <x:v>Consent Decree</x:v>
      </x:c>
      <x:c r="X96" s="36" t="n">
        <x:v>1</x:v>
      </x:c>
      <x:c r="Y96" s="36" t="str">
        <x:v>HEALTHY</x:v>
      </x:c>
      <x:c r="Z96" s="36" t="str">
        <x:v>YES</x:v>
      </x:c>
      <x:c r="AA96" s="36" t="str">
        <x:v>5 — Exactly the minimum — only what's needed to meet the rule, nothing more.</x:v>
      </x:c>
      <x:c r="AB96" s="36" t="n">
        <x:v>5</x:v>
      </x:c>
      <x:c r="AC96" s="36" t="n">
        <x:v>20</x:v>
      </x:c>
      <x:c r="AD96" s="36" t="str">
        <x:v>P1 — Immediate</x:v>
      </x:c>
      <x:c r="AE96" s="36" t="str">
        <x:v>HEALTHY / MUST-DO — P1 — Immediate</x:v>
      </x:c>
      <x:c r="AF96" s="36" t="str">
        <x:v>Name and organisation matched</x:v>
      </x:c>
      <x:c r="AG96" s="36" t="str">
        <x:v>LFR validated candidate</x:v>
      </x:c>
      <x:c r="AH96" s="36" t="str">
        <x:v>BU Demand!row 243</x:v>
      </x:c>
      <x:c r="AI96" s="36" t="str">
        <x:v>LFR</x:v>
      </x:c>
      <x:c r="AJ96" s="36" t="str">
        <x:v>Compliance</x:v>
      </x:c>
      <x:c r="AK96" s="36" t="str">
        <x:v>Must Do</x:v>
      </x:c>
      <x:c r="AL96" s="36" t="n">
        <x:v>0</x:v>
      </x:c>
      <x:c r="AM96" s="36" t="n">
        <x:v>0</x:v>
      </x:c>
      <x:c r="AN96" s="43"/>
      <x:c r="AO96" s="43"/>
      <x:c r="AP96" s="43"/>
    </x:row>
    <x:row r="97" ht="15" hidden="0" customHeight="1">
      <x:c r="A97" s="36" t="str">
        <x:v>Bu-102</x:v>
      </x:c>
      <x:c r="B97" s="37" t="str">
        <x:v>CRM (MSD) Phase 2</x:v>
      </x:c>
      <x:c r="C97" s="36" t="str">
        <x:v>BU Led</x:v>
      </x:c>
      <x:c r="D97" s="36" t="str">
        <x:v>Sleep &amp; Respiratory Care (SRC)</x:v>
      </x:c>
      <x:c r="E97" s="36" t="str"/>
      <x:c r="F97" s="36" t="str">
        <x:v>Legal Fiscal, Regulatory &amp; Compliancy</x:v>
      </x:c>
      <x:c r="G97" s="36" t="str">
        <x:v>Compliance/Keeping the lights on</x:v>
      </x:c>
      <x:c r="H97" s="36" t="str">
        <x:v>Must Do</x:v>
      </x:c>
      <x:c r="I97" s="36" t="str">
        <x:v>New Initiative</x:v>
      </x:c>
      <x:c r="J97" s="38" t="n">
        <x:v>0</x:v>
      </x:c>
      <x:c r="K97" s="38"/>
      <x:c r="L97" s="38"/>
      <x:c r="M97" s="38" t="n">
        <x:v>0</x:v>
      </x:c>
      <x:c r="N97" s="38"/>
      <x:c r="O97" s="38" t="n">
        <x:v>5</x:v>
      </x:c>
      <x:c r="P97" s="37" t="str">
        <x:v>5000</x:v>
      </x:c>
      <x:c r="Q97" s="37" t="str">
        <x:v>Risk exposure</x:v>
      </x:c>
      <x:c r="R97" s="37" t="str">
        <x:v>Direct impact on CD and injunction lift which prohibits us to sell in NA; overall revenue for that category was ~1000 M before injunction</x:v>
      </x:c>
      <x:c r="S97" s="37" t="str">
        <x:v>We do not have any system which can be used for logging and monitoring customer returns and repairs.</x:v>
      </x:c>
      <x:c r="T97" s="37" t="str">
        <x:v>Implement CRM solution which can log, track, monitor and report customer returns and repair requests</x:v>
      </x:c>
      <x:c r="U97" s="37" t="str"/>
      <x:c r="V97" s="36" t="str">
        <x:v>2027</x:v>
      </x:c>
      <x:c r="W97" s="36" t="str">
        <x:v>Consent Decree</x:v>
      </x:c>
      <x:c r="X97" s="36"/>
      <x:c r="Y97" s="36" t="str">
        <x:v>NotAssessed</x:v>
      </x:c>
      <x:c r="Z97" s="36" t="str"/>
      <x:c r="AA97" s="36" t="str"/>
      <x:c r="AB97" s="36"/>
      <x:c r="AC97" s="36"/>
      <x:c r="AD97" s="36" t="str"/>
      <x:c r="AE97" s="36" t="str"/>
      <x:c r="AF97" s="36" t="str">
        <x:v>No exact waste match</x:v>
      </x:c>
      <x:c r="AG97" s="36" t="str">
        <x:v>Common pot</x:v>
      </x:c>
      <x:c r="AH97" s="36" t="str">
        <x:v>BU Demand!row 244</x:v>
      </x:c>
      <x:c r="AI97" s="36" t="str">
        <x:v>LFR</x:v>
      </x:c>
      <x:c r="AJ97" s="36" t="str">
        <x:v>Compliance</x:v>
      </x:c>
      <x:c r="AK97" s="36" t="str">
        <x:v>Must Do</x:v>
      </x:c>
      <x:c r="AL97" s="36" t="n">
        <x:v>0</x:v>
      </x:c>
      <x:c r="AM97" s="36" t="n">
        <x:v>0</x:v>
      </x:c>
      <x:c r="AN97" s="43"/>
      <x:c r="AO97" s="43"/>
      <x:c r="AP97" s="43"/>
    </x:row>
    <x:row r="98" ht="15" hidden="0" customHeight="1">
      <x:c r="A98" s="36" t="str">
        <x:v>Bu-103</x:v>
      </x:c>
      <x:c r="B98" s="37" t="str">
        <x:v>3rd Party Inventory and Hold status update from SAP/PRD</x:v>
      </x:c>
      <x:c r="C98" s="36" t="str">
        <x:v>BU Led</x:v>
      </x:c>
      <x:c r="D98" s="36" t="str">
        <x:v>Sleep &amp; Respiratory Care (SRC)</x:v>
      </x:c>
      <x:c r="E98" s="36" t="str"/>
      <x:c r="F98" s="36" t="str">
        <x:v>Legal Fiscal, Regulatory &amp; Compliancy</x:v>
      </x:c>
      <x:c r="G98" s="36" t="str">
        <x:v>Compliance/Keeping the lights on</x:v>
      </x:c>
      <x:c r="H98" s="36" t="str">
        <x:v>Must Do</x:v>
      </x:c>
      <x:c r="I98" s="36" t="str">
        <x:v>New Initiative</x:v>
      </x:c>
      <x:c r="J98" s="38" t="n">
        <x:v>0.2</x:v>
      </x:c>
      <x:c r="K98" s="38"/>
      <x:c r="L98" s="38"/>
      <x:c r="M98" s="38" t="n">
        <x:v>0.2</x:v>
      </x:c>
      <x:c r="N98" s="38"/>
      <x:c r="O98" s="38"/>
      <x:c r="P98" s="37" t="str"/>
      <x:c r="Q98" s="37" t="str">
        <x:v>Risk exposure</x:v>
      </x:c>
      <x:c r="R98" s="37" t="str">
        <x:v>Direct impact on CD and injunction lift which prohibits us to sell in NA; overall revenue for that category was ~1000 M before injunction</x:v>
      </x:c>
      <x:c r="S98" s="37" t="str">
        <x:v>We have a CAPA related to this that needs to be addressed asap</x:v>
      </x:c>
      <x:c r="T98" s="37" t="str">
        <x:v>3rd Party Inventory and Hold status update from SAP/PRD</x:v>
      </x:c>
      <x:c r="U98" s="37" t="str"/>
      <x:c r="V98" s="36" t="str">
        <x:v>2027</x:v>
      </x:c>
      <x:c r="W98" s="36" t="str">
        <x:v>Consent Decree</x:v>
      </x:c>
      <x:c r="X98" s="36" t="n">
        <x:v>1</x:v>
      </x:c>
      <x:c r="Y98" s="36" t="str">
        <x:v>HEALTHY</x:v>
      </x:c>
      <x:c r="Z98" s="36" t="str">
        <x:v>YES</x:v>
      </x:c>
      <x:c r="AA98" s="36" t="str">
        <x:v>5 — Exactly the minimum — only what's needed to meet the rule, nothing more.</x:v>
      </x:c>
      <x:c r="AB98" s="36" t="n">
        <x:v>5</x:v>
      </x:c>
      <x:c r="AC98" s="36" t="n">
        <x:v>20</x:v>
      </x:c>
      <x:c r="AD98" s="36" t="str">
        <x:v>P1 — Immediate</x:v>
      </x:c>
      <x:c r="AE98" s="36" t="str">
        <x:v>HEALTHY / MUST-DO — P1 — Immediate</x:v>
      </x:c>
      <x:c r="AF98" s="36" t="str">
        <x:v>Name and organisation matched</x:v>
      </x:c>
      <x:c r="AG98" s="36" t="str">
        <x:v>LFR validated candidate</x:v>
      </x:c>
      <x:c r="AH98" s="36" t="str">
        <x:v>BU Demand!row 245</x:v>
      </x:c>
      <x:c r="AI98" s="36" t="str">
        <x:v>LFR</x:v>
      </x:c>
      <x:c r="AJ98" s="36" t="str">
        <x:v>Compliance</x:v>
      </x:c>
      <x:c r="AK98" s="36" t="str">
        <x:v>Must Do</x:v>
      </x:c>
      <x:c r="AL98" s="36" t="n">
        <x:v>0</x:v>
      </x:c>
      <x:c r="AM98" s="36" t="n">
        <x:v>0</x:v>
      </x:c>
      <x:c r="AN98" s="43"/>
      <x:c r="AO98" s="43"/>
      <x:c r="AP98" s="43"/>
    </x:row>
    <x:row r="99" ht="15" hidden="0" customHeight="1">
      <x:c r="A99" s="36" t="str">
        <x:v>Bu-104</x:v>
      </x:c>
      <x:c r="B99" s="37" t="str">
        <x:v>Windchil C&amp;CM</x:v>
      </x:c>
      <x:c r="C99" s="36" t="str">
        <x:v>BU Led</x:v>
      </x:c>
      <x:c r="D99" s="36" t="str">
        <x:v>Sleep &amp; Respiratory Care (SRC)</x:v>
      </x:c>
      <x:c r="E99" s="36" t="str"/>
      <x:c r="F99" s="36" t="str">
        <x:v>Legal Fiscal, Regulatory &amp; Compliancy</x:v>
      </x:c>
      <x:c r="G99" s="36" t="str">
        <x:v>Compliance/Keeping the lights on</x:v>
      </x:c>
      <x:c r="H99" s="36" t="str">
        <x:v>Must Do</x:v>
      </x:c>
      <x:c r="I99" s="36" t="str">
        <x:v>New Initiative</x:v>
      </x:c>
      <x:c r="J99" s="38" t="n">
        <x:v>1.655</x:v>
      </x:c>
      <x:c r="K99" s="38"/>
      <x:c r="L99" s="38"/>
      <x:c r="M99" s="38" t="n">
        <x:v>1.655</x:v>
      </x:c>
      <x:c r="N99" s="38"/>
      <x:c r="O99" s="38"/>
      <x:c r="P99" s="37" t="str"/>
      <x:c r="Q99" s="37" t="str">
        <x:v>Risk exposure</x:v>
      </x:c>
      <x:c r="R99" s="37" t="str">
        <x:v>Direct impact on CD and injunction lift which prohibits us to sell in NA; overall revenue for that category was ~1000 M before injunction</x:v>
      </x:c>
      <x:c r="S99" s="37" t="str">
        <x:v>We do not have any system implemented to store DHF and other files required for audit with complete trace and version history; this was also flagged as defeciency in audits</x:v>
      </x:c>
      <x:c r="T99" s="37" t="str">
        <x:v>Implement Windchill C&amp;CM system for SRC to ensure compliance and avoid any potential fines</x:v>
      </x:c>
      <x:c r="U99" s="37" t="str"/>
      <x:c r="V99" s="36" t="str">
        <x:v>2027</x:v>
      </x:c>
      <x:c r="W99" s="36" t="str">
        <x:v>Consent Decree</x:v>
      </x:c>
      <x:c r="X99" s="36"/>
      <x:c r="Y99" s="36" t="str">
        <x:v>NotAssessed</x:v>
      </x:c>
      <x:c r="Z99" s="36" t="str">
        <x:v>YES</x:v>
      </x:c>
      <x:c r="AA99" s="36" t="str">
        <x:v>5 — Exactly the minimum — only what's needed to meet the rule, nothing more.</x:v>
      </x:c>
      <x:c r="AB99" s="36" t="n">
        <x:v>5</x:v>
      </x:c>
      <x:c r="AC99" s="36" t="n">
        <x:v>20</x:v>
      </x:c>
      <x:c r="AD99" s="36" t="str">
        <x:v>P1 — Immediate</x:v>
      </x:c>
      <x:c r="AE99" s="36" t="str"/>
      <x:c r="AF99" s="36" t="str">
        <x:v>Name and organisation matched</x:v>
      </x:c>
      <x:c r="AG99" s="36" t="str">
        <x:v>LFR validated candidate</x:v>
      </x:c>
      <x:c r="AH99" s="36" t="str">
        <x:v>BU Demand!row 246</x:v>
      </x:c>
      <x:c r="AI99" s="36" t="str">
        <x:v>LFR</x:v>
      </x:c>
      <x:c r="AJ99" s="36" t="str">
        <x:v>Compliance</x:v>
      </x:c>
      <x:c r="AK99" s="36" t="str">
        <x:v>Must Do</x:v>
      </x:c>
      <x:c r="AL99" s="36" t="n">
        <x:v>0</x:v>
      </x:c>
      <x:c r="AM99" s="36" t="n">
        <x:v>0</x:v>
      </x:c>
      <x:c r="AN99" s="43"/>
      <x:c r="AO99" s="43"/>
      <x:c r="AP99" s="43"/>
    </x:row>
    <x:row r="100" ht="15" hidden="0" customHeight="1">
      <x:c r="A100" s="36" t="str">
        <x:v>Bu-105</x:v>
      </x:c>
      <x:c r="B100" s="37" t="str">
        <x:v>QMS Roles Standardization (Lumen) and Job Catalog alignment</x:v>
      </x:c>
      <x:c r="C100" s="36" t="str">
        <x:v>BU Led</x:v>
      </x:c>
      <x:c r="D100" s="36" t="str">
        <x:v>Sleep &amp; Respiratory Care (SRC)</x:v>
      </x:c>
      <x:c r="E100" s="36" t="str"/>
      <x:c r="F100" s="36" t="str">
        <x:v>Legal Fiscal, Regulatory &amp; Compliancy</x:v>
      </x:c>
      <x:c r="G100" s="36" t="str">
        <x:v>Compliance/Keeping the lights on</x:v>
      </x:c>
      <x:c r="H100" s="36" t="str">
        <x:v>Must Have</x:v>
      </x:c>
      <x:c r="I100" s="36" t="str">
        <x:v>New Initiative</x:v>
      </x:c>
      <x:c r="J100" s="38" t="n">
        <x:v>0.04</x:v>
      </x:c>
      <x:c r="K100" s="38"/>
      <x:c r="L100" s="38"/>
      <x:c r="M100" s="38" t="n">
        <x:v>0.04</x:v>
      </x:c>
      <x:c r="N100" s="38"/>
      <x:c r="O100" s="38"/>
      <x:c r="P100" s="37" t="str"/>
      <x:c r="Q100" s="37" t="str">
        <x:v>Risk exposure</x:v>
      </x:c>
      <x:c r="R100" s="37" t="str">
        <x:v>Compliance impact</x:v>
      </x:c>
      <x:c r="S100" s="37" t="str">
        <x:v>We need to participate in a global program</x:v>
      </x:c>
      <x:c r="T100" s="37" t="str">
        <x:v>We need to participate in a global program</x:v>
      </x:c>
      <x:c r="U100" s="37" t="str"/>
      <x:c r="V100" s="36" t="str">
        <x:v>2027</x:v>
      </x:c>
      <x:c r="W100" s="36" t="str">
        <x:v>Consent Decree</x:v>
      </x:c>
      <x:c r="X100" s="36"/>
      <x:c r="Y100" s="36" t="str">
        <x:v>NotAssessed</x:v>
      </x:c>
      <x:c r="Z100" s="36" t="str">
        <x:v>YES</x:v>
      </x:c>
      <x:c r="AA100" s="36" t="str">
        <x:v>4 — Lean — scope is limited to compliance, with small, justified allowances.</x:v>
      </x:c>
      <x:c r="AB100" s="36" t="n">
        <x:v>3</x:v>
      </x:c>
      <x:c r="AC100" s="36" t="n">
        <x:v>12</x:v>
      </x:c>
      <x:c r="AD100" s="36" t="str">
        <x:v>P2 — Scheduled</x:v>
      </x:c>
      <x:c r="AE100" s="36" t="str"/>
      <x:c r="AF100" s="36" t="str">
        <x:v>Name and organisation matched</x:v>
      </x:c>
      <x:c r="AG100" s="36" t="str">
        <x:v>LFR validated candidate</x:v>
      </x:c>
      <x:c r="AH100" s="36" t="str">
        <x:v>BU Demand!row 247</x:v>
      </x:c>
      <x:c r="AI100" s="36" t="str">
        <x:v>LFR</x:v>
      </x:c>
      <x:c r="AJ100" s="36" t="str">
        <x:v>Compliance</x:v>
      </x:c>
      <x:c r="AK100" s="36" t="str">
        <x:v>Must Have</x:v>
      </x:c>
      <x:c r="AL100" s="36" t="n">
        <x:v>0</x:v>
      </x:c>
      <x:c r="AM100" s="36" t="n">
        <x:v>0</x:v>
      </x:c>
      <x:c r="AN100" s="43"/>
      <x:c r="AO100" s="43"/>
      <x:c r="AP100" s="43"/>
    </x:row>
    <x:row r="101" ht="15" hidden="0" customHeight="1">
      <x:c r="A101" s="36" t="str">
        <x:v>Bu-106</x:v>
      </x:c>
      <x:c r="B101" s="37" t="str">
        <x:v>Mammoth migration TEDS to Cornerstone (Wave 5)</x:v>
      </x:c>
      <x:c r="C101" s="36" t="str">
        <x:v>BU Led</x:v>
      </x:c>
      <x:c r="D101" s="36" t="str">
        <x:v>Sleep &amp; Respiratory Care (SRC)</x:v>
      </x:c>
      <x:c r="E101" s="36" t="str"/>
      <x:c r="F101" s="36" t="str">
        <x:v>Legal Fiscal, Regulatory &amp; Compliancy</x:v>
      </x:c>
      <x:c r="G101" s="36" t="str">
        <x:v>Compliance/Keeping the lights on</x:v>
      </x:c>
      <x:c r="H101" s="36" t="str">
        <x:v>Must Have</x:v>
      </x:c>
      <x:c r="I101" s="36" t="str">
        <x:v>New Initiative</x:v>
      </x:c>
      <x:c r="J101" s="38" t="n">
        <x:v>0.01</x:v>
      </x:c>
      <x:c r="K101" s="38"/>
      <x:c r="L101" s="38"/>
      <x:c r="M101" s="38" t="n">
        <x:v>0.01</x:v>
      </x:c>
      <x:c r="N101" s="38"/>
      <x:c r="O101" s="38"/>
      <x:c r="P101" s="37" t="str"/>
      <x:c r="Q101" s="37" t="str">
        <x:v>Risk exposure</x:v>
      </x:c>
      <x:c r="R101" s="37" t="str">
        <x:v>Compliance impact</x:v>
      </x:c>
      <x:c r="S101" s="37" t="str">
        <x:v>We need to participate in a global program</x:v>
      </x:c>
      <x:c r="T101" s="37" t="str">
        <x:v>We need to participate in a global program</x:v>
      </x:c>
      <x:c r="U101" s="37" t="str"/>
      <x:c r="V101" s="36" t="str">
        <x:v>2027</x:v>
      </x:c>
      <x:c r="W101" s="36" t="str">
        <x:v>Consent Decree</x:v>
      </x:c>
      <x:c r="X101" s="36"/>
      <x:c r="Y101" s="36" t="str">
        <x:v>NotAssessed</x:v>
      </x:c>
      <x:c r="Z101" s="36" t="str">
        <x:v>YES</x:v>
      </x:c>
      <x:c r="AA101" s="36" t="str">
        <x:v>3 — Mostly lean — only a few extras beyond the minimum remain.</x:v>
      </x:c>
      <x:c r="AB101" s="36" t="n">
        <x:v>3</x:v>
      </x:c>
      <x:c r="AC101" s="36" t="n">
        <x:v>12</x:v>
      </x:c>
      <x:c r="AD101" s="36" t="str">
        <x:v>P2 — Scheduled</x:v>
      </x:c>
      <x:c r="AE101" s="36" t="str"/>
      <x:c r="AF101" s="36" t="str">
        <x:v>Name and organisation matched</x:v>
      </x:c>
      <x:c r="AG101" s="36" t="str">
        <x:v>LFR validated candidate</x:v>
      </x:c>
      <x:c r="AH101" s="36" t="str">
        <x:v>BU Demand!row 248</x:v>
      </x:c>
      <x:c r="AI101" s="36" t="str">
        <x:v>LFR</x:v>
      </x:c>
      <x:c r="AJ101" s="36" t="str">
        <x:v>Compliance</x:v>
      </x:c>
      <x:c r="AK101" s="36" t="str">
        <x:v>Must Have</x:v>
      </x:c>
      <x:c r="AL101" s="36" t="n">
        <x:v>0</x:v>
      </x:c>
      <x:c r="AM101" s="36" t="n">
        <x:v>0</x:v>
      </x:c>
      <x:c r="AN101" s="43"/>
      <x:c r="AO101" s="43"/>
      <x:c r="AP101" s="43"/>
    </x:row>
    <x:row r="102" ht="15" hidden="0" customHeight="1">
      <x:c r="A102" s="36" t="str">
        <x:v>Bu-107</x:v>
      </x:c>
      <x:c r="B102" s="37" t="str">
        <x:v>Catalogue Phase 2</x:v>
      </x:c>
      <x:c r="C102" s="36" t="str">
        <x:v>BU Led</x:v>
      </x:c>
      <x:c r="D102" s="36" t="str">
        <x:v>Sleep &amp; Respiratory Care (SRC)</x:v>
      </x:c>
      <x:c r="E102" s="36" t="str"/>
      <x:c r="F102" s="36" t="str">
        <x:v>New Feature</x:v>
      </x:c>
      <x:c r="G102" s="36" t="str">
        <x:v>Revenue Increase</x:v>
      </x:c>
      <x:c r="H102" s="36" t="str">
        <x:v>Must Do</x:v>
      </x:c>
      <x:c r="I102" s="36" t="str">
        <x:v>New Initiative</x:v>
      </x:c>
      <x:c r="J102" s="38" t="n">
        <x:v>0</x:v>
      </x:c>
      <x:c r="K102" s="38"/>
      <x:c r="L102" s="38"/>
      <x:c r="M102" s="38" t="n">
        <x:v>0</x:v>
      </x:c>
      <x:c r="N102" s="38"/>
      <x:c r="O102" s="38" t="n">
        <x:v>50</x:v>
      </x:c>
      <x:c r="P102" s="37" t="str">
        <x:v>50000</x:v>
      </x:c>
      <x:c r="Q102" s="37" t="str">
        <x:v>Revenue</x:v>
      </x:c>
      <x:c r="R102" s="37" t="str">
        <x:v>Direct impact on our NA Comeback program which targets revenue growth of 300-500 M over next 2 years</x:v>
      </x:c>
      <x:c r="S102" s="37" t="str">
        <x:v>We do not have a full fledged product catalogue for our customers and need that urgently for our NA Comeback program. We cannot go to the market without an accurate catalogue</x:v>
      </x:c>
      <x:c r="T102" s="37" t="str">
        <x:v>Complete the catalogue project and ensure catalogue is available to our end customers for proper order management</x:v>
      </x:c>
      <x:c r="U102" s="37" t="str"/>
      <x:c r="V102" s="36" t="str"/>
      <x:c r="W102" s="36" t="str"/>
      <x:c r="X102" s="36"/>
      <x:c r="Y102" s="36" t="str">
        <x:v>NotAssessed</x:v>
      </x:c>
      <x:c r="Z102" s="36" t="str"/>
      <x:c r="AA102" s="36" t="str"/>
      <x:c r="AB102" s="36"/>
      <x:c r="AC102" s="36"/>
      <x:c r="AD102" s="36" t="str"/>
      <x:c r="AE102" s="36" t="str"/>
      <x:c r="AF102" s="36" t="str">
        <x:v>Name and organisation matched</x:v>
      </x:c>
      <x:c r="AG102" s="36" t="str">
        <x:v>Common pot</x:v>
      </x:c>
      <x:c r="AH102" s="36" t="str">
        <x:v>BU Demand!row 249</x:v>
      </x:c>
      <x:c r="AI102" s="36" t="str">
        <x:v>NewFeat</x:v>
      </x:c>
      <x:c r="AJ102" s="36" t="str">
        <x:v>Revenue</x:v>
      </x:c>
      <x:c r="AK102" s="36" t="str">
        <x:v>Must Do</x:v>
      </x:c>
      <x:c r="AL102" s="36" t="n">
        <x:v>0</x:v>
      </x:c>
      <x:c r="AM102" s="36" t="n">
        <x:v>0</x:v>
      </x:c>
      <x:c r="AN102" s="43"/>
      <x:c r="AO102" s="43"/>
      <x:c r="AP102" s="43"/>
    </x:row>
    <x:row r="103" ht="15" hidden="0" customHeight="1">
      <x:c r="A103" s="36" t="str">
        <x:v>Bu-108</x:v>
      </x:c>
      <x:c r="B103" s="37" t="str">
        <x:v>Automation of offline sales process</x:v>
      </x:c>
      <x:c r="C103" s="36" t="str">
        <x:v>BU Led</x:v>
      </x:c>
      <x:c r="D103" s="36" t="str">
        <x:v>Sleep &amp; Respiratory Care (SRC)</x:v>
      </x:c>
      <x:c r="E103" s="36" t="str"/>
      <x:c r="F103" s="36" t="str">
        <x:v>Continous Improvement</x:v>
      </x:c>
      <x:c r="G103" s="36" t="str">
        <x:v>Productivity savings</x:v>
      </x:c>
      <x:c r="H103" s="36" t="str">
        <x:v>Must Have</x:v>
      </x:c>
      <x:c r="I103" s="36" t="str">
        <x:v>New Initiative</x:v>
      </x:c>
      <x:c r="J103" s="38" t="n">
        <x:v>0.1</x:v>
      </x:c>
      <x:c r="K103" s="38"/>
      <x:c r="L103" s="38"/>
      <x:c r="M103" s="38" t="n">
        <x:v>0.1</x:v>
      </x:c>
      <x:c r="N103" s="38"/>
      <x:c r="O103" s="38" t="n">
        <x:v>0.2</x:v>
      </x:c>
      <x:c r="P103" s="37" t="str">
        <x:v>200</x:v>
      </x:c>
      <x:c r="Q103" s="37" t="str">
        <x:v>Cash savings</x:v>
      </x:c>
      <x:c r="R103" s="37" t="str">
        <x:v>Loss of revenue ~3M due to to delay in manual activities</x:v>
      </x:c>
      <x:c r="S103" s="37" t="str">
        <x:v>Lot of manual work from GBS leads to delay in revenue recognition and cancellation of orders</x:v>
      </x:c>
      <x:c r="T103" s="37" t="str">
        <x:v>Automation of manual activtieswhich will lead to higher revenue recognition and less dependency on manual work</x:v>
      </x:c>
      <x:c r="U103" s="37" t="str"/>
      <x:c r="V103" s="36" t="str"/>
      <x:c r="W103" s="36" t="str"/>
      <x:c r="X103" s="36"/>
      <x:c r="Y103" s="36" t="str">
        <x:v>NotAssessed</x:v>
      </x:c>
      <x:c r="Z103" s="36" t="str"/>
      <x:c r="AA103" s="36" t="str"/>
      <x:c r="AB103" s="36"/>
      <x:c r="AC103" s="36"/>
      <x:c r="AD103" s="36" t="str"/>
      <x:c r="AE103" s="36" t="str"/>
      <x:c r="AF103" s="36" t="str">
        <x:v>Name and organisation matched</x:v>
      </x:c>
      <x:c r="AG103" s="36" t="str">
        <x:v>Common pot</x:v>
      </x:c>
      <x:c r="AH103" s="36" t="str">
        <x:v>BU Demand!row 250</x:v>
      </x:c>
      <x:c r="AI103" s="36" t="str">
        <x:v>CI</x:v>
      </x:c>
      <x:c r="AJ103" s="36" t="str">
        <x:v>Productivity</x:v>
      </x:c>
      <x:c r="AK103" s="36" t="str">
        <x:v>Must Have</x:v>
      </x:c>
      <x:c r="AL103" s="36" t="n">
        <x:v>0</x:v>
      </x:c>
      <x:c r="AM103" s="36" t="n">
        <x:v>0</x:v>
      </x:c>
      <x:c r="AN103" s="43"/>
      <x:c r="AO103" s="43"/>
      <x:c r="AP103" s="43"/>
    </x:row>
    <x:row r="104" ht="15" hidden="0" customHeight="1">
      <x:c r="A104" s="36" t="str">
        <x:v>Bu-109</x:v>
      </x:c>
      <x:c r="B104" s="37" t="str">
        <x:v>SAP changes CD related</x:v>
      </x:c>
      <x:c r="C104" s="36" t="str">
        <x:v>BU Led</x:v>
      </x:c>
      <x:c r="D104" s="36" t="str">
        <x:v>Sleep &amp; Respiratory Care (SRC)</x:v>
      </x:c>
      <x:c r="E104" s="36" t="str"/>
      <x:c r="F104" s="36" t="str">
        <x:v>Legal Fiscal, Regulatory &amp; Compliancy</x:v>
      </x:c>
      <x:c r="G104" s="36" t="str">
        <x:v>Compliance/Keeping the lights on</x:v>
      </x:c>
      <x:c r="H104" s="36" t="str">
        <x:v>Must Do</x:v>
      </x:c>
      <x:c r="I104" s="36" t="str">
        <x:v>New Initiative</x:v>
      </x:c>
      <x:c r="J104" s="38" t="n">
        <x:v>0.3</x:v>
      </x:c>
      <x:c r="K104" s="38"/>
      <x:c r="L104" s="38"/>
      <x:c r="M104" s="38" t="n">
        <x:v>0.3</x:v>
      </x:c>
      <x:c r="N104" s="38"/>
      <x:c r="O104" s="38"/>
      <x:c r="P104" s="37" t="str"/>
      <x:c r="Q104" s="37" t="str">
        <x:v>Risk exposure</x:v>
      </x:c>
      <x:c r="R104" s="37" t="str">
        <x:v>Direct impact on CD and injunction lift which prohibits us to sell in NA; overall revenue for that category was ~1000 M before injunction</x:v>
      </x:c>
      <x:c r="S104" s="37" t="str">
        <x:v>CD related SAP changes</x:v>
      </x:c>
      <x:c r="T104" s="37" t="str">
        <x:v>CD related SAP changes</x:v>
      </x:c>
      <x:c r="U104" s="37" t="str"/>
      <x:c r="V104" s="36" t="str">
        <x:v>2027</x:v>
      </x:c>
      <x:c r="W104" s="36" t="str">
        <x:v>Consent Decree</x:v>
      </x:c>
      <x:c r="X104" s="36"/>
      <x:c r="Y104" s="36" t="str">
        <x:v>NotAssessed</x:v>
      </x:c>
      <x:c r="Z104" s="36" t="str"/>
      <x:c r="AA104" s="36" t="str"/>
      <x:c r="AB104" s="36"/>
      <x:c r="AC104" s="36"/>
      <x:c r="AD104" s="36" t="str"/>
      <x:c r="AE104" s="36" t="str"/>
      <x:c r="AF104" s="36" t="str">
        <x:v>No exact waste match</x:v>
      </x:c>
      <x:c r="AG104" s="36" t="str">
        <x:v>Common pot</x:v>
      </x:c>
      <x:c r="AH104" s="36" t="str">
        <x:v>BU Demand!row 251</x:v>
      </x:c>
      <x:c r="AI104" s="36" t="str">
        <x:v>LFR</x:v>
      </x:c>
      <x:c r="AJ104" s="36" t="str">
        <x:v>Compliance</x:v>
      </x:c>
      <x:c r="AK104" s="36" t="str">
        <x:v>Must Do</x:v>
      </x:c>
      <x:c r="AL104" s="36" t="n">
        <x:v>0</x:v>
      </x:c>
      <x:c r="AM104" s="36" t="n">
        <x:v>0</x:v>
      </x:c>
      <x:c r="AN104" s="43"/>
      <x:c r="AO104" s="43"/>
      <x:c r="AP104" s="43"/>
    </x:row>
    <x:row r="105" ht="15" hidden="0" customHeight="1">
      <x:c r="A105" s="36" t="str">
        <x:v>Bu-110</x:v>
      </x:c>
      <x:c r="B105" s="37" t="str">
        <x:v>Commercial Transformation 2027</x:v>
      </x:c>
      <x:c r="C105" s="36" t="str">
        <x:v>BU Led</x:v>
      </x:c>
      <x:c r="D105" s="36" t="str">
        <x:v>Sleep &amp; Respiratory Care (SRC)</x:v>
      </x:c>
      <x:c r="E105" s="36" t="str"/>
      <x:c r="F105" s="36" t="str">
        <x:v>New Feature</x:v>
      </x:c>
      <x:c r="G105" s="36" t="str">
        <x:v>Revenue Increase</x:v>
      </x:c>
      <x:c r="H105" s="36" t="str">
        <x:v>Must Do</x:v>
      </x:c>
      <x:c r="I105" s="36" t="str">
        <x:v>New Initiative</x:v>
      </x:c>
      <x:c r="J105" s="38" t="n">
        <x:v>0.502</x:v>
      </x:c>
      <x:c r="K105" s="38"/>
      <x:c r="L105" s="38"/>
      <x:c r="M105" s="38" t="n">
        <x:v>0.502</x:v>
      </x:c>
      <x:c r="N105" s="38"/>
      <x:c r="O105" s="38" t="n">
        <x:v>1.25</x:v>
      </x:c>
      <x:c r="P105" s="37" t="str">
        <x:v>1250</x:v>
      </x:c>
      <x:c r="Q105" s="37" t="str">
        <x:v>Revenue</x:v>
      </x:c>
      <x:c r="R105" s="37" t="str">
        <x:v>Critical for achieving our SPOR objective of driving margin (IR) improvement and revenue growth through AI-led, data-driven pricing decisions; we will miss our SPOR targets</x:v>
      </x:c>
      <x:c r="S105" s="37" t="str">
        <x: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x:v>
      </x:c>
      <x:c r="T105" s="37" t="str">
        <x:v>• Baseline creation for win rate, close ratio, activity quality, and field execution.
• Customer-signal mining from Salesforce comments, including all portfolio and solutions mentions.
• Exception alerts for data gaps or inconsistent reporting inputs</x:v>
      </x:c>
      <x:c r="U105" s="37" t="str"/>
      <x:c r="V105" s="36" t="str"/>
      <x:c r="W105" s="36" t="str"/>
      <x:c r="X105" s="36"/>
      <x:c r="Y105" s="36" t="str">
        <x:v>NotAssessed</x:v>
      </x:c>
      <x:c r="Z105" s="36" t="str"/>
      <x:c r="AA105" s="36" t="str"/>
      <x:c r="AB105" s="36"/>
      <x:c r="AC105" s="36"/>
      <x:c r="AD105" s="36" t="str"/>
      <x:c r="AE105" s="36" t="str"/>
      <x:c r="AF105" s="36" t="str">
        <x:v>Name and organisation matched</x:v>
      </x:c>
      <x:c r="AG105" s="36" t="str">
        <x:v>Common pot</x:v>
      </x:c>
      <x:c r="AH105" s="36" t="str">
        <x:v>BU Demand!row 252</x:v>
      </x:c>
      <x:c r="AI105" s="36" t="str">
        <x:v>NewFeat</x:v>
      </x:c>
      <x:c r="AJ105" s="36" t="str">
        <x:v>Revenue</x:v>
      </x:c>
      <x:c r="AK105" s="36" t="str">
        <x:v>Must Do</x:v>
      </x:c>
      <x:c r="AL105" s="36" t="n">
        <x:v>0</x:v>
      </x:c>
      <x:c r="AM105" s="36" t="n">
        <x:v>0</x:v>
      </x:c>
      <x:c r="AN105" s="43"/>
      <x:c r="AO105" s="43"/>
      <x:c r="AP105" s="43"/>
    </x:row>
    <x:row r="106" ht="15" hidden="0" customHeight="1">
      <x:c r="A106" s="36" t="str">
        <x:v>Bu-111</x:v>
      </x:c>
      <x:c r="B106" s="37" t="str">
        <x:v>Project Nexus 2027</x:v>
      </x:c>
      <x:c r="C106" s="36" t="str">
        <x:v>BU Led</x:v>
      </x:c>
      <x:c r="D106" s="36" t="str">
        <x:v>Sleep &amp; Respiratory Care (SRC)</x:v>
      </x:c>
      <x:c r="E106" s="36" t="str"/>
      <x:c r="F106" s="36" t="str">
        <x:v>New Feature</x:v>
      </x:c>
      <x:c r="G106" s="36" t="str">
        <x:v>Revenue Increase</x:v>
      </x:c>
      <x:c r="H106" s="36" t="str">
        <x:v>Must Do</x:v>
      </x:c>
      <x:c r="I106" s="36" t="str">
        <x:v>New Initiative</x:v>
      </x:c>
      <x:c r="J106" s="38" t="n">
        <x:v>0.534</x:v>
      </x:c>
      <x:c r="K106" s="38"/>
      <x:c r="L106" s="38"/>
      <x:c r="M106" s="38" t="n">
        <x:v>0.534</x:v>
      </x:c>
      <x:c r="N106" s="38"/>
      <x:c r="O106" s="38" t="n">
        <x:v>1.5</x:v>
      </x:c>
      <x:c r="P106" s="37" t="str">
        <x:v>1500</x:v>
      </x:c>
      <x:c r="Q106" s="37" t="str">
        <x:v>Revenue</x:v>
      </x:c>
      <x:c r="R106" s="37" t="str">
        <x:v>Direct impact on our NA Comeback program which targets revenue growth of 300-500 M over next 2 years</x:v>
      </x:c>
      <x:c r="S106" s="37" t="str">
        <x:v>Across communication and transparency questions, a majority of respondents expressed concerns:
67% felt communication was unclear or untimely
67% reported difficulty finding relevant information
50% feeling disconnected from other GPMs across sites/segments</x:v>
      </x:c>
      <x:c r="T106" s="37" t="str">
        <x: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x:v>
      </x:c>
      <x:c r="U106" s="37" t="str"/>
      <x:c r="V106" s="36" t="str"/>
      <x:c r="W106" s="36" t="str"/>
      <x:c r="X106" s="36"/>
      <x:c r="Y106" s="36" t="str">
        <x:v>NotAssessed</x:v>
      </x:c>
      <x:c r="Z106" s="36" t="str"/>
      <x:c r="AA106" s="36" t="str"/>
      <x:c r="AB106" s="36"/>
      <x:c r="AC106" s="36"/>
      <x:c r="AD106" s="36" t="str"/>
      <x:c r="AE106" s="36" t="str"/>
      <x:c r="AF106" s="36" t="str">
        <x:v>Name and organisation matched</x:v>
      </x:c>
      <x:c r="AG106" s="36" t="str">
        <x:v>Common pot</x:v>
      </x:c>
      <x:c r="AH106" s="36" t="str">
        <x:v>BU Demand!row 259</x:v>
      </x:c>
      <x:c r="AI106" s="36" t="str">
        <x:v>NewFeat</x:v>
      </x:c>
      <x:c r="AJ106" s="36" t="str">
        <x:v>Revenue</x:v>
      </x:c>
      <x:c r="AK106" s="36" t="str">
        <x:v>Must Do</x:v>
      </x:c>
      <x:c r="AL106" s="36" t="n">
        <x:v>0</x:v>
      </x:c>
      <x:c r="AM106" s="36" t="n">
        <x:v>0</x:v>
      </x:c>
      <x:c r="AN106" s="43"/>
      <x:c r="AO106" s="43"/>
      <x:c r="AP106" s="43"/>
    </x:row>
    <x:row r="107" ht="15" hidden="0" customHeight="1">
      <x:c r="A107" s="36" t="str">
        <x:v>Bu-112</x:v>
      </x:c>
      <x:c r="B107" s="37" t="str">
        <x:v>ISC and CS Transformation 2027</x:v>
      </x:c>
      <x:c r="C107" s="36" t="str">
        <x:v>BU Led</x:v>
      </x:c>
      <x:c r="D107" s="36" t="str">
        <x:v>Sleep &amp; Respiratory Care (SRC)</x:v>
      </x:c>
      <x:c r="E107" s="36" t="str"/>
      <x:c r="F107" s="36" t="str">
        <x:v>New Feature</x:v>
      </x:c>
      <x:c r="G107" s="36" t="str">
        <x:v>Revenue Increase</x:v>
      </x:c>
      <x:c r="H107" s="36" t="str">
        <x:v>Must Do</x:v>
      </x:c>
      <x:c r="I107" s="36" t="str">
        <x:v>New Initiative</x:v>
      </x:c>
      <x:c r="J107" s="38" t="n">
        <x:v>0.513</x:v>
      </x:c>
      <x:c r="K107" s="38"/>
      <x:c r="L107" s="38"/>
      <x:c r="M107" s="38" t="n">
        <x:v>0.513</x:v>
      </x:c>
      <x:c r="N107" s="38"/>
      <x:c r="O107" s="38" t="n">
        <x:v>1.25</x:v>
      </x:c>
      <x:c r="P107" s="37" t="str">
        <x:v>1250</x:v>
      </x:c>
      <x:c r="Q107" s="37" t="str">
        <x:v>Revenue</x:v>
      </x:c>
      <x:c r="R107" s="37" t="str">
        <x:v>Impact of 2M on productivity savings and revenue growth</x:v>
      </x:c>
      <x:c r="S107" s="37" t="str">
        <x: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x:v>
      </x:c>
      <x:c r="T107" s="37" t="str">
        <x:v>NAM and IR customer price lists to consume APL as a backend to populate / manage pricing by customer.
All active materials must have customer level pricing populated in SAP.
All materials that must be listed on customer price lists, must be active hence be listed on APL.</x:v>
      </x:c>
      <x:c r="U107" s="37" t="str"/>
      <x:c r="V107" s="36" t="str"/>
      <x:c r="W107" s="36" t="str"/>
      <x:c r="X107" s="36"/>
      <x:c r="Y107" s="36" t="str">
        <x:v>NotAssessed</x:v>
      </x:c>
      <x:c r="Z107" s="36" t="str"/>
      <x:c r="AA107" s="36" t="str"/>
      <x:c r="AB107" s="36"/>
      <x:c r="AC107" s="36"/>
      <x:c r="AD107" s="36" t="str"/>
      <x:c r="AE107" s="36" t="str"/>
      <x:c r="AF107" s="36" t="str">
        <x:v>Name and organisation matched</x:v>
      </x:c>
      <x:c r="AG107" s="36" t="str">
        <x:v>Common pot</x:v>
      </x:c>
      <x:c r="AH107" s="36" t="str">
        <x:v>BU Demand!row 263</x:v>
      </x:c>
      <x:c r="AI107" s="36" t="str">
        <x:v>NewFeat</x:v>
      </x:c>
      <x:c r="AJ107" s="36" t="str">
        <x:v>Revenue</x:v>
      </x:c>
      <x:c r="AK107" s="36" t="str">
        <x:v>Must Do</x:v>
      </x:c>
      <x:c r="AL107" s="36" t="n">
        <x:v>0</x:v>
      </x:c>
      <x:c r="AM107" s="36" t="n">
        <x:v>0</x:v>
      </x:c>
      <x:c r="AN107" s="43"/>
      <x:c r="AO107" s="43"/>
      <x:c r="AP107" s="43"/>
    </x:row>
    <x:row r="108" ht="15" hidden="0" customHeight="1">
      <x:c r="A108" s="36" t="str">
        <x:v>Bu-113</x:v>
      </x:c>
      <x:c r="B108" s="37" t="str">
        <x:v>Sales &amp; Marketing Transformation 2027</x:v>
      </x:c>
      <x:c r="C108" s="36" t="str">
        <x:v>BU Led</x:v>
      </x:c>
      <x:c r="D108" s="36" t="str">
        <x:v>Sleep &amp; Respiratory Care (SRC)</x:v>
      </x:c>
      <x:c r="E108" s="36" t="str"/>
      <x:c r="F108" s="36" t="str">
        <x:v>New Feature</x:v>
      </x:c>
      <x:c r="G108" s="36" t="str">
        <x:v>Revenue Increase</x:v>
      </x:c>
      <x:c r="H108" s="36" t="str">
        <x:v>Must Do</x:v>
      </x:c>
      <x:c r="I108" s="36" t="str">
        <x:v>New Initiative</x:v>
      </x:c>
      <x:c r="J108" s="38" t="n">
        <x:v>0.501</x:v>
      </x:c>
      <x:c r="K108" s="38"/>
      <x:c r="L108" s="38"/>
      <x:c r="M108" s="38" t="n">
        <x:v>0.501</x:v>
      </x:c>
      <x:c r="N108" s="38"/>
      <x:c r="O108" s="38" t="n">
        <x:v>1.7</x:v>
      </x:c>
      <x:c r="P108" s="37" t="str">
        <x:v>1700</x:v>
      </x:c>
      <x:c r="Q108" s="37" t="str">
        <x:v>Revenue</x:v>
      </x:c>
      <x:c r="R108" s="37" t="str">
        <x:v>Critical for achieving our SPOR objective of driving margin (IR) improvement and revenue growth through AI-led, data-driven pricing decisions; we will miss our SPOR targets</x:v>
      </x:c>
      <x:c r="S108" s="37" t="str">
        <x: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x:v>
      </x:c>
      <x:c r="T108" s="37" t="str">
        <x: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x:v>
      </x:c>
      <x:c r="U108" s="37" t="str"/>
      <x:c r="V108" s="36" t="str"/>
      <x:c r="W108" s="36" t="str"/>
      <x:c r="X108" s="36"/>
      <x:c r="Y108" s="36" t="str">
        <x:v>NotAssessed</x:v>
      </x:c>
      <x:c r="Z108" s="36" t="str"/>
      <x:c r="AA108" s="36" t="str"/>
      <x:c r="AB108" s="36"/>
      <x:c r="AC108" s="36"/>
      <x:c r="AD108" s="36" t="str"/>
      <x:c r="AE108" s="36" t="str"/>
      <x:c r="AF108" s="36" t="str">
        <x:v>Name and organisation matched</x:v>
      </x:c>
      <x:c r="AG108" s="36" t="str">
        <x:v>Common pot</x:v>
      </x:c>
      <x:c r="AH108" s="36" t="str">
        <x:v>BU Demand!row 266</x:v>
      </x:c>
      <x:c r="AI108" s="36" t="str">
        <x:v>NewFeat</x:v>
      </x:c>
      <x:c r="AJ108" s="36" t="str">
        <x:v>Revenue</x:v>
      </x:c>
      <x:c r="AK108" s="36" t="str">
        <x:v>Must Do</x:v>
      </x:c>
      <x:c r="AL108" s="36" t="n">
        <x:v>0</x:v>
      </x:c>
      <x:c r="AM108" s="36" t="n">
        <x:v>0</x:v>
      </x:c>
      <x:c r="AN108" s="43"/>
      <x:c r="AO108" s="43"/>
      <x:c r="AP108" s="43"/>
    </x:row>
    <x:row r="109" ht="15" hidden="0" customHeight="1">
      <x:c r="A109" s="36" t="str">
        <x:v>Bu-114</x:v>
      </x:c>
      <x:c r="B109" s="37" t="str">
        <x:v>Project Keystone 2027</x:v>
      </x:c>
      <x:c r="C109" s="36" t="str">
        <x:v>BU Led</x:v>
      </x:c>
      <x:c r="D109" s="36" t="str">
        <x:v>Sleep &amp; Respiratory Care (SRC)</x:v>
      </x:c>
      <x:c r="E109" s="36" t="str"/>
      <x:c r="F109" s="36" t="str">
        <x:v>New Feature</x:v>
      </x:c>
      <x:c r="G109" s="36" t="str">
        <x:v>Revenue Increase</x:v>
      </x:c>
      <x:c r="H109" s="36" t="str">
        <x:v>Must Do</x:v>
      </x:c>
      <x:c r="I109" s="36" t="str">
        <x:v>New Initiative</x:v>
      </x:c>
      <x:c r="J109" s="38" t="n">
        <x:v>0.6</x:v>
      </x:c>
      <x:c r="K109" s="38"/>
      <x:c r="L109" s="38"/>
      <x:c r="M109" s="38" t="n">
        <x:v>0.6</x:v>
      </x:c>
      <x:c r="N109" s="38"/>
      <x:c r="O109" s="38" t="n">
        <x:v>1.8</x:v>
      </x:c>
      <x:c r="P109" s="37" t="str">
        <x:v>1800</x:v>
      </x:c>
      <x:c r="Q109" s="37" t="str">
        <x:v>Revenue</x:v>
      </x:c>
      <x:c r="R109" s="37" t="str">
        <x:v>Direct impact on our NA Comeback program which targets revenue growth of 300-500 M over next 2 years</x:v>
      </x:c>
      <x:c r="S109" s="37" t="str">
        <x:v>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x:v>
      </x:c>
      <x:c r="T109" s="37" t="str">
        <x: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x:v>
      </x:c>
      <x:c r="U109" s="37" t="str"/>
      <x:c r="V109" s="36" t="str"/>
      <x:c r="W109" s="36" t="str"/>
      <x:c r="X109" s="36"/>
      <x:c r="Y109" s="36" t="str">
        <x:v>NotAssessed</x:v>
      </x:c>
      <x:c r="Z109" s="36" t="str"/>
      <x:c r="AA109" s="36" t="str"/>
      <x:c r="AB109" s="36"/>
      <x:c r="AC109" s="36"/>
      <x:c r="AD109" s="36" t="str"/>
      <x:c r="AE109" s="36" t="str"/>
      <x:c r="AF109" s="36" t="str">
        <x:v>Name and organisation matched</x:v>
      </x:c>
      <x:c r="AG109" s="36" t="str">
        <x:v>Common pot</x:v>
      </x:c>
      <x:c r="AH109" s="36" t="str">
        <x:v>BU Demand!row 276</x:v>
      </x:c>
      <x:c r="AI109" s="36" t="str">
        <x:v>NewFeat</x:v>
      </x:c>
      <x:c r="AJ109" s="36" t="str">
        <x:v>Revenue</x:v>
      </x:c>
      <x:c r="AK109" s="36" t="str">
        <x:v>Must Do</x:v>
      </x:c>
      <x:c r="AL109" s="36" t="n">
        <x:v>0</x:v>
      </x:c>
      <x:c r="AM109" s="36" t="n">
        <x:v>0</x:v>
      </x:c>
      <x:c r="AN109" s="43"/>
      <x:c r="AO109" s="43"/>
      <x:c r="AP109" s="43"/>
    </x:row>
    <x:row r="110" ht="15" hidden="0" customHeight="1">
      <x:c r="A110" s="36" t="str">
        <x:v>Bu-115</x:v>
      </x:c>
      <x:c r="B110" s="37" t="str">
        <x:v>SFDC NAM Changes</x:v>
      </x:c>
      <x:c r="C110" s="36" t="str">
        <x:v>BU Led</x:v>
      </x:c>
      <x:c r="D110" s="36" t="str">
        <x:v>Sleep &amp; Respiratory Care (SRC)</x:v>
      </x:c>
      <x:c r="E110" s="36" t="str"/>
      <x:c r="F110" s="36" t="str">
        <x:v>Continous Improvement</x:v>
      </x:c>
      <x:c r="G110" s="36" t="str">
        <x:v>Productivity savings</x:v>
      </x:c>
      <x:c r="H110" s="36" t="str">
        <x:v>Must Do</x:v>
      </x:c>
      <x:c r="I110" s="36" t="str">
        <x:v>New Initiative</x:v>
      </x:c>
      <x:c r="J110" s="38" t="n">
        <x:v>0.08</x:v>
      </x:c>
      <x:c r="K110" s="38"/>
      <x:c r="L110" s="38"/>
      <x:c r="M110" s="38" t="n">
        <x:v>0.08</x:v>
      </x:c>
      <x:c r="N110" s="38"/>
      <x:c r="O110" s="38" t="n">
        <x:v>0.25</x:v>
      </x:c>
      <x:c r="P110" s="37" t="str">
        <x:v>250</x:v>
      </x:c>
      <x:c r="Q110" s="37" t="str">
        <x:v>Cash savings</x:v>
      </x:c>
      <x:c r="R110" s="37" t="str">
        <x:v>Critical for standardizing the WoW and without this, we will not be able to realize benefits</x:v>
      </x:c>
      <x:c r="S110" s="37" t="str">
        <x: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x:v>
      </x:c>
      <x:c r="T110" s="37" t="str">
        <x: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x:v>
      </x:c>
      <x:c r="U110" s="37" t="str"/>
      <x:c r="V110" s="36" t="str"/>
      <x:c r="W110" s="36" t="str"/>
      <x:c r="X110" s="36"/>
      <x:c r="Y110" s="36" t="str">
        <x:v>NotAssessed</x:v>
      </x:c>
      <x:c r="Z110" s="36" t="str"/>
      <x:c r="AA110" s="36" t="str"/>
      <x:c r="AB110" s="36"/>
      <x:c r="AC110" s="36"/>
      <x:c r="AD110" s="36" t="str"/>
      <x:c r="AE110" s="36" t="str"/>
      <x:c r="AF110" s="36" t="str">
        <x:v>Name and organisation matched</x:v>
      </x:c>
      <x:c r="AG110" s="36" t="str">
        <x:v>Common pot</x:v>
      </x:c>
      <x:c r="AH110" s="36" t="str">
        <x:v>BU Demand!row 286</x:v>
      </x:c>
      <x:c r="AI110" s="36" t="str">
        <x:v>CI</x:v>
      </x:c>
      <x:c r="AJ110" s="36" t="str">
        <x:v>Productivity</x:v>
      </x:c>
      <x:c r="AK110" s="36" t="str">
        <x:v>Must Do</x:v>
      </x:c>
      <x:c r="AL110" s="36" t="n">
        <x:v>0</x:v>
      </x:c>
      <x:c r="AM110" s="36" t="n">
        <x:v>0</x:v>
      </x:c>
      <x:c r="AN110" s="43"/>
      <x:c r="AO110" s="43"/>
      <x:c r="AP110" s="43"/>
    </x:row>
    <x:row r="111" ht="15" hidden="0" customHeight="1">
      <x:c r="A111" s="36" t="str">
        <x:v>Bu-116</x:v>
      </x:c>
      <x:c r="B111" s="37" t="str">
        <x:v>SRC Uno Analytics</x:v>
      </x:c>
      <x:c r="C111" s="36" t="str">
        <x:v>BU Led</x:v>
      </x:c>
      <x:c r="D111" s="36" t="str">
        <x:v>Sleep &amp; Respiratory Care (SRC)</x:v>
      </x:c>
      <x:c r="E111" s="36" t="str"/>
      <x:c r="F111" s="36" t="str">
        <x:v>Legal Fiscal, Regulatory &amp; Compliancy</x:v>
      </x:c>
      <x:c r="G111" s="36" t="str">
        <x:v>Compliance/Keeping the lights on</x:v>
      </x:c>
      <x:c r="H111" s="36" t="str">
        <x:v>Must Do</x:v>
      </x:c>
      <x:c r="I111" s="36" t="str">
        <x:v>New Initiative</x:v>
      </x:c>
      <x:c r="J111" s="38" t="n">
        <x:v>0.08</x:v>
      </x:c>
      <x:c r="K111" s="38"/>
      <x:c r="L111" s="38"/>
      <x:c r="M111" s="38" t="n">
        <x:v>0.08</x:v>
      </x:c>
      <x:c r="N111" s="38"/>
      <x:c r="O111" s="38"/>
      <x:c r="P111" s="37" t="str"/>
      <x:c r="Q111" s="37" t="str">
        <x:v>Risk exposure</x:v>
      </x:c>
      <x:c r="R111" s="37" t="str">
        <x:v>Direct impact on CD and injunction lift which prohibits us to sell in NA; overall revenue for that category was ~1000 M before injunction</x:v>
      </x:c>
      <x:c r="S111" s="37" t="str">
        <x:v>Lack visibility into recall related metrics and information</x:v>
      </x:c>
      <x:c r="T111" s="37" t="str">
        <x:v>Recall related reports as requested by PS&amp;Q team</x:v>
      </x:c>
      <x:c r="U111" s="37" t="str"/>
      <x:c r="V111" s="36" t="str">
        <x:v>2027</x:v>
      </x:c>
      <x:c r="W111" s="36" t="str">
        <x:v>Consent Decree</x:v>
      </x:c>
      <x:c r="X111" s="36"/>
      <x:c r="Y111" s="36" t="str">
        <x:v>NotAssessed</x:v>
      </x:c>
      <x:c r="Z111" s="36" t="str">
        <x:v>YES</x:v>
      </x:c>
      <x:c r="AA111" s="36" t="str">
        <x:v>5 — Exactly the minimum — only what's needed to meet the rule, nothing more.</x:v>
      </x:c>
      <x:c r="AB111" s="36" t="n">
        <x:v>5</x:v>
      </x:c>
      <x:c r="AC111" s="36" t="n">
        <x:v>20</x:v>
      </x:c>
      <x:c r="AD111" s="36" t="str">
        <x:v>P1 — Immediate</x:v>
      </x:c>
      <x:c r="AE111" s="36" t="str"/>
      <x:c r="AF111" s="36" t="str">
        <x:v>Name and organisation matched</x:v>
      </x:c>
      <x:c r="AG111" s="36" t="str">
        <x:v>LFR validated candidate</x:v>
      </x:c>
      <x:c r="AH111" s="36" t="str">
        <x:v>BU Demand!row 292</x:v>
      </x:c>
      <x:c r="AI111" s="36" t="str">
        <x:v>LFR</x:v>
      </x:c>
      <x:c r="AJ111" s="36" t="str">
        <x:v>Compliance</x:v>
      </x:c>
      <x:c r="AK111" s="36" t="str">
        <x:v>Must Do</x:v>
      </x:c>
      <x:c r="AL111" s="36" t="n">
        <x:v>0</x:v>
      </x:c>
      <x:c r="AM111" s="36" t="n">
        <x:v>0</x:v>
      </x:c>
      <x:c r="AN111" s="43"/>
      <x:c r="AO111" s="43"/>
      <x:c r="AP111" s="43"/>
    </x:row>
    <x:row r="112" ht="15" hidden="0" customHeight="1">
      <x:c r="A112" s="36" t="str">
        <x:v>Bu-117</x:v>
      </x:c>
      <x:c r="B112" s="37" t="str">
        <x:v>SRC Uno Data Lake</x:v>
      </x:c>
      <x:c r="C112" s="36" t="str">
        <x:v>BU Led</x:v>
      </x:c>
      <x:c r="D112" s="36" t="str">
        <x:v>Sleep &amp; Respiratory Care (SRC)</x:v>
      </x:c>
      <x:c r="E112" s="36" t="str"/>
      <x:c r="F112" s="36" t="str">
        <x:v>Legal Fiscal, Regulatory &amp; Compliancy</x:v>
      </x:c>
      <x:c r="G112" s="36" t="str">
        <x:v>Compliance/Keeping the lights on</x:v>
      </x:c>
      <x:c r="H112" s="36" t="str">
        <x:v>Must Do</x:v>
      </x:c>
      <x:c r="I112" s="36" t="str">
        <x:v>New Initiative</x:v>
      </x:c>
      <x:c r="J112" s="38" t="n">
        <x:v>0.13</x:v>
      </x:c>
      <x:c r="K112" s="38"/>
      <x:c r="L112" s="38"/>
      <x:c r="M112" s="38" t="n">
        <x:v>0.13</x:v>
      </x:c>
      <x:c r="N112" s="38"/>
      <x:c r="O112" s="38"/>
      <x:c r="P112" s="37" t="str"/>
      <x:c r="Q112" s="37" t="str">
        <x:v>Risk exposure</x:v>
      </x:c>
      <x:c r="R112" s="37" t="str">
        <x:v>Direct impact on CD and injunction lift which prohibits us to sell in NA; overall revenue for that category was ~1000 M before injunction</x:v>
      </x:c>
      <x:c r="S112" s="37" t="str">
        <x:v>Data Lake costs to supports recall related analytics</x:v>
      </x:c>
      <x:c r="T112" s="37" t="str">
        <x:v>Data Lake costs to supports recall related analytics</x:v>
      </x:c>
      <x:c r="U112" s="37" t="str"/>
      <x:c r="V112" s="36" t="str">
        <x:v>2027</x:v>
      </x:c>
      <x:c r="W112" s="36" t="str">
        <x:v>Consent Decree</x:v>
      </x:c>
      <x:c r="X112" s="36"/>
      <x:c r="Y112" s="36" t="str">
        <x:v>NotAssessed</x:v>
      </x:c>
      <x:c r="Z112" s="36" t="str">
        <x:v>YES</x:v>
      </x:c>
      <x:c r="AA112" s="36" t="str">
        <x:v>5 — Exactly the minimum — only what's needed to meet the rule, nothing more.</x:v>
      </x:c>
      <x:c r="AB112" s="36" t="n">
        <x:v>5</x:v>
      </x:c>
      <x:c r="AC112" s="36" t="n">
        <x:v>20</x:v>
      </x:c>
      <x:c r="AD112" s="36" t="str">
        <x:v>P1 — Immediate</x:v>
      </x:c>
      <x:c r="AE112" s="36" t="str"/>
      <x:c r="AF112" s="36" t="str">
        <x:v>Name and organisation matched</x:v>
      </x:c>
      <x:c r="AG112" s="36" t="str">
        <x:v>LFR validated candidate</x:v>
      </x:c>
      <x:c r="AH112" s="36" t="str">
        <x:v>BU Demand!row 293</x:v>
      </x:c>
      <x:c r="AI112" s="36" t="str">
        <x:v>LFR</x:v>
      </x:c>
      <x:c r="AJ112" s="36" t="str">
        <x:v>Compliance</x:v>
      </x:c>
      <x:c r="AK112" s="36" t="str">
        <x:v>Must Do</x:v>
      </x:c>
      <x:c r="AL112" s="36" t="n">
        <x:v>0</x:v>
      </x:c>
      <x:c r="AM112" s="36" t="n">
        <x:v>0</x:v>
      </x:c>
      <x:c r="AN112" s="43"/>
      <x:c r="AO112" s="43"/>
      <x:c r="AP112" s="43"/>
    </x:row>
    <x:row r="113" ht="15" hidden="0" customHeight="1">
      <x:c r="A113" s="36" t="str">
        <x:v>Bu-118</x:v>
      </x:c>
      <x:c r="B113" s="37" t="str">
        <x:v>Planisware/PARP, QlikSense/ADL, cPLM (Windchill)</x:v>
      </x:c>
      <x:c r="C113" s="36" t="str">
        <x:v>BU Led</x:v>
      </x:c>
      <x:c r="D113" s="36" t="str">
        <x:v>Image Guided Therapy - Systems (IGT-S)</x:v>
      </x:c>
      <x:c r="E113" s="36" t="str">
        <x:v>1007030</x:v>
      </x:c>
      <x:c r="F113" s="36" t="str">
        <x:v>New Feature</x:v>
      </x:c>
      <x:c r="G113" s="36" t="str">
        <x:v>Productivity savings</x:v>
      </x:c>
      <x:c r="H113" s="36" t="str">
        <x:v>Must Have</x:v>
      </x:c>
      <x:c r="I113" s="36" t="str">
        <x:v>Carry Over</x:v>
      </x:c>
      <x:c r="J113" s="38" t="n">
        <x:v>0.515</x:v>
      </x:c>
      <x:c r="K113" s="38"/>
      <x:c r="L113" s="38"/>
      <x:c r="M113" s="38"/>
      <x:c r="N113" s="38"/>
      <x:c r="O113" s="38" t="n">
        <x:v>1.723</x:v>
      </x:c>
      <x:c r="P113" s="37" t="str">
        <x:v>1723</x:v>
      </x:c>
      <x:c r="Q113" s="37" t="str">
        <x:v>Cash savings</x:v>
      </x:c>
      <x:c r="R113" s="37" t="str">
        <x:v>Delays improvements to R&amp;D planning, engineering collaboration, reporting and decision-making capabilities, resulting in continued manual workarounds, reduced productivity, lower data quality, and delayed execution of engineering and portfolio-management processes.</x:v>
      </x:c>
      <x:c r="S113" s="37" t="str">
        <x: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x:v>
      </x:c>
      <x:c r="T113" s="37" t="str">
        <x: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x:v>
      </x:c>
      <x:c r="U113" s="37" t="str"/>
      <x:c r="V113" s="36" t="str"/>
      <x:c r="W113" s="36" t="str"/>
      <x:c r="X113" s="36"/>
      <x:c r="Y113" s="36" t="str">
        <x:v>NotAssessed</x:v>
      </x:c>
      <x:c r="Z113" s="36" t="str"/>
      <x:c r="AA113" s="36" t="str"/>
      <x:c r="AB113" s="36"/>
      <x:c r="AC113" s="36"/>
      <x:c r="AD113" s="36" t="str"/>
      <x:c r="AE113" s="36" t="str"/>
      <x:c r="AF113" s="36" t="str">
        <x:v>No exact waste match</x:v>
      </x:c>
      <x:c r="AG113" s="36" t="str">
        <x:v>Common pot</x:v>
      </x:c>
      <x:c r="AH113" s="36" t="str">
        <x:v>BU Demand!row 294</x:v>
      </x:c>
      <x:c r="AI113" s="36" t="str">
        <x:v>NewFeat</x:v>
      </x:c>
      <x:c r="AJ113" s="36" t="str">
        <x:v>Productivity</x:v>
      </x:c>
      <x:c r="AK113" s="36" t="str">
        <x:v>Must Have</x:v>
      </x:c>
      <x:c r="AL113" s="36" t="n">
        <x:v>0</x:v>
      </x:c>
      <x:c r="AM113" s="36" t="n">
        <x:v>0</x:v>
      </x:c>
      <x:c r="AN113" s="43"/>
      <x:c r="AO113" s="43"/>
      <x:c r="AP113" s="43"/>
    </x:row>
    <x:row r="114" ht="15" hidden="0" customHeight="1">
      <x:c r="A114" s="36" t="str">
        <x:v>Bu-119</x:v>
      </x:c>
      <x:c r="B114" s="37" t="str"/>
      <x:c r="C114" s="36" t="str">
        <x:v>BU Led</x:v>
      </x:c>
      <x:c r="D114" s="36" t="str"/>
      <x:c r="E114" s="36" t="str"/>
      <x:c r="F114" s="36" t="str"/>
      <x:c r="G114" s="36" t="str"/>
      <x:c r="H114" s="36" t="str"/>
      <x:c r="I114" s="36" t="str"/>
      <x:c r="J114" s="38"/>
      <x:c r="K114" s="38"/>
      <x:c r="L114" s="38"/>
      <x:c r="M114" s="38"/>
      <x:c r="N114" s="38"/>
      <x:c r="O114" s="38"/>
      <x:c r="P114" s="37" t="str"/>
      <x:c r="Q114" s="37" t="str">
        <x:v>Unclassified</x:v>
      </x:c>
      <x:c r="R114" s="37" t="str"/>
      <x:c r="S114" s="37" t="str"/>
      <x:c r="T114" s="37" t="str"/>
      <x:c r="U114" s="37" t="str"/>
      <x:c r="V114" s="36" t="str"/>
      <x:c r="W114" s="36" t="str"/>
      <x:c r="X114" s="36"/>
      <x:c r="Y114" s="36" t="str">
        <x:v>NotAssessed</x:v>
      </x:c>
      <x:c r="Z114" s="36" t="str"/>
      <x:c r="AA114" s="36" t="str"/>
      <x:c r="AB114" s="36"/>
      <x:c r="AC114" s="36"/>
      <x:c r="AD114" s="36" t="str"/>
      <x:c r="AE114" s="36" t="str"/>
      <x:c r="AF114" s="36" t="str">
        <x:v>No exact waste match</x:v>
      </x:c>
      <x:c r="AG114" s="36" t="str">
        <x:v>Incomplete record</x:v>
      </x:c>
      <x:c r="AH114" s="36" t="str">
        <x:v>BU Demand!row 297</x:v>
      </x:c>
      <x:c r="AI114" s="36" t="str">
        <x:v>Blank</x:v>
      </x:c>
      <x:c r="AJ114" s="36" t="str">
        <x:v>Blank</x:v>
      </x:c>
      <x:c r="AK114" s="36" t="str">
        <x:v>Blank</x:v>
      </x:c>
      <x:c r="AL114" s="36" t="n">
        <x:v>0</x:v>
      </x:c>
      <x:c r="AM114" s="36" t="n">
        <x:v>1</x:v>
      </x:c>
      <x:c r="AN114" s="43"/>
      <x:c r="AO114" s="43"/>
      <x:c r="AP114" s="43"/>
    </x:row>
    <x:row r="115" ht="15" hidden="0" customHeight="1">
      <x:c r="A115" s="36" t="str">
        <x:v>Bu-120</x:v>
      </x:c>
      <x:c r="B115" s="37" t="str"/>
      <x:c r="C115" s="36" t="str">
        <x:v>BU Led</x:v>
      </x:c>
      <x:c r="D115" s="36" t="str"/>
      <x:c r="E115" s="36" t="str"/>
      <x:c r="F115" s="36" t="str"/>
      <x:c r="G115" s="36" t="str"/>
      <x:c r="H115" s="36" t="str"/>
      <x:c r="I115" s="36" t="str"/>
      <x:c r="J115" s="38"/>
      <x:c r="K115" s="38"/>
      <x:c r="L115" s="38"/>
      <x:c r="M115" s="38"/>
      <x:c r="N115" s="38"/>
      <x:c r="O115" s="38"/>
      <x:c r="P115" s="37" t="str"/>
      <x:c r="Q115" s="37" t="str">
        <x:v>Unclassified</x:v>
      </x:c>
      <x:c r="R115" s="37" t="str"/>
      <x:c r="S115" s="37" t="str"/>
      <x:c r="T115" s="37" t="str"/>
      <x:c r="U115" s="37" t="str"/>
      <x:c r="V115" s="36" t="str"/>
      <x:c r="W115" s="36" t="str"/>
      <x:c r="X115" s="36"/>
      <x:c r="Y115" s="36" t="str">
        <x:v>NotAssessed</x:v>
      </x:c>
      <x:c r="Z115" s="36" t="str"/>
      <x:c r="AA115" s="36" t="str"/>
      <x:c r="AB115" s="36"/>
      <x:c r="AC115" s="36"/>
      <x:c r="AD115" s="36" t="str"/>
      <x:c r="AE115" s="36" t="str"/>
      <x:c r="AF115" s="36" t="str">
        <x:v>No exact waste match</x:v>
      </x:c>
      <x:c r="AG115" s="36" t="str">
        <x:v>Incomplete record</x:v>
      </x:c>
      <x:c r="AH115" s="36" t="str">
        <x:v>BU Demand!row 298</x:v>
      </x:c>
      <x:c r="AI115" s="36" t="str">
        <x:v>Blank</x:v>
      </x:c>
      <x:c r="AJ115" s="36" t="str">
        <x:v>Blank</x:v>
      </x:c>
      <x:c r="AK115" s="36" t="str">
        <x:v>Blank</x:v>
      </x:c>
      <x:c r="AL115" s="36" t="n">
        <x:v>0</x:v>
      </x:c>
      <x:c r="AM115" s="36" t="n">
        <x:v>1</x:v>
      </x:c>
      <x:c r="AN115" s="43"/>
      <x:c r="AO115" s="43"/>
      <x:c r="AP115" s="43"/>
    </x:row>
    <x:row r="116" ht="15" hidden="0" customHeight="1">
      <x:c r="A116" s="36" t="str">
        <x:v>Bu-121</x:v>
      </x:c>
      <x:c r="B116" s="37" t="str"/>
      <x:c r="C116" s="36" t="str">
        <x:v>BU Led</x:v>
      </x:c>
      <x:c r="D116" s="36" t="str"/>
      <x:c r="E116" s="36" t="str"/>
      <x:c r="F116" s="36" t="str"/>
      <x:c r="G116" s="36" t="str"/>
      <x:c r="H116" s="36" t="str"/>
      <x:c r="I116" s="36" t="str"/>
      <x:c r="J116" s="38"/>
      <x:c r="K116" s="38"/>
      <x:c r="L116" s="38"/>
      <x:c r="M116" s="38"/>
      <x:c r="N116" s="38"/>
      <x:c r="O116" s="38"/>
      <x:c r="P116" s="37" t="str"/>
      <x:c r="Q116" s="37" t="str">
        <x:v>Unclassified</x:v>
      </x:c>
      <x:c r="R116" s="37" t="str"/>
      <x:c r="S116" s="37" t="str"/>
      <x:c r="T116" s="37" t="str"/>
      <x:c r="U116" s="37" t="str"/>
      <x:c r="V116" s="36" t="str"/>
      <x:c r="W116" s="36" t="str"/>
      <x:c r="X116" s="36"/>
      <x:c r="Y116" s="36" t="str">
        <x:v>NotAssessed</x:v>
      </x:c>
      <x:c r="Z116" s="36" t="str"/>
      <x:c r="AA116" s="36" t="str"/>
      <x:c r="AB116" s="36"/>
      <x:c r="AC116" s="36"/>
      <x:c r="AD116" s="36" t="str"/>
      <x:c r="AE116" s="36" t="str"/>
      <x:c r="AF116" s="36" t="str">
        <x:v>No exact waste match</x:v>
      </x:c>
      <x:c r="AG116" s="36" t="str">
        <x:v>Incomplete record</x:v>
      </x:c>
      <x:c r="AH116" s="36" t="str">
        <x:v>BU Demand!row 299</x:v>
      </x:c>
      <x:c r="AI116" s="36" t="str">
        <x:v>Blank</x:v>
      </x:c>
      <x:c r="AJ116" s="36" t="str">
        <x:v>Blank</x:v>
      </x:c>
      <x:c r="AK116" s="36" t="str">
        <x:v>Blank</x:v>
      </x:c>
      <x:c r="AL116" s="36" t="n">
        <x:v>0</x:v>
      </x:c>
      <x:c r="AM116" s="36" t="n">
        <x:v>1</x:v>
      </x:c>
      <x:c r="AN116" s="43"/>
      <x:c r="AO116" s="43"/>
      <x:c r="AP116" s="43"/>
    </x:row>
    <x:row r="117" ht="15" hidden="0" customHeight="1">
      <x:c r="A117" s="36" t="str">
        <x:v>Bu-122</x:v>
      </x:c>
      <x:c r="B117" s="37" t="str"/>
      <x:c r="C117" s="36" t="str">
        <x:v>BU Led</x:v>
      </x:c>
      <x:c r="D117" s="36" t="str">
        <x:v>Service Transformation Office (STO)</x:v>
      </x:c>
      <x:c r="E117" s="36" t="str"/>
      <x:c r="F117" s="36" t="str"/>
      <x:c r="G117" s="36" t="str"/>
      <x:c r="H117" s="36" t="str"/>
      <x:c r="I117" s="36" t="str"/>
      <x:c r="J117" s="38"/>
      <x:c r="K117" s="38"/>
      <x:c r="L117" s="38"/>
      <x:c r="M117" s="38"/>
      <x:c r="N117" s="38"/>
      <x:c r="O117" s="38"/>
      <x:c r="P117" s="37" t="str"/>
      <x:c r="Q117" s="37" t="str">
        <x:v>Unclassified</x:v>
      </x:c>
      <x:c r="R117" s="37" t="str"/>
      <x:c r="S117" s="37" t="str"/>
      <x:c r="T117" s="37" t="str"/>
      <x:c r="U117" s="37" t="str"/>
      <x:c r="V117" s="36" t="str"/>
      <x:c r="W117" s="36" t="str"/>
      <x:c r="X117" s="36"/>
      <x:c r="Y117" s="36" t="str">
        <x:v>NotAssessed</x:v>
      </x:c>
      <x:c r="Z117" s="36" t="str"/>
      <x:c r="AA117" s="36" t="str"/>
      <x:c r="AB117" s="36"/>
      <x:c r="AC117" s="36"/>
      <x:c r="AD117" s="36" t="str"/>
      <x:c r="AE117" s="36" t="str"/>
      <x:c r="AF117" s="36" t="str">
        <x:v>No exact waste match</x:v>
      </x:c>
      <x:c r="AG117" s="36" t="str">
        <x:v>Incomplete record</x:v>
      </x:c>
      <x:c r="AH117" s="36" t="str">
        <x:v>BU Demand!row 300</x:v>
      </x:c>
      <x:c r="AI117" s="36" t="str">
        <x:v>Blank</x:v>
      </x:c>
      <x:c r="AJ117" s="36" t="str">
        <x:v>Blank</x:v>
      </x:c>
      <x:c r="AK117" s="36" t="str">
        <x:v>Blank</x:v>
      </x:c>
      <x:c r="AL117" s="36" t="n">
        <x:v>0</x:v>
      </x:c>
      <x:c r="AM117" s="36" t="n">
        <x:v>1</x:v>
      </x:c>
      <x:c r="AN117" s="43"/>
      <x:c r="AO117" s="43"/>
      <x:c r="AP117" s="43"/>
    </x:row>
    <x:row r="118" ht="15" hidden="0" customHeight="1">
      <x:c r="A118" s="36" t="str">
        <x:v>Bu-123</x:v>
      </x:c>
      <x:c r="B118" s="37" t="str">
        <x:v>TrueContext replacement</x:v>
      </x:c>
      <x:c r="C118" s="36" t="str">
        <x:v>BU Led</x:v>
      </x:c>
      <x:c r="D118" s="36" t="str">
        <x:v>Service Transformation Office (STO)</x:v>
      </x:c>
      <x:c r="E118" s="36" t="str"/>
      <x:c r="F118" s="36" t="str">
        <x:v>Decomm/Replatforming</x:v>
      </x:c>
      <x:c r="G118" s="36" t="str"/>
      <x:c r="H118" s="36" t="str"/>
      <x:c r="I118" s="36" t="str">
        <x:v>New Initiative</x:v>
      </x:c>
      <x:c r="J118" s="38" t="n">
        <x:v>0.7</x:v>
      </x:c>
      <x:c r="K118" s="38"/>
      <x:c r="L118" s="38"/>
      <x:c r="M118" s="38"/>
      <x:c r="N118" s="38"/>
      <x:c r="O118" s="38"/>
      <x:c r="P118" s="37" t="str"/>
      <x:c r="Q118" s="37" t="str">
        <x:v>Unclassified</x:v>
      </x:c>
      <x:c r="R118" s="37" t="str"/>
      <x:c r="S118" s="37" t="str"/>
      <x:c r="T118" s="37" t="str"/>
      <x:c r="U118" s="37" t="str"/>
      <x:c r="V118" s="36" t="str"/>
      <x:c r="W118" s="36" t="str"/>
      <x:c r="X118" s="36"/>
      <x:c r="Y118" s="36" t="str">
        <x:v>NotAssessed</x:v>
      </x:c>
      <x:c r="Z118" s="36" t="str"/>
      <x:c r="AA118" s="36" t="str"/>
      <x:c r="AB118" s="36"/>
      <x:c r="AC118" s="36"/>
      <x:c r="AD118" s="36" t="str"/>
      <x:c r="AE118" s="36" t="str"/>
      <x:c r="AF118" s="36" t="str">
        <x:v>Name and organisation matched</x:v>
      </x:c>
      <x:c r="AG118" s="36" t="str">
        <x:v>Common pot</x:v>
      </x:c>
      <x:c r="AH118" s="36" t="str">
        <x:v>BU Demand!row 301</x:v>
      </x:c>
      <x:c r="AI118" s="36" t="str">
        <x:v>Decomm</x:v>
      </x:c>
      <x:c r="AJ118" s="36" t="str">
        <x:v>Blank</x:v>
      </x:c>
      <x:c r="AK118" s="36" t="str">
        <x:v>Blank</x:v>
      </x:c>
      <x:c r="AL118" s="36" t="n">
        <x:v>0</x:v>
      </x:c>
      <x:c r="AM118" s="36" t="n">
        <x:v>0</x:v>
      </x:c>
      <x:c r="AN118" s="43"/>
      <x:c r="AO118" s="43"/>
      <x:c r="AP118" s="43"/>
    </x:row>
    <x:row r="119" ht="15" hidden="0" customHeight="1">
      <x:c r="A119" s="36" t="str">
        <x:v>Bu-124</x:v>
      </x:c>
      <x:c r="B119" s="37" t="str">
        <x:v>Decisions replacement</x:v>
      </x:c>
      <x:c r="C119" s="36" t="str">
        <x:v>BU Led</x:v>
      </x:c>
      <x:c r="D119" s="36" t="str">
        <x:v>Service Transformation Office (STO)</x:v>
      </x:c>
      <x:c r="E119" s="36" t="str"/>
      <x:c r="F119" s="36" t="str">
        <x:v>Decomm/Replatforming</x:v>
      </x:c>
      <x:c r="G119" s="36" t="str"/>
      <x:c r="H119" s="36" t="str"/>
      <x:c r="I119" s="36" t="str">
        <x:v>New Initiative</x:v>
      </x:c>
      <x:c r="J119" s="38" t="n">
        <x:v>0.1</x:v>
      </x:c>
      <x:c r="K119" s="38"/>
      <x:c r="L119" s="38"/>
      <x:c r="M119" s="38"/>
      <x:c r="N119" s="38"/>
      <x:c r="O119" s="38"/>
      <x:c r="P119" s="37" t="str"/>
      <x:c r="Q119" s="37" t="str">
        <x:v>Unclassified</x:v>
      </x:c>
      <x:c r="R119" s="37" t="str"/>
      <x:c r="S119" s="37" t="str"/>
      <x:c r="T119" s="37" t="str"/>
      <x:c r="U119" s="37" t="str"/>
      <x:c r="V119" s="36" t="str"/>
      <x:c r="W119" s="36" t="str"/>
      <x:c r="X119" s="36"/>
      <x:c r="Y119" s="36" t="str">
        <x:v>NotAssessed</x:v>
      </x:c>
      <x:c r="Z119" s="36" t="str"/>
      <x:c r="AA119" s="36" t="str"/>
      <x:c r="AB119" s="36"/>
      <x:c r="AC119" s="36"/>
      <x:c r="AD119" s="36" t="str"/>
      <x:c r="AE119" s="36" t="str"/>
      <x:c r="AF119" s="36" t="str">
        <x:v>Name and organisation matched</x:v>
      </x:c>
      <x:c r="AG119" s="36" t="str">
        <x:v>Common pot</x:v>
      </x:c>
      <x:c r="AH119" s="36" t="str">
        <x:v>BU Demand!row 302</x:v>
      </x:c>
      <x:c r="AI119" s="36" t="str">
        <x:v>Decomm</x:v>
      </x:c>
      <x:c r="AJ119" s="36" t="str">
        <x:v>Blank</x:v>
      </x:c>
      <x:c r="AK119" s="36" t="str">
        <x:v>Blank</x:v>
      </x:c>
      <x:c r="AL119" s="36" t="n">
        <x:v>0</x:v>
      </x:c>
      <x:c r="AM119" s="36" t="n">
        <x:v>0</x:v>
      </x:c>
      <x:c r="AN119" s="43"/>
      <x:c r="AO119" s="43"/>
      <x:c r="AP119" s="43"/>
    </x:row>
    <x:row r="120" ht="15" hidden="0" customHeight="1">
      <x:c r="A120" s="36" t="str">
        <x:v>Bu-125</x:v>
      </x:c>
      <x:c r="B120" s="37" t="str">
        <x:v>PS Cloud replacement</x:v>
      </x:c>
      <x:c r="C120" s="36" t="str">
        <x:v>BU Led</x:v>
      </x:c>
      <x:c r="D120" s="36" t="str">
        <x:v>Service Transformation Office (STO)</x:v>
      </x:c>
      <x:c r="E120" s="36" t="str"/>
      <x:c r="F120" s="36" t="str">
        <x:v>Decomm/Replatforming</x:v>
      </x:c>
      <x:c r="G120" s="36" t="str"/>
      <x:c r="H120" s="36" t="str"/>
      <x:c r="I120" s="36" t="str">
        <x:v>New Initiative</x:v>
      </x:c>
      <x:c r="J120" s="38" t="n">
        <x:v>0.7</x:v>
      </x:c>
      <x:c r="K120" s="38"/>
      <x:c r="L120" s="38"/>
      <x:c r="M120" s="38"/>
      <x:c r="N120" s="38"/>
      <x:c r="O120" s="38"/>
      <x:c r="P120" s="37" t="str"/>
      <x:c r="Q120" s="37" t="str">
        <x:v>Unclassified</x:v>
      </x:c>
      <x:c r="R120" s="37" t="str"/>
      <x:c r="S120" s="37" t="str"/>
      <x:c r="T120" s="37" t="str"/>
      <x:c r="U120" s="37" t="str"/>
      <x:c r="V120" s="36" t="str"/>
      <x:c r="W120" s="36" t="str"/>
      <x:c r="X120" s="36"/>
      <x:c r="Y120" s="36" t="str">
        <x:v>NotAssessed</x:v>
      </x:c>
      <x:c r="Z120" s="36" t="str"/>
      <x:c r="AA120" s="36" t="str"/>
      <x:c r="AB120" s="36"/>
      <x:c r="AC120" s="36"/>
      <x:c r="AD120" s="36" t="str"/>
      <x:c r="AE120" s="36" t="str"/>
      <x:c r="AF120" s="36" t="str">
        <x:v>Name and organisation matched</x:v>
      </x:c>
      <x:c r="AG120" s="36" t="str">
        <x:v>Common pot</x:v>
      </x:c>
      <x:c r="AH120" s="36" t="str">
        <x:v>BU Demand!row 303</x:v>
      </x:c>
      <x:c r="AI120" s="36" t="str">
        <x:v>Decomm</x:v>
      </x:c>
      <x:c r="AJ120" s="36" t="str">
        <x:v>Blank</x:v>
      </x:c>
      <x:c r="AK120" s="36" t="str">
        <x:v>Blank</x:v>
      </x:c>
      <x:c r="AL120" s="36" t="n">
        <x:v>0</x:v>
      </x:c>
      <x:c r="AM120" s="36" t="n">
        <x:v>0</x:v>
      </x:c>
      <x:c r="AN120" s="43"/>
      <x:c r="AO120" s="43"/>
      <x:c r="AP120" s="43"/>
    </x:row>
    <x:row r="121" ht="15" hidden="0" customHeight="1">
      <x:c r="A121" s="36" t="str">
        <x:v>Bu-126</x:v>
      </x:c>
      <x:c r="B121" s="37" t="str">
        <x:v>Incenter replacement</x:v>
      </x:c>
      <x:c r="C121" s="36" t="str">
        <x:v>BU Led</x:v>
      </x:c>
      <x:c r="D121" s="36" t="str">
        <x:v>Service Transformation Office (STO)</x:v>
      </x:c>
      <x:c r="E121" s="36" t="str"/>
      <x:c r="F121" s="36" t="str">
        <x:v>Decomm/Replatforming</x:v>
      </x:c>
      <x:c r="G121" s="36" t="str"/>
      <x:c r="H121" s="36" t="str"/>
      <x:c r="I121" s="36" t="str">
        <x:v>New Initiative</x:v>
      </x:c>
      <x:c r="J121" s="38" t="n">
        <x:v>0.8</x:v>
      </x:c>
      <x:c r="K121" s="38"/>
      <x:c r="L121" s="38"/>
      <x:c r="M121" s="38"/>
      <x:c r="N121" s="38"/>
      <x:c r="O121" s="38"/>
      <x:c r="P121" s="37" t="str"/>
      <x:c r="Q121" s="37" t="str">
        <x:v>Unclassified</x:v>
      </x:c>
      <x:c r="R121" s="37" t="str"/>
      <x:c r="S121" s="37" t="str"/>
      <x:c r="T121" s="37" t="str"/>
      <x:c r="U121" s="37" t="str"/>
      <x:c r="V121" s="36" t="str"/>
      <x:c r="W121" s="36" t="str"/>
      <x:c r="X121" s="36"/>
      <x:c r="Y121" s="36" t="str">
        <x:v>NotAssessed</x:v>
      </x:c>
      <x:c r="Z121" s="36" t="str"/>
      <x:c r="AA121" s="36" t="str"/>
      <x:c r="AB121" s="36"/>
      <x:c r="AC121" s="36"/>
      <x:c r="AD121" s="36" t="str"/>
      <x:c r="AE121" s="36" t="str"/>
      <x:c r="AF121" s="36" t="str">
        <x:v>Name and organisation matched</x:v>
      </x:c>
      <x:c r="AG121" s="36" t="str">
        <x:v>Common pot</x:v>
      </x:c>
      <x:c r="AH121" s="36" t="str">
        <x:v>BU Demand!row 304</x:v>
      </x:c>
      <x:c r="AI121" s="36" t="str">
        <x:v>Decomm</x:v>
      </x:c>
      <x:c r="AJ121" s="36" t="str">
        <x:v>Blank</x:v>
      </x:c>
      <x:c r="AK121" s="36" t="str">
        <x:v>Blank</x:v>
      </x:c>
      <x:c r="AL121" s="36" t="n">
        <x:v>0</x:v>
      </x:c>
      <x:c r="AM121" s="36" t="n">
        <x:v>0</x:v>
      </x:c>
      <x:c r="AN121" s="43"/>
      <x:c r="AO121" s="43"/>
      <x:c r="AP121" s="43"/>
    </x:row>
    <x:row r="122" ht="15" hidden="0" customHeight="1">
      <x:c r="A122" s="36" t="str">
        <x:v>Bu-127</x:v>
      </x:c>
      <x:c r="B122" s="37" t="str">
        <x:v>Probe Repair</x:v>
      </x:c>
      <x:c r="C122" s="36" t="str">
        <x:v>BU Led</x:v>
      </x:c>
      <x:c r="D122" s="36" t="str">
        <x:v>Precision Diagnosis - Ultrasound (PDU)</x:v>
      </x:c>
      <x:c r="E122" s="36" t="str">
        <x:v>1004996</x:v>
      </x:c>
      <x:c r="F122" s="36" t="str">
        <x:v>New Feature</x:v>
      </x:c>
      <x:c r="G122" s="36" t="str">
        <x:v>Revenue Increase</x:v>
      </x:c>
      <x:c r="H122" s="36" t="str">
        <x:v>Must Do</x:v>
      </x:c>
      <x:c r="I122" s="36" t="str">
        <x:v>Delayed</x:v>
      </x:c>
      <x:c r="J122" s="38" t="n">
        <x:v>0.25</x:v>
      </x:c>
      <x:c r="K122" s="38"/>
      <x:c r="L122" s="38"/>
      <x:c r="M122" s="38" t="n">
        <x:v>0.25</x:v>
      </x:c>
      <x:c r="N122" s="38"/>
      <x:c r="O122" s="38"/>
      <x:c r="P122" s="37" t="str">
        <x:v>2M Euros (2026 Sales) &amp; 6M Euros (2026 OIT)</x:v>
      </x:c>
      <x:c r="Q122" s="37" t="str">
        <x:v>Revenue</x:v>
      </x:c>
      <x:c r="R122" s="37" t="str"/>
      <x:c r="S122" s="37" t="str">
        <x:v>Objective of the program is to increase contract penetration by targeting Winback Customers that are utilizing 3rd-party repair services and/or Customers with little to no service spend.</x:v>
      </x:c>
      <x:c r="T122" s="37" t="str">
        <x:v>3rd-party repair services and/or Customers with little to no service spend.</x:v>
      </x:c>
      <x:c r="U122" s="37" t="str">
        <x:v>None</x:v>
      </x:c>
      <x:c r="V122" s="36" t="str"/>
      <x:c r="W122" s="36" t="str"/>
      <x:c r="X122" s="36"/>
      <x:c r="Y122" s="36" t="str">
        <x:v>NotAssessed</x:v>
      </x:c>
      <x:c r="Z122" s="36" t="str"/>
      <x:c r="AA122" s="36" t="str"/>
      <x:c r="AB122" s="36"/>
      <x:c r="AC122" s="36"/>
      <x:c r="AD122" s="36" t="str"/>
      <x:c r="AE122" s="36" t="str"/>
      <x:c r="AF122" s="36" t="str">
        <x:v>Name and organisation matched</x:v>
      </x:c>
      <x:c r="AG122" s="36" t="str">
        <x:v>Common pot</x:v>
      </x:c>
      <x:c r="AH122" s="36" t="str">
        <x:v>BU Demand!row 305</x:v>
      </x:c>
      <x:c r="AI122" s="36" t="str">
        <x:v>NewFeat</x:v>
      </x:c>
      <x:c r="AJ122" s="36" t="str">
        <x:v>Revenue</x:v>
      </x:c>
      <x:c r="AK122" s="36" t="str">
        <x:v>Must Do</x:v>
      </x:c>
      <x:c r="AL122" s="36" t="n">
        <x:v>0</x:v>
      </x:c>
      <x:c r="AM122" s="36" t="n">
        <x:v>0</x:v>
      </x:c>
      <x:c r="AN122" s="43"/>
      <x:c r="AO122" s="43"/>
      <x:c r="AP122" s="43"/>
    </x:row>
    <x:row r="123" ht="15" hidden="0" customHeight="1">
      <x:c r="A123" s="36" t="str">
        <x:v>Bu-128</x:v>
      </x:c>
      <x:c r="B123" s="37" t="str">
        <x:v>Ultrasound Simplification</x:v>
      </x:c>
      <x:c r="C123" s="36" t="str">
        <x:v>BU Led</x:v>
      </x:c>
      <x:c r="D123" s="36" t="str">
        <x:v>Precision Diagnosis - Ultrasound (PDU)</x:v>
      </x:c>
      <x:c r="E123" s="36" t="str"/>
      <x:c r="F123" s="36" t="str">
        <x:v>Continous Improvement</x:v>
      </x:c>
      <x:c r="G123" s="36" t="str">
        <x:v>Process simplification/ efficiency gain</x:v>
      </x:c>
      <x:c r="H123" s="36" t="str">
        <x:v>Must Do</x:v>
      </x:c>
      <x:c r="I123" s="36" t="str">
        <x:v>New Initiative</x:v>
      </x:c>
      <x:c r="J123" s="38" t="n">
        <x:v>0.45</x:v>
      </x:c>
      <x:c r="K123" s="38"/>
      <x:c r="L123" s="38"/>
      <x:c r="M123" s="38"/>
      <x:c r="N123" s="38"/>
      <x:c r="O123" s="38"/>
      <x:c r="P123" s="37" t="str">
        <x:v>N/A</x:v>
      </x:c>
      <x:c r="Q123" s="37" t="str">
        <x:v>Cash savings</x:v>
      </x:c>
      <x:c r="R123" s="37" t="str"/>
      <x:c r="S123" s="37" t="str">
        <x:v>Simplification initiatives</x:v>
      </x:c>
      <x:c r="T123" s="37" t="str">
        <x:v>Scope may include, but not limited to:
- SMAX/MBP Integrations
- Installed Base (IB) improvement
- PDLM simplification
- Veeva
- ConfigIt
- PPL Improvements (placeholder)
- TechMax</x:v>
      </x:c>
      <x:c r="U123" s="37" t="str">
        <x:v>None</x:v>
      </x:c>
      <x:c r="V123" s="36" t="str"/>
      <x:c r="W123" s="36" t="str"/>
      <x:c r="X123" s="36" t="n">
        <x:v>1.4</x:v>
      </x:c>
      <x:c r="Y123" s="36" t="str">
        <x:v>HEALTHY</x:v>
      </x:c>
      <x:c r="Z123" s="36" t="str"/>
      <x:c r="AA123" s="36" t="str"/>
      <x:c r="AB123" s="36"/>
      <x:c r="AC123" s="36"/>
      <x:c r="AD123" s="36" t="str"/>
      <x:c r="AE123" s="36" t="str">
        <x:v>HEALTHY — Rank in priority matrix</x:v>
      </x:c>
      <x:c r="AF123" s="36" t="str">
        <x:v>Name and organisation matched</x:v>
      </x:c>
      <x:c r="AG123" s="36" t="str">
        <x:v>Common pot</x:v>
      </x:c>
      <x:c r="AH123" s="36" t="str">
        <x:v>BU Demand!row 306</x:v>
      </x:c>
      <x:c r="AI123" s="36" t="str">
        <x:v>CI</x:v>
      </x:c>
      <x:c r="AJ123" s="36" t="str">
        <x:v>ProcSimp</x:v>
      </x:c>
      <x:c r="AK123" s="36" t="str">
        <x:v>Must Do</x:v>
      </x:c>
      <x:c r="AL123" s="36" t="n">
        <x:v>0</x:v>
      </x:c>
      <x:c r="AM123" s="36" t="n">
        <x:v>0</x:v>
      </x:c>
      <x:c r="AN123" s="43"/>
      <x:c r="AO123" s="43"/>
      <x:c r="AP123" s="43"/>
    </x:row>
    <x:row r="124" ht="15" hidden="0" customHeight="1">
      <x:c r="A124" s="36" t="str">
        <x:v>Bu-129</x:v>
      </x:c>
      <x:c r="B124" s="37" t="str">
        <x:v>Ultrasound Data &amp; AI</x:v>
      </x:c>
      <x:c r="C124" s="36" t="str">
        <x:v>BU Led</x:v>
      </x:c>
      <x:c r="D124" s="36" t="str">
        <x:v>Precision Diagnosis - Ultrasound (PDU)</x:v>
      </x:c>
      <x:c r="E124" s="36" t="str"/>
      <x:c r="F124" s="36" t="str">
        <x:v>AI Enablement</x:v>
      </x:c>
      <x:c r="G124" s="36" t="str">
        <x:v>Process simplification/ efficiency gain</x:v>
      </x:c>
      <x:c r="H124" s="36" t="str">
        <x:v>Must Do</x:v>
      </x:c>
      <x:c r="I124" s="36" t="str">
        <x:v>New Initiative</x:v>
      </x:c>
      <x:c r="J124" s="38" t="n">
        <x:v>0.3</x:v>
      </x:c>
      <x:c r="K124" s="38"/>
      <x:c r="L124" s="38"/>
      <x:c r="M124" s="38" t="n">
        <x:v>0.3</x:v>
      </x:c>
      <x:c r="N124" s="38"/>
      <x:c r="O124" s="38"/>
      <x:c r="P124" s="37" t="str">
        <x:v>N/A</x:v>
      </x:c>
      <x:c r="Q124" s="37" t="str">
        <x:v>Cash savings</x:v>
      </x:c>
      <x:c r="R124" s="37" t="str"/>
      <x:c r="S124" s="37" t="str">
        <x:v>Data and AI intiatives</x:v>
      </x:c>
      <x:c r="T124" s="37" t="str">
        <x:v>Scope may include, but not limited to:
- Windchill agentic AI support
- Ultrasound upgrade path
- Ultrasound Configurator
- Workbench as a Service
- Unit Affected List
- Any other use cases, AI deployments</x:v>
      </x:c>
      <x:c r="U124" s="37" t="str">
        <x:v>None</x:v>
      </x:c>
      <x:c r="V124" s="36" t="str"/>
      <x:c r="W124" s="36" t="str"/>
      <x:c r="X124" s="36" t="n">
        <x:v>1.5</x:v>
      </x:c>
      <x:c r="Y124" s="36" t="str">
        <x:v>HEALTHY</x:v>
      </x:c>
      <x:c r="Z124" s="36" t="str"/>
      <x:c r="AA124" s="36" t="str"/>
      <x:c r="AB124" s="36"/>
      <x:c r="AC124" s="36"/>
      <x:c r="AD124" s="36" t="str"/>
      <x:c r="AE124" s="36" t="str">
        <x:v>HEALTHY — Rank in priority matrix</x:v>
      </x:c>
      <x:c r="AF124" s="36" t="str">
        <x:v>Name and organisation matched</x:v>
      </x:c>
      <x:c r="AG124" s="36" t="str">
        <x:v>Common pot</x:v>
      </x:c>
      <x:c r="AH124" s="36" t="str">
        <x:v>BU Demand!row 314</x:v>
      </x:c>
      <x:c r="AI124" s="36" t="str">
        <x:v>AI</x:v>
      </x:c>
      <x:c r="AJ124" s="36" t="str">
        <x:v>ProcSimp</x:v>
      </x:c>
      <x:c r="AK124" s="36" t="str">
        <x:v>Must Do</x:v>
      </x:c>
      <x:c r="AL124" s="36" t="n">
        <x:v>0</x:v>
      </x:c>
      <x:c r="AM124" s="36" t="n">
        <x:v>0</x:v>
      </x:c>
      <x:c r="AN124" s="43"/>
      <x:c r="AO124" s="43"/>
      <x:c r="AP124" s="43"/>
    </x:row>
    <x:row r="125" ht="15" hidden="0" customHeight="1">
      <x:c r="A125" s="36" t="str">
        <x:v>Bu-130</x:v>
      </x:c>
      <x:c r="B125" s="37" t="str">
        <x:v>LEM: LEM Onboarding and Change Requests</x:v>
      </x:c>
      <x:c r="C125" s="36" t="str">
        <x:v>BU Led</x:v>
      </x:c>
      <x:c r="D125" s="36" t="str">
        <x:v>Enterprise Informatics (EI)</x:v>
      </x:c>
      <x:c r="E125" s="36" t="str"/>
      <x:c r="F125" s="36" t="str">
        <x:v>New Technology</x:v>
      </x:c>
      <x:c r="G125" s="36" t="str">
        <x:v>Process simplification/ efficiency gain</x:v>
      </x:c>
      <x:c r="H125" s="36" t="str">
        <x:v>Must Do</x:v>
      </x:c>
      <x:c r="I125" s="36" t="str">
        <x:v>New Initiative</x:v>
      </x:c>
      <x:c r="J125" s="38" t="n">
        <x:v>0.35</x:v>
      </x:c>
      <x:c r="K125" s="38"/>
      <x:c r="L125" s="38"/>
      <x:c r="M125" s="38"/>
      <x:c r="N125" s="38"/>
      <x:c r="O125" s="38"/>
      <x:c r="P125" s="37" t="str"/>
      <x:c r="Q125" s="37" t="str">
        <x:v>Cash savings</x:v>
      </x:c>
      <x:c r="R125" s="37" t="str"/>
      <x:c r="S125" s="37" t="str">
        <x:v>Replace WisKey and Enhance Sentinal with funcitonalities that are required for EI</x:v>
      </x:c>
      <x:c r="T125" s="37" t="str">
        <x:v>SNOW to Sentinel integration, Auto activation and related functionalities. CVI Auto Activation process, CardioNow - ICR Onboarding, Service Now - SAM for entitlement management and PNL for license operations. </x:v>
      </x:c>
      <x:c r="U125" s="37" t="str"/>
      <x:c r="V125" s="36" t="str"/>
      <x:c r="W125" s="36" t="str"/>
      <x:c r="X125" s="36"/>
      <x:c r="Y125" s="36" t="str">
        <x:v>NotAssessed</x:v>
      </x:c>
      <x:c r="Z125" s="36" t="str"/>
      <x:c r="AA125" s="36" t="str"/>
      <x:c r="AB125" s="36"/>
      <x:c r="AC125" s="36"/>
      <x:c r="AD125" s="36" t="str"/>
      <x:c r="AE125" s="36" t="str"/>
      <x:c r="AF125" s="36" t="str">
        <x:v>Name and organisation matched</x:v>
      </x:c>
      <x:c r="AG125" s="36" t="str">
        <x:v>Common pot</x:v>
      </x:c>
      <x:c r="AH125" s="36" t="str">
        <x:v>BU Demand!row 321</x:v>
      </x:c>
      <x:c r="AI125" s="36" t="str">
        <x:v>NewTech</x:v>
      </x:c>
      <x:c r="AJ125" s="36" t="str">
        <x:v>ProcSimp</x:v>
      </x:c>
      <x:c r="AK125" s="36" t="str">
        <x:v>Must Do</x:v>
      </x:c>
      <x:c r="AL125" s="36" t="n">
        <x:v>0</x:v>
      </x:c>
      <x:c r="AM125" s="36" t="n">
        <x:v>0</x:v>
      </x:c>
      <x:c r="AN125" s="43"/>
      <x:c r="AO125" s="43"/>
      <x:c r="AP125" s="43"/>
    </x:row>
    <x:row r="126" ht="24" hidden="0" customHeight="1">
      <x:c r="A126" s="36" t="str">
        <x:v>Bu-131</x:v>
      </x:c>
      <x:c r="B126" s="37" t="str">
        <x:v>Commercial - Quoting, Revenue, Subscription Management non Sensei Systems</x:v>
      </x:c>
      <x:c r="C126" s="36" t="str">
        <x:v>BU Led</x:v>
      </x:c>
      <x:c r="D126" s="36" t="str">
        <x:v>Enterprise Informatics (EI)</x:v>
      </x:c>
      <x:c r="E126" s="36" t="str"/>
      <x:c r="F126" s="36" t="str">
        <x:v>Continous Improvement</x:v>
      </x:c>
      <x:c r="G126" s="36" t="str">
        <x:v>Process simplification/ efficiency gain</x:v>
      </x:c>
      <x:c r="H126" s="36" t="str">
        <x:v>Must Do</x:v>
      </x:c>
      <x:c r="I126" s="36" t="str">
        <x:v>New Initiative</x:v>
      </x:c>
      <x:c r="J126" s="38" t="n">
        <x:v>0.5</x:v>
      </x:c>
      <x:c r="K126" s="38"/>
      <x:c r="L126" s="38"/>
      <x:c r="M126" s="38"/>
      <x:c r="N126" s="38"/>
      <x:c r="O126" s="38"/>
      <x:c r="P126" s="37" t="str"/>
      <x:c r="Q126" s="37" t="str">
        <x:v>Cash savings</x:v>
      </x:c>
      <x:c r="R126" s="37" t="str"/>
      <x:c r="S126" s="37" t="str">
        <x:v>Entaties that are on Sensei system need to be maintained till we completely move on to Sensei</x:v>
      </x:c>
      <x:c r="T126" s="37" t="str">
        <x:v>Support IAH , AVW and other business that are running on non Sensei systems for Quote , Subscription and Order management</x:v>
      </x:c>
      <x:c r="U126" s="37" t="str"/>
      <x:c r="V126" s="36" t="str"/>
      <x:c r="W126" s="36" t="str"/>
      <x:c r="X126" s="36"/>
      <x:c r="Y126" s="36" t="str">
        <x:v>NotAssessed</x:v>
      </x:c>
      <x:c r="Z126" s="36" t="str"/>
      <x:c r="AA126" s="36" t="str"/>
      <x:c r="AB126" s="36"/>
      <x:c r="AC126" s="36"/>
      <x:c r="AD126" s="36" t="str"/>
      <x:c r="AE126" s="36" t="str"/>
      <x:c r="AF126" s="36" t="str">
        <x:v>Name and organisation matched</x:v>
      </x:c>
      <x:c r="AG126" s="36" t="str">
        <x:v>Common pot</x:v>
      </x:c>
      <x:c r="AH126" s="36" t="str">
        <x:v>BU Demand!row 322</x:v>
      </x:c>
      <x:c r="AI126" s="36" t="str">
        <x:v>CI</x:v>
      </x:c>
      <x:c r="AJ126" s="36" t="str">
        <x:v>ProcSimp</x:v>
      </x:c>
      <x:c r="AK126" s="36" t="str">
        <x:v>Must Do</x:v>
      </x:c>
      <x:c r="AL126" s="36" t="n">
        <x:v>0</x:v>
      </x:c>
      <x:c r="AM126" s="36" t="n">
        <x:v>0</x:v>
      </x:c>
      <x:c r="AN126" s="43"/>
      <x:c r="AO126" s="43"/>
      <x:c r="AP126" s="43"/>
    </x:row>
    <x:row r="127" ht="15" hidden="0" customHeight="1">
      <x:c r="A127" s="36" t="str">
        <x:v>Bu-132</x:v>
      </x:c>
      <x:c r="B127" s="37" t="str">
        <x:v>Install Base : Commercial Install-Base Intelligence</x:v>
      </x:c>
      <x:c r="C127" s="36" t="str">
        <x:v>BU Led</x:v>
      </x:c>
      <x:c r="D127" s="36" t="str">
        <x:v>Enterprise Informatics (EI)</x:v>
      </x:c>
      <x:c r="E127" s="36" t="str"/>
      <x:c r="F127" s="36" t="str">
        <x:v>AI Enablement</x:v>
      </x:c>
      <x:c r="G127" s="36" t="str">
        <x:v>Revenue Increase</x:v>
      </x:c>
      <x:c r="H127" s="36" t="str">
        <x:v>Must Do</x:v>
      </x:c>
      <x:c r="I127" s="36" t="str">
        <x:v>New Initiative</x:v>
      </x:c>
      <x:c r="J127" s="38" t="n">
        <x:v>0.6</x:v>
      </x:c>
      <x:c r="K127" s="38"/>
      <x:c r="L127" s="38"/>
      <x:c r="M127" s="38"/>
      <x:c r="N127" s="38"/>
      <x:c r="O127" s="38" t="n">
        <x:v>0.5</x:v>
      </x:c>
      <x:c r="P127" s="37" t="str">
        <x:v>500</x:v>
      </x:c>
      <x:c r="Q127" s="37" t="str">
        <x:v>Revenue</x:v>
      </x:c>
      <x:c r="R127" s="37" t="str"/>
      <x:c r="S127" s="37" t="str">
        <x:v>Install-base data is not consistently converted into actionable insights, leaving renewal risks unidentified and upgrade or expansion opportunities discovered too late. This limits the ability to protect recurring revenue and build a high-quality, proactive growth pipeline.</x:v>
      </x:c>
      <x:c r="T127" s="37" t="str">
        <x:v>Ignite provides the trusted relationship between customer, site, modality, configuration, software version, entitlement, contract and usage history so Sensei can execute IB quoting, upgrades, expansions, CPI/indexation, renewals, clawbacks and proactive opportunity creation
Revenue leakage prevention &amp; entitlement validation, Upsell &amp; Cross sell opportunity identification,</x:v>
      </x:c>
      <x:c r="U127" s="37" t="str"/>
      <x:c r="V127" s="36" t="str"/>
      <x:c r="W127" s="36" t="str"/>
      <x:c r="X127" s="36"/>
      <x:c r="Y127" s="36" t="str">
        <x:v>NotAssessed</x:v>
      </x:c>
      <x:c r="Z127" s="36" t="str"/>
      <x:c r="AA127" s="36" t="str"/>
      <x:c r="AB127" s="36"/>
      <x:c r="AC127" s="36"/>
      <x:c r="AD127" s="36" t="str"/>
      <x:c r="AE127" s="36" t="str"/>
      <x:c r="AF127" s="36" t="str">
        <x:v>No exact waste match</x:v>
      </x:c>
      <x:c r="AG127" s="36" t="str">
        <x:v>Common pot</x:v>
      </x:c>
      <x:c r="AH127" s="36" t="str">
        <x:v>BU Demand!row 323</x:v>
      </x:c>
      <x:c r="AI127" s="36" t="str">
        <x:v>AI</x:v>
      </x:c>
      <x:c r="AJ127" s="36" t="str">
        <x:v>Revenue</x:v>
      </x:c>
      <x:c r="AK127" s="36" t="str">
        <x:v>Must Do</x:v>
      </x:c>
      <x:c r="AL127" s="36" t="n">
        <x:v>0</x:v>
      </x:c>
      <x:c r="AM127" s="36" t="n">
        <x:v>0</x:v>
      </x:c>
      <x:c r="AN127" s="43"/>
      <x:c r="AO127" s="43"/>
      <x:c r="AP127" s="43"/>
    </x:row>
    <x:row r="128" ht="15" hidden="0" customHeight="1">
      <x:c r="A128" s="36" t="str">
        <x:v>Bu-133</x:v>
      </x:c>
      <x:c r="B128" s="37" t="str">
        <x:v>Install Base : Data Foundation and Service Updates</x:v>
      </x:c>
      <x:c r="C128" s="36" t="str">
        <x:v>BU Led</x:v>
      </x:c>
      <x:c r="D128" s="36" t="str">
        <x:v>Enterprise Informatics (EI)</x:v>
      </x:c>
      <x:c r="E128" s="36" t="str"/>
      <x:c r="F128" s="36" t="str">
        <x:v>AI Enablement</x:v>
      </x:c>
      <x:c r="G128" s="36" t="str">
        <x:v>Revenue Increase</x:v>
      </x:c>
      <x:c r="H128" s="36" t="str">
        <x:v>Must Do</x:v>
      </x:c>
      <x:c r="I128" s="36" t="str">
        <x:v>New Initiative</x:v>
      </x:c>
      <x:c r="J128" s="38" t="n">
        <x:v>0.6</x:v>
      </x:c>
      <x:c r="K128" s="38"/>
      <x:c r="L128" s="38"/>
      <x:c r="M128" s="38"/>
      <x:c r="N128" s="38"/>
      <x:c r="O128" s="38" t="n">
        <x:v>0.25</x:v>
      </x:c>
      <x:c r="P128" s="37" t="str">
        <x:v>250</x:v>
      </x:c>
      <x:c r="Q128" s="37" t="str">
        <x:v>Revenue</x:v>
      </x:c>
      <x:c r="R128" s="37" t="str"/>
      <x:c r="S128" s="37"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T128" s="37" t="str">
        <x:v>IB Data Foundation: Microsoft Fabric canonical IDs reconciliation semantic model, Service update includes Proactive upgrade &amp; Patch management, Service led growth recommendations, Telemetry powered IB discovery &amp; real time deployed footprint</x:v>
      </x:c>
      <x:c r="U128" s="37" t="str"/>
      <x:c r="V128" s="36" t="str"/>
      <x:c r="W128" s="36" t="str"/>
      <x:c r="X128" s="36"/>
      <x:c r="Y128" s="36" t="str">
        <x:v>NotAssessed</x:v>
      </x:c>
      <x:c r="Z128" s="36" t="str"/>
      <x:c r="AA128" s="36" t="str"/>
      <x:c r="AB128" s="36"/>
      <x:c r="AC128" s="36"/>
      <x:c r="AD128" s="36" t="str"/>
      <x:c r="AE128" s="36" t="str"/>
      <x:c r="AF128" s="36" t="str">
        <x:v>No exact waste match</x:v>
      </x:c>
      <x:c r="AG128" s="36" t="str">
        <x:v>Common pot</x:v>
      </x:c>
      <x:c r="AH128" s="36" t="str">
        <x:v>BU Demand!row 325</x:v>
      </x:c>
      <x:c r="AI128" s="36" t="str">
        <x:v>AI</x:v>
      </x:c>
      <x:c r="AJ128" s="36" t="str">
        <x:v>Revenue</x:v>
      </x:c>
      <x:c r="AK128" s="36" t="str">
        <x:v>Must Do</x:v>
      </x:c>
      <x:c r="AL128" s="36" t="n">
        <x:v>0</x:v>
      </x:c>
      <x:c r="AM128" s="36" t="n">
        <x:v>0</x:v>
      </x:c>
      <x:c r="AN128" s="43"/>
      <x:c r="AO128" s="43"/>
      <x:c r="AP128" s="43"/>
    </x:row>
    <x:row r="129" ht="15" hidden="0" customHeight="1">
      <x:c r="A129" s="36" t="str">
        <x:v>Bu-134</x:v>
      </x:c>
      <x:c r="B129" s="37" t="str">
        <x:v>Install Base : Technical foundation </x:v>
      </x:c>
      <x:c r="C129" s="36" t="str">
        <x:v>BU Led</x:v>
      </x:c>
      <x:c r="D129" s="36" t="str">
        <x:v>Enterprise Informatics (EI)</x:v>
      </x:c>
      <x:c r="E129" s="36" t="str"/>
      <x:c r="F129" s="36" t="str">
        <x:v>AI Enablement</x:v>
      </x:c>
      <x:c r="G129" s="36" t="str">
        <x:v>Revenue Increase</x:v>
      </x:c>
      <x:c r="H129" s="36" t="str">
        <x:v>Must Do</x:v>
      </x:c>
      <x:c r="I129" s="36" t="str">
        <x:v>New Initiative</x:v>
      </x:c>
      <x:c r="J129" s="38" t="n">
        <x:v>0.3</x:v>
      </x:c>
      <x:c r="K129" s="38"/>
      <x:c r="L129" s="38"/>
      <x:c r="M129" s="38"/>
      <x:c r="N129" s="38"/>
      <x:c r="O129" s="38" t="n">
        <x:v>0.25</x:v>
      </x:c>
      <x:c r="P129" s="37" t="str">
        <x:v>250</x:v>
      </x:c>
      <x:c r="Q129" s="37" t="str">
        <x:v>Revenue</x:v>
      </x:c>
      <x:c r="R129" s="37" t="str"/>
      <x:c r="S129" s="37" t="str">
        <x: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x:v>
      </x:c>
      <x:c r="T129" s="37" t="str">
        <x:v>IB User Interface, Agent Orchestration, MCP Server
Build Foundational technical landscapte and AI capabilites for Ignite</x:v>
      </x:c>
      <x:c r="U129" s="37" t="str"/>
      <x:c r="V129" s="36" t="str"/>
      <x:c r="W129" s="36" t="str"/>
      <x:c r="X129" s="36"/>
      <x:c r="Y129" s="36" t="str">
        <x:v>NotAssessed</x:v>
      </x:c>
      <x:c r="Z129" s="36" t="str"/>
      <x:c r="AA129" s="36" t="str"/>
      <x:c r="AB129" s="36"/>
      <x:c r="AC129" s="36"/>
      <x:c r="AD129" s="36" t="str"/>
      <x:c r="AE129" s="36" t="str"/>
      <x:c r="AF129" s="36" t="str">
        <x:v>No exact waste match</x:v>
      </x:c>
      <x:c r="AG129" s="36" t="str">
        <x:v>Common pot</x:v>
      </x:c>
      <x:c r="AH129" s="36" t="str">
        <x:v>BU Demand!row 326</x:v>
      </x:c>
      <x:c r="AI129" s="36" t="str">
        <x:v>AI</x:v>
      </x:c>
      <x:c r="AJ129" s="36" t="str">
        <x:v>Revenue</x:v>
      </x:c>
      <x:c r="AK129" s="36" t="str">
        <x:v>Must Do</x:v>
      </x:c>
      <x:c r="AL129" s="36" t="n">
        <x:v>0</x:v>
      </x:c>
      <x:c r="AM129" s="36" t="n">
        <x:v>0</x:v>
      </x:c>
      <x:c r="AN129" s="43"/>
      <x:c r="AO129" s="43"/>
      <x:c r="AP129" s="43"/>
    </x:row>
    <x:row r="130" ht="15" hidden="0" customHeight="1">
      <x:c r="A130" s="36" t="str">
        <x:v>Bu-135</x:v>
      </x:c>
      <x:c r="B130" s="37" t="str">
        <x:v>Sensei Onboarding Regions and Products</x:v>
      </x:c>
      <x:c r="C130" s="36" t="str">
        <x:v>BU Led</x:v>
      </x:c>
      <x:c r="D130" s="36" t="str">
        <x:v>Enterprise Informatics (EI)</x:v>
      </x:c>
      <x:c r="E130" s="36" t="str"/>
      <x:c r="F130" s="36" t="str">
        <x:v>AI Enablement</x:v>
      </x:c>
      <x:c r="G130" s="36" t="str">
        <x:v>Productivity savings</x:v>
      </x:c>
      <x:c r="H130" s="36" t="str">
        <x:v>Must Do</x:v>
      </x:c>
      <x:c r="I130" s="36" t="str">
        <x:v>New Initiative</x:v>
      </x:c>
      <x:c r="J130" s="38" t="n">
        <x:v>0.75</x:v>
      </x:c>
      <x:c r="K130" s="38"/>
      <x:c r="L130" s="38"/>
      <x:c r="M130" s="38"/>
      <x:c r="N130" s="38"/>
      <x:c r="O130" s="38" t="n">
        <x:v>0.5</x:v>
      </x:c>
      <x:c r="P130" s="37" t="str">
        <x:v>500</x:v>
      </x:c>
      <x:c r="Q130" s="37" t="str">
        <x:v>Cash savings</x:v>
      </x:c>
      <x:c r="R130" s="37" t="str"/>
      <x:c r="S130" s="37" t="str">
        <x:v>Onboard II &amp; CI on from legacy systems on to AI enabled Quoting and order management system</x:v>
      </x:c>
      <x:c r="T130" s="37" t="str">
        <x:v>NAR RI CPI and CVI Renewals
NAR PIM and HSI full onboard and stabilization
Service Now to Sensei T&amp;M
NAR PIPS </x:v>
      </x:c>
      <x:c r="U130" s="37" t="str"/>
      <x:c r="V130" s="36" t="str"/>
      <x:c r="W130" s="36" t="str"/>
      <x:c r="X130" s="36"/>
      <x:c r="Y130" s="36" t="str">
        <x:v>NotAssessed</x:v>
      </x:c>
      <x:c r="Z130" s="36" t="str"/>
      <x:c r="AA130" s="36" t="str"/>
      <x:c r="AB130" s="36"/>
      <x:c r="AC130" s="36"/>
      <x:c r="AD130" s="36" t="str"/>
      <x:c r="AE130" s="36" t="str"/>
      <x:c r="AF130" s="36" t="str">
        <x:v>No exact waste match</x:v>
      </x:c>
      <x:c r="AG130" s="36" t="str">
        <x:v>Common pot</x:v>
      </x:c>
      <x:c r="AH130" s="36" t="str">
        <x:v>BU Demand!row 328</x:v>
      </x:c>
      <x:c r="AI130" s="36" t="str">
        <x:v>AI</x:v>
      </x:c>
      <x:c r="AJ130" s="36" t="str">
        <x:v>Productivity</x:v>
      </x:c>
      <x:c r="AK130" s="36" t="str">
        <x:v>Must Do</x:v>
      </x:c>
      <x:c r="AL130" s="36" t="n">
        <x:v>0</x:v>
      </x:c>
      <x:c r="AM130" s="36" t="n">
        <x:v>0</x:v>
      </x:c>
      <x:c r="AN130" s="43"/>
      <x:c r="AO130" s="43"/>
      <x:c r="AP130" s="43"/>
    </x:row>
    <x:row r="131" ht="15" hidden="0" customHeight="1">
      <x:c r="A131" s="36" t="str">
        <x:v>Bu-136</x:v>
      </x:c>
      <x:c r="B131" s="37" t="str">
        <x:v>Commercial Excellence Program - GtM and Channel CRM</x:v>
      </x:c>
      <x:c r="C131" s="36" t="str">
        <x:v>BU Led</x:v>
      </x:c>
      <x:c r="D131" s="36" t="str">
        <x:v>Enterprise Informatics (EI)</x:v>
      </x:c>
      <x:c r="E131" s="36" t="str"/>
      <x:c r="F131" s="36" t="str">
        <x:v>New Feature</x:v>
      </x:c>
      <x:c r="G131" s="36" t="str"/>
      <x:c r="H131" s="36" t="str">
        <x:v>Must Have</x:v>
      </x:c>
      <x:c r="I131" s="36" t="str">
        <x:v>New Initiative</x:v>
      </x:c>
      <x:c r="J131" s="38" t="n">
        <x:v>0.2</x:v>
      </x:c>
      <x:c r="K131" s="38"/>
      <x:c r="L131" s="38"/>
      <x:c r="M131" s="38"/>
      <x:c r="N131" s="38"/>
      <x:c r="O131" s="38"/>
      <x:c r="P131" s="37" t="str"/>
      <x:c r="Q131" s="37" t="str">
        <x:v>Unclassified</x:v>
      </x:c>
      <x:c r="R131" s="37" t="str"/>
      <x:c r="S131" s="37" t="str"/>
      <x:c r="T131" s="37" t="str"/>
      <x:c r="U131" s="37" t="str"/>
      <x:c r="V131" s="36" t="str"/>
      <x:c r="W131" s="36" t="str"/>
      <x:c r="X131" s="36"/>
      <x:c r="Y131" s="36" t="str">
        <x:v>NotAssessed</x:v>
      </x:c>
      <x:c r="Z131" s="36" t="str"/>
      <x:c r="AA131" s="36" t="str"/>
      <x:c r="AB131" s="36"/>
      <x:c r="AC131" s="36"/>
      <x:c r="AD131" s="36" t="str"/>
      <x:c r="AE131" s="36" t="str"/>
      <x:c r="AF131" s="36" t="str">
        <x:v>Name and organisation matched</x:v>
      </x:c>
      <x:c r="AG131" s="36" t="str">
        <x:v>Common pot</x:v>
      </x:c>
      <x:c r="AH131" s="36" t="str">
        <x:v>BU Demand!row 332</x:v>
      </x:c>
      <x:c r="AI131" s="36" t="str">
        <x:v>NewFeat</x:v>
      </x:c>
      <x:c r="AJ131" s="36" t="str">
        <x:v>Blank</x:v>
      </x:c>
      <x:c r="AK131" s="36" t="str">
        <x:v>Must Have</x:v>
      </x:c>
      <x:c r="AL131" s="36" t="n">
        <x:v>0</x:v>
      </x:c>
      <x:c r="AM131" s="36" t="n">
        <x:v>0</x:v>
      </x:c>
      <x:c r="AN131" s="43"/>
      <x:c r="AO131" s="43"/>
      <x:c r="AP131" s="43"/>
    </x:row>
    <x:row r="132" ht="15" hidden="0" customHeight="1">
      <x:c r="A132" s="36" t="str">
        <x:v>Bu-137</x:v>
      </x:c>
      <x:c r="B132" s="37" t="str">
        <x:v>Innovation Excellence Team - R&amp;D Support</x:v>
      </x:c>
      <x:c r="C132" s="36" t="str">
        <x:v>BU Led</x:v>
      </x:c>
      <x:c r="D132" s="36" t="str">
        <x:v>Enterprise Informatics (EI)</x:v>
      </x:c>
      <x:c r="E132" s="36" t="str"/>
      <x:c r="F132" s="36" t="str">
        <x:v>AI Enablement</x:v>
      </x:c>
      <x:c r="G132" s="36" t="str">
        <x:v>Productivity savings</x:v>
      </x:c>
      <x:c r="H132" s="36" t="str">
        <x:v>Must Do</x:v>
      </x:c>
      <x:c r="I132" s="36" t="str">
        <x:v>New Initiative</x:v>
      </x:c>
      <x:c r="J132" s="38" t="n">
        <x:v>0.6</x:v>
      </x:c>
      <x:c r="K132" s="38"/>
      <x:c r="L132" s="38"/>
      <x:c r="M132" s="38"/>
      <x:c r="N132" s="38"/>
      <x:c r="O132" s="38" t="n">
        <x:v>1</x:v>
      </x:c>
      <x:c r="P132" s="37" t="str">
        <x:v>1000</x:v>
      </x:c>
      <x:c r="Q132" s="37" t="str">
        <x:v>Cash savings</x:v>
      </x:c>
      <x:c r="R132" s="37" t="str"/>
      <x:c r="S132" s="37" t="str">
        <x: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x:v>
      </x:c>
      <x:c r="T132" s="37" t="str">
        <x:v>Windchill MCP: Proactive Fleet Risk Intelligence
Engineering-to-Service Defect Intelligence Agent (Devin)
Unified Engineering Knowledge MCP</x:v>
      </x:c>
      <x:c r="U132" s="37" t="str"/>
      <x:c r="V132" s="36" t="str"/>
      <x:c r="W132" s="36" t="str"/>
      <x:c r="X132" s="36"/>
      <x:c r="Y132" s="36" t="str">
        <x:v>NotAssessed</x:v>
      </x:c>
      <x:c r="Z132" s="36" t="str"/>
      <x:c r="AA132" s="36" t="str"/>
      <x:c r="AB132" s="36"/>
      <x:c r="AC132" s="36"/>
      <x:c r="AD132" s="36" t="str"/>
      <x:c r="AE132" s="36" t="str"/>
      <x:c r="AF132" s="36" t="str">
        <x:v>Name and organisation matched</x:v>
      </x:c>
      <x:c r="AG132" s="36" t="str">
        <x:v>Common pot</x:v>
      </x:c>
      <x:c r="AH132" s="36" t="str">
        <x:v>BU Demand!row 333</x:v>
      </x:c>
      <x:c r="AI132" s="36" t="str">
        <x:v>AI</x:v>
      </x:c>
      <x:c r="AJ132" s="36" t="str">
        <x:v>Productivity</x:v>
      </x:c>
      <x:c r="AK132" s="36" t="str">
        <x:v>Must Do</x:v>
      </x:c>
      <x:c r="AL132" s="36" t="n">
        <x:v>0</x:v>
      </x:c>
      <x:c r="AM132" s="36" t="n">
        <x:v>0</x:v>
      </x:c>
      <x:c r="AN132" s="43"/>
      <x:c r="AO132" s="43"/>
      <x:c r="AP132" s="43"/>
    </x:row>
    <x:row r="133" ht="15" hidden="0" customHeight="1">
      <x:c r="A133" s="36" t="str">
        <x:v>Bu-138</x:v>
      </x:c>
      <x:c r="B133" s="37" t="str">
        <x:v>Data &amp; Analytics Program</x:v>
      </x:c>
      <x:c r="C133" s="36" t="str">
        <x:v>BU Led</x:v>
      </x:c>
      <x:c r="D133" s="36" t="str">
        <x:v>Enterprise Informatics (EI)</x:v>
      </x:c>
      <x:c r="E133" s="36" t="str"/>
      <x:c r="F133" s="36" t="str">
        <x:v>AI Enablement</x:v>
      </x:c>
      <x:c r="G133" s="36" t="str">
        <x:v>Productivity savings</x:v>
      </x:c>
      <x:c r="H133" s="36" t="str">
        <x:v>Must Do</x:v>
      </x:c>
      <x:c r="I133" s="36" t="str">
        <x:v>New Initiative</x:v>
      </x:c>
      <x:c r="J133" s="38" t="n">
        <x:v>0.95</x:v>
      </x:c>
      <x:c r="K133" s="38"/>
      <x:c r="L133" s="38"/>
      <x:c r="M133" s="38"/>
      <x:c r="N133" s="38"/>
      <x:c r="O133" s="38" t="n">
        <x:v>1</x:v>
      </x:c>
      <x:c r="P133" s="37" t="str">
        <x:v>1000</x:v>
      </x:c>
      <x:c r="Q133" s="37" t="str">
        <x:v>Cash savings</x:v>
      </x:c>
      <x:c r="R133" s="37" t="str"/>
      <x:c r="S133" s="37" t="str"/>
      <x:c r="T133" s="37" t="str"/>
      <x:c r="U133" s="37" t="str"/>
      <x:c r="V133" s="36" t="str"/>
      <x:c r="W133" s="36" t="str"/>
      <x:c r="X133" s="36"/>
      <x:c r="Y133" s="36" t="str">
        <x:v>NotAssessed</x:v>
      </x:c>
      <x:c r="Z133" s="36" t="str"/>
      <x:c r="AA133" s="36" t="str"/>
      <x:c r="AB133" s="36"/>
      <x:c r="AC133" s="36"/>
      <x:c r="AD133" s="36" t="str"/>
      <x:c r="AE133" s="36" t="str"/>
      <x:c r="AF133" s="36" t="str">
        <x:v>Name and organisation matched</x:v>
      </x:c>
      <x:c r="AG133" s="36" t="str">
        <x:v>Common pot</x:v>
      </x:c>
      <x:c r="AH133" s="36" t="str">
        <x:v>BU Demand!row 336</x:v>
      </x:c>
      <x:c r="AI133" s="36" t="str">
        <x:v>AI</x:v>
      </x:c>
      <x:c r="AJ133" s="36" t="str">
        <x:v>Productivity</x:v>
      </x:c>
      <x:c r="AK133" s="36" t="str">
        <x:v>Must Do</x:v>
      </x:c>
      <x:c r="AL133" s="36" t="n">
        <x:v>0</x:v>
      </x:c>
      <x:c r="AM133" s="36" t="n">
        <x:v>0</x:v>
      </x:c>
      <x:c r="AN133" s="43"/>
      <x:c r="AO133" s="43"/>
      <x:c r="AP133" s="43"/>
    </x:row>
    <x:row r="134" ht="15" hidden="0" customHeight="1">
      <x:c r="A134" s="36" t="str">
        <x:v>Bu-139</x:v>
      </x:c>
      <x:c r="B134" s="37" t="str">
        <x:v>Small Changes</x:v>
      </x:c>
      <x:c r="C134" s="36" t="str">
        <x:v>BU Led</x:v>
      </x:c>
      <x:c r="D134" s="36" t="str">
        <x:v>Enterprise Informatics (EI)</x:v>
      </x:c>
      <x:c r="E134" s="36" t="str"/>
      <x:c r="F134" s="36" t="str">
        <x:v>Continous Improvement</x:v>
      </x:c>
      <x:c r="G134" s="36" t="str">
        <x:v>Process simplification/ efficiency gain</x:v>
      </x:c>
      <x:c r="H134" s="36" t="str">
        <x:v>Must Have</x:v>
      </x:c>
      <x:c r="I134" s="36" t="str">
        <x:v>New Initiative</x:v>
      </x:c>
      <x:c r="J134" s="38" t="n">
        <x:v>0.25</x:v>
      </x:c>
      <x:c r="K134" s="38"/>
      <x:c r="L134" s="38"/>
      <x:c r="M134" s="38"/>
      <x:c r="N134" s="38"/>
      <x:c r="O134" s="38"/>
      <x:c r="P134" s="37" t="str"/>
      <x:c r="Q134" s="37" t="str">
        <x:v>Cash savings</x:v>
      </x:c>
      <x:c r="R134" s="37" t="str"/>
      <x:c r="S134" s="37" t="str">
        <x:v>Unforeseen Changes that are required for business continuity </x:v>
      </x:c>
      <x:c r="T134" s="37" t="str">
        <x:v>Unforeseen Changes that are required for business continuity </x:v>
      </x:c>
      <x:c r="U134" s="37" t="str"/>
      <x:c r="V134" s="36" t="str"/>
      <x:c r="W134" s="36" t="str"/>
      <x:c r="X134" s="36"/>
      <x:c r="Y134" s="36" t="str">
        <x:v>NotAssessed</x:v>
      </x:c>
      <x:c r="Z134" s="36" t="str"/>
      <x:c r="AA134" s="36" t="str"/>
      <x:c r="AB134" s="36"/>
      <x:c r="AC134" s="36"/>
      <x:c r="AD134" s="36" t="str"/>
      <x:c r="AE134" s="36" t="str"/>
      <x:c r="AF134" s="36" t="str">
        <x:v>Name and organisation matched</x:v>
      </x:c>
      <x:c r="AG134" s="36" t="str">
        <x:v>Common pot</x:v>
      </x:c>
      <x:c r="AH134" s="36" t="str">
        <x:v>BU Demand!row 337</x:v>
      </x:c>
      <x:c r="AI134" s="36" t="str">
        <x:v>CI</x:v>
      </x:c>
      <x:c r="AJ134" s="36" t="str">
        <x:v>ProcSimp</x:v>
      </x:c>
      <x:c r="AK134" s="36" t="str">
        <x:v>Must Have</x:v>
      </x:c>
      <x:c r="AL134" s="36" t="n">
        <x:v>0</x:v>
      </x:c>
      <x:c r="AM134" s="36" t="n">
        <x:v>0</x:v>
      </x:c>
      <x:c r="AN134" s="43"/>
      <x:c r="AO134" s="43"/>
      <x:c r="AP134" s="43"/>
    </x:row>
    <x:row r="135" ht="15" hidden="0" customHeight="1">
      <x:c r="A135" s="36" t="str">
        <x:v>Bu-140</x:v>
      </x:c>
      <x:c r="B135" s="37" t="str">
        <x:v>EI-IS-AI TomTec OEM</x:v>
      </x:c>
      <x:c r="C135" s="36" t="str">
        <x:v>BU Led</x:v>
      </x:c>
      <x:c r="D135" s="36" t="str">
        <x:v>Enterprise Informatics (EI)</x:v>
      </x:c>
      <x:c r="E135" s="36" t="str">
        <x:v>1006345</x:v>
      </x:c>
      <x:c r="F135" s="36" t="str">
        <x:v>Upgrades &amp; Enhancements</x:v>
      </x:c>
      <x:c r="G135" s="36" t="str">
        <x:v>Process simplification/ efficiency gain</x:v>
      </x:c>
      <x:c r="H135" s="36" t="str">
        <x:v>Must Do</x:v>
      </x:c>
      <x:c r="I135" s="36" t="str">
        <x:v>Carry Over</x:v>
      </x:c>
      <x:c r="J135" s="38" t="n">
        <x:v>0.1</x:v>
      </x:c>
      <x:c r="K135" s="38"/>
      <x:c r="L135" s="38"/>
      <x:c r="M135" s="38"/>
      <x:c r="N135" s="38"/>
      <x:c r="O135" s="38"/>
      <x:c r="P135" s="37" t="str"/>
      <x:c r="Q135" s="37" t="str">
        <x:v>Cash savings</x:v>
      </x:c>
      <x:c r="R135" s="37" t="str"/>
      <x:c r="S135" s="37" t="str">
        <x:v>Go Live for MS Dynamics is not completed</x:v>
      </x:c>
      <x:c r="T135" s="37" t="str">
        <x:v>MS Dynamics Upgrade Go live and support</x:v>
      </x:c>
      <x:c r="U135" s="37" t="str"/>
      <x:c r="V135" s="36" t="str"/>
      <x:c r="W135" s="36" t="str"/>
      <x:c r="X135" s="36"/>
      <x:c r="Y135" s="36" t="str">
        <x:v>NotAssessed</x:v>
      </x:c>
      <x:c r="Z135" s="36" t="str"/>
      <x:c r="AA135" s="36" t="str"/>
      <x:c r="AB135" s="36"/>
      <x:c r="AC135" s="36"/>
      <x:c r="AD135" s="36" t="str"/>
      <x:c r="AE135" s="36" t="str"/>
      <x:c r="AF135" s="36" t="str">
        <x:v>Name and organisation matched</x:v>
      </x:c>
      <x:c r="AG135" s="36" t="str">
        <x:v>Common pot</x:v>
      </x:c>
      <x:c r="AH135" s="36" t="str">
        <x:v>BU Demand!row 338</x:v>
      </x:c>
      <x:c r="AI135" s="36" t="str">
        <x:v>Upgrades</x:v>
      </x:c>
      <x:c r="AJ135" s="36" t="str">
        <x:v>ProcSimp</x:v>
      </x:c>
      <x:c r="AK135" s="36" t="str">
        <x:v>Must Do</x:v>
      </x:c>
      <x:c r="AL135" s="36" t="n">
        <x:v>0</x:v>
      </x:c>
      <x:c r="AM135" s="36" t="n">
        <x:v>0</x:v>
      </x:c>
      <x:c r="AN135" s="43"/>
      <x:c r="AO135" s="43"/>
      <x:c r="AP135" s="43"/>
    </x:row>
    <x:row r="136" ht="15" hidden="0" customHeight="1">
      <x:c r="A136" s="36" t="str">
        <x:v>Bu-141</x:v>
      </x:c>
      <x:c r="B136" s="37" t="str">
        <x:v>AI License + Cloud Enablement projects</x:v>
      </x:c>
      <x:c r="C136" s="36" t="str">
        <x:v>BU Led</x:v>
      </x:c>
      <x:c r="D136" s="36" t="str">
        <x:v>Enterprise Informatics (EI)</x:v>
      </x:c>
      <x:c r="E136" s="36" t="str"/>
      <x:c r="F136" s="36" t="str">
        <x:v>AI Enablement</x:v>
      </x:c>
      <x:c r="G136" s="36" t="str">
        <x:v>Productivity savings</x:v>
      </x:c>
      <x:c r="H136" s="36" t="str">
        <x:v>Must Do</x:v>
      </x:c>
      <x:c r="I136" s="36" t="str">
        <x:v>New Initiative</x:v>
      </x:c>
      <x:c r="J136" s="38" t="n">
        <x:v>0.7</x:v>
      </x:c>
      <x:c r="K136" s="38"/>
      <x:c r="L136" s="38"/>
      <x:c r="M136" s="38"/>
      <x:c r="N136" s="38"/>
      <x:c r="O136" s="38"/>
      <x:c r="P136" s="37" t="str"/>
      <x:c r="Q136" s="37" t="str">
        <x:v>Cash savings</x:v>
      </x:c>
      <x:c r="R136" s="37" t="str"/>
      <x:c r="S136" s="37" t="str">
        <x:v>Increase AI Adoptoin in R&amp;D teams and move away from monolith legacy applications</x:v>
      </x:c>
      <x:c r="T136" s="37" t="str">
        <x:v>Upgrade legacy R&amp;D applications to support and build autonomous agents that help in generating DHF files , connect upstream and downstream systems using Agentic flows</x:v>
      </x:c>
      <x:c r="U136" s="37" t="str"/>
      <x:c r="V136" s="36" t="str"/>
      <x:c r="W136" s="36" t="str"/>
      <x:c r="X136" s="36"/>
      <x:c r="Y136" s="36" t="str">
        <x:v>NotAssessed</x:v>
      </x:c>
      <x:c r="Z136" s="36" t="str"/>
      <x:c r="AA136" s="36" t="str"/>
      <x:c r="AB136" s="36"/>
      <x:c r="AC136" s="36"/>
      <x:c r="AD136" s="36" t="str"/>
      <x:c r="AE136" s="36" t="str"/>
      <x:c r="AF136" s="36" t="str">
        <x:v>Name and organisation matched</x:v>
      </x:c>
      <x:c r="AG136" s="36" t="str">
        <x:v>Common pot</x:v>
      </x:c>
      <x:c r="AH136" s="36" t="str">
        <x:v>BU Demand!row 339</x:v>
      </x:c>
      <x:c r="AI136" s="36" t="str">
        <x:v>AI</x:v>
      </x:c>
      <x:c r="AJ136" s="36" t="str">
        <x:v>Productivity</x:v>
      </x:c>
      <x:c r="AK136" s="36" t="str">
        <x:v>Must Do</x:v>
      </x:c>
      <x:c r="AL136" s="36" t="n">
        <x:v>0</x:v>
      </x:c>
      <x:c r="AM136" s="36" t="n">
        <x:v>0</x:v>
      </x:c>
      <x:c r="AN136" s="43"/>
      <x:c r="AO136" s="43"/>
      <x:c r="AP136" s="43"/>
    </x:row>
    <x:row r="137" ht="15" hidden="0" customHeight="1">
      <x:c r="A137" s="36" t="str">
        <x:v>Bu-142</x:v>
      </x:c>
      <x:c r="B137" s="37" t="str">
        <x:v>Service Now : Proactive Service Operations &amp; Digital Self-Service at the Edge</x:v>
      </x:c>
      <x:c r="C137" s="36" t="str">
        <x:v>BU Led</x:v>
      </x:c>
      <x:c r="D137" s="36" t="str">
        <x:v>Enterprise Informatics (EI)</x:v>
      </x:c>
      <x:c r="E137" s="36" t="str"/>
      <x:c r="F137" s="36" t="str">
        <x:v>AI Enablement</x:v>
      </x:c>
      <x:c r="G137" s="36" t="str">
        <x:v>Productivity savings</x:v>
      </x:c>
      <x:c r="H137" s="36" t="str">
        <x:v>Must Do</x:v>
      </x:c>
      <x:c r="I137" s="36" t="str">
        <x:v>New Initiative</x:v>
      </x:c>
      <x:c r="J137" s="38" t="n">
        <x:v>0.8</x:v>
      </x:c>
      <x:c r="K137" s="38"/>
      <x:c r="L137" s="38"/>
      <x:c r="M137" s="38"/>
      <x:c r="N137" s="38"/>
      <x:c r="O137" s="38" t="n">
        <x:v>0.5</x:v>
      </x:c>
      <x:c r="P137" s="37" t="str">
        <x:v>500</x:v>
      </x:c>
      <x:c r="Q137" s="37" t="str">
        <x:v>Cash savings</x:v>
      </x:c>
      <x:c r="R137" s="37" t="str"/>
      <x:c r="S137" s="37" t="str">
        <x: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x:v>
      </x:c>
      <x:c r="T137" s="37" t="str">
        <x: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x:v>
      </x:c>
      <x:c r="U137" s="37" t="str"/>
      <x:c r="V137" s="36" t="str"/>
      <x:c r="W137" s="36" t="str"/>
      <x:c r="X137" s="36"/>
      <x:c r="Y137" s="36" t="str">
        <x:v>NotAssessed</x:v>
      </x:c>
      <x:c r="Z137" s="36" t="str"/>
      <x:c r="AA137" s="36" t="str"/>
      <x:c r="AB137" s="36"/>
      <x:c r="AC137" s="36"/>
      <x:c r="AD137" s="36" t="str"/>
      <x:c r="AE137" s="36" t="str"/>
      <x:c r="AF137" s="36" t="str">
        <x:v>Name and organisation matched</x:v>
      </x:c>
      <x:c r="AG137" s="36" t="str">
        <x:v>Common pot</x:v>
      </x:c>
      <x:c r="AH137" s="36" t="str">
        <x:v>BU Demand!row 340</x:v>
      </x:c>
      <x:c r="AI137" s="36" t="str">
        <x:v>AI</x:v>
      </x:c>
      <x:c r="AJ137" s="36" t="str">
        <x:v>Productivity</x:v>
      </x:c>
      <x:c r="AK137" s="36" t="str">
        <x:v>Must Do</x:v>
      </x:c>
      <x:c r="AL137" s="36" t="n">
        <x:v>0</x:v>
      </x:c>
      <x:c r="AM137" s="36" t="n">
        <x:v>0</x:v>
      </x:c>
      <x:c r="AN137" s="43"/>
      <x:c r="AO137" s="43"/>
      <x:c r="AP137" s="43"/>
    </x:row>
    <x:row r="138" ht="15" hidden="0" customHeight="1">
      <x:c r="A138" s="36" t="str">
        <x:v>Bu-143</x:v>
      </x:c>
      <x:c r="B138" s="37" t="str">
        <x:v>Service Now : Fundamentals and Change Requests</x:v>
      </x:c>
      <x:c r="C138" s="36" t="str">
        <x:v>BU Led</x:v>
      </x:c>
      <x:c r="D138" s="36" t="str">
        <x:v>Enterprise Informatics (EI)</x:v>
      </x:c>
      <x:c r="E138" s="36" t="str"/>
      <x:c r="F138" s="36" t="str">
        <x:v>New Feature</x:v>
      </x:c>
      <x:c r="G138" s="36" t="str">
        <x:v>Process simplification/ efficiency gain</x:v>
      </x:c>
      <x:c r="H138" s="36" t="str">
        <x:v>Must Do</x:v>
      </x:c>
      <x:c r="I138" s="36" t="str">
        <x:v>New Initiative</x:v>
      </x:c>
      <x:c r="J138" s="38" t="n">
        <x:v>0.65</x:v>
      </x:c>
      <x:c r="K138" s="38"/>
      <x:c r="L138" s="38"/>
      <x:c r="M138" s="38"/>
      <x:c r="N138" s="38"/>
      <x:c r="O138" s="38"/>
      <x:c r="P138" s="37" t="str"/>
      <x:c r="Q138" s="37" t="str">
        <x:v>Cash savings</x:v>
      </x:c>
      <x:c r="R138" s="37" t="str"/>
      <x:c r="S138" s="37" t="str"/>
      <x:c r="T138" s="37" t="str">
        <x:v>Change Requests and Foundational input</x:v>
      </x:c>
      <x:c r="U138" s="37" t="str"/>
      <x:c r="V138" s="36" t="str"/>
      <x:c r="W138" s="36" t="str"/>
      <x:c r="X138" s="36"/>
      <x:c r="Y138" s="36" t="str">
        <x:v>NotAssessed</x:v>
      </x:c>
      <x:c r="Z138" s="36" t="str"/>
      <x:c r="AA138" s="36" t="str"/>
      <x:c r="AB138" s="36"/>
      <x:c r="AC138" s="36"/>
      <x:c r="AD138" s="36" t="str"/>
      <x:c r="AE138" s="36" t="str"/>
      <x:c r="AF138" s="36" t="str">
        <x:v>Name and organisation matched</x:v>
      </x:c>
      <x:c r="AG138" s="36" t="str">
        <x:v>Common pot</x:v>
      </x:c>
      <x:c r="AH138" s="36" t="str">
        <x:v>BU Demand!row 342</x:v>
      </x:c>
      <x:c r="AI138" s="36" t="str">
        <x:v>NewFeat</x:v>
      </x:c>
      <x:c r="AJ138" s="36" t="str">
        <x:v>ProcSimp</x:v>
      </x:c>
      <x:c r="AK138" s="36" t="str">
        <x:v>Must Do</x:v>
      </x:c>
      <x:c r="AL138" s="36" t="n">
        <x:v>0</x:v>
      </x:c>
      <x:c r="AM138" s="36" t="n">
        <x:v>0</x:v>
      </x:c>
      <x:c r="AN138" s="43"/>
      <x:c r="AO138" s="43"/>
      <x:c r="AP138" s="43"/>
    </x:row>
    <x:row r="139" ht="24" hidden="0" customHeight="1">
      <x:c r="A139" s="36" t="str">
        <x:v>Bu-144</x:v>
      </x:c>
      <x:c r="B139" s="37" t="str">
        <x:v>Sercie Now AI Initiatives :Intelligent Contact Centre &amp; Intelligent Omnichannel Service</x:v>
      </x:c>
      <x:c r="C139" s="36" t="str">
        <x:v>BU Led</x:v>
      </x:c>
      <x:c r="D139" s="36" t="str">
        <x:v>Enterprise Informatics (EI)</x:v>
      </x:c>
      <x:c r="E139" s="36" t="str"/>
      <x:c r="F139" s="36" t="str">
        <x:v>AI Enablement</x:v>
      </x:c>
      <x:c r="G139" s="36" t="str">
        <x:v>Productivity savings</x:v>
      </x:c>
      <x:c r="H139" s="36" t="str">
        <x:v>Must Do</x:v>
      </x:c>
      <x:c r="I139" s="36" t="str">
        <x:v>New Initiative</x:v>
      </x:c>
      <x:c r="J139" s="38" t="n">
        <x:v>0.8</x:v>
      </x:c>
      <x:c r="K139" s="38"/>
      <x:c r="L139" s="38"/>
      <x:c r="M139" s="38"/>
      <x:c r="N139" s="38"/>
      <x:c r="O139" s="38" t="n">
        <x:v>0.5</x:v>
      </x:c>
      <x:c r="P139" s="37" t="str">
        <x:v>500</x:v>
      </x:c>
      <x:c r="Q139" s="37" t="str">
        <x:v>Cash savings</x:v>
      </x:c>
      <x:c r="R139" s="37" t="str"/>
      <x:c r="S139" s="37" t="str">
        <x: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x:v>
      </x:c>
      <x:c r="T139" s="37" t="str">
        <x: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x:v>
      </x:c>
      <x:c r="U139" s="37" t="str"/>
      <x:c r="V139" s="36" t="str"/>
      <x:c r="W139" s="36" t="str"/>
      <x:c r="X139" s="36"/>
      <x:c r="Y139" s="36" t="str">
        <x:v>NotAssessed</x:v>
      </x:c>
      <x:c r="Z139" s="36" t="str"/>
      <x:c r="AA139" s="36" t="str"/>
      <x:c r="AB139" s="36"/>
      <x:c r="AC139" s="36"/>
      <x:c r="AD139" s="36" t="str"/>
      <x:c r="AE139" s="36" t="str"/>
      <x:c r="AF139" s="36" t="str">
        <x:v>Name and organisation matched</x:v>
      </x:c>
      <x:c r="AG139" s="36" t="str">
        <x:v>Common pot</x:v>
      </x:c>
      <x:c r="AH139" s="36" t="str">
        <x:v>BU Demand!row 343</x:v>
      </x:c>
      <x:c r="AI139" s="36" t="str">
        <x:v>AI</x:v>
      </x:c>
      <x:c r="AJ139" s="36" t="str">
        <x:v>Productivity</x:v>
      </x:c>
      <x:c r="AK139" s="36" t="str">
        <x:v>Must Do</x:v>
      </x:c>
      <x:c r="AL139" s="36" t="n">
        <x:v>0</x:v>
      </x:c>
      <x:c r="AM139" s="36" t="n">
        <x:v>0</x:v>
      </x:c>
      <x:c r="AN139" s="43"/>
      <x:c r="AO139" s="43"/>
      <x:c r="AP139" s="43"/>
    </x:row>
    <x:row r="140" ht="24" hidden="0" customHeight="1">
      <x:c r="A140" s="36" t="str">
        <x:v>Bu-145</x:v>
      </x:c>
      <x:c r="B140" s="37" t="str">
        <x:v>Service Now: Agentic Workspace for Service &amp; Demand- and Skills-Based Workforce Orchestration</x:v>
      </x:c>
      <x:c r="C140" s="36" t="str">
        <x:v>BU Led</x:v>
      </x:c>
      <x:c r="D140" s="36" t="str">
        <x:v>Enterprise Informatics (EI)</x:v>
      </x:c>
      <x:c r="E140" s="36" t="str"/>
      <x:c r="F140" s="36" t="str">
        <x:v>AI Enablement</x:v>
      </x:c>
      <x:c r="G140" s="36" t="str">
        <x:v>Productivity savings</x:v>
      </x:c>
      <x:c r="H140" s="36" t="str">
        <x:v>Must Do</x:v>
      </x:c>
      <x:c r="I140" s="36" t="str">
        <x:v>New Initiative</x:v>
      </x:c>
      <x:c r="J140" s="38" t="n">
        <x:v>0.75</x:v>
      </x:c>
      <x:c r="K140" s="38"/>
      <x:c r="L140" s="38"/>
      <x:c r="M140" s="38"/>
      <x:c r="N140" s="38"/>
      <x:c r="O140" s="38" t="n">
        <x:v>0.5</x:v>
      </x:c>
      <x:c r="P140" s="37" t="str">
        <x:v>500</x:v>
      </x:c>
      <x:c r="Q140" s="37" t="str">
        <x:v>Cash savings</x:v>
      </x:c>
      <x:c r="R140" s="37" t="str"/>
      <x:c r="S140" s="37" t="str"/>
      <x:c r="T140" s="37" t="str">
        <x: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x:v>
      </x:c>
      <x:c r="U140" s="37" t="str"/>
      <x:c r="V140" s="36" t="str"/>
      <x:c r="W140" s="36" t="str"/>
      <x:c r="X140" s="36"/>
      <x:c r="Y140" s="36" t="str">
        <x:v>NotAssessed</x:v>
      </x:c>
      <x:c r="Z140" s="36" t="str"/>
      <x:c r="AA140" s="36" t="str"/>
      <x:c r="AB140" s="36"/>
      <x:c r="AC140" s="36"/>
      <x:c r="AD140" s="36" t="str"/>
      <x:c r="AE140" s="36" t="str"/>
      <x:c r="AF140" s="36" t="str">
        <x:v>Name and organisation matched</x:v>
      </x:c>
      <x:c r="AG140" s="36" t="str">
        <x:v>Common pot</x:v>
      </x:c>
      <x:c r="AH140" s="36" t="str">
        <x:v>BU Demand!row 346</x:v>
      </x:c>
      <x:c r="AI140" s="36" t="str">
        <x:v>AI</x:v>
      </x:c>
      <x:c r="AJ140" s="36" t="str">
        <x:v>Productivity</x:v>
      </x:c>
      <x:c r="AK140" s="36" t="str">
        <x:v>Must Do</x:v>
      </x:c>
      <x:c r="AL140" s="36" t="n">
        <x:v>0</x:v>
      </x:c>
      <x:c r="AM140" s="36" t="n">
        <x:v>0</x:v>
      </x:c>
      <x:c r="AN140" s="43"/>
      <x:c r="AO140" s="43"/>
      <x:c r="AP140" s="43"/>
    </x:row>
    <x:row r="141" ht="15" hidden="0" customHeight="1">
      <x:c r="A141" s="36" t="str">
        <x:v>Bu-146</x:v>
      </x:c>
      <x:c r="B141" s="37" t="str">
        <x:v>Service Operations : Sensei</x:v>
      </x:c>
      <x:c r="C141" s="36" t="str">
        <x:v>BU Led</x:v>
      </x:c>
      <x:c r="D141" s="36" t="str">
        <x:v>Enterprise Informatics (EI)</x:v>
      </x:c>
      <x:c r="E141" s="36" t="str"/>
      <x:c r="F141" s="36" t="str"/>
      <x:c r="G141" s="36" t="str"/>
      <x:c r="H141" s="36" t="str">
        <x:v>Must Do</x:v>
      </x:c>
      <x:c r="I141" s="36" t="str"/>
      <x:c r="J141" s="38" t="n">
        <x:v>0.5</x:v>
      </x:c>
      <x:c r="K141" s="38"/>
      <x:c r="L141" s="38"/>
      <x:c r="M141" s="38"/>
      <x:c r="N141" s="38"/>
      <x:c r="O141" s="38"/>
      <x:c r="P141" s="37" t="str"/>
      <x:c r="Q141" s="37" t="str">
        <x:v>Unclassified</x:v>
      </x:c>
      <x:c r="R141" s="37" t="str"/>
      <x:c r="S141" s="37" t="str">
        <x:v>Setup EI owned Support team for Sensei</x:v>
      </x:c>
      <x:c r="T141" s="37" t="str">
        <x:v>Infra and Operations owned by EI</x:v>
      </x:c>
      <x:c r="U141" s="37" t="str"/>
      <x:c r="V141" s="36" t="str"/>
      <x:c r="W141" s="36" t="str"/>
      <x:c r="X141" s="36"/>
      <x:c r="Y141" s="36" t="str">
        <x:v>NotAssessed</x:v>
      </x:c>
      <x:c r="Z141" s="36" t="str"/>
      <x:c r="AA141" s="36" t="str"/>
      <x:c r="AB141" s="36"/>
      <x:c r="AC141" s="36"/>
      <x:c r="AD141" s="36" t="str"/>
      <x:c r="AE141" s="36" t="str"/>
      <x:c r="AF141" s="36" t="str">
        <x:v>Name and organisation matched</x:v>
      </x:c>
      <x:c r="AG141" s="36" t="str">
        <x:v>Common pot</x:v>
      </x:c>
      <x:c r="AH141" s="36" t="str">
        <x:v>BU Demand!row 347</x:v>
      </x:c>
      <x:c r="AI141" s="36" t="str">
        <x:v>Blank</x:v>
      </x:c>
      <x:c r="AJ141" s="36" t="str">
        <x:v>Blank</x:v>
      </x:c>
      <x:c r="AK141" s="36" t="str">
        <x:v>Must Do</x:v>
      </x:c>
      <x:c r="AL141" s="36" t="n">
        <x:v>0</x:v>
      </x:c>
      <x:c r="AM141" s="36" t="n">
        <x:v>0</x:v>
      </x:c>
      <x:c r="AN141" s="43"/>
      <x:c r="AO141" s="43"/>
      <x:c r="AP141" s="43"/>
    </x:row>
    <x:row r="142" ht="15" hidden="0" customHeight="1">
      <x:c r="A142" s="36" t="str">
        <x:v>Bu-147</x:v>
      </x:c>
      <x:c r="B142" s="37" t="str">
        <x:v>Service Operations : Microsoft Project Operations</x:v>
      </x:c>
      <x:c r="C142" s="36" t="str">
        <x:v>BU Led</x:v>
      </x:c>
      <x:c r="D142" s="36" t="str">
        <x:v>Enterprise Informatics (EI)</x:v>
      </x:c>
      <x:c r="E142" s="36" t="str"/>
      <x:c r="F142" s="36" t="str"/>
      <x:c r="G142" s="36" t="str"/>
      <x:c r="H142" s="36" t="str">
        <x:v>Must Do</x:v>
      </x:c>
      <x:c r="I142" s="36" t="str"/>
      <x:c r="J142" s="38" t="n">
        <x:v>0.3</x:v>
      </x:c>
      <x:c r="K142" s="38"/>
      <x:c r="L142" s="38"/>
      <x:c r="M142" s="38"/>
      <x:c r="N142" s="38"/>
      <x:c r="O142" s="38"/>
      <x:c r="P142" s="37" t="str"/>
      <x:c r="Q142" s="37" t="str">
        <x:v>Unclassified</x:v>
      </x:c>
      <x:c r="R142" s="37" t="str"/>
      <x:c r="S142" s="37" t="str">
        <x:v>Setup EI owned support team for MS PO</x:v>
      </x:c>
      <x:c r="T142" s="37" t="str">
        <x:v>Infra and Operations owned by EI</x:v>
      </x:c>
      <x:c r="U142" s="37" t="str"/>
      <x:c r="V142" s="36" t="str"/>
      <x:c r="W142" s="36" t="str"/>
      <x:c r="X142" s="36"/>
      <x:c r="Y142" s="36" t="str">
        <x:v>NotAssessed</x:v>
      </x:c>
      <x:c r="Z142" s="36" t="str"/>
      <x:c r="AA142" s="36" t="str"/>
      <x:c r="AB142" s="36"/>
      <x:c r="AC142" s="36"/>
      <x:c r="AD142" s="36" t="str"/>
      <x:c r="AE142" s="36" t="str"/>
      <x:c r="AF142" s="36" t="str">
        <x:v>Name and organisation matched</x:v>
      </x:c>
      <x:c r="AG142" s="36" t="str">
        <x:v>Common pot</x:v>
      </x:c>
      <x:c r="AH142" s="36" t="str">
        <x:v>BU Demand!row 348</x:v>
      </x:c>
      <x:c r="AI142" s="36" t="str">
        <x:v>Blank</x:v>
      </x:c>
      <x:c r="AJ142" s="36" t="str">
        <x:v>Blank</x:v>
      </x:c>
      <x:c r="AK142" s="36" t="str">
        <x:v>Must Do</x:v>
      </x:c>
      <x:c r="AL142" s="36" t="n">
        <x:v>0</x:v>
      </x:c>
      <x:c r="AM142" s="36" t="n">
        <x:v>0</x:v>
      </x:c>
      <x:c r="AN142" s="43"/>
      <x:c r="AO142" s="43"/>
      <x:c r="AP142" s="43"/>
    </x:row>
    <x:row r="143" ht="15" hidden="0" customHeight="1">
      <x:c r="A143" s="36" t="str">
        <x:v>Bu-148</x:v>
      </x:c>
      <x:c r="B143" s="37" t="str">
        <x:v>Service Operations : Ignite</x:v>
      </x:c>
      <x:c r="C143" s="36" t="str">
        <x:v>BU Led</x:v>
      </x:c>
      <x:c r="D143" s="36" t="str">
        <x:v>Enterprise Informatics (EI)</x:v>
      </x:c>
      <x:c r="E143" s="36" t="str"/>
      <x:c r="F143" s="36" t="str"/>
      <x:c r="G143" s="36" t="str"/>
      <x:c r="H143" s="36" t="str">
        <x:v>Must Do</x:v>
      </x:c>
      <x:c r="I143" s="36" t="str"/>
      <x:c r="J143" s="38" t="n">
        <x:v>0.25</x:v>
      </x:c>
      <x:c r="K143" s="38"/>
      <x:c r="L143" s="38"/>
      <x:c r="M143" s="38"/>
      <x:c r="N143" s="38"/>
      <x:c r="O143" s="38"/>
      <x:c r="P143" s="37" t="str"/>
      <x:c r="Q143" s="37" t="str">
        <x:v>Unclassified</x:v>
      </x:c>
      <x:c r="R143" s="37" t="str"/>
      <x:c r="S143" s="37" t="str">
        <x:v>Setup EI Owned support team for Ignite</x:v>
      </x:c>
      <x:c r="T143" s="37" t="str">
        <x:v>Infra and Operations owned by EI</x:v>
      </x:c>
      <x:c r="U143" s="37" t="str"/>
      <x:c r="V143" s="36" t="str"/>
      <x:c r="W143" s="36" t="str"/>
      <x:c r="X143" s="36"/>
      <x:c r="Y143" s="36" t="str">
        <x:v>NotAssessed</x:v>
      </x:c>
      <x:c r="Z143" s="36" t="str"/>
      <x:c r="AA143" s="36" t="str"/>
      <x:c r="AB143" s="36"/>
      <x:c r="AC143" s="36"/>
      <x:c r="AD143" s="36" t="str"/>
      <x:c r="AE143" s="36" t="str"/>
      <x:c r="AF143" s="36" t="str">
        <x:v>Name and organisation matched</x:v>
      </x:c>
      <x:c r="AG143" s="36" t="str">
        <x:v>Common pot</x:v>
      </x:c>
      <x:c r="AH143" s="36" t="str">
        <x:v>BU Demand!row 349</x:v>
      </x:c>
      <x:c r="AI143" s="36" t="str">
        <x:v>Blank</x:v>
      </x:c>
      <x:c r="AJ143" s="36" t="str">
        <x:v>Blank</x:v>
      </x:c>
      <x:c r="AK143" s="36" t="str">
        <x:v>Must Do</x:v>
      </x:c>
      <x:c r="AL143" s="36" t="n">
        <x:v>0</x:v>
      </x:c>
      <x:c r="AM143" s="36" t="n">
        <x:v>0</x:v>
      </x:c>
      <x:c r="AN143" s="43"/>
      <x:c r="AO143" s="43"/>
      <x:c r="AP143" s="43"/>
    </x:row>
    <x:row r="144" ht="15" hidden="0" customHeight="1">
      <x:c r="A144" s="36" t="str">
        <x:v>Bu-149</x:v>
      </x:c>
      <x:c r="B144" s="37" t="str">
        <x:v>LEM Factory Less Process for software provisioning</x:v>
      </x:c>
      <x:c r="C144" s="36" t="str">
        <x:v>BU Led</x:v>
      </x:c>
      <x:c r="D144" s="36" t="str">
        <x:v>Enterprise Informatics (EI)</x:v>
      </x:c>
      <x:c r="E144" s="36" t="str"/>
      <x:c r="F144" s="36" t="str">
        <x:v>AI Enablement</x:v>
      </x:c>
      <x:c r="G144" s="36" t="str">
        <x:v>Process simplification/ efficiency gain</x:v>
      </x:c>
      <x:c r="H144" s="36" t="str">
        <x:v>Must Do</x:v>
      </x:c>
      <x:c r="I144" s="36" t="str">
        <x:v>New Initiative</x:v>
      </x:c>
      <x:c r="J144" s="38" t="n">
        <x:v>0.45</x:v>
      </x:c>
      <x:c r="K144" s="38"/>
      <x:c r="L144" s="38"/>
      <x:c r="M144" s="38"/>
      <x:c r="N144" s="38"/>
      <x:c r="O144" s="38"/>
      <x:c r="P144" s="37" t="str"/>
      <x:c r="Q144" s="37" t="str">
        <x:v>Cash savings</x:v>
      </x:c>
      <x:c r="R144" s="37" t="str"/>
      <x:c r="S144" s="37" t="str">
        <x:v>Move out of MBP - factory system, which is mainly used for eqipment business.</x:v>
      </x:c>
      <x:c r="T144" s="37" t="str">
        <x:v>Automate software-only fulfilment, cloud activation, trials, upgrades and entitlement changes — removing factory/MBP dependencies from the order-to-activate journey.</x:v>
      </x:c>
      <x:c r="U144" s="37" t="str"/>
      <x:c r="V144" s="36" t="str"/>
      <x:c r="W144" s="36" t="str"/>
      <x:c r="X144" s="36"/>
      <x:c r="Y144" s="36" t="str">
        <x:v>NotAssessed</x:v>
      </x:c>
      <x:c r="Z144" s="36" t="str"/>
      <x:c r="AA144" s="36" t="str"/>
      <x:c r="AB144" s="36"/>
      <x:c r="AC144" s="36"/>
      <x:c r="AD144" s="36" t="str"/>
      <x:c r="AE144" s="36" t="str"/>
      <x:c r="AF144" s="36" t="str">
        <x:v>No exact waste match</x:v>
      </x:c>
      <x:c r="AG144" s="36" t="str">
        <x:v>Common pot</x:v>
      </x:c>
      <x:c r="AH144" s="36" t="str">
        <x:v>BU Demand!row 350</x:v>
      </x:c>
      <x:c r="AI144" s="36" t="str">
        <x:v>AI</x:v>
      </x:c>
      <x:c r="AJ144" s="36" t="str">
        <x:v>ProcSimp</x:v>
      </x:c>
      <x:c r="AK144" s="36" t="str">
        <x:v>Must Do</x:v>
      </x:c>
      <x:c r="AL144" s="36" t="n">
        <x:v>0</x:v>
      </x:c>
      <x:c r="AM144" s="36" t="n">
        <x:v>0</x:v>
      </x:c>
      <x:c r="AN144" s="43"/>
      <x:c r="AO144" s="43"/>
      <x:c r="AP144" s="43"/>
    </x:row>
    <x:row r="145" ht="15" hidden="0" customHeight="1">
      <x:c r="A145" s="36" t="str">
        <x:v>Bu-150</x:v>
      </x:c>
      <x:c r="B145" s="37" t="str">
        <x:v>COSAC Transition to PIL</x:v>
      </x:c>
      <x:c r="C145" s="36" t="str">
        <x:v>BU Led</x:v>
      </x:c>
      <x:c r="D145" s="36" t="str">
        <x:v>Precision Diagnosis - Magnetic Resonance (MR)</x:v>
      </x:c>
      <x:c r="E145" s="36" t="str">
        <x:v>1006504</x:v>
      </x:c>
      <x:c r="F145" s="36" t="str">
        <x:v>New Feature</x:v>
      </x:c>
      <x:c r="G145" s="36" t="str">
        <x:v>Process Simplification / Efficiency Gain</x:v>
      </x:c>
      <x:c r="H145" s="36" t="str">
        <x:v>Must Do</x:v>
      </x:c>
      <x:c r="I145" s="36" t="str">
        <x:v>Carry Over</x:v>
      </x:c>
      <x:c r="J145" s="38" t="n">
        <x:v>0.7</x:v>
      </x:c>
      <x:c r="K145" s="38"/>
      <x:c r="L145" s="38"/>
      <x:c r="M145" s="38"/>
      <x:c r="N145" s="38"/>
      <x:c r="O145" s="38"/>
      <x:c r="P145" s="37" t="str"/>
      <x:c r="Q145" s="37" t="str">
        <x:v>Cash savings</x:v>
      </x:c>
      <x:c r="R145" s="37" t="str"/>
      <x:c r="S145" s="37" t="str"/>
      <x:c r="T145" s="37" t="str">
        <x:v>Phase 3 Scope:
1. Subscription order flow
2. Refurbished system order flow
3. RPA (Windchill master data loads)
4. Reporting (incl. Royalty reporting)
5. Users and Roles management
6. Business go-live (Data Migration and Cutover)</x:v>
      </x:c>
      <x:c r="U145" s="37" t="str"/>
      <x:c r="V145" s="36" t="str"/>
      <x:c r="W145" s="36" t="str"/>
      <x:c r="X145" s="36"/>
      <x:c r="Y145" s="36" t="str">
        <x:v>NotAssessed</x:v>
      </x:c>
      <x:c r="Z145" s="36" t="str"/>
      <x:c r="AA145" s="36" t="str"/>
      <x:c r="AB145" s="36"/>
      <x:c r="AC145" s="36"/>
      <x:c r="AD145" s="36" t="str"/>
      <x:c r="AE145" s="36" t="str"/>
      <x:c r="AF145" s="36" t="str">
        <x:v>No exact waste match</x:v>
      </x:c>
      <x:c r="AG145" s="36" t="str">
        <x:v>Common pot</x:v>
      </x:c>
      <x:c r="AH145" s="36" t="str">
        <x:v>BU Demand!row 351</x:v>
      </x:c>
      <x:c r="AI145" s="36" t="str">
        <x:v>NewFeat</x:v>
      </x:c>
      <x:c r="AJ145" s="36" t="str">
        <x:v>ProcSimp</x:v>
      </x:c>
      <x:c r="AK145" s="36" t="str">
        <x:v>Must Do</x:v>
      </x:c>
      <x:c r="AL145" s="36" t="n">
        <x:v>0</x:v>
      </x:c>
      <x:c r="AM145" s="36" t="n">
        <x:v>0</x:v>
      </x:c>
      <x:c r="AN145" s="43"/>
      <x:c r="AO145" s="43"/>
      <x:c r="AP145" s="43"/>
    </x:row>
    <x:row r="146" ht="15" hidden="0" customHeight="1">
      <x:c r="A146" s="36" t="str">
        <x:v>Bu-151</x:v>
      </x:c>
      <x:c r="B146" s="37" t="str"/>
      <x:c r="C146" s="36" t="str">
        <x:v>BU Led</x:v>
      </x:c>
      <x:c r="D146" s="36" t="str">
        <x:v>Precision Diagnosis - Magnetic Resonance (MR)</x:v>
      </x:c>
      <x:c r="E146" s="36" t="str"/>
      <x:c r="F146" s="36" t="str"/>
      <x:c r="G146" s="36" t="str"/>
      <x:c r="H146" s="36" t="str"/>
      <x:c r="I146" s="36" t="str"/>
      <x:c r="J146" s="38"/>
      <x:c r="K146" s="38"/>
      <x:c r="L146" s="38"/>
      <x:c r="M146" s="38"/>
      <x:c r="N146" s="38"/>
      <x:c r="O146" s="38"/>
      <x:c r="P146" s="37" t="str"/>
      <x:c r="Q146" s="37" t="str">
        <x:v>Unclassified</x:v>
      </x:c>
      <x:c r="R146" s="37" t="str"/>
      <x:c r="S146" s="37" t="str"/>
      <x:c r="T146" s="37" t="str"/>
      <x:c r="U146" s="37" t="str"/>
      <x:c r="V146" s="36" t="str"/>
      <x:c r="W146" s="36" t="str"/>
      <x:c r="X146" s="36"/>
      <x:c r="Y146" s="36" t="str">
        <x:v>NotAssessed</x:v>
      </x:c>
      <x:c r="Z146" s="36" t="str"/>
      <x:c r="AA146" s="36" t="str"/>
      <x:c r="AB146" s="36"/>
      <x:c r="AC146" s="36"/>
      <x:c r="AD146" s="36" t="str"/>
      <x:c r="AE146" s="36" t="str"/>
      <x:c r="AF146" s="36" t="str">
        <x:v>No exact waste match</x:v>
      </x:c>
      <x:c r="AG146" s="36" t="str">
        <x:v>Incomplete record</x:v>
      </x:c>
      <x:c r="AH146" s="36" t="str">
        <x:v>BU Demand!row 358</x:v>
      </x:c>
      <x:c r="AI146" s="36" t="str">
        <x:v>Blank</x:v>
      </x:c>
      <x:c r="AJ146" s="36" t="str">
        <x:v>Blank</x:v>
      </x:c>
      <x:c r="AK146" s="36" t="str">
        <x:v>Blank</x:v>
      </x:c>
      <x:c r="AL146" s="36" t="n">
        <x:v>0</x:v>
      </x:c>
      <x:c r="AM146" s="36" t="n">
        <x:v>1</x:v>
      </x:c>
      <x:c r="AN146" s="43"/>
      <x:c r="AO146" s="43"/>
      <x:c r="AP146" s="43"/>
    </x:row>
    <x:row r="147" ht="15" hidden="0" customHeight="1">
      <x:c r="A147" s="36" t="str">
        <x:v>Bu-152</x:v>
      </x:c>
      <x:c r="B147" s="37" t="str">
        <x:v>PRISM - Product, Regulatory, Installed Base, Services Metrics unified</x:v>
      </x:c>
      <x:c r="C147" s="36" t="str">
        <x:v>BU Led</x:v>
      </x:c>
      <x:c r="D147" s="36" t="str">
        <x:v>Precision Diagnosis - Magnetic Resonance (MR)</x:v>
      </x:c>
      <x:c r="E147" s="36" t="str">
        <x:v>1006508</x:v>
      </x:c>
      <x:c r="F147" s="36" t="str">
        <x:v>Legal Fiscal, Regulatory &amp; Compliancy</x:v>
      </x:c>
      <x:c r="G147" s="36" t="str">
        <x:v>Compliance / Keeping the Lights On</x:v>
      </x:c>
      <x:c r="H147" s="36" t="str">
        <x:v>Must Have</x:v>
      </x:c>
      <x:c r="I147" s="36" t="str">
        <x:v>Carry Over</x:v>
      </x:c>
      <x:c r="J147" s="38" t="n">
        <x:v>0.336</x:v>
      </x:c>
      <x:c r="K147" s="38"/>
      <x:c r="L147" s="38"/>
      <x:c r="M147" s="38"/>
      <x:c r="N147" s="38"/>
      <x:c r="O147" s="38"/>
      <x:c r="P147" s="37" t="str"/>
      <x:c r="Q147" s="37" t="str">
        <x:v>Risk exposure</x:v>
      </x:c>
      <x:c r="R147" s="37" t="str"/>
      <x:c r="S147" s="37" t="str"/>
      <x:c r="T147" s="37" t="str">
        <x:v>Operations and Small CRs of Production Information Dashboard with 2 FTEs</x:v>
      </x:c>
      <x:c r="U147" s="37" t="str"/>
      <x:c r="V147" s="36" t="str">
        <x:v>2027</x:v>
      </x:c>
      <x:c r="W147" s="36" t="str">
        <x:v>SOX</x:v>
      </x:c>
      <x:c r="X147" s="36"/>
      <x:c r="Y147" s="36" t="str">
        <x:v>NotAssessed</x:v>
      </x:c>
      <x:c r="Z147" s="36" t="str"/>
      <x:c r="AA147" s="36" t="str"/>
      <x:c r="AB147" s="36"/>
      <x:c r="AC147" s="36"/>
      <x:c r="AD147" s="36" t="str"/>
      <x:c r="AE147" s="36" t="str"/>
      <x:c r="AF147" s="36" t="str">
        <x:v>Name and organisation matched</x:v>
      </x:c>
      <x:c r="AG147" s="36" t="str">
        <x:v>Common pot</x:v>
      </x:c>
      <x:c r="AH147" s="36" t="str">
        <x:v>BU Demand!row 359</x:v>
      </x:c>
      <x:c r="AI147" s="36" t="str">
        <x:v>LFR</x:v>
      </x:c>
      <x:c r="AJ147" s="36" t="str">
        <x:v>Compliance</x:v>
      </x:c>
      <x:c r="AK147" s="36" t="str">
        <x:v>Must Have</x:v>
      </x:c>
      <x:c r="AL147" s="36" t="n">
        <x:v>0</x:v>
      </x:c>
      <x:c r="AM147" s="36" t="n">
        <x:v>0</x:v>
      </x:c>
      <x:c r="AN147" s="43"/>
      <x:c r="AO147" s="43"/>
      <x:c r="AP147" s="43"/>
    </x:row>
    <x:row r="148" ht="15" hidden="0" customHeight="1">
      <x:c r="A148" s="36" t="str">
        <x:v>Bu-153</x:v>
      </x:c>
      <x:c r="B148" s="37" t="str">
        <x:v>Product Information Management</x:v>
      </x:c>
      <x:c r="C148" s="36" t="str">
        <x:v>BU Led</x:v>
      </x:c>
      <x:c r="D148" s="36" t="str">
        <x:v>Precision Diagnosis - Magnetic Resonance (MR)</x:v>
      </x:c>
      <x:c r="E148" s="36" t="str">
        <x:v>1006510</x:v>
      </x:c>
      <x:c r="F148" s="36" t="str">
        <x:v>Upgrades &amp; Enhancements</x:v>
      </x:c>
      <x:c r="G148" s="36" t="str">
        <x:v>Revenue Increase</x:v>
      </x:c>
      <x:c r="H148" s="36" t="str">
        <x:v>Must Have</x:v>
      </x:c>
      <x:c r="I148" s="36" t="str">
        <x:v>Carry Over</x:v>
      </x:c>
      <x:c r="J148" s="38" t="n">
        <x:v>0.1</x:v>
      </x:c>
      <x:c r="K148" s="38"/>
      <x:c r="L148" s="38"/>
      <x:c r="M148" s="38"/>
      <x:c r="N148" s="38"/>
      <x:c r="O148" s="38"/>
      <x:c r="P148" s="37" t="str"/>
      <x:c r="Q148" s="37" t="str">
        <x:v>Revenue</x:v>
      </x:c>
      <x:c r="R148" s="37" t="str"/>
      <x:c r="S148" s="37" t="str"/>
      <x:c r="T148" s="37" t="str">
        <x:v>IT Capabilities needed to integrate LDK / switch to anyother licensing platform for Imaging BUs:
- BU specific enhancements needed to adopt LDK
CT: Astra in scope (Try and Buy and Term Based Subscription) (100K)
DXR: Elua (Q3 2027)
MR: Lumi (Q1 2028)
X-BU Wrapper Implementation for derisking business in case IT backend tools change (200K)
MR: Custom lock solution</x:v>
      </x:c>
      <x:c r="U148" s="37" t="str"/>
      <x:c r="V148" s="36" t="str"/>
      <x:c r="W148" s="36" t="str"/>
      <x:c r="X148" s="36"/>
      <x:c r="Y148" s="36" t="str">
        <x:v>NotAssessed</x:v>
      </x:c>
      <x:c r="Z148" s="36" t="str"/>
      <x:c r="AA148" s="36" t="str"/>
      <x:c r="AB148" s="36"/>
      <x:c r="AC148" s="36"/>
      <x:c r="AD148" s="36" t="str"/>
      <x:c r="AE148" s="36" t="str"/>
      <x:c r="AF148" s="36" t="str">
        <x:v>No exact waste match</x:v>
      </x:c>
      <x:c r="AG148" s="36" t="str">
        <x:v>Common pot</x:v>
      </x:c>
      <x:c r="AH148" s="36" t="str">
        <x:v>BU Demand!row 360</x:v>
      </x:c>
      <x:c r="AI148" s="36" t="str">
        <x:v>Upgrades</x:v>
      </x:c>
      <x:c r="AJ148" s="36" t="str">
        <x:v>Revenue</x:v>
      </x:c>
      <x:c r="AK148" s="36" t="str">
        <x:v>Must Have</x:v>
      </x:c>
      <x:c r="AL148" s="36" t="n">
        <x:v>0</x:v>
      </x:c>
      <x:c r="AM148" s="36" t="n">
        <x:v>0</x:v>
      </x:c>
      <x:c r="AN148" s="43"/>
      <x:c r="AO148" s="43"/>
      <x:c r="AP148" s="43"/>
    </x:row>
    <x:row r="149" ht="15" hidden="0" customHeight="1">
      <x:c r="A149" s="36" t="str">
        <x:v>Bu-154</x:v>
      </x:c>
      <x:c r="B149" s="37" t="str">
        <x:v>Sentinel LDK integration into BU SW </x:v>
      </x:c>
      <x:c r="C149" s="36" t="str">
        <x:v>BU Led</x:v>
      </x:c>
      <x:c r="D149" s="36" t="str">
        <x:v>Precision Diagnosis - Magnetic Resonance (MR)</x:v>
      </x:c>
      <x:c r="E149" s="36" t="str">
        <x:v>1006512</x:v>
      </x:c>
      <x:c r="F149" s="36" t="str">
        <x:v>Upgrades &amp; Enhancements</x:v>
      </x:c>
      <x:c r="G149" s="36" t="str">
        <x:v>Process Simplification / Efficiency Gain</x:v>
      </x:c>
      <x:c r="H149" s="36" t="str">
        <x:v>Must Have</x:v>
      </x:c>
      <x:c r="I149" s="36" t="str">
        <x:v>Carry Over</x:v>
      </x:c>
      <x:c r="J149" s="38" t="n">
        <x:v>0.4</x:v>
      </x:c>
      <x:c r="K149" s="38"/>
      <x:c r="L149" s="38"/>
      <x:c r="M149" s="38"/>
      <x:c r="N149" s="38"/>
      <x:c r="O149" s="38"/>
      <x:c r="P149" s="37" t="str"/>
      <x:c r="Q149" s="37" t="str">
        <x:v>Cash savings</x:v>
      </x:c>
      <x:c r="R149" s="37" t="str"/>
      <x:c r="S149" s="37" t="str"/>
      <x:c r="T149" s="37" t="str">
        <x:v>•MR Key Release Enhancements   Adhoc recurring changes to Release key App and BI reporting Euro 10 K
•Workpath - ADL Integration Enhancements Reporting OKRs and Dashboard for Di strategy+ License cost, integration etc Euro 140 K
•UAL BI and Data Ops Development and operational support for Unit Affected List (UAL) reporting covering both As-Shipped and As-Maintained product views. Euro 25 K
•Extending ULS Upgrade to CT and MR Extension of Upgrade Lifecycle Solution capabilities to CT and MR, including product upgrade configurator automation and validation processes. Euro 100 K
•DI Split Revenue Enhancements Enhancements to revenue analytics, including visibility into revenue attribution and split reporting across 6NC and 12NC product hierarchies. Euro 30 K
•CPL Phase 2 Expansion of Covered Product List capabilities to provide contract-level and software release-level product coverage insights. Euro 30 K</x:v>
      </x:c>
      <x:c r="U149" s="37" t="str"/>
      <x:c r="V149" s="36" t="str"/>
      <x:c r="W149" s="36" t="str"/>
      <x:c r="X149" s="36"/>
      <x:c r="Y149" s="36" t="str">
        <x:v>NotAssessed</x:v>
      </x:c>
      <x:c r="Z149" s="36" t="str"/>
      <x:c r="AA149" s="36" t="str"/>
      <x:c r="AB149" s="36"/>
      <x:c r="AC149" s="36"/>
      <x:c r="AD149" s="36" t="str"/>
      <x:c r="AE149" s="36" t="str"/>
      <x:c r="AF149" s="36" t="str">
        <x:v>No exact waste match</x:v>
      </x:c>
      <x:c r="AG149" s="36" t="str">
        <x:v>Common pot</x:v>
      </x:c>
      <x:c r="AH149" s="36" t="str">
        <x:v>BU Demand!row 367</x:v>
      </x:c>
      <x:c r="AI149" s="36" t="str">
        <x:v>Upgrades</x:v>
      </x:c>
      <x:c r="AJ149" s="36" t="str">
        <x:v>ProcSimp</x:v>
      </x:c>
      <x:c r="AK149" s="36" t="str">
        <x:v>Must Have</x:v>
      </x:c>
      <x:c r="AL149" s="36" t="n">
        <x:v>0</x:v>
      </x:c>
      <x:c r="AM149" s="36" t="n">
        <x:v>0</x:v>
      </x:c>
      <x:c r="AN149" s="43"/>
      <x:c r="AO149" s="43"/>
      <x:c r="AP149" s="43"/>
    </x:row>
    <x:row r="150" ht="15" hidden="0" customHeight="1">
      <x:c r="A150" s="36" t="str">
        <x:v>Bu-155</x:v>
      </x:c>
      <x:c r="B150" s="37" t="str">
        <x:v>BU Existing Project CR's (ALM - Workpath, Viva goals)</x:v>
      </x:c>
      <x:c r="C150" s="36" t="str">
        <x:v>BU Led</x:v>
      </x:c>
      <x:c r="D150" s="36" t="str">
        <x:v>Precision Diagnosis - Magnetic Resonance (MR)</x:v>
      </x:c>
      <x:c r="E150" s="36" t="str">
        <x:v>1006516</x:v>
      </x:c>
      <x:c r="F150" s="36" t="str">
        <x:v>Continous Improvement</x:v>
      </x:c>
      <x:c r="G150" s="36" t="str">
        <x:v>Process Simplification / Efficiency Gain</x:v>
      </x:c>
      <x:c r="H150" s="36" t="str">
        <x:v>Must Have</x:v>
      </x:c>
      <x:c r="I150" s="36" t="str">
        <x:v>Carry Over</x:v>
      </x:c>
      <x:c r="J150" s="38" t="n">
        <x:v>0.335</x:v>
      </x:c>
      <x:c r="K150" s="38"/>
      <x:c r="L150" s="38"/>
      <x:c r="M150" s="38"/>
      <x:c r="N150" s="38"/>
      <x:c r="O150" s="38"/>
      <x:c r="P150" s="37" t="str"/>
      <x:c r="Q150" s="37" t="str">
        <x:v>Cash savings</x:v>
      </x:c>
      <x:c r="R150" s="37" t="str"/>
      <x:c r="S150" s="37" t="str"/>
      <x:c r="T150" s="37" t="str">
        <x:v>POCs for AI model line alternate / road-map for AI model line - SI 25K</x:v>
      </x:c>
      <x:c r="U150" s="37" t="str"/>
      <x:c r="V150" s="36" t="str"/>
      <x:c r="W150" s="36" t="str"/>
      <x:c r="X150" s="36"/>
      <x:c r="Y150" s="36" t="str">
        <x:v>NotAssessed</x:v>
      </x:c>
      <x:c r="Z150" s="36" t="str"/>
      <x:c r="AA150" s="36" t="str"/>
      <x:c r="AB150" s="36"/>
      <x:c r="AC150" s="36"/>
      <x:c r="AD150" s="36" t="str"/>
      <x:c r="AE150" s="36" t="str"/>
      <x:c r="AF150" s="36" t="str">
        <x:v>No exact waste match</x:v>
      </x:c>
      <x:c r="AG150" s="36" t="str">
        <x:v>Common pot</x:v>
      </x:c>
      <x:c r="AH150" s="36" t="str">
        <x:v>BU Demand!row 373</x:v>
      </x:c>
      <x:c r="AI150" s="36" t="str">
        <x:v>CI</x:v>
      </x:c>
      <x:c r="AJ150" s="36" t="str">
        <x:v>ProcSimp</x:v>
      </x:c>
      <x:c r="AK150" s="36" t="str">
        <x:v>Must Have</x:v>
      </x:c>
      <x:c r="AL150" s="36" t="n">
        <x:v>0</x:v>
      </x:c>
      <x:c r="AM150" s="36" t="n">
        <x:v>0</x:v>
      </x:c>
      <x:c r="AN150" s="43"/>
      <x:c r="AO150" s="43"/>
      <x:c r="AP150" s="43"/>
    </x:row>
    <x:row r="151" ht="15" hidden="0" customHeight="1">
      <x:c r="A151" s="36" t="str">
        <x:v>Bu-156</x:v>
      </x:c>
      <x:c r="B151" s="37" t="str">
        <x:v>Agentic AI solutions for service (POCs)</x:v>
      </x:c>
      <x:c r="C151" s="36" t="str">
        <x:v>BU Led</x:v>
      </x:c>
      <x:c r="D151" s="36" t="str">
        <x:v>Precision Diagnosis - Magnetic Resonance (MR)</x:v>
      </x:c>
      <x:c r="E151" s="36" t="str">
        <x:v>1006554</x:v>
      </x:c>
      <x:c r="F151" s="36" t="str">
        <x:v>Continous Improvement</x:v>
      </x:c>
      <x:c r="G151" s="36" t="str">
        <x:v>Process Simplification / Efficiency Gain</x:v>
      </x:c>
      <x:c r="H151" s="36" t="str">
        <x:v>Must Have</x:v>
      </x:c>
      <x:c r="I151" s="36" t="str">
        <x:v>Carry Over</x:v>
      </x:c>
      <x:c r="J151" s="38" t="n">
        <x:v>0.2</x:v>
      </x:c>
      <x:c r="K151" s="38"/>
      <x:c r="L151" s="38"/>
      <x:c r="M151" s="38"/>
      <x:c r="N151" s="38"/>
      <x:c r="O151" s="38"/>
      <x:c r="P151" s="37" t="str"/>
      <x:c r="Q151" s="37" t="str">
        <x:v>Cash savings</x:v>
      </x:c>
      <x:c r="R151" s="37" t="str"/>
      <x:c r="S151" s="37" t="str"/>
      <x:c r="T151" s="37" t="str">
        <x:v>Reservation for MR specific ORION/Ensight change requests
also including automated approval clinical science keys</x:v>
      </x:c>
      <x:c r="U151" s="37" t="str"/>
      <x:c r="V151" s="36" t="str"/>
      <x:c r="W151" s="36" t="str"/>
      <x:c r="X151" s="36"/>
      <x:c r="Y151" s="36" t="str">
        <x:v>NotAssessed</x:v>
      </x:c>
      <x:c r="Z151" s="36" t="str"/>
      <x:c r="AA151" s="36" t="str"/>
      <x:c r="AB151" s="36"/>
      <x:c r="AC151" s="36"/>
      <x:c r="AD151" s="36" t="str"/>
      <x:c r="AE151" s="36" t="str"/>
      <x:c r="AF151" s="36" t="str">
        <x:v>No exact waste match</x:v>
      </x:c>
      <x:c r="AG151" s="36" t="str">
        <x:v>Common pot</x:v>
      </x:c>
      <x:c r="AH151" s="36" t="str">
        <x:v>BU Demand!row 374</x:v>
      </x:c>
      <x:c r="AI151" s="36" t="str">
        <x:v>CI</x:v>
      </x:c>
      <x:c r="AJ151" s="36" t="str">
        <x:v>ProcSimp</x:v>
      </x:c>
      <x:c r="AK151" s="36" t="str">
        <x:v>Must Have</x:v>
      </x:c>
      <x:c r="AL151" s="36" t="n">
        <x:v>0</x:v>
      </x:c>
      <x:c r="AM151" s="36" t="n">
        <x:v>0</x:v>
      </x:c>
      <x:c r="AN151" s="43"/>
      <x:c r="AO151" s="43"/>
      <x:c r="AP151" s="43"/>
    </x:row>
    <x:row r="152" ht="15" hidden="0" customHeight="1">
      <x:c r="A152" s="36" t="str">
        <x:v>Bu-157</x:v>
      </x:c>
      <x:c r="B152" s="37" t="str">
        <x:v>I2M Clinical Science Contracting (ORION/Ensight) CR's</x:v>
      </x:c>
      <x:c r="C152" s="36" t="str">
        <x:v>BU Led</x:v>
      </x:c>
      <x:c r="D152" s="36" t="str">
        <x:v>Precision Diagnosis - Magnetic Resonance (MR)</x:v>
      </x:c>
      <x:c r="E152" s="36" t="str">
        <x:v>1006568</x:v>
      </x:c>
      <x:c r="F152" s="36" t="str">
        <x:v>Upgrades &amp; Enhancements</x:v>
      </x:c>
      <x:c r="G152" s="36" t="str">
        <x:v>Process simplification/ efficiency gain</x:v>
      </x:c>
      <x:c r="H152" s="36" t="str">
        <x:v>Must Have</x:v>
      </x:c>
      <x:c r="I152" s="36" t="str">
        <x:v>Carry Over</x:v>
      </x:c>
      <x:c r="J152" s="38" t="n">
        <x:v>0.075</x:v>
      </x:c>
      <x:c r="K152" s="38"/>
      <x:c r="L152" s="38"/>
      <x:c r="M152" s="38"/>
      <x:c r="N152" s="38"/>
      <x:c r="O152" s="38"/>
      <x:c r="P152" s="37" t="str"/>
      <x:c r="Q152" s="37" t="str">
        <x:v>Cash savings</x:v>
      </x:c>
      <x:c r="R152" s="37" t="str"/>
      <x:c r="S152" s="37" t="str"/>
      <x:c r="T152" s="37" t="str">
        <x:v>Phase 1B Scope:
1. Integrating (Legacy) OKM Key Generator with Sentinel: Decommissioning OKM for whole CT business replacing it with Sentinel (Taichi, Incisive, Access, MX) (Suzhou Key Generators)
2. Install Base Migration: Migrating existing Install Base Licenses to Sentinel
(Project work paused in 2026. To be re-initiated in 2027 )</x:v>
      </x:c>
      <x:c r="U152" s="37" t="str"/>
      <x:c r="V152" s="36" t="str"/>
      <x:c r="W152" s="36" t="str"/>
      <x:c r="X152" s="36"/>
      <x:c r="Y152" s="36" t="str">
        <x:v>NotAssessed</x:v>
      </x:c>
      <x:c r="Z152" s="36" t="str"/>
      <x:c r="AA152" s="36" t="str"/>
      <x:c r="AB152" s="36"/>
      <x:c r="AC152" s="36"/>
      <x:c r="AD152" s="36" t="str"/>
      <x:c r="AE152" s="36" t="str"/>
      <x:c r="AF152" s="36" t="str">
        <x:v>No exact waste match</x:v>
      </x:c>
      <x:c r="AG152" s="36" t="str">
        <x:v>Common pot</x:v>
      </x:c>
      <x:c r="AH152" s="36" t="str">
        <x:v>BU Demand!row 376</x:v>
      </x:c>
      <x:c r="AI152" s="36" t="str">
        <x:v>Upgrades</x:v>
      </x:c>
      <x:c r="AJ152" s="36" t="str">
        <x:v>ProcSimp</x:v>
      </x:c>
      <x:c r="AK152" s="36" t="str">
        <x:v>Must Have</x:v>
      </x:c>
      <x:c r="AL152" s="36" t="n">
        <x:v>0</x:v>
      </x:c>
      <x:c r="AM152" s="36" t="n">
        <x:v>0</x:v>
      </x:c>
      <x:c r="AN152" s="43"/>
      <x:c r="AO152" s="43"/>
      <x:c r="AP152" s="43"/>
    </x:row>
    <x:row r="153" ht="24" hidden="0" customHeight="1">
      <x:c r="A153" s="36" t="str">
        <x:v>Bu-158</x:v>
      </x:c>
      <x:c r="B153" s="37" t="str">
        <x:v>Sentinel LEM deployment for CT/AMI (OKM – Order Key Manager) - STO 400K</x:v>
      </x:c>
      <x:c r="C153" s="36" t="str">
        <x:v>BU Led</x:v>
      </x:c>
      <x:c r="D153" s="36" t="str">
        <x:v>Precision Diagnosis - Computed Tomography (CT)</x:v>
      </x:c>
      <x:c r="E153" s="36" t="str">
        <x:v>1006930</x:v>
      </x:c>
      <x:c r="F153" s="36" t="str">
        <x:v>Upgrades &amp; Enhancements</x:v>
      </x:c>
      <x:c r="G153" s="36" t="str">
        <x:v>Process Simplification / Efficiency Gain</x:v>
      </x:c>
      <x:c r="H153" s="36" t="str">
        <x:v>Must Have</x:v>
      </x:c>
      <x:c r="I153" s="36" t="str">
        <x:v>Carry Over</x:v>
      </x:c>
      <x:c r="J153" s="38" t="n">
        <x:v>0.25</x:v>
      </x:c>
      <x:c r="K153" s="38"/>
      <x:c r="L153" s="38"/>
      <x:c r="M153" s="38"/>
      <x:c r="N153" s="38"/>
      <x:c r="O153" s="38"/>
      <x:c r="P153" s="37" t="str"/>
      <x:c r="Q153" s="37" t="str">
        <x:v>Cash savings</x:v>
      </x:c>
      <x:c r="R153" s="37" t="str"/>
      <x:c r="S153" s="37" t="str"/>
      <x:c r="T153" s="37" t="str">
        <x:v>Reservation for BU specific change requests for Windchill PLM - 100 CCB</x:v>
      </x:c>
      <x:c r="U153" s="37" t="str"/>
      <x:c r="V153" s="36" t="str"/>
      <x:c r="W153" s="36" t="str"/>
      <x:c r="X153" s="36"/>
      <x:c r="Y153" s="36" t="str">
        <x:v>NotAssessed</x:v>
      </x:c>
      <x:c r="Z153" s="36" t="str"/>
      <x:c r="AA153" s="36" t="str"/>
      <x:c r="AB153" s="36"/>
      <x:c r="AC153" s="36"/>
      <x:c r="AD153" s="36" t="str"/>
      <x:c r="AE153" s="36" t="str"/>
      <x:c r="AF153" s="36" t="str">
        <x:v>Name and organisation matched</x:v>
      </x:c>
      <x:c r="AG153" s="36" t="str">
        <x:v>Common pot</x:v>
      </x:c>
      <x:c r="AH153" s="36" t="str">
        <x:v>BU Demand!row 380</x:v>
      </x:c>
      <x:c r="AI153" s="36" t="str">
        <x:v>Upgrades</x:v>
      </x:c>
      <x:c r="AJ153" s="36" t="str">
        <x:v>ProcSimp</x:v>
      </x:c>
      <x:c r="AK153" s="36" t="str">
        <x:v>Must Have</x:v>
      </x:c>
      <x:c r="AL153" s="36" t="n">
        <x:v>0</x:v>
      </x:c>
      <x:c r="AM153" s="36" t="n">
        <x:v>0</x:v>
      </x:c>
      <x:c r="AN153" s="43"/>
      <x:c r="AO153" s="43"/>
      <x:c r="AP153" s="43"/>
    </x:row>
    <x:row r="154" ht="15" hidden="0" customHeight="1">
      <x:c r="A154" s="36" t="str">
        <x:v>Bu-159</x:v>
      </x:c>
      <x:c r="B154" s="37" t="str">
        <x:v>I2M PLM (Windchill) CR's</x:v>
      </x:c>
      <x:c r="C154" s="36" t="str">
        <x:v>BU Led</x:v>
      </x:c>
      <x:c r="D154" s="36" t="str">
        <x:v>Precision Diagnosis - Magnetic Resonance (MR)</x:v>
      </x:c>
      <x:c r="E154" s="36" t="str">
        <x:v>CCB</x:v>
      </x:c>
      <x:c r="F154" s="36" t="str">
        <x:v>Upgrades &amp; Enhancements</x:v>
      </x:c>
      <x:c r="G154" s="36" t="str">
        <x:v>Process Simplification / Efficiency Gain</x:v>
      </x:c>
      <x:c r="H154" s="36" t="str">
        <x:v>Must Have</x:v>
      </x:c>
      <x:c r="I154" s="36" t="str">
        <x:v>Change &amp; Sustain</x:v>
      </x:c>
      <x:c r="J154" s="38" t="n">
        <x:v>0.3</x:v>
      </x:c>
      <x:c r="K154" s="38"/>
      <x:c r="L154" s="38"/>
      <x:c r="M154" s="38"/>
      <x:c r="N154" s="38"/>
      <x:c r="O154" s="38"/>
      <x:c r="P154" s="37" t="str"/>
      <x:c r="Q154" s="37" t="str">
        <x:v>Cash savings</x:v>
      </x:c>
      <x:c r="R154" s="37" t="str"/>
      <x:c r="S154" s="37" t="str"/>
      <x:c r="T154" s="37" t="str">
        <x:v>Reservation for further enhancements of the MR Imaging app, integration of the MR Imaging App and the MR Learning app and enhancements for the Scan Buddy App- SI 50</x:v>
      </x:c>
      <x:c r="U154" s="37" t="str"/>
      <x:c r="V154" s="36" t="str"/>
      <x:c r="W154" s="36" t="str"/>
      <x:c r="X154" s="36"/>
      <x:c r="Y154" s="36" t="str">
        <x:v>NotAssessed</x:v>
      </x:c>
      <x:c r="Z154" s="36" t="str"/>
      <x:c r="AA154" s="36" t="str"/>
      <x:c r="AB154" s="36"/>
      <x:c r="AC154" s="36"/>
      <x:c r="AD154" s="36" t="str"/>
      <x:c r="AE154" s="36" t="str"/>
      <x:c r="AF154" s="36" t="str">
        <x:v>Name and organisation matched</x:v>
      </x:c>
      <x:c r="AG154" s="36" t="str">
        <x:v>Change and Sustain candidate</x:v>
      </x:c>
      <x:c r="AH154" s="36" t="str">
        <x:v>BU Demand!row 381</x:v>
      </x:c>
      <x:c r="AI154" s="36" t="str">
        <x:v>Upgrades</x:v>
      </x:c>
      <x:c r="AJ154" s="36" t="str">
        <x:v>ProcSimp</x:v>
      </x:c>
      <x:c r="AK154" s="36" t="str">
        <x:v>Must Have</x:v>
      </x:c>
      <x:c r="AL154" s="36" t="n">
        <x:v>0</x:v>
      </x:c>
      <x:c r="AM154" s="36" t="n">
        <x:v>0</x:v>
      </x:c>
      <x:c r="AN154" s="43"/>
      <x:c r="AO154" s="43"/>
      <x:c r="AP154" s="43"/>
    </x:row>
    <x:row r="155" ht="15" hidden="0" customHeight="1">
      <x:c r="A155" s="36" t="str">
        <x:v>Bu-160</x:v>
      </x:c>
      <x:c r="B155" s="37" t="str">
        <x:v>MR Mobile Apps CR's (MR - Imaging app v2) SI</x:v>
      </x:c>
      <x:c r="C155" s="36" t="str">
        <x:v>BU Led</x:v>
      </x:c>
      <x:c r="D155" s="36" t="str">
        <x:v>Precision Diagnosis - Magnetic Resonance (MR)</x:v>
      </x:c>
      <x:c r="E155" s="36" t="str">
        <x:v>1007809</x:v>
      </x:c>
      <x:c r="F155" s="36" t="str">
        <x:v>Continuous Improvement</x:v>
      </x:c>
      <x:c r="G155" s="36" t="str">
        <x:v>Process Simplification / Efficiency Gain</x:v>
      </x:c>
      <x:c r="H155" s="36" t="str">
        <x:v>Must Have</x:v>
      </x:c>
      <x:c r="I155" s="36" t="str">
        <x:v>Carry Over</x:v>
      </x:c>
      <x:c r="J155" s="38" t="n">
        <x:v>0.35</x:v>
      </x:c>
      <x:c r="K155" s="38"/>
      <x:c r="L155" s="38"/>
      <x:c r="M155" s="38"/>
      <x:c r="N155" s="38"/>
      <x:c r="O155" s="38"/>
      <x:c r="P155" s="37" t="str"/>
      <x:c r="Q155" s="37" t="str">
        <x:v>Cash savings</x:v>
      </x:c>
      <x:c r="R155" s="37" t="str"/>
      <x:c r="S155" s="37" t="str"/>
      <x:c r="T155" s="37" t="str">
        <x:v>Establish the Req2Res foundation for efficient, scalable mobile MRI service operations across Europe.</x:v>
      </x:c>
      <x:c r="U155" s="37" t="str"/>
      <x:c r="V155" s="36" t="str"/>
      <x:c r="W155" s="36" t="str"/>
      <x:c r="X155" s="36"/>
      <x:c r="Y155" s="36" t="str">
        <x:v>NotAssessed</x:v>
      </x:c>
      <x:c r="Z155" s="36" t="str"/>
      <x:c r="AA155" s="36" t="str"/>
      <x:c r="AB155" s="36"/>
      <x:c r="AC155" s="36"/>
      <x:c r="AD155" s="36" t="str"/>
      <x:c r="AE155" s="36" t="str"/>
      <x:c r="AF155" s="36" t="str">
        <x:v>No exact waste match</x:v>
      </x:c>
      <x:c r="AG155" s="36" t="str">
        <x:v>Common pot</x:v>
      </x:c>
      <x:c r="AH155" s="36" t="str">
        <x:v>BU Demand!row 382</x:v>
      </x:c>
      <x:c r="AI155" s="36" t="str">
        <x:v>CI</x:v>
      </x:c>
      <x:c r="AJ155" s="36" t="str">
        <x:v>ProcSimp</x:v>
      </x:c>
      <x:c r="AK155" s="36" t="str">
        <x:v>Must Have</x:v>
      </x:c>
      <x:c r="AL155" s="36" t="n">
        <x:v>0</x:v>
      </x:c>
      <x:c r="AM155" s="36" t="n">
        <x:v>0</x:v>
      </x:c>
      <x:c r="AN155" s="43"/>
      <x:c r="AO155" s="43"/>
      <x:c r="AP155" s="43"/>
    </x:row>
    <x:row r="156" ht="15" hidden="0" customHeight="1">
      <x:c r="A156" s="36" t="str">
        <x:v>Bu-161</x:v>
      </x:c>
      <x:c r="B156" s="37" t="str">
        <x:v>Spaniel 13 | Mobile MRI Support</x:v>
      </x:c>
      <x:c r="C156" s="36" t="str">
        <x:v>BU Led</x:v>
      </x:c>
      <x:c r="D156" s="36" t="str">
        <x:v>Precision Diagnosis - Magnetic Resonance (MR)</x:v>
      </x:c>
      <x:c r="E156" s="36" t="str"/>
      <x:c r="F156" s="36" t="str">
        <x:v>Continuous Improvement</x:v>
      </x:c>
      <x:c r="G156" s="36" t="str">
        <x:v>Process Simplification / Efficiency Gain</x:v>
      </x:c>
      <x:c r="H156" s="36" t="str">
        <x:v>Must Do</x:v>
      </x:c>
      <x:c r="I156" s="36" t="str">
        <x:v>New Initiative</x:v>
      </x:c>
      <x:c r="J156" s="38" t="n">
        <x:v>0.16</x:v>
      </x:c>
      <x:c r="K156" s="38"/>
      <x:c r="L156" s="38"/>
      <x:c r="M156" s="38"/>
      <x:c r="N156" s="38"/>
      <x:c r="O156" s="38"/>
      <x:c r="P156" s="37" t="str"/>
      <x:c r="Q156" s="37" t="str">
        <x:v>Cash savings</x:v>
      </x:c>
      <x:c r="R156" s="37" t="str"/>
      <x:c r="S156" s="37" t="str"/>
      <x:c r="T156" s="37" t="str">
        <x:v>Support architype subscription for indirect markets</x:v>
      </x:c>
      <x:c r="U156" s="37" t="str"/>
      <x:c r="V156" s="36" t="str"/>
      <x:c r="W156" s="36" t="str"/>
      <x:c r="X156" s="36"/>
      <x:c r="Y156" s="36" t="str">
        <x:v>NotAssessed</x:v>
      </x:c>
      <x:c r="Z156" s="36" t="str"/>
      <x:c r="AA156" s="36" t="str"/>
      <x:c r="AB156" s="36"/>
      <x:c r="AC156" s="36"/>
      <x:c r="AD156" s="36" t="str"/>
      <x:c r="AE156" s="36" t="str"/>
      <x:c r="AF156" s="36" t="str">
        <x:v>Name and organisation matched</x:v>
      </x:c>
      <x:c r="AG156" s="36" t="str">
        <x:v>Common pot</x:v>
      </x:c>
      <x:c r="AH156" s="36" t="str">
        <x:v>BU Demand!row 383</x:v>
      </x:c>
      <x:c r="AI156" s="36" t="str">
        <x:v>CI</x:v>
      </x:c>
      <x:c r="AJ156" s="36" t="str">
        <x:v>ProcSimp</x:v>
      </x:c>
      <x:c r="AK156" s="36" t="str">
        <x:v>Must Do</x:v>
      </x:c>
      <x:c r="AL156" s="36" t="n">
        <x:v>0</x:v>
      </x:c>
      <x:c r="AM156" s="36" t="n">
        <x:v>0</x:v>
      </x:c>
      <x:c r="AN156" s="43"/>
      <x:c r="AO156" s="43"/>
      <x:c r="AP156" s="43"/>
    </x:row>
    <x:row r="157" ht="15" hidden="0" customHeight="1">
      <x:c r="A157" s="36" t="str">
        <x:v>Bu-162</x:v>
      </x:c>
      <x:c r="B157" s="37" t="str">
        <x:v>Spaniel 12 | MR subscription for Indirect channel</x:v>
      </x:c>
      <x:c r="C157" s="36" t="str">
        <x:v>BU Led</x:v>
      </x:c>
      <x:c r="D157" s="36" t="str">
        <x:v>Precision Diagnosis - Magnetic Resonance (MR)</x:v>
      </x:c>
      <x:c r="E157" s="36" t="str"/>
      <x:c r="F157" s="36" t="str">
        <x:v>New Feature</x:v>
      </x:c>
      <x:c r="G157" s="36" t="str">
        <x:v>Revenue Increase</x:v>
      </x:c>
      <x:c r="H157" s="36" t="str">
        <x:v>Must Do</x:v>
      </x:c>
      <x:c r="I157" s="36" t="str">
        <x:v>New Initiative</x:v>
      </x:c>
      <x:c r="J157" s="38" t="n">
        <x:v>0.05</x:v>
      </x:c>
      <x:c r="K157" s="38"/>
      <x:c r="L157" s="38"/>
      <x:c r="M157" s="38"/>
      <x:c r="N157" s="38"/>
      <x:c r="O157" s="38"/>
      <x:c r="P157" s="37" t="str"/>
      <x:c r="Q157" s="37" t="str">
        <x:v>Revenue</x:v>
      </x:c>
      <x:c r="R157" s="37" t="str"/>
      <x:c r="S157" s="37" t="str"/>
      <x:c r="T157" s="37" t="str">
        <x:v>Assessment to decide the direction for having one pricing source of truth which enables Cat on Demand
Technical scope:
Improve current salestext process for availability and quality for salestext and translation
1. Sales text data flow fixes to improve catalogue release cycle
2. Sales text tooling replacement (Per need)
3. AI for sales text translations etc.</x:v>
      </x:c>
      <x:c r="U157" s="37" t="str"/>
      <x:c r="V157" s="36" t="str"/>
      <x:c r="W157" s="36" t="str"/>
      <x:c r="X157" s="36"/>
      <x:c r="Y157" s="36" t="str">
        <x:v>NotAssessed</x:v>
      </x:c>
      <x:c r="Z157" s="36" t="str"/>
      <x:c r="AA157" s="36" t="str"/>
      <x:c r="AB157" s="36"/>
      <x:c r="AC157" s="36"/>
      <x:c r="AD157" s="36" t="str"/>
      <x:c r="AE157" s="36" t="str"/>
      <x:c r="AF157" s="36" t="str">
        <x:v>Name and organisation matched</x:v>
      </x:c>
      <x:c r="AG157" s="36" t="str">
        <x:v>Common pot</x:v>
      </x:c>
      <x:c r="AH157" s="36" t="str">
        <x:v>BU Demand!row 384</x:v>
      </x:c>
      <x:c r="AI157" s="36" t="str">
        <x:v>NewFeat</x:v>
      </x:c>
      <x:c r="AJ157" s="36" t="str">
        <x:v>Revenue</x:v>
      </x:c>
      <x:c r="AK157" s="36" t="str">
        <x:v>Must Do</x:v>
      </x:c>
      <x:c r="AL157" s="36" t="n">
        <x:v>0</x:v>
      </x:c>
      <x:c r="AM157" s="36" t="n">
        <x:v>0</x:v>
      </x:c>
      <x:c r="AN157" s="43"/>
      <x:c r="AO157" s="43"/>
      <x:c r="AP157" s="43"/>
    </x:row>
    <x:row r="158" ht="15" hidden="0" customHeight="1">
      <x:c r="A158" s="36" t="str">
        <x:v>Bu-163</x:v>
      </x:c>
      <x:c r="B158" s="37" t="str">
        <x:v>Sales Text | VSM &amp; PS | Sales text process E2E</x:v>
      </x:c>
      <x:c r="C158" s="36" t="str">
        <x:v>BU Led</x:v>
      </x:c>
      <x:c r="D158" s="36" t="str">
        <x:v>Precision Diagnosis - Magnetic Resonance (MR)</x:v>
      </x:c>
      <x:c r="E158" s="36" t="str"/>
      <x:c r="F158" s="36" t="str">
        <x:v>Continuous Improvement</x:v>
      </x:c>
      <x:c r="G158" s="36" t="str">
        <x:v>Process Simplification / Efficiency Gain</x:v>
      </x:c>
      <x:c r="H158" s="36" t="str">
        <x:v>Must Have</x:v>
      </x:c>
      <x:c r="I158" s="36" t="str">
        <x:v>New Initiative</x:v>
      </x:c>
      <x:c r="J158" s="38" t="n">
        <x:v>0.15</x:v>
      </x:c>
      <x:c r="K158" s="38"/>
      <x:c r="L158" s="38"/>
      <x:c r="M158" s="38"/>
      <x:c r="N158" s="38"/>
      <x:c r="O158" s="38"/>
      <x:c r="P158" s="37" t="str"/>
      <x:c r="Q158" s="37" t="str">
        <x:v>Cash savings</x:v>
      </x:c>
      <x:c r="R158" s="37" t="str"/>
      <x:c r="S158" s="37" t="str"/>
      <x:c r="T158" s="37" t="str">
        <x:v>1. Extend the existing GTIN solution enabled by ULS
2. Additional fixes needed for adoption to MR and CT processes</x:v>
      </x:c>
      <x:c r="U158" s="37" t="str"/>
      <x:c r="V158" s="36" t="str"/>
      <x:c r="W158" s="36" t="str"/>
      <x:c r="X158" s="36"/>
      <x:c r="Y158" s="36" t="str">
        <x:v>NotAssessed</x:v>
      </x:c>
      <x:c r="Z158" s="36" t="str"/>
      <x:c r="AA158" s="36" t="str"/>
      <x:c r="AB158" s="36"/>
      <x:c r="AC158" s="36"/>
      <x:c r="AD158" s="36" t="str"/>
      <x:c r="AE158" s="36" t="str"/>
      <x:c r="AF158" s="36" t="str">
        <x:v>Name and organisation matched</x:v>
      </x:c>
      <x:c r="AG158" s="36" t="str">
        <x:v>Common pot</x:v>
      </x:c>
      <x:c r="AH158" s="36" t="str">
        <x:v>BU Demand!row 391</x:v>
      </x:c>
      <x:c r="AI158" s="36" t="str">
        <x:v>CI</x:v>
      </x:c>
      <x:c r="AJ158" s="36" t="str">
        <x:v>ProcSimp</x:v>
      </x:c>
      <x:c r="AK158" s="36" t="str">
        <x:v>Must Have</x:v>
      </x:c>
      <x:c r="AL158" s="36" t="n">
        <x:v>0</x:v>
      </x:c>
      <x:c r="AM158" s="36" t="n">
        <x:v>0</x:v>
      </x:c>
      <x:c r="AN158" s="43"/>
      <x:c r="AO158" s="43"/>
      <x:c r="AP158" s="43"/>
    </x:row>
    <x:row r="159" ht="15" hidden="0" customHeight="1">
      <x:c r="A159" s="36" t="str">
        <x:v>Bu-164</x:v>
      </x:c>
      <x:c r="B159" s="37" t="str">
        <x:v>Commercial Catalogue | 6NCs optimization | Solution for GTIN</x:v>
      </x:c>
      <x:c r="C159" s="36" t="str">
        <x:v>BU Led</x:v>
      </x:c>
      <x:c r="D159" s="36" t="str">
        <x:v>Precision Diagnosis - Magnetic Resonance (MR)</x:v>
      </x:c>
      <x:c r="E159" s="36" t="str"/>
      <x:c r="F159" s="36" t="str">
        <x:v>New Feature</x:v>
      </x:c>
      <x:c r="G159" s="36" t="str">
        <x:v>Process Simplification / Efficiency Gain</x:v>
      </x:c>
      <x:c r="H159" s="36" t="str">
        <x:v>Must Do</x:v>
      </x:c>
      <x:c r="I159" s="36" t="str">
        <x:v>New Initiative</x:v>
      </x:c>
      <x:c r="J159" s="38" t="n">
        <x:v>0.2</x:v>
      </x:c>
      <x:c r="K159" s="38"/>
      <x:c r="L159" s="38"/>
      <x:c r="M159" s="38"/>
      <x:c r="N159" s="38"/>
      <x:c r="O159" s="38"/>
      <x:c r="P159" s="37" t="str"/>
      <x:c r="Q159" s="37" t="str">
        <x:v>Cash savings</x:v>
      </x:c>
      <x:c r="R159" s="37" t="str"/>
      <x:c r="S159" s="37" t="str"/>
      <x:c r="T159" s="37" t="str">
        <x:v>3rd party SW Ordering &amp; Fulfilment:
a) Booking PoS and Non-PoS Recurring 3rd Party SW upgrades contracts
b) Non PoS One Time (commercial) 3rd Party SW upgrades order booking for existing Install Base
3rd party Invoicing: Invoicing for 3rd party SW subscriptions
3rd party SW renewals: Managing renewals for non-POS 3rd party subscription
3rd party clinical SW serviceability</x:v>
      </x:c>
      <x:c r="U159" s="37" t="str"/>
      <x:c r="V159" s="36" t="str"/>
      <x:c r="W159" s="36" t="str"/>
      <x:c r="X159" s="36"/>
      <x:c r="Y159" s="36" t="str">
        <x:v>NotAssessed</x:v>
      </x:c>
      <x:c r="Z159" s="36" t="str"/>
      <x:c r="AA159" s="36" t="str"/>
      <x:c r="AB159" s="36"/>
      <x:c r="AC159" s="36"/>
      <x:c r="AD159" s="36" t="str"/>
      <x:c r="AE159" s="36" t="str"/>
      <x:c r="AF159" s="36" t="str">
        <x:v>Name and organisation matched</x:v>
      </x:c>
      <x:c r="AG159" s="36" t="str">
        <x:v>Common pot</x:v>
      </x:c>
      <x:c r="AH159" s="36" t="str">
        <x:v>BU Demand!row 393</x:v>
      </x:c>
      <x:c r="AI159" s="36" t="str">
        <x:v>NewFeat</x:v>
      </x:c>
      <x:c r="AJ159" s="36" t="str">
        <x:v>ProcSimp</x:v>
      </x:c>
      <x:c r="AK159" s="36" t="str">
        <x:v>Must Do</x:v>
      </x:c>
      <x:c r="AL159" s="36" t="n">
        <x:v>0</x:v>
      </x:c>
      <x:c r="AM159" s="36" t="n">
        <x:v>0</x:v>
      </x:c>
      <x:c r="AN159" s="43"/>
      <x:c r="AO159" s="43"/>
      <x:c r="AP159" s="43"/>
    </x:row>
    <x:row r="160" ht="15" hidden="0" customHeight="1">
      <x:c r="A160" s="36" t="str">
        <x:v>Bu-165</x:v>
      </x:c>
      <x:c r="B160" s="37" t="str">
        <x:v>Spaniel 4 &amp; 5 | 3P SW PPP Business Model Archetype MVP </x:v>
      </x:c>
      <x:c r="C160" s="36" t="str">
        <x:v>BU Led</x:v>
      </x:c>
      <x:c r="D160" s="36" t="str">
        <x:v>Precision Diagnosis - Magnetic Resonance (MR)</x:v>
      </x:c>
      <x:c r="E160" s="36" t="str"/>
      <x:c r="F160" s="36" t="str">
        <x:v>New Feature</x:v>
      </x:c>
      <x:c r="G160" s="36" t="str">
        <x:v>Process Simplification / Efficiency Gain</x:v>
      </x:c>
      <x:c r="H160" s="36" t="str">
        <x:v>Must Do</x:v>
      </x:c>
      <x:c r="I160" s="36" t="str">
        <x:v>New Initiative</x:v>
      </x:c>
      <x:c r="J160" s="38" t="n">
        <x:v>0.25</x:v>
      </x:c>
      <x:c r="K160" s="38"/>
      <x:c r="L160" s="38"/>
      <x:c r="M160" s="38"/>
      <x:c r="N160" s="38"/>
      <x:c r="O160" s="38"/>
      <x:c r="P160" s="37" t="str"/>
      <x:c r="Q160" s="37" t="str">
        <x:v>Cash savings</x:v>
      </x:c>
      <x:c r="R160" s="37" t="str"/>
      <x:c r="S160" s="37" t="str"/>
      <x:c r="T160" s="37" t="str">
        <x:v>2027 Scope : Decide the direction for having one pricing source of truth which enables Cat on Demand
Technical scope:
1. Pricing tooling replacement 
2. Re-architect pricing data flow to improve catalogue cycle time</x:v>
      </x:c>
      <x:c r="U160" s="37" t="str"/>
      <x:c r="V160" s="36" t="str"/>
      <x:c r="W160" s="36" t="str"/>
      <x:c r="X160" s="36"/>
      <x:c r="Y160" s="36" t="str">
        <x:v>NotAssessed</x:v>
      </x:c>
      <x:c r="Z160" s="36" t="str"/>
      <x:c r="AA160" s="36" t="str"/>
      <x:c r="AB160" s="36"/>
      <x:c r="AC160" s="36"/>
      <x:c r="AD160" s="36" t="str"/>
      <x:c r="AE160" s="36" t="str"/>
      <x:c r="AF160" s="36" t="str">
        <x:v>Name and organisation matched</x:v>
      </x:c>
      <x:c r="AG160" s="36" t="str">
        <x:v>Common pot</x:v>
      </x:c>
      <x:c r="AH160" s="36" t="str">
        <x:v>BU Demand!row 400</x:v>
      </x:c>
      <x:c r="AI160" s="36" t="str">
        <x:v>NewFeat</x:v>
      </x:c>
      <x:c r="AJ160" s="36" t="str">
        <x:v>ProcSimp</x:v>
      </x:c>
      <x:c r="AK160" s="36" t="str">
        <x:v>Must Do</x:v>
      </x:c>
      <x:c r="AL160" s="36" t="n">
        <x:v>0</x:v>
      </x:c>
      <x:c r="AM160" s="36" t="n">
        <x:v>0</x:v>
      </x:c>
      <x:c r="AN160" s="43"/>
      <x:c r="AO160" s="43"/>
      <x:c r="AP160" s="43"/>
    </x:row>
    <x:row r="161" ht="15" hidden="0" customHeight="1">
      <x:c r="A161" s="36" t="str">
        <x:v>Bu-166</x:v>
      </x:c>
      <x:c r="B161" s="37" t="str">
        <x:v>Pricing | Pricing tooling maturity assessment - Road-map</x:v>
      </x:c>
      <x:c r="C161" s="36" t="str">
        <x:v>BU Led</x:v>
      </x:c>
      <x:c r="D161" s="36" t="str">
        <x:v>Precision Diagnosis - Magnetic Resonance (MR)</x:v>
      </x:c>
      <x:c r="E161" s="36" t="str"/>
      <x:c r="F161" s="36" t="str">
        <x:v>New Technology</x:v>
      </x:c>
      <x:c r="G161" s="36" t="str">
        <x:v>Compliance / Keeping the Lights On</x:v>
      </x:c>
      <x:c r="H161" s="36" t="str">
        <x:v>Must Have</x:v>
      </x:c>
      <x:c r="I161" s="36" t="str">
        <x:v>New Initiative</x:v>
      </x:c>
      <x:c r="J161" s="38" t="n">
        <x:v>0.05</x:v>
      </x:c>
      <x:c r="K161" s="38"/>
      <x:c r="L161" s="38"/>
      <x:c r="M161" s="38"/>
      <x:c r="N161" s="38"/>
      <x:c r="O161" s="38"/>
      <x:c r="P161" s="37" t="str"/>
      <x:c r="Q161" s="37" t="str">
        <x:v>Risk exposure</x:v>
      </x:c>
      <x:c r="R161" s="37" t="str"/>
      <x:c r="S161" s="37" t="str"/>
      <x:c r="T161" s="37" t="str">
        <x:v>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x:v>
      </x:c>
      <x:c r="U161" s="37" t="str"/>
      <x:c r="V161" s="36" t="str"/>
      <x:c r="W161" s="36" t="str"/>
      <x:c r="X161" s="36"/>
      <x:c r="Y161" s="36" t="str">
        <x:v>NotAssessed</x:v>
      </x:c>
      <x:c r="Z161" s="36" t="str"/>
      <x:c r="AA161" s="36" t="str"/>
      <x:c r="AB161" s="36"/>
      <x:c r="AC161" s="36"/>
      <x:c r="AD161" s="36" t="str"/>
      <x:c r="AE161" s="36" t="str"/>
      <x:c r="AF161" s="36" t="str">
        <x:v>Name and organisation matched</x:v>
      </x:c>
      <x:c r="AG161" s="36" t="str">
        <x:v>Common pot</x:v>
      </x:c>
      <x:c r="AH161" s="36" t="str">
        <x:v>BU Demand!row 404</x:v>
      </x:c>
      <x:c r="AI161" s="36" t="str">
        <x:v>NewTech</x:v>
      </x:c>
      <x:c r="AJ161" s="36" t="str">
        <x:v>Compliance</x:v>
      </x:c>
      <x:c r="AK161" s="36" t="str">
        <x:v>Must Have</x:v>
      </x:c>
      <x:c r="AL161" s="36" t="n">
        <x:v>0</x:v>
      </x:c>
      <x:c r="AM161" s="36" t="n">
        <x:v>0</x:v>
      </x:c>
      <x:c r="AN161" s="43"/>
      <x:c r="AO161" s="43"/>
      <x:c r="AP161" s="43"/>
    </x:row>
    <x:row r="162" ht="15" hidden="0" customHeight="1">
      <x:c r="A162" s="36" t="str">
        <x:v>Bu-167</x:v>
      </x:c>
      <x:c r="B162" s="37" t="str">
        <x:v>Regulatory submissions simplification | Document creation &amp; management</x:v>
      </x:c>
      <x:c r="C162" s="36" t="str">
        <x:v>BU Led</x:v>
      </x:c>
      <x:c r="D162" s="36" t="str">
        <x:v>Precision Diagnosis - Magnetic Resonance (MR)</x:v>
      </x:c>
      <x:c r="E162" s="36" t="str"/>
      <x:c r="F162" s="36" t="str">
        <x:v>Continuous Improvement</x:v>
      </x:c>
      <x:c r="G162" s="36" t="str">
        <x:v>Process Simplification / Efficiency Gain</x:v>
      </x:c>
      <x:c r="H162" s="36" t="str">
        <x:v>Must Have</x:v>
      </x:c>
      <x:c r="I162" s="36" t="str">
        <x:v>New Initiative</x:v>
      </x:c>
      <x:c r="J162" s="38" t="n">
        <x:v>0.03</x:v>
      </x:c>
      <x:c r="K162" s="38"/>
      <x:c r="L162" s="38"/>
      <x:c r="M162" s="38"/>
      <x:c r="N162" s="38"/>
      <x:c r="O162" s="38"/>
      <x:c r="P162" s="37" t="str"/>
      <x:c r="Q162" s="37" t="str">
        <x:v>Cash savings</x:v>
      </x:c>
      <x:c r="R162" s="37" t="str"/>
      <x:c r="S162" s="37" t="str"/>
      <x:c r="T162" s="37" t="str">
        <x:v>Builds upon BOOST localized labelling to reduce number of labels by 90% by feeding label content from database
New- Automate update of database from label specification and CSP properties
New - Enhance E2E  - country clearance (NOR-D)</x:v>
      </x:c>
      <x:c r="U162" s="37" t="str"/>
      <x:c r="V162" s="36" t="str"/>
      <x:c r="W162" s="36" t="str"/>
      <x:c r="X162" s="36"/>
      <x:c r="Y162" s="36" t="str">
        <x:v>NotAssessed</x:v>
      </x:c>
      <x:c r="Z162" s="36" t="str"/>
      <x:c r="AA162" s="36" t="str"/>
      <x:c r="AB162" s="36"/>
      <x:c r="AC162" s="36"/>
      <x:c r="AD162" s="36" t="str"/>
      <x:c r="AE162" s="36" t="str"/>
      <x:c r="AF162" s="36" t="str">
        <x:v>Name and organisation matched</x:v>
      </x:c>
      <x:c r="AG162" s="36" t="str">
        <x:v>Common pot</x:v>
      </x:c>
      <x:c r="AH162" s="36" t="str">
        <x:v>BU Demand!row 405</x:v>
      </x:c>
      <x:c r="AI162" s="36" t="str">
        <x:v>CI</x:v>
      </x:c>
      <x:c r="AJ162" s="36" t="str">
        <x:v>ProcSimp</x:v>
      </x:c>
      <x:c r="AK162" s="36" t="str">
        <x:v>Must Have</x:v>
      </x:c>
      <x:c r="AL162" s="36" t="n">
        <x:v>0</x:v>
      </x:c>
      <x:c r="AM162" s="36" t="n">
        <x:v>0</x:v>
      </x:c>
      <x:c r="AN162" s="43"/>
      <x:c r="AO162" s="43"/>
      <x:c r="AP162" s="43"/>
    </x:row>
    <x:row r="163" ht="15" hidden="0" customHeight="1">
      <x:c r="A163" s="36" t="str">
        <x:v>Bu-168</x:v>
      </x:c>
      <x:c r="B163" s="37" t="str">
        <x:v>Localised Label release</x:v>
      </x:c>
      <x:c r="C163" s="36" t="str">
        <x:v>BU Led</x:v>
      </x:c>
      <x:c r="D163" s="36" t="str">
        <x:v>Precision Diagnosis - Magnetic Resonance (MR)</x:v>
      </x:c>
      <x:c r="E163" s="36" t="str"/>
      <x:c r="F163" s="36" t="str">
        <x:v>Continuous Improvement</x:v>
      </x:c>
      <x:c r="G163" s="36" t="str">
        <x:v>Process Simplification / Efficiency Gain</x:v>
      </x:c>
      <x:c r="H163" s="36" t="str">
        <x:v>Must Have</x:v>
      </x:c>
      <x:c r="I163" s="36" t="str">
        <x:v>New Initiative</x:v>
      </x:c>
      <x:c r="J163" s="38" t="n">
        <x:v>0.05</x:v>
      </x:c>
      <x:c r="K163" s="38"/>
      <x:c r="L163" s="38"/>
      <x:c r="M163" s="38"/>
      <x:c r="N163" s="38"/>
      <x:c r="O163" s="38"/>
      <x:c r="P163" s="37" t="str"/>
      <x:c r="Q163" s="37" t="str">
        <x:v>Cash savings</x:v>
      </x:c>
      <x:c r="R163" s="37" t="str"/>
      <x:c r="S163" s="37" t="str"/>
      <x:c r="T163" s="37" t="str">
        <x:v>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x:v>
      </x:c>
      <x:c r="U163" s="37" t="str"/>
      <x:c r="V163" s="36" t="str"/>
      <x:c r="W163" s="36" t="str"/>
      <x:c r="X163" s="36"/>
      <x:c r="Y163" s="36" t="str">
        <x:v>NotAssessed</x:v>
      </x:c>
      <x:c r="Z163" s="36" t="str"/>
      <x:c r="AA163" s="36" t="str"/>
      <x:c r="AB163" s="36"/>
      <x:c r="AC163" s="36"/>
      <x:c r="AD163" s="36" t="str"/>
      <x:c r="AE163" s="36" t="str"/>
      <x:c r="AF163" s="36" t="str">
        <x:v>Name and organisation matched</x:v>
      </x:c>
      <x:c r="AG163" s="36" t="str">
        <x:v>Common pot</x:v>
      </x:c>
      <x:c r="AH163" s="36" t="str">
        <x:v>BU Demand!row 408</x:v>
      </x:c>
      <x:c r="AI163" s="36" t="str">
        <x:v>CI</x:v>
      </x:c>
      <x:c r="AJ163" s="36" t="str">
        <x:v>ProcSimp</x:v>
      </x:c>
      <x:c r="AK163" s="36" t="str">
        <x:v>Must Have</x:v>
      </x:c>
      <x:c r="AL163" s="36" t="n">
        <x:v>0</x:v>
      </x:c>
      <x:c r="AM163" s="36" t="n">
        <x:v>0</x:v>
      </x:c>
      <x:c r="AN163" s="43"/>
      <x:c r="AO163" s="43"/>
      <x:c r="AP163" s="43"/>
    </x:row>
    <x:row r="164" ht="15" hidden="0" customHeight="1">
      <x:c r="A164" s="36" t="str">
        <x:v>Bu-169</x:v>
      </x:c>
      <x:c r="B164" s="37" t="str">
        <x:v>I2M  Planisware CT AI Solutions</x:v>
      </x:c>
      <x:c r="C164" s="36" t="str">
        <x:v>BU Led</x:v>
      </x:c>
      <x:c r="D164" s="36" t="str">
        <x:v>Precision Diagnosis - Computed Tomography (CT)</x:v>
      </x:c>
      <x:c r="E164" s="36" t="str"/>
      <x:c r="F164" s="36" t="str">
        <x:v>AI Enablement</x:v>
      </x:c>
      <x:c r="G164" s="36" t="str">
        <x:v>Process Simplification / Efficiency Gain</x:v>
      </x:c>
      <x:c r="H164" s="36" t="str">
        <x:v>Must Have</x:v>
      </x:c>
      <x:c r="I164" s="36" t="str">
        <x:v>New Initiative</x:v>
      </x:c>
      <x:c r="J164" s="38" t="n">
        <x:v>0.65</x:v>
      </x:c>
      <x:c r="K164" s="38"/>
      <x:c r="L164" s="38"/>
      <x:c r="M164" s="38"/>
      <x:c r="N164" s="38"/>
      <x:c r="O164" s="38"/>
      <x:c r="P164" s="37" t="str"/>
      <x:c r="Q164" s="37" t="str">
        <x:v>Cash savings</x:v>
      </x:c>
      <x:c r="R164" s="37" t="str"/>
      <x:c r="S164" s="37" t="str"/>
      <x:c r="T164" s="37" t="str">
        <x:v>The Scanbuddy app is currently maintained by a 3rd Party without a proper contract/terms &amp; conditions agreement. Exploration of insourcing to the Mobile apps team in Philips IT  </x:v>
      </x:c>
      <x:c r="U164" s="37" t="str"/>
      <x:c r="V164" s="36" t="str"/>
      <x:c r="W164" s="36" t="str"/>
      <x:c r="X164" s="36"/>
      <x:c r="Y164" s="36" t="str">
        <x:v>NotAssessed</x:v>
      </x:c>
      <x:c r="Z164" s="36" t="str"/>
      <x:c r="AA164" s="36" t="str"/>
      <x:c r="AB164" s="36"/>
      <x:c r="AC164" s="36"/>
      <x:c r="AD164" s="36" t="str"/>
      <x:c r="AE164" s="36" t="str"/>
      <x:c r="AF164" s="36" t="str">
        <x:v>Name and organisation matched</x:v>
      </x:c>
      <x:c r="AG164" s="36" t="str">
        <x:v>Common pot</x:v>
      </x:c>
      <x:c r="AH164" s="36" t="str">
        <x:v>BU Demand!row 409</x:v>
      </x:c>
      <x:c r="AI164" s="36" t="str">
        <x:v>AI</x:v>
      </x:c>
      <x:c r="AJ164" s="36" t="str">
        <x:v>ProcSimp</x:v>
      </x:c>
      <x:c r="AK164" s="36" t="str">
        <x:v>Must Have</x:v>
      </x:c>
      <x:c r="AL164" s="36" t="n">
        <x:v>0</x:v>
      </x:c>
      <x:c r="AM164" s="36" t="n">
        <x:v>0</x:v>
      </x:c>
      <x:c r="AN164" s="43"/>
      <x:c r="AO164" s="43"/>
      <x:c r="AP164" s="43"/>
    </x:row>
    <x:row r="165" ht="15" hidden="0" customHeight="1">
      <x:c r="A165" s="36" t="str">
        <x:v>Bu-170</x:v>
      </x:c>
      <x:c r="B165" s="37" t="str">
        <x:v>Insourcing Scanbuddy App.</x:v>
      </x:c>
      <x:c r="C165" s="36" t="str">
        <x:v>BU Led</x:v>
      </x:c>
      <x:c r="D165" s="36" t="str">
        <x:v>Precision Diagnosis - Magnetic Resonance (MR)</x:v>
      </x:c>
      <x:c r="E165" s="36" t="str"/>
      <x:c r="F165" s="36" t="str">
        <x:v>Upgrades &amp; Enhancements</x:v>
      </x:c>
      <x:c r="G165" s="36" t="str">
        <x:v>Process Simplification / Efficiency Gain</x:v>
      </x:c>
      <x:c r="H165" s="36" t="str">
        <x:v>Must Have</x:v>
      </x:c>
      <x:c r="I165" s="36" t="str">
        <x:v>New Initiative</x:v>
      </x:c>
      <x:c r="J165" s="38" t="n">
        <x:v>0.2</x:v>
      </x:c>
      <x:c r="K165" s="38"/>
      <x:c r="L165" s="38"/>
      <x:c r="M165" s="38"/>
      <x:c r="N165" s="38"/>
      <x:c r="O165" s="38"/>
      <x:c r="P165" s="37" t="str"/>
      <x:c r="Q165" s="37" t="str">
        <x:v>Cash savings</x:v>
      </x:c>
      <x:c r="R165" s="37" t="str"/>
      <x:c r="S165" s="37" t="str"/>
      <x:c r="T165" s="37" t="str">
        <x:v>Master data settings for EOL/EOS based on harmonized profiles</x:v>
      </x:c>
      <x:c r="U165" s="37" t="str"/>
      <x:c r="V165" s="36" t="str"/>
      <x:c r="W165" s="36" t="str"/>
      <x:c r="X165" s="36"/>
      <x:c r="Y165" s="36" t="str">
        <x:v>NotAssessed</x:v>
      </x:c>
      <x:c r="Z165" s="36" t="str"/>
      <x:c r="AA165" s="36" t="str"/>
      <x:c r="AB165" s="36"/>
      <x:c r="AC165" s="36"/>
      <x:c r="AD165" s="36" t="str"/>
      <x:c r="AE165" s="36" t="str"/>
      <x:c r="AF165" s="36" t="str">
        <x:v>Name and organisation matched</x:v>
      </x:c>
      <x:c r="AG165" s="36" t="str">
        <x:v>Common pot</x:v>
      </x:c>
      <x:c r="AH165" s="36" t="str">
        <x:v>BU Demand!row 410</x:v>
      </x:c>
      <x:c r="AI165" s="36" t="str">
        <x:v>Upgrades</x:v>
      </x:c>
      <x:c r="AJ165" s="36" t="str">
        <x:v>ProcSimp</x:v>
      </x:c>
      <x:c r="AK165" s="36" t="str">
        <x:v>Must Have</x:v>
      </x:c>
      <x:c r="AL165" s="36" t="n">
        <x:v>0</x:v>
      </x:c>
      <x:c r="AM165" s="36" t="n">
        <x:v>0</x:v>
      </x:c>
      <x:c r="AN165" s="43"/>
      <x:c r="AO165" s="43"/>
      <x:c r="AP165" s="43"/>
    </x:row>
    <x:row r="166" ht="15" hidden="0" customHeight="1">
      <x:c r="A166" s="36" t="str">
        <x:v>Bu-171</x:v>
      </x:c>
      <x:c r="B166" s="37" t="str">
        <x:v>PS: EOS/EOL management (IB)</x:v>
      </x:c>
      <x:c r="C166" s="36" t="str">
        <x:v>BU Led</x:v>
      </x:c>
      <x:c r="D166" s="36" t="str">
        <x:v>Precision Diagnosis - Magnetic Resonance (MR)</x:v>
      </x:c>
      <x:c r="E166" s="36" t="str"/>
      <x:c r="F166" s="36" t="str">
        <x:v>Continuous Improvement</x:v>
      </x:c>
      <x:c r="G166" s="36" t="str">
        <x:v>Compliance / Keeping the Lights On</x:v>
      </x:c>
      <x:c r="H166" s="36" t="str">
        <x:v>Must Have</x:v>
      </x:c>
      <x:c r="I166" s="36" t="str">
        <x:v>New Initiative</x:v>
      </x:c>
      <x:c r="J166" s="38" t="n">
        <x:v>0.1</x:v>
      </x:c>
      <x:c r="K166" s="38"/>
      <x:c r="L166" s="38"/>
      <x:c r="M166" s="38"/>
      <x:c r="N166" s="38"/>
      <x:c r="O166" s="38"/>
      <x:c r="P166" s="37" t="str"/>
      <x:c r="Q166" s="37" t="str">
        <x:v>Risk exposure</x:v>
      </x:c>
      <x:c r="R166" s="37" t="str"/>
      <x:c r="S166" s="37" t="str"/>
      <x:c r="T166" s="37" t="str">
        <x:v>Helium ordering in SMAX, (MR Req2Res Type 1) - 120
Implement additional helium-related fields/picklist values in ServiceMax (SMAX)
Enable a Risk Sharing Model for service delivery (MR Req2Res Type 1) - 140
Deliver an enhancement to the Risk Sharing Model that allows event-based entitlements to be configured on a contract and automatically decremented when the corresponding work orders are consumed.
CM% visibility in quote approval flow (MR Req2Res Type 1) - 150
Enhance the ServiceMax quote approval workflow so that approvers can see the Contribution Margin percentage (CM%) of the quote line being approved, in addition to the existing discount and target-price information.
Capability to add a hardware item to a Preventive Maintenance visit (MR Req2Res Type 1) - 170
Enable hardware to be linked directly to a Preventive Maintenance visit, improving planning efficiency, traceability, first-time-right execution, and reducing the need for separate service activities.</x:v>
      </x:c>
      <x:c r="U166" s="37" t="str"/>
      <x:c r="V166" s="36" t="str"/>
      <x:c r="W166" s="36" t="str"/>
      <x:c r="X166" s="36"/>
      <x:c r="Y166" s="36" t="str">
        <x:v>NotAssessed</x:v>
      </x:c>
      <x:c r="Z166" s="36" t="str"/>
      <x:c r="AA166" s="36" t="str"/>
      <x:c r="AB166" s="36"/>
      <x:c r="AC166" s="36"/>
      <x:c r="AD166" s="36" t="str"/>
      <x:c r="AE166" s="36" t="str"/>
      <x:c r="AF166" s="36" t="str">
        <x:v>Name and organisation matched</x:v>
      </x:c>
      <x:c r="AG166" s="36" t="str">
        <x:v>Common pot</x:v>
      </x:c>
      <x:c r="AH166" s="36" t="str">
        <x:v>BU Demand!row 411</x:v>
      </x:c>
      <x:c r="AI166" s="36" t="str">
        <x:v>CI</x:v>
      </x:c>
      <x:c r="AJ166" s="36" t="str">
        <x:v>Compliance</x:v>
      </x:c>
      <x:c r="AK166" s="36" t="str">
        <x:v>Must Have</x:v>
      </x:c>
      <x:c r="AL166" s="36" t="n">
        <x:v>0</x:v>
      </x:c>
      <x:c r="AM166" s="36" t="n">
        <x:v>0</x:v>
      </x:c>
      <x:c r="AN166" s="43"/>
      <x:c r="AO166" s="43"/>
      <x:c r="AP166" s="43"/>
    </x:row>
    <x:row r="167" ht="15" hidden="0" customHeight="1">
      <x:c r="A167" s="36" t="str">
        <x:v>Bu-172</x:v>
      </x:c>
      <x:c r="B167" s="37" t="str">
        <x:v>MR Req2Res Type 1 </x:v>
      </x:c>
      <x:c r="C167" s="36" t="str">
        <x:v>BU Led</x:v>
      </x:c>
      <x:c r="D167" s="36" t="str">
        <x:v>Precision Diagnosis - Magnetic Resonance (MR)</x:v>
      </x:c>
      <x:c r="E167" s="36" t="str"/>
      <x:c r="F167" s="36" t="str">
        <x:v>Continuous Improvement</x:v>
      </x:c>
      <x:c r="G167" s="36" t="str">
        <x:v>Revenue Increase</x:v>
      </x:c>
      <x:c r="H167" s="36" t="str">
        <x:v>Must Do</x:v>
      </x:c>
      <x:c r="I167" s="36" t="str">
        <x:v>New Initiative</x:v>
      </x:c>
      <x:c r="J167" s="38" t="n">
        <x:v>0.58</x:v>
      </x:c>
      <x:c r="K167" s="38"/>
      <x:c r="L167" s="38"/>
      <x:c r="M167" s="38"/>
      <x:c r="N167" s="38"/>
      <x:c r="O167" s="38"/>
      <x:c r="P167" s="37" t="str"/>
      <x:c r="Q167" s="37" t="str">
        <x:v>Revenue</x:v>
      </x:c>
      <x:c r="R167" s="37" t="str"/>
      <x:c r="S167" s="37" t="str"/>
      <x:c r="T167" s="37" t="str">
        <x:v>1. 3rd party coils licensing capability
2. Partner journey magement portal
3. 3rd party portal enhancements to support licesing &amp; IB management etc.
4. 3rd party coils parts enablement where Philips is not involved in fulfilment (i.e. 12NCs cannot be quoted etc. but should allow licesing &amp; IB tracking)
(Phase 2 enhancements: Address the Partner portal Gap today missing and enable customer serivce of MR coil via partner Portal)
4.1 Enable E-Commerce Capability for MR in NAM 100K</x:v>
      </x:c>
      <x:c r="U167" s="37" t="str"/>
      <x:c r="V167" s="36" t="str"/>
      <x:c r="W167" s="36" t="str"/>
      <x:c r="X167" s="36"/>
      <x:c r="Y167" s="36" t="str">
        <x:v>NotAssessed</x:v>
      </x:c>
      <x:c r="Z167" s="36" t="str"/>
      <x:c r="AA167" s="36" t="str"/>
      <x:c r="AB167" s="36"/>
      <x:c r="AC167" s="36"/>
      <x:c r="AD167" s="36" t="str"/>
      <x:c r="AE167" s="36" t="str"/>
      <x:c r="AF167" s="36" t="str">
        <x:v>Name and organisation matched</x:v>
      </x:c>
      <x:c r="AG167" s="36" t="str">
        <x:v>Common pot</x:v>
      </x:c>
      <x:c r="AH167" s="36" t="str">
        <x:v>BU Demand!row 423</x:v>
      </x:c>
      <x:c r="AI167" s="36" t="str">
        <x:v>CI</x:v>
      </x:c>
      <x:c r="AJ167" s="36" t="str">
        <x:v>Revenue</x:v>
      </x:c>
      <x:c r="AK167" s="36" t="str">
        <x:v>Must Do</x:v>
      </x:c>
      <x:c r="AL167" s="36" t="n">
        <x:v>0</x:v>
      </x:c>
      <x:c r="AM167" s="36" t="n">
        <x:v>0</x:v>
      </x:c>
      <x:c r="AN167" s="43"/>
      <x:c r="AO167" s="43"/>
      <x:c r="AP167" s="43"/>
    </x:row>
    <x:row r="168" ht="15" hidden="0" customHeight="1">
      <x:c r="A168" s="36" t="str">
        <x:v>Bu-173</x:v>
      </x:c>
      <x:c r="B168" s="37" t="str">
        <x:v>3PP | 3rd party partners program </x:v>
      </x:c>
      <x:c r="C168" s="36" t="str">
        <x:v>BU Led</x:v>
      </x:c>
      <x:c r="D168" s="36" t="str">
        <x:v>Precision Diagnosis - Magnetic Resonance (MR)</x:v>
      </x:c>
      <x:c r="E168" s="36" t="str"/>
      <x:c r="F168" s="36" t="str">
        <x:v>New Feature</x:v>
      </x:c>
      <x:c r="G168" s="36" t="str">
        <x:v>Revenue Increase</x:v>
      </x:c>
      <x:c r="H168" s="36" t="str">
        <x:v>Must Do</x:v>
      </x:c>
      <x:c r="I168" s="36" t="str">
        <x:v>New Initiative</x:v>
      </x:c>
      <x:c r="J168" s="38" t="n">
        <x:v>0.85</x:v>
      </x:c>
      <x:c r="K168" s="38"/>
      <x:c r="L168" s="38"/>
      <x:c r="M168" s="38"/>
      <x:c r="N168" s="38"/>
      <x:c r="O168" s="38"/>
      <x:c r="P168" s="37" t="str"/>
      <x:c r="Q168" s="37" t="str">
        <x:v>Revenue</x:v>
      </x:c>
      <x:c r="R168" s="37" t="str"/>
      <x:c r="S168" s="37" t="str"/>
      <x:c r="T168" s="37" t="str">
        <x:v>Scope 1: Deliver AI driven quoting tool for  MR which will replace enable Conga decom
Scope 2 : Imaging Id. 228 scope on contract renewals
AI Based Quoting: Auto generation of quotes for Contract fulfillment / renewal</x:v>
      </x:c>
      <x:c r="U168" s="37" t="str"/>
      <x:c r="V168" s="36" t="str"/>
      <x:c r="W168" s="36" t="str"/>
      <x:c r="X168" s="36"/>
      <x:c r="Y168" s="36" t="str">
        <x:v>NotAssessed</x:v>
      </x:c>
      <x:c r="Z168" s="36" t="str"/>
      <x:c r="AA168" s="36" t="str"/>
      <x:c r="AB168" s="36"/>
      <x:c r="AC168" s="36"/>
      <x:c r="AD168" s="36" t="str"/>
      <x:c r="AE168" s="36" t="str"/>
      <x:c r="AF168" s="36" t="str">
        <x:v>Name and organisation matched</x:v>
      </x:c>
      <x:c r="AG168" s="36" t="str">
        <x:v>Common pot</x:v>
      </x:c>
      <x:c r="AH168" s="36" t="str">
        <x:v>BU Demand!row 429</x:v>
      </x:c>
      <x:c r="AI168" s="36" t="str">
        <x:v>NewFeat</x:v>
      </x:c>
      <x:c r="AJ168" s="36" t="str">
        <x:v>Revenue</x:v>
      </x:c>
      <x:c r="AK168" s="36" t="str">
        <x:v>Must Do</x:v>
      </x:c>
      <x:c r="AL168" s="36" t="n">
        <x:v>0</x:v>
      </x:c>
      <x:c r="AM168" s="36" t="n">
        <x:v>0</x:v>
      </x:c>
      <x:c r="AN168" s="43"/>
      <x:c r="AO168" s="43"/>
      <x:c r="AP168" s="43"/>
    </x:row>
    <x:row r="169" ht="15" hidden="0" customHeight="1">
      <x:c r="A169" s="36" t="str">
        <x:v>Bu-174</x:v>
      </x:c>
      <x:c r="B169" s="37" t="str">
        <x:v>Sensei for quoting (AI solution)</x:v>
      </x:c>
      <x:c r="C169" s="36" t="str">
        <x:v>BU Led</x:v>
      </x:c>
      <x:c r="D169" s="36" t="str">
        <x:v>Precision Diagnosis - Magnetic Resonance (MR)</x:v>
      </x:c>
      <x:c r="E169" s="36" t="str"/>
      <x:c r="F169" s="36" t="str">
        <x:v>AI Enablement</x:v>
      </x:c>
      <x:c r="G169" s="36" t="str">
        <x:v>Productivity Savings</x:v>
      </x:c>
      <x:c r="H169" s="36" t="str">
        <x:v>Must Do</x:v>
      </x:c>
      <x:c r="I169" s="36" t="str">
        <x:v>New Initiative</x:v>
      </x:c>
      <x:c r="J169" s="38" t="n">
        <x:v>1</x:v>
      </x:c>
      <x:c r="K169" s="38"/>
      <x:c r="L169" s="38"/>
      <x:c r="M169" s="38"/>
      <x:c r="N169" s="38"/>
      <x:c r="O169" s="38"/>
      <x:c r="P169" s="37" t="str"/>
      <x:c r="Q169" s="37" t="str">
        <x:v>Cash savings</x:v>
      </x:c>
      <x:c r="R169" s="37" t="str"/>
      <x:c r="S169" s="37" t="str"/>
      <x:c r="T169" s="37" t="str">
        <x:v>Reservation for BU specific change requests for Planisware</x:v>
      </x:c>
      <x:c r="U169" s="37" t="str"/>
      <x:c r="V169" s="36" t="str"/>
      <x:c r="W169" s="36" t="str"/>
      <x:c r="X169" s="36"/>
      <x:c r="Y169" s="36" t="str">
        <x:v>NotAssessed</x:v>
      </x:c>
      <x:c r="Z169" s="36" t="str"/>
      <x:c r="AA169" s="36" t="str"/>
      <x:c r="AB169" s="36"/>
      <x:c r="AC169" s="36"/>
      <x:c r="AD169" s="36" t="str"/>
      <x:c r="AE169" s="36" t="str"/>
      <x:c r="AF169" s="36" t="str">
        <x:v>Name and organisation matched</x:v>
      </x:c>
      <x:c r="AG169" s="36" t="str">
        <x:v>Common pot</x:v>
      </x:c>
      <x:c r="AH169" s="36" t="str">
        <x:v>BU Demand!row 432</x:v>
      </x:c>
      <x:c r="AI169" s="36" t="str">
        <x:v>AI</x:v>
      </x:c>
      <x:c r="AJ169" s="36" t="str">
        <x:v>Productivity</x:v>
      </x:c>
      <x:c r="AK169" s="36" t="str">
        <x:v>Must Do</x:v>
      </x:c>
      <x:c r="AL169" s="36" t="n">
        <x:v>0</x:v>
      </x:c>
      <x:c r="AM169" s="36" t="n">
        <x:v>0</x:v>
      </x:c>
      <x:c r="AN169" s="43"/>
      <x:c r="AO169" s="43"/>
      <x:c r="AP169" s="43"/>
    </x:row>
    <x:row r="170" ht="15" hidden="0" customHeight="1">
      <x:c r="A170" s="36" t="str">
        <x:v>Bu-175</x:v>
      </x:c>
      <x:c r="B170" s="37" t="str">
        <x:v>I2M Program/Portfolio/Project Management (Planisware) CR's</x:v>
      </x:c>
      <x:c r="C170" s="36" t="str">
        <x:v>BU Led</x:v>
      </x:c>
      <x:c r="D170" s="36" t="str">
        <x:v>Precision Diagnosis - Magnetic Resonance (MR)</x:v>
      </x:c>
      <x:c r="E170" s="36" t="str"/>
      <x:c r="F170" s="36" t="str">
        <x:v>Upgrades &amp; Enhancements</x:v>
      </x:c>
      <x:c r="G170" s="36" t="str">
        <x:v>Process Simplification / Efficiency Gain</x:v>
      </x:c>
      <x:c r="H170" s="36" t="str">
        <x:v>Must Have</x:v>
      </x:c>
      <x:c r="I170" s="36" t="str">
        <x:v>New Initiative</x:v>
      </x:c>
      <x:c r="J170" s="38" t="n">
        <x:v>0.075</x:v>
      </x:c>
      <x:c r="K170" s="38"/>
      <x:c r="L170" s="38"/>
      <x:c r="M170" s="38"/>
      <x:c r="N170" s="38"/>
      <x:c r="O170" s="38"/>
      <x:c r="P170" s="37" t="str"/>
      <x:c r="Q170" s="37" t="str">
        <x:v>Cash savings</x:v>
      </x:c>
      <x:c r="R170" s="37" t="str"/>
      <x:c r="S170" s="37" t="str"/>
      <x:c r="T170" s="37" t="str">
        <x:v>Reservation for license cost being pushed back from IT to the business, because of single BU using the licenses.
Main portion is 679K for Ansys Analysis tooling licenses</x:v>
      </x:c>
      <x:c r="U170" s="37" t="str"/>
      <x:c r="V170" s="36" t="str"/>
      <x:c r="W170" s="36" t="str"/>
      <x:c r="X170" s="36"/>
      <x:c r="Y170" s="36" t="str">
        <x:v>NotAssessed</x:v>
      </x:c>
      <x:c r="Z170" s="36" t="str"/>
      <x:c r="AA170" s="36" t="str"/>
      <x:c r="AB170" s="36"/>
      <x:c r="AC170" s="36"/>
      <x:c r="AD170" s="36" t="str"/>
      <x:c r="AE170" s="36" t="str"/>
      <x:c r="AF170" s="36" t="str">
        <x:v>Name and organisation matched</x:v>
      </x:c>
      <x:c r="AG170" s="36" t="str">
        <x:v>Common pot</x:v>
      </x:c>
      <x:c r="AH170" s="36" t="str">
        <x:v>BU Demand!row 433</x:v>
      </x:c>
      <x:c r="AI170" s="36" t="str">
        <x:v>Upgrades</x:v>
      </x:c>
      <x:c r="AJ170" s="36" t="str">
        <x:v>ProcSimp</x:v>
      </x:c>
      <x:c r="AK170" s="36" t="str">
        <x:v>Must Have</x:v>
      </x:c>
      <x:c r="AL170" s="36" t="n">
        <x:v>0</x:v>
      </x:c>
      <x:c r="AM170" s="36" t="n">
        <x:v>0</x:v>
      </x:c>
      <x:c r="AN170" s="43"/>
      <x:c r="AO170" s="43"/>
      <x:c r="AP170" s="43"/>
    </x:row>
    <x:row r="171" ht="15" hidden="0" customHeight="1">
      <x:c r="A171" s="36" t="str">
        <x:v>Bu-176</x:v>
      </x:c>
      <x:c r="B171" s="37" t="str">
        <x:v>I2M Engineering Tooling CR's &amp; Licenses</x:v>
      </x:c>
      <x:c r="C171" s="36" t="str">
        <x:v>BU Led</x:v>
      </x:c>
      <x:c r="D171" s="36" t="str">
        <x:v>Precision Diagnosis - Magnetic Resonance (MR)</x:v>
      </x:c>
      <x:c r="E171" s="36" t="str"/>
      <x:c r="F171" s="36" t="str">
        <x:v>Continous Improvement</x:v>
      </x:c>
      <x:c r="G171" s="36" t="str">
        <x:v>Compliance / Keeping the Lights On</x:v>
      </x:c>
      <x:c r="H171" s="36" t="str">
        <x:v>Must Do</x:v>
      </x:c>
      <x:c r="I171" s="36" t="str">
        <x:v>New Initiative</x:v>
      </x:c>
      <x:c r="J171" s="38" t="n">
        <x:v>0.736</x:v>
      </x:c>
      <x:c r="K171" s="38"/>
      <x:c r="L171" s="38"/>
      <x:c r="M171" s="38"/>
      <x:c r="N171" s="38"/>
      <x:c r="O171" s="38"/>
      <x:c r="P171" s="37" t="str"/>
      <x:c r="Q171" s="37" t="str">
        <x:v>Risk exposure</x:v>
      </x:c>
      <x:c r="R171" s="37" t="str"/>
      <x:c r="S171" s="37" t="str"/>
      <x:c r="T171" s="37" t="str">
        <x:v>Deploy preparations for Maintenance logbook (e.g. anchor point / validation of as-installed ib vs as-granted ib, non-commercial order types in MP1, capture goods movement iso manual update)</x:v>
      </x:c>
      <x:c r="U171" s="37" t="str"/>
      <x:c r="V171" s="36" t="str"/>
      <x:c r="W171" s="36" t="str"/>
      <x:c r="X171" s="36"/>
      <x:c r="Y171" s="36" t="str">
        <x:v>NotAssessed</x:v>
      </x:c>
      <x:c r="Z171" s="36" t="str"/>
      <x:c r="AA171" s="36" t="str"/>
      <x:c r="AB171" s="36"/>
      <x:c r="AC171" s="36"/>
      <x:c r="AD171" s="36" t="str"/>
      <x:c r="AE171" s="36" t="str"/>
      <x:c r="AF171" s="36" t="str">
        <x:v>Name and organisation matched</x:v>
      </x:c>
      <x:c r="AG171" s="36" t="str">
        <x:v>Common pot</x:v>
      </x:c>
      <x:c r="AH171" s="36" t="str">
        <x:v>BU Demand!row 435</x:v>
      </x:c>
      <x:c r="AI171" s="36" t="str">
        <x:v>CI</x:v>
      </x:c>
      <x:c r="AJ171" s="36" t="str">
        <x:v>Compliance</x:v>
      </x:c>
      <x:c r="AK171" s="36" t="str">
        <x:v>Must Do</x:v>
      </x:c>
      <x:c r="AL171" s="36" t="n">
        <x:v>0</x:v>
      </x:c>
      <x:c r="AM171" s="36" t="n">
        <x:v>0</x:v>
      </x:c>
      <x:c r="AN171" s="43"/>
      <x:c r="AO171" s="43"/>
      <x:c r="AP171" s="43"/>
    </x:row>
    <x:row r="172" ht="15" hidden="0" customHeight="1">
      <x:c r="A172" s="36" t="str">
        <x:v>Bu-177</x:v>
      </x:c>
      <x:c r="B172" s="37" t="str">
        <x:v>Deploy maintenance logbook preparations (IB whitepaper)</x:v>
      </x:c>
      <x:c r="C172" s="36" t="str">
        <x:v>BU Led</x:v>
      </x:c>
      <x:c r="D172" s="36" t="str">
        <x:v>Precision Diagnosis - Magnetic Resonance (MR)</x:v>
      </x:c>
      <x:c r="E172" s="36" t="str"/>
      <x:c r="F172" s="36" t="str">
        <x:v>New Feature</x:v>
      </x:c>
      <x:c r="G172" s="36" t="str">
        <x:v>Process Simplification / Efficiency Gain</x:v>
      </x:c>
      <x:c r="H172" s="36" t="str">
        <x:v>Must Have</x:v>
      </x:c>
      <x:c r="I172" s="36" t="str">
        <x:v>New Initiative</x:v>
      </x:c>
      <x:c r="J172" s="38" t="n">
        <x:v>0.15</x:v>
      </x:c>
      <x:c r="K172" s="38"/>
      <x:c r="L172" s="38"/>
      <x:c r="M172" s="38"/>
      <x:c r="N172" s="38"/>
      <x:c r="O172" s="38"/>
      <x:c r="P172" s="37" t="str"/>
      <x:c r="Q172" s="37" t="str">
        <x:v>Cash savings</x:v>
      </x:c>
      <x:c r="R172" s="37" t="str"/>
      <x:c r="S172" s="37" t="str"/>
      <x:c r="T172" s="37" t="str">
        <x:v>Enhance as-granted ib with HW and Unlock the data for guided selling for both HW and SW</x:v>
      </x:c>
      <x:c r="U172" s="37" t="str"/>
      <x:c r="V172" s="36" t="str"/>
      <x:c r="W172" s="36" t="str"/>
      <x:c r="X172" s="36"/>
      <x:c r="Y172" s="36" t="str">
        <x:v>NotAssessed</x:v>
      </x:c>
      <x:c r="Z172" s="36" t="str"/>
      <x:c r="AA172" s="36" t="str"/>
      <x:c r="AB172" s="36"/>
      <x:c r="AC172" s="36"/>
      <x:c r="AD172" s="36" t="str"/>
      <x:c r="AE172" s="36" t="str"/>
      <x:c r="AF172" s="36" t="str">
        <x:v>Name and organisation matched</x:v>
      </x:c>
      <x:c r="AG172" s="36" t="str">
        <x:v>Common pot</x:v>
      </x:c>
      <x:c r="AH172" s="36" t="str">
        <x:v>BU Demand!row 436</x:v>
      </x:c>
      <x:c r="AI172" s="36" t="str">
        <x:v>NewFeat</x:v>
      </x:c>
      <x:c r="AJ172" s="36" t="str">
        <x:v>ProcSimp</x:v>
      </x:c>
      <x:c r="AK172" s="36" t="str">
        <x:v>Must Have</x:v>
      </x:c>
      <x:c r="AL172" s="36" t="n">
        <x:v>0</x:v>
      </x:c>
      <x:c r="AM172" s="36" t="n">
        <x:v>0</x:v>
      </x:c>
      <x:c r="AN172" s="43"/>
      <x:c r="AO172" s="43"/>
      <x:c r="AP172" s="43"/>
    </x:row>
    <x:row r="173" ht="15" hidden="0" customHeight="1">
      <x:c r="A173" s="36" t="str">
        <x:v>Bu-178</x:v>
      </x:c>
      <x:c r="B173" s="37" t="str">
        <x:v>Unlock as-granted ibase for HW to auto-populate guided selling</x:v>
      </x:c>
      <x:c r="C173" s="36" t="str">
        <x:v>BU Led</x:v>
      </x:c>
      <x:c r="D173" s="36" t="str">
        <x:v>Precision Diagnosis - Magnetic Resonance (MR)</x:v>
      </x:c>
      <x:c r="E173" s="36" t="str"/>
      <x:c r="F173" s="36" t="str">
        <x:v>New Feature</x:v>
      </x:c>
      <x:c r="G173" s="36" t="str">
        <x:v>Process Simplification / Efficiency Gain</x:v>
      </x:c>
      <x:c r="H173" s="36" t="str">
        <x:v>Must Have</x:v>
      </x:c>
      <x:c r="I173" s="36" t="str">
        <x:v>New Initiative</x:v>
      </x:c>
      <x:c r="J173" s="38" t="n">
        <x:v>0.1</x:v>
      </x:c>
      <x:c r="K173" s="38"/>
      <x:c r="L173" s="38"/>
      <x:c r="M173" s="38"/>
      <x:c r="N173" s="38"/>
      <x:c r="O173" s="38"/>
      <x:c r="P173" s="37" t="str"/>
      <x:c r="Q173" s="37" t="str">
        <x:v>Cash savings</x:v>
      </x:c>
      <x:c r="R173" s="37" t="str"/>
      <x:c r="S173" s="37" t="str"/>
      <x:c r="T173" s="37" t="str">
        <x:v>Identify quick wins, improve interface or build AI agent/RPA bot </x:v>
      </x:c>
      <x:c r="U173" s="37" t="str"/>
      <x:c r="V173" s="36" t="str"/>
      <x:c r="W173" s="36" t="str"/>
      <x:c r="X173" s="36"/>
      <x:c r="Y173" s="36" t="str">
        <x:v>NotAssessed</x:v>
      </x:c>
      <x:c r="Z173" s="36" t="str"/>
      <x:c r="AA173" s="36" t="str"/>
      <x:c r="AB173" s="36"/>
      <x:c r="AC173" s="36"/>
      <x:c r="AD173" s="36" t="str"/>
      <x:c r="AE173" s="36" t="str"/>
      <x:c r="AF173" s="36" t="str">
        <x:v>Name and organisation matched</x:v>
      </x:c>
      <x:c r="AG173" s="36" t="str">
        <x:v>Common pot</x:v>
      </x:c>
      <x:c r="AH173" s="36" t="str">
        <x:v>BU Demand!row 437</x:v>
      </x:c>
      <x:c r="AI173" s="36" t="str">
        <x:v>NewFeat</x:v>
      </x:c>
      <x:c r="AJ173" s="36" t="str">
        <x:v>ProcSimp</x:v>
      </x:c>
      <x:c r="AK173" s="36" t="str">
        <x:v>Must Have</x:v>
      </x:c>
      <x:c r="AL173" s="36" t="n">
        <x:v>0</x:v>
      </x:c>
      <x:c r="AM173" s="36" t="n">
        <x:v>0</x:v>
      </x:c>
      <x:c r="AN173" s="43"/>
      <x:c r="AO173" s="43"/>
      <x:c r="AP173" s="43"/>
    </x:row>
    <x:row r="174" ht="15" hidden="0" customHeight="1">
      <x:c r="A174" s="36" t="str">
        <x:v>Bu-179</x:v>
      </x:c>
      <x:c r="B174" s="37" t="str">
        <x:v>Digital thread, traceability applications (AI/RPA)</x:v>
      </x:c>
      <x:c r="C174" s="36" t="str">
        <x:v>BU Led</x:v>
      </x:c>
      <x:c r="D174" s="36" t="str">
        <x:v>Precision Diagnosis - Magnetic Resonance (MR)</x:v>
      </x:c>
      <x:c r="E174" s="36" t="str"/>
      <x:c r="F174" s="36" t="str">
        <x:v>AI Enablement</x:v>
      </x:c>
      <x:c r="G174" s="36" t="str">
        <x:v>Process Simplification / Efficiency Gain</x:v>
      </x:c>
      <x:c r="H174" s="36" t="str">
        <x:v>Must Have</x:v>
      </x:c>
      <x:c r="I174" s="36" t="str">
        <x:v>New Initiative</x:v>
      </x:c>
      <x:c r="J174" s="38" t="n">
        <x:v>0.1</x:v>
      </x:c>
      <x:c r="K174" s="38"/>
      <x:c r="L174" s="38"/>
      <x:c r="M174" s="38"/>
      <x:c r="N174" s="38"/>
      <x:c r="O174" s="38"/>
      <x:c r="P174" s="37" t="str"/>
      <x:c r="Q174" s="37" t="str">
        <x:v>Cash savings</x:v>
      </x:c>
      <x:c r="R174" s="37" t="str"/>
      <x:c r="S174" s="37" t="str"/>
      <x:c r="T174" s="37" t="str">
        <x:v>Reduce manual work in the current processes (Salestext, Catalog, Sales) within the M2O domain and enhance with AI. </x:v>
      </x:c>
      <x:c r="U174" s="37" t="str"/>
      <x:c r="V174" s="36" t="str"/>
      <x:c r="W174" s="36" t="str"/>
      <x:c r="X174" s="36"/>
      <x:c r="Y174" s="36" t="str">
        <x:v>NotAssessed</x:v>
      </x:c>
      <x:c r="Z174" s="36" t="str"/>
      <x:c r="AA174" s="36" t="str"/>
      <x:c r="AB174" s="36"/>
      <x:c r="AC174" s="36"/>
      <x:c r="AD174" s="36" t="str"/>
      <x:c r="AE174" s="36" t="str"/>
      <x:c r="AF174" s="36" t="str">
        <x:v>Name and organisation matched</x:v>
      </x:c>
      <x:c r="AG174" s="36" t="str">
        <x:v>Common pot</x:v>
      </x:c>
      <x:c r="AH174" s="36" t="str">
        <x:v>BU Demand!row 438</x:v>
      </x:c>
      <x:c r="AI174" s="36" t="str">
        <x:v>AI</x:v>
      </x:c>
      <x:c r="AJ174" s="36" t="str">
        <x:v>ProcSimp</x:v>
      </x:c>
      <x:c r="AK174" s="36" t="str">
        <x:v>Must Have</x:v>
      </x:c>
      <x:c r="AL174" s="36" t="n">
        <x:v>0</x:v>
      </x:c>
      <x:c r="AM174" s="36" t="n">
        <x:v>0</x:v>
      </x:c>
      <x:c r="AN174" s="43"/>
      <x:c r="AO174" s="43"/>
      <x:c r="AP174" s="43"/>
    </x:row>
    <x:row r="175" ht="15" hidden="0" customHeight="1">
      <x:c r="A175" s="36" t="str">
        <x:v>Bu-180</x:v>
      </x:c>
      <x:c r="B175" s="37" t="str">
        <x:v>DI AI Solution Placeholder</x:v>
      </x:c>
      <x:c r="C175" s="36" t="str">
        <x:v>BU Led</x:v>
      </x:c>
      <x:c r="D175" s="36" t="str">
        <x:v>Precision Diagnosis - Magnetic Resonance (MR)</x:v>
      </x:c>
      <x:c r="E175" s="36" t="str"/>
      <x:c r="F175" s="36" t="str">
        <x:v>AI Enablement</x:v>
      </x:c>
      <x:c r="G175" s="36" t="str">
        <x:v>Productivity Savings</x:v>
      </x:c>
      <x:c r="H175" s="36" t="str">
        <x:v>Must Have</x:v>
      </x:c>
      <x:c r="I175" s="36" t="str">
        <x:v>New Initiative</x:v>
      </x:c>
      <x:c r="J175" s="38" t="n">
        <x:v>0.3</x:v>
      </x:c>
      <x:c r="K175" s="38"/>
      <x:c r="L175" s="38"/>
      <x:c r="M175" s="38"/>
      <x:c r="N175" s="38"/>
      <x:c r="O175" s="38"/>
      <x:c r="P175" s="37" t="str"/>
      <x:c r="Q175" s="37" t="str">
        <x:v>Cash savings</x:v>
      </x:c>
      <x:c r="R175" s="37" t="str"/>
      <x:c r="S175" s="37" t="str"/>
      <x:c r="T175" s="37" t="str">
        <x:v>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 </x:v>
      </x:c>
      <x:c r="U175" s="37" t="str"/>
      <x:c r="V175" s="36" t="str"/>
      <x:c r="W175" s="36" t="str"/>
      <x:c r="X175" s="36"/>
      <x:c r="Y175" s="36" t="str">
        <x:v>NotAssessed</x:v>
      </x:c>
      <x:c r="Z175" s="36" t="str"/>
      <x:c r="AA175" s="36" t="str"/>
      <x:c r="AB175" s="36"/>
      <x:c r="AC175" s="36"/>
      <x:c r="AD175" s="36" t="str"/>
      <x:c r="AE175" s="36" t="str"/>
      <x:c r="AF175" s="36" t="str">
        <x:v>Name and organisation matched</x:v>
      </x:c>
      <x:c r="AG175" s="36" t="str">
        <x:v>Common pot</x:v>
      </x:c>
      <x:c r="AH175" s="36" t="str">
        <x:v>BU Demand!row 439</x:v>
      </x:c>
      <x:c r="AI175" s="36" t="str">
        <x:v>AI</x:v>
      </x:c>
      <x:c r="AJ175" s="36" t="str">
        <x:v>Productivity</x:v>
      </x:c>
      <x:c r="AK175" s="36" t="str">
        <x:v>Must Have</x:v>
      </x:c>
      <x:c r="AL175" s="36" t="n">
        <x:v>0</x:v>
      </x:c>
      <x:c r="AM175" s="36" t="n">
        <x:v>0</x:v>
      </x:c>
      <x:c r="AN175" s="43"/>
      <x:c r="AO175" s="43"/>
      <x:c r="AP175" s="43"/>
    </x:row>
    <x:row r="176" ht="15" hidden="0" customHeight="1">
      <x:c r="A176" s="36" t="str">
        <x:v>Bu-181</x:v>
      </x:c>
      <x:c r="B176" s="37" t="str">
        <x:v>CERA deployment</x:v>
      </x:c>
      <x:c r="C176" s="36" t="str">
        <x:v>BU Led</x:v>
      </x:c>
      <x:c r="D176" s="36" t="str">
        <x:v>Precision Diagnosis - Magnetic Resonance (MR)</x:v>
      </x:c>
      <x:c r="E176" s="36" t="str"/>
      <x:c r="F176" s="36" t="str">
        <x:v>Continuous Improvement</x:v>
      </x:c>
      <x:c r="G176" s="36" t="str">
        <x:v>Process Simplification / Efficiency Gain</x:v>
      </x:c>
      <x:c r="H176" s="36" t="str">
        <x:v>Must Have</x:v>
      </x:c>
      <x:c r="I176" s="36" t="str">
        <x:v>New Initiative</x:v>
      </x:c>
      <x:c r="J176" s="38" t="n">
        <x:v>0.1</x:v>
      </x:c>
      <x:c r="K176" s="38"/>
      <x:c r="L176" s="38"/>
      <x:c r="M176" s="38"/>
      <x:c r="N176" s="38"/>
      <x:c r="O176" s="38"/>
      <x:c r="P176" s="37" t="str"/>
      <x:c r="Q176" s="37" t="str">
        <x:v>Cash savings</x:v>
      </x:c>
      <x:c r="R176" s="37" t="str"/>
      <x:c r="S176" s="37" t="str"/>
      <x:c r="T176" s="37" t="str">
        <x:v>Support multiple projects under for MR, CT, DXR</x:v>
      </x:c>
      <x:c r="U176" s="37" t="str"/>
      <x:c r="V176" s="36" t="str"/>
      <x:c r="W176" s="36" t="str"/>
      <x:c r="X176" s="36"/>
      <x:c r="Y176" s="36" t="str">
        <x:v>NotAssessed</x:v>
      </x:c>
      <x:c r="Z176" s="36" t="str"/>
      <x:c r="AA176" s="36" t="str"/>
      <x:c r="AB176" s="36"/>
      <x:c r="AC176" s="36"/>
      <x:c r="AD176" s="36" t="str"/>
      <x:c r="AE176" s="36" t="str"/>
      <x:c r="AF176" s="36" t="str">
        <x:v>Name and organisation matched</x:v>
      </x:c>
      <x:c r="AG176" s="36" t="str">
        <x:v>Common pot</x:v>
      </x:c>
      <x:c r="AH176" s="36" t="str">
        <x:v>BU Demand!row 440</x:v>
      </x:c>
      <x:c r="AI176" s="36" t="str">
        <x:v>CI</x:v>
      </x:c>
      <x:c r="AJ176" s="36" t="str">
        <x:v>ProcSimp</x:v>
      </x:c>
      <x:c r="AK176" s="36" t="str">
        <x:v>Must Have</x:v>
      </x:c>
      <x:c r="AL176" s="36" t="n">
        <x:v>0</x:v>
      </x:c>
      <x:c r="AM176" s="36" t="n">
        <x:v>0</x:v>
      </x:c>
      <x:c r="AN176" s="43"/>
      <x:c r="AO176" s="43"/>
      <x:c r="AP176" s="43"/>
    </x:row>
    <x:row r="177" ht="15" hidden="0" customHeight="1">
      <x:c r="A177" s="36" t="str">
        <x:v>Bu-182</x:v>
      </x:c>
      <x:c r="B177" s="37" t="str">
        <x:v>Imaging Small Investment - Unallocated</x:v>
      </x:c>
      <x:c r="C177" s="36" t="str">
        <x:v>BU Led</x:v>
      </x:c>
      <x:c r="D177" s="36" t="str">
        <x:v>Precision Diagnosis - Magnetic Resonance (MR)</x:v>
      </x:c>
      <x:c r="E177" s="36" t="str"/>
      <x:c r="F177" s="36" t="str">
        <x:v>Upgrades &amp; Enhancements</x:v>
      </x:c>
      <x:c r="G177" s="36" t="str">
        <x:v>Process Simplification / Efficiency Gain</x:v>
      </x:c>
      <x:c r="H177" s="36" t="str">
        <x:v>Must Do</x:v>
      </x:c>
      <x:c r="I177" s="36" t="str">
        <x:v>New Initiative</x:v>
      </x:c>
      <x:c r="J177" s="38" t="n">
        <x:v>0.25</x:v>
      </x:c>
      <x:c r="K177" s="38"/>
      <x:c r="L177" s="38"/>
      <x:c r="M177" s="38"/>
      <x:c r="N177" s="38"/>
      <x:c r="O177" s="38"/>
      <x:c r="P177" s="37" t="str"/>
      <x:c r="Q177" s="37" t="str">
        <x:v>Cash savings</x:v>
      </x:c>
      <x:c r="R177" s="37" t="str"/>
      <x:c r="S177" s="37" t="str"/>
      <x:c r="T177" s="37" t="str">
        <x:v>Customer Self Install: Support on device for artifacts based RSDI downloads from RSM portal </x:v>
      </x:c>
      <x:c r="U177" s="37" t="str"/>
      <x:c r="V177" s="36" t="str"/>
      <x:c r="W177" s="36" t="str"/>
      <x:c r="X177" s="36"/>
      <x:c r="Y177" s="36" t="str">
        <x:v>NotAssessed</x:v>
      </x:c>
      <x:c r="Z177" s="36" t="str"/>
      <x:c r="AA177" s="36" t="str"/>
      <x:c r="AB177" s="36"/>
      <x:c r="AC177" s="36"/>
      <x:c r="AD177" s="36" t="str"/>
      <x:c r="AE177" s="36" t="str"/>
      <x:c r="AF177" s="36" t="str">
        <x:v>Name and organisation matched</x:v>
      </x:c>
      <x:c r="AG177" s="36" t="str">
        <x:v>Common pot</x:v>
      </x:c>
      <x:c r="AH177" s="36" t="str">
        <x:v>BU Demand!row 441</x:v>
      </x:c>
      <x:c r="AI177" s="36" t="str">
        <x:v>Upgrades</x:v>
      </x:c>
      <x:c r="AJ177" s="36" t="str">
        <x:v>ProcSimp</x:v>
      </x:c>
      <x:c r="AK177" s="36" t="str">
        <x:v>Must Do</x:v>
      </x:c>
      <x:c r="AL177" s="36" t="n">
        <x:v>0</x:v>
      </x:c>
      <x:c r="AM177" s="36" t="n">
        <x:v>0</x:v>
      </x:c>
      <x:c r="AN177" s="43"/>
      <x:c r="AO177" s="43"/>
      <x:c r="AP177" s="43"/>
    </x:row>
    <x:row r="178" ht="24" hidden="0" customHeight="1">
      <x:c r="A178" s="36" t="str">
        <x:v>Bu-183</x:v>
      </x:c>
      <x:c r="B178" s="37" t="str">
        <x:v>RSDI (Type 1) | CSI: Support on device for artifacts based RSDI downloads from RSM portal : On-device support for artifact-based RSDI downloads.</x:v>
      </x:c>
      <x:c r="C178" s="36" t="str">
        <x:v>BU Led</x:v>
      </x:c>
      <x:c r="D178" s="36" t="str">
        <x:v>Precision Diagnosis - Magnetic Resonance (MR)</x:v>
      </x:c>
      <x:c r="E178" s="36" t="str"/>
      <x:c r="F178" s="36" t="str">
        <x:v>New Feature</x:v>
      </x:c>
      <x:c r="G178" s="36" t="str">
        <x:v>Productivity Savings</x:v>
      </x:c>
      <x:c r="H178" s="36" t="str">
        <x:v>Must Have</x:v>
      </x:c>
      <x:c r="I178" s="36" t="str">
        <x:v>New Initiative</x:v>
      </x:c>
      <x:c r="J178" s="38" t="n">
        <x:v>0.06</x:v>
      </x:c>
      <x:c r="K178" s="38"/>
      <x:c r="L178" s="38"/>
      <x:c r="M178" s="38"/>
      <x:c r="N178" s="38"/>
      <x:c r="O178" s="38"/>
      <x:c r="P178" s="37" t="str"/>
      <x:c r="Q178" s="37" t="str">
        <x:v>Cash savings</x:v>
      </x:c>
      <x:c r="R178" s="37" t="str"/>
      <x:c r="S178" s="37" t="str"/>
      <x:c r="T178" s="37" t="str">
        <x:v>RSM: Show menu tree based on SW Release and not Product Type: Align RSM package navigation with software release support for artifact-based RSDI downloads.</x:v>
      </x:c>
      <x:c r="U178" s="37" t="str"/>
      <x:c r="V178" s="36" t="str"/>
      <x:c r="W178" s="36" t="str"/>
      <x:c r="X178" s="36"/>
      <x:c r="Y178" s="36" t="str">
        <x:v>NotAssessed</x:v>
      </x:c>
      <x:c r="Z178" s="36" t="str"/>
      <x:c r="AA178" s="36" t="str"/>
      <x:c r="AB178" s="36"/>
      <x:c r="AC178" s="36"/>
      <x:c r="AD178" s="36" t="str"/>
      <x:c r="AE178" s="36" t="str"/>
      <x:c r="AF178" s="36" t="str">
        <x:v>Name and organisation matched</x:v>
      </x:c>
      <x:c r="AG178" s="36" t="str">
        <x:v>Common pot</x:v>
      </x:c>
      <x:c r="AH178" s="36" t="str">
        <x:v>BU Demand!row 442</x:v>
      </x:c>
      <x:c r="AI178" s="36" t="str">
        <x:v>NewFeat</x:v>
      </x:c>
      <x:c r="AJ178" s="36" t="str">
        <x:v>Productivity</x:v>
      </x:c>
      <x:c r="AK178" s="36" t="str">
        <x:v>Must Have</x:v>
      </x:c>
      <x:c r="AL178" s="36" t="n">
        <x:v>0</x:v>
      </x:c>
      <x:c r="AM178" s="36" t="n">
        <x:v>0</x:v>
      </x:c>
      <x:c r="AN178" s="43"/>
      <x:c r="AO178" s="43"/>
      <x:c r="AP178" s="43"/>
    </x:row>
    <x:row r="179" ht="24" hidden="0" customHeight="1">
      <x:c r="A179" s="36" t="str">
        <x:v>Bu-184</x:v>
      </x:c>
      <x:c r="B179" s="37" t="str">
        <x:v>RSDI (Type 1) | RSM: Show Menu Tree based on SW release and not product type</x:v>
      </x:c>
      <x:c r="C179" s="36" t="str">
        <x:v>BU Led</x:v>
      </x:c>
      <x:c r="D179" s="36" t="str">
        <x:v>Precision Diagnosis - Magnetic Resonance (MR)</x:v>
      </x:c>
      <x:c r="E179" s="36" t="str"/>
      <x:c r="F179" s="36" t="str">
        <x:v>New Feature</x:v>
      </x:c>
      <x:c r="G179" s="36" t="str">
        <x:v>Process Simplification / Efficiency Gain</x:v>
      </x:c>
      <x:c r="H179" s="36" t="str">
        <x:v>Must Have</x:v>
      </x:c>
      <x:c r="I179" s="36" t="str">
        <x:v>New Initiative</x:v>
      </x:c>
      <x:c r="J179" s="38" t="n">
        <x:v>0.56</x:v>
      </x:c>
      <x:c r="K179" s="38"/>
      <x:c r="L179" s="38"/>
      <x:c r="M179" s="38"/>
      <x:c r="N179" s="38"/>
      <x:c r="O179" s="38"/>
      <x:c r="P179" s="37" t="str"/>
      <x:c r="Q179" s="37" t="str">
        <x:v>Cash savings</x:v>
      </x:c>
      <x:c r="R179" s="37" t="str"/>
      <x:c r="S179" s="37" t="str"/>
      <x:c r="T179" s="37" t="str">
        <x:v>RSDI (Type 1) | FSE utility to create USB Media</x:v>
      </x:c>
      <x:c r="U179" s="37" t="str"/>
      <x:c r="V179" s="36" t="str"/>
      <x:c r="W179" s="36" t="str"/>
      <x:c r="X179" s="36"/>
      <x:c r="Y179" s="36" t="str">
        <x:v>NotAssessed</x:v>
      </x:c>
      <x:c r="Z179" s="36" t="str"/>
      <x:c r="AA179" s="36" t="str"/>
      <x:c r="AB179" s="36"/>
      <x:c r="AC179" s="36"/>
      <x:c r="AD179" s="36" t="str"/>
      <x:c r="AE179" s="36" t="str"/>
      <x:c r="AF179" s="36" t="str">
        <x:v>Name and organisation matched</x:v>
      </x:c>
      <x:c r="AG179" s="36" t="str">
        <x:v>Common pot</x:v>
      </x:c>
      <x:c r="AH179" s="36" t="str">
        <x:v>BU Demand!row 443</x:v>
      </x:c>
      <x:c r="AI179" s="36" t="str">
        <x:v>NewFeat</x:v>
      </x:c>
      <x:c r="AJ179" s="36" t="str">
        <x:v>ProcSimp</x:v>
      </x:c>
      <x:c r="AK179" s="36" t="str">
        <x:v>Must Have</x:v>
      </x:c>
      <x:c r="AL179" s="36" t="n">
        <x:v>0</x:v>
      </x:c>
      <x:c r="AM179" s="36" t="n">
        <x:v>0</x:v>
      </x:c>
      <x:c r="AN179" s="43"/>
      <x:c r="AO179" s="43"/>
      <x:c r="AP179" s="43"/>
    </x:row>
    <x:row r="180" ht="15" hidden="0" customHeight="1">
      <x:c r="A180" s="36" t="str">
        <x:v>Bu-185</x:v>
      </x:c>
      <x:c r="B180" s="37" t="str">
        <x:v>RSDI (Type 1) | FSE utility to create USB Media</x:v>
      </x:c>
      <x:c r="C180" s="36" t="str">
        <x:v>BU Led</x:v>
      </x:c>
      <x:c r="D180" s="36" t="str">
        <x:v>Precision Diagnosis - Magnetic Resonance (MR)</x:v>
      </x:c>
      <x:c r="E180" s="36" t="str"/>
      <x:c r="F180" s="36" t="str">
        <x:v>New Feature</x:v>
      </x:c>
      <x:c r="G180" s="36" t="str">
        <x:v>Process Simplification / Efficiency Gain</x:v>
      </x:c>
      <x:c r="H180" s="36" t="str">
        <x:v>Must Have</x:v>
      </x:c>
      <x:c r="I180" s="36" t="str">
        <x:v>New Initiative</x:v>
      </x:c>
      <x:c r="J180" s="38" t="n">
        <x:v>0.25</x:v>
      </x:c>
      <x:c r="K180" s="38"/>
      <x:c r="L180" s="38"/>
      <x:c r="M180" s="38"/>
      <x:c r="N180" s="38"/>
      <x:c r="O180" s="38"/>
      <x:c r="P180" s="37" t="str"/>
      <x:c r="Q180" s="37" t="str">
        <x:v>Cash savings</x:v>
      </x:c>
      <x:c r="R180" s="37" t="str"/>
      <x:c r="S180" s="37" t="str"/>
      <x:c r="T180" s="37" t="str">
        <x:v>Mandatory annual support activities include: OS compatibility updates, Certificate renewals, Approvals and release management And below are the new features </x:v>
      </x:c>
      <x:c r="U180" s="37" t="str"/>
      <x:c r="V180" s="36" t="str"/>
      <x:c r="W180" s="36" t="str"/>
      <x:c r="X180" s="36"/>
      <x:c r="Y180" s="36" t="str">
        <x:v>NotAssessed</x:v>
      </x:c>
      <x:c r="Z180" s="36" t="str"/>
      <x:c r="AA180" s="36" t="str"/>
      <x:c r="AB180" s="36"/>
      <x:c r="AC180" s="36"/>
      <x:c r="AD180" s="36" t="str"/>
      <x:c r="AE180" s="36" t="str"/>
      <x:c r="AF180" s="36" t="str">
        <x:v>Name and organisation matched</x:v>
      </x:c>
      <x:c r="AG180" s="36" t="str">
        <x:v>Common pot</x:v>
      </x:c>
      <x:c r="AH180" s="36" t="str">
        <x:v>BU Demand!row 444</x:v>
      </x:c>
      <x:c r="AI180" s="36" t="str">
        <x:v>NewFeat</x:v>
      </x:c>
      <x:c r="AJ180" s="36" t="str">
        <x:v>ProcSimp</x:v>
      </x:c>
      <x:c r="AK180" s="36" t="str">
        <x:v>Must Have</x:v>
      </x:c>
      <x:c r="AL180" s="36" t="n">
        <x:v>0</x:v>
      </x:c>
      <x:c r="AM180" s="36" t="n">
        <x:v>0</x:v>
      </x:c>
      <x:c r="AN180" s="43"/>
      <x:c r="AO180" s="43"/>
      <x:c r="AP180" s="43"/>
    </x:row>
    <x:row r="181" ht="15" hidden="0" customHeight="1">
      <x:c r="A181" s="36" t="str">
        <x:v>Bu-186</x:v>
      </x:c>
      <x:c r="B181" s="37" t="str">
        <x:v>CT Mobile APP </x:v>
      </x:c>
      <x:c r="C181" s="36" t="str">
        <x:v>BU Led</x:v>
      </x:c>
      <x:c r="D181" s="36" t="str">
        <x:v>Precision Diagnosis - Computed Tomography (CT)</x:v>
      </x:c>
      <x:c r="E181" s="36" t="str"/>
      <x:c r="F181" s="36" t="str">
        <x:v>Upgrades &amp; Enhancements</x:v>
      </x:c>
      <x:c r="G181" s="36" t="str">
        <x:v>Change &amp; Sustain – Mandatory</x:v>
      </x:c>
      <x:c r="H181" s="36" t="str">
        <x:v>Must Have</x:v>
      </x:c>
      <x:c r="I181" s="36" t="str">
        <x:v>New Initiative</x:v>
      </x:c>
      <x:c r="J181" s="38" t="n">
        <x:v>0.321</x:v>
      </x:c>
      <x:c r="K181" s="38"/>
      <x:c r="L181" s="38"/>
      <x:c r="M181" s="38"/>
      <x:c r="N181" s="38"/>
      <x:c r="O181" s="38"/>
      <x:c r="P181" s="37" t="str"/>
      <x:c r="Q181" s="37" t="str">
        <x:v>Unclassified</x:v>
      </x:c>
      <x:c r="R181" s="37" t="str"/>
      <x:c r="S181" s="37" t="str"/>
      <x:c r="T181" s="37" t="str">
        <x:v>Mandatory annual support activities include: OS compatibility updates, Certificate renewals, Approvals and release management And below are the new features </x:v>
      </x:c>
      <x:c r="U181" s="37" t="str"/>
      <x:c r="V181" s="36" t="str"/>
      <x:c r="W181" s="36" t="str"/>
      <x:c r="X181" s="36"/>
      <x:c r="Y181" s="36" t="str">
        <x:v>NotAssessed</x:v>
      </x:c>
      <x:c r="Z181" s="36" t="str"/>
      <x:c r="AA181" s="36" t="str"/>
      <x:c r="AB181" s="36"/>
      <x:c r="AC181" s="36"/>
      <x:c r="AD181" s="36" t="str"/>
      <x:c r="AE181" s="36" t="str"/>
      <x:c r="AF181" s="36" t="str">
        <x:v>Name and organisation matched</x:v>
      </x:c>
      <x:c r="AG181" s="36" t="str">
        <x:v>Common pot</x:v>
      </x:c>
      <x:c r="AH181" s="36" t="str">
        <x:v>BU Demand!row 445</x:v>
      </x:c>
      <x:c r="AI181" s="36" t="str">
        <x:v>Upgrades</x:v>
      </x:c>
      <x:c r="AJ181" s="36" t="str">
        <x:v>Compliance</x:v>
      </x:c>
      <x:c r="AK181" s="36" t="str">
        <x:v>Must Have</x:v>
      </x:c>
      <x:c r="AL181" s="36" t="n">
        <x:v>0</x:v>
      </x:c>
      <x:c r="AM181" s="36" t="n">
        <x:v>0</x:v>
      </x:c>
      <x:c r="AN181" s="43"/>
      <x:c r="AO181" s="43"/>
      <x:c r="AP181" s="43"/>
    </x:row>
    <x:row r="182" ht="15" hidden="0" customHeight="1">
      <x:c r="A182" s="36" t="str">
        <x:v>Bu-187</x:v>
      </x:c>
      <x:c r="B182" s="37" t="str">
        <x:v>DXR Mobile App</x:v>
      </x:c>
      <x:c r="C182" s="36" t="str">
        <x:v>BU Led</x:v>
      </x:c>
      <x:c r="D182" s="36" t="str">
        <x:v>Precision Diagnosis - Digital X-ray Radiogrammetry (DXR)</x:v>
      </x:c>
      <x:c r="E182" s="36" t="str"/>
      <x:c r="F182" s="36" t="str">
        <x:v>Upgrades &amp; Enhancements</x:v>
      </x:c>
      <x:c r="G182" s="36" t="str">
        <x:v>Change &amp; Sustain – Mandatory</x:v>
      </x:c>
      <x:c r="H182" s="36" t="str">
        <x:v>Must Have</x:v>
      </x:c>
      <x:c r="I182" s="36" t="str">
        <x:v>New Initiative</x:v>
      </x:c>
      <x:c r="J182" s="38" t="n">
        <x:v>0.314</x:v>
      </x:c>
      <x:c r="K182" s="38"/>
      <x:c r="L182" s="38"/>
      <x:c r="M182" s="38"/>
      <x:c r="N182" s="38"/>
      <x:c r="O182" s="38"/>
      <x:c r="P182" s="37" t="str"/>
      <x:c r="Q182" s="37" t="str">
        <x:v>Unclassified</x:v>
      </x:c>
      <x:c r="R182" s="37" t="str"/>
      <x:c r="S182" s="37" t="str"/>
      <x:c r="T182" s="37" t="str">
        <x:v>CPL Bot – €20K
Top 10 News Bot – €10K
Automation of 12M Funnel Growth KPI – €50K
PD Productivity One – €100K</x:v>
      </x:c>
      <x:c r="U182" s="37" t="str"/>
      <x:c r="V182" s="36" t="str"/>
      <x:c r="W182" s="36" t="str"/>
      <x:c r="X182" s="36"/>
      <x:c r="Y182" s="36" t="str">
        <x:v>NotAssessed</x:v>
      </x:c>
      <x:c r="Z182" s="36" t="str"/>
      <x:c r="AA182" s="36" t="str"/>
      <x:c r="AB182" s="36"/>
      <x:c r="AC182" s="36"/>
      <x:c r="AD182" s="36" t="str"/>
      <x:c r="AE182" s="36" t="str"/>
      <x:c r="AF182" s="36" t="str">
        <x:v>Name and organisation matched</x:v>
      </x:c>
      <x:c r="AG182" s="36" t="str">
        <x:v>Common pot</x:v>
      </x:c>
      <x:c r="AH182" s="36" t="str">
        <x:v>BU Demand!row 446</x:v>
      </x:c>
      <x:c r="AI182" s="36" t="str">
        <x:v>Upgrades</x:v>
      </x:c>
      <x:c r="AJ182" s="36" t="str">
        <x:v>Compliance</x:v>
      </x:c>
      <x:c r="AK182" s="36" t="str">
        <x:v>Must Have</x:v>
      </x:c>
      <x:c r="AL182" s="36" t="n">
        <x:v>0</x:v>
      </x:c>
      <x:c r="AM182" s="36" t="n">
        <x:v>0</x:v>
      </x:c>
      <x:c r="AN182" s="43"/>
      <x:c r="AO182" s="43"/>
      <x:c r="AP182" s="43"/>
    </x:row>
    <x:row r="183" ht="15" hidden="0" customHeight="1">
      <x:c r="A183" s="36" t="str">
        <x:v>Bu-188</x:v>
      </x:c>
      <x:c r="B183" s="37" t="str">
        <x:v>PD AI Solutions</x:v>
      </x:c>
      <x:c r="C183" s="36" t="str">
        <x:v>BU Led</x:v>
      </x:c>
      <x:c r="D183" s="36" t="str">
        <x:v>Precision Diagnosis - Magnetic Resonance (MR)</x:v>
      </x:c>
      <x:c r="E183" s="36" t="str"/>
      <x:c r="F183" s="36" t="str">
        <x:v>New Technology</x:v>
      </x:c>
      <x:c r="G183" s="36" t="str">
        <x:v>IT Projects – Transformation</x:v>
      </x:c>
      <x:c r="H183" s="36" t="str">
        <x:v>Must Do</x:v>
      </x:c>
      <x:c r="I183" s="36" t="str">
        <x:v>New Initiative</x:v>
      </x:c>
      <x:c r="J183" s="38" t="n">
        <x:v>0.18</x:v>
      </x:c>
      <x:c r="K183" s="38"/>
      <x:c r="L183" s="38"/>
      <x:c r="M183" s="38"/>
      <x:c r="N183" s="38"/>
      <x:c r="O183" s="38"/>
      <x:c r="P183" s="37" t="str"/>
      <x:c r="Q183" s="37" t="str">
        <x:v>Unclassified</x:v>
      </x:c>
      <x:c r="R183" s="37" t="str"/>
      <x:c r="S183" s="37" t="str"/>
      <x:c r="T183" s="37" t="str">
        <x:v>CPL Bot – €20K
Top 10 News Bot – €10K
Automation of 12M Funnel Growth KPI – €50K
PD Productivity One – €100K</x:v>
      </x:c>
      <x:c r="U183" s="37" t="str"/>
      <x:c r="V183" s="36" t="str"/>
      <x:c r="W183" s="36" t="str"/>
      <x:c r="X183" s="36"/>
      <x:c r="Y183" s="36" t="str">
        <x:v>NotAssessed</x:v>
      </x:c>
      <x:c r="Z183" s="36" t="str"/>
      <x:c r="AA183" s="36" t="str"/>
      <x:c r="AB183" s="36"/>
      <x:c r="AC183" s="36"/>
      <x:c r="AD183" s="36" t="str"/>
      <x:c r="AE183" s="36" t="str"/>
      <x:c r="AF183" s="36" t="str">
        <x:v>Name and organisation matched</x:v>
      </x:c>
      <x:c r="AG183" s="36" t="str">
        <x:v>Common pot</x:v>
      </x:c>
      <x:c r="AH183" s="36" t="str">
        <x:v>BU Demand!row 450</x:v>
      </x:c>
      <x:c r="AI183" s="36" t="str">
        <x:v>NewTech</x:v>
      </x:c>
      <x:c r="AJ183" s="36" t="str">
        <x:v>Transform</x:v>
      </x:c>
      <x:c r="AK183" s="36" t="str">
        <x:v>Must Do</x:v>
      </x:c>
      <x:c r="AL183" s="36" t="n">
        <x:v>0</x:v>
      </x:c>
      <x:c r="AM183" s="36" t="n">
        <x:v>0</x:v>
      </x:c>
      <x:c r="AN183" s="43"/>
      <x:c r="AO183" s="43"/>
      <x:c r="AP183" s="43"/>
    </x:row>
    <x:row r="184" ht="15" hidden="0" customHeight="1">
      <x:c r="A184" s="36" t="str">
        <x:v>Bu-189</x:v>
      </x:c>
      <x:c r="B184" s="37" t="str">
        <x:v>1. GAIA - platform showing E2E product / customer quality status. </x:v>
      </x:c>
      <x:c r="C184" s="36" t="str">
        <x:v>BU Led</x:v>
      </x:c>
      <x:c r="D184" s="36" t="str">
        <x:v>Precision Diagnosis - Computed Tomography (CT)</x:v>
      </x:c>
      <x:c r="E184" s="36" t="str"/>
      <x:c r="F184" s="36" t="str">
        <x:v>Continous Improvement</x:v>
      </x:c>
      <x:c r="G184" s="36" t="str">
        <x:v>Process simplification/ efficiency gain</x:v>
      </x:c>
      <x:c r="H184" s="36" t="str">
        <x:v>Must Have</x:v>
      </x:c>
      <x:c r="I184" s="36" t="str">
        <x:v>New Initiative</x:v>
      </x:c>
      <x:c r="J184" s="38" t="n">
        <x:v>0.05</x:v>
      </x:c>
      <x:c r="K184" s="38"/>
      <x:c r="L184" s="38"/>
      <x:c r="M184" s="38"/>
      <x:c r="N184" s="38"/>
      <x:c r="O184" s="38"/>
      <x:c r="P184" s="37" t="str"/>
      <x:c r="Q184" s="37" t="str">
        <x:v>Cash savings</x:v>
      </x:c>
      <x:c r="R184" s="37" t="str"/>
      <x:c r="S184" s="37" t="str"/>
      <x:c r="T184" s="37" t="str">
        <x:v>E2E view for products / customer / part from quality metrix prespective. consolidatind data from Service , Design and manufacturing data systems , including AI capabilities to generate E2E view</x:v>
      </x:c>
      <x:c r="U184" s="37" t="str"/>
      <x:c r="V184" s="36" t="str"/>
      <x:c r="W184" s="36" t="str"/>
      <x:c r="X184" s="36"/>
      <x:c r="Y184" s="36" t="str">
        <x:v>NotAssessed</x:v>
      </x:c>
      <x:c r="Z184" s="36" t="str"/>
      <x:c r="AA184" s="36" t="str"/>
      <x:c r="AB184" s="36"/>
      <x:c r="AC184" s="36"/>
      <x:c r="AD184" s="36" t="str"/>
      <x:c r="AE184" s="36" t="str"/>
      <x:c r="AF184" s="36" t="str">
        <x:v>Name and organisation matched</x:v>
      </x:c>
      <x:c r="AG184" s="36" t="str">
        <x:v>Common pot</x:v>
      </x:c>
      <x:c r="AH184" s="36" t="str">
        <x:v>BU Demand!row 454</x:v>
      </x:c>
      <x:c r="AI184" s="36" t="str">
        <x:v>CI</x:v>
      </x:c>
      <x:c r="AJ184" s="36" t="str">
        <x:v>ProcSimp</x:v>
      </x:c>
      <x:c r="AK184" s="36" t="str">
        <x:v>Must Have</x:v>
      </x:c>
      <x:c r="AL184" s="36" t="n">
        <x:v>0</x:v>
      </x:c>
      <x:c r="AM184" s="36" t="n">
        <x:v>0</x:v>
      </x:c>
      <x:c r="AN184" s="43"/>
      <x:c r="AO184" s="43"/>
      <x:c r="AP184" s="43"/>
    </x:row>
    <x:row r="185" ht="15" hidden="0" customHeight="1">
      <x:c r="A185" s="36" t="str">
        <x:v>Bu-190</x:v>
      </x:c>
      <x:c r="B185" s="37" t="str">
        <x:v>2. Audit management tool </x:v>
      </x:c>
      <x:c r="C185" s="36" t="str">
        <x:v>BU Led</x:v>
      </x:c>
      <x:c r="D185" s="36" t="str">
        <x:v>Precision Diagnosis - Computed Tomography (CT)</x:v>
      </x:c>
      <x:c r="E185" s="36" t="str"/>
      <x:c r="F185" s="36" t="str">
        <x:v>Continous Improvement</x:v>
      </x:c>
      <x:c r="G185" s="36" t="str">
        <x:v>Process simplification/ efficiency gain</x:v>
      </x:c>
      <x:c r="H185" s="36" t="str">
        <x:v>Must Have</x:v>
      </x:c>
      <x:c r="I185" s="36" t="str">
        <x:v>New Initiative</x:v>
      </x:c>
      <x:c r="J185" s="38" t="n">
        <x:v>0.05</x:v>
      </x:c>
      <x:c r="K185" s="38"/>
      <x:c r="L185" s="38"/>
      <x:c r="M185" s="38"/>
      <x:c r="N185" s="38"/>
      <x:c r="O185" s="38"/>
      <x:c r="P185" s="37" t="str"/>
      <x:c r="Q185" s="37" t="str">
        <x:v>Cash savings</x:v>
      </x:c>
      <x:c r="R185" s="37" t="str"/>
      <x:c r="S185" s="37" t="str"/>
      <x:c r="T185" s="37" t="str">
        <x:v>Audit management tool , better control, one stop shop, Improve audit preperations ,audit performace and post audit documentation . Toll operational. Focus on mass deployemnt, addint AI capabilities and storage / User capabilities</x:v>
      </x:c>
      <x:c r="U185" s="37" t="str"/>
      <x:c r="V185" s="36" t="str"/>
      <x:c r="W185" s="36" t="str"/>
      <x:c r="X185" s="36"/>
      <x:c r="Y185" s="36" t="str">
        <x:v>NotAssessed</x:v>
      </x:c>
      <x:c r="Z185" s="36" t="str"/>
      <x:c r="AA185" s="36" t="str"/>
      <x:c r="AB185" s="36"/>
      <x:c r="AC185" s="36"/>
      <x:c r="AD185" s="36" t="str"/>
      <x:c r="AE185" s="36" t="str"/>
      <x:c r="AF185" s="36" t="str">
        <x:v>Name and organisation matched</x:v>
      </x:c>
      <x:c r="AG185" s="36" t="str">
        <x:v>Common pot</x:v>
      </x:c>
      <x:c r="AH185" s="36" t="str">
        <x:v>BU Demand!row 455</x:v>
      </x:c>
      <x:c r="AI185" s="36" t="str">
        <x:v>CI</x:v>
      </x:c>
      <x:c r="AJ185" s="36" t="str">
        <x:v>ProcSimp</x:v>
      </x:c>
      <x:c r="AK185" s="36" t="str">
        <x:v>Must Have</x:v>
      </x:c>
      <x:c r="AL185" s="36" t="n">
        <x:v>0</x:v>
      </x:c>
      <x:c r="AM185" s="36" t="n">
        <x:v>0</x:v>
      </x:c>
      <x:c r="AN185" s="43"/>
      <x:c r="AO185" s="43"/>
      <x:c r="AP185" s="43"/>
    </x:row>
    <x:row r="186" ht="15" hidden="0" customHeight="1">
      <x:c r="A186" s="36" t="str">
        <x:v>Bu-191</x:v>
      </x:c>
      <x:c r="B186" s="37" t="str">
        <x:v>LEM - Type I</x:v>
      </x:c>
      <x:c r="C186" s="36" t="str">
        <x:v>BU Led</x:v>
      </x:c>
      <x:c r="D186" s="36" t="str">
        <x:v>Image Guided Therapy - Systems (IGT-S)</x:v>
      </x:c>
      <x:c r="E186" s="36" t="str">
        <x:v>1007278</x:v>
      </x:c>
      <x:c r="F186" s="36" t="str">
        <x:v>Continous Improvement</x:v>
      </x:c>
      <x:c r="G186" s="36" t="str">
        <x:v>Process simplification/ efficiency gain</x:v>
      </x:c>
      <x:c r="H186" s="36" t="str">
        <x:v>Must Do</x:v>
      </x:c>
      <x:c r="I186" s="36" t="str">
        <x:v>Carry Over</x:v>
      </x:c>
      <x:c r="J186" s="38" t="n">
        <x:v>0.428</x:v>
      </x:c>
      <x:c r="K186" s="38"/>
      <x:c r="L186" s="38"/>
      <x:c r="M186" s="38" t="n">
        <x:v>0.428</x:v>
      </x:c>
      <x:c r="N186" s="38"/>
      <x:c r="O186" s="38" t="n">
        <x:v>0</x:v>
      </x:c>
      <x:c r="P186" s="37" t="str">
        <x:v>0</x:v>
      </x:c>
      <x:c r="Q186" s="37" t="str">
        <x:v>Cash savings</x:v>
      </x:c>
      <x:c r="R186" s="37"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S186" s="37" t="str">
        <x:v>Entitlement and Licensing capabilities to support Azurion Next Gen</x:v>
      </x:c>
      <x:c r="T186" s="37" t="str">
        <x:v>1. Order fulfilment
2. Support CAPEX and OPEX models
3. Remote distribution and installation of licenses</x:v>
      </x:c>
      <x:c r="U186" s="37" t="str"/>
      <x:c r="V186" s="36" t="str"/>
      <x:c r="W186" s="36" t="str"/>
      <x:c r="X186" s="36" t="n">
        <x:v>1.4</x:v>
      </x:c>
      <x:c r="Y186" s="36" t="str">
        <x:v>HEALTHY</x:v>
      </x:c>
      <x:c r="Z186" s="36" t="str"/>
      <x:c r="AA186" s="36" t="str"/>
      <x:c r="AB186" s="36"/>
      <x:c r="AC186" s="36"/>
      <x:c r="AD186" s="36" t="str"/>
      <x:c r="AE186" s="36" t="str">
        <x:v>HEALTHY — Rank in priority matrix</x:v>
      </x:c>
      <x:c r="AF186" s="36" t="str">
        <x:v>Name and organisation matched</x:v>
      </x:c>
      <x:c r="AG186" s="36" t="str">
        <x:v>Common pot</x:v>
      </x:c>
      <x:c r="AH186" s="36" t="str">
        <x:v>BU Demand!row 456</x:v>
      </x:c>
      <x:c r="AI186" s="36" t="str">
        <x:v>CI</x:v>
      </x:c>
      <x:c r="AJ186" s="36" t="str">
        <x:v>ProcSimp</x:v>
      </x:c>
      <x:c r="AK186" s="36" t="str">
        <x:v>Must Do</x:v>
      </x:c>
      <x:c r="AL186" s="36" t="n">
        <x:v>0</x:v>
      </x:c>
      <x:c r="AM186" s="36" t="n">
        <x:v>0</x:v>
      </x:c>
      <x:c r="AN186" s="43"/>
      <x:c r="AO186" s="43"/>
      <x:c r="AP186" s="43"/>
    </x:row>
    <x:row r="187" ht="15" hidden="0" customHeight="1">
      <x:c r="A187" s="36" t="str">
        <x:v>Bu-192</x:v>
      </x:c>
      <x:c r="B187" s="37" t="str">
        <x:v>LEM - Type II</x:v>
      </x:c>
      <x:c r="C187" s="36" t="str">
        <x:v>BU Led</x:v>
      </x:c>
      <x:c r="D187" s="36" t="str">
        <x:v>Image Guided Therapy - Systems (IGT-S)</x:v>
      </x:c>
      <x:c r="E187" s="36" t="str"/>
      <x:c r="F187" s="36" t="str">
        <x:v>Continous Improvement</x:v>
      </x:c>
      <x:c r="G187" s="36" t="str">
        <x:v>Process simplification/ efficiency gain</x:v>
      </x:c>
      <x:c r="H187" s="36" t="str">
        <x:v>Must Do</x:v>
      </x:c>
      <x:c r="I187" s="36" t="str">
        <x:v>Carry Over</x:v>
      </x:c>
      <x:c r="J187" s="38" t="n">
        <x:v>0.407</x:v>
      </x:c>
      <x:c r="K187" s="38"/>
      <x:c r="L187" s="38"/>
      <x:c r="M187" s="38" t="n">
        <x:v>0.407</x:v>
      </x:c>
      <x:c r="N187" s="38"/>
      <x:c r="O187" s="38" t="n">
        <x:v>0</x:v>
      </x:c>
      <x:c r="P187" s="37" t="str">
        <x:v>0</x:v>
      </x:c>
      <x:c r="Q187" s="37" t="str">
        <x:v>Cash savings</x:v>
      </x:c>
      <x:c r="R187" s="37" t="str">
        <x:v>A foundational capability required to enable new business models for IGT such as Software Subscription (PPP) and AI-based growth; without it, initiatives like Azurion Next Gen and Sentinel native enforcement will rely on manual processes, constraining IGT's ability to scale.</x:v>
      </x:c>
      <x:c r="S187" s="37" t="str">
        <x:v>Capabilities for subscription model</x:v>
      </x:c>
      <x:c r="T187" s="37" t="str">
        <x:v>1. Enabling subscriptions for Pay Per Period (PPP)  business model
2. Remote license delivery</x:v>
      </x:c>
      <x:c r="U187" s="37" t="str"/>
      <x:c r="V187" s="36" t="str"/>
      <x:c r="W187" s="36" t="str"/>
      <x:c r="X187" s="36" t="n">
        <x:v>1.4</x:v>
      </x:c>
      <x:c r="Y187" s="36" t="str">
        <x:v>HEALTHY</x:v>
      </x:c>
      <x:c r="Z187" s="36" t="str"/>
      <x:c r="AA187" s="36" t="str"/>
      <x:c r="AB187" s="36"/>
      <x:c r="AC187" s="36"/>
      <x:c r="AD187" s="36" t="str"/>
      <x:c r="AE187" s="36" t="str">
        <x:v>HEALTHY — Rank in priority matrix</x:v>
      </x:c>
      <x:c r="AF187" s="36" t="str">
        <x:v>Name and organisation matched</x:v>
      </x:c>
      <x:c r="AG187" s="36" t="str">
        <x:v>Common pot</x:v>
      </x:c>
      <x:c r="AH187" s="36" t="str">
        <x:v>BU Demand!row 459</x:v>
      </x:c>
      <x:c r="AI187" s="36" t="str">
        <x:v>CI</x:v>
      </x:c>
      <x:c r="AJ187" s="36" t="str">
        <x:v>ProcSimp</x:v>
      </x:c>
      <x:c r="AK187" s="36" t="str">
        <x:v>Must Do</x:v>
      </x:c>
      <x:c r="AL187" s="36" t="n">
        <x:v>0</x:v>
      </x:c>
      <x:c r="AM187" s="36" t="n">
        <x:v>0</x:v>
      </x:c>
      <x:c r="AN187" s="43"/>
      <x:c r="AO187" s="43"/>
      <x:c r="AP187" s="43"/>
    </x:row>
    <x:row r="188" ht="15" hidden="0" customHeight="1">
      <x:c r="A188" s="36" t="str">
        <x:v>Bu-193</x:v>
      </x:c>
      <x:c r="B188" s="37" t="str">
        <x:v>Catalog Simplification - Catalog workflow</x:v>
      </x:c>
      <x:c r="C188" s="36" t="str">
        <x:v>BU Led</x:v>
      </x:c>
      <x:c r="D188" s="36" t="str">
        <x:v>Precision Diagnosis - Ultrasound (PDU)</x:v>
      </x:c>
      <x:c r="E188" s="36" t="str">
        <x:v>1006483</x:v>
      </x:c>
      <x:c r="F188" s="36" t="str">
        <x:v>Continous Improvement</x:v>
      </x:c>
      <x:c r="G188" s="36" t="str">
        <x:v>Process simplification/ efficiency gain</x:v>
      </x:c>
      <x:c r="H188" s="36" t="str">
        <x:v>Must Do</x:v>
      </x:c>
      <x:c r="I188" s="36" t="str">
        <x:v>Carry Over</x:v>
      </x:c>
      <x:c r="J188" s="38" t="n">
        <x:v>0.2</x:v>
      </x:c>
      <x:c r="K188" s="38"/>
      <x:c r="L188" s="38"/>
      <x:c r="M188" s="38" t="n">
        <x:v>0.2</x:v>
      </x:c>
      <x:c r="N188" s="38"/>
      <x:c r="O188" s="38"/>
      <x:c r="P188" s="37" t="str">
        <x:v>N/A</x:v>
      </x:c>
      <x:c r="Q188" s="37" t="str">
        <x:v>Cash savings</x:v>
      </x:c>
      <x:c r="R188" s="37" t="str"/>
      <x:c r="S188" s="37" t="str">
        <x:v>Improvement of sales text quality, ensuring claims are excluded. Simplification and improvement of speed of sales text creation.</x:v>
      </x:c>
      <x:c r="T188" s="37" t="str">
        <x:v>Catalog workflow tool</x:v>
      </x:c>
      <x:c r="U188" s="37" t="str">
        <x:v>None</x:v>
      </x:c>
      <x:c r="V188" s="36" t="str"/>
      <x:c r="W188" s="36" t="str"/>
      <x:c r="X188" s="36" t="n">
        <x:v>1.7</x:v>
      </x:c>
      <x:c r="Y188" s="36" t="str">
        <x:v>HEALTHY</x:v>
      </x:c>
      <x:c r="Z188" s="36" t="str"/>
      <x:c r="AA188" s="36" t="str"/>
      <x:c r="AB188" s="36"/>
      <x:c r="AC188" s="36"/>
      <x:c r="AD188" s="36" t="str"/>
      <x:c r="AE188" s="36" t="str">
        <x:v>HEALTHY — Rank in priority matrix</x:v>
      </x:c>
      <x:c r="AF188" s="36" t="str">
        <x:v>Name and organisation matched</x:v>
      </x:c>
      <x:c r="AG188" s="36" t="str">
        <x:v>Common pot</x:v>
      </x:c>
      <x:c r="AH188" s="36" t="str">
        <x:v>BU Demand!row 461</x:v>
      </x:c>
      <x:c r="AI188" s="36" t="str">
        <x:v>CI</x:v>
      </x:c>
      <x:c r="AJ188" s="36" t="str">
        <x:v>ProcSimp</x:v>
      </x:c>
      <x:c r="AK188" s="36" t="str">
        <x:v>Must Do</x:v>
      </x:c>
      <x:c r="AL188" s="36" t="n">
        <x:v>0</x:v>
      </x:c>
      <x:c r="AM188" s="36" t="n">
        <x:v>0</x:v>
      </x:c>
      <x:c r="AN188" s="43"/>
      <x:c r="AO188" s="43"/>
      <x:c r="AP188" s="43"/>
    </x:row>
    <x:row r="189" ht="15" hidden="0" customHeight="1">
      <x:c r="A189" s="36" t="str">
        <x:v>Bu-194</x:v>
      </x:c>
      <x:c r="B189" s="37" t="str">
        <x:v>Ultrasound Simplification - Supply Chain &amp; Manufacturing</x:v>
      </x:c>
      <x:c r="C189" s="36" t="str">
        <x:v>BU Led</x:v>
      </x:c>
      <x:c r="D189" s="36" t="str">
        <x:v>Precision Diagnosis - Ultrasound (PDU)</x:v>
      </x:c>
      <x:c r="E189" s="36" t="str">
        <x:v>1006481</x:v>
      </x:c>
      <x:c r="F189" s="36" t="str">
        <x:v>Upgrades &amp; Enhancements</x:v>
      </x:c>
      <x:c r="G189" s="36" t="str">
        <x:v>Process simplification/ efficiency gain</x:v>
      </x:c>
      <x:c r="H189" s="36" t="str">
        <x:v>Must Do</x:v>
      </x:c>
      <x:c r="I189" s="36" t="str">
        <x:v>Delayed</x:v>
      </x:c>
      <x:c r="J189" s="38" t="n">
        <x:v>0.7</x:v>
      </x:c>
      <x:c r="K189" s="38"/>
      <x:c r="L189" s="38"/>
      <x:c r="M189" s="38"/>
      <x:c r="N189" s="38"/>
      <x:c r="O189" s="38"/>
      <x:c r="P189" s="37" t="str">
        <x:v>N/A</x:v>
      </x:c>
      <x:c r="Q189" s="37" t="str">
        <x:v>Cash savings</x:v>
      </x:c>
      <x:c r="R189" s="37" t="str"/>
      <x:c r="S189" s="37" t="str">
        <x:v>Improvement and simplification of ISC function for Ultrasound</x:v>
      </x:c>
      <x:c r="T189" s="37" t="str">
        <x: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x:v>
      </x:c>
      <x:c r="U189" s="37" t="str">
        <x:v>None</x:v>
      </x:c>
      <x:c r="V189" s="36" t="str"/>
      <x:c r="W189" s="36" t="str"/>
      <x:c r="X189" s="36"/>
      <x:c r="Y189" s="36" t="str">
        <x:v>NotAssessed</x:v>
      </x:c>
      <x:c r="Z189" s="36" t="str"/>
      <x:c r="AA189" s="36" t="str"/>
      <x:c r="AB189" s="36"/>
      <x:c r="AC189" s="36"/>
      <x:c r="AD189" s="36" t="str"/>
      <x:c r="AE189" s="36" t="str"/>
      <x:c r="AF189" s="36" t="str">
        <x:v>Name and organisation matched</x:v>
      </x:c>
      <x:c r="AG189" s="36" t="str">
        <x:v>Common pot</x:v>
      </x:c>
      <x:c r="AH189" s="36" t="str">
        <x:v>BU Demand!row 462</x:v>
      </x:c>
      <x:c r="AI189" s="36" t="str">
        <x:v>Upgrades</x:v>
      </x:c>
      <x:c r="AJ189" s="36" t="str">
        <x:v>ProcSimp</x:v>
      </x:c>
      <x:c r="AK189" s="36" t="str">
        <x:v>Must Do</x:v>
      </x:c>
      <x:c r="AL189" s="36" t="n">
        <x:v>0</x:v>
      </x:c>
      <x:c r="AM189" s="36" t="n">
        <x:v>0</x:v>
      </x:c>
      <x:c r="AN189" s="43"/>
      <x:c r="AO189" s="43"/>
      <x:c r="AP189" s="43"/>
    </x:row>
    <x:row r="190" ht="15" hidden="0" customHeight="1">
      <x:c r="A190" s="36" t="str">
        <x:v>Bu-195</x:v>
      </x:c>
      <x:c r="B190" s="37" t="str">
        <x:v>MP1 improvement due to shelf life finding in audit.</x:v>
      </x:c>
      <x:c r="C190" s="36" t="str">
        <x:v>BU Led</x:v>
      </x:c>
      <x:c r="D190" s="36" t="str">
        <x:v>Monitoring - HPM (MCH)</x:v>
      </x:c>
      <x:c r="E190" s="36" t="str">
        <x:v>1004812</x:v>
      </x:c>
      <x:c r="F190" s="36" t="str">
        <x:v>Legal Fiscal, Regulatory &amp; Compliancy</x:v>
      </x:c>
      <x:c r="G190" s="36" t="str">
        <x:v>Compliance/Keeping the lights on</x:v>
      </x:c>
      <x:c r="H190" s="36" t="str">
        <x:v>Must Do</x:v>
      </x:c>
      <x:c r="I190" s="36" t="str">
        <x:v>Carry Over</x:v>
      </x:c>
      <x:c r="J190" s="38" t="n">
        <x:v>0.02</x:v>
      </x:c>
      <x:c r="K190" s="38"/>
      <x:c r="L190" s="38"/>
      <x:c r="M190" s="38"/>
      <x:c r="N190" s="38"/>
      <x:c r="O190" s="38"/>
      <x:c r="P190" s="37" t="str"/>
      <x:c r="Q190" s="37" t="str">
        <x:v>Risk exposure</x:v>
      </x:c>
      <x:c r="R190" s="37" t="str">
        <x:v>Carry Over stops</x:v>
      </x:c>
      <x:c r="S190" s="37" t="str"/>
      <x:c r="T190" s="37" t="str"/>
      <x:c r="U190" s="37" t="str"/>
      <x:c r="V190" s="36" t="str"/>
      <x:c r="W190" s="36" t="str"/>
      <x:c r="X190" s="36"/>
      <x:c r="Y190" s="36" t="str">
        <x:v>NotAssessed</x:v>
      </x:c>
      <x:c r="Z190" s="36" t="str"/>
      <x:c r="AA190" s="36" t="str"/>
      <x:c r="AB190" s="36"/>
      <x:c r="AC190" s="36"/>
      <x:c r="AD190" s="36" t="str"/>
      <x:c r="AE190" s="36" t="str"/>
      <x:c r="AF190" s="36" t="str">
        <x:v>Name and organisation matched</x:v>
      </x:c>
      <x:c r="AG190" s="36" t="str">
        <x:v>Common pot</x:v>
      </x:c>
      <x:c r="AH190" s="36" t="str">
        <x:v>BU Demand!row 489</x:v>
      </x:c>
      <x:c r="AI190" s="36" t="str">
        <x:v>LFR</x:v>
      </x:c>
      <x:c r="AJ190" s="36" t="str">
        <x:v>Compliance</x:v>
      </x:c>
      <x:c r="AK190" s="36" t="str">
        <x:v>Must Do</x:v>
      </x:c>
      <x:c r="AL190" s="36" t="n">
        <x:v>0</x:v>
      </x:c>
      <x:c r="AM190" s="36" t="n">
        <x:v>0</x:v>
      </x:c>
      <x:c r="AN190" s="43"/>
      <x:c r="AO190" s="43"/>
      <x:c r="AP190" s="43"/>
    </x:row>
    <x:row r="191" ht="15" hidden="0" customHeight="1">
      <x:c r="A191" s="36" t="str">
        <x:v>Bu-196</x:v>
      </x:c>
      <x:c r="B191" s="37" t="str">
        <x:v>SW Ops: Enabling HPM on Sentinel with new licensing models for NPIs -</x:v>
      </x:c>
      <x:c r="C191" s="36" t="str">
        <x:v>BU Led</x:v>
      </x:c>
      <x:c r="D191" s="36" t="str">
        <x:v>Monitoring - HPM (MCH)</x:v>
      </x:c>
      <x:c r="E191" s="36" t="str">
        <x:v>1002587</x:v>
      </x:c>
      <x:c r="F191" s="36" t="str">
        <x:v>New Technology</x:v>
      </x:c>
      <x:c r="G191" s="36" t="str">
        <x:v>Revenue Increase</x:v>
      </x:c>
      <x:c r="H191" s="36" t="str">
        <x:v>Must Do</x:v>
      </x:c>
      <x:c r="I191" s="36" t="str">
        <x:v>Carry Over</x:v>
      </x:c>
      <x:c r="J191" s="38" t="n">
        <x:v>0.2</x:v>
      </x:c>
      <x:c r="K191" s="38"/>
      <x:c r="L191" s="38"/>
      <x:c r="M191" s="38"/>
      <x:c r="N191" s="38"/>
      <x:c r="O191" s="38"/>
      <x:c r="P191" s="37" t="str"/>
      <x:c r="Q191" s="37" t="str">
        <x:v>Revenue</x:v>
      </x:c>
      <x:c r="R191" s="37" t="str">
        <x:v>Carry Over stops</x:v>
      </x:c>
      <x:c r="S191" s="37" t="str"/>
      <x:c r="T191" s="37" t="str"/>
      <x:c r="U191" s="37" t="str"/>
      <x:c r="V191" s="36" t="str"/>
      <x:c r="W191" s="36" t="str"/>
      <x:c r="X191" s="36"/>
      <x:c r="Y191" s="36" t="str">
        <x:v>NotAssessed</x:v>
      </x:c>
      <x:c r="Z191" s="36" t="str"/>
      <x:c r="AA191" s="36" t="str"/>
      <x:c r="AB191" s="36"/>
      <x:c r="AC191" s="36"/>
      <x:c r="AD191" s="36" t="str"/>
      <x:c r="AE191" s="36" t="str"/>
      <x:c r="AF191" s="36" t="str">
        <x:v>Name and organisation matched</x:v>
      </x:c>
      <x:c r="AG191" s="36" t="str">
        <x:v>Common pot</x:v>
      </x:c>
      <x:c r="AH191" s="36" t="str">
        <x:v>BU Demand!row 490</x:v>
      </x:c>
      <x:c r="AI191" s="36" t="str">
        <x:v>NewTech</x:v>
      </x:c>
      <x:c r="AJ191" s="36" t="str">
        <x:v>Revenue</x:v>
      </x:c>
      <x:c r="AK191" s="36" t="str">
        <x:v>Must Do</x:v>
      </x:c>
      <x:c r="AL191" s="36" t="n">
        <x:v>0</x:v>
      </x:c>
      <x:c r="AM191" s="36" t="n">
        <x:v>0</x:v>
      </x:c>
      <x:c r="AN191" s="43"/>
      <x:c r="AO191" s="43"/>
      <x:c r="AP191" s="43"/>
    </x:row>
    <x:row r="192" ht="15" hidden="0" customHeight="1">
      <x:c r="A192" s="36" t="str">
        <x:v>Bu-197</x:v>
      </x:c>
      <x:c r="B192" s="37" t="str">
        <x:v>Remote Operations Mgt for NAR (FocalPoint)</x:v>
      </x:c>
      <x:c r="C192" s="36" t="str">
        <x:v>BU Led</x:v>
      </x:c>
      <x:c r="D192" s="36" t="str">
        <x:v>Monitoring - HPM (MCH)</x:v>
      </x:c>
      <x:c r="E192" s="36" t="str">
        <x:v>1002588</x:v>
      </x:c>
      <x:c r="F192" s="36" t="str">
        <x:v>New Technology</x:v>
      </x:c>
      <x:c r="G192" s="36" t="str">
        <x:v>Revenue Increase</x:v>
      </x:c>
      <x:c r="H192" s="36" t="str">
        <x:v>Must Do</x:v>
      </x:c>
      <x:c r="I192" s="36" t="str">
        <x:v>Carry Over</x:v>
      </x:c>
      <x:c r="J192" s="38" t="n">
        <x:v>1.17</x:v>
      </x:c>
      <x:c r="K192" s="38"/>
      <x:c r="L192" s="38"/>
      <x:c r="M192" s="38"/>
      <x:c r="N192" s="38"/>
      <x:c r="O192" s="38"/>
      <x:c r="P192" s="37" t="str"/>
      <x:c r="Q192" s="37" t="str">
        <x:v>Revenue</x:v>
      </x:c>
      <x:c r="R192" s="37" t="str">
        <x:v>Carry Over stops</x:v>
      </x:c>
      <x:c r="S192" s="37" t="str"/>
      <x:c r="T192" s="37" t="str"/>
      <x:c r="U192" s="37" t="str"/>
      <x:c r="V192" s="36" t="str"/>
      <x:c r="W192" s="36" t="str"/>
      <x:c r="X192" s="36"/>
      <x:c r="Y192" s="36" t="str">
        <x:v>NotAssessed</x:v>
      </x:c>
      <x:c r="Z192" s="36" t="str"/>
      <x:c r="AA192" s="36" t="str"/>
      <x:c r="AB192" s="36"/>
      <x:c r="AC192" s="36"/>
      <x:c r="AD192" s="36" t="str"/>
      <x:c r="AE192" s="36" t="str"/>
      <x:c r="AF192" s="36" t="str">
        <x:v>Name and organisation matched</x:v>
      </x:c>
      <x:c r="AG192" s="36" t="str">
        <x:v>Common pot</x:v>
      </x:c>
      <x:c r="AH192" s="36" t="str">
        <x:v>BU Demand!row 491</x:v>
      </x:c>
      <x:c r="AI192" s="36" t="str">
        <x:v>NewTech</x:v>
      </x:c>
      <x:c r="AJ192" s="36" t="str">
        <x:v>Revenue</x:v>
      </x:c>
      <x:c r="AK192" s="36" t="str">
        <x:v>Must Do</x:v>
      </x:c>
      <x:c r="AL192" s="36" t="n">
        <x:v>0</x:v>
      </x:c>
      <x:c r="AM192" s="36" t="n">
        <x:v>0</x:v>
      </x:c>
      <x:c r="AN192" s="43"/>
      <x:c r="AO192" s="43"/>
      <x:c r="AP192" s="43"/>
    </x:row>
    <x:row r="193" ht="15" hidden="0" customHeight="1">
      <x:c r="A193" s="36" t="str">
        <x:v>Bu-198</x:v>
      </x:c>
      <x:c r="B193" s="37" t="str">
        <x:v>HSPMP - enable support flow for cloud platform</x:v>
      </x:c>
      <x:c r="C193" s="36" t="str">
        <x:v>BU Led</x:v>
      </x:c>
      <x:c r="D193" s="36" t="str">
        <x:v>Monitoring - HPM (MCH)</x:v>
      </x:c>
      <x:c r="E193" s="36" t="str">
        <x:v>1007360</x:v>
      </x:c>
      <x:c r="F193" s="36" t="str">
        <x:v>New Technology</x:v>
      </x:c>
      <x:c r="G193" s="36" t="str">
        <x:v>Revenue Increase</x:v>
      </x:c>
      <x:c r="H193" s="36" t="str">
        <x:v>Must Do</x:v>
      </x:c>
      <x:c r="I193" s="36" t="str">
        <x:v>Carry Over</x:v>
      </x:c>
      <x:c r="J193" s="38" t="n">
        <x:v>0.36</x:v>
      </x:c>
      <x:c r="K193" s="38"/>
      <x:c r="L193" s="38"/>
      <x:c r="M193" s="38"/>
      <x:c r="N193" s="38"/>
      <x:c r="O193" s="38"/>
      <x:c r="P193" s="37" t="str"/>
      <x:c r="Q193" s="37" t="str">
        <x:v>Revenue</x:v>
      </x:c>
      <x:c r="R193" s="37" t="str">
        <x:v>Carry Over stops</x:v>
      </x:c>
      <x:c r="S193" s="37" t="str"/>
      <x:c r="T193" s="37" t="str"/>
      <x:c r="U193" s="37" t="str"/>
      <x:c r="V193" s="36" t="str"/>
      <x:c r="W193" s="36" t="str"/>
      <x:c r="X193" s="36"/>
      <x:c r="Y193" s="36" t="str">
        <x:v>NotAssessed</x:v>
      </x:c>
      <x:c r="Z193" s="36" t="str"/>
      <x:c r="AA193" s="36" t="str"/>
      <x:c r="AB193" s="36"/>
      <x:c r="AC193" s="36"/>
      <x:c r="AD193" s="36" t="str"/>
      <x:c r="AE193" s="36" t="str"/>
      <x:c r="AF193" s="36" t="str">
        <x:v>Name and organisation matched</x:v>
      </x:c>
      <x:c r="AG193" s="36" t="str">
        <x:v>Common pot</x:v>
      </x:c>
      <x:c r="AH193" s="36" t="str">
        <x:v>BU Demand!row 492</x:v>
      </x:c>
      <x:c r="AI193" s="36" t="str">
        <x:v>NewTech</x:v>
      </x:c>
      <x:c r="AJ193" s="36" t="str">
        <x:v>Revenue</x:v>
      </x:c>
      <x:c r="AK193" s="36" t="str">
        <x:v>Must Do</x:v>
      </x:c>
      <x:c r="AL193" s="36" t="n">
        <x:v>0</x:v>
      </x:c>
      <x:c r="AM193" s="36" t="n">
        <x:v>0</x:v>
      </x:c>
      <x:c r="AN193" s="43"/>
      <x:c r="AO193" s="43"/>
      <x:c r="AP193" s="43"/>
    </x:row>
    <x:row r="194" ht="15" hidden="0" customHeight="1">
      <x:c r="A194" s="36" t="str">
        <x:v>Bu-199</x:v>
      </x:c>
      <x:c r="B194" s="37" t="str">
        <x:v>Timber and dual manufacturing (NAM footprint)</x:v>
      </x:c>
      <x:c r="C194" s="36" t="str">
        <x:v>BU Led</x:v>
      </x:c>
      <x:c r="D194" s="36" t="str">
        <x:v>Monitoring - HPM (MCH)</x:v>
      </x:c>
      <x:c r="E194" s="36" t="str">
        <x:v>1006412</x:v>
      </x:c>
      <x:c r="F194" s="36" t="str">
        <x:v>New Technology</x:v>
      </x:c>
      <x:c r="G194" s="36" t="str">
        <x:v>Productivity savings</x:v>
      </x:c>
      <x:c r="H194" s="36" t="str">
        <x:v>Must Do</x:v>
      </x:c>
      <x:c r="I194" s="36" t="str">
        <x:v>Carry Over</x:v>
      </x:c>
      <x:c r="J194" s="38" t="n">
        <x:v>0.8</x:v>
      </x:c>
      <x:c r="K194" s="38"/>
      <x:c r="L194" s="38"/>
      <x:c r="M194" s="38"/>
      <x:c r="N194" s="38"/>
      <x:c r="O194" s="38"/>
      <x:c r="P194" s="37" t="str"/>
      <x:c r="Q194" s="37" t="str">
        <x:v>Cash savings</x:v>
      </x:c>
      <x:c r="R194" s="37" t="str">
        <x:v>Carry Over stops</x:v>
      </x:c>
      <x:c r="S194" s="37" t="str"/>
      <x:c r="T194" s="37" t="str"/>
      <x:c r="U194" s="37" t="str"/>
      <x:c r="V194" s="36" t="str"/>
      <x:c r="W194" s="36" t="str"/>
      <x:c r="X194" s="36" t="n">
        <x:v>1.45</x:v>
      </x:c>
      <x:c r="Y194" s="36" t="str">
        <x:v>HEALTHY</x:v>
      </x:c>
      <x:c r="Z194" s="36" t="str"/>
      <x:c r="AA194" s="36" t="str"/>
      <x:c r="AB194" s="36"/>
      <x:c r="AC194" s="36"/>
      <x:c r="AD194" s="36" t="str"/>
      <x:c r="AE194" s="36" t="str">
        <x:v>HEALTHY — Rank in priority matrix</x:v>
      </x:c>
      <x:c r="AF194" s="36" t="str">
        <x:v>Name and organisation matched</x:v>
      </x:c>
      <x:c r="AG194" s="36" t="str">
        <x:v>Common pot</x:v>
      </x:c>
      <x:c r="AH194" s="36" t="str">
        <x:v>BU Demand!row 493</x:v>
      </x:c>
      <x:c r="AI194" s="36" t="str">
        <x:v>NewTech</x:v>
      </x:c>
      <x:c r="AJ194" s="36" t="str">
        <x:v>Productivity</x:v>
      </x:c>
      <x:c r="AK194" s="36" t="str">
        <x:v>Must Do</x:v>
      </x:c>
      <x:c r="AL194" s="36" t="n">
        <x:v>0</x:v>
      </x:c>
      <x:c r="AM194" s="36" t="n">
        <x:v>0</x:v>
      </x:c>
      <x:c r="AN194" s="43"/>
      <x:c r="AO194" s="43"/>
      <x:c r="AP194" s="43"/>
    </x:row>
    <x:row r="195" ht="15" hidden="0" customHeight="1">
      <x:c r="A195" s="36" t="str">
        <x:v>Bu-200</x:v>
      </x:c>
      <x:c r="B195" s="37" t="str">
        <x:v>Indonesia L4L</x:v>
      </x:c>
      <x:c r="C195" s="36" t="str">
        <x:v>BU Led</x:v>
      </x:c>
      <x:c r="D195" s="36" t="str">
        <x:v>Monitoring - HPM (MCH)</x:v>
      </x:c>
      <x:c r="E195" s="36" t="str">
        <x:v>1007085</x:v>
      </x:c>
      <x:c r="F195" s="36" t="str">
        <x:v>New Technology</x:v>
      </x:c>
      <x:c r="G195" s="36" t="str">
        <x:v>Productivity savings</x:v>
      </x:c>
      <x:c r="H195" s="36" t="str">
        <x:v>Deprioritised</x:v>
      </x:c>
      <x:c r="I195" s="36" t="str">
        <x:v>Carry Over</x:v>
      </x:c>
      <x:c r="J195" s="38" t="n">
        <x:v>0</x:v>
      </x:c>
      <x:c r="K195" s="38"/>
      <x:c r="L195" s="38"/>
      <x:c r="M195" s="38"/>
      <x:c r="N195" s="38"/>
      <x:c r="O195" s="38"/>
      <x:c r="P195" s="37" t="str"/>
      <x:c r="Q195" s="37" t="str">
        <x:v>Cash savings</x:v>
      </x:c>
      <x:c r="R195" s="37" t="str">
        <x:v>Carry Over stops</x:v>
      </x:c>
      <x:c r="S195" s="37" t="str"/>
      <x:c r="T195" s="37" t="str"/>
      <x:c r="U195" s="37" t="str"/>
      <x:c r="V195" s="36" t="str"/>
      <x:c r="W195" s="36" t="str"/>
      <x:c r="X195" s="36"/>
      <x:c r="Y195" s="36" t="str">
        <x:v>NotAssessed</x:v>
      </x:c>
      <x:c r="Z195" s="36" t="str"/>
      <x:c r="AA195" s="36" t="str"/>
      <x:c r="AB195" s="36"/>
      <x:c r="AC195" s="36"/>
      <x:c r="AD195" s="36" t="str"/>
      <x:c r="AE195" s="36" t="str"/>
      <x:c r="AF195" s="36" t="str">
        <x:v>Name and organisation matched</x:v>
      </x:c>
      <x:c r="AG195" s="36" t="str">
        <x:v>Common pot</x:v>
      </x:c>
      <x:c r="AH195" s="36" t="str">
        <x:v>BU Demand!row 494</x:v>
      </x:c>
      <x:c r="AI195" s="36" t="str">
        <x:v>NewTech</x:v>
      </x:c>
      <x:c r="AJ195" s="36" t="str">
        <x:v>Productivity</x:v>
      </x:c>
      <x:c r="AK195" s="36" t="str">
        <x:v>Depri</x:v>
      </x:c>
      <x:c r="AL195" s="36" t="n">
        <x:v>0</x:v>
      </x:c>
      <x:c r="AM195" s="36" t="n">
        <x:v>0</x:v>
      </x:c>
      <x:c r="AN195" s="43"/>
      <x:c r="AO195" s="43"/>
      <x:c r="AP195" s="43"/>
    </x:row>
    <x:row r="196" ht="15" hidden="0" customHeight="1">
      <x:c r="A196" s="36" t="str">
        <x:v>Bu-201</x:v>
      </x:c>
      <x:c r="B196" s="37" t="str">
        <x:v>HPM - Continuous Improvement - MKT</x:v>
      </x:c>
      <x:c r="C196" s="36" t="str">
        <x:v>BU Led</x:v>
      </x:c>
      <x:c r="D196" s="36" t="str">
        <x:v>Monitoring - HPM (MCH)</x:v>
      </x:c>
      <x:c r="E196" s="36" t="str">
        <x:v>1007398</x:v>
      </x:c>
      <x:c r="F196" s="36" t="str">
        <x:v>Continous Improvement</x:v>
      </x:c>
      <x:c r="G196" s="36" t="str">
        <x:v>Compliance/Keeping the lights on</x:v>
      </x:c>
      <x:c r="H196" s="36" t="str">
        <x:v>Must Do</x:v>
      </x:c>
      <x:c r="I196" s="36" t="str">
        <x:v>Carry Over</x:v>
      </x:c>
      <x:c r="J196" s="38" t="n">
        <x:v>0.2</x:v>
      </x:c>
      <x:c r="K196" s="38"/>
      <x:c r="L196" s="38"/>
      <x:c r="M196" s="38"/>
      <x:c r="N196" s="38"/>
      <x:c r="O196" s="38"/>
      <x:c r="P196" s="37" t="str"/>
      <x:c r="Q196" s="37" t="str">
        <x:v>Risk exposure</x:v>
      </x:c>
      <x:c r="R196" s="37" t="str">
        <x:v>Carry Over stops</x:v>
      </x:c>
      <x:c r="S196" s="37" t="str"/>
      <x:c r="T196" s="37" t="str"/>
      <x:c r="U196" s="37" t="str"/>
      <x:c r="V196" s="36" t="str"/>
      <x:c r="W196" s="36" t="str"/>
      <x:c r="X196" s="36"/>
      <x:c r="Y196" s="36" t="str">
        <x:v>NotAssessed</x:v>
      </x:c>
      <x:c r="Z196" s="36" t="str"/>
      <x:c r="AA196" s="36" t="str"/>
      <x:c r="AB196" s="36"/>
      <x:c r="AC196" s="36"/>
      <x:c r="AD196" s="36" t="str"/>
      <x:c r="AE196" s="36" t="str"/>
      <x:c r="AF196" s="36" t="str">
        <x:v>Name and organisation matched</x:v>
      </x:c>
      <x:c r="AG196" s="36" t="str">
        <x:v>Common pot</x:v>
      </x:c>
      <x:c r="AH196" s="36" t="str">
        <x:v>BU Demand!row 495</x:v>
      </x:c>
      <x:c r="AI196" s="36" t="str">
        <x:v>CI</x:v>
      </x:c>
      <x:c r="AJ196" s="36" t="str">
        <x:v>Compliance</x:v>
      </x:c>
      <x:c r="AK196" s="36" t="str">
        <x:v>Must Do</x:v>
      </x:c>
      <x:c r="AL196" s="36" t="n">
        <x:v>0</x:v>
      </x:c>
      <x:c r="AM196" s="36" t="n">
        <x:v>0</x:v>
      </x:c>
      <x:c r="AN196" s="43"/>
      <x:c r="AO196" s="43"/>
      <x:c r="AP196" s="43"/>
    </x:row>
    <x:row r="197" ht="15" hidden="0" customHeight="1">
      <x:c r="A197" s="36" t="str">
        <x:v>Bu-202</x:v>
      </x:c>
      <x:c r="B197" s="37" t="str">
        <x:v>HPM - Continuous Improvement - ISC</x:v>
      </x:c>
      <x:c r="C197" s="36" t="str">
        <x:v>BU Led</x:v>
      </x:c>
      <x:c r="D197" s="36" t="str">
        <x:v>Monitoring - HPM (MCH)</x:v>
      </x:c>
      <x:c r="E197" s="36" t="str">
        <x:v>1007399</x:v>
      </x:c>
      <x:c r="F197" s="36" t="str">
        <x:v>Continous Improvement</x:v>
      </x:c>
      <x:c r="G197" s="36" t="str">
        <x:v>Compliance/Keeping the lights on</x:v>
      </x:c>
      <x:c r="H197" s="36" t="str">
        <x:v>Must Do</x:v>
      </x:c>
      <x:c r="I197" s="36" t="str">
        <x:v>Carry Over</x:v>
      </x:c>
      <x:c r="J197" s="38" t="n">
        <x:v>0.3</x:v>
      </x:c>
      <x:c r="K197" s="38"/>
      <x:c r="L197" s="38"/>
      <x:c r="M197" s="38"/>
      <x:c r="N197" s="38"/>
      <x:c r="O197" s="38"/>
      <x:c r="P197" s="37" t="str"/>
      <x:c r="Q197" s="37" t="str">
        <x:v>Risk exposure</x:v>
      </x:c>
      <x:c r="R197" s="37" t="str">
        <x:v>Carry Over stops</x:v>
      </x:c>
      <x:c r="S197" s="37" t="str"/>
      <x:c r="T197" s="37" t="str"/>
      <x:c r="U197" s="37" t="str"/>
      <x:c r="V197" s="36" t="str"/>
      <x:c r="W197" s="36" t="str"/>
      <x:c r="X197" s="36"/>
      <x:c r="Y197" s="36" t="str">
        <x:v>NotAssessed</x:v>
      </x:c>
      <x:c r="Z197" s="36" t="str"/>
      <x:c r="AA197" s="36" t="str"/>
      <x:c r="AB197" s="36"/>
      <x:c r="AC197" s="36"/>
      <x:c r="AD197" s="36" t="str"/>
      <x:c r="AE197" s="36" t="str"/>
      <x:c r="AF197" s="36" t="str">
        <x:v>Name and organisation matched</x:v>
      </x:c>
      <x:c r="AG197" s="36" t="str">
        <x:v>Common pot</x:v>
      </x:c>
      <x:c r="AH197" s="36" t="str">
        <x:v>BU Demand!row 496</x:v>
      </x:c>
      <x:c r="AI197" s="36" t="str">
        <x:v>CI</x:v>
      </x:c>
      <x:c r="AJ197" s="36" t="str">
        <x:v>Compliance</x:v>
      </x:c>
      <x:c r="AK197" s="36" t="str">
        <x:v>Must Do</x:v>
      </x:c>
      <x:c r="AL197" s="36" t="n">
        <x:v>0</x:v>
      </x:c>
      <x:c r="AM197" s="36" t="n">
        <x:v>0</x:v>
      </x:c>
      <x:c r="AN197" s="43"/>
      <x:c r="AO197" s="43"/>
      <x:c r="AP197" s="43"/>
    </x:row>
    <x:row r="198" ht="15" hidden="0" customHeight="1">
      <x:c r="A198" s="36" t="str">
        <x:v>Bu-203</x:v>
      </x:c>
      <x:c r="B198" s="37" t="str">
        <x:v>HPM - Continuous Improvement - SVC</x:v>
      </x:c>
      <x:c r="C198" s="36" t="str">
        <x:v>BU Led</x:v>
      </x:c>
      <x:c r="D198" s="36" t="str">
        <x:v>Monitoring - HPM (MCH)</x:v>
      </x:c>
      <x:c r="E198" s="36" t="str">
        <x:v>1007372</x:v>
      </x:c>
      <x:c r="F198" s="36" t="str">
        <x:v>Continous Improvement</x:v>
      </x:c>
      <x:c r="G198" s="36" t="str">
        <x:v>Compliance/Keeping the lights on</x:v>
      </x:c>
      <x:c r="H198" s="36" t="str">
        <x:v>Must Do</x:v>
      </x:c>
      <x:c r="I198" s="36" t="str">
        <x:v>Carry Over</x:v>
      </x:c>
      <x:c r="J198" s="38" t="n">
        <x:v>0.2</x:v>
      </x:c>
      <x:c r="K198" s="38"/>
      <x:c r="L198" s="38"/>
      <x:c r="M198" s="38"/>
      <x:c r="N198" s="38"/>
      <x:c r="O198" s="38"/>
      <x:c r="P198" s="37" t="str"/>
      <x:c r="Q198" s="37" t="str">
        <x:v>Risk exposure</x:v>
      </x:c>
      <x:c r="R198" s="37" t="str">
        <x:v>Carry Over stops</x:v>
      </x:c>
      <x:c r="S198" s="37" t="str"/>
      <x:c r="T198" s="37" t="str"/>
      <x:c r="U198" s="37" t="str"/>
      <x:c r="V198" s="36" t="str"/>
      <x:c r="W198" s="36" t="str"/>
      <x:c r="X198" s="36"/>
      <x:c r="Y198" s="36" t="str">
        <x:v>NotAssessed</x:v>
      </x:c>
      <x:c r="Z198" s="36" t="str"/>
      <x:c r="AA198" s="36" t="str"/>
      <x:c r="AB198" s="36"/>
      <x:c r="AC198" s="36"/>
      <x:c r="AD198" s="36" t="str"/>
      <x:c r="AE198" s="36" t="str"/>
      <x:c r="AF198" s="36" t="str">
        <x:v>Name and organisation matched</x:v>
      </x:c>
      <x:c r="AG198" s="36" t="str">
        <x:v>Common pot</x:v>
      </x:c>
      <x:c r="AH198" s="36" t="str">
        <x:v>BU Demand!row 497</x:v>
      </x:c>
      <x:c r="AI198" s="36" t="str">
        <x:v>CI</x:v>
      </x:c>
      <x:c r="AJ198" s="36" t="str">
        <x:v>Compliance</x:v>
      </x:c>
      <x:c r="AK198" s="36" t="str">
        <x:v>Must Do</x:v>
      </x:c>
      <x:c r="AL198" s="36" t="n">
        <x:v>0</x:v>
      </x:c>
      <x:c r="AM198" s="36" t="n">
        <x:v>0</x:v>
      </x:c>
      <x:c r="AN198" s="43"/>
      <x:c r="AO198" s="43"/>
      <x:c r="AP198" s="43"/>
    </x:row>
    <x:row r="199" ht="15" hidden="0" customHeight="1">
      <x:c r="A199" s="36" t="str">
        <x:v>Bu-204</x:v>
      </x:c>
      <x:c r="B199" s="37" t="str">
        <x:v>HPM - Continuous Improvement -REG</x:v>
      </x:c>
      <x:c r="C199" s="36" t="str">
        <x:v>BU Led</x:v>
      </x:c>
      <x:c r="D199" s="36" t="str">
        <x:v>Monitoring - HPM (MCH)</x:v>
      </x:c>
      <x:c r="E199" s="36" t="str">
        <x:v>1007425</x:v>
      </x:c>
      <x:c r="F199" s="36" t="str">
        <x:v>Continous Improvement</x:v>
      </x:c>
      <x:c r="G199" s="36" t="str">
        <x:v>Compliance/Keeping the lights on</x:v>
      </x:c>
      <x:c r="H199" s="36" t="str">
        <x:v>Must Do</x:v>
      </x:c>
      <x:c r="I199" s="36" t="str">
        <x:v>Carry Over</x:v>
      </x:c>
      <x:c r="J199" s="38" t="n">
        <x:v>0.05</x:v>
      </x:c>
      <x:c r="K199" s="38"/>
      <x:c r="L199" s="38"/>
      <x:c r="M199" s="38"/>
      <x:c r="N199" s="38"/>
      <x:c r="O199" s="38"/>
      <x:c r="P199" s="37" t="str"/>
      <x:c r="Q199" s="37" t="str">
        <x:v>Risk exposure</x:v>
      </x:c>
      <x:c r="R199" s="37" t="str">
        <x:v>Carry Over stops</x:v>
      </x:c>
      <x:c r="S199" s="37" t="str"/>
      <x:c r="T199" s="37" t="str"/>
      <x:c r="U199" s="37" t="str"/>
      <x:c r="V199" s="36" t="str"/>
      <x:c r="W199" s="36" t="str"/>
      <x:c r="X199" s="36"/>
      <x:c r="Y199" s="36" t="str">
        <x:v>NotAssessed</x:v>
      </x:c>
      <x:c r="Z199" s="36" t="str"/>
      <x:c r="AA199" s="36" t="str"/>
      <x:c r="AB199" s="36"/>
      <x:c r="AC199" s="36"/>
      <x:c r="AD199" s="36" t="str"/>
      <x:c r="AE199" s="36" t="str"/>
      <x:c r="AF199" s="36" t="str">
        <x:v>Name and organisation matched</x:v>
      </x:c>
      <x:c r="AG199" s="36" t="str">
        <x:v>Common pot</x:v>
      </x:c>
      <x:c r="AH199" s="36" t="str">
        <x:v>BU Demand!row 498</x:v>
      </x:c>
      <x:c r="AI199" s="36" t="str">
        <x:v>CI</x:v>
      </x:c>
      <x:c r="AJ199" s="36" t="str">
        <x:v>Compliance</x:v>
      </x:c>
      <x:c r="AK199" s="36" t="str">
        <x:v>Must Do</x:v>
      </x:c>
      <x:c r="AL199" s="36" t="n">
        <x:v>0</x:v>
      </x:c>
      <x:c r="AM199" s="36" t="n">
        <x:v>0</x:v>
      </x:c>
      <x:c r="AN199" s="43"/>
      <x:c r="AO199" s="43"/>
      <x:c r="AP199" s="43"/>
    </x:row>
    <x:row r="200" ht="15" hidden="0" customHeight="1">
      <x:c r="A200" s="36" t="str">
        <x:v>Bu-205</x:v>
      </x:c>
      <x:c r="B200" s="37" t="str">
        <x:v>HPM - Continuous Improvement -OTH</x:v>
      </x:c>
      <x:c r="C200" s="36" t="str">
        <x:v>BU Led</x:v>
      </x:c>
      <x:c r="D200" s="36" t="str">
        <x:v>Monitoring - HPM (MCH)</x:v>
      </x:c>
      <x:c r="E200" s="36" t="str">
        <x:v>1005605</x:v>
      </x:c>
      <x:c r="F200" s="36" t="str">
        <x:v>Continous Improvement</x:v>
      </x:c>
      <x:c r="G200" s="36" t="str">
        <x:v>Compliance/Keeping the lights on</x:v>
      </x:c>
      <x:c r="H200" s="36" t="str">
        <x:v>Must Do</x:v>
      </x:c>
      <x:c r="I200" s="36" t="str">
        <x:v>Carry Over</x:v>
      </x:c>
      <x:c r="J200" s="38" t="n">
        <x:v>0.05</x:v>
      </x:c>
      <x:c r="K200" s="38"/>
      <x:c r="L200" s="38"/>
      <x:c r="M200" s="38"/>
      <x:c r="N200" s="38"/>
      <x:c r="O200" s="38"/>
      <x:c r="P200" s="37" t="str"/>
      <x:c r="Q200" s="37" t="str">
        <x:v>Risk exposure</x:v>
      </x:c>
      <x:c r="R200" s="37" t="str">
        <x:v>Carry Over stops</x:v>
      </x:c>
      <x:c r="S200" s="37" t="str"/>
      <x:c r="T200" s="37" t="str"/>
      <x:c r="U200" s="37" t="str"/>
      <x:c r="V200" s="36" t="str"/>
      <x:c r="W200" s="36" t="str"/>
      <x:c r="X200" s="36"/>
      <x:c r="Y200" s="36" t="str">
        <x:v>NotAssessed</x:v>
      </x:c>
      <x:c r="Z200" s="36" t="str"/>
      <x:c r="AA200" s="36" t="str"/>
      <x:c r="AB200" s="36"/>
      <x:c r="AC200" s="36"/>
      <x:c r="AD200" s="36" t="str"/>
      <x:c r="AE200" s="36" t="str"/>
      <x:c r="AF200" s="36" t="str">
        <x:v>Name and organisation matched</x:v>
      </x:c>
      <x:c r="AG200" s="36" t="str">
        <x:v>Common pot</x:v>
      </x:c>
      <x:c r="AH200" s="36" t="str">
        <x:v>BU Demand!row 499</x:v>
      </x:c>
      <x:c r="AI200" s="36" t="str">
        <x:v>CI</x:v>
      </x:c>
      <x:c r="AJ200" s="36" t="str">
        <x:v>Compliance</x:v>
      </x:c>
      <x:c r="AK200" s="36" t="str">
        <x:v>Must Do</x:v>
      </x:c>
      <x:c r="AL200" s="36" t="n">
        <x:v>0</x:v>
      </x:c>
      <x:c r="AM200" s="36" t="n">
        <x:v>0</x:v>
      </x:c>
      <x:c r="AN200" s="43"/>
      <x:c r="AO200" s="43"/>
      <x:c r="AP200" s="43"/>
    </x:row>
    <x:row r="201" ht="15" hidden="0" customHeight="1">
      <x:c r="A201" s="36" t="str">
        <x:v>Bu-206</x:v>
      </x:c>
      <x:c r="B201" s="37" t="str">
        <x:v>Manufacturing efficiency – I-care improvements</x:v>
      </x:c>
      <x:c r="C201" s="36" t="str">
        <x:v>BU Led</x:v>
      </x:c>
      <x:c r="D201" s="36" t="str">
        <x:v>Monitoring - HPM (MCH)</x:v>
      </x:c>
      <x:c r="E201" s="36" t="str">
        <x:v>1004805</x:v>
      </x:c>
      <x:c r="F201" s="36" t="str">
        <x:v>New Feature</x:v>
      </x:c>
      <x:c r="G201" s="36" t="str">
        <x:v>Productivity savings</x:v>
      </x:c>
      <x:c r="H201" s="36" t="str">
        <x:v>Deprioritised</x:v>
      </x:c>
      <x:c r="I201" s="36" t="str">
        <x:v>Carry Over</x:v>
      </x:c>
      <x:c r="J201" s="38" t="n">
        <x:v>0</x:v>
      </x:c>
      <x:c r="K201" s="38"/>
      <x:c r="L201" s="38"/>
      <x:c r="M201" s="38"/>
      <x:c r="N201" s="38"/>
      <x:c r="O201" s="38"/>
      <x:c r="P201" s="37" t="str"/>
      <x:c r="Q201" s="37" t="str">
        <x:v>Cash savings</x:v>
      </x:c>
      <x:c r="R201" s="37" t="str">
        <x:v>Carry Over stops</x:v>
      </x:c>
      <x:c r="S201" s="37" t="str"/>
      <x:c r="T201" s="37" t="str"/>
      <x:c r="U201" s="37" t="str"/>
      <x:c r="V201" s="36" t="str"/>
      <x:c r="W201" s="36" t="str"/>
      <x:c r="X201" s="36"/>
      <x:c r="Y201" s="36" t="str">
        <x:v>NotAssessed</x:v>
      </x:c>
      <x:c r="Z201" s="36" t="str"/>
      <x:c r="AA201" s="36" t="str"/>
      <x:c r="AB201" s="36"/>
      <x:c r="AC201" s="36"/>
      <x:c r="AD201" s="36" t="str"/>
      <x:c r="AE201" s="36" t="str"/>
      <x:c r="AF201" s="36" t="str">
        <x:v>Name and organisation matched</x:v>
      </x:c>
      <x:c r="AG201" s="36" t="str">
        <x:v>Common pot</x:v>
      </x:c>
      <x:c r="AH201" s="36" t="str">
        <x:v>BU Demand!row 500</x:v>
      </x:c>
      <x:c r="AI201" s="36" t="str">
        <x:v>NewFeat</x:v>
      </x:c>
      <x:c r="AJ201" s="36" t="str">
        <x:v>Productivity</x:v>
      </x:c>
      <x:c r="AK201" s="36" t="str">
        <x:v>Depri</x:v>
      </x:c>
      <x:c r="AL201" s="36" t="n">
        <x:v>0</x:v>
      </x:c>
      <x:c r="AM201" s="36" t="n">
        <x:v>0</x:v>
      </x:c>
      <x:c r="AN201" s="43"/>
      <x:c r="AO201" s="43"/>
      <x:c r="AP201" s="43"/>
    </x:row>
    <x:row r="202" ht="15" hidden="0" customHeight="1">
      <x:c r="A202" s="36" t="str">
        <x:v>Bu-207</x:v>
      </x:c>
      <x:c r="B202" s="37" t="str">
        <x:v>Fidelity (Fulcrum/RDC NAM/RDC EU/FF)</x:v>
      </x:c>
      <x:c r="C202" s="36" t="str">
        <x:v>BU Led</x:v>
      </x:c>
      <x:c r="D202" s="36" t="str">
        <x:v>Monitoring - HPM (MCH)</x:v>
      </x:c>
      <x:c r="E202" s="36" t="str">
        <x:v>1004799</x:v>
      </x:c>
      <x:c r="F202" s="36" t="str">
        <x:v>New Feature</x:v>
      </x:c>
      <x:c r="G202" s="36" t="str">
        <x:v>Productivity savings</x:v>
      </x:c>
      <x:c r="H202" s="36" t="str">
        <x:v>Must Do</x:v>
      </x:c>
      <x:c r="I202" s="36" t="str">
        <x:v>Carry Over</x:v>
      </x:c>
      <x:c r="J202" s="38" t="n">
        <x:v>1</x:v>
      </x:c>
      <x:c r="K202" s="38"/>
      <x:c r="L202" s="38"/>
      <x:c r="M202" s="38"/>
      <x:c r="N202" s="38"/>
      <x:c r="O202" s="38"/>
      <x:c r="P202" s="37" t="str"/>
      <x:c r="Q202" s="37" t="str">
        <x:v>Cash savings</x:v>
      </x:c>
      <x:c r="R202" s="37" t="str">
        <x:v>Carry Over stops</x:v>
      </x:c>
      <x:c r="S202" s="37" t="str"/>
      <x:c r="T202" s="37" t="str"/>
      <x:c r="U202" s="37" t="str"/>
      <x:c r="V202" s="36" t="str"/>
      <x:c r="W202" s="36" t="str"/>
      <x:c r="X202" s="36"/>
      <x:c r="Y202" s="36" t="str">
        <x:v>NotAssessed</x:v>
      </x:c>
      <x:c r="Z202" s="36" t="str"/>
      <x:c r="AA202" s="36" t="str"/>
      <x:c r="AB202" s="36"/>
      <x:c r="AC202" s="36"/>
      <x:c r="AD202" s="36" t="str"/>
      <x:c r="AE202" s="36" t="str"/>
      <x:c r="AF202" s="36" t="str">
        <x:v>Name and organisation matched</x:v>
      </x:c>
      <x:c r="AG202" s="36" t="str">
        <x:v>Common pot</x:v>
      </x:c>
      <x:c r="AH202" s="36" t="str">
        <x:v>BU Demand!row 501</x:v>
      </x:c>
      <x:c r="AI202" s="36" t="str">
        <x:v>NewFeat</x:v>
      </x:c>
      <x:c r="AJ202" s="36" t="str">
        <x:v>Productivity</x:v>
      </x:c>
      <x:c r="AK202" s="36" t="str">
        <x:v>Must Do</x:v>
      </x:c>
      <x:c r="AL202" s="36" t="n">
        <x:v>0</x:v>
      </x:c>
      <x:c r="AM202" s="36" t="n">
        <x:v>0</x:v>
      </x:c>
      <x:c r="AN202" s="43"/>
      <x:c r="AO202" s="43"/>
      <x:c r="AP202" s="43"/>
    </x:row>
    <x:row r="203" ht="15" hidden="0" customHeight="1">
      <x:c r="A203" s="36" t="str">
        <x:v>Bu-208</x:v>
      </x:c>
      <x:c r="B203" s="37" t="str">
        <x:v>DUPLICATE - IWD capabilities improvements and cost reductions</x:v>
      </x:c>
      <x:c r="C203" s="36" t="str">
        <x:v>BU Led</x:v>
      </x:c>
      <x:c r="D203" s="36" t="str">
        <x:v>Monitoring - HPM (MCH)</x:v>
      </x:c>
      <x:c r="E203" s="36" t="str">
        <x:v>1002304</x:v>
      </x:c>
      <x:c r="F203" s="36" t="str">
        <x:v>New Feature</x:v>
      </x:c>
      <x:c r="G203" s="36" t="str">
        <x:v>Productivity savings</x:v>
      </x:c>
      <x:c r="H203" s="36" t="str">
        <x:v>Deprioritised</x:v>
      </x:c>
      <x:c r="I203" s="36" t="str">
        <x:v>Carry Over</x:v>
      </x:c>
      <x:c r="J203" s="38" t="n">
        <x:v>0</x:v>
      </x:c>
      <x:c r="K203" s="38"/>
      <x:c r="L203" s="38"/>
      <x:c r="M203" s="38"/>
      <x:c r="N203" s="38"/>
      <x:c r="O203" s="38"/>
      <x:c r="P203" s="37" t="str"/>
      <x:c r="Q203" s="37" t="str">
        <x:v>Cash savings</x:v>
      </x:c>
      <x:c r="R203" s="37" t="str"/>
      <x:c r="S203" s="37" t="str"/>
      <x:c r="T203" s="37" t="str"/>
      <x:c r="U203" s="37" t="str"/>
      <x:c r="V203" s="36" t="str"/>
      <x:c r="W203" s="36" t="str"/>
      <x:c r="X203" s="36"/>
      <x:c r="Y203" s="36" t="str">
        <x:v>NotAssessed</x:v>
      </x:c>
      <x:c r="Z203" s="36" t="str"/>
      <x:c r="AA203" s="36" t="str"/>
      <x:c r="AB203" s="36"/>
      <x:c r="AC203" s="36"/>
      <x:c r="AD203" s="36" t="str"/>
      <x:c r="AE203" s="36" t="str"/>
      <x:c r="AF203" s="36" t="str">
        <x:v>No exact waste match</x:v>
      </x:c>
      <x:c r="AG203" s="36" t="str">
        <x:v>Common pot</x:v>
      </x:c>
      <x:c r="AH203" s="36" t="str">
        <x:v>BU Demand!row 502</x:v>
      </x:c>
      <x:c r="AI203" s="36" t="str">
        <x:v>NewFeat</x:v>
      </x:c>
      <x:c r="AJ203" s="36" t="str">
        <x:v>Productivity</x:v>
      </x:c>
      <x:c r="AK203" s="36" t="str">
        <x:v>Depri</x:v>
      </x:c>
      <x:c r="AL203" s="36" t="n">
        <x:v>0</x:v>
      </x:c>
      <x:c r="AM203" s="36" t="n">
        <x:v>0</x:v>
      </x:c>
      <x:c r="AN203" s="43"/>
      <x:c r="AO203" s="43"/>
      <x:c r="AP203" s="43"/>
    </x:row>
    <x:row r="204" ht="15" hidden="0" customHeight="1">
      <x:c r="A204" s="36" t="str">
        <x:v>Bu-209</x:v>
      </x:c>
      <x:c r="B204" s="37" t="str">
        <x:v>DUPLICATE - Circular Lifecycle Solutions and Spare parts delivery</x:v>
      </x:c>
      <x:c r="C204" s="36" t="str">
        <x:v>BU Led</x:v>
      </x:c>
      <x:c r="D204" s="36" t="str">
        <x:v>Monitoring - HPM (MCH)</x:v>
      </x:c>
      <x:c r="E204" s="36" t="str">
        <x:v>1002308</x:v>
      </x:c>
      <x:c r="F204" s="36" t="str">
        <x:v>New Feature</x:v>
      </x:c>
      <x:c r="G204" s="36" t="str">
        <x:v>Productivity savings</x:v>
      </x:c>
      <x:c r="H204" s="36" t="str">
        <x:v>Deprioritised</x:v>
      </x:c>
      <x:c r="I204" s="36" t="str">
        <x:v>Carry Over</x:v>
      </x:c>
      <x:c r="J204" s="38" t="n">
        <x:v>0</x:v>
      </x:c>
      <x:c r="K204" s="38"/>
      <x:c r="L204" s="38"/>
      <x:c r="M204" s="38"/>
      <x:c r="N204" s="38"/>
      <x:c r="O204" s="38"/>
      <x:c r="P204" s="37" t="str"/>
      <x:c r="Q204" s="37" t="str">
        <x:v>Cash savings</x:v>
      </x:c>
      <x:c r="R204" s="37" t="str"/>
      <x:c r="S204" s="37" t="str"/>
      <x:c r="T204" s="37" t="str"/>
      <x:c r="U204" s="37" t="str"/>
      <x:c r="V204" s="36" t="str"/>
      <x:c r="W204" s="36" t="str"/>
      <x:c r="X204" s="36"/>
      <x:c r="Y204" s="36" t="str">
        <x:v>NotAssessed</x:v>
      </x:c>
      <x:c r="Z204" s="36" t="str"/>
      <x:c r="AA204" s="36" t="str"/>
      <x:c r="AB204" s="36"/>
      <x:c r="AC204" s="36"/>
      <x:c r="AD204" s="36" t="str"/>
      <x:c r="AE204" s="36" t="str"/>
      <x:c r="AF204" s="36" t="str">
        <x:v>No exact waste match</x:v>
      </x:c>
      <x:c r="AG204" s="36" t="str">
        <x:v>Common pot</x:v>
      </x:c>
      <x:c r="AH204" s="36" t="str">
        <x:v>BU Demand!row 503</x:v>
      </x:c>
      <x:c r="AI204" s="36" t="str">
        <x:v>NewFeat</x:v>
      </x:c>
      <x:c r="AJ204" s="36" t="str">
        <x:v>Productivity</x:v>
      </x:c>
      <x:c r="AK204" s="36" t="str">
        <x:v>Depri</x:v>
      </x:c>
      <x:c r="AL204" s="36" t="n">
        <x:v>0</x:v>
      </x:c>
      <x:c r="AM204" s="36" t="n">
        <x:v>0</x:v>
      </x:c>
      <x:c r="AN204" s="43"/>
      <x:c r="AO204" s="43"/>
      <x:c r="AP204" s="43"/>
    </x:row>
    <x:row r="205" ht="15" hidden="0" customHeight="1">
      <x:c r="A205" s="36" t="str">
        <x:v>Bu-210</x:v>
      </x:c>
      <x:c r="B205" s="37" t="str">
        <x:v>DUPLICATE - NAR Contract Execution &amp; Compliance</x:v>
      </x:c>
      <x:c r="C205" s="36" t="str">
        <x:v>BU Led</x:v>
      </x:c>
      <x:c r="D205" s="36" t="str">
        <x:v>Monitoring - HPM (MCH)</x:v>
      </x:c>
      <x:c r="E205" s="36" t="str">
        <x:v>1004732</x:v>
      </x:c>
      <x:c r="F205" s="36" t="str">
        <x:v>New Feature</x:v>
      </x:c>
      <x:c r="G205" s="36" t="str">
        <x:v>Productivity savings</x:v>
      </x:c>
      <x:c r="H205" s="36" t="str">
        <x:v>Deprioritised</x:v>
      </x:c>
      <x:c r="I205" s="36" t="str">
        <x:v>Carry Over</x:v>
      </x:c>
      <x:c r="J205" s="38" t="n">
        <x:v>0</x:v>
      </x:c>
      <x:c r="K205" s="38"/>
      <x:c r="L205" s="38"/>
      <x:c r="M205" s="38"/>
      <x:c r="N205" s="38"/>
      <x:c r="O205" s="38"/>
      <x:c r="P205" s="37" t="str"/>
      <x:c r="Q205" s="37" t="str">
        <x:v>Cash savings</x:v>
      </x:c>
      <x:c r="R205" s="37" t="str"/>
      <x:c r="S205" s="37" t="str"/>
      <x:c r="T205" s="37" t="str"/>
      <x:c r="U205" s="37" t="str"/>
      <x:c r="V205" s="36" t="str"/>
      <x:c r="W205" s="36" t="str"/>
      <x:c r="X205" s="36"/>
      <x:c r="Y205" s="36" t="str">
        <x:v>NotAssessed</x:v>
      </x:c>
      <x:c r="Z205" s="36" t="str"/>
      <x:c r="AA205" s="36" t="str"/>
      <x:c r="AB205" s="36"/>
      <x:c r="AC205" s="36"/>
      <x:c r="AD205" s="36" t="str"/>
      <x:c r="AE205" s="36" t="str"/>
      <x:c r="AF205" s="36" t="str">
        <x:v>No exact waste match</x:v>
      </x:c>
      <x:c r="AG205" s="36" t="str">
        <x:v>Common pot</x:v>
      </x:c>
      <x:c r="AH205" s="36" t="str">
        <x:v>BU Demand!row 504</x:v>
      </x:c>
      <x:c r="AI205" s="36" t="str">
        <x:v>NewFeat</x:v>
      </x:c>
      <x:c r="AJ205" s="36" t="str">
        <x:v>Productivity</x:v>
      </x:c>
      <x:c r="AK205" s="36" t="str">
        <x:v>Depri</x:v>
      </x:c>
      <x:c r="AL205" s="36" t="n">
        <x:v>0</x:v>
      </x:c>
      <x:c r="AM205" s="36" t="n">
        <x:v>0</x:v>
      </x:c>
      <x:c r="AN205" s="43"/>
      <x:c r="AO205" s="43"/>
      <x:c r="AP205" s="43"/>
    </x:row>
    <x:row r="206" ht="15" hidden="0" customHeight="1">
      <x:c r="A206" s="36" t="str">
        <x:v>Bu-211</x:v>
      </x:c>
      <x:c r="B206" s="37" t="str">
        <x:v>GBS Collaboration - Order Orchestration (Appian)</x:v>
      </x:c>
      <x:c r="C206" s="36" t="str">
        <x:v>BU Led</x:v>
      </x:c>
      <x:c r="D206" s="36" t="str">
        <x:v>Monitoring - HPM (MCH)</x:v>
      </x:c>
      <x:c r="E206" s="36" t="str">
        <x:v>1002449</x:v>
      </x:c>
      <x:c r="F206" s="36" t="str">
        <x:v>New Feature</x:v>
      </x:c>
      <x:c r="G206" s="36" t="str">
        <x:v>Productivity savings</x:v>
      </x:c>
      <x:c r="H206" s="36" t="str">
        <x:v>Deprioritised</x:v>
      </x:c>
      <x:c r="I206" s="36" t="str">
        <x:v>Carry Over</x:v>
      </x:c>
      <x:c r="J206" s="38" t="n">
        <x:v>0</x:v>
      </x:c>
      <x:c r="K206" s="38"/>
      <x:c r="L206" s="38"/>
      <x:c r="M206" s="38"/>
      <x:c r="N206" s="38"/>
      <x:c r="O206" s="38"/>
      <x:c r="P206" s="37" t="str"/>
      <x:c r="Q206" s="37" t="str">
        <x:v>Cash savings</x:v>
      </x:c>
      <x:c r="R206" s="37" t="str">
        <x:v>Carry Over stops</x:v>
      </x:c>
      <x:c r="S206" s="37" t="str"/>
      <x:c r="T206" s="37" t="str"/>
      <x:c r="U206" s="37" t="str"/>
      <x:c r="V206" s="36" t="str"/>
      <x:c r="W206" s="36" t="str"/>
      <x:c r="X206" s="36" t="n">
        <x:v>2.15</x:v>
      </x:c>
      <x:c r="Y206" s="36" t="str">
        <x:v>CONTAIN</x:v>
      </x:c>
      <x:c r="Z206" s="36" t="str"/>
      <x:c r="AA206" s="36" t="str"/>
      <x:c r="AB206" s="36"/>
      <x:c r="AC206" s="36"/>
      <x:c r="AD206" s="36" t="str"/>
      <x:c r="AE206" s="36" t="str">
        <x:v>CONTAIN — Conditions</x:v>
      </x:c>
      <x:c r="AF206" s="36" t="str">
        <x:v>Name and organisation matched</x:v>
      </x:c>
      <x:c r="AG206" s="36" t="str">
        <x:v>Common pot</x:v>
      </x:c>
      <x:c r="AH206" s="36" t="str">
        <x:v>BU Demand!row 505</x:v>
      </x:c>
      <x:c r="AI206" s="36" t="str">
        <x:v>NewFeat</x:v>
      </x:c>
      <x:c r="AJ206" s="36" t="str">
        <x:v>Productivity</x:v>
      </x:c>
      <x:c r="AK206" s="36" t="str">
        <x:v>Depri</x:v>
      </x:c>
      <x:c r="AL206" s="36" t="n">
        <x:v>0</x:v>
      </x:c>
      <x:c r="AM206" s="36" t="n">
        <x:v>0</x:v>
      </x:c>
      <x:c r="AN206" s="43"/>
      <x:c r="AO206" s="43"/>
      <x:c r="AP206" s="43"/>
    </x:row>
    <x:row r="207" ht="15" hidden="0" customHeight="1">
      <x:c r="A207" s="36" t="str">
        <x:v>Bu-212</x:v>
      </x:c>
      <x:c r="B207" s="37" t="str">
        <x:v>DUPLICATE - OMM - Carry Over (Integr Planning Basics)</x:v>
      </x:c>
      <x:c r="C207" s="36" t="str">
        <x:v>BU Led</x:v>
      </x:c>
      <x:c r="D207" s="36" t="str">
        <x:v>Monitoring - HPM (MCH)</x:v>
      </x:c>
      <x:c r="E207" s="36" t="str"/>
      <x:c r="F207" s="36" t="str">
        <x:v>New Feature</x:v>
      </x:c>
      <x:c r="G207" s="36" t="str">
        <x:v>Productivity savings</x:v>
      </x:c>
      <x:c r="H207" s="36" t="str">
        <x:v>Deprioritised</x:v>
      </x:c>
      <x:c r="I207" s="36" t="str">
        <x:v>Carry Over</x:v>
      </x:c>
      <x:c r="J207" s="38" t="n">
        <x:v>0</x:v>
      </x:c>
      <x:c r="K207" s="38"/>
      <x:c r="L207" s="38"/>
      <x:c r="M207" s="38"/>
      <x:c r="N207" s="38"/>
      <x:c r="O207" s="38"/>
      <x:c r="P207" s="37" t="str"/>
      <x:c r="Q207" s="37" t="str">
        <x:v>Cash savings</x:v>
      </x:c>
      <x:c r="R207" s="37" t="str"/>
      <x:c r="S207" s="37" t="str"/>
      <x:c r="T207" s="37" t="str"/>
      <x:c r="U207" s="37" t="str"/>
      <x:c r="V207" s="36" t="str"/>
      <x:c r="W207" s="36" t="str"/>
      <x:c r="X207" s="36"/>
      <x:c r="Y207" s="36" t="str">
        <x:v>NotAssessed</x:v>
      </x:c>
      <x:c r="Z207" s="36" t="str"/>
      <x:c r="AA207" s="36" t="str"/>
      <x:c r="AB207" s="36"/>
      <x:c r="AC207" s="36"/>
      <x:c r="AD207" s="36" t="str"/>
      <x:c r="AE207" s="36" t="str"/>
      <x:c r="AF207" s="36" t="str">
        <x:v>No exact waste match</x:v>
      </x:c>
      <x:c r="AG207" s="36" t="str">
        <x:v>Common pot</x:v>
      </x:c>
      <x:c r="AH207" s="36" t="str">
        <x:v>BU Demand!row 506</x:v>
      </x:c>
      <x:c r="AI207" s="36" t="str">
        <x:v>NewFeat</x:v>
      </x:c>
      <x:c r="AJ207" s="36" t="str">
        <x:v>Productivity</x:v>
      </x:c>
      <x:c r="AK207" s="36" t="str">
        <x:v>Depri</x:v>
      </x:c>
      <x:c r="AL207" s="36" t="n">
        <x:v>0</x:v>
      </x:c>
      <x:c r="AM207" s="36" t="n">
        <x:v>0</x:v>
      </x:c>
      <x:c r="AN207" s="43"/>
      <x:c r="AO207" s="43"/>
      <x:c r="AP207" s="43"/>
    </x:row>
    <x:row r="208" ht="15" hidden="0" customHeight="1">
      <x:c r="A208" s="36" t="str">
        <x:v>Bu-213</x:v>
      </x:c>
      <x:c r="B208" s="37" t="str">
        <x:v>IR [C1/C2/C3] Channel Partner Program</x:v>
      </x:c>
      <x:c r="C208" s="36" t="str">
        <x:v>BU Led</x:v>
      </x:c>
      <x:c r="D208" s="36" t="str">
        <x:v>Monitoring - HPM (MCH)</x:v>
      </x:c>
      <x:c r="E208" s="36" t="str">
        <x:v>1002132</x:v>
      </x:c>
      <x:c r="F208" s="36" t="str">
        <x:v>New Feature</x:v>
      </x:c>
      <x:c r="G208" s="36" t="str">
        <x:v>Productivity savings</x:v>
      </x:c>
      <x:c r="H208" s="36" t="str"/>
      <x:c r="I208" s="36" t="str">
        <x:v>Carry Over</x:v>
      </x:c>
      <x:c r="J208" s="38"/>
      <x:c r="K208" s="38"/>
      <x:c r="L208" s="38"/>
      <x:c r="M208" s="38"/>
      <x:c r="N208" s="38"/>
      <x:c r="O208" s="38"/>
      <x:c r="P208" s="37" t="str"/>
      <x:c r="Q208" s="37" t="str">
        <x:v>Cash savings</x:v>
      </x:c>
      <x:c r="R208" s="37" t="str"/>
      <x:c r="S208" s="37" t="str"/>
      <x:c r="T208" s="37" t="str"/>
      <x:c r="U208" s="37" t="str"/>
      <x:c r="V208" s="36" t="str"/>
      <x:c r="W208" s="36" t="str"/>
      <x:c r="X208" s="36"/>
      <x:c r="Y208" s="36" t="str">
        <x:v>NotAssessed</x:v>
      </x:c>
      <x:c r="Z208" s="36" t="str"/>
      <x:c r="AA208" s="36" t="str"/>
      <x:c r="AB208" s="36"/>
      <x:c r="AC208" s="36"/>
      <x:c r="AD208" s="36" t="str"/>
      <x:c r="AE208" s="36" t="str"/>
      <x:c r="AF208" s="36" t="str">
        <x:v>Name and organisation matched</x:v>
      </x:c>
      <x:c r="AG208" s="36" t="str">
        <x:v>Common pot</x:v>
      </x:c>
      <x:c r="AH208" s="36" t="str">
        <x:v>BU Demand!row 507</x:v>
      </x:c>
      <x:c r="AI208" s="36" t="str">
        <x:v>NewFeat</x:v>
      </x:c>
      <x:c r="AJ208" s="36" t="str">
        <x:v>Productivity</x:v>
      </x:c>
      <x:c r="AK208" s="36" t="str">
        <x:v>Blank</x:v>
      </x:c>
      <x:c r="AL208" s="36" t="n">
        <x:v>0</x:v>
      </x:c>
      <x:c r="AM208" s="36" t="n">
        <x:v>0</x:v>
      </x:c>
      <x:c r="AN208" s="43"/>
      <x:c r="AO208" s="43"/>
      <x:c r="AP208" s="43"/>
    </x:row>
    <x:row r="209" ht="15" hidden="0" customHeight="1">
      <x:c r="A209" s="36" t="str">
        <x:v>Bu-214</x:v>
      </x:c>
      <x:c r="B209" s="37" t="str">
        <x:v>Early Skills Validation in SMAX</x:v>
      </x:c>
      <x:c r="C209" s="36" t="str">
        <x:v>BU Led</x:v>
      </x:c>
      <x:c r="D209" s="36" t="str">
        <x:v>Monitoring - HPM (MCH)</x:v>
      </x:c>
      <x:c r="E209" s="36" t="str"/>
      <x:c r="F209" s="36" t="str">
        <x:v>Legal Fiscal, Regulatory &amp; Compliancy</x:v>
      </x:c>
      <x:c r="G209" s="36" t="str">
        <x:v>Compliance/Keeping the lights on</x:v>
      </x:c>
      <x:c r="H209" s="36" t="str"/>
      <x:c r="I209" s="36" t="str">
        <x:v>New Initiative</x:v>
      </x:c>
      <x:c r="J209" s="38" t="n">
        <x:v>0.25</x:v>
      </x:c>
      <x:c r="K209" s="38"/>
      <x:c r="L209" s="38"/>
      <x:c r="M209" s="38"/>
      <x:c r="N209" s="38"/>
      <x:c r="O209" s="38"/>
      <x:c r="P209" s="37" t="str"/>
      <x:c r="Q209" s="37" t="str">
        <x:v>Risk exposure</x:v>
      </x:c>
      <x:c r="R209" s="37" t="str"/>
      <x:c r="S209" s="37" t="str"/>
      <x:c r="T209" s="37" t="str"/>
      <x:c r="U209" s="37" t="str"/>
      <x:c r="V209" s="36" t="str"/>
      <x:c r="W209" s="36" t="str"/>
      <x:c r="X209" s="36"/>
      <x:c r="Y209" s="36" t="str">
        <x:v>NotAssessed</x:v>
      </x:c>
      <x:c r="Z209" s="36" t="str"/>
      <x:c r="AA209" s="36" t="str"/>
      <x:c r="AB209" s="36"/>
      <x:c r="AC209" s="36"/>
      <x:c r="AD209" s="36" t="str"/>
      <x:c r="AE209" s="36" t="str"/>
      <x:c r="AF209" s="36" t="str">
        <x:v>Name and organisation matched</x:v>
      </x:c>
      <x:c r="AG209" s="36" t="str">
        <x:v>Common pot</x:v>
      </x:c>
      <x:c r="AH209" s="36" t="str">
        <x:v>BU Demand!row 508</x:v>
      </x:c>
      <x:c r="AI209" s="36" t="str">
        <x:v>LFR</x:v>
      </x:c>
      <x:c r="AJ209" s="36" t="str">
        <x:v>Compliance</x:v>
      </x:c>
      <x:c r="AK209" s="36" t="str">
        <x:v>Blank</x:v>
      </x:c>
      <x:c r="AL209" s="36" t="n">
        <x:v>0</x:v>
      </x:c>
      <x:c r="AM209" s="36" t="n">
        <x:v>0</x:v>
      </x:c>
      <x:c r="AN209" s="43"/>
      <x:c r="AO209" s="43"/>
      <x:c r="AP209" s="43"/>
    </x:row>
    <x:row r="210" ht="15" hidden="0" customHeight="1">
      <x:c r="A210" s="36" t="str">
        <x:v>Bu-215</x:v>
      </x:c>
      <x:c r="B210" s="37" t="str">
        <x:v>eDMR ready for CSRD </x:v>
      </x:c>
      <x:c r="C210" s="36" t="str">
        <x:v>BU Led</x:v>
      </x:c>
      <x:c r="D210" s="36" t="str">
        <x:v>Monitoring - HPM (MCH)</x:v>
      </x:c>
      <x:c r="E210" s="36" t="str"/>
      <x:c r="F210" s="36" t="str">
        <x:v>Legal Fiscal, Regulatory &amp; Compliancy</x:v>
      </x:c>
      <x:c r="G210" s="36" t="str">
        <x:v>Compliance/Keeping the lights on</x:v>
      </x:c>
      <x:c r="H210" s="36" t="str">
        <x:v>Must Do</x:v>
      </x:c>
      <x:c r="I210" s="36" t="str">
        <x:v>New Initiative</x:v>
      </x:c>
      <x:c r="J210" s="38" t="n">
        <x:v>0.2</x:v>
      </x:c>
      <x:c r="K210" s="38"/>
      <x:c r="L210" s="38"/>
      <x:c r="M210" s="38"/>
      <x:c r="N210" s="38"/>
      <x:c r="O210" s="38"/>
      <x:c r="P210" s="37" t="str"/>
      <x:c r="Q210" s="37" t="str">
        <x:v>Risk exposure</x:v>
      </x:c>
      <x:c r="R210" s="37" t="str">
        <x:v>NPI delayed</x:v>
      </x:c>
      <x:c r="S210" s="37" t="str"/>
      <x:c r="T210" s="37" t="str"/>
      <x:c r="U210" s="37" t="str"/>
      <x:c r="V210" s="36" t="str"/>
      <x:c r="W210" s="36" t="str"/>
      <x:c r="X210" s="36"/>
      <x:c r="Y210" s="36" t="str">
        <x:v>NotAssessed</x:v>
      </x:c>
      <x:c r="Z210" s="36" t="str"/>
      <x:c r="AA210" s="36" t="str"/>
      <x:c r="AB210" s="36"/>
      <x:c r="AC210" s="36"/>
      <x:c r="AD210" s="36" t="str"/>
      <x:c r="AE210" s="36" t="str"/>
      <x:c r="AF210" s="36" t="str">
        <x:v>Name and organisation matched</x:v>
      </x:c>
      <x:c r="AG210" s="36" t="str">
        <x:v>Common pot</x:v>
      </x:c>
      <x:c r="AH210" s="36" t="str">
        <x:v>BU Demand!row 509</x:v>
      </x:c>
      <x:c r="AI210" s="36" t="str">
        <x:v>LFR</x:v>
      </x:c>
      <x:c r="AJ210" s="36" t="str">
        <x:v>Compliance</x:v>
      </x:c>
      <x:c r="AK210" s="36" t="str">
        <x:v>Must Do</x:v>
      </x:c>
      <x:c r="AL210" s="36" t="n">
        <x:v>0</x:v>
      </x:c>
      <x:c r="AM210" s="36" t="n">
        <x:v>0</x:v>
      </x:c>
      <x:c r="AN210" s="43"/>
      <x:c r="AO210" s="43"/>
      <x:c r="AP210" s="43"/>
    </x:row>
    <x:row r="211" ht="15" hidden="0" customHeight="1">
      <x:c r="A211" s="36" t="str">
        <x:v>Bu-216</x:v>
      </x:c>
      <x:c r="B211" s="37" t="str">
        <x:v>DUPLICATE - Compliance - GTC</x:v>
      </x:c>
      <x:c r="C211" s="36" t="str">
        <x:v>BU Led</x:v>
      </x:c>
      <x:c r="D211" s="36" t="str">
        <x:v>Monitoring - HPM (MCH)</x:v>
      </x:c>
      <x:c r="E211" s="36" t="str"/>
      <x:c r="F211" s="36" t="str">
        <x:v>Legal Fiscal, Regulatory &amp; Compliancy</x:v>
      </x:c>
      <x:c r="G211" s="36" t="str">
        <x:v>Compliance/Keeping the lights on</x:v>
      </x:c>
      <x:c r="H211" s="36" t="str"/>
      <x:c r="I211" s="36" t="str">
        <x:v>New Initiative</x:v>
      </x:c>
      <x:c r="J211" s="38" t="n">
        <x:v>0</x:v>
      </x:c>
      <x:c r="K211" s="38"/>
      <x:c r="L211" s="38"/>
      <x:c r="M211" s="38"/>
      <x:c r="N211" s="38"/>
      <x:c r="O211" s="38"/>
      <x:c r="P211" s="37" t="str"/>
      <x:c r="Q211" s="37" t="str">
        <x:v>Risk exposure</x:v>
      </x:c>
      <x:c r="R211" s="37" t="str"/>
      <x:c r="S211" s="37" t="str"/>
      <x:c r="T211" s="37" t="str"/>
      <x:c r="U211" s="37" t="str"/>
      <x:c r="V211" s="36" t="str"/>
      <x:c r="W211" s="36" t="str"/>
      <x:c r="X211" s="36"/>
      <x:c r="Y211" s="36" t="str">
        <x:v>NotAssessed</x:v>
      </x:c>
      <x:c r="Z211" s="36" t="str"/>
      <x:c r="AA211" s="36" t="str"/>
      <x:c r="AB211" s="36"/>
      <x:c r="AC211" s="36"/>
      <x:c r="AD211" s="36" t="str"/>
      <x:c r="AE211" s="36" t="str"/>
      <x:c r="AF211" s="36" t="str">
        <x:v>No exact waste match</x:v>
      </x:c>
      <x:c r="AG211" s="36" t="str">
        <x:v>Common pot</x:v>
      </x:c>
      <x:c r="AH211" s="36" t="str">
        <x:v>BU Demand!row 510</x:v>
      </x:c>
      <x:c r="AI211" s="36" t="str">
        <x:v>LFR</x:v>
      </x:c>
      <x:c r="AJ211" s="36" t="str">
        <x:v>Compliance</x:v>
      </x:c>
      <x:c r="AK211" s="36" t="str">
        <x:v>Blank</x:v>
      </x:c>
      <x:c r="AL211" s="36" t="n">
        <x:v>0</x:v>
      </x:c>
      <x:c r="AM211" s="36" t="n">
        <x:v>0</x:v>
      </x:c>
      <x:c r="AN211" s="43"/>
      <x:c r="AO211" s="43"/>
      <x:c r="AP211" s="43"/>
    </x:row>
    <x:row r="212" ht="15" hidden="0" customHeight="1">
      <x:c r="A212" s="36" t="str">
        <x:v>Bu-217</x:v>
      </x:c>
      <x:c r="B212" s="37" t="str">
        <x:v>FCO Partner Portal Validations Req</x:v>
      </x:c>
      <x:c r="C212" s="36" t="str">
        <x:v>BU Led</x:v>
      </x:c>
      <x:c r="D212" s="36" t="str">
        <x:v>Monitoring - HPM (MCH)</x:v>
      </x:c>
      <x:c r="E212" s="36" t="str"/>
      <x:c r="F212" s="36" t="str">
        <x:v>Legal Fiscal, Regulatory &amp; Compliancy</x:v>
      </x:c>
      <x:c r="G212" s="36" t="str">
        <x:v>Compliance/Keeping the lights on</x:v>
      </x:c>
      <x:c r="H212" s="36" t="str"/>
      <x:c r="I212" s="36" t="str">
        <x:v>New Initiative</x:v>
      </x:c>
      <x:c r="J212" s="38" t="n">
        <x:v>0.11</x:v>
      </x:c>
      <x:c r="K212" s="38"/>
      <x:c r="L212" s="38"/>
      <x:c r="M212" s="38"/>
      <x:c r="N212" s="38"/>
      <x:c r="O212" s="38"/>
      <x:c r="P212" s="37" t="str"/>
      <x:c r="Q212" s="37" t="str">
        <x:v>Risk exposure</x:v>
      </x:c>
      <x:c r="R212" s="37" t="str"/>
      <x:c r="S212" s="37" t="str"/>
      <x:c r="T212" s="37" t="str"/>
      <x:c r="U212" s="37" t="str"/>
      <x:c r="V212" s="36" t="str"/>
      <x:c r="W212" s="36" t="str"/>
      <x:c r="X212" s="36"/>
      <x:c r="Y212" s="36" t="str">
        <x:v>NotAssessed</x:v>
      </x:c>
      <x:c r="Z212" s="36" t="str"/>
      <x:c r="AA212" s="36" t="str"/>
      <x:c r="AB212" s="36"/>
      <x:c r="AC212" s="36"/>
      <x:c r="AD212" s="36" t="str"/>
      <x:c r="AE212" s="36" t="str"/>
      <x:c r="AF212" s="36" t="str">
        <x:v>Name and organisation matched</x:v>
      </x:c>
      <x:c r="AG212" s="36" t="str">
        <x:v>Common pot</x:v>
      </x:c>
      <x:c r="AH212" s="36" t="str">
        <x:v>BU Demand!row 511</x:v>
      </x:c>
      <x:c r="AI212" s="36" t="str">
        <x:v>LFR</x:v>
      </x:c>
      <x:c r="AJ212" s="36" t="str">
        <x:v>Compliance</x:v>
      </x:c>
      <x:c r="AK212" s="36" t="str">
        <x:v>Blank</x:v>
      </x:c>
      <x:c r="AL212" s="36" t="n">
        <x:v>0</x:v>
      </x:c>
      <x:c r="AM212" s="36" t="n">
        <x:v>0</x:v>
      </x:c>
      <x:c r="AN212" s="43"/>
      <x:c r="AO212" s="43"/>
      <x:c r="AP212" s="43"/>
    </x:row>
    <x:row r="213" ht="15" hidden="0" customHeight="1">
      <x:c r="A213" s="36" t="str">
        <x:v>Bu-218</x:v>
      </x:c>
      <x:c r="B213" s="37" t="str">
        <x:v>Digital Delivery - Print on Demand for OEM</x:v>
      </x:c>
      <x:c r="C213" s="36" t="str">
        <x:v>BU Led</x:v>
      </x:c>
      <x:c r="D213" s="36" t="str">
        <x:v>Monitoring - HPM (MCH)</x:v>
      </x:c>
      <x:c r="E213" s="36" t="str"/>
      <x:c r="F213" s="36" t="str">
        <x:v>New Technology</x:v>
      </x:c>
      <x:c r="G213" s="36" t="str">
        <x:v>Compliance/Keeping the lights on</x:v>
      </x:c>
      <x:c r="H213" s="36" t="str">
        <x:v>Must Do</x:v>
      </x:c>
      <x:c r="I213" s="36" t="str">
        <x:v>New Initiative</x:v>
      </x:c>
      <x:c r="J213" s="38" t="n">
        <x:v>0.3</x:v>
      </x:c>
      <x:c r="K213" s="38"/>
      <x:c r="L213" s="38"/>
      <x:c r="M213" s="38"/>
      <x:c r="N213" s="38"/>
      <x:c r="O213" s="38"/>
      <x:c r="P213" s="37" t="str"/>
      <x:c r="Q213" s="37" t="str">
        <x:v>Risk exposure</x:v>
      </x:c>
      <x:c r="R213" s="37" t="str">
        <x:v>NPI delayed</x:v>
      </x:c>
      <x:c r="S213" s="37" t="str"/>
      <x:c r="T213" s="37" t="str"/>
      <x:c r="U213" s="37" t="str"/>
      <x:c r="V213" s="36" t="str"/>
      <x:c r="W213" s="36" t="str"/>
      <x:c r="X213" s="36"/>
      <x:c r="Y213" s="36" t="str">
        <x:v>NotAssessed</x:v>
      </x:c>
      <x:c r="Z213" s="36" t="str"/>
      <x:c r="AA213" s="36" t="str"/>
      <x:c r="AB213" s="36"/>
      <x:c r="AC213" s="36"/>
      <x:c r="AD213" s="36" t="str"/>
      <x:c r="AE213" s="36" t="str"/>
      <x:c r="AF213" s="36" t="str">
        <x:v>Name and organisation matched</x:v>
      </x:c>
      <x:c r="AG213" s="36" t="str">
        <x:v>Common pot</x:v>
      </x:c>
      <x:c r="AH213" s="36" t="str">
        <x:v>BU Demand!row 512</x:v>
      </x:c>
      <x:c r="AI213" s="36" t="str">
        <x:v>NewTech</x:v>
      </x:c>
      <x:c r="AJ213" s="36" t="str">
        <x:v>Compliance</x:v>
      </x:c>
      <x:c r="AK213" s="36" t="str">
        <x:v>Must Do</x:v>
      </x:c>
      <x:c r="AL213" s="36" t="n">
        <x:v>0</x:v>
      </x:c>
      <x:c r="AM213" s="36" t="n">
        <x:v>0</x:v>
      </x:c>
      <x:c r="AN213" s="43"/>
      <x:c r="AO213" s="43"/>
      <x:c r="AP213" s="43"/>
    </x:row>
    <x:row r="214" ht="15" hidden="0" customHeight="1">
      <x:c r="A214" s="36" t="str">
        <x:v>Bu-219</x:v>
      </x:c>
      <x:c r="B214" s="37" t="str">
        <x:v>DUPLICATE - PSA/PS Cloud Migration(international)</x:v>
      </x:c>
      <x:c r="C214" s="36" t="str">
        <x:v>BU Led</x:v>
      </x:c>
      <x:c r="D214" s="36" t="str">
        <x:v>Monitoring - HPM (MCH)</x:v>
      </x:c>
      <x:c r="E214" s="36" t="str"/>
      <x:c r="F214" s="36" t="str">
        <x:v>Decomm/Replatforming</x:v>
      </x:c>
      <x:c r="G214" s="36" t="str">
        <x:v>Compliance/Keeping the lights on</x:v>
      </x:c>
      <x:c r="H214" s="36" t="str">
        <x:v>Deprioritised</x:v>
      </x:c>
      <x:c r="I214" s="36" t="str">
        <x:v>New Initiative</x:v>
      </x:c>
      <x:c r="J214" s="38" t="n">
        <x:v>0</x:v>
      </x:c>
      <x:c r="K214" s="38"/>
      <x:c r="L214" s="38"/>
      <x:c r="M214" s="38"/>
      <x:c r="N214" s="38"/>
      <x:c r="O214" s="38"/>
      <x:c r="P214" s="37" t="str"/>
      <x:c r="Q214" s="37" t="str">
        <x:v>Risk exposure</x:v>
      </x:c>
      <x:c r="R214" s="37" t="str"/>
      <x:c r="S214" s="37" t="str"/>
      <x:c r="T214" s="37" t="str"/>
      <x:c r="U214" s="37" t="str"/>
      <x:c r="V214" s="36" t="str"/>
      <x:c r="W214" s="36" t="str"/>
      <x:c r="X214" s="36"/>
      <x:c r="Y214" s="36" t="str">
        <x:v>NotAssessed</x:v>
      </x:c>
      <x:c r="Z214" s="36" t="str"/>
      <x:c r="AA214" s="36" t="str"/>
      <x:c r="AB214" s="36"/>
      <x:c r="AC214" s="36"/>
      <x:c r="AD214" s="36" t="str"/>
      <x:c r="AE214" s="36" t="str"/>
      <x:c r="AF214" s="36" t="str">
        <x:v>No exact waste match</x:v>
      </x:c>
      <x:c r="AG214" s="36" t="str">
        <x:v>Common pot</x:v>
      </x:c>
      <x:c r="AH214" s="36" t="str">
        <x:v>BU Demand!row 513</x:v>
      </x:c>
      <x:c r="AI214" s="36" t="str">
        <x:v>Decomm</x:v>
      </x:c>
      <x:c r="AJ214" s="36" t="str">
        <x:v>Compliance</x:v>
      </x:c>
      <x:c r="AK214" s="36" t="str">
        <x:v>Depri</x:v>
      </x:c>
      <x:c r="AL214" s="36" t="n">
        <x:v>0</x:v>
      </x:c>
      <x:c r="AM214" s="36" t="n">
        <x:v>0</x:v>
      </x:c>
      <x:c r="AN214" s="43"/>
      <x:c r="AO214" s="43"/>
      <x:c r="AP214" s="43"/>
    </x:row>
    <x:row r="215" ht="15" hidden="0" customHeight="1">
      <x:c r="A215" s="36" t="str">
        <x:v>Bu-220</x:v>
      </x:c>
      <x:c r="B215" s="37" t="str">
        <x:v>Education - TEDs - Docebo Migration</x:v>
      </x:c>
      <x:c r="C215" s="36" t="str">
        <x:v>BU Led</x:v>
      </x:c>
      <x:c r="D215" s="36" t="str">
        <x:v>Monitoring - HPM (MCH)</x:v>
      </x:c>
      <x:c r="E215" s="36" t="str"/>
      <x:c r="F215" s="36" t="str">
        <x:v>Decomm/Replatforming</x:v>
      </x:c>
      <x:c r="G215" s="36" t="str">
        <x:v>Compliance/Keeping the lights on</x:v>
      </x:c>
      <x:c r="H215" s="36" t="str"/>
      <x:c r="I215" s="36" t="str">
        <x:v>New Initiative</x:v>
      </x:c>
      <x:c r="J215" s="38" t="n">
        <x:v>0.396</x:v>
      </x:c>
      <x:c r="K215" s="38"/>
      <x:c r="L215" s="38"/>
      <x:c r="M215" s="38"/>
      <x:c r="N215" s="38"/>
      <x:c r="O215" s="38"/>
      <x:c r="P215" s="37" t="str"/>
      <x:c r="Q215" s="37" t="str">
        <x:v>Risk exposure</x:v>
      </x:c>
      <x:c r="R215" s="37" t="str"/>
      <x:c r="S215" s="37" t="str"/>
      <x:c r="T215" s="37" t="str"/>
      <x:c r="U215" s="37" t="str"/>
      <x:c r="V215" s="36" t="str"/>
      <x:c r="W215" s="36" t="str"/>
      <x:c r="X215" s="36"/>
      <x:c r="Y215" s="36" t="str">
        <x:v>NotAssessed</x:v>
      </x:c>
      <x:c r="Z215" s="36" t="str"/>
      <x:c r="AA215" s="36" t="str"/>
      <x:c r="AB215" s="36"/>
      <x:c r="AC215" s="36"/>
      <x:c r="AD215" s="36" t="str"/>
      <x:c r="AE215" s="36" t="str"/>
      <x:c r="AF215" s="36" t="str">
        <x:v>Name and organisation matched</x:v>
      </x:c>
      <x:c r="AG215" s="36" t="str">
        <x:v>Common pot</x:v>
      </x:c>
      <x:c r="AH215" s="36" t="str">
        <x:v>BU Demand!row 514</x:v>
      </x:c>
      <x:c r="AI215" s="36" t="str">
        <x:v>Decomm</x:v>
      </x:c>
      <x:c r="AJ215" s="36" t="str">
        <x:v>Compliance</x:v>
      </x:c>
      <x:c r="AK215" s="36" t="str">
        <x:v>Blank</x:v>
      </x:c>
      <x:c r="AL215" s="36" t="n">
        <x:v>0</x:v>
      </x:c>
      <x:c r="AM215" s="36" t="n">
        <x:v>0</x:v>
      </x:c>
      <x:c r="AN215" s="43"/>
      <x:c r="AO215" s="43"/>
      <x:c r="AP215" s="43"/>
    </x:row>
    <x:row r="216" ht="15" hidden="0" customHeight="1">
      <x:c r="A216" s="36" t="str">
        <x:v>Bu-221</x:v>
      </x:c>
      <x:c r="B216" s="37" t="str">
        <x:v>Cross business value proposition enablement - (e.g.CCS Stage 2)</x:v>
      </x:c>
      <x:c r="C216" s="36" t="str">
        <x:v>BU Led</x:v>
      </x:c>
      <x:c r="D216" s="36" t="str">
        <x:v>Monitoring - HPM (MCH)</x:v>
      </x:c>
      <x:c r="E216" s="36" t="str"/>
      <x:c r="F216" s="36" t="str">
        <x:v>New Technology</x:v>
      </x:c>
      <x:c r="G216" s="36" t="str">
        <x:v>Revenue Increase</x:v>
      </x:c>
      <x:c r="H216" s="36" t="str">
        <x:v>Must Do</x:v>
      </x:c>
      <x:c r="I216" s="36" t="str">
        <x:v>New Initiative</x:v>
      </x:c>
      <x:c r="J216" s="38" t="n">
        <x:v>0.25</x:v>
      </x:c>
      <x:c r="K216" s="38"/>
      <x:c r="L216" s="38"/>
      <x:c r="M216" s="38"/>
      <x:c r="N216" s="38"/>
      <x:c r="O216" s="38"/>
      <x:c r="P216" s="37" t="str"/>
      <x:c r="Q216" s="37" t="str">
        <x:v>Revenue</x:v>
      </x:c>
      <x:c r="R216" s="37" t="str">
        <x:v>NPI delayed</x:v>
      </x:c>
      <x:c r="S216" s="37" t="str"/>
      <x:c r="T216" s="37" t="str"/>
      <x:c r="U216" s="37" t="str"/>
      <x:c r="V216" s="36" t="str"/>
      <x:c r="W216" s="36" t="str"/>
      <x:c r="X216" s="36"/>
      <x:c r="Y216" s="36" t="str">
        <x:v>NotAssessed</x:v>
      </x:c>
      <x:c r="Z216" s="36" t="str"/>
      <x:c r="AA216" s="36" t="str"/>
      <x:c r="AB216" s="36"/>
      <x:c r="AC216" s="36"/>
      <x:c r="AD216" s="36" t="str"/>
      <x:c r="AE216" s="36" t="str"/>
      <x:c r="AF216" s="36" t="str">
        <x:v>Name and organisation matched</x:v>
      </x:c>
      <x:c r="AG216" s="36" t="str">
        <x:v>Common pot</x:v>
      </x:c>
      <x:c r="AH216" s="36" t="str">
        <x:v>BU Demand!row 515</x:v>
      </x:c>
      <x:c r="AI216" s="36" t="str">
        <x:v>NewTech</x:v>
      </x:c>
      <x:c r="AJ216" s="36" t="str">
        <x:v>Revenue</x:v>
      </x:c>
      <x:c r="AK216" s="36" t="str">
        <x:v>Must Do</x:v>
      </x:c>
      <x:c r="AL216" s="36" t="n">
        <x:v>0</x:v>
      </x:c>
      <x:c r="AM216" s="36" t="n">
        <x:v>0</x:v>
      </x:c>
      <x:c r="AN216" s="43"/>
      <x:c r="AO216" s="43"/>
      <x:c r="AP216" s="43"/>
    </x:row>
    <x:row r="217" ht="48" hidden="0" customHeight="1">
      <x:c r="A217" s="36" t="str">
        <x:v>Bu-222</x:v>
      </x:c>
      <x:c r="B217" s="37" t="str">
        <x:v>Mediana - low end monitoring via OEM (South Korea) (200K)
Two white label products: NiBP cuff and SPO2 sensor will be added to the portfolio. (100K)
SpO2 Oem business setup (160K)</x:v>
      </x:c>
      <x:c r="C217" s="36" t="str">
        <x:v>BU Led</x:v>
      </x:c>
      <x:c r="D217" s="36" t="str">
        <x:v>Monitoring - HPM (MCH)</x:v>
      </x:c>
      <x:c r="E217" s="36" t="str"/>
      <x:c r="F217" s="36" t="str">
        <x:v>New Technology</x:v>
      </x:c>
      <x:c r="G217" s="36" t="str">
        <x:v>Revenue Increase</x:v>
      </x:c>
      <x:c r="H217" s="36" t="str">
        <x:v>Must Do</x:v>
      </x:c>
      <x:c r="I217" s="36" t="str">
        <x:v>New Initiative</x:v>
      </x:c>
      <x:c r="J217" s="38" t="n">
        <x:v>0.46</x:v>
      </x:c>
      <x:c r="K217" s="38"/>
      <x:c r="L217" s="38"/>
      <x:c r="M217" s="38"/>
      <x:c r="N217" s="38"/>
      <x:c r="O217" s="38"/>
      <x:c r="P217" s="37" t="str"/>
      <x:c r="Q217" s="37" t="str">
        <x:v>Revenue</x:v>
      </x:c>
      <x:c r="R217" s="37" t="str">
        <x:v>NPI delayed</x:v>
      </x:c>
      <x:c r="S217" s="37" t="str"/>
      <x:c r="T217" s="37" t="str"/>
      <x:c r="U217" s="37" t="str"/>
      <x:c r="V217" s="36" t="str"/>
      <x:c r="W217" s="36" t="str"/>
      <x:c r="X217" s="36"/>
      <x:c r="Y217" s="36" t="str">
        <x:v>NotAssessed</x:v>
      </x:c>
      <x:c r="Z217" s="36" t="str"/>
      <x:c r="AA217" s="36" t="str"/>
      <x:c r="AB217" s="36"/>
      <x:c r="AC217" s="36"/>
      <x:c r="AD217" s="36" t="str"/>
      <x:c r="AE217" s="36" t="str"/>
      <x:c r="AF217" s="36" t="str">
        <x:v>No exact waste match</x:v>
      </x:c>
      <x:c r="AG217" s="36" t="str">
        <x:v>Common pot</x:v>
      </x:c>
      <x:c r="AH217" s="36" t="str">
        <x:v>BU Demand!row 516</x:v>
      </x:c>
      <x:c r="AI217" s="36" t="str">
        <x:v>NewTech</x:v>
      </x:c>
      <x:c r="AJ217" s="36" t="str">
        <x:v>Revenue</x:v>
      </x:c>
      <x:c r="AK217" s="36" t="str">
        <x:v>Must Do</x:v>
      </x:c>
      <x:c r="AL217" s="36" t="n">
        <x:v>0</x:v>
      </x:c>
      <x:c r="AM217" s="36" t="n">
        <x:v>0</x:v>
      </x:c>
      <x:c r="AN217" s="43"/>
      <x:c r="AO217" s="43"/>
      <x:c r="AP217" s="43"/>
    </x:row>
    <x:row r="218" ht="24" hidden="0" customHeight="1">
      <x:c r="A218" s="36" t="str">
        <x:v>Bu-223</x:v>
      </x:c>
      <x:c r="B218" s="37" t="str">
        <x:v>Two white label products: NiBP cuff and SPO2 sensor will be added to the portfolio.</x:v>
      </x:c>
      <x:c r="C218" s="36" t="str">
        <x:v>BU Led</x:v>
      </x:c>
      <x:c r="D218" s="36" t="str">
        <x:v>Monitoring - HPM (MCH)</x:v>
      </x:c>
      <x:c r="E218" s="36" t="str"/>
      <x:c r="F218" s="36" t="str">
        <x:v>New Technology</x:v>
      </x:c>
      <x:c r="G218" s="36" t="str">
        <x:v>Revenue Increase</x:v>
      </x:c>
      <x:c r="H218" s="36" t="str">
        <x:v>Deprioritised</x:v>
      </x:c>
      <x:c r="I218" s="36" t="str">
        <x:v>New Initiative</x:v>
      </x:c>
      <x:c r="J218" s="38" t="n">
        <x:v>0</x:v>
      </x:c>
      <x:c r="K218" s="38"/>
      <x:c r="L218" s="38"/>
      <x:c r="M218" s="38"/>
      <x:c r="N218" s="38"/>
      <x:c r="O218" s="38"/>
      <x:c r="P218" s="37" t="str"/>
      <x:c r="Q218" s="37" t="str">
        <x:v>Revenue</x:v>
      </x:c>
      <x:c r="R218" s="37" t="str">
        <x:v>NPI delayed</x:v>
      </x:c>
      <x:c r="S218" s="37" t="str"/>
      <x:c r="T218" s="37" t="str"/>
      <x:c r="U218" s="37" t="str"/>
      <x:c r="V218" s="36" t="str"/>
      <x:c r="W218" s="36" t="str"/>
      <x:c r="X218" s="36"/>
      <x:c r="Y218" s="36" t="str">
        <x:v>NotAssessed</x:v>
      </x:c>
      <x:c r="Z218" s="36" t="str"/>
      <x:c r="AA218" s="36" t="str"/>
      <x:c r="AB218" s="36"/>
      <x:c r="AC218" s="36"/>
      <x:c r="AD218" s="36" t="str"/>
      <x:c r="AE218" s="36" t="str"/>
      <x:c r="AF218" s="36" t="str">
        <x:v>Name and organisation matched</x:v>
      </x:c>
      <x:c r="AG218" s="36" t="str">
        <x:v>Common pot</x:v>
      </x:c>
      <x:c r="AH218" s="36" t="str">
        <x:v>BU Demand!row 519</x:v>
      </x:c>
      <x:c r="AI218" s="36" t="str">
        <x:v>NewTech</x:v>
      </x:c>
      <x:c r="AJ218" s="36" t="str">
        <x:v>Revenue</x:v>
      </x:c>
      <x:c r="AK218" s="36" t="str">
        <x:v>Depri</x:v>
      </x:c>
      <x:c r="AL218" s="36" t="n">
        <x:v>0</x:v>
      </x:c>
      <x:c r="AM218" s="36" t="n">
        <x:v>0</x:v>
      </x:c>
      <x:c r="AN218" s="43"/>
      <x:c r="AO218" s="43"/>
      <x:c r="AP218" s="43"/>
    </x:row>
    <x:row r="219" ht="15" hidden="0" customHeight="1">
      <x:c r="A219" s="36" t="str">
        <x:v>Bu-224</x:v>
      </x:c>
      <x:c r="B219" s="37" t="str">
        <x:v>SaaS capabilities (incl.Lifecycle mgmt for contracts )</x:v>
      </x:c>
      <x:c r="C219" s="36" t="str">
        <x:v>BU Led</x:v>
      </x:c>
      <x:c r="D219" s="36" t="str">
        <x:v>Monitoring - HPM (MCH)</x:v>
      </x:c>
      <x:c r="E219" s="36" t="str"/>
      <x:c r="F219" s="36" t="str">
        <x:v>New Technology</x:v>
      </x:c>
      <x:c r="G219" s="36" t="str">
        <x:v>Revenue Increase</x:v>
      </x:c>
      <x:c r="H219" s="36" t="str">
        <x:v>Must Do</x:v>
      </x:c>
      <x:c r="I219" s="36" t="str">
        <x:v>New Initiative</x:v>
      </x:c>
      <x:c r="J219" s="38" t="n">
        <x:v>1.1</x:v>
      </x:c>
      <x:c r="K219" s="38"/>
      <x:c r="L219" s="38"/>
      <x:c r="M219" s="38"/>
      <x:c r="N219" s="38"/>
      <x:c r="O219" s="38"/>
      <x:c r="P219" s="37" t="str"/>
      <x:c r="Q219" s="37" t="str">
        <x:v>Revenue</x:v>
      </x:c>
      <x:c r="R219" s="37" t="str">
        <x:v>NPI delayed</x:v>
      </x:c>
      <x:c r="S219" s="37" t="str"/>
      <x:c r="T219" s="37" t="str"/>
      <x:c r="U219" s="37" t="str"/>
      <x:c r="V219" s="36" t="str"/>
      <x:c r="W219" s="36" t="str"/>
      <x:c r="X219" s="36"/>
      <x:c r="Y219" s="36" t="str">
        <x:v>NotAssessed</x:v>
      </x:c>
      <x:c r="Z219" s="36" t="str"/>
      <x:c r="AA219" s="36" t="str"/>
      <x:c r="AB219" s="36"/>
      <x:c r="AC219" s="36"/>
      <x:c r="AD219" s="36" t="str"/>
      <x:c r="AE219" s="36" t="str"/>
      <x:c r="AF219" s="36" t="str">
        <x:v>Name and organisation matched</x:v>
      </x:c>
      <x:c r="AG219" s="36" t="str">
        <x:v>Common pot</x:v>
      </x:c>
      <x:c r="AH219" s="36" t="str">
        <x:v>BU Demand!row 520</x:v>
      </x:c>
      <x:c r="AI219" s="36" t="str">
        <x:v>NewTech</x:v>
      </x:c>
      <x:c r="AJ219" s="36" t="str">
        <x:v>Revenue</x:v>
      </x:c>
      <x:c r="AK219" s="36" t="str">
        <x:v>Must Do</x:v>
      </x:c>
      <x:c r="AL219" s="36" t="n">
        <x:v>0</x:v>
      </x:c>
      <x:c r="AM219" s="36" t="n">
        <x:v>0</x:v>
      </x:c>
      <x:c r="AN219" s="43"/>
      <x:c r="AO219" s="43"/>
      <x:c r="AP219" s="43"/>
    </x:row>
    <x:row r="220" ht="15" hidden="0" customHeight="1">
      <x:c r="A220" s="36" t="str">
        <x:v>Bu-225</x:v>
      </x:c>
      <x:c r="B220" s="37" t="str">
        <x:v>Bangalore Test Lab extension </x:v>
      </x:c>
      <x:c r="C220" s="36" t="str">
        <x:v>BU Led</x:v>
      </x:c>
      <x:c r="D220" s="36" t="str">
        <x:v>Monitoring - HPM (MCH)</x:v>
      </x:c>
      <x:c r="E220" s="36" t="str"/>
      <x:c r="F220" s="36" t="str">
        <x:v>New Technology</x:v>
      </x:c>
      <x:c r="G220" s="36" t="str">
        <x:v>Compliance/Keeping the lights on</x:v>
      </x:c>
      <x:c r="H220" s="36" t="str">
        <x:v>Must Do</x:v>
      </x:c>
      <x:c r="I220" s="36" t="str">
        <x:v>New Initiative</x:v>
      </x:c>
      <x:c r="J220" s="38" t="n">
        <x:v>0.5</x:v>
      </x:c>
      <x:c r="K220" s="38"/>
      <x:c r="L220" s="38"/>
      <x:c r="M220" s="38"/>
      <x:c r="N220" s="38"/>
      <x:c r="O220" s="38"/>
      <x:c r="P220" s="37" t="str"/>
      <x:c r="Q220" s="37" t="str">
        <x:v>Risk exposure</x:v>
      </x:c>
      <x:c r="R220" s="37" t="str">
        <x:v>NPI delayed</x:v>
      </x:c>
      <x:c r="S220" s="37" t="str"/>
      <x:c r="T220" s="37" t="str"/>
      <x:c r="U220" s="37" t="str"/>
      <x:c r="V220" s="36" t="str"/>
      <x:c r="W220" s="36" t="str"/>
      <x:c r="X220" s="36"/>
      <x:c r="Y220" s="36" t="str">
        <x:v>NotAssessed</x:v>
      </x:c>
      <x:c r="Z220" s="36" t="str"/>
      <x:c r="AA220" s="36" t="str"/>
      <x:c r="AB220" s="36"/>
      <x:c r="AC220" s="36"/>
      <x:c r="AD220" s="36" t="str"/>
      <x:c r="AE220" s="36" t="str"/>
      <x:c r="AF220" s="36" t="str">
        <x:v>Name and organisation matched</x:v>
      </x:c>
      <x:c r="AG220" s="36" t="str">
        <x:v>Common pot</x:v>
      </x:c>
      <x:c r="AH220" s="36" t="str">
        <x:v>BU Demand!row 521</x:v>
      </x:c>
      <x:c r="AI220" s="36" t="str">
        <x:v>NewTech</x:v>
      </x:c>
      <x:c r="AJ220" s="36" t="str">
        <x:v>Compliance</x:v>
      </x:c>
      <x:c r="AK220" s="36" t="str">
        <x:v>Must Do</x:v>
      </x:c>
      <x:c r="AL220" s="36" t="n">
        <x:v>0</x:v>
      </x:c>
      <x:c r="AM220" s="36" t="n">
        <x:v>0</x:v>
      </x:c>
      <x:c r="AN220" s="43"/>
      <x:c r="AO220" s="43"/>
      <x:c r="AP220" s="43"/>
    </x:row>
    <x:row r="221" ht="15" hidden="0" customHeight="1">
      <x:c r="A221" s="36" t="str">
        <x:v>Bu-226</x:v>
      </x:c>
      <x:c r="B221" s="37" t="str">
        <x:v>SpO2 Oem business setup</x:v>
      </x:c>
      <x:c r="C221" s="36" t="str">
        <x:v>BU Led</x:v>
      </x:c>
      <x:c r="D221" s="36" t="str">
        <x:v>Monitoring - HPM (MCH)</x:v>
      </x:c>
      <x:c r="E221" s="36" t="str"/>
      <x:c r="F221" s="36" t="str">
        <x:v>New Technology</x:v>
      </x:c>
      <x:c r="G221" s="36" t="str">
        <x:v>Revenue Increase</x:v>
      </x:c>
      <x:c r="H221" s="36" t="str">
        <x:v>Deprioritised</x:v>
      </x:c>
      <x:c r="I221" s="36" t="str">
        <x:v>New Initiative</x:v>
      </x:c>
      <x:c r="J221" s="38" t="n">
        <x:v>0</x:v>
      </x:c>
      <x:c r="K221" s="38"/>
      <x:c r="L221" s="38"/>
      <x:c r="M221" s="38"/>
      <x:c r="N221" s="38"/>
      <x:c r="O221" s="38"/>
      <x:c r="P221" s="37" t="str"/>
      <x:c r="Q221" s="37" t="str">
        <x:v>Revenue</x:v>
      </x:c>
      <x:c r="R221" s="37" t="str">
        <x:v>NPI delayed</x:v>
      </x:c>
      <x:c r="S221" s="37" t="str"/>
      <x:c r="T221" s="37" t="str"/>
      <x:c r="U221" s="37" t="str"/>
      <x:c r="V221" s="36" t="str"/>
      <x:c r="W221" s="36" t="str"/>
      <x:c r="X221" s="36"/>
      <x:c r="Y221" s="36" t="str">
        <x:v>NotAssessed</x:v>
      </x:c>
      <x:c r="Z221" s="36" t="str"/>
      <x:c r="AA221" s="36" t="str"/>
      <x:c r="AB221" s="36"/>
      <x:c r="AC221" s="36"/>
      <x:c r="AD221" s="36" t="str"/>
      <x:c r="AE221" s="36" t="str"/>
      <x:c r="AF221" s="36" t="str">
        <x:v>Name and organisation matched</x:v>
      </x:c>
      <x:c r="AG221" s="36" t="str">
        <x:v>Common pot</x:v>
      </x:c>
      <x:c r="AH221" s="36" t="str">
        <x:v>BU Demand!row 522</x:v>
      </x:c>
      <x:c r="AI221" s="36" t="str">
        <x:v>NewTech</x:v>
      </x:c>
      <x:c r="AJ221" s="36" t="str">
        <x:v>Revenue</x:v>
      </x:c>
      <x:c r="AK221" s="36" t="str">
        <x:v>Depri</x:v>
      </x:c>
      <x:c r="AL221" s="36" t="n">
        <x:v>0</x:v>
      </x:c>
      <x:c r="AM221" s="36" t="n">
        <x:v>0</x:v>
      </x:c>
      <x:c r="AN221" s="43"/>
      <x:c r="AO221" s="43"/>
      <x:c r="AP221" s="43"/>
    </x:row>
    <x:row r="222" ht="15" hidden="0" customHeight="1">
      <x:c r="A222" s="36" t="str">
        <x:v>Bu-227</x:v>
      </x:c>
      <x:c r="B222" s="37" t="str">
        <x:v>DUPLICATE - Master Data and Data Quality</x:v>
      </x:c>
      <x:c r="C222" s="36" t="str">
        <x:v>BU Led</x:v>
      </x:c>
      <x:c r="D222" s="36" t="str">
        <x:v>Monitoring - HPM (MCH)</x:v>
      </x:c>
      <x:c r="E222" s="36" t="str"/>
      <x:c r="F222" s="36" t="str">
        <x:v>Continous Improvement</x:v>
      </x:c>
      <x:c r="G222" s="36" t="str">
        <x:v>Productivity savings</x:v>
      </x:c>
      <x:c r="H222" s="36" t="str">
        <x:v>Deprioritised</x:v>
      </x:c>
      <x:c r="I222" s="36" t="str">
        <x:v>New Initiative</x:v>
      </x:c>
      <x:c r="J222" s="38" t="n">
        <x:v>0</x:v>
      </x:c>
      <x:c r="K222" s="38"/>
      <x:c r="L222" s="38"/>
      <x:c r="M222" s="38"/>
      <x:c r="N222" s="38"/>
      <x:c r="O222" s="38"/>
      <x:c r="P222" s="37" t="str"/>
      <x:c r="Q222" s="37" t="str">
        <x:v>Cash savings</x:v>
      </x:c>
      <x:c r="R222" s="37" t="str"/>
      <x:c r="S222" s="37" t="str"/>
      <x:c r="T222" s="37" t="str"/>
      <x:c r="U222" s="37" t="str"/>
      <x:c r="V222" s="36" t="str"/>
      <x:c r="W222" s="36" t="str"/>
      <x:c r="X222" s="36"/>
      <x:c r="Y222" s="36" t="str">
        <x:v>NotAssessed</x:v>
      </x:c>
      <x:c r="Z222" s="36" t="str"/>
      <x:c r="AA222" s="36" t="str"/>
      <x:c r="AB222" s="36"/>
      <x:c r="AC222" s="36"/>
      <x:c r="AD222" s="36" t="str"/>
      <x:c r="AE222" s="36" t="str"/>
      <x:c r="AF222" s="36" t="str">
        <x:v>No exact waste match</x:v>
      </x:c>
      <x:c r="AG222" s="36" t="str">
        <x:v>Common pot</x:v>
      </x:c>
      <x:c r="AH222" s="36" t="str">
        <x:v>BU Demand!row 523</x:v>
      </x:c>
      <x:c r="AI222" s="36" t="str">
        <x:v>CI</x:v>
      </x:c>
      <x:c r="AJ222" s="36" t="str">
        <x:v>Productivity</x:v>
      </x:c>
      <x:c r="AK222" s="36" t="str">
        <x:v>Depri</x:v>
      </x:c>
      <x:c r="AL222" s="36" t="n">
        <x:v>0</x:v>
      </x:c>
      <x:c r="AM222" s="36" t="n">
        <x:v>0</x:v>
      </x:c>
      <x:c r="AN222" s="43"/>
      <x:c r="AO222" s="43"/>
      <x:c r="AP222" s="43"/>
    </x:row>
    <x:row r="223" ht="15" hidden="0" customHeight="1">
      <x:c r="A223" s="36" t="str">
        <x:v>Bu-228</x:v>
      </x:c>
      <x:c r="B223" s="37" t="str">
        <x:v>ACI Integration (SNOW)</x:v>
      </x:c>
      <x:c r="C223" s="36" t="str">
        <x:v>BU Led</x:v>
      </x:c>
      <x:c r="D223" s="36" t="str">
        <x:v>Monitoring - HPM (MCH)</x:v>
      </x:c>
      <x:c r="E223" s="36" t="str"/>
      <x:c r="F223" s="36" t="str">
        <x:v>Continous Improvement</x:v>
      </x:c>
      <x:c r="G223" s="36" t="str">
        <x:v>Productivity savings</x:v>
      </x:c>
      <x:c r="H223" s="36" t="str">
        <x:v>Must Have</x:v>
      </x:c>
      <x:c r="I223" s="36" t="str">
        <x:v>New Initiative</x:v>
      </x:c>
      <x:c r="J223" s="38" t="n">
        <x:v>0.25</x:v>
      </x:c>
      <x:c r="K223" s="38"/>
      <x:c r="L223" s="38"/>
      <x:c r="M223" s="38"/>
      <x:c r="N223" s="38"/>
      <x:c r="O223" s="38"/>
      <x:c r="P223" s="37" t="str"/>
      <x:c r="Q223" s="37" t="str">
        <x:v>Cash savings</x:v>
      </x:c>
      <x:c r="R223" s="37" t="str"/>
      <x:c r="S223" s="37" t="str">
        <x:v>new unit, ACI, moved from EI to HPM - processes and tools and currently not aligned or integrated</x:v>
      </x:c>
      <x:c r="T223" s="37" t="str">
        <x:v>integrate new HPM unit into standard ways of working</x:v>
      </x:c>
      <x:c r="U223" s="37" t="str"/>
      <x:c r="V223" s="36" t="str"/>
      <x:c r="W223" s="36" t="str"/>
      <x:c r="X223" s="36"/>
      <x:c r="Y223" s="36" t="str">
        <x:v>NotAssessed</x:v>
      </x:c>
      <x:c r="Z223" s="36" t="str"/>
      <x:c r="AA223" s="36" t="str"/>
      <x:c r="AB223" s="36"/>
      <x:c r="AC223" s="36"/>
      <x:c r="AD223" s="36" t="str"/>
      <x:c r="AE223" s="36" t="str"/>
      <x:c r="AF223" s="36" t="str">
        <x:v>Name and organisation matched</x:v>
      </x:c>
      <x:c r="AG223" s="36" t="str">
        <x:v>Common pot</x:v>
      </x:c>
      <x:c r="AH223" s="36" t="str">
        <x:v>BU Demand!row 524</x:v>
      </x:c>
      <x:c r="AI223" s="36" t="str">
        <x:v>CI</x:v>
      </x:c>
      <x:c r="AJ223" s="36" t="str">
        <x:v>Productivity</x:v>
      </x:c>
      <x:c r="AK223" s="36" t="str">
        <x:v>Must Have</x:v>
      </x:c>
      <x:c r="AL223" s="36" t="n">
        <x:v>0</x:v>
      </x:c>
      <x:c r="AM223" s="36" t="n">
        <x:v>0</x:v>
      </x:c>
      <x:c r="AN223" s="43"/>
      <x:c r="AO223" s="43"/>
      <x:c r="AP223" s="43"/>
    </x:row>
    <x:row r="224" ht="15" hidden="0" customHeight="1">
      <x:c r="A224" s="36" t="str">
        <x:v>Bu-229</x:v>
      </x:c>
      <x:c r="B224" s="37" t="str">
        <x:v>Fidelity (Fulcrum/RDC NAM/RDC EU/FF)</x:v>
      </x:c>
      <x:c r="C224" s="36" t="str">
        <x:v>BU Led</x:v>
      </x:c>
      <x:c r="D224" s="36" t="str">
        <x:v>Monitoring - HPM (MCH)</x:v>
      </x:c>
      <x:c r="E224" s="36" t="str"/>
      <x:c r="F224" s="36" t="str">
        <x:v>New Feature</x:v>
      </x:c>
      <x:c r="G224" s="36" t="str">
        <x:v>Productivity savings</x:v>
      </x:c>
      <x:c r="H224" s="36" t="str">
        <x:v>Must Have</x:v>
      </x:c>
      <x:c r="I224" s="36" t="str">
        <x:v>New Initiative</x:v>
      </x:c>
      <x:c r="J224" s="38" t="n">
        <x:v>1</x:v>
      </x:c>
      <x:c r="K224" s="38"/>
      <x:c r="L224" s="38"/>
      <x:c r="M224" s="38"/>
      <x:c r="N224" s="38"/>
      <x:c r="O224" s="38" t="n">
        <x:v>66.648</x:v>
      </x:c>
      <x:c r="P224" s="37" t="str">
        <x:v>66648</x:v>
      </x:c>
      <x:c r="Q224" s="37" t="str">
        <x:v>Cash savings</x:v>
      </x:c>
      <x:c r="R224" s="37" t="str">
        <x:v>reduced ROI</x:v>
      </x:c>
      <x:c r="S224" s="37" t="str">
        <x:v>improve consumable supply chain</x:v>
      </x:c>
      <x:c r="T224" s="37" t="str">
        <x:v>o Power++ ZSO Order Intake Automation expansion
o ZSO order improvements backlog 2027
o 72h delivery standard &amp; ordering behaviour - implementation NAR &amp; EU</x:v>
      </x:c>
      <x:c r="U224" s="37" t="str"/>
      <x:c r="V224" s="36" t="str"/>
      <x:c r="W224" s="36" t="str"/>
      <x:c r="X224" s="36"/>
      <x:c r="Y224" s="36" t="str">
        <x:v>NotAssessed</x:v>
      </x:c>
      <x:c r="Z224" s="36" t="str"/>
      <x:c r="AA224" s="36" t="str"/>
      <x:c r="AB224" s="36"/>
      <x:c r="AC224" s="36"/>
      <x:c r="AD224" s="36" t="str"/>
      <x:c r="AE224" s="36" t="str"/>
      <x:c r="AF224" s="36" t="str">
        <x:v>Name and organisation matched</x:v>
      </x:c>
      <x:c r="AG224" s="36" t="str">
        <x:v>Common pot</x:v>
      </x:c>
      <x:c r="AH224" s="36" t="str">
        <x:v>BU Demand!row 525</x:v>
      </x:c>
      <x:c r="AI224" s="36" t="str">
        <x:v>NewFeat</x:v>
      </x:c>
      <x:c r="AJ224" s="36" t="str">
        <x:v>Productivity</x:v>
      </x:c>
      <x:c r="AK224" s="36" t="str">
        <x:v>Must Have</x:v>
      </x:c>
      <x:c r="AL224" s="36" t="n">
        <x:v>0</x:v>
      </x:c>
      <x:c r="AM224" s="36" t="n">
        <x:v>0</x:v>
      </x:c>
      <x:c r="AN224" s="43"/>
      <x:c r="AO224" s="43"/>
      <x:c r="AP224" s="43"/>
    </x:row>
    <x:row r="225" ht="24" hidden="0" customHeight="1">
      <x:c r="A225" s="36" t="str">
        <x:v>Bu-230</x:v>
      </x:c>
      <x:c r="B225" s="37" t="str">
        <x:v>NAM late customization improvements (100K)
Topkal (150K)</x:v>
      </x:c>
      <x:c r="C225" s="36" t="str">
        <x:v>BU Led</x:v>
      </x:c>
      <x:c r="D225" s="36" t="str">
        <x:v>Monitoring - HPM (MCH)</x:v>
      </x:c>
      <x:c r="E225" s="36" t="str"/>
      <x:c r="F225" s="36" t="str">
        <x:v>New Feature</x:v>
      </x:c>
      <x:c r="G225" s="36" t="str">
        <x:v>Productivity savings</x:v>
      </x:c>
      <x:c r="H225" s="36" t="str">
        <x:v>Must Have</x:v>
      </x:c>
      <x:c r="I225" s="36" t="str">
        <x:v>New Initiative</x:v>
      </x:c>
      <x:c r="J225" s="38" t="n">
        <x:v>0.25</x:v>
      </x:c>
      <x:c r="K225" s="38"/>
      <x:c r="L225" s="38"/>
      <x:c r="M225" s="38"/>
      <x:c r="N225" s="38"/>
      <x:c r="O225" s="38" t="n">
        <x:v>1.5</x:v>
      </x:c>
      <x:c r="P225" s="37" t="str">
        <x:v>1500</x:v>
      </x:c>
      <x:c r="Q225" s="37" t="str">
        <x:v>Cash savings</x:v>
      </x:c>
      <x:c r="R225" s="37" t="str">
        <x:v>reduced ROI</x:v>
      </x:c>
      <x:c r="S225" s="37" t="str">
        <x:v>improve consumable supply chain</x:v>
      </x:c>
      <x:c r="T225" s="37" t="str"/>
      <x:c r="U225" s="37" t="str"/>
      <x:c r="V225" s="36" t="str"/>
      <x:c r="W225" s="36" t="str"/>
      <x:c r="X225" s="36"/>
      <x:c r="Y225" s="36" t="str">
        <x:v>NotAssessed</x:v>
      </x:c>
      <x:c r="Z225" s="36" t="str"/>
      <x:c r="AA225" s="36" t="str"/>
      <x:c r="AB225" s="36"/>
      <x:c r="AC225" s="36"/>
      <x:c r="AD225" s="36" t="str"/>
      <x:c r="AE225" s="36" t="str"/>
      <x:c r="AF225" s="36" t="str">
        <x:v>No exact waste match</x:v>
      </x:c>
      <x:c r="AG225" s="36" t="str">
        <x:v>Common pot</x:v>
      </x:c>
      <x:c r="AH225" s="36" t="str">
        <x:v>BU Demand!row 528</x:v>
      </x:c>
      <x:c r="AI225" s="36" t="str">
        <x:v>NewFeat</x:v>
      </x:c>
      <x:c r="AJ225" s="36" t="str">
        <x:v>Productivity</x:v>
      </x:c>
      <x:c r="AK225" s="36" t="str">
        <x:v>Must Have</x:v>
      </x:c>
      <x:c r="AL225" s="36" t="n">
        <x:v>0</x:v>
      </x:c>
      <x:c r="AM225" s="36" t="n">
        <x:v>0</x:v>
      </x:c>
      <x:c r="AN225" s="43"/>
      <x:c r="AO225" s="43"/>
      <x:c r="AP225" s="43"/>
    </x:row>
    <x:row r="226" ht="15" hidden="0" customHeight="1">
      <x:c r="A226" s="36" t="str">
        <x:v>Bu-231</x:v>
      </x:c>
      <x:c r="B226" s="37" t="str">
        <x:v>GBS Collaboration - Order Orchestration (Appian) - Phase 2</x:v>
      </x:c>
      <x:c r="C226" s="36" t="str">
        <x:v>BU Led</x:v>
      </x:c>
      <x:c r="D226" s="36" t="str">
        <x:v>Monitoring - HPM (MCH)</x:v>
      </x:c>
      <x:c r="E226" s="36" t="str"/>
      <x:c r="F226" s="36" t="str">
        <x:v>New Feature</x:v>
      </x:c>
      <x:c r="G226" s="36" t="str">
        <x:v>Productivity savings</x:v>
      </x:c>
      <x:c r="H226" s="36" t="str">
        <x:v>Must Have</x:v>
      </x:c>
      <x:c r="I226" s="36" t="str">
        <x:v>New Initiative</x:v>
      </x:c>
      <x:c r="J226" s="38" t="n">
        <x:v>0.9</x:v>
      </x:c>
      <x:c r="K226" s="38"/>
      <x:c r="L226" s="38"/>
      <x:c r="M226" s="38"/>
      <x:c r="N226" s="38"/>
      <x:c r="O226" s="38" t="n">
        <x:v>9.162</x:v>
      </x:c>
      <x:c r="P226" s="37" t="str">
        <x:v>9162</x:v>
      </x:c>
      <x:c r="Q226" s="37" t="str">
        <x:v>Cash savings</x:v>
      </x:c>
      <x:c r="R226" s="37" t="str">
        <x:v>reduced ROI</x:v>
      </x:c>
      <x:c r="S226" s="37" t="str">
        <x:v>OTIF Impact: Better compliance
stabilize operations, reduce aged stock, and increase
delivery reliability, improving OTIF and customer
satisfaction.</x:v>
      </x:c>
      <x:c r="T226" s="37" t="str">
        <x:v>extend Appian
based order orchestration across the full
Order-to-Cash (O2C) lifecycle, ensuring
transparency, automation, and global
process standardization</x:v>
      </x:c>
      <x:c r="U226" s="37" t="str"/>
      <x:c r="V226" s="36" t="str"/>
      <x:c r="W226" s="36" t="str"/>
      <x:c r="X226" s="36" t="n">
        <x:v>2.15</x:v>
      </x:c>
      <x:c r="Y226" s="36" t="str">
        <x:v>CONTAIN</x:v>
      </x:c>
      <x:c r="Z226" s="36" t="str"/>
      <x:c r="AA226" s="36" t="str"/>
      <x:c r="AB226" s="36"/>
      <x:c r="AC226" s="36"/>
      <x:c r="AD226" s="36" t="str"/>
      <x:c r="AE226" s="36" t="str">
        <x:v>CONTAIN — Conditions</x:v>
      </x:c>
      <x:c r="AF226" s="36" t="str">
        <x:v>Name and organisation matched</x:v>
      </x:c>
      <x:c r="AG226" s="36" t="str">
        <x:v>Common pot</x:v>
      </x:c>
      <x:c r="AH226" s="36" t="str">
        <x:v>BU Demand!row 530</x:v>
      </x:c>
      <x:c r="AI226" s="36" t="str">
        <x:v>NewFeat</x:v>
      </x:c>
      <x:c r="AJ226" s="36" t="str">
        <x:v>Productivity</x:v>
      </x:c>
      <x:c r="AK226" s="36" t="str">
        <x:v>Must Have</x:v>
      </x:c>
      <x:c r="AL226" s="36" t="n">
        <x:v>0</x:v>
      </x:c>
      <x:c r="AM226" s="36" t="n">
        <x:v>0</x:v>
      </x:c>
      <x:c r="AN226" s="43"/>
      <x:c r="AO226" s="43"/>
      <x:c r="AP226" s="43"/>
    </x:row>
    <x:row r="227" ht="15" hidden="0" customHeight="1">
      <x:c r="A227" s="36" t="str">
        <x:v>Bu-232</x:v>
      </x:c>
      <x:c r="B227" s="37" t="str">
        <x:v>DUPLICATE - Circular Lifecycle Solutions and Spare parts delivery </x:v>
      </x:c>
      <x:c r="C227" s="36" t="str">
        <x:v>BU Led</x:v>
      </x:c>
      <x:c r="D227" s="36" t="str">
        <x:v>Monitoring - HPM (MCH)</x:v>
      </x:c>
      <x:c r="E227" s="36" t="str"/>
      <x:c r="F227" s="36" t="str">
        <x:v>New Feature</x:v>
      </x:c>
      <x:c r="G227" s="36" t="str">
        <x:v>Productivity savings</x:v>
      </x:c>
      <x:c r="H227" s="36" t="str"/>
      <x:c r="I227" s="36" t="str">
        <x:v>New Initiative</x:v>
      </x:c>
      <x:c r="J227" s="38" t="n">
        <x:v>0</x:v>
      </x:c>
      <x:c r="K227" s="38"/>
      <x:c r="L227" s="38"/>
      <x:c r="M227" s="38"/>
      <x:c r="N227" s="38"/>
      <x:c r="O227" s="38"/>
      <x:c r="P227" s="37" t="str"/>
      <x:c r="Q227" s="37" t="str">
        <x:v>Cash savings</x:v>
      </x:c>
      <x:c r="R227" s="37" t="str"/>
      <x:c r="S227" s="37" t="str"/>
      <x:c r="T227" s="37" t="str"/>
      <x:c r="U227" s="37" t="str"/>
      <x:c r="V227" s="36" t="str"/>
      <x:c r="W227" s="36" t="str"/>
      <x:c r="X227" s="36"/>
      <x:c r="Y227" s="36" t="str">
        <x:v>NotAssessed</x:v>
      </x:c>
      <x:c r="Z227" s="36" t="str"/>
      <x:c r="AA227" s="36" t="str"/>
      <x:c r="AB227" s="36"/>
      <x:c r="AC227" s="36"/>
      <x:c r="AD227" s="36" t="str"/>
      <x:c r="AE227" s="36" t="str"/>
      <x:c r="AF227" s="36" t="str">
        <x:v>No exact waste match</x:v>
      </x:c>
      <x:c r="AG227" s="36" t="str">
        <x:v>Common pot</x:v>
      </x:c>
      <x:c r="AH227" s="36" t="str">
        <x:v>BU Demand!row 535</x:v>
      </x:c>
      <x:c r="AI227" s="36" t="str">
        <x:v>NewFeat</x:v>
      </x:c>
      <x:c r="AJ227" s="36" t="str">
        <x:v>Productivity</x:v>
      </x:c>
      <x:c r="AK227" s="36" t="str">
        <x:v>Blank</x:v>
      </x:c>
      <x:c r="AL227" s="36" t="n">
        <x:v>0</x:v>
      </x:c>
      <x:c r="AM227" s="36" t="n">
        <x:v>0</x:v>
      </x:c>
      <x:c r="AN227" s="43"/>
      <x:c r="AO227" s="43"/>
      <x:c r="AP227" s="43"/>
    </x:row>
    <x:row r="228" ht="15" hidden="0" customHeight="1">
      <x:c r="A228" s="36" t="str">
        <x:v>Bu-233</x:v>
      </x:c>
      <x:c r="B228" s="37" t="str">
        <x:v>PS cloud Capability Development</x:v>
      </x:c>
      <x:c r="C228" s="36" t="str">
        <x:v>BU Led</x:v>
      </x:c>
      <x:c r="D228" s="36" t="str">
        <x:v>Monitoring - HPM (MCH)</x:v>
      </x:c>
      <x:c r="E228" s="36" t="str"/>
      <x:c r="F228" s="36" t="str">
        <x:v>New Feature</x:v>
      </x:c>
      <x:c r="G228" s="36" t="str">
        <x:v>Productivity savings</x:v>
      </x:c>
      <x:c r="H228" s="36" t="str"/>
      <x:c r="I228" s="36" t="str">
        <x:v>New Initiative</x:v>
      </x:c>
      <x:c r="J228" s="38" t="n">
        <x:v>0.25</x:v>
      </x:c>
      <x:c r="K228" s="38"/>
      <x:c r="L228" s="38"/>
      <x:c r="M228" s="38"/>
      <x:c r="N228" s="38"/>
      <x:c r="O228" s="38"/>
      <x:c r="P228" s="37" t="str"/>
      <x:c r="Q228" s="37" t="str">
        <x:v>Cash savings</x:v>
      </x:c>
      <x:c r="R228" s="37" t="str"/>
      <x:c r="S228" s="37" t="str"/>
      <x:c r="T228" s="37" t="str"/>
      <x:c r="U228" s="37" t="str"/>
      <x:c r="V228" s="36" t="str"/>
      <x:c r="W228" s="36" t="str"/>
      <x:c r="X228" s="36"/>
      <x:c r="Y228" s="36" t="str">
        <x:v>NotAssessed</x:v>
      </x:c>
      <x:c r="Z228" s="36" t="str"/>
      <x:c r="AA228" s="36" t="str"/>
      <x:c r="AB228" s="36"/>
      <x:c r="AC228" s="36"/>
      <x:c r="AD228" s="36" t="str"/>
      <x:c r="AE228" s="36" t="str"/>
      <x:c r="AF228" s="36" t="str">
        <x:v>Name and organisation matched</x:v>
      </x:c>
      <x:c r="AG228" s="36" t="str">
        <x:v>Common pot</x:v>
      </x:c>
      <x:c r="AH228" s="36" t="str">
        <x:v>BU Demand!row 536</x:v>
      </x:c>
      <x:c r="AI228" s="36" t="str">
        <x:v>NewFeat</x:v>
      </x:c>
      <x:c r="AJ228" s="36" t="str">
        <x:v>Productivity</x:v>
      </x:c>
      <x:c r="AK228" s="36" t="str">
        <x:v>Blank</x:v>
      </x:c>
      <x:c r="AL228" s="36" t="n">
        <x:v>0</x:v>
      </x:c>
      <x:c r="AM228" s="36" t="n">
        <x:v>0</x:v>
      </x:c>
      <x:c r="AN228" s="43"/>
      <x:c r="AO228" s="43"/>
      <x:c r="AP228" s="43"/>
    </x:row>
    <x:row r="229" ht="15" hidden="0" customHeight="1">
      <x:c r="A229" s="36" t="str">
        <x:v>Bu-234</x:v>
      </x:c>
      <x:c r="B229" s="37" t="str">
        <x:v>DUPLICATE - Procurement - SC Next</x:v>
      </x:c>
      <x:c r="C229" s="36" t="str">
        <x:v>BU Led</x:v>
      </x:c>
      <x:c r="D229" s="36" t="str">
        <x:v>Monitoring - HPM (MCH)</x:v>
      </x:c>
      <x:c r="E229" s="36" t="str"/>
      <x:c r="F229" s="36" t="str">
        <x:v>New Feature</x:v>
      </x:c>
      <x:c r="G229" s="36" t="str">
        <x:v>Productivity savings</x:v>
      </x:c>
      <x:c r="H229" s="36" t="str"/>
      <x:c r="I229" s="36" t="str">
        <x:v>New Initiative</x:v>
      </x:c>
      <x:c r="J229" s="38" t="n">
        <x:v>0</x:v>
      </x:c>
      <x:c r="K229" s="38"/>
      <x:c r="L229" s="38"/>
      <x:c r="M229" s="38"/>
      <x:c r="N229" s="38"/>
      <x:c r="O229" s="38"/>
      <x:c r="P229" s="37" t="str"/>
      <x:c r="Q229" s="37" t="str">
        <x:v>Cash savings</x:v>
      </x:c>
      <x:c r="R229" s="37" t="str"/>
      <x:c r="S229" s="37" t="str"/>
      <x:c r="T229" s="37" t="str"/>
      <x:c r="U229" s="37" t="str"/>
      <x:c r="V229" s="36" t="str"/>
      <x:c r="W229" s="36" t="str"/>
      <x:c r="X229" s="36"/>
      <x:c r="Y229" s="36" t="str">
        <x:v>NotAssessed</x:v>
      </x:c>
      <x:c r="Z229" s="36" t="str"/>
      <x:c r="AA229" s="36" t="str"/>
      <x:c r="AB229" s="36"/>
      <x:c r="AC229" s="36"/>
      <x:c r="AD229" s="36" t="str"/>
      <x:c r="AE229" s="36" t="str"/>
      <x:c r="AF229" s="36" t="str">
        <x:v>No exact waste match</x:v>
      </x:c>
      <x:c r="AG229" s="36" t="str">
        <x:v>Common pot</x:v>
      </x:c>
      <x:c r="AH229" s="36" t="str">
        <x:v>BU Demand!row 537</x:v>
      </x:c>
      <x:c r="AI229" s="36" t="str">
        <x:v>NewFeat</x:v>
      </x:c>
      <x:c r="AJ229" s="36" t="str">
        <x:v>Productivity</x:v>
      </x:c>
      <x:c r="AK229" s="36" t="str">
        <x:v>Blank</x:v>
      </x:c>
      <x:c r="AL229" s="36" t="n">
        <x:v>0</x:v>
      </x:c>
      <x:c r="AM229" s="36" t="n">
        <x:v>0</x:v>
      </x:c>
      <x:c r="AN229" s="43"/>
      <x:c r="AO229" s="43"/>
      <x:c r="AP229" s="43"/>
    </x:row>
    <x:row r="230" ht="15" hidden="0" customHeight="1">
      <x:c r="A230" s="36" t="str">
        <x:v>Bu-235</x:v>
      </x:c>
      <x:c r="B230" s="37" t="str">
        <x:v>PDUPLICATE - rocurement - Digital Proc</x:v>
      </x:c>
      <x:c r="C230" s="36" t="str">
        <x:v>BU Led</x:v>
      </x:c>
      <x:c r="D230" s="36" t="str">
        <x:v>Monitoring - HPM (MCH)</x:v>
      </x:c>
      <x:c r="E230" s="36" t="str"/>
      <x:c r="F230" s="36" t="str">
        <x:v>New Feature</x:v>
      </x:c>
      <x:c r="G230" s="36" t="str">
        <x:v>Productivity savings</x:v>
      </x:c>
      <x:c r="H230" s="36" t="str"/>
      <x:c r="I230" s="36" t="str">
        <x:v>New Initiative</x:v>
      </x:c>
      <x:c r="J230" s="38" t="n">
        <x:v>0</x:v>
      </x:c>
      <x:c r="K230" s="38"/>
      <x:c r="L230" s="38"/>
      <x:c r="M230" s="38"/>
      <x:c r="N230" s="38"/>
      <x:c r="O230" s="38"/>
      <x:c r="P230" s="37" t="str"/>
      <x:c r="Q230" s="37" t="str">
        <x:v>Cash savings</x:v>
      </x:c>
      <x:c r="R230" s="37" t="str"/>
      <x:c r="S230" s="37" t="str"/>
      <x:c r="T230" s="37" t="str"/>
      <x:c r="U230" s="37" t="str"/>
      <x:c r="V230" s="36" t="str"/>
      <x:c r="W230" s="36" t="str"/>
      <x:c r="X230" s="36"/>
      <x:c r="Y230" s="36" t="str">
        <x:v>NotAssessed</x:v>
      </x:c>
      <x:c r="Z230" s="36" t="str"/>
      <x:c r="AA230" s="36" t="str"/>
      <x:c r="AB230" s="36"/>
      <x:c r="AC230" s="36"/>
      <x:c r="AD230" s="36" t="str"/>
      <x:c r="AE230" s="36" t="str"/>
      <x:c r="AF230" s="36" t="str">
        <x:v>No exact waste match</x:v>
      </x:c>
      <x:c r="AG230" s="36" t="str">
        <x:v>Common pot</x:v>
      </x:c>
      <x:c r="AH230" s="36" t="str">
        <x:v>BU Demand!row 538</x:v>
      </x:c>
      <x:c r="AI230" s="36" t="str">
        <x:v>NewFeat</x:v>
      </x:c>
      <x:c r="AJ230" s="36" t="str">
        <x:v>Productivity</x:v>
      </x:c>
      <x:c r="AK230" s="36" t="str">
        <x:v>Blank</x:v>
      </x:c>
      <x:c r="AL230" s="36" t="n">
        <x:v>0</x:v>
      </x:c>
      <x:c r="AM230" s="36" t="n">
        <x:v>0</x:v>
      </x:c>
      <x:c r="AN230" s="43"/>
      <x:c r="AO230" s="43"/>
      <x:c r="AP230" s="43"/>
    </x:row>
    <x:row r="231" ht="15" hidden="0" customHeight="1">
      <x:c r="A231" s="36" t="str">
        <x:v>Bu-236</x:v>
      </x:c>
      <x:c r="B231" s="37" t="str">
        <x:v>DUPLICATE - Procurement - SW Transformation</x:v>
      </x:c>
      <x:c r="C231" s="36" t="str">
        <x:v>BU Led</x:v>
      </x:c>
      <x:c r="D231" s="36" t="str">
        <x:v>Monitoring - HPM (MCH)</x:v>
      </x:c>
      <x:c r="E231" s="36" t="str"/>
      <x:c r="F231" s="36" t="str">
        <x:v>New Feature</x:v>
      </x:c>
      <x:c r="G231" s="36" t="str">
        <x:v>Productivity savings</x:v>
      </x:c>
      <x:c r="H231" s="36" t="str"/>
      <x:c r="I231" s="36" t="str">
        <x:v>New Initiative</x:v>
      </x:c>
      <x:c r="J231" s="38" t="n">
        <x:v>0</x:v>
      </x:c>
      <x:c r="K231" s="38"/>
      <x:c r="L231" s="38"/>
      <x:c r="M231" s="38"/>
      <x:c r="N231" s="38"/>
      <x:c r="O231" s="38"/>
      <x:c r="P231" s="37" t="str"/>
      <x:c r="Q231" s="37" t="str">
        <x:v>Cash savings</x:v>
      </x:c>
      <x:c r="R231" s="37" t="str"/>
      <x:c r="S231" s="37" t="str"/>
      <x:c r="T231" s="37" t="str"/>
      <x:c r="U231" s="37" t="str"/>
      <x:c r="V231" s="36" t="str"/>
      <x:c r="W231" s="36" t="str"/>
      <x:c r="X231" s="36"/>
      <x:c r="Y231" s="36" t="str">
        <x:v>NotAssessed</x:v>
      </x:c>
      <x:c r="Z231" s="36" t="str"/>
      <x:c r="AA231" s="36" t="str"/>
      <x:c r="AB231" s="36"/>
      <x:c r="AC231" s="36"/>
      <x:c r="AD231" s="36" t="str"/>
      <x:c r="AE231" s="36" t="str"/>
      <x:c r="AF231" s="36" t="str">
        <x:v>No exact waste match</x:v>
      </x:c>
      <x:c r="AG231" s="36" t="str">
        <x:v>Common pot</x:v>
      </x:c>
      <x:c r="AH231" s="36" t="str">
        <x:v>BU Demand!row 539</x:v>
      </x:c>
      <x:c r="AI231" s="36" t="str">
        <x:v>NewFeat</x:v>
      </x:c>
      <x:c r="AJ231" s="36" t="str">
        <x:v>Productivity</x:v>
      </x:c>
      <x:c r="AK231" s="36" t="str">
        <x:v>Blank</x:v>
      </x:c>
      <x:c r="AL231" s="36" t="n">
        <x:v>0</x:v>
      </x:c>
      <x:c r="AM231" s="36" t="n">
        <x:v>0</x:v>
      </x:c>
      <x:c r="AN231" s="43"/>
      <x:c r="AO231" s="43"/>
      <x:c r="AP231" s="43"/>
    </x:row>
    <x:row r="232" ht="15" hidden="0" customHeight="1">
      <x:c r="A232" s="36" t="str">
        <x:v>Bu-237</x:v>
      </x:c>
      <x:c r="B232" s="37" t="str">
        <x:v>3PP</x:v>
      </x:c>
      <x:c r="C232" s="36" t="str">
        <x:v>BU Led</x:v>
      </x:c>
      <x:c r="D232" s="36" t="str">
        <x:v>Monitoring - HPM (MCH)</x:v>
      </x:c>
      <x:c r="E232" s="36" t="str"/>
      <x:c r="F232" s="36" t="str">
        <x:v>New Feature</x:v>
      </x:c>
      <x:c r="G232" s="36" t="str">
        <x:v>Productivity savings</x:v>
      </x:c>
      <x:c r="H232" s="36" t="str">
        <x:v>Must Have</x:v>
      </x:c>
      <x:c r="I232" s="36" t="str">
        <x:v>New Initiative</x:v>
      </x:c>
      <x:c r="J232" s="38" t="n">
        <x:v>0.5</x:v>
      </x:c>
      <x:c r="K232" s="38"/>
      <x:c r="L232" s="38"/>
      <x:c r="M232" s="38"/>
      <x:c r="N232" s="38"/>
      <x:c r="O232" s="38" t="n">
        <x:v>2.5</x:v>
      </x:c>
      <x:c r="P232" s="37" t="str">
        <x:v>2500</x:v>
      </x:c>
      <x:c r="Q232" s="37" t="str">
        <x:v>Cash savings</x:v>
      </x:c>
      <x:c r="R232" s="37" t="str">
        <x:v>reduced ROI</x:v>
      </x:c>
      <x:c r="S232" s="37" t="str">
        <x:v> 3rd party products productivity</x:v>
      </x:c>
      <x:c r="T232" s="37" t="str">
        <x:v>automate HPM specific 3rd party products creation in MP2</x:v>
      </x:c>
      <x:c r="U232" s="37" t="str"/>
      <x:c r="V232" s="36" t="str"/>
      <x:c r="W232" s="36" t="str"/>
      <x:c r="X232" s="36" t="n">
        <x:v>1.5</x:v>
      </x:c>
      <x:c r="Y232" s="36" t="str">
        <x:v>HEALTHY</x:v>
      </x:c>
      <x:c r="Z232" s="36" t="str"/>
      <x:c r="AA232" s="36" t="str"/>
      <x:c r="AB232" s="36"/>
      <x:c r="AC232" s="36"/>
      <x:c r="AD232" s="36" t="str"/>
      <x:c r="AE232" s="36" t="str">
        <x:v>HEALTHY — Rank in priority matrix</x:v>
      </x:c>
      <x:c r="AF232" s="36" t="str">
        <x:v>Name and organisation matched</x:v>
      </x:c>
      <x:c r="AG232" s="36" t="str">
        <x:v>Common pot</x:v>
      </x:c>
      <x:c r="AH232" s="36" t="str">
        <x:v>BU Demand!row 540</x:v>
      </x:c>
      <x:c r="AI232" s="36" t="str">
        <x:v>NewFeat</x:v>
      </x:c>
      <x:c r="AJ232" s="36" t="str">
        <x:v>Productivity</x:v>
      </x:c>
      <x:c r="AK232" s="36" t="str">
        <x:v>Must Have</x:v>
      </x:c>
      <x:c r="AL232" s="36" t="n">
        <x:v>0</x:v>
      </x:c>
      <x:c r="AM232" s="36" t="n">
        <x:v>0</x:v>
      </x:c>
      <x:c r="AN232" s="43"/>
      <x:c r="AO232" s="43"/>
      <x:c r="AP232" s="43"/>
    </x:row>
    <x:row r="233" ht="15" hidden="0" customHeight="1">
      <x:c r="A233" s="36" t="str">
        <x:v>Bu-238</x:v>
      </x:c>
      <x:c r="B233" s="37" t="str">
        <x:v>DUPLICATE - Direct Procurement</x:v>
      </x:c>
      <x:c r="C233" s="36" t="str">
        <x:v>BU Led</x:v>
      </x:c>
      <x:c r="D233" s="36" t="str">
        <x:v>Monitoring - HPM (MCH)</x:v>
      </x:c>
      <x:c r="E233" s="36" t="str"/>
      <x:c r="F233" s="36" t="str">
        <x:v>New Feature</x:v>
      </x:c>
      <x:c r="G233" s="36" t="str">
        <x:v>Productivity savings</x:v>
      </x:c>
      <x:c r="H233" s="36" t="str">
        <x:v>Deprioritised</x:v>
      </x:c>
      <x:c r="I233" s="36" t="str">
        <x:v>New Initiative</x:v>
      </x:c>
      <x:c r="J233" s="38" t="n">
        <x:v>0</x:v>
      </x:c>
      <x:c r="K233" s="38"/>
      <x:c r="L233" s="38"/>
      <x:c r="M233" s="38"/>
      <x:c r="N233" s="38"/>
      <x:c r="O233" s="38"/>
      <x:c r="P233" s="37" t="str"/>
      <x:c r="Q233" s="37" t="str">
        <x:v>Cash savings</x:v>
      </x:c>
      <x:c r="R233" s="37" t="str"/>
      <x:c r="S233" s="37" t="str"/>
      <x:c r="T233" s="37" t="str"/>
      <x:c r="U233" s="37" t="str"/>
      <x:c r="V233" s="36" t="str"/>
      <x:c r="W233" s="36" t="str"/>
      <x:c r="X233" s="36"/>
      <x:c r="Y233" s="36" t="str">
        <x:v>NotAssessed</x:v>
      </x:c>
      <x:c r="Z233" s="36" t="str"/>
      <x:c r="AA233" s="36" t="str"/>
      <x:c r="AB233" s="36"/>
      <x:c r="AC233" s="36"/>
      <x:c r="AD233" s="36" t="str"/>
      <x:c r="AE233" s="36" t="str"/>
      <x:c r="AF233" s="36" t="str">
        <x:v>No exact waste match</x:v>
      </x:c>
      <x:c r="AG233" s="36" t="str">
        <x:v>Common pot</x:v>
      </x:c>
      <x:c r="AH233" s="36" t="str">
        <x:v>BU Demand!row 541</x:v>
      </x:c>
      <x:c r="AI233" s="36" t="str">
        <x:v>NewFeat</x:v>
      </x:c>
      <x:c r="AJ233" s="36" t="str">
        <x:v>Productivity</x:v>
      </x:c>
      <x:c r="AK233" s="36" t="str">
        <x:v>Depri</x:v>
      </x:c>
      <x:c r="AL233" s="36" t="n">
        <x:v>0</x:v>
      </x:c>
      <x:c r="AM233" s="36" t="n">
        <x:v>0</x:v>
      </x:c>
      <x:c r="AN233" s="43"/>
      <x:c r="AO233" s="43"/>
      <x:c r="AP233" s="43"/>
    </x:row>
    <x:row r="234" ht="15" hidden="0" customHeight="1">
      <x:c r="A234" s="36" t="str">
        <x:v>Bu-239</x:v>
      </x:c>
      <x:c r="B234" s="37" t="str">
        <x:v>Topkal</x:v>
      </x:c>
      <x:c r="C234" s="36" t="str">
        <x:v>BU Led</x:v>
      </x:c>
      <x:c r="D234" s="36" t="str">
        <x:v>Monitoring - HPM (MCH)</x:v>
      </x:c>
      <x:c r="E234" s="36" t="str"/>
      <x:c r="F234" s="36" t="str">
        <x:v>New Feature</x:v>
      </x:c>
      <x:c r="G234" s="36" t="str">
        <x:v>Productivity savings</x:v>
      </x:c>
      <x:c r="H234" s="36" t="str">
        <x:v>Deprioritised</x:v>
      </x:c>
      <x:c r="I234" s="36" t="str">
        <x:v>New Initiative</x:v>
      </x:c>
      <x:c r="J234" s="38" t="n">
        <x:v>0</x:v>
      </x:c>
      <x:c r="K234" s="38"/>
      <x:c r="L234" s="38"/>
      <x:c r="M234" s="38"/>
      <x:c r="N234" s="38"/>
      <x:c r="O234" s="38"/>
      <x:c r="P234" s="37" t="str"/>
      <x:c r="Q234" s="37" t="str">
        <x:v>Cash savings</x:v>
      </x:c>
      <x:c r="R234" s="37" t="str"/>
      <x:c r="S234" s="37" t="str">
        <x:v>sales  of Commercial off the shelf productivity</x:v>
      </x:c>
      <x:c r="T234" s="37" t="str">
        <x:v>introduce vitual factory / third-party-payer model</x:v>
      </x:c>
      <x:c r="U234" s="37" t="str"/>
      <x:c r="V234" s="36" t="str"/>
      <x:c r="W234" s="36" t="str"/>
      <x:c r="X234" s="36"/>
      <x:c r="Y234" s="36" t="str">
        <x:v>NotAssessed</x:v>
      </x:c>
      <x:c r="Z234" s="36" t="str"/>
      <x:c r="AA234" s="36" t="str"/>
      <x:c r="AB234" s="36"/>
      <x:c r="AC234" s="36"/>
      <x:c r="AD234" s="36" t="str"/>
      <x:c r="AE234" s="36" t="str"/>
      <x:c r="AF234" s="36" t="str">
        <x:v>Name and organisation matched</x:v>
      </x:c>
      <x:c r="AG234" s="36" t="str">
        <x:v>Common pot</x:v>
      </x:c>
      <x:c r="AH234" s="36" t="str">
        <x:v>BU Demand!row 542</x:v>
      </x:c>
      <x:c r="AI234" s="36" t="str">
        <x:v>NewFeat</x:v>
      </x:c>
      <x:c r="AJ234" s="36" t="str">
        <x:v>Productivity</x:v>
      </x:c>
      <x:c r="AK234" s="36" t="str">
        <x:v>Depri</x:v>
      </x:c>
      <x:c r="AL234" s="36" t="n">
        <x:v>0</x:v>
      </x:c>
      <x:c r="AM234" s="36" t="n">
        <x:v>0</x:v>
      </x:c>
      <x:c r="AN234" s="43"/>
      <x:c r="AO234" s="43"/>
      <x:c r="AP234" s="43"/>
    </x:row>
    <x:row r="235" ht="15" hidden="0" customHeight="1">
      <x:c r="A235" s="36" t="str">
        <x:v>Bu-240</x:v>
      </x:c>
      <x:c r="B235" s="37" t="str">
        <x:v>ConfigIT - Transforming our Configure to Deliver Landscape</x:v>
      </x:c>
      <x:c r="C235" s="36" t="str">
        <x:v>BU Led</x:v>
      </x:c>
      <x:c r="D235" s="36" t="str">
        <x:v>Precision Diagnosis - Magnetic Resonance (MR)</x:v>
      </x:c>
      <x:c r="E235" s="36" t="str">
        <x:v>1007822</x:v>
      </x:c>
      <x:c r="F235" s="36" t="str">
        <x:v>New Feature</x:v>
      </x:c>
      <x:c r="G235" s="36" t="str">
        <x:v>Process simplification/ efficiency gain</x:v>
      </x:c>
      <x:c r="H235" s="36" t="str">
        <x:v>Must Do</x:v>
      </x:c>
      <x:c r="I235" s="36" t="str">
        <x:v>Carry Over</x:v>
      </x:c>
      <x:c r="J235" s="38" t="n">
        <x:v>0.99</x:v>
      </x:c>
      <x:c r="K235" s="38"/>
      <x:c r="L235" s="38"/>
      <x:c r="M235" s="38"/>
      <x:c r="N235" s="38"/>
      <x:c r="O235" s="38"/>
      <x:c r="P235" s="37" t="str"/>
      <x:c r="Q235" s="37" t="str">
        <x:v>Cash savings</x:v>
      </x:c>
      <x:c r="R235" s="37" t="str"/>
      <x:c r="S235" s="37" t="str"/>
      <x:c r="T235" s="37" t="str">
        <x:v>Phase 2 scope
Must haves for BGL
ConfigIT SW configuration:
* Software view of the product and linkage to applicable (one or many) main system products (6NC).
* SW characteristics management in terms of types of 7ANs e.g. SW features, SW release, SW input items, etc.
* SW Ownership: 1. Philips 2. External (3rd Party)
* Licensing model: 1. Perpetual (One Time) 2. Termed (Subscription) (Recurring)</x:v>
      </x:c>
      <x:c r="U235" s="37" t="str"/>
      <x:c r="V235" s="36" t="str"/>
      <x:c r="W235" s="36" t="str"/>
      <x:c r="X235" s="36"/>
      <x:c r="Y235" s="36" t="str">
        <x:v>NotAssessed</x:v>
      </x:c>
      <x:c r="Z235" s="36" t="str"/>
      <x:c r="AA235" s="36" t="str"/>
      <x:c r="AB235" s="36"/>
      <x:c r="AC235" s="36"/>
      <x:c r="AD235" s="36" t="str"/>
      <x:c r="AE235" s="36" t="str"/>
      <x:c r="AF235" s="36" t="str">
        <x:v>Name and organisation matched</x:v>
      </x:c>
      <x:c r="AG235" s="36" t="str">
        <x:v>Common pot</x:v>
      </x:c>
      <x:c r="AH235" s="36" t="str">
        <x:v>BU Demand!row 543</x:v>
      </x:c>
      <x:c r="AI235" s="36" t="str">
        <x:v>NewFeat</x:v>
      </x:c>
      <x:c r="AJ235" s="36" t="str">
        <x:v>ProcSimp</x:v>
      </x:c>
      <x:c r="AK235" s="36" t="str">
        <x:v>Must Do</x:v>
      </x:c>
      <x:c r="AL235" s="36" t="n">
        <x:v>0</x:v>
      </x:c>
      <x:c r="AM235" s="36" t="n">
        <x:v>0</x:v>
      </x:c>
      <x:c r="AN235" s="43"/>
      <x:c r="AO235" s="43"/>
      <x:c r="AP235" s="43"/>
    </x:row>
    <x:row r="236" ht="15" hidden="0" customHeight="1">
      <x:c r="A236" s="36" t="str">
        <x:v>Bu-241</x:v>
      </x:c>
      <x:c r="B236" s="37" t="str">
        <x:v>Atlas (Regional Merge Center) — IT sap System</x:v>
      </x:c>
      <x:c r="C236" s="36" t="str">
        <x:v>BU Led</x:v>
      </x:c>
      <x:c r="D236" s="36" t="str">
        <x:v>Precision Diagnosis - Magnetic Resonance (MR)</x:v>
      </x:c>
      <x:c r="E236" s="36" t="str"/>
      <x:c r="F236" s="36" t="str">
        <x:v>New Technology</x:v>
      </x:c>
      <x:c r="G236" s="36" t="str">
        <x:v>Productivity savings</x:v>
      </x:c>
      <x:c r="H236" s="36" t="str">
        <x:v>Must Do</x:v>
      </x:c>
      <x:c r="I236" s="36" t="str">
        <x:v>New Initiative</x:v>
      </x:c>
      <x:c r="J236" s="38" t="n">
        <x:v>0.05</x:v>
      </x:c>
      <x:c r="K236" s="38"/>
      <x:c r="L236" s="38"/>
      <x:c r="M236" s="38"/>
      <x:c r="N236" s="38"/>
      <x:c r="O236" s="38"/>
      <x:c r="P236" s="37" t="str"/>
      <x:c r="Q236" s="37" t="str">
        <x:v>Cash savings</x:v>
      </x:c>
      <x:c r="R236" s="37" t="str"/>
      <x:c r="S236" s="37" t="str"/>
      <x:c r="T236" s="37" t="str">
        <x:v>Regional Merge Center IT application to ensure operation and merge in the market</x:v>
      </x:c>
      <x:c r="U236" s="37" t="str"/>
      <x:c r="V236" s="36" t="str"/>
      <x:c r="W236" s="36" t="str"/>
      <x:c r="X236" s="36"/>
      <x:c r="Y236" s="36" t="str">
        <x:v>NotAssessed</x:v>
      </x:c>
      <x:c r="Z236" s="36" t="str"/>
      <x:c r="AA236" s="36" t="str"/>
      <x:c r="AB236" s="36"/>
      <x:c r="AC236" s="36"/>
      <x:c r="AD236" s="36" t="str"/>
      <x:c r="AE236" s="36" t="str"/>
      <x:c r="AF236" s="36" t="str">
        <x:v>Name and organisation matched</x:v>
      </x:c>
      <x:c r="AG236" s="36" t="str">
        <x:v>Common pot</x:v>
      </x:c>
      <x:c r="AH236" s="36" t="str">
        <x:v>BU Demand!row 550</x:v>
      </x:c>
      <x:c r="AI236" s="36" t="str">
        <x:v>NewTech</x:v>
      </x:c>
      <x:c r="AJ236" s="36" t="str">
        <x:v>Productivity</x:v>
      </x:c>
      <x:c r="AK236" s="36" t="str">
        <x:v>Must Do</x:v>
      </x:c>
      <x:c r="AL236" s="36" t="n">
        <x:v>0</x:v>
      </x:c>
      <x:c r="AM236" s="36" t="n">
        <x:v>0</x:v>
      </x:c>
      <x:c r="AN236" s="43"/>
      <x:c r="AO236" s="43"/>
      <x:c r="AP236" s="43"/>
    </x:row>
    <x:row r="237" ht="15" hidden="0" customHeight="1">
      <x:c r="A237" s="36" t="str">
        <x:v>Bu-242</x:v>
      </x:c>
      <x:c r="B237" s="37" t="str">
        <x:v>Entreperner flow Iray -SPS</x:v>
      </x:c>
      <x:c r="C237" s="36" t="str">
        <x:v>BU Led</x:v>
      </x:c>
      <x:c r="D237" s="36" t="str">
        <x:v>Precision Diagnosis - Magnetic Resonance (MR)</x:v>
      </x:c>
      <x:c r="E237" s="36" t="str"/>
      <x:c r="F237" s="36" t="str">
        <x:v>New Feature</x:v>
      </x:c>
      <x:c r="G237" s="36" t="str">
        <x:v>Compliance/Keeping the lights on</x:v>
      </x:c>
      <x:c r="H237" s="36" t="str">
        <x:v>Must Have</x:v>
      </x:c>
      <x:c r="I237" s="36" t="str">
        <x:v>New Initiative</x:v>
      </x:c>
      <x:c r="J237" s="38" t="n">
        <x:v>0.1</x:v>
      </x:c>
      <x:c r="K237" s="38"/>
      <x:c r="L237" s="38"/>
      <x:c r="M237" s="38"/>
      <x:c r="N237" s="38"/>
      <x:c r="O237" s="38"/>
      <x:c r="P237" s="37" t="str"/>
      <x:c r="Q237" s="37" t="str">
        <x:v>Risk exposure</x:v>
      </x:c>
      <x:c r="R237" s="37" t="str"/>
      <x:c r="S237" s="37" t="str"/>
      <x:c r="T237" s="37" t="str">
        <x:v>New OEM Supplier introduction - SPS flow setting</x:v>
      </x:c>
      <x:c r="U237" s="37" t="str"/>
      <x:c r="V237" s="36" t="str"/>
      <x:c r="W237" s="36" t="str"/>
      <x:c r="X237" s="36"/>
      <x:c r="Y237" s="36" t="str">
        <x:v>NotAssessed</x:v>
      </x:c>
      <x:c r="Z237" s="36" t="str"/>
      <x:c r="AA237" s="36" t="str"/>
      <x:c r="AB237" s="36"/>
      <x:c r="AC237" s="36"/>
      <x:c r="AD237" s="36" t="str"/>
      <x:c r="AE237" s="36" t="str"/>
      <x:c r="AF237" s="36" t="str">
        <x:v>Name and organisation matched</x:v>
      </x:c>
      <x:c r="AG237" s="36" t="str">
        <x:v>Common pot</x:v>
      </x:c>
      <x:c r="AH237" s="36" t="str">
        <x:v>BU Demand!row 551</x:v>
      </x:c>
      <x:c r="AI237" s="36" t="str">
        <x:v>NewFeat</x:v>
      </x:c>
      <x:c r="AJ237" s="36" t="str">
        <x:v>Compliance</x:v>
      </x:c>
      <x:c r="AK237" s="36" t="str">
        <x:v>Must Have</x:v>
      </x:c>
      <x:c r="AL237" s="36" t="n">
        <x:v>0</x:v>
      </x:c>
      <x:c r="AM237" s="36" t="n">
        <x:v>0</x:v>
      </x:c>
      <x:c r="AN237" s="43"/>
      <x:c r="AO237" s="43"/>
      <x:c r="AP237" s="43"/>
    </x:row>
    <x:row r="238" ht="15" hidden="0" customHeight="1">
      <x:c r="A238" s="36" t="str">
        <x:v>Bu-243</x:v>
      </x:c>
      <x:c r="B238" s="37" t="str">
        <x:v>DEFOA Iray  OEM 1EMS IT structure</x:v>
      </x:c>
      <x:c r="C238" s="36" t="str">
        <x:v>BU Led</x:v>
      </x:c>
      <x:c r="D238" s="36" t="str">
        <x:v>Precision Diagnosis - Magnetic Resonance (MR)</x:v>
      </x:c>
      <x:c r="E238" s="36" t="str"/>
      <x:c r="F238" s="36" t="str">
        <x:v>New Feature</x:v>
      </x:c>
      <x:c r="G238" s="36" t="str">
        <x:v>Compliance/Keeping the lights on</x:v>
      </x:c>
      <x:c r="H238" s="36" t="str">
        <x:v>Must Have</x:v>
      </x:c>
      <x:c r="I238" s="36" t="str">
        <x:v>New Initiative</x:v>
      </x:c>
      <x:c r="J238" s="38" t="n">
        <x:v>0.05</x:v>
      </x:c>
      <x:c r="K238" s="38"/>
      <x:c r="L238" s="38"/>
      <x:c r="M238" s="38"/>
      <x:c r="N238" s="38"/>
      <x:c r="O238" s="38"/>
      <x:c r="P238" s="37" t="str"/>
      <x:c r="Q238" s="37" t="str">
        <x:v>Risk exposure</x:v>
      </x:c>
      <x:c r="R238" s="37" t="str"/>
      <x:c r="S238" s="37" t="str"/>
      <x:c r="T238" s="37" t="str">
        <x:v>New OEM Supplier introduction - Defoa Process flow setting</x:v>
      </x:c>
      <x:c r="U238" s="37" t="str"/>
      <x:c r="V238" s="36" t="str"/>
      <x:c r="W238" s="36" t="str"/>
      <x:c r="X238" s="36"/>
      <x:c r="Y238" s="36" t="str">
        <x:v>NotAssessed</x:v>
      </x:c>
      <x:c r="Z238" s="36" t="str"/>
      <x:c r="AA238" s="36" t="str"/>
      <x:c r="AB238" s="36"/>
      <x:c r="AC238" s="36"/>
      <x:c r="AD238" s="36" t="str"/>
      <x:c r="AE238" s="36" t="str"/>
      <x:c r="AF238" s="36" t="str">
        <x:v>No exact waste match</x:v>
      </x:c>
      <x:c r="AG238" s="36" t="str">
        <x:v>Common pot</x:v>
      </x:c>
      <x:c r="AH238" s="36" t="str">
        <x:v>BU Demand!row 552</x:v>
      </x:c>
      <x:c r="AI238" s="36" t="str">
        <x:v>NewFeat</x:v>
      </x:c>
      <x:c r="AJ238" s="36" t="str">
        <x:v>Compliance</x:v>
      </x:c>
      <x:c r="AK238" s="36" t="str">
        <x:v>Must Have</x:v>
      </x:c>
      <x:c r="AL238" s="36" t="n">
        <x:v>0</x:v>
      </x:c>
      <x:c r="AM238" s="36" t="n">
        <x:v>0</x:v>
      </x:c>
      <x:c r="AN238" s="43"/>
      <x:c r="AO238" s="43"/>
      <x:c r="AP238" s="43"/>
    </x:row>
    <x:row r="239" ht="15" hidden="0" customHeight="1">
      <x:c r="A239" s="36" t="str">
        <x:v>Bu-244</x:v>
      </x:c>
      <x:c r="B239" s="37" t="str">
        <x:v>ORU split to separate Manufactruing to Entrepner activities</x:v>
      </x:c>
      <x:c r="C239" s="36" t="str">
        <x:v>BU Led</x:v>
      </x:c>
      <x:c r="D239" s="36" t="str">
        <x:v>Precision Diagnosis - Digital X-ray Radiogrammetry (DXR)</x:v>
      </x:c>
      <x:c r="E239" s="36" t="str"/>
      <x:c r="F239" s="36" t="str">
        <x:v>Legal Fiscal, Regulatory &amp; Compliancy</x:v>
      </x:c>
      <x:c r="G239" s="36" t="str">
        <x:v>Compliance/Keeping the lights on</x:v>
      </x:c>
      <x:c r="H239" s="36" t="str">
        <x:v>Must Have</x:v>
      </x:c>
      <x:c r="I239" s="36" t="str">
        <x:v>New Initiative</x:v>
      </x:c>
      <x:c r="J239" s="38" t="n">
        <x:v>0.9</x:v>
      </x:c>
      <x:c r="K239" s="38"/>
      <x:c r="L239" s="38"/>
      <x:c r="M239" s="38"/>
      <x:c r="N239" s="38"/>
      <x:c r="O239" s="38" t="n">
        <x:v>1</x:v>
      </x:c>
      <x:c r="P239" s="37" t="str">
        <x:v>1000</x:v>
      </x:c>
      <x:c r="Q239" s="37" t="str">
        <x:v>Risk exposure</x:v>
      </x:c>
      <x:c r="R239" s="37" t="str">
        <x:v>Atlas BC supports this. Avoid custom, tax and audit impact between internal facotry and enterpreneur entity. Create a compliant system that alloud separate audithability of manufacturing and enterpreneur ORU</x:v>
      </x:c>
      <x:c r="S239" s="37" t="str">
        <x:v>DXR is enaging in enterprenpreneur activities and to ensure separation between manufacturing and enterpreneur activities an ORU split is required to ensure custom to audit separately the two areas</x:v>
      </x:c>
      <x:c r="T239" s="37" t="str">
        <x:v>Required for Regional Merge Center to ensure auditability by US custom Authorities</x:v>
      </x:c>
      <x:c r="U239" s="37" t="str"/>
      <x:c r="V239" s="36" t="str"/>
      <x:c r="W239" s="36" t="str"/>
      <x:c r="X239" s="36"/>
      <x:c r="Y239" s="36" t="str">
        <x:v>NotAssessed</x:v>
      </x:c>
      <x:c r="Z239" s="36" t="str"/>
      <x:c r="AA239" s="36" t="str"/>
      <x:c r="AB239" s="36"/>
      <x:c r="AC239" s="36"/>
      <x:c r="AD239" s="36" t="str"/>
      <x:c r="AE239" s="36" t="str"/>
      <x:c r="AF239" s="36" t="str">
        <x:v>No exact waste match</x:v>
      </x:c>
      <x:c r="AG239" s="36" t="str">
        <x:v>Common pot</x:v>
      </x:c>
      <x:c r="AH239" s="36" t="str">
        <x:v>BU Demand!row 553</x:v>
      </x:c>
      <x:c r="AI239" s="36" t="str">
        <x:v>LFR</x:v>
      </x:c>
      <x:c r="AJ239" s="36" t="str">
        <x:v>Compliance</x:v>
      </x:c>
      <x:c r="AK239" s="36" t="str">
        <x:v>Must Have</x:v>
      </x:c>
      <x:c r="AL239" s="36" t="n">
        <x:v>0</x:v>
      </x:c>
      <x:c r="AM239" s="36" t="n">
        <x:v>0</x:v>
      </x:c>
      <x:c r="AN239" s="43"/>
      <x:c r="AO239" s="43"/>
      <x:c r="AP239" s="43"/>
    </x:row>
    <x:row r="240" ht="15" hidden="0" customHeight="1">
      <x:c r="A240" s="36" t="str">
        <x:v>Bu-245</x:v>
      </x:c>
      <x:c r="B240" s="37" t="str">
        <x:v>DEFOA Brain AI program</x:v>
      </x:c>
      <x:c r="C240" s="36" t="str">
        <x:v>BU Led</x:v>
      </x:c>
      <x:c r="D240" s="36" t="str">
        <x:v>Precision Diagnosis - Magnetic Resonance (MR)</x:v>
      </x:c>
      <x:c r="E240" s="36" t="str"/>
      <x:c r="F240" s="36" t="str">
        <x:v>AI Enablement</x:v>
      </x:c>
      <x:c r="G240" s="36" t="str">
        <x:v>Compliance/Keeping the lights on</x:v>
      </x:c>
      <x:c r="H240" s="36" t="str">
        <x:v>Must Have</x:v>
      </x:c>
      <x:c r="I240" s="36" t="str">
        <x:v>New Initiative</x:v>
      </x:c>
      <x:c r="J240" s="38" t="n">
        <x:v>0.08</x:v>
      </x:c>
      <x:c r="K240" s="38"/>
      <x:c r="L240" s="38"/>
      <x:c r="M240" s="38"/>
      <x:c r="N240" s="38"/>
      <x:c r="O240" s="38"/>
      <x:c r="P240" s="37" t="str"/>
      <x:c r="Q240" s="37" t="str">
        <x:v>Risk exposure</x:v>
      </x:c>
      <x:c r="R240" s="37" t="str"/>
      <x:c r="S240" s="37" t="str"/>
      <x:c r="T240" s="37" t="str">
        <x:v>AI Agent that will aloud research all levels of BOM till part level. It is defined to support Market DEFOA in Installation (Missing and lost)</x:v>
      </x:c>
      <x:c r="U240" s="37" t="str"/>
      <x:c r="V240" s="36" t="str"/>
      <x:c r="W240" s="36" t="str"/>
      <x:c r="X240" s="36"/>
      <x:c r="Y240" s="36" t="str">
        <x:v>NotAssessed</x:v>
      </x:c>
      <x:c r="Z240" s="36" t="str"/>
      <x:c r="AA240" s="36" t="str"/>
      <x:c r="AB240" s="36"/>
      <x:c r="AC240" s="36"/>
      <x:c r="AD240" s="36" t="str"/>
      <x:c r="AE240" s="36" t="str"/>
      <x:c r="AF240" s="36" t="str">
        <x:v>Name and organisation matched</x:v>
      </x:c>
      <x:c r="AG240" s="36" t="str">
        <x:v>Common pot</x:v>
      </x:c>
      <x:c r="AH240" s="36" t="str">
        <x:v>BU Demand!row 554</x:v>
      </x:c>
      <x:c r="AI240" s="36" t="str">
        <x:v>AI</x:v>
      </x:c>
      <x:c r="AJ240" s="36" t="str">
        <x:v>Compliance</x:v>
      </x:c>
      <x:c r="AK240" s="36" t="str">
        <x:v>Must Have</x:v>
      </x:c>
      <x:c r="AL240" s="36" t="n">
        <x:v>0</x:v>
      </x:c>
      <x:c r="AM240" s="36" t="n">
        <x:v>0</x:v>
      </x:c>
      <x:c r="AN240" s="43"/>
      <x:c r="AO240" s="43"/>
      <x:c r="AP240" s="43"/>
    </x:row>
    <x:row r="241" ht="15" hidden="0" customHeight="1">
      <x:c r="A241" s="36" t="str">
        <x:v>Bu-246</x:v>
      </x:c>
      <x:c r="B241" s="37" t="str">
        <x:v>Mantan (NDA Project CT &amp; MR)</x:v>
      </x:c>
      <x:c r="C241" s="36" t="str">
        <x:v>BU Led</x:v>
      </x:c>
      <x:c r="D241" s="36" t="str">
        <x:v>Precision Diagnosis - Magnetic Resonance (MR)</x:v>
      </x:c>
      <x:c r="E241" s="36" t="str"/>
      <x:c r="F241" s="36" t="str">
        <x:v>Legal Fiscal, Regulatory &amp; Compliancy</x:v>
      </x:c>
      <x:c r="G241" s="36" t="str">
        <x:v>Revenue Increase</x:v>
      </x:c>
      <x:c r="H241" s="36" t="str">
        <x:v>Must Do</x:v>
      </x:c>
      <x:c r="I241" s="36" t="str">
        <x:v>New Initiative</x:v>
      </x:c>
      <x:c r="J241" s="38" t="n">
        <x:v>0.49</x:v>
      </x:c>
      <x:c r="K241" s="38"/>
      <x:c r="L241" s="38"/>
      <x:c r="M241" s="38"/>
      <x:c r="N241" s="38"/>
      <x:c r="O241" s="38"/>
      <x:c r="P241" s="37" t="str"/>
      <x:c r="Q241" s="37" t="str">
        <x:v>Revenue</x:v>
      </x:c>
      <x:c r="R241" s="37" t="str"/>
      <x:c r="S241" s="37" t="str"/>
      <x:c r="T241" s="37" t="str">
        <x:v>India Local for Local, to meet the requirement for minimal localization policy</x:v>
      </x:c>
      <x:c r="U241" s="37" t="str"/>
      <x:c r="V241" s="36" t="str">
        <x:v>2027</x:v>
      </x:c>
      <x:c r="W241" s="36" t="str"/>
      <x:c r="X241" s="36"/>
      <x:c r="Y241" s="36" t="str">
        <x:v>NotAssessed</x:v>
      </x:c>
      <x:c r="Z241" s="36" t="str"/>
      <x:c r="AA241" s="36" t="str"/>
      <x:c r="AB241" s="36"/>
      <x:c r="AC241" s="36"/>
      <x:c r="AD241" s="36" t="str"/>
      <x:c r="AE241" s="36" t="str"/>
      <x:c r="AF241" s="36" t="str">
        <x:v>Name and organisation matched</x:v>
      </x:c>
      <x:c r="AG241" s="36" t="str">
        <x:v>Common pot</x:v>
      </x:c>
      <x:c r="AH241" s="36" t="str">
        <x:v>BU Demand!row 555</x:v>
      </x:c>
      <x:c r="AI241" s="36" t="str">
        <x:v>LFR</x:v>
      </x:c>
      <x:c r="AJ241" s="36" t="str">
        <x:v>Revenue</x:v>
      </x:c>
      <x:c r="AK241" s="36" t="str">
        <x:v>Must Do</x:v>
      </x:c>
      <x:c r="AL241" s="36" t="n">
        <x:v>0</x:v>
      </x:c>
      <x:c r="AM241" s="36" t="n">
        <x:v>0</x:v>
      </x:c>
      <x:c r="AN241" s="43"/>
      <x:c r="AO241" s="43"/>
      <x:c r="AP241" s="43"/>
    </x:row>
    <x:row r="242" ht="15" hidden="0" customHeight="1">
      <x:c r="A242" s="36" t="str">
        <x:v>Bu-247</x:v>
      </x:c>
      <x:c r="B242" s="37" t="str">
        <x:v>MES features in factories</x:v>
      </x:c>
      <x:c r="C242" s="36" t="str">
        <x:v>BU Led</x:v>
      </x:c>
      <x:c r="D242" s="36" t="str">
        <x:v>Precision Diagnosis - Magnetic Resonance (MR)</x:v>
      </x:c>
      <x:c r="E242" s="36" t="str"/>
      <x:c r="F242" s="36" t="str">
        <x:v>New Feature</x:v>
      </x:c>
      <x:c r="G242" s="36" t="str">
        <x:v>Productivity savings</x:v>
      </x:c>
      <x:c r="H242" s="36" t="str">
        <x:v>Must Have</x:v>
      </x:c>
      <x:c r="I242" s="36" t="str">
        <x:v>New Initiative</x:v>
      </x:c>
      <x:c r="J242" s="38" t="n">
        <x:v>0.2</x:v>
      </x:c>
      <x:c r="K242" s="38"/>
      <x:c r="L242" s="38"/>
      <x:c r="M242" s="38"/>
      <x:c r="N242" s="38"/>
      <x:c r="O242" s="38"/>
      <x:c r="P242" s="37" t="str"/>
      <x:c r="Q242" s="37" t="str">
        <x:v>Cash savings</x:v>
      </x:c>
      <x:c r="R242" s="37" t="str"/>
      <x:c r="S242" s="37" t="str"/>
      <x:c r="T242" s="37" t="str">
        <x:v>Upgrade hasn’t happened over last couple of years, and new features are available for manufacturing capabilitis</x:v>
      </x:c>
      <x:c r="U242" s="37" t="str"/>
      <x:c r="V242" s="36" t="str"/>
      <x:c r="W242" s="36" t="str"/>
      <x:c r="X242" s="36" t="n">
        <x:v>1</x:v>
      </x:c>
      <x:c r="Y242" s="36" t="str">
        <x:v>HEALTHY</x:v>
      </x:c>
      <x:c r="Z242" s="36" t="str"/>
      <x:c r="AA242" s="36" t="str"/>
      <x:c r="AB242" s="36"/>
      <x:c r="AC242" s="36"/>
      <x:c r="AD242" s="36" t="str"/>
      <x:c r="AE242" s="36" t="str">
        <x:v>HEALTHY — Rank in priority matrix</x:v>
      </x:c>
      <x:c r="AF242" s="36" t="str">
        <x:v>Name and organisation matched</x:v>
      </x:c>
      <x:c r="AG242" s="36" t="str">
        <x:v>Common pot</x:v>
      </x:c>
      <x:c r="AH242" s="36" t="str">
        <x:v>BU Demand!row 556</x:v>
      </x:c>
      <x:c r="AI242" s="36" t="str">
        <x:v>NewFeat</x:v>
      </x:c>
      <x:c r="AJ242" s="36" t="str">
        <x:v>Productivity</x:v>
      </x:c>
      <x:c r="AK242" s="36" t="str">
        <x:v>Must Have</x:v>
      </x:c>
      <x:c r="AL242" s="36" t="n">
        <x:v>0</x:v>
      </x:c>
      <x:c r="AM242" s="36" t="n">
        <x:v>0</x:v>
      </x:c>
      <x:c r="AN242" s="43"/>
      <x:c r="AO242" s="43"/>
      <x:c r="AP242" s="43"/>
    </x:row>
    <x:row r="243" ht="15" hidden="0" customHeight="1">
      <x:c r="A243" s="36" t="str">
        <x:v>Bu-248</x:v>
      </x:c>
      <x:c r="B243" s="37" t="str">
        <x:v>SAP Functionality expansion LMPC/LFP (Pune &amp; Latham)</x:v>
      </x:c>
      <x:c r="C243" s="36" t="str">
        <x:v>BU Led</x:v>
      </x:c>
      <x:c r="D243" s="36" t="str">
        <x:v>Precision Diagnosis - Magnetic Resonance (MR)</x:v>
      </x:c>
      <x:c r="E243" s="36" t="str"/>
      <x:c r="F243" s="36" t="str">
        <x:v>AI Enablement</x:v>
      </x:c>
      <x:c r="G243" s="36" t="str">
        <x:v>Process simplification/ efficiency gain</x:v>
      </x:c>
      <x:c r="H243" s="36" t="str">
        <x:v>Must Have</x:v>
      </x:c>
      <x:c r="I243" s="36" t="str">
        <x:v>New Initiative</x:v>
      </x:c>
      <x:c r="J243" s="38" t="n">
        <x:v>0.08</x:v>
      </x:c>
      <x:c r="K243" s="38"/>
      <x:c r="L243" s="38"/>
      <x:c r="M243" s="38"/>
      <x:c r="N243" s="38"/>
      <x:c r="O243" s="38"/>
      <x:c r="P243" s="37" t="str"/>
      <x:c r="Q243" s="37" t="str">
        <x:v>Cash savings</x:v>
      </x:c>
      <x:c r="R243" s="37" t="str"/>
      <x:c r="S243" s="37" t="str"/>
      <x:c r="T243" s="37" t="str">
        <x:v>Embedding targeted AI solutions to automate processes, improve decision-making, and increase operational efficiency and scalability In Pune and Latam Factory</x:v>
      </x:c>
      <x:c r="U243" s="37" t="str"/>
      <x:c r="V243" s="36" t="str"/>
      <x:c r="W243" s="36" t="str"/>
      <x:c r="X243" s="36"/>
      <x:c r="Y243" s="36" t="str">
        <x:v>NotAssessed</x:v>
      </x:c>
      <x:c r="Z243" s="36" t="str"/>
      <x:c r="AA243" s="36" t="str"/>
      <x:c r="AB243" s="36"/>
      <x:c r="AC243" s="36"/>
      <x:c r="AD243" s="36" t="str"/>
      <x:c r="AE243" s="36" t="str"/>
      <x:c r="AF243" s="36" t="str">
        <x:v>Name and organisation matched</x:v>
      </x:c>
      <x:c r="AG243" s="36" t="str">
        <x:v>Common pot</x:v>
      </x:c>
      <x:c r="AH243" s="36" t="str">
        <x:v>BU Demand!row 557</x:v>
      </x:c>
      <x:c r="AI243" s="36" t="str">
        <x:v>AI</x:v>
      </x:c>
      <x:c r="AJ243" s="36" t="str">
        <x:v>ProcSimp</x:v>
      </x:c>
      <x:c r="AK243" s="36" t="str">
        <x:v>Must Have</x:v>
      </x:c>
      <x:c r="AL243" s="36" t="n">
        <x:v>0</x:v>
      </x:c>
      <x:c r="AM243" s="36" t="n">
        <x:v>0</x:v>
      </x:c>
      <x:c r="AN243" s="43"/>
      <x:c r="AO243" s="43"/>
      <x:c r="AP243" s="43"/>
    </x:row>
    <x:row r="244" ht="15" hidden="0" customHeight="1">
      <x:c r="A244" s="36" t="str">
        <x:v>Bu-249</x:v>
      </x:c>
      <x:c r="B244" s="37" t="str">
        <x:v>Placeholder</x:v>
      </x:c>
      <x:c r="C244" s="36" t="str">
        <x:v>BU Led</x:v>
      </x:c>
      <x:c r="D244" s="36" t="str">
        <x:v>Precision Diagnosis - Magnetic Resonance (MR)</x:v>
      </x:c>
      <x:c r="E244" s="36" t="str"/>
      <x:c r="F244" s="36" t="str">
        <x:v>Continous Improvement</x:v>
      </x:c>
      <x:c r="G244" s="36" t="str">
        <x:v>Compliance/Keeping the lights on</x:v>
      </x:c>
      <x:c r="H244" s="36" t="str">
        <x:v>Must Have</x:v>
      </x:c>
      <x:c r="I244" s="36" t="str">
        <x:v>New Initiative</x:v>
      </x:c>
      <x:c r="J244" s="38" t="n">
        <x:v>0.5</x:v>
      </x:c>
      <x:c r="K244" s="38"/>
      <x:c r="L244" s="38"/>
      <x:c r="M244" s="38"/>
      <x:c r="N244" s="38"/>
      <x:c r="O244" s="38"/>
      <x:c r="P244" s="37" t="str"/>
      <x:c r="Q244" s="37" t="str">
        <x:v>Risk exposure</x:v>
      </x:c>
      <x:c r="R244" s="37" t="str"/>
      <x:c r="S244" s="37" t="str"/>
      <x:c r="T244" s="37" t="str">
        <x:v>Reserve funding capacity for unforeseen critical IT initiatives in 2027, subject to defined scope, prioritization, business case, and governance approval.</x:v>
      </x:c>
      <x:c r="U244" s="37" t="str"/>
      <x:c r="V244" s="36" t="str"/>
      <x:c r="W244" s="36" t="str"/>
      <x:c r="X244" s="36"/>
      <x:c r="Y244" s="36" t="str">
        <x:v>NotAssessed</x:v>
      </x:c>
      <x:c r="Z244" s="36" t="str"/>
      <x:c r="AA244" s="36" t="str"/>
      <x:c r="AB244" s="36"/>
      <x:c r="AC244" s="36"/>
      <x:c r="AD244" s="36" t="str"/>
      <x:c r="AE244" s="36" t="str"/>
      <x:c r="AF244" s="36" t="str">
        <x:v>Name and organisation matched</x:v>
      </x:c>
      <x:c r="AG244" s="36" t="str">
        <x:v>Common pot</x:v>
      </x:c>
      <x:c r="AH244" s="36" t="str">
        <x:v>BU Demand!row 558</x:v>
      </x:c>
      <x:c r="AI244" s="36" t="str">
        <x:v>CI</x:v>
      </x:c>
      <x:c r="AJ244" s="36" t="str">
        <x:v>Compliance</x:v>
      </x:c>
      <x:c r="AK244" s="36" t="str">
        <x:v>Must Have</x:v>
      </x:c>
      <x:c r="AL244" s="36" t="n">
        <x:v>0</x:v>
      </x:c>
      <x:c r="AM244" s="36" t="n">
        <x:v>0</x:v>
      </x:c>
      <x:c r="AN244" s="43"/>
      <x:c r="AO244" s="43"/>
      <x:c r="AP244" s="43"/>
    </x:row>
    <x:row r="245" ht="15" hidden="0" customHeight="1">
      <x:c r="A245" s="36" t="str">
        <x:v>Bu-250</x:v>
      </x:c>
      <x:c r="B245" s="37" t="str">
        <x:v>RFID for Outward Shipments</x:v>
      </x:c>
      <x:c r="C245" s="36" t="str">
        <x:v>BU Led</x:v>
      </x:c>
      <x:c r="D245" s="36" t="str">
        <x:v>Precision Diagnosis - Magnetic Resonance (MR)</x:v>
      </x:c>
      <x:c r="E245" s="36" t="str"/>
      <x:c r="F245" s="36" t="str">
        <x:v>Continous Improvement</x:v>
      </x:c>
      <x:c r="G245" s="36" t="str">
        <x:v>Productivity savings</x:v>
      </x:c>
      <x:c r="H245" s="36" t="str">
        <x:v>Must Have</x:v>
      </x:c>
      <x:c r="I245" s="36" t="str">
        <x:v>New Initiative</x:v>
      </x:c>
      <x:c r="J245" s="38" t="n">
        <x:v>0.25</x:v>
      </x:c>
      <x:c r="K245" s="38"/>
      <x:c r="L245" s="38"/>
      <x:c r="M245" s="38"/>
      <x:c r="N245" s="38"/>
      <x:c r="O245" s="38"/>
      <x:c r="P245" s="37" t="str"/>
      <x:c r="Q245" s="37" t="str">
        <x:v>Cash savings</x:v>
      </x:c>
      <x:c r="R245" s="37" t="str"/>
      <x:c r="S245" s="37" t="str"/>
      <x:c r="T245" s="37" t="str">
        <x:v>To have a real time tracking of the shipments crate/Packaging as its expensive, to also keep a track on the external tempretures,shock and humidity and ensure its safe from thefts </x:v>
      </x:c>
      <x:c r="U245" s="37" t="str"/>
      <x:c r="V245" s="36" t="str"/>
      <x:c r="W245" s="36" t="str"/>
      <x:c r="X245" s="36"/>
      <x:c r="Y245" s="36" t="str">
        <x:v>NotAssessed</x:v>
      </x:c>
      <x:c r="Z245" s="36" t="str"/>
      <x:c r="AA245" s="36" t="str"/>
      <x:c r="AB245" s="36"/>
      <x:c r="AC245" s="36"/>
      <x:c r="AD245" s="36" t="str"/>
      <x:c r="AE245" s="36" t="str"/>
      <x:c r="AF245" s="36" t="str">
        <x:v>Name and organisation matched</x:v>
      </x:c>
      <x:c r="AG245" s="36" t="str">
        <x:v>Common pot</x:v>
      </x:c>
      <x:c r="AH245" s="36" t="str">
        <x:v>BU Demand!row 559</x:v>
      </x:c>
      <x:c r="AI245" s="36" t="str">
        <x:v>CI</x:v>
      </x:c>
      <x:c r="AJ245" s="36" t="str">
        <x:v>Productivity</x:v>
      </x:c>
      <x:c r="AK245" s="36" t="str">
        <x:v>Must Have</x:v>
      </x:c>
      <x:c r="AL245" s="36" t="n">
        <x:v>0</x:v>
      </x:c>
      <x:c r="AM245" s="36" t="n">
        <x:v>0</x:v>
      </x:c>
      <x:c r="AN245" s="43"/>
      <x:c r="AO245" s="43"/>
      <x:c r="AP245" s="43"/>
    </x:row>
    <x:row r="246" ht="15" hidden="0" customHeight="1">
      <x:c r="A246" s="36" t="str">
        <x:v>Bu-251</x:v>
      </x:c>
      <x:c r="B246" s="37" t="str">
        <x:v>Defoa process improvement (400 PD, 200 IGTS)</x:v>
      </x:c>
      <x:c r="C246" s="36" t="str">
        <x:v>BU Led</x:v>
      </x:c>
      <x:c r="D246" s="36" t="str">
        <x:v>Precision Diagnosis - Magnetic Resonance (MR)</x:v>
      </x:c>
      <x:c r="E246" s="36" t="str"/>
      <x:c r="F246" s="36" t="str">
        <x:v>Continous Improvement</x:v>
      </x:c>
      <x:c r="G246" s="36" t="str">
        <x:v>Productivity savings</x:v>
      </x:c>
      <x:c r="H246" s="36" t="str">
        <x:v>Must Do</x:v>
      </x:c>
      <x:c r="I246" s="36" t="str">
        <x:v>New Initiative</x:v>
      </x:c>
      <x:c r="J246" s="38" t="n">
        <x:v>0.4</x:v>
      </x:c>
      <x:c r="K246" s="38"/>
      <x:c r="L246" s="38"/>
      <x:c r="M246" s="38"/>
      <x:c r="N246" s="38"/>
      <x:c r="O246" s="38"/>
      <x:c r="P246" s="37" t="str"/>
      <x:c r="Q246" s="37" t="str">
        <x:v>Cash savings</x:v>
      </x:c>
      <x:c r="R246" s="37" t="str"/>
      <x:c r="S246" s="37" t="str"/>
      <x:c r="T246" s="37" t="str">
        <x:v>New tool for DI &amp; IGTS, DEFOA tool has not been update for past couple of years, the new tool will address the limitations of the old tool. Addressing the DEFOA is a business priority.</x:v>
      </x:c>
      <x:c r="U246" s="37" t="str"/>
      <x:c r="V246" s="36" t="str"/>
      <x:c r="W246" s="36" t="str"/>
      <x:c r="X246" s="36"/>
      <x:c r="Y246" s="36" t="str">
        <x:v>NotAssessed</x:v>
      </x:c>
      <x:c r="Z246" s="36" t="str"/>
      <x:c r="AA246" s="36" t="str"/>
      <x:c r="AB246" s="36"/>
      <x:c r="AC246" s="36"/>
      <x:c r="AD246" s="36" t="str"/>
      <x:c r="AE246" s="36" t="str"/>
      <x:c r="AF246" s="36" t="str">
        <x:v>Name and organisation matched</x:v>
      </x:c>
      <x:c r="AG246" s="36" t="str">
        <x:v>Common pot</x:v>
      </x:c>
      <x:c r="AH246" s="36" t="str">
        <x:v>BU Demand!row 560</x:v>
      </x:c>
      <x:c r="AI246" s="36" t="str">
        <x:v>CI</x:v>
      </x:c>
      <x:c r="AJ246" s="36" t="str">
        <x:v>Productivity</x:v>
      </x:c>
      <x:c r="AK246" s="36" t="str">
        <x:v>Must Do</x:v>
      </x:c>
      <x:c r="AL246" s="36" t="n">
        <x:v>0</x:v>
      </x:c>
      <x:c r="AM246" s="36" t="n">
        <x:v>0</x:v>
      </x:c>
      <x:c r="AN246" s="43"/>
      <x:c r="AO246" s="43"/>
      <x:c r="AP246" s="43"/>
    </x:row>
    <x:row r="247" ht="15" hidden="0" customHeight="1">
      <x:c r="A247" s="36" t="str">
        <x:v>Bu-252</x:v>
      </x:c>
      <x:c r="B247" s="37" t="str">
        <x:v>Conga – Change &amp; Sustain</x:v>
      </x:c>
      <x:c r="C247" s="36" t="str">
        <x:v>BU Led</x:v>
      </x:c>
      <x:c r="D247" s="36" t="str">
        <x:v>Image Guided Therapy - Devices (IGT-D)</x:v>
      </x:c>
      <x:c r="E247" s="36" t="str">
        <x:v>1006443</x:v>
      </x:c>
      <x:c r="F247" s="36" t="str">
        <x:v>Upgrades &amp; Enhancements</x:v>
      </x:c>
      <x:c r="G247" s="36" t="str">
        <x:v>Revenue Increase</x:v>
      </x:c>
      <x:c r="H247" s="36" t="str">
        <x:v>Must Do</x:v>
      </x:c>
      <x:c r="I247" s="36" t="str">
        <x:v>Carry Over</x:v>
      </x:c>
      <x:c r="J247" s="38" t="n">
        <x:v>0.32</x:v>
      </x:c>
      <x:c r="K247" s="38"/>
      <x:c r="L247" s="38"/>
      <x:c r="M247" s="38"/>
      <x:c r="N247" s="38"/>
      <x:c r="O247" s="38" t="n">
        <x:v>117</x:v>
      </x:c>
      <x:c r="P247" s="37" t="str">
        <x:v>117000</x:v>
      </x:c>
      <x:c r="Q247" s="37" t="str">
        <x:v>Revenue</x:v>
      </x:c>
      <x:c r="R247" s="37" t="str">
        <x:v>Critical to support sales growth targets</x:v>
      </x:c>
      <x:c r="S247" s="37" t="str"/>
      <x:c r="T247" s="37" t="str">
        <x:v>Conga - changes as prioritized for 2027 - focus on to enablement of agreed Region commercial excellence maturity &amp; expansion (as critical to supporting sales growth)</x:v>
      </x:c>
      <x:c r="U247" s="37" t="str"/>
      <x:c r="V247" s="36" t="str"/>
      <x:c r="W247" s="36" t="str"/>
      <x:c r="X247" s="36"/>
      <x:c r="Y247" s="36" t="str">
        <x:v>NotAssessed</x:v>
      </x:c>
      <x:c r="Z247" s="36" t="str"/>
      <x:c r="AA247" s="36" t="str"/>
      <x:c r="AB247" s="36"/>
      <x:c r="AC247" s="36"/>
      <x:c r="AD247" s="36" t="str"/>
      <x:c r="AE247" s="36" t="str"/>
      <x:c r="AF247" s="36" t="str">
        <x:v>Name and organisation matched</x:v>
      </x:c>
      <x:c r="AG247" s="36" t="str">
        <x:v>Common pot</x:v>
      </x:c>
      <x:c r="AH247" s="36" t="str">
        <x:v>BU Demand!row 561</x:v>
      </x:c>
      <x:c r="AI247" s="36" t="str">
        <x:v>Upgrades</x:v>
      </x:c>
      <x:c r="AJ247" s="36" t="str">
        <x:v>Revenue</x:v>
      </x:c>
      <x:c r="AK247" s="36" t="str">
        <x:v>Must Do</x:v>
      </x:c>
      <x:c r="AL247" s="36" t="n">
        <x:v>0</x:v>
      </x:c>
      <x:c r="AM247" s="36" t="n">
        <x:v>0</x:v>
      </x:c>
      <x:c r="AN247" s="43"/>
      <x:c r="AO247" s="43"/>
      <x:c r="AP247" s="43"/>
    </x:row>
    <x:row r="248" ht="15" hidden="0" customHeight="1">
      <x:c r="A248" s="36" t="str">
        <x:v>Bu-253</x:v>
      </x:c>
      <x:c r="B248" s="37" t="str">
        <x:v>cCRM – Change &amp; Sustain</x:v>
      </x:c>
      <x:c r="C248" s="36" t="str">
        <x:v>BU Led</x:v>
      </x:c>
      <x:c r="D248" s="36" t="str">
        <x:v>Image Guided Therapy - Devices (IGT-D)</x:v>
      </x:c>
      <x:c r="E248" s="36" t="str">
        <x:v>to be checked</x:v>
      </x:c>
      <x:c r="F248" s="36" t="str">
        <x:v>Upgrades &amp; Enhancements</x:v>
      </x:c>
      <x:c r="G248" s="36" t="str">
        <x:v>Revenue Increase</x:v>
      </x:c>
      <x:c r="H248" s="36" t="str">
        <x:v>Must Do</x:v>
      </x:c>
      <x:c r="I248" s="36" t="str">
        <x:v>Carry Over</x:v>
      </x:c>
      <x:c r="J248" s="38" t="n">
        <x:v>0.12</x:v>
      </x:c>
      <x:c r="K248" s="38"/>
      <x:c r="L248" s="38"/>
      <x:c r="M248" s="38"/>
      <x:c r="N248" s="38"/>
      <x:c r="O248" s="38" t="n">
        <x:v>117</x:v>
      </x:c>
      <x:c r="P248" s="37" t="str">
        <x:v>117000</x:v>
      </x:c>
      <x:c r="Q248" s="37" t="str">
        <x:v>Revenue</x:v>
      </x:c>
      <x:c r="R248" s="37" t="str">
        <x:v>Critical to support sales growth targets</x:v>
      </x:c>
      <x:c r="S248" s="37" t="str"/>
      <x:c r="T248" s="37" t="str">
        <x:v>cCRM - sustain  - focus on to enablement of agreed Region commercial excellence maturity (as critical to supporting sales growth)</x:v>
      </x:c>
      <x:c r="U248" s="37" t="str"/>
      <x:c r="V248" s="36" t="str"/>
      <x:c r="W248" s="36" t="str"/>
      <x:c r="X248" s="36"/>
      <x:c r="Y248" s="36" t="str">
        <x:v>NotAssessed</x:v>
      </x:c>
      <x:c r="Z248" s="36" t="str"/>
      <x:c r="AA248" s="36" t="str"/>
      <x:c r="AB248" s="36"/>
      <x:c r="AC248" s="36"/>
      <x:c r="AD248" s="36" t="str"/>
      <x:c r="AE248" s="36" t="str"/>
      <x:c r="AF248" s="36" t="str">
        <x:v>Name and organisation matched</x:v>
      </x:c>
      <x:c r="AG248" s="36" t="str">
        <x:v>Common pot</x:v>
      </x:c>
      <x:c r="AH248" s="36" t="str">
        <x:v>BU Demand!row 562</x:v>
      </x:c>
      <x:c r="AI248" s="36" t="str">
        <x:v>Upgrades</x:v>
      </x:c>
      <x:c r="AJ248" s="36" t="str">
        <x:v>Revenue</x:v>
      </x:c>
      <x:c r="AK248" s="36" t="str">
        <x:v>Must Do</x:v>
      </x:c>
      <x:c r="AL248" s="36" t="n">
        <x:v>0</x:v>
      </x:c>
      <x:c r="AM248" s="36" t="n">
        <x:v>0</x:v>
      </x:c>
      <x:c r="AN248" s="43"/>
      <x:c r="AO248" s="43"/>
      <x:c r="AP248" s="43"/>
    </x:row>
    <x:row r="249" ht="15" hidden="0" customHeight="1">
      <x:c r="A249" s="36" t="str">
        <x:v>Bu-254</x:v>
      </x:c>
      <x:c r="B249" s="37" t="str">
        <x:v>Small Investments 2027</x:v>
      </x:c>
      <x:c r="C249" s="36" t="str">
        <x:v>BU Led</x:v>
      </x:c>
      <x:c r="D249" s="36" t="str">
        <x:v>Image Guided Therapy - Devices (IGT-D)</x:v>
      </x:c>
      <x:c r="E249" s="36" t="str">
        <x:v>new</x:v>
      </x:c>
      <x:c r="F249" s="36" t="str">
        <x:v>New Feature</x:v>
      </x:c>
      <x:c r="G249" s="36" t="str">
        <x:v>Revenue Increase</x:v>
      </x:c>
      <x:c r="H249" s="36" t="str">
        <x:v>Must Do</x:v>
      </x:c>
      <x:c r="I249" s="36" t="str">
        <x:v>New initiative</x:v>
      </x:c>
      <x:c r="J249" s="38" t="n">
        <x:v>0.15</x:v>
      </x:c>
      <x:c r="K249" s="38"/>
      <x:c r="L249" s="38"/>
      <x:c r="M249" s="38"/>
      <x:c r="N249" s="38"/>
      <x:c r="O249" s="38" t="n">
        <x:v>117</x:v>
      </x:c>
      <x:c r="P249" s="37" t="str">
        <x:v>117000</x:v>
      </x:c>
      <x:c r="Q249" s="37" t="str">
        <x:v>Revenue</x:v>
      </x:c>
      <x:c r="R249" s="37" t="str">
        <x:v>Critical to support sales growth targets</x:v>
      </x:c>
      <x:c r="S249" s="37" t="str"/>
      <x:c r="T249" s="37" t="str"/>
      <x:c r="U249" s="37" t="str"/>
      <x:c r="V249" s="36" t="str"/>
      <x:c r="W249" s="36" t="str"/>
      <x:c r="X249" s="36"/>
      <x:c r="Y249" s="36" t="str">
        <x:v>NotAssessed</x:v>
      </x:c>
      <x:c r="Z249" s="36" t="str"/>
      <x:c r="AA249" s="36" t="str"/>
      <x:c r="AB249" s="36"/>
      <x:c r="AC249" s="36"/>
      <x:c r="AD249" s="36" t="str"/>
      <x:c r="AE249" s="36" t="str"/>
      <x:c r="AF249" s="36" t="str">
        <x:v>Name and organisation matched</x:v>
      </x:c>
      <x:c r="AG249" s="36" t="str">
        <x:v>Common pot</x:v>
      </x:c>
      <x:c r="AH249" s="36" t="str">
        <x:v>BU Demand!row 563</x:v>
      </x:c>
      <x:c r="AI249" s="36" t="str">
        <x:v>NewFeat</x:v>
      </x:c>
      <x:c r="AJ249" s="36" t="str">
        <x:v>Revenue</x:v>
      </x:c>
      <x:c r="AK249" s="36" t="str">
        <x:v>Must Do</x:v>
      </x:c>
      <x:c r="AL249" s="36" t="n">
        <x:v>0</x:v>
      </x:c>
      <x:c r="AM249" s="36" t="n">
        <x:v>0</x:v>
      </x:c>
      <x:c r="AN249" s="43"/>
      <x:c r="AO249" s="43"/>
      <x:c r="AP249" s="43"/>
    </x:row>
    <x:row r="250" ht="15" hidden="0" customHeight="1">
      <x:c r="A250" s="36" t="str">
        <x:v>Bu-255</x:v>
      </x:c>
      <x:c r="B250" s="37" t="str"/>
      <x:c r="C250" s="36" t="str">
        <x:v>BU Led</x:v>
      </x:c>
      <x:c r="D250" s="36" t="str"/>
      <x:c r="E250" s="36" t="str"/>
      <x:c r="F250" s="36" t="str"/>
      <x:c r="G250" s="36" t="str"/>
      <x:c r="H250" s="36" t="str"/>
      <x:c r="I250" s="36" t="str"/>
      <x:c r="J250" s="38"/>
      <x:c r="K250" s="38"/>
      <x:c r="L250" s="38"/>
      <x:c r="M250" s="38"/>
      <x:c r="N250" s="38"/>
      <x:c r="O250" s="38"/>
      <x:c r="P250" s="37" t="str"/>
      <x:c r="Q250" s="37" t="str">
        <x:v>Unclassified</x:v>
      </x:c>
      <x:c r="R250" s="37" t="str"/>
      <x:c r="S250" s="37" t="str"/>
      <x:c r="T250" s="37" t="str"/>
      <x:c r="U250" s="37" t="str"/>
      <x:c r="V250" s="36" t="str"/>
      <x:c r="W250" s="36" t="str"/>
      <x:c r="X250" s="36"/>
      <x:c r="Y250" s="36" t="str">
        <x:v>NotAssessed</x:v>
      </x:c>
      <x:c r="Z250" s="36" t="str"/>
      <x:c r="AA250" s="36" t="str"/>
      <x:c r="AB250" s="36"/>
      <x:c r="AC250" s="36"/>
      <x:c r="AD250" s="36" t="str"/>
      <x:c r="AE250" s="36" t="str"/>
      <x:c r="AF250" s="36" t="str">
        <x:v>No exact waste match</x:v>
      </x:c>
      <x:c r="AG250" s="36" t="str">
        <x:v>Incomplete record</x:v>
      </x:c>
      <x:c r="AH250" s="36" t="str">
        <x:v>BU Demand!row 564</x:v>
      </x:c>
      <x:c r="AI250" s="36" t="str">
        <x:v>Blank</x:v>
      </x:c>
      <x:c r="AJ250" s="36" t="str">
        <x:v>Blank</x:v>
      </x:c>
      <x:c r="AK250" s="36" t="str">
        <x:v>Blank</x:v>
      </x:c>
      <x:c r="AL250" s="36" t="n">
        <x:v>0</x:v>
      </x:c>
      <x:c r="AM250" s="36" t="n">
        <x:v>1</x:v>
      </x:c>
      <x:c r="AN250" s="43"/>
      <x:c r="AO250" s="43"/>
      <x:c r="AP250" s="43"/>
    </x:row>
    <x:row r="251" ht="15" hidden="0" customHeight="1">
      <x:c r="A251" s="36" t="str">
        <x:v>Bu-256</x:v>
      </x:c>
      <x:c r="B251" s="37" t="str">
        <x:v>Horizon (EnLabel) </x:v>
      </x:c>
      <x:c r="C251" s="36" t="str">
        <x:v>BU Led</x:v>
      </x:c>
      <x:c r="D251" s="36" t="str">
        <x:v>Image Guided Therapy - Devices (IGT-D)</x:v>
      </x:c>
      <x:c r="E251" s="36" t="str">
        <x:v>1004675</x:v>
      </x:c>
      <x:c r="F251" s="36" t="str">
        <x:v>Upgrades &amp; Enhancements</x:v>
      </x:c>
      <x:c r="G251" s="36" t="str">
        <x:v>Productivity savings</x:v>
      </x:c>
      <x:c r="H251" s="36" t="str">
        <x:v>Must Do</x:v>
      </x:c>
      <x:c r="I251" s="36" t="str">
        <x:v>Carry Over</x:v>
      </x:c>
      <x:c r="J251" s="38" t="n">
        <x:v>0.235</x:v>
      </x:c>
      <x:c r="K251" s="38"/>
      <x:c r="L251" s="38"/>
      <x:c r="M251" s="38"/>
      <x:c r="N251" s="38"/>
      <x:c r="O251" s="38" t="n">
        <x:v>0.259</x:v>
      </x:c>
      <x:c r="P251" s="37" t="str">
        <x:v>259</x:v>
      </x:c>
      <x:c r="Q251" s="37" t="str">
        <x:v>Cash savings</x:v>
      </x:c>
      <x:c r="R251" s="37" t="str"/>
      <x:c r="S251" s="37" t="str"/>
      <x:c r="T251" s="37" t="str">
        <x:v> Single system harmonization (product labeling print systems), Enabling reduction of E2E timelines for mass labeling changes by an estimated 50%. Hypercare for ongoing implementation and next site scaling.</x:v>
      </x:c>
      <x:c r="U251" s="37" t="str"/>
      <x:c r="V251" s="36" t="str"/>
      <x:c r="W251" s="36" t="str"/>
      <x:c r="X251" s="36" t="n">
        <x:v>1.45</x:v>
      </x:c>
      <x:c r="Y251" s="36" t="str">
        <x:v>HEALTHY</x:v>
      </x:c>
      <x:c r="Z251" s="36" t="str"/>
      <x:c r="AA251" s="36" t="str"/>
      <x:c r="AB251" s="36"/>
      <x:c r="AC251" s="36"/>
      <x:c r="AD251" s="36" t="str"/>
      <x:c r="AE251" s="36" t="str">
        <x:v>HEALTHY — Rank in priority matrix</x:v>
      </x:c>
      <x:c r="AF251" s="36" t="str">
        <x:v>Name and organisation matched</x:v>
      </x:c>
      <x:c r="AG251" s="36" t="str">
        <x:v>Common pot</x:v>
      </x:c>
      <x:c r="AH251" s="36" t="str">
        <x:v>BU Demand!row 565</x:v>
      </x:c>
      <x:c r="AI251" s="36" t="str">
        <x:v>Upgrades</x:v>
      </x:c>
      <x:c r="AJ251" s="36" t="str">
        <x:v>Productivity</x:v>
      </x:c>
      <x:c r="AK251" s="36" t="str">
        <x:v>Must Do</x:v>
      </x:c>
      <x:c r="AL251" s="36" t="n">
        <x:v>0</x:v>
      </x:c>
      <x:c r="AM251" s="36" t="n">
        <x:v>0</x:v>
      </x:c>
      <x:c r="AN251" s="43"/>
      <x:c r="AO251" s="43"/>
      <x:c r="AP251" s="43"/>
    </x:row>
    <x:row r="252" ht="15" hidden="0" customHeight="1">
      <x:c r="A252" s="36" t="str">
        <x:v>Bu-257</x:v>
      </x:c>
      <x:c r="B252" s="37" t="str">
        <x:v>Windchill – Change &amp; Sustain</x:v>
      </x:c>
      <x:c r="C252" s="36" t="str">
        <x:v>BU Led</x:v>
      </x:c>
      <x:c r="D252" s="36" t="str">
        <x:v>Image Guided Therapy - Devices (IGT-D)</x:v>
      </x:c>
      <x:c r="E252" s="36" t="str">
        <x:v>1006940</x:v>
      </x:c>
      <x:c r="F252" s="36" t="str">
        <x:v>Upgrades &amp; Enhancements</x:v>
      </x:c>
      <x:c r="G252" s="36" t="str">
        <x:v>Process simplification / efficiency gain</x:v>
      </x:c>
      <x:c r="H252" s="36" t="str">
        <x:v>Must Do</x:v>
      </x:c>
      <x:c r="I252" s="36" t="str">
        <x:v>Carry Over</x:v>
      </x:c>
      <x:c r="J252" s="38" t="n">
        <x:v>0.165</x:v>
      </x:c>
      <x:c r="K252" s="38"/>
      <x:c r="L252" s="38"/>
      <x:c r="M252" s="38"/>
      <x:c r="N252" s="38"/>
      <x:c r="O252" s="38" t="n">
        <x:v>0.317</x:v>
      </x:c>
      <x:c r="P252" s="37" t="str">
        <x:v>317</x:v>
      </x:c>
      <x:c r="Q252" s="37" t="str">
        <x:v>Cash savings</x:v>
      </x:c>
      <x:c r="R252" s="37" t="str"/>
      <x:c r="S252" s="37" t="str"/>
      <x:c r="T252" s="37" t="str">
        <x:v>Continued Windchill improvements will drive data quality improvement, first time right improvements and operational efficiency/time savings, and enable better decision-making while resolving existing system issues.</x:v>
      </x:c>
      <x:c r="U252" s="37" t="str"/>
      <x:c r="V252" s="36" t="str"/>
      <x:c r="W252" s="36" t="str"/>
      <x:c r="X252" s="36"/>
      <x:c r="Y252" s="36" t="str">
        <x:v>NotAssessed</x:v>
      </x:c>
      <x:c r="Z252" s="36" t="str"/>
      <x:c r="AA252" s="36" t="str"/>
      <x:c r="AB252" s="36"/>
      <x:c r="AC252" s="36"/>
      <x:c r="AD252" s="36" t="str"/>
      <x:c r="AE252" s="36" t="str"/>
      <x:c r="AF252" s="36" t="str">
        <x:v>Name and organisation matched</x:v>
      </x:c>
      <x:c r="AG252" s="36" t="str">
        <x:v>Common pot</x:v>
      </x:c>
      <x:c r="AH252" s="36" t="str">
        <x:v>BU Demand!row 566</x:v>
      </x:c>
      <x:c r="AI252" s="36" t="str">
        <x:v>Upgrades</x:v>
      </x:c>
      <x:c r="AJ252" s="36" t="str">
        <x:v>ProcSimp</x:v>
      </x:c>
      <x:c r="AK252" s="36" t="str">
        <x:v>Must Do</x:v>
      </x:c>
      <x:c r="AL252" s="36" t="n">
        <x:v>0</x:v>
      </x:c>
      <x:c r="AM252" s="36" t="n">
        <x:v>0</x:v>
      </x:c>
      <x:c r="AN252" s="43"/>
      <x:c r="AO252" s="43"/>
      <x:c r="AP252" s="43"/>
    </x:row>
    <x:row r="253" ht="15" hidden="0" customHeight="1">
      <x:c r="A253" s="36" t="str">
        <x:v>Bu-258</x:v>
      </x:c>
      <x:c r="B253" s="37" t="str"/>
      <x:c r="C253" s="36" t="str">
        <x:v>BU Led</x:v>
      </x:c>
      <x:c r="D253" s="36" t="str"/>
      <x:c r="E253" s="36" t="str"/>
      <x:c r="F253" s="36" t="str"/>
      <x:c r="G253" s="36" t="str"/>
      <x:c r="H253" s="36" t="str"/>
      <x:c r="I253" s="36" t="str"/>
      <x:c r="J253" s="38"/>
      <x:c r="K253" s="38"/>
      <x:c r="L253" s="38"/>
      <x:c r="M253" s="38"/>
      <x:c r="N253" s="38"/>
      <x:c r="O253" s="38"/>
      <x:c r="P253" s="37" t="str"/>
      <x:c r="Q253" s="37" t="str">
        <x:v>Unclassified</x:v>
      </x:c>
      <x:c r="R253" s="37" t="str"/>
      <x:c r="S253" s="37" t="str"/>
      <x:c r="T253" s="37" t="str"/>
      <x:c r="U253" s="37" t="str"/>
      <x:c r="V253" s="36" t="str"/>
      <x:c r="W253" s="36" t="str"/>
      <x:c r="X253" s="36"/>
      <x:c r="Y253" s="36" t="str">
        <x:v>NotAssessed</x:v>
      </x:c>
      <x:c r="Z253" s="36" t="str"/>
      <x:c r="AA253" s="36" t="str"/>
      <x:c r="AB253" s="36"/>
      <x:c r="AC253" s="36"/>
      <x:c r="AD253" s="36" t="str"/>
      <x:c r="AE253" s="36" t="str"/>
      <x:c r="AF253" s="36" t="str">
        <x:v>No exact waste match</x:v>
      </x:c>
      <x:c r="AG253" s="36" t="str">
        <x:v>Incomplete record</x:v>
      </x:c>
      <x:c r="AH253" s="36" t="str">
        <x:v>BU Demand!row 567</x:v>
      </x:c>
      <x:c r="AI253" s="36" t="str">
        <x:v>Blank</x:v>
      </x:c>
      <x:c r="AJ253" s="36" t="str">
        <x:v>Blank</x:v>
      </x:c>
      <x:c r="AK253" s="36" t="str">
        <x:v>Blank</x:v>
      </x:c>
      <x:c r="AL253" s="36" t="n">
        <x:v>0</x:v>
      </x:c>
      <x:c r="AM253" s="36" t="n">
        <x:v>1</x:v>
      </x:c>
      <x:c r="AN253" s="43"/>
      <x:c r="AO253" s="43"/>
      <x:c r="AP253" s="43"/>
    </x:row>
    <x:row r="254" ht="15" hidden="0" customHeight="1">
      <x:c r="A254" s="36" t="str">
        <x:v>Bu-259</x:v>
      </x:c>
      <x:c r="B254" s="37" t="str">
        <x:v>12NC Configuration Management Project</x:v>
      </x:c>
      <x:c r="C254" s="36" t="str">
        <x:v>BU Led</x:v>
      </x:c>
      <x:c r="D254" s="36" t="str">
        <x:v>Image Guided Therapy - Devices (IGT-D)</x:v>
      </x:c>
      <x:c r="E254" s="36" t="str">
        <x:v>new</x:v>
      </x:c>
      <x:c r="F254" s="36" t="str">
        <x:v>New Feature</x:v>
      </x:c>
      <x:c r="G254" s="36" t="str">
        <x:v>Process simplification / efficiency gain</x:v>
      </x:c>
      <x:c r="H254" s="36" t="str">
        <x:v>Must Do</x:v>
      </x:c>
      <x:c r="I254" s="36" t="str">
        <x:v>New Initiative</x:v>
      </x:c>
      <x:c r="J254" s="38" t="n">
        <x:v>0.5</x:v>
      </x:c>
      <x:c r="K254" s="38"/>
      <x:c r="L254" s="38"/>
      <x:c r="M254" s="38"/>
      <x:c r="N254" s="38"/>
      <x:c r="O254" s="38" t="n">
        <x:v>0.004</x:v>
      </x:c>
      <x:c r="P254" s="37" t="str">
        <x:v>4</x:v>
      </x:c>
      <x:c r="Q254" s="37" t="str">
        <x:v>Cash savings</x:v>
      </x:c>
      <x:c r="R254" s="37" t="str"/>
      <x:c r="S254" s="37" t="str">
        <x:v> IGTD’s current supply chain locks products into market-specific configurations too early, creating SKU proliferation, fragmented inventory, planning complexity, and reduced flexibility to respond to demand. </x:v>
      </x:c>
      <x:c r="T254" s="37" t="str">
        <x:v> Change 12NC configuration management approach (enabling planning simplification and scrap cost reduction) </x:v>
      </x:c>
      <x:c r="U254" s="37" t="str"/>
      <x:c r="V254" s="36" t="str"/>
      <x:c r="W254" s="36" t="str"/>
      <x:c r="X254" s="36"/>
      <x:c r="Y254" s="36" t="str">
        <x:v>NotAssessed</x:v>
      </x:c>
      <x:c r="Z254" s="36" t="str"/>
      <x:c r="AA254" s="36" t="str"/>
      <x:c r="AB254" s="36"/>
      <x:c r="AC254" s="36"/>
      <x:c r="AD254" s="36" t="str"/>
      <x:c r="AE254" s="36" t="str"/>
      <x:c r="AF254" s="36" t="str">
        <x:v>Name and organisation matched</x:v>
      </x:c>
      <x:c r="AG254" s="36" t="str">
        <x:v>Common pot</x:v>
      </x:c>
      <x:c r="AH254" s="36" t="str">
        <x:v>BU Demand!row 568</x:v>
      </x:c>
      <x:c r="AI254" s="36" t="str">
        <x:v>NewFeat</x:v>
      </x:c>
      <x:c r="AJ254" s="36" t="str">
        <x:v>ProcSimp</x:v>
      </x:c>
      <x:c r="AK254" s="36" t="str">
        <x:v>Must Do</x:v>
      </x:c>
      <x:c r="AL254" s="36" t="n">
        <x:v>0</x:v>
      </x:c>
      <x:c r="AM254" s="36" t="n">
        <x:v>0</x:v>
      </x:c>
      <x:c r="AN254" s="43"/>
      <x:c r="AO254" s="43"/>
      <x:c r="AP254" s="43"/>
    </x:row>
    <x:row r="255" ht="15" hidden="0" customHeight="1">
      <x:c r="A255" s="36" t="str">
        <x:v>Bu-260</x:v>
      </x:c>
      <x:c r="B255" s="37" t="str">
        <x:v>Advanced Planning Solution</x:v>
      </x:c>
      <x:c r="C255" s="36" t="str">
        <x:v>BU Led</x:v>
      </x:c>
      <x:c r="D255" s="36" t="str">
        <x:v>Image Guided Therapy - Devices (IGT-D)</x:v>
      </x:c>
      <x:c r="E255" s="36" t="str">
        <x:v>new</x:v>
      </x:c>
      <x:c r="F255" s="36" t="str">
        <x:v>New Technology</x:v>
      </x:c>
      <x:c r="G255" s="36" t="str">
        <x:v>Revenue Increase</x:v>
      </x:c>
      <x:c r="H255" s="36" t="str">
        <x:v>Must Do</x:v>
      </x:c>
      <x:c r="I255" s="36" t="str">
        <x:v>New Initiative</x:v>
      </x:c>
      <x:c r="J255" s="38" t="n">
        <x:v>1.8</x:v>
      </x:c>
      <x:c r="K255" s="38"/>
      <x:c r="L255" s="38"/>
      <x:c r="M255" s="38"/>
      <x:c r="N255" s="38"/>
      <x:c r="O255" s="38" t="n">
        <x:v>0.011124</x:v>
      </x:c>
      <x:c r="P255" s="37" t="str">
        <x:v>11.124</x:v>
      </x:c>
      <x:c r="Q255" s="37" t="str">
        <x:v>Revenue</x:v>
      </x:c>
      <x:c r="R255" s="37" t="str"/>
      <x:c r="S255" s="37" t="str">
        <x:v> IGTD’s current Excel-based planning processes are fragmented, manual, and resource-intensive, limiting scenario planning, cross-functional integration, and timely decision-making needed to optimize supply chain performance. </x:v>
      </x:c>
      <x:c r="T255" s="37" t="str">
        <x:v> Connect demand, supply, inventory, scheduling and capacity planning in one platform, enabling faster decisions, improved resilience, optimized inventory, and stronger service performance. (avoid revenue loss / support growth) </x:v>
      </x:c>
      <x:c r="U255" s="37" t="str"/>
      <x:c r="V255" s="36" t="str"/>
      <x:c r="W255" s="36" t="str"/>
      <x:c r="X255" s="36"/>
      <x:c r="Y255" s="36" t="str">
        <x:v>NotAssessed</x:v>
      </x:c>
      <x:c r="Z255" s="36" t="str"/>
      <x:c r="AA255" s="36" t="str"/>
      <x:c r="AB255" s="36"/>
      <x:c r="AC255" s="36"/>
      <x:c r="AD255" s="36" t="str"/>
      <x:c r="AE255" s="36" t="str"/>
      <x:c r="AF255" s="36" t="str">
        <x:v>No exact waste match</x:v>
      </x:c>
      <x:c r="AG255" s="36" t="str">
        <x:v>Common pot</x:v>
      </x:c>
      <x:c r="AH255" s="36" t="str">
        <x:v>BU Demand!row 569</x:v>
      </x:c>
      <x:c r="AI255" s="36" t="str">
        <x:v>NewTech</x:v>
      </x:c>
      <x:c r="AJ255" s="36" t="str">
        <x:v>Revenue</x:v>
      </x:c>
      <x:c r="AK255" s="36" t="str">
        <x:v>Must Do</x:v>
      </x:c>
      <x:c r="AL255" s="36" t="n">
        <x:v>0</x:v>
      </x:c>
      <x:c r="AM255" s="36" t="n">
        <x:v>0</x:v>
      </x:c>
      <x:c r="AN255" s="43"/>
      <x:c r="AO255" s="43"/>
      <x:c r="AP255" s="43"/>
    </x:row>
    <x:row r="256" ht="15" hidden="0" customHeight="1">
      <x:c r="A256" s="36" t="str">
        <x:v>Bu-261</x:v>
      </x:c>
      <x:c r="B256" s="37" t="str">
        <x:v>WMS for (Factory) Warehouses</x:v>
      </x:c>
      <x:c r="C256" s="36" t="str">
        <x:v>BU Led</x:v>
      </x:c>
      <x:c r="D256" s="36" t="str">
        <x:v>Image Guided Therapy - Devices (IGT-D)</x:v>
      </x:c>
      <x:c r="E256" s="36" t="str">
        <x:v>new</x:v>
      </x:c>
      <x:c r="F256" s="36" t="str">
        <x:v>New Technology</x:v>
      </x:c>
      <x:c r="G256" s="36" t="str">
        <x:v>Process simplification / efficiency gain</x:v>
      </x:c>
      <x:c r="H256" s="36" t="str">
        <x:v>Must Do</x:v>
      </x:c>
      <x:c r="I256" s="36" t="str">
        <x:v>New Initiative</x:v>
      </x:c>
      <x:c r="J256" s="38" t="n">
        <x:v>0.8</x:v>
      </x:c>
      <x:c r="K256" s="38"/>
      <x:c r="L256" s="38"/>
      <x:c r="M256" s="38"/>
      <x:c r="N256" s="38"/>
      <x:c r="O256" s="38" t="n">
        <x:v>0.0022</x:v>
      </x:c>
      <x:c r="P256" s="37" t="str">
        <x:v>2.2</x:v>
      </x:c>
      <x:c r="Q256" s="37" t="str">
        <x:v>Cash savings</x:v>
      </x:c>
      <x:c r="R256" s="37" t="str"/>
      <x:c r="S256" s="37" t="str">
        <x:v> A modern WMS unlocks real-time inventory visibility, stronger traceability, optimized material flow, greater automation, and scalable warehouse capabilities to support IGTD’s future factory and digital supply chain strategy. </x:v>
      </x:c>
      <x:c r="T256" s="37" t="str">
        <x:v> Supporting improved efficiency, raw materials availability, scrap avoidance </x:v>
      </x:c>
      <x:c r="U256" s="37" t="str"/>
      <x:c r="V256" s="36" t="str"/>
      <x:c r="W256" s="36" t="str"/>
      <x:c r="X256" s="36"/>
      <x:c r="Y256" s="36" t="str">
        <x:v>NotAssessed</x:v>
      </x:c>
      <x:c r="Z256" s="36" t="str"/>
      <x:c r="AA256" s="36" t="str"/>
      <x:c r="AB256" s="36"/>
      <x:c r="AC256" s="36"/>
      <x:c r="AD256" s="36" t="str"/>
      <x:c r="AE256" s="36" t="str"/>
      <x:c r="AF256" s="36" t="str">
        <x:v>Name and organisation matched</x:v>
      </x:c>
      <x:c r="AG256" s="36" t="str">
        <x:v>Common pot</x:v>
      </x:c>
      <x:c r="AH256" s="36" t="str">
        <x:v>BU Demand!row 570</x:v>
      </x:c>
      <x:c r="AI256" s="36" t="str">
        <x:v>NewTech</x:v>
      </x:c>
      <x:c r="AJ256" s="36" t="str">
        <x:v>ProcSimp</x:v>
      </x:c>
      <x:c r="AK256" s="36" t="str">
        <x:v>Must Do</x:v>
      </x:c>
      <x:c r="AL256" s="36" t="n">
        <x:v>0</x:v>
      </x:c>
      <x:c r="AM256" s="36" t="n">
        <x:v>0</x:v>
      </x:c>
      <x:c r="AN256" s="43"/>
      <x:c r="AO256" s="43"/>
      <x:c r="AP256" s="43"/>
    </x:row>
    <x:row r="257" ht="15" hidden="0" customHeight="1">
      <x:c r="A257" s="36" t="str">
        <x:v>Bu-262</x:v>
      </x:c>
      <x:c r="B257" s="37" t="str">
        <x:v>Optimize Distribution Network North America</x:v>
      </x:c>
      <x:c r="C257" s="36" t="str">
        <x:v>BU Led</x:v>
      </x:c>
      <x:c r="D257" s="36" t="str">
        <x:v>Image Guided Therapy - Devices (IGT-D)</x:v>
      </x:c>
      <x:c r="E257" s="36" t="str">
        <x:v>new</x:v>
      </x:c>
      <x:c r="F257" s="36" t="str">
        <x:v>Continuous Improvement</x:v>
      </x:c>
      <x:c r="G257" s="36" t="str">
        <x:v>Productivity savings</x:v>
      </x:c>
      <x:c r="H257" s="36" t="str">
        <x:v>Must Do</x:v>
      </x:c>
      <x:c r="I257" s="36" t="str">
        <x:v>New Initiative</x:v>
      </x:c>
      <x:c r="J257" s="38" t="n">
        <x:v>0.6</x:v>
      </x:c>
      <x:c r="K257" s="38"/>
      <x:c r="L257" s="38"/>
      <x:c r="M257" s="38"/>
      <x:c r="N257" s="38"/>
      <x:c r="O257" s="38"/>
      <x:c r="P257" s="37" t="str">
        <x:v>add</x:v>
      </x:c>
      <x:c r="Q257" s="37" t="str">
        <x:v>Cash savings</x:v>
      </x:c>
      <x:c r="R257" s="37" t="str"/>
      <x:c r="S257" s="37" t="str">
        <x:v> There are opportunities to streamline distribution in North America </x:v>
      </x:c>
      <x:c r="T257" s="37" t="str">
        <x:v> Distribution network optimization driving cost reduction </x:v>
      </x:c>
      <x:c r="U257" s="37" t="str"/>
      <x:c r="V257" s="36" t="str"/>
      <x:c r="W257" s="36" t="str"/>
      <x:c r="X257" s="36"/>
      <x:c r="Y257" s="36" t="str">
        <x:v>NotAssessed</x:v>
      </x:c>
      <x:c r="Z257" s="36" t="str"/>
      <x:c r="AA257" s="36" t="str"/>
      <x:c r="AB257" s="36"/>
      <x:c r="AC257" s="36"/>
      <x:c r="AD257" s="36" t="str"/>
      <x:c r="AE257" s="36" t="str"/>
      <x:c r="AF257" s="36" t="str">
        <x:v>Name and organisation matched</x:v>
      </x:c>
      <x:c r="AG257" s="36" t="str">
        <x:v>Common pot</x:v>
      </x:c>
      <x:c r="AH257" s="36" t="str">
        <x:v>BU Demand!row 571</x:v>
      </x:c>
      <x:c r="AI257" s="36" t="str">
        <x:v>CI</x:v>
      </x:c>
      <x:c r="AJ257" s="36" t="str">
        <x:v>Productivity</x:v>
      </x:c>
      <x:c r="AK257" s="36" t="str">
        <x:v>Must Do</x:v>
      </x:c>
      <x:c r="AL257" s="36" t="n">
        <x:v>0</x:v>
      </x:c>
      <x:c r="AM257" s="36" t="n">
        <x:v>0</x:v>
      </x:c>
      <x:c r="AN257" s="43"/>
      <x:c r="AO257" s="43"/>
      <x:c r="AP257" s="43"/>
    </x:row>
    <x:row r="258" ht="15" hidden="0" customHeight="1">
      <x:c r="A258" s="36" t="str">
        <x:v>Bu-263</x:v>
      </x:c>
      <x:c r="B258" s="37" t="str">
        <x:v>Converting incoming inspection from Infinity to SAP/MBP in COS</x:v>
      </x:c>
      <x:c r="C258" s="36" t="str">
        <x:v>BU Led</x:v>
      </x:c>
      <x:c r="D258" s="36" t="str">
        <x:v>Image Guided Therapy - Devices (IGT-D)</x:v>
      </x:c>
      <x:c r="E258" s="36" t="str">
        <x:v>new</x:v>
      </x:c>
      <x:c r="F258" s="36" t="str">
        <x:v>Decomm/Replatforming</x:v>
      </x:c>
      <x:c r="G258" s="36" t="str">
        <x:v>Process simplification / efficiency gain</x:v>
      </x:c>
      <x:c r="H258" s="36" t="str">
        <x:v>Must Do</x:v>
      </x:c>
      <x:c r="I258" s="36" t="str">
        <x:v>New Initiative</x:v>
      </x:c>
      <x:c r="J258" s="38" t="n">
        <x:v>0.165</x:v>
      </x:c>
      <x:c r="K258" s="38"/>
      <x:c r="L258" s="38"/>
      <x:c r="M258" s="38"/>
      <x:c r="N258" s="38"/>
      <x:c r="O258" s="38" t="n">
        <x:v>0.4</x:v>
      </x:c>
      <x:c r="P258" s="37" t="str">
        <x:v>400</x:v>
      </x:c>
      <x:c r="Q258" s="37" t="str">
        <x:v>Cash savings</x:v>
      </x:c>
      <x:c r="R258" s="37" t="str"/>
      <x:c r="S258" s="37" t="str"/>
      <x:c r="T258" s="37" t="str">
        <x:v>Phase out Infinity for incoming inspection activities and transition to SAP MBP</x:v>
      </x:c>
      <x:c r="U258" s="37" t="str"/>
      <x:c r="V258" s="36" t="str"/>
      <x:c r="W258" s="36" t="str"/>
      <x:c r="X258" s="36"/>
      <x:c r="Y258" s="36" t="str">
        <x:v>NotAssessed</x:v>
      </x:c>
      <x:c r="Z258" s="36" t="str"/>
      <x:c r="AA258" s="36" t="str"/>
      <x:c r="AB258" s="36"/>
      <x:c r="AC258" s="36"/>
      <x:c r="AD258" s="36" t="str"/>
      <x:c r="AE258" s="36" t="str"/>
      <x:c r="AF258" s="36" t="str">
        <x:v>Name and organisation matched</x:v>
      </x:c>
      <x:c r="AG258" s="36" t="str">
        <x:v>Common pot</x:v>
      </x:c>
      <x:c r="AH258" s="36" t="str">
        <x:v>BU Demand!row 572</x:v>
      </x:c>
      <x:c r="AI258" s="36" t="str">
        <x:v>Decomm</x:v>
      </x:c>
      <x:c r="AJ258" s="36" t="str">
        <x:v>ProcSimp</x:v>
      </x:c>
      <x:c r="AK258" s="36" t="str">
        <x:v>Must Do</x:v>
      </x:c>
      <x:c r="AL258" s="36" t="n">
        <x:v>0</x:v>
      </x:c>
      <x:c r="AM258" s="36" t="n">
        <x:v>0</x:v>
      </x:c>
      <x:c r="AN258" s="43"/>
      <x:c r="AO258" s="43"/>
      <x:c r="AP258" s="43"/>
    </x:row>
    <x:row r="259" ht="15" hidden="0" customHeight="1">
      <x:c r="A259" s="36" t="str">
        <x:v>Bu-264</x:v>
      </x:c>
      <x:c r="B259" s="37" t="str">
        <x:v>Rotterdam - Codebeamer</x:v>
      </x:c>
      <x:c r="C259" s="36" t="str">
        <x:v>BU Led</x:v>
      </x:c>
      <x:c r="D259" s="36" t="str">
        <x:v>Image Guided Therapy - Devices (IGT-D)</x:v>
      </x:c>
      <x:c r="E259" s="36" t="str">
        <x:v>1004713</x:v>
      </x:c>
      <x:c r="F259" s="36" t="str">
        <x:v>New Technology</x:v>
      </x:c>
      <x:c r="G259" s="36" t="str">
        <x:v>Process simplification / efficiency gain</x:v>
      </x:c>
      <x:c r="H259" s="36" t="str">
        <x:v>Must Do</x:v>
      </x:c>
      <x:c r="I259" s="36" t="str">
        <x:v>Carry Over</x:v>
      </x:c>
      <x:c r="J259" s="38" t="n">
        <x:v>2.64</x:v>
      </x:c>
      <x:c r="K259" s="38"/>
      <x:c r="L259" s="38"/>
      <x:c r="M259" s="38"/>
      <x:c r="N259" s="38"/>
      <x:c r="O259" s="38" t="n">
        <x:v>20.479</x:v>
      </x:c>
      <x:c r="P259" s="37" t="str">
        <x:v>20479</x:v>
      </x:c>
      <x:c r="Q259" s="37" t="str">
        <x:v>Cash savings</x:v>
      </x:c>
      <x:c r="R259" s="37" t="str">
        <x:v>Will not get out of document-based activities, which will delay our transition to data-driven (Digital Thread) towards E2E and automated Digitalization of Innovation. Delays in R&amp;D and impact on compliance and audit readiness.</x:v>
      </x:c>
      <x:c r="S259" s="37" t="str">
        <x:v>Currently document based content is managed in various legacy tools (of which, most with no vendor support and potential security concerns) with significant manual effort.</x:v>
      </x:c>
      <x:c r="T259" s="37" t="str">
        <x:v>Codebeamer ALM application lifecycle management (ALM) solution 2027: new feature development, first year or additional licenses, and implementation aligned to BU handshake priorities and funding agreed</x:v>
      </x:c>
      <x:c r="U259" s="37" t="str"/>
      <x:c r="V259" s="36" t="str"/>
      <x:c r="W259" s="36" t="str"/>
      <x:c r="X259" s="36"/>
      <x:c r="Y259" s="36" t="str">
        <x:v>NotAssessed</x:v>
      </x:c>
      <x:c r="Z259" s="36" t="str"/>
      <x:c r="AA259" s="36" t="str"/>
      <x:c r="AB259" s="36"/>
      <x:c r="AC259" s="36"/>
      <x:c r="AD259" s="36" t="str"/>
      <x:c r="AE259" s="36" t="str"/>
      <x:c r="AF259" s="36" t="str">
        <x:v>Name and organisation matched</x:v>
      </x:c>
      <x:c r="AG259" s="36" t="str">
        <x:v>Common pot</x:v>
      </x:c>
      <x:c r="AH259" s="36" t="str">
        <x:v>BU Demand!row 573</x:v>
      </x:c>
      <x:c r="AI259" s="36" t="str">
        <x:v>NewTech</x:v>
      </x:c>
      <x:c r="AJ259" s="36" t="str">
        <x:v>ProcSimp</x:v>
      </x:c>
      <x:c r="AK259" s="36" t="str">
        <x:v>Must Do</x:v>
      </x:c>
      <x:c r="AL259" s="36" t="n">
        <x:v>0</x:v>
      </x:c>
      <x:c r="AM259" s="36" t="n">
        <x:v>0</x:v>
      </x:c>
      <x:c r="AN259" s="43"/>
      <x:c r="AO259" s="43"/>
      <x:c r="AP259" s="43"/>
    </x:row>
    <x:row r="260" ht="15" hidden="0" customHeight="1">
      <x:c r="A260" s="36" t="str">
        <x:v>Bu-266</x:v>
      </x:c>
      <x:c r="B260" s="37" t="str"/>
      <x:c r="C260" s="36" t="str">
        <x:v>BU Led</x:v>
      </x:c>
      <x:c r="D260" s="36" t="str"/>
      <x:c r="E260" s="36" t="str"/>
      <x:c r="F260" s="36" t="str"/>
      <x:c r="G260" s="36" t="str"/>
      <x:c r="H260" s="36" t="str"/>
      <x:c r="I260" s="36" t="str"/>
      <x:c r="J260" s="38"/>
      <x:c r="K260" s="38"/>
      <x:c r="L260" s="38"/>
      <x:c r="M260" s="38"/>
      <x:c r="N260" s="38"/>
      <x:c r="O260" s="38"/>
      <x:c r="P260" s="37" t="str"/>
      <x:c r="Q260" s="37" t="str">
        <x:v>Unclassified</x:v>
      </x:c>
      <x:c r="R260" s="37" t="str"/>
      <x:c r="S260" s="37" t="str"/>
      <x:c r="T260" s="37" t="str"/>
      <x:c r="U260" s="37" t="str"/>
      <x:c r="V260" s="36" t="str"/>
      <x:c r="W260" s="36" t="str"/>
      <x:c r="X260" s="36"/>
      <x:c r="Y260" s="36" t="str">
        <x:v>NotAssessed</x:v>
      </x:c>
      <x:c r="Z260" s="36" t="str"/>
      <x:c r="AA260" s="36" t="str"/>
      <x:c r="AB260" s="36"/>
      <x:c r="AC260" s="36"/>
      <x:c r="AD260" s="36" t="str"/>
      <x:c r="AE260" s="36" t="str"/>
      <x:c r="AF260" s="36" t="str">
        <x:v>No exact waste match</x:v>
      </x:c>
      <x:c r="AG260" s="36" t="str">
        <x:v>Incomplete record</x:v>
      </x:c>
      <x:c r="AH260" s="36" t="str">
        <x:v>BU Demand!row 575</x:v>
      </x:c>
      <x:c r="AI260" s="36" t="str">
        <x:v>Blank</x:v>
      </x:c>
      <x:c r="AJ260" s="36" t="str">
        <x:v>Blank</x:v>
      </x:c>
      <x:c r="AK260" s="36" t="str">
        <x:v>Blank</x:v>
      </x:c>
      <x:c r="AL260" s="36" t="n">
        <x:v>0</x:v>
      </x:c>
      <x:c r="AM260" s="36" t="n">
        <x:v>1</x:v>
      </x:c>
      <x:c r="AN260" s="43"/>
      <x:c r="AO260" s="43"/>
      <x:c r="AP260" s="43"/>
    </x:row>
    <x:row r="261" ht="15" hidden="0" customHeight="1">
      <x:c r="A261" s="36" t="str">
        <x:v>Bu-267</x:v>
      </x:c>
      <x:c r="B261" s="37" t="str">
        <x:v>HPM Impact Dashboard &amp; AI</x:v>
      </x:c>
      <x:c r="C261" s="36" t="str">
        <x:v>BU Led</x:v>
      </x:c>
      <x:c r="D261" s="36" t="str">
        <x:v>Monitoring - HPM (MCH)</x:v>
      </x:c>
      <x:c r="E261" s="36" t="str"/>
      <x:c r="F261" s="36" t="str">
        <x:v>New Feature</x:v>
      </x:c>
      <x:c r="G261" s="36" t="str">
        <x:v>Process simplification/ efficiency gain</x:v>
      </x:c>
      <x:c r="H261" s="36" t="str">
        <x:v>Must Have</x:v>
      </x:c>
      <x:c r="I261" s="36" t="str">
        <x:v>New Initiative</x:v>
      </x:c>
      <x:c r="J261" s="38" t="n">
        <x:v>0.1</x:v>
      </x:c>
      <x:c r="K261" s="38"/>
      <x:c r="L261" s="38"/>
      <x:c r="M261" s="38"/>
      <x:c r="N261" s="38"/>
      <x:c r="O261" s="38"/>
      <x:c r="P261" s="37" t="str"/>
      <x:c r="Q261" s="37" t="str">
        <x:v>Cash savings</x:v>
      </x:c>
      <x:c r="R261" s="37" t="str"/>
      <x:c r="S261" s="37" t="str"/>
      <x:c r="T261" s="37" t="str"/>
      <x:c r="U261" s="37" t="str"/>
      <x:c r="V261" s="36" t="str"/>
      <x:c r="W261" s="36" t="str"/>
      <x:c r="X261" s="36"/>
      <x:c r="Y261" s="36" t="str">
        <x:v>NotAssessed</x:v>
      </x:c>
      <x:c r="Z261" s="36" t="str"/>
      <x:c r="AA261" s="36" t="str"/>
      <x:c r="AB261" s="36"/>
      <x:c r="AC261" s="36"/>
      <x:c r="AD261" s="36" t="str"/>
      <x:c r="AE261" s="36" t="str"/>
      <x:c r="AF261" s="36" t="str">
        <x:v>No exact waste match</x:v>
      </x:c>
      <x:c r="AG261" s="36" t="str">
        <x:v>Common pot</x:v>
      </x:c>
      <x:c r="AH261" s="36" t="str">
        <x:v>BU Demand!row 576</x:v>
      </x:c>
      <x:c r="AI261" s="36" t="str">
        <x:v>NewFeat</x:v>
      </x:c>
      <x:c r="AJ261" s="36" t="str">
        <x:v>ProcSimp</x:v>
      </x:c>
      <x:c r="AK261" s="36" t="str">
        <x:v>Must Have</x:v>
      </x:c>
      <x:c r="AL261" s="36" t="n">
        <x:v>0</x:v>
      </x:c>
      <x:c r="AM261" s="36" t="n">
        <x:v>0</x:v>
      </x:c>
      <x:c r="AN261" s="43"/>
      <x:c r="AO261" s="43"/>
      <x:c r="AP261" s="43"/>
    </x:row>
    <x:row r="262" ht="15" hidden="0" customHeight="1">
      <x:c r="A262" s="36" t="str">
        <x:v>Bu-268</x:v>
      </x:c>
      <x:c r="B262" s="37" t="str"/>
      <x:c r="C262" s="36" t="str">
        <x:v>BU Led</x:v>
      </x:c>
      <x:c r="D262" s="36" t="str"/>
      <x:c r="E262" s="36" t="str"/>
      <x:c r="F262" s="36" t="str"/>
      <x:c r="G262" s="36" t="str"/>
      <x:c r="H262" s="36" t="str"/>
      <x:c r="I262" s="36" t="str"/>
      <x:c r="J262" s="38"/>
      <x:c r="K262" s="38"/>
      <x:c r="L262" s="38"/>
      <x:c r="M262" s="38"/>
      <x:c r="N262" s="38"/>
      <x:c r="O262" s="38"/>
      <x:c r="P262" s="37" t="str"/>
      <x:c r="Q262" s="37" t="str">
        <x:v>Unclassified</x:v>
      </x:c>
      <x:c r="R262" s="37" t="str"/>
      <x:c r="S262" s="37" t="str"/>
      <x:c r="T262" s="37" t="str"/>
      <x:c r="U262" s="37" t="str"/>
      <x:c r="V262" s="36" t="str"/>
      <x:c r="W262" s="36" t="str"/>
      <x:c r="X262" s="36"/>
      <x:c r="Y262" s="36" t="str">
        <x:v>NotAssessed</x:v>
      </x:c>
      <x:c r="Z262" s="36" t="str"/>
      <x:c r="AA262" s="36" t="str"/>
      <x:c r="AB262" s="36"/>
      <x:c r="AC262" s="36"/>
      <x:c r="AD262" s="36" t="str"/>
      <x:c r="AE262" s="36" t="str"/>
      <x:c r="AF262" s="36" t="str">
        <x:v>No exact waste match</x:v>
      </x:c>
      <x:c r="AG262" s="36" t="str">
        <x:v>Incomplete record</x:v>
      </x:c>
      <x:c r="AH262" s="36" t="str">
        <x:v>BU Demand!row 577</x:v>
      </x:c>
      <x:c r="AI262" s="36" t="str">
        <x:v>Blank</x:v>
      </x:c>
      <x:c r="AJ262" s="36" t="str">
        <x:v>Blank</x:v>
      </x:c>
      <x:c r="AK262" s="36" t="str">
        <x:v>Blank</x:v>
      </x:c>
      <x:c r="AL262" s="36" t="n">
        <x:v>0</x:v>
      </x:c>
      <x:c r="AM262" s="36" t="n">
        <x:v>1</x:v>
      </x:c>
      <x:c r="AN262" s="43"/>
      <x:c r="AO262" s="43"/>
      <x:c r="AP262" s="43"/>
    </x:row>
    <x:row r="263" ht="15" hidden="0" customHeight="1">
      <x:c r="A263" s="36" t="str">
        <x:v>Bu-269</x:v>
      </x:c>
      <x:c r="B263" s="37" t="str">
        <x:v>CEC Nexus maintence</x:v>
      </x:c>
      <x:c r="C263" s="36" t="str">
        <x:v>BU Led</x:v>
      </x:c>
      <x:c r="D263" s="36" t="str">
        <x:v>CoE Marketing – HS (former DMEC)​</x:v>
      </x:c>
      <x:c r="E263" s="36" t="str"/>
      <x:c r="F263" s="36" t="str">
        <x:v>Upgrades &amp; Enhancements</x:v>
      </x:c>
      <x:c r="G263" s="36" t="str">
        <x:v>Process simplification/ efficiency gain</x:v>
      </x:c>
      <x:c r="H263" s="36" t="str">
        <x:v>Must Do</x:v>
      </x:c>
      <x:c r="I263" s="36" t="str">
        <x:v>Carry Over</x:v>
      </x:c>
      <x:c r="J263" s="38" t="n">
        <x:v>0.02</x:v>
      </x:c>
      <x:c r="K263" s="38"/>
      <x:c r="L263" s="38"/>
      <x:c r="M263" s="38"/>
      <x:c r="N263" s="38"/>
      <x:c r="O263" s="38"/>
      <x:c r="P263" s="37" t="str"/>
      <x:c r="Q263" s="37" t="str">
        <x:v>Cash savings</x:v>
      </x:c>
      <x:c r="R263" s="37" t="str"/>
      <x:c r="S263" s="37" t="str"/>
      <x:c r="T263" s="37" t="str">
        <x:v>No</x:v>
      </x:c>
      <x:c r="U263" s="37" t="str"/>
      <x:c r="V263" s="36" t="str"/>
      <x:c r="W263" s="36" t="str"/>
      <x:c r="X263" s="36"/>
      <x:c r="Y263" s="36" t="str">
        <x:v>NotAssessed</x:v>
      </x:c>
      <x:c r="Z263" s="36" t="str"/>
      <x:c r="AA263" s="36" t="str"/>
      <x:c r="AB263" s="36"/>
      <x:c r="AC263" s="36"/>
      <x:c r="AD263" s="36" t="str"/>
      <x:c r="AE263" s="36" t="str"/>
      <x:c r="AF263" s="36" t="str">
        <x:v>Name and organisation matched</x:v>
      </x:c>
      <x:c r="AG263" s="36" t="str">
        <x:v>Common pot</x:v>
      </x:c>
      <x:c r="AH263" s="36" t="str">
        <x:v>BU Demand!row 578</x:v>
      </x:c>
      <x:c r="AI263" s="36" t="str">
        <x:v>Upgrades</x:v>
      </x:c>
      <x:c r="AJ263" s="36" t="str">
        <x:v>ProcSimp</x:v>
      </x:c>
      <x:c r="AK263" s="36" t="str">
        <x:v>Must Do</x:v>
      </x:c>
      <x:c r="AL263" s="36" t="n">
        <x:v>0</x:v>
      </x:c>
      <x:c r="AM263" s="36" t="n">
        <x:v>0</x:v>
      </x:c>
      <x:c r="AN263" s="43"/>
      <x:c r="AO263" s="43"/>
      <x:c r="AP263" s="43"/>
    </x:row>
    <x:row r="264" ht="15" hidden="0" customHeight="1">
      <x:c r="A264" s="36" t="str">
        <x:v>Bu-270</x:v>
      </x:c>
      <x:c r="B264" s="37" t="str"/>
      <x:c r="C264" s="36" t="str">
        <x:v>BU Led</x:v>
      </x:c>
      <x:c r="D264" s="36" t="str"/>
      <x:c r="E264" s="36" t="str"/>
      <x:c r="F264" s="36" t="str"/>
      <x:c r="G264" s="36" t="str"/>
      <x:c r="H264" s="36" t="str"/>
      <x:c r="I264" s="36" t="str">
        <x:v>New Initiative</x:v>
      </x:c>
      <x:c r="J264" s="38"/>
      <x:c r="K264" s="38"/>
      <x:c r="L264" s="38"/>
      <x:c r="M264" s="38"/>
      <x:c r="N264" s="38"/>
      <x:c r="O264" s="38"/>
      <x:c r="P264" s="37" t="str"/>
      <x:c r="Q264" s="37" t="str">
        <x:v>Unclassified</x:v>
      </x:c>
      <x:c r="R264" s="37" t="str"/>
      <x:c r="S264" s="37" t="str"/>
      <x:c r="T264" s="37" t="str">
        <x:v>No</x:v>
      </x:c>
      <x:c r="U264" s="37" t="str"/>
      <x:c r="V264" s="36" t="str"/>
      <x:c r="W264" s="36" t="str"/>
      <x:c r="X264" s="36"/>
      <x:c r="Y264" s="36" t="str">
        <x:v>NotAssessed</x:v>
      </x:c>
      <x:c r="Z264" s="36" t="str"/>
      <x:c r="AA264" s="36" t="str"/>
      <x:c r="AB264" s="36"/>
      <x:c r="AC264" s="36"/>
      <x:c r="AD264" s="36" t="str"/>
      <x:c r="AE264" s="36" t="str"/>
      <x:c r="AF264" s="36" t="str">
        <x:v>No exact waste match</x:v>
      </x:c>
      <x:c r="AG264" s="36" t="str">
        <x:v>Incomplete record</x:v>
      </x:c>
      <x:c r="AH264" s="36" t="str">
        <x:v>BU Demand!row 579</x:v>
      </x:c>
      <x:c r="AI264" s="36" t="str">
        <x:v>Blank</x:v>
      </x:c>
      <x:c r="AJ264" s="36" t="str">
        <x:v>Blank</x:v>
      </x:c>
      <x:c r="AK264" s="36" t="str">
        <x:v>Blank</x:v>
      </x:c>
      <x:c r="AL264" s="36" t="n">
        <x:v>0</x:v>
      </x:c>
      <x:c r="AM264" s="36" t="n">
        <x:v>1</x:v>
      </x:c>
      <x:c r="AN264" s="43"/>
      <x:c r="AO264" s="43"/>
      <x:c r="AP264" s="43"/>
    </x:row>
    <x:row r="265" ht="15" hidden="0" customHeight="1">
      <x:c r="A265" s="36" t="str">
        <x:v>Bu-271</x:v>
      </x:c>
      <x:c r="B265" s="37" t="str">
        <x:v>CDP connectors </x:v>
      </x:c>
      <x:c r="C265" s="36" t="str">
        <x:v>BU Led</x:v>
      </x:c>
      <x:c r="D265" s="36" t="str">
        <x:v>CoE Marketing – HS (former DMEC)​</x:v>
      </x:c>
      <x:c r="E265" s="36" t="str">
        <x:v>NEW</x:v>
      </x:c>
      <x:c r="F265" s="36" t="str">
        <x:v>New Feature</x:v>
      </x:c>
      <x:c r="G265" s="36" t="str">
        <x:v>Revenue Increase</x:v>
      </x:c>
      <x:c r="H265" s="36" t="str">
        <x:v>Must Do</x:v>
      </x:c>
      <x:c r="I265" s="36" t="str">
        <x:v>New Initiative</x:v>
      </x:c>
      <x:c r="J265" s="38" t="n">
        <x:v>0.05</x:v>
      </x:c>
      <x:c r="K265" s="38"/>
      <x:c r="L265" s="38"/>
      <x:c r="M265" s="38"/>
      <x:c r="N265" s="38"/>
      <x:c r="O265" s="38"/>
      <x:c r="P265" s="37" t="str"/>
      <x:c r="Q265" s="37" t="str">
        <x:v>Revenue</x:v>
      </x:c>
      <x:c r="R265" s="37" t="str"/>
      <x:c r="S265" s="37" t="str"/>
      <x:c r="T265" s="37" t="str"/>
      <x:c r="U265" s="37" t="str"/>
      <x:c r="V265" s="36" t="str"/>
      <x:c r="W265" s="36" t="str"/>
      <x:c r="X265" s="36"/>
      <x:c r="Y265" s="36" t="str">
        <x:v>NotAssessed</x:v>
      </x:c>
      <x:c r="Z265" s="36" t="str"/>
      <x:c r="AA265" s="36" t="str"/>
      <x:c r="AB265" s="36"/>
      <x:c r="AC265" s="36"/>
      <x:c r="AD265" s="36" t="str"/>
      <x:c r="AE265" s="36" t="str"/>
      <x:c r="AF265" s="36" t="str">
        <x:v>Name and organisation matched</x:v>
      </x:c>
      <x:c r="AG265" s="36" t="str">
        <x:v>Common pot</x:v>
      </x:c>
      <x:c r="AH265" s="36" t="str">
        <x:v>BU Demand!row 580</x:v>
      </x:c>
      <x:c r="AI265" s="36" t="str">
        <x:v>NewFeat</x:v>
      </x:c>
      <x:c r="AJ265" s="36" t="str">
        <x:v>Revenue</x:v>
      </x:c>
      <x:c r="AK265" s="36" t="str">
        <x:v>Must Do</x:v>
      </x:c>
      <x:c r="AL265" s="36" t="n">
        <x:v>0</x:v>
      </x:c>
      <x:c r="AM265" s="36" t="n">
        <x:v>0</x:v>
      </x:c>
      <x:c r="AN265" s="43"/>
      <x:c r="AO265" s="43"/>
      <x:c r="AP265" s="43"/>
    </x:row>
    <x:row r="266" ht="15" hidden="0" customHeight="1">
      <x:c r="A266" s="36" t="str">
        <x:v>Bu-272</x:v>
      </x:c>
      <x:c r="B266" s="37" t="str">
        <x:v>Pricing System  new</x:v>
      </x:c>
      <x:c r="C266" s="36" t="str">
        <x:v>BU Led</x:v>
      </x:c>
      <x:c r="D266" s="36" t="str">
        <x:v>CoE Marketing – HS (former DMEC)​</x:v>
      </x:c>
      <x:c r="E266" s="36" t="str">
        <x:v>NEW</x:v>
      </x:c>
      <x:c r="F266" s="36" t="str">
        <x:v>New Feature</x:v>
      </x:c>
      <x:c r="G266" s="36" t="str">
        <x:v>Revenue Increase</x:v>
      </x:c>
      <x:c r="H266" s="36" t="str">
        <x:v>Must Have</x:v>
      </x:c>
      <x:c r="I266" s="36" t="str">
        <x:v>New Initiative</x:v>
      </x:c>
      <x:c r="J266" s="38" t="n">
        <x:v>0.2</x:v>
      </x:c>
      <x:c r="K266" s="38"/>
      <x:c r="L266" s="38"/>
      <x:c r="M266" s="38"/>
      <x:c r="N266" s="38"/>
      <x:c r="O266" s="38"/>
      <x:c r="P266" s="37" t="str"/>
      <x:c r="Q266" s="37" t="str">
        <x:v>Revenue</x:v>
      </x:c>
      <x:c r="R266" s="37" t="str"/>
      <x:c r="S266" s="37" t="str"/>
      <x:c r="T266" s="37" t="str">
        <x:v>Yes</x:v>
      </x:c>
      <x:c r="U266" s="37" t="str"/>
      <x:c r="V266" s="36" t="str"/>
      <x:c r="W266" s="36" t="str"/>
      <x:c r="X266" s="36"/>
      <x:c r="Y266" s="36" t="str">
        <x:v>NotAssessed</x:v>
      </x:c>
      <x:c r="Z266" s="36" t="str"/>
      <x:c r="AA266" s="36" t="str"/>
      <x:c r="AB266" s="36"/>
      <x:c r="AC266" s="36"/>
      <x:c r="AD266" s="36" t="str"/>
      <x:c r="AE266" s="36" t="str"/>
      <x:c r="AF266" s="36" t="str">
        <x:v>Name and organisation matched</x:v>
      </x:c>
      <x:c r="AG266" s="36" t="str">
        <x:v>Common pot</x:v>
      </x:c>
      <x:c r="AH266" s="36" t="str">
        <x:v>BU Demand!row 581</x:v>
      </x:c>
      <x:c r="AI266" s="36" t="str">
        <x:v>NewFeat</x:v>
      </x:c>
      <x:c r="AJ266" s="36" t="str">
        <x:v>Revenue</x:v>
      </x:c>
      <x:c r="AK266" s="36" t="str">
        <x:v>Must Have</x:v>
      </x:c>
      <x:c r="AL266" s="36" t="n">
        <x:v>0</x:v>
      </x:c>
      <x:c r="AM266" s="36" t="n">
        <x:v>0</x:v>
      </x:c>
      <x:c r="AN266" s="43"/>
      <x:c r="AO266" s="43"/>
      <x:c r="AP266" s="43"/>
    </x:row>
    <x:row r="267" ht="15" hidden="0" customHeight="1">
      <x:c r="A267" s="36" t="str">
        <x:v>Bu-273</x:v>
      </x:c>
      <x:c r="B267" s="37" t="str">
        <x:v>Pricing maintence</x:v>
      </x:c>
      <x:c r="C267" s="36" t="str">
        <x:v>BU Led</x:v>
      </x:c>
      <x:c r="D267" s="36" t="str">
        <x:v>CoE Marketing – HS (former DMEC)​</x:v>
      </x:c>
      <x:c r="E267" s="36" t="str">
        <x:v>NEW</x:v>
      </x:c>
      <x:c r="F267" s="36" t="str">
        <x:v>Continous Improvement</x:v>
      </x:c>
      <x:c r="G267" s="36" t="str">
        <x:v>Revenue Increase</x:v>
      </x:c>
      <x:c r="H267" s="36" t="str">
        <x:v>Must Do</x:v>
      </x:c>
      <x:c r="I267" s="36" t="str">
        <x:v>New Initiative</x:v>
      </x:c>
      <x:c r="J267" s="38" t="n">
        <x:v>0.1</x:v>
      </x:c>
      <x:c r="K267" s="38"/>
      <x:c r="L267" s="38"/>
      <x:c r="M267" s="38"/>
      <x:c r="N267" s="38"/>
      <x:c r="O267" s="38"/>
      <x:c r="P267" s="37" t="str"/>
      <x:c r="Q267" s="37" t="str">
        <x:v>Revenue</x:v>
      </x:c>
      <x:c r="R267" s="37" t="str"/>
      <x:c r="S267" s="37" t="str"/>
      <x:c r="T267" s="37" t="str"/>
      <x:c r="U267" s="37" t="str"/>
      <x:c r="V267" s="36" t="str"/>
      <x:c r="W267" s="36" t="str"/>
      <x:c r="X267" s="36"/>
      <x:c r="Y267" s="36" t="str">
        <x:v>NotAssessed</x:v>
      </x:c>
      <x:c r="Z267" s="36" t="str"/>
      <x:c r="AA267" s="36" t="str"/>
      <x:c r="AB267" s="36"/>
      <x:c r="AC267" s="36"/>
      <x:c r="AD267" s="36" t="str"/>
      <x:c r="AE267" s="36" t="str"/>
      <x:c r="AF267" s="36" t="str">
        <x:v>Name and organisation matched</x:v>
      </x:c>
      <x:c r="AG267" s="36" t="str">
        <x:v>Common pot</x:v>
      </x:c>
      <x:c r="AH267" s="36" t="str">
        <x:v>BU Demand!row 582</x:v>
      </x:c>
      <x:c r="AI267" s="36" t="str">
        <x:v>CI</x:v>
      </x:c>
      <x:c r="AJ267" s="36" t="str">
        <x:v>Revenue</x:v>
      </x:c>
      <x:c r="AK267" s="36" t="str">
        <x:v>Must Do</x:v>
      </x:c>
      <x:c r="AL267" s="36" t="n">
        <x:v>0</x:v>
      </x:c>
      <x:c r="AM267" s="36" t="n">
        <x:v>0</x:v>
      </x:c>
      <x:c r="AN267" s="43"/>
      <x:c r="AO267" s="43"/>
      <x:c r="AP267" s="43"/>
    </x:row>
    <x:row r="268" ht="15" hidden="0" customHeight="1">
      <x:c r="A268" s="36" t="str">
        <x:v>Bu-274</x:v>
      </x:c>
      <x:c r="B268" s="37" t="str">
        <x:v>PAL/PPL enhancements</x:v>
      </x:c>
      <x:c r="C268" s="36" t="str">
        <x:v>BU Led</x:v>
      </x:c>
      <x:c r="D268" s="36" t="str">
        <x:v>CoE Marketing – HS (former DMEC)​</x:v>
      </x:c>
      <x:c r="E268" s="36" t="str"/>
      <x:c r="F268" s="36" t="str">
        <x:v>Continous Improvement</x:v>
      </x:c>
      <x:c r="G268" s="36" t="str">
        <x:v>Compliance/Keeping the lights on</x:v>
      </x:c>
      <x:c r="H268" s="36" t="str">
        <x:v>Must Do</x:v>
      </x:c>
      <x:c r="I268" s="36" t="str">
        <x:v>Carry Over</x:v>
      </x:c>
      <x:c r="J268" s="38" t="n">
        <x:v>0.3</x:v>
      </x:c>
      <x:c r="K268" s="38"/>
      <x:c r="L268" s="38"/>
      <x:c r="M268" s="38"/>
      <x:c r="N268" s="38"/>
      <x:c r="O268" s="38" t="n">
        <x:v>0.5</x:v>
      </x:c>
      <x:c r="P268" s="37" t="str">
        <x:v>500</x:v>
      </x:c>
      <x:c r="Q268" s="37" t="str">
        <x:v>Risk exposure</x:v>
      </x:c>
      <x:c r="R268" s="37" t="str">
        <x:v>Improve usability and speed to market for content - cost of inaction is increased timelines and regulatory risk</x:v>
      </x:c>
      <x:c r="S268" s="37" t="str">
        <x:v>Legacy systems require updated governance and maintenance, including front-end fixes for improved usability,and  content discoverability and metadata to ensure compliance and proper use of content digitally</x:v>
      </x:c>
      <x:c r="T268" s="37" t="str">
        <x:v>Development and configuration of existing tools, including the use of available AI and automation to drive usability </x:v>
      </x:c>
      <x:c r="U268" s="37" t="str"/>
      <x:c r="V268" s="36" t="str"/>
      <x:c r="W268" s="36" t="str"/>
      <x:c r="X268" s="36"/>
      <x:c r="Y268" s="36" t="str">
        <x:v>NotAssessed</x:v>
      </x:c>
      <x:c r="Z268" s="36" t="str"/>
      <x:c r="AA268" s="36" t="str"/>
      <x:c r="AB268" s="36"/>
      <x:c r="AC268" s="36"/>
      <x:c r="AD268" s="36" t="str"/>
      <x:c r="AE268" s="36" t="str"/>
      <x:c r="AF268" s="36" t="str">
        <x:v>Name and organisation matched</x:v>
      </x:c>
      <x:c r="AG268" s="36" t="str">
        <x:v>Common pot</x:v>
      </x:c>
      <x:c r="AH268" s="36" t="str">
        <x:v>BU Demand!row 583</x:v>
      </x:c>
      <x:c r="AI268" s="36" t="str">
        <x:v>CI</x:v>
      </x:c>
      <x:c r="AJ268" s="36" t="str">
        <x:v>Compliance</x:v>
      </x:c>
      <x:c r="AK268" s="36" t="str">
        <x:v>Must Do</x:v>
      </x:c>
      <x:c r="AL268" s="36" t="n">
        <x:v>0</x:v>
      </x:c>
      <x:c r="AM268" s="36" t="n">
        <x:v>0</x:v>
      </x:c>
      <x:c r="AN268" s="43"/>
      <x:c r="AO268" s="43"/>
      <x:c r="AP268" s="43"/>
    </x:row>
    <x:row r="269" ht="15" hidden="0" customHeight="1">
      <x:c r="A269" s="36" t="str">
        <x:v>Bu-275</x:v>
      </x:c>
      <x:c r="B269" s="37" t="str">
        <x:v>Web - Contentful features backlog (GEO, Compliance, Fixes, etc.)</x:v>
      </x:c>
      <x:c r="C269" s="36" t="str">
        <x:v>BU Led</x:v>
      </x:c>
      <x:c r="D269" s="36" t="str">
        <x:v>CoE Marketing – HS (former DMEC)​</x:v>
      </x:c>
      <x:c r="E269" s="36" t="str"/>
      <x:c r="F269" s="36" t="str">
        <x:v>Continous Improvement</x:v>
      </x:c>
      <x:c r="G269" s="36" t="str">
        <x:v>Revenue Increase</x:v>
      </x:c>
      <x:c r="H269" s="36" t="str">
        <x:v>Must Do</x:v>
      </x:c>
      <x:c r="I269" s="36" t="str">
        <x:v>Carry Over</x:v>
      </x:c>
      <x:c r="J269" s="38" t="n">
        <x:v>0.57</x:v>
      </x:c>
      <x:c r="K269" s="38"/>
      <x:c r="L269" s="38"/>
      <x:c r="M269" s="38"/>
      <x:c r="N269" s="38"/>
      <x:c r="O269" s="38" t="n">
        <x:v>2</x:v>
      </x:c>
      <x:c r="P269" s="37" t="str">
        <x:v>2000</x:v>
      </x:c>
      <x:c r="Q269" s="37" t="str">
        <x:v>Revenue</x:v>
      </x:c>
      <x:c r="R269" s="37" t="str">
        <x:v>Improve on-site conversion rates and marketing impact on sales - inaction result in decreased customer satisfaction</x:v>
      </x:c>
      <x:c r="S269" s="37" t="str">
        <x:v>Website is successfully migrating to Contentful in 2026, but there are required compliance (accessability) enhancements along with a BU requested feature enhancement backlog that has been prioritized and must be addressed</x:v>
      </x:c>
      <x:c r="T269" s="37" t="str">
        <x:v>Development of front and back end feature requsts including GEO enhancements, accessbility issues, page load speed, and user experience improvements </x:v>
      </x:c>
      <x:c r="U269" s="37" t="str"/>
      <x:c r="V269" s="36" t="str"/>
      <x:c r="W269" s="36" t="str"/>
      <x:c r="X269" s="36"/>
      <x:c r="Y269" s="36" t="str">
        <x:v>NotAssessed</x:v>
      </x:c>
      <x:c r="Z269" s="36" t="str"/>
      <x:c r="AA269" s="36" t="str"/>
      <x:c r="AB269" s="36"/>
      <x:c r="AC269" s="36"/>
      <x:c r="AD269" s="36" t="str"/>
      <x:c r="AE269" s="36" t="str"/>
      <x:c r="AF269" s="36" t="str">
        <x:v>Name and organisation matched</x:v>
      </x:c>
      <x:c r="AG269" s="36" t="str">
        <x:v>Common pot</x:v>
      </x:c>
      <x:c r="AH269" s="36" t="str">
        <x:v>BU Demand!row 584</x:v>
      </x:c>
      <x:c r="AI269" s="36" t="str">
        <x:v>CI</x:v>
      </x:c>
      <x:c r="AJ269" s="36" t="str">
        <x:v>Revenue</x:v>
      </x:c>
      <x:c r="AK269" s="36" t="str">
        <x:v>Must Do</x:v>
      </x:c>
      <x:c r="AL269" s="36" t="n">
        <x:v>0</x:v>
      </x:c>
      <x:c r="AM269" s="36" t="n">
        <x:v>0</x:v>
      </x:c>
      <x:c r="AN269" s="43"/>
      <x:c r="AO269" s="43"/>
      <x:c r="AP269" s="43"/>
    </x:row>
    <x:row r="270" ht="15" hidden="0" customHeight="1">
      <x:c r="A270" s="36" t="str">
        <x:v>Bu-276</x:v>
      </x:c>
      <x:c r="B270" s="37" t="str">
        <x:v>Web - Personalization &amp; orchestration to leverage CDP</x:v>
      </x:c>
      <x:c r="C270" s="36" t="str">
        <x:v>BU Led</x:v>
      </x:c>
      <x:c r="D270" s="36" t="str">
        <x:v>CoE Marketing – HS (former DMEC)​</x:v>
      </x:c>
      <x:c r="E270" s="36" t="str">
        <x:v>NEW</x:v>
      </x:c>
      <x:c r="F270" s="36" t="str">
        <x:v>New Feature</x:v>
      </x:c>
      <x:c r="G270" s="36" t="str">
        <x:v>Revenue Increase</x:v>
      </x:c>
      <x:c r="H270" s="36" t="str">
        <x:v>Deprioritised</x:v>
      </x:c>
      <x:c r="I270" s="36" t="str">
        <x:v>New Initiative</x:v>
      </x:c>
      <x:c r="J270" s="38" t="n">
        <x:v>0.25</x:v>
      </x:c>
      <x:c r="K270" s="38"/>
      <x:c r="L270" s="38"/>
      <x:c r="M270" s="38"/>
      <x:c r="N270" s="38"/>
      <x:c r="O270" s="38" t="n">
        <x:v>2</x:v>
      </x:c>
      <x:c r="P270" s="37" t="str">
        <x:v>2000</x:v>
      </x:c>
      <x:c r="Q270" s="37" t="str">
        <x:v>Revenue</x:v>
      </x:c>
      <x:c r="R270" s="37" t="str">
        <x:v>Improved on-site experience and increase in MQLs and opp value - slow decline in web metrics without improvement</x:v>
      </x:c>
      <x:c r="S270" s="37" t="str">
        <x:v>There are modern features available within the Contentful platform that sync with our upcoming CDP that should be activated to provide a bette user experience and deliver stronger web performance</x:v>
      </x:c>
      <x:c r="T270" s="37" t="str">
        <x:v>Configuration of front-end to support personalized/templatized experiences based upon a needed integration with CDP </x:v>
      </x:c>
      <x:c r="U270" s="37" t="str"/>
      <x:c r="V270" s="36" t="str"/>
      <x:c r="W270" s="36" t="str"/>
      <x:c r="X270" s="36"/>
      <x:c r="Y270" s="36" t="str">
        <x:v>NotAssessed</x:v>
      </x:c>
      <x:c r="Z270" s="36" t="str"/>
      <x:c r="AA270" s="36" t="str"/>
      <x:c r="AB270" s="36"/>
      <x:c r="AC270" s="36"/>
      <x:c r="AD270" s="36" t="str"/>
      <x:c r="AE270" s="36" t="str"/>
      <x:c r="AF270" s="36" t="str">
        <x:v>Name and organisation matched</x:v>
      </x:c>
      <x:c r="AG270" s="36" t="str">
        <x:v>Common pot</x:v>
      </x:c>
      <x:c r="AH270" s="36" t="str">
        <x:v>BU Demand!row 585</x:v>
      </x:c>
      <x:c r="AI270" s="36" t="str">
        <x:v>NewFeat</x:v>
      </x:c>
      <x:c r="AJ270" s="36" t="str">
        <x:v>Revenue</x:v>
      </x:c>
      <x:c r="AK270" s="36" t="str">
        <x:v>Depri</x:v>
      </x:c>
      <x:c r="AL270" s="36" t="n">
        <x:v>0</x:v>
      </x:c>
      <x:c r="AM270" s="36" t="n">
        <x:v>0</x:v>
      </x:c>
      <x:c r="AN270" s="43"/>
      <x:c r="AO270" s="43"/>
      <x:c r="AP270" s="43"/>
    </x:row>
    <x:row r="271" ht="15" hidden="0" customHeight="1">
      <x:c r="A271" s="36" t="str">
        <x:v>Bu-278</x:v>
      </x:c>
      <x:c r="B271" s="37" t="str"/>
      <x:c r="C271" s="36" t="str">
        <x:v>BU Led</x:v>
      </x:c>
      <x:c r="D271" s="36" t="str"/>
      <x:c r="E271" s="36" t="str"/>
      <x:c r="F271" s="36" t="str"/>
      <x:c r="G271" s="36" t="str"/>
      <x:c r="H271" s="36" t="str"/>
      <x:c r="I271" s="36" t="str"/>
      <x:c r="J271" s="38"/>
      <x:c r="K271" s="38"/>
      <x:c r="L271" s="38"/>
      <x:c r="M271" s="38"/>
      <x:c r="N271" s="38"/>
      <x:c r="O271" s="38"/>
      <x:c r="P271" s="37" t="str"/>
      <x:c r="Q271" s="37" t="str">
        <x:v>Unclassified</x:v>
      </x:c>
      <x:c r="R271" s="37" t="str"/>
      <x:c r="S271" s="37" t="str"/>
      <x:c r="T271" s="37" t="str"/>
      <x:c r="U271" s="37" t="str"/>
      <x:c r="V271" s="36" t="str"/>
      <x:c r="W271" s="36" t="str"/>
      <x:c r="X271" s="36"/>
      <x:c r="Y271" s="36" t="str">
        <x:v>NotAssessed</x:v>
      </x:c>
      <x:c r="Z271" s="36" t="str"/>
      <x:c r="AA271" s="36" t="str"/>
      <x:c r="AB271" s="36"/>
      <x:c r="AC271" s="36"/>
      <x:c r="AD271" s="36" t="str"/>
      <x:c r="AE271" s="36" t="str"/>
      <x:c r="AF271" s="36" t="str">
        <x:v>No exact waste match</x:v>
      </x:c>
      <x:c r="AG271" s="36" t="str">
        <x:v>Incomplete record</x:v>
      </x:c>
      <x:c r="AH271" s="36" t="str">
        <x:v>BU Demand!row 586</x:v>
      </x:c>
      <x:c r="AI271" s="36" t="str">
        <x:v>Blank</x:v>
      </x:c>
      <x:c r="AJ271" s="36" t="str">
        <x:v>Blank</x:v>
      </x:c>
      <x:c r="AK271" s="36" t="str">
        <x:v>Blank</x:v>
      </x:c>
      <x:c r="AL271" s="36" t="n">
        <x:v>0</x:v>
      </x:c>
      <x:c r="AM271" s="36" t="n">
        <x:v>1</x:v>
      </x:c>
      <x:c r="AN271" s="43"/>
      <x:c r="AO271" s="43"/>
      <x:c r="AP271" s="43"/>
    </x:row>
    <x:row r="272" ht="24" hidden="0" customHeight="1">
      <x:c r="A272" s="36" t="str">
        <x:v>Bu-280</x:v>
      </x:c>
      <x:c r="B272" s="37" t="str">
        <x:v>Nurture &amp; Campaign Enhancements (AI data enrichment, API connectors, customer match)</x:v>
      </x:c>
      <x:c r="C272" s="36" t="str">
        <x:v>BU Led</x:v>
      </x:c>
      <x:c r="D272" s="36" t="str">
        <x:v>CoE Marketing – HS (former DMEC)​</x:v>
      </x:c>
      <x:c r="E272" s="36" t="str">
        <x:v>NEW</x:v>
      </x:c>
      <x:c r="F272" s="36" t="str">
        <x:v>Continous Improvement</x:v>
      </x:c>
      <x:c r="G272" s="36" t="str">
        <x:v>Revenue Increase</x:v>
      </x:c>
      <x:c r="H272" s="36" t="str">
        <x:v>Must Do</x:v>
      </x:c>
      <x:c r="I272" s="36" t="str">
        <x:v>New Initiative</x:v>
      </x:c>
      <x:c r="J272" s="38" t="n">
        <x:v>0.183</x:v>
      </x:c>
      <x:c r="K272" s="38"/>
      <x:c r="L272" s="38"/>
      <x:c r="M272" s="38"/>
      <x:c r="N272" s="38"/>
      <x:c r="O272" s="38" t="n">
        <x:v>0.4</x:v>
      </x:c>
      <x:c r="P272" s="37" t="str">
        <x:v>400</x:v>
      </x:c>
      <x:c r="Q272" s="37" t="str">
        <x:v>Revenue</x:v>
      </x:c>
      <x:c r="R272" s="37" t="str">
        <x:v>Improve quality of campaigns and email sends resulting in more and better qualified leads - decline in opp value without action</x:v>
      </x:c>
      <x:c r="S272" s="37" t="str">
        <x:v>Core technology (Eloqua, Veeva, Seismic, Linkedin, Google) require connections and maintenance to take advantage of features to deploy more effective marketing campaigns</x:v>
      </x:c>
      <x:c r="T272" s="37" t="str">
        <x:v>Multiple API connections and database enhancements to support improved data collection, customer match, and data flow between core platforms</x:v>
      </x:c>
      <x:c r="U272" s="37" t="str"/>
      <x:c r="V272" s="36" t="str"/>
      <x:c r="W272" s="36" t="str"/>
      <x:c r="X272" s="36"/>
      <x:c r="Y272" s="36" t="str">
        <x:v>NotAssessed</x:v>
      </x:c>
      <x:c r="Z272" s="36" t="str"/>
      <x:c r="AA272" s="36" t="str"/>
      <x:c r="AB272" s="36"/>
      <x:c r="AC272" s="36"/>
      <x:c r="AD272" s="36" t="str"/>
      <x:c r="AE272" s="36" t="str"/>
      <x:c r="AF272" s="36" t="str">
        <x:v>Name and organisation matched</x:v>
      </x:c>
      <x:c r="AG272" s="36" t="str">
        <x:v>Common pot</x:v>
      </x:c>
      <x:c r="AH272" s="36" t="str">
        <x:v>BU Demand!row 587</x:v>
      </x:c>
      <x:c r="AI272" s="36" t="str">
        <x:v>CI</x:v>
      </x:c>
      <x:c r="AJ272" s="36" t="str">
        <x:v>Revenue</x:v>
      </x:c>
      <x:c r="AK272" s="36" t="str">
        <x:v>Must Do</x:v>
      </x:c>
      <x:c r="AL272" s="36" t="n">
        <x:v>0</x:v>
      </x:c>
      <x:c r="AM272" s="36" t="n">
        <x:v>0</x:v>
      </x:c>
      <x:c r="AN272" s="43"/>
      <x:c r="AO272" s="43"/>
      <x:c r="AP272" s="43"/>
    </x:row>
    <x:row r="273" ht="15" hidden="0" customHeight="1">
      <x:c r="A273" s="36" t="str">
        <x:v>Bu-281</x:v>
      </x:c>
      <x:c r="B273" s="37" t="str">
        <x:v>D3 Change Request</x:v>
      </x:c>
      <x:c r="C273" s="36" t="str">
        <x:v>BU Led</x:v>
      </x:c>
      <x:c r="D273" s="36" t="str">
        <x:v>Image Guided Therapy - Systems (IGT-S)</x:v>
      </x:c>
      <x:c r="E273" s="36" t="str">
        <x:v>NEW</x:v>
      </x:c>
      <x:c r="F273" s="36" t="str">
        <x:v>Continous Improvement</x:v>
      </x:c>
      <x:c r="G273" s="36" t="str">
        <x:v>Process simplification/ efficiency gain</x:v>
      </x:c>
      <x:c r="H273" s="36" t="str">
        <x:v>Must Have</x:v>
      </x:c>
      <x:c r="I273" s="36" t="str">
        <x:v>New Initiative</x:v>
      </x:c>
      <x:c r="J273" s="38" t="n">
        <x:v>0.1</x:v>
      </x:c>
      <x:c r="K273" s="38"/>
      <x:c r="L273" s="38"/>
      <x:c r="M273" s="38"/>
      <x:c r="N273" s="38"/>
      <x:c r="O273" s="38" t="n">
        <x:v>0</x:v>
      </x:c>
      <x:c r="P273" s="37" t="str">
        <x:v>0</x:v>
      </x:c>
      <x:c r="Q273" s="37" t="str">
        <x:v>Cash savings</x:v>
      </x:c>
      <x:c r="R273" s="37" t="str">
        <x:v>N/A</x:v>
      </x:c>
      <x:c r="S273" s="37" t="str">
        <x:v>Small budget to manage small change request </x:v>
      </x:c>
      <x:c r="T273" s="37" t="str">
        <x:v>Small budget to manage small change request </x:v>
      </x:c>
      <x:c r="U273" s="37" t="str"/>
      <x:c r="V273" s="36" t="str"/>
      <x:c r="W273" s="36" t="str"/>
      <x:c r="X273" s="36"/>
      <x:c r="Y273" s="36" t="str">
        <x:v>NotAssessed</x:v>
      </x:c>
      <x:c r="Z273" s="36" t="str"/>
      <x:c r="AA273" s="36" t="str"/>
      <x:c r="AB273" s="36"/>
      <x:c r="AC273" s="36"/>
      <x:c r="AD273" s="36" t="str"/>
      <x:c r="AE273" s="36" t="str"/>
      <x:c r="AF273" s="36" t="str">
        <x:v>No exact waste match</x:v>
      </x:c>
      <x:c r="AG273" s="36" t="str">
        <x:v>Common pot</x:v>
      </x:c>
      <x:c r="AH273" s="36" t="str">
        <x:v>BU Demand!row 588</x:v>
      </x:c>
      <x:c r="AI273" s="36" t="str">
        <x:v>CI</x:v>
      </x:c>
      <x:c r="AJ273" s="36" t="str">
        <x:v>ProcSimp</x:v>
      </x:c>
      <x:c r="AK273" s="36" t="str">
        <x:v>Must Have</x:v>
      </x:c>
      <x:c r="AL273" s="36" t="n">
        <x:v>0</x:v>
      </x:c>
      <x:c r="AM273" s="36" t="n">
        <x:v>0</x:v>
      </x:c>
      <x:c r="AN273" s="43"/>
      <x:c r="AO273" s="43"/>
      <x:c r="AP273" s="43"/>
    </x:row>
    <x:row r="274" ht="15" hidden="0" customHeight="1">
      <x:c r="A274" s="36" t="str">
        <x:v>Bu-282</x:v>
      </x:c>
      <x:c r="B274" s="37" t="str">
        <x:v>Chat bot for sales support (Monigotchi)</x:v>
      </x:c>
      <x:c r="C274" s="36" t="str">
        <x:v>BU Led</x:v>
      </x:c>
      <x:c r="D274" s="36" t="str">
        <x:v>Monitoring - HPM (MCH)</x:v>
      </x:c>
      <x:c r="E274" s="36" t="str">
        <x:v>1005605</x:v>
      </x:c>
      <x:c r="F274" s="36" t="str">
        <x:v>Continous Improvement</x:v>
      </x:c>
      <x:c r="G274" s="36" t="str"/>
      <x:c r="H274" s="36" t="str">
        <x:v>Must Do</x:v>
      </x:c>
      <x:c r="I274" s="36" t="str">
        <x:v>Carry Over</x:v>
      </x:c>
      <x:c r="J274" s="38" t="n">
        <x:v>0.012</x:v>
      </x:c>
      <x:c r="K274" s="38"/>
      <x:c r="L274" s="38"/>
      <x:c r="M274" s="38"/>
      <x:c r="N274" s="38"/>
      <x:c r="O274" s="38"/>
      <x:c r="P274" s="37" t="str"/>
      <x:c r="Q274" s="37" t="str">
        <x:v>Unclassified</x:v>
      </x:c>
      <x:c r="R274" s="37" t="str"/>
      <x:c r="S274" s="37" t="str">
        <x:v>sales productivity</x:v>
      </x:c>
      <x:c r="T274" s="37" t="str">
        <x:v>Migration of the locally-hosted Production environment build in 2026 to Philips IT Cloud Service.</x:v>
      </x:c>
      <x:c r="U274" s="37" t="str"/>
      <x:c r="V274" s="36" t="str"/>
      <x:c r="W274" s="36" t="str"/>
      <x:c r="X274" s="36"/>
      <x:c r="Y274" s="36" t="str">
        <x:v>NotAssessed</x:v>
      </x:c>
      <x:c r="Z274" s="36" t="str"/>
      <x:c r="AA274" s="36" t="str"/>
      <x:c r="AB274" s="36"/>
      <x:c r="AC274" s="36"/>
      <x:c r="AD274" s="36" t="str"/>
      <x:c r="AE274" s="36" t="str"/>
      <x:c r="AF274" s="36" t="str">
        <x:v>No exact waste match</x:v>
      </x:c>
      <x:c r="AG274" s="36" t="str">
        <x:v>Common pot</x:v>
      </x:c>
      <x:c r="AH274" s="36" t="str">
        <x:v>BU Demand!row 589</x:v>
      </x:c>
      <x:c r="AI274" s="36" t="str">
        <x:v>CI</x:v>
      </x:c>
      <x:c r="AJ274" s="36" t="str">
        <x:v>Blank</x:v>
      </x:c>
      <x:c r="AK274" s="36" t="str">
        <x:v>Must Do</x:v>
      </x:c>
      <x:c r="AL274" s="36" t="n">
        <x:v>0</x:v>
      </x:c>
      <x:c r="AM274" s="36" t="n">
        <x:v>0</x:v>
      </x:c>
      <x:c r="AN274" s="43"/>
      <x:c r="AO274" s="43"/>
      <x:c r="AP274" s="43"/>
    </x:row>
    <x:row r="275" ht="15" hidden="0" customHeight="1">
      <x:c r="A275" s="36" t="str">
        <x:v>Bu-283</x:v>
      </x:c>
      <x:c r="B275" s="37" t="str">
        <x:v>17.3 PH Digital Marketing Compliance</x:v>
      </x:c>
      <x:c r="C275" s="36" t="str">
        <x:v>BU Led</x:v>
      </x:c>
      <x:c r="D275" s="36" t="str">
        <x:v>Personal Health (PH)</x:v>
      </x:c>
      <x:c r="E275" s="36" t="str">
        <x:v>1001894</x:v>
      </x:c>
      <x:c r="F275" s="36" t="str">
        <x:v>Legal Fiscal, Regulatory &amp; Compliancy</x:v>
      </x:c>
      <x:c r="G275" s="36" t="str">
        <x:v>Compliance/Keeping the lights on</x:v>
      </x:c>
      <x:c r="H275" s="36" t="str">
        <x:v>Must Do</x:v>
      </x:c>
      <x:c r="I275" s="36" t="str">
        <x:v>Carry Over</x:v>
      </x:c>
      <x:c r="J275" s="38" t="n">
        <x:v>0.15</x:v>
      </x:c>
      <x:c r="K275" s="38"/>
      <x:c r="L275" s="38"/>
      <x:c r="M275" s="38"/>
      <x:c r="N275" s="38"/>
      <x:c r="O275" s="38"/>
      <x:c r="P275" s="37" t="str"/>
      <x:c r="Q275" s="37" t="str">
        <x:v>Risk exposure</x:v>
      </x:c>
      <x:c r="R275" s="37" t="str">
        <x:v>EU AI Act compliance Measures will not be met</x:v>
      </x:c>
      <x:c r="S275" s="37" t="str"/>
      <x:c r="T275" s="37" t="str"/>
      <x:c r="U275" s="37" t="str"/>
      <x:c r="V275" s="36" t="str">
        <x:v>2027</x:v>
      </x:c>
      <x:c r="W275" s="36" t="str">
        <x:v>EU AI Act applicable  from 2nd Aug 2026</x:v>
      </x:c>
      <x:c r="X275" s="36"/>
      <x:c r="Y275" s="36" t="str">
        <x:v>NotAssessed</x:v>
      </x:c>
      <x:c r="Z275" s="36" t="str"/>
      <x:c r="AA275" s="36" t="str"/>
      <x:c r="AB275" s="36"/>
      <x:c r="AC275" s="36"/>
      <x:c r="AD275" s="36" t="str"/>
      <x:c r="AE275" s="36" t="str"/>
      <x:c r="AF275" s="36" t="str">
        <x:v>No exact waste match</x:v>
      </x:c>
      <x:c r="AG275" s="36" t="str">
        <x:v>Common pot</x:v>
      </x:c>
      <x:c r="AH275" s="36" t="str">
        <x:v>BU Demand!row 590</x:v>
      </x:c>
      <x:c r="AI275" s="36" t="str">
        <x:v>LFR</x:v>
      </x:c>
      <x:c r="AJ275" s="36" t="str">
        <x:v>Compliance</x:v>
      </x:c>
      <x:c r="AK275" s="36" t="str">
        <x:v>Must Do</x:v>
      </x:c>
      <x:c r="AL275" s="36" t="n">
        <x:v>0</x:v>
      </x:c>
      <x:c r="AM275" s="36" t="n">
        <x:v>0</x:v>
      </x:c>
      <x:c r="AN275" s="43"/>
      <x:c r="AO275" s="43"/>
      <x:c r="AP275" s="43"/>
    </x:row>
    <x:row r="276" ht="24" hidden="0" customHeight="1">
      <x:c r="A276" s="36" t="str">
        <x:v>Bu-284</x:v>
      </x:c>
      <x:c r="B276" s="37" t="str">
        <x:v>27.1 Customer Engagement | Unified Commercial Collaboration &amp; Claims Management​</x:v>
      </x:c>
      <x:c r="C276" s="36" t="str">
        <x:v>BU Led</x:v>
      </x:c>
      <x:c r="D276" s="36" t="str">
        <x:v>Personal Health (PH)</x:v>
      </x:c>
      <x:c r="E276" s="36" t="str">
        <x:v>1002379</x:v>
      </x:c>
      <x:c r="F276" s="36" t="str">
        <x:v>New Feature</x:v>
      </x:c>
      <x:c r="G276" s="36" t="str">
        <x:v>Process simplification/ efficiency gain</x:v>
      </x:c>
      <x:c r="H276" s="36" t="str">
        <x:v>Must Do</x:v>
      </x:c>
      <x:c r="I276" s="36" t="str">
        <x:v>Carry Over</x:v>
      </x:c>
      <x:c r="J276" s="38" t="n">
        <x:v>0.3</x:v>
      </x:c>
      <x:c r="K276" s="38"/>
      <x:c r="L276" s="38"/>
      <x:c r="M276" s="38"/>
      <x:c r="N276" s="38"/>
      <x:c r="O276" s="38"/>
      <x:c r="P276" s="37" t="str"/>
      <x:c r="Q276" s="37" t="str">
        <x:v>Cash savings</x:v>
      </x:c>
      <x:c r="R276" s="37" t="str"/>
      <x:c r="S276" s="37" t="str"/>
      <x:c r="T276" s="37" t="str"/>
      <x:c r="U276" s="37" t="str"/>
      <x:c r="V276" s="36" t="str"/>
      <x:c r="W276" s="36" t="str"/>
      <x:c r="X276" s="36"/>
      <x:c r="Y276" s="36" t="str">
        <x:v>NotAssessed</x:v>
      </x:c>
      <x:c r="Z276" s="36" t="str"/>
      <x:c r="AA276" s="36" t="str"/>
      <x:c r="AB276" s="36"/>
      <x:c r="AC276" s="36"/>
      <x:c r="AD276" s="36" t="str"/>
      <x:c r="AE276" s="36" t="str"/>
      <x:c r="AF276" s="36" t="str">
        <x:v>No exact waste match</x:v>
      </x:c>
      <x:c r="AG276" s="36" t="str">
        <x:v>Common pot</x:v>
      </x:c>
      <x:c r="AH276" s="36" t="str">
        <x:v>BU Demand!row 591</x:v>
      </x:c>
      <x:c r="AI276" s="36" t="str">
        <x:v>NewFeat</x:v>
      </x:c>
      <x:c r="AJ276" s="36" t="str">
        <x:v>ProcSimp</x:v>
      </x:c>
      <x:c r="AK276" s="36" t="str">
        <x:v>Must Do</x:v>
      </x:c>
      <x:c r="AL276" s="36" t="n">
        <x:v>0</x:v>
      </x:c>
      <x:c r="AM276" s="36" t="n">
        <x:v>0</x:v>
      </x:c>
      <x:c r="AN276" s="43"/>
      <x:c r="AO276" s="43"/>
      <x:c r="AP276" s="43"/>
    </x:row>
    <x:row r="277" ht="24" hidden="0" customHeight="1">
      <x:c r="A277" s="36" t="str">
        <x:v>Bu-285</x:v>
      </x:c>
      <x:c r="B277" s="37" t="str">
        <x:v>27.2 RGM Decision Engine | Promo Effectiveness &amp; Trade Spend Mix Simulator​</x:v>
      </x:c>
      <x:c r="C277" s="36" t="str">
        <x:v>BU Led</x:v>
      </x:c>
      <x:c r="D277" s="36" t="str">
        <x:v>Personal Health (PH)</x:v>
      </x:c>
      <x:c r="E277" s="36" t="str"/>
      <x:c r="F277" s="36" t="str">
        <x:v>New Feature</x:v>
      </x:c>
      <x:c r="G277" s="36" t="str">
        <x:v>Revenue Increase</x:v>
      </x:c>
      <x:c r="H277" s="36" t="str">
        <x:v>Must Do</x:v>
      </x:c>
      <x:c r="I277" s="36" t="str">
        <x:v>New Initiative</x:v>
      </x:c>
      <x:c r="J277" s="38" t="n">
        <x:v>0.9</x:v>
      </x:c>
      <x:c r="K277" s="38"/>
      <x:c r="L277" s="38"/>
      <x:c r="M277" s="38" t="n">
        <x:v>0.9</x:v>
      </x:c>
      <x:c r="N277" s="38"/>
      <x:c r="O277" s="38"/>
      <x:c r="P277" s="37" t="str"/>
      <x:c r="Q277" s="37" t="str">
        <x:v>Revenue</x:v>
      </x:c>
      <x:c r="R277" s="37" t="str">
        <x:v>Teams will continue making manual, backward-looking decisions, resulting in sub-optimal promotional ROI, inefficient trade-spend allocation, delayed overspend visibility, and missed growth and margin opportunities.</x:v>
      </x:c>
      <x:c r="S277" s="37" t="str">
        <x: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x:v>
      </x:c>
      <x:c r="T277" s="37" t="str">
        <x: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x:v>
      </x:c>
      <x:c r="U277" s="37" t="str"/>
      <x:c r="V277" s="36" t="str"/>
      <x:c r="W277" s="36" t="str"/>
      <x:c r="X277" s="36"/>
      <x:c r="Y277" s="36" t="str">
        <x:v>NotAssessed</x:v>
      </x:c>
      <x:c r="Z277" s="36" t="str"/>
      <x:c r="AA277" s="36" t="str"/>
      <x:c r="AB277" s="36"/>
      <x:c r="AC277" s="36"/>
      <x:c r="AD277" s="36" t="str"/>
      <x:c r="AE277" s="36" t="str"/>
      <x:c r="AF277" s="36" t="str">
        <x:v>No exact waste match</x:v>
      </x:c>
      <x:c r="AG277" s="36" t="str">
        <x:v>Common pot</x:v>
      </x:c>
      <x:c r="AH277" s="36" t="str">
        <x:v>BU Demand!row 592</x:v>
      </x:c>
      <x:c r="AI277" s="36" t="str">
        <x:v>NewFeat</x:v>
      </x:c>
      <x:c r="AJ277" s="36" t="str">
        <x:v>Revenue</x:v>
      </x:c>
      <x:c r="AK277" s="36" t="str">
        <x:v>Must Do</x:v>
      </x:c>
      <x:c r="AL277" s="36" t="n">
        <x:v>0</x:v>
      </x:c>
      <x:c r="AM277" s="36" t="n">
        <x:v>0</x:v>
      </x:c>
      <x:c r="AN277" s="43"/>
      <x:c r="AO277" s="43"/>
      <x:c r="AP277" s="43"/>
    </x:row>
    <x:row r="278" ht="15" hidden="0" customHeight="1">
      <x:c r="A278" s="36" t="str">
        <x:v>Bu-286</x:v>
      </x:c>
      <x:c r="B278" s="37" t="str">
        <x:v>3PL Transformation (Dual 3PL ) - India</x:v>
      </x:c>
      <x:c r="C278" s="36" t="str">
        <x:v>BU Led</x:v>
      </x:c>
      <x:c r="D278" s="36" t="str">
        <x:v>Personal Health (PH)</x:v>
      </x:c>
      <x:c r="E278" s="36" t="str"/>
      <x:c r="F278" s="36" t="str">
        <x:v>Legal Fiscal, Regulatory &amp; Compliancy</x:v>
      </x:c>
      <x:c r="G278" s="36" t="str">
        <x:v>Revenue Increase</x:v>
      </x:c>
      <x:c r="H278" s="36" t="str">
        <x:v>Must Have</x:v>
      </x:c>
      <x:c r="I278" s="36" t="str">
        <x:v>New Initiative</x:v>
      </x:c>
      <x:c r="J278" s="38" t="n">
        <x:v>0.175</x:v>
      </x:c>
      <x:c r="K278" s="38"/>
      <x:c r="L278" s="38"/>
      <x:c r="M278" s="38"/>
      <x:c r="N278" s="38"/>
      <x:c r="O278" s="38" t="n">
        <x:v>1.939</x:v>
      </x:c>
      <x:c r="P278" s="37" t="str">
        <x:v>1939</x:v>
      </x:c>
      <x:c r="Q278" s="37" t="str">
        <x:v>Revenue</x:v>
      </x:c>
      <x:c r="R278" s="37" t="str">
        <x:v>Strategic distribution capability</x:v>
      </x:c>
      <x:c r="S278" s="37" t="str"/>
      <x:c r="T278" s="37" t="str"/>
      <x:c r="U278" s="37" t="str"/>
      <x:c r="V278" s="36" t="str"/>
      <x:c r="W278" s="36" t="str"/>
      <x:c r="X278" s="36"/>
      <x:c r="Y278" s="36" t="str">
        <x:v>NotAssessed</x:v>
      </x:c>
      <x:c r="Z278" s="36" t="str"/>
      <x:c r="AA278" s="36" t="str"/>
      <x:c r="AB278" s="36"/>
      <x:c r="AC278" s="36"/>
      <x:c r="AD278" s="36" t="str"/>
      <x:c r="AE278" s="36" t="str"/>
      <x:c r="AF278" s="36" t="str">
        <x:v>No exact waste match</x:v>
      </x:c>
      <x:c r="AG278" s="36" t="str">
        <x:v>Common pot</x:v>
      </x:c>
      <x:c r="AH278" s="36" t="str">
        <x:v>BU Demand!row 597</x:v>
      </x:c>
      <x:c r="AI278" s="36" t="str">
        <x:v>LFR</x:v>
      </x:c>
      <x:c r="AJ278" s="36" t="str">
        <x:v>Revenue</x:v>
      </x:c>
      <x:c r="AK278" s="36" t="str">
        <x:v>Must Have</x:v>
      </x:c>
      <x:c r="AL278" s="36" t="n">
        <x:v>0</x:v>
      </x:c>
      <x:c r="AM278" s="36" t="n">
        <x:v>0</x:v>
      </x:c>
      <x:c r="AN278" s="43"/>
      <x:c r="AO278" s="43"/>
      <x:c r="AP278" s="43"/>
    </x:row>
    <x:row r="279" ht="15" hidden="0" customHeight="1">
      <x:c r="A279" s="36" t="str">
        <x:v>Bu-287</x:v>
      </x:c>
      <x:c r="B279" s="37" t="str">
        <x:v>72. O2C simplification: Smart Allocation &amp; Agentic AI</x:v>
      </x:c>
      <x:c r="C279" s="36" t="str">
        <x:v>BU Led</x:v>
      </x:c>
      <x:c r="D279" s="36" t="str">
        <x:v>Personal Health (PH)</x:v>
      </x:c>
      <x:c r="E279" s="36" t="str"/>
      <x:c r="F279" s="36" t="str">
        <x:v>AI Enablement</x:v>
      </x:c>
      <x:c r="G279" s="36" t="str">
        <x:v>Revenue Increase</x:v>
      </x:c>
      <x:c r="H279" s="36" t="str">
        <x:v>Must Do</x:v>
      </x:c>
      <x:c r="I279" s="36" t="str">
        <x:v>Carry Over</x:v>
      </x:c>
      <x:c r="J279" s="38" t="n">
        <x:v>1.08</x:v>
      </x:c>
      <x:c r="K279" s="38"/>
      <x:c r="L279" s="38"/>
      <x:c r="M279" s="38"/>
      <x:c r="N279" s="38"/>
      <x:c r="O279" s="38" t="n">
        <x:v>0.42</x:v>
      </x:c>
      <x:c r="P279" s="37" t="str">
        <x:v>420</x:v>
      </x:c>
      <x:c r="Q279" s="37" t="str">
        <x:v>Revenue</x:v>
      </x:c>
      <x:c r="R279" s="37" t="str">
        <x:v>Order Management will remain highly manual and fragmented, limiting touchless processing, productivity gains, scalable execution, and customer experience.</x:v>
      </x:c>
      <x:c r="S279" s="37" t="str">
        <x: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x:v>
      </x:c>
      <x:c r="T279" s="37" t="str">
        <x: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x:v>
      </x:c>
      <x:c r="U279" s="37" t="str">
        <x:v>1) IT resources for development and scale up (simultaneous activities) 2) Project Spine 3) Stage dependency – performance and stability of MVP1</x:v>
      </x:c>
      <x:c r="V279" s="36" t="str"/>
      <x:c r="W279" s="36" t="str"/>
      <x:c r="X279" s="36"/>
      <x:c r="Y279" s="36" t="str">
        <x:v>NotAssessed</x:v>
      </x:c>
      <x:c r="Z279" s="36" t="str"/>
      <x:c r="AA279" s="36" t="str"/>
      <x:c r="AB279" s="36"/>
      <x:c r="AC279" s="36"/>
      <x:c r="AD279" s="36" t="str"/>
      <x:c r="AE279" s="36" t="str"/>
      <x:c r="AF279" s="36" t="str">
        <x:v>No exact waste match</x:v>
      </x:c>
      <x:c r="AG279" s="36" t="str">
        <x:v>Common pot</x:v>
      </x:c>
      <x:c r="AH279" s="36" t="str">
        <x:v>BU Demand!row 598</x:v>
      </x:c>
      <x:c r="AI279" s="36" t="str">
        <x:v>AI</x:v>
      </x:c>
      <x:c r="AJ279" s="36" t="str">
        <x:v>Revenue</x:v>
      </x:c>
      <x:c r="AK279" s="36" t="str">
        <x:v>Must Do</x:v>
      </x:c>
      <x:c r="AL279" s="36" t="n">
        <x:v>0</x:v>
      </x:c>
      <x:c r="AM279" s="36" t="n">
        <x:v>0</x:v>
      </x:c>
      <x:c r="AN279" s="43"/>
      <x:c r="AO279" s="43"/>
      <x:c r="AP279" s="43"/>
    </x:row>
    <x:row r="280" ht="15" hidden="0" customHeight="1">
      <x:c r="A280" s="36" t="str">
        <x:v>Bu-288</x:v>
      </x:c>
      <x:c r="B280" s="37" t="str">
        <x:v>94. PH ISC ring fenced budget + A/ ML Demand forecasting</x:v>
      </x:c>
      <x:c r="C280" s="36" t="str">
        <x:v>BU Led</x:v>
      </x:c>
      <x:c r="D280" s="36" t="str">
        <x:v>Personal Health (PH)</x:v>
      </x:c>
      <x:c r="E280" s="36" t="str"/>
      <x:c r="F280" s="36" t="str">
        <x:v>Continous Improvement</x:v>
      </x:c>
      <x:c r="G280" s="36" t="str">
        <x:v>Process simplification/ efficiency gain</x:v>
      </x:c>
      <x:c r="H280" s="36" t="str">
        <x:v>Must Have</x:v>
      </x:c>
      <x:c r="I280" s="36" t="str">
        <x:v>Carry Over</x:v>
      </x:c>
      <x:c r="J280" s="38" t="n">
        <x:v>1</x:v>
      </x:c>
      <x:c r="K280" s="38"/>
      <x:c r="L280" s="38"/>
      <x:c r="M280" s="38"/>
      <x:c r="N280" s="38"/>
      <x:c r="O280" s="38"/>
      <x:c r="P280" s="37" t="str"/>
      <x:c r="Q280" s="37" t="str">
        <x:v>Cash savings</x:v>
      </x:c>
      <x:c r="R280" s="37" t="str">
        <x:v>No funds to address regional ISC demands during global events or mid-year regulatory asks</x:v>
      </x:c>
      <x:c r="S280" s="37" t="str">
        <x: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x:v>
      </x:c>
      <x:c r="T280" s="37" t="str">
        <x:v>AI/ML Demand planning capabilities and automation
Full deployment across WE, CEE, NA, Growth and GRC for G&amp;B, OHC and MCC</x:v>
      </x:c>
      <x:c r="U280" s="37" t="str"/>
      <x:c r="V280" s="36" t="str"/>
      <x:c r="W280" s="36" t="str"/>
      <x:c r="X280" s="36"/>
      <x:c r="Y280" s="36" t="str">
        <x:v>NotAssessed</x:v>
      </x:c>
      <x:c r="Z280" s="36" t="str"/>
      <x:c r="AA280" s="36" t="str"/>
      <x:c r="AB280" s="36"/>
      <x:c r="AC280" s="36"/>
      <x:c r="AD280" s="36" t="str"/>
      <x:c r="AE280" s="36" t="str"/>
      <x:c r="AF280" s="36" t="str">
        <x:v>No exact waste match</x:v>
      </x:c>
      <x:c r="AG280" s="36" t="str">
        <x:v>Common pot</x:v>
      </x:c>
      <x:c r="AH280" s="36" t="str">
        <x:v>BU Demand!row 602</x:v>
      </x:c>
      <x:c r="AI280" s="36" t="str">
        <x:v>CI</x:v>
      </x:c>
      <x:c r="AJ280" s="36" t="str">
        <x:v>ProcSimp</x:v>
      </x:c>
      <x:c r="AK280" s="36" t="str">
        <x:v>Must Have</x:v>
      </x:c>
      <x:c r="AL280" s="36" t="n">
        <x:v>0</x:v>
      </x:c>
      <x:c r="AM280" s="36" t="n">
        <x:v>0</x:v>
      </x:c>
      <x:c r="AN280" s="43"/>
      <x:c r="AO280" s="43"/>
      <x:c r="AP280" s="43"/>
    </x:row>
    <x:row r="281" ht="15" hidden="0" customHeight="1">
      <x:c r="A281" s="36" t="str">
        <x:v>Bu-289</x:v>
      </x:c>
      <x:c r="B281" s="37" t="str">
        <x:v>Agentic regulatory pipeline</x:v>
      </x:c>
      <x:c r="C281" s="36" t="str">
        <x:v>BU Led</x:v>
      </x:c>
      <x:c r="D281" s="36" t="str">
        <x:v>Personal Health (PH)</x:v>
      </x:c>
      <x:c r="E281" s="36" t="str"/>
      <x:c r="F281" s="36" t="str">
        <x:v>AI Enablement</x:v>
      </x:c>
      <x:c r="G281" s="36" t="str">
        <x:v>Compliance/Keeping the lights on</x:v>
      </x:c>
      <x:c r="H281" s="36" t="str">
        <x:v>Must Do</x:v>
      </x:c>
      <x:c r="I281" s="36" t="str">
        <x:v>New Initiative</x:v>
      </x:c>
      <x:c r="J281" s="38" t="n">
        <x:v>0.1</x:v>
      </x:c>
      <x:c r="K281" s="38"/>
      <x:c r="L281" s="38"/>
      <x:c r="M281" s="38"/>
      <x:c r="N281" s="38"/>
      <x:c r="O281" s="38"/>
      <x:c r="P281" s="37" t="str"/>
      <x:c r="Q281" s="37" t="str">
        <x:v>Risk exposure</x:v>
      </x:c>
      <x:c r="R281" s="37" t="str">
        <x:v>Compliance risk</x:v>
      </x:c>
      <x:c r="S281" s="37" t="str"/>
      <x:c r="T281" s="37" t="str"/>
      <x:c r="U281" s="37" t="str"/>
      <x:c r="V281" s="36" t="str"/>
      <x:c r="W281" s="36" t="str"/>
      <x:c r="X281" s="36"/>
      <x:c r="Y281" s="36" t="str">
        <x:v>NotAssessed</x:v>
      </x:c>
      <x:c r="Z281" s="36" t="str"/>
      <x:c r="AA281" s="36" t="str"/>
      <x:c r="AB281" s="36"/>
      <x:c r="AC281" s="36"/>
      <x:c r="AD281" s="36" t="str"/>
      <x:c r="AE281" s="36" t="str"/>
      <x:c r="AF281" s="36" t="str">
        <x:v>No exact waste match</x:v>
      </x:c>
      <x:c r="AG281" s="36" t="str">
        <x:v>Common pot</x:v>
      </x:c>
      <x:c r="AH281" s="36" t="str">
        <x:v>BU Demand!row 604</x:v>
      </x:c>
      <x:c r="AI281" s="36" t="str">
        <x:v>AI</x:v>
      </x:c>
      <x:c r="AJ281" s="36" t="str">
        <x:v>Compliance</x:v>
      </x:c>
      <x:c r="AK281" s="36" t="str">
        <x:v>Must Do</x:v>
      </x:c>
      <x:c r="AL281" s="36" t="n">
        <x:v>0</x:v>
      </x:c>
      <x:c r="AM281" s="36" t="n">
        <x:v>0</x:v>
      </x:c>
      <x:c r="AN281" s="43"/>
      <x:c r="AO281" s="43"/>
      <x:c r="AP281" s="43"/>
    </x:row>
    <x:row r="282" ht="15" hidden="0" customHeight="1">
      <x:c r="A282" s="36" t="str">
        <x:v>Bu-290</x:v>
      </x:c>
      <x:c r="B282" s="37" t="str">
        <x:v>AI Ready Product Intelligence Foundation (aka Product Content data factory )</x:v>
      </x:c>
      <x:c r="C282" s="36" t="str">
        <x:v>BU Led</x:v>
      </x:c>
      <x:c r="D282" s="36" t="str">
        <x:v>Personal Health (PH)</x:v>
      </x:c>
      <x:c r="E282" s="36" t="str"/>
      <x:c r="F282" s="36" t="str">
        <x:v>AI Enablement</x:v>
      </x:c>
      <x:c r="G282" s="36" t="str">
        <x:v>Revenue Increase</x:v>
      </x:c>
      <x:c r="H282" s="36" t="str">
        <x:v>Must Do</x:v>
      </x:c>
      <x:c r="I282" s="36" t="str">
        <x:v>New Initiative</x:v>
      </x:c>
      <x:c r="J282" s="38" t="n">
        <x:v>1</x:v>
      </x:c>
      <x:c r="K282" s="38"/>
      <x:c r="L282" s="38"/>
      <x:c r="M282" s="38"/>
      <x:c r="N282" s="38"/>
      <x:c r="O282" s="38" t="n">
        <x:v>0.563</x:v>
      </x:c>
      <x:c r="P282" s="37" t="str">
        <x:v>563</x:v>
      </x:c>
      <x:c r="Q282" s="37" t="str">
        <x:v>Revenue</x:v>
      </x:c>
      <x:c r="R282" s="37" t="str">
        <x:v>Delay in priority use cases, including ecommerce sales and conversion uplift through improved PDP content, faster deployment of AI use cases, and improved visibility in AI-led discovery. Critical element of PH AI Game Plan </x:v>
      </x:c>
      <x:c r="S282" s="37" t="str">
        <x: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x:v>
      </x:c>
      <x:c r="T282" s="37" t="str">
        <x: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x:v>
      </x:c>
      <x:c r="U282" s="37" t="str">
        <x:v>PH Data Lake/PRX/PCP + possibly other systems incl. PPL/PAL, Windchill &amp; SAP</x:v>
      </x:c>
      <x:c r="V282" s="36" t="str"/>
      <x:c r="W282" s="36" t="str"/>
      <x:c r="X282" s="36"/>
      <x:c r="Y282" s="36" t="str">
        <x:v>NotAssessed</x:v>
      </x:c>
      <x:c r="Z282" s="36" t="str"/>
      <x:c r="AA282" s="36" t="str"/>
      <x:c r="AB282" s="36"/>
      <x:c r="AC282" s="36"/>
      <x:c r="AD282" s="36" t="str"/>
      <x:c r="AE282" s="36" t="str"/>
      <x:c r="AF282" s="36" t="str">
        <x:v>No exact waste match</x:v>
      </x:c>
      <x:c r="AG282" s="36" t="str">
        <x:v>Common pot</x:v>
      </x:c>
      <x:c r="AH282" s="36" t="str">
        <x:v>BU Demand!row 605</x:v>
      </x:c>
      <x:c r="AI282" s="36" t="str">
        <x:v>AI</x:v>
      </x:c>
      <x:c r="AJ282" s="36" t="str">
        <x:v>Revenue</x:v>
      </x:c>
      <x:c r="AK282" s="36" t="str">
        <x:v>Must Do</x:v>
      </x:c>
      <x:c r="AL282" s="36" t="n">
        <x:v>0</x:v>
      </x:c>
      <x:c r="AM282" s="36" t="n">
        <x:v>0</x:v>
      </x:c>
      <x:c r="AN282" s="43"/>
      <x:c r="AO282" s="43"/>
      <x:c r="AP282" s="43"/>
    </x:row>
    <x:row r="283" ht="15" hidden="0" customHeight="1">
      <x:c r="A283" s="36" t="str">
        <x:v>Bu-291</x:v>
      </x:c>
      <x:c r="B283" s="37" t="str">
        <x:v>AI Simplification &amp; Automation of Sustainability Documentation Workstream</x:v>
      </x:c>
      <x:c r="C283" s="36" t="str">
        <x:v>BU Led</x:v>
      </x:c>
      <x:c r="D283" s="36" t="str">
        <x:v>Personal Health (PH)</x:v>
      </x:c>
      <x:c r="E283" s="36" t="str"/>
      <x:c r="F283" s="36" t="str">
        <x:v>AI Enablement</x:v>
      </x:c>
      <x:c r="G283" s="36" t="str">
        <x:v>Compliance/Keeping the lights on</x:v>
      </x:c>
      <x:c r="H283" s="36" t="str">
        <x:v>Deprioritised</x:v>
      </x:c>
      <x:c r="I283" s="36" t="str">
        <x:v>New Initiative</x:v>
      </x:c>
      <x:c r="J283" s="38"/>
      <x:c r="K283" s="38"/>
      <x:c r="L283" s="38"/>
      <x:c r="M283" s="38"/>
      <x:c r="N283" s="38"/>
      <x:c r="O283" s="38"/>
      <x:c r="P283" s="37" t="str"/>
      <x:c r="Q283" s="37" t="str">
        <x:v>Risk exposure</x:v>
      </x:c>
      <x:c r="R283" s="37" t="str"/>
      <x:c r="S283" s="37" t="str"/>
      <x:c r="T283" s="37" t="str"/>
      <x:c r="U283" s="37" t="str"/>
      <x:c r="V283" s="36" t="str"/>
      <x:c r="W283" s="36" t="str"/>
      <x:c r="X283" s="36"/>
      <x:c r="Y283" s="36" t="str">
        <x:v>NotAssessed</x:v>
      </x:c>
      <x:c r="Z283" s="36" t="str"/>
      <x:c r="AA283" s="36" t="str"/>
      <x:c r="AB283" s="36"/>
      <x:c r="AC283" s="36"/>
      <x:c r="AD283" s="36" t="str"/>
      <x:c r="AE283" s="36" t="str"/>
      <x:c r="AF283" s="36" t="str">
        <x:v>No exact waste match</x:v>
      </x:c>
      <x:c r="AG283" s="36" t="str">
        <x:v>Common pot</x:v>
      </x:c>
      <x:c r="AH283" s="36" t="str">
        <x:v>BU Demand!row 610</x:v>
      </x:c>
      <x:c r="AI283" s="36" t="str">
        <x:v>AI</x:v>
      </x:c>
      <x:c r="AJ283" s="36" t="str">
        <x:v>Compliance</x:v>
      </x:c>
      <x:c r="AK283" s="36" t="str">
        <x:v>Depri</x:v>
      </x:c>
      <x:c r="AL283" s="36" t="n">
        <x:v>0</x:v>
      </x:c>
      <x:c r="AM283" s="36" t="n">
        <x:v>0</x:v>
      </x:c>
      <x:c r="AN283" s="43"/>
      <x:c r="AO283" s="43"/>
      <x:c r="AP283" s="43"/>
    </x:row>
    <x:row r="284" ht="15" hidden="0" customHeight="1">
      <x:c r="A284" s="36" t="str">
        <x:v>Bu-292</x:v>
      </x:c>
      <x:c r="B284" s="37" t="str">
        <x:v>AI-enabling learning RnD organization</x:v>
      </x:c>
      <x:c r="C284" s="36" t="str">
        <x:v>BU Led</x:v>
      </x:c>
      <x:c r="D284" s="36" t="str">
        <x:v>Personal Health (PH)</x:v>
      </x:c>
      <x:c r="E284" s="36" t="str"/>
      <x:c r="F284" s="36" t="str">
        <x:v>AI Enablement</x:v>
      </x:c>
      <x:c r="G284" s="36" t="str">
        <x:v>Compliance/Keeping the lights on</x:v>
      </x:c>
      <x:c r="H284" s="36" t="str">
        <x:v>Must Do</x:v>
      </x:c>
      <x:c r="I284" s="36" t="str">
        <x:v>New Initiative</x:v>
      </x:c>
      <x:c r="J284" s="38" t="n">
        <x:v>0.065</x:v>
      </x:c>
      <x:c r="K284" s="38"/>
      <x:c r="L284" s="38"/>
      <x:c r="M284" s="38"/>
      <x:c r="N284" s="38"/>
      <x:c r="O284" s="38"/>
      <x:c r="P284" s="37" t="str"/>
      <x:c r="Q284" s="37" t="str">
        <x:v>Risk exposure</x:v>
      </x:c>
      <x:c r="R284" s="37" t="str"/>
      <x:c r="S284" s="37" t="str"/>
      <x:c r="T284" s="37" t="str"/>
      <x:c r="U284" s="37" t="str"/>
      <x:c r="V284" s="36" t="str"/>
      <x:c r="W284" s="36" t="str"/>
      <x:c r="X284" s="36"/>
      <x:c r="Y284" s="36" t="str">
        <x:v>NotAssessed</x:v>
      </x:c>
      <x:c r="Z284" s="36" t="str"/>
      <x:c r="AA284" s="36" t="str"/>
      <x:c r="AB284" s="36"/>
      <x:c r="AC284" s="36"/>
      <x:c r="AD284" s="36" t="str"/>
      <x:c r="AE284" s="36" t="str"/>
      <x:c r="AF284" s="36" t="str">
        <x:v>No exact waste match</x:v>
      </x:c>
      <x:c r="AG284" s="36" t="str">
        <x:v>Common pot</x:v>
      </x:c>
      <x:c r="AH284" s="36" t="str">
        <x:v>BU Demand!row 611</x:v>
      </x:c>
      <x:c r="AI284" s="36" t="str">
        <x:v>AI</x:v>
      </x:c>
      <x:c r="AJ284" s="36" t="str">
        <x:v>Compliance</x:v>
      </x:c>
      <x:c r="AK284" s="36" t="str">
        <x:v>Must Do</x:v>
      </x:c>
      <x:c r="AL284" s="36" t="n">
        <x:v>0</x:v>
      </x:c>
      <x:c r="AM284" s="36" t="n">
        <x:v>0</x:v>
      </x:c>
      <x:c r="AN284" s="43"/>
      <x:c r="AO284" s="43"/>
      <x:c r="AP284" s="43"/>
    </x:row>
    <x:row r="285" ht="15" hidden="0" customHeight="1">
      <x:c r="A285" s="36" t="str">
        <x:v>Bu-293</x:v>
      </x:c>
      <x:c r="B285" s="37" t="str">
        <x:v>Amazon Agentic Planning &amp; Simulation Hub</x:v>
      </x:c>
      <x:c r="C285" s="36" t="str">
        <x:v>BU Led</x:v>
      </x:c>
      <x:c r="D285" s="36" t="str">
        <x:v>Personal Health (PH)</x:v>
      </x:c>
      <x:c r="E285" s="36" t="str"/>
      <x:c r="F285" s="36" t="str">
        <x:v>AI Enablement</x:v>
      </x:c>
      <x:c r="G285" s="36" t="str">
        <x:v>Revenue Increase</x:v>
      </x:c>
      <x:c r="H285" s="36" t="str">
        <x:v>Must Have</x:v>
      </x:c>
      <x:c r="I285" s="36" t="str">
        <x:v>New Initiative</x:v>
      </x:c>
      <x:c r="J285" s="38" t="n">
        <x:v>0.35</x:v>
      </x:c>
      <x:c r="K285" s="38"/>
      <x:c r="L285" s="38"/>
      <x:c r="M285" s="38"/>
      <x:c r="N285" s="38"/>
      <x:c r="O285" s="38" t="n">
        <x:v>1.4</x:v>
      </x:c>
      <x:c r="P285" s="37" t="str">
        <x:v>1400</x:v>
      </x:c>
      <x:c r="Q285" s="37" t="str">
        <x:v>Revenue</x:v>
      </x:c>
      <x:c r="R285" s="37" t="str">
        <x:v>Continue working with Distributed data across sell-out, sell-in, inventory, ITM, promotions, media, budgets, and IGM/NPPM metrics.</x:v>
      </x:c>
      <x:c r="S285" s="37" t="str">
        <x:v>Transform Amazon planning from a manual, Excel-driven process into a centralized commercial planning and decision-support capability.
• Create a single governed view across sell-out, sell-in, inventory, ITM, promotions, media, budgets, and IGM/NPPM metrics.
• Move beyond reporting toward proactive recommendations</x:v>
      </x:c>
      <x:c r="T285" s="37" t="str">
        <x:v>• Commercial Planning Foundation: centralize sell-out, sell-in, inventory, ITM, media, promotions, budgets, IGM/NPPM, and 3YA inputs into Qlik/SPT or a connected planning layer.
• TAW Automation: translate manual TAW requirements into structured input fields and automated calculations for FY spend, budget, IGM, and planning outputs.
•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x:v>
      </x:c>
      <x:c r="U285" s="37" t="str"/>
      <x:c r="V285" s="36" t="str"/>
      <x:c r="W285" s="36" t="str"/>
      <x:c r="X285" s="36"/>
      <x:c r="Y285" s="36" t="str">
        <x:v>NotAssessed</x:v>
      </x:c>
      <x:c r="Z285" s="36" t="str"/>
      <x:c r="AA285" s="36" t="str"/>
      <x:c r="AB285" s="36"/>
      <x:c r="AC285" s="36"/>
      <x:c r="AD285" s="36" t="str"/>
      <x:c r="AE285" s="36" t="str"/>
      <x:c r="AF285" s="36" t="str">
        <x:v>No exact waste match</x:v>
      </x:c>
      <x:c r="AG285" s="36" t="str">
        <x:v>Common pot</x:v>
      </x:c>
      <x:c r="AH285" s="36" t="str">
        <x:v>BU Demand!row 612</x:v>
      </x:c>
      <x:c r="AI285" s="36" t="str">
        <x:v>AI</x:v>
      </x:c>
      <x:c r="AJ285" s="36" t="str">
        <x:v>Revenue</x:v>
      </x:c>
      <x:c r="AK285" s="36" t="str">
        <x:v>Must Have</x:v>
      </x:c>
      <x:c r="AL285" s="36" t="n">
        <x:v>0</x:v>
      </x:c>
      <x:c r="AM285" s="36" t="n">
        <x:v>0</x:v>
      </x:c>
      <x:c r="AN285" s="43"/>
      <x:c r="AO285" s="43"/>
      <x:c r="AP285" s="43"/>
    </x:row>
    <x:row r="286" ht="15" hidden="0" customHeight="1">
      <x:c r="A286" s="36" t="str">
        <x:v>Bu-294</x:v>
      </x:c>
      <x:c r="B286" s="37" t="str">
        <x:v>Business application validation</x:v>
      </x:c>
      <x:c r="C286" s="36" t="str">
        <x:v>BU Led</x:v>
      </x:c>
      <x:c r="D286" s="36" t="str">
        <x:v>Personal Health (PH)</x:v>
      </x:c>
      <x:c r="E286" s="36" t="str"/>
      <x:c r="F286" s="36" t="str">
        <x:v>Legal Fiscal, Regulatory &amp; Compliancy</x:v>
      </x:c>
      <x:c r="G286" s="36" t="str">
        <x:v>Compliance/Keeping the lights on</x:v>
      </x:c>
      <x:c r="H286" s="36" t="str">
        <x:v>Must Do</x:v>
      </x:c>
      <x:c r="I286" s="36" t="str">
        <x:v>New Initiative</x:v>
      </x:c>
      <x:c r="J286" s="38" t="n">
        <x:v>0.1</x:v>
      </x:c>
      <x:c r="K286" s="38"/>
      <x:c r="L286" s="38"/>
      <x:c r="M286" s="38"/>
      <x:c r="N286" s="38"/>
      <x:c r="O286" s="38"/>
      <x:c r="P286" s="37" t="str"/>
      <x:c r="Q286" s="37" t="str">
        <x:v>Risk exposure</x:v>
      </x:c>
      <x:c r="R286" s="37" t="str">
        <x:v>Non-Validated consumer facing applications</x:v>
      </x:c>
      <x:c r="S286" s="37" t="str"/>
      <x:c r="T286" s="37" t="str"/>
      <x:c r="U286" s="37" t="str"/>
      <x:c r="V286" s="36" t="str">
        <x:v>2027</x:v>
      </x:c>
      <x:c r="W286" s="36" t="str">
        <x:v>Ongoing validation of all consumer facing business applications</x:v>
      </x:c>
      <x:c r="X286" s="36"/>
      <x:c r="Y286" s="36" t="str">
        <x:v>NotAssessed</x:v>
      </x:c>
      <x:c r="Z286" s="36" t="str"/>
      <x:c r="AA286" s="36" t="str"/>
      <x:c r="AB286" s="36"/>
      <x:c r="AC286" s="36"/>
      <x:c r="AD286" s="36" t="str"/>
      <x:c r="AE286" s="36" t="str"/>
      <x:c r="AF286" s="36" t="str">
        <x:v>No exact waste match</x:v>
      </x:c>
      <x:c r="AG286" s="36" t="str">
        <x:v>Common pot</x:v>
      </x:c>
      <x:c r="AH286" s="36" t="str">
        <x:v>BU Demand!row 617</x:v>
      </x:c>
      <x:c r="AI286" s="36" t="str">
        <x:v>LFR</x:v>
      </x:c>
      <x:c r="AJ286" s="36" t="str">
        <x:v>Compliance</x:v>
      </x:c>
      <x:c r="AK286" s="36" t="str">
        <x:v>Must Do</x:v>
      </x:c>
      <x:c r="AL286" s="36" t="n">
        <x:v>0</x:v>
      </x:c>
      <x:c r="AM286" s="36" t="n">
        <x:v>0</x:v>
      </x:c>
      <x:c r="AN286" s="43"/>
      <x:c r="AO286" s="43"/>
      <x:c r="AP286" s="43"/>
    </x:row>
    <x:row r="287" ht="15" hidden="0" customHeight="1">
      <x:c r="A287" s="36" t="str">
        <x:v>Bu-295</x:v>
      </x:c>
      <x:c r="B287" s="37" t="str">
        <x:v>DFU Form Automation: Digital Workflow &amp; Data Governance Enablement</x:v>
      </x:c>
      <x:c r="C287" s="36" t="str">
        <x:v>BU Led</x:v>
      </x:c>
      <x:c r="D287" s="36" t="str">
        <x:v>Personal Health (PH)</x:v>
      </x:c>
      <x:c r="E287" s="36" t="str"/>
      <x:c r="F287" s="36" t="str">
        <x:v>New Feature</x:v>
      </x:c>
      <x:c r="G287" s="36" t="str">
        <x:v>Productivity savings</x:v>
      </x:c>
      <x:c r="H287" s="36" t="str">
        <x:v>Must Do</x:v>
      </x:c>
      <x:c r="I287" s="36" t="str">
        <x:v>New Initiative</x:v>
      </x:c>
      <x:c r="J287" s="38" t="n">
        <x:v>0.175</x:v>
      </x:c>
      <x:c r="K287" s="38"/>
      <x:c r="L287" s="38"/>
      <x:c r="M287" s="38"/>
      <x:c r="N287" s="38"/>
      <x:c r="O287" s="38"/>
      <x:c r="P287" s="37" t="str"/>
      <x:c r="Q287" s="37" t="str">
        <x:v>Cash savings</x:v>
      </x:c>
      <x:c r="R287" s="37" t="str">
        <x:v>Continued manual effort and inefficiencies in DFU management. No single governed system for DFU management</x:v>
      </x:c>
      <x:c r="S287" s="37" t="str">
        <x: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x:v>
      </x:c>
      <x:c r="T287" s="37" t="str">
        <x: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 </x:v>
      </x:c>
      <x:c r="U287" s="37" t="str">
        <x:v>Claims program (localization)
Itaap configuration</x:v>
      </x:c>
      <x:c r="V287" s="36" t="str"/>
      <x:c r="W287" s="36" t="str"/>
      <x:c r="X287" s="36"/>
      <x:c r="Y287" s="36" t="str">
        <x:v>NotAssessed</x:v>
      </x:c>
      <x:c r="Z287" s="36" t="str"/>
      <x:c r="AA287" s="36" t="str"/>
      <x:c r="AB287" s="36"/>
      <x:c r="AC287" s="36"/>
      <x:c r="AD287" s="36" t="str"/>
      <x:c r="AE287" s="36" t="str"/>
      <x:c r="AF287" s="36" t="str">
        <x:v>No exact waste match</x:v>
      </x:c>
      <x:c r="AG287" s="36" t="str">
        <x:v>Common pot</x:v>
      </x:c>
      <x:c r="AH287" s="36" t="str">
        <x:v>BU Demand!row 618</x:v>
      </x:c>
      <x:c r="AI287" s="36" t="str">
        <x:v>NewFeat</x:v>
      </x:c>
      <x:c r="AJ287" s="36" t="str">
        <x:v>Productivity</x:v>
      </x:c>
      <x:c r="AK287" s="36" t="str">
        <x:v>Must Do</x:v>
      </x:c>
      <x:c r="AL287" s="36" t="n">
        <x:v>0</x:v>
      </x:c>
      <x:c r="AM287" s="36" t="n">
        <x:v>0</x:v>
      </x:c>
      <x:c r="AN287" s="43"/>
      <x:c r="AO287" s="43"/>
      <x:c r="AP287" s="43"/>
    </x:row>
    <x:row r="288" ht="15" hidden="0" customHeight="1">
      <x:c r="A288" s="36" t="str">
        <x:v>Bu-296</x:v>
      </x:c>
      <x:c r="B288" s="37" t="str">
        <x:v>Direct Procurement – Digitalization &amp; Compliance (Horizontal)</x:v>
      </x:c>
      <x:c r="C288" s="36" t="str">
        <x:v>BU Led</x:v>
      </x:c>
      <x:c r="D288" s="36" t="str">
        <x:v>Personal Health (PH)</x:v>
      </x:c>
      <x:c r="E288" s="36" t="str"/>
      <x:c r="F288" s="36" t="str">
        <x:v>Decomm/Replatforming</x:v>
      </x:c>
      <x:c r="G288" s="36" t="str">
        <x:v>Revenue Increase</x:v>
      </x:c>
      <x:c r="H288" s="36" t="str">
        <x:v>Deprioritised</x:v>
      </x:c>
      <x:c r="I288" s="36" t="str">
        <x:v>New Initiative</x:v>
      </x:c>
      <x:c r="J288" s="38"/>
      <x:c r="K288" s="38"/>
      <x:c r="L288" s="38"/>
      <x:c r="M288" s="38"/>
      <x:c r="N288" s="38"/>
      <x:c r="O288" s="38"/>
      <x:c r="P288" s="37" t="str"/>
      <x:c r="Q288" s="37" t="str">
        <x:v>Revenue</x:v>
      </x:c>
      <x:c r="R288" s="37" t="str"/>
      <x:c r="S288" s="37" t="str"/>
      <x:c r="T288" s="37" t="str"/>
      <x:c r="U288" s="37" t="str"/>
      <x:c r="V288" s="36" t="str"/>
      <x:c r="W288" s="36" t="str"/>
      <x:c r="X288" s="36"/>
      <x:c r="Y288" s="36" t="str">
        <x:v>NotAssessed</x:v>
      </x:c>
      <x:c r="Z288" s="36" t="str"/>
      <x:c r="AA288" s="36" t="str"/>
      <x:c r="AB288" s="36"/>
      <x:c r="AC288" s="36"/>
      <x:c r="AD288" s="36" t="str"/>
      <x:c r="AE288" s="36" t="str"/>
      <x:c r="AF288" s="36" t="str">
        <x:v>No exact waste match</x:v>
      </x:c>
      <x:c r="AG288" s="36" t="str">
        <x:v>Common pot</x:v>
      </x:c>
      <x:c r="AH288" s="36" t="str">
        <x:v>BU Demand!row 620</x:v>
      </x:c>
      <x:c r="AI288" s="36" t="str">
        <x:v>Decomm</x:v>
      </x:c>
      <x:c r="AJ288" s="36" t="str">
        <x:v>Revenue</x:v>
      </x:c>
      <x:c r="AK288" s="36" t="str">
        <x:v>Depri</x:v>
      </x:c>
      <x:c r="AL288" s="36" t="n">
        <x:v>0</x:v>
      </x:c>
      <x:c r="AM288" s="36" t="n">
        <x:v>0</x:v>
      </x:c>
      <x:c r="AN288" s="43"/>
      <x:c r="AO288" s="43"/>
      <x:c r="AP288" s="43"/>
    </x:row>
    <x:row r="289" ht="15" hidden="0" customHeight="1">
      <x:c r="A289" s="36" t="str">
        <x:v>Bu-297</x:v>
      </x:c>
      <x:c r="B289" s="37" t="str">
        <x:v>DPP - From Compliance to Growth, Trust &amp; Revenue Protection Platform</x:v>
      </x:c>
      <x:c r="C289" s="36" t="str">
        <x:v>BU Led</x:v>
      </x:c>
      <x:c r="D289" s="36" t="str">
        <x:v>Personal Health (PH)</x:v>
      </x:c>
      <x:c r="E289" s="36" t="str"/>
      <x:c r="F289" s="36" t="str">
        <x:v>Legal Fiscal, Regulatory &amp; Compliancy</x:v>
      </x:c>
      <x:c r="G289" s="36" t="str">
        <x:v>Compliance/Keeping the lights on</x:v>
      </x:c>
      <x:c r="H289" s="36" t="str">
        <x:v>Must Do</x:v>
      </x:c>
      <x:c r="I289" s="36" t="str">
        <x:v>New Initiative</x:v>
      </x:c>
      <x:c r="J289" s="38" t="n">
        <x:v>0.3</x:v>
      </x:c>
      <x:c r="K289" s="38"/>
      <x:c r="L289" s="38"/>
      <x:c r="M289" s="38"/>
      <x:c r="N289" s="38"/>
      <x:c r="O289" s="38" t="n">
        <x:v>0.112</x:v>
      </x:c>
      <x:c r="P289" s="37" t="str">
        <x:v>112</x:v>
      </x:c>
      <x:c r="Q289" s="37" t="str">
        <x:v>Risk exposure</x:v>
      </x:c>
      <x:c r="R289" s="37" t="str">
        <x:v>Anti-Counterfeit measures will not be implemented loss of credibility for Philips</x:v>
      </x:c>
      <x:c r="S289" s="37" t="str"/>
      <x:c r="T289" s="37" t="str"/>
      <x:c r="U289" s="37" t="str"/>
      <x:c r="V289" s="36" t="str">
        <x:v>2028</x:v>
      </x:c>
      <x:c r="W289" s="36" t="str">
        <x:v>ESPR, EU Data act &amp; Green Claims</x:v>
      </x:c>
      <x:c r="X289" s="36"/>
      <x:c r="Y289" s="36" t="str">
        <x:v>NotAssessed</x:v>
      </x:c>
      <x:c r="Z289" s="36" t="str"/>
      <x:c r="AA289" s="36" t="str"/>
      <x:c r="AB289" s="36"/>
      <x:c r="AC289" s="36"/>
      <x:c r="AD289" s="36" t="str"/>
      <x:c r="AE289" s="36" t="str"/>
      <x:c r="AF289" s="36" t="str">
        <x:v>No exact waste match</x:v>
      </x:c>
      <x:c r="AG289" s="36" t="str">
        <x:v>Common pot</x:v>
      </x:c>
      <x:c r="AH289" s="36" t="str">
        <x:v>BU Demand!row 621</x:v>
      </x:c>
      <x:c r="AI289" s="36" t="str">
        <x:v>LFR</x:v>
      </x:c>
      <x:c r="AJ289" s="36" t="str">
        <x:v>Compliance</x:v>
      </x:c>
      <x:c r="AK289" s="36" t="str">
        <x:v>Must Do</x:v>
      </x:c>
      <x:c r="AL289" s="36" t="n">
        <x:v>0</x:v>
      </x:c>
      <x:c r="AM289" s="36" t="n">
        <x:v>0</x:v>
      </x:c>
      <x:c r="AN289" s="43"/>
      <x:c r="AO289" s="43"/>
      <x:c r="AP289" s="43"/>
    </x:row>
    <x:row r="290" ht="15" hidden="0" customHeight="1">
      <x:c r="A290" s="36" t="str">
        <x:v>Bu-298</x:v>
      </x:c>
      <x:c r="B290" s="37" t="str">
        <x:v>Drive conversion lift on Philips.com with AI-driven Digital analytics</x:v>
      </x:c>
      <x:c r="C290" s="36" t="str">
        <x:v>BU Led</x:v>
      </x:c>
      <x:c r="D290" s="36" t="str">
        <x:v>Personal Health (PH)</x:v>
      </x:c>
      <x:c r="E290" s="36" t="str"/>
      <x:c r="F290" s="36" t="str">
        <x:v>New Feature</x:v>
      </x:c>
      <x:c r="G290" s="36" t="str">
        <x:v>Revenue Increase</x:v>
      </x:c>
      <x:c r="H290" s="36" t="str">
        <x:v>Deprioritised</x:v>
      </x:c>
      <x:c r="I290" s="36" t="str">
        <x:v>New Initiative</x:v>
      </x:c>
      <x:c r="J290" s="38"/>
      <x:c r="K290" s="38"/>
      <x:c r="L290" s="38"/>
      <x:c r="M290" s="38"/>
      <x:c r="N290" s="38"/>
      <x:c r="O290" s="38"/>
      <x:c r="P290" s="37" t="str"/>
      <x:c r="Q290" s="37" t="str">
        <x:v>Revenue</x:v>
      </x:c>
      <x:c r="R290" s="37" t="str"/>
      <x:c r="S290" s="37" t="str"/>
      <x:c r="T290" s="37" t="str"/>
      <x:c r="U290" s="37" t="str"/>
      <x:c r="V290" s="36" t="str"/>
      <x:c r="W290" s="36" t="str"/>
      <x:c r="X290" s="36"/>
      <x:c r="Y290" s="36" t="str">
        <x:v>NotAssessed</x:v>
      </x:c>
      <x:c r="Z290" s="36" t="str"/>
      <x:c r="AA290" s="36" t="str"/>
      <x:c r="AB290" s="36"/>
      <x:c r="AC290" s="36"/>
      <x:c r="AD290" s="36" t="str"/>
      <x:c r="AE290" s="36" t="str"/>
      <x:c r="AF290" s="36" t="str">
        <x:v>No exact waste match</x:v>
      </x:c>
      <x:c r="AG290" s="36" t="str">
        <x:v>Common pot</x:v>
      </x:c>
      <x:c r="AH290" s="36" t="str">
        <x:v>BU Demand!row 622</x:v>
      </x:c>
      <x:c r="AI290" s="36" t="str">
        <x:v>NewFeat</x:v>
      </x:c>
      <x:c r="AJ290" s="36" t="str">
        <x:v>Revenue</x:v>
      </x:c>
      <x:c r="AK290" s="36" t="str">
        <x:v>Depri</x:v>
      </x:c>
      <x:c r="AL290" s="36" t="n">
        <x:v>0</x:v>
      </x:c>
      <x:c r="AM290" s="36" t="n">
        <x:v>0</x:v>
      </x:c>
      <x:c r="AN290" s="43"/>
      <x:c r="AO290" s="43"/>
      <x:c r="AP290" s="43"/>
    </x:row>
    <x:row r="291" ht="15" hidden="0" customHeight="1">
      <x:c r="A291" s="36" t="str">
        <x:v>Bu-299</x:v>
      </x:c>
      <x:c r="B291" s="37" t="str">
        <x:v>E2E Product Portfolio Mgt (Pulse)</x:v>
      </x:c>
      <x:c r="C291" s="36" t="str">
        <x:v>BU Led</x:v>
      </x:c>
      <x:c r="D291" s="36" t="str">
        <x:v>Personal Health (PH)</x:v>
      </x:c>
      <x:c r="E291" s="36" t="str"/>
      <x:c r="F291" s="36" t="str"/>
      <x:c r="G291" s="36" t="str">
        <x:v>Revenue Increase</x:v>
      </x:c>
      <x:c r="H291" s="36" t="str">
        <x:v>Must Do</x:v>
      </x:c>
      <x:c r="I291" s="36" t="str">
        <x:v>New Initiative</x:v>
      </x:c>
      <x:c r="J291" s="38" t="n">
        <x:v>0.25</x:v>
      </x:c>
      <x:c r="K291" s="38"/>
      <x:c r="L291" s="38"/>
      <x:c r="M291" s="38"/>
      <x:c r="N291" s="38"/>
      <x:c r="O291" s="38" t="n">
        <x:v>0.5</x:v>
      </x:c>
      <x:c r="P291" s="37" t="str">
        <x:v>500</x:v>
      </x:c>
      <x:c r="Q291" s="37" t="str">
        <x:v>Revenue</x:v>
      </x:c>
      <x:c r="R291" s="37" t="str">
        <x:v>Loss of productivity and project scope already delivered</x:v>
      </x:c>
      <x:c r="S291" s="37" t="str"/>
      <x:c r="T291" s="37" t="str"/>
      <x:c r="U291" s="37" t="str"/>
      <x:c r="V291" s="36" t="str"/>
      <x:c r="W291" s="36" t="str"/>
      <x:c r="X291" s="36"/>
      <x:c r="Y291" s="36" t="str">
        <x:v>NotAssessed</x:v>
      </x:c>
      <x:c r="Z291" s="36" t="str"/>
      <x:c r="AA291" s="36" t="str"/>
      <x:c r="AB291" s="36"/>
      <x:c r="AC291" s="36"/>
      <x:c r="AD291" s="36" t="str"/>
      <x:c r="AE291" s="36" t="str"/>
      <x:c r="AF291" s="36" t="str">
        <x:v>No exact waste match</x:v>
      </x:c>
      <x:c r="AG291" s="36" t="str">
        <x:v>Common pot</x:v>
      </x:c>
      <x:c r="AH291" s="36" t="str">
        <x:v>BU Demand!row 623</x:v>
      </x:c>
      <x:c r="AI291" s="36" t="str">
        <x:v>Blank</x:v>
      </x:c>
      <x:c r="AJ291" s="36" t="str">
        <x:v>Revenue</x:v>
      </x:c>
      <x:c r="AK291" s="36" t="str">
        <x:v>Must Do</x:v>
      </x:c>
      <x:c r="AL291" s="36" t="n">
        <x:v>0</x:v>
      </x:c>
      <x:c r="AM291" s="36" t="n">
        <x:v>0</x:v>
      </x:c>
      <x:c r="AN291" s="43"/>
      <x:c r="AO291" s="43"/>
      <x:c r="AP291" s="43"/>
    </x:row>
    <x:row r="292" ht="15" hidden="0" customHeight="1">
      <x:c r="A292" s="36" t="str">
        <x:v>Bu-300</x:v>
      </x:c>
      <x:c r="B292" s="37" t="str">
        <x:v>E2E simplification of R&amp;D Purchase order Creation</x:v>
      </x:c>
      <x:c r="C292" s="36" t="str">
        <x:v>BU Led</x:v>
      </x:c>
      <x:c r="D292" s="36" t="str">
        <x:v>Personal Health (PH)</x:v>
      </x:c>
      <x:c r="E292" s="36" t="str"/>
      <x:c r="F292" s="36" t="str"/>
      <x:c r="G292" s="36" t="str">
        <x:v>Revenue Increase</x:v>
      </x:c>
      <x:c r="H292" s="36" t="str">
        <x:v>Deprioritised</x:v>
      </x:c>
      <x:c r="I292" s="36" t="str">
        <x:v>New Initiative</x:v>
      </x:c>
      <x:c r="J292" s="38"/>
      <x:c r="K292" s="38"/>
      <x:c r="L292" s="38"/>
      <x:c r="M292" s="38"/>
      <x:c r="N292" s="38"/>
      <x:c r="O292" s="38"/>
      <x:c r="P292" s="37" t="str"/>
      <x:c r="Q292" s="37" t="str">
        <x:v>Revenue</x:v>
      </x:c>
      <x:c r="R292" s="37" t="str"/>
      <x:c r="S292" s="37" t="str"/>
      <x:c r="T292" s="37" t="str"/>
      <x:c r="U292" s="37" t="str"/>
      <x:c r="V292" s="36" t="str"/>
      <x:c r="W292" s="36" t="str"/>
      <x:c r="X292" s="36"/>
      <x:c r="Y292" s="36" t="str">
        <x:v>NotAssessed</x:v>
      </x:c>
      <x:c r="Z292" s="36" t="str"/>
      <x:c r="AA292" s="36" t="str"/>
      <x:c r="AB292" s="36"/>
      <x:c r="AC292" s="36"/>
      <x:c r="AD292" s="36" t="str"/>
      <x:c r="AE292" s="36" t="str"/>
      <x:c r="AF292" s="36" t="str">
        <x:v>No exact waste match</x:v>
      </x:c>
      <x:c r="AG292" s="36" t="str">
        <x:v>Common pot</x:v>
      </x:c>
      <x:c r="AH292" s="36" t="str">
        <x:v>BU Demand!row 624</x:v>
      </x:c>
      <x:c r="AI292" s="36" t="str">
        <x:v>Blank</x:v>
      </x:c>
      <x:c r="AJ292" s="36" t="str">
        <x:v>Revenue</x:v>
      </x:c>
      <x:c r="AK292" s="36" t="str">
        <x:v>Depri</x:v>
      </x:c>
      <x:c r="AL292" s="36" t="n">
        <x:v>0</x:v>
      </x:c>
      <x:c r="AM292" s="36" t="n">
        <x:v>0</x:v>
      </x:c>
      <x:c r="AN292" s="43"/>
      <x:c r="AO292" s="43"/>
      <x:c r="AP292" s="43"/>
    </x:row>
    <x:row r="293" ht="15" hidden="0" customHeight="1">
      <x:c r="A293" s="36" t="str">
        <x:v>Bu-301</x:v>
      </x:c>
      <x:c r="B293" s="37" t="str">
        <x:v>Enabling marketing content automation: E2E Claims digitalization</x:v>
      </x:c>
      <x:c r="C293" s="36" t="str">
        <x:v>BU Led</x:v>
      </x:c>
      <x:c r="D293" s="36" t="str">
        <x:v>Personal Health (PH)</x:v>
      </x:c>
      <x:c r="E293" s="36" t="str"/>
      <x:c r="F293" s="36" t="str"/>
      <x:c r="G293" s="36" t="str">
        <x:v>Productivity savings</x:v>
      </x:c>
      <x:c r="H293" s="36" t="str">
        <x:v>Must Have</x:v>
      </x:c>
      <x:c r="I293" s="36" t="str">
        <x:v>New Initiative</x:v>
      </x:c>
      <x:c r="J293" s="38" t="n">
        <x:v>0.2</x:v>
      </x:c>
      <x:c r="K293" s="38"/>
      <x:c r="L293" s="38"/>
      <x:c r="M293" s="38"/>
      <x:c r="N293" s="38"/>
      <x:c r="O293" s="38" t="n">
        <x:v>0.15</x:v>
      </x:c>
      <x:c r="P293" s="37" t="str">
        <x:v>150</x:v>
      </x:c>
      <x:c r="Q293" s="37" t="str">
        <x:v>Cash savings</x:v>
      </x:c>
      <x:c r="R293" s="37" t="str">
        <x:v>90k in penalties and legal fees for using wrong claim per year (OneBlade example in Sweden) -&gt; Happens every 2 years, 45k per year</x:v>
      </x:c>
      <x:c r="S293" s="37" t="str"/>
      <x:c r="T293" s="37" t="str"/>
      <x:c r="U293" s="37" t="str"/>
      <x:c r="V293" s="36" t="str"/>
      <x:c r="W293" s="36" t="str"/>
      <x:c r="X293" s="36"/>
      <x:c r="Y293" s="36" t="str">
        <x:v>NotAssessed</x:v>
      </x:c>
      <x:c r="Z293" s="36" t="str"/>
      <x:c r="AA293" s="36" t="str"/>
      <x:c r="AB293" s="36"/>
      <x:c r="AC293" s="36"/>
      <x:c r="AD293" s="36" t="str"/>
      <x:c r="AE293" s="36" t="str"/>
      <x:c r="AF293" s="36" t="str">
        <x:v>No exact waste match</x:v>
      </x:c>
      <x:c r="AG293" s="36" t="str">
        <x:v>Common pot</x:v>
      </x:c>
      <x:c r="AH293" s="36" t="str">
        <x:v>BU Demand!row 625</x:v>
      </x:c>
      <x:c r="AI293" s="36" t="str">
        <x:v>Blank</x:v>
      </x:c>
      <x:c r="AJ293" s="36" t="str">
        <x:v>Productivity</x:v>
      </x:c>
      <x:c r="AK293" s="36" t="str">
        <x:v>Must Have</x:v>
      </x:c>
      <x:c r="AL293" s="36" t="n">
        <x:v>0</x:v>
      </x:c>
      <x:c r="AM293" s="36" t="n">
        <x:v>0</x:v>
      </x:c>
      <x:c r="AN293" s="43"/>
      <x:c r="AO293" s="43"/>
      <x:c r="AP293" s="43"/>
    </x:row>
    <x:row r="294" ht="15" hidden="0" customHeight="1">
      <x:c r="A294" s="36" t="str">
        <x:v>Bu-302</x:v>
      </x:c>
      <x:c r="B294" s="37" t="str">
        <x:v>GEO Scorekeeper &amp; Source Decoder</x:v>
      </x:c>
      <x:c r="C294" s="36" t="str">
        <x:v>BU Led</x:v>
      </x:c>
      <x:c r="D294" s="36" t="str">
        <x:v>Personal Health (PH)</x:v>
      </x:c>
      <x:c r="E294" s="36" t="str"/>
      <x:c r="F294" s="36" t="str"/>
      <x:c r="G294" s="36" t="str">
        <x:v>Revenue Increase</x:v>
      </x:c>
      <x:c r="H294" s="36" t="str">
        <x:v>Deprioritised</x:v>
      </x:c>
      <x:c r="I294" s="36" t="str">
        <x:v>New Initiative</x:v>
      </x:c>
      <x:c r="J294" s="38"/>
      <x:c r="K294" s="38"/>
      <x:c r="L294" s="38"/>
      <x:c r="M294" s="38"/>
      <x:c r="N294" s="38"/>
      <x:c r="O294" s="38"/>
      <x:c r="P294" s="37" t="str"/>
      <x:c r="Q294" s="37" t="str">
        <x:v>Revenue</x:v>
      </x:c>
      <x:c r="R294" s="37" t="str"/>
      <x:c r="S294" s="37" t="str"/>
      <x:c r="T294" s="37" t="str"/>
      <x:c r="U294" s="37" t="str"/>
      <x:c r="V294" s="36" t="str"/>
      <x:c r="W294" s="36" t="str"/>
      <x:c r="X294" s="36"/>
      <x:c r="Y294" s="36" t="str">
        <x:v>NotAssessed</x:v>
      </x:c>
      <x:c r="Z294" s="36" t="str"/>
      <x:c r="AA294" s="36" t="str"/>
      <x:c r="AB294" s="36"/>
      <x:c r="AC294" s="36"/>
      <x:c r="AD294" s="36" t="str"/>
      <x:c r="AE294" s="36" t="str"/>
      <x:c r="AF294" s="36" t="str">
        <x:v>No exact waste match</x:v>
      </x:c>
      <x:c r="AG294" s="36" t="str">
        <x:v>Common pot</x:v>
      </x:c>
      <x:c r="AH294" s="36" t="str">
        <x:v>BU Demand!row 626</x:v>
      </x:c>
      <x:c r="AI294" s="36" t="str">
        <x:v>Blank</x:v>
      </x:c>
      <x:c r="AJ294" s="36" t="str">
        <x:v>Revenue</x:v>
      </x:c>
      <x:c r="AK294" s="36" t="str">
        <x:v>Depri</x:v>
      </x:c>
      <x:c r="AL294" s="36" t="n">
        <x:v>0</x:v>
      </x:c>
      <x:c r="AM294" s="36" t="n">
        <x:v>0</x:v>
      </x:c>
      <x:c r="AN294" s="43"/>
      <x:c r="AO294" s="43"/>
      <x:c r="AP294" s="43"/>
    </x:row>
    <x:row r="295" ht="15" hidden="0" customHeight="1">
      <x:c r="A295" s="36" t="str">
        <x:v>Bu-303</x:v>
      </x:c>
      <x:c r="B295" s="37" t="str">
        <x:v>Getting ready for Agentic Commerce</x:v>
      </x:c>
      <x:c r="C295" s="36" t="str">
        <x:v>BU Led</x:v>
      </x:c>
      <x:c r="D295" s="36" t="str">
        <x:v>Personal Health (PH)</x:v>
      </x:c>
      <x:c r="E295" s="36" t="str"/>
      <x:c r="F295" s="36" t="str"/>
      <x:c r="G295" s="36" t="str">
        <x:v>Revenue Increase</x:v>
      </x:c>
      <x:c r="H295" s="36" t="str">
        <x:v>Must Do</x:v>
      </x:c>
      <x:c r="I295" s="36" t="str">
        <x:v>New Initiative</x:v>
      </x:c>
      <x:c r="J295" s="38" t="n">
        <x:v>0.1</x:v>
      </x:c>
      <x:c r="K295" s="38"/>
      <x:c r="L295" s="38"/>
      <x:c r="M295" s="38"/>
      <x:c r="N295" s="38"/>
      <x:c r="O295" s="38" t="n">
        <x:v>0.319</x:v>
      </x:c>
      <x:c r="P295" s="37" t="str">
        <x:v>319</x:v>
      </x:c>
      <x:c r="Q295" s="37" t="str">
        <x:v>Revenue</x:v>
      </x:c>
      <x:c r="R295" s="37" t="str"/>
      <x:c r="S295" s="37" t="str"/>
      <x:c r="T295" s="37" t="str"/>
      <x:c r="U295" s="37" t="str"/>
      <x:c r="V295" s="36" t="str"/>
      <x:c r="W295" s="36" t="str"/>
      <x:c r="X295" s="36"/>
      <x:c r="Y295" s="36" t="str">
        <x:v>NotAssessed</x:v>
      </x:c>
      <x:c r="Z295" s="36" t="str"/>
      <x:c r="AA295" s="36" t="str"/>
      <x:c r="AB295" s="36"/>
      <x:c r="AC295" s="36"/>
      <x:c r="AD295" s="36" t="str"/>
      <x:c r="AE295" s="36" t="str"/>
      <x:c r="AF295" s="36" t="str">
        <x:v>No exact waste match</x:v>
      </x:c>
      <x:c r="AG295" s="36" t="str">
        <x:v>Common pot</x:v>
      </x:c>
      <x:c r="AH295" s="36" t="str">
        <x:v>BU Demand!row 627</x:v>
      </x:c>
      <x:c r="AI295" s="36" t="str">
        <x:v>Blank</x:v>
      </x:c>
      <x:c r="AJ295" s="36" t="str">
        <x:v>Revenue</x:v>
      </x:c>
      <x:c r="AK295" s="36" t="str">
        <x:v>Must Do</x:v>
      </x:c>
      <x:c r="AL295" s="36" t="n">
        <x:v>0</x:v>
      </x:c>
      <x:c r="AM295" s="36" t="n">
        <x:v>0</x:v>
      </x:c>
      <x:c r="AN295" s="43"/>
      <x:c r="AO295" s="43"/>
      <x:c r="AP295" s="43"/>
    </x:row>
    <x:row r="296" ht="15" hidden="0" customHeight="1">
      <x:c r="A296" s="36" t="str">
        <x:v>Bu-304</x:v>
      </x:c>
      <x:c r="B296" s="37" t="str">
        <x:v>Global Retail Content Accelerator (PXM)</x:v>
      </x:c>
      <x:c r="C296" s="36" t="str">
        <x:v>BU Led</x:v>
      </x:c>
      <x:c r="D296" s="36" t="str">
        <x:v>Personal Health (PH)</x:v>
      </x:c>
      <x:c r="E296" s="36" t="str"/>
      <x:c r="F296" s="36" t="str">
        <x:v>New Technology</x:v>
      </x:c>
      <x:c r="G296" s="36" t="str">
        <x:v>Revenue Increase</x:v>
      </x:c>
      <x:c r="H296" s="36" t="str">
        <x:v>Must Do</x:v>
      </x:c>
      <x:c r="I296" s="36" t="str">
        <x:v>New Initiative</x:v>
      </x:c>
      <x:c r="J296" s="38" t="n">
        <x:v>0.58</x:v>
      </x:c>
      <x:c r="K296" s="38"/>
      <x:c r="L296" s="38"/>
      <x:c r="M296" s="38"/>
      <x:c r="N296" s="38"/>
      <x:c r="O296" s="38" t="n">
        <x:v>0.844</x:v>
      </x:c>
      <x:c r="P296" s="37" t="str">
        <x:v>844</x:v>
      </x:c>
      <x:c r="Q296" s="37" t="str">
        <x:v>Revenue</x:v>
      </x:c>
      <x:c r="R296" s="37" t="str">
        <x: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x:v>
      </x:c>
      <x:c r="S296" s="37" t="str">
        <x: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x:v>
      </x:c>
      <x:c r="T296" s="37" t="str">
        <x:v>Set-up and deployment PXM tool across our top  15* customers and relevant markets.
Rationalising the syndication partners based on scope and regions needs ( Amazon, Walmart, Target, Costco, MediaMarkt…etc)
Integration between PXM/DSE and Syndication.
(*to be agreed with the potential vendor)</x:v>
      </x:c>
      <x:c r="U296" s="37" t="str">
        <x:v>PH Data Strategy and Azure Data Lake setup(PSE)
Translations (?)
Profitero (Digital Shelf)
Omnicom Content production</x:v>
      </x:c>
      <x:c r="V296" s="36" t="str"/>
      <x:c r="W296" s="36" t="str"/>
      <x:c r="X296" s="36"/>
      <x:c r="Y296" s="36" t="str">
        <x:v>NotAssessed</x:v>
      </x:c>
      <x:c r="Z296" s="36" t="str"/>
      <x:c r="AA296" s="36" t="str"/>
      <x:c r="AB296" s="36"/>
      <x:c r="AC296" s="36"/>
      <x:c r="AD296" s="36" t="str"/>
      <x:c r="AE296" s="36" t="str"/>
      <x:c r="AF296" s="36" t="str">
        <x:v>No exact waste match</x:v>
      </x:c>
      <x:c r="AG296" s="36" t="str">
        <x:v>Common pot</x:v>
      </x:c>
      <x:c r="AH296" s="36" t="str">
        <x:v>BU Demand!row 628</x:v>
      </x:c>
      <x:c r="AI296" s="36" t="str">
        <x:v>NewTech</x:v>
      </x:c>
      <x:c r="AJ296" s="36" t="str">
        <x:v>Revenue</x:v>
      </x:c>
      <x:c r="AK296" s="36" t="str">
        <x:v>Must Do</x:v>
      </x:c>
      <x:c r="AL296" s="36" t="n">
        <x:v>0</x:v>
      </x:c>
      <x:c r="AM296" s="36" t="n">
        <x:v>0</x:v>
      </x:c>
      <x:c r="AN296" s="43"/>
      <x:c r="AO296" s="43"/>
      <x:c r="AP296" s="43"/>
    </x:row>
    <x:row r="297" ht="15" hidden="0" customHeight="1">
      <x:c r="A297" s="36" t="str">
        <x:v>Bu-305</x:v>
      </x:c>
      <x:c r="B297" s="37" t="str">
        <x:v>Global Trade Compliance (Horizontal)</x:v>
      </x:c>
      <x:c r="C297" s="36" t="str">
        <x:v>BU Led</x:v>
      </x:c>
      <x:c r="D297" s="36" t="str">
        <x:v>Personal Health (PH)</x:v>
      </x:c>
      <x:c r="E297" s="36" t="str"/>
      <x:c r="F297" s="36" t="str"/>
      <x:c r="G297" s="36" t="str">
        <x:v>Revenue Increase</x:v>
      </x:c>
      <x:c r="H297" s="36" t="str">
        <x:v>Must Do</x:v>
      </x:c>
      <x:c r="I297" s="36" t="str">
        <x:v>New Initiative</x:v>
      </x:c>
      <x:c r="J297" s="38"/>
      <x:c r="K297" s="38"/>
      <x:c r="L297" s="38"/>
      <x:c r="M297" s="38"/>
      <x:c r="N297" s="38"/>
      <x:c r="O297" s="38"/>
      <x:c r="P297" s="37" t="str"/>
      <x:c r="Q297" s="37" t="str">
        <x:v>Revenue</x:v>
      </x:c>
      <x:c r="R297" s="37" t="str"/>
      <x:c r="S297" s="37" t="str"/>
      <x:c r="T297" s="37" t="str"/>
      <x:c r="U297" s="37" t="str"/>
      <x:c r="V297" s="36" t="str"/>
      <x:c r="W297" s="36" t="str"/>
      <x:c r="X297" s="36"/>
      <x:c r="Y297" s="36" t="str">
        <x:v>NotAssessed</x:v>
      </x:c>
      <x:c r="Z297" s="36" t="str"/>
      <x:c r="AA297" s="36" t="str"/>
      <x:c r="AB297" s="36"/>
      <x:c r="AC297" s="36"/>
      <x:c r="AD297" s="36" t="str"/>
      <x:c r="AE297" s="36" t="str"/>
      <x:c r="AF297" s="36" t="str">
        <x:v>No exact waste match</x:v>
      </x:c>
      <x:c r="AG297" s="36" t="str">
        <x:v>Common pot</x:v>
      </x:c>
      <x:c r="AH297" s="36" t="str">
        <x:v>BU Demand!row 632</x:v>
      </x:c>
      <x:c r="AI297" s="36" t="str">
        <x:v>Blank</x:v>
      </x:c>
      <x:c r="AJ297" s="36" t="str">
        <x:v>Revenue</x:v>
      </x:c>
      <x:c r="AK297" s="36" t="str">
        <x:v>Must Do</x:v>
      </x:c>
      <x:c r="AL297" s="36" t="n">
        <x:v>0</x:v>
      </x:c>
      <x:c r="AM297" s="36" t="n">
        <x:v>0</x:v>
      </x:c>
      <x:c r="AN297" s="43"/>
      <x:c r="AO297" s="43"/>
      <x:c r="AP297" s="43"/>
    </x:row>
    <x:row r="298" ht="15" hidden="0" customHeight="1">
      <x:c r="A298" s="36" t="str">
        <x:v>Bu-306</x:v>
      </x:c>
      <x:c r="B298" s="37" t="str">
        <x:v>Google Web analytics for D2C store</x:v>
      </x:c>
      <x:c r="C298" s="36" t="str">
        <x:v>BU Led</x:v>
      </x:c>
      <x:c r="D298" s="36" t="str">
        <x:v>Personal Health (PH)</x:v>
      </x:c>
      <x:c r="E298" s="36" t="str"/>
      <x:c r="F298" s="36" t="str"/>
      <x:c r="G298" s="36" t="str">
        <x:v>Revenue Increase</x:v>
      </x:c>
      <x:c r="H298" s="36" t="str">
        <x:v>Deprioritised</x:v>
      </x:c>
      <x:c r="I298" s="36" t="str">
        <x:v>New Initiative</x:v>
      </x:c>
      <x:c r="J298" s="38"/>
      <x:c r="K298" s="38"/>
      <x:c r="L298" s="38"/>
      <x:c r="M298" s="38"/>
      <x:c r="N298" s="38"/>
      <x:c r="O298" s="38"/>
      <x:c r="P298" s="37" t="str"/>
      <x:c r="Q298" s="37" t="str">
        <x:v>Revenue</x:v>
      </x:c>
      <x:c r="R298" s="37" t="str"/>
      <x:c r="S298" s="37" t="str"/>
      <x:c r="T298" s="37" t="str"/>
      <x:c r="U298" s="37" t="str"/>
      <x:c r="V298" s="36" t="str"/>
      <x:c r="W298" s="36" t="str"/>
      <x:c r="X298" s="36"/>
      <x:c r="Y298" s="36" t="str">
        <x:v>NotAssessed</x:v>
      </x:c>
      <x:c r="Z298" s="36" t="str"/>
      <x:c r="AA298" s="36" t="str"/>
      <x:c r="AB298" s="36"/>
      <x:c r="AC298" s="36"/>
      <x:c r="AD298" s="36" t="str"/>
      <x:c r="AE298" s="36" t="str"/>
      <x:c r="AF298" s="36" t="str">
        <x:v>No exact waste match</x:v>
      </x:c>
      <x:c r="AG298" s="36" t="str">
        <x:v>Common pot</x:v>
      </x:c>
      <x:c r="AH298" s="36" t="str">
        <x:v>BU Demand!row 633</x:v>
      </x:c>
      <x:c r="AI298" s="36" t="str">
        <x:v>Blank</x:v>
      </x:c>
      <x:c r="AJ298" s="36" t="str">
        <x:v>Revenue</x:v>
      </x:c>
      <x:c r="AK298" s="36" t="str">
        <x:v>Depri</x:v>
      </x:c>
      <x:c r="AL298" s="36" t="n">
        <x:v>0</x:v>
      </x:c>
      <x:c r="AM298" s="36" t="n">
        <x:v>0</x:v>
      </x:c>
      <x:c r="AN298" s="43"/>
      <x:c r="AO298" s="43"/>
      <x:c r="AP298" s="43"/>
    </x:row>
    <x:row r="299" ht="15" hidden="0" customHeight="1">
      <x:c r="A299" s="36" t="str">
        <x:v>Bu-307</x:v>
      </x:c>
      <x:c r="B299" s="37" t="str">
        <x:v>Innovation Roadmapping &amp; Programming</x:v>
      </x:c>
      <x:c r="C299" s="36" t="str">
        <x:v>BU Led</x:v>
      </x:c>
      <x:c r="D299" s="36" t="str">
        <x:v>Personal Health (PH)</x:v>
      </x:c>
      <x:c r="E299" s="36" t="str"/>
      <x:c r="F299" s="36" t="str"/>
      <x:c r="G299" s="36" t="str">
        <x:v>Revenue Increase</x:v>
      </x:c>
      <x:c r="H299" s="36" t="str">
        <x:v>Deprioritised</x:v>
      </x:c>
      <x:c r="I299" s="36" t="str">
        <x:v>New Initiative</x:v>
      </x:c>
      <x:c r="J299" s="38"/>
      <x:c r="K299" s="38"/>
      <x:c r="L299" s="38"/>
      <x:c r="M299" s="38"/>
      <x:c r="N299" s="38"/>
      <x:c r="O299" s="38"/>
      <x:c r="P299" s="37" t="str"/>
      <x:c r="Q299" s="37" t="str">
        <x:v>Revenue</x:v>
      </x:c>
      <x:c r="R299" s="37" t="str"/>
      <x:c r="S299" s="37" t="str"/>
      <x:c r="T299" s="37" t="str"/>
      <x:c r="U299" s="37" t="str"/>
      <x:c r="V299" s="36" t="str"/>
      <x:c r="W299" s="36" t="str"/>
      <x:c r="X299" s="36"/>
      <x:c r="Y299" s="36" t="str">
        <x:v>NotAssessed</x:v>
      </x:c>
      <x:c r="Z299" s="36" t="str"/>
      <x:c r="AA299" s="36" t="str"/>
      <x:c r="AB299" s="36"/>
      <x:c r="AC299" s="36"/>
      <x:c r="AD299" s="36" t="str"/>
      <x:c r="AE299" s="36" t="str"/>
      <x:c r="AF299" s="36" t="str">
        <x:v>No exact waste match</x:v>
      </x:c>
      <x:c r="AG299" s="36" t="str">
        <x:v>Common pot</x:v>
      </x:c>
      <x:c r="AH299" s="36" t="str">
        <x:v>BU Demand!row 634</x:v>
      </x:c>
      <x:c r="AI299" s="36" t="str">
        <x:v>Blank</x:v>
      </x:c>
      <x:c r="AJ299" s="36" t="str">
        <x:v>Revenue</x:v>
      </x:c>
      <x:c r="AK299" s="36" t="str">
        <x:v>Depri</x:v>
      </x:c>
      <x:c r="AL299" s="36" t="n">
        <x:v>0</x:v>
      </x:c>
      <x:c r="AM299" s="36" t="n">
        <x:v>0</x:v>
      </x:c>
      <x:c r="AN299" s="43"/>
      <x:c r="AO299" s="43"/>
      <x:c r="AP299" s="43"/>
    </x:row>
    <x:row r="300" ht="15" hidden="0" customHeight="1">
      <x:c r="A300" s="36" t="str">
        <x:v>Bu-308</x:v>
      </x:c>
      <x:c r="B300" s="37" t="str">
        <x:v>ISC Data Quality (Horizontal) &amp; IWD</x:v>
      </x:c>
      <x:c r="C300" s="36" t="str">
        <x:v>BU Led</x:v>
      </x:c>
      <x:c r="D300" s="36" t="str">
        <x:v>Personal Health (PH)</x:v>
      </x:c>
      <x:c r="E300" s="36" t="str"/>
      <x:c r="F300" s="36" t="str"/>
      <x:c r="G300" s="36" t="str">
        <x:v>Revenue Increase</x:v>
      </x:c>
      <x:c r="H300" s="36" t="str">
        <x:v>Must Do</x:v>
      </x:c>
      <x:c r="I300" s="36" t="str">
        <x:v>New Initiative</x:v>
      </x:c>
      <x:c r="J300" s="38"/>
      <x:c r="K300" s="38"/>
      <x:c r="L300" s="38"/>
      <x:c r="M300" s="38"/>
      <x:c r="N300" s="38"/>
      <x:c r="O300" s="38"/>
      <x:c r="P300" s="37" t="str"/>
      <x:c r="Q300" s="37" t="str">
        <x:v>Revenue</x:v>
      </x:c>
      <x:c r="R300" s="37" t="str"/>
      <x:c r="S300" s="37" t="str"/>
      <x:c r="T300" s="37" t="str"/>
      <x:c r="U300" s="37" t="str"/>
      <x:c r="V300" s="36" t="str"/>
      <x:c r="W300" s="36" t="str"/>
      <x:c r="X300" s="36"/>
      <x:c r="Y300" s="36" t="str">
        <x:v>NotAssessed</x:v>
      </x:c>
      <x:c r="Z300" s="36" t="str"/>
      <x:c r="AA300" s="36" t="str"/>
      <x:c r="AB300" s="36"/>
      <x:c r="AC300" s="36"/>
      <x:c r="AD300" s="36" t="str"/>
      <x:c r="AE300" s="36" t="str"/>
      <x:c r="AF300" s="36" t="str">
        <x:v>No exact waste match</x:v>
      </x:c>
      <x:c r="AG300" s="36" t="str">
        <x:v>Common pot</x:v>
      </x:c>
      <x:c r="AH300" s="36" t="str">
        <x:v>BU Demand!row 635</x:v>
      </x:c>
      <x:c r="AI300" s="36" t="str">
        <x:v>Blank</x:v>
      </x:c>
      <x:c r="AJ300" s="36" t="str">
        <x:v>Revenue</x:v>
      </x:c>
      <x:c r="AK300" s="36" t="str">
        <x:v>Must Do</x:v>
      </x:c>
      <x:c r="AL300" s="36" t="n">
        <x:v>0</x:v>
      </x:c>
      <x:c r="AM300" s="36" t="n">
        <x:v>0</x:v>
      </x:c>
      <x:c r="AN300" s="43"/>
      <x:c r="AO300" s="43"/>
      <x:c r="AP300" s="43"/>
    </x:row>
    <x:row r="301" ht="15" hidden="0" customHeight="1">
      <x:c r="A301" s="36" t="str">
        <x:v>Bu-309</x:v>
      </x:c>
      <x:c r="B301" s="37" t="str">
        <x:v>KSA (SA11) New 3PL Partner Project</x:v>
      </x:c>
      <x:c r="C301" s="36" t="str">
        <x:v>BU Led</x:v>
      </x:c>
      <x:c r="D301" s="36" t="str">
        <x:v>Personal Health (PH)</x:v>
      </x:c>
      <x:c r="E301" s="36" t="str"/>
      <x:c r="F301" s="36" t="str"/>
      <x:c r="G301" s="36" t="str">
        <x:v>Revenue Increase</x:v>
      </x:c>
      <x:c r="H301" s="36" t="str">
        <x:v>Must Have</x:v>
      </x:c>
      <x:c r="I301" s="36" t="str">
        <x:v>New Initiative</x:v>
      </x:c>
      <x:c r="J301" s="38" t="n">
        <x:v>0.669</x:v>
      </x:c>
      <x:c r="K301" s="38"/>
      <x:c r="L301" s="38"/>
      <x:c r="M301" s="38"/>
      <x:c r="N301" s="38"/>
      <x:c r="O301" s="38" t="n">
        <x:v>0.194</x:v>
      </x:c>
      <x:c r="P301" s="37" t="str">
        <x:v>194</x:v>
      </x:c>
      <x:c r="Q301" s="37" t="str">
        <x:v>Revenue</x:v>
      </x:c>
      <x:c r="R301" s="37" t="str"/>
      <x:c r="S301" s="37" t="str"/>
      <x:c r="T301" s="37" t="str"/>
      <x:c r="U301" s="37" t="str"/>
      <x:c r="V301" s="36" t="str">
        <x:v>2027</x:v>
      </x:c>
      <x:c r="W301" s="36" t="str">
        <x:v>Required to set up KSAPH Legal entity in country legal model</x:v>
      </x:c>
      <x:c r="X301" s="36"/>
      <x:c r="Y301" s="36" t="str">
        <x:v>NotAssessed</x:v>
      </x:c>
      <x:c r="Z301" s="36" t="str"/>
      <x:c r="AA301" s="36" t="str"/>
      <x:c r="AB301" s="36"/>
      <x:c r="AC301" s="36"/>
      <x:c r="AD301" s="36" t="str"/>
      <x:c r="AE301" s="36" t="str"/>
      <x:c r="AF301" s="36" t="str">
        <x:v>No exact waste match</x:v>
      </x:c>
      <x:c r="AG301" s="36" t="str">
        <x:v>Common pot</x:v>
      </x:c>
      <x:c r="AH301" s="36" t="str">
        <x:v>BU Demand!row 636</x:v>
      </x:c>
      <x:c r="AI301" s="36" t="str">
        <x:v>Blank</x:v>
      </x:c>
      <x:c r="AJ301" s="36" t="str">
        <x:v>Revenue</x:v>
      </x:c>
      <x:c r="AK301" s="36" t="str">
        <x:v>Must Have</x:v>
      </x:c>
      <x:c r="AL301" s="36" t="n">
        <x:v>0</x:v>
      </x:c>
      <x:c r="AM301" s="36" t="n">
        <x:v>0</x:v>
      </x:c>
      <x:c r="AN301" s="43"/>
      <x:c r="AO301" s="43"/>
      <x:c r="AP301" s="43"/>
    </x:row>
    <x:row r="302" ht="15" hidden="0" customHeight="1">
      <x:c r="A302" s="36" t="str">
        <x:v>Bu-310</x:v>
      </x:c>
      <x:c r="B302" s="37" t="str">
        <x:v>Labelling (IPL as a launch)</x:v>
      </x:c>
      <x:c r="C302" s="36" t="str">
        <x:v>BU Led</x:v>
      </x:c>
      <x:c r="D302" s="36" t="str">
        <x:v>Personal Health (PH)</x:v>
      </x:c>
      <x:c r="E302" s="36" t="str"/>
      <x:c r="F302" s="36" t="str"/>
      <x:c r="G302" s="36" t="str">
        <x:v>Revenue Increase</x:v>
      </x:c>
      <x:c r="H302" s="36" t="str">
        <x:v>Deprioritised</x:v>
      </x:c>
      <x:c r="I302" s="36" t="str">
        <x:v>New Initiative</x:v>
      </x:c>
      <x:c r="J302" s="38"/>
      <x:c r="K302" s="38"/>
      <x:c r="L302" s="38"/>
      <x:c r="M302" s="38"/>
      <x:c r="N302" s="38"/>
      <x:c r="O302" s="38"/>
      <x:c r="P302" s="37" t="str"/>
      <x:c r="Q302" s="37" t="str">
        <x:v>Revenue</x:v>
      </x:c>
      <x:c r="R302" s="37" t="str"/>
      <x:c r="S302" s="37" t="str"/>
      <x:c r="T302" s="37" t="str"/>
      <x:c r="U302" s="37" t="str"/>
      <x:c r="V302" s="36" t="str"/>
      <x:c r="W302" s="36" t="str"/>
      <x:c r="X302" s="36"/>
      <x:c r="Y302" s="36" t="str">
        <x:v>NotAssessed</x:v>
      </x:c>
      <x:c r="Z302" s="36" t="str"/>
      <x:c r="AA302" s="36" t="str"/>
      <x:c r="AB302" s="36"/>
      <x:c r="AC302" s="36"/>
      <x:c r="AD302" s="36" t="str"/>
      <x:c r="AE302" s="36" t="str"/>
      <x:c r="AF302" s="36" t="str">
        <x:v>No exact waste match</x:v>
      </x:c>
      <x:c r="AG302" s="36" t="str">
        <x:v>Common pot</x:v>
      </x:c>
      <x:c r="AH302" s="36" t="str">
        <x:v>BU Demand!row 637</x:v>
      </x:c>
      <x:c r="AI302" s="36" t="str">
        <x:v>Blank</x:v>
      </x:c>
      <x:c r="AJ302" s="36" t="str">
        <x:v>Revenue</x:v>
      </x:c>
      <x:c r="AK302" s="36" t="str">
        <x:v>Depri</x:v>
      </x:c>
      <x:c r="AL302" s="36" t="n">
        <x:v>0</x:v>
      </x:c>
      <x:c r="AM302" s="36" t="n">
        <x:v>0</x:v>
      </x:c>
      <x:c r="AN302" s="43"/>
      <x:c r="AO302" s="43"/>
      <x:c r="AP302" s="43"/>
    </x:row>
    <x:row r="303" ht="15" hidden="0" customHeight="1">
      <x:c r="A303" s="36" t="str">
        <x:v>Bu-311</x:v>
      </x:c>
      <x:c r="B303" s="37" t="str">
        <x:v>Performance Analytics</x:v>
      </x:c>
      <x:c r="C303" s="36" t="str">
        <x:v>BU Led</x:v>
      </x:c>
      <x:c r="D303" s="36" t="str">
        <x:v>Personal Health (PH)</x:v>
      </x:c>
      <x:c r="E303" s="36" t="str"/>
      <x:c r="F303" s="36" t="str"/>
      <x:c r="G303" s="36" t="str">
        <x:v>Revenue Increase</x:v>
      </x:c>
      <x:c r="H303" s="36" t="str">
        <x:v>Must Do</x:v>
      </x:c>
      <x:c r="I303" s="36" t="str">
        <x:v>New Initiative</x:v>
      </x:c>
      <x:c r="J303" s="38" t="n">
        <x:v>0.54</x:v>
      </x:c>
      <x:c r="K303" s="38"/>
      <x:c r="L303" s="38"/>
      <x:c r="M303" s="38"/>
      <x:c r="N303" s="38"/>
      <x:c r="O303" s="38" t="n">
        <x:v>0.778</x:v>
      </x:c>
      <x:c r="P303" s="37" t="str">
        <x:v>778</x:v>
      </x:c>
      <x:c r="Q303" s="37" t="str">
        <x:v>Revenue</x:v>
      </x:c>
      <x:c r="R303" s="37" t="str">
        <x:v>Usres continue across multiple dashbaords to track critical KPIs like sell out, pricing , distribution CMC &amp; Shopper insights</x:v>
      </x:c>
      <x:c r="S303" s="37" t="str">
        <x: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x:v>
      </x:c>
      <x:c r="T303" s="37" t="str">
        <x: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x:v>
      </x:c>
      <x:c r="U303" s="37" t="str"/>
      <x:c r="V303" s="36" t="str"/>
      <x:c r="W303" s="36" t="str"/>
      <x:c r="X303" s="36"/>
      <x:c r="Y303" s="36" t="str">
        <x:v>NotAssessed</x:v>
      </x:c>
      <x:c r="Z303" s="36" t="str"/>
      <x:c r="AA303" s="36" t="str"/>
      <x:c r="AB303" s="36"/>
      <x:c r="AC303" s="36"/>
      <x:c r="AD303" s="36" t="str"/>
      <x:c r="AE303" s="36" t="str"/>
      <x:c r="AF303" s="36" t="str">
        <x:v>No exact waste match</x:v>
      </x:c>
      <x:c r="AG303" s="36" t="str">
        <x:v>Common pot</x:v>
      </x:c>
      <x:c r="AH303" s="36" t="str">
        <x:v>BU Demand!row 638</x:v>
      </x:c>
      <x:c r="AI303" s="36" t="str">
        <x:v>Blank</x:v>
      </x:c>
      <x:c r="AJ303" s="36" t="str">
        <x:v>Revenue</x:v>
      </x:c>
      <x:c r="AK303" s="36" t="str">
        <x:v>Must Do</x:v>
      </x:c>
      <x:c r="AL303" s="36" t="n">
        <x:v>0</x:v>
      </x:c>
      <x:c r="AM303" s="36" t="n">
        <x:v>0</x:v>
      </x:c>
      <x:c r="AN303" s="43"/>
      <x:c r="AO303" s="43"/>
      <x:c r="AP303" s="43"/>
    </x:row>
    <x:row r="304" ht="15" hidden="0" customHeight="1">
      <x:c r="A304" s="36" t="str">
        <x:v>Bu-312</x:v>
      </x:c>
      <x:c r="B304" s="37" t="str">
        <x:v>PH Material Management (OMM) AI Program</x:v>
      </x:c>
      <x:c r="C304" s="36" t="str">
        <x:v>BU Led</x:v>
      </x:c>
      <x:c r="D304" s="36" t="str">
        <x:v>Personal Health (PH)</x:v>
      </x:c>
      <x:c r="E304" s="36" t="str"/>
      <x:c r="F304" s="36" t="str"/>
      <x:c r="G304" s="36" t="str">
        <x:v>Productivity savings</x:v>
      </x:c>
      <x:c r="H304" s="36" t="str">
        <x:v>Must Do</x:v>
      </x:c>
      <x:c r="I304" s="36" t="str">
        <x:v>New Initiative</x:v>
      </x:c>
      <x:c r="J304" s="38" t="n">
        <x:v>0.19</x:v>
      </x:c>
      <x:c r="K304" s="38"/>
      <x:c r="L304" s="38"/>
      <x:c r="M304" s="38"/>
      <x:c r="N304" s="38"/>
      <x:c r="O304" s="38"/>
      <x:c r="P304" s="37" t="str"/>
      <x:c r="Q304" s="37" t="str">
        <x:v>Cash savings</x:v>
      </x:c>
      <x:c r="R304" s="37" t="str"/>
      <x:c r="S304" s="37" t="str"/>
      <x:c r="T304" s="37" t="str"/>
      <x:c r="U304" s="37" t="str"/>
      <x:c r="V304" s="36" t="str"/>
      <x:c r="W304" s="36" t="str"/>
      <x:c r="X304" s="36"/>
      <x:c r="Y304" s="36" t="str">
        <x:v>NotAssessed</x:v>
      </x:c>
      <x:c r="Z304" s="36" t="str"/>
      <x:c r="AA304" s="36" t="str"/>
      <x:c r="AB304" s="36"/>
      <x:c r="AC304" s="36"/>
      <x:c r="AD304" s="36" t="str"/>
      <x:c r="AE304" s="36" t="str"/>
      <x:c r="AF304" s="36" t="str">
        <x:v>No exact waste match</x:v>
      </x:c>
      <x:c r="AG304" s="36" t="str">
        <x:v>Common pot</x:v>
      </x:c>
      <x:c r="AH304" s="36" t="str">
        <x:v>BU Demand!row 642</x:v>
      </x:c>
      <x:c r="AI304" s="36" t="str">
        <x:v>Blank</x:v>
      </x:c>
      <x:c r="AJ304" s="36" t="str">
        <x:v>Productivity</x:v>
      </x:c>
      <x:c r="AK304" s="36" t="str">
        <x:v>Must Do</x:v>
      </x:c>
      <x:c r="AL304" s="36" t="n">
        <x:v>0</x:v>
      </x:c>
      <x:c r="AM304" s="36" t="n">
        <x:v>0</x:v>
      </x:c>
      <x:c r="AN304" s="43"/>
      <x:c r="AO304" s="43"/>
      <x:c r="AP304" s="43"/>
    </x:row>
    <x:row r="305" ht="15" hidden="0" customHeight="1">
      <x:c r="A305" s="36" t="str">
        <x:v>Bu-313</x:v>
      </x:c>
      <x:c r="B305" s="37" t="str">
        <x:v>Philips.com Growth Engine – Unlocking the value of our new platform</x:v>
      </x:c>
      <x:c r="C305" s="36" t="str">
        <x:v>BU Led</x:v>
      </x:c>
      <x:c r="D305" s="36" t="str">
        <x:v>Personal Health (PH)</x:v>
      </x:c>
      <x:c r="E305" s="36" t="str"/>
      <x:c r="F305" s="36" t="str"/>
      <x:c r="G305" s="36" t="str">
        <x:v>Revenue Increase</x:v>
      </x:c>
      <x:c r="H305" s="36" t="str">
        <x:v>Must Do</x:v>
      </x:c>
      <x:c r="I305" s="36" t="str">
        <x:v>New Initiative</x:v>
      </x:c>
      <x:c r="J305" s="38" t="n">
        <x:v>0.9</x:v>
      </x:c>
      <x:c r="K305" s="38"/>
      <x:c r="L305" s="38"/>
      <x:c r="M305" s="38"/>
      <x:c r="N305" s="38"/>
      <x:c r="O305" s="38" t="n">
        <x:v>1.225</x:v>
      </x:c>
      <x:c r="P305" s="37" t="str">
        <x:v>1225</x:v>
      </x:c>
      <x:c r="Q305" s="37" t="str">
        <x:v>Revenue</x:v>
      </x:c>
      <x:c r="R305" s="37" t="str"/>
      <x:c r="S305" s="37" t="str"/>
      <x:c r="T305" s="37" t="str"/>
      <x:c r="U305" s="37" t="str"/>
      <x:c r="V305" s="36" t="str"/>
      <x:c r="W305" s="36" t="str"/>
      <x:c r="X305" s="36"/>
      <x:c r="Y305" s="36" t="str">
        <x:v>NotAssessed</x:v>
      </x:c>
      <x:c r="Z305" s="36" t="str"/>
      <x:c r="AA305" s="36" t="str"/>
      <x:c r="AB305" s="36"/>
      <x:c r="AC305" s="36"/>
      <x:c r="AD305" s="36" t="str"/>
      <x:c r="AE305" s="36" t="str"/>
      <x:c r="AF305" s="36" t="str">
        <x:v>No exact waste match</x:v>
      </x:c>
      <x:c r="AG305" s="36" t="str">
        <x:v>Common pot</x:v>
      </x:c>
      <x:c r="AH305" s="36" t="str">
        <x:v>BU Demand!row 643</x:v>
      </x:c>
      <x:c r="AI305" s="36" t="str">
        <x:v>Blank</x:v>
      </x:c>
      <x:c r="AJ305" s="36" t="str">
        <x:v>Revenue</x:v>
      </x:c>
      <x:c r="AK305" s="36" t="str">
        <x:v>Must Do</x:v>
      </x:c>
      <x:c r="AL305" s="36" t="n">
        <x:v>0</x:v>
      </x:c>
      <x:c r="AM305" s="36" t="n">
        <x:v>0</x:v>
      </x:c>
      <x:c r="AN305" s="43"/>
      <x:c r="AO305" s="43"/>
      <x:c r="AP305" s="43"/>
    </x:row>
    <x:row r="306" ht="15" hidden="0" customHeight="1">
      <x:c r="A306" s="36" t="str">
        <x:v>Bu-314</x:v>
      </x:c>
      <x:c r="B306" s="37" t="str">
        <x:v>Powering the AI-Native Organization</x:v>
      </x:c>
      <x:c r="C306" s="36" t="str">
        <x:v>BU Led</x:v>
      </x:c>
      <x:c r="D306" s="36" t="str">
        <x:v>Personal Health (PH)</x:v>
      </x:c>
      <x:c r="E306" s="36" t="str"/>
      <x:c r="F306" s="36" t="str"/>
      <x:c r="G306" s="36" t="str">
        <x:v>Revenue Increase</x:v>
      </x:c>
      <x:c r="H306" s="36" t="str">
        <x:v>Deprioritised</x:v>
      </x:c>
      <x:c r="I306" s="36" t="str">
        <x:v>New Initiative</x:v>
      </x:c>
      <x:c r="J306" s="38"/>
      <x:c r="K306" s="38"/>
      <x:c r="L306" s="38"/>
      <x:c r="M306" s="38"/>
      <x:c r="N306" s="38"/>
      <x:c r="O306" s="38"/>
      <x:c r="P306" s="37" t="str"/>
      <x:c r="Q306" s="37" t="str">
        <x:v>Revenue</x:v>
      </x:c>
      <x:c r="R306" s="37" t="str"/>
      <x:c r="S306" s="37" t="str"/>
      <x:c r="T306" s="37" t="str"/>
      <x:c r="U306" s="37" t="str"/>
      <x:c r="V306" s="36" t="str"/>
      <x:c r="W306" s="36" t="str"/>
      <x:c r="X306" s="36"/>
      <x:c r="Y306" s="36" t="str">
        <x:v>NotAssessed</x:v>
      </x:c>
      <x:c r="Z306" s="36" t="str"/>
      <x:c r="AA306" s="36" t="str"/>
      <x:c r="AB306" s="36"/>
      <x:c r="AC306" s="36"/>
      <x:c r="AD306" s="36" t="str"/>
      <x:c r="AE306" s="36" t="str"/>
      <x:c r="AF306" s="36" t="str">
        <x:v>No exact waste match</x:v>
      </x:c>
      <x:c r="AG306" s="36" t="str">
        <x:v>Common pot</x:v>
      </x:c>
      <x:c r="AH306" s="36" t="str">
        <x:v>BU Demand!row 644</x:v>
      </x:c>
      <x:c r="AI306" s="36" t="str">
        <x:v>Blank</x:v>
      </x:c>
      <x:c r="AJ306" s="36" t="str">
        <x:v>Revenue</x:v>
      </x:c>
      <x:c r="AK306" s="36" t="str">
        <x:v>Depri</x:v>
      </x:c>
      <x:c r="AL306" s="36" t="n">
        <x:v>0</x:v>
      </x:c>
      <x:c r="AM306" s="36" t="n">
        <x:v>0</x:v>
      </x:c>
      <x:c r="AN306" s="43"/>
      <x:c r="AO306" s="43"/>
      <x:c r="AP306" s="43"/>
    </x:row>
    <x:row r="307" ht="15" hidden="0" customHeight="1">
      <x:c r="A307" s="36" t="str">
        <x:v>Bu-315</x:v>
      </x:c>
      <x:c r="B307" s="37" t="str">
        <x:v>Product Tester Platform: audit, stabilization &amp; future direction</x:v>
      </x:c>
      <x:c r="C307" s="36" t="str">
        <x:v>BU Led</x:v>
      </x:c>
      <x:c r="D307" s="36" t="str">
        <x:v>Personal Health (PH)</x:v>
      </x:c>
      <x:c r="E307" s="36" t="str"/>
      <x:c r="F307" s="36" t="str"/>
      <x:c r="G307" s="36" t="str">
        <x:v>Compliance/Keeping the lights on</x:v>
      </x:c>
      <x:c r="H307" s="36" t="str">
        <x:v>Must Do</x:v>
      </x:c>
      <x:c r="I307" s="36" t="str">
        <x:v>New Initiative</x:v>
      </x:c>
      <x:c r="J307" s="38" t="n">
        <x:v>0.2</x:v>
      </x:c>
      <x:c r="K307" s="38"/>
      <x:c r="L307" s="38"/>
      <x:c r="M307" s="38"/>
      <x:c r="N307" s="38"/>
      <x:c r="O307" s="38"/>
      <x:c r="P307" s="37" t="str"/>
      <x:c r="Q307" s="37" t="str">
        <x:v>Risk exposure</x:v>
      </x:c>
      <x:c r="R307" s="37" t="str"/>
      <x:c r="S307" s="37" t="str"/>
      <x:c r="T307" s="37" t="str"/>
      <x:c r="U307" s="37" t="str"/>
      <x:c r="V307" s="36" t="str"/>
      <x:c r="W307" s="36" t="str"/>
      <x:c r="X307" s="36"/>
      <x:c r="Y307" s="36" t="str">
        <x:v>NotAssessed</x:v>
      </x:c>
      <x:c r="Z307" s="36" t="str"/>
      <x:c r="AA307" s="36" t="str"/>
      <x:c r="AB307" s="36"/>
      <x:c r="AC307" s="36"/>
      <x:c r="AD307" s="36" t="str"/>
      <x:c r="AE307" s="36" t="str"/>
      <x:c r="AF307" s="36" t="str">
        <x:v>No exact waste match</x:v>
      </x:c>
      <x:c r="AG307" s="36" t="str">
        <x:v>Common pot</x:v>
      </x:c>
      <x:c r="AH307" s="36" t="str">
        <x:v>BU Demand!row 645</x:v>
      </x:c>
      <x:c r="AI307" s="36" t="str">
        <x:v>Blank</x:v>
      </x:c>
      <x:c r="AJ307" s="36" t="str">
        <x:v>Compliance</x:v>
      </x:c>
      <x:c r="AK307" s="36" t="str">
        <x:v>Must Do</x:v>
      </x:c>
      <x:c r="AL307" s="36" t="n">
        <x:v>0</x:v>
      </x:c>
      <x:c r="AM307" s="36" t="n">
        <x:v>0</x:v>
      </x:c>
      <x:c r="AN307" s="43"/>
      <x:c r="AO307" s="43"/>
      <x:c r="AP307" s="43"/>
    </x:row>
    <x:row r="308" ht="15" hidden="0" customHeight="1">
      <x:c r="A308" s="36" t="str">
        <x:v>Bu-316</x:v>
      </x:c>
      <x:c r="B308" s="37" t="str">
        <x:v>RegMem in a Day</x:v>
      </x:c>
      <x:c r="C308" s="36" t="str">
        <x:v>BU Led</x:v>
      </x:c>
      <x:c r="D308" s="36" t="str">
        <x:v>Personal Health (PH)</x:v>
      </x:c>
      <x:c r="E308" s="36" t="str"/>
      <x:c r="F308" s="36" t="str"/>
      <x:c r="G308" s="36" t="str">
        <x:v>Compliance/Keeping the lights on</x:v>
      </x:c>
      <x:c r="H308" s="36" t="str">
        <x:v>Must Do</x:v>
      </x:c>
      <x:c r="I308" s="36" t="str">
        <x:v>New Initiative</x:v>
      </x:c>
      <x:c r="J308" s="38" t="n">
        <x:v>0.15</x:v>
      </x:c>
      <x:c r="K308" s="38"/>
      <x:c r="L308" s="38"/>
      <x:c r="M308" s="38"/>
      <x:c r="N308" s="38"/>
      <x:c r="O308" s="38"/>
      <x:c r="P308" s="37" t="str"/>
      <x:c r="Q308" s="37" t="str">
        <x:v>Risk exposure</x:v>
      </x:c>
      <x:c r="R308" s="37" t="str"/>
      <x:c r="S308" s="37" t="str"/>
      <x:c r="T308" s="37" t="str"/>
      <x:c r="U308" s="37" t="str"/>
      <x:c r="V308" s="36" t="str">
        <x:v>2027</x:v>
      </x:c>
      <x:c r="W308" s="36" t="str">
        <x:v>Automation of process creating regulatory memos for Artwork changes owing to increased speed of implementation</x:v>
      </x:c>
      <x:c r="X308" s="36"/>
      <x:c r="Y308" s="36" t="str">
        <x:v>NotAssessed</x:v>
      </x:c>
      <x:c r="Z308" s="36" t="str"/>
      <x:c r="AA308" s="36" t="str"/>
      <x:c r="AB308" s="36"/>
      <x:c r="AC308" s="36"/>
      <x:c r="AD308" s="36" t="str"/>
      <x:c r="AE308" s="36" t="str"/>
      <x:c r="AF308" s="36" t="str">
        <x:v>No exact waste match</x:v>
      </x:c>
      <x:c r="AG308" s="36" t="str">
        <x:v>Common pot</x:v>
      </x:c>
      <x:c r="AH308" s="36" t="str">
        <x:v>BU Demand!row 646</x:v>
      </x:c>
      <x:c r="AI308" s="36" t="str">
        <x:v>Blank</x:v>
      </x:c>
      <x:c r="AJ308" s="36" t="str">
        <x:v>Compliance</x:v>
      </x:c>
      <x:c r="AK308" s="36" t="str">
        <x:v>Must Do</x:v>
      </x:c>
      <x:c r="AL308" s="36" t="n">
        <x:v>0</x:v>
      </x:c>
      <x:c r="AM308" s="36" t="n">
        <x:v>0</x:v>
      </x:c>
      <x:c r="AN308" s="43"/>
      <x:c r="AO308" s="43"/>
      <x:c r="AP308" s="43"/>
    </x:row>
    <x:row r="309" ht="15" hidden="0" customHeight="1">
      <x:c r="A309" s="36" t="str">
        <x:v>Bu-317</x:v>
      </x:c>
      <x:c r="B309" s="37" t="str">
        <x:v>Sales &amp; Margin Agent</x:v>
      </x:c>
      <x:c r="C309" s="36" t="str">
        <x:v>BU Led</x:v>
      </x:c>
      <x:c r="D309" s="36" t="str">
        <x:v>Personal Health (PH)</x:v>
      </x:c>
      <x:c r="E309" s="36" t="str"/>
      <x:c r="F309" s="36" t="str">
        <x:v>Continous Improvement</x:v>
      </x:c>
      <x:c r="G309" s="36" t="str">
        <x:v>Productivity savings</x:v>
      </x:c>
      <x:c r="H309" s="36" t="str">
        <x:v>Must Have</x:v>
      </x:c>
      <x:c r="I309" s="36" t="str">
        <x:v>New Initiative</x:v>
      </x:c>
      <x:c r="J309" s="38" t="n">
        <x:v>0.05</x:v>
      </x:c>
      <x:c r="K309" s="38"/>
      <x:c r="L309" s="38"/>
      <x:c r="M309" s="38"/>
      <x:c r="N309" s="38"/>
      <x:c r="O309" s="38"/>
      <x:c r="P309" s="37" t="str"/>
      <x:c r="Q309" s="37" t="str">
        <x:v>Cash savings</x:v>
      </x:c>
      <x:c r="R309" s="37" t="str">
        <x:v>Productivity loss</x:v>
      </x:c>
      <x:c r="S309" s="37" t="str">
        <x:v>To streamline the business decision-making process based on descriptive and prescriptive financials across PH. An AI agent that will support with instant answers to financial status and outlook of any product range and customer across PH.</x:v>
      </x:c>
      <x:c r="T309" s="37" t="str">
        <x:v>Full implementation across BU’s and regions with clear RACI across PH</x:v>
      </x:c>
      <x:c r="U309" s="37" t="str"/>
      <x:c r="V309" s="36" t="str"/>
      <x:c r="W309" s="36" t="str"/>
      <x:c r="X309" s="36"/>
      <x:c r="Y309" s="36" t="str">
        <x:v>NotAssessed</x:v>
      </x:c>
      <x:c r="Z309" s="36" t="str"/>
      <x:c r="AA309" s="36" t="str"/>
      <x:c r="AB309" s="36"/>
      <x:c r="AC309" s="36"/>
      <x:c r="AD309" s="36" t="str"/>
      <x:c r="AE309" s="36" t="str"/>
      <x:c r="AF309" s="36" t="str">
        <x:v>No exact waste match</x:v>
      </x:c>
      <x:c r="AG309" s="36" t="str">
        <x:v>Common pot</x:v>
      </x:c>
      <x:c r="AH309" s="36" t="str">
        <x:v>BU Demand!row 647</x:v>
      </x:c>
      <x:c r="AI309" s="36" t="str">
        <x:v>CI</x:v>
      </x:c>
      <x:c r="AJ309" s="36" t="str">
        <x:v>Productivity</x:v>
      </x:c>
      <x:c r="AK309" s="36" t="str">
        <x:v>Must Have</x:v>
      </x:c>
      <x:c r="AL309" s="36" t="n">
        <x:v>0</x:v>
      </x:c>
      <x:c r="AM309" s="36" t="n">
        <x:v>0</x:v>
      </x:c>
      <x:c r="AN309" s="43"/>
      <x:c r="AO309" s="43"/>
      <x:c r="AP309" s="43"/>
    </x:row>
    <x:row r="310" ht="15" hidden="0" customHeight="1">
      <x:c r="A310" s="36" t="str">
        <x:v>Bu-318</x:v>
      </x:c>
      <x:c r="B310" s="37" t="str">
        <x:v>Salsify to data lake integration</x:v>
      </x:c>
      <x:c r="C310" s="36" t="str">
        <x:v>BU Led</x:v>
      </x:c>
      <x:c r="D310" s="36" t="str">
        <x:v>Personal Health (PH)</x:v>
      </x:c>
      <x:c r="E310" s="36" t="str"/>
      <x:c r="F310" s="36" t="str">
        <x:v>New Feature</x:v>
      </x:c>
      <x:c r="G310" s="36" t="str">
        <x:v>Process simplification/ efficiency gain</x:v>
      </x:c>
      <x:c r="H310" s="36" t="str">
        <x:v>Must Do</x:v>
      </x:c>
      <x:c r="I310" s="36" t="str">
        <x:v>New Initiative</x:v>
      </x:c>
      <x:c r="J310" s="38" t="n">
        <x:v>0.12</x:v>
      </x:c>
      <x:c r="K310" s="38"/>
      <x:c r="L310" s="38"/>
      <x:c r="M310" s="38"/>
      <x:c r="N310" s="38"/>
      <x:c r="O310" s="38"/>
      <x:c r="P310" s="37" t="str"/>
      <x:c r="Q310" s="37" t="str">
        <x:v>Cash savings</x:v>
      </x:c>
      <x:c r="R310" s="37" t="str">
        <x:v>Risk Reduction</x:v>
      </x:c>
      <x:c r="S310" s="37" t="str">
        <x: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x:v>
      </x:c>
      <x:c r="T310" s="37" t="str">
        <x:v>Highlight Key capabilities required, any new licenses required? / any new contract required? Need to capture in Salsify logistical data, safety and compliance data, battery information, feature callouts, quality of product life attributes, product compatibility, etc.
Cleaner data and a more complete data repository.
Highlight the teams availability to execute the project PH NAR Regional marketing, PPL, EADI, PDH, SAP, omnichannel
Pilot/ Full deployment FULL DEPLOYMENT
Deployment Regions / Bus TOTAL NAR</x:v>
      </x:c>
      <x:c r="U310" s="37" t="str"/>
      <x:c r="V310" s="36" t="str"/>
      <x:c r="W310" s="36" t="str"/>
      <x:c r="X310" s="36"/>
      <x:c r="Y310" s="36" t="str">
        <x:v>NotAssessed</x:v>
      </x:c>
      <x:c r="Z310" s="36" t="str"/>
      <x:c r="AA310" s="36" t="str"/>
      <x:c r="AB310" s="36"/>
      <x:c r="AC310" s="36"/>
      <x:c r="AD310" s="36" t="str"/>
      <x:c r="AE310" s="36" t="str"/>
      <x:c r="AF310" s="36" t="str">
        <x:v>No exact waste match</x:v>
      </x:c>
      <x:c r="AG310" s="36" t="str">
        <x:v>Common pot</x:v>
      </x:c>
      <x:c r="AH310" s="36" t="str">
        <x:v>BU Demand!row 648</x:v>
      </x:c>
      <x:c r="AI310" s="36" t="str">
        <x:v>NewFeat</x:v>
      </x:c>
      <x:c r="AJ310" s="36" t="str">
        <x:v>ProcSimp</x:v>
      </x:c>
      <x:c r="AK310" s="36" t="str">
        <x:v>Must Do</x:v>
      </x:c>
      <x:c r="AL310" s="36" t="n">
        <x:v>0</x:v>
      </x:c>
      <x:c r="AM310" s="36" t="n">
        <x:v>0</x:v>
      </x:c>
      <x:c r="AN310" s="43"/>
      <x:c r="AO310" s="43"/>
      <x:c r="AP310" s="43"/>
    </x:row>
    <x:row r="311" ht="15" hidden="0" customHeight="1">
      <x:c r="A311" s="36" t="str">
        <x:v>Bu-319</x:v>
      </x:c>
      <x:c r="B311" s="37" t="str">
        <x:v>Telephony Transformation - End-of-Life Replacement</x:v>
      </x:c>
      <x:c r="C311" s="36" t="str">
        <x:v>BU Led</x:v>
      </x:c>
      <x:c r="D311" s="36" t="str">
        <x:v>Personal Health (PH)</x:v>
      </x:c>
      <x:c r="E311" s="36" t="str"/>
      <x:c r="F311" s="36" t="str"/>
      <x:c r="G311" s="36" t="str">
        <x:v>Compliance/Keeping the lights on</x:v>
      </x:c>
      <x:c r="H311" s="36" t="str">
        <x:v>Must Have</x:v>
      </x:c>
      <x:c r="I311" s="36" t="str">
        <x:v>New Initiative</x:v>
      </x:c>
      <x:c r="J311" s="38" t="n">
        <x:v>0.3</x:v>
      </x:c>
      <x:c r="K311" s="38"/>
      <x:c r="L311" s="38"/>
      <x:c r="M311" s="38"/>
      <x:c r="N311" s="38"/>
      <x:c r="O311" s="38"/>
      <x:c r="P311" s="37" t="str"/>
      <x:c r="Q311" s="37" t="str">
        <x:v>Risk exposure</x:v>
      </x:c>
      <x:c r="R311" s="37" t="str">
        <x:v>Care risks an unsupported CTI path and delayed voice-data foundation.</x:v>
      </x:c>
      <x:c r="S311" s="37" t="str">
        <x: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x:v>
      </x:c>
      <x:c r="T311" s="37" t="str">
        <x: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x:v>
      </x:c>
      <x:c r="U311" s="37" t="str">
        <x:v>XcellentCare; PVC; telephony decision</x:v>
      </x:c>
      <x:c r="V311" s="36" t="str"/>
      <x:c r="W311" s="36" t="str"/>
      <x:c r="X311" s="36"/>
      <x:c r="Y311" s="36" t="str">
        <x:v>NotAssessed</x:v>
      </x:c>
      <x:c r="Z311" s="36" t="str"/>
      <x:c r="AA311" s="36" t="str"/>
      <x:c r="AB311" s="36"/>
      <x:c r="AC311" s="36"/>
      <x:c r="AD311" s="36" t="str"/>
      <x:c r="AE311" s="36" t="str"/>
      <x:c r="AF311" s="36" t="str">
        <x:v>No exact waste match</x:v>
      </x:c>
      <x:c r="AG311" s="36" t="str">
        <x:v>Common pot</x:v>
      </x:c>
      <x:c r="AH311" s="36" t="str">
        <x:v>BU Demand!row 654</x:v>
      </x:c>
      <x:c r="AI311" s="36" t="str">
        <x:v>Blank</x:v>
      </x:c>
      <x:c r="AJ311" s="36" t="str">
        <x:v>Compliance</x:v>
      </x:c>
      <x:c r="AK311" s="36" t="str">
        <x:v>Must Have</x:v>
      </x:c>
      <x:c r="AL311" s="36" t="n">
        <x:v>0</x:v>
      </x:c>
      <x:c r="AM311" s="36" t="n">
        <x:v>0</x:v>
      </x:c>
      <x:c r="AN311" s="43"/>
      <x:c r="AO311" s="43"/>
      <x:c r="AP311" s="43"/>
    </x:row>
    <x:row r="312" ht="15" hidden="0" customHeight="1">
      <x:c r="A312" s="36" t="str">
        <x:v>Bu-320</x:v>
      </x:c>
      <x:c r="B312" s="37" t="str">
        <x:v>TikTok Automated Consignment Flow</x:v>
      </x:c>
      <x:c r="C312" s="36" t="str">
        <x:v>BU Led</x:v>
      </x:c>
      <x:c r="D312" s="36" t="str">
        <x:v>Personal Health (PH)</x:v>
      </x:c>
      <x:c r="E312" s="36" t="str"/>
      <x:c r="F312" s="36" t="str"/>
      <x:c r="G312" s="36" t="str">
        <x:v>Revenue Increase</x:v>
      </x:c>
      <x:c r="H312" s="36" t="str">
        <x:v>Must Have</x:v>
      </x:c>
      <x:c r="I312" s="36" t="str">
        <x:v>New Initiative</x:v>
      </x:c>
      <x:c r="J312" s="38" t="n">
        <x:v>0.245</x:v>
      </x:c>
      <x:c r="K312" s="38"/>
      <x:c r="L312" s="38"/>
      <x:c r="M312" s="38"/>
      <x:c r="N312" s="38"/>
      <x:c r="O312" s="38" t="n">
        <x:v>4.1</x:v>
      </x:c>
      <x:c r="P312" s="37" t="str">
        <x:v>4100</x:v>
      </x:c>
      <x:c r="Q312" s="37" t="str">
        <x:v>Revenue</x:v>
      </x:c>
      <x:c r="R312" s="37" t="str">
        <x:v>Missing out on selling opportunities via popular social platoform like tiktok</x:v>
      </x:c>
      <x:c r="S312" s="37" t="str"/>
      <x:c r="T312" s="37" t="str"/>
      <x:c r="U312" s="37" t="str"/>
      <x:c r="V312" s="36" t="str"/>
      <x:c r="W312" s="36" t="str"/>
      <x:c r="X312" s="36"/>
      <x:c r="Y312" s="36" t="str">
        <x:v>NotAssessed</x:v>
      </x:c>
      <x:c r="Z312" s="36" t="str"/>
      <x:c r="AA312" s="36" t="str"/>
      <x:c r="AB312" s="36"/>
      <x:c r="AC312" s="36"/>
      <x:c r="AD312" s="36" t="str"/>
      <x:c r="AE312" s="36" t="str"/>
      <x:c r="AF312" s="36" t="str">
        <x:v>No exact waste match</x:v>
      </x:c>
      <x:c r="AG312" s="36" t="str">
        <x:v>Common pot</x:v>
      </x:c>
      <x:c r="AH312" s="36" t="str">
        <x:v>BU Demand!row 658</x:v>
      </x:c>
      <x:c r="AI312" s="36" t="str">
        <x:v>Blank</x:v>
      </x:c>
      <x:c r="AJ312" s="36" t="str">
        <x:v>Revenue</x:v>
      </x:c>
      <x:c r="AK312" s="36" t="str">
        <x:v>Must Have</x:v>
      </x:c>
      <x:c r="AL312" s="36" t="n">
        <x:v>0</x:v>
      </x:c>
      <x:c r="AM312" s="36" t="n">
        <x:v>0</x:v>
      </x:c>
      <x:c r="AN312" s="43"/>
      <x:c r="AO312" s="43"/>
      <x:c r="AP312" s="43"/>
    </x:row>
    <x:row r="313" ht="15" hidden="0" customHeight="1">
      <x:c r="A313" s="36" t="str">
        <x:v>Bu-321</x:v>
      </x:c>
      <x:c r="B313" s="37" t="str">
        <x:v>Touchless Supply chain</x:v>
      </x:c>
      <x:c r="C313" s="36" t="str">
        <x:v>BU Led</x:v>
      </x:c>
      <x:c r="D313" s="36" t="str">
        <x:v>Personal Health (PH)</x:v>
      </x:c>
      <x:c r="E313" s="36" t="str"/>
      <x:c r="F313" s="36" t="str"/>
      <x:c r="G313" s="36" t="str">
        <x:v>Productivity savings</x:v>
      </x:c>
      <x:c r="H313" s="36" t="str">
        <x:v>Must Do</x:v>
      </x:c>
      <x:c r="I313" s="36" t="str">
        <x:v>New Initiative</x:v>
      </x:c>
      <x:c r="J313" s="38"/>
      <x:c r="K313" s="38"/>
      <x:c r="L313" s="38"/>
      <x:c r="M313" s="38"/>
      <x:c r="N313" s="38"/>
      <x:c r="O313" s="38"/>
      <x:c r="P313" s="37" t="str"/>
      <x:c r="Q313" s="37" t="str">
        <x:v>Cash savings</x:v>
      </x:c>
      <x:c r="R313" s="37" t="str"/>
      <x:c r="S313" s="37" t="str"/>
      <x:c r="T313" s="37" t="str"/>
      <x:c r="U313" s="37" t="str"/>
      <x:c r="V313" s="36" t="str"/>
      <x:c r="W313" s="36" t="str"/>
      <x:c r="X313" s="36"/>
      <x:c r="Y313" s="36" t="str">
        <x:v>NotAssessed</x:v>
      </x:c>
      <x:c r="Z313" s="36" t="str"/>
      <x:c r="AA313" s="36" t="str"/>
      <x:c r="AB313" s="36"/>
      <x:c r="AC313" s="36"/>
      <x:c r="AD313" s="36" t="str"/>
      <x:c r="AE313" s="36" t="str"/>
      <x:c r="AF313" s="36" t="str">
        <x:v>No exact waste match</x:v>
      </x:c>
      <x:c r="AG313" s="36" t="str">
        <x:v>Common pot</x:v>
      </x:c>
      <x:c r="AH313" s="36" t="str">
        <x:v>BU Demand!row 659</x:v>
      </x:c>
      <x:c r="AI313" s="36" t="str">
        <x:v>Blank</x:v>
      </x:c>
      <x:c r="AJ313" s="36" t="str">
        <x:v>Productivity</x:v>
      </x:c>
      <x:c r="AK313" s="36" t="str">
        <x:v>Must Do</x:v>
      </x:c>
      <x:c r="AL313" s="36" t="n">
        <x:v>0</x:v>
      </x:c>
      <x:c r="AM313" s="36" t="n">
        <x:v>0</x:v>
      </x:c>
      <x:c r="AN313" s="43"/>
      <x:c r="AO313" s="43"/>
      <x:c r="AP313" s="43"/>
    </x:row>
    <x:row r="314" ht="15" hidden="0" customHeight="1">
      <x:c r="A314" s="36" t="str">
        <x:v>Bu-322</x:v>
      </x:c>
      <x:c r="B314" s="37" t="str">
        <x:v> Codebeamer Onboarding</x:v>
      </x:c>
      <x:c r="C314" s="36" t="str">
        <x:v>BU Led</x:v>
      </x:c>
      <x:c r="D314" s="36" t="str">
        <x:v>Ambulatory Monitoring and Diagnostics (AM&amp;D)</x:v>
      </x:c>
      <x:c r="E314" s="36" t="str"/>
      <x:c r="F314" s="36" t="str">
        <x:v>Continous Improvement</x:v>
      </x:c>
      <x:c r="G314" s="36" t="str">
        <x:v>Process simplification/ efficiency gain</x:v>
      </x:c>
      <x:c r="H314" s="36" t="str">
        <x:v>Must Have</x:v>
      </x:c>
      <x:c r="I314" s="36" t="str">
        <x:v>New Initiative</x:v>
      </x:c>
      <x:c r="J314" s="38" t="n">
        <x:v>0.4</x:v>
      </x:c>
      <x:c r="K314" s="38"/>
      <x:c r="L314" s="38"/>
      <x:c r="M314" s="38"/>
      <x:c r="N314" s="38"/>
      <x:c r="O314" s="38" t="n">
        <x:v>1.053</x:v>
      </x:c>
      <x:c r="P314" s="37" t="str">
        <x:v>1053</x:v>
      </x:c>
      <x:c r="Q314" s="37" t="str">
        <x:v>Cash savings</x:v>
      </x:c>
      <x:c r="R314" s="37" t="str">
        <x:v>A document-centric PLM solution will delay our transition to a data-driven PLM tool, limiting automation, traceability, and end-to-end digitalization.</x:v>
      </x:c>
      <x:c r="S314" s="37" t="str">
        <x:v>Currently document based DDF and content is managed in various tools with significant manual effort.  (One of the focus of Philips Elevate project.)</x:v>
      </x:c>
      <x:c r="T314" s="37" t="str">
        <x: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x:v>
      </x:c>
      <x:c r="U314" s="37" t="str"/>
      <x:c r="V314" s="36" t="str"/>
      <x:c r="W314" s="36" t="str"/>
      <x:c r="X314" s="36"/>
      <x:c r="Y314" s="36" t="str">
        <x:v>NotAssessed</x:v>
      </x:c>
      <x:c r="Z314" s="36" t="str"/>
      <x:c r="AA314" s="36" t="str"/>
      <x:c r="AB314" s="36"/>
      <x:c r="AC314" s="36"/>
      <x:c r="AD314" s="36" t="str"/>
      <x:c r="AE314" s="36" t="str"/>
      <x:c r="AF314" s="36" t="str">
        <x:v>Name and organisation matched</x:v>
      </x:c>
      <x:c r="AG314" s="36" t="str">
        <x:v>Common pot</x:v>
      </x:c>
      <x:c r="AH314" s="36" t="str">
        <x:v>BU Demand!row 660</x:v>
      </x:c>
      <x:c r="AI314" s="36" t="str">
        <x:v>CI</x:v>
      </x:c>
      <x:c r="AJ314" s="36" t="str">
        <x:v>ProcSimp</x:v>
      </x:c>
      <x:c r="AK314" s="36" t="str">
        <x:v>Must Have</x:v>
      </x:c>
      <x:c r="AL314" s="36" t="n">
        <x:v>0</x:v>
      </x:c>
      <x:c r="AM314" s="36" t="n">
        <x:v>0</x:v>
      </x:c>
      <x:c r="AN314" s="43"/>
      <x:c r="AO314" s="43"/>
      <x:c r="AP314" s="43"/>
    </x:row>
    <x:row r="315" ht="15" hidden="0" customHeight="1">
      <x:c r="A315" s="36" t="str">
        <x:v>Bu-323</x:v>
      </x:c>
      <x:c r="B315" s="37" t="str">
        <x:v> Windchill customization/integration to support automation</x:v>
      </x:c>
      <x:c r="C315" s="36" t="str">
        <x:v>BU Led</x:v>
      </x:c>
      <x:c r="D315" s="36" t="str">
        <x:v>Ambulatory Monitoring and Diagnostics (AM&amp;D)</x:v>
      </x:c>
      <x:c r="E315" s="36" t="str"/>
      <x:c r="F315" s="36" t="str">
        <x:v>Upgrades &amp; Enhancements</x:v>
      </x:c>
      <x:c r="G315" s="36" t="str">
        <x:v>Process simplification/ efficiency gain</x:v>
      </x:c>
      <x:c r="H315" s="36" t="str">
        <x:v>Must Have</x:v>
      </x:c>
      <x:c r="I315" s="36" t="str">
        <x:v>Change &amp; Sustain</x:v>
      </x:c>
      <x:c r="J315" s="38" t="n">
        <x:v>0.025</x:v>
      </x:c>
      <x:c r="K315" s="38"/>
      <x:c r="L315" s="38"/>
      <x:c r="M315" s="38"/>
      <x:c r="N315" s="38"/>
      <x:c r="O315" s="38"/>
      <x:c r="P315" s="37" t="str"/>
      <x:c r="Q315" s="37" t="str">
        <x:v>Cash savings</x:v>
      </x:c>
      <x:c r="R315" s="37" t="str">
        <x:v>Manual effort to update release documentation</x:v>
      </x:c>
      <x:c r="S315" s="37" t="str"/>
      <x:c r="T315" s="37" t="str">
        <x:v>Reservation for enhancing automation from our CI/CD to Windchill</x:v>
      </x:c>
      <x:c r="U315" s="37" t="str"/>
      <x:c r="V315" s="36" t="str"/>
      <x:c r="W315" s="36" t="str"/>
      <x:c r="X315" s="36"/>
      <x:c r="Y315" s="36" t="str">
        <x:v>NotAssessed</x:v>
      </x:c>
      <x:c r="Z315" s="36" t="str"/>
      <x:c r="AA315" s="36" t="str"/>
      <x:c r="AB315" s="36"/>
      <x:c r="AC315" s="36"/>
      <x:c r="AD315" s="36" t="str"/>
      <x:c r="AE315" s="36" t="str"/>
      <x:c r="AF315" s="36" t="str">
        <x:v>Name and organisation matched</x:v>
      </x:c>
      <x:c r="AG315" s="36" t="str">
        <x:v>Change and Sustain candidate</x:v>
      </x:c>
      <x:c r="AH315" s="36" t="str">
        <x:v>BU Demand!row 661</x:v>
      </x:c>
      <x:c r="AI315" s="36" t="str">
        <x:v>Upgrades</x:v>
      </x:c>
      <x:c r="AJ315" s="36" t="str">
        <x:v>ProcSimp</x:v>
      </x:c>
      <x:c r="AK315" s="36" t="str">
        <x:v>Must Have</x:v>
      </x:c>
      <x:c r="AL315" s="36" t="n">
        <x:v>0</x:v>
      </x:c>
      <x:c r="AM315" s="36" t="n">
        <x:v>0</x:v>
      </x:c>
      <x:c r="AN315" s="43"/>
      <x:c r="AO315" s="43"/>
      <x:c r="AP315" s="43"/>
    </x:row>
    <x:row r="316" ht="24" hidden="0" customHeight="1">
      <x:c r="A316" s="36" t="str">
        <x:v>Bu-324</x:v>
      </x:c>
      <x:c r="B316" s="37" t="str">
        <x:v> Advanced resource and capacity management (PARP) Onboarding / Adoption</x:v>
      </x:c>
      <x:c r="C316" s="36" t="str">
        <x:v>BU Led</x:v>
      </x:c>
      <x:c r="D316" s="36" t="str">
        <x:v>Ambulatory Monitoring and Diagnostics (AM&amp;D)</x:v>
      </x:c>
      <x:c r="E316" s="36" t="str"/>
      <x:c r="F316" s="36" t="str">
        <x:v>Continous Improvement</x:v>
      </x:c>
      <x:c r="G316" s="36" t="str">
        <x:v>Process simplification/ efficiency gain</x:v>
      </x:c>
      <x:c r="H316" s="36" t="str">
        <x:v>Must Have</x:v>
      </x:c>
      <x:c r="I316" s="36" t="str">
        <x:v>Change &amp; Sustain</x:v>
      </x:c>
      <x:c r="J316" s="38" t="n">
        <x:v>0.03</x:v>
      </x:c>
      <x:c r="K316" s="38"/>
      <x:c r="L316" s="38"/>
      <x:c r="M316" s="38"/>
      <x:c r="N316" s="38"/>
      <x:c r="O316" s="38"/>
      <x:c r="P316" s="37" t="str"/>
      <x:c r="Q316" s="37" t="str">
        <x:v>Cash savings</x:v>
      </x:c>
      <x:c r="R316" s="37" t="str"/>
      <x:c r="S316" s="37" t="str"/>
      <x:c r="T316" s="37" t="str">
        <x:v>Reservation for PARP adoption</x:v>
      </x:c>
      <x:c r="U316" s="37" t="str"/>
      <x:c r="V316" s="36" t="str"/>
      <x:c r="W316" s="36" t="str"/>
      <x:c r="X316" s="36"/>
      <x:c r="Y316" s="36" t="str">
        <x:v>NotAssessed</x:v>
      </x:c>
      <x:c r="Z316" s="36" t="str"/>
      <x:c r="AA316" s="36" t="str"/>
      <x:c r="AB316" s="36"/>
      <x:c r="AC316" s="36"/>
      <x:c r="AD316" s="36" t="str"/>
      <x:c r="AE316" s="36" t="str"/>
      <x:c r="AF316" s="36" t="str">
        <x:v>Name and organisation matched</x:v>
      </x:c>
      <x:c r="AG316" s="36" t="str">
        <x:v>Change and Sustain candidate</x:v>
      </x:c>
      <x:c r="AH316" s="36" t="str">
        <x:v>BU Demand!row 662</x:v>
      </x:c>
      <x:c r="AI316" s="36" t="str">
        <x:v>CI</x:v>
      </x:c>
      <x:c r="AJ316" s="36" t="str">
        <x:v>ProcSimp</x:v>
      </x:c>
      <x:c r="AK316" s="36" t="str">
        <x:v>Must Have</x:v>
      </x:c>
      <x:c r="AL316" s="36" t="n">
        <x:v>0</x:v>
      </x:c>
      <x:c r="AM316" s="36" t="n">
        <x:v>0</x:v>
      </x:c>
      <x:c r="AN316" s="43"/>
      <x:c r="AO316" s="43"/>
      <x:c r="AP316" s="43"/>
    </x:row>
    <x:row r="317" ht="24" hidden="0" customHeight="1">
      <x:c r="A317" s="36" t="str">
        <x:v>Bu-325</x:v>
      </x:c>
      <x:c r="B317" s="37" t="str">
        <x:v>Hybris Feature Enhancements (Service Parts Capabilities, AI powered commerce, etc)</x:v>
      </x:c>
      <x:c r="C317" s="36" t="str">
        <x:v>BU Led</x:v>
      </x:c>
      <x:c r="D317" s="36" t="str">
        <x:v>CoE Marketing – HS (former DMEC)​</x:v>
      </x:c>
      <x:c r="E317" s="36" t="str">
        <x:v>NEW</x:v>
      </x:c>
      <x:c r="F317" s="36" t="str"/>
      <x:c r="G317" s="36" t="str">
        <x:v>Revenue Increase</x:v>
      </x:c>
      <x:c r="H317" s="36" t="str">
        <x:v>Must Do</x:v>
      </x:c>
      <x:c r="I317" s="36" t="str"/>
      <x:c r="J317" s="38" t="n">
        <x:v>0.5</x:v>
      </x:c>
      <x:c r="K317" s="38"/>
      <x:c r="L317" s="38"/>
      <x:c r="M317" s="38"/>
      <x:c r="N317" s="38"/>
      <x:c r="O317" s="38" t="n">
        <x:v>5</x:v>
      </x:c>
      <x:c r="P317" s="37" t="str">
        <x:v>5000</x:v>
      </x:c>
      <x:c r="Q317" s="37" t="str">
        <x:v>Revenue</x:v>
      </x:c>
      <x:c r="R317" s="37" t="str">
        <x:v>Drive better customer purchase experience (OIT) - Revenue at risk without innovative solutions</x:v>
      </x:c>
      <x:c r="S317" s="37" t="str">
        <x:v>Headless eComm now offers the opportunity to deploy innovative solutions and new features, like product bundling with promotions and services and personalized commerce experience. Without these features we continue to lose available OIT</x:v>
      </x:c>
      <x:c r="T317" s="37" t="str">
        <x:v>Development and expansion of existing tools (COVEO) to support enhanced search, personalization, service part check-out, and other eCommerce features to drive increased order value and OIT</x:v>
      </x:c>
      <x:c r="U317" s="37" t="str"/>
      <x:c r="V317" s="36" t="str"/>
      <x:c r="W317" s="36" t="str"/>
      <x:c r="X317" s="36"/>
      <x:c r="Y317" s="36" t="str">
        <x:v>NotAssessed</x:v>
      </x:c>
      <x:c r="Z317" s="36" t="str"/>
      <x:c r="AA317" s="36" t="str"/>
      <x:c r="AB317" s="36"/>
      <x:c r="AC317" s="36"/>
      <x:c r="AD317" s="36" t="str"/>
      <x:c r="AE317" s="36" t="str"/>
      <x:c r="AF317" s="36" t="str">
        <x:v>Name and organisation matched</x:v>
      </x:c>
      <x:c r="AG317" s="36" t="str">
        <x:v>Common pot</x:v>
      </x:c>
      <x:c r="AH317" s="36" t="str">
        <x:v>BU Demand!row 663</x:v>
      </x:c>
      <x:c r="AI317" s="36" t="str">
        <x:v>Blank</x:v>
      </x:c>
      <x:c r="AJ317" s="36" t="str">
        <x:v>Revenue</x:v>
      </x:c>
      <x:c r="AK317" s="36" t="str">
        <x:v>Must Do</x:v>
      </x:c>
      <x:c r="AL317" s="36" t="n">
        <x:v>0</x:v>
      </x:c>
      <x:c r="AM317" s="36" t="n">
        <x:v>0</x:v>
      </x:c>
      <x:c r="AN317" s="43"/>
      <x:c r="AO317" s="43"/>
      <x:c r="AP317" s="43"/>
    </x:row>
    <x:row r="318" ht="15" hidden="0" customHeight="1">
      <x:c r="A318" s="36" t="str">
        <x:v>Bu-326</x:v>
      </x:c>
      <x:c r="B318" s="37" t="str"/>
      <x:c r="C318" s="36" t="str">
        <x:v>BU Led</x:v>
      </x:c>
      <x:c r="D318" s="36" t="str"/>
      <x:c r="E318" s="36" t="str"/>
      <x:c r="F318" s="36" t="str"/>
      <x:c r="G318" s="36" t="str"/>
      <x:c r="H318" s="36" t="str"/>
      <x:c r="I318" s="36" t="str"/>
      <x:c r="J318" s="38"/>
      <x:c r="K318" s="38"/>
      <x:c r="L318" s="38"/>
      <x:c r="M318" s="38"/>
      <x:c r="N318" s="38"/>
      <x:c r="O318" s="38"/>
      <x:c r="P318" s="37" t="str"/>
      <x:c r="Q318" s="37" t="str">
        <x:v>Unclassified</x:v>
      </x:c>
      <x:c r="R318" s="37" t="str"/>
      <x:c r="S318" s="37" t="str"/>
      <x:c r="T318" s="37" t="str"/>
      <x:c r="U318" s="37" t="str"/>
      <x:c r="V318" s="36" t="str"/>
      <x:c r="W318" s="36" t="str"/>
      <x:c r="X318" s="36"/>
      <x:c r="Y318" s="36" t="str">
        <x:v>NotAssessed</x:v>
      </x:c>
      <x:c r="Z318" s="36" t="str"/>
      <x:c r="AA318" s="36" t="str"/>
      <x:c r="AB318" s="36"/>
      <x:c r="AC318" s="36"/>
      <x:c r="AD318" s="36" t="str"/>
      <x:c r="AE318" s="36" t="str"/>
      <x:c r="AF318" s="36" t="str">
        <x:v>No exact waste match</x:v>
      </x:c>
      <x:c r="AG318" s="36" t="str">
        <x:v>Incomplete record</x:v>
      </x:c>
      <x:c r="AH318" s="36" t="str">
        <x:v>BU Demand!row 664</x:v>
      </x:c>
      <x:c r="AI318" s="36" t="str">
        <x:v>Blank</x:v>
      </x:c>
      <x:c r="AJ318" s="36" t="str">
        <x:v>Blank</x:v>
      </x:c>
      <x:c r="AK318" s="36" t="str">
        <x:v>Blank</x:v>
      </x:c>
      <x:c r="AL318" s="36" t="n">
        <x:v>0</x:v>
      </x:c>
      <x:c r="AM318" s="36" t="n">
        <x:v>1</x:v>
      </x:c>
      <x:c r="AN318" s="43"/>
      <x:c r="AO318" s="43"/>
      <x:c r="AP318" s="43"/>
    </x:row>
    <x:row r="319" ht="15" hidden="0" customHeight="1">
      <x:c r="A319" s="36" t="str">
        <x:v>Bu-327</x:v>
      </x:c>
      <x:c r="B319" s="37" t="str"/>
      <x:c r="C319" s="36" t="str">
        <x:v>BU Led</x:v>
      </x:c>
      <x:c r="D319" s="36" t="str"/>
      <x:c r="E319" s="36" t="str"/>
      <x:c r="F319" s="36" t="str"/>
      <x:c r="G319" s="36" t="str"/>
      <x:c r="H319" s="36" t="str"/>
      <x:c r="I319" s="36" t="str"/>
      <x:c r="J319" s="38"/>
      <x:c r="K319" s="38"/>
      <x:c r="L319" s="38"/>
      <x:c r="M319" s="38"/>
      <x:c r="N319" s="38"/>
      <x:c r="O319" s="38"/>
      <x:c r="P319" s="37" t="str"/>
      <x:c r="Q319" s="37" t="str">
        <x:v>Unclassified</x:v>
      </x:c>
      <x:c r="R319" s="37" t="str"/>
      <x:c r="S319" s="37" t="str"/>
      <x:c r="T319" s="37" t="str"/>
      <x:c r="U319" s="37" t="str"/>
      <x:c r="V319" s="36" t="str"/>
      <x:c r="W319" s="36" t="str"/>
      <x:c r="X319" s="36"/>
      <x:c r="Y319" s="36" t="str">
        <x:v>NotAssessed</x:v>
      </x:c>
      <x:c r="Z319" s="36" t="str"/>
      <x:c r="AA319" s="36" t="str"/>
      <x:c r="AB319" s="36"/>
      <x:c r="AC319" s="36"/>
      <x:c r="AD319" s="36" t="str"/>
      <x:c r="AE319" s="36" t="str"/>
      <x:c r="AF319" s="36" t="str">
        <x:v>No exact waste match</x:v>
      </x:c>
      <x:c r="AG319" s="36" t="str">
        <x:v>Incomplete record</x:v>
      </x:c>
      <x:c r="AH319" s="36" t="str">
        <x:v>BU Demand!row 665</x:v>
      </x:c>
      <x:c r="AI319" s="36" t="str">
        <x:v>Blank</x:v>
      </x:c>
      <x:c r="AJ319" s="36" t="str">
        <x:v>Blank</x:v>
      </x:c>
      <x:c r="AK319" s="36" t="str">
        <x:v>Blank</x:v>
      </x:c>
      <x:c r="AL319" s="36" t="n">
        <x:v>0</x:v>
      </x:c>
      <x:c r="AM319" s="36" t="n">
        <x:v>1</x:v>
      </x:c>
      <x:c r="AN319" s="43"/>
      <x:c r="AO319" s="43"/>
      <x:c r="AP319" s="43"/>
    </x:row>
    <x:row r="320" ht="15" hidden="0" customHeight="1">
      <x:c r="A320" s="36" t="str">
        <x:v>Bu-328</x:v>
      </x:c>
      <x:c r="B320" s="37" t="str"/>
      <x:c r="C320" s="36" t="str">
        <x:v>BU Led</x:v>
      </x:c>
      <x:c r="D320" s="36" t="str"/>
      <x:c r="E320" s="36" t="str"/>
      <x:c r="F320" s="36" t="str"/>
      <x:c r="G320" s="36" t="str"/>
      <x:c r="H320" s="36" t="str"/>
      <x:c r="I320" s="36" t="str"/>
      <x:c r="J320" s="38"/>
      <x:c r="K320" s="38"/>
      <x:c r="L320" s="38"/>
      <x:c r="M320" s="38"/>
      <x:c r="N320" s="38"/>
      <x:c r="O320" s="38"/>
      <x:c r="P320" s="37" t="str"/>
      <x:c r="Q320" s="37" t="str">
        <x:v>Unclassified</x:v>
      </x:c>
      <x:c r="R320" s="37" t="str"/>
      <x:c r="S320" s="37" t="str"/>
      <x:c r="T320" s="37" t="str"/>
      <x:c r="U320" s="37" t="str"/>
      <x:c r="V320" s="36" t="str"/>
      <x:c r="W320" s="36" t="str"/>
      <x:c r="X320" s="36"/>
      <x:c r="Y320" s="36" t="str">
        <x:v>NotAssessed</x:v>
      </x:c>
      <x:c r="Z320" s="36" t="str"/>
      <x:c r="AA320" s="36" t="str"/>
      <x:c r="AB320" s="36"/>
      <x:c r="AC320" s="36"/>
      <x:c r="AD320" s="36" t="str"/>
      <x:c r="AE320" s="36" t="str"/>
      <x:c r="AF320" s="36" t="str">
        <x:v>No exact waste match</x:v>
      </x:c>
      <x:c r="AG320" s="36" t="str">
        <x:v>Incomplete record</x:v>
      </x:c>
      <x:c r="AH320" s="36" t="str">
        <x:v>BU Demand!row 666</x:v>
      </x:c>
      <x:c r="AI320" s="36" t="str">
        <x:v>Blank</x:v>
      </x:c>
      <x:c r="AJ320" s="36" t="str">
        <x:v>Blank</x:v>
      </x:c>
      <x:c r="AK320" s="36" t="str">
        <x:v>Blank</x:v>
      </x:c>
      <x:c r="AL320" s="36" t="n">
        <x:v>0</x:v>
      </x:c>
      <x:c r="AM320" s="36" t="n">
        <x:v>1</x:v>
      </x:c>
      <x:c r="AN320" s="43"/>
      <x:c r="AO320" s="43"/>
      <x:c r="AP320" s="43"/>
    </x:row>
    <x:row r="321" ht="15" hidden="0" customHeight="1">
      <x:c r="A321" s="36" t="str">
        <x:v>Bu-329</x:v>
      </x:c>
      <x:c r="B321" s="37" t="str"/>
      <x:c r="C321" s="36" t="str">
        <x:v>BU Led</x:v>
      </x:c>
      <x:c r="D321" s="36" t="str"/>
      <x:c r="E321" s="36" t="str"/>
      <x:c r="F321" s="36" t="str"/>
      <x:c r="G321" s="36" t="str"/>
      <x:c r="H321" s="36" t="str"/>
      <x:c r="I321" s="36" t="str"/>
      <x:c r="J321" s="38"/>
      <x:c r="K321" s="38"/>
      <x:c r="L321" s="38"/>
      <x:c r="M321" s="38"/>
      <x:c r="N321" s="38"/>
      <x:c r="O321" s="38"/>
      <x:c r="P321" s="37" t="str"/>
      <x:c r="Q321" s="37" t="str">
        <x:v>Unclassified</x:v>
      </x:c>
      <x:c r="R321" s="37" t="str"/>
      <x:c r="S321" s="37" t="str"/>
      <x:c r="T321" s="37" t="str"/>
      <x:c r="U321" s="37" t="str"/>
      <x:c r="V321" s="36" t="str"/>
      <x:c r="W321" s="36" t="str"/>
      <x:c r="X321" s="36"/>
      <x:c r="Y321" s="36" t="str">
        <x:v>NotAssessed</x:v>
      </x:c>
      <x:c r="Z321" s="36" t="str"/>
      <x:c r="AA321" s="36" t="str"/>
      <x:c r="AB321" s="36"/>
      <x:c r="AC321" s="36"/>
      <x:c r="AD321" s="36" t="str"/>
      <x:c r="AE321" s="36" t="str"/>
      <x:c r="AF321" s="36" t="str">
        <x:v>No exact waste match</x:v>
      </x:c>
      <x:c r="AG321" s="36" t="str">
        <x:v>Incomplete record</x:v>
      </x:c>
      <x:c r="AH321" s="36" t="str">
        <x:v>BU Demand!row 667</x:v>
      </x:c>
      <x:c r="AI321" s="36" t="str">
        <x:v>Blank</x:v>
      </x:c>
      <x:c r="AJ321" s="36" t="str">
        <x:v>Blank</x:v>
      </x:c>
      <x:c r="AK321" s="36" t="str">
        <x:v>Blank</x:v>
      </x:c>
      <x:c r="AL321" s="36" t="n">
        <x:v>0</x:v>
      </x:c>
      <x:c r="AM321" s="36" t="n">
        <x:v>1</x:v>
      </x:c>
      <x:c r="AN321" s="43"/>
      <x:c r="AO321" s="43"/>
      <x:c r="AP321" s="43"/>
    </x:row>
    <x:row r="322" ht="15" hidden="0" customHeight="1">
      <x:c r="A322" s="36" t="str">
        <x:v>Bu-330</x:v>
      </x:c>
      <x:c r="B322" s="37" t="str">
        <x:v>CoNQ data model &amp; reporting (warranty, field failures, returns)</x:v>
      </x:c>
      <x:c r="C322" s="36" t="str">
        <x:v>BU Led</x:v>
      </x:c>
      <x:c r="D322" s="36" t="str">
        <x:v>Precision Diagnosis - Magnetic Resonance (MR)</x:v>
      </x:c>
      <x:c r="E322" s="36" t="str"/>
      <x:c r="F322" s="36" t="str"/>
      <x:c r="G322" s="36" t="str"/>
      <x:c r="H322" s="36" t="str"/>
      <x:c r="I322" s="36" t="str">
        <x:v>New Initiative</x:v>
      </x:c>
      <x:c r="J322" s="38" t="n">
        <x:v>0.45</x:v>
      </x:c>
      <x:c r="K322" s="38"/>
      <x:c r="L322" s="38"/>
      <x:c r="M322" s="38"/>
      <x:c r="N322" s="38"/>
      <x:c r="O322" s="38" t="n">
        <x:v>3</x:v>
      </x:c>
      <x:c r="P322" s="37" t="str">
        <x:v>3000</x:v>
      </x:c>
      <x:c r="Q322" s="37" t="str">
        <x:v>Unclassified</x:v>
      </x:c>
      <x:c r="R322" s="37" t="str"/>
      <x:c r="S322" s="37" t="str"/>
      <x:c r="T322" s="37" t="str">
        <x:v>CoNQ value is realised in O2C but the underlying data sits upstream in quality systems, leaving the largest O2C value pool unsized and unmanaged. A common data model is required to quantify the opportunity and track closure across the modalities</x:v>
      </x:c>
      <x:c r="U322" s="37" t="str"/>
      <x:c r="V322" s="36" t="str"/>
      <x:c r="W322" s="36" t="str"/>
      <x:c r="X322" s="36"/>
      <x:c r="Y322" s="36" t="str">
        <x:v>NotAssessed</x:v>
      </x:c>
      <x:c r="Z322" s="36" t="str"/>
      <x:c r="AA322" s="36" t="str"/>
      <x:c r="AB322" s="36"/>
      <x:c r="AC322" s="36"/>
      <x:c r="AD322" s="36" t="str"/>
      <x:c r="AE322" s="36" t="str"/>
      <x:c r="AF322" s="36" t="str">
        <x:v>No exact waste match</x:v>
      </x:c>
      <x:c r="AG322" s="36" t="str">
        <x:v>Common pot</x:v>
      </x:c>
      <x:c r="AH322" s="36" t="str">
        <x:v>BU Demand!row 668</x:v>
      </x:c>
      <x:c r="AI322" s="36" t="str">
        <x:v>Blank</x:v>
      </x:c>
      <x:c r="AJ322" s="36" t="str">
        <x:v>Blank</x:v>
      </x:c>
      <x:c r="AK322" s="36" t="str">
        <x:v>Blank</x:v>
      </x:c>
      <x:c r="AL322" s="36" t="n">
        <x:v>0</x:v>
      </x:c>
      <x:c r="AM322" s="36" t="n">
        <x:v>0</x:v>
      </x:c>
      <x:c r="AN322" s="43"/>
      <x:c r="AO322" s="43"/>
      <x:c r="AP322" s="43"/>
    </x:row>
    <x:row r="323" ht="15" hidden="0" customHeight="1">
      <x:c r="A323" s="36" t="str">
        <x:v>Bu-331</x:v>
      </x:c>
      <x:c r="B323" s="37" t="str">
        <x:v>AI Consumption &amp; Document Processing Optimization</x:v>
      </x:c>
      <x:c r="C323" s="36" t="str">
        <x:v>BU Led</x:v>
      </x:c>
      <x:c r="D323" s="36" t="str">
        <x:v>Precision Diagnosis - Magnetic Resonance (MR)</x:v>
      </x:c>
      <x:c r="E323" s="36" t="str"/>
      <x:c r="F323" s="36" t="str"/>
      <x:c r="G323" s="36" t="str"/>
      <x:c r="H323" s="36" t="str"/>
      <x:c r="I323" s="36" t="str">
        <x:v>New Initiative</x:v>
      </x:c>
      <x:c r="J323" s="38" t="n">
        <x:v>0.05</x:v>
      </x:c>
      <x:c r="K323" s="38"/>
      <x:c r="L323" s="38"/>
      <x:c r="M323" s="38"/>
      <x:c r="N323" s="38"/>
      <x:c r="O323" s="38" t="n">
        <x:v>0.5</x:v>
      </x:c>
      <x:c r="P323" s="37" t="str">
        <x:v>500</x:v>
      </x:c>
      <x:c r="Q323" s="37" t="str">
        <x:v>Unclassified</x:v>
      </x:c>
      <x:c r="R323" s="37" t="str"/>
      <x:c r="S323" s="37" t="str"/>
      <x:c r="T323" s="37" t="str">
        <x:v>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x:v>
      </x:c>
      <x:c r="U323" s="37" t="str"/>
      <x:c r="V323" s="36" t="str"/>
      <x:c r="W323" s="36" t="str"/>
      <x:c r="X323" s="36"/>
      <x:c r="Y323" s="36" t="str">
        <x:v>NotAssessed</x:v>
      </x:c>
      <x:c r="Z323" s="36" t="str"/>
      <x:c r="AA323" s="36" t="str"/>
      <x:c r="AB323" s="36"/>
      <x:c r="AC323" s="36"/>
      <x:c r="AD323" s="36" t="str"/>
      <x:c r="AE323" s="36" t="str"/>
      <x:c r="AF323" s="36" t="str">
        <x:v>No exact waste match</x:v>
      </x:c>
      <x:c r="AG323" s="36" t="str">
        <x:v>Common pot</x:v>
      </x:c>
      <x:c r="AH323" s="36" t="str">
        <x:v>BU Demand!row 669</x:v>
      </x:c>
      <x:c r="AI323" s="36" t="str">
        <x:v>Blank</x:v>
      </x:c>
      <x:c r="AJ323" s="36" t="str">
        <x:v>Blank</x:v>
      </x:c>
      <x:c r="AK323" s="36" t="str">
        <x:v>Blank</x:v>
      </x:c>
      <x:c r="AL323" s="36" t="n">
        <x:v>0</x:v>
      </x:c>
      <x:c r="AM323" s="36" t="n">
        <x:v>0</x:v>
      </x:c>
      <x:c r="AN323" s="43"/>
      <x:c r="AO323" s="43"/>
      <x:c r="AP323" s="43"/>
    </x:row>
    <x:row r="324" ht="15" hidden="0" customHeight="1">
      <x:c r="A324" s="36" t="str">
        <x:v>Bu-332</x:v>
      </x:c>
      <x:c r="B324" s="37" t="str">
        <x:v>Learning &amp; IFU Material creation optimzation </x:v>
      </x:c>
      <x:c r="C324" s="36" t="str">
        <x:v>BU Led</x:v>
      </x:c>
      <x:c r="D324" s="36" t="str">
        <x:v>Precision Diagnosis - Magnetic Resonance (MR)</x:v>
      </x:c>
      <x:c r="E324" s="36" t="str"/>
      <x:c r="F324" s="36" t="str"/>
      <x:c r="G324" s="36" t="str"/>
      <x:c r="H324" s="36" t="str"/>
      <x:c r="I324" s="36" t="str">
        <x:v>New Initiative</x:v>
      </x:c>
      <x:c r="J324" s="38" t="n">
        <x:v>0.8</x:v>
      </x:c>
      <x:c r="K324" s="38"/>
      <x:c r="L324" s="38"/>
      <x:c r="M324" s="38"/>
      <x:c r="N324" s="38"/>
      <x:c r="O324" s="38"/>
      <x:c r="P324" s="37" t="str">
        <x:v>NA</x:v>
      </x:c>
      <x:c r="Q324" s="37" t="str">
        <x:v>Unclassified</x:v>
      </x:c>
      <x:c r="R324" s="37" t="str"/>
      <x:c r="S324" s="37" t="str"/>
      <x:c r="T324" s="37" t="str">
        <x:v>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x:v>
      </x:c>
      <x:c r="U324" s="37" t="str"/>
      <x:c r="V324" s="36" t="str"/>
      <x:c r="W324" s="36" t="str"/>
      <x:c r="X324" s="36"/>
      <x:c r="Y324" s="36" t="str">
        <x:v>NotAssessed</x:v>
      </x:c>
      <x:c r="Z324" s="36" t="str"/>
      <x:c r="AA324" s="36" t="str"/>
      <x:c r="AB324" s="36"/>
      <x:c r="AC324" s="36"/>
      <x:c r="AD324" s="36" t="str"/>
      <x:c r="AE324" s="36" t="str"/>
      <x:c r="AF324" s="36" t="str">
        <x:v>No exact waste match</x:v>
      </x:c>
      <x:c r="AG324" s="36" t="str">
        <x:v>Common pot</x:v>
      </x:c>
      <x:c r="AH324" s="36" t="str">
        <x:v>BU Demand!row 670</x:v>
      </x:c>
      <x:c r="AI324" s="36" t="str">
        <x:v>Blank</x:v>
      </x:c>
      <x:c r="AJ324" s="36" t="str">
        <x:v>Blank</x:v>
      </x:c>
      <x:c r="AK324" s="36" t="str">
        <x:v>Blank</x:v>
      </x:c>
      <x:c r="AL324" s="36" t="n">
        <x:v>0</x:v>
      </x:c>
      <x:c r="AM324" s="36" t="n">
        <x:v>0</x:v>
      </x:c>
      <x:c r="AN324" s="43"/>
      <x:c r="AO324" s="43"/>
      <x:c r="AP324" s="43"/>
    </x:row>
    <x:row r="325" ht="15" hidden="0" customHeight="1">
      <x:c r="A325" s="36" t="str">
        <x:v>Bu-333</x:v>
      </x:c>
      <x:c r="B325" s="37" t="str">
        <x:v>ISC connection &amp; cost visibility from SPS</x:v>
      </x:c>
      <x:c r="C325" s="36" t="str">
        <x:v>BU Led</x:v>
      </x:c>
      <x:c r="D325" s="36" t="str">
        <x:v>Precision Diagnosis - Magnetic Resonance (MR)</x:v>
      </x:c>
      <x:c r="E325" s="36" t="str"/>
      <x:c r="F325" s="36" t="str"/>
      <x:c r="G325" s="36" t="str"/>
      <x:c r="H325" s="36" t="str"/>
      <x:c r="I325" s="36" t="str">
        <x:v>New Initiative</x:v>
      </x:c>
      <x:c r="J325" s="38" t="n">
        <x:v>0.4</x:v>
      </x:c>
      <x:c r="K325" s="38"/>
      <x:c r="L325" s="38"/>
      <x:c r="M325" s="38"/>
      <x:c r="N325" s="38"/>
      <x:c r="O325" s="38" t="n">
        <x:v>2</x:v>
      </x:c>
      <x:c r="P325" s="37" t="str">
        <x:v>2000</x:v>
      </x:c>
      <x:c r="Q325" s="37" t="str">
        <x:v>Unclassified</x:v>
      </x:c>
      <x:c r="R325" s="37" t="str"/>
      <x:c r="S325" s="37" t="str"/>
      <x:c r="T325" s="37" t="str">
        <x:v>There is no reliable line of sight from SPS and ISC cost data into O2C productivity, so savings have to be reconstructed manually every month and cannot be validated at source. Connecting the cost data is the structural enabler for every other O2C productivity commitment in 2027</x:v>
      </x:c>
      <x:c r="U325" s="37" t="str"/>
      <x:c r="V325" s="36" t="str"/>
      <x:c r="W325" s="36" t="str"/>
      <x:c r="X325" s="36"/>
      <x:c r="Y325" s="36" t="str">
        <x:v>NotAssessed</x:v>
      </x:c>
      <x:c r="Z325" s="36" t="str"/>
      <x:c r="AA325" s="36" t="str"/>
      <x:c r="AB325" s="36"/>
      <x:c r="AC325" s="36"/>
      <x:c r="AD325" s="36" t="str"/>
      <x:c r="AE325" s="36" t="str"/>
      <x:c r="AF325" s="36" t="str">
        <x:v>No exact waste match</x:v>
      </x:c>
      <x:c r="AG325" s="36" t="str">
        <x:v>Common pot</x:v>
      </x:c>
      <x:c r="AH325" s="36" t="str">
        <x:v>BU Demand!row 671</x:v>
      </x:c>
      <x:c r="AI325" s="36" t="str">
        <x:v>Blank</x:v>
      </x:c>
      <x:c r="AJ325" s="36" t="str">
        <x:v>Blank</x:v>
      </x:c>
      <x:c r="AK325" s="36" t="str">
        <x:v>Blank</x:v>
      </x:c>
      <x:c r="AL325" s="36" t="n">
        <x:v>0</x:v>
      </x:c>
      <x:c r="AM325" s="36" t="n">
        <x:v>0</x:v>
      </x:c>
      <x:c r="AN325" s="43"/>
      <x:c r="AO325" s="43"/>
      <x:c r="AP325" s="43"/>
    </x:row>
    <x:row r="326" ht="15" hidden="0" customHeight="1">
      <x:c r="A326" s="36" t="str">
        <x:v>Bu-334</x:v>
      </x:c>
      <x:c r="B326" s="37" t="str">
        <x:v>Logistics &amp; freight cost transparency (lane / mode / carrier level)</x:v>
      </x:c>
      <x:c r="C326" s="36" t="str">
        <x:v>BU Led</x:v>
      </x:c>
      <x:c r="D326" s="36" t="str">
        <x:v>Precision Diagnosis - Magnetic Resonance (MR)</x:v>
      </x:c>
      <x:c r="E326" s="36" t="str"/>
      <x:c r="F326" s="36" t="str"/>
      <x:c r="G326" s="36" t="str"/>
      <x:c r="H326" s="36" t="str"/>
      <x:c r="I326" s="36" t="str">
        <x:v>New Initiative</x:v>
      </x:c>
      <x:c r="J326" s="38" t="n">
        <x:v>0.3</x:v>
      </x:c>
      <x:c r="K326" s="38"/>
      <x:c r="L326" s="38"/>
      <x:c r="M326" s="38"/>
      <x:c r="N326" s="38"/>
      <x:c r="O326" s="38" t="n">
        <x:v>2.5</x:v>
      </x:c>
      <x:c r="P326" s="37" t="str">
        <x:v>2500</x:v>
      </x:c>
      <x:c r="Q326" s="37" t="str">
        <x:v>Unclassified</x:v>
      </x:c>
      <x:c r="R326" s="37" t="str"/>
      <x:c r="S326" s="37" t="str"/>
      <x:c r="T326" s="37" t="str">
        <x:v>During 2026 logistics savings could not be traced to lane or carrier level, so closure actions were hard to substantiate and to re-forecast. Cost transparency at that level turns logistics from a reported number into a managed productivity lever</x:v>
      </x:c>
      <x:c r="U326" s="37" t="str"/>
      <x:c r="V326" s="36" t="str"/>
      <x:c r="W326" s="36" t="str"/>
      <x:c r="X326" s="36"/>
      <x:c r="Y326" s="36" t="str">
        <x:v>NotAssessed</x:v>
      </x:c>
      <x:c r="Z326" s="36" t="str"/>
      <x:c r="AA326" s="36" t="str"/>
      <x:c r="AB326" s="36"/>
      <x:c r="AC326" s="36"/>
      <x:c r="AD326" s="36" t="str"/>
      <x:c r="AE326" s="36" t="str"/>
      <x:c r="AF326" s="36" t="str">
        <x:v>No exact waste match</x:v>
      </x:c>
      <x:c r="AG326" s="36" t="str">
        <x:v>Common pot</x:v>
      </x:c>
      <x:c r="AH326" s="36" t="str">
        <x:v>BU Demand!row 672</x:v>
      </x:c>
      <x:c r="AI326" s="36" t="str">
        <x:v>Blank</x:v>
      </x:c>
      <x:c r="AJ326" s="36" t="str">
        <x:v>Blank</x:v>
      </x:c>
      <x:c r="AK326" s="36" t="str">
        <x:v>Blank</x:v>
      </x:c>
      <x:c r="AL326" s="36" t="n">
        <x:v>0</x:v>
      </x:c>
      <x:c r="AM326" s="36" t="n">
        <x:v>0</x:v>
      </x:c>
      <x:c r="AN326" s="43"/>
      <x:c r="AO326" s="43"/>
      <x:c r="AP326" s="43"/>
    </x:row>
    <x:row r="327" ht="15" hidden="0" customHeight="1">
      <x:c r="A327" s="36" t="str">
        <x:v>Bu-335</x:v>
      </x:c>
      <x:c r="B327" s="37" t="str">
        <x:v>MCoS cost transparency at quotation (service material cost visibility)</x:v>
      </x:c>
      <x:c r="C327" s="36" t="str">
        <x:v>BU Led</x:v>
      </x:c>
      <x:c r="D327" s="36" t="str">
        <x:v>Precision Diagnosis - Magnetic Resonance (MR)</x:v>
      </x:c>
      <x:c r="E327" s="36" t="str"/>
      <x:c r="F327" s="36" t="str"/>
      <x:c r="G327" s="36" t="str"/>
      <x:c r="H327" s="36" t="str"/>
      <x:c r="I327" s="36" t="str">
        <x:v>New Initiative</x:v>
      </x:c>
      <x:c r="J327" s="38" t="n">
        <x:v>0.2</x:v>
      </x:c>
      <x:c r="K327" s="38"/>
      <x:c r="L327" s="38"/>
      <x:c r="M327" s="38"/>
      <x:c r="N327" s="38"/>
      <x:c r="O327" s="38" t="n">
        <x:v>1.5</x:v>
      </x:c>
      <x:c r="P327" s="37" t="str">
        <x:v>1500</x:v>
      </x:c>
      <x:c r="Q327" s="37" t="str">
        <x:v>Unclassified</x:v>
      </x:c>
      <x:c r="R327" s="37" t="str"/>
      <x:c r="S327" s="37" t="str"/>
      <x:c r="T327" s="37" t="str">
        <x:v>Quotations are today built on material cost data that is not current, so service deals are priced on an outdated MCoS view. Exposing the correct cost at the moment of request protects margin at the point of quoting and removes downstream rework</x:v>
      </x:c>
      <x:c r="U327" s="37" t="str"/>
      <x:c r="V327" s="36" t="str"/>
      <x:c r="W327" s="36" t="str"/>
      <x:c r="X327" s="36"/>
      <x:c r="Y327" s="36" t="str">
        <x:v>NotAssessed</x:v>
      </x:c>
      <x:c r="Z327" s="36" t="str"/>
      <x:c r="AA327" s="36" t="str"/>
      <x:c r="AB327" s="36"/>
      <x:c r="AC327" s="36"/>
      <x:c r="AD327" s="36" t="str"/>
      <x:c r="AE327" s="36" t="str"/>
      <x:c r="AF327" s="36" t="str">
        <x:v>No exact waste match</x:v>
      </x:c>
      <x:c r="AG327" s="36" t="str">
        <x:v>Common pot</x:v>
      </x:c>
      <x:c r="AH327" s="36" t="str">
        <x:v>BU Demand!row 673</x:v>
      </x:c>
      <x:c r="AI327" s="36" t="str">
        <x:v>Blank</x:v>
      </x:c>
      <x:c r="AJ327" s="36" t="str">
        <x:v>Blank</x:v>
      </x:c>
      <x:c r="AK327" s="36" t="str">
        <x:v>Blank</x:v>
      </x:c>
      <x:c r="AL327" s="36" t="n">
        <x:v>0</x:v>
      </x:c>
      <x:c r="AM327" s="36" t="n">
        <x:v>0</x:v>
      </x:c>
      <x:c r="AN327" s="43"/>
      <x:c r="AO327" s="43"/>
      <x:c r="AP327" s="43"/>
    </x:row>
    <x:row r="328" ht="15" hidden="0" customHeight="1">
      <x:c r="A328" s="36" t="str">
        <x:v>Bu-336</x:v>
      </x:c>
      <x:c r="B328" s="37" t="str">
        <x:v>Packaging cost improvement </x:v>
      </x:c>
      <x:c r="C328" s="36" t="str">
        <x:v>BU Led</x:v>
      </x:c>
      <x:c r="D328" s="36" t="str">
        <x:v>Precision Diagnosis - Magnetic Resonance (MR)</x:v>
      </x:c>
      <x:c r="E328" s="36" t="str"/>
      <x:c r="F328" s="36" t="str"/>
      <x:c r="G328" s="36" t="str"/>
      <x:c r="H328" s="36" t="str"/>
      <x:c r="I328" s="36" t="str">
        <x:v>New Initiative</x:v>
      </x:c>
      <x:c r="J328" s="38" t="n">
        <x:v>0.2</x:v>
      </x:c>
      <x:c r="K328" s="38"/>
      <x:c r="L328" s="38"/>
      <x:c r="M328" s="38"/>
      <x:c r="N328" s="38"/>
      <x:c r="O328" s="38"/>
      <x:c r="P328" s="37" t="str">
        <x:v>NA</x:v>
      </x:c>
      <x:c r="Q328" s="37" t="str">
        <x:v>Unclassified</x:v>
      </x:c>
      <x:c r="R328" s="37" t="str"/>
      <x:c r="S328" s="37" t="str"/>
      <x:c r="T328" s="37" t="str">
        <x:v>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x:v>
      </x:c>
      <x:c r="U328" s="37" t="str"/>
      <x:c r="V328" s="36" t="str"/>
      <x:c r="W328" s="36" t="str"/>
      <x:c r="X328" s="36"/>
      <x:c r="Y328" s="36" t="str">
        <x:v>NotAssessed</x:v>
      </x:c>
      <x:c r="Z328" s="36" t="str"/>
      <x:c r="AA328" s="36" t="str"/>
      <x:c r="AB328" s="36"/>
      <x:c r="AC328" s="36"/>
      <x:c r="AD328" s="36" t="str"/>
      <x:c r="AE328" s="36" t="str"/>
      <x:c r="AF328" s="36" t="str">
        <x:v>No exact waste match</x:v>
      </x:c>
      <x:c r="AG328" s="36" t="str">
        <x:v>Common pot</x:v>
      </x:c>
      <x:c r="AH328" s="36" t="str">
        <x:v>BU Demand!row 674</x:v>
      </x:c>
      <x:c r="AI328" s="36" t="str">
        <x:v>Blank</x:v>
      </x:c>
      <x:c r="AJ328" s="36" t="str">
        <x:v>Blank</x:v>
      </x:c>
      <x:c r="AK328" s="36" t="str">
        <x:v>Blank</x:v>
      </x:c>
      <x:c r="AL328" s="36" t="n">
        <x:v>0</x:v>
      </x:c>
      <x:c r="AM328" s="36" t="n">
        <x:v>0</x:v>
      </x:c>
      <x:c r="AN328" s="43"/>
      <x:c r="AO328" s="43"/>
      <x:c r="AP328" s="43"/>
    </x:row>
    <x:row r="329" ht="15" hidden="0" customHeight="1">
      <x:c r="A329" s="36" t="str">
        <x:v>Bu-337</x:v>
      </x:c>
      <x:c r="B329" s="37" t="str">
        <x:v>PD AI Use Case Factory (Hackathon Continuation Fund)</x:v>
      </x:c>
      <x:c r="C329" s="36" t="str">
        <x:v>BU Led</x:v>
      </x:c>
      <x:c r="D329" s="36" t="str">
        <x:v>Precision Diagnosis - Magnetic Resonance (MR)</x:v>
      </x:c>
      <x:c r="E329" s="36" t="str"/>
      <x:c r="F329" s="36" t="str"/>
      <x:c r="G329" s="36" t="str"/>
      <x:c r="H329" s="36" t="str"/>
      <x:c r="I329" s="36" t="str">
        <x:v>New Initiative</x:v>
      </x:c>
      <x:c r="J329" s="38" t="n">
        <x:v>0.1</x:v>
      </x:c>
      <x:c r="K329" s="38"/>
      <x:c r="L329" s="38"/>
      <x:c r="M329" s="38"/>
      <x:c r="N329" s="38"/>
      <x:c r="O329" s="38" t="n">
        <x:v>0.5</x:v>
      </x:c>
      <x:c r="P329" s="37" t="str">
        <x:v>500</x:v>
      </x:c>
      <x:c r="Q329" s="37" t="str">
        <x:v>Unclassified</x:v>
      </x:c>
      <x:c r="R329" s="37" t="str"/>
      <x:c r="S329" s="37" t="str"/>
      <x:c r="T329" s="37" t="str">
        <x:v>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x:v>
      </x:c>
      <x:c r="U329" s="37" t="str"/>
      <x:c r="V329" s="36" t="str"/>
      <x:c r="W329" s="36" t="str"/>
      <x:c r="X329" s="36"/>
      <x:c r="Y329" s="36" t="str">
        <x:v>NotAssessed</x:v>
      </x:c>
      <x:c r="Z329" s="36" t="str"/>
      <x:c r="AA329" s="36" t="str"/>
      <x:c r="AB329" s="36"/>
      <x:c r="AC329" s="36"/>
      <x:c r="AD329" s="36" t="str"/>
      <x:c r="AE329" s="36" t="str"/>
      <x:c r="AF329" s="36" t="str">
        <x:v>No exact waste match</x:v>
      </x:c>
      <x:c r="AG329" s="36" t="str">
        <x:v>Common pot</x:v>
      </x:c>
      <x:c r="AH329" s="36" t="str">
        <x:v>BU Demand!row 675</x:v>
      </x:c>
      <x:c r="AI329" s="36" t="str">
        <x:v>Blank</x:v>
      </x:c>
      <x:c r="AJ329" s="36" t="str">
        <x:v>Blank</x:v>
      </x:c>
      <x:c r="AK329" s="36" t="str">
        <x:v>Blank</x:v>
      </x:c>
      <x:c r="AL329" s="36" t="n">
        <x:v>0</x:v>
      </x:c>
      <x:c r="AM329" s="36" t="n">
        <x:v>0</x:v>
      </x:c>
      <x:c r="AN329" s="43"/>
      <x:c r="AO329" s="43"/>
      <x:c r="AP329" s="43"/>
    </x:row>
    <x:row r="330" ht="15" hidden="0" customHeight="1">
      <x:c r="A330" s="36" t="str">
        <x:v>EW-01</x:v>
      </x:c>
      <x:c r="B330" s="37" t="str">
        <x:v>RSL Automation</x:v>
      </x:c>
      <x:c r="C330" s="36" t="str">
        <x:v>EW</x:v>
      </x:c>
      <x:c r="D330" s="36" t="str">
        <x:v>SusTaining Engg. Team (STET - ISC)</x:v>
      </x:c>
      <x:c r="E330" s="36" t="str">
        <x:v>New</x:v>
      </x:c>
      <x:c r="F330" s="36" t="str">
        <x:v>AI Enablement</x:v>
      </x:c>
      <x:c r="G330" s="36" t="str">
        <x:v>Process simplification/ efficiency gain</x:v>
      </x:c>
      <x:c r="H330" s="36" t="str">
        <x:v>Must Do</x:v>
      </x:c>
      <x:c r="I330" s="36" t="str">
        <x:v>New Initiative</x:v>
      </x:c>
      <x:c r="J330" s="38" t="n">
        <x:v>0.06</x:v>
      </x:c>
      <x:c r="K330" s="38"/>
      <x:c r="L330" s="38"/>
      <x:c r="M330" s="38"/>
      <x:c r="N330" s="38"/>
      <x:c r="O330" s="38"/>
      <x:c r="P330" s="37" t="str">
        <x:v>300K EUR of cost avoidance; Lead time reduction of 80%</x:v>
      </x:c>
      <x:c r="Q330" s="37" t="str">
        <x:v>Cash savings</x:v>
      </x:c>
      <x:c r="R330" s="37" t="str">
        <x:v>Manual activities supported by workforce</x:v>
      </x:c>
      <x:c r="S330" s="37" t="str">
        <x: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x:v>
      </x:c>
      <x:c r="T330" s="37" t="str">
        <x:v>automate the process and apply GenAI to replicate the required human intelligence</x:v>
      </x:c>
      <x:c r="U330" s="37" t="str"/>
      <x:c r="V330" s="36" t="str"/>
      <x:c r="W330" s="36" t="str"/>
      <x:c r="X330" s="36" t="n">
        <x:v>1.4</x:v>
      </x:c>
      <x:c r="Y330" s="36" t="str">
        <x:v>HEALTHY</x:v>
      </x:c>
      <x:c r="Z330" s="36" t="str"/>
      <x:c r="AA330" s="36" t="str"/>
      <x:c r="AB330" s="36"/>
      <x:c r="AC330" s="36"/>
      <x:c r="AD330" s="36" t="str"/>
      <x:c r="AE330" s="36" t="str">
        <x:v>HEALTHY — Rank in priority matrix</x:v>
      </x:c>
      <x:c r="AF330" s="36" t="str">
        <x:v>Name and organisation matched</x:v>
      </x:c>
      <x:c r="AG330" s="36" t="str">
        <x:v>Common pot</x:v>
      </x:c>
      <x:c r="AH330" s="36" t="str">
        <x:v>EW Demand!row 4</x:v>
      </x:c>
      <x:c r="AI330" s="36" t="str">
        <x:v>AI</x:v>
      </x:c>
      <x:c r="AJ330" s="36" t="str">
        <x:v>ProcSimp</x:v>
      </x:c>
      <x:c r="AK330" s="36" t="str">
        <x:v>Must Do</x:v>
      </x:c>
      <x:c r="AL330" s="36" t="n">
        <x:v>0</x:v>
      </x:c>
      <x:c r="AM330" s="36" t="n">
        <x:v>0</x:v>
      </x:c>
      <x:c r="AN330" s="43"/>
      <x:c r="AO330" s="43"/>
      <x:c r="AP330" s="43"/>
    </x:row>
    <x:row r="331" ht="15" hidden="0" customHeight="1">
      <x:c r="A331" s="36" t="str">
        <x:v>EW-02</x:v>
      </x:c>
      <x:c r="B331" s="37" t="str">
        <x:v>D-Lit Automation</x:v>
      </x:c>
      <x:c r="C331" s="36" t="str">
        <x:v>EW</x:v>
      </x:c>
      <x:c r="D331" s="36" t="str">
        <x:v>SusTaining Engg. Team (STET - ISC)</x:v>
      </x:c>
      <x:c r="E331" s="36" t="str">
        <x:v>New</x:v>
      </x:c>
      <x:c r="F331" s="36" t="str">
        <x:v>AI Enablement</x:v>
      </x:c>
      <x:c r="G331" s="36" t="str">
        <x:v>Process simplification/ efficiency gain</x:v>
      </x:c>
      <x:c r="H331" s="36" t="str">
        <x:v>Must Have</x:v>
      </x:c>
      <x:c r="I331" s="36" t="str">
        <x:v>New Initiative</x:v>
      </x:c>
      <x:c r="J331" s="38" t="n">
        <x:v>0.04</x:v>
      </x:c>
      <x:c r="K331" s="38"/>
      <x:c r="L331" s="38"/>
      <x:c r="M331" s="38"/>
      <x:c r="N331" s="38"/>
      <x:c r="O331" s="38"/>
      <x:c r="P331" s="37" t="str"/>
      <x:c r="Q331" s="37" t="str">
        <x:v>Cash savings</x:v>
      </x:c>
      <x:c r="R331" s="37" t="str">
        <x:v>ensure controlled, traceable compliance reporting</x:v>
      </x:c>
      <x:c r="S331" s="37" t="str">
        <x:v>D-Lit Automation tool, which consolidates data from systems such as Windchill, SAP, and SPS Dashboard to answer key engineering and business queries. To support compliance and Global Trade requirements, the tool needs access to approved DMR data.</x:v>
      </x:c>
      <x:c r="T331" s="37" t="str">
        <x: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x:v>
      </x:c>
      <x:c r="U331" s="37" t="str"/>
      <x:c r="V331" s="36" t="str"/>
      <x:c r="W331" s="36" t="str"/>
      <x:c r="X331" s="36" t="n">
        <x:v>1.05</x:v>
      </x:c>
      <x:c r="Y331" s="36" t="str">
        <x:v>HEALTHY</x:v>
      </x:c>
      <x:c r="Z331" s="36" t="str"/>
      <x:c r="AA331" s="36" t="str"/>
      <x:c r="AB331" s="36"/>
      <x:c r="AC331" s="36"/>
      <x:c r="AD331" s="36" t="str"/>
      <x:c r="AE331" s="36" t="str">
        <x:v>HEALTHY — Rank in priority matrix</x:v>
      </x:c>
      <x:c r="AF331" s="36" t="str">
        <x:v>Name and organisation matched</x:v>
      </x:c>
      <x:c r="AG331" s="36" t="str">
        <x:v>Common pot</x:v>
      </x:c>
      <x:c r="AH331" s="36" t="str">
        <x:v>EW Demand!row 5</x:v>
      </x:c>
      <x:c r="AI331" s="36" t="str">
        <x:v>AI</x:v>
      </x:c>
      <x:c r="AJ331" s="36" t="str">
        <x:v>ProcSimp</x:v>
      </x:c>
      <x:c r="AK331" s="36" t="str">
        <x:v>Must Have</x:v>
      </x:c>
      <x:c r="AL331" s="36" t="n">
        <x:v>0</x:v>
      </x:c>
      <x:c r="AM331" s="36" t="n">
        <x:v>0</x:v>
      </x:c>
      <x:c r="AN331" s="43"/>
      <x:c r="AO331" s="43"/>
      <x:c r="AP331" s="43"/>
    </x:row>
    <x:row r="332" ht="15" hidden="0" customHeight="1">
      <x:c r="A332" s="36" t="str">
        <x:v>EW-03</x:v>
      </x:c>
      <x:c r="B332" s="37" t="str">
        <x:v>LCA Automation</x:v>
      </x:c>
      <x:c r="C332" s="36" t="str">
        <x:v>EW</x:v>
      </x:c>
      <x:c r="D332" s="36" t="str">
        <x:v>SusTaining Engg. Team (STET - ISC)</x:v>
      </x:c>
      <x:c r="E332" s="36" t="str">
        <x:v>New</x:v>
      </x:c>
      <x:c r="F332" s="36" t="str">
        <x:v>AI Enablement</x:v>
      </x:c>
      <x:c r="G332" s="36" t="str">
        <x:v>Process simplification/ efficiency gain</x:v>
      </x:c>
      <x:c r="H332" s="36" t="str">
        <x:v>Must Do</x:v>
      </x:c>
      <x:c r="I332" s="36" t="str">
        <x:v>New Initiative</x:v>
      </x:c>
      <x:c r="J332" s="38" t="n">
        <x:v>0.02</x:v>
      </x:c>
      <x:c r="K332" s="38"/>
      <x:c r="L332" s="38"/>
      <x:c r="M332" s="38"/>
      <x:c r="N332" s="38"/>
      <x:c r="O332" s="38"/>
      <x:c r="P332" s="37" t="str"/>
      <x:c r="Q332" s="37" t="str">
        <x:v>Cash savings</x:v>
      </x:c>
      <x:c r="R332" s="37" t="str">
        <x:v>Manual activities supported by workforce</x:v>
      </x:c>
      <x:c r="S332" s="37" t="str"/>
      <x:c r="T332" s="37" t="str"/>
      <x:c r="U332" s="37" t="str"/>
      <x:c r="V332" s="36" t="str"/>
      <x:c r="W332" s="36" t="str"/>
      <x:c r="X332" s="36" t="n">
        <x:v>1.25</x:v>
      </x:c>
      <x:c r="Y332" s="36" t="str">
        <x:v>HEALTHY</x:v>
      </x:c>
      <x:c r="Z332" s="36" t="str"/>
      <x:c r="AA332" s="36" t="str"/>
      <x:c r="AB332" s="36"/>
      <x:c r="AC332" s="36"/>
      <x:c r="AD332" s="36" t="str"/>
      <x:c r="AE332" s="36" t="str">
        <x:v>HEALTHY — Rank in priority matrix</x:v>
      </x:c>
      <x:c r="AF332" s="36" t="str">
        <x:v>Name and organisation matched</x:v>
      </x:c>
      <x:c r="AG332" s="36" t="str">
        <x:v>Common pot</x:v>
      </x:c>
      <x:c r="AH332" s="36" t="str">
        <x:v>EW Demand!row 10</x:v>
      </x:c>
      <x:c r="AI332" s="36" t="str">
        <x:v>AI</x:v>
      </x:c>
      <x:c r="AJ332" s="36" t="str">
        <x:v>ProcSimp</x:v>
      </x:c>
      <x:c r="AK332" s="36" t="str">
        <x:v>Must Do</x:v>
      </x:c>
      <x:c r="AL332" s="36" t="n">
        <x:v>0</x:v>
      </x:c>
      <x:c r="AM332" s="36" t="n">
        <x:v>0</x:v>
      </x:c>
      <x:c r="AN332" s="43"/>
      <x:c r="AO332" s="43"/>
      <x:c r="AP332" s="43"/>
    </x:row>
    <x:row r="333" ht="15" hidden="0" customHeight="1">
      <x:c r="A333" s="36" t="str">
        <x:v>EW-04</x:v>
      </x:c>
      <x:c r="B333" s="37" t="str">
        <x:v>Healthcare Compliance Project Engage </x:v>
      </x:c>
      <x:c r="C333" s="36" t="str">
        <x:v>EW</x:v>
      </x:c>
      <x:c r="D333" s="36" t="str">
        <x:v>Legal​</x:v>
      </x:c>
      <x:c r="E333" s="36" t="str">
        <x:v>1006377</x:v>
      </x:c>
      <x:c r="F333" s="36" t="str">
        <x:v>Legal Fiscal, Regulatory &amp; Compliancy</x:v>
      </x:c>
      <x:c r="G333" s="36" t="str">
        <x:v>Compliance/Keeping the lights on</x:v>
      </x:c>
      <x:c r="H333" s="36" t="str">
        <x:v>Must Do</x:v>
      </x:c>
      <x:c r="I333" s="36" t="str">
        <x:v>Carry Over</x:v>
      </x:c>
      <x:c r="J333" s="38" t="n">
        <x:v>2.2</x:v>
      </x:c>
      <x:c r="K333" s="38"/>
      <x:c r="L333" s="38"/>
      <x:c r="M333" s="38"/>
      <x:c r="N333" s="38"/>
      <x:c r="O333" s="38" t="n">
        <x:v>105</x:v>
      </x:c>
      <x:c r="P333" s="37" t="str">
        <x:v>105000</x:v>
      </x:c>
      <x:c r="Q333" s="37" t="str">
        <x:v>Risk exposure</x:v>
      </x:c>
      <x:c r="R333" s="37" t="str">
        <x:v>1) Potential fines from Regulators for potential violations in ABAC, EC&amp;S related regulations</x:v>
      </x:c>
      <x:c r="S333" s="37" t="str">
        <x:v>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
This results in a rising importance of proper policies, processes, and documentation of all interactions demonstrating that payments are made for bona fide purposes and representing Fair Market Value in order to rebut presumption of sham consultancy. </x:v>
      </x:c>
      <x:c r="T333" s="37" t="str">
        <x: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x:v>
      </x:c>
      <x:c r="U333" s="37" t="str">
        <x:v>None</x:v>
      </x:c>
      <x:c r="V333" s="36" t="str">
        <x:v>2027</x:v>
      </x:c>
      <x:c r="W333" s="36" t="str">
        <x:v>ABAC, HCC</x:v>
      </x:c>
      <x:c r="X333" s="36" t="n">
        <x:v>1.1</x:v>
      </x:c>
      <x:c r="Y333" s="36" t="str">
        <x:v>HEALTHY</x:v>
      </x:c>
      <x:c r="Z333" s="36" t="str">
        <x:v>YES</x:v>
      </x:c>
      <x:c r="AA333" s="36" t="str">
        <x:v>4 — Lean — scope is limited to compliance, with small, justified allowances.</x:v>
      </x:c>
      <x:c r="AB333" s="36" t="n">
        <x:v>5</x:v>
      </x:c>
      <x:c r="AC333" s="36" t="n">
        <x:v>25</x:v>
      </x:c>
      <x:c r="AD333" s="36" t="str">
        <x:v>P1 — Immediate</x:v>
      </x:c>
      <x:c r="AE333" s="36" t="str">
        <x:v>HEALTHY / MUST-DO — P1 — Immediate</x:v>
      </x:c>
      <x:c r="AF333" s="36" t="str">
        <x:v>Name and organisation matched</x:v>
      </x:c>
      <x:c r="AG333" s="36" t="str">
        <x:v>LFR validated candidate</x:v>
      </x:c>
      <x:c r="AH333" s="36" t="str">
        <x:v>EW Demand!row 11</x:v>
      </x:c>
      <x:c r="AI333" s="36" t="str">
        <x:v>LFR</x:v>
      </x:c>
      <x:c r="AJ333" s="36" t="str">
        <x:v>Compliance</x:v>
      </x:c>
      <x:c r="AK333" s="36" t="str">
        <x:v>Must Do</x:v>
      </x:c>
      <x:c r="AL333" s="36" t="n">
        <x:v>0</x:v>
      </x:c>
      <x:c r="AM333" s="36" t="n">
        <x:v>0</x:v>
      </x:c>
      <x:c r="AN333" s="43"/>
      <x:c r="AO333" s="43"/>
      <x:c r="AP333" s="43"/>
    </x:row>
    <x:row r="334" ht="15" hidden="0" customHeight="1">
      <x:c r="A334" s="36" t="str">
        <x:v>EW-05</x:v>
      </x:c>
      <x:c r="B334" s="37" t="str">
        <x:v>Boardroom Intelligence</x:v>
      </x:c>
      <x:c r="C334" s="36" t="str">
        <x:v>EW</x:v>
      </x:c>
      <x:c r="D334" s="36" t="str">
        <x:v>Group Security​</x:v>
      </x:c>
      <x:c r="E334" s="36" t="str">
        <x:v>1006377</x:v>
      </x:c>
      <x:c r="F334" s="36" t="str">
        <x:v>New Technology</x:v>
      </x:c>
      <x:c r="G334" s="36" t="str">
        <x:v>Process simplification/ efficiency gain</x:v>
      </x:c>
      <x:c r="H334" s="36" t="str">
        <x:v>Must Have</x:v>
      </x:c>
      <x:c r="I334" s="36" t="str">
        <x:v>Carry Over</x:v>
      </x:c>
      <x:c r="J334" s="38" t="n">
        <x:v>0.15</x:v>
      </x:c>
      <x:c r="K334" s="38"/>
      <x:c r="L334" s="38"/>
      <x:c r="M334" s="38"/>
      <x:c r="N334" s="38"/>
      <x:c r="O334" s="38"/>
      <x:c r="P334" s="37" t="str">
        <x:v>Soft Benefit</x:v>
      </x:c>
      <x:c r="Q334" s="37" t="str">
        <x:v>Cash savings</x:v>
      </x:c>
      <x:c r="R334" s="37" t="str">
        <x:v>ExCo members would have to continue to use a legacy solution for collaborations (like sharing confidential files etc)</x:v>
      </x:c>
      <x:c r="S334" s="37" t="str">
        <x:v>Currently ExCo and Supervisory Board uses SaaS called ""Brainloop"" for secured storing and sharing of meeting agendas, documents, minutes, decisions made etc.
This solution is in use since 2010 and has remained stagnant while Board room needs have increased inline with modern needs.</x:v>
      </x:c>
      <x:c r="T334" s="37" t="str">
        <x: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x:v>
      </x:c>
      <x:c r="U334" s="37" t="str">
        <x:v>None</x:v>
      </x:c>
      <x:c r="V334" s="36" t="str"/>
      <x:c r="W334" s="36" t="str"/>
      <x:c r="X334" s="36" t="n">
        <x:v>1.35</x:v>
      </x:c>
      <x:c r="Y334" s="36" t="str">
        <x:v>HEALTHY</x:v>
      </x:c>
      <x:c r="Z334" s="36" t="str"/>
      <x:c r="AA334" s="36" t="str"/>
      <x:c r="AB334" s="36"/>
      <x:c r="AC334" s="36"/>
      <x:c r="AD334" s="36" t="str"/>
      <x:c r="AE334" s="36" t="str">
        <x:v>HEALTHY — Rank in priority matrix</x:v>
      </x:c>
      <x:c r="AF334" s="36" t="str">
        <x:v>Name and organisation matched</x:v>
      </x:c>
      <x:c r="AG334" s="36" t="str">
        <x:v>Common pot</x:v>
      </x:c>
      <x:c r="AH334" s="36" t="str">
        <x:v>EW Demand!row 15</x:v>
      </x:c>
      <x:c r="AI334" s="36" t="str">
        <x:v>NewTech</x:v>
      </x:c>
      <x:c r="AJ334" s="36" t="str">
        <x:v>ProcSimp</x:v>
      </x:c>
      <x:c r="AK334" s="36" t="str">
        <x:v>Must Have</x:v>
      </x:c>
      <x:c r="AL334" s="36" t="n">
        <x:v>0</x:v>
      </x:c>
      <x:c r="AM334" s="36" t="n">
        <x:v>0</x:v>
      </x:c>
      <x:c r="AN334" s="43"/>
      <x:c r="AO334" s="43"/>
      <x:c r="AP334" s="43"/>
    </x:row>
    <x:row r="335" ht="15" hidden="0" customHeight="1">
      <x:c r="A335" s="36" t="str">
        <x:v>EW-06</x:v>
      </x:c>
      <x:c r="B335" s="37" t="str">
        <x:v>People Operations: service orchestration</x:v>
      </x:c>
      <x:c r="C335" s="36" t="str">
        <x:v>EW</x:v>
      </x:c>
      <x:c r="D335" s="36" t="str">
        <x:v>People function​</x:v>
      </x:c>
      <x:c r="E335" s="36" t="str">
        <x:v>1006522</x:v>
      </x:c>
      <x:c r="F335" s="36" t="str">
        <x:v>AI Enablement</x:v>
      </x:c>
      <x:c r="G335" s="36" t="str">
        <x:v>Productivity savings</x:v>
      </x:c>
      <x:c r="H335" s="36" t="str">
        <x:v>Must Do</x:v>
      </x:c>
      <x:c r="I335" s="36" t="str">
        <x:v>Carry Over</x:v>
      </x:c>
      <x:c r="J335" s="38" t="n">
        <x:v>0.5</x:v>
      </x:c>
      <x:c r="K335" s="38"/>
      <x:c r="L335" s="38"/>
      <x:c r="M335" s="38"/>
      <x:c r="N335" s="38"/>
      <x:c r="O335" s="38" t="n">
        <x:v>0.7</x:v>
      </x:c>
      <x:c r="P335" s="37" t="str">
        <x:v>700</x:v>
      </x:c>
      <x:c r="Q335" s="37" t="str">
        <x:v>Cash savings</x:v>
      </x:c>
      <x:c r="R335" s="37" t="str">
        <x:v>With a signed 3 year contract worth 350K annually, and foregone Business case of 700K, the overall impact is 1000K annually</x:v>
      </x:c>
      <x:c r="S335" s="37" t="str"/>
      <x:c r="T335" s="37" t="str"/>
      <x:c r="U335" s="37" t="str">
        <x:v>None</x:v>
      </x:c>
      <x:c r="V335" s="36" t="str"/>
      <x:c r="W335" s="36" t="str"/>
      <x:c r="X335" s="36" t="n">
        <x:v>1</x:v>
      </x:c>
      <x:c r="Y335" s="36" t="str">
        <x:v>HEALTHY</x:v>
      </x:c>
      <x:c r="Z335" s="36" t="str"/>
      <x:c r="AA335" s="36" t="str"/>
      <x:c r="AB335" s="36"/>
      <x:c r="AC335" s="36"/>
      <x:c r="AD335" s="36" t="str"/>
      <x:c r="AE335" s="36" t="str">
        <x:v>HEALTHY — Rank in priority matrix</x:v>
      </x:c>
      <x:c r="AF335" s="36" t="str">
        <x:v>Name and organisation matched</x:v>
      </x:c>
      <x:c r="AG335" s="36" t="str">
        <x:v>Common pot</x:v>
      </x:c>
      <x:c r="AH335" s="36" t="str">
        <x:v>EW Demand!row 17</x:v>
      </x:c>
      <x:c r="AI335" s="36" t="str">
        <x:v>AI</x:v>
      </x:c>
      <x:c r="AJ335" s="36" t="str">
        <x:v>Productivity</x:v>
      </x:c>
      <x:c r="AK335" s="36" t="str">
        <x:v>Must Do</x:v>
      </x:c>
      <x:c r="AL335" s="36" t="n">
        <x:v>0</x:v>
      </x:c>
      <x:c r="AM335" s="36" t="n">
        <x:v>0</x:v>
      </x:c>
      <x:c r="AN335" s="43"/>
      <x:c r="AO335" s="43"/>
      <x:c r="AP335" s="43"/>
    </x:row>
    <x:row r="336" ht="15" hidden="0" customHeight="1">
      <x:c r="A336" s="36" t="str">
        <x:v>EW-07</x:v>
      </x:c>
      <x:c r="B336" s="37" t="str">
        <x:v>CCB Commercial IT</x:v>
      </x:c>
      <x:c r="C336" s="36" t="str">
        <x:v>EW</x:v>
      </x:c>
      <x:c r="D336" s="36" t="str">
        <x:v>Information Technology ​</x:v>
      </x:c>
      <x:c r="E336" s="36" t="str">
        <x:v>1007031</x:v>
      </x:c>
      <x:c r="F336" s="36" t="str">
        <x:v>Continuous Improvement</x:v>
      </x:c>
      <x:c r="G336" s="36" t="str">
        <x:v>Process simplification/ efficiency gain</x:v>
      </x:c>
      <x:c r="H336" s="36" t="str">
        <x:v>Must Do</x:v>
      </x:c>
      <x:c r="I336" s="36" t="str">
        <x:v>Change &amp; Sustain</x:v>
      </x:c>
      <x:c r="J336" s="38" t="n">
        <x:v>4.985</x:v>
      </x:c>
      <x:c r="K336" s="38"/>
      <x:c r="L336" s="38"/>
      <x:c r="M336" s="38"/>
      <x:c r="N336" s="38"/>
      <x:c r="O336" s="38"/>
      <x:c r="P336" s="37" t="str">
        <x:v>NA</x:v>
      </x:c>
      <x:c r="Q336" s="37" t="str">
        <x:v>Cash savings</x:v>
      </x:c>
      <x:c r="R336" s="37" t="str">
        <x:v>Operational risk if regular enhancements and continuous improvements are not prioritized</x:v>
      </x:c>
      <x:c r="S336" s="37" t="str"/>
      <x:c r="T336" s="37" t="str"/>
      <x:c r="U336" s="37" t="str"/>
      <x:c r="V336" s="36" t="str"/>
      <x:c r="W336" s="36" t="str"/>
      <x:c r="X336" s="36"/>
      <x:c r="Y336" s="36" t="str">
        <x:v>NotAssessed</x:v>
      </x:c>
      <x:c r="Z336" s="36" t="str"/>
      <x:c r="AA336" s="36" t="str"/>
      <x:c r="AB336" s="36"/>
      <x:c r="AC336" s="36"/>
      <x:c r="AD336" s="36" t="str"/>
      <x:c r="AE336" s="36" t="str"/>
      <x:c r="AF336" s="36" t="str">
        <x:v>No exact waste match</x:v>
      </x:c>
      <x:c r="AG336" s="36" t="str">
        <x:v>Change and Sustain candidate</x:v>
      </x:c>
      <x:c r="AH336" s="36" t="str">
        <x:v>EW Demand!row 18</x:v>
      </x:c>
      <x:c r="AI336" s="36" t="str">
        <x:v>CI</x:v>
      </x:c>
      <x:c r="AJ336" s="36" t="str">
        <x:v>ProcSimp</x:v>
      </x:c>
      <x:c r="AK336" s="36" t="str">
        <x:v>Must Do</x:v>
      </x:c>
      <x:c r="AL336" s="36" t="n">
        <x:v>0</x:v>
      </x:c>
      <x:c r="AM336" s="36" t="n">
        <x:v>0</x:v>
      </x:c>
      <x:c r="AN336" s="43"/>
      <x:c r="AO336" s="43"/>
      <x:c r="AP336" s="43"/>
    </x:row>
    <x:row r="337" ht="15" hidden="0" customHeight="1">
      <x:c r="A337" s="36" t="str">
        <x:v>EW-08</x:v>
      </x:c>
      <x:c r="B337" s="37" t="str">
        <x:v>Mammoth</x:v>
      </x:c>
      <x:c r="C337" s="36" t="str">
        <x:v>EW</x:v>
      </x:c>
      <x:c r="D337" s="36" t="str">
        <x:v>Patient Safety &amp; Quality</x:v>
      </x:c>
      <x:c r="E337" s="36" t="str">
        <x:v>1004155</x:v>
      </x:c>
      <x:c r="F337" s="36" t="str">
        <x:v>New Technology</x:v>
      </x:c>
      <x:c r="G337" s="36" t="str">
        <x:v>Process simplification/ efficiency gain</x:v>
      </x:c>
      <x:c r="H337" s="36" t="str">
        <x:v>Must Do</x:v>
      </x:c>
      <x:c r="I337" s="36" t="str">
        <x:v>Carry Over</x:v>
      </x:c>
      <x:c r="J337" s="38" t="n">
        <x:v>0.65</x:v>
      </x:c>
      <x:c r="K337" s="38"/>
      <x:c r="L337" s="38"/>
      <x:c r="M337" s="38"/>
      <x:c r="N337" s="38"/>
      <x:c r="O337" s="38"/>
      <x:c r="P337" s="37" t="str">
        <x:v>1.2M current Investment write-off</x:v>
      </x:c>
      <x:c r="Q337" s="37" t="str">
        <x:v>Cash savings</x:v>
      </x:c>
      <x:c r="R337" s="37" t="str">
        <x:v>Lose 1.2M write-off + 1.6M/year</x:v>
      </x:c>
      <x:c r="S337" s="37" t="str">
        <x:v>Transformation of Quality Compliance Learning organization and harmonization of tooling from TEDS to Cornerstone</x:v>
      </x:c>
      <x:c r="T337" s="37" t="str">
        <x:v>All QMS learning from TEDS to Cornerstone</x:v>
      </x:c>
      <x:c r="U337" s="37" t="str">
        <x:v>None</x:v>
      </x:c>
      <x:c r="V337" s="36" t="str"/>
      <x:c r="W337" s="36" t="str"/>
      <x:c r="X337" s="36"/>
      <x:c r="Y337" s="36" t="str">
        <x:v>NotAssessed</x:v>
      </x:c>
      <x:c r="Z337" s="36" t="str"/>
      <x:c r="AA337" s="36" t="str"/>
      <x:c r="AB337" s="36"/>
      <x:c r="AC337" s="36"/>
      <x:c r="AD337" s="36" t="str"/>
      <x:c r="AE337" s="36" t="str"/>
      <x:c r="AF337" s="36" t="str">
        <x:v>Organisation differs or ambiguous</x:v>
      </x:c>
      <x:c r="AG337" s="36" t="str">
        <x:v>Common pot</x:v>
      </x:c>
      <x:c r="AH337" s="36" t="str">
        <x:v>EW Demand!row 19</x:v>
      </x:c>
      <x:c r="AI337" s="36" t="str">
        <x:v>NewTech</x:v>
      </x:c>
      <x:c r="AJ337" s="36" t="str">
        <x:v>ProcSimp</x:v>
      </x:c>
      <x:c r="AK337" s="36" t="str">
        <x:v>Must Do</x:v>
      </x:c>
      <x:c r="AL337" s="36" t="n">
        <x:v>0</x:v>
      </x:c>
      <x:c r="AM337" s="36" t="n">
        <x:v>0</x:v>
      </x:c>
      <x:c r="AN337" s="43"/>
      <x:c r="AO337" s="43"/>
      <x:c r="AP337" s="43"/>
    </x:row>
    <x:row r="338" ht="15" hidden="0" customHeight="1">
      <x:c r="A338" s="36" t="str">
        <x:v>EW-09</x:v>
      </x:c>
      <x:c r="B338" s="37" t="str">
        <x:v>Kairos</x:v>
      </x:c>
      <x:c r="C338" s="36" t="str">
        <x:v>EW</x:v>
      </x:c>
      <x:c r="D338" s="36" t="str">
        <x:v>Patient Safety &amp; Quality</x:v>
      </x:c>
      <x:c r="E338" s="36" t="str">
        <x:v>1006302</x:v>
      </x:c>
      <x:c r="F338" s="36" t="str">
        <x:v>AI Enablement</x:v>
      </x:c>
      <x:c r="G338" s="36" t="str">
        <x:v>Productivity savings</x:v>
      </x:c>
      <x:c r="H338" s="36" t="str">
        <x:v>Must Do</x:v>
      </x:c>
      <x:c r="I338" s="36" t="str">
        <x:v>Carry Over</x:v>
      </x:c>
      <x:c r="J338" s="38" t="n">
        <x:v>0.25</x:v>
      </x:c>
      <x:c r="K338" s="38"/>
      <x:c r="L338" s="38"/>
      <x:c r="M338" s="38"/>
      <x:c r="N338" s="38"/>
      <x:c r="O338" s="38"/>
      <x:c r="P338" s="37" t="str">
        <x:v>TBD</x:v>
      </x:c>
      <x:c r="Q338" s="37" t="str">
        <x:v>Cash savings</x:v>
      </x:c>
      <x:c r="R338" s="37" t="str">
        <x:v>TBD</x:v>
      </x:c>
      <x:c r="S338" s="37" t="str">
        <x:v>Expand the capabilities of Kairos to enable PSQ and broader in self-enablement in AI use-cases around agentic quality activities (quality reviews, doc generation, etc)</x:v>
      </x:c>
      <x:c r="T338" s="37" t="str">
        <x:v>Platform enhancements</x:v>
      </x:c>
      <x:c r="U338" s="37" t="str">
        <x:v>None</x:v>
      </x:c>
      <x:c r="V338" s="36" t="str"/>
      <x:c r="W338" s="36" t="str"/>
      <x:c r="X338" s="36"/>
      <x:c r="Y338" s="36" t="str">
        <x:v>NotAssessed</x:v>
      </x:c>
      <x:c r="Z338" s="36" t="str"/>
      <x:c r="AA338" s="36" t="str"/>
      <x:c r="AB338" s="36"/>
      <x:c r="AC338" s="36"/>
      <x:c r="AD338" s="36" t="str"/>
      <x:c r="AE338" s="36" t="str"/>
      <x:c r="AF338" s="36" t="str">
        <x:v>Organisation differs or ambiguous</x:v>
      </x:c>
      <x:c r="AG338" s="36" t="str">
        <x:v>Common pot</x:v>
      </x:c>
      <x:c r="AH338" s="36" t="str">
        <x:v>EW Demand!row 20</x:v>
      </x:c>
      <x:c r="AI338" s="36" t="str">
        <x:v>AI</x:v>
      </x:c>
      <x:c r="AJ338" s="36" t="str">
        <x:v>Productivity</x:v>
      </x:c>
      <x:c r="AK338" s="36" t="str">
        <x:v>Must Do</x:v>
      </x:c>
      <x:c r="AL338" s="36" t="n">
        <x:v>0</x:v>
      </x:c>
      <x:c r="AM338" s="36" t="n">
        <x:v>0</x:v>
      </x:c>
      <x:c r="AN338" s="43"/>
      <x:c r="AO338" s="43"/>
      <x:c r="AP338" s="43"/>
    </x:row>
    <x:row r="339" ht="15" hidden="0" customHeight="1">
      <x:c r="A339" s="36" t="str">
        <x:v>EW-10</x:v>
      </x:c>
      <x:c r="B339" s="37" t="str">
        <x:v>CCB - Hyperautomation</x:v>
      </x:c>
      <x:c r="C339" s="36" t="str">
        <x:v>EW</x:v>
      </x:c>
      <x:c r="D339" s="36" t="str">
        <x:v>Information Technology ​</x:v>
      </x:c>
      <x:c r="E339" s="36" t="str">
        <x:v>1006374</x:v>
      </x:c>
      <x:c r="F339" s="36" t="str">
        <x:v>AI Enablement</x:v>
      </x:c>
      <x:c r="G339" s="36" t="str">
        <x:v>Compliance/Keeping the lights on</x:v>
      </x:c>
      <x:c r="H339" s="36" t="str">
        <x:v>Must Do</x:v>
      </x:c>
      <x:c r="I339" s="36" t="str">
        <x:v>Change &amp; Sustain</x:v>
      </x:c>
      <x:c r="J339" s="38" t="n">
        <x:v>1.052</x:v>
      </x:c>
      <x:c r="K339" s="38"/>
      <x:c r="L339" s="38"/>
      <x:c r="M339" s="38"/>
      <x:c r="N339" s="38"/>
      <x:c r="O339" s="38"/>
      <x:c r="P339" s="37" t="str">
        <x:v>NA</x:v>
      </x:c>
      <x:c r="Q339" s="37" t="str">
        <x:v>Risk exposure</x:v>
      </x:c>
      <x:c r="R339" s="37" t="str">
        <x:v>Operational &amp; security risk if regular enhancements and continuous improvements are not prioritized</x:v>
      </x:c>
      <x:c r="S339" s="37" t="str">
        <x:v>LFRs and change requests </x:v>
      </x:c>
      <x:c r="T339" s="37" t="str">
        <x:v>Deliver changes to existimg Production solutions to address LFRs and changes</x:v>
      </x:c>
      <x:c r="U339" s="37" t="str">
        <x:v>None</x:v>
      </x:c>
      <x:c r="V339" s="36" t="str">
        <x:v>2027</x:v>
      </x:c>
      <x:c r="W339" s="36" t="str">
        <x:v>PSQ, SoX</x:v>
      </x:c>
      <x:c r="X339" s="36"/>
      <x:c r="Y339" s="36" t="str">
        <x:v>NotAssessed</x:v>
      </x:c>
      <x:c r="Z339" s="36" t="str"/>
      <x:c r="AA339" s="36" t="str"/>
      <x:c r="AB339" s="36"/>
      <x:c r="AC339" s="36"/>
      <x:c r="AD339" s="36" t="str"/>
      <x:c r="AE339" s="36" t="str"/>
      <x:c r="AF339" s="36" t="str">
        <x:v>No exact waste match</x:v>
      </x:c>
      <x:c r="AG339" s="36" t="str">
        <x:v>Change and Sustain candidate</x:v>
      </x:c>
      <x:c r="AH339" s="36" t="str">
        <x:v>EW Demand!row 21</x:v>
      </x:c>
      <x:c r="AI339" s="36" t="str">
        <x:v>AI</x:v>
      </x:c>
      <x:c r="AJ339" s="36" t="str">
        <x:v>Compliance</x:v>
      </x:c>
      <x:c r="AK339" s="36" t="str">
        <x:v>Must Do</x:v>
      </x:c>
      <x:c r="AL339" s="36" t="n">
        <x:v>0</x:v>
      </x:c>
      <x:c r="AM339" s="36" t="n">
        <x:v>0</x:v>
      </x:c>
      <x:c r="AN339" s="43"/>
      <x:c r="AO339" s="43"/>
      <x:c r="AP339" s="43"/>
    </x:row>
    <x:row r="340" ht="15" hidden="0" customHeight="1">
      <x:c r="A340" s="36" t="str">
        <x:v>EW-11</x:v>
      </x:c>
      <x:c r="B340" s="37" t="str">
        <x:v>CCB - Group Function</x:v>
      </x:c>
      <x:c r="C340" s="36" t="str">
        <x:v>EW</x:v>
      </x:c>
      <x:c r="D340" s="36" t="str">
        <x:v>Information Technology ​</x:v>
      </x:c>
      <x:c r="E340" s="36" t="str">
        <x:v>1006377</x:v>
      </x:c>
      <x:c r="F340" s="36" t="str">
        <x:v>Legal Fiscal, Regulatory &amp; Compliancy</x:v>
      </x:c>
      <x:c r="G340" s="36" t="str">
        <x:v>Compliance/Keeping the lights on</x:v>
      </x:c>
      <x:c r="H340" s="36" t="str">
        <x:v>Must Do</x:v>
      </x:c>
      <x:c r="I340" s="36" t="str">
        <x:v>Change &amp; Sustain</x:v>
      </x:c>
      <x:c r="J340" s="38" t="n">
        <x:v>7.63</x:v>
      </x:c>
      <x:c r="K340" s="38"/>
      <x:c r="L340" s="38"/>
      <x:c r="M340" s="38"/>
      <x:c r="N340" s="38"/>
      <x:c r="O340" s="38"/>
      <x:c r="P340" s="37" t="str">
        <x:v>NA</x:v>
      </x:c>
      <x:c r="Q340" s="37" t="str">
        <x:v>Risk exposure</x:v>
      </x:c>
      <x:c r="R340" s="37" t="str">
        <x:v>License to operate and risk to operations; potential penalties and audit findings. Includes Legal, Risk, Compliance/Audit, Sustainability, Health&amp;Safety, Q&amp;R, People functions</x:v>
      </x:c>
      <x:c r="S340" s="37" t="str">
        <x:v>LFRs and change requests </x:v>
      </x:c>
      <x:c r="T340" s="37" t="str">
        <x:v>Deliver changes to existimg Production solutions to address LFRs and changes</x:v>
      </x:c>
      <x:c r="U340" s="37" t="str">
        <x:v>None</x:v>
      </x:c>
      <x:c r="V340" s="36" t="str">
        <x:v>2027</x:v>
      </x:c>
      <x:c r="W340" s="36" t="str">
        <x:v>Risk &amp; Compliance EU directives</x:v>
      </x:c>
      <x:c r="X340" s="36"/>
      <x:c r="Y340" s="36" t="str">
        <x:v>NotAssessed</x:v>
      </x:c>
      <x:c r="Z340" s="36" t="str"/>
      <x:c r="AA340" s="36" t="str"/>
      <x:c r="AB340" s="36"/>
      <x:c r="AC340" s="36"/>
      <x:c r="AD340" s="36" t="str"/>
      <x:c r="AE340" s="36" t="str"/>
      <x:c r="AF340" s="36" t="str">
        <x:v>No exact waste match</x:v>
      </x:c>
      <x:c r="AG340" s="36" t="str">
        <x:v>Change and Sustain candidate</x:v>
      </x:c>
      <x:c r="AH340" s="36" t="str">
        <x:v>EW Demand!row 22</x:v>
      </x:c>
      <x:c r="AI340" s="36" t="str">
        <x:v>LFR</x:v>
      </x:c>
      <x:c r="AJ340" s="36" t="str">
        <x:v>Compliance</x:v>
      </x:c>
      <x:c r="AK340" s="36" t="str">
        <x:v>Must Do</x:v>
      </x:c>
      <x:c r="AL340" s="36" t="n">
        <x:v>0</x:v>
      </x:c>
      <x:c r="AM340" s="36" t="n">
        <x:v>0</x:v>
      </x:c>
      <x:c r="AN340" s="43"/>
      <x:c r="AO340" s="43"/>
      <x:c r="AP340" s="43"/>
    </x:row>
    <x:row r="341" ht="15" hidden="0" customHeight="1">
      <x:c r="A341" s="36" t="str">
        <x:v>EW-12</x:v>
      </x:c>
      <x:c r="B341" s="37" t="str">
        <x:v>Integrated C&amp;R</x:v>
      </x:c>
      <x:c r="C341" s="36" t="str">
        <x:v>EW</x:v>
      </x:c>
      <x:c r="D341" s="36" t="str">
        <x:v>Patient Safety &amp; Quality</x:v>
      </x:c>
      <x:c r="E341" s="36" t="str">
        <x:v>1006433</x:v>
      </x:c>
      <x:c r="F341" s="36" t="str">
        <x:v>New Technology</x:v>
      </x:c>
      <x:c r="G341" s="36" t="str">
        <x:v>Revenue Increase</x:v>
      </x:c>
      <x:c r="H341" s="36" t="str">
        <x:v>Must Do</x:v>
      </x:c>
      <x:c r="I341" s="36" t="str">
        <x:v>Carry Over</x:v>
      </x:c>
      <x:c r="J341" s="38" t="n">
        <x:v>0.65</x:v>
      </x:c>
      <x:c r="K341" s="38"/>
      <x:c r="L341" s="38" t="n">
        <x:v>0.063</x:v>
      </x:c>
      <x:c r="M341" s="38"/>
      <x:c r="N341" s="38"/>
      <x:c r="O341" s="38"/>
      <x:c r="P341" s="37" t="str">
        <x:v>1400 - 3900 - detailed quantification available</x:v>
      </x:c>
      <x:c r="Q341" s="37" t="str">
        <x:v>Revenue</x:v>
      </x:c>
      <x:c r="R341" s="37" t="str">
        <x:v>2.3M - 6.6M detailed underpinning available</x:v>
      </x:c>
      <x:c r="S341" s="37" t="str">
        <x:v>Digitization of manual and fragment C&amp;R and HHED process flows</x:v>
      </x:c>
      <x:c r="T341" s="37" t="str">
        <x:v>Central C&amp;R, HHE  and HHED processes</x:v>
      </x:c>
      <x:c r="U341" s="37" t="str">
        <x:v>None</x:v>
      </x:c>
      <x:c r="V341" s="36" t="str"/>
      <x:c r="W341" s="36" t="str"/>
      <x:c r="X341" s="36"/>
      <x:c r="Y341" s="36" t="str">
        <x:v>NotAssessed</x:v>
      </x:c>
      <x:c r="Z341" s="36" t="str"/>
      <x:c r="AA341" s="36" t="str"/>
      <x:c r="AB341" s="36"/>
      <x:c r="AC341" s="36"/>
      <x:c r="AD341" s="36" t="str"/>
      <x:c r="AE341" s="36" t="str"/>
      <x:c r="AF341" s="36" t="str">
        <x:v>Organisation differs or ambiguous</x:v>
      </x:c>
      <x:c r="AG341" s="36" t="str">
        <x:v>Common pot</x:v>
      </x:c>
      <x:c r="AH341" s="36" t="str">
        <x:v>EW Demand!row 23</x:v>
      </x:c>
      <x:c r="AI341" s="36" t="str">
        <x:v>NewTech</x:v>
      </x:c>
      <x:c r="AJ341" s="36" t="str">
        <x:v>Revenue</x:v>
      </x:c>
      <x:c r="AK341" s="36" t="str">
        <x:v>Must Do</x:v>
      </x:c>
      <x:c r="AL341" s="36" t="n">
        <x:v>0</x:v>
      </x:c>
      <x:c r="AM341" s="36" t="n">
        <x:v>0</x:v>
      </x:c>
      <x:c r="AN341" s="43"/>
      <x:c r="AO341" s="43"/>
      <x:c r="AP341" s="43"/>
    </x:row>
    <x:row r="342" ht="15" hidden="0" customHeight="1">
      <x:c r="A342" s="36" t="str">
        <x:v>EW-13</x:v>
      </x:c>
      <x:c r="B342" s="37" t="str">
        <x:v>HA AI Enablement</x:v>
      </x:c>
      <x:c r="C342" s="36" t="str">
        <x:v>EW</x:v>
      </x:c>
      <x:c r="D342" s="36" t="str">
        <x:v>Information Technology ​</x:v>
      </x:c>
      <x:c r="E342" s="36" t="str">
        <x:v>1006730</x:v>
      </x:c>
      <x:c r="F342" s="36" t="str">
        <x:v>AI Enablement</x:v>
      </x:c>
      <x:c r="G342" s="36" t="str">
        <x:v>Process simplification/ efficiency gain</x:v>
      </x:c>
      <x:c r="H342" s="36" t="str">
        <x:v>Must Do</x:v>
      </x:c>
      <x:c r="I342" s="36" t="str">
        <x:v>Carry Over</x:v>
      </x:c>
      <x:c r="J342" s="38" t="n">
        <x:v>0.5</x:v>
      </x:c>
      <x:c r="K342" s="38"/>
      <x:c r="L342" s="38"/>
      <x:c r="M342" s="38"/>
      <x:c r="N342" s="38"/>
      <x:c r="O342" s="38"/>
      <x:c r="P342" s="37" t="str">
        <x:v>Business case driven - delivered 15M EUR in 2026</x:v>
      </x:c>
      <x:c r="Q342" s="37" t="str">
        <x:v>Cash savings</x:v>
      </x:c>
      <x:c r="R342" s="37" t="str">
        <x:v>Time to capability for BU/Regions slows down; vendor IT resources onboarded by BU/Regions</x:v>
      </x:c>
      <x:c r="S342" s="37" t="str">
        <x:v>AI and automation solution enhancements, governance and compliance efforts , platform governance and reporting</x:v>
      </x:c>
      <x:c r="T342" s="37" t="str">
        <x:v>Power Platform, Copilot studio</x:v>
      </x:c>
      <x:c r="U342" s="37" t="str"/>
      <x:c r="V342" s="36" t="str">
        <x:v>2027</x:v>
      </x:c>
      <x:c r="W342" s="36" t="str"/>
      <x:c r="X342" s="36" t="n">
        <x:v>1.15</x:v>
      </x:c>
      <x:c r="Y342" s="36" t="str">
        <x:v>HEALTHY</x:v>
      </x:c>
      <x:c r="Z342" s="36" t="str">
        <x:v>YES</x:v>
      </x:c>
      <x:c r="AA342" s="36" t="str"/>
      <x:c r="AB342" s="36"/>
      <x:c r="AC342" s="36"/>
      <x:c r="AD342" s="36" t="str"/>
      <x:c r="AE342" s="36" t="str">
        <x:v>HEALTHY / MUST-DO — priority TBD</x:v>
      </x:c>
      <x:c r="AF342" s="36" t="str">
        <x:v>Name and organisation matched</x:v>
      </x:c>
      <x:c r="AG342" s="36" t="str">
        <x:v>LFR validated candidate</x:v>
      </x:c>
      <x:c r="AH342" s="36" t="str">
        <x:v>EW Demand!row 24</x:v>
      </x:c>
      <x:c r="AI342" s="36" t="str">
        <x:v>AI</x:v>
      </x:c>
      <x:c r="AJ342" s="36" t="str">
        <x:v>ProcSimp</x:v>
      </x:c>
      <x:c r="AK342" s="36" t="str">
        <x:v>Must Do</x:v>
      </x:c>
      <x:c r="AL342" s="36" t="n">
        <x:v>0</x:v>
      </x:c>
      <x:c r="AM342" s="36" t="n">
        <x:v>0</x:v>
      </x:c>
      <x:c r="AN342" s="43"/>
      <x:c r="AO342" s="43"/>
      <x:c r="AP342" s="43"/>
    </x:row>
    <x:row r="343" ht="15" hidden="0" customHeight="1">
      <x:c r="A343" s="36" t="str">
        <x:v>EW-14</x:v>
      </x:c>
      <x:c r="B343" s="37" t="str">
        <x:v>PSQ E2E Product Data Lineage Model</x:v>
      </x:c>
      <x:c r="C343" s="36" t="str">
        <x:v>EW</x:v>
      </x:c>
      <x:c r="D343" s="36" t="str">
        <x:v>Patient Safety &amp; Quality</x:v>
      </x:c>
      <x:c r="E343" s="36" t="str">
        <x:v>New</x:v>
      </x:c>
      <x:c r="F343" s="36" t="str">
        <x:v>AI Enablement</x:v>
      </x:c>
      <x:c r="G343" s="36" t="str">
        <x:v>Productivity savings</x:v>
      </x:c>
      <x:c r="H343" s="36" t="str">
        <x:v>Must Do</x:v>
      </x:c>
      <x:c r="I343" s="36" t="str">
        <x:v>New Initiative</x:v>
      </x:c>
      <x:c r="J343" s="38" t="n">
        <x:v>0.25</x:v>
      </x:c>
      <x:c r="K343" s="38"/>
      <x:c r="L343" s="38"/>
      <x:c r="M343" s="38"/>
      <x:c r="N343" s="38"/>
      <x:c r="O343" s="38"/>
      <x:c r="P343" s="37" t="str">
        <x:v>Detailed business case on cost avoidance available</x:v>
      </x:c>
      <x:c r="Q343" s="37" t="str">
        <x:v>Cash savings</x:v>
      </x:c>
      <x:c r="R343" s="37" t="str">
        <x: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x:v>
      </x:c>
      <x:c r="S343" s="37" t="str">
        <x: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x:v>
      </x:c>
      <x:c r="T343" s="37" t="str">
        <x:v>Data across various PSQ capabilities such as complaints, capa, scar, etc</x:v>
      </x:c>
      <x:c r="U343" s="37" t="str">
        <x:v>None</x:v>
      </x:c>
      <x:c r="V343" s="36" t="str"/>
      <x:c r="W343" s="36" t="str"/>
      <x:c r="X343" s="36"/>
      <x:c r="Y343" s="36" t="str">
        <x:v>NotAssessed</x:v>
      </x:c>
      <x:c r="Z343" s="36" t="str"/>
      <x:c r="AA343" s="36" t="str"/>
      <x:c r="AB343" s="36"/>
      <x:c r="AC343" s="36"/>
      <x:c r="AD343" s="36" t="str"/>
      <x:c r="AE343" s="36" t="str"/>
      <x:c r="AF343" s="36" t="str">
        <x:v>Organisation differs or ambiguous</x:v>
      </x:c>
      <x:c r="AG343" s="36" t="str">
        <x:v>Common pot</x:v>
      </x:c>
      <x:c r="AH343" s="36" t="str">
        <x:v>EW Demand!row 25</x:v>
      </x:c>
      <x:c r="AI343" s="36" t="str">
        <x:v>AI</x:v>
      </x:c>
      <x:c r="AJ343" s="36" t="str">
        <x:v>Productivity</x:v>
      </x:c>
      <x:c r="AK343" s="36" t="str">
        <x:v>Must Do</x:v>
      </x:c>
      <x:c r="AL343" s="36" t="n">
        <x:v>0</x:v>
      </x:c>
      <x:c r="AM343" s="36" t="n">
        <x:v>0</x:v>
      </x:c>
      <x:c r="AN343" s="43"/>
      <x:c r="AO343" s="43"/>
      <x:c r="AP343" s="43"/>
    </x:row>
    <x:row r="344" ht="15" hidden="0" customHeight="1">
      <x:c r="A344" s="36" t="str">
        <x:v>EW-15</x:v>
      </x:c>
      <x:c r="B344" s="37" t="str">
        <x:v>Next Gen CH</x:v>
      </x:c>
      <x:c r="C344" s="36" t="str">
        <x:v>EW</x:v>
      </x:c>
      <x:c r="D344" s="36" t="str">
        <x:v>Patient Safety &amp; Quality</x:v>
      </x:c>
      <x:c r="E344" s="36" t="str">
        <x:v>1006423</x:v>
      </x:c>
      <x:c r="F344" s="36" t="str">
        <x:v>Decomm/Replatforming</x:v>
      </x:c>
      <x:c r="G344" s="36" t="str">
        <x:v>Productivity savings</x:v>
      </x:c>
      <x:c r="H344" s="36" t="str">
        <x:v>Must Do</x:v>
      </x:c>
      <x:c r="I344" s="36" t="str">
        <x:v>New Initiative</x:v>
      </x:c>
      <x:c r="J344" s="38" t="n">
        <x:v>2.7</x:v>
      </x:c>
      <x:c r="K344" s="38"/>
      <x:c r="L344" s="38"/>
      <x:c r="M344" s="38"/>
      <x:c r="N344" s="38"/>
      <x:c r="O344" s="38" t="n">
        <x:v>3.46</x:v>
      </x:c>
      <x:c r="P344" s="37" t="str">
        <x:v>3460</x:v>
      </x:c>
      <x:c r="Q344" s="37" t="str">
        <x:v>Cash savings</x:v>
      </x:c>
      <x:c r="R344" s="37" t="str">
        <x:v>Inability to remove operational inefficiencies: 1.9m</x:v>
      </x:c>
      <x:c r="S344" s="37" t="str">
        <x:v>Replace Trackwise with AI-native Enterprise grade Solution that meets regulatory scrutiny given high visibility during regulatory inspections and Philips Q&amp;R requirements</x:v>
      </x:c>
      <x:c r="T344" s="37" t="str">
        <x:v>Global deployment with AI capabilities offering differentiation as needed for BU</x:v>
      </x:c>
      <x:c r="U344" s="37" t="str">
        <x:v>None</x:v>
      </x:c>
      <x:c r="V344" s="36" t="str"/>
      <x:c r="W344" s="36" t="str"/>
      <x:c r="X344" s="36" t="n">
        <x:v>1.65</x:v>
      </x:c>
      <x:c r="Y344" s="36" t="str">
        <x:v>HEALTHY</x:v>
      </x:c>
      <x:c r="Z344" s="36" t="str"/>
      <x:c r="AA344" s="36" t="str"/>
      <x:c r="AB344" s="36"/>
      <x:c r="AC344" s="36"/>
      <x:c r="AD344" s="36" t="str"/>
      <x:c r="AE344" s="36" t="str">
        <x:v>HEALTHY — Rank in priority matrix</x:v>
      </x:c>
      <x:c r="AF344" s="36" t="str">
        <x:v>Name and organisation matched</x:v>
      </x:c>
      <x:c r="AG344" s="36" t="str">
        <x:v>Common pot</x:v>
      </x:c>
      <x:c r="AH344" s="36" t="str">
        <x:v>EW Demand!row 26</x:v>
      </x:c>
      <x:c r="AI344" s="36" t="str">
        <x:v>Decomm</x:v>
      </x:c>
      <x:c r="AJ344" s="36" t="str">
        <x:v>Productivity</x:v>
      </x:c>
      <x:c r="AK344" s="36" t="str">
        <x:v>Must Do</x:v>
      </x:c>
      <x:c r="AL344" s="36" t="n">
        <x:v>0</x:v>
      </x:c>
      <x:c r="AM344" s="36" t="n">
        <x:v>0</x:v>
      </x:c>
      <x:c r="AN344" s="43"/>
      <x:c r="AO344" s="43"/>
      <x:c r="AP344" s="43"/>
    </x:row>
    <x:row r="345" ht="15" hidden="0" customHeight="1">
      <x:c r="A345" s="36" t="str">
        <x:v>EW-16</x:v>
      </x:c>
      <x:c r="B345" s="37" t="str">
        <x:v>Document control with Ai capabilities (ARIS replacement)</x:v>
      </x:c>
      <x:c r="C345" s="36" t="str">
        <x:v>EW</x:v>
      </x:c>
      <x:c r="D345" s="36" t="str">
        <x:v>Patient Safety &amp; Quality</x:v>
      </x:c>
      <x:c r="E345" s="36" t="str">
        <x:v>1006423</x:v>
      </x:c>
      <x:c r="F345" s="36" t="str">
        <x:v>Decomm/Replatforming</x:v>
      </x:c>
      <x:c r="G345" s="36" t="str">
        <x:v>Process simplification/ efficiency gain</x:v>
      </x:c>
      <x:c r="H345" s="36" t="str">
        <x:v>Must Do</x:v>
      </x:c>
      <x:c r="I345" s="36" t="str">
        <x:v>New Initiative</x:v>
      </x:c>
      <x:c r="J345" s="38" t="n">
        <x:v>0.8</x:v>
      </x:c>
      <x:c r="K345" s="38"/>
      <x:c r="L345" s="38"/>
      <x:c r="M345" s="38"/>
      <x:c r="N345" s="38"/>
      <x:c r="O345" s="38"/>
      <x:c r="P345" s="37" t="str">
        <x:v>Eliminates risk of not having an actual document repository system and reduces operational inefficiencies</x:v>
      </x:c>
      <x:c r="Q345" s="37" t="str">
        <x:v>Cash savings</x:v>
      </x:c>
      <x:c r="R345" s="37" t="str">
        <x:v>Continue to maintain ARIS licensing high costs while increasing operational inefficiencies (2m/year)</x:v>
      </x:c>
      <x:c r="S345" s="37" t="str">
        <x:v>Aris is an expensive system which we're looking to exit and doesn't fulfill the needs of a doc-based QMS management system effectively</x:v>
      </x:c>
      <x:c r="T345" s="37" t="str">
        <x:v>Replacement of QMS use of Aris (separate from process framework)</x:v>
      </x:c>
      <x:c r="U345" s="37" t="str">
        <x:v>None</x:v>
      </x:c>
      <x:c r="V345" s="36" t="str"/>
      <x:c r="W345" s="36" t="str"/>
      <x:c r="X345" s="36" t="n">
        <x:v>1.45</x:v>
      </x:c>
      <x:c r="Y345" s="36" t="str">
        <x:v>HEALTHY</x:v>
      </x:c>
      <x:c r="Z345" s="36" t="str"/>
      <x:c r="AA345" s="36" t="str"/>
      <x:c r="AB345" s="36"/>
      <x:c r="AC345" s="36"/>
      <x:c r="AD345" s="36" t="str"/>
      <x:c r="AE345" s="36" t="str">
        <x:v>HEALTHY — Rank in priority matrix</x:v>
      </x:c>
      <x:c r="AF345" s="36" t="str">
        <x:v>Name and organisation matched</x:v>
      </x:c>
      <x:c r="AG345" s="36" t="str">
        <x:v>Common pot</x:v>
      </x:c>
      <x:c r="AH345" s="36" t="str">
        <x:v>EW Demand!row 30</x:v>
      </x:c>
      <x:c r="AI345" s="36" t="str">
        <x:v>Decomm</x:v>
      </x:c>
      <x:c r="AJ345" s="36" t="str">
        <x:v>ProcSimp</x:v>
      </x:c>
      <x:c r="AK345" s="36" t="str">
        <x:v>Must Do</x:v>
      </x:c>
      <x:c r="AL345" s="36" t="n">
        <x:v>0</x:v>
      </x:c>
      <x:c r="AM345" s="36" t="n">
        <x:v>0</x:v>
      </x:c>
      <x:c r="AN345" s="43"/>
      <x:c r="AO345" s="43"/>
      <x:c r="AP345" s="43"/>
    </x:row>
    <x:row r="346" ht="15" hidden="0" customHeight="1">
      <x:c r="A346" s="36" t="str">
        <x:v>EW-17</x:v>
      </x:c>
      <x:c r="B346" s="37" t="str">
        <x:v>AI Prioritization Funnel budget</x:v>
      </x:c>
      <x:c r="C346" s="36" t="str">
        <x:v>EW</x:v>
      </x:c>
      <x:c r="D346" s="36" t="str">
        <x:v>Patient Safety &amp; Quality</x:v>
      </x:c>
      <x:c r="E346" s="36" t="str">
        <x:v>New</x:v>
      </x:c>
      <x:c r="F346" s="36" t="str">
        <x:v>AI Enablement</x:v>
      </x:c>
      <x:c r="G346" s="36" t="str">
        <x:v>Compliance/Keeping the lights on</x:v>
      </x:c>
      <x:c r="H346" s="36" t="str">
        <x:v>Must Do</x:v>
      </x:c>
      <x:c r="I346" s="36" t="str">
        <x:v>New Initiative</x:v>
      </x:c>
      <x:c r="J346" s="38" t="n">
        <x:v>0.5</x:v>
      </x:c>
      <x:c r="K346" s="38" t="n">
        <x:v>0.2</x:v>
      </x:c>
      <x:c r="L346" s="38"/>
      <x:c r="M346" s="38"/>
      <x:c r="N346" s="38"/>
      <x:c r="O346" s="38"/>
      <x:c r="P346" s="37" t="str">
        <x:v>Use case driven benefits, additional focus on Q&amp;R regulatory must-do</x:v>
      </x:c>
      <x:c r="Q346" s="37" t="str">
        <x:v>Risk exposure</x:v>
      </x:c>
      <x:c r="R346" s="37" t="str">
        <x:v>TBD</x:v>
      </x:c>
      <x:c r="S346" s="37" t="str">
        <x:v>Supporting budget to fund centrally collected demand on AI use-cases for PSQ</x:v>
      </x:c>
      <x:c r="T346" s="37" t="str">
        <x:v>TBD based on funneling</x:v>
      </x:c>
      <x:c r="U346" s="37" t="str">
        <x:v>None</x:v>
      </x:c>
      <x:c r="V346" s="36" t="str"/>
      <x:c r="W346" s="36" t="str"/>
      <x:c r="X346" s="36"/>
      <x:c r="Y346" s="36" t="str">
        <x:v>NotAssessed</x:v>
      </x:c>
      <x:c r="Z346" s="36" t="str"/>
      <x:c r="AA346" s="36" t="str"/>
      <x:c r="AB346" s="36"/>
      <x:c r="AC346" s="36"/>
      <x:c r="AD346" s="36" t="str"/>
      <x:c r="AE346" s="36" t="str"/>
      <x:c r="AF346" s="36" t="str">
        <x:v>Organisation differs or ambiguous</x:v>
      </x:c>
      <x:c r="AG346" s="36" t="str">
        <x:v>Common pot</x:v>
      </x:c>
      <x:c r="AH346" s="36" t="str">
        <x:v>EW Demand!row 31</x:v>
      </x:c>
      <x:c r="AI346" s="36" t="str">
        <x:v>AI</x:v>
      </x:c>
      <x:c r="AJ346" s="36" t="str">
        <x:v>Compliance</x:v>
      </x:c>
      <x:c r="AK346" s="36" t="str">
        <x:v>Must Do</x:v>
      </x:c>
      <x:c r="AL346" s="36" t="n">
        <x:v>0</x:v>
      </x:c>
      <x:c r="AM346" s="36" t="n">
        <x:v>0</x:v>
      </x:c>
      <x:c r="AN346" s="43"/>
      <x:c r="AO346" s="43"/>
      <x:c r="AP346" s="43"/>
    </x:row>
    <x:row r="347" ht="24" hidden="0" customHeight="1">
      <x:c r="A347" s="36" t="str">
        <x:v>EW-18</x:v>
      </x:c>
      <x:c r="B347" s="37" t="str">
        <x:v>Establish a future-ready AI powered foundation for Compliance Learning Ecosystem</x:v>
      </x:c>
      <x:c r="C347" s="36" t="str">
        <x:v>EW</x:v>
      </x:c>
      <x:c r="D347" s="36" t="str">
        <x:v>Patient Safety &amp; Quality</x:v>
      </x:c>
      <x:c r="E347" s="36" t="str">
        <x:v>New</x:v>
      </x:c>
      <x:c r="F347" s="36" t="str">
        <x:v>AI Enablement</x:v>
      </x:c>
      <x:c r="G347" s="36" t="str">
        <x:v>Compliance/Keeping the lights on</x:v>
      </x:c>
      <x:c r="H347" s="36" t="str">
        <x:v>Must Have</x:v>
      </x:c>
      <x:c r="I347" s="36" t="str">
        <x:v>New Initiative</x:v>
      </x:c>
      <x:c r="J347" s="38" t="n">
        <x:v>0.25</x:v>
      </x:c>
      <x:c r="K347" s="38"/>
      <x:c r="L347" s="38"/>
      <x:c r="M347" s="38"/>
      <x:c r="N347" s="38"/>
      <x:c r="O347" s="38"/>
      <x:c r="P347" s="37" t="str">
        <x:v>potential operational efficiency..No known #s</x:v>
      </x:c>
      <x:c r="Q347" s="37" t="str">
        <x:v>Risk exposure</x:v>
      </x:c>
      <x:c r="R347" s="37" t="str">
        <x:v>potential operational efficiency..No known #s</x:v>
      </x:c>
      <x:c r="S347" s="37" t="str">
        <x:v>AI can be leveraged to enhance learning experience</x:v>
      </x:c>
      <x:c r="T347" s="37" t="str">
        <x:v>Complete learning architectural landscape supported through MCP connections to improve learning experience</x:v>
      </x:c>
      <x:c r="U347" s="37" t="str">
        <x:v>None</x:v>
      </x:c>
      <x:c r="V347" s="36" t="str"/>
      <x:c r="W347" s="36" t="str"/>
      <x:c r="X347" s="36"/>
      <x:c r="Y347" s="36" t="str">
        <x:v>NotAssessed</x:v>
      </x:c>
      <x:c r="Z347" s="36" t="str"/>
      <x:c r="AA347" s="36" t="str"/>
      <x:c r="AB347" s="36"/>
      <x:c r="AC347" s="36"/>
      <x:c r="AD347" s="36" t="str"/>
      <x:c r="AE347" s="36" t="str"/>
      <x:c r="AF347" s="36" t="str">
        <x:v>Organisation differs or ambiguous</x:v>
      </x:c>
      <x:c r="AG347" s="36" t="str">
        <x:v>Common pot</x:v>
      </x:c>
      <x:c r="AH347" s="36" t="str">
        <x:v>EW Demand!row 32</x:v>
      </x:c>
      <x:c r="AI347" s="36" t="str">
        <x:v>AI</x:v>
      </x:c>
      <x:c r="AJ347" s="36" t="str">
        <x:v>Compliance</x:v>
      </x:c>
      <x:c r="AK347" s="36" t="str">
        <x:v>Must Have</x:v>
      </x:c>
      <x:c r="AL347" s="36" t="n">
        <x:v>0</x:v>
      </x:c>
      <x:c r="AM347" s="36" t="n">
        <x:v>0</x:v>
      </x:c>
      <x:c r="AN347" s="43"/>
      <x:c r="AO347" s="43"/>
      <x:c r="AP347" s="43"/>
    </x:row>
    <x:row r="348" ht="15" hidden="0" customHeight="1">
      <x:c r="A348" s="36" t="str">
        <x:v>EW-19</x:v>
      </x:c>
      <x:c r="B348" s="37" t="str">
        <x:v>SICR APQP Supplier Portal</x:v>
      </x:c>
      <x:c r="C348" s="36" t="str">
        <x:v>EW</x:v>
      </x:c>
      <x:c r="D348" s="36" t="str">
        <x:v>Patient Safety &amp; Quality</x:v>
      </x:c>
      <x:c r="E348" s="36" t="str">
        <x:v>1006423</x:v>
      </x:c>
      <x:c r="F348" s="36" t="str">
        <x:v>Decomm/Replatforming</x:v>
      </x:c>
      <x:c r="G348" s="36" t="str">
        <x:v>Compliance/Keeping the lights on</x:v>
      </x:c>
      <x:c r="H348" s="36" t="str">
        <x:v>Must Do</x:v>
      </x:c>
      <x:c r="I348" s="36" t="str">
        <x:v>New Initiative</x:v>
      </x:c>
      <x:c r="J348" s="38" t="n">
        <x:v>0.45</x:v>
      </x:c>
      <x:c r="K348" s="38"/>
      <x:c r="L348" s="38"/>
      <x:c r="M348" s="38"/>
      <x:c r="N348" s="38"/>
      <x:c r="O348" s="38" t="n">
        <x:v>0.225</x:v>
      </x:c>
      <x:c r="P348" s="37" t="str">
        <x:v>225</x:v>
      </x:c>
      <x:c r="Q348" s="37" t="str">
        <x:v>Risk exposure</x:v>
      </x:c>
      <x:c r="R348" s="37" t="str">
        <x:v>2550 total, of which:</x:v>
      </x:c>
      <x:c r="S348" s="37" t="str">
        <x:v>Fragmented landscape to support Supplier Initiated Change Requests resulting in compliance exposure</x:v>
      </x:c>
      <x:c r="T348" s="37" t="str">
        <x:v>Central SICR solution in phase 1, APQP process suport in phase 2</x:v>
      </x:c>
      <x:c r="U348" s="37" t="str">
        <x:v>None</x:v>
      </x:c>
      <x:c r="V348" s="36" t="str"/>
      <x:c r="W348" s="36" t="str"/>
      <x:c r="X348" s="36" t="n">
        <x:v>1.35</x:v>
      </x:c>
      <x:c r="Y348" s="36" t="str">
        <x:v>HEALTHY</x:v>
      </x:c>
      <x:c r="Z348" s="36" t="str">
        <x:v>YES</x:v>
      </x:c>
      <x:c r="AA348" s="36" t="str">
        <x:v>4 — Lean — scope is limited to compliance, with small, justified allowances.</x:v>
      </x:c>
      <x:c r="AB348" s="36" t="n">
        <x:v>5</x:v>
      </x:c>
      <x:c r="AC348" s="36" t="n">
        <x:v>25</x:v>
      </x:c>
      <x:c r="AD348" s="36" t="str">
        <x:v>P1 — Immediate</x:v>
      </x:c>
      <x:c r="AE348" s="36" t="str">
        <x:v>HEALTHY / MUST-DO — P1 — Immediate</x:v>
      </x:c>
      <x:c r="AF348" s="36" t="str">
        <x:v>Name and organisation matched</x:v>
      </x:c>
      <x:c r="AG348" s="36" t="str">
        <x:v>LFR validated candidate</x:v>
      </x:c>
      <x:c r="AH348" s="36" t="str">
        <x:v>EW Demand!row 33</x:v>
      </x:c>
      <x:c r="AI348" s="36" t="str">
        <x:v>Decomm</x:v>
      </x:c>
      <x:c r="AJ348" s="36" t="str">
        <x:v>Compliance</x:v>
      </x:c>
      <x:c r="AK348" s="36" t="str">
        <x:v>Must Do</x:v>
      </x:c>
      <x:c r="AL348" s="36" t="n">
        <x:v>0</x:v>
      </x:c>
      <x:c r="AM348" s="36" t="n">
        <x:v>0</x:v>
      </x:c>
      <x:c r="AN348" s="43"/>
      <x:c r="AO348" s="43"/>
      <x:c r="AP348" s="43"/>
    </x:row>
    <x:row r="349" ht="15" hidden="0" customHeight="1">
      <x:c r="A349" s="36" t="str">
        <x:v>EW-20</x:v>
      </x:c>
      <x:c r="B349" s="37" t="str">
        <x:v>ARIS deployment for ISC QMS Integration</x:v>
      </x:c>
      <x:c r="C349" s="36" t="str">
        <x:v>EW</x:v>
      </x:c>
      <x:c r="D349" s="36" t="str">
        <x:v>Patient Safety &amp; Quality</x:v>
      </x:c>
      <x:c r="E349" s="36" t="str">
        <x:v>New</x:v>
      </x:c>
      <x:c r="F349" s="36" t="str">
        <x:v>New Technology</x:v>
      </x:c>
      <x:c r="G349" s="36" t="str">
        <x:v>Compliance/Keeping the lights on</x:v>
      </x:c>
      <x:c r="H349" s="36" t="str">
        <x:v>Must Do</x:v>
      </x:c>
      <x:c r="I349" s="36" t="str">
        <x:v>New Initiative</x:v>
      </x:c>
      <x:c r="J349" s="38" t="n">
        <x:v>0.05</x:v>
      </x:c>
      <x:c r="K349" s="38"/>
      <x:c r="L349" s="38"/>
      <x:c r="M349" s="38"/>
      <x:c r="N349" s="38"/>
      <x:c r="O349" s="38" t="n">
        <x:v>0.6</x:v>
      </x:c>
      <x:c r="P349" s="37" t="str">
        <x:v>600</x:v>
      </x:c>
      <x:c r="Q349" s="37" t="str">
        <x:v>Risk exposure</x:v>
      </x:c>
      <x:c r="R349" s="37" t="str">
        <x:v>1400k in total, of which:</x:v>
      </x:c>
      <x:c r="S349" s="37" t="str">
        <x:v>ISC needs to be integrated into Aris</x:v>
      </x:c>
      <x:c r="T349" s="37" t="str">
        <x:v>ISC QMS only</x:v>
      </x:c>
      <x:c r="U349" s="37" t="str">
        <x:v>None</x:v>
      </x:c>
      <x:c r="V349" s="36" t="str"/>
      <x:c r="W349" s="36" t="str"/>
      <x:c r="X349" s="36"/>
      <x:c r="Y349" s="36" t="str">
        <x:v>NotAssessed</x:v>
      </x:c>
      <x:c r="Z349" s="36" t="str"/>
      <x:c r="AA349" s="36" t="str"/>
      <x:c r="AB349" s="36"/>
      <x:c r="AC349" s="36"/>
      <x:c r="AD349" s="36" t="str"/>
      <x:c r="AE349" s="36" t="str"/>
      <x:c r="AF349" s="36" t="str">
        <x:v>Organisation differs or ambiguous</x:v>
      </x:c>
      <x:c r="AG349" s="36" t="str">
        <x:v>Common pot</x:v>
      </x:c>
      <x:c r="AH349" s="36" t="str">
        <x:v>EW Demand!row 51</x:v>
      </x:c>
      <x:c r="AI349" s="36" t="str">
        <x:v>NewTech</x:v>
      </x:c>
      <x:c r="AJ349" s="36" t="str">
        <x:v>Compliance</x:v>
      </x:c>
      <x:c r="AK349" s="36" t="str">
        <x:v>Must Do</x:v>
      </x:c>
      <x:c r="AL349" s="36" t="n">
        <x:v>0</x:v>
      </x:c>
      <x:c r="AM349" s="36" t="n">
        <x:v>0</x:v>
      </x:c>
      <x:c r="AN349" s="43"/>
      <x:c r="AO349" s="43"/>
      <x:c r="AP349" s="43"/>
    </x:row>
    <x:row r="350" ht="15" hidden="0" customHeight="1">
      <x:c r="A350" s="36" t="str">
        <x:v>EW-21</x:v>
      </x:c>
      <x:c r="B350" s="37" t="str">
        <x:v>Service365 2027 Change&amp;Sustain</x:v>
      </x:c>
      <x:c r="C350" s="36" t="str">
        <x:v>EW</x:v>
      </x:c>
      <x:c r="D350" s="36" t="str">
        <x:v>Greater China </x:v>
      </x:c>
      <x:c r="E350" s="36" t="str">
        <x:v>New</x:v>
      </x:c>
      <x:c r="F350" s="36" t="str">
        <x:v>Continuous Improvement</x:v>
      </x:c>
      <x:c r="G350" s="36" t="str">
        <x:v>Compliance/Keeping the lights on</x:v>
      </x:c>
      <x:c r="H350" s="36" t="str">
        <x:v>Must Do</x:v>
      </x:c>
      <x:c r="I350" s="36" t="str">
        <x:v>Carry Over</x:v>
      </x:c>
      <x:c r="J350" s="38" t="n">
        <x:v>0.48</x:v>
      </x:c>
      <x:c r="K350" s="38"/>
      <x:c r="L350" s="38"/>
      <x:c r="M350" s="38"/>
      <x:c r="N350" s="38"/>
      <x:c r="O350" s="38" t="n">
        <x:v>0.55</x:v>
      </x:c>
      <x:c r="P350" s="37" t="str">
        <x:v>550</x:v>
      </x:c>
      <x:c r="Q350" s="37" t="str">
        <x:v>Risk exposure</x:v>
      </x:c>
      <x:c r="R350" s="37" t="str">
        <x:v>no business continuity for China Mainland Service Delivery (SRC Fraud CAPA + spare parts logistics, this is the SMAX + PSA for China)</x:v>
      </x:c>
      <x:c r="S350" s="37" t="str"/>
      <x:c r="T350" s="37" t="str"/>
      <x:c r="U350" s="37" t="str"/>
      <x:c r="V350" s="36" t="str"/>
      <x:c r="W350" s="36" t="str"/>
      <x:c r="X350" s="36" t="n">
        <x:v>1.25</x:v>
      </x:c>
      <x:c r="Y350" s="36" t="str">
        <x:v>HEALTHY</x:v>
      </x:c>
      <x:c r="Z350" s="36" t="str">
        <x:v>YES</x:v>
      </x:c>
      <x:c r="AA350" s="36" t="str">
        <x:v>4 — Lean — scope is limited to compliance, with small, justified allowances.</x:v>
      </x:c>
      <x:c r="AB350" s="36" t="n">
        <x:v>5</x:v>
      </x:c>
      <x:c r="AC350" s="36" t="n">
        <x:v>15</x:v>
      </x:c>
      <x:c r="AD350" s="36" t="str">
        <x:v>P1 — Immediate</x:v>
      </x:c>
      <x:c r="AE350" s="36" t="str">
        <x:v>HEALTHY / MUST-DO — P1 — Immediate</x:v>
      </x:c>
      <x:c r="AF350" s="36" t="str">
        <x:v>Name and organisation matched</x:v>
      </x:c>
      <x:c r="AG350" s="36" t="str">
        <x:v>LFR validated candidate</x:v>
      </x:c>
      <x:c r="AH350" s="36" t="str">
        <x:v>EW Demand!row 63</x:v>
      </x:c>
      <x:c r="AI350" s="36" t="str">
        <x:v>CI</x:v>
      </x:c>
      <x:c r="AJ350" s="36" t="str">
        <x:v>Compliance</x:v>
      </x:c>
      <x:c r="AK350" s="36" t="str">
        <x:v>Must Do</x:v>
      </x:c>
      <x:c r="AL350" s="36" t="n">
        <x:v>0</x:v>
      </x:c>
      <x:c r="AM350" s="36" t="n">
        <x:v>0</x:v>
      </x:c>
      <x:c r="AN350" s="43"/>
      <x:c r="AO350" s="43"/>
      <x:c r="AP350" s="43"/>
    </x:row>
    <x:row r="351" ht="15" hidden="0" customHeight="1">
      <x:c r="A351" s="36" t="str">
        <x:v>EW-22</x:v>
      </x:c>
      <x:c r="B351" s="37" t="str">
        <x:v>Commercial365 2027 Change&amp;Sustain</x:v>
      </x:c>
      <x:c r="C351" s="36" t="str">
        <x:v>EW</x:v>
      </x:c>
      <x:c r="D351" s="36" t="str">
        <x:v>Greater China </x:v>
      </x:c>
      <x:c r="E351" s="36" t="str">
        <x:v>New</x:v>
      </x:c>
      <x:c r="F351" s="36" t="str">
        <x:v>Continuous Improvement</x:v>
      </x:c>
      <x:c r="G351" s="36" t="str">
        <x:v>Compliance/Keeping the lights on</x:v>
      </x:c>
      <x:c r="H351" s="36" t="str">
        <x:v>Must Do</x:v>
      </x:c>
      <x:c r="I351" s="36" t="str">
        <x:v>Carry Over</x:v>
      </x:c>
      <x:c r="J351" s="38" t="n">
        <x:v>0.48</x:v>
      </x:c>
      <x:c r="K351" s="38"/>
      <x:c r="L351" s="38"/>
      <x:c r="M351" s="38"/>
      <x:c r="N351" s="38"/>
      <x:c r="O351" s="38"/>
      <x:c r="P351" s="37" t="str">
        <x:v>NA</x:v>
      </x:c>
      <x:c r="Q351" s="37" t="str">
        <x:v>Risk exposure</x:v>
      </x:c>
      <x:c r="R351" s="37" t="str">
        <x:v>no business continuity for China Mainland funnel &amp; OIT (Continue what has started to maintain business, this is the SFDC CRM + Conga for China)</x:v>
      </x:c>
      <x:c r="S351" s="37" t="str"/>
      <x:c r="T351" s="37" t="str"/>
      <x:c r="U351" s="37" t="str"/>
      <x:c r="V351" s="36" t="str"/>
      <x:c r="W351" s="36" t="str"/>
      <x:c r="X351" s="36" t="n">
        <x:v>1.25</x:v>
      </x:c>
      <x:c r="Y351" s="36" t="str">
        <x:v>HEALTHY</x:v>
      </x:c>
      <x:c r="Z351" s="36" t="str">
        <x:v>YES</x:v>
      </x:c>
      <x:c r="AA351" s="36" t="str">
        <x:v>4 — Lean — scope is limited to compliance, with small, justified allowances.</x:v>
      </x:c>
      <x:c r="AB351" s="36" t="n">
        <x:v>5</x:v>
      </x:c>
      <x:c r="AC351" s="36" t="n">
        <x:v>15</x:v>
      </x:c>
      <x:c r="AD351" s="36" t="str">
        <x:v>P1 — Immediate</x:v>
      </x:c>
      <x:c r="AE351" s="36" t="str">
        <x:v>HEALTHY / MUST-DO — P1 — Immediate</x:v>
      </x:c>
      <x:c r="AF351" s="36" t="str">
        <x:v>Name and organisation matched</x:v>
      </x:c>
      <x:c r="AG351" s="36" t="str">
        <x:v>LFR validated candidate</x:v>
      </x:c>
      <x:c r="AH351" s="36" t="str">
        <x:v>EW Demand!row 64</x:v>
      </x:c>
      <x:c r="AI351" s="36" t="str">
        <x:v>CI</x:v>
      </x:c>
      <x:c r="AJ351" s="36" t="str">
        <x:v>Compliance</x:v>
      </x:c>
      <x:c r="AK351" s="36" t="str">
        <x:v>Must Do</x:v>
      </x:c>
      <x:c r="AL351" s="36" t="n">
        <x:v>0</x:v>
      </x:c>
      <x:c r="AM351" s="36" t="n">
        <x:v>0</x:v>
      </x:c>
      <x:c r="AN351" s="43"/>
      <x:c r="AO351" s="43"/>
      <x:c r="AP351" s="43"/>
    </x:row>
    <x:row r="352" ht="15" hidden="0" customHeight="1">
      <x:c r="A352" s="36" t="str">
        <x:v>EW-23</x:v>
      </x:c>
      <x:c r="B352" s="37" t="str">
        <x:v>Channel365 2027 Change&amp;Sustain</x:v>
      </x:c>
      <x:c r="C352" s="36" t="str">
        <x:v>EW</x:v>
      </x:c>
      <x:c r="D352" s="36" t="str">
        <x:v>Greater China </x:v>
      </x:c>
      <x:c r="E352" s="36" t="str">
        <x:v>New</x:v>
      </x:c>
      <x:c r="F352" s="36" t="str">
        <x:v>Continuous Improvement</x:v>
      </x:c>
      <x:c r="G352" s="36" t="str">
        <x:v>Compliance/Keeping the lights on</x:v>
      </x:c>
      <x:c r="H352" s="36" t="str">
        <x:v>Must Do</x:v>
      </x:c>
      <x:c r="I352" s="36" t="str">
        <x:v>Carry Over</x:v>
      </x:c>
      <x:c r="J352" s="38" t="n">
        <x:v>0.4</x:v>
      </x:c>
      <x:c r="K352" s="38"/>
      <x:c r="L352" s="38"/>
      <x:c r="M352" s="38"/>
      <x:c r="N352" s="38"/>
      <x:c r="O352" s="38"/>
      <x:c r="P352" s="37" t="str">
        <x:v>NA</x:v>
      </x:c>
      <x:c r="Q352" s="37" t="str">
        <x:v>Risk exposure</x:v>
      </x:c>
      <x:c r="R352" s="37" t="str">
        <x:v>no business continuity for China Mainland funnel &amp; OIT (Continue what has started to maintain business, this is the Conga + ICON for China)</x:v>
      </x:c>
      <x:c r="S352" s="37" t="str"/>
      <x:c r="T352" s="37" t="str"/>
      <x:c r="U352" s="37" t="str"/>
      <x:c r="V352" s="36" t="str"/>
      <x:c r="W352" s="36" t="str"/>
      <x:c r="X352" s="36" t="n">
        <x:v>1.25</x:v>
      </x:c>
      <x:c r="Y352" s="36" t="str">
        <x:v>HEALTHY</x:v>
      </x:c>
      <x:c r="Z352" s="36" t="str">
        <x:v>YES</x:v>
      </x:c>
      <x:c r="AA352" s="36" t="str">
        <x:v>4 — Lean — scope is limited to compliance, with small, justified allowances.</x:v>
      </x:c>
      <x:c r="AB352" s="36" t="n">
        <x:v>5</x:v>
      </x:c>
      <x:c r="AC352" s="36" t="n">
        <x:v>15</x:v>
      </x:c>
      <x:c r="AD352" s="36" t="str">
        <x:v>P1 — Immediate</x:v>
      </x:c>
      <x:c r="AE352" s="36" t="str">
        <x:v>HEALTHY / MUST-DO — P1 — Immediate</x:v>
      </x:c>
      <x:c r="AF352" s="36" t="str">
        <x:v>Name and organisation matched</x:v>
      </x:c>
      <x:c r="AG352" s="36" t="str">
        <x:v>LFR validated candidate</x:v>
      </x:c>
      <x:c r="AH352" s="36" t="str">
        <x:v>EW Demand!row 65</x:v>
      </x:c>
      <x:c r="AI352" s="36" t="str">
        <x:v>CI</x:v>
      </x:c>
      <x:c r="AJ352" s="36" t="str">
        <x:v>Compliance</x:v>
      </x:c>
      <x:c r="AK352" s="36" t="str">
        <x:v>Must Do</x:v>
      </x:c>
      <x:c r="AL352" s="36" t="n">
        <x:v>0</x:v>
      </x:c>
      <x:c r="AM352" s="36" t="n">
        <x:v>0</x:v>
      </x:c>
      <x:c r="AN352" s="43"/>
      <x:c r="AO352" s="43"/>
      <x:c r="AP352" s="43"/>
    </x:row>
    <x:row r="353" ht="15" hidden="0" customHeight="1">
      <x:c r="A353" s="36" t="str">
        <x:v>EW-24</x:v>
      </x:c>
      <x:c r="B353" s="37" t="str">
        <x:v>China Data Lake 2027 Change&amp;Sustain</x:v>
      </x:c>
      <x:c r="C353" s="36" t="str">
        <x:v>EW</x:v>
      </x:c>
      <x:c r="D353" s="36" t="str">
        <x:v>Greater China </x:v>
      </x:c>
      <x:c r="E353" s="36" t="str">
        <x:v>New</x:v>
      </x:c>
      <x:c r="F353" s="36" t="str">
        <x:v>Continuous Improvement</x:v>
      </x:c>
      <x:c r="G353" s="36" t="str">
        <x:v>Compliance/Keeping the lights on</x:v>
      </x:c>
      <x:c r="H353" s="36" t="str">
        <x:v>Must Do</x:v>
      </x:c>
      <x:c r="I353" s="36" t="str">
        <x:v>Carry Over</x:v>
      </x:c>
      <x:c r="J353" s="38" t="n">
        <x:v>0.4</x:v>
      </x:c>
      <x:c r="K353" s="38"/>
      <x:c r="L353" s="38"/>
      <x:c r="M353" s="38"/>
      <x:c r="N353" s="38"/>
      <x:c r="O353" s="38"/>
      <x:c r="P353" s="37" t="str">
        <x:v>NA</x:v>
      </x:c>
      <x:c r="Q353" s="37" t="str">
        <x:v>Risk exposure</x:v>
      </x:c>
      <x:c r="R353" s="37" t="str">
        <x:v>no business continuity for GCR Data to support any business</x:v>
      </x:c>
      <x:c r="S353" s="37" t="str"/>
      <x:c r="T353" s="37" t="str"/>
      <x:c r="U353" s="37" t="str"/>
      <x:c r="V353" s="36" t="str"/>
      <x:c r="W353" s="36" t="str"/>
      <x:c r="X353" s="36" t="n">
        <x:v>1.25</x:v>
      </x:c>
      <x:c r="Y353" s="36" t="str">
        <x:v>HEALTHY</x:v>
      </x:c>
      <x:c r="Z353" s="36" t="str">
        <x:v>YES</x:v>
      </x:c>
      <x:c r="AA353" s="36" t="str">
        <x:v>4 — Lean — scope is limited to compliance, with small, justified allowances.</x:v>
      </x:c>
      <x:c r="AB353" s="36" t="n">
        <x:v>5</x:v>
      </x:c>
      <x:c r="AC353" s="36" t="n">
        <x:v>15</x:v>
      </x:c>
      <x:c r="AD353" s="36" t="str">
        <x:v>P1 — Immediate</x:v>
      </x:c>
      <x:c r="AE353" s="36" t="str">
        <x:v>HEALTHY / MUST-DO — P1 — Immediate</x:v>
      </x:c>
      <x:c r="AF353" s="36" t="str">
        <x:v>Name and organisation matched</x:v>
      </x:c>
      <x:c r="AG353" s="36" t="str">
        <x:v>LFR validated candidate</x:v>
      </x:c>
      <x:c r="AH353" s="36" t="str">
        <x:v>EW Demand!row 66</x:v>
      </x:c>
      <x:c r="AI353" s="36" t="str">
        <x:v>CI</x:v>
      </x:c>
      <x:c r="AJ353" s="36" t="str">
        <x:v>Compliance</x:v>
      </x:c>
      <x:c r="AK353" s="36" t="str">
        <x:v>Must Do</x:v>
      </x:c>
      <x:c r="AL353" s="36" t="n">
        <x:v>0</x:v>
      </x:c>
      <x:c r="AM353" s="36" t="n">
        <x:v>0</x:v>
      </x:c>
      <x:c r="AN353" s="43"/>
      <x:c r="AO353" s="43"/>
      <x:c r="AP353" s="43"/>
    </x:row>
    <x:row r="354" ht="15" hidden="0" customHeight="1">
      <x:c r="A354" s="36" t="str">
        <x:v>EW-25</x:v>
      </x:c>
      <x:c r="B354" s="37" t="str">
        <x:v>Service365 HK &amp; TW</x:v>
      </x:c>
      <x:c r="C354" s="36" t="str">
        <x:v>EW</x:v>
      </x:c>
      <x:c r="D354" s="36" t="str">
        <x:v>Greater China </x:v>
      </x:c>
      <x:c r="E354" s="36" t="str">
        <x:v>New</x:v>
      </x:c>
      <x:c r="F354" s="36" t="str">
        <x:v>Continuous Improvement</x:v>
      </x:c>
      <x:c r="G354" s="36" t="str">
        <x:v>Compliance/Keeping the lights on</x:v>
      </x:c>
      <x:c r="H354" s="36" t="str">
        <x:v>Must Do</x:v>
      </x:c>
      <x:c r="I354" s="36" t="str">
        <x:v>Carry Over</x:v>
      </x:c>
      <x:c r="J354" s="38" t="n">
        <x:v>0.48</x:v>
      </x:c>
      <x:c r="K354" s="38"/>
      <x:c r="L354" s="38"/>
      <x:c r="M354" s="38"/>
      <x:c r="N354" s="38"/>
      <x:c r="O354" s="38" t="n">
        <x:v>0.9</x:v>
      </x:c>
      <x:c r="P354" s="37" t="str">
        <x:v>900</x:v>
      </x:c>
      <x:c r="Q354" s="37" t="str">
        <x:v>Risk exposure</x:v>
      </x:c>
      <x:c r="R354" s="37" t="str">
        <x:v>no business continuity for HK &amp; TW Service Delivery (cost avoidance, continue what has started half way)</x:v>
      </x:c>
      <x:c r="S354" s="37" t="str"/>
      <x:c r="T354" s="37" t="str"/>
      <x:c r="U354" s="37" t="str"/>
      <x:c r="V354" s="36" t="str"/>
      <x:c r="W354" s="36" t="str"/>
      <x:c r="X354" s="36" t="n">
        <x:v>1.25</x:v>
      </x:c>
      <x:c r="Y354" s="36" t="str">
        <x:v>HEALTHY</x:v>
      </x:c>
      <x:c r="Z354" s="36" t="str">
        <x:v>YES</x:v>
      </x:c>
      <x:c r="AA354" s="36" t="str">
        <x:v>4 — Lean — scope is limited to compliance, with small, justified allowances.</x:v>
      </x:c>
      <x:c r="AB354" s="36" t="n">
        <x:v>5</x:v>
      </x:c>
      <x:c r="AC354" s="36" t="n">
        <x:v>15</x:v>
      </x:c>
      <x:c r="AD354" s="36" t="str">
        <x:v>P1 — Immediate</x:v>
      </x:c>
      <x:c r="AE354" s="36" t="str">
        <x:v>HEALTHY / MUST-DO — P1 — Immediate</x:v>
      </x:c>
      <x:c r="AF354" s="36" t="str">
        <x:v>Name and organisation matched</x:v>
      </x:c>
      <x:c r="AG354" s="36" t="str">
        <x:v>LFR validated candidate</x:v>
      </x:c>
      <x:c r="AH354" s="36" t="str">
        <x:v>EW Demand!row 67</x:v>
      </x:c>
      <x:c r="AI354" s="36" t="str">
        <x:v>CI</x:v>
      </x:c>
      <x:c r="AJ354" s="36" t="str">
        <x:v>Compliance</x:v>
      </x:c>
      <x:c r="AK354" s="36" t="str">
        <x:v>Must Do</x:v>
      </x:c>
      <x:c r="AL354" s="36" t="n">
        <x:v>0</x:v>
      </x:c>
      <x:c r="AM354" s="36" t="n">
        <x:v>0</x:v>
      </x:c>
      <x:c r="AN354" s="43"/>
      <x:c r="AO354" s="43"/>
      <x:c r="AP354" s="43"/>
    </x:row>
    <x:row r="355" ht="15" hidden="0" customHeight="1">
      <x:c r="A355" s="36" t="str">
        <x:v>EW-26</x:v>
      </x:c>
      <x:c r="B355" s="37" t="str">
        <x:v>Claims Management</x:v>
      </x:c>
      <x:c r="C355" s="36" t="str">
        <x:v>EW</x:v>
      </x:c>
      <x:c r="D355" s="36" t="str"/>
      <x:c r="E355" s="36" t="str"/>
      <x:c r="F355" s="36" t="str"/>
      <x:c r="G355" s="36" t="str"/>
      <x:c r="H355" s="36" t="str"/>
      <x:c r="I355" s="36" t="str"/>
      <x:c r="J355" s="38"/>
      <x:c r="K355" s="38"/>
      <x:c r="L355" s="38"/>
      <x:c r="M355" s="38"/>
      <x:c r="N355" s="38"/>
      <x:c r="O355" s="38"/>
      <x:c r="P355" s="37" t="str"/>
      <x:c r="Q355" s="37" t="str">
        <x:v>Unclassified</x:v>
      </x:c>
      <x:c r="R355" s="37" t="str"/>
      <x:c r="S355" s="37" t="str">
        <x:v>CT</x:v>
      </x:c>
      <x:c r="T355" s="37" t="str"/>
      <x:c r="U355" s="37" t="str"/>
      <x:c r="V355" s="36" t="str"/>
      <x:c r="W355" s="36" t="str"/>
      <x:c r="X355" s="36"/>
      <x:c r="Y355" s="36" t="str">
        <x:v>NotAssessed</x:v>
      </x:c>
      <x:c r="Z355" s="36" t="str"/>
      <x:c r="AA355" s="36" t="str"/>
      <x:c r="AB355" s="36"/>
      <x:c r="AC355" s="36"/>
      <x:c r="AD355" s="36" t="str"/>
      <x:c r="AE355" s="36" t="str"/>
      <x:c r="AF355" s="36" t="str">
        <x:v>Name and organisation matched</x:v>
      </x:c>
      <x:c r="AG355" s="36" t="str">
        <x:v>Common pot</x:v>
      </x:c>
      <x:c r="AH355" s="36" t="str">
        <x:v>EW Demand!row 68</x:v>
      </x:c>
      <x:c r="AI355" s="36" t="str">
        <x:v>Blank</x:v>
      </x:c>
      <x:c r="AJ355" s="36" t="str">
        <x:v>Blank</x:v>
      </x:c>
      <x:c r="AK355" s="36" t="str">
        <x:v>Blank</x:v>
      </x:c>
      <x:c r="AL355" s="36" t="n">
        <x:v>0</x:v>
      </x:c>
      <x:c r="AM355" s="36" t="n">
        <x:v>0</x:v>
      </x:c>
      <x:c r="AN355" s="43"/>
      <x:c r="AO355" s="43"/>
      <x:c r="AP355" s="43"/>
    </x:row>
    <x:row r="356" ht="15" hidden="0" customHeight="1">
      <x:c r="A356" s="36" t="str">
        <x:v>EW-27</x:v>
      </x:c>
      <x:c r="B356" s="37" t="str">
        <x:v>CCB Services IT</x:v>
      </x:c>
      <x:c r="C356" s="36" t="str">
        <x:v>EW</x:v>
      </x:c>
      <x:c r="D356" s="36" t="str">
        <x:v>Information Technology ​</x:v>
      </x:c>
      <x:c r="E356" s="36" t="str">
        <x:v>New</x:v>
      </x:c>
      <x:c r="F356" s="36" t="str">
        <x:v>Continuous Improvement</x:v>
      </x:c>
      <x:c r="G356" s="36" t="str">
        <x:v>Compliance/Keeping the lights on</x:v>
      </x:c>
      <x:c r="H356" s="36" t="str"/>
      <x:c r="I356" s="36" t="str">
        <x:v>Change &amp; Sustain</x:v>
      </x:c>
      <x:c r="J356" s="38" t="n">
        <x:v>1.6</x:v>
      </x:c>
      <x:c r="K356" s="38"/>
      <x:c r="L356" s="38"/>
      <x:c r="M356" s="38"/>
      <x:c r="N356" s="38"/>
      <x:c r="O356" s="38"/>
      <x:c r="P356" s="37" t="str"/>
      <x:c r="Q356" s="37" t="str">
        <x:v>Risk exposure</x:v>
      </x:c>
      <x:c r="R356" s="37" t="str"/>
      <x:c r="S356" s="37" t="str"/>
      <x:c r="T356" s="37" t="str"/>
      <x:c r="U356" s="37" t="str"/>
      <x:c r="V356" s="36" t="str"/>
      <x:c r="W356" s="36" t="str"/>
      <x:c r="X356" s="36"/>
      <x:c r="Y356" s="36" t="str">
        <x:v>NotAssessed</x:v>
      </x:c>
      <x:c r="Z356" s="36" t="str"/>
      <x:c r="AA356" s="36" t="str"/>
      <x:c r="AB356" s="36"/>
      <x:c r="AC356" s="36"/>
      <x:c r="AD356" s="36" t="str"/>
      <x:c r="AE356" s="36" t="str"/>
      <x:c r="AF356" s="36" t="str">
        <x:v>No exact waste match</x:v>
      </x:c>
      <x:c r="AG356" s="36" t="str">
        <x:v>Change and Sustain candidate</x:v>
      </x:c>
      <x:c r="AH356" s="36" t="str">
        <x:v>EW Demand!row 69</x:v>
      </x:c>
      <x:c r="AI356" s="36" t="str">
        <x:v>CI</x:v>
      </x:c>
      <x:c r="AJ356" s="36" t="str">
        <x:v>Compliance</x:v>
      </x:c>
      <x:c r="AK356" s="36" t="str">
        <x:v>Blank</x:v>
      </x:c>
      <x:c r="AL356" s="36" t="n">
        <x:v>0</x:v>
      </x:c>
      <x:c r="AM356" s="36" t="n">
        <x:v>0</x:v>
      </x:c>
      <x:c r="AN356" s="43"/>
      <x:c r="AO356" s="43"/>
      <x:c r="AP356" s="43"/>
    </x:row>
    <x:row r="357" ht="15" hidden="0" customHeight="1">
      <x:c r="A357" s="36" t="str">
        <x:v>EW-28</x:v>
      </x:c>
      <x:c r="B357" s="37" t="str">
        <x:v>NAR Government IT System &amp; Security</x:v>
      </x:c>
      <x:c r="C357" s="36" t="str">
        <x:v>EW</x:v>
      </x:c>
      <x:c r="D357" s="36" t="str">
        <x:v>North America</x:v>
      </x:c>
      <x:c r="E357" s="36" t="str">
        <x:v>1006214</x:v>
      </x:c>
      <x:c r="F357" s="36" t="str">
        <x:v>Legal Fiscal, Regulatory &amp; Compliancy</x:v>
      </x:c>
      <x:c r="G357" s="36" t="str">
        <x:v>Compliance/Keeping the lights on</x:v>
      </x:c>
      <x:c r="H357" s="36" t="str">
        <x:v>Must Do</x:v>
      </x:c>
      <x:c r="I357" s="36" t="str">
        <x:v>Carry Over</x:v>
      </x:c>
      <x:c r="J357" s="38" t="n">
        <x:v>0.777</x:v>
      </x:c>
      <x:c r="K357" s="38"/>
      <x:c r="L357" s="38" t="n">
        <x:v>0.127</x:v>
      </x:c>
      <x:c r="M357" s="38"/>
      <x:c r="N357" s="38"/>
      <x:c r="O357" s="38"/>
      <x:c r="P357" s="37" t="str">
        <x:v>NAM Business to give us the revenue with DoW (expected to be in the millions)</x:v>
      </x:c>
      <x:c r="Q357" s="37" t="str">
        <x:v>Risk exposure</x:v>
      </x:c>
      <x:c r="R357" s="37" t="str">
        <x:v>Loss of license to sell . Unable to sell to the North American Government Department of War (DoW)</x:v>
      </x:c>
      <x:c r="S357" s="37" t="str">
        <x:v>Comply wiht CMMC reglations for NA Gov DoW</x:v>
      </x:c>
      <x:c r="T357" s="37" t="str">
        <x:v>All systems used for US Gov DOW that need to store CUI</x:v>
      </x:c>
      <x:c r="U357" s="37" t="str"/>
      <x:c r="V357" s="36" t="str">
        <x:v>2027</x:v>
      </x:c>
      <x:c r="W357" s="36" t="str"/>
      <x:c r="X357" s="36" t="n">
        <x:v>1.45</x:v>
      </x:c>
      <x:c r="Y357" s="36" t="str">
        <x:v>HEALTHY</x:v>
      </x:c>
      <x:c r="Z357" s="36" t="str">
        <x:v>YES</x:v>
      </x:c>
      <x:c r="AA357" s="36" t="str">
        <x:v>5 — Exactly the minimum — only what's needed to meet the rule, nothing more.</x:v>
      </x:c>
      <x:c r="AB357" s="36" t="n">
        <x:v>5</x:v>
      </x:c>
      <x:c r="AC357" s="36" t="n">
        <x:v>25</x:v>
      </x:c>
      <x:c r="AD357" s="36" t="str">
        <x:v>P1 — Immediate</x:v>
      </x:c>
      <x:c r="AE357" s="36" t="str">
        <x:v>HEALTHY / MUST-DO — P1 — Immediate</x:v>
      </x:c>
      <x:c r="AF357" s="36" t="str">
        <x:v>Name and organisation matched</x:v>
      </x:c>
      <x:c r="AG357" s="36" t="str">
        <x:v>LFR validated candidate</x:v>
      </x:c>
      <x:c r="AH357" s="36" t="str">
        <x:v>EW Demand!row 70</x:v>
      </x:c>
      <x:c r="AI357" s="36" t="str">
        <x:v>LFR</x:v>
      </x:c>
      <x:c r="AJ357" s="36" t="str">
        <x:v>Compliance</x:v>
      </x:c>
      <x:c r="AK357" s="36" t="str">
        <x:v>Must Do</x:v>
      </x:c>
      <x:c r="AL357" s="36" t="n">
        <x:v>0</x:v>
      </x:c>
      <x:c r="AM357" s="36" t="n">
        <x:v>0</x:v>
      </x:c>
      <x:c r="AN357" s="43"/>
      <x:c r="AO357" s="43"/>
      <x:c r="AP357" s="43"/>
    </x:row>
    <x:row r="358" ht="15" hidden="0" customHeight="1">
      <x:c r="A358" s="36" t="str">
        <x:v>EW-29</x:v>
      </x:c>
      <x:c r="B358" s="37" t="str">
        <x:v>Technology Business Management and FinOps program</x:v>
      </x:c>
      <x:c r="C358" s="36" t="str">
        <x:v>EW</x:v>
      </x:c>
      <x:c r="D358" s="36" t="str">
        <x:v>Information Technology ​</x:v>
      </x:c>
      <x:c r="E358" s="36" t="str">
        <x:v>1004341</x:v>
      </x:c>
      <x:c r="F358" s="36" t="str">
        <x:v>New Features</x:v>
      </x:c>
      <x:c r="G358" s="36" t="str"/>
      <x:c r="H358" s="36" t="str"/>
      <x:c r="I358" s="36" t="str">
        <x:v>Carry Over</x:v>
      </x:c>
      <x:c r="J358" s="38" t="n">
        <x:v>0.45</x:v>
      </x:c>
      <x:c r="K358" s="38"/>
      <x:c r="L358" s="38"/>
      <x:c r="M358" s="38"/>
      <x:c r="N358" s="38"/>
      <x:c r="O358" s="38"/>
      <x:c r="P358" s="37" t="str"/>
      <x:c r="Q358" s="37" t="str">
        <x:v>Unclassified</x:v>
      </x:c>
      <x:c r="R358" s="37" t="str"/>
      <x:c r="S358" s="37" t="str"/>
      <x:c r="T358" s="37" t="str"/>
      <x:c r="U358" s="37" t="str"/>
      <x:c r="V358" s="36" t="str"/>
      <x:c r="W358" s="36" t="str"/>
      <x:c r="X358" s="36" t="n">
        <x:v>1.4</x:v>
      </x:c>
      <x:c r="Y358" s="36" t="str">
        <x:v>HEALTHY</x:v>
      </x:c>
      <x:c r="Z358" s="36" t="str"/>
      <x:c r="AA358" s="36" t="str"/>
      <x:c r="AB358" s="36"/>
      <x:c r="AC358" s="36"/>
      <x:c r="AD358" s="36" t="str"/>
      <x:c r="AE358" s="36" t="str">
        <x:v>HEALTHY — Rank in priority matrix</x:v>
      </x:c>
      <x:c r="AF358" s="36" t="str">
        <x:v>Name and organisation matched</x:v>
      </x:c>
      <x:c r="AG358" s="36" t="str">
        <x:v>Common pot</x:v>
      </x:c>
      <x:c r="AH358" s="36" t="str">
        <x:v>EW Demand!row 71</x:v>
      </x:c>
      <x:c r="AI358" s="36" t="str">
        <x:v>NewFeat</x:v>
      </x:c>
      <x:c r="AJ358" s="36" t="str">
        <x:v>Blank</x:v>
      </x:c>
      <x:c r="AK358" s="36" t="str">
        <x:v>Blank</x:v>
      </x:c>
      <x:c r="AL358" s="36" t="n">
        <x:v>0</x:v>
      </x:c>
      <x:c r="AM358" s="36" t="n">
        <x:v>0</x:v>
      </x:c>
      <x:c r="AN358" s="43"/>
      <x:c r="AO358" s="43"/>
      <x:c r="AP358" s="43"/>
    </x:row>
    <x:row r="359" ht="15" hidden="0" customHeight="1">
      <x:c r="A359" s="36" t="str">
        <x:v>EW-32</x:v>
      </x:c>
      <x:c r="B359" s="37" t="str">
        <x:v>EADI - AI</x:v>
      </x:c>
      <x:c r="C359" s="36" t="str">
        <x:v>EW</x:v>
      </x:c>
      <x:c r="D359" s="36" t="str">
        <x:v>Information Technology ​</x:v>
      </x:c>
      <x:c r="E359" s="36" t="str">
        <x:v>1005533</x:v>
      </x:c>
      <x:c r="F359" s="36" t="str">
        <x:v>AI Enablement</x:v>
      </x:c>
      <x:c r="G359" s="36" t="str">
        <x:v>Process simplification/ efficiency gain</x:v>
      </x:c>
      <x:c r="H359" s="36" t="str">
        <x:v>Must Do</x:v>
      </x:c>
      <x:c r="I359" s="36" t="str">
        <x:v>Carry Over</x:v>
      </x:c>
      <x:c r="J359" s="38" t="n">
        <x:v>0.2</x:v>
      </x:c>
      <x:c r="K359" s="38"/>
      <x:c r="L359" s="38"/>
      <x:c r="M359" s="38"/>
      <x:c r="N359" s="38"/>
      <x:c r="O359" s="38"/>
      <x:c r="P359" s="37" t="str">
        <x:v>1-5M primarly driven through optimal use of AI foundation </x:v>
      </x:c>
      <x:c r="Q359" s="37" t="str">
        <x:v>Cash savings</x:v>
      </x:c>
      <x:c r="R359" s="37" t="str">
        <x:v>uncerternaity of adhereance to AI Governance and gaurdrails. Impact on spending due to probable inefficient used of models </x:v>
      </x:c>
      <x:c r="S359" s="37" t="str">
        <x:v>Extension of AI Foundation capabilities for mdel serving and Oberserbility </x:v>
      </x:c>
      <x:c r="T359" s="37" t="str">
        <x:v>AI Foundation service and AI landing zone </x:v>
      </x:c>
      <x:c r="U359" s="37" t="str"/>
      <x:c r="V359" s="36" t="str"/>
      <x:c r="W359" s="36" t="str"/>
      <x:c r="X359" s="36" t="n">
        <x:v>1</x:v>
      </x:c>
      <x:c r="Y359" s="36" t="str">
        <x:v>HEALTHY</x:v>
      </x:c>
      <x:c r="Z359" s="36" t="str"/>
      <x:c r="AA359" s="36" t="str"/>
      <x:c r="AB359" s="36"/>
      <x:c r="AC359" s="36"/>
      <x:c r="AD359" s="36" t="str"/>
      <x:c r="AE359" s="36" t="str">
        <x:v>HEALTHY — Rank in priority matrix</x:v>
      </x:c>
      <x:c r="AF359" s="36" t="str">
        <x:v>Name and organisation matched</x:v>
      </x:c>
      <x:c r="AG359" s="36" t="str">
        <x:v>Common pot</x:v>
      </x:c>
      <x:c r="AH359" s="36" t="str">
        <x:v>EW Demand!row 72</x:v>
      </x:c>
      <x:c r="AI359" s="36" t="str">
        <x:v>AI</x:v>
      </x:c>
      <x:c r="AJ359" s="36" t="str">
        <x:v>ProcSimp</x:v>
      </x:c>
      <x:c r="AK359" s="36" t="str">
        <x:v>Must Do</x:v>
      </x:c>
      <x:c r="AL359" s="36" t="n">
        <x:v>0</x:v>
      </x:c>
      <x:c r="AM359" s="36" t="n">
        <x:v>0</x:v>
      </x:c>
      <x:c r="AN359" s="43"/>
      <x:c r="AO359" s="43"/>
      <x:c r="AP359" s="43"/>
    </x:row>
    <x:row r="360" ht="15" hidden="0" customHeight="1">
      <x:c r="A360" s="36" t="str">
        <x:v>EW-33</x:v>
      </x:c>
      <x:c r="B360" s="37" t="str">
        <x:v>EADI - Modeling</x:v>
      </x:c>
      <x:c r="C360" s="36" t="str">
        <x:v>EW</x:v>
      </x:c>
      <x:c r="D360" s="36" t="str">
        <x:v>Information Technology ​</x:v>
      </x:c>
      <x:c r="E360" s="36" t="str">
        <x:v>1005534</x:v>
      </x:c>
      <x:c r="F360" s="36" t="str">
        <x:v>Upgrades &amp; Enhancements</x:v>
      </x:c>
      <x:c r="G360" s="36" t="str">
        <x:v>Productivity savings</x:v>
      </x:c>
      <x:c r="H360" s="36" t="str">
        <x:v>Must Do</x:v>
      </x:c>
      <x:c r="I360" s="36" t="str">
        <x:v>Carry Over</x:v>
      </x:c>
      <x:c r="J360" s="38" t="n">
        <x:v>0.12</x:v>
      </x:c>
      <x:c r="K360" s="38"/>
      <x:c r="L360" s="38"/>
      <x:c r="M360" s="38"/>
      <x:c r="N360" s="38"/>
      <x:c r="O360" s="38"/>
      <x:c r="P360" s="37" t="str">
        <x:v>Savings of 190K by 2028</x:v>
      </x:c>
      <x:c r="Q360" s="37" t="str">
        <x:v>Cash savings</x:v>
      </x:c>
      <x:c r="R360" s="37" t="str">
        <x:v>Continue to incur the SAP PD cost and productivity savings are lost</x:v>
      </x:c>
      <x:c r="S360" s="37" t="str">
        <x:v>Data modeling is highly manual for both design and implementation to make data accessible via common data models for I&amp;A</x:v>
      </x:c>
      <x:c r="T360" s="37" t="str">
        <x:v>E2E agentic capability for full enterprise IT data asset availability</x:v>
      </x:c>
      <x:c r="U360" s="37" t="str"/>
      <x:c r="V360" s="36" t="str"/>
      <x:c r="W360" s="36" t="str"/>
      <x:c r="X360" s="36" t="n">
        <x:v>1.05</x:v>
      </x:c>
      <x:c r="Y360" s="36" t="str">
        <x:v>HEALTHY</x:v>
      </x:c>
      <x:c r="Z360" s="36" t="str"/>
      <x:c r="AA360" s="36" t="str"/>
      <x:c r="AB360" s="36"/>
      <x:c r="AC360" s="36"/>
      <x:c r="AD360" s="36" t="str"/>
      <x:c r="AE360" s="36" t="str">
        <x:v>HEALTHY — Rank in priority matrix</x:v>
      </x:c>
      <x:c r="AF360" s="36" t="str">
        <x:v>Name and organisation matched</x:v>
      </x:c>
      <x:c r="AG360" s="36" t="str">
        <x:v>Common pot</x:v>
      </x:c>
      <x:c r="AH360" s="36" t="str">
        <x:v>EW Demand!row 73</x:v>
      </x:c>
      <x:c r="AI360" s="36" t="str">
        <x:v>Upgrades</x:v>
      </x:c>
      <x:c r="AJ360" s="36" t="str">
        <x:v>Productivity</x:v>
      </x:c>
      <x:c r="AK360" s="36" t="str">
        <x:v>Must Do</x:v>
      </x:c>
      <x:c r="AL360" s="36" t="n">
        <x:v>0</x:v>
      </x:c>
      <x:c r="AM360" s="36" t="n">
        <x:v>0</x:v>
      </x:c>
      <x:c r="AN360" s="43"/>
      <x:c r="AO360" s="43"/>
      <x:c r="AP360" s="43"/>
    </x:row>
    <x:row r="361" ht="15" hidden="0" customHeight="1">
      <x:c r="A361" s="36" t="str">
        <x:v>EW-34</x:v>
      </x:c>
      <x:c r="B361" s="37" t="str">
        <x:v>EADI - DataPlatform 2026</x:v>
      </x:c>
      <x:c r="C361" s="36" t="str">
        <x:v>EW</x:v>
      </x:c>
      <x:c r="D361" s="36" t="str">
        <x:v>Information Technology ​</x:v>
      </x:c>
      <x:c r="E361" s="36" t="str">
        <x:v>1006869</x:v>
      </x:c>
      <x:c r="F361" s="36" t="str">
        <x:v>Upgrades &amp; Enhancements</x:v>
      </x:c>
      <x:c r="G361" s="36" t="str">
        <x:v>Process simplification/ efficiency gain</x:v>
      </x:c>
      <x:c r="H361" s="36" t="str">
        <x:v>Must Have</x:v>
      </x:c>
      <x:c r="I361" s="36" t="str">
        <x:v>Carry Over</x:v>
      </x:c>
      <x:c r="J361" s="38" t="n">
        <x:v>0.3</x:v>
      </x:c>
      <x:c r="K361" s="38"/>
      <x:c r="L361" s="38"/>
      <x:c r="M361" s="38"/>
      <x:c r="N361" s="38"/>
      <x:c r="O361" s="38" t="n">
        <x:v>0.6</x:v>
      </x:c>
      <x:c r="P361" s="37" t="str">
        <x:v>600</x:v>
      </x:c>
      <x:c r="Q361" s="37" t="str">
        <x:v>Cash savings</x:v>
      </x:c>
      <x:c r="R361" s="37" t="str">
        <x:v>1. Missed Retirement PIL informatica</x:v>
      </x:c>
      <x:c r="S361" s="37" t="str">
        <x:v>migrate out of informatica and save license &amp; ops cost</x:v>
      </x:c>
      <x:c r="T361" s="37" t="str">
        <x:v>Migrate Informatica integrations to Azure Databricks stack</x:v>
      </x:c>
      <x:c r="U361" s="37" t="str">
        <x:v>EW-39, EW-120 MDM migration has to complete as well to realise the savings</x:v>
      </x:c>
      <x:c r="V361" s="36" t="str"/>
      <x:c r="W361" s="36" t="str"/>
      <x:c r="X361" s="36" t="n">
        <x:v>1</x:v>
      </x:c>
      <x:c r="Y361" s="36" t="str">
        <x:v>HEALTHY</x:v>
      </x:c>
      <x:c r="Z361" s="36" t="str"/>
      <x:c r="AA361" s="36" t="str"/>
      <x:c r="AB361" s="36"/>
      <x:c r="AC361" s="36"/>
      <x:c r="AD361" s="36" t="str"/>
      <x:c r="AE361" s="36" t="str">
        <x:v>HEALTHY — Rank in priority matrix</x:v>
      </x:c>
      <x:c r="AF361" s="36" t="str">
        <x:v>Name and organisation matched</x:v>
      </x:c>
      <x:c r="AG361" s="36" t="str">
        <x:v>Common pot</x:v>
      </x:c>
      <x:c r="AH361" s="36" t="str">
        <x:v>EW Demand!row 74</x:v>
      </x:c>
      <x:c r="AI361" s="36" t="str">
        <x:v>Upgrades</x:v>
      </x:c>
      <x:c r="AJ361" s="36" t="str">
        <x:v>ProcSimp</x:v>
      </x:c>
      <x:c r="AK361" s="36" t="str">
        <x:v>Must Have</x:v>
      </x:c>
      <x:c r="AL361" s="36" t="n">
        <x:v>0</x:v>
      </x:c>
      <x:c r="AM361" s="36" t="n">
        <x:v>0</x:v>
      </x:c>
      <x:c r="AN361" s="43"/>
      <x:c r="AO361" s="43"/>
      <x:c r="AP361" s="43"/>
    </x:row>
    <x:row r="362" ht="15" hidden="0" customHeight="1">
      <x:c r="A362" s="36" t="str">
        <x:v>EW-35</x:v>
      </x:c>
      <x:c r="B362" s="37" t="str">
        <x:v>EDI - AI Innovation - MCP, Voice, Automation, Business Inisights App</x:v>
      </x:c>
      <x:c r="C362" s="36" t="str">
        <x:v>EW</x:v>
      </x:c>
      <x:c r="D362" s="36" t="str">
        <x:v>Information Technology ​</x:v>
      </x:c>
      <x:c r="E362" s="36" t="str">
        <x:v>1006871</x:v>
      </x:c>
      <x:c r="F362" s="36" t="str">
        <x:v>AI Enablement</x:v>
      </x:c>
      <x:c r="G362" s="36" t="str">
        <x:v>Process simplification/ efficiency gain</x:v>
      </x:c>
      <x:c r="H362" s="36" t="str">
        <x:v>Must Do</x:v>
      </x:c>
      <x:c r="I362" s="36" t="str">
        <x:v>Carry Over</x:v>
      </x:c>
      <x:c r="J362" s="38" t="n">
        <x:v>0.6</x:v>
      </x:c>
      <x:c r="K362" s="38"/>
      <x:c r="L362" s="38"/>
      <x:c r="M362" s="38"/>
      <x:c r="N362" s="38"/>
      <x:c r="O362" s="38"/>
      <x:c r="P362" s="37" t="str">
        <x:v>quantification is linked to demands coming B/R/F projects on AI foundation</x:v>
      </x:c>
      <x:c r="Q362" s="37" t="str">
        <x:v>Cash savings</x:v>
      </x:c>
      <x:c r="R362" s="37" t="str">
        <x:v>Business will fall back alternate solution in proliferation of AI Tools </x:v>
      </x:c>
      <x:c r="S362" s="37" t="str">
        <x:v>Enabling Voice in AI use cases, Enabling MCP for exisitng IT capapbilites</x:v>
      </x:c>
      <x:c r="T362" s="37" t="str">
        <x:v>ITaaP, AI Foundation, PH use cases, Services IT, Innovation IT and Group Function IT use cases</x:v>
      </x:c>
      <x:c r="U362" s="37" t="str"/>
      <x:c r="V362" s="36" t="str"/>
      <x:c r="W362" s="36" t="str"/>
      <x:c r="X362" s="36" t="n">
        <x:v>1</x:v>
      </x:c>
      <x:c r="Y362" s="36" t="str">
        <x:v>HEALTHY</x:v>
      </x:c>
      <x:c r="Z362" s="36" t="str"/>
      <x:c r="AA362" s="36" t="str"/>
      <x:c r="AB362" s="36"/>
      <x:c r="AC362" s="36"/>
      <x:c r="AD362" s="36" t="str"/>
      <x:c r="AE362" s="36" t="str">
        <x:v>HEALTHY — Rank in priority matrix</x:v>
      </x:c>
      <x:c r="AF362" s="36" t="str">
        <x:v>Name and organisation matched</x:v>
      </x:c>
      <x:c r="AG362" s="36" t="str">
        <x:v>Common pot</x:v>
      </x:c>
      <x:c r="AH362" s="36" t="str">
        <x:v>EW Demand!row 76</x:v>
      </x:c>
      <x:c r="AI362" s="36" t="str">
        <x:v>AI</x:v>
      </x:c>
      <x:c r="AJ362" s="36" t="str">
        <x:v>ProcSimp</x:v>
      </x:c>
      <x:c r="AK362" s="36" t="str">
        <x:v>Must Do</x:v>
      </x:c>
      <x:c r="AL362" s="36" t="n">
        <x:v>0</x:v>
      </x:c>
      <x:c r="AM362" s="36" t="n">
        <x:v>0</x:v>
      </x:c>
      <x:c r="AN362" s="43"/>
      <x:c r="AO362" s="43"/>
      <x:c r="AP362" s="43"/>
    </x:row>
    <x:row r="363" ht="15" hidden="0" customHeight="1">
      <x:c r="A363" s="36" t="str">
        <x:v>EW-36</x:v>
      </x:c>
      <x:c r="B363" s="37" t="str">
        <x:v>EADI - Exploration AI capabilities for Supply Chain</x:v>
      </x:c>
      <x:c r="C363" s="36" t="str">
        <x:v>EW</x:v>
      </x:c>
      <x:c r="D363" s="36" t="str">
        <x:v>Information Technology ​</x:v>
      </x:c>
      <x:c r="E363" s="36" t="str">
        <x:v>1006873</x:v>
      </x:c>
      <x:c r="F363" s="36" t="str">
        <x:v>AI Enablement</x:v>
      </x:c>
      <x:c r="G363" s="36" t="str">
        <x:v>Process simplification/ efficiency gain</x:v>
      </x:c>
      <x:c r="H363" s="36" t="str">
        <x:v>Must Do</x:v>
      </x:c>
      <x:c r="I363" s="36" t="str">
        <x:v>Carry Over</x:v>
      </x:c>
      <x:c r="J363" s="38" t="n">
        <x:v>0.1</x:v>
      </x:c>
      <x:c r="K363" s="38"/>
      <x:c r="L363" s="38"/>
      <x:c r="M363" s="38"/>
      <x:c r="N363" s="38"/>
      <x:c r="O363" s="38"/>
      <x:c r="P363" s="37" t="str">
        <x:v>saving upto 2M in 2027 due to process otipmisation in order intake and programs like GTC</x:v>
      </x:c>
      <x:c r="Q363" s="37" t="str">
        <x:v>Cash savings</x:v>
      </x:c>
      <x:c r="R363" s="37" t="str">
        <x:v>Slowl Supply chain teansformation for using agentic AI and delayed outcomes</x:v>
      </x:c>
      <x:c r="S363" s="37" t="str">
        <x:v>Enable AI for Supply chain in Key processes for Supply Chain</x:v>
      </x:c>
      <x:c r="T363" s="37" t="str">
        <x:v>Order Intake,GTC, SAL, MAKE, Inventory Domains</x:v>
      </x:c>
      <x:c r="U363" s="37" t="str"/>
      <x:c r="V363" s="36" t="str"/>
      <x:c r="W363" s="36" t="str"/>
      <x:c r="X363" s="36" t="n">
        <x:v>1</x:v>
      </x:c>
      <x:c r="Y363" s="36" t="str">
        <x:v>HEALTHY</x:v>
      </x:c>
      <x:c r="Z363" s="36" t="str"/>
      <x:c r="AA363" s="36" t="str"/>
      <x:c r="AB363" s="36"/>
      <x:c r="AC363" s="36"/>
      <x:c r="AD363" s="36" t="str"/>
      <x:c r="AE363" s="36" t="str">
        <x:v>HEALTHY — Rank in priority matrix</x:v>
      </x:c>
      <x:c r="AF363" s="36" t="str">
        <x:v>Name and organisation matched</x:v>
      </x:c>
      <x:c r="AG363" s="36" t="str">
        <x:v>Common pot</x:v>
      </x:c>
      <x:c r="AH363" s="36" t="str">
        <x:v>EW Demand!row 77</x:v>
      </x:c>
      <x:c r="AI363" s="36" t="str">
        <x:v>AI</x:v>
      </x:c>
      <x:c r="AJ363" s="36" t="str">
        <x:v>ProcSimp</x:v>
      </x:c>
      <x:c r="AK363" s="36" t="str">
        <x:v>Must Do</x:v>
      </x:c>
      <x:c r="AL363" s="36" t="n">
        <x:v>0</x:v>
      </x:c>
      <x:c r="AM363" s="36" t="n">
        <x:v>0</x:v>
      </x:c>
      <x:c r="AN363" s="43"/>
      <x:c r="AO363" s="43"/>
      <x:c r="AP363" s="43"/>
    </x:row>
    <x:row r="364" ht="24" hidden="0" customHeight="1">
      <x:c r="A364" s="36" t="str">
        <x:v>EW-37</x:v>
      </x:c>
      <x:c r="B364" s="37" t="str">
        <x:v>EADI - I&amp;A Business Intelligence Rationalisation  ( New name : EADI -I&amp;A CDM and AI asset engineering )</x:v>
      </x:c>
      <x:c r="C364" s="36" t="str">
        <x:v>EW</x:v>
      </x:c>
      <x:c r="D364" s="36" t="str">
        <x:v>Information Technology ​</x:v>
      </x:c>
      <x:c r="E364" s="36" t="str">
        <x:v>1006880</x:v>
      </x:c>
      <x:c r="F364" s="36" t="str">
        <x:v>AI Enablement</x:v>
      </x:c>
      <x:c r="G364" s="36" t="str">
        <x:v>Revenue Increase</x:v>
      </x:c>
      <x:c r="H364" s="36" t="str">
        <x:v>Must Do</x:v>
      </x:c>
      <x:c r="I364" s="36" t="str">
        <x:v>Carry Over</x:v>
      </x:c>
      <x:c r="J364" s="38" t="n">
        <x:v>0.493</x:v>
      </x:c>
      <x:c r="K364" s="38"/>
      <x:c r="L364" s="38"/>
      <x:c r="M364" s="38"/>
      <x:c r="N364" s="38"/>
      <x:c r="O364" s="38"/>
      <x:c r="P364" s="37" t="str">
        <x:v>1. For Commercial I&amp;A : Enablement of 10ME + top line via commercial initiatives in 2027 and cost savings of 2ME via decommissioning/ license optimization</x:v>
      </x:c>
      <x:c r="Q364" s="37" t="str">
        <x:v>Revenue</x:v>
      </x:c>
      <x:c r="R364" s="37" t="str">
        <x:v>i. Speed to insight — Analysts spend 60–80% of their time wrangling data without a CDM; a CDM replaces that time for actual ii .Better decisions — Clean, consistent data can improve decision accuracy by 20–30%, directly impacting supply chain outcomes.</x:v>
      </x:c>
      <x:c r="S364" s="37" t="str">
        <x:v>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x:v>
      </x:c>
      <x:c r="T364" s="37" t="str">
        <x:v>CDM Builds+Deployment , Release and Compliance for all the existing and new prodcuction releases across the 3 services Comm I&amp;A(225KE, 3 workbenches), SCM I&amp;A (250KE), Central I&amp;A (8 workbenches - 110KE) +MCP server +skills+Genies</x:v>
      </x:c>
      <x:c r="U364" s="37" t="str"/>
      <x:c r="V364" s="36" t="str">
        <x:v>2027</x:v>
      </x:c>
      <x:c r="W364" s="36" t="str"/>
      <x:c r="X364" s="36"/>
      <x:c r="Y364" s="36" t="str">
        <x:v>NotAssessed</x:v>
      </x:c>
      <x:c r="Z364" s="36" t="str"/>
      <x:c r="AA364" s="36" t="str"/>
      <x:c r="AB364" s="36"/>
      <x:c r="AC364" s="36"/>
      <x:c r="AD364" s="36" t="str"/>
      <x:c r="AE364" s="36" t="str"/>
      <x:c r="AF364" s="36" t="str">
        <x:v>No exact waste match</x:v>
      </x:c>
      <x:c r="AG364" s="36" t="str">
        <x:v>Common pot</x:v>
      </x:c>
      <x:c r="AH364" s="36" t="str">
        <x:v>EW Demand!row 78</x:v>
      </x:c>
      <x:c r="AI364" s="36" t="str">
        <x:v>AI</x:v>
      </x:c>
      <x:c r="AJ364" s="36" t="str">
        <x:v>Revenue</x:v>
      </x:c>
      <x:c r="AK364" s="36" t="str">
        <x:v>Must Do</x:v>
      </x:c>
      <x:c r="AL364" s="36" t="n">
        <x:v>0</x:v>
      </x:c>
      <x:c r="AM364" s="36" t="n">
        <x:v>0</x:v>
      </x:c>
      <x:c r="AN364" s="43"/>
      <x:c r="AO364" s="43"/>
      <x:c r="AP364" s="43"/>
    </x:row>
    <x:row r="365" ht="15" hidden="0" customHeight="1">
      <x:c r="A365" s="36" t="str">
        <x:v>EW-38</x:v>
      </x:c>
      <x:c r="B365" s="37" t="str">
        <x:v>EADI - DQ modernization</x:v>
      </x:c>
      <x:c r="C365" s="36" t="str">
        <x:v>EW</x:v>
      </x:c>
      <x:c r="D365" s="36" t="str">
        <x:v>Information Technology ​</x:v>
      </x:c>
      <x:c r="E365" s="36" t="str">
        <x:v>1006884</x:v>
      </x:c>
      <x:c r="F365" s="36" t="str">
        <x:v>Continuous Improvement</x:v>
      </x:c>
      <x:c r="G365" s="36" t="str">
        <x:v>Productivity savings</x:v>
      </x:c>
      <x:c r="H365" s="36" t="str">
        <x:v>Must Do</x:v>
      </x:c>
      <x:c r="I365" s="36" t="str">
        <x:v>Carry Over</x:v>
      </x:c>
      <x:c r="J365" s="38" t="n">
        <x:v>0.13</x:v>
      </x:c>
      <x:c r="K365" s="38"/>
      <x:c r="L365" s="38"/>
      <x:c r="M365" s="38"/>
      <x:c r="N365" s="38"/>
      <x:c r="O365" s="38"/>
      <x:c r="P365" s="37" t="str">
        <x:v>Savings of 1M by 2028</x:v>
      </x:c>
      <x:c r="Q365" s="37" t="str">
        <x:v>Cash savings</x:v>
      </x:c>
      <x:c r="R365" s="37" t="str">
        <x:v>Loss in productivity &amp; defect resolution cost of 1M incurred.</x:v>
      </x:c>
      <x:c r="S365" s="37" t="str">
        <x:v>Reduce the analysis time in finding the root cause of data Quality defects</x:v>
      </x:c>
      <x:c r="T365" s="37" t="str">
        <x:v>Providing upfront Data Quality Inputs to correct  Or Prevent DQ defects in Master Data.</x:v>
      </x:c>
      <x:c r="U365" s="37" t="str"/>
      <x:c r="V365" s="36" t="str"/>
      <x:c r="W365" s="36" t="str"/>
      <x:c r="X365" s="36" t="n">
        <x:v>1.2</x:v>
      </x:c>
      <x:c r="Y365" s="36" t="str">
        <x:v>HEALTHY</x:v>
      </x:c>
      <x:c r="Z365" s="36" t="str"/>
      <x:c r="AA365" s="36" t="str"/>
      <x:c r="AB365" s="36"/>
      <x:c r="AC365" s="36"/>
      <x:c r="AD365" s="36" t="str"/>
      <x:c r="AE365" s="36" t="str">
        <x:v>HEALTHY — Rank in priority matrix</x:v>
      </x:c>
      <x:c r="AF365" s="36" t="str">
        <x:v>Name and organisation matched</x:v>
      </x:c>
      <x:c r="AG365" s="36" t="str">
        <x:v>Common pot</x:v>
      </x:c>
      <x:c r="AH365" s="36" t="str">
        <x:v>EW Demand!row 80</x:v>
      </x:c>
      <x:c r="AI365" s="36" t="str">
        <x:v>CI</x:v>
      </x:c>
      <x:c r="AJ365" s="36" t="str">
        <x:v>Productivity</x:v>
      </x:c>
      <x:c r="AK365" s="36" t="str">
        <x:v>Must Do</x:v>
      </x:c>
      <x:c r="AL365" s="36" t="n">
        <x:v>0</x:v>
      </x:c>
      <x:c r="AM365" s="36" t="n">
        <x:v>0</x:v>
      </x:c>
      <x:c r="AN365" s="43"/>
      <x:c r="AO365" s="43"/>
      <x:c r="AP365" s="43"/>
    </x:row>
    <x:row r="366" ht="15" hidden="0" customHeight="1">
      <x:c r="A366" s="36" t="str">
        <x:v>EW-39</x:v>
      </x:c>
      <x:c r="B366" s="37" t="str">
        <x:v>EADI - MDM Strategic Positioning</x:v>
      </x:c>
      <x:c r="C366" s="36" t="str">
        <x:v>EW</x:v>
      </x:c>
      <x:c r="D366" s="36" t="str">
        <x:v>Information Technology ​</x:v>
      </x:c>
      <x:c r="E366" s="36" t="str">
        <x:v>1006886</x:v>
      </x:c>
      <x:c r="F366" s="36" t="str">
        <x:v>New Features</x:v>
      </x:c>
      <x:c r="G366" s="36" t="str">
        <x:v>Productivity savings</x:v>
      </x:c>
      <x:c r="H366" s="36" t="str">
        <x:v>Must Do</x:v>
      </x:c>
      <x:c r="I366" s="36" t="str">
        <x:v>Carry Over</x:v>
      </x:c>
      <x:c r="J366" s="38" t="n">
        <x:v>0.1</x:v>
      </x:c>
      <x:c r="K366" s="38"/>
      <x:c r="L366" s="38"/>
      <x:c r="M366" s="38"/>
      <x:c r="N366" s="38"/>
      <x:c r="O366" s="38"/>
      <x:c r="P366" s="37" t="str">
        <x:v>Savings of 625K by 2028</x:v>
      </x:c>
      <x:c r="Q366" s="37" t="str">
        <x:v>Cash savings</x:v>
      </x:c>
      <x:c r="R366" s="37" t="str">
        <x:v>Loss in Productivity &amp; Savings will not be realized</x:v>
      </x:c>
      <x:c r="S366" s="37" t="str">
        <x:v>Reduce dependency on Informatica and High license costs</x:v>
      </x:c>
      <x:c r="T366" s="37" t="str">
        <x:v>Moving PDH and FORDH out of Informatica and building it on Itaap Platform.</x:v>
      </x:c>
      <x:c r="U366" s="37" t="str"/>
      <x:c r="V366" s="36" t="str"/>
      <x:c r="W366" s="36" t="str"/>
      <x:c r="X366" s="36" t="n">
        <x:v>1.05</x:v>
      </x:c>
      <x:c r="Y366" s="36" t="str">
        <x:v>HEALTHY</x:v>
      </x:c>
      <x:c r="Z366" s="36" t="str"/>
      <x:c r="AA366" s="36" t="str"/>
      <x:c r="AB366" s="36"/>
      <x:c r="AC366" s="36"/>
      <x:c r="AD366" s="36" t="str"/>
      <x:c r="AE366" s="36" t="str">
        <x:v>HEALTHY — Rank in priority matrix</x:v>
      </x:c>
      <x:c r="AF366" s="36" t="str">
        <x:v>Name and organisation matched</x:v>
      </x:c>
      <x:c r="AG366" s="36" t="str">
        <x:v>Common pot</x:v>
      </x:c>
      <x:c r="AH366" s="36" t="str">
        <x:v>EW Demand!row 81</x:v>
      </x:c>
      <x:c r="AI366" s="36" t="str">
        <x:v>NewFeat</x:v>
      </x:c>
      <x:c r="AJ366" s="36" t="str">
        <x:v>Productivity</x:v>
      </x:c>
      <x:c r="AK366" s="36" t="str">
        <x:v>Must Do</x:v>
      </x:c>
      <x:c r="AL366" s="36" t="n">
        <x:v>0</x:v>
      </x:c>
      <x:c r="AM366" s="36" t="n">
        <x:v>0</x:v>
      </x:c>
      <x:c r="AN366" s="43"/>
      <x:c r="AO366" s="43"/>
      <x:c r="AP366" s="43"/>
    </x:row>
    <x:row r="367" ht="15" hidden="0" customHeight="1">
      <x:c r="A367" s="36" t="str">
        <x:v>EW-40</x:v>
      </x:c>
      <x:c r="B367" s="37" t="str">
        <x:v>EADI - Data Design &amp; Lineage</x:v>
      </x:c>
      <x:c r="C367" s="36" t="str">
        <x:v>EW</x:v>
      </x:c>
      <x:c r="D367" s="36" t="str">
        <x:v>Information Technology ​</x:v>
      </x:c>
      <x:c r="E367" s="36" t="str">
        <x:v>1006888</x:v>
      </x:c>
      <x:c r="F367" s="36" t="str">
        <x:v>Upgrades &amp; Enhancements</x:v>
      </x:c>
      <x:c r="G367" s="36" t="str">
        <x:v>Productivity savings</x:v>
      </x:c>
      <x:c r="H367" s="36" t="str">
        <x:v>Must Do</x:v>
      </x:c>
      <x:c r="I367" s="36" t="str">
        <x:v>Carry Over</x:v>
      </x:c>
      <x:c r="J367" s="38" t="n">
        <x:v>0.15</x:v>
      </x:c>
      <x:c r="K367" s="38"/>
      <x:c r="L367" s="38"/>
      <x:c r="M367" s="38"/>
      <x:c r="N367" s="38"/>
      <x:c r="O367" s="38"/>
      <x:c r="P367" s="37" t="str">
        <x:v>Savings of 500K by 2028</x:v>
      </x:c>
      <x:c r="Q367" s="37" t="str">
        <x:v>Cash savings</x:v>
      </x:c>
      <x:c r="R367" s="37" t="str">
        <x:v>Loss in Productivity and Savings will not be realized.</x:v>
      </x:c>
      <x:c r="S367" s="37" t="str">
        <x:v>One Stop Analytics Shop legacy application is highly manual, data quality is poor and there is lack of data ownership. No visibility to lineage across data models, assets, reports</x:v>
      </x:c>
      <x:c r="T367" s="37" t="str">
        <x:v>Enterprise IT and Clinical Data E2E lineage and visibility; integration with enterprise Knowledge Graph</x:v>
      </x:c>
      <x:c r="U367" s="37" t="str"/>
      <x:c r="V367" s="36" t="str"/>
      <x:c r="W367" s="36" t="str"/>
      <x:c r="X367" s="36"/>
      <x:c r="Y367" s="36" t="str">
        <x:v>NotAssessed</x:v>
      </x:c>
      <x:c r="Z367" s="36" t="str"/>
      <x:c r="AA367" s="36" t="str"/>
      <x:c r="AB367" s="36"/>
      <x:c r="AC367" s="36"/>
      <x:c r="AD367" s="36" t="str"/>
      <x:c r="AE367" s="36" t="str"/>
      <x:c r="AF367" s="36" t="str">
        <x:v>Organisation differs or ambiguous</x:v>
      </x:c>
      <x:c r="AG367" s="36" t="str">
        <x:v>Common pot</x:v>
      </x:c>
      <x:c r="AH367" s="36" t="str">
        <x:v>EW Demand!row 82</x:v>
      </x:c>
      <x:c r="AI367" s="36" t="str">
        <x:v>Upgrades</x:v>
      </x:c>
      <x:c r="AJ367" s="36" t="str">
        <x:v>Productivity</x:v>
      </x:c>
      <x:c r="AK367" s="36" t="str">
        <x:v>Must Do</x:v>
      </x:c>
      <x:c r="AL367" s="36" t="n">
        <x:v>0</x:v>
      </x:c>
      <x:c r="AM367" s="36" t="n">
        <x:v>0</x:v>
      </x:c>
      <x:c r="AN367" s="43"/>
      <x:c r="AO367" s="43"/>
      <x:c r="AP367" s="43"/>
    </x:row>
    <x:row r="368" ht="15" hidden="0" customHeight="1">
      <x:c r="A368" s="36" t="str">
        <x:v>EW-42</x:v>
      </x:c>
      <x:c r="B368" s="37" t="str">
        <x:v>CCB - I&amp;D - Innovation &amp; Digital</x:v>
      </x:c>
      <x:c r="C368" s="36" t="str">
        <x:v>EW</x:v>
      </x:c>
      <x:c r="D368" s="36" t="str">
        <x:v>Information Technology ​</x:v>
      </x:c>
      <x:c r="E368" s="36" t="str">
        <x:v>1006494</x:v>
      </x:c>
      <x:c r="F368" s="36" t="str">
        <x:v>Continuous Improvement</x:v>
      </x:c>
      <x:c r="G368" s="36" t="str">
        <x:v>Compliance/Keeping the lights on</x:v>
      </x:c>
      <x:c r="H368" s="36" t="str">
        <x:v>Must Have</x:v>
      </x:c>
      <x:c r="I368" s="36" t="str">
        <x:v>Change &amp; Sustain</x:v>
      </x:c>
      <x:c r="J368" s="38" t="n">
        <x:v>2</x:v>
      </x:c>
      <x:c r="K368" s="38"/>
      <x:c r="L368" s="38"/>
      <x:c r="M368" s="38"/>
      <x:c r="N368" s="38"/>
      <x:c r="O368" s="38"/>
      <x:c r="P368" s="37" t="str"/>
      <x:c r="Q368" s="37" t="str">
        <x:v>Risk exposure</x:v>
      </x:c>
      <x:c r="R368" s="37" t="str"/>
      <x:c r="S368" s="37" t="str">
        <x:v>Add hoc change request and must do's</x:v>
      </x:c>
      <x:c r="T368" s="37" t="str">
        <x:v>All I&amp;D domains</x:v>
      </x:c>
      <x:c r="U368" s="37" t="str"/>
      <x:c r="V368" s="36" t="str"/>
      <x:c r="W368" s="36" t="str"/>
      <x:c r="X368" s="36"/>
      <x:c r="Y368" s="36" t="str">
        <x:v>NotAssessed</x:v>
      </x:c>
      <x:c r="Z368" s="36" t="str"/>
      <x:c r="AA368" s="36" t="str"/>
      <x:c r="AB368" s="36"/>
      <x:c r="AC368" s="36"/>
      <x:c r="AD368" s="36" t="str"/>
      <x:c r="AE368" s="36" t="str"/>
      <x:c r="AF368" s="36" t="str">
        <x:v>No exact waste match</x:v>
      </x:c>
      <x:c r="AG368" s="36" t="str">
        <x:v>Change and Sustain candidate</x:v>
      </x:c>
      <x:c r="AH368" s="36" t="str">
        <x:v>EW Demand!row 83</x:v>
      </x:c>
      <x:c r="AI368" s="36" t="str">
        <x:v>CI</x:v>
      </x:c>
      <x:c r="AJ368" s="36" t="str">
        <x:v>Compliance</x:v>
      </x:c>
      <x:c r="AK368" s="36" t="str">
        <x:v>Must Have</x:v>
      </x:c>
      <x:c r="AL368" s="36" t="n">
        <x:v>0</x:v>
      </x:c>
      <x:c r="AM368" s="36" t="n">
        <x:v>0</x:v>
      </x:c>
      <x:c r="AN368" s="43"/>
      <x:c r="AO368" s="43"/>
      <x:c r="AP368" s="43"/>
    </x:row>
    <x:row r="369" ht="15" hidden="0" customHeight="1">
      <x:c r="A369" s="36" t="str">
        <x:v>EW-43</x:v>
      </x:c>
      <x:c r="B369" s="37" t="str">
        <x:v>EADI- Enabling GAIT</x:v>
      </x:c>
      <x:c r="C369" s="36" t="str">
        <x:v>EW</x:v>
      </x:c>
      <x:c r="D369" s="36" t="str">
        <x:v>Information Technology ​</x:v>
      </x:c>
      <x:c r="E369" s="36" t="str">
        <x:v>T.b.d</x:v>
      </x:c>
      <x:c r="F369" s="36" t="str">
        <x:v>AI Enablement</x:v>
      </x:c>
      <x:c r="G369" s="36" t="str">
        <x:v>Process simplification/ efficiency gain</x:v>
      </x:c>
      <x:c r="H369" s="36" t="str">
        <x:v>Must Do</x:v>
      </x:c>
      <x:c r="I369" s="36" t="str">
        <x:v>New Initiative</x:v>
      </x:c>
      <x:c r="J369" s="38" t="n">
        <x:v>2</x:v>
      </x:c>
      <x:c r="K369" s="38"/>
      <x:c r="L369" s="38"/>
      <x:c r="M369" s="38"/>
      <x:c r="N369" s="38"/>
      <x:c r="O369" s="38"/>
      <x:c r="P369" s="37" t="str">
        <x:v>anticipated 10-20M via AI enabalement for the Enterprise</x:v>
      </x:c>
      <x:c r="Q369" s="37" t="str">
        <x:v>Cash savings</x:v>
      </x:c>
      <x:c r="R369" s="37" t="str">
        <x:v>Savings Expected from AI for 2027-2028 will be impacted </x:v>
      </x:c>
      <x:c r="S369" s="37" t="str">
        <x:v>As IT we need to enable the adding of intelligence to our existing systems and the use of AI from the start</x:v>
      </x:c>
      <x:c r="T369" s="37" t="str">
        <x:v>Enabling the establishment of AI tools, working of AI agents across the Org with reference Archtitecture/ designs/guardrails </x:v>
      </x:c>
      <x:c r="U369" s="37" t="str"/>
      <x:c r="V369" s="36" t="str"/>
      <x:c r="W369" s="36" t="str"/>
      <x:c r="X369" s="36" t="n">
        <x:v>1.2</x:v>
      </x:c>
      <x:c r="Y369" s="36" t="str">
        <x:v>HEALTHY</x:v>
      </x:c>
      <x:c r="Z369" s="36" t="str"/>
      <x:c r="AA369" s="36" t="str"/>
      <x:c r="AB369" s="36"/>
      <x:c r="AC369" s="36"/>
      <x:c r="AD369" s="36" t="str"/>
      <x:c r="AE369" s="36" t="str">
        <x:v>HEALTHY — Rank in priority matrix</x:v>
      </x:c>
      <x:c r="AF369" s="36" t="str">
        <x:v>Name and organisation matched</x:v>
      </x:c>
      <x:c r="AG369" s="36" t="str">
        <x:v>Common pot</x:v>
      </x:c>
      <x:c r="AH369" s="36" t="str">
        <x:v>EW Demand!row 84</x:v>
      </x:c>
      <x:c r="AI369" s="36" t="str">
        <x:v>AI</x:v>
      </x:c>
      <x:c r="AJ369" s="36" t="str">
        <x:v>ProcSimp</x:v>
      </x:c>
      <x:c r="AK369" s="36" t="str">
        <x:v>Must Do</x:v>
      </x:c>
      <x:c r="AL369" s="36" t="n">
        <x:v>0</x:v>
      </x:c>
      <x:c r="AM369" s="36" t="n">
        <x:v>0</x:v>
      </x:c>
      <x:c r="AN369" s="43"/>
      <x:c r="AO369" s="43"/>
      <x:c r="AP369" s="43"/>
    </x:row>
    <x:row r="370" ht="15" hidden="0" customHeight="1">
      <x:c r="A370" s="36" t="str">
        <x:v>EW-44</x:v>
      </x:c>
      <x:c r="B370" s="37" t="str">
        <x:v>EADI - CCB Initiative</x:v>
      </x:c>
      <x:c r="C370" s="36" t="str">
        <x:v>EW</x:v>
      </x:c>
      <x:c r="D370" s="36" t="str">
        <x:v>Information Technology ​</x:v>
      </x:c>
      <x:c r="E370" s="36" t="str">
        <x:v>t.b.d</x:v>
      </x:c>
      <x:c r="F370" s="36" t="str">
        <x:v>Continuous Improvement</x:v>
      </x:c>
      <x:c r="G370" s="36" t="str">
        <x:v>Compliance/Keeping the lights on</x:v>
      </x:c>
      <x:c r="H370" s="36" t="str">
        <x:v>Must Have</x:v>
      </x:c>
      <x:c r="I370" s="36" t="str">
        <x:v>Change &amp; Sustain</x:v>
      </x:c>
      <x:c r="J370" s="38" t="n">
        <x:v>0.5</x:v>
      </x:c>
      <x:c r="K370" s="38"/>
      <x:c r="L370" s="38"/>
      <x:c r="M370" s="38"/>
      <x:c r="N370" s="38"/>
      <x:c r="O370" s="38"/>
      <x:c r="P370" s="37" t="str">
        <x:v>NA</x:v>
      </x:c>
      <x:c r="Q370" s="37" t="str">
        <x:v>Risk exposure</x:v>
      </x:c>
      <x:c r="R370" s="37" t="str">
        <x:v>NA</x:v>
      </x:c>
      <x:c r="S370" s="37" t="str">
        <x:v>As EADI, the data platform, MDM, DQ,Insights &amp; Analystics are getting series of small changes during the course of the year. </x:v>
      </x:c>
      <x:c r="T370" s="37" t="str">
        <x:v>Planning and Delivery of changes requests under 5-10k.</x:v>
      </x:c>
      <x:c r="U370" s="37" t="str"/>
      <x:c r="V370" s="36" t="str"/>
      <x:c r="W370" s="36" t="str"/>
      <x:c r="X370" s="36"/>
      <x:c r="Y370" s="36" t="str">
        <x:v>NotAssessed</x:v>
      </x:c>
      <x:c r="Z370" s="36" t="str"/>
      <x:c r="AA370" s="36" t="str"/>
      <x:c r="AB370" s="36"/>
      <x:c r="AC370" s="36"/>
      <x:c r="AD370" s="36" t="str"/>
      <x:c r="AE370" s="36" t="str"/>
      <x:c r="AF370" s="36" t="str">
        <x:v>No exact waste match</x:v>
      </x:c>
      <x:c r="AG370" s="36" t="str">
        <x:v>Change and Sustain candidate</x:v>
      </x:c>
      <x:c r="AH370" s="36" t="str">
        <x:v>EW Demand!row 85</x:v>
      </x:c>
      <x:c r="AI370" s="36" t="str">
        <x:v>CI</x:v>
      </x:c>
      <x:c r="AJ370" s="36" t="str">
        <x:v>Compliance</x:v>
      </x:c>
      <x:c r="AK370" s="36" t="str">
        <x:v>Must Have</x:v>
      </x:c>
      <x:c r="AL370" s="36" t="n">
        <x:v>0</x:v>
      </x:c>
      <x:c r="AM370" s="36" t="n">
        <x:v>0</x:v>
      </x:c>
      <x:c r="AN370" s="43"/>
      <x:c r="AO370" s="43"/>
      <x:c r="AP370" s="43"/>
    </x:row>
    <x:row r="371" ht="15" hidden="0" customHeight="1">
      <x:c r="A371" s="36" t="str">
        <x:v>EW-45</x:v>
      </x:c>
      <x:c r="B371" s="37" t="str">
        <x:v>FIN-IR - Brazil Tax Reform Phase 3</x:v>
      </x:c>
      <x:c r="C371" s="36" t="str">
        <x:v>EW</x:v>
      </x:c>
      <x:c r="D371" s="36" t="str">
        <x:v>International Regions (IR) - Overall </x:v>
      </x:c>
      <x:c r="E371" s="36" t="str">
        <x:v>New</x:v>
      </x:c>
      <x:c r="F371" s="36" t="str">
        <x:v>Legal Fiscal, Regulatory &amp; Compliancy</x:v>
      </x:c>
      <x:c r="G371" s="36" t="str">
        <x:v>Compliance/Keeping the lights on</x:v>
      </x:c>
      <x:c r="H371" s="36" t="str">
        <x:v>Must Do</x:v>
      </x:c>
      <x:c r="I371" s="36" t="str">
        <x:v>Carry Over</x:v>
      </x:c>
      <x:c r="J371" s="38" t="n">
        <x:v>0.55</x:v>
      </x:c>
      <x:c r="K371" s="38"/>
      <x:c r="L371" s="38"/>
      <x:c r="M371" s="38"/>
      <x:c r="N371" s="38"/>
      <x:c r="O371" s="38" t="n">
        <x:v>1150</x:v>
      </x:c>
      <x:c r="P371" s="37" t="str">
        <x:v>1150000</x:v>
      </x:c>
      <x:c r="Q371" s="37" t="str">
        <x:v>Risk exposure</x:v>
      </x:c>
      <x:c r="R371" s="37" t="str">
        <x:v>-not compliant with Tax rules in Brazil</x:v>
      </x:c>
      <x:c r="S371" s="37" t="str">
        <x:v>Brazil govt runs multi-year program of incremental phases of a larger tax reform, leadtimes of new requirements until due are short and i-year</x:v>
      </x:c>
      <x:c r="T371" s="37" t="str">
        <x:v>All BU/Kernel and tax related systems, Brazil only.</x:v>
      </x:c>
      <x:c r="U371" s="37" t="str"/>
      <x:c r="V371" s="36" t="str">
        <x:v>2027</x:v>
      </x:c>
      <x:c r="W371" s="36" t="str">
        <x:v>Dual VAT structure</x:v>
      </x:c>
      <x:c r="X371" s="36"/>
      <x:c r="Y371" s="36" t="str">
        <x:v>NotAssessed</x:v>
      </x:c>
      <x:c r="Z371" s="36" t="str"/>
      <x:c r="AA371" s="36" t="str"/>
      <x:c r="AB371" s="36"/>
      <x:c r="AC371" s="36"/>
      <x:c r="AD371" s="36" t="str"/>
      <x:c r="AE371" s="36" t="str"/>
      <x:c r="AF371" s="36" t="str">
        <x:v>No exact waste match</x:v>
      </x:c>
      <x:c r="AG371" s="36" t="str">
        <x:v>Region candidate</x:v>
      </x:c>
      <x:c r="AH371" s="36" t="str">
        <x:v>EW Demand!row 89</x:v>
      </x:c>
      <x:c r="AI371" s="36" t="str">
        <x:v>LFR</x:v>
      </x:c>
      <x:c r="AJ371" s="36" t="str">
        <x:v>Compliance</x:v>
      </x:c>
      <x:c r="AK371" s="36" t="str">
        <x:v>Must Do</x:v>
      </x:c>
      <x:c r="AL371" s="36" t="n">
        <x:v>0</x:v>
      </x:c>
      <x:c r="AM371" s="36" t="n">
        <x:v>0</x:v>
      </x:c>
      <x:c r="AN371" s="43"/>
      <x:c r="AO371" s="43"/>
      <x:c r="AP371" s="43"/>
    </x:row>
    <x:row r="372" ht="15" hidden="0" customHeight="1">
      <x:c r="A372" s="36" t="str">
        <x:v>EW-46</x:v>
      </x:c>
      <x:c r="B372" s="37" t="str">
        <x:v>FIN-IR - India Privacy Data Protection Bill (deferred from 2026 on PF request)</x:v>
      </x:c>
      <x:c r="C372" s="36" t="str">
        <x:v>EW</x:v>
      </x:c>
      <x:c r="D372" s="36" t="str">
        <x:v>International Regions (IR) - Overall </x:v>
      </x:c>
      <x:c r="E372" s="36" t="str">
        <x:v>New</x:v>
      </x:c>
      <x:c r="F372" s="36" t="str">
        <x:v>Legal Fiscal, Regulatory &amp; Compliancy</x:v>
      </x:c>
      <x:c r="G372" s="36" t="str">
        <x:v>Compliance/Keeping the lights on</x:v>
      </x:c>
      <x:c r="H372" s="36" t="str">
        <x:v>Must Do</x:v>
      </x:c>
      <x:c r="I372" s="36" t="str">
        <x:v>Carry Over</x:v>
      </x:c>
      <x:c r="J372" s="38" t="n">
        <x:v>0.1</x:v>
      </x:c>
      <x:c r="K372" s="38"/>
      <x:c r="L372" s="38"/>
      <x:c r="M372" s="38"/>
      <x:c r="N372" s="38"/>
      <x:c r="O372" s="38" t="n">
        <x:v>110</x:v>
      </x:c>
      <x:c r="P372" s="37" t="str">
        <x:v>110000</x:v>
      </x:c>
      <x:c r="Q372" s="37" t="str">
        <x:v>Risk exposure</x:v>
      </x:c>
      <x:c r="R372" s="37" t="str">
        <x:v>-India Privacy Act Compliance</x:v>
      </x:c>
      <x:c r="S372" s="37" t="str">
        <x:v>India landscape must adhere to commissioned Digital Privacy Data Protection Act. Started in 2026 with some scop deferred to 'last minute'  (04'27)</x:v>
      </x:c>
      <x:c r="T372" s="37" t="str">
        <x:v>India only, all local &amp; global systems, KPMG involved for evaluation</x:v>
      </x:c>
      <x:c r="U372" s="37" t="str"/>
      <x:c r="V372" s="36" t="str">
        <x:v>2027</x:v>
      </x:c>
      <x:c r="W372" s="36" t="str">
        <x:v>DPDP Act </x:v>
      </x:c>
      <x:c r="X372" s="36"/>
      <x:c r="Y372" s="36" t="str">
        <x:v>NotAssessed</x:v>
      </x:c>
      <x:c r="Z372" s="36" t="str"/>
      <x:c r="AA372" s="36" t="str"/>
      <x:c r="AB372" s="36"/>
      <x:c r="AC372" s="36"/>
      <x:c r="AD372" s="36" t="str"/>
      <x:c r="AE372" s="36" t="str"/>
      <x:c r="AF372" s="36" t="str">
        <x:v>No exact waste match</x:v>
      </x:c>
      <x:c r="AG372" s="36" t="str">
        <x:v>Region candidate</x:v>
      </x:c>
      <x:c r="AH372" s="36" t="str">
        <x:v>EW Demand!row 91</x:v>
      </x:c>
      <x:c r="AI372" s="36" t="str">
        <x:v>LFR</x:v>
      </x:c>
      <x:c r="AJ372" s="36" t="str">
        <x:v>Compliance</x:v>
      </x:c>
      <x:c r="AK372" s="36" t="str">
        <x:v>Must Do</x:v>
      </x:c>
      <x:c r="AL372" s="36" t="n">
        <x:v>0</x:v>
      </x:c>
      <x:c r="AM372" s="36" t="n">
        <x:v>0</x:v>
      </x:c>
      <x:c r="AN372" s="43"/>
      <x:c r="AO372" s="43"/>
      <x:c r="AP372" s="43"/>
    </x:row>
    <x:row r="373" ht="15" hidden="0" customHeight="1">
      <x:c r="A373" s="36" t="str">
        <x:v>EW-47</x:v>
      </x:c>
      <x:c r="B373" s="37" t="str">
        <x:v>FIN-IR - ORU Lebanon (formalize current operations)</x:v>
      </x:c>
      <x:c r="C373" s="36" t="str">
        <x:v>EW</x:v>
      </x:c>
      <x:c r="D373" s="36" t="str">
        <x:v>International Regions (IR) - Overall </x:v>
      </x:c>
      <x:c r="E373" s="36" t="str">
        <x:v>New</x:v>
      </x:c>
      <x:c r="F373" s="36" t="str">
        <x:v>Legal Fiscal, Regulatory &amp; Compliancy</x:v>
      </x:c>
      <x:c r="G373" s="36" t="str">
        <x:v>Compliance/Keeping the lights on</x:v>
      </x:c>
      <x:c r="H373" s="36" t="str">
        <x:v>Must Do</x:v>
      </x:c>
      <x:c r="I373" s="36" t="str">
        <x:v>New Initiative</x:v>
      </x:c>
      <x:c r="J373" s="38" t="n">
        <x:v>0.085</x:v>
      </x:c>
      <x:c r="K373" s="38"/>
      <x:c r="L373" s="38"/>
      <x:c r="M373" s="38"/>
      <x:c r="N373" s="38"/>
      <x:c r="O373" s="38" t="n">
        <x:v>0.345</x:v>
      </x:c>
      <x:c r="P373" s="37" t="str">
        <x:v>345</x:v>
      </x:c>
      <x:c r="Q373" s="37" t="str">
        <x:v>Risk exposure</x:v>
      </x:c>
      <x:c r="R373" s="37" t="str">
        <x:v>- Legal and regulatory non-compliance risk,  a.o. for critical 14FTE employed</x:v>
      </x:c>
      <x:c r="S373" s="37" t="str">
        <x:v>Legal changes and requirements require an ORU to be established to continue current staff.</x:v>
      </x:c>
      <x:c r="T373" s="37" t="str">
        <x:v>all BU, Lebanon only, 'light' ORU</x:v>
      </x:c>
      <x:c r="U373" s="37" t="str"/>
      <x:c r="V373" s="36" t="str">
        <x:v>2027</x:v>
      </x:c>
      <x:c r="W373" s="36" t="str">
        <x:v>Country specific </x:v>
      </x:c>
      <x:c r="X373" s="36"/>
      <x:c r="Y373" s="36" t="str">
        <x:v>NotAssessed</x:v>
      </x:c>
      <x:c r="Z373" s="36" t="str"/>
      <x:c r="AA373" s="36" t="str"/>
      <x:c r="AB373" s="36"/>
      <x:c r="AC373" s="36"/>
      <x:c r="AD373" s="36" t="str"/>
      <x:c r="AE373" s="36" t="str"/>
      <x:c r="AF373" s="36" t="str">
        <x:v>No exact waste match</x:v>
      </x:c>
      <x:c r="AG373" s="36" t="str">
        <x:v>Region candidate</x:v>
      </x:c>
      <x:c r="AH373" s="36" t="str">
        <x:v>EW Demand!row 95</x:v>
      </x:c>
      <x:c r="AI373" s="36" t="str">
        <x:v>LFR</x:v>
      </x:c>
      <x:c r="AJ373" s="36" t="str">
        <x:v>Compliance</x:v>
      </x:c>
      <x:c r="AK373" s="36" t="str">
        <x:v>Must Do</x:v>
      </x:c>
      <x:c r="AL373" s="36" t="n">
        <x:v>0</x:v>
      </x:c>
      <x:c r="AM373" s="36" t="n">
        <x:v>0</x:v>
      </x:c>
      <x:c r="AN373" s="43"/>
      <x:c r="AO373" s="43"/>
      <x:c r="AP373" s="43"/>
    </x:row>
    <x:row r="374" ht="15" hidden="0" customHeight="1">
      <x:c r="A374" s="36" t="str">
        <x:v>EW-50</x:v>
      </x:c>
      <x:c r="B374" s="37" t="str">
        <x:v>Global Hold program Improvement</x:v>
      </x:c>
      <x:c r="C374" s="36" t="str">
        <x:v>EW</x:v>
      </x:c>
      <x:c r="D374" s="36" t="str">
        <x:v>Patient Safety &amp; Quality</x:v>
      </x:c>
      <x:c r="E374" s="36" t="str">
        <x:v>1006377</x:v>
      </x:c>
      <x:c r="F374" s="36" t="str">
        <x:v>Legal Fiscal, Regulatory &amp; Compliancy</x:v>
      </x:c>
      <x:c r="G374" s="36" t="str">
        <x:v>Compliance/Keeping the lights on</x:v>
      </x:c>
      <x:c r="H374" s="36" t="str">
        <x:v>Must Do</x:v>
      </x:c>
      <x:c r="I374" s="36" t="str">
        <x:v>Carry Over</x:v>
      </x:c>
      <x:c r="J374" s="38" t="n">
        <x:v>0.5</x:v>
      </x:c>
      <x:c r="K374" s="38"/>
      <x:c r="L374" s="38"/>
      <x:c r="M374" s="38"/>
      <x:c r="N374" s="38"/>
      <x:c r="O374" s="38"/>
      <x:c r="P374" s="37" t="str">
        <x:v>Realized in 2026 - no additional benefits for 2027</x:v>
      </x:c>
      <x:c r="Q374" s="37" t="str">
        <x:v>Risk exposure</x:v>
      </x:c>
      <x:c r="R374" s="37" t="str">
        <x:v>2.9m total</x:v>
      </x:c>
      <x:c r="S374" s="37" t="str">
        <x:v>Release 2 R2 implements integration that prevents product/part escapes for installable systems.</x:v>
      </x:c>
      <x:c r="T374" s="37" t="str">
        <x:v>Servicemax Integration, lead deployment feedback resolution</x:v>
      </x:c>
      <x:c r="U374" s="37" t="str">
        <x:v>None</x:v>
      </x:c>
      <x:c r="V374" s="36" t="str">
        <x:v>2027</x:v>
      </x:c>
      <x:c r="W374" s="36" t="str"/>
      <x:c r="X374" s="36"/>
      <x:c r="Y374" s="36" t="str">
        <x:v>NotAssessed</x:v>
      </x:c>
      <x:c r="Z374" s="36" t="str"/>
      <x:c r="AA374" s="36" t="str"/>
      <x:c r="AB374" s="36"/>
      <x:c r="AC374" s="36"/>
      <x:c r="AD374" s="36" t="str"/>
      <x:c r="AE374" s="36" t="str"/>
      <x:c r="AF374" s="36" t="str">
        <x:v>Organisation differs or ambiguous</x:v>
      </x:c>
      <x:c r="AG374" s="36" t="str">
        <x:v>Common pot</x:v>
      </x:c>
      <x:c r="AH374" s="36" t="str">
        <x:v>EW Demand!row 99</x:v>
      </x:c>
      <x:c r="AI374" s="36" t="str">
        <x:v>LFR</x:v>
      </x:c>
      <x:c r="AJ374" s="36" t="str">
        <x:v>Compliance</x:v>
      </x:c>
      <x:c r="AK374" s="36" t="str">
        <x:v>Must Do</x:v>
      </x:c>
      <x:c r="AL374" s="36" t="n">
        <x:v>0</x:v>
      </x:c>
      <x:c r="AM374" s="36" t="n">
        <x:v>0</x:v>
      </x:c>
      <x:c r="AN374" s="43"/>
      <x:c r="AO374" s="43"/>
      <x:c r="AP374" s="43"/>
    </x:row>
    <x:row r="375" ht="15" hidden="0" customHeight="1">
      <x:c r="A375" s="36" t="str">
        <x:v>EW-51</x:v>
      </x:c>
      <x:c r="B375" s="37" t="str">
        <x:v>Centralized Certificate Verification(CCV) </x:v>
      </x:c>
      <x:c r="C375" s="36" t="str">
        <x:v>EW</x:v>
      </x:c>
      <x:c r="D375" s="36" t="str">
        <x:v>Patient Safety &amp; Quality</x:v>
      </x:c>
      <x:c r="E375" s="36" t="str">
        <x:v>1006377</x:v>
      </x:c>
      <x:c r="F375" s="36" t="str">
        <x:v>Upgrades &amp; Enhancements</x:v>
      </x:c>
      <x:c r="G375" s="36" t="str">
        <x:v>Compliance/Keeping the lights on</x:v>
      </x:c>
      <x:c r="H375" s="36" t="str">
        <x:v>Must Do</x:v>
      </x:c>
      <x:c r="I375" s="36" t="str">
        <x:v>Carry Over</x:v>
      </x:c>
      <x:c r="J375" s="38" t="n">
        <x:v>0.35</x:v>
      </x:c>
      <x:c r="K375" s="38"/>
      <x:c r="L375" s="38"/>
      <x:c r="M375" s="38"/>
      <x:c r="N375" s="38"/>
      <x:c r="O375" s="38" t="n">
        <x:v>0.36</x:v>
      </x:c>
      <x:c r="P375" s="37" t="str">
        <x:v>360</x:v>
      </x:c>
      <x:c r="Q375" s="37" t="str">
        <x:v>Risk exposure</x:v>
      </x:c>
      <x:c r="R375" s="37" t="str">
        <x:v>1503 in total, of which</x:v>
      </x:c>
      <x:c r="S375" s="37" t="str">
        <x: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x:v>
      </x:c>
      <x:c r="T375" s="37" t="str">
        <x:v>Enterprise wide CCV process</x:v>
      </x:c>
      <x:c r="U375" s="37" t="str">
        <x:v>None</x:v>
      </x:c>
      <x:c r="V375" s="36" t="str"/>
      <x:c r="W375" s="36" t="str"/>
      <x:c r="X375" s="36"/>
      <x:c r="Y375" s="36" t="str">
        <x:v>NotAssessed</x:v>
      </x:c>
      <x:c r="Z375" s="36" t="str"/>
      <x:c r="AA375" s="36" t="str"/>
      <x:c r="AB375" s="36"/>
      <x:c r="AC375" s="36"/>
      <x:c r="AD375" s="36" t="str"/>
      <x:c r="AE375" s="36" t="str"/>
      <x:c r="AF375" s="36" t="str">
        <x:v>Organisation differs or ambiguous</x:v>
      </x:c>
      <x:c r="AG375" s="36" t="str">
        <x:v>Common pot</x:v>
      </x:c>
      <x:c r="AH375" s="36" t="str">
        <x:v>EW Demand!row 106</x:v>
      </x:c>
      <x:c r="AI375" s="36" t="str">
        <x:v>Upgrades</x:v>
      </x:c>
      <x:c r="AJ375" s="36" t="str">
        <x:v>Compliance</x:v>
      </x:c>
      <x:c r="AK375" s="36" t="str">
        <x:v>Must Do</x:v>
      </x:c>
      <x:c r="AL375" s="36" t="n">
        <x:v>0</x:v>
      </x:c>
      <x:c r="AM375" s="36" t="n">
        <x:v>0</x:v>
      </x:c>
      <x:c r="AN375" s="43"/>
      <x:c r="AO375" s="43"/>
      <x:c r="AP375" s="43"/>
    </x:row>
    <x:row r="376" ht="15" hidden="0" customHeight="1">
      <x:c r="A376" s="36" t="str">
        <x:v>EW-52</x:v>
      </x:c>
      <x:c r="B376" s="37" t="str">
        <x:v>RM AI big bet</x:v>
      </x:c>
      <x:c r="C376" s="36" t="str">
        <x:v>EW</x:v>
      </x:c>
      <x:c r="D376" s="36" t="str">
        <x:v>Patient Safety &amp; Quality</x:v>
      </x:c>
      <x:c r="E376" s="36" t="str">
        <x:v>1006377</x:v>
      </x:c>
      <x:c r="F376" s="36" t="str">
        <x:v>AI Enablement</x:v>
      </x:c>
      <x:c r="G376" s="36" t="str">
        <x:v>Compliance/Keeping the lights on</x:v>
      </x:c>
      <x:c r="H376" s="36" t="str">
        <x:v>Must Do</x:v>
      </x:c>
      <x:c r="I376" s="36" t="str">
        <x:v>Carry Over</x:v>
      </x:c>
      <x:c r="J376" s="38" t="n">
        <x:v>0.395</x:v>
      </x:c>
      <x:c r="K376" s="38"/>
      <x:c r="L376" s="38"/>
      <x:c r="M376" s="38"/>
      <x:c r="N376" s="38"/>
      <x:c r="O376" s="38"/>
      <x:c r="P376" s="37" t="str">
        <x:v>Summary (more detailed underpinning available):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Q376" s="37" t="str">
        <x:v>Risk exposure</x:v>
      </x:c>
      <x:c r="R376" s="37" t="str">
        <x:v>6M - 15M</x:v>
      </x:c>
      <x:c r="S376" s="37" t="str">
        <x: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x:v>
      </x:c>
      <x:c r="T376" s="37" t="str">
        <x:v>Enterprise wide RM process</x:v>
      </x:c>
      <x:c r="U376" s="37" t="str">
        <x:v>None</x:v>
      </x:c>
      <x:c r="V376" s="36" t="str"/>
      <x:c r="W376" s="36" t="str"/>
      <x:c r="X376" s="36"/>
      <x:c r="Y376" s="36" t="str">
        <x:v>NotAssessed</x:v>
      </x:c>
      <x:c r="Z376" s="36" t="str"/>
      <x:c r="AA376" s="36" t="str"/>
      <x:c r="AB376" s="36"/>
      <x:c r="AC376" s="36"/>
      <x:c r="AD376" s="36" t="str"/>
      <x:c r="AE376" s="36" t="str"/>
      <x:c r="AF376" s="36" t="str">
        <x:v>Organisation differs or ambiguous</x:v>
      </x:c>
      <x:c r="AG376" s="36" t="str">
        <x:v>Common pot</x:v>
      </x:c>
      <x:c r="AH376" s="36" t="str">
        <x:v>EW Demand!row 114</x:v>
      </x:c>
      <x:c r="AI376" s="36" t="str">
        <x:v>AI</x:v>
      </x:c>
      <x:c r="AJ376" s="36" t="str">
        <x:v>Compliance</x:v>
      </x:c>
      <x:c r="AK376" s="36" t="str">
        <x:v>Must Do</x:v>
      </x:c>
      <x:c r="AL376" s="36" t="n">
        <x:v>0</x:v>
      </x:c>
      <x:c r="AM376" s="36" t="n">
        <x:v>0</x:v>
      </x:c>
      <x:c r="AN376" s="43"/>
      <x:c r="AO376" s="43"/>
      <x:c r="AP376" s="43"/>
    </x:row>
    <x:row r="377" ht="15" hidden="0" customHeight="1">
      <x:c r="A377" s="36" t="str">
        <x:v>EW-53</x:v>
      </x:c>
      <x:c r="B377" s="37" t="str">
        <x:v>IT-Security - Global one Badge</x:v>
      </x:c>
      <x:c r="C377" s="36" t="str">
        <x:v>EW</x:v>
      </x:c>
      <x:c r="D377" s="36" t="str">
        <x:v>Group Security​</x:v>
      </x:c>
      <x:c r="E377" s="36" t="str">
        <x:v>1006377</x:v>
      </x:c>
      <x:c r="F377" s="36" t="str">
        <x:v>New Technology</x:v>
      </x:c>
      <x:c r="G377" s="36" t="str">
        <x:v>Productivity savings</x:v>
      </x:c>
      <x:c r="H377" s="36" t="str">
        <x:v>Must Do</x:v>
      </x:c>
      <x:c r="I377" s="36" t="str">
        <x:v>Carry Over</x:v>
      </x:c>
      <x:c r="J377" s="38" t="n">
        <x:v>0.45</x:v>
      </x:c>
      <x:c r="K377" s="38"/>
      <x:c r="L377" s="38"/>
      <x:c r="M377" s="38"/>
      <x:c r="N377" s="38"/>
      <x:c r="O377" s="38"/>
      <x:c r="P377" s="37" t="str">
        <x:v>Soft Benefit</x:v>
      </x:c>
      <x:c r="Q377" s="37" t="str">
        <x:v>Cash savings</x:v>
      </x:c>
      <x:c r="R377" s="37" t="str">
        <x:v>Without leveraging Global One Badge solution, Philips will have to continue with scattered landscape of local managed access controls systems and outdated badge technologies used posing serious Physical access threats and associated security risks</x:v>
      </x:c>
      <x:c r="S377" s="37" t="str">
        <x:v>scattered landscape of local managed access controls systems and outdated badge technologies.</x:v>
      </x:c>
      <x:c r="T377" s="37" t="str">
        <x:v>Deploy to NAR and selected global sites per program roadmap</x:v>
      </x:c>
      <x:c r="U377" s="37" t="str">
        <x:v>None</x:v>
      </x:c>
      <x:c r="V377" s="36" t="str"/>
      <x:c r="W377" s="36" t="str"/>
      <x:c r="X377" s="36"/>
      <x:c r="Y377" s="36" t="str">
        <x:v>NotAssessed</x:v>
      </x:c>
      <x:c r="Z377" s="36" t="str"/>
      <x:c r="AA377" s="36" t="str"/>
      <x:c r="AB377" s="36"/>
      <x:c r="AC377" s="36"/>
      <x:c r="AD377" s="36" t="str"/>
      <x:c r="AE377" s="36" t="str"/>
      <x:c r="AF377" s="36" t="str">
        <x:v>Organisation differs or ambiguous</x:v>
      </x:c>
      <x:c r="AG377" s="36" t="str">
        <x:v>Common pot</x:v>
      </x:c>
      <x:c r="AH377" s="36" t="str">
        <x:v>EW Demand!row 115</x:v>
      </x:c>
      <x:c r="AI377" s="36" t="str">
        <x:v>NewTech</x:v>
      </x:c>
      <x:c r="AJ377" s="36" t="str">
        <x:v>Productivity</x:v>
      </x:c>
      <x:c r="AK377" s="36" t="str">
        <x:v>Must Do</x:v>
      </x:c>
      <x:c r="AL377" s="36" t="n">
        <x:v>0</x:v>
      </x:c>
      <x:c r="AM377" s="36" t="n">
        <x:v>0</x:v>
      </x:c>
      <x:c r="AN377" s="43"/>
      <x:c r="AO377" s="43"/>
      <x:c r="AP377" s="43"/>
    </x:row>
    <x:row r="378" ht="15" hidden="0" customHeight="1">
      <x:c r="A378" s="36" t="str">
        <x:v>EW-54</x:v>
      </x:c>
      <x:c r="B378" s="37" t="str">
        <x:v>FIN- IT DRP - AP Invoice Process Automation (PIPE) </x:v>
      </x:c>
      <x:c r="C378" s="36" t="str">
        <x:v>EW</x:v>
      </x:c>
      <x:c r="D378" s="36" t="str">
        <x:v>Finance​</x:v>
      </x:c>
      <x:c r="E378" s="36" t="str">
        <x:v>1006423</x:v>
      </x:c>
      <x:c r="F378" s="36" t="str">
        <x:v>Decomm/Replatforming</x:v>
      </x:c>
      <x:c r="G378" s="36" t="str">
        <x:v>Process simplification/ efficiency gain</x:v>
      </x:c>
      <x:c r="H378" s="36" t="str">
        <x:v>Must Do</x:v>
      </x:c>
      <x:c r="I378" s="36" t="str">
        <x:v>Carry Over</x:v>
      </x:c>
      <x:c r="J378" s="38" t="n">
        <x:v>0.43</x:v>
      </x:c>
      <x:c r="K378" s="38"/>
      <x:c r="L378" s="38"/>
      <x:c r="M378" s="38"/>
      <x:c r="N378" s="38"/>
      <x:c r="O378" s="38" t="n">
        <x:v>1.32</x:v>
      </x:c>
      <x:c r="P378" s="37" t="str">
        <x:v>1320</x:v>
      </x:c>
      <x:c r="Q378" s="37" t="str">
        <x:v>Cash savings</x:v>
      </x:c>
      <x:c r="R378" s="37" t="str">
        <x:v>Savings not realized</x:v>
      </x:c>
      <x:c r="S378" s="37" t="str"/>
      <x:c r="T378" s="37" t="str"/>
      <x:c r="U378" s="37" t="str"/>
      <x:c r="V378" s="36" t="str"/>
      <x:c r="W378" s="36" t="str"/>
      <x:c r="X378" s="36"/>
      <x:c r="Y378" s="36" t="str">
        <x:v>NotAssessed</x:v>
      </x:c>
      <x:c r="Z378" s="36" t="str"/>
      <x:c r="AA378" s="36" t="str"/>
      <x:c r="AB378" s="36"/>
      <x:c r="AC378" s="36"/>
      <x:c r="AD378" s="36" t="str"/>
      <x:c r="AE378" s="36" t="str"/>
      <x:c r="AF378" s="36" t="str">
        <x:v>No exact waste match</x:v>
      </x:c>
      <x:c r="AG378" s="36" t="str">
        <x:v>Common pot</x:v>
      </x:c>
      <x:c r="AH378" s="36" t="str">
        <x:v>EW Demand!row 116</x:v>
      </x:c>
      <x:c r="AI378" s="36" t="str">
        <x:v>Decomm</x:v>
      </x:c>
      <x:c r="AJ378" s="36" t="str">
        <x:v>ProcSimp</x:v>
      </x:c>
      <x:c r="AK378" s="36" t="str">
        <x:v>Must Do</x:v>
      </x:c>
      <x:c r="AL378" s="36" t="n">
        <x:v>0</x:v>
      </x:c>
      <x:c r="AM378" s="36" t="n">
        <x:v>0</x:v>
      </x:c>
      <x:c r="AN378" s="43"/>
      <x:c r="AO378" s="43"/>
      <x:c r="AP378" s="43"/>
    </x:row>
    <x:row r="379" ht="15" hidden="0" customHeight="1">
      <x:c r="A379" s="36" t="str">
        <x:v>EW-57</x:v>
      </x:c>
      <x:c r="B379" s="37" t="str">
        <x:v>Commercial IT DRP</x:v>
      </x:c>
      <x:c r="C379" s="36" t="str">
        <x:v>EW</x:v>
      </x:c>
      <x:c r="D379" s="36" t="str">
        <x:v>Information Technology ​</x:v>
      </x:c>
      <x:c r="E379" s="36" t="str">
        <x:v>1006423</x:v>
      </x:c>
      <x:c r="F379" s="36" t="str">
        <x:v>Decomm/Replatforming</x:v>
      </x:c>
      <x:c r="G379" s="36" t="str">
        <x:v>Productivity savings</x:v>
      </x:c>
      <x:c r="H379" s="36" t="str">
        <x:v>Must Have</x:v>
      </x:c>
      <x:c r="I379" s="36" t="str">
        <x:v>Carry Over</x:v>
      </x:c>
      <x:c r="J379" s="38" t="n">
        <x:v>0.5</x:v>
      </x:c>
      <x:c r="K379" s="38"/>
      <x:c r="L379" s="38"/>
      <x:c r="M379" s="38"/>
      <x:c r="N379" s="38"/>
      <x:c r="O379" s="38" t="n">
        <x:v>2.2</x:v>
      </x:c>
      <x:c r="P379" s="37" t="str">
        <x:v>2200</x:v>
      </x:c>
      <x:c r="Q379" s="37" t="str">
        <x:v>Cash savings</x:v>
      </x:c>
      <x:c r="R379" s="37" t="str">
        <x:v>License and maintenance cost reduction in line with our Ops spend reduction</x:v>
      </x:c>
      <x:c r="S379" s="37" t="str"/>
      <x:c r="T379" s="37" t="str"/>
      <x:c r="U379" s="37" t="str">
        <x:v>dependingcy on HPM business decission</x:v>
      </x:c>
      <x:c r="V379" s="36" t="str"/>
      <x:c r="W379" s="36" t="str"/>
      <x:c r="X379" s="36" t="n">
        <x:v>1.45</x:v>
      </x:c>
      <x:c r="Y379" s="36" t="str">
        <x:v>HEALTHY</x:v>
      </x:c>
      <x:c r="Z379" s="36" t="str"/>
      <x:c r="AA379" s="36" t="str"/>
      <x:c r="AB379" s="36"/>
      <x:c r="AC379" s="36"/>
      <x:c r="AD379" s="36" t="str"/>
      <x:c r="AE379" s="36" t="str">
        <x:v>HEALTHY — Rank in priority matrix</x:v>
      </x:c>
      <x:c r="AF379" s="36" t="str">
        <x:v>Name and organisation matched</x:v>
      </x:c>
      <x:c r="AG379" s="36" t="str">
        <x:v>Common pot</x:v>
      </x:c>
      <x:c r="AH379" s="36" t="str">
        <x:v>EW Demand!row 117</x:v>
      </x:c>
      <x:c r="AI379" s="36" t="str">
        <x:v>Decomm</x:v>
      </x:c>
      <x:c r="AJ379" s="36" t="str">
        <x:v>Productivity</x:v>
      </x:c>
      <x:c r="AK379" s="36" t="str">
        <x:v>Must Have</x:v>
      </x:c>
      <x:c r="AL379" s="36" t="n">
        <x:v>0</x:v>
      </x:c>
      <x:c r="AM379" s="36" t="n">
        <x:v>0</x:v>
      </x:c>
      <x:c r="AN379" s="43"/>
      <x:c r="AO379" s="43"/>
      <x:c r="AP379" s="43"/>
    </x:row>
    <x:row r="380" ht="15" hidden="0" customHeight="1">
      <x:c r="A380" s="36" t="str">
        <x:v>EW-58</x:v>
      </x:c>
      <x:c r="B380" s="37" t="str">
        <x:v>PST &amp; Hubwoo Replatforming </x:v>
      </x:c>
      <x:c r="C380" s="36" t="str">
        <x:v>EW</x:v>
      </x:c>
      <x:c r="D380" s="36" t="str">
        <x:v>Information Technology ​</x:v>
      </x:c>
      <x:c r="E380" s="36" t="str">
        <x:v>1006423</x:v>
      </x:c>
      <x:c r="F380" s="36" t="str">
        <x:v>Decomm/Replatforming</x:v>
      </x:c>
      <x:c r="G380" s="36" t="str">
        <x:v>Process simplification/ efficiency gain</x:v>
      </x:c>
      <x:c r="H380" s="36" t="str">
        <x:v>Must Have</x:v>
      </x:c>
      <x:c r="I380" s="36" t="str">
        <x:v>New Initiative</x:v>
      </x:c>
      <x:c r="J380" s="38" t="n">
        <x:v>0.6</x:v>
      </x:c>
      <x:c r="K380" s="38"/>
      <x:c r="L380" s="38"/>
      <x:c r="M380" s="38"/>
      <x:c r="N380" s="38"/>
      <x:c r="O380" s="38" t="n">
        <x:v>1.25</x:v>
      </x:c>
      <x:c r="P380" s="37" t="str">
        <x:v>1250</x:v>
      </x:c>
      <x:c r="Q380" s="37" t="str">
        <x:v>Cash savings</x:v>
      </x:c>
      <x:c r="R380" s="37" t="str">
        <x:v>License and maintenance cost reduction in line with our Ops spend reduction</x:v>
      </x:c>
      <x:c r="S380" s="37" t="str"/>
      <x:c r="T380" s="37" t="str"/>
      <x:c r="U380" s="37" t="str"/>
      <x:c r="V380" s="36" t="str"/>
      <x:c r="W380" s="36" t="str"/>
      <x:c r="X380" s="36" t="n">
        <x:v>1.45</x:v>
      </x:c>
      <x:c r="Y380" s="36" t="str">
        <x:v>HEALTHY</x:v>
      </x:c>
      <x:c r="Z380" s="36" t="str"/>
      <x:c r="AA380" s="36" t="str"/>
      <x:c r="AB380" s="36"/>
      <x:c r="AC380" s="36"/>
      <x:c r="AD380" s="36" t="str"/>
      <x:c r="AE380" s="36" t="str">
        <x:v>HEALTHY — Rank in priority matrix</x:v>
      </x:c>
      <x:c r="AF380" s="36" t="str">
        <x:v>Name and organisation matched</x:v>
      </x:c>
      <x:c r="AG380" s="36" t="str">
        <x:v>Common pot</x:v>
      </x:c>
      <x:c r="AH380" s="36" t="str">
        <x:v>EW Demand!row 118</x:v>
      </x:c>
      <x:c r="AI380" s="36" t="str">
        <x:v>Decomm</x:v>
      </x:c>
      <x:c r="AJ380" s="36" t="str">
        <x:v>ProcSimp</x:v>
      </x:c>
      <x:c r="AK380" s="36" t="str">
        <x:v>Must Have</x:v>
      </x:c>
      <x:c r="AL380" s="36" t="n">
        <x:v>0</x:v>
      </x:c>
      <x:c r="AM380" s="36" t="n">
        <x:v>0</x:v>
      </x:c>
      <x:c r="AN380" s="43"/>
      <x:c r="AO380" s="43"/>
      <x:c r="AP380" s="43"/>
    </x:row>
    <x:row r="381" ht="15" hidden="0" customHeight="1">
      <x:c r="A381" s="36" t="str">
        <x:v>EW-59</x:v>
      </x:c>
      <x:c r="B381" s="37" t="str">
        <x:v>GCR IT Decommission</x:v>
      </x:c>
      <x:c r="C381" s="36" t="str">
        <x:v>EW</x:v>
      </x:c>
      <x:c r="D381" s="36" t="str">
        <x:v>Information Technology ​</x:v>
      </x:c>
      <x:c r="E381" s="36" t="str">
        <x:v>1006423</x:v>
      </x:c>
      <x:c r="F381" s="36" t="str">
        <x:v>Decomm/Replatforming</x:v>
      </x:c>
      <x:c r="G381" s="36" t="str">
        <x:v>Process simplification/ efficiency gain</x:v>
      </x:c>
      <x:c r="H381" s="36" t="str">
        <x:v>Must Do</x:v>
      </x:c>
      <x:c r="I381" s="36" t="str">
        <x:v>New Initiative</x:v>
      </x:c>
      <x:c r="J381" s="38" t="n">
        <x:v>0.48</x:v>
      </x:c>
      <x:c r="K381" s="38"/>
      <x:c r="L381" s="38"/>
      <x:c r="M381" s="38"/>
      <x:c r="N381" s="38"/>
      <x:c r="O381" s="38" t="n">
        <x:v>0.05</x:v>
      </x:c>
      <x:c r="P381" s="37" t="str">
        <x:v>50</x:v>
      </x:c>
      <x:c r="Q381" s="37" t="str">
        <x:v>Cash savings</x:v>
      </x:c>
      <x:c r="R381" s="37" t="str">
        <x:v>Keep system running</x:v>
      </x:c>
      <x:c r="S381" s="37" t="str"/>
      <x:c r="T381" s="37" t="str">
        <x:v>1) CD;
2) CP1.0;
3) CP2.0;
4) COS;
5) E-system;
6) SSD E-commercial;
7) CSA;
8) DMS1.0
9) HS RPA
10) Service IBS
11) PH online shop RPA
and others</x:v>
      </x:c>
      <x:c r="U381" s="37" t="str"/>
      <x:c r="V381" s="36" t="str"/>
      <x:c r="W381" s="36" t="str"/>
      <x:c r="X381" s="36" t="n">
        <x:v>1.8</x:v>
      </x:c>
      <x:c r="Y381" s="36" t="str">
        <x:v>HEALTHY</x:v>
      </x:c>
      <x:c r="Z381" s="36" t="str">
        <x:v>YES</x:v>
      </x:c>
      <x:c r="AA381" s="36" t="str">
        <x:v>4 — Lean — scope is limited to compliance, with small, justified allowances.</x:v>
      </x:c>
      <x:c r="AB381" s="36" t="n">
        <x:v>3</x:v>
      </x:c>
      <x:c r="AC381" s="36" t="n">
        <x:v>9</x:v>
      </x:c>
      <x:c r="AD381" s="36" t="str">
        <x:v>P2 — Scheduled</x:v>
      </x:c>
      <x:c r="AE381" s="36" t="str">
        <x:v>HEALTHY / MUST-DO — P2 — Scheduled</x:v>
      </x:c>
      <x:c r="AF381" s="36" t="str">
        <x:v>Name and organisation matched</x:v>
      </x:c>
      <x:c r="AG381" s="36" t="str">
        <x:v>LFR validated candidate</x:v>
      </x:c>
      <x:c r="AH381" s="36" t="str">
        <x:v>EW Demand!row 119</x:v>
      </x:c>
      <x:c r="AI381" s="36" t="str">
        <x:v>Decomm</x:v>
      </x:c>
      <x:c r="AJ381" s="36" t="str">
        <x:v>ProcSimp</x:v>
      </x:c>
      <x:c r="AK381" s="36" t="str">
        <x:v>Must Do</x:v>
      </x:c>
      <x:c r="AL381" s="36" t="n">
        <x:v>0</x:v>
      </x:c>
      <x:c r="AM381" s="36" t="n">
        <x:v>0</x:v>
      </x:c>
      <x:c r="AN381" s="43"/>
      <x:c r="AO381" s="43"/>
      <x:c r="AP381" s="43"/>
    </x:row>
    <x:row r="382" ht="15" hidden="0" customHeight="1">
      <x:c r="A382" s="36" t="str">
        <x:v>EW-60</x:v>
      </x:c>
      <x:c r="B382" s="37" t="str">
        <x:v>3rd Party Screening Replatformation</x:v>
      </x:c>
      <x:c r="C382" s="36" t="str">
        <x:v>EW</x:v>
      </x:c>
      <x:c r="D382" s="36" t="str">
        <x:v>Legal​</x:v>
      </x:c>
      <x:c r="E382" s="36" t="str">
        <x:v>New</x:v>
      </x:c>
      <x:c r="F382" s="36" t="str">
        <x:v>Legal Fiscal, Regulatory &amp; Compliancy</x:v>
      </x:c>
      <x:c r="G382" s="36" t="str">
        <x:v>Compliance/Keeping the lights on</x:v>
      </x:c>
      <x:c r="H382" s="36" t="str">
        <x:v>Must Do</x:v>
      </x:c>
      <x:c r="I382" s="36" t="str">
        <x:v>New Initiative</x:v>
      </x:c>
      <x:c r="J382" s="38" t="n">
        <x:v>0.2</x:v>
      </x:c>
      <x:c r="K382" s="38"/>
      <x:c r="L382" s="38"/>
      <x:c r="M382" s="38"/>
      <x:c r="N382" s="38"/>
      <x:c r="O382" s="38" t="n">
        <x:v>285</x:v>
      </x:c>
      <x:c r="P382" s="37" t="str">
        <x:v>285000</x:v>
      </x:c>
      <x:c r="Q382" s="37" t="str">
        <x:v>Risk exposure</x:v>
      </x:c>
      <x:c r="R382" s="37" t="str">
        <x:v>1) Potential fines from Regulators for potential violations in ABAC, EC&amp;S related regulations</x:v>
      </x:c>
      <x:c r="S382" s="37" t="str">
        <x:v>Current solution lacks AI capability and still requires significant engagement of Deloitte team for Legal Operations interms of screening and monitoring</x:v>
      </x:c>
      <x:c r="T382" s="37" t="str">
        <x:v>3rd party screening as part of Due Diligence Program; Legal wants to harness AI based solution to improve productivity and screening turn around time further. This solution will lead decomm of CoreStream platform (IT - 200K) and Legal Operational Cost for Legal (500K)</x:v>
      </x:c>
      <x:c r="U382" s="37" t="str">
        <x:v>None</x:v>
      </x:c>
      <x:c r="V382" s="36" t="str">
        <x:v>2027</x:v>
      </x:c>
      <x:c r="W382" s="36" t="str">
        <x:v>ABAC, EC&amp;S</x:v>
      </x:c>
      <x:c r="X382" s="36" t="n">
        <x:v>1.05</x:v>
      </x:c>
      <x:c r="Y382" s="36" t="str">
        <x:v>HEALTHY</x:v>
      </x:c>
      <x:c r="Z382" s="36" t="str">
        <x:v>YES</x:v>
      </x:c>
      <x:c r="AA382" s="36" t="str">
        <x:v>4 — Lean — scope is limited to compliance, with small, justified allowances.</x:v>
      </x:c>
      <x:c r="AB382" s="36" t="n">
        <x:v>5</x:v>
      </x:c>
      <x:c r="AC382" s="36" t="n">
        <x:v>25</x:v>
      </x:c>
      <x:c r="AD382" s="36" t="str">
        <x:v>P1 — Immediate</x:v>
      </x:c>
      <x:c r="AE382" s="36" t="str">
        <x:v>HEALTHY / MUST-DO — P1 — Immediate</x:v>
      </x:c>
      <x:c r="AF382" s="36" t="str">
        <x:v>Name and organisation matched</x:v>
      </x:c>
      <x:c r="AG382" s="36" t="str">
        <x:v>LFR validated candidate</x:v>
      </x:c>
      <x:c r="AH382" s="36" t="str">
        <x:v>EW Demand!row 131</x:v>
      </x:c>
      <x:c r="AI382" s="36" t="str">
        <x:v>LFR</x:v>
      </x:c>
      <x:c r="AJ382" s="36" t="str">
        <x:v>Compliance</x:v>
      </x:c>
      <x:c r="AK382" s="36" t="str">
        <x:v>Must Do</x:v>
      </x:c>
      <x:c r="AL382" s="36" t="n">
        <x:v>0</x:v>
      </x:c>
      <x:c r="AM382" s="36" t="n">
        <x:v>0</x:v>
      </x:c>
      <x:c r="AN382" s="43"/>
      <x:c r="AO382" s="43"/>
      <x:c r="AP382" s="43"/>
    </x:row>
    <x:row r="383" ht="15" hidden="0" customHeight="1">
      <x:c r="A383" s="36" t="str">
        <x:v>EW-61</x:v>
      </x:c>
      <x:c r="B383" s="37" t="str">
        <x:v>Contractor Management &amp; Permit to Work</x:v>
      </x:c>
      <x:c r="C383" s="36" t="str">
        <x:v>EW</x:v>
      </x:c>
      <x:c r="D383" s="36" t="str">
        <x:v>Health &amp; Safety​</x:v>
      </x:c>
      <x:c r="E383" s="36" t="str">
        <x:v>New</x:v>
      </x:c>
      <x:c r="F383" s="36" t="str">
        <x:v>Legal Fiscal, Regulatory &amp; Compliancy</x:v>
      </x:c>
      <x:c r="G383" s="36" t="str">
        <x:v>Compliance/Keeping the lights on</x:v>
      </x:c>
      <x:c r="H383" s="36" t="str">
        <x:v>Must Do</x:v>
      </x:c>
      <x:c r="I383" s="36" t="str">
        <x:v>New Initiative</x:v>
      </x:c>
      <x:c r="J383" s="38" t="n">
        <x:v>0.225</x:v>
      </x:c>
      <x:c r="K383" s="38"/>
      <x:c r="L383" s="38"/>
      <x:c r="M383" s="38"/>
      <x:c r="N383" s="38"/>
      <x:c r="O383" s="38" t="n">
        <x:v>0.8</x:v>
      </x:c>
      <x:c r="P383" s="37" t="str">
        <x:v>800</x:v>
      </x:c>
      <x:c r="Q383" s="37" t="str">
        <x:v>Risk exposure</x:v>
      </x:c>
      <x:c r="R383" s="37" t="str">
        <x: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x:v>
      </x:c>
      <x:c r="S383" s="37" t="str">
        <x:v>Philips’ fragmented, manual, and site-specific Contractor Management and Permit-to-Work processes limit consistent risk control, contractor oversight, and global visibility.</x:v>
      </x:c>
      <x:c r="T383" s="37" t="str">
        <x: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x:v>
      </x:c>
      <x:c r="U383" s="37" t="str">
        <x:v>None</x:v>
      </x:c>
      <x:c r="V383" s="36" t="str">
        <x:v>2027</x:v>
      </x:c>
      <x:c r="W383" s="36" t="str">
        <x:v>EHS</x:v>
      </x:c>
      <x:c r="X383" s="36" t="n">
        <x:v>1.3</x:v>
      </x:c>
      <x:c r="Y383" s="36" t="str">
        <x:v>HEALTHY</x:v>
      </x:c>
      <x:c r="Z383" s="36" t="str">
        <x:v>YES</x:v>
      </x:c>
      <x:c r="AA383" s="36" t="str">
        <x:v>4 — Lean — scope is limited to compliance, with small, justified allowances.</x:v>
      </x:c>
      <x:c r="AB383" s="36" t="n">
        <x:v>5</x:v>
      </x:c>
      <x:c r="AC383" s="36" t="n">
        <x:v>20</x:v>
      </x:c>
      <x:c r="AD383" s="36" t="str">
        <x:v>P1 — Immediate</x:v>
      </x:c>
      <x:c r="AE383" s="36" t="str">
        <x:v>HEALTHY / MUST-DO — P1 — Immediate</x:v>
      </x:c>
      <x:c r="AF383" s="36" t="str">
        <x:v>Name and organisation matched</x:v>
      </x:c>
      <x:c r="AG383" s="36" t="str">
        <x:v>LFR validated candidate</x:v>
      </x:c>
      <x:c r="AH383" s="36" t="str">
        <x:v>EW Demand!row 134</x:v>
      </x:c>
      <x:c r="AI383" s="36" t="str">
        <x:v>LFR</x:v>
      </x:c>
      <x:c r="AJ383" s="36" t="str">
        <x:v>Compliance</x:v>
      </x:c>
      <x:c r="AK383" s="36" t="str">
        <x:v>Must Do</x:v>
      </x:c>
      <x:c r="AL383" s="36" t="n">
        <x:v>0</x:v>
      </x:c>
      <x:c r="AM383" s="36" t="n">
        <x:v>0</x:v>
      </x:c>
      <x:c r="AN383" s="43"/>
      <x:c r="AO383" s="43"/>
      <x:c r="AP383" s="43"/>
    </x:row>
    <x:row r="384" ht="15" hidden="0" customHeight="1">
      <x:c r="A384" s="36" t="str">
        <x:v>EW-62</x:v>
      </x:c>
      <x:c r="B384" s="37" t="str">
        <x:v>Optro Accelerate Module </x:v>
      </x:c>
      <x:c r="C384" s="36" t="str">
        <x:v>EW</x:v>
      </x:c>
      <x:c r="D384" s="36" t="str">
        <x:v>Internal Audit ​</x:v>
      </x:c>
      <x:c r="E384" s="36" t="str">
        <x:v>New</x:v>
      </x:c>
      <x:c r="F384" s="36" t="str">
        <x:v>Legal Fiscal, Regulatory &amp; Compliancy</x:v>
      </x:c>
      <x:c r="G384" s="36" t="str">
        <x:v>Compliance/Keeping the lights on</x:v>
      </x:c>
      <x:c r="H384" s="36" t="str">
        <x:v>Must Do</x:v>
      </x:c>
      <x:c r="I384" s="36" t="str">
        <x:v>New Initiative</x:v>
      </x:c>
      <x:c r="J384" s="38" t="n">
        <x:v>0.171</x:v>
      </x:c>
      <x:c r="K384" s="38"/>
      <x:c r="L384" s="38"/>
      <x:c r="M384" s="38"/>
      <x:c r="N384" s="38"/>
      <x:c r="O384" s="38" t="n">
        <x:v>0.171</x:v>
      </x:c>
      <x:c r="P384" s="37" t="str">
        <x:v>171</x:v>
      </x:c>
      <x:c r="Q384" s="37" t="str">
        <x:v>Risk exposure</x:v>
      </x:c>
      <x:c r="R384" s="37" t="str">
        <x:v>1) The drive in ICoFR and PIA to develop control and audit capabilities in support of LFR, People led AI powered Philips, ICoFR Roadmap will not be delivered</x:v>
      </x:c>
      <x:c r="S384" s="37" t="str">
        <x: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x:v>
      </x:c>
      <x:c r="T384" s="37" t="str">
        <x:v>All existing modules of Optro but especially the OpsAudit, ControlsMngmt and RiskOversight will benefit from Optro Accelerate.   </x:v>
      </x:c>
      <x:c r="U384" s="37" t="str">
        <x:v>None</x:v>
      </x:c>
      <x:c r="V384" s="36" t="str">
        <x:v>2027</x:v>
      </x:c>
      <x:c r="W384" s="36" t="str">
        <x:v>IIA, IFRS, SOx </x:v>
      </x:c>
      <x:c r="X384" s="36" t="n">
        <x:v>1.2</x:v>
      </x:c>
      <x:c r="Y384" s="36" t="str">
        <x:v>HEALTHY</x:v>
      </x:c>
      <x:c r="Z384" s="36" t="str">
        <x:v>NO</x:v>
      </x:c>
      <x:c r="AA384" s="36" t="str">
        <x:v>3 — Mostly lean — only a few extras beyond the minimum remain.</x:v>
      </x:c>
      <x:c r="AB384" s="36" t="n">
        <x:v>2</x:v>
      </x:c>
      <x:c r="AC384" s="36" t="n">
        <x:v>6</x:v>
      </x:c>
      <x:c r="AD384" s="36" t="str">
        <x:v>P3 — Plan in window</x:v>
      </x:c>
      <x:c r="AE384" s="36" t="str">
        <x:v>HEALTHY — Rank in priority matrix</x:v>
      </x:c>
      <x:c r="AF384" s="36" t="str">
        <x:v>Name and organisation matched</x:v>
      </x:c>
      <x:c r="AG384" s="36" t="str">
        <x:v>Common pot</x:v>
      </x:c>
      <x:c r="AH384" s="36" t="str">
        <x:v>EW Demand!row 135</x:v>
      </x:c>
      <x:c r="AI384" s="36" t="str">
        <x:v>LFR</x:v>
      </x:c>
      <x:c r="AJ384" s="36" t="str">
        <x:v>Compliance</x:v>
      </x:c>
      <x:c r="AK384" s="36" t="str">
        <x:v>Must Do</x:v>
      </x:c>
      <x:c r="AL384" s="36" t="n">
        <x:v>0</x:v>
      </x:c>
      <x:c r="AM384" s="36" t="n">
        <x:v>0</x:v>
      </x:c>
      <x:c r="AN384" s="43"/>
      <x:c r="AO384" s="43"/>
      <x:c r="AP384" s="43"/>
    </x:row>
    <x:row r="385" ht="15" hidden="0" customHeight="1">
      <x:c r="A385" s="36" t="str">
        <x:v>EW-63</x:v>
      </x:c>
      <x:c r="B385" s="37" t="str">
        <x:v>Internal Audit - AI and Innovation</x:v>
      </x:c>
      <x:c r="C385" s="36" t="str">
        <x:v>EW</x:v>
      </x:c>
      <x:c r="D385" s="36" t="str">
        <x:v>Internal Audit ​</x:v>
      </x:c>
      <x:c r="E385" s="36" t="str">
        <x:v>New</x:v>
      </x:c>
      <x:c r="F385" s="36" t="str">
        <x:v>Legal Fiscal, Regulatory &amp; Compliancy</x:v>
      </x:c>
      <x:c r="G385" s="36" t="str">
        <x:v>Compliance/Keeping the lights on</x:v>
      </x:c>
      <x:c r="H385" s="36" t="str">
        <x:v>Must Do</x:v>
      </x:c>
      <x:c r="I385" s="36" t="str">
        <x:v>New Initiative</x:v>
      </x:c>
      <x:c r="J385" s="38" t="n">
        <x:v>0.1</x:v>
      </x:c>
      <x:c r="K385" s="38"/>
      <x:c r="L385" s="38"/>
      <x:c r="M385" s="38"/>
      <x:c r="N385" s="38"/>
      <x:c r="O385" s="38" t="n">
        <x:v>0.1</x:v>
      </x:c>
      <x:c r="P385" s="37" t="str">
        <x:v>100</x:v>
      </x:c>
      <x:c r="Q385" s="37" t="str">
        <x:v>Risk exposure</x:v>
      </x:c>
      <x:c r="R385" s="37" t="str">
        <x:v>1) The drive in ICoFR and PIA to develop control and audit capabilities in support of LFR, People led AI powered Philips, ICoFR Roadmap will not be delivered</x:v>
      </x:c>
      <x:c r="S385" s="37"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x:v>
      </x:c>
      <x:c r="T385" s="37" t="str">
        <x:v> As part of people led, AI powered Philips - this is to support the AI initiatives of PIA Audit and R&amp;C COE teams</x:v>
      </x:c>
      <x:c r="U385" s="37" t="str">
        <x:v>None</x:v>
      </x:c>
      <x:c r="V385" s="36" t="str">
        <x:v>2027</x:v>
      </x:c>
      <x:c r="W385" s="36" t="str">
        <x:v>IIA</x:v>
      </x:c>
      <x:c r="X385" s="36" t="n">
        <x:v>1.65</x:v>
      </x:c>
      <x:c r="Y385" s="36" t="str">
        <x:v>HEALTHY</x:v>
      </x:c>
      <x:c r="Z385" s="36" t="str">
        <x:v>NO</x:v>
      </x:c>
      <x:c r="AA385" s="36" t="str">
        <x:v>3 — Mostly lean — only a few extras beyond the minimum remain.</x:v>
      </x:c>
      <x:c r="AB385" s="36" t="n">
        <x:v>2</x:v>
      </x:c>
      <x:c r="AC385" s="36" t="n">
        <x:v>4</x:v>
      </x:c>
      <x:c r="AD385" s="36" t="str">
        <x:v>P3 — Plan in window</x:v>
      </x:c>
      <x:c r="AE385" s="36" t="str">
        <x:v>HEALTHY — Rank in priority matrix</x:v>
      </x:c>
      <x:c r="AF385" s="36" t="str">
        <x:v>Name and organisation matched</x:v>
      </x:c>
      <x:c r="AG385" s="36" t="str">
        <x:v>Common pot</x:v>
      </x:c>
      <x:c r="AH385" s="36" t="str">
        <x:v>EW Demand!row 149</x:v>
      </x:c>
      <x:c r="AI385" s="36" t="str">
        <x:v>LFR</x:v>
      </x:c>
      <x:c r="AJ385" s="36" t="str">
        <x:v>Compliance</x:v>
      </x:c>
      <x:c r="AK385" s="36" t="str">
        <x:v>Must Do</x:v>
      </x:c>
      <x:c r="AL385" s="36" t="n">
        <x:v>0</x:v>
      </x:c>
      <x:c r="AM385" s="36" t="n">
        <x:v>0</x:v>
      </x:c>
      <x:c r="AN385" s="43"/>
      <x:c r="AO385" s="43"/>
      <x:c r="AP385" s="43"/>
    </x:row>
    <x:row r="386" ht="15" hidden="0" customHeight="1">
      <x:c r="A386" s="36" t="str">
        <x:v>EW-64</x:v>
      </x:c>
      <x:c r="B386" s="37" t="str">
        <x:v>Legal - AI and Innovation</x:v>
      </x:c>
      <x:c r="C386" s="36" t="str">
        <x:v>EW</x:v>
      </x:c>
      <x:c r="D386" s="36" t="str">
        <x:v>Legal​</x:v>
      </x:c>
      <x:c r="E386" s="36" t="str">
        <x:v>New</x:v>
      </x:c>
      <x:c r="F386" s="36" t="str">
        <x:v>Legal Fiscal, Regulatory &amp; Compliancy</x:v>
      </x:c>
      <x:c r="G386" s="36" t="str">
        <x:v>Compliance/Keeping the lights on</x:v>
      </x:c>
      <x:c r="H386" s="36" t="str">
        <x:v>Must Do</x:v>
      </x:c>
      <x:c r="I386" s="36" t="str">
        <x:v>New Initiative</x:v>
      </x:c>
      <x:c r="J386" s="38" t="n">
        <x:v>0.1</x:v>
      </x:c>
      <x:c r="K386" s="38"/>
      <x:c r="L386" s="38"/>
      <x:c r="M386" s="38"/>
      <x:c r="N386" s="38"/>
      <x:c r="O386" s="38" t="n">
        <x:v>0.1</x:v>
      </x:c>
      <x:c r="P386" s="37" t="str">
        <x:v>100</x:v>
      </x:c>
      <x:c r="Q386" s="37" t="str">
        <x:v>Risk exposure</x:v>
      </x:c>
      <x:c r="R386" s="37" t="str">
        <x:v>1) The drive in Legal is to develop AI capabilities in support of LFR, People led AI powered Philips, Legal Roadmap will not be delivered (Ex: Legal for Legal capabilities, EC&amp;S, Gifts Compliance etc)</x:v>
      </x:c>
      <x:c r="S386" s="37" t="str">
        <x: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x:v>
      </x:c>
      <x:c r="T386" s="37" t="str">
        <x:v>  As part of people led, AI powered Philips - this is to support the AI initiatives ofLegal Teams</x:v>
      </x:c>
      <x:c r="U386" s="37" t="str">
        <x:v>None</x:v>
      </x:c>
      <x:c r="V386" s="36" t="str">
        <x:v>2027</x:v>
      </x:c>
      <x:c r="W386" s="36" t="str">
        <x:v>ABAC, EC&amp;S,  HCC, GDPR</x:v>
      </x:c>
      <x:c r="X386" s="36" t="n">
        <x:v>1.65</x:v>
      </x:c>
      <x:c r="Y386" s="36" t="str">
        <x:v>HEALTHY</x:v>
      </x:c>
      <x:c r="Z386" s="36" t="str">
        <x:v>NO</x:v>
      </x:c>
      <x:c r="AA386" s="36" t="str">
        <x:v>3 — Mostly lean — only a few extras beyond the minimum remain.</x:v>
      </x:c>
      <x:c r="AB386" s="36" t="n">
        <x:v>3</x:v>
      </x:c>
      <x:c r="AC386" s="36" t="n">
        <x:v>9</x:v>
      </x:c>
      <x:c r="AD386" s="36" t="str">
        <x:v>P3 — Plan in window</x:v>
      </x:c>
      <x:c r="AE386" s="36" t="str">
        <x:v>HEALTHY — Rank in priority matrix</x:v>
      </x:c>
      <x:c r="AF386" s="36" t="str">
        <x:v>Name and organisation matched</x:v>
      </x:c>
      <x:c r="AG386" s="36" t="str">
        <x:v>Common pot</x:v>
      </x:c>
      <x:c r="AH386" s="36" t="str">
        <x:v>EW Demand!row 151</x:v>
      </x:c>
      <x:c r="AI386" s="36" t="str">
        <x:v>LFR</x:v>
      </x:c>
      <x:c r="AJ386" s="36" t="str">
        <x:v>Compliance</x:v>
      </x:c>
      <x:c r="AK386" s="36" t="str">
        <x:v>Must Do</x:v>
      </x:c>
      <x:c r="AL386" s="36" t="n">
        <x:v>0</x:v>
      </x:c>
      <x:c r="AM386" s="36" t="n">
        <x:v>0</x:v>
      </x:c>
      <x:c r="AN386" s="43"/>
      <x:c r="AO386" s="43"/>
      <x:c r="AP386" s="43"/>
    </x:row>
    <x:row r="387" ht="15" hidden="0" customHeight="1">
      <x:c r="A387" s="36" t="str">
        <x:v>EW-65</x:v>
      </x:c>
      <x:c r="B387" s="37" t="str">
        <x:v>ISC -CCB - EW</x:v>
      </x:c>
      <x:c r="C387" s="36" t="str">
        <x:v>EW</x:v>
      </x:c>
      <x:c r="D387" s="36" t="str">
        <x:v>Information Technology ​</x:v>
      </x:c>
      <x:c r="E387" s="36" t="str">
        <x:v>1006447</x:v>
      </x:c>
      <x:c r="F387" s="36" t="str">
        <x:v>Legal Fiscal, Regulatory &amp; Compliancy</x:v>
      </x:c>
      <x:c r="G387" s="36" t="str">
        <x:v>Compliance/Keeping the lights on</x:v>
      </x:c>
      <x:c r="H387" s="36" t="str">
        <x:v>Must Do</x:v>
      </x:c>
      <x:c r="I387" s="36" t="str">
        <x:v>Change &amp; Sustain</x:v>
      </x:c>
      <x:c r="J387" s="38" t="n">
        <x:v>4.16</x:v>
      </x:c>
      <x:c r="K387" s="38"/>
      <x:c r="L387" s="38"/>
      <x:c r="M387" s="38"/>
      <x:c r="N387" s="38"/>
      <x:c r="O387" s="38"/>
      <x:c r="P387" s="37" t="str">
        <x:v>LFR, Compliance </x:v>
      </x:c>
      <x:c r="Q387" s="37" t="str">
        <x:v>Risk exposure</x:v>
      </x:c>
      <x:c r="R387" s="37" t="str">
        <x:v>Philips becomes non-compliant with legal/fiscal/regulatory requirements for various BUs as prioritized change requests cannot be deployed; Potential penalties and audit findings</x:v>
      </x:c>
      <x:c r="S387" s="37" t="str"/>
      <x:c r="T387" s="37" t="str"/>
      <x:c r="U387" s="37" t="str"/>
      <x:c r="V387" s="36" t="str">
        <x:v>2027</x:v>
      </x:c>
      <x:c r="W387" s="36" t="str"/>
      <x:c r="X387" s="36"/>
      <x:c r="Y387" s="36" t="str">
        <x:v>NotAssessed</x:v>
      </x:c>
      <x:c r="Z387" s="36" t="str"/>
      <x:c r="AA387" s="36" t="str"/>
      <x:c r="AB387" s="36"/>
      <x:c r="AC387" s="36"/>
      <x:c r="AD387" s="36" t="str"/>
      <x:c r="AE387" s="36" t="str"/>
      <x:c r="AF387" s="36" t="str">
        <x:v>No exact waste match</x:v>
      </x:c>
      <x:c r="AG387" s="36" t="str">
        <x:v>Change and Sustain candidate</x:v>
      </x:c>
      <x:c r="AH387" s="36" t="str">
        <x:v>EW Demand!row 153</x:v>
      </x:c>
      <x:c r="AI387" s="36" t="str">
        <x:v>LFR</x:v>
      </x:c>
      <x:c r="AJ387" s="36" t="str">
        <x:v>Compliance</x:v>
      </x:c>
      <x:c r="AK387" s="36" t="str">
        <x:v>Must Do</x:v>
      </x:c>
      <x:c r="AL387" s="36" t="n">
        <x:v>0</x:v>
      </x:c>
      <x:c r="AM387" s="36" t="n">
        <x:v>0</x:v>
      </x:c>
      <x:c r="AN387" s="43"/>
      <x:c r="AO387" s="43"/>
      <x:c r="AP387" s="43"/>
    </x:row>
    <x:row r="388" ht="15" hidden="0" customHeight="1">
      <x:c r="A388" s="36" t="str">
        <x:v>EW-66</x:v>
      </x:c>
      <x:c r="B388" s="37" t="str">
        <x:v>CLARA - Clinical Partnerships (Site &amp; KOL Engagements)</x:v>
      </x:c>
      <x:c r="C388" s="36" t="str">
        <x:v>EW</x:v>
      </x:c>
      <x:c r="D388" s="36" t="str">
        <x:v>Medical Office</x:v>
      </x:c>
      <x:c r="E388" s="36" t="str">
        <x:v>10006879 (prior CCB Program)</x:v>
      </x:c>
      <x:c r="F388" s="36" t="str">
        <x:v>New Features</x:v>
      </x:c>
      <x:c r="G388" s="36" t="str">
        <x:v>Productivity savings</x:v>
      </x:c>
      <x:c r="H388" s="36" t="str">
        <x:v>Must Do</x:v>
      </x:c>
      <x:c r="I388" s="36" t="str">
        <x:v>Carry Over</x:v>
      </x:c>
      <x:c r="J388" s="38" t="n">
        <x:v>0.4</x:v>
      </x:c>
      <x:c r="K388" s="38"/>
      <x:c r="L388" s="38"/>
      <x:c r="M388" s="38"/>
      <x:c r="N388" s="38"/>
      <x:c r="O388" s="38" t="n">
        <x:v>1</x:v>
      </x:c>
      <x:c r="P388" s="37" t="str">
        <x:v>1000</x:v>
      </x:c>
      <x:c r="Q388" s="37" t="str">
        <x:v>Cash savings</x:v>
      </x:c>
      <x:c r="R388" s="37" t="str">
        <x:v>also compliance cost avoidance of 23M Eur, according to 2026 CLARA business case</x:v>
      </x:c>
      <x:c r="S388" s="37" t="str">
        <x: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x:v>
      </x:c>
      <x:c r="T388" s="37" t="str">
        <x:v>Delivery of the 2027 PO backlog across ORION modules: KOL, PPP, DC, and Site Contracts. Includes: new BU onboardings; KOL payment-tracking and compliance enhancements; integration w/ Medispend, Ensight reporting, etc.</x:v>
      </x:c>
      <x:c r="U388" s="37" t="str"/>
      <x:c r="V388" s="36" t="str">
        <x:v>2027</x:v>
      </x:c>
      <x:c r="W388" s="36" t="str"/>
      <x:c r="X388" s="36" t="n">
        <x:v>1.4</x:v>
      </x:c>
      <x:c r="Y388" s="36" t="str">
        <x:v>HEALTHY</x:v>
      </x:c>
      <x:c r="Z388" s="36" t="str">
        <x:v>NO</x:v>
      </x:c>
      <x:c r="AA388" s="36" t="str">
        <x:v>4 — Lean — scope is limited to compliance, with small, justified allowances.</x:v>
      </x:c>
      <x:c r="AB388" s="36" t="n">
        <x:v>4</x:v>
      </x:c>
      <x:c r="AC388" s="36" t="n">
        <x:v>20</x:v>
      </x:c>
      <x:c r="AD388" s="36" t="str">
        <x:v>P1 — Immediate</x:v>
      </x:c>
      <x:c r="AE388" s="36" t="str">
        <x:v>HEALTHY — Rank in priority matrix</x:v>
      </x:c>
      <x:c r="AF388" s="36" t="str">
        <x:v>Name and organisation matched</x:v>
      </x:c>
      <x:c r="AG388" s="36" t="str">
        <x:v>Common pot</x:v>
      </x:c>
      <x:c r="AH388" s="36" t="str">
        <x:v>EW Demand!row 154</x:v>
      </x:c>
      <x:c r="AI388" s="36" t="str">
        <x:v>NewFeat</x:v>
      </x:c>
      <x:c r="AJ388" s="36" t="str">
        <x:v>Productivity</x:v>
      </x:c>
      <x:c r="AK388" s="36" t="str">
        <x:v>Must Do</x:v>
      </x:c>
      <x:c r="AL388" s="36" t="n">
        <x:v>0</x:v>
      </x:c>
      <x:c r="AM388" s="36" t="n">
        <x:v>0</x:v>
      </x:c>
      <x:c r="AN388" s="43"/>
      <x:c r="AO388" s="43"/>
      <x:c r="AP388" s="43"/>
    </x:row>
    <x:row r="389" ht="15" hidden="0" customHeight="1">
      <x:c r="A389" s="36" t="str">
        <x:v>EW-67</x:v>
      </x:c>
      <x:c r="B389" s="37" t="str">
        <x:v>BEACON - Program (BoM - Clinical Research Model)</x:v>
      </x:c>
      <x:c r="C389" s="36" t="str">
        <x:v>EW</x:v>
      </x:c>
      <x:c r="D389" s="36" t="str">
        <x:v>Medical Office</x:v>
      </x:c>
      <x:c r="E389" s="36" t="str">
        <x:v>10006879 (prior CCB Program)</x:v>
      </x:c>
      <x:c r="F389" s="36" t="str">
        <x:v>Legal Fiscal, Regulatory &amp; Compliancy</x:v>
      </x:c>
      <x:c r="G389" s="36" t="str">
        <x:v>Compliance/Keeping the lights on</x:v>
      </x:c>
      <x:c r="H389" s="36" t="str">
        <x:v>Must Do</x:v>
      </x:c>
      <x:c r="I389" s="36" t="str">
        <x:v>Carry Over</x:v>
      </x:c>
      <x:c r="J389" s="38" t="n">
        <x:v>0.375</x:v>
      </x:c>
      <x:c r="K389" s="38"/>
      <x:c r="L389" s="38"/>
      <x:c r="M389" s="38"/>
      <x:c r="N389" s="38"/>
      <x:c r="O389" s="38" t="n">
        <x:v>0.4</x:v>
      </x:c>
      <x:c r="P389" s="37" t="str">
        <x:v>400</x:v>
      </x:c>
      <x:c r="Q389" s="37" t="str">
        <x:v>Risk exposure</x:v>
      </x:c>
      <x:c r="R389" s="37" t="str">
        <x:v>nono compliance and inefficient process</x:v>
      </x:c>
      <x:c r="S389" s="37" t="str">
        <x: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x:v>
      </x:c>
      <x:c r="T389" s="37" t="str">
        <x: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x:v>
      </x:c>
      <x:c r="U389" s="37" t="str"/>
      <x:c r="V389" s="36" t="str">
        <x:v>2027</x:v>
      </x:c>
      <x:c r="W389" s="36" t="str"/>
      <x:c r="X389" s="36" t="n">
        <x:v>1.6</x:v>
      </x:c>
      <x:c r="Y389" s="36" t="str">
        <x:v>HEALTHY</x:v>
      </x:c>
      <x:c r="Z389" s="36" t="str">
        <x:v>YES</x:v>
      </x:c>
      <x:c r="AA389" s="36" t="str">
        <x:v>4 — Lean — scope is limited to compliance, with small, justified allowances.</x:v>
      </x:c>
      <x:c r="AB389" s="36" t="n">
        <x:v>4</x:v>
      </x:c>
      <x:c r="AC389" s="36" t="n">
        <x:v>20</x:v>
      </x:c>
      <x:c r="AD389" s="36" t="str">
        <x:v>P1 — Immediate</x:v>
      </x:c>
      <x:c r="AE389" s="36" t="str">
        <x:v>HEALTHY / MUST-DO — P1 — Immediate</x:v>
      </x:c>
      <x:c r="AF389" s="36" t="str">
        <x:v>Name and organisation matched</x:v>
      </x:c>
      <x:c r="AG389" s="36" t="str">
        <x:v>LFR validated candidate</x:v>
      </x:c>
      <x:c r="AH389" s="36" t="str">
        <x:v>EW Demand!row 155</x:v>
      </x:c>
      <x:c r="AI389" s="36" t="str">
        <x:v>LFR</x:v>
      </x:c>
      <x:c r="AJ389" s="36" t="str">
        <x:v>Compliance</x:v>
      </x:c>
      <x:c r="AK389" s="36" t="str">
        <x:v>Must Do</x:v>
      </x:c>
      <x:c r="AL389" s="36" t="n">
        <x:v>0</x:v>
      </x:c>
      <x:c r="AM389" s="36" t="n">
        <x:v>0</x:v>
      </x:c>
      <x:c r="AN389" s="43"/>
      <x:c r="AO389" s="43"/>
      <x:c r="AP389" s="43"/>
    </x:row>
    <x:row r="390" ht="15" hidden="0" customHeight="1">
      <x:c r="A390" s="36" t="str">
        <x:v>EW-68</x:v>
      </x:c>
      <x:c r="B390" s="37" t="str">
        <x:v>Veeva Program (@investor - Evidence &amp;  Claims Management)</x:v>
      </x:c>
      <x:c r="C390" s="36" t="str">
        <x:v>EW</x:v>
      </x:c>
      <x:c r="D390" s="36" t="str">
        <x:v>Medical Office</x:v>
      </x:c>
      <x:c r="E390" s="36" t="str">
        <x:v>10006879 (prior CCB Program)</x:v>
      </x:c>
      <x:c r="F390" s="36" t="str">
        <x:v>Legal Fiscal, Regulatory &amp; Compliancy</x:v>
      </x:c>
      <x:c r="G390" s="36" t="str">
        <x:v>Compliance/Keeping the lights on</x:v>
      </x:c>
      <x:c r="H390" s="36" t="str">
        <x:v>Must Do</x:v>
      </x:c>
      <x:c r="I390" s="36" t="str">
        <x:v>Carry Over</x:v>
      </x:c>
      <x:c r="J390" s="38" t="n">
        <x:v>0.725</x:v>
      </x:c>
      <x:c r="K390" s="38"/>
      <x:c r="L390" s="38"/>
      <x:c r="M390" s="38"/>
      <x:c r="N390" s="38"/>
      <x:c r="O390" s="38" t="n">
        <x:v>9.464</x:v>
      </x:c>
      <x:c r="P390" s="37" t="str">
        <x:v>9464</x:v>
      </x:c>
      <x:c r="Q390" s="37" t="str">
        <x:v>Risk exposure</x:v>
      </x:c>
      <x:c r="R390" s="37" t="str">
        <x:v>non compliance and see @investor 67273 v2</x:v>
      </x:c>
      <x:c r="S390" s="37" t="str">
        <x: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x:v>
      </x:c>
      <x:c r="T390" s="37" t="str">
        <x: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x:v>
      </x:c>
      <x:c r="U390" s="37" t="str"/>
      <x:c r="V390" s="36" t="str">
        <x:v>2027</x:v>
      </x:c>
      <x:c r="W390" s="36" t="str"/>
      <x:c r="X390" s="36" t="n">
        <x:v>1.45</x:v>
      </x:c>
      <x:c r="Y390" s="36" t="str">
        <x:v>HEALTHY</x:v>
      </x:c>
      <x:c r="Z390" s="36" t="str">
        <x:v>YES</x:v>
      </x:c>
      <x:c r="AA390" s="36" t="str">
        <x:v>4 — Lean — scope is limited to compliance, with small, justified allowances.</x:v>
      </x:c>
      <x:c r="AB390" s="36" t="n">
        <x:v>4</x:v>
      </x:c>
      <x:c r="AC390" s="36" t="n">
        <x:v>20</x:v>
      </x:c>
      <x:c r="AD390" s="36" t="str">
        <x:v>P1 — Immediate</x:v>
      </x:c>
      <x:c r="AE390" s="36" t="str">
        <x:v>HEALTHY / MUST-DO — P1 — Immediate</x:v>
      </x:c>
      <x:c r="AF390" s="36" t="str">
        <x:v>Name and organisation matched</x:v>
      </x:c>
      <x:c r="AG390" s="36" t="str">
        <x:v>LFR validated candidate</x:v>
      </x:c>
      <x:c r="AH390" s="36" t="str">
        <x:v>EW Demand!row 156</x:v>
      </x:c>
      <x:c r="AI390" s="36" t="str">
        <x:v>LFR</x:v>
      </x:c>
      <x:c r="AJ390" s="36" t="str">
        <x:v>Compliance</x:v>
      </x:c>
      <x:c r="AK390" s="36" t="str">
        <x:v>Must Do</x:v>
      </x:c>
      <x:c r="AL390" s="36" t="n">
        <x:v>0</x:v>
      </x:c>
      <x:c r="AM390" s="36" t="n">
        <x:v>0</x:v>
      </x:c>
      <x:c r="AN390" s="43"/>
      <x:c r="AO390" s="43"/>
      <x:c r="AP390" s="43"/>
    </x:row>
    <x:row r="391" ht="15" hidden="0" customHeight="1">
      <x:c r="A391" s="36" t="str">
        <x:v>EW-69</x:v>
      </x:c>
      <x:c r="B391" s="37" t="str">
        <x:v>eClinical Platform - Compliance &amp; Sustain</x:v>
      </x:c>
      <x:c r="C391" s="36" t="str">
        <x:v>EW</x:v>
      </x:c>
      <x:c r="D391" s="36" t="str">
        <x:v>Medical Office</x:v>
      </x:c>
      <x:c r="E391" s="36" t="str">
        <x:v>10006879 (prior CCB Program)</x:v>
      </x:c>
      <x:c r="F391" s="36" t="str">
        <x:v>Legal Fiscal, Regulatory &amp; Compliancy</x:v>
      </x:c>
      <x:c r="G391" s="36" t="str">
        <x:v>Compliance/Keeping the lights on</x:v>
      </x:c>
      <x:c r="H391" s="36" t="str">
        <x:v>Must Do</x:v>
      </x:c>
      <x:c r="I391" s="36" t="str">
        <x:v>Carry Over</x:v>
      </x:c>
      <x:c r="J391" s="38" t="n">
        <x:v>0.35</x:v>
      </x:c>
      <x:c r="K391" s="38"/>
      <x:c r="L391" s="38"/>
      <x:c r="M391" s="38"/>
      <x:c r="N391" s="38"/>
      <x:c r="O391" s="38" t="n">
        <x:v>3.9</x:v>
      </x:c>
      <x:c r="P391" s="37" t="str">
        <x:v>3900</x:v>
      </x:c>
      <x:c r="Q391" s="37" t="str">
        <x:v>Risk exposure</x:v>
      </x:c>
      <x:c r="R391" s="37" t="str">
        <x:v>non compliance and see @investor 68502 v2</x:v>
      </x:c>
      <x:c r="S391" s="37" t="str">
        <x: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x:v>
      </x:c>
      <x:c r="T391" s="37" t="str">
        <x: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x:v>
      </x:c>
      <x:c r="U391" s="37" t="str"/>
      <x:c r="V391" s="36" t="str">
        <x:v>2027</x:v>
      </x:c>
      <x:c r="W391" s="36" t="str"/>
      <x:c r="X391" s="36" t="n">
        <x:v>1.6</x:v>
      </x:c>
      <x:c r="Y391" s="36" t="str">
        <x:v>HEALTHY</x:v>
      </x:c>
      <x:c r="Z391" s="36" t="str">
        <x:v>YES</x:v>
      </x:c>
      <x:c r="AA391" s="36" t="str">
        <x:v>4 — Lean — scope is limited to compliance, with small, justified allowances.</x:v>
      </x:c>
      <x:c r="AB391" s="36" t="n">
        <x:v>5</x:v>
      </x:c>
      <x:c r="AC391" s="36" t="n">
        <x:v>25</x:v>
      </x:c>
      <x:c r="AD391" s="36" t="str">
        <x:v>P1 — Immediate</x:v>
      </x:c>
      <x:c r="AE391" s="36" t="str">
        <x:v>HEALTHY / MUST-DO — P1 — Immediate</x:v>
      </x:c>
      <x:c r="AF391" s="36" t="str">
        <x:v>Name and organisation matched</x:v>
      </x:c>
      <x:c r="AG391" s="36" t="str">
        <x:v>LFR validated candidate</x:v>
      </x:c>
      <x:c r="AH391" s="36" t="str">
        <x:v>EW Demand!row 157</x:v>
      </x:c>
      <x:c r="AI391" s="36" t="str">
        <x:v>LFR</x:v>
      </x:c>
      <x:c r="AJ391" s="36" t="str">
        <x:v>Compliance</x:v>
      </x:c>
      <x:c r="AK391" s="36" t="str">
        <x:v>Must Do</x:v>
      </x:c>
      <x:c r="AL391" s="36" t="n">
        <x:v>0</x:v>
      </x:c>
      <x:c r="AM391" s="36" t="n">
        <x:v>0</x:v>
      </x:c>
      <x:c r="AN391" s="43"/>
      <x:c r="AO391" s="43"/>
      <x:c r="AP391" s="43"/>
    </x:row>
    <x:row r="392" ht="15" hidden="0" customHeight="1">
      <x:c r="A392" s="36" t="str">
        <x:v>EW-70</x:v>
      </x:c>
      <x:c r="B392" s="37" t="str">
        <x:v>AI Big Bets - Clinical &amp; Medical Affairs, Medical Safety, and HEMAR</x:v>
      </x:c>
      <x:c r="C392" s="36" t="str">
        <x:v>EW</x:v>
      </x:c>
      <x:c r="D392" s="36" t="str">
        <x:v>Medical Office</x:v>
      </x:c>
      <x:c r="E392" s="36" t="str"/>
      <x:c r="F392" s="36" t="str">
        <x:v>AI Enablement</x:v>
      </x:c>
      <x:c r="G392" s="36" t="str">
        <x:v>Productivity savings</x:v>
      </x:c>
      <x:c r="H392" s="36" t="str">
        <x:v>Must Do</x:v>
      </x:c>
      <x:c r="I392" s="36" t="str">
        <x:v>New Initiative</x:v>
      </x:c>
      <x:c r="J392" s="38" t="n">
        <x:v>0.3</x:v>
      </x:c>
      <x:c r="K392" s="38"/>
      <x:c r="L392" s="38"/>
      <x:c r="M392" s="38"/>
      <x:c r="N392" s="38"/>
      <x:c r="O392" s="38" t="n">
        <x:v>1.5</x:v>
      </x:c>
      <x:c r="P392" s="37" t="str">
        <x:v>1500</x:v>
      </x:c>
      <x:c r="Q392" s="37" t="str">
        <x:v>Cash savings</x:v>
      </x:c>
      <x:c r="R392" s="37" t="str">
        <x:v>Huge efficiency gains. E.g. CERA, lterature review</x:v>
      </x:c>
      <x:c r="S392" s="37" t="str">
        <x: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x:v>
      </x:c>
      <x:c r="T392" s="37" t="str">
        <x: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x:v>
      </x:c>
      <x:c r="U392" s="37" t="str"/>
      <x:c r="V392" s="36" t="str"/>
      <x:c r="W392" s="36" t="str"/>
      <x:c r="X392" s="36" t="n">
        <x:v>1.1</x:v>
      </x:c>
      <x:c r="Y392" s="36" t="str">
        <x:v>HEALTHY</x:v>
      </x:c>
      <x:c r="Z392" s="36" t="str"/>
      <x:c r="AA392" s="36" t="str"/>
      <x:c r="AB392" s="36"/>
      <x:c r="AC392" s="36"/>
      <x:c r="AD392" s="36" t="str"/>
      <x:c r="AE392" s="36" t="str">
        <x:v>HEALTHY — Rank in priority matrix</x:v>
      </x:c>
      <x:c r="AF392" s="36" t="str">
        <x:v>Name and organisation matched</x:v>
      </x:c>
      <x:c r="AG392" s="36" t="str">
        <x:v>Common pot</x:v>
      </x:c>
      <x:c r="AH392" s="36" t="str">
        <x:v>EW Demand!row 158</x:v>
      </x:c>
      <x:c r="AI392" s="36" t="str">
        <x:v>AI</x:v>
      </x:c>
      <x:c r="AJ392" s="36" t="str">
        <x:v>Productivity</x:v>
      </x:c>
      <x:c r="AK392" s="36" t="str">
        <x:v>Must Do</x:v>
      </x:c>
      <x:c r="AL392" s="36" t="n">
        <x:v>0</x:v>
      </x:c>
      <x:c r="AM392" s="36" t="n">
        <x:v>0</x:v>
      </x:c>
      <x:c r="AN392" s="43"/>
      <x:c r="AO392" s="43"/>
      <x:c r="AP392" s="43"/>
    </x:row>
    <x:row r="393" ht="15" hidden="0" customHeight="1">
      <x:c r="A393" s="36" t="str">
        <x:v>EW-71</x:v>
      </x:c>
      <x:c r="B393" s="37" t="str">
        <x:v>FIN-CCB - Finance</x:v>
      </x:c>
      <x:c r="C393" s="36" t="str">
        <x:v>EW</x:v>
      </x:c>
      <x:c r="D393" s="36" t="str">
        <x:v>Finance​</x:v>
      </x:c>
      <x:c r="E393" s="36" t="str">
        <x:v>1006445</x:v>
      </x:c>
      <x:c r="F393" s="36" t="str">
        <x:v>Legal Fiscal, Regulatory &amp; Compliancy</x:v>
      </x:c>
      <x:c r="G393" s="36" t="str">
        <x:v>Compliance/Keeping the lights on</x:v>
      </x:c>
      <x:c r="H393" s="36" t="str">
        <x:v>Must Do</x:v>
      </x:c>
      <x:c r="I393" s="36" t="str">
        <x:v>Change &amp; Sustain</x:v>
      </x:c>
      <x:c r="J393" s="38" t="n">
        <x:v>6.225</x:v>
      </x:c>
      <x:c r="K393" s="38"/>
      <x:c r="L393" s="38"/>
      <x:c r="M393" s="38"/>
      <x:c r="N393" s="38"/>
      <x:c r="O393" s="38"/>
      <x:c r="P393" s="37" t="str">
        <x:v>LFR, Compliance </x:v>
      </x:c>
      <x:c r="Q393" s="37" t="str">
        <x:v>Risk exposure</x:v>
      </x:c>
      <x:c r="R393" s="37" t="str">
        <x:v>Philips becomes non-compliant with legal/fiscal/regulatory requirements; High risk exposure due to outdated systems; Potential penalties and audit findings (cost avoidance on the tune of ~400M)</x:v>
      </x:c>
      <x:c r="S393" s="37" t="str"/>
      <x:c r="T393" s="37" t="str"/>
      <x:c r="U393" s="37" t="str"/>
      <x:c r="V393" s="36" t="str">
        <x:v>2027</x:v>
      </x:c>
      <x:c r="W393" s="36" t="str"/>
      <x:c r="X393" s="36"/>
      <x:c r="Y393" s="36" t="str">
        <x:v>NotAssessed</x:v>
      </x:c>
      <x:c r="Z393" s="36" t="str"/>
      <x:c r="AA393" s="36" t="str"/>
      <x:c r="AB393" s="36"/>
      <x:c r="AC393" s="36"/>
      <x:c r="AD393" s="36" t="str"/>
      <x:c r="AE393" s="36" t="str"/>
      <x:c r="AF393" s="36" t="str">
        <x:v>No exact waste match</x:v>
      </x:c>
      <x:c r="AG393" s="36" t="str">
        <x:v>Change and Sustain candidate</x:v>
      </x:c>
      <x:c r="AH393" s="36" t="str">
        <x:v>EW Demand!row 159</x:v>
      </x:c>
      <x:c r="AI393" s="36" t="str">
        <x:v>LFR</x:v>
      </x:c>
      <x:c r="AJ393" s="36" t="str">
        <x:v>Compliance</x:v>
      </x:c>
      <x:c r="AK393" s="36" t="str">
        <x:v>Must Do</x:v>
      </x:c>
      <x:c r="AL393" s="36" t="n">
        <x:v>0</x:v>
      </x:c>
      <x:c r="AM393" s="36" t="n">
        <x:v>0</x:v>
      </x:c>
      <x:c r="AN393" s="43"/>
      <x:c r="AO393" s="43"/>
      <x:c r="AP393" s="43"/>
    </x:row>
    <x:row r="394" ht="15" hidden="0" customHeight="1">
      <x:c r="A394" s="36" t="str">
        <x:v>EW-72</x:v>
      </x:c>
      <x:c r="B394" s="37" t="str">
        <x:v>ARIS Process framework</x:v>
      </x:c>
      <x:c r="C394" s="36" t="str">
        <x:v>EW</x:v>
      </x:c>
      <x:c r="D394" s="36" t="str">
        <x:v>Information Technology ​</x:v>
      </x:c>
      <x:c r="E394" s="36" t="str">
        <x:v>1006423</x:v>
      </x:c>
      <x:c r="F394" s="36" t="str">
        <x:v>Decomm/Replatforming</x:v>
      </x:c>
      <x:c r="G394" s="36" t="str">
        <x:v>Productivity savings</x:v>
      </x:c>
      <x:c r="H394" s="36" t="str">
        <x:v>Must Do</x:v>
      </x:c>
      <x:c r="I394" s="36" t="str">
        <x:v>New Initiative</x:v>
      </x:c>
      <x:c r="J394" s="38" t="n">
        <x:v>0.4</x:v>
      </x:c>
      <x:c r="K394" s="38"/>
      <x:c r="L394" s="38"/>
      <x:c r="M394" s="38"/>
      <x:c r="N394" s="38"/>
      <x:c r="O394" s="38" t="n">
        <x:v>0.7</x:v>
      </x:c>
      <x:c r="P394" s="37" t="str">
        <x:v>700</x:v>
      </x:c>
      <x:c r="Q394" s="37" t="str">
        <x:v>Cash savings</x:v>
      </x:c>
      <x:c r="R394" s="37" t="str">
        <x:v>Philips would have to continue with a heavily customized current solution which has high cost impact on IT; net loss of hard savings worth 700k annually due to license costs.</x:v>
      </x:c>
      <x:c r="S394" s="37" t="str">
        <x:v>Decomm of ARIS to new alternative</x:v>
      </x:c>
      <x:c r="T394" s="37" t="str">
        <x:v>Decomm ARIS, onboard Process framework as designed to fulfill Process and compliance requirements</x:v>
      </x:c>
      <x:c r="U394" s="37" t="str">
        <x:v>None</x:v>
      </x:c>
      <x:c r="V394" s="36" t="str"/>
      <x:c r="W394" s="36" t="str"/>
      <x:c r="X394" s="36" t="n">
        <x:v>1.05</x:v>
      </x:c>
      <x:c r="Y394" s="36" t="str">
        <x:v>HEALTHY</x:v>
      </x:c>
      <x:c r="Z394" s="36" t="str">
        <x:v>YES</x:v>
      </x:c>
      <x:c r="AA394" s="36" t="str">
        <x:v>5 — Exactly the minimum — only what's needed to meet the rule, nothing more.</x:v>
      </x:c>
      <x:c r="AB394" s="36" t="n">
        <x:v>5</x:v>
      </x:c>
      <x:c r="AC394" s="36" t="n">
        <x:v>25</x:v>
      </x:c>
      <x:c r="AD394" s="36" t="str">
        <x:v>P1 — Immediate</x:v>
      </x:c>
      <x:c r="AE394" s="36" t="str">
        <x:v>HEALTHY / MUST-DO — P1 — Immediate</x:v>
      </x:c>
      <x:c r="AF394" s="36" t="str">
        <x:v>Name and organisation matched</x:v>
      </x:c>
      <x:c r="AG394" s="36" t="str">
        <x:v>LFR validated candidate</x:v>
      </x:c>
      <x:c r="AH394" s="36" t="str">
        <x:v>EW Demand!row 160</x:v>
      </x:c>
      <x:c r="AI394" s="36" t="str">
        <x:v>Decomm</x:v>
      </x:c>
      <x:c r="AJ394" s="36" t="str">
        <x:v>Productivity</x:v>
      </x:c>
      <x:c r="AK394" s="36" t="str">
        <x:v>Must Do</x:v>
      </x:c>
      <x:c r="AL394" s="36" t="n">
        <x:v>0</x:v>
      </x:c>
      <x:c r="AM394" s="36" t="n">
        <x:v>0</x:v>
      </x:c>
      <x:c r="AN394" s="43"/>
      <x:c r="AO394" s="43"/>
      <x:c r="AP394" s="43"/>
    </x:row>
    <x:row r="395" ht="15" hidden="0" customHeight="1">
      <x:c r="A395" s="36" t="str">
        <x:v>EW-73</x:v>
      </x:c>
      <x:c r="B395" s="37" t="str">
        <x:v>SPINE24</x:v>
      </x:c>
      <x:c r="C395" s="36" t="str">
        <x:v>EW</x:v>
      </x:c>
      <x:c r="D395" s="36" t="str">
        <x:v>Information Technology ​</x:v>
      </x:c>
      <x:c r="E395" s="36" t="str">
        <x:v>1005857</x:v>
      </x:c>
      <x:c r="F395" s="36" t="str">
        <x:v>New Technology</x:v>
      </x:c>
      <x:c r="G395" s="36" t="str"/>
      <x:c r="H395" s="36" t="str">
        <x:v>Must Do</x:v>
      </x:c>
      <x:c r="I395" s="36" t="str">
        <x:v>Carry Over</x:v>
      </x:c>
      <x:c r="J395" s="38"/>
      <x:c r="K395" s="38"/>
      <x:c r="L395" s="38"/>
      <x:c r="M395" s="38"/>
      <x:c r="N395" s="38"/>
      <x:c r="O395" s="38"/>
      <x:c r="P395" s="37" t="str">
        <x:v>Underpinning in progress </x:v>
      </x:c>
      <x:c r="Q395" s="37" t="str">
        <x:v>Unclassified</x:v>
      </x:c>
      <x:c r="R395" s="37" t="str">
        <x:v> Risk of business interruption for core Finance and ISC.  Follows SAP strategy that is under finalization, - investment case being worked upon </x:v>
      </x:c>
      <x:c r="S395" s="37" t="str"/>
      <x:c r="T395" s="37" t="str"/>
      <x:c r="U395" s="37" t="str"/>
      <x:c r="V395" s="36" t="str"/>
      <x:c r="W395" s="36" t="str"/>
      <x:c r="X395" s="36" t="n">
        <x:v>1.25</x:v>
      </x:c>
      <x:c r="Y395" s="36" t="str">
        <x:v>HEALTHY</x:v>
      </x:c>
      <x:c r="Z395" s="36" t="str"/>
      <x:c r="AA395" s="36" t="str"/>
      <x:c r="AB395" s="36"/>
      <x:c r="AC395" s="36"/>
      <x:c r="AD395" s="36" t="str"/>
      <x:c r="AE395" s="36" t="str">
        <x:v>HEALTHY — Rank in priority matrix</x:v>
      </x:c>
      <x:c r="AF395" s="36" t="str">
        <x:v>Name and organisation matched</x:v>
      </x:c>
      <x:c r="AG395" s="36" t="str">
        <x:v>Common pot</x:v>
      </x:c>
      <x:c r="AH395" s="36" t="str">
        <x:v>EW Demand!row 161</x:v>
      </x:c>
      <x:c r="AI395" s="36" t="str">
        <x:v>NewTech</x:v>
      </x:c>
      <x:c r="AJ395" s="36" t="str">
        <x:v>Blank</x:v>
      </x:c>
      <x:c r="AK395" s="36" t="str">
        <x:v>Must Do</x:v>
      </x:c>
      <x:c r="AL395" s="36" t="n">
        <x:v>0</x:v>
      </x:c>
      <x:c r="AM395" s="36" t="n">
        <x:v>0</x:v>
      </x:c>
      <x:c r="AN395" s="43"/>
      <x:c r="AO395" s="43"/>
      <x:c r="AP395" s="43"/>
    </x:row>
    <x:row r="396" ht="15" hidden="0" customHeight="1">
      <x:c r="A396" s="36" t="str">
        <x:v>EW-74</x:v>
      </x:c>
      <x:c r="B396" s="37" t="str">
        <x:v>Future MES</x:v>
      </x:c>
      <x:c r="C396" s="36" t="str">
        <x:v>EW</x:v>
      </x:c>
      <x:c r="D396" s="36" t="str">
        <x:v>Information Technology ​</x:v>
      </x:c>
      <x:c r="E396" s="36" t="str"/>
      <x:c r="F396" s="36" t="str">
        <x:v>New Technology</x:v>
      </x:c>
      <x:c r="G396" s="36" t="str"/>
      <x:c r="H396" s="36" t="str">
        <x:v>Must Do</x:v>
      </x:c>
      <x:c r="I396" s="36" t="str">
        <x:v>Carry Over</x:v>
      </x:c>
      <x:c r="J396" s="38" t="n">
        <x:v>3.2</x:v>
      </x:c>
      <x:c r="K396" s="38"/>
      <x:c r="L396" s="38"/>
      <x:c r="M396" s="38"/>
      <x:c r="N396" s="38"/>
      <x:c r="O396" s="38"/>
      <x:c r="P396" s="37" t="str">
        <x:v>Framing in progress </x:v>
      </x:c>
      <x:c r="Q396" s="37" t="str">
        <x:v>Unclassified</x:v>
      </x:c>
      <x:c r="R396" s="37" t="str">
        <x:v>Current MES version will hit end of life soon and will be unsupported increasing risk exposure of business continuity for manufacturing sites </x:v>
      </x:c>
      <x:c r="S396" s="37" t="str"/>
      <x:c r="T396" s="37" t="str"/>
      <x:c r="U396" s="37" t="str"/>
      <x:c r="V396" s="36" t="str"/>
      <x:c r="W396" s="36" t="str"/>
      <x:c r="X396" s="36" t="n">
        <x:v>1.1</x:v>
      </x:c>
      <x:c r="Y396" s="36" t="str">
        <x:v>HEALTHY</x:v>
      </x:c>
      <x:c r="Z396" s="36" t="str"/>
      <x:c r="AA396" s="36" t="str"/>
      <x:c r="AB396" s="36"/>
      <x:c r="AC396" s="36"/>
      <x:c r="AD396" s="36" t="str"/>
      <x:c r="AE396" s="36" t="str">
        <x:v>HEALTHY — Rank in priority matrix</x:v>
      </x:c>
      <x:c r="AF396" s="36" t="str">
        <x:v>Name and organisation matched</x:v>
      </x:c>
      <x:c r="AG396" s="36" t="str">
        <x:v>Common pot</x:v>
      </x:c>
      <x:c r="AH396" s="36" t="str">
        <x:v>EW Demand!row 162</x:v>
      </x:c>
      <x:c r="AI396" s="36" t="str">
        <x:v>NewTech</x:v>
      </x:c>
      <x:c r="AJ396" s="36" t="str">
        <x:v>Blank</x:v>
      </x:c>
      <x:c r="AK396" s="36" t="str">
        <x:v>Must Do</x:v>
      </x:c>
      <x:c r="AL396" s="36" t="n">
        <x:v>0</x:v>
      </x:c>
      <x:c r="AM396" s="36" t="n">
        <x:v>0</x:v>
      </x:c>
      <x:c r="AN396" s="43"/>
      <x:c r="AO396" s="43"/>
      <x:c r="AP396" s="43"/>
    </x:row>
    <x:row r="397" ht="15" hidden="0" customHeight="1">
      <x:c r="A397" s="36" t="str">
        <x:v>EW-75</x:v>
      </x:c>
      <x:c r="B397" s="37" t="str">
        <x:v>FIN-ARIC Digital finance strategy - RtR</x:v>
      </x:c>
      <x:c r="C397" s="36" t="str">
        <x:v>EW</x:v>
      </x:c>
      <x:c r="D397" s="36" t="str">
        <x:v>Finance​</x:v>
      </x:c>
      <x:c r="E397" s="36" t="str">
        <x:v>1006800</x:v>
      </x:c>
      <x:c r="F397" s="36" t="str">
        <x:v>Decomm/Replatforming</x:v>
      </x:c>
      <x:c r="G397" s="36" t="str"/>
      <x:c r="H397" s="36" t="str">
        <x:v>Must Do</x:v>
      </x:c>
      <x:c r="I397" s="36" t="str">
        <x:v>Carry Over</x:v>
      </x:c>
      <x:c r="J397" s="38" t="n">
        <x:v>0.5</x:v>
      </x:c>
      <x:c r="K397" s="38"/>
      <x:c r="L397" s="38"/>
      <x:c r="M397" s="38"/>
      <x:c r="N397" s="38"/>
      <x:c r="O397" s="38" t="n">
        <x:v>1.2</x:v>
      </x:c>
      <x:c r="P397" s="37" t="str">
        <x:v>1200</x:v>
      </x:c>
      <x:c r="Q397" s="37" t="str">
        <x:v>Unclassified</x:v>
      </x:c>
      <x:c r="R397" s="37" t="str">
        <x:v>Compelling business case of cost avoidance (20 FTE saving &amp; license cost)</x:v>
      </x:c>
      <x:c r="S397" s="37" t="str"/>
      <x:c r="T397" s="37" t="str"/>
      <x:c r="U397" s="37" t="str"/>
      <x:c r="V397" s="36" t="str"/>
      <x:c r="W397" s="36" t="str"/>
      <x:c r="X397" s="36"/>
      <x:c r="Y397" s="36" t="str">
        <x:v>NotAssessed</x:v>
      </x:c>
      <x:c r="Z397" s="36" t="str"/>
      <x:c r="AA397" s="36" t="str"/>
      <x:c r="AB397" s="36"/>
      <x:c r="AC397" s="36"/>
      <x:c r="AD397" s="36" t="str"/>
      <x:c r="AE397" s="36" t="str"/>
      <x:c r="AF397" s="36" t="str">
        <x:v>No exact waste match</x:v>
      </x:c>
      <x:c r="AG397" s="36" t="str">
        <x:v>Common pot</x:v>
      </x:c>
      <x:c r="AH397" s="36" t="str">
        <x:v>EW Demand!row 163</x:v>
      </x:c>
      <x:c r="AI397" s="36" t="str">
        <x:v>Decomm</x:v>
      </x:c>
      <x:c r="AJ397" s="36" t="str">
        <x:v>Blank</x:v>
      </x:c>
      <x:c r="AK397" s="36" t="str">
        <x:v>Must Do</x:v>
      </x:c>
      <x:c r="AL397" s="36" t="n">
        <x:v>0</x:v>
      </x:c>
      <x:c r="AM397" s="36" t="n">
        <x:v>0</x:v>
      </x:c>
      <x:c r="AN397" s="43"/>
      <x:c r="AO397" s="43"/>
      <x:c r="AP397" s="43"/>
    </x:row>
    <x:row r="398" ht="15" hidden="0" customHeight="1">
      <x:c r="A398" s="36" t="str">
        <x:v>EW-76</x:v>
      </x:c>
      <x:c r="B398" s="37" t="str">
        <x:v>FIN-ARIC Digital finance strategy-C&amp;C</x:v>
      </x:c>
      <x:c r="C398" s="36" t="str">
        <x:v>EW</x:v>
      </x:c>
      <x:c r="D398" s="36" t="str">
        <x:v>Finance​</x:v>
      </x:c>
      <x:c r="E398" s="36" t="str">
        <x:v>1006800</x:v>
      </x:c>
      <x:c r="F398" s="36" t="str">
        <x:v>AI Enablement</x:v>
      </x:c>
      <x:c r="G398" s="36" t="str"/>
      <x:c r="H398" s="36" t="str">
        <x:v>Must Do</x:v>
      </x:c>
      <x:c r="I398" s="36" t="str">
        <x:v>Carry Over</x:v>
      </x:c>
      <x:c r="J398" s="38" t="n">
        <x:v>0.3</x:v>
      </x:c>
      <x:c r="K398" s="38"/>
      <x:c r="L398" s="38"/>
      <x:c r="M398" s="38"/>
      <x:c r="N398" s="38"/>
      <x:c r="O398" s="38" t="n">
        <x:v>0.8</x:v>
      </x:c>
      <x:c r="P398" s="37" t="str">
        <x:v>800</x:v>
      </x:c>
      <x:c r="Q398" s="37" t="str">
        <x:v>Unclassified</x:v>
      </x:c>
      <x:c r="R398" s="37" t="str">
        <x:v>Without implementing GenAI across these building blocks, the organization will forgo an estimated 5% productivity improvement (equivalent to 20 FTEs), resulting in continued manual effort, higher operational costs, and reduced capacity to support business growth.</x:v>
      </x:c>
      <x:c r="S398" s="37" t="str"/>
      <x:c r="T398" s="37" t="str"/>
      <x:c r="U398" s="37" t="str"/>
      <x:c r="V398" s="36" t="str"/>
      <x:c r="W398" s="36" t="str"/>
      <x:c r="X398" s="36"/>
      <x:c r="Y398" s="36" t="str">
        <x:v>NotAssessed</x:v>
      </x:c>
      <x:c r="Z398" s="36" t="str"/>
      <x:c r="AA398" s="36" t="str"/>
      <x:c r="AB398" s="36"/>
      <x:c r="AC398" s="36"/>
      <x:c r="AD398" s="36" t="str"/>
      <x:c r="AE398" s="36" t="str"/>
      <x:c r="AF398" s="36" t="str">
        <x:v>No exact waste match</x:v>
      </x:c>
      <x:c r="AG398" s="36" t="str">
        <x:v>Common pot</x:v>
      </x:c>
      <x:c r="AH398" s="36" t="str">
        <x:v>EW Demand!row 164</x:v>
      </x:c>
      <x:c r="AI398" s="36" t="str">
        <x:v>AI</x:v>
      </x:c>
      <x:c r="AJ398" s="36" t="str">
        <x:v>Blank</x:v>
      </x:c>
      <x:c r="AK398" s="36" t="str">
        <x:v>Must Do</x:v>
      </x:c>
      <x:c r="AL398" s="36" t="n">
        <x:v>0</x:v>
      </x:c>
      <x:c r="AM398" s="36" t="n">
        <x:v>0</x:v>
      </x:c>
      <x:c r="AN398" s="43"/>
      <x:c r="AO398" s="43"/>
      <x:c r="AP398" s="43"/>
    </x:row>
    <x:row r="399" ht="24" hidden="0" customHeight="1">
      <x:c r="A399" s="36" t="str">
        <x:v>EW-77</x:v>
      </x:c>
      <x:c r="B399" s="37" t="str">
        <x:v>FIN-ARIC LFR's Non SAP being ADL/BW/Power BI etc. Dashboard &amp; Reports for SOx &amp; Compliancy purposes </x:v>
      </x:c>
      <x:c r="C399" s="36" t="str">
        <x:v>EW</x:v>
      </x:c>
      <x:c r="D399" s="36" t="str">
        <x:v>Finance​</x:v>
      </x:c>
      <x:c r="E399" s="36" t="str"/>
      <x:c r="F399" s="36" t="str">
        <x:v>Continuous Improvement</x:v>
      </x:c>
      <x:c r="G399" s="36" t="str"/>
      <x:c r="H399" s="36" t="str">
        <x:v>Must Do</x:v>
      </x:c>
      <x:c r="I399" s="36" t="str">
        <x:v>New Initiative</x:v>
      </x:c>
      <x:c r="J399" s="38" t="n">
        <x:v>0.12</x:v>
      </x:c>
      <x:c r="K399" s="38"/>
      <x:c r="L399" s="38"/>
      <x:c r="M399" s="38"/>
      <x:c r="N399" s="38"/>
      <x:c r="O399" s="38" t="n">
        <x:v>0.12</x:v>
      </x:c>
      <x:c r="P399" s="37" t="str">
        <x:v>120</x:v>
      </x:c>
      <x:c r="Q399" s="37" t="str">
        <x:v>Unclassified</x:v>
      </x:c>
      <x:c r="R399" s="37" t="str">
        <x:v>Philips becomes non-compliant with legal/fiscal/regulatory requirements; High risk exposure due to outdated systems; Potential penalties and audit findings</x:v>
      </x:c>
      <x:c r="S399" s="37" t="str"/>
      <x:c r="T399" s="37" t="str"/>
      <x:c r="U399" s="37" t="str"/>
      <x:c r="V399" s="36" t="str"/>
      <x:c r="W399" s="36" t="str"/>
      <x:c r="X399" s="36"/>
      <x:c r="Y399" s="36" t="str">
        <x:v>NotAssessed</x:v>
      </x:c>
      <x:c r="Z399" s="36" t="str"/>
      <x:c r="AA399" s="36" t="str"/>
      <x:c r="AB399" s="36"/>
      <x:c r="AC399" s="36"/>
      <x:c r="AD399" s="36" t="str"/>
      <x:c r="AE399" s="36" t="str"/>
      <x:c r="AF399" s="36" t="str">
        <x:v>No exact waste match</x:v>
      </x:c>
      <x:c r="AG399" s="36" t="str">
        <x:v>Common pot</x:v>
      </x:c>
      <x:c r="AH399" s="36" t="str">
        <x:v>EW Demand!row 165</x:v>
      </x:c>
      <x:c r="AI399" s="36" t="str">
        <x:v>CI</x:v>
      </x:c>
      <x:c r="AJ399" s="36" t="str">
        <x:v>Blank</x:v>
      </x:c>
      <x:c r="AK399" s="36" t="str">
        <x:v>Must Do</x:v>
      </x:c>
      <x:c r="AL399" s="36" t="n">
        <x:v>0</x:v>
      </x:c>
      <x:c r="AM399" s="36" t="n">
        <x:v>0</x:v>
      </x:c>
      <x:c r="AN399" s="43"/>
      <x:c r="AO399" s="43"/>
      <x:c r="AP399" s="43"/>
    </x:row>
    <x:row r="400" ht="15" hidden="0" customHeight="1">
      <x:c r="A400" s="36" t="str">
        <x:v>EW-78</x:v>
      </x:c>
      <x:c r="B400" s="37" t="str">
        <x:v>FIN-Automated workflow for SLA preparation &amp; signing &amp; archiving </x:v>
      </x:c>
      <x:c r="C400" s="36" t="str">
        <x:v>EW</x:v>
      </x:c>
      <x:c r="D400" s="36" t="str">
        <x:v>Finance​</x:v>
      </x:c>
      <x:c r="E400" s="36" t="str"/>
      <x:c r="F400" s="36" t="str">
        <x:v>AI Enablement</x:v>
      </x:c>
      <x:c r="G400" s="36" t="str"/>
      <x:c r="H400" s="36" t="str">
        <x:v>Must Do</x:v>
      </x:c>
      <x:c r="I400" s="36" t="str">
        <x:v>New Initiative</x:v>
      </x:c>
      <x:c r="J400" s="38" t="n">
        <x:v>0.05</x:v>
      </x:c>
      <x:c r="K400" s="38"/>
      <x:c r="L400" s="38"/>
      <x:c r="M400" s="38"/>
      <x:c r="N400" s="38"/>
      <x:c r="O400" s="38"/>
      <x:c r="P400" s="37" t="str">
        <x:v>€ 50   </x:v>
      </x:c>
      <x:c r="Q400" s="37" t="str">
        <x:v>Unclassified</x:v>
      </x:c>
      <x:c r="R400" s="37" t="str">
        <x:v>Non Tax Compliance</x:v>
      </x:c>
      <x:c r="S400" s="37" t="str"/>
      <x:c r="T400" s="37" t="str"/>
      <x:c r="U400" s="37" t="str"/>
      <x:c r="V400" s="36" t="str"/>
      <x:c r="W400" s="36" t="str"/>
      <x:c r="X400" s="36"/>
      <x:c r="Y400" s="36" t="str">
        <x:v>NotAssessed</x:v>
      </x:c>
      <x:c r="Z400" s="36" t="str"/>
      <x:c r="AA400" s="36" t="str"/>
      <x:c r="AB400" s="36"/>
      <x:c r="AC400" s="36"/>
      <x:c r="AD400" s="36" t="str"/>
      <x:c r="AE400" s="36" t="str"/>
      <x:c r="AF400" s="36" t="str">
        <x:v>No exact waste match</x:v>
      </x:c>
      <x:c r="AG400" s="36" t="str">
        <x:v>Common pot</x:v>
      </x:c>
      <x:c r="AH400" s="36" t="str">
        <x:v>EW Demand!row 166</x:v>
      </x:c>
      <x:c r="AI400" s="36" t="str">
        <x:v>AI</x:v>
      </x:c>
      <x:c r="AJ400" s="36" t="str">
        <x:v>Blank</x:v>
      </x:c>
      <x:c r="AK400" s="36" t="str">
        <x:v>Must Do</x:v>
      </x:c>
      <x:c r="AL400" s="36" t="n">
        <x:v>0</x:v>
      </x:c>
      <x:c r="AM400" s="36" t="n">
        <x:v>0</x:v>
      </x:c>
      <x:c r="AN400" s="43"/>
      <x:c r="AO400" s="43"/>
      <x:c r="AP400" s="43"/>
    </x:row>
    <x:row r="401" ht="15" hidden="0" customHeight="1">
      <x:c r="A401" s="36" t="str">
        <x:v>EW-79</x:v>
      </x:c>
      <x:c r="B401" s="37" t="str">
        <x:v>FIN-Communication mining for P2P queries</x:v>
      </x:c>
      <x:c r="C401" s="36" t="str">
        <x:v>EW</x:v>
      </x:c>
      <x:c r="D401" s="36" t="str">
        <x:v>Finance​</x:v>
      </x:c>
      <x:c r="E401" s="36" t="str"/>
      <x:c r="F401" s="36" t="str">
        <x:v>AI Enablement</x:v>
      </x:c>
      <x:c r="G401" s="36" t="str"/>
      <x:c r="H401" s="36" t="str">
        <x:v>Must Do</x:v>
      </x:c>
      <x:c r="I401" s="36" t="str">
        <x:v>New Initiative</x:v>
      </x:c>
      <x:c r="J401" s="38" t="n">
        <x:v>0.1</x:v>
      </x:c>
      <x:c r="K401" s="38"/>
      <x:c r="L401" s="38"/>
      <x:c r="M401" s="38"/>
      <x:c r="N401" s="38"/>
      <x:c r="O401" s="38" t="n">
        <x:v>0.1</x:v>
      </x:c>
      <x:c r="P401" s="37" t="str">
        <x:v>100</x:v>
      </x:c>
      <x:c r="Q401" s="37" t="str">
        <x:v>Unclassified</x:v>
      </x:c>
      <x:c r="R401" s="37" t="str">
        <x:v>Manual email classification and allocation; Inefficient query handling (5FTEs)</x:v>
      </x:c>
      <x:c r="S401" s="37" t="str"/>
      <x:c r="T401" s="37" t="str"/>
      <x:c r="U401" s="37" t="str"/>
      <x:c r="V401" s="36" t="str"/>
      <x:c r="W401" s="36" t="str"/>
      <x:c r="X401" s="36"/>
      <x:c r="Y401" s="36" t="str">
        <x:v>NotAssessed</x:v>
      </x:c>
      <x:c r="Z401" s="36" t="str"/>
      <x:c r="AA401" s="36" t="str"/>
      <x:c r="AB401" s="36"/>
      <x:c r="AC401" s="36"/>
      <x:c r="AD401" s="36" t="str"/>
      <x:c r="AE401" s="36" t="str"/>
      <x:c r="AF401" s="36" t="str">
        <x:v>No exact waste match</x:v>
      </x:c>
      <x:c r="AG401" s="36" t="str">
        <x:v>Common pot</x:v>
      </x:c>
      <x:c r="AH401" s="36" t="str">
        <x:v>EW Demand!row 167</x:v>
      </x:c>
      <x:c r="AI401" s="36" t="str">
        <x:v>AI</x:v>
      </x:c>
      <x:c r="AJ401" s="36" t="str">
        <x:v>Blank</x:v>
      </x:c>
      <x:c r="AK401" s="36" t="str">
        <x:v>Must Do</x:v>
      </x:c>
      <x:c r="AL401" s="36" t="n">
        <x:v>0</x:v>
      </x:c>
      <x:c r="AM401" s="36" t="n">
        <x:v>0</x:v>
      </x:c>
      <x:c r="AN401" s="43"/>
      <x:c r="AO401" s="43"/>
      <x:c r="AP401" s="43"/>
    </x:row>
    <x:row r="402" ht="24" hidden="0" customHeight="1">
      <x:c r="A402" s="36" t="str">
        <x:v>EW-80</x:v>
      </x:c>
      <x:c r="B402" s="37" t="str">
        <x:v>FIN-Concur Request integration with Travel &amp; Joule implementation &amp; AI Audit tool</x:v>
      </x:c>
      <x:c r="C402" s="36" t="str">
        <x:v>EW</x:v>
      </x:c>
      <x:c r="D402" s="36" t="str">
        <x:v>Finance​</x:v>
      </x:c>
      <x:c r="E402" s="36" t="str"/>
      <x:c r="F402" s="36" t="str">
        <x:v>AI Enablement</x:v>
      </x:c>
      <x:c r="G402" s="36" t="str"/>
      <x:c r="H402" s="36" t="str">
        <x:v>Must Do</x:v>
      </x:c>
      <x:c r="I402" s="36" t="str">
        <x:v>New Initiative</x:v>
      </x:c>
      <x:c r="J402" s="38" t="n">
        <x:v>0.15</x:v>
      </x:c>
      <x:c r="K402" s="38"/>
      <x:c r="L402" s="38"/>
      <x:c r="M402" s="38"/>
      <x:c r="N402" s="38"/>
      <x:c r="O402" s="38"/>
      <x:c r="P402" s="37" t="str">
        <x:v>€ 150 </x:v>
      </x:c>
      <x:c r="Q402" s="37" t="str">
        <x:v>Unclassified</x:v>
      </x:c>
      <x:c r="R402" s="37" t="str">
        <x:v>Gap between travel request approval and actual booking remains; BTA spend approval not evidenced; aRBAM approval cannot be removed</x:v>
      </x:c>
      <x:c r="S402" s="37" t="str"/>
      <x:c r="T402" s="37" t="str"/>
      <x:c r="U402" s="37" t="str"/>
      <x:c r="V402" s="36" t="str"/>
      <x:c r="W402" s="36" t="str"/>
      <x:c r="X402" s="36"/>
      <x:c r="Y402" s="36" t="str">
        <x:v>NotAssessed</x:v>
      </x:c>
      <x:c r="Z402" s="36" t="str"/>
      <x:c r="AA402" s="36" t="str"/>
      <x:c r="AB402" s="36"/>
      <x:c r="AC402" s="36"/>
      <x:c r="AD402" s="36" t="str"/>
      <x:c r="AE402" s="36" t="str"/>
      <x:c r="AF402" s="36" t="str">
        <x:v>No exact waste match</x:v>
      </x:c>
      <x:c r="AG402" s="36" t="str">
        <x:v>Common pot</x:v>
      </x:c>
      <x:c r="AH402" s="36" t="str">
        <x:v>EW Demand!row 168</x:v>
      </x:c>
      <x:c r="AI402" s="36" t="str">
        <x:v>AI</x:v>
      </x:c>
      <x:c r="AJ402" s="36" t="str">
        <x:v>Blank</x:v>
      </x:c>
      <x:c r="AK402" s="36" t="str">
        <x:v>Must Do</x:v>
      </x:c>
      <x:c r="AL402" s="36" t="n">
        <x:v>0</x:v>
      </x:c>
      <x:c r="AM402" s="36" t="n">
        <x:v>0</x:v>
      </x:c>
      <x:c r="AN402" s="43"/>
      <x:c r="AO402" s="43"/>
      <x:c r="AP402" s="43"/>
    </x:row>
    <x:row r="403" ht="15" hidden="0" customHeight="1">
      <x:c r="A403" s="36" t="str">
        <x:v>EW-81</x:v>
      </x:c>
      <x:c r="B403" s="37" t="str">
        <x:v>FIN-Digital Accounting Operation</x:v>
      </x:c>
      <x:c r="C403" s="36" t="str">
        <x:v>EW</x:v>
      </x:c>
      <x:c r="D403" s="36" t="str">
        <x:v>Finance​</x:v>
      </x:c>
      <x:c r="E403" s="36" t="str"/>
      <x:c r="F403" s="36" t="str">
        <x:v>AI Enablement</x:v>
      </x:c>
      <x:c r="G403" s="36" t="str"/>
      <x:c r="H403" s="36" t="str">
        <x:v>Must Do</x:v>
      </x:c>
      <x:c r="I403" s="36" t="str">
        <x:v>New Initiative</x:v>
      </x:c>
      <x:c r="J403" s="38" t="n">
        <x:v>0.3</x:v>
      </x:c>
      <x:c r="K403" s="38"/>
      <x:c r="L403" s="38"/>
      <x:c r="M403" s="38"/>
      <x:c r="N403" s="38"/>
      <x:c r="O403" s="38"/>
      <x:c r="P403" s="37" t="str">
        <x:v>€ 560  </x:v>
      </x:c>
      <x:c r="Q403" s="37" t="str">
        <x:v>Unclassified</x:v>
      </x:c>
      <x:c r="R403" s="37" t="str">
        <x:v>Zero Touch Close benefits unrealized; Continued manual accounting operations; AI Big Bets initiative delayed (7 FTEs Saving)</x:v>
      </x:c>
      <x:c r="S403" s="37" t="str"/>
      <x:c r="T403" s="37" t="str"/>
      <x:c r="U403" s="37" t="str"/>
      <x:c r="V403" s="36" t="str"/>
      <x:c r="W403" s="36" t="str"/>
      <x:c r="X403" s="36"/>
      <x:c r="Y403" s="36" t="str">
        <x:v>NotAssessed</x:v>
      </x:c>
      <x:c r="Z403" s="36" t="str"/>
      <x:c r="AA403" s="36" t="str"/>
      <x:c r="AB403" s="36"/>
      <x:c r="AC403" s="36"/>
      <x:c r="AD403" s="36" t="str"/>
      <x:c r="AE403" s="36" t="str"/>
      <x:c r="AF403" s="36" t="str">
        <x:v>No exact waste match</x:v>
      </x:c>
      <x:c r="AG403" s="36" t="str">
        <x:v>Common pot</x:v>
      </x:c>
      <x:c r="AH403" s="36" t="str">
        <x:v>EW Demand!row 169</x:v>
      </x:c>
      <x:c r="AI403" s="36" t="str">
        <x:v>AI</x:v>
      </x:c>
      <x:c r="AJ403" s="36" t="str">
        <x:v>Blank</x:v>
      </x:c>
      <x:c r="AK403" s="36" t="str">
        <x:v>Must Do</x:v>
      </x:c>
      <x:c r="AL403" s="36" t="n">
        <x:v>0</x:v>
      </x:c>
      <x:c r="AM403" s="36" t="n">
        <x:v>0</x:v>
      </x:c>
      <x:c r="AN403" s="43"/>
      <x:c r="AO403" s="43"/>
      <x:c r="AP403" s="43"/>
    </x:row>
    <x:row r="404" ht="15" hidden="0" customHeight="1">
      <x:c r="A404" s="36" t="str">
        <x:v>EW-82</x:v>
      </x:c>
      <x:c r="B404" s="37" t="str">
        <x:v>FIN-VAT/GST tool</x:v>
      </x:c>
      <x:c r="C404" s="36" t="str">
        <x:v>EW</x:v>
      </x:c>
      <x:c r="D404" s="36" t="str">
        <x:v>Finance​</x:v>
      </x:c>
      <x:c r="E404" s="36" t="str"/>
      <x:c r="F404" s="36" t="str">
        <x:v>AI Enablement</x:v>
      </x:c>
      <x:c r="G404" s="36" t="str"/>
      <x:c r="H404" s="36" t="str">
        <x:v>Must Do</x:v>
      </x:c>
      <x:c r="I404" s="36" t="str">
        <x:v>New Initiative</x:v>
      </x:c>
      <x:c r="J404" s="38" t="n">
        <x:v>0.6</x:v>
      </x:c>
      <x:c r="K404" s="38"/>
      <x:c r="L404" s="38"/>
      <x:c r="M404" s="38"/>
      <x:c r="N404" s="38"/>
      <x:c r="O404" s="38" t="n">
        <x:v>0.15</x:v>
      </x:c>
      <x:c r="P404" s="37" t="str">
        <x:v>150</x:v>
      </x:c>
      <x:c r="Q404" s="37" t="str">
        <x:v>Unclassified</x:v>
      </x:c>
      <x:c r="R404" s="37" t="str">
        <x:v>Continued €150K annual license cost for external tool; IDTX Ops team work not automated; No AI capabilities for VAT/GST</x:v>
      </x:c>
      <x:c r="S404" s="37" t="str"/>
      <x:c r="T404" s="37" t="str"/>
      <x:c r="U404" s="37" t="str"/>
      <x:c r="V404" s="36" t="str"/>
      <x:c r="W404" s="36" t="str"/>
      <x:c r="X404" s="36"/>
      <x:c r="Y404" s="36" t="str">
        <x:v>NotAssessed</x:v>
      </x:c>
      <x:c r="Z404" s="36" t="str"/>
      <x:c r="AA404" s="36" t="str"/>
      <x:c r="AB404" s="36"/>
      <x:c r="AC404" s="36"/>
      <x:c r="AD404" s="36" t="str"/>
      <x:c r="AE404" s="36" t="str"/>
      <x:c r="AF404" s="36" t="str">
        <x:v>No exact waste match</x:v>
      </x:c>
      <x:c r="AG404" s="36" t="str">
        <x:v>Common pot</x:v>
      </x:c>
      <x:c r="AH404" s="36" t="str">
        <x:v>EW Demand!row 170</x:v>
      </x:c>
      <x:c r="AI404" s="36" t="str">
        <x:v>AI</x:v>
      </x:c>
      <x:c r="AJ404" s="36" t="str">
        <x:v>Blank</x:v>
      </x:c>
      <x:c r="AK404" s="36" t="str">
        <x:v>Must Do</x:v>
      </x:c>
      <x:c r="AL404" s="36" t="n">
        <x:v>0</x:v>
      </x:c>
      <x:c r="AM404" s="36" t="n">
        <x:v>0</x:v>
      </x:c>
      <x:c r="AN404" s="43"/>
      <x:c r="AO404" s="43"/>
      <x:c r="AP404" s="43"/>
    </x:row>
    <x:row r="405" ht="15" hidden="0" customHeight="1">
      <x:c r="A405" s="36" t="str">
        <x:v>EW-83</x:v>
      </x:c>
      <x:c r="B405" s="37" t="str">
        <x:v>FIN-Form 1099/1042 withholding tax process improvements</x:v>
      </x:c>
      <x:c r="C405" s="36" t="str">
        <x:v>EW</x:v>
      </x:c>
      <x:c r="D405" s="36" t="str">
        <x:v>Finance​</x:v>
      </x:c>
      <x:c r="E405" s="36" t="str"/>
      <x:c r="F405" s="36" t="str">
        <x:v>Legal Fiscal, Regulatory &amp; Compliancy</x:v>
      </x:c>
      <x:c r="G405" s="36" t="str"/>
      <x:c r="H405" s="36" t="str">
        <x:v>Must Do</x:v>
      </x:c>
      <x:c r="I405" s="36" t="str">
        <x:v>New Initiative</x:v>
      </x:c>
      <x:c r="J405" s="38" t="n">
        <x:v>0.05</x:v>
      </x:c>
      <x:c r="K405" s="38"/>
      <x:c r="L405" s="38"/>
      <x:c r="M405" s="38"/>
      <x:c r="N405" s="38"/>
      <x:c r="O405" s="38"/>
      <x:c r="P405" s="37" t="str">
        <x:v>€ 50  </x:v>
      </x:c>
      <x:c r="Q405" s="37" t="str">
        <x:v>Unclassified</x:v>
      </x:c>
      <x:c r="R405" s="37" t="str">
        <x:v>Withholding tax process deficiencies in NA; Risk of non-compliance with domestic and foreign third-party payment rules</x:v>
      </x:c>
      <x:c r="S405" s="37" t="str"/>
      <x:c r="T405" s="37" t="str"/>
      <x:c r="U405" s="37" t="str"/>
      <x:c r="V405" s="36" t="str"/>
      <x:c r="W405" s="36" t="str"/>
      <x:c r="X405" s="36"/>
      <x:c r="Y405" s="36" t="str">
        <x:v>NotAssessed</x:v>
      </x:c>
      <x:c r="Z405" s="36" t="str"/>
      <x:c r="AA405" s="36" t="str"/>
      <x:c r="AB405" s="36"/>
      <x:c r="AC405" s="36"/>
      <x:c r="AD405" s="36" t="str"/>
      <x:c r="AE405" s="36" t="str"/>
      <x:c r="AF405" s="36" t="str">
        <x:v>No exact waste match</x:v>
      </x:c>
      <x:c r="AG405" s="36" t="str">
        <x:v>Common pot</x:v>
      </x:c>
      <x:c r="AH405" s="36" t="str">
        <x:v>EW Demand!row 171</x:v>
      </x:c>
      <x:c r="AI405" s="36" t="str">
        <x:v>LFR</x:v>
      </x:c>
      <x:c r="AJ405" s="36" t="str">
        <x:v>Blank</x:v>
      </x:c>
      <x:c r="AK405" s="36" t="str">
        <x:v>Must Do</x:v>
      </x:c>
      <x:c r="AL405" s="36" t="n">
        <x:v>0</x:v>
      </x:c>
      <x:c r="AM405" s="36" t="n">
        <x:v>0</x:v>
      </x:c>
      <x:c r="AN405" s="43"/>
      <x:c r="AO405" s="43"/>
      <x:c r="AP405" s="43"/>
    </x:row>
    <x:row r="406" ht="15" hidden="0" customHeight="1">
      <x:c r="A406" s="36" t="str">
        <x:v>EW-84</x:v>
      </x:c>
      <x:c r="B406" s="37" t="str">
        <x:v>FIN-FPA Digital -AI/GenAI implementation (FP&amp;A cases) (Big-Bets)</x:v>
      </x:c>
      <x:c r="C406" s="36" t="str">
        <x:v>EW</x:v>
      </x:c>
      <x:c r="D406" s="36" t="str">
        <x:v>Finance​</x:v>
      </x:c>
      <x:c r="E406" s="36" t="str">
        <x:v>1006902</x:v>
      </x:c>
      <x:c r="F406" s="36" t="str">
        <x:v>AI Enablement</x:v>
      </x:c>
      <x:c r="G406" s="36" t="str"/>
      <x:c r="H406" s="36" t="str">
        <x:v>Must Do</x:v>
      </x:c>
      <x:c r="I406" s="36" t="str">
        <x:v>Carry Over</x:v>
      </x:c>
      <x:c r="J406" s="38" t="n">
        <x:v>0.25</x:v>
      </x:c>
      <x:c r="K406" s="38"/>
      <x:c r="L406" s="38"/>
      <x:c r="M406" s="38"/>
      <x:c r="N406" s="38"/>
      <x:c r="O406" s="38"/>
      <x:c r="P406" s="37" t="str">
        <x:v>€ 1,200 </x:v>
      </x:c>
      <x:c r="Q406" s="37" t="str">
        <x:v>Unclassified</x:v>
      </x:c>
      <x:c r="R406" s="37" t="str">
        <x:v>Missed Gen AI scaling opportunity for scenario modeling and analytics; Continued manual effort; Finance function not future-proofed</x:v>
      </x:c>
      <x:c r="S406" s="37" t="str"/>
      <x:c r="T406" s="37" t="str"/>
      <x:c r="U406" s="37" t="str"/>
      <x:c r="V406" s="36" t="str"/>
      <x:c r="W406" s="36" t="str"/>
      <x:c r="X406" s="36"/>
      <x:c r="Y406" s="36" t="str">
        <x:v>NotAssessed</x:v>
      </x:c>
      <x:c r="Z406" s="36" t="str"/>
      <x:c r="AA406" s="36" t="str"/>
      <x:c r="AB406" s="36"/>
      <x:c r="AC406" s="36"/>
      <x:c r="AD406" s="36" t="str"/>
      <x:c r="AE406" s="36" t="str"/>
      <x:c r="AF406" s="36" t="str">
        <x:v>No exact waste match</x:v>
      </x:c>
      <x:c r="AG406" s="36" t="str">
        <x:v>Common pot</x:v>
      </x:c>
      <x:c r="AH406" s="36" t="str">
        <x:v>EW Demand!row 172</x:v>
      </x:c>
      <x:c r="AI406" s="36" t="str">
        <x:v>AI</x:v>
      </x:c>
      <x:c r="AJ406" s="36" t="str">
        <x:v>Blank</x:v>
      </x:c>
      <x:c r="AK406" s="36" t="str">
        <x:v>Must Do</x:v>
      </x:c>
      <x:c r="AL406" s="36" t="n">
        <x:v>0</x:v>
      </x:c>
      <x:c r="AM406" s="36" t="n">
        <x:v>0</x:v>
      </x:c>
      <x:c r="AN406" s="43"/>
      <x:c r="AO406" s="43"/>
      <x:c r="AP406" s="43"/>
    </x:row>
    <x:row r="407" ht="15" hidden="0" customHeight="1">
      <x:c r="A407" s="36" t="str">
        <x:v>EW-85</x:v>
      </x:c>
      <x:c r="B407" s="37" t="str">
        <x:v>FIN-GenAI use cases</x:v>
      </x:c>
      <x:c r="C407" s="36" t="str">
        <x:v>EW</x:v>
      </x:c>
      <x:c r="D407" s="36" t="str">
        <x:v>Finance​</x:v>
      </x:c>
      <x:c r="E407" s="36" t="str"/>
      <x:c r="F407" s="36" t="str">
        <x:v>AI Enablement</x:v>
      </x:c>
      <x:c r="G407" s="36" t="str"/>
      <x:c r="H407" s="36" t="str">
        <x:v>Must Do</x:v>
      </x:c>
      <x:c r="I407" s="36" t="str">
        <x:v>New Initiative</x:v>
      </x:c>
      <x:c r="J407" s="38" t="n">
        <x:v>0.25</x:v>
      </x:c>
      <x:c r="K407" s="38"/>
      <x:c r="L407" s="38"/>
      <x:c r="M407" s="38"/>
      <x:c r="N407" s="38"/>
      <x:c r="O407" s="38"/>
      <x:c r="P407" s="37" t="str">
        <x:v>€ 250 </x:v>
      </x:c>
      <x:c r="Q407" s="37" t="str">
        <x:v>Unclassified</x:v>
      </x:c>
      <x:c r="R407" s="37" t="str">
        <x:v>Tax automation opportunities missed; No AI-driven analytics on VAT/GST/SUT; Manual R&amp;D Tax Credit process continues; eInvoicing pre-steps not automated</x:v>
      </x:c>
      <x:c r="S407" s="37" t="str"/>
      <x:c r="T407" s="37" t="str"/>
      <x:c r="U407" s="37" t="str"/>
      <x:c r="V407" s="36" t="str"/>
      <x:c r="W407" s="36" t="str"/>
      <x:c r="X407" s="36"/>
      <x:c r="Y407" s="36" t="str">
        <x:v>NotAssessed</x:v>
      </x:c>
      <x:c r="Z407" s="36" t="str"/>
      <x:c r="AA407" s="36" t="str"/>
      <x:c r="AB407" s="36"/>
      <x:c r="AC407" s="36"/>
      <x:c r="AD407" s="36" t="str"/>
      <x:c r="AE407" s="36" t="str"/>
      <x:c r="AF407" s="36" t="str">
        <x:v>No exact waste match</x:v>
      </x:c>
      <x:c r="AG407" s="36" t="str">
        <x:v>Common pot</x:v>
      </x:c>
      <x:c r="AH407" s="36" t="str">
        <x:v>EW Demand!row 173</x:v>
      </x:c>
      <x:c r="AI407" s="36" t="str">
        <x:v>AI</x:v>
      </x:c>
      <x:c r="AJ407" s="36" t="str">
        <x:v>Blank</x:v>
      </x:c>
      <x:c r="AK407" s="36" t="str">
        <x:v>Must Do</x:v>
      </x:c>
      <x:c r="AL407" s="36" t="n">
        <x:v>0</x:v>
      </x:c>
      <x:c r="AM407" s="36" t="n">
        <x:v>0</x:v>
      </x:c>
      <x:c r="AN407" s="43"/>
      <x:c r="AO407" s="43"/>
      <x:c r="AP407" s="43"/>
    </x:row>
    <x:row r="408" ht="15" hidden="0" customHeight="1">
      <x:c r="A408" s="36" t="str">
        <x:v>EW-86</x:v>
      </x:c>
      <x:c r="B408" s="37" t="str">
        <x:v>FIN-MJV improvements</x:v>
      </x:c>
      <x:c r="C408" s="36" t="str">
        <x:v>EW</x:v>
      </x:c>
      <x:c r="D408" s="36" t="str">
        <x:v>Finance​</x:v>
      </x:c>
      <x:c r="E408" s="36" t="str">
        <x:v>1006802</x:v>
      </x:c>
      <x:c r="F408" s="36" t="str">
        <x:v>Decomm/Replatforming</x:v>
      </x:c>
      <x:c r="G408" s="36" t="str"/>
      <x:c r="H408" s="36" t="str">
        <x:v>Must Do</x:v>
      </x:c>
      <x:c r="I408" s="36" t="str">
        <x:v>Carry Over</x:v>
      </x:c>
      <x:c r="J408" s="38" t="n">
        <x:v>0.5</x:v>
      </x:c>
      <x:c r="K408" s="38"/>
      <x:c r="L408" s="38"/>
      <x:c r="M408" s="38"/>
      <x:c r="N408" s="38"/>
      <x:c r="O408" s="38" t="n">
        <x:v>0.83</x:v>
      </x:c>
      <x:c r="P408" s="37" t="str">
        <x:v>830</x:v>
      </x:c>
      <x:c r="Q408" s="37" t="str">
        <x:v>Unclassified</x:v>
      </x:c>
      <x:c r="R408" s="37" t="str">
        <x:v>Compelling business case of cost avoidance (12 FTE saving &amp; license cost)</x:v>
      </x:c>
      <x:c r="S408" s="37" t="str"/>
      <x:c r="T408" s="37" t="str"/>
      <x:c r="U408" s="37" t="str"/>
      <x:c r="V408" s="36" t="str"/>
      <x:c r="W408" s="36" t="str"/>
      <x:c r="X408" s="36"/>
      <x:c r="Y408" s="36" t="str">
        <x:v>NotAssessed</x:v>
      </x:c>
      <x:c r="Z408" s="36" t="str"/>
      <x:c r="AA408" s="36" t="str"/>
      <x:c r="AB408" s="36"/>
      <x:c r="AC408" s="36"/>
      <x:c r="AD408" s="36" t="str"/>
      <x:c r="AE408" s="36" t="str"/>
      <x:c r="AF408" s="36" t="str">
        <x:v>No exact waste match</x:v>
      </x:c>
      <x:c r="AG408" s="36" t="str">
        <x:v>Common pot</x:v>
      </x:c>
      <x:c r="AH408" s="36" t="str">
        <x:v>EW Demand!row 174</x:v>
      </x:c>
      <x:c r="AI408" s="36" t="str">
        <x:v>Decomm</x:v>
      </x:c>
      <x:c r="AJ408" s="36" t="str">
        <x:v>Blank</x:v>
      </x:c>
      <x:c r="AK408" s="36" t="str">
        <x:v>Must Do</x:v>
      </x:c>
      <x:c r="AL408" s="36" t="n">
        <x:v>0</x:v>
      </x:c>
      <x:c r="AM408" s="36" t="n">
        <x:v>0</x:v>
      </x:c>
      <x:c r="AN408" s="43"/>
      <x:c r="AO408" s="43"/>
      <x:c r="AP408" s="43"/>
    </x:row>
    <x:row r="409" ht="15" hidden="0" customHeight="1">
      <x:c r="A409" s="36" t="str">
        <x:v>EW-87</x:v>
      </x:c>
      <x:c r="B409" s="37" t="str">
        <x:v>FIN-P2P vendor inquiry chat bot automation &amp; other AI iniciatives</x:v>
      </x:c>
      <x:c r="C409" s="36" t="str">
        <x:v>EW</x:v>
      </x:c>
      <x:c r="D409" s="36" t="str">
        <x:v>Finance​</x:v>
      </x:c>
      <x:c r="E409" s="36" t="str"/>
      <x:c r="F409" s="36" t="str">
        <x:v>AI Enablement</x:v>
      </x:c>
      <x:c r="G409" s="36" t="str"/>
      <x:c r="H409" s="36" t="str">
        <x:v>Must Do</x:v>
      </x:c>
      <x:c r="I409" s="36" t="str">
        <x:v>New Initiative</x:v>
      </x:c>
      <x:c r="J409" s="38" t="n">
        <x:v>0.15</x:v>
      </x:c>
      <x:c r="K409" s="38"/>
      <x:c r="L409" s="38"/>
      <x:c r="M409" s="38"/>
      <x:c r="N409" s="38"/>
      <x:c r="O409" s="38" t="n">
        <x:v>0.18</x:v>
      </x:c>
      <x:c r="P409" s="37" t="str">
        <x:v>180</x:v>
      </x:c>
      <x:c r="Q409" s="37" t="str">
        <x:v>Unclassified</x:v>
      </x:c>
      <x:c r="R409" s="37" t="str">
        <x:v>Loss of €180K annual savings; No SNOW integration; Vendor reconciliation manual; PO copy download unavailable (9FTE)</x:v>
      </x:c>
      <x:c r="S409" s="37" t="str"/>
      <x:c r="T409" s="37" t="str"/>
      <x:c r="U409" s="37" t="str"/>
      <x:c r="V409" s="36" t="str"/>
      <x:c r="W409" s="36" t="str"/>
      <x:c r="X409" s="36"/>
      <x:c r="Y409" s="36" t="str">
        <x:v>NotAssessed</x:v>
      </x:c>
      <x:c r="Z409" s="36" t="str"/>
      <x:c r="AA409" s="36" t="str"/>
      <x:c r="AB409" s="36"/>
      <x:c r="AC409" s="36"/>
      <x:c r="AD409" s="36" t="str"/>
      <x:c r="AE409" s="36" t="str"/>
      <x:c r="AF409" s="36" t="str">
        <x:v>No exact waste match</x:v>
      </x:c>
      <x:c r="AG409" s="36" t="str">
        <x:v>Common pot</x:v>
      </x:c>
      <x:c r="AH409" s="36" t="str">
        <x:v>EW Demand!row 175</x:v>
      </x:c>
      <x:c r="AI409" s="36" t="str">
        <x:v>AI</x:v>
      </x:c>
      <x:c r="AJ409" s="36" t="str">
        <x:v>Blank</x:v>
      </x:c>
      <x:c r="AK409" s="36" t="str">
        <x:v>Must Do</x:v>
      </x:c>
      <x:c r="AL409" s="36" t="n">
        <x:v>0</x:v>
      </x:c>
      <x:c r="AM409" s="36" t="n">
        <x:v>0</x:v>
      </x:c>
      <x:c r="AN409" s="43"/>
      <x:c r="AO409" s="43"/>
      <x:c r="AP409" s="43"/>
    </x:row>
    <x:row r="410" ht="15" hidden="0" customHeight="1">
      <x:c r="A410" s="36" t="str">
        <x:v>EW-88</x:v>
      </x:c>
      <x:c r="B410" s="37" t="str">
        <x:v>FIN-Predictive Planning Tooling via SAC (Cost Center, Industry, Other)</x:v>
      </x:c>
      <x:c r="C410" s="36" t="str">
        <x:v>EW</x:v>
      </x:c>
      <x:c r="D410" s="36" t="str">
        <x:v>Information Technology ​</x:v>
      </x:c>
      <x:c r="E410" s="36" t="str"/>
      <x:c r="F410" s="36" t="str">
        <x:v>AI Enablement</x:v>
      </x:c>
      <x:c r="G410" s="36" t="str"/>
      <x:c r="H410" s="36" t="str">
        <x:v>Must Do</x:v>
      </x:c>
      <x:c r="I410" s="36" t="str">
        <x:v>New Initiative</x:v>
      </x:c>
      <x:c r="J410" s="38" t="n">
        <x:v>0</x:v>
      </x:c>
      <x:c r="K410" s="38"/>
      <x:c r="L410" s="38"/>
      <x:c r="M410" s="38"/>
      <x:c r="N410" s="38"/>
      <x:c r="O410" s="38"/>
      <x:c r="P410" s="37" t="str">
        <x:v>NA </x:v>
      </x:c>
      <x:c r="Q410" s="37" t="str">
        <x:v>Unclassified</x:v>
      </x:c>
      <x:c r="R410" s="37" t="str">
        <x:v> This is part of SPINE we can remove from here.</x:v>
      </x:c>
      <x:c r="S410" s="37" t="str"/>
      <x:c r="T410" s="37" t="str"/>
      <x:c r="U410" s="37" t="str"/>
      <x:c r="V410" s="36" t="str"/>
      <x:c r="W410" s="36" t="str"/>
      <x:c r="X410" s="36"/>
      <x:c r="Y410" s="36" t="str">
        <x:v>NotAssessed</x:v>
      </x:c>
      <x:c r="Z410" s="36" t="str"/>
      <x:c r="AA410" s="36" t="str"/>
      <x:c r="AB410" s="36"/>
      <x:c r="AC410" s="36"/>
      <x:c r="AD410" s="36" t="str"/>
      <x:c r="AE410" s="36" t="str"/>
      <x:c r="AF410" s="36" t="str">
        <x:v>No exact waste match</x:v>
      </x:c>
      <x:c r="AG410" s="36" t="str">
        <x:v>Common pot</x:v>
      </x:c>
      <x:c r="AH410" s="36" t="str">
        <x:v>EW Demand!row 176</x:v>
      </x:c>
      <x:c r="AI410" s="36" t="str">
        <x:v>AI</x:v>
      </x:c>
      <x:c r="AJ410" s="36" t="str">
        <x:v>Blank</x:v>
      </x:c>
      <x:c r="AK410" s="36" t="str">
        <x:v>Must Do</x:v>
      </x:c>
      <x:c r="AL410" s="36" t="n">
        <x:v>0</x:v>
      </x:c>
      <x:c r="AM410" s="36" t="n">
        <x:v>0</x:v>
      </x:c>
      <x:c r="AN410" s="43"/>
      <x:c r="AO410" s="43"/>
      <x:c r="AP410" s="43"/>
    </x:row>
    <x:row r="411" ht="15" hidden="0" customHeight="1">
      <x:c r="A411" s="36" t="str">
        <x:v>EW-89</x:v>
      </x:c>
      <x:c r="B411" s="37" t="str">
        <x:v>FIN-Digitalized Financial Insight</x:v>
      </x:c>
      <x:c r="C411" s="36" t="str">
        <x:v>EW</x:v>
      </x:c>
      <x:c r="D411" s="36" t="str">
        <x:v>Finance​</x:v>
      </x:c>
      <x:c r="E411" s="36" t="str"/>
      <x:c r="F411" s="36" t="str">
        <x:v>AI Enablement</x:v>
      </x:c>
      <x:c r="G411" s="36" t="str"/>
      <x:c r="H411" s="36" t="str">
        <x:v>Must Do</x:v>
      </x:c>
      <x:c r="I411" s="36" t="str">
        <x:v>New Initiative</x:v>
      </x:c>
      <x:c r="J411" s="38" t="n">
        <x:v>0.25</x:v>
      </x:c>
      <x:c r="K411" s="38"/>
      <x:c r="L411" s="38"/>
      <x:c r="M411" s="38"/>
      <x:c r="N411" s="38"/>
      <x:c r="O411" s="38"/>
      <x:c r="P411" s="37" t="str">
        <x:v>€ 400 </x:v>
      </x:c>
      <x:c r="Q411" s="37" t="str">
        <x:v>Unclassified</x:v>
      </x:c>
      <x:c r="R411" s="37" t="str">
        <x:v>TSR Dashboard enhancements not delivered; Limited financial insights; (5 FTEs)</x:v>
      </x:c>
      <x:c r="S411" s="37" t="str"/>
      <x:c r="T411" s="37" t="str"/>
      <x:c r="U411" s="37" t="str"/>
      <x:c r="V411" s="36" t="str"/>
      <x:c r="W411" s="36" t="str"/>
      <x:c r="X411" s="36"/>
      <x:c r="Y411" s="36" t="str">
        <x:v>NotAssessed</x:v>
      </x:c>
      <x:c r="Z411" s="36" t="str"/>
      <x:c r="AA411" s="36" t="str"/>
      <x:c r="AB411" s="36"/>
      <x:c r="AC411" s="36"/>
      <x:c r="AD411" s="36" t="str"/>
      <x:c r="AE411" s="36" t="str"/>
      <x:c r="AF411" s="36" t="str">
        <x:v>No exact waste match</x:v>
      </x:c>
      <x:c r="AG411" s="36" t="str">
        <x:v>Common pot</x:v>
      </x:c>
      <x:c r="AH411" s="36" t="str">
        <x:v>EW Demand!row 177</x:v>
      </x:c>
      <x:c r="AI411" s="36" t="str">
        <x:v>AI</x:v>
      </x:c>
      <x:c r="AJ411" s="36" t="str">
        <x:v>Blank</x:v>
      </x:c>
      <x:c r="AK411" s="36" t="str">
        <x:v>Must Do</x:v>
      </x:c>
      <x:c r="AL411" s="36" t="n">
        <x:v>0</x:v>
      </x:c>
      <x:c r="AM411" s="36" t="n">
        <x:v>0</x:v>
      </x:c>
      <x:c r="AN411" s="43"/>
      <x:c r="AO411" s="43"/>
      <x:c r="AP411" s="43"/>
    </x:row>
    <x:row r="412" ht="15" hidden="0" customHeight="1">
      <x:c r="A412" s="36" t="str">
        <x:v>EW-90</x:v>
      </x:c>
      <x:c r="B412" s="37" t="str">
        <x:v>FIN-PSA improvements (cfr issues listed in the audit report)</x:v>
      </x:c>
      <x:c r="C412" s="36" t="str">
        <x:v>EW</x:v>
      </x:c>
      <x:c r="D412" s="36" t="str">
        <x:v>Finance​</x:v>
      </x:c>
      <x:c r="E412" s="36" t="str"/>
      <x:c r="F412" s="36" t="str">
        <x:v>Continuous Improvement</x:v>
      </x:c>
      <x:c r="G412" s="36" t="str"/>
      <x:c r="H412" s="36" t="str">
        <x:v>Must Do</x:v>
      </x:c>
      <x:c r="I412" s="36" t="str">
        <x:v>New Initiative</x:v>
      </x:c>
      <x:c r="J412" s="38" t="n">
        <x:v>0.25</x:v>
      </x:c>
      <x:c r="K412" s="38"/>
      <x:c r="L412" s="38"/>
      <x:c r="M412" s="38"/>
      <x:c r="N412" s="38"/>
      <x:c r="O412" s="38"/>
      <x:c r="P412" s="37" t="str">
        <x:v>TBC </x:v>
      </x:c>
      <x:c r="Q412" s="37" t="str">
        <x:v>Unclassified</x:v>
      </x:c>
      <x:c r="R412" s="37" t="str">
        <x:v>Inefficient monitoring of time written to PSA transaltes to Financial data sent to MP1</x:v>
      </x:c>
      <x:c r="S412" s="37" t="str"/>
      <x:c r="T412" s="37" t="str"/>
      <x:c r="U412" s="37" t="str"/>
      <x:c r="V412" s="36" t="str"/>
      <x:c r="W412" s="36" t="str"/>
      <x:c r="X412" s="36"/>
      <x:c r="Y412" s="36" t="str">
        <x:v>NotAssessed</x:v>
      </x:c>
      <x:c r="Z412" s="36" t="str"/>
      <x:c r="AA412" s="36" t="str"/>
      <x:c r="AB412" s="36"/>
      <x:c r="AC412" s="36"/>
      <x:c r="AD412" s="36" t="str"/>
      <x:c r="AE412" s="36" t="str"/>
      <x:c r="AF412" s="36" t="str">
        <x:v>No exact waste match</x:v>
      </x:c>
      <x:c r="AG412" s="36" t="str">
        <x:v>Common pot</x:v>
      </x:c>
      <x:c r="AH412" s="36" t="str">
        <x:v>EW Demand!row 178</x:v>
      </x:c>
      <x:c r="AI412" s="36" t="str">
        <x:v>CI</x:v>
      </x:c>
      <x:c r="AJ412" s="36" t="str">
        <x:v>Blank</x:v>
      </x:c>
      <x:c r="AK412" s="36" t="str">
        <x:v>Must Do</x:v>
      </x:c>
      <x:c r="AL412" s="36" t="n">
        <x:v>0</x:v>
      </x:c>
      <x:c r="AM412" s="36" t="n">
        <x:v>0</x:v>
      </x:c>
      <x:c r="AN412" s="43"/>
      <x:c r="AO412" s="43"/>
      <x:c r="AP412" s="43"/>
    </x:row>
    <x:row r="413" ht="15" hidden="0" customHeight="1">
      <x:c r="A413" s="36" t="str">
        <x:v>EW-91</x:v>
      </x:c>
      <x:c r="B413" s="37" t="str">
        <x:v>FIN-TESSA BOT phase 2 (use cases shared for 2027 effort estimation)</x:v>
      </x:c>
      <x:c r="C413" s="36" t="str">
        <x:v>EW</x:v>
      </x:c>
      <x:c r="D413" s="36" t="str">
        <x:v>Finance​</x:v>
      </x:c>
      <x:c r="E413" s="36" t="str"/>
      <x:c r="F413" s="36" t="str">
        <x:v>AI Enablement</x:v>
      </x:c>
      <x:c r="G413" s="36" t="str"/>
      <x:c r="H413" s="36" t="str">
        <x:v>Must Do</x:v>
      </x:c>
      <x:c r="I413" s="36" t="str">
        <x:v>New Initiative</x:v>
      </x:c>
      <x:c r="J413" s="38" t="n">
        <x:v>0.3</x:v>
      </x:c>
      <x:c r="K413" s="38"/>
      <x:c r="L413" s="38"/>
      <x:c r="M413" s="38"/>
      <x:c r="N413" s="38"/>
      <x:c r="O413" s="38"/>
      <x:c r="P413" s="37" t="str">
        <x:v>€100 </x:v>
      </x:c>
      <x:c r="Q413" s="37" t="str">
        <x:v>Unclassified</x:v>
      </x:c>
      <x:c r="R413" s="37" t="str">
        <x:v>Efficiency gains unrealized; Continued manual repetitive tasks; Treasury resource dependency persists;  (1FTE)</x:v>
      </x:c>
      <x:c r="S413" s="37" t="str"/>
      <x:c r="T413" s="37" t="str"/>
      <x:c r="U413" s="37" t="str"/>
      <x:c r="V413" s="36" t="str"/>
      <x:c r="W413" s="36" t="str"/>
      <x:c r="X413" s="36"/>
      <x:c r="Y413" s="36" t="str">
        <x:v>NotAssessed</x:v>
      </x:c>
      <x:c r="Z413" s="36" t="str"/>
      <x:c r="AA413" s="36" t="str"/>
      <x:c r="AB413" s="36"/>
      <x:c r="AC413" s="36"/>
      <x:c r="AD413" s="36" t="str"/>
      <x:c r="AE413" s="36" t="str"/>
      <x:c r="AF413" s="36" t="str">
        <x:v>No exact waste match</x:v>
      </x:c>
      <x:c r="AG413" s="36" t="str">
        <x:v>Common pot</x:v>
      </x:c>
      <x:c r="AH413" s="36" t="str">
        <x:v>EW Demand!row 179</x:v>
      </x:c>
      <x:c r="AI413" s="36" t="str">
        <x:v>AI</x:v>
      </x:c>
      <x:c r="AJ413" s="36" t="str">
        <x:v>Blank</x:v>
      </x:c>
      <x:c r="AK413" s="36" t="str">
        <x:v>Must Do</x:v>
      </x:c>
      <x:c r="AL413" s="36" t="n">
        <x:v>0</x:v>
      </x:c>
      <x:c r="AM413" s="36" t="n">
        <x:v>0</x:v>
      </x:c>
      <x:c r="AN413" s="43"/>
      <x:c r="AO413" s="43"/>
      <x:c r="AP413" s="43"/>
    </x:row>
    <x:row r="414" ht="15" hidden="0" customHeight="1">
      <x:c r="A414" s="36" t="str">
        <x:v>EW-92</x:v>
      </x:c>
      <x:c r="B414" s="37" t="str">
        <x:v>FIN-Decom UiPatch (Communication Mining)</x:v>
      </x:c>
      <x:c r="C414" s="36" t="str">
        <x:v>EW</x:v>
      </x:c>
      <x:c r="D414" s="36" t="str">
        <x:v>Finance​</x:v>
      </x:c>
      <x:c r="E414" s="36" t="str"/>
      <x:c r="F414" s="36" t="str">
        <x:v>Decomm/Replatforming</x:v>
      </x:c>
      <x:c r="G414" s="36" t="str"/>
      <x:c r="H414" s="36" t="str">
        <x:v>Must Do</x:v>
      </x:c>
      <x:c r="I414" s="36" t="str">
        <x:v>New Initiative</x:v>
      </x:c>
      <x:c r="J414" s="38" t="n">
        <x:v>0.4</x:v>
      </x:c>
      <x:c r="K414" s="38"/>
      <x:c r="L414" s="38"/>
      <x:c r="M414" s="38"/>
      <x:c r="N414" s="38"/>
      <x:c r="O414" s="38" t="n">
        <x:v>0.4</x:v>
      </x:c>
      <x:c r="P414" s="37" t="str">
        <x:v>400</x:v>
      </x:c>
      <x:c r="Q414" s="37" t="str">
        <x:v>Unclassified</x:v>
      </x:c>
      <x:c r="R414" s="37" t="str">
        <x:v>Savings not realized</x:v>
      </x:c>
      <x:c r="S414" s="37" t="str"/>
      <x:c r="T414" s="37" t="str"/>
      <x:c r="U414" s="37" t="str"/>
      <x:c r="V414" s="36" t="str"/>
      <x:c r="W414" s="36" t="str"/>
      <x:c r="X414" s="36"/>
      <x:c r="Y414" s="36" t="str">
        <x:v>NotAssessed</x:v>
      </x:c>
      <x:c r="Z414" s="36" t="str"/>
      <x:c r="AA414" s="36" t="str"/>
      <x:c r="AB414" s="36"/>
      <x:c r="AC414" s="36"/>
      <x:c r="AD414" s="36" t="str"/>
      <x:c r="AE414" s="36" t="str"/>
      <x:c r="AF414" s="36" t="str">
        <x:v>No exact waste match</x:v>
      </x:c>
      <x:c r="AG414" s="36" t="str">
        <x:v>Common pot</x:v>
      </x:c>
      <x:c r="AH414" s="36" t="str">
        <x:v>EW Demand!row 180</x:v>
      </x:c>
      <x:c r="AI414" s="36" t="str">
        <x:v>Decomm</x:v>
      </x:c>
      <x:c r="AJ414" s="36" t="str">
        <x:v>Blank</x:v>
      </x:c>
      <x:c r="AK414" s="36" t="str">
        <x:v>Must Do</x:v>
      </x:c>
      <x:c r="AL414" s="36" t="n">
        <x:v>0</x:v>
      </x:c>
      <x:c r="AM414" s="36" t="n">
        <x:v>0</x:v>
      </x:c>
      <x:c r="AN414" s="43"/>
      <x:c r="AO414" s="43"/>
      <x:c r="AP414" s="43"/>
    </x:row>
    <x:row r="415" ht="15" hidden="0" customHeight="1">
      <x:c r="A415" s="36" t="str">
        <x:v>EW-93</x:v>
      </x:c>
      <x:c r="B415" s="37" t="str">
        <x:v>FIN-C&amp;C: Credit Management</x:v>
      </x:c>
      <x:c r="C415" s="36" t="str">
        <x:v>EW</x:v>
      </x:c>
      <x:c r="D415" s="36" t="str">
        <x:v>Finance​</x:v>
      </x:c>
      <x:c r="E415" s="36" t="str"/>
      <x:c r="F415" s="36" t="str">
        <x:v>AI Enablement</x:v>
      </x:c>
      <x:c r="G415" s="36" t="str"/>
      <x:c r="H415" s="36" t="str">
        <x:v>Must Do</x:v>
      </x:c>
      <x:c r="I415" s="36" t="str">
        <x:v>New Initiative</x:v>
      </x:c>
      <x:c r="J415" s="38" t="n">
        <x:v>0.15</x:v>
      </x:c>
      <x:c r="K415" s="38"/>
      <x:c r="L415" s="38"/>
      <x:c r="M415" s="38"/>
      <x:c r="N415" s="38"/>
      <x:c r="O415" s="38"/>
      <x:c r="P415" s="37" t="str">
        <x:v>€ 300 </x:v>
      </x:c>
      <x:c r="Q415" s="37" t="str">
        <x:v>Unclassified</x:v>
      </x:c>
      <x:c r="R415" s="37" t="str">
        <x:v>Credit management process improvements unrealized</x:v>
      </x:c>
      <x:c r="S415" s="37" t="str"/>
      <x:c r="T415" s="37" t="str"/>
      <x:c r="U415" s="37" t="str"/>
      <x:c r="V415" s="36" t="str"/>
      <x:c r="W415" s="36" t="str"/>
      <x:c r="X415" s="36"/>
      <x:c r="Y415" s="36" t="str">
        <x:v>NotAssessed</x:v>
      </x:c>
      <x:c r="Z415" s="36" t="str"/>
      <x:c r="AA415" s="36" t="str"/>
      <x:c r="AB415" s="36"/>
      <x:c r="AC415" s="36"/>
      <x:c r="AD415" s="36" t="str"/>
      <x:c r="AE415" s="36" t="str"/>
      <x:c r="AF415" s="36" t="str">
        <x:v>No exact waste match</x:v>
      </x:c>
      <x:c r="AG415" s="36" t="str">
        <x:v>Common pot</x:v>
      </x:c>
      <x:c r="AH415" s="36" t="str">
        <x:v>EW Demand!row 181</x:v>
      </x:c>
      <x:c r="AI415" s="36" t="str">
        <x:v>AI</x:v>
      </x:c>
      <x:c r="AJ415" s="36" t="str">
        <x:v>Blank</x:v>
      </x:c>
      <x:c r="AK415" s="36" t="str">
        <x:v>Must Do</x:v>
      </x:c>
      <x:c r="AL415" s="36" t="n">
        <x:v>0</x:v>
      </x:c>
      <x:c r="AM415" s="36" t="n">
        <x:v>0</x:v>
      </x:c>
      <x:c r="AN415" s="43"/>
      <x:c r="AO415" s="43"/>
      <x:c r="AP415" s="43"/>
    </x:row>
    <x:row r="416" ht="15" hidden="0" customHeight="1">
      <x:c r="A416" s="36" t="str">
        <x:v>EW-94</x:v>
      </x:c>
      <x:c r="B416" s="37" t="str">
        <x:v>Automation of Certificate Lifecycle Management </x:v>
      </x:c>
      <x:c r="C416" s="36" t="str">
        <x:v>EW</x:v>
      </x:c>
      <x:c r="D416" s="36" t="str">
        <x:v>Information Technology ​</x:v>
      </x:c>
      <x:c r="E416" s="36" t="str"/>
      <x:c r="F416" s="36" t="str">
        <x:v>Continuous Improvement</x:v>
      </x:c>
      <x:c r="G416" s="36" t="str">
        <x:v>Process simplification/ efficiency gain</x:v>
      </x:c>
      <x:c r="H416" s="36" t="str">
        <x:v>Deprioritised</x:v>
      </x:c>
      <x:c r="I416" s="36" t="str">
        <x:v>New Initiative</x:v>
      </x:c>
      <x:c r="J416" s="38" t="n">
        <x:v>0</x:v>
      </x:c>
      <x:c r="K416" s="38"/>
      <x:c r="L416" s="38"/>
      <x:c r="M416" s="38"/>
      <x:c r="N416" s="38"/>
      <x:c r="O416" s="38"/>
      <x:c r="P416" s="37" t="str"/>
      <x:c r="Q416" s="37" t="str">
        <x:v>Cash savings</x:v>
      </x:c>
      <x:c r="R416" s="37" t="str"/>
      <x:c r="S416" s="37" t="str"/>
      <x:c r="T416" s="37" t="str"/>
      <x:c r="U416" s="37" t="str"/>
      <x:c r="V416" s="36" t="str"/>
      <x:c r="W416" s="36" t="str"/>
      <x:c r="X416" s="36"/>
      <x:c r="Y416" s="36" t="str">
        <x:v>NotAssessed</x:v>
      </x:c>
      <x:c r="Z416" s="36" t="str"/>
      <x:c r="AA416" s="36" t="str"/>
      <x:c r="AB416" s="36"/>
      <x:c r="AC416" s="36"/>
      <x:c r="AD416" s="36" t="str"/>
      <x:c r="AE416" s="36" t="str"/>
      <x:c r="AF416" s="36" t="str">
        <x:v>No exact waste match</x:v>
      </x:c>
      <x:c r="AG416" s="36" t="str">
        <x:v>Common pot</x:v>
      </x:c>
      <x:c r="AH416" s="36" t="str">
        <x:v>EW Demand!row 182</x:v>
      </x:c>
      <x:c r="AI416" s="36" t="str">
        <x:v>CI</x:v>
      </x:c>
      <x:c r="AJ416" s="36" t="str">
        <x:v>ProcSimp</x:v>
      </x:c>
      <x:c r="AK416" s="36" t="str">
        <x:v>Depri</x:v>
      </x:c>
      <x:c r="AL416" s="36" t="n">
        <x:v>0</x:v>
      </x:c>
      <x:c r="AM416" s="36" t="n">
        <x:v>0</x:v>
      </x:c>
      <x:c r="AN416" s="43"/>
      <x:c r="AO416" s="43"/>
      <x:c r="AP416" s="43"/>
    </x:row>
    <x:row r="417" ht="24" hidden="0" customHeight="1">
      <x:c r="A417" s="36" t="str">
        <x:v>EW-95</x:v>
      </x:c>
      <x:c r="B417" s="37" t="str">
        <x:v>Infrastructure Setup to support Real Estate initiatives (new site setup, relocation and closure)</x:v>
      </x:c>
      <x:c r="C417" s="36" t="str">
        <x:v>EW</x:v>
      </x:c>
      <x:c r="D417" s="36" t="str">
        <x:v>Information Technology ​</x:v>
      </x:c>
      <x:c r="E417" s="36" t="str"/>
      <x:c r="F417" s="36" t="str">
        <x:v>Decomm/Replatforming</x:v>
      </x:c>
      <x:c r="G417" s="36" t="str">
        <x:v>Compliance/Keeping the lights on</x:v>
      </x:c>
      <x:c r="H417" s="36" t="str">
        <x:v>Must Do</x:v>
      </x:c>
      <x:c r="I417" s="36" t="str">
        <x:v>New Initiative</x:v>
      </x:c>
      <x:c r="J417" s="38" t="n">
        <x:v>2.5</x:v>
      </x:c>
      <x:c r="K417" s="38"/>
      <x:c r="L417" s="38"/>
      <x:c r="M417" s="38"/>
      <x:c r="N417" s="38"/>
      <x:c r="O417" s="38" t="n">
        <x:v>2000</x:v>
      </x:c>
      <x:c r="P417" s="37" t="str">
        <x:v>2000000</x:v>
      </x:c>
      <x:c r="Q417" s="37" t="str">
        <x:v>Risk exposure</x:v>
      </x:c>
      <x:c r="R417" s="37" t="str">
        <x: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x:v>
      </x:c>
      <x:c r="S417" s="37" t="str">
        <x:v>Mandatory office exits and business growth are creating a critical need for workspace relocation and expansion. Failure to execute these initiatives on time could impact business continuity, employee productivity, growth plans, and compliance with facility exit commitments.</x:v>
      </x:c>
      <x:c r="T417" s="37" t="str">
        <x:v>Global</x:v>
      </x:c>
      <x:c r="U417" s="37" t="str"/>
      <x:c r="V417" s="36" t="str"/>
      <x:c r="W417" s="36" t="str"/>
      <x:c r="X417" s="36" t="n">
        <x:v>1.25</x:v>
      </x:c>
      <x:c r="Y417" s="36" t="str">
        <x:v>HEALTHY</x:v>
      </x:c>
      <x:c r="Z417" s="36" t="str"/>
      <x:c r="AA417" s="36" t="str"/>
      <x:c r="AB417" s="36"/>
      <x:c r="AC417" s="36"/>
      <x:c r="AD417" s="36" t="str"/>
      <x:c r="AE417" s="36" t="str">
        <x:v>HEALTHY — Rank in priority matrix</x:v>
      </x:c>
      <x:c r="AF417" s="36" t="str">
        <x:v>Name and organisation matched</x:v>
      </x:c>
      <x:c r="AG417" s="36" t="str">
        <x:v>Common pot</x:v>
      </x:c>
      <x:c r="AH417" s="36" t="str">
        <x:v>EW Demand!row 183</x:v>
      </x:c>
      <x:c r="AI417" s="36" t="str">
        <x:v>Decomm</x:v>
      </x:c>
      <x:c r="AJ417" s="36" t="str">
        <x:v>Compliance</x:v>
      </x:c>
      <x:c r="AK417" s="36" t="str">
        <x:v>Must Do</x:v>
      </x:c>
      <x:c r="AL417" s="36" t="n">
        <x:v>0</x:v>
      </x:c>
      <x:c r="AM417" s="36" t="n">
        <x:v>0</x:v>
      </x:c>
      <x:c r="AN417" s="43"/>
      <x:c r="AO417" s="43"/>
      <x:c r="AP417" s="43"/>
    </x:row>
    <x:row r="418" ht="15" hidden="0" customHeight="1">
      <x:c r="A418" s="36" t="str">
        <x:v>EW-96</x:v>
      </x:c>
      <x:c r="B418" s="37" t="str"/>
      <x:c r="C418" s="36" t="str">
        <x:v>EW</x:v>
      </x:c>
      <x:c r="D418" s="36" t="str">
        <x:v>Information Technology ​</x:v>
      </x:c>
      <x:c r="E418" s="36" t="str"/>
      <x:c r="F418" s="36" t="str">
        <x:v>Upgrades &amp; Enhancements</x:v>
      </x:c>
      <x:c r="G418" s="36" t="str">
        <x:v>Compliance/Keeping the lights on</x:v>
      </x:c>
      <x:c r="H418" s="36" t="str"/>
      <x:c r="I418" s="36" t="str">
        <x:v>Carry Over</x:v>
      </x:c>
      <x:c r="J418" s="38"/>
      <x:c r="K418" s="38"/>
      <x:c r="L418" s="38"/>
      <x:c r="M418" s="38"/>
      <x:c r="N418" s="38"/>
      <x:c r="O418" s="38"/>
      <x:c r="P418" s="37" t="str"/>
      <x:c r="Q418" s="37" t="str">
        <x:v>Risk exposure</x:v>
      </x:c>
      <x:c r="R418" s="37" t="str"/>
      <x:c r="S418" s="37" t="str"/>
      <x:c r="T418" s="37" t="str">
        <x:v>Global</x:v>
      </x:c>
      <x:c r="U418" s="37" t="str"/>
      <x:c r="V418" s="36" t="str"/>
      <x:c r="W418" s="36" t="str"/>
      <x:c r="X418" s="36"/>
      <x:c r="Y418" s="36" t="str">
        <x:v>NotAssessed</x:v>
      </x:c>
      <x:c r="Z418" s="36" t="str"/>
      <x:c r="AA418" s="36" t="str"/>
      <x:c r="AB418" s="36"/>
      <x:c r="AC418" s="36"/>
      <x:c r="AD418" s="36" t="str"/>
      <x:c r="AE418" s="36" t="str"/>
      <x:c r="AF418" s="36" t="str">
        <x:v>No exact waste match</x:v>
      </x:c>
      <x:c r="AG418" s="36" t="str">
        <x:v>Incomplete record</x:v>
      </x:c>
      <x:c r="AH418" s="36" t="str">
        <x:v>EW Demand!row 184</x:v>
      </x:c>
      <x:c r="AI418" s="36" t="str">
        <x:v>Upgrades</x:v>
      </x:c>
      <x:c r="AJ418" s="36" t="str">
        <x:v>Compliance</x:v>
      </x:c>
      <x:c r="AK418" s="36" t="str">
        <x:v>Blank</x:v>
      </x:c>
      <x:c r="AL418" s="36" t="n">
        <x:v>0</x:v>
      </x:c>
      <x:c r="AM418" s="36" t="n">
        <x:v>1</x:v>
      </x:c>
      <x:c r="AN418" s="43"/>
      <x:c r="AO418" s="43"/>
      <x:c r="AP418" s="43"/>
    </x:row>
    <x:row r="419" ht="15" hidden="0" customHeight="1">
      <x:c r="A419" s="36" t="str">
        <x:v>EW-97</x:v>
      </x:c>
      <x:c r="B419" s="37" t="str">
        <x:v>AI Infrastrcture Foundation</x:v>
      </x:c>
      <x:c r="C419" s="36" t="str">
        <x:v>EW</x:v>
      </x:c>
      <x:c r="D419" s="36" t="str">
        <x:v>Information Technology ​</x:v>
      </x:c>
      <x:c r="E419" s="36" t="str">
        <x:v>1005332</x:v>
      </x:c>
      <x:c r="F419" s="36" t="str">
        <x:v>AI Enablement</x:v>
      </x:c>
      <x:c r="G419" s="36" t="str">
        <x:v>Productivity savings</x:v>
      </x:c>
      <x:c r="H419" s="36" t="str">
        <x:v>Must Do</x:v>
      </x:c>
      <x:c r="I419" s="36" t="str">
        <x:v>New Initiative</x:v>
      </x:c>
      <x:c r="J419" s="38" t="n">
        <x:v>0.4</x:v>
      </x:c>
      <x:c r="K419" s="38"/>
      <x:c r="L419" s="38"/>
      <x:c r="M419" s="38"/>
      <x:c r="N419" s="38"/>
      <x:c r="O419" s="38"/>
      <x:c r="P419" s="37" t="str"/>
      <x:c r="Q419" s="37" t="str">
        <x:v>Cash savings</x:v>
      </x:c>
      <x:c r="R419" s="37" t="str">
        <x:v>Power failures result in network devices going down and site not accessible</x:v>
      </x:c>
      <x:c r="S419" s="37" t="str">
        <x:v>On prem capability to reduce AI cost inclurred in cloud</x:v>
      </x:c>
      <x:c r="T419" s="37" t="str">
        <x:v>Global</x:v>
      </x:c>
      <x:c r="U419" s="37" t="str"/>
      <x:c r="V419" s="36" t="str"/>
      <x:c r="W419" s="36" t="str"/>
      <x:c r="X419" s="36"/>
      <x:c r="Y419" s="36" t="str">
        <x:v>NotAssessed</x:v>
      </x:c>
      <x:c r="Z419" s="36" t="str"/>
      <x:c r="AA419" s="36" t="str"/>
      <x:c r="AB419" s="36"/>
      <x:c r="AC419" s="36"/>
      <x:c r="AD419" s="36" t="str"/>
      <x:c r="AE419" s="36" t="str"/>
      <x:c r="AF419" s="36" t="str">
        <x:v>No exact waste match</x:v>
      </x:c>
      <x:c r="AG419" s="36" t="str">
        <x:v>Common pot</x:v>
      </x:c>
      <x:c r="AH419" s="36" t="str">
        <x:v>EW Demand!row 185</x:v>
      </x:c>
      <x:c r="AI419" s="36" t="str">
        <x:v>AI</x:v>
      </x:c>
      <x:c r="AJ419" s="36" t="str">
        <x:v>Productivity</x:v>
      </x:c>
      <x:c r="AK419" s="36" t="str">
        <x:v>Must Do</x:v>
      </x:c>
      <x:c r="AL419" s="36" t="n">
        <x:v>0</x:v>
      </x:c>
      <x:c r="AM419" s="36" t="n">
        <x:v>0</x:v>
      </x:c>
      <x:c r="AN419" s="43"/>
      <x:c r="AO419" s="43"/>
      <x:c r="AP419" s="43"/>
    </x:row>
    <x:row r="420" ht="15" hidden="0" customHeight="1">
      <x:c r="A420" s="36" t="str">
        <x:v>EW-98</x:v>
      </x:c>
      <x:c r="B420" s="37" t="str">
        <x:v>AI Finops </x:v>
      </x:c>
      <x:c r="C420" s="36" t="str">
        <x:v>EW</x:v>
      </x:c>
      <x:c r="D420" s="36" t="str">
        <x:v>Information Technology ​</x:v>
      </x:c>
      <x:c r="E420" s="36" t="str"/>
      <x:c r="F420" s="36" t="str">
        <x:v>AI Enablement</x:v>
      </x:c>
      <x:c r="G420" s="36" t="str">
        <x:v>Productivity savings</x:v>
      </x:c>
      <x:c r="H420" s="36" t="str">
        <x:v>Must Do</x:v>
      </x:c>
      <x:c r="I420" s="36" t="str">
        <x:v>New Initiative</x:v>
      </x:c>
      <x:c r="J420" s="38" t="n">
        <x:v>0.5</x:v>
      </x:c>
      <x:c r="K420" s="38"/>
      <x:c r="L420" s="38"/>
      <x:c r="M420" s="38"/>
      <x:c r="N420" s="38"/>
      <x:c r="O420" s="38"/>
      <x:c r="P420" s="37" t="str"/>
      <x:c r="Q420" s="37" t="str">
        <x:v>Cash savings</x:v>
      </x:c>
      <x:c r="R420" s="37" t="str"/>
      <x:c r="S420" s="37" t="str">
        <x:v>establish a governed, scalable, and auditable platform for reporting enterprise AI adoption, usage, licensing, project costs, budgets, forecasts, and procurement reconciliation.​</x:v>
      </x:c>
      <x:c r="T420" s="37" t="str">
        <x:v>Global</x:v>
      </x:c>
      <x:c r="U420" s="37" t="str"/>
      <x:c r="V420" s="36" t="str"/>
      <x:c r="W420" s="36" t="str"/>
      <x:c r="X420" s="36"/>
      <x:c r="Y420" s="36" t="str">
        <x:v>NotAssessed</x:v>
      </x:c>
      <x:c r="Z420" s="36" t="str"/>
      <x:c r="AA420" s="36" t="str"/>
      <x:c r="AB420" s="36"/>
      <x:c r="AC420" s="36"/>
      <x:c r="AD420" s="36" t="str"/>
      <x:c r="AE420" s="36" t="str"/>
      <x:c r="AF420" s="36" t="str">
        <x:v>No exact waste match</x:v>
      </x:c>
      <x:c r="AG420" s="36" t="str">
        <x:v>Common pot</x:v>
      </x:c>
      <x:c r="AH420" s="36" t="str">
        <x:v>EW Demand!row 186</x:v>
      </x:c>
      <x:c r="AI420" s="36" t="str">
        <x:v>AI</x:v>
      </x:c>
      <x:c r="AJ420" s="36" t="str">
        <x:v>Productivity</x:v>
      </x:c>
      <x:c r="AK420" s="36" t="str">
        <x:v>Must Do</x:v>
      </x:c>
      <x:c r="AL420" s="36" t="n">
        <x:v>0</x:v>
      </x:c>
      <x:c r="AM420" s="36" t="n">
        <x:v>0</x:v>
      </x:c>
      <x:c r="AN420" s="43"/>
      <x:c r="AO420" s="43"/>
      <x:c r="AP420" s="43"/>
    </x:row>
    <x:row r="421" ht="15" hidden="0" customHeight="1">
      <x:c r="A421" s="36" t="str">
        <x:v>EW-99</x:v>
      </x:c>
      <x:c r="B421" s="37" t="str">
        <x:v>Implementing Zero Trust NEtwork Architecture</x:v>
      </x:c>
      <x:c r="C421" s="36" t="str">
        <x:v>EW</x:v>
      </x:c>
      <x:c r="D421" s="36" t="str">
        <x:v>Information Technology ​</x:v>
      </x:c>
      <x:c r="E421" s="36" t="str"/>
      <x:c r="F421" s="36" t="str">
        <x:v>New Technology</x:v>
      </x:c>
      <x:c r="G421" s="36" t="str">
        <x:v>Compliance/Keeping the lights on</x:v>
      </x:c>
      <x:c r="H421" s="36" t="str">
        <x:v>Must Have</x:v>
      </x:c>
      <x:c r="I421" s="36" t="str">
        <x:v>New Initiative</x:v>
      </x:c>
      <x:c r="J421" s="38" t="n">
        <x:v>0.17</x:v>
      </x:c>
      <x:c r="K421" s="38"/>
      <x:c r="L421" s="38"/>
      <x:c r="M421" s="38"/>
      <x:c r="N421" s="38"/>
      <x:c r="O421" s="38" t="n">
        <x:v>5</x:v>
      </x:c>
      <x:c r="P421" s="37" t="str">
        <x:v>5000</x:v>
      </x:c>
      <x:c r="Q421" s="37" t="str">
        <x:v>Risk exposure</x:v>
      </x:c>
      <x:c r="R421" s="37" t="str">
        <x:v>mpact of Not Executing</x:v>
      </x:c>
      <x:c r="S421" s="37" t="str">
        <x: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x:v>
      </x:c>
      <x:c r="T421" s="37" t="str">
        <x:v>Global</x:v>
      </x:c>
      <x:c r="U421" s="37" t="str"/>
      <x:c r="V421" s="36" t="str"/>
      <x:c r="W421" s="36" t="str"/>
      <x:c r="X421" s="36" t="n">
        <x:v>1.15</x:v>
      </x:c>
      <x:c r="Y421" s="36" t="str">
        <x:v>HEALTHY</x:v>
      </x:c>
      <x:c r="Z421" s="36" t="str"/>
      <x:c r="AA421" s="36" t="str"/>
      <x:c r="AB421" s="36"/>
      <x:c r="AC421" s="36"/>
      <x:c r="AD421" s="36" t="str"/>
      <x:c r="AE421" s="36" t="str">
        <x:v>HEALTHY — Rank in priority matrix</x:v>
      </x:c>
      <x:c r="AF421" s="36" t="str">
        <x:v>Name and organisation matched</x:v>
      </x:c>
      <x:c r="AG421" s="36" t="str">
        <x:v>Common pot</x:v>
      </x:c>
      <x:c r="AH421" s="36" t="str">
        <x:v>EW Demand!row 187</x:v>
      </x:c>
      <x:c r="AI421" s="36" t="str">
        <x:v>NewTech</x:v>
      </x:c>
      <x:c r="AJ421" s="36" t="str">
        <x:v>Compliance</x:v>
      </x:c>
      <x:c r="AK421" s="36" t="str">
        <x:v>Must Have</x:v>
      </x:c>
      <x:c r="AL421" s="36" t="n">
        <x:v>0</x:v>
      </x:c>
      <x:c r="AM421" s="36" t="n">
        <x:v>0</x:v>
      </x:c>
      <x:c r="AN421" s="43"/>
      <x:c r="AO421" s="43"/>
      <x:c r="AP421" s="43"/>
    </x:row>
    <x:row r="422" ht="15" hidden="0" customHeight="1">
      <x:c r="A422" s="36" t="str">
        <x:v>EW-100</x:v>
      </x:c>
      <x:c r="B422" s="37" t="str">
        <x:v>HW Lifecycle for NEtwork FW, Access points and core switches</x:v>
      </x:c>
      <x:c r="C422" s="36" t="str">
        <x:v>EW</x:v>
      </x:c>
      <x:c r="D422" s="36" t="str">
        <x:v>Information Technology ​</x:v>
      </x:c>
      <x:c r="E422" s="36" t="str"/>
      <x:c r="F422" s="36" t="str">
        <x:v>Upgrades &amp; Enhancements</x:v>
      </x:c>
      <x:c r="G422" s="36" t="str">
        <x:v>Compliance/Keeping the lights on</x:v>
      </x:c>
      <x:c r="H422" s="36" t="str">
        <x:v>Must Do</x:v>
      </x:c>
      <x:c r="I422" s="36" t="str">
        <x:v>New Initiative</x:v>
      </x:c>
      <x:c r="J422" s="38" t="n">
        <x:v>1.2</x:v>
      </x:c>
      <x:c r="K422" s="38"/>
      <x:c r="L422" s="38"/>
      <x:c r="M422" s="38"/>
      <x:c r="N422" s="38"/>
      <x:c r="O422" s="38"/>
      <x:c r="P422" s="37" t="str">
        <x:v>Can't Quantify - C&amp;S in nature. Must do Compliance to update hardware</x:v>
      </x:c>
      <x:c r="Q422" s="37" t="str">
        <x:v>Risk exposure</x:v>
      </x:c>
      <x:c r="R422" s="37" t="str">
        <x:v>Impact of Not Executing</x:v>
      </x:c>
      <x:c r="S422" s="37" t="str">
        <x: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x:v>
      </x:c>
      <x:c r="T422" s="37" t="str">
        <x:v>Global</x:v>
      </x:c>
      <x:c r="U422" s="37" t="str"/>
      <x:c r="V422" s="36" t="str"/>
      <x:c r="W422" s="36" t="str"/>
      <x:c r="X422" s="36" t="n">
        <x:v>1.4</x:v>
      </x:c>
      <x:c r="Y422" s="36" t="str">
        <x:v>HEALTHY</x:v>
      </x:c>
      <x:c r="Z422" s="36" t="str"/>
      <x:c r="AA422" s="36" t="str"/>
      <x:c r="AB422" s="36"/>
      <x:c r="AC422" s="36"/>
      <x:c r="AD422" s="36" t="str"/>
      <x:c r="AE422" s="36" t="str">
        <x:v>HEALTHY — Rank in priority matrix</x:v>
      </x:c>
      <x:c r="AF422" s="36" t="str">
        <x:v>Name and organisation matched</x:v>
      </x:c>
      <x:c r="AG422" s="36" t="str">
        <x:v>Common pot</x:v>
      </x:c>
      <x:c r="AH422" s="36" t="str">
        <x:v>EW Demand!row 194</x:v>
      </x:c>
      <x:c r="AI422" s="36" t="str">
        <x:v>Upgrades</x:v>
      </x:c>
      <x:c r="AJ422" s="36" t="str">
        <x:v>Compliance</x:v>
      </x:c>
      <x:c r="AK422" s="36" t="str">
        <x:v>Must Do</x:v>
      </x:c>
      <x:c r="AL422" s="36" t="n">
        <x:v>0</x:v>
      </x:c>
      <x:c r="AM422" s="36" t="n">
        <x:v>0</x:v>
      </x:c>
      <x:c r="AN422" s="43"/>
      <x:c r="AO422" s="43"/>
      <x:c r="AP422" s="43"/>
    </x:row>
    <x:row r="423" ht="15" hidden="0" customHeight="1">
      <x:c r="A423" s="36" t="str">
        <x:v>EW-101</x:v>
      </x:c>
      <x:c r="B423" s="37" t="str">
        <x:v>Cloud File Share Solution (CFSS)</x:v>
      </x:c>
      <x:c r="C423" s="36" t="str">
        <x:v>EW</x:v>
      </x:c>
      <x:c r="D423" s="36" t="str">
        <x:v>Information Technology ​</x:v>
      </x:c>
      <x:c r="E423" s="36" t="str"/>
      <x:c r="F423" s="36" t="str">
        <x:v>Decomm/Replatforming</x:v>
      </x:c>
      <x:c r="G423" s="36" t="str">
        <x:v>Compliance/Keeping the lights on</x:v>
      </x:c>
      <x:c r="H423" s="36" t="str">
        <x:v>Must Have</x:v>
      </x:c>
      <x:c r="I423" s="36" t="str">
        <x:v>New Initiative</x:v>
      </x:c>
      <x:c r="J423" s="38" t="n">
        <x:v>0.7</x:v>
      </x:c>
      <x:c r="K423" s="38"/>
      <x:c r="L423" s="38"/>
      <x:c r="M423" s="38"/>
      <x:c r="N423" s="38"/>
      <x:c r="O423" s="38"/>
      <x:c r="P423" s="37" t="str">
        <x:v>eliminates recurring $96K upgrade costs and delivers $50K cloud savings per year across 14 sites</x:v>
      </x:c>
      <x:c r="Q423" s="37" t="str">
        <x:v>Risk exposure</x:v>
      </x:c>
      <x:c r="R423" s="37" t="str">
        <x:v>Cache loss results in factories having to call off shifts</x:v>
      </x:c>
      <x:c r="S423" s="37" t="str">
        <x:v>Current AWS Storage gateway based file share solution is a black box and requires lot of maintenance and support. Loss of cache brings factories down</x:v>
      </x:c>
      <x:c r="T423" s="37" t="str">
        <x:v>Global</x:v>
      </x:c>
      <x:c r="U423" s="37" t="str"/>
      <x:c r="V423" s="36" t="str"/>
      <x:c r="W423" s="36" t="str"/>
      <x:c r="X423" s="36" t="n">
        <x:v>1.05</x:v>
      </x:c>
      <x:c r="Y423" s="36" t="str">
        <x:v>HEALTHY</x:v>
      </x:c>
      <x:c r="Z423" s="36" t="str"/>
      <x:c r="AA423" s="36" t="str"/>
      <x:c r="AB423" s="36"/>
      <x:c r="AC423" s="36"/>
      <x:c r="AD423" s="36" t="str"/>
      <x:c r="AE423" s="36" t="str">
        <x:v>HEALTHY — Rank in priority matrix</x:v>
      </x:c>
      <x:c r="AF423" s="36" t="str">
        <x:v>Name and organisation matched</x:v>
      </x:c>
      <x:c r="AG423" s="36" t="str">
        <x:v>Common pot</x:v>
      </x:c>
      <x:c r="AH423" s="36" t="str">
        <x:v>EW Demand!row 202</x:v>
      </x:c>
      <x:c r="AI423" s="36" t="str">
        <x:v>Decomm</x:v>
      </x:c>
      <x:c r="AJ423" s="36" t="str">
        <x:v>Compliance</x:v>
      </x:c>
      <x:c r="AK423" s="36" t="str">
        <x:v>Must Have</x:v>
      </x:c>
      <x:c r="AL423" s="36" t="n">
        <x:v>0</x:v>
      </x:c>
      <x:c r="AM423" s="36" t="n">
        <x:v>0</x:v>
      </x:c>
      <x:c r="AN423" s="43"/>
      <x:c r="AO423" s="43"/>
      <x:c r="AP423" s="43"/>
    </x:row>
    <x:row r="424" ht="15" hidden="0" customHeight="1">
      <x:c r="A424" s="36" t="str">
        <x:v>EW-102</x:v>
      </x:c>
      <x:c r="B424" s="37" t="str">
        <x:v>IT ServiceContinuity Management</x:v>
      </x:c>
      <x:c r="C424" s="36" t="str">
        <x:v>EW</x:v>
      </x:c>
      <x:c r="D424" s="36" t="str">
        <x:v>Information Technology ​</x:v>
      </x:c>
      <x:c r="E424" s="36" t="str"/>
      <x:c r="F424" s="36" t="str">
        <x:v>Legal Fiscal, Regulatory &amp; Compliancy</x:v>
      </x:c>
      <x:c r="G424" s="36" t="str"/>
      <x:c r="H424" s="36" t="str">
        <x:v>Must Do</x:v>
      </x:c>
      <x:c r="I424" s="36" t="str">
        <x:v>Carry Over</x:v>
      </x:c>
      <x:c r="J424" s="38" t="n">
        <x:v>0.125</x:v>
      </x:c>
      <x:c r="K424" s="38"/>
      <x:c r="L424" s="38"/>
      <x:c r="M424" s="38"/>
      <x:c r="N424" s="38"/>
      <x:c r="O424" s="38"/>
      <x:c r="P424" s="37" t="str">
        <x:v>Implements a financial solution that will help us avoid regulatory risk</x:v>
      </x:c>
      <x:c r="Q424" s="37" t="str">
        <x:v>Unclassified</x:v>
      </x:c>
      <x:c r="R424" s="37" t="str">
        <x:v>If this is not implemented we are in the danger of additional audit queries and NC from the auditors</x:v>
      </x:c>
      <x:c r="S424" s="37" t="str">
        <x:v>There are some finanacial controls and reporting that needs to be completed to for us to be compliant </x:v>
      </x:c>
      <x:c r="T424" s="37" t="str">
        <x:v>Global</x:v>
      </x:c>
      <x:c r="U424" s="37" t="str"/>
      <x:c r="V424" s="36" t="str"/>
      <x:c r="W424" s="36" t="str"/>
      <x:c r="X424" s="36" t="n">
        <x:v>1.45</x:v>
      </x:c>
      <x:c r="Y424" s="36" t="str">
        <x:v>HEALTHY</x:v>
      </x:c>
      <x:c r="Z424" s="36" t="str">
        <x:v>YES</x:v>
      </x:c>
      <x:c r="AA424" s="36" t="str">
        <x:v>5 — Exactly the minimum — only what's needed to meet the rule, nothing more.</x:v>
      </x:c>
      <x:c r="AB424" s="36" t="n">
        <x:v>4</x:v>
      </x:c>
      <x:c r="AC424" s="36" t="n">
        <x:v>16</x:v>
      </x:c>
      <x:c r="AD424" s="36" t="str">
        <x:v>P1 — Immediate</x:v>
      </x:c>
      <x:c r="AE424" s="36" t="str">
        <x:v>HEALTHY / MUST-DO — P1 — Immediate</x:v>
      </x:c>
      <x:c r="AF424" s="36" t="str">
        <x:v>Name and organisation matched</x:v>
      </x:c>
      <x:c r="AG424" s="36" t="str">
        <x:v>LFR validated candidate</x:v>
      </x:c>
      <x:c r="AH424" s="36" t="str">
        <x:v>EW Demand!row 203</x:v>
      </x:c>
      <x:c r="AI424" s="36" t="str">
        <x:v>LFR</x:v>
      </x:c>
      <x:c r="AJ424" s="36" t="str">
        <x:v>Blank</x:v>
      </x:c>
      <x:c r="AK424" s="36" t="str">
        <x:v>Must Do</x:v>
      </x:c>
      <x:c r="AL424" s="36" t="n">
        <x:v>0</x:v>
      </x:c>
      <x:c r="AM424" s="36" t="n">
        <x:v>0</x:v>
      </x:c>
      <x:c r="AN424" s="43"/>
      <x:c r="AO424" s="43"/>
      <x:c r="AP424" s="43"/>
    </x:row>
    <x:row r="425" ht="15" hidden="0" customHeight="1">
      <x:c r="A425" s="36" t="str">
        <x:v>EW-103</x:v>
      </x:c>
      <x:c r="B425" s="37" t="str">
        <x:v>AI &amp; Ops</x:v>
      </x:c>
      <x:c r="C425" s="36" t="str">
        <x:v>EW</x:v>
      </x:c>
      <x:c r="D425" s="36" t="str">
        <x:v>People function​</x:v>
      </x:c>
      <x:c r="E425" s="36" t="str">
        <x:v>New</x:v>
      </x:c>
      <x:c r="F425" s="36" t="str">
        <x:v>AI Enablement</x:v>
      </x:c>
      <x:c r="G425" s="36" t="str">
        <x:v>Process simplification/ efficiency gain</x:v>
      </x:c>
      <x:c r="H425" s="36" t="str">
        <x:v>Must Do</x:v>
      </x:c>
      <x:c r="I425" s="36" t="str">
        <x:v>Carry Over</x:v>
      </x:c>
      <x:c r="J425" s="38" t="n">
        <x:v>0.2</x:v>
      </x:c>
      <x:c r="K425" s="38"/>
      <x:c r="L425" s="38"/>
      <x:c r="M425" s="38"/>
      <x:c r="N425" s="38"/>
      <x:c r="O425" s="38" t="n">
        <x:v>0.3</x:v>
      </x:c>
      <x:c r="P425" s="37" t="str">
        <x:v>300</x:v>
      </x:c>
      <x:c r="Q425" s="37" t="str">
        <x:v>Cash savings</x:v>
      </x:c>
      <x:c r="R425" s="37" t="str">
        <x:v>Productivity targets will not be met and thereby forefeit Business case worth of 300K</x:v>
      </x:c>
      <x:c r="S425" s="37" t="str">
        <x:v>Support will decline unless S2P capability is built in-house.</x:v>
      </x:c>
      <x:c r="T425" s="37" t="str">
        <x:v>AI screening.</x:v>
      </x:c>
      <x:c r="U425" s="37" t="str">
        <x:v>None</x:v>
      </x:c>
      <x:c r="V425" s="36" t="str"/>
      <x:c r="W425" s="36" t="str"/>
      <x:c r="X425" s="36" t="n">
        <x:v>1.1</x:v>
      </x:c>
      <x:c r="Y425" s="36" t="str">
        <x:v>HEALTHY</x:v>
      </x:c>
      <x:c r="Z425" s="36" t="str"/>
      <x:c r="AA425" s="36" t="str"/>
      <x:c r="AB425" s="36"/>
      <x:c r="AC425" s="36"/>
      <x:c r="AD425" s="36" t="str"/>
      <x:c r="AE425" s="36" t="str">
        <x:v>HEALTHY — Rank in priority matrix</x:v>
      </x:c>
      <x:c r="AF425" s="36" t="str">
        <x:v>Name and organisation matched</x:v>
      </x:c>
      <x:c r="AG425" s="36" t="str">
        <x:v>Common pot</x:v>
      </x:c>
      <x:c r="AH425" s="36" t="str">
        <x:v>EW Demand!row 204</x:v>
      </x:c>
      <x:c r="AI425" s="36" t="str">
        <x:v>AI</x:v>
      </x:c>
      <x:c r="AJ425" s="36" t="str">
        <x:v>ProcSimp</x:v>
      </x:c>
      <x:c r="AK425" s="36" t="str">
        <x:v>Must Do</x:v>
      </x:c>
      <x:c r="AL425" s="36" t="n">
        <x:v>0</x:v>
      </x:c>
      <x:c r="AM425" s="36" t="n">
        <x:v>0</x:v>
      </x:c>
      <x:c r="AN425" s="43"/>
      <x:c r="AO425" s="43"/>
      <x:c r="AP425" s="43"/>
    </x:row>
    <x:row r="426" ht="15" hidden="0" customHeight="1">
      <x:c r="A426" s="36" t="str">
        <x:v>EW-104</x:v>
      </x:c>
      <x:c r="B426" s="37" t="str">
        <x:v>AI hiring (autonomous)</x:v>
      </x:c>
      <x:c r="C426" s="36" t="str">
        <x:v>EW</x:v>
      </x:c>
      <x:c r="D426" s="36" t="str">
        <x:v>People function​</x:v>
      </x:c>
      <x:c r="E426" s="36" t="str">
        <x:v>New</x:v>
      </x:c>
      <x:c r="F426" s="36" t="str">
        <x:v>AI Enablement</x:v>
      </x:c>
      <x:c r="G426" s="36" t="str">
        <x:v>Productivity savings</x:v>
      </x:c>
      <x:c r="H426" s="36" t="str">
        <x:v>Must Have</x:v>
      </x:c>
      <x:c r="I426" s="36" t="str">
        <x:v>New Initiative</x:v>
      </x:c>
      <x:c r="J426" s="38" t="n">
        <x:v>0.3</x:v>
      </x:c>
      <x:c r="K426" s="38"/>
      <x:c r="L426" s="38"/>
      <x:c r="M426" s="38"/>
      <x:c r="N426" s="38"/>
      <x:c r="O426" s="38" t="n">
        <x:v>0.4</x:v>
      </x:c>
      <x:c r="P426" s="37" t="str">
        <x:v>400</x:v>
      </x:c>
      <x:c r="Q426" s="37" t="str">
        <x:v>Cash savings</x:v>
      </x:c>
      <x:c r="R426" s="37" t="str">
        <x:v>Productivity targets will not be met and thereby forfeit Business case worth of 400K</x:v>
      </x:c>
      <x:c r="S426" s="37" t="str">
        <x:v>Support will decline unless S2P capability is built in-house.</x:v>
      </x:c>
      <x:c r="T426" s="37" t="str">
        <x:v>Autonomous AI workflows for early-career hiring.</x:v>
      </x:c>
      <x:c r="U426" s="37" t="str">
        <x:v>None</x:v>
      </x:c>
      <x:c r="V426" s="36" t="str"/>
      <x:c r="W426" s="36" t="str"/>
      <x:c r="X426" s="36" t="n">
        <x:v>1.1</x:v>
      </x:c>
      <x:c r="Y426" s="36" t="str">
        <x:v>HEALTHY</x:v>
      </x:c>
      <x:c r="Z426" s="36" t="str"/>
      <x:c r="AA426" s="36" t="str"/>
      <x:c r="AB426" s="36"/>
      <x:c r="AC426" s="36"/>
      <x:c r="AD426" s="36" t="str"/>
      <x:c r="AE426" s="36" t="str">
        <x:v>HEALTHY — Rank in priority matrix</x:v>
      </x:c>
      <x:c r="AF426" s="36" t="str">
        <x:v>Name and organisation matched</x:v>
      </x:c>
      <x:c r="AG426" s="36" t="str">
        <x:v>Common pot</x:v>
      </x:c>
      <x:c r="AH426" s="36" t="str">
        <x:v>EW Demand!row 205</x:v>
      </x:c>
      <x:c r="AI426" s="36" t="str">
        <x:v>AI</x:v>
      </x:c>
      <x:c r="AJ426" s="36" t="str">
        <x:v>Productivity</x:v>
      </x:c>
      <x:c r="AK426" s="36" t="str">
        <x:v>Must Have</x:v>
      </x:c>
      <x:c r="AL426" s="36" t="n">
        <x:v>0</x:v>
      </x:c>
      <x:c r="AM426" s="36" t="n">
        <x:v>0</x:v>
      </x:c>
      <x:c r="AN426" s="43"/>
      <x:c r="AO426" s="43"/>
      <x:c r="AP426" s="43"/>
    </x:row>
    <x:row r="427" ht="15" hidden="0" customHeight="1">
      <x:c r="A427" s="36" t="str">
        <x:v>EW-105</x:v>
      </x:c>
      <x:c r="B427" s="37" t="str">
        <x:v>Listening</x:v>
      </x:c>
      <x:c r="C427" s="36" t="str">
        <x:v>EW</x:v>
      </x:c>
      <x:c r="D427" s="36" t="str">
        <x:v>People function​</x:v>
      </x:c>
      <x:c r="E427" s="36" t="str">
        <x:v>New</x:v>
      </x:c>
      <x:c r="F427" s="36" t="str">
        <x:v>New Technology</x:v>
      </x:c>
      <x:c r="G427" s="36" t="str">
        <x:v>Process simplification/ efficiency gain</x:v>
      </x:c>
      <x:c r="H427" s="36" t="str">
        <x:v>Must Have</x:v>
      </x:c>
      <x:c r="I427" s="36" t="str">
        <x:v>New Initiative</x:v>
      </x:c>
      <x:c r="J427" s="38" t="n">
        <x:v>0.3</x:v>
      </x:c>
      <x:c r="K427" s="38"/>
      <x:c r="L427" s="38"/>
      <x:c r="M427" s="38"/>
      <x:c r="N427" s="38"/>
      <x:c r="O427" s="38"/>
      <x:c r="P427" s="37" t="str">
        <x:v>Soft Benefit</x:v>
      </x:c>
      <x:c r="Q427" s="37" t="str">
        <x:v>Cash savings</x:v>
      </x:c>
      <x:c r="R427" s="37" t="str">
        <x:v>Strategic priorities of PF will not be met.</x:v>
      </x:c>
      <x:c r="S427" s="37" t="str">
        <x:v>Unify listening insights, potentially with the Engagement Survey.</x:v>
      </x:c>
      <x:c r="T427" s="37" t="str">
        <x:v>Combine all listening data and roll out Philips Voice globally.</x:v>
      </x:c>
      <x:c r="U427" s="37" t="str">
        <x:v>None</x:v>
      </x:c>
      <x:c r="V427" s="36" t="str"/>
      <x:c r="W427" s="36" t="str"/>
      <x:c r="X427" s="36" t="n">
        <x:v>1.6</x:v>
      </x:c>
      <x:c r="Y427" s="36" t="str">
        <x:v>HEALTHY</x:v>
      </x:c>
      <x:c r="Z427" s="36" t="str"/>
      <x:c r="AA427" s="36" t="str"/>
      <x:c r="AB427" s="36"/>
      <x:c r="AC427" s="36"/>
      <x:c r="AD427" s="36" t="str"/>
      <x:c r="AE427" s="36" t="str">
        <x:v>HEALTHY — Rank in priority matrix</x:v>
      </x:c>
      <x:c r="AF427" s="36" t="str">
        <x:v>Name and organisation matched</x:v>
      </x:c>
      <x:c r="AG427" s="36" t="str">
        <x:v>Common pot</x:v>
      </x:c>
      <x:c r="AH427" s="36" t="str">
        <x:v>EW Demand!row 206</x:v>
      </x:c>
      <x:c r="AI427" s="36" t="str">
        <x:v>NewTech</x:v>
      </x:c>
      <x:c r="AJ427" s="36" t="str">
        <x:v>ProcSimp</x:v>
      </x:c>
      <x:c r="AK427" s="36" t="str">
        <x:v>Must Have</x:v>
      </x:c>
      <x:c r="AL427" s="36" t="n">
        <x:v>0</x:v>
      </x:c>
      <x:c r="AM427" s="36" t="n">
        <x:v>0</x:v>
      </x:c>
      <x:c r="AN427" s="43"/>
      <x:c r="AO427" s="43"/>
      <x:c r="AP427" s="43"/>
    </x:row>
    <x:row r="428" ht="15" hidden="0" customHeight="1">
      <x:c r="A428" s="36" t="str">
        <x:v>EW-106</x:v>
      </x:c>
      <x:c r="B428" s="37" t="str">
        <x:v>Personalized learning</x:v>
      </x:c>
      <x:c r="C428" s="36" t="str">
        <x:v>EW</x:v>
      </x:c>
      <x:c r="D428" s="36" t="str">
        <x:v>People function​</x:v>
      </x:c>
      <x:c r="E428" s="36" t="str">
        <x:v>New</x:v>
      </x:c>
      <x:c r="F428" s="36" t="str">
        <x:v>New Technology</x:v>
      </x:c>
      <x:c r="G428" s="36" t="str">
        <x:v>Productivity savings</x:v>
      </x:c>
      <x:c r="H428" s="36" t="str">
        <x:v>Must Do</x:v>
      </x:c>
      <x:c r="I428" s="36" t="str">
        <x:v>New Initiative</x:v>
      </x:c>
      <x:c r="J428" s="38" t="n">
        <x:v>0.1</x:v>
      </x:c>
      <x:c r="K428" s="38"/>
      <x:c r="L428" s="38"/>
      <x:c r="M428" s="38"/>
      <x:c r="N428" s="38"/>
      <x:c r="O428" s="38" t="n">
        <x:v>0.25</x:v>
      </x:c>
      <x:c r="P428" s="37" t="str">
        <x:v>250</x:v>
      </x:c>
      <x:c r="Q428" s="37" t="str">
        <x:v>Cash savings</x:v>
      </x:c>
      <x:c r="R428" s="37" t="str">
        <x:v>Productivity targets will not be met and thereby forfeit Business case worth of 250K</x:v>
      </x:c>
      <x:c r="S428" s="37" t="str">
        <x:v>Link skill-based learning to business needs and job profiles.</x:v>
      </x:c>
      <x:c r="T428" s="37" t="str">
        <x:v>Use an LXP for contextual, skill-based, embedded learning.</x:v>
      </x:c>
      <x:c r="U428" s="37" t="str">
        <x:v>None</x:v>
      </x:c>
      <x:c r="V428" s="36" t="str"/>
      <x:c r="W428" s="36" t="str"/>
      <x:c r="X428" s="36" t="n">
        <x:v>1.3</x:v>
      </x:c>
      <x:c r="Y428" s="36" t="str">
        <x:v>HEALTHY</x:v>
      </x:c>
      <x:c r="Z428" s="36" t="str"/>
      <x:c r="AA428" s="36" t="str"/>
      <x:c r="AB428" s="36"/>
      <x:c r="AC428" s="36"/>
      <x:c r="AD428" s="36" t="str"/>
      <x:c r="AE428" s="36" t="str">
        <x:v>HEALTHY — Rank in priority matrix</x:v>
      </x:c>
      <x:c r="AF428" s="36" t="str">
        <x:v>Name and organisation matched</x:v>
      </x:c>
      <x:c r="AG428" s="36" t="str">
        <x:v>Common pot</x:v>
      </x:c>
      <x:c r="AH428" s="36" t="str">
        <x:v>EW Demand!row 207</x:v>
      </x:c>
      <x:c r="AI428" s="36" t="str">
        <x:v>NewTech</x:v>
      </x:c>
      <x:c r="AJ428" s="36" t="str">
        <x:v>Productivity</x:v>
      </x:c>
      <x:c r="AK428" s="36" t="str">
        <x:v>Must Do</x:v>
      </x:c>
      <x:c r="AL428" s="36" t="n">
        <x:v>0</x:v>
      </x:c>
      <x:c r="AM428" s="36" t="n">
        <x:v>0</x:v>
      </x:c>
      <x:c r="AN428" s="43"/>
      <x:c r="AO428" s="43"/>
      <x:c r="AP428" s="43"/>
    </x:row>
    <x:row r="429" ht="15" hidden="0" customHeight="1">
      <x:c r="A429" s="36" t="str">
        <x:v>EW-107</x:v>
      </x:c>
      <x:c r="B429" s="37" t="str">
        <x:v>Leadership development</x:v>
      </x:c>
      <x:c r="C429" s="36" t="str">
        <x:v>EW</x:v>
      </x:c>
      <x:c r="D429" s="36" t="str">
        <x:v>People function​</x:v>
      </x:c>
      <x:c r="E429" s="36" t="str">
        <x:v>New</x:v>
      </x:c>
      <x:c r="F429" s="36" t="str">
        <x:v>AI Enablement</x:v>
      </x:c>
      <x:c r="G429" s="36" t="str">
        <x:v>Productivity savings</x:v>
      </x:c>
      <x:c r="H429" s="36" t="str">
        <x:v>Must Do</x:v>
      </x:c>
      <x:c r="I429" s="36" t="str">
        <x:v>New Initiative</x:v>
      </x:c>
      <x:c r="J429" s="38" t="n">
        <x:v>0.435</x:v>
      </x:c>
      <x:c r="K429" s="38"/>
      <x:c r="L429" s="38"/>
      <x:c r="M429" s="38"/>
      <x:c r="N429" s="38"/>
      <x:c r="O429" s="38"/>
      <x:c r="P429" s="37" t="str">
        <x:v>Soft Benefit</x:v>
      </x:c>
      <x:c r="Q429" s="37" t="str">
        <x:v>Cash savings</x:v>
      </x:c>
      <x:c r="R429" s="37" t="str">
        <x:v>Strategic priorities of PF will not be met.</x:v>
      </x:c>
      <x:c r="S429" s="37" t="str">
        <x:v>Strengthen people leaders through the Leadership Compass.</x:v>
      </x:c>
      <x:c r="T429" s="37" t="str">
        <x:v>AI coaching, leadership assessments and effectiveness.</x:v>
      </x:c>
      <x:c r="U429" s="37" t="str">
        <x:v>None</x:v>
      </x:c>
      <x:c r="V429" s="36" t="str"/>
      <x:c r="W429" s="36" t="str"/>
      <x:c r="X429" s="36" t="n">
        <x:v>1.1</x:v>
      </x:c>
      <x:c r="Y429" s="36" t="str">
        <x:v>HEALTHY</x:v>
      </x:c>
      <x:c r="Z429" s="36" t="str"/>
      <x:c r="AA429" s="36" t="str"/>
      <x:c r="AB429" s="36"/>
      <x:c r="AC429" s="36"/>
      <x:c r="AD429" s="36" t="str"/>
      <x:c r="AE429" s="36" t="str">
        <x:v>HEALTHY — Rank in priority matrix</x:v>
      </x:c>
      <x:c r="AF429" s="36" t="str">
        <x:v>Name and organisation matched</x:v>
      </x:c>
      <x:c r="AG429" s="36" t="str">
        <x:v>Common pot</x:v>
      </x:c>
      <x:c r="AH429" s="36" t="str">
        <x:v>EW Demand!row 208</x:v>
      </x:c>
      <x:c r="AI429" s="36" t="str">
        <x:v>AI</x:v>
      </x:c>
      <x:c r="AJ429" s="36" t="str">
        <x:v>Productivity</x:v>
      </x:c>
      <x:c r="AK429" s="36" t="str">
        <x:v>Must Do</x:v>
      </x:c>
      <x:c r="AL429" s="36" t="n">
        <x:v>0</x:v>
      </x:c>
      <x:c r="AM429" s="36" t="n">
        <x:v>0</x:v>
      </x:c>
      <x:c r="AN429" s="43"/>
      <x:c r="AO429" s="43"/>
      <x:c r="AP429" s="43"/>
    </x:row>
    <x:row r="430" ht="15" hidden="0" customHeight="1">
      <x:c r="A430" s="36" t="str">
        <x:v>EW-108</x:v>
      </x:c>
      <x:c r="B430" s="37" t="str">
        <x:v>Agentic Contact Center</x:v>
      </x:c>
      <x:c r="C430" s="36" t="str">
        <x:v>EW</x:v>
      </x:c>
      <x:c r="D430" s="36" t="str">
        <x:v>People function​</x:v>
      </x:c>
      <x:c r="E430" s="36" t="str">
        <x:v>New</x:v>
      </x:c>
      <x:c r="F430" s="36" t="str">
        <x:v>AI Enablement</x:v>
      </x:c>
      <x:c r="G430" s="36" t="str">
        <x:v>Productivity savings</x:v>
      </x:c>
      <x:c r="H430" s="36" t="str">
        <x:v>Must Do</x:v>
      </x:c>
      <x:c r="I430" s="36" t="str">
        <x:v>New Initiative</x:v>
      </x:c>
      <x:c r="J430" s="38" t="n">
        <x:v>0.4</x:v>
      </x:c>
      <x:c r="K430" s="38"/>
      <x:c r="L430" s="38"/>
      <x:c r="M430" s="38"/>
      <x:c r="N430" s="38"/>
      <x:c r="O430" s="38" t="n">
        <x:v>0.4</x:v>
      </x:c>
      <x:c r="P430" s="37" t="str">
        <x:v>400</x:v>
      </x:c>
      <x:c r="Q430" s="37" t="str">
        <x:v>Cash savings</x:v>
      </x:c>
      <x:c r="R430" s="37" t="str">
        <x:v>Productivity targets will not be met and thereby forfeit Business case worth of 400K</x:v>
      </x:c>
      <x:c r="S430" s="37" t="str">
        <x:v>Support will decline unless S2P capability is built in-house.</x:v>
      </x:c>
      <x:c r="T430" s="37" t="str">
        <x:v>Autonomous operations workflows.</x:v>
      </x:c>
      <x:c r="U430" s="37" t="str">
        <x:v>None</x:v>
      </x:c>
      <x:c r="V430" s="36" t="str"/>
      <x:c r="W430" s="36" t="str"/>
      <x:c r="X430" s="36" t="n">
        <x:v>1.25</x:v>
      </x:c>
      <x:c r="Y430" s="36" t="str">
        <x:v>HEALTHY</x:v>
      </x:c>
      <x:c r="Z430" s="36" t="str"/>
      <x:c r="AA430" s="36" t="str"/>
      <x:c r="AB430" s="36"/>
      <x:c r="AC430" s="36"/>
      <x:c r="AD430" s="36" t="str"/>
      <x:c r="AE430" s="36" t="str">
        <x:v>HEALTHY — Rank in priority matrix</x:v>
      </x:c>
      <x:c r="AF430" s="36" t="str">
        <x:v>Name and organisation matched</x:v>
      </x:c>
      <x:c r="AG430" s="36" t="str">
        <x:v>Common pot</x:v>
      </x:c>
      <x:c r="AH430" s="36" t="str">
        <x:v>EW Demand!row 209</x:v>
      </x:c>
      <x:c r="AI430" s="36" t="str">
        <x:v>AI</x:v>
      </x:c>
      <x:c r="AJ430" s="36" t="str">
        <x:v>Productivity</x:v>
      </x:c>
      <x:c r="AK430" s="36" t="str">
        <x:v>Must Do</x:v>
      </x:c>
      <x:c r="AL430" s="36" t="n">
        <x:v>0</x:v>
      </x:c>
      <x:c r="AM430" s="36" t="n">
        <x:v>0</x:v>
      </x:c>
      <x:c r="AN430" s="43"/>
      <x:c r="AO430" s="43"/>
      <x:c r="AP430" s="43"/>
    </x:row>
    <x:row r="431" ht="15" hidden="0" customHeight="1">
      <x:c r="A431" s="36" t="str">
        <x:v>EW-109</x:v>
      </x:c>
      <x:c r="B431" s="37" t="str">
        <x:v>Pay to perform</x:v>
      </x:c>
      <x:c r="C431" s="36" t="str">
        <x:v>EW</x:v>
      </x:c>
      <x:c r="D431" s="36" t="str">
        <x:v>People function​</x:v>
      </x:c>
      <x:c r="E431" s="36" t="str">
        <x:v>New</x:v>
      </x:c>
      <x:c r="F431" s="36" t="str">
        <x:v>Continuous Improvement</x:v>
      </x:c>
      <x:c r="G431" s="36" t="str">
        <x:v>Productivity savings</x:v>
      </x:c>
      <x:c r="H431" s="36" t="str">
        <x:v>Must Have</x:v>
      </x:c>
      <x:c r="I431" s="36" t="str">
        <x:v>New Initiative</x:v>
      </x:c>
      <x:c r="J431" s="38" t="n">
        <x:v>0.48</x:v>
      </x:c>
      <x:c r="K431" s="38"/>
      <x:c r="L431" s="38"/>
      <x:c r="M431" s="38"/>
      <x:c r="N431" s="38"/>
      <x:c r="O431" s="38" t="n">
        <x:v>0.3</x:v>
      </x:c>
      <x:c r="P431" s="37" t="str">
        <x:v>300</x:v>
      </x:c>
      <x:c r="Q431" s="37" t="str">
        <x:v>Cash savings</x:v>
      </x:c>
      <x:c r="R431" s="37" t="str">
        <x:v>Productivity targets will not be met and thereby forfeit Business case worth of 300K</x:v>
      </x:c>
      <x:c r="S431" s="37" t="str">
        <x:v>Make rewards transparent, competitive, differentiated and aligned with the People Strategy.</x:v>
      </x:c>
      <x:c r="T431" s="37" t="str">
        <x:v>Consolidate rewards and performance initiatives.</x:v>
      </x:c>
      <x:c r="U431" s="37" t="str">
        <x:v>None</x:v>
      </x:c>
      <x:c r="V431" s="36" t="str"/>
      <x:c r="W431" s="36" t="str"/>
      <x:c r="X431" s="36" t="n">
        <x:v>1.5</x:v>
      </x:c>
      <x:c r="Y431" s="36" t="str">
        <x:v>HEALTHY</x:v>
      </x:c>
      <x:c r="Z431" s="36" t="str"/>
      <x:c r="AA431" s="36" t="str"/>
      <x:c r="AB431" s="36"/>
      <x:c r="AC431" s="36"/>
      <x:c r="AD431" s="36" t="str"/>
      <x:c r="AE431" s="36" t="str">
        <x:v>HEALTHY — Rank in priority matrix</x:v>
      </x:c>
      <x:c r="AF431" s="36" t="str">
        <x:v>Name and organisation matched</x:v>
      </x:c>
      <x:c r="AG431" s="36" t="str">
        <x:v>Common pot</x:v>
      </x:c>
      <x:c r="AH431" s="36" t="str">
        <x:v>EW Demand!row 210</x:v>
      </x:c>
      <x:c r="AI431" s="36" t="str">
        <x:v>CI</x:v>
      </x:c>
      <x:c r="AJ431" s="36" t="str">
        <x:v>Productivity</x:v>
      </x:c>
      <x:c r="AK431" s="36" t="str">
        <x:v>Must Have</x:v>
      </x:c>
      <x:c r="AL431" s="36" t="n">
        <x:v>0</x:v>
      </x:c>
      <x:c r="AM431" s="36" t="n">
        <x:v>0</x:v>
      </x:c>
      <x:c r="AN431" s="43"/>
      <x:c r="AO431" s="43"/>
      <x:c r="AP431" s="43"/>
    </x:row>
    <x:row r="432" ht="15" hidden="0" customHeight="1">
      <x:c r="A432" s="36" t="str">
        <x:v>EW-110</x:v>
      </x:c>
      <x:c r="B432" s="37" t="str">
        <x:v>Sales incentives</x:v>
      </x:c>
      <x:c r="C432" s="36" t="str">
        <x:v>EW</x:v>
      </x:c>
      <x:c r="D432" s="36" t="str">
        <x:v>People function​</x:v>
      </x:c>
      <x:c r="E432" s="36" t="str">
        <x:v>New</x:v>
      </x:c>
      <x:c r="F432" s="36" t="str">
        <x:v>Continuous Improvement</x:v>
      </x:c>
      <x:c r="G432" s="36" t="str">
        <x:v>Revenue Increase</x:v>
      </x:c>
      <x:c r="H432" s="36" t="str">
        <x:v>Must Have</x:v>
      </x:c>
      <x:c r="I432" s="36" t="str">
        <x:v>New Initiative</x:v>
      </x:c>
      <x:c r="J432" s="38" t="n">
        <x:v>0.55</x:v>
      </x:c>
      <x:c r="K432" s="38"/>
      <x:c r="L432" s="38"/>
      <x:c r="M432" s="38"/>
      <x:c r="N432" s="38"/>
      <x:c r="O432" s="38"/>
      <x:c r="P432" s="37" t="str">
        <x:v>Soft Benefit</x:v>
      </x:c>
      <x:c r="Q432" s="37" t="str">
        <x:v>Revenue</x:v>
      </x:c>
      <x:c r="R432" s="37" t="str">
        <x:v>Strategic priorities of PF will not be met.</x:v>
      </x:c>
      <x:c r="S432" s="37" t="str">
        <x:v>Create differentiated sales incentives to drive growth.</x:v>
      </x:c>
      <x:c r="T432" s="37" t="str">
        <x:v>Develop the sales incentive and eligibility framework with Sales Operations.</x:v>
      </x:c>
      <x:c r="U432" s="37" t="str">
        <x:v>None</x:v>
      </x:c>
      <x:c r="V432" s="36" t="str"/>
      <x:c r="W432" s="36" t="str"/>
      <x:c r="X432" s="36" t="n">
        <x:v>1.4</x:v>
      </x:c>
      <x:c r="Y432" s="36" t="str">
        <x:v>HEALTHY</x:v>
      </x:c>
      <x:c r="Z432" s="36" t="str"/>
      <x:c r="AA432" s="36" t="str"/>
      <x:c r="AB432" s="36"/>
      <x:c r="AC432" s="36"/>
      <x:c r="AD432" s="36" t="str"/>
      <x:c r="AE432" s="36" t="str">
        <x:v>HEALTHY — Rank in priority matrix</x:v>
      </x:c>
      <x:c r="AF432" s="36" t="str">
        <x:v>Name and organisation matched</x:v>
      </x:c>
      <x:c r="AG432" s="36" t="str">
        <x:v>Common pot</x:v>
      </x:c>
      <x:c r="AH432" s="36" t="str">
        <x:v>EW Demand!row 211</x:v>
      </x:c>
      <x:c r="AI432" s="36" t="str">
        <x:v>CI</x:v>
      </x:c>
      <x:c r="AJ432" s="36" t="str">
        <x:v>Revenue</x:v>
      </x:c>
      <x:c r="AK432" s="36" t="str">
        <x:v>Must Have</x:v>
      </x:c>
      <x:c r="AL432" s="36" t="n">
        <x:v>0</x:v>
      </x:c>
      <x:c r="AM432" s="36" t="n">
        <x:v>0</x:v>
      </x:c>
      <x:c r="AN432" s="43"/>
      <x:c r="AO432" s="43"/>
      <x:c r="AP432" s="43"/>
    </x:row>
    <x:row r="433" ht="15" hidden="0" customHeight="1">
      <x:c r="A433" s="36" t="str">
        <x:v>EW-111</x:v>
      </x:c>
      <x:c r="B433" s="37" t="str">
        <x:v>Spequinox 2.0</x:v>
      </x:c>
      <x:c r="C433" s="36" t="str">
        <x:v>EW</x:v>
      </x:c>
      <x:c r="D433" s="36" t="str">
        <x:v>People function​</x:v>
      </x:c>
      <x:c r="E433" s="36" t="str">
        <x:v>New</x:v>
      </x:c>
      <x:c r="F433" s="36" t="str">
        <x:v>Continuous Improvement</x:v>
      </x:c>
      <x:c r="G433" s="36" t="str">
        <x:v>Compliance/Keeping the lights on</x:v>
      </x:c>
      <x:c r="H433" s="36" t="str">
        <x:v>Must Do</x:v>
      </x:c>
      <x:c r="I433" s="36" t="str">
        <x:v>New Initiative</x:v>
      </x:c>
      <x:c r="J433" s="38" t="n">
        <x:v>0.16</x:v>
      </x:c>
      <x:c r="K433" s="38"/>
      <x:c r="L433" s="38"/>
      <x:c r="M433" s="38"/>
      <x:c r="N433" s="38"/>
      <x:c r="O433" s="38"/>
      <x:c r="P433" s="37" t="str">
        <x:v>Soft Benefit</x:v>
      </x:c>
      <x:c r="Q433" s="37" t="str">
        <x:v>Risk exposure</x:v>
      </x:c>
      <x:c r="R433" s="37" t="str">
        <x:v>Strategic priorities of PF will not be met.</x:v>
      </x:c>
      <x:c r="S433" s="37" t="str">
        <x:v>Apply the EU directive globally and align it with the Rewards Philosophy.</x:v>
      </x:c>
      <x:c r="T433" s="37" t="str">
        <x:v>Globalize Phase 2.</x:v>
      </x:c>
      <x:c r="U433" s="37" t="str">
        <x:v>None</x:v>
      </x:c>
      <x:c r="V433" s="36" t="str"/>
      <x:c r="W433" s="36" t="str"/>
      <x:c r="X433" s="36" t="n">
        <x:v>1.8</x:v>
      </x:c>
      <x:c r="Y433" s="36" t="str">
        <x:v>HEALTHY</x:v>
      </x:c>
      <x:c r="Z433" s="36" t="str"/>
      <x:c r="AA433" s="36" t="str"/>
      <x:c r="AB433" s="36"/>
      <x:c r="AC433" s="36"/>
      <x:c r="AD433" s="36" t="str"/>
      <x:c r="AE433" s="36" t="str">
        <x:v>HEALTHY — Rank in priority matrix</x:v>
      </x:c>
      <x:c r="AF433" s="36" t="str">
        <x:v>Name and organisation matched</x:v>
      </x:c>
      <x:c r="AG433" s="36" t="str">
        <x:v>Common pot</x:v>
      </x:c>
      <x:c r="AH433" s="36" t="str">
        <x:v>EW Demand!row 212</x:v>
      </x:c>
      <x:c r="AI433" s="36" t="str">
        <x:v>CI</x:v>
      </x:c>
      <x:c r="AJ433" s="36" t="str">
        <x:v>Compliance</x:v>
      </x:c>
      <x:c r="AK433" s="36" t="str">
        <x:v>Must Do</x:v>
      </x:c>
      <x:c r="AL433" s="36" t="n">
        <x:v>0</x:v>
      </x:c>
      <x:c r="AM433" s="36" t="n">
        <x:v>0</x:v>
      </x:c>
      <x:c r="AN433" s="43"/>
      <x:c r="AO433" s="43"/>
      <x:c r="AP433" s="43"/>
    </x:row>
    <x:row r="434" ht="15" hidden="0" customHeight="1">
      <x:c r="A434" s="36" t="str">
        <x:v>EW-112</x:v>
      </x:c>
      <x:c r="B434" s="37" t="str">
        <x:v>Org Effectiveness </x:v>
      </x:c>
      <x:c r="C434" s="36" t="str">
        <x:v>EW</x:v>
      </x:c>
      <x:c r="D434" s="36" t="str">
        <x:v>People function​</x:v>
      </x:c>
      <x:c r="E434" s="36" t="str">
        <x:v>New</x:v>
      </x:c>
      <x:c r="F434" s="36" t="str">
        <x:v>Continuous Improvement</x:v>
      </x:c>
      <x:c r="G434" s="36" t="str">
        <x:v>Process simplification/ efficiency gain</x:v>
      </x:c>
      <x:c r="H434" s="36" t="str">
        <x:v>Must Have</x:v>
      </x:c>
      <x:c r="I434" s="36" t="str">
        <x:v>New Initiative</x:v>
      </x:c>
      <x:c r="J434" s="38" t="n">
        <x:v>0.5</x:v>
      </x:c>
      <x:c r="K434" s="38"/>
      <x:c r="L434" s="38"/>
      <x:c r="M434" s="38"/>
      <x:c r="N434" s="38"/>
      <x:c r="O434" s="38"/>
      <x:c r="P434" s="37" t="str">
        <x:v>Soft Benefit</x:v>
      </x:c>
      <x:c r="Q434" s="37" t="str">
        <x:v>Cash savings</x:v>
      </x:c>
      <x:c r="R434" s="37" t="str">
        <x:v>Strategic priorities of PF will not be met.</x:v>
      </x:c>
      <x:c r="S434" s="37" t="str">
        <x:v>Improve restructuring and organization design using benchmarks.</x:v>
      </x:c>
      <x:c r="T434" s="37" t="str">
        <x:v>Simplify and scale grading, organization design and benchmarking workflows using OrgVue and Cognizant.</x:v>
      </x:c>
      <x:c r="U434" s="37" t="str">
        <x:v>None</x:v>
      </x:c>
      <x:c r="V434" s="36" t="str"/>
      <x:c r="W434" s="36" t="str"/>
      <x:c r="X434" s="36" t="n">
        <x:v>1.75</x:v>
      </x:c>
      <x:c r="Y434" s="36" t="str">
        <x:v>HEALTHY</x:v>
      </x:c>
      <x:c r="Z434" s="36" t="str"/>
      <x:c r="AA434" s="36" t="str"/>
      <x:c r="AB434" s="36"/>
      <x:c r="AC434" s="36"/>
      <x:c r="AD434" s="36" t="str"/>
      <x:c r="AE434" s="36" t="str">
        <x:v>HEALTHY — Rank in priority matrix</x:v>
      </x:c>
      <x:c r="AF434" s="36" t="str">
        <x:v>Name and organisation matched</x:v>
      </x:c>
      <x:c r="AG434" s="36" t="str">
        <x:v>Common pot</x:v>
      </x:c>
      <x:c r="AH434" s="36" t="str">
        <x:v>EW Demand!row 213</x:v>
      </x:c>
      <x:c r="AI434" s="36" t="str">
        <x:v>CI</x:v>
      </x:c>
      <x:c r="AJ434" s="36" t="str">
        <x:v>ProcSimp</x:v>
      </x:c>
      <x:c r="AK434" s="36" t="str">
        <x:v>Must Have</x:v>
      </x:c>
      <x:c r="AL434" s="36" t="n">
        <x:v>0</x:v>
      </x:c>
      <x:c r="AM434" s="36" t="n">
        <x:v>0</x:v>
      </x:c>
      <x:c r="AN434" s="43"/>
      <x:c r="AO434" s="43"/>
      <x:c r="AP434" s="43"/>
    </x:row>
    <x:row r="435" ht="15" hidden="0" customHeight="1">
      <x:c r="A435" s="36" t="str">
        <x:v>EW-113</x:v>
      </x:c>
      <x:c r="B435" s="37" t="str">
        <x:v>Content (PRX merge into PCP)</x:v>
      </x:c>
      <x:c r="C435" s="36" t="str">
        <x:v>EW</x:v>
      </x:c>
      <x:c r="D435" s="36" t="str">
        <x:v>Information Technology ​</x:v>
      </x:c>
      <x:c r="E435" s="36" t="str">
        <x:v>New</x:v>
      </x:c>
      <x:c r="F435" s="36" t="str">
        <x:v>Decomm/Replatforming</x:v>
      </x:c>
      <x:c r="G435" s="36" t="str">
        <x:v>Productivity savings</x:v>
      </x:c>
      <x:c r="H435" s="36" t="str">
        <x:v>Must Do</x:v>
      </x:c>
      <x:c r="I435" s="36" t="str">
        <x:v>New Initiative</x:v>
      </x:c>
      <x:c r="J435" s="38" t="n">
        <x:v>0.3</x:v>
      </x:c>
      <x:c r="K435" s="38"/>
      <x:c r="L435" s="38"/>
      <x:c r="M435" s="38"/>
      <x:c r="N435" s="38"/>
      <x:c r="O435" s="38"/>
      <x:c r="P435" s="37" t="str">
        <x:v>-</x:v>
      </x:c>
      <x:c r="Q435" s="37" t="str">
        <x:v>Cash savings</x:v>
      </x:c>
      <x:c r="R435" s="37" t="str">
        <x:v>Commercial content process will break down</x:v>
      </x:c>
      <x:c r="S435" s="37" t="str">
        <x:v>PRX has reached end of life.</x:v>
      </x:c>
      <x:c r="T435" s="37" t="str">
        <x:v>Move PRX functions to PCP and decommission PRX (SE000719).</x:v>
      </x:c>
      <x:c r="U435" s="37" t="str"/>
      <x:c r="V435" s="36" t="str"/>
      <x:c r="W435" s="36" t="str"/>
      <x:c r="X435" s="36" t="n">
        <x:v>1.05</x:v>
      </x:c>
      <x:c r="Y435" s="36" t="str">
        <x:v>HEALTHY</x:v>
      </x:c>
      <x:c r="Z435" s="36" t="str"/>
      <x:c r="AA435" s="36" t="str"/>
      <x:c r="AB435" s="36"/>
      <x:c r="AC435" s="36"/>
      <x:c r="AD435" s="36" t="str"/>
      <x:c r="AE435" s="36" t="str">
        <x:v>HEALTHY — Rank in priority matrix</x:v>
      </x:c>
      <x:c r="AF435" s="36" t="str">
        <x:v>Name and organisation matched</x:v>
      </x:c>
      <x:c r="AG435" s="36" t="str">
        <x:v>Common pot</x:v>
      </x:c>
      <x:c r="AH435" s="36" t="str">
        <x:v>EW Demand!row 214</x:v>
      </x:c>
      <x:c r="AI435" s="36" t="str">
        <x:v>Decomm</x:v>
      </x:c>
      <x:c r="AJ435" s="36" t="str">
        <x:v>Productivity</x:v>
      </x:c>
      <x:c r="AK435" s="36" t="str">
        <x:v>Must Do</x:v>
      </x:c>
      <x:c r="AL435" s="36" t="n">
        <x:v>0</x:v>
      </x:c>
      <x:c r="AM435" s="36" t="n">
        <x:v>0</x:v>
      </x:c>
      <x:c r="AN435" s="43"/>
      <x:c r="AO435" s="43"/>
      <x:c r="AP435" s="43"/>
    </x:row>
    <x:row r="436" ht="15" hidden="0" customHeight="1">
      <x:c r="A436" s="36" t="str">
        <x:v>EW-114</x:v>
      </x:c>
      <x:c r="B436" s="37" t="str">
        <x:v>CPQ/CLM Replatforming Capability Development</x:v>
      </x:c>
      <x:c r="C436" s="36" t="str">
        <x:v>EW</x:v>
      </x:c>
      <x:c r="D436" s="36" t="str">
        <x:v>Information Technology ​</x:v>
      </x:c>
      <x:c r="E436" s="36" t="str">
        <x:v>New</x:v>
      </x:c>
      <x:c r="F436" s="36" t="str">
        <x:v>New Technology</x:v>
      </x:c>
      <x:c r="G436" s="36" t="str">
        <x:v>Process simplification/ efficiency gain</x:v>
      </x:c>
      <x:c r="H436" s="36" t="str">
        <x:v>Must Do</x:v>
      </x:c>
      <x:c r="I436" s="36" t="str">
        <x:v>New Initiative</x:v>
      </x:c>
      <x:c r="J436" s="38" t="n">
        <x:v>1.8</x:v>
      </x:c>
      <x:c r="K436" s="38"/>
      <x:c r="L436" s="38"/>
      <x:c r="M436" s="38"/>
      <x:c r="N436" s="38"/>
      <x:c r="O436" s="38"/>
      <x:c r="P436" s="37" t="str">
        <x:v>TBD</x:v>
      </x:c>
      <x:c r="Q436" s="37" t="str">
        <x:v>Cash savings</x:v>
      </x:c>
      <x:c r="R436" s="37" t="str">
        <x:v>License and maintenance cost reduction in line with our Ops spend reduction</x:v>
      </x:c>
      <x:c r="S436" s="37" t="str"/>
      <x:c r="T436" s="37" t="str"/>
      <x:c r="U436" s="37" t="str"/>
      <x:c r="V436" s="36" t="str"/>
      <x:c r="W436" s="36" t="str"/>
      <x:c r="X436" s="36" t="n">
        <x:v>1.15</x:v>
      </x:c>
      <x:c r="Y436" s="36" t="str">
        <x:v>HEALTHY</x:v>
      </x:c>
      <x:c r="Z436" s="36" t="str"/>
      <x:c r="AA436" s="36" t="str"/>
      <x:c r="AB436" s="36"/>
      <x:c r="AC436" s="36"/>
      <x:c r="AD436" s="36" t="str"/>
      <x:c r="AE436" s="36" t="str">
        <x:v>HEALTHY — Rank in priority matrix</x:v>
      </x:c>
      <x:c r="AF436" s="36" t="str">
        <x:v>Name and organisation matched</x:v>
      </x:c>
      <x:c r="AG436" s="36" t="str">
        <x:v>Common pot</x:v>
      </x:c>
      <x:c r="AH436" s="36" t="str">
        <x:v>EW Demand!row 215</x:v>
      </x:c>
      <x:c r="AI436" s="36" t="str">
        <x:v>NewTech</x:v>
      </x:c>
      <x:c r="AJ436" s="36" t="str">
        <x:v>ProcSimp</x:v>
      </x:c>
      <x:c r="AK436" s="36" t="str">
        <x:v>Must Do</x:v>
      </x:c>
      <x:c r="AL436" s="36" t="n">
        <x:v>0</x:v>
      </x:c>
      <x:c r="AM436" s="36" t="n">
        <x:v>0</x:v>
      </x:c>
      <x:c r="AN436" s="43"/>
      <x:c r="AO436" s="43"/>
      <x:c r="AP436" s="43"/>
    </x:row>
    <x:row r="437" ht="15" hidden="0" customHeight="1">
      <x:c r="A437" s="36" t="str">
        <x:v>EW-115</x:v>
      </x:c>
      <x:c r="B437" s="37" t="str">
        <x:v>RFP.ai</x:v>
      </x:c>
      <x:c r="C437" s="36" t="str">
        <x:v>EW</x:v>
      </x:c>
      <x:c r="D437" s="36" t="str">
        <x:v>Information Technology ​</x:v>
      </x:c>
      <x:c r="E437" s="36" t="str">
        <x:v>1006900</x:v>
      </x:c>
      <x:c r="F437" s="36" t="str">
        <x:v>AI Enablement</x:v>
      </x:c>
      <x:c r="G437" s="36" t="str">
        <x:v>Productivity savings</x:v>
      </x:c>
      <x:c r="H437" s="36" t="str">
        <x:v>Must Do</x:v>
      </x:c>
      <x:c r="I437" s="36" t="str">
        <x:v>Carry Over</x:v>
      </x:c>
      <x:c r="J437" s="38" t="n">
        <x:v>0.5</x:v>
      </x:c>
      <x:c r="K437" s="38"/>
      <x:c r="L437" s="38"/>
      <x:c r="M437" s="38"/>
      <x:c r="N437" s="38"/>
      <x:c r="O437" s="38"/>
      <x:c r="P437" s="37" t="str">
        <x:v>TBD</x:v>
      </x:c>
      <x:c r="Q437" s="37" t="str">
        <x:v>Cash savings</x:v>
      </x:c>
      <x:c r="R437" s="37" t="str">
        <x:v>Sales productivity improvement</x:v>
      </x:c>
      <x:c r="S437" s="37" t="str"/>
      <x:c r="T437" s="37" t="str"/>
      <x:c r="U437" s="37" t="str"/>
      <x:c r="V437" s="36" t="str"/>
      <x:c r="W437" s="36" t="str"/>
      <x:c r="X437" s="36" t="n">
        <x:v>1.05</x:v>
      </x:c>
      <x:c r="Y437" s="36" t="str">
        <x:v>HEALTHY</x:v>
      </x:c>
      <x:c r="Z437" s="36" t="str"/>
      <x:c r="AA437" s="36" t="str"/>
      <x:c r="AB437" s="36"/>
      <x:c r="AC437" s="36"/>
      <x:c r="AD437" s="36" t="str"/>
      <x:c r="AE437" s="36" t="str">
        <x:v>HEALTHY — Rank in priority matrix</x:v>
      </x:c>
      <x:c r="AF437" s="36" t="str">
        <x:v>Name and organisation matched</x:v>
      </x:c>
      <x:c r="AG437" s="36" t="str">
        <x:v>Common pot</x:v>
      </x:c>
      <x:c r="AH437" s="36" t="str">
        <x:v>EW Demand!row 216</x:v>
      </x:c>
      <x:c r="AI437" s="36" t="str">
        <x:v>AI</x:v>
      </x:c>
      <x:c r="AJ437" s="36" t="str">
        <x:v>Productivity</x:v>
      </x:c>
      <x:c r="AK437" s="36" t="str">
        <x:v>Must Do</x:v>
      </x:c>
      <x:c r="AL437" s="36" t="n">
        <x:v>0</x:v>
      </x:c>
      <x:c r="AM437" s="36" t="n">
        <x:v>0</x:v>
      </x:c>
      <x:c r="AN437" s="43"/>
      <x:c r="AO437" s="43"/>
      <x:c r="AP437" s="43"/>
    </x:row>
    <x:row r="438" ht="15" hidden="0" customHeight="1">
      <x:c r="A438" s="36" t="str">
        <x:v>EW-116</x:v>
      </x:c>
      <x:c r="B438" s="37" t="str">
        <x:v>Installbase and Quoting AI Productivity - NAM</x:v>
      </x:c>
      <x:c r="C438" s="36" t="str">
        <x:v>EW</x:v>
      </x:c>
      <x:c r="D438" s="36" t="str">
        <x:v>Information Technology ​</x:v>
      </x:c>
      <x:c r="E438" s="36" t="str">
        <x:v>New</x:v>
      </x:c>
      <x:c r="F438" s="36" t="str">
        <x:v>AI Enablement</x:v>
      </x:c>
      <x:c r="G438" s="36" t="str">
        <x:v>Productivity savings</x:v>
      </x:c>
      <x:c r="H438" s="36" t="str">
        <x:v>Must Have</x:v>
      </x:c>
      <x:c r="I438" s="36" t="str">
        <x:v>New Initiative</x:v>
      </x:c>
      <x:c r="J438" s="38" t="n">
        <x:v>0.5</x:v>
      </x:c>
      <x:c r="K438" s="38"/>
      <x:c r="L438" s="38"/>
      <x:c r="M438" s="38"/>
      <x:c r="N438" s="38"/>
      <x:c r="O438" s="38"/>
      <x:c r="P438" s="37" t="str">
        <x:v>TBD</x:v>
      </x:c>
      <x:c r="Q438" s="37" t="str">
        <x:v>Cash savings</x:v>
      </x:c>
      <x:c r="R438" s="37" t="str">
        <x:v>Sales productivity improvement</x:v>
      </x:c>
      <x:c r="S438" s="37" t="str"/>
      <x:c r="T438" s="37" t="str"/>
      <x:c r="U438" s="37" t="str"/>
      <x:c r="V438" s="36" t="str"/>
      <x:c r="W438" s="36" t="str"/>
      <x:c r="X438" s="36" t="n">
        <x:v>1.2</x:v>
      </x:c>
      <x:c r="Y438" s="36" t="str">
        <x:v>HEALTHY</x:v>
      </x:c>
      <x:c r="Z438" s="36" t="str"/>
      <x:c r="AA438" s="36" t="str"/>
      <x:c r="AB438" s="36"/>
      <x:c r="AC438" s="36"/>
      <x:c r="AD438" s="36" t="str"/>
      <x:c r="AE438" s="36" t="str">
        <x:v>HEALTHY — Rank in priority matrix</x:v>
      </x:c>
      <x:c r="AF438" s="36" t="str">
        <x:v>Name and organisation matched</x:v>
      </x:c>
      <x:c r="AG438" s="36" t="str">
        <x:v>Common pot</x:v>
      </x:c>
      <x:c r="AH438" s="36" t="str">
        <x:v>EW Demand!row 217</x:v>
      </x:c>
      <x:c r="AI438" s="36" t="str">
        <x:v>AI</x:v>
      </x:c>
      <x:c r="AJ438" s="36" t="str">
        <x:v>Productivity</x:v>
      </x:c>
      <x:c r="AK438" s="36" t="str">
        <x:v>Must Have</x:v>
      </x:c>
      <x:c r="AL438" s="36" t="n">
        <x:v>0</x:v>
      </x:c>
      <x:c r="AM438" s="36" t="n">
        <x:v>0</x:v>
      </x:c>
      <x:c r="AN438" s="43"/>
      <x:c r="AO438" s="43"/>
      <x:c r="AP438" s="43"/>
    </x:row>
    <x:row r="439" ht="15" hidden="0" customHeight="1">
      <x:c r="A439" s="36" t="str">
        <x:v>EW-117</x:v>
      </x:c>
      <x:c r="B439" s="37" t="str">
        <x:v>Sales &amp; Commercial Intelligence</x:v>
      </x:c>
      <x:c r="C439" s="36" t="str">
        <x:v>EW</x:v>
      </x:c>
      <x:c r="D439" s="36" t="str">
        <x:v>Information Technology ​</x:v>
      </x:c>
      <x:c r="E439" s="36" t="str">
        <x:v>New</x:v>
      </x:c>
      <x:c r="F439" s="36" t="str">
        <x:v>Upgrades &amp; Enhancements</x:v>
      </x:c>
      <x:c r="G439" s="36" t="str">
        <x:v>Productivity savings</x:v>
      </x:c>
      <x:c r="H439" s="36" t="str">
        <x:v>Must Have</x:v>
      </x:c>
      <x:c r="I439" s="36" t="str">
        <x:v>New Initiative</x:v>
      </x:c>
      <x:c r="J439" s="38" t="n">
        <x:v>0.3</x:v>
      </x:c>
      <x:c r="K439" s="38"/>
      <x:c r="L439" s="38"/>
      <x:c r="M439" s="38"/>
      <x:c r="N439" s="38"/>
      <x:c r="O439" s="38"/>
      <x:c r="P439" s="37" t="str">
        <x:v>TBD</x:v>
      </x:c>
      <x:c r="Q439" s="37" t="str">
        <x:v>Cash savings</x:v>
      </x:c>
      <x:c r="R439" s="37" t="str">
        <x:v>Sales productivity improvement</x:v>
      </x:c>
      <x:c r="S439" s="37" t="str"/>
      <x:c r="T439" s="37" t="str"/>
      <x:c r="U439" s="37" t="str"/>
      <x:c r="V439" s="36" t="str"/>
      <x:c r="W439" s="36" t="str"/>
      <x:c r="X439" s="36" t="n">
        <x:v>1.2</x:v>
      </x:c>
      <x:c r="Y439" s="36" t="str">
        <x:v>HEALTHY</x:v>
      </x:c>
      <x:c r="Z439" s="36" t="str"/>
      <x:c r="AA439" s="36" t="str"/>
      <x:c r="AB439" s="36"/>
      <x:c r="AC439" s="36"/>
      <x:c r="AD439" s="36" t="str"/>
      <x:c r="AE439" s="36" t="str">
        <x:v>HEALTHY — Rank in priority matrix</x:v>
      </x:c>
      <x:c r="AF439" s="36" t="str">
        <x:v>Name and organisation matched</x:v>
      </x:c>
      <x:c r="AG439" s="36" t="str">
        <x:v>Common pot</x:v>
      </x:c>
      <x:c r="AH439" s="36" t="str">
        <x:v>EW Demand!row 218</x:v>
      </x:c>
      <x:c r="AI439" s="36" t="str">
        <x:v>Upgrades</x:v>
      </x:c>
      <x:c r="AJ439" s="36" t="str">
        <x:v>Productivity</x:v>
      </x:c>
      <x:c r="AK439" s="36" t="str">
        <x:v>Must Have</x:v>
      </x:c>
      <x:c r="AL439" s="36" t="n">
        <x:v>0</x:v>
      </x:c>
      <x:c r="AM439" s="36" t="n">
        <x:v>0</x:v>
      </x:c>
      <x:c r="AN439" s="43"/>
      <x:c r="AO439" s="43"/>
      <x:c r="AP439" s="43"/>
    </x:row>
    <x:row r="440" ht="15" hidden="0" customHeight="1">
      <x:c r="A440" s="36" t="str">
        <x:v>EW-118</x:v>
      </x:c>
      <x:c r="B440" s="37" t="str">
        <x:v>Replace Appian with cheaper alternative solution</x:v>
      </x:c>
      <x:c r="C440" s="36" t="str">
        <x:v>EW</x:v>
      </x:c>
      <x:c r="D440" s="36" t="str">
        <x:v>Information Technology ​</x:v>
      </x:c>
      <x:c r="E440" s="36" t="str">
        <x:v>1006423</x:v>
      </x:c>
      <x:c r="F440" s="36" t="str">
        <x:v>Decomm/Replatforming</x:v>
      </x:c>
      <x:c r="G440" s="36" t="str">
        <x:v>Productivity savings</x:v>
      </x:c>
      <x:c r="H440" s="36" t="str">
        <x:v>Must Do</x:v>
      </x:c>
      <x:c r="I440" s="36" t="str">
        <x:v>New Initiative</x:v>
      </x:c>
      <x:c r="J440" s="38" t="n">
        <x:v>0.8</x:v>
      </x:c>
      <x:c r="K440" s="38"/>
      <x:c r="L440" s="38"/>
      <x:c r="M440" s="38"/>
      <x:c r="N440" s="38"/>
      <x:c r="O440" s="38"/>
      <x:c r="P440" s="37" t="str"/>
      <x:c r="Q440" s="37" t="str">
        <x:v>Cash savings</x:v>
      </x:c>
      <x:c r="R440" s="37" t="str">
        <x:v>Replatforming to reduce annual license cost</x:v>
      </x:c>
      <x:c r="S440" s="37" t="str">
        <x:v>Reduce operating costs.</x:v>
      </x:c>
      <x:c r="T440" s="37" t="str">
        <x:v>Programs are being defined.</x:v>
      </x:c>
      <x:c r="U440" s="37" t="str"/>
      <x:c r="V440" s="36" t="str"/>
      <x:c r="W440" s="36" t="str"/>
      <x:c r="X440" s="36" t="n">
        <x:v>1</x:v>
      </x:c>
      <x:c r="Y440" s="36" t="str">
        <x:v>HEALTHY</x:v>
      </x:c>
      <x:c r="Z440" s="36" t="str"/>
      <x:c r="AA440" s="36" t="str"/>
      <x:c r="AB440" s="36"/>
      <x:c r="AC440" s="36"/>
      <x:c r="AD440" s="36" t="str"/>
      <x:c r="AE440" s="36" t="str">
        <x:v>HEALTHY — Rank in priority matrix</x:v>
      </x:c>
      <x:c r="AF440" s="36" t="str">
        <x:v>Name and organisation matched</x:v>
      </x:c>
      <x:c r="AG440" s="36" t="str">
        <x:v>Common pot</x:v>
      </x:c>
      <x:c r="AH440" s="36" t="str">
        <x:v>EW Demand!row 219</x:v>
      </x:c>
      <x:c r="AI440" s="36" t="str">
        <x:v>Decomm</x:v>
      </x:c>
      <x:c r="AJ440" s="36" t="str">
        <x:v>Productivity</x:v>
      </x:c>
      <x:c r="AK440" s="36" t="str">
        <x:v>Must Do</x:v>
      </x:c>
      <x:c r="AL440" s="36" t="n">
        <x:v>0</x:v>
      </x:c>
      <x:c r="AM440" s="36" t="n">
        <x:v>0</x:v>
      </x:c>
      <x:c r="AN440" s="43"/>
      <x:c r="AO440" s="43"/>
      <x:c r="AP440" s="43"/>
    </x:row>
    <x:row r="441" ht="15" hidden="0" customHeight="1">
      <x:c r="A441" s="36" t="str">
        <x:v>EW-119</x:v>
      </x:c>
      <x:c r="B441" s="37" t="str">
        <x:v>LLM, AI Foundation &amp; ITaaP Extension in GCR</x:v>
      </x:c>
      <x:c r="C441" s="36" t="str">
        <x:v>EW</x:v>
      </x:c>
      <x:c r="D441" s="36" t="str">
        <x:v>Greater China </x:v>
      </x:c>
      <x:c r="E441" s="36" t="str">
        <x:v>New</x:v>
      </x:c>
      <x:c r="F441" s="36" t="str">
        <x:v>AI Enablement</x:v>
      </x:c>
      <x:c r="G441" s="36" t="str">
        <x:v>Compliance/Keeping the lights on</x:v>
      </x:c>
      <x:c r="H441" s="36" t="str">
        <x:v>Must Do</x:v>
      </x:c>
      <x:c r="I441" s="36" t="str">
        <x:v>New Initiative</x:v>
      </x:c>
      <x:c r="J441" s="38" t="n">
        <x:v>0.5</x:v>
      </x:c>
      <x:c r="K441" s="38"/>
      <x:c r="L441" s="38"/>
      <x:c r="M441" s="38"/>
      <x:c r="N441" s="38"/>
      <x:c r="O441" s="38"/>
      <x:c r="P441" s="37" t="str">
        <x:v>NA</x:v>
      </x:c>
      <x:c r="Q441" s="37" t="str">
        <x:v>Risk exposure</x:v>
      </x:c>
      <x:c r="R441" s="37" t="str">
        <x:v>Comply to GCR AI regulations &amp; Data transfer/usage for AI, Uncerternaity of adhereance to AI Governance and gaurdrails. Impact on spending due to probable inefficient used of models </x:v>
      </x:c>
      <x:c r="S441" s="37" t="str"/>
      <x:c r="T441" s="37" t="str"/>
      <x:c r="U441" s="37" t="str"/>
      <x:c r="V441" s="36" t="str"/>
      <x:c r="W441" s="36" t="str"/>
      <x:c r="X441" s="36"/>
      <x:c r="Y441" s="36" t="str">
        <x:v>NotAssessed</x:v>
      </x:c>
      <x:c r="Z441" s="36" t="str"/>
      <x:c r="AA441" s="36" t="str"/>
      <x:c r="AB441" s="36"/>
      <x:c r="AC441" s="36"/>
      <x:c r="AD441" s="36" t="str"/>
      <x:c r="AE441" s="36" t="str"/>
      <x:c r="AF441" s="36" t="str">
        <x:v>Organisation differs or ambiguous</x:v>
      </x:c>
      <x:c r="AG441" s="36" t="str">
        <x:v>Region candidate</x:v>
      </x:c>
      <x:c r="AH441" s="36" t="str">
        <x:v>EW Demand!row 220</x:v>
      </x:c>
      <x:c r="AI441" s="36" t="str">
        <x:v>AI</x:v>
      </x:c>
      <x:c r="AJ441" s="36" t="str">
        <x:v>Compliance</x:v>
      </x:c>
      <x:c r="AK441" s="36" t="str">
        <x:v>Must Do</x:v>
      </x:c>
      <x:c r="AL441" s="36" t="n">
        <x:v>0</x:v>
      </x:c>
      <x:c r="AM441" s="36" t="n">
        <x:v>0</x:v>
      </x:c>
      <x:c r="AN441" s="43"/>
      <x:c r="AO441" s="43"/>
      <x:c r="AP441" s="43"/>
    </x:row>
    <x:row r="442" ht="15" hidden="0" customHeight="1">
      <x:c r="A442" s="36" t="str">
        <x:v>EW-120</x:v>
      </x:c>
      <x:c r="B442" s="37" t="str">
        <x:v>EADI - MDM Decom</x:v>
      </x:c>
      <x:c r="C442" s="36" t="str">
        <x:v>EW</x:v>
      </x:c>
      <x:c r="D442" s="36" t="str">
        <x:v>Information Technology ​</x:v>
      </x:c>
      <x:c r="E442" s="36" t="str">
        <x:v>1007268</x:v>
      </x:c>
      <x:c r="F442" s="36" t="str">
        <x:v>Decomm/Replatforming</x:v>
      </x:c>
      <x:c r="G442" s="36" t="str">
        <x:v>Productivity savings</x:v>
      </x:c>
      <x:c r="H442" s="36" t="str">
        <x:v>Must Do</x:v>
      </x:c>
      <x:c r="I442" s="36" t="str">
        <x:v>Carry Over</x:v>
      </x:c>
      <x:c r="J442" s="38" t="n">
        <x:v>0.575</x:v>
      </x:c>
      <x:c r="K442" s="38"/>
      <x:c r="L442" s="38"/>
      <x:c r="M442" s="38"/>
      <x:c r="N442" s="38"/>
      <x:c r="O442" s="38"/>
      <x:c r="P442" s="37" t="str">
        <x:v>Cost savings/avoidance of 2200K- 2600K by 2028</x:v>
      </x:c>
      <x:c r="Q442" s="37" t="str">
        <x:v>Cash savings</x:v>
      </x:c>
      <x:c r="R442" s="37" t="str">
        <x:v>Cost of 2200K-2600K will be incurred.</x:v>
      </x:c>
      <x:c r="S442" s="37" t="str">
        <x:v>As per Sunshine act, HCO/HCP spend requires Master data consolidation in IDMC</x:v>
      </x:c>
      <x:c r="T442" s="37" t="str">
        <x:v>Consolidation of Business partners by moving customers master data and vendor master data as well to IDMC.</x:v>
      </x:c>
      <x:c r="U442" s="37" t="str">
        <x:v>EW-04 - Completion of Project Engage deliverables.</x:v>
      </x:c>
      <x:c r="V442" s="36" t="str"/>
      <x:c r="W442" s="36" t="str"/>
      <x:c r="X442" s="36" t="n">
        <x:v>1</x:v>
      </x:c>
      <x:c r="Y442" s="36" t="str">
        <x:v>HEALTHY</x:v>
      </x:c>
      <x:c r="Z442" s="36" t="str"/>
      <x:c r="AA442" s="36" t="str"/>
      <x:c r="AB442" s="36"/>
      <x:c r="AC442" s="36"/>
      <x:c r="AD442" s="36" t="str"/>
      <x:c r="AE442" s="36" t="str">
        <x:v>HEALTHY — Rank in priority matrix</x:v>
      </x:c>
      <x:c r="AF442" s="36" t="str">
        <x:v>Name and organisation matched</x:v>
      </x:c>
      <x:c r="AG442" s="36" t="str">
        <x:v>Common pot</x:v>
      </x:c>
      <x:c r="AH442" s="36" t="str">
        <x:v>EW Demand!row 221</x:v>
      </x:c>
      <x:c r="AI442" s="36" t="str">
        <x:v>Decomm</x:v>
      </x:c>
      <x:c r="AJ442" s="36" t="str">
        <x:v>Productivity</x:v>
      </x:c>
      <x:c r="AK442" s="36" t="str">
        <x:v>Must Do</x:v>
      </x:c>
      <x:c r="AL442" s="36" t="n">
        <x:v>0</x:v>
      </x:c>
      <x:c r="AM442" s="36" t="n">
        <x:v>0</x:v>
      </x:c>
      <x:c r="AN442" s="43"/>
      <x:c r="AO442" s="43"/>
      <x:c r="AP442" s="43"/>
    </x:row>
    <x:row r="443" ht="15" hidden="0" customHeight="1">
      <x:c r="A443" s="36" t="str">
        <x:v>EW-121</x:v>
      </x:c>
      <x:c r="B443" s="37" t="str">
        <x:v>Conga Advantage</x:v>
      </x:c>
      <x:c r="C443" s="36" t="str">
        <x:v>EW</x:v>
      </x:c>
      <x:c r="D443" s="36" t="str">
        <x:v>Information Technology ​</x:v>
      </x:c>
      <x:c r="E443" s="36" t="str">
        <x:v>New</x:v>
      </x:c>
      <x:c r="F443" s="36" t="str">
        <x:v>Upgrades &amp; Enhancements</x:v>
      </x:c>
      <x:c r="G443" s="36" t="str">
        <x:v>Process simplification/ efficiency gain</x:v>
      </x:c>
      <x:c r="H443" s="36" t="str">
        <x:v>Must Do</x:v>
      </x:c>
      <x:c r="I443" s="36" t="str">
        <x:v>New Initiative</x:v>
      </x:c>
      <x:c r="J443" s="38" t="n">
        <x:v>0.65</x:v>
      </x:c>
      <x:c r="K443" s="38"/>
      <x:c r="L443" s="38"/>
      <x:c r="M443" s="38"/>
      <x:c r="N443" s="38"/>
      <x:c r="O443" s="38" t="n">
        <x:v>1.2</x:v>
      </x:c>
      <x:c r="P443" s="37" t="str">
        <x:v>1200</x:v>
      </x:c>
      <x:c r="Q443" s="37" t="str">
        <x:v>Cash savings</x:v>
      </x:c>
      <x:c r="R443" s="37" t="str">
        <x:v>License and maintenance cost reduction in line with our Ops spend reduction</x:v>
      </x:c>
      <x:c r="S443" s="37" t="str">
        <x:v>Improve performance.</x:v>
      </x:c>
      <x:c r="T443" s="37" t="str"/>
      <x:c r="U443" s="37" t="str"/>
      <x:c r="V443" s="36" t="str"/>
      <x:c r="W443" s="36" t="str"/>
      <x:c r="X443" s="36" t="n">
        <x:v>1.3</x:v>
      </x:c>
      <x:c r="Y443" s="36" t="str">
        <x:v>HEALTHY</x:v>
      </x:c>
      <x:c r="Z443" s="36" t="str"/>
      <x:c r="AA443" s="36" t="str"/>
      <x:c r="AB443" s="36"/>
      <x:c r="AC443" s="36"/>
      <x:c r="AD443" s="36" t="str"/>
      <x:c r="AE443" s="36" t="str">
        <x:v>HEALTHY — Rank in priority matrix</x:v>
      </x:c>
      <x:c r="AF443" s="36" t="str">
        <x:v>Name and organisation matched</x:v>
      </x:c>
      <x:c r="AG443" s="36" t="str">
        <x:v>Common pot</x:v>
      </x:c>
      <x:c r="AH443" s="36" t="str">
        <x:v>EW Demand!row 222</x:v>
      </x:c>
      <x:c r="AI443" s="36" t="str">
        <x:v>Upgrades</x:v>
      </x:c>
      <x:c r="AJ443" s="36" t="str">
        <x:v>ProcSimp</x:v>
      </x:c>
      <x:c r="AK443" s="36" t="str">
        <x:v>Must Do</x:v>
      </x:c>
      <x:c r="AL443" s="36" t="n">
        <x:v>0</x:v>
      </x:c>
      <x:c r="AM443" s="36" t="n">
        <x:v>0</x:v>
      </x:c>
      <x:c r="AN443" s="43"/>
      <x:c r="AO443" s="43"/>
      <x:c r="AP443" s="43"/>
    </x:row>
    <x:row r="444" ht="15" hidden="0" customHeight="1">
      <x:c r="A444" s="36" t="str">
        <x:v>EW-122</x:v>
      </x:c>
      <x:c r="B444" s="37" t="str">
        <x:v>Sales Replatforming</x:v>
      </x:c>
      <x:c r="C444" s="36" t="str">
        <x:v>EW</x:v>
      </x:c>
      <x:c r="D444" s="36" t="str">
        <x:v>Information Technology ​</x:v>
      </x:c>
      <x:c r="E444" s="36" t="str">
        <x:v>New</x:v>
      </x:c>
      <x:c r="F444" s="36" t="str">
        <x:v>Decomm/Replatforming</x:v>
      </x:c>
      <x:c r="G444" s="36" t="str">
        <x:v>Process simplification/ efficiency gain</x:v>
      </x:c>
      <x:c r="H444" s="36" t="str">
        <x:v>Must Have</x:v>
      </x:c>
      <x:c r="I444" s="36" t="str">
        <x:v>New Initiative</x:v>
      </x:c>
      <x:c r="J444" s="38" t="n">
        <x:v>7</x:v>
      </x:c>
      <x:c r="K444" s="38"/>
      <x:c r="L444" s="38"/>
      <x:c r="M444" s="38"/>
      <x:c r="N444" s="38"/>
      <x:c r="O444" s="38" t="n">
        <x:v>22</x:v>
      </x:c>
      <x:c r="P444" s="37" t="str">
        <x:v>22000</x:v>
      </x:c>
      <x:c r="Q444" s="37" t="str">
        <x:v>Cash savings</x:v>
      </x:c>
      <x:c r="R444" s="37" t="str">
        <x:v>License and maintenance cost reduction in line with our Ops spend reduction</x:v>
      </x:c>
      <x:c r="S444" s="37" t="str"/>
      <x:c r="T444" s="37" t="str"/>
      <x:c r="U444" s="37" t="str">
        <x:v>contract with SFDC till end jan 29</x:v>
      </x:c>
      <x:c r="V444" s="36" t="str"/>
      <x:c r="W444" s="36" t="str"/>
      <x:c r="X444" s="36"/>
      <x:c r="Y444" s="36" t="str">
        <x:v>NotAssessed</x:v>
      </x:c>
      <x:c r="Z444" s="36" t="str"/>
      <x:c r="AA444" s="36" t="str"/>
      <x:c r="AB444" s="36"/>
      <x:c r="AC444" s="36"/>
      <x:c r="AD444" s="36" t="str"/>
      <x:c r="AE444" s="36" t="str"/>
      <x:c r="AF444" s="36" t="str">
        <x:v>Name and organisation matched</x:v>
      </x:c>
      <x:c r="AG444" s="36" t="str">
        <x:v>Common pot</x:v>
      </x:c>
      <x:c r="AH444" s="36" t="str">
        <x:v>EW Demand!row 223</x:v>
      </x:c>
      <x:c r="AI444" s="36" t="str">
        <x:v>Decomm</x:v>
      </x:c>
      <x:c r="AJ444" s="36" t="str">
        <x:v>ProcSimp</x:v>
      </x:c>
      <x:c r="AK444" s="36" t="str">
        <x:v>Must Have</x:v>
      </x:c>
      <x:c r="AL444" s="36" t="n">
        <x:v>0</x:v>
      </x:c>
      <x:c r="AM444" s="36" t="n">
        <x:v>0</x:v>
      </x:c>
      <x:c r="AN444" s="43"/>
      <x:c r="AO444" s="43"/>
      <x:c r="AP444" s="43"/>
    </x:row>
    <x:row r="445" ht="15" hidden="0" customHeight="1">
      <x:c r="A445" s="36" t="str">
        <x:v>EW-123</x:v>
      </x:c>
      <x:c r="B445" s="37" t="str">
        <x:v>FIN-IR - Latam SOVOS 2 DCR (ex Brazil) eInvoices, save 305K IT Ops p.a.</x:v>
      </x:c>
      <x:c r="C445" s="36" t="str">
        <x:v>EW</x:v>
      </x:c>
      <x:c r="D445" s="36" t="str">
        <x:v>International Regions (IR) - Overall </x:v>
      </x:c>
      <x:c r="E445" s="36" t="str">
        <x:v>New</x:v>
      </x:c>
      <x:c r="F445" s="36" t="str">
        <x:v>Decomm/Replatforming</x:v>
      </x:c>
      <x:c r="G445" s="36" t="str">
        <x:v>Productivity savings</x:v>
      </x:c>
      <x:c r="H445" s="36" t="str">
        <x:v>Must Have</x:v>
      </x:c>
      <x:c r="I445" s="36" t="str">
        <x:v>New Initiative</x:v>
      </x:c>
      <x:c r="J445" s="38" t="n">
        <x:v>0.5</x:v>
      </x:c>
      <x:c r="K445" s="38"/>
      <x:c r="L445" s="38"/>
      <x:c r="M445" s="38"/>
      <x:c r="N445" s="38"/>
      <x:c r="O445" s="38" t="n">
        <x:v>1.22</x:v>
      </x:c>
      <x:c r="P445" s="37" t="str">
        <x:v>1220</x:v>
      </x:c>
      <x:c r="Q445" s="37" t="str">
        <x:v>Cash savings</x:v>
      </x:c>
      <x:c r="R445" s="37" t="str">
        <x:v>- Savings not realized</x:v>
      </x:c>
      <x:c r="S445" s="37" t="str">
        <x:v>Reduce operating costs, simplify the landscape and replace a difficult local supplier.</x:v>
      </x:c>
      <x:c r="T445" s="37" t="str">
        <x:v>All LATAM BUs except Brazil.</x:v>
      </x:c>
      <x:c r="U445" s="37" t="str"/>
      <x:c r="V445" s="36" t="str"/>
      <x:c r="W445" s="36" t="str">
        <x:v>n/a</x:v>
      </x:c>
      <x:c r="X445" s="36"/>
      <x:c r="Y445" s="36" t="str">
        <x:v>NotAssessed</x:v>
      </x:c>
      <x:c r="Z445" s="36" t="str"/>
      <x:c r="AA445" s="36" t="str"/>
      <x:c r="AB445" s="36"/>
      <x:c r="AC445" s="36"/>
      <x:c r="AD445" s="36" t="str"/>
      <x:c r="AE445" s="36" t="str"/>
      <x:c r="AF445" s="36" t="str">
        <x:v>No exact waste match</x:v>
      </x:c>
      <x:c r="AG445" s="36" t="str">
        <x:v>Region candidate</x:v>
      </x:c>
      <x:c r="AH445" s="36" t="str">
        <x:v>EW Demand!row 224</x:v>
      </x:c>
      <x:c r="AI445" s="36" t="str">
        <x:v>Decomm</x:v>
      </x:c>
      <x:c r="AJ445" s="36" t="str">
        <x:v>Productivity</x:v>
      </x:c>
      <x:c r="AK445" s="36" t="str">
        <x:v>Must Have</x:v>
      </x:c>
      <x:c r="AL445" s="36" t="n">
        <x:v>0</x:v>
      </x:c>
      <x:c r="AM445" s="36" t="n">
        <x:v>0</x:v>
      </x:c>
      <x:c r="AN445" s="43"/>
      <x:c r="AO445" s="43"/>
      <x:c r="AP445" s="43"/>
    </x:row>
    <x:row r="446" ht="15" hidden="0" customHeight="1">
      <x:c r="A446" s="36" t="str">
        <x:v>EW-124</x:v>
      </x:c>
      <x:c r="B446" s="37" t="str">
        <x:v>I2M Planisware : Audit Readiness &amp; Innovation Reporting Enablement</x:v>
      </x:c>
      <x:c r="C446" s="36" t="str">
        <x:v>EW</x:v>
      </x:c>
      <x:c r="D446" s="36" t="str">
        <x:v>Innovation and Design Business Operations</x:v>
      </x:c>
      <x:c r="E446" s="36" t="str">
        <x:v>1005606</x:v>
      </x:c>
      <x:c r="F446" s="36" t="str">
        <x:v>Legal Fiscal, Regulatory &amp; Compliancy</x:v>
      </x:c>
      <x:c r="G446" s="36" t="str">
        <x:v>Compliance/Keeping the lights on</x:v>
      </x:c>
      <x:c r="H446" s="36" t="str">
        <x:v>Must Do</x:v>
      </x:c>
      <x:c r="I446" s="36" t="str">
        <x:v>Carry Over</x:v>
      </x:c>
      <x:c r="J446" s="38" t="n">
        <x:v>0.5</x:v>
      </x:c>
      <x:c r="K446" s="38"/>
      <x:c r="L446" s="38"/>
      <x:c r="M446" s="38"/>
      <x:c r="N446" s="38"/>
      <x:c r="O446" s="38" t="n">
        <x:v>250</x:v>
      </x:c>
      <x:c r="P446" s="37" t="str">
        <x:v>250000</x:v>
      </x:c>
      <x:c r="Q446" s="37" t="str">
        <x:v>Risk exposure</x:v>
      </x:c>
      <x:c r="R446" s="37" t="str">
        <x:v>Not compliant with external laws, regulations, tax requirements, audit obligations, and external commitments. When failing the audit will cause the capitalized amount of I2M assets amortization to be impaired. The chance of failing is significant if we dont adhere to SOx Standard.</x:v>
      </x:c>
      <x:c r="S446" s="37" t="str">
        <x:v>•Ensuring Planisware compliant with external laws, regulations, tax requirements, audit obligations, and external commitments.</x:v>
      </x:c>
      <x:c r="T446" s="37" t="str">
        <x:v>Compliant ready tooling</x:v>
      </x:c>
      <x:c r="U446" s="37" t="str"/>
      <x:c r="V446" s="36" t="str">
        <x:v>2027</x:v>
      </x:c>
      <x:c r="W446" s="36" t="str"/>
      <x:c r="X446" s="36" t="n">
        <x:v>1.1</x:v>
      </x:c>
      <x:c r="Y446" s="36" t="str">
        <x:v>HEALTHY</x:v>
      </x:c>
      <x:c r="Z446" s="36" t="str">
        <x:v>YES</x:v>
      </x:c>
      <x:c r="AA446" s="36" t="str">
        <x:v>4 — Lean — scope is limited to compliance, with small, justified allowances.</x:v>
      </x:c>
      <x:c r="AB446" s="36" t="n">
        <x:v>4</x:v>
      </x:c>
      <x:c r="AC446" s="36" t="n">
        <x:v>20</x:v>
      </x:c>
      <x:c r="AD446" s="36" t="str">
        <x:v>P1 — Immediate</x:v>
      </x:c>
      <x:c r="AE446" s="36" t="str">
        <x:v>HEALTHY / MUST-DO — P1 — Immediate</x:v>
      </x:c>
      <x:c r="AF446" s="36" t="str">
        <x:v>Name and organisation matched</x:v>
      </x:c>
      <x:c r="AG446" s="36" t="str">
        <x:v>LFR validated candidate</x:v>
      </x:c>
      <x:c r="AH446" s="36" t="str">
        <x:v>EW Demand!row 228</x:v>
      </x:c>
      <x:c r="AI446" s="36" t="str">
        <x:v>LFR</x:v>
      </x:c>
      <x:c r="AJ446" s="36" t="str">
        <x:v>Compliance</x:v>
      </x:c>
      <x:c r="AK446" s="36" t="str">
        <x:v>Must Do</x:v>
      </x:c>
      <x:c r="AL446" s="36" t="n">
        <x:v>0</x:v>
      </x:c>
      <x:c r="AM446" s="36" t="n">
        <x:v>0</x:v>
      </x:c>
      <x:c r="AN446" s="43"/>
      <x:c r="AO446" s="43"/>
      <x:c r="AP446" s="43"/>
    </x:row>
    <x:row r="447" ht="24" hidden="0" customHeight="1">
      <x:c r="A447" s="36" t="str">
        <x:v>EW-125</x:v>
      </x:c>
      <x:c r="B447" s="37" t="str">
        <x:v>I2M Planisware : AI-Driven Portfolio Management focused on Insights &amp; Value Realization</x:v>
      </x:c>
      <x:c r="C447" s="36" t="str">
        <x:v>EW</x:v>
      </x:c>
      <x:c r="D447" s="36" t="str">
        <x:v>Innovation and Design Business Operations</x:v>
      </x:c>
      <x:c r="E447" s="36" t="str"/>
      <x:c r="F447" s="36" t="str">
        <x:v>Continuous Improvement</x:v>
      </x:c>
      <x:c r="G447" s="36" t="str">
        <x:v>Process simplification/ efficiency gain</x:v>
      </x:c>
      <x:c r="H447" s="36" t="str">
        <x:v>Must Have</x:v>
      </x:c>
      <x:c r="I447" s="36" t="str">
        <x:v>Carry Over</x:v>
      </x:c>
      <x:c r="J447" s="38" t="n">
        <x:v>1</x:v>
      </x:c>
      <x:c r="K447" s="38"/>
      <x:c r="L447" s="38"/>
      <x:c r="M447" s="38"/>
      <x:c r="N447" s="38"/>
      <x:c r="O447" s="38" t="n">
        <x:v>42.5</x:v>
      </x:c>
      <x:c r="P447" s="37" t="str">
        <x:v>42500</x:v>
      </x:c>
      <x:c r="Q447" s="37" t="str">
        <x:v>Cash savings</x:v>
      </x:c>
      <x:c r="R447" s="37" t="str">
        <x:v>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x:v>
      </x:c>
      <x:c r="S447" s="37" t="str">
        <x:v>•Further improvement of tooling and processes of Planisware as the Portfolio Management tool within Philips</x:v>
      </x:c>
      <x:c r="T447" s="37" t="str">
        <x:v>More targeted streamlined insights generation
Improved productivity</x:v>
      </x:c>
      <x:c r="U447" s="37" t="str"/>
      <x:c r="V447" s="36" t="str"/>
      <x:c r="W447" s="36" t="str"/>
      <x:c r="X447" s="36" t="n">
        <x:v>1.15</x:v>
      </x:c>
      <x:c r="Y447" s="36" t="str">
        <x:v>HEALTHY</x:v>
      </x:c>
      <x:c r="Z447" s="36" t="str"/>
      <x:c r="AA447" s="36" t="str"/>
      <x:c r="AB447" s="36"/>
      <x:c r="AC447" s="36"/>
      <x:c r="AD447" s="36" t="str"/>
      <x:c r="AE447" s="36" t="str">
        <x:v>HEALTHY — Rank in priority matrix</x:v>
      </x:c>
      <x:c r="AF447" s="36" t="str">
        <x:v>Name and organisation matched</x:v>
      </x:c>
      <x:c r="AG447" s="36" t="str">
        <x:v>Common pot</x:v>
      </x:c>
      <x:c r="AH447" s="36" t="str">
        <x:v>EW Demand!row 229</x:v>
      </x:c>
      <x:c r="AI447" s="36" t="str">
        <x:v>CI</x:v>
      </x:c>
      <x:c r="AJ447" s="36" t="str">
        <x:v>ProcSimp</x:v>
      </x:c>
      <x:c r="AK447" s="36" t="str">
        <x:v>Must Have</x:v>
      </x:c>
      <x:c r="AL447" s="36" t="n">
        <x:v>0</x:v>
      </x:c>
      <x:c r="AM447" s="36" t="n">
        <x:v>0</x:v>
      </x:c>
      <x:c r="AN447" s="43"/>
      <x:c r="AO447" s="43"/>
      <x:c r="AP447" s="43"/>
    </x:row>
    <x:row r="448" ht="15" hidden="0" customHeight="1">
      <x:c r="A448" s="36" t="str">
        <x:v>EW-126</x:v>
      </x:c>
      <x:c r="B448" s="37" t="str">
        <x:v>MCP Service Windchill</x:v>
      </x:c>
      <x:c r="C448" s="36" t="str">
        <x:v>EW</x:v>
      </x:c>
      <x:c r="D448" s="36" t="str">
        <x:v>Innovation and Design Business Operations</x:v>
      </x:c>
      <x:c r="E448" s="36" t="str"/>
      <x:c r="F448" s="36" t="str">
        <x:v>Continuous Improvement</x:v>
      </x:c>
      <x:c r="G448" s="36" t="str">
        <x:v>Process simplification/ efficiency gain</x:v>
      </x:c>
      <x:c r="H448" s="36" t="str">
        <x:v>Must Have</x:v>
      </x:c>
      <x:c r="I448" s="36" t="str">
        <x:v>New Initiative</x:v>
      </x:c>
      <x:c r="J448" s="38" t="n">
        <x:v>0.1</x:v>
      </x:c>
      <x:c r="K448" s="38"/>
      <x:c r="L448" s="38"/>
      <x:c r="M448" s="38"/>
      <x:c r="N448" s="38"/>
      <x:c r="O448" s="38"/>
      <x:c r="P448" s="37" t="str">
        <x:v>TBD - Qualitative Benefit is mentioned under scope</x:v>
      </x:c>
      <x:c r="Q448" s="37" t="str">
        <x:v>Cash savings</x:v>
      </x:c>
      <x:c r="R448" s="37" t="str">
        <x:v>Inefficient use engineering and product data </x:v>
      </x:c>
      <x:c r="S448" s="37" t="str">
        <x:v>•Making engineering and product data accessible through AI while maintaining enterprise security and governance. (linked to Elevate and Catalyst)</x:v>
      </x:c>
      <x:c r="T448" s="37" t="str">
        <x:v>Natural language access to engineering data
Improved productivity
Faster decision making</x:v>
      </x:c>
      <x:c r="U448" s="37" t="str"/>
      <x:c r="V448" s="36" t="str"/>
      <x:c r="W448" s="36" t="str"/>
      <x:c r="X448" s="36" t="n">
        <x:v>1.05</x:v>
      </x:c>
      <x:c r="Y448" s="36" t="str">
        <x:v>HEALTHY</x:v>
      </x:c>
      <x:c r="Z448" s="36" t="str"/>
      <x:c r="AA448" s="36" t="str"/>
      <x:c r="AB448" s="36"/>
      <x:c r="AC448" s="36"/>
      <x:c r="AD448" s="36" t="str"/>
      <x:c r="AE448" s="36" t="str">
        <x:v>HEALTHY — Rank in priority matrix</x:v>
      </x:c>
      <x:c r="AF448" s="36" t="str">
        <x:v>Name and organisation matched</x:v>
      </x:c>
      <x:c r="AG448" s="36" t="str">
        <x:v>Common pot</x:v>
      </x:c>
      <x:c r="AH448" s="36" t="str">
        <x:v>EW Demand!row 231</x:v>
      </x:c>
      <x:c r="AI448" s="36" t="str">
        <x:v>CI</x:v>
      </x:c>
      <x:c r="AJ448" s="36" t="str">
        <x:v>ProcSimp</x:v>
      </x:c>
      <x:c r="AK448" s="36" t="str">
        <x:v>Must Have</x:v>
      </x:c>
      <x:c r="AL448" s="36" t="n">
        <x:v>0</x:v>
      </x:c>
      <x:c r="AM448" s="36" t="n">
        <x:v>0</x:v>
      </x:c>
      <x:c r="AN448" s="43"/>
      <x:c r="AO448" s="43"/>
      <x:c r="AP448" s="43"/>
    </x:row>
    <x:row r="449" ht="24" hidden="0" customHeight="1">
      <x:c r="A449" s="36" t="str">
        <x:v>EW-127</x:v>
      </x:c>
      <x:c r="B449" s="37" t="str">
        <x:v>Digitization of Business Case template: Future proof and AI-powered for smart Portfolio prioritization</x:v>
      </x:c>
      <x:c r="C449" s="36" t="str">
        <x:v>EW</x:v>
      </x:c>
      <x:c r="D449" s="36" t="str">
        <x:v>Innovation and Design Business Operations</x:v>
      </x:c>
      <x:c r="E449" s="36" t="str"/>
      <x:c r="F449" s="36" t="str">
        <x:v>Continuous Improvement</x:v>
      </x:c>
      <x:c r="G449" s="36" t="str">
        <x:v>Process simplification/ efficiency gain</x:v>
      </x:c>
      <x:c r="H449" s="36" t="str">
        <x:v>Must Have</x:v>
      </x:c>
      <x:c r="I449" s="36" t="str">
        <x:v>New Initiative</x:v>
      </x:c>
      <x:c r="J449" s="38" t="n">
        <x:v>2.5</x:v>
      </x:c>
      <x:c r="K449" s="38"/>
      <x:c r="L449" s="38"/>
      <x:c r="M449" s="38"/>
      <x:c r="N449" s="38"/>
      <x:c r="O449" s="38"/>
      <x:c r="P449" s="37" t="str">
        <x:v>16M Cost avoidance</x:v>
      </x:c>
      <x:c r="Q449" s="37" t="str">
        <x:v>Cash savings</x:v>
      </x:c>
      <x:c r="R449" s="37" t="str">
        <x:v>Discontinues business case service and process because the expert behind it goes into retirement</x:v>
      </x:c>
      <x:c r="S449" s="37" t="str">
        <x:v>•Safe-guarding the continuous adoption of business case within Philips</x:v>
      </x:c>
      <x:c r="T449" s="37" t="str">
        <x:v>Easier workflow for business case users
Continuity of BC practices</x:v>
      </x:c>
      <x:c r="U449" s="37" t="str"/>
      <x:c r="V449" s="36" t="str"/>
      <x:c r="W449" s="36" t="str"/>
      <x:c r="X449" s="36" t="n">
        <x:v>1.15</x:v>
      </x:c>
      <x:c r="Y449" s="36" t="str">
        <x:v>HEALTHY</x:v>
      </x:c>
      <x:c r="Z449" s="36" t="str">
        <x:v>YES</x:v>
      </x:c>
      <x:c r="AA449" s="36" t="str">
        <x:v>4 — Lean — scope is limited to compliance, with small, justified allowances.</x:v>
      </x:c>
      <x:c r="AB449" s="36" t="n">
        <x:v>4</x:v>
      </x:c>
      <x:c r="AC449" s="36" t="n">
        <x:v>20</x:v>
      </x:c>
      <x:c r="AD449" s="36" t="str">
        <x:v>P1 — Immediate</x:v>
      </x:c>
      <x:c r="AE449" s="36" t="str">
        <x:v>HEALTHY / MUST-DO — P1 — Immediate</x:v>
      </x:c>
      <x:c r="AF449" s="36" t="str">
        <x:v>Name and organisation matched</x:v>
      </x:c>
      <x:c r="AG449" s="36" t="str">
        <x:v>LFR validated candidate</x:v>
      </x:c>
      <x:c r="AH449" s="36" t="str">
        <x:v>EW Demand!row 234</x:v>
      </x:c>
      <x:c r="AI449" s="36" t="str">
        <x:v>CI</x:v>
      </x:c>
      <x:c r="AJ449" s="36" t="str">
        <x:v>ProcSimp</x:v>
      </x:c>
      <x:c r="AK449" s="36" t="str">
        <x:v>Must Have</x:v>
      </x:c>
      <x:c r="AL449" s="36" t="n">
        <x:v>0</x:v>
      </x:c>
      <x:c r="AM449" s="36" t="n">
        <x:v>0</x:v>
      </x:c>
      <x:c r="AN449" s="43"/>
      <x:c r="AO449" s="43"/>
      <x:c r="AP449" s="43"/>
    </x:row>
    <x:row r="450" ht="15" hidden="0" customHeight="1">
      <x:c r="A450" s="36" t="str">
        <x:v>EW-128</x:v>
      </x:c>
      <x:c r="B450" s="37" t="str">
        <x:v>Integrated project &amp; business performance modernization</x:v>
      </x:c>
      <x:c r="C450" s="36" t="str">
        <x:v>EW</x:v>
      </x:c>
      <x:c r="D450" s="36" t="str">
        <x:v>Innovation and Design Business Operations</x:v>
      </x:c>
      <x:c r="E450" s="36" t="str"/>
      <x:c r="F450" s="36" t="str">
        <x:v>Continuous Improvement</x:v>
      </x:c>
      <x:c r="G450" s="36" t="str">
        <x:v>Process simplification/ efficiency gain</x:v>
      </x:c>
      <x:c r="H450" s="36" t="str">
        <x:v>Must Have</x:v>
      </x:c>
      <x:c r="I450" s="36" t="str">
        <x:v>New Initiative</x:v>
      </x:c>
      <x:c r="J450" s="38" t="n">
        <x:v>0.09</x:v>
      </x:c>
      <x:c r="K450" s="38"/>
      <x:c r="L450" s="38"/>
      <x:c r="M450" s="38"/>
      <x:c r="N450" s="38"/>
      <x:c r="O450" s="38" t="n">
        <x:v>0.55</x:v>
      </x:c>
      <x:c r="P450" s="37" t="str">
        <x:v>550</x:v>
      </x:c>
      <x:c r="Q450" s="37" t="str">
        <x:v>Cash savings</x:v>
      </x:c>
      <x:c r="R450" s="37" t="str">
        <x:v>Inefficient planning, resource management and portfolio management of IEN</x:v>
      </x:c>
      <x:c r="S450" s="37" t="str">
        <x:v>•Deploy an integrated digital capability for IEN, leveraging enterprise-standard platforms to improve planning, resource management, portfolio visibility, and delivery control, with targeted configurations to support its scale of ~1,400 FTE and 800 projects annually.</x:v>
      </x:c>
      <x:c r="T450" s="37" t="str">
        <x:v>Real-time portfolio, financial, and resource insights.
Increased data quality and consistency across planning and reporting processes.
Faster access to actionable management information.</x:v>
      </x:c>
      <x:c r="U450" s="37" t="str"/>
      <x:c r="V450" s="36" t="str"/>
      <x:c r="W450" s="36" t="str"/>
      <x:c r="X450" s="36" t="n">
        <x:v>1.4</x:v>
      </x:c>
      <x:c r="Y450" s="36" t="str">
        <x:v>HEALTHY</x:v>
      </x:c>
      <x:c r="Z450" s="36" t="str"/>
      <x:c r="AA450" s="36" t="str"/>
      <x:c r="AB450" s="36"/>
      <x:c r="AC450" s="36"/>
      <x:c r="AD450" s="36" t="str"/>
      <x:c r="AE450" s="36" t="str">
        <x:v>HEALTHY — Rank in priority matrix</x:v>
      </x:c>
      <x:c r="AF450" s="36" t="str">
        <x:v>Name and organisation matched</x:v>
      </x:c>
      <x:c r="AG450" s="36" t="str">
        <x:v>Common pot</x:v>
      </x:c>
      <x:c r="AH450" s="36" t="str">
        <x:v>EW Demand!row 236</x:v>
      </x:c>
      <x:c r="AI450" s="36" t="str">
        <x:v>CI</x:v>
      </x:c>
      <x:c r="AJ450" s="36" t="str">
        <x:v>ProcSimp</x:v>
      </x:c>
      <x:c r="AK450" s="36" t="str">
        <x:v>Must Have</x:v>
      </x:c>
      <x:c r="AL450" s="36" t="n">
        <x:v>0</x:v>
      </x:c>
      <x:c r="AM450" s="36" t="n">
        <x:v>0</x:v>
      </x:c>
      <x:c r="AN450" s="43"/>
      <x:c r="AO450" s="43"/>
      <x:c r="AP450" s="43"/>
    </x:row>
    <x:row r="451" ht="15" hidden="0" customHeight="1">
      <x:c r="A451" s="36" t="str">
        <x:v>EW-129</x:v>
      </x:c>
      <x:c r="B451" s="37" t="str">
        <x:v>FIN-IR - DACH DMS 2 OpenText document archive, save 92K IT Ops p.a.</x:v>
      </x:c>
      <x:c r="C451" s="36" t="str">
        <x:v>EW</x:v>
      </x:c>
      <x:c r="D451" s="36" t="str">
        <x:v>International Regions (IR) - Overall </x:v>
      </x:c>
      <x:c r="E451" s="36" t="str">
        <x:v>New</x:v>
      </x:c>
      <x:c r="F451" s="36" t="str">
        <x:v>Decomm/Replatforming</x:v>
      </x:c>
      <x:c r="G451" s="36" t="str">
        <x:v>Productivity savings</x:v>
      </x:c>
      <x:c r="H451" s="36" t="str">
        <x:v>Must Have</x:v>
      </x:c>
      <x:c r="I451" s="36" t="str">
        <x:v>New Initiative</x:v>
      </x:c>
      <x:c r="J451" s="38" t="n">
        <x:v>0.08</x:v>
      </x:c>
      <x:c r="K451" s="38"/>
      <x:c r="L451" s="38"/>
      <x:c r="M451" s="38"/>
      <x:c r="N451" s="38"/>
      <x:c r="O451" s="38" t="n">
        <x:v>0.393</x:v>
      </x:c>
      <x:c r="P451" s="37" t="str">
        <x:v>393</x:v>
      </x:c>
      <x:c r="Q451" s="37" t="str">
        <x:v>Cash savings</x:v>
      </x:c>
      <x:c r="R451" s="37" t="str">
        <x:v>- Continued local IT spent of €91.5k+ via IT ops. (with pressure on cost)</x:v>
      </x:c>
      <x:c r="S451" s="37" t="str">
        <x:v>Legacy document archive across BUs creating 91,5K operational costs per year</x:v>
      </x:c>
      <x:c r="T451" s="37" t="str">
        <x:v>DACH, all BUs</x:v>
      </x:c>
      <x:c r="U451" s="37" t="str"/>
      <x:c r="V451" s="36" t="str"/>
      <x:c r="W451" s="36" t="str">
        <x:v>n/a</x:v>
      </x:c>
      <x:c r="X451" s="36" t="n">
        <x:v>1.15</x:v>
      </x:c>
      <x:c r="Y451" s="36" t="str">
        <x:v>HEALTHY</x:v>
      </x:c>
      <x:c r="Z451" s="36" t="str"/>
      <x:c r="AA451" s="36" t="str"/>
      <x:c r="AB451" s="36"/>
      <x:c r="AC451" s="36"/>
      <x:c r="AD451" s="36" t="str"/>
      <x:c r="AE451" s="36" t="str">
        <x:v>HEALTHY — Rank in priority matrix</x:v>
      </x:c>
      <x:c r="AF451" s="36" t="str">
        <x:v>Name and organisation matched</x:v>
      </x:c>
      <x:c r="AG451" s="36" t="str">
        <x:v>Region candidate</x:v>
      </x:c>
      <x:c r="AH451" s="36" t="str">
        <x:v>EW Demand!row 239</x:v>
      </x:c>
      <x:c r="AI451" s="36" t="str">
        <x:v>Decomm</x:v>
      </x:c>
      <x:c r="AJ451" s="36" t="str">
        <x:v>Productivity</x:v>
      </x:c>
      <x:c r="AK451" s="36" t="str">
        <x:v>Must Have</x:v>
      </x:c>
      <x:c r="AL451" s="36" t="n">
        <x:v>0</x:v>
      </x:c>
      <x:c r="AM451" s="36" t="n">
        <x:v>0</x:v>
      </x:c>
      <x:c r="AN451" s="43"/>
      <x:c r="AO451" s="43"/>
      <x:c r="AP451" s="43"/>
    </x:row>
    <x:row r="452" ht="15" hidden="0" customHeight="1">
      <x:c r="A452" s="36" t="str">
        <x:v>EW-130</x:v>
      </x:c>
      <x:c r="B452" s="37" t="str"/>
      <x:c r="C452" s="36" t="str">
        <x:v>EW</x:v>
      </x:c>
      <x:c r="D452" s="36" t="str">
        <x:v>Information Technology ​</x:v>
      </x:c>
      <x:c r="E452" s="36" t="str"/>
      <x:c r="F452" s="36" t="str">
        <x:v>Upgrades &amp; Enhancements</x:v>
      </x:c>
      <x:c r="G452" s="36" t="str"/>
      <x:c r="H452" s="36" t="str"/>
      <x:c r="I452" s="36" t="str"/>
      <x:c r="J452" s="38"/>
      <x:c r="K452" s="38"/>
      <x:c r="L452" s="38"/>
      <x:c r="M452" s="38"/>
      <x:c r="N452" s="38"/>
      <x:c r="O452" s="38"/>
      <x:c r="P452" s="37" t="str"/>
      <x:c r="Q452" s="37" t="str">
        <x:v>Unclassified</x:v>
      </x:c>
      <x:c r="R452" s="37" t="str"/>
      <x:c r="S452" s="37" t="str">
        <x:v>Software vendors don’t provide support for older OS versions. Application testing is critical to perform OS upgrades without disrupting business</x:v>
      </x:c>
      <x:c r="T452" s="37" t="str">
        <x:v>Global</x:v>
      </x:c>
      <x:c r="U452" s="37" t="str"/>
      <x:c r="V452" s="36" t="str"/>
      <x:c r="W452" s="36" t="str"/>
      <x:c r="X452" s="36"/>
      <x:c r="Y452" s="36" t="str">
        <x:v>NotAssessed</x:v>
      </x:c>
      <x:c r="Z452" s="36" t="str"/>
      <x:c r="AA452" s="36" t="str"/>
      <x:c r="AB452" s="36"/>
      <x:c r="AC452" s="36"/>
      <x:c r="AD452" s="36" t="str"/>
      <x:c r="AE452" s="36" t="str"/>
      <x:c r="AF452" s="36" t="str">
        <x:v>No exact waste match</x:v>
      </x:c>
      <x:c r="AG452" s="36" t="str">
        <x:v>Incomplete record</x:v>
      </x:c>
      <x:c r="AH452" s="36" t="str">
        <x:v>EW Demand!row 242</x:v>
      </x:c>
      <x:c r="AI452" s="36" t="str">
        <x:v>Upgrades</x:v>
      </x:c>
      <x:c r="AJ452" s="36" t="str">
        <x:v>Blank</x:v>
      </x:c>
      <x:c r="AK452" s="36" t="str">
        <x:v>Blank</x:v>
      </x:c>
      <x:c r="AL452" s="36" t="n">
        <x:v>0</x:v>
      </x:c>
      <x:c r="AM452" s="36" t="n">
        <x:v>1</x:v>
      </x:c>
      <x:c r="AN452" s="43"/>
      <x:c r="AO452" s="43"/>
      <x:c r="AP452" s="43"/>
    </x:row>
    <x:row r="453" ht="15" hidden="0" customHeight="1">
      <x:c r="A453" s="36" t="str">
        <x:v>EW-131</x:v>
      </x:c>
      <x:c r="B453" s="37" t="str">
        <x:v>EADI- Synapse Decommissioning</x:v>
      </x:c>
      <x:c r="C453" s="36" t="str">
        <x:v>EW</x:v>
      </x:c>
      <x:c r="D453" s="36" t="str">
        <x:v>Information Technology ​</x:v>
      </x:c>
      <x:c r="E453" s="36" t="str">
        <x:v>New</x:v>
      </x:c>
      <x:c r="F453" s="36" t="str">
        <x:v>Decomm/Replatforming</x:v>
      </x:c>
      <x:c r="G453" s="36" t="str">
        <x:v>Compliance/Keeping the lights on</x:v>
      </x:c>
      <x:c r="H453" s="36" t="str">
        <x:v>Must Do</x:v>
      </x:c>
      <x:c r="I453" s="36" t="str">
        <x:v>New Initiative</x:v>
      </x:c>
      <x:c r="J453" s="38" t="n">
        <x:v>1.062</x:v>
      </x:c>
      <x:c r="K453" s="38"/>
      <x:c r="L453" s="38"/>
      <x:c r="M453" s="38"/>
      <x:c r="N453" s="38"/>
      <x:c r="O453" s="38" t="n">
        <x:v>3.06</x:v>
      </x:c>
      <x:c r="P453" s="37" t="str">
        <x:v>3060</x:v>
      </x:c>
      <x:c r="Q453" s="37" t="str">
        <x:v>Risk exposure</x:v>
      </x:c>
      <x:c r="R453" s="37" t="str">
        <x:v>Synapse decommissioning cannot happen (Euro 1.02M per year), Informatica Power centre (PIL Informatica instance) cannot be decommissioned resulting in non realization of projected savings of 230k per year July 2027</x:v>
      </x:c>
      <x:c r="S453" s="37" t="str">
        <x:v>Retire Synapse for License Cost Reduction, Infrastructure cost reduction, Synapse SQL Cost Reduction for EADI</x:v>
      </x:c>
      <x:c r="T453" s="37" t="str">
        <x: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x:v>
      </x:c>
      <x:c r="U453" s="37" t="str"/>
      <x:c r="V453" s="36" t="str"/>
      <x:c r="W453" s="36" t="str"/>
      <x:c r="X453" s="36"/>
      <x:c r="Y453" s="36" t="str">
        <x:v>NotAssessed</x:v>
      </x:c>
      <x:c r="Z453" s="36" t="str"/>
      <x:c r="AA453" s="36" t="str"/>
      <x:c r="AB453" s="36"/>
      <x:c r="AC453" s="36"/>
      <x:c r="AD453" s="36" t="str"/>
      <x:c r="AE453" s="36" t="str"/>
      <x:c r="AF453" s="36" t="str">
        <x:v>No exact waste match</x:v>
      </x:c>
      <x:c r="AG453" s="36" t="str">
        <x:v>Common pot</x:v>
      </x:c>
      <x:c r="AH453" s="36" t="str">
        <x:v>EW Demand!row 243</x:v>
      </x:c>
      <x:c r="AI453" s="36" t="str">
        <x:v>Decomm</x:v>
      </x:c>
      <x:c r="AJ453" s="36" t="str">
        <x:v>Compliance</x:v>
      </x:c>
      <x:c r="AK453" s="36" t="str">
        <x:v>Must Do</x:v>
      </x:c>
      <x:c r="AL453" s="36" t="n">
        <x:v>0</x:v>
      </x:c>
      <x:c r="AM453" s="36" t="n">
        <x:v>0</x:v>
      </x:c>
      <x:c r="AN453" s="43"/>
      <x:c r="AO453" s="43"/>
      <x:c r="AP453" s="43"/>
    </x:row>
    <x:row r="454" ht="15" hidden="0" customHeight="1">
      <x:c r="A454" s="36" t="str">
        <x:v>EW-132</x:v>
      </x:c>
      <x:c r="B454" s="37" t="str">
        <x:v>SPC Data Re-platforming</x:v>
      </x:c>
      <x:c r="C454" s="36" t="str">
        <x:v>EW</x:v>
      </x:c>
      <x:c r="D454" s="36" t="str">
        <x:v>Information Technology ​</x:v>
      </x:c>
      <x:c r="E454" s="36" t="str"/>
      <x:c r="F454" s="36" t="str">
        <x:v>Decomm/Replatforming</x:v>
      </x:c>
      <x:c r="G454" s="36" t="str">
        <x:v>Productivity savings</x:v>
      </x:c>
      <x:c r="H454" s="36" t="str"/>
      <x:c r="I454" s="36" t="str">
        <x:v>New Initiative</x:v>
      </x:c>
      <x:c r="J454" s="38" t="n">
        <x:v>0</x:v>
      </x:c>
      <x:c r="K454" s="38"/>
      <x:c r="L454" s="38"/>
      <x:c r="M454" s="38"/>
      <x:c r="N454" s="38"/>
      <x:c r="O454" s="38"/>
      <x:c r="P454" s="37" t="str"/>
      <x:c r="Q454" s="37" t="str">
        <x:v>Cash savings</x:v>
      </x:c>
      <x:c r="R454" s="37" t="str"/>
      <x:c r="S454" s="37" t="str"/>
      <x:c r="T454" s="37" t="str"/>
      <x:c r="U454" s="37" t="str"/>
      <x:c r="V454" s="36" t="str"/>
      <x:c r="W454" s="36" t="str"/>
      <x:c r="X454" s="36" t="n">
        <x:v>1.8</x:v>
      </x:c>
      <x:c r="Y454" s="36" t="str">
        <x:v>HEALTHY</x:v>
      </x:c>
      <x:c r="Z454" s="36" t="str">
        <x:v>NO</x:v>
      </x:c>
      <x:c r="AA454" s="36" t="str">
        <x:v>5 — Exactly the minimum — only what's needed to meet the rule, nothing more.</x:v>
      </x:c>
      <x:c r="AB454" s="36" t="n">
        <x:v>1</x:v>
      </x:c>
      <x:c r="AC454" s="36" t="n">
        <x:v>2</x:v>
      </x:c>
      <x:c r="AD454" s="36" t="str">
        <x:v>P3 — Plan in window</x:v>
      </x:c>
      <x:c r="AE454" s="36" t="str">
        <x:v>HEALTHY — Rank in priority matrix</x:v>
      </x:c>
      <x:c r="AF454" s="36" t="str">
        <x:v>Name and organisation matched</x:v>
      </x:c>
      <x:c r="AG454" s="36" t="str">
        <x:v>Common pot</x:v>
      </x:c>
      <x:c r="AH454" s="36" t="str">
        <x:v>EW Demand!row 250</x:v>
      </x:c>
      <x:c r="AI454" s="36" t="str">
        <x:v>Decomm</x:v>
      </x:c>
      <x:c r="AJ454" s="36" t="str">
        <x:v>Productivity</x:v>
      </x:c>
      <x:c r="AK454" s="36" t="str">
        <x:v>Blank</x:v>
      </x:c>
      <x:c r="AL454" s="36" t="n">
        <x:v>0</x:v>
      </x:c>
      <x:c r="AM454" s="36" t="n">
        <x:v>0</x:v>
      </x:c>
      <x:c r="AN454" s="43"/>
      <x:c r="AO454" s="43"/>
      <x:c r="AP454" s="43"/>
    </x:row>
    <x:row r="455" ht="15" hidden="0" customHeight="1">
      <x:c r="A455" s="36" t="str">
        <x:v>EW-133</x:v>
      </x:c>
      <x:c r="B455" s="37" t="str">
        <x:v>EADI Data Replatforming</x:v>
      </x:c>
      <x:c r="C455" s="36" t="str">
        <x:v>EW</x:v>
      </x:c>
      <x:c r="D455" s="36" t="str">
        <x:v>Information Technology ​</x:v>
      </x:c>
      <x:c r="E455" s="36" t="str"/>
      <x:c r="F455" s="36" t="str">
        <x:v>Decomm/Replatforming</x:v>
      </x:c>
      <x:c r="G455" s="36" t="str">
        <x:v>Process simplification/ efficiency gain</x:v>
      </x:c>
      <x:c r="H455" s="36" t="str">
        <x:v>Must Have</x:v>
      </x:c>
      <x:c r="I455" s="36" t="str">
        <x:v>New Initiative</x:v>
      </x:c>
      <x:c r="J455" s="38" t="n">
        <x:v>0.15</x:v>
      </x:c>
      <x:c r="K455" s="38"/>
      <x:c r="L455" s="38"/>
      <x:c r="M455" s="38"/>
      <x:c r="N455" s="38"/>
      <x:c r="O455" s="38" t="n">
        <x:v>0.624</x:v>
      </x:c>
      <x:c r="P455" s="37" t="str">
        <x:v>624</x:v>
      </x:c>
      <x:c r="Q455" s="37" t="str">
        <x:v>Cash savings</x:v>
      </x:c>
      <x:c r="R455" s="37" t="str">
        <x:v>Continued use of legacy  platforms , additonal  infra and Falcon costs</x:v>
      </x:c>
      <x:c r="S455" s="37" t="str">
        <x:v>Need to retire legacy platform of HC Informatica (for PR1 system) and cme out of GoA hosting charges and Falcon costs, for OPS savings</x:v>
      </x:c>
      <x:c r="T455" s="37" t="str">
        <x:v>HC informatica- 1. HC Informatica- to move out from Skytap hosting(GoA) and also save Application support. (Skytap+ falcon)
2. Jupiter- No new investment as the respective platforms have covered their costs in 2026. Benfits realization for EADI from 2027</x:v>
      </x:c>
      <x:c r="U455" s="37" t="str"/>
      <x:c r="V455" s="36" t="str"/>
      <x:c r="W455" s="36" t="str"/>
      <x:c r="X455" s="36" t="n">
        <x:v>1</x:v>
      </x:c>
      <x:c r="Y455" s="36" t="str">
        <x:v>HEALTHY</x:v>
      </x:c>
      <x:c r="Z455" s="36" t="str"/>
      <x:c r="AA455" s="36" t="str"/>
      <x:c r="AB455" s="36"/>
      <x:c r="AC455" s="36"/>
      <x:c r="AD455" s="36" t="str"/>
      <x:c r="AE455" s="36" t="str">
        <x:v>HEALTHY — Rank in priority matrix</x:v>
      </x:c>
      <x:c r="AF455" s="36" t="str">
        <x:v>Name and organisation matched</x:v>
      </x:c>
      <x:c r="AG455" s="36" t="str">
        <x:v>Common pot</x:v>
      </x:c>
      <x:c r="AH455" s="36" t="str">
        <x:v>EW Demand!row 251</x:v>
      </x:c>
      <x:c r="AI455" s="36" t="str">
        <x:v>Decomm</x:v>
      </x:c>
      <x:c r="AJ455" s="36" t="str">
        <x:v>ProcSimp</x:v>
      </x:c>
      <x:c r="AK455" s="36" t="str">
        <x:v>Must Have</x:v>
      </x:c>
      <x:c r="AL455" s="36" t="n">
        <x:v>0</x:v>
      </x:c>
      <x:c r="AM455" s="36" t="n">
        <x:v>0</x:v>
      </x:c>
      <x:c r="AN455" s="43"/>
      <x:c r="AO455" s="43"/>
      <x:c r="AP455" s="43"/>
    </x:row>
    <x:row r="456" ht="15" hidden="0" customHeight="1">
      <x:c r="A456" s="36" t="str">
        <x:v>EW-134</x:v>
      </x:c>
      <x:c r="B456" s="37" t="str">
        <x:v>Every Angle for MP1, Decommissioning ( Included in ISCM IT)</x:v>
      </x:c>
      <x:c r="C456" s="36" t="str">
        <x:v>EW</x:v>
      </x:c>
      <x:c r="D456" s="36" t="str">
        <x:v>Information Technology ​</x:v>
      </x:c>
      <x:c r="E456" s="36" t="str"/>
      <x:c r="F456" s="36" t="str">
        <x:v>Decomm/Replatforming</x:v>
      </x:c>
      <x:c r="G456" s="36" t="str">
        <x:v>Productivity savings</x:v>
      </x:c>
      <x:c r="H456" s="36" t="str"/>
      <x:c r="I456" s="36" t="str">
        <x:v>New Initiative</x:v>
      </x:c>
      <x:c r="J456" s="38" t="n">
        <x:v>0</x:v>
      </x:c>
      <x:c r="K456" s="38"/>
      <x:c r="L456" s="38"/>
      <x:c r="M456" s="38"/>
      <x:c r="N456" s="38"/>
      <x:c r="O456" s="38"/>
      <x:c r="P456" s="37" t="str"/>
      <x:c r="Q456" s="37" t="str">
        <x:v>Cash savings</x:v>
      </x:c>
      <x:c r="R456" s="37" t="str"/>
      <x:c r="S456" s="37" t="str"/>
      <x:c r="T456" s="37" t="str"/>
      <x:c r="U456" s="37" t="str"/>
      <x:c r="V456" s="36" t="str"/>
      <x:c r="W456" s="36" t="str"/>
      <x:c r="X456" s="36"/>
      <x:c r="Y456" s="36" t="str">
        <x:v>NotAssessed</x:v>
      </x:c>
      <x:c r="Z456" s="36" t="str"/>
      <x:c r="AA456" s="36" t="str"/>
      <x:c r="AB456" s="36"/>
      <x:c r="AC456" s="36"/>
      <x:c r="AD456" s="36" t="str"/>
      <x:c r="AE456" s="36" t="str"/>
      <x:c r="AF456" s="36" t="str">
        <x:v>No exact waste match</x:v>
      </x:c>
      <x:c r="AG456" s="36" t="str">
        <x:v>Common pot</x:v>
      </x:c>
      <x:c r="AH456" s="36" t="str">
        <x:v>EW Demand!row 253</x:v>
      </x:c>
      <x:c r="AI456" s="36" t="str">
        <x:v>Decomm</x:v>
      </x:c>
      <x:c r="AJ456" s="36" t="str">
        <x:v>Productivity</x:v>
      </x:c>
      <x:c r="AK456" s="36" t="str">
        <x:v>Blank</x:v>
      </x:c>
      <x:c r="AL456" s="36" t="n">
        <x:v>0</x:v>
      </x:c>
      <x:c r="AM456" s="36" t="n">
        <x:v>0</x:v>
      </x:c>
      <x:c r="AN456" s="43"/>
      <x:c r="AO456" s="43"/>
      <x:c r="AP456" s="43"/>
    </x:row>
    <x:row r="457" ht="15" hidden="0" customHeight="1">
      <x:c r="A457" s="36" t="str">
        <x:v>EW-135</x:v>
      </x:c>
      <x:c r="B457" s="37" t="str">
        <x:v>Knowledge Mgmt - InCenter 2.0 - CSIP Compliance</x:v>
      </x:c>
      <x:c r="C457" s="36" t="str">
        <x:v>EW</x:v>
      </x:c>
      <x:c r="D457" s="36" t="str">
        <x:v>Intellectual Property &amp; Standards (IP&amp;S)​</x:v>
      </x:c>
      <x:c r="E457" s="36" t="str"/>
      <x:c r="F457" s="36" t="str">
        <x:v>Legal Fiscal, Regulatory &amp; Compliancy</x:v>
      </x:c>
      <x:c r="G457" s="36" t="str">
        <x:v>Compliance/Keeping the lights on</x:v>
      </x:c>
      <x:c r="H457" s="36" t="str">
        <x:v>Must Do</x:v>
      </x:c>
      <x:c r="I457" s="36" t="str">
        <x:v>Delayed</x:v>
      </x:c>
      <x:c r="J457" s="38" t="n">
        <x:v>0.2</x:v>
      </x:c>
      <x:c r="K457" s="38"/>
      <x:c r="L457" s="38"/>
      <x:c r="M457" s="38"/>
      <x:c r="N457" s="38"/>
      <x:c r="O457" s="38"/>
      <x:c r="P457" s="37" t="str"/>
      <x:c r="Q457" s="37" t="str">
        <x:v>Risk exposure</x:v>
      </x:c>
      <x:c r="R457" s="37" t="str">
        <x:v>loss of IP, protection for our devices, compettor disadvantage, trouble in court to defend our IP</x:v>
      </x:c>
      <x:c r="S457" s="37" t="str"/>
      <x:c r="T457" s="37" t="str"/>
      <x:c r="U457" s="37" t="str"/>
      <x:c r="V457" s="36" t="str">
        <x:v>2027</x:v>
      </x:c>
      <x:c r="W457" s="36" t="str">
        <x:v>IP protection agianst unotherised access</x:v>
      </x:c>
      <x:c r="X457" s="36" t="n">
        <x:v>1.8</x:v>
      </x:c>
      <x:c r="Y457" s="36" t="str">
        <x:v>HEALTHY</x:v>
      </x:c>
      <x:c r="Z457" s="36" t="str">
        <x:v>NO</x:v>
      </x:c>
      <x:c r="AA457" s="36" t="str">
        <x:v>5 — Exactly the minimum — only what's needed to meet the rule, nothing more.</x:v>
      </x:c>
      <x:c r="AB457" s="36" t="n">
        <x:v>1</x:v>
      </x:c>
      <x:c r="AC457" s="36" t="n">
        <x:v>2</x:v>
      </x:c>
      <x:c r="AD457" s="36" t="str">
        <x:v>P3 — Plan in window</x:v>
      </x:c>
      <x:c r="AE457" s="36" t="str">
        <x:v>HEALTHY — Rank in priority matrix</x:v>
      </x:c>
      <x:c r="AF457" s="36" t="str">
        <x:v>Name and organisation matched</x:v>
      </x:c>
      <x:c r="AG457" s="36" t="str">
        <x:v>Common pot</x:v>
      </x:c>
      <x:c r="AH457" s="36" t="str">
        <x:v>EW Demand!row 254</x:v>
      </x:c>
      <x:c r="AI457" s="36" t="str">
        <x:v>LFR</x:v>
      </x:c>
      <x:c r="AJ457" s="36" t="str">
        <x:v>Compliance</x:v>
      </x:c>
      <x:c r="AK457" s="36" t="str">
        <x:v>Must Do</x:v>
      </x:c>
      <x:c r="AL457" s="36" t="n">
        <x:v>0</x:v>
      </x:c>
      <x:c r="AM457" s="36" t="n">
        <x:v>0</x:v>
      </x:c>
      <x:c r="AN457" s="43"/>
      <x:c r="AO457" s="43"/>
      <x:c r="AP457" s="43"/>
    </x:row>
    <x:row r="458" ht="15" hidden="0" customHeight="1">
      <x:c r="A458" s="36" t="str">
        <x:v>EW-136</x:v>
      </x:c>
      <x:c r="B458" s="37" t="str">
        <x:v>FIN-Managed Services automation  </x:v>
      </x:c>
      <x:c r="C458" s="36" t="str">
        <x:v>EW</x:v>
      </x:c>
      <x:c r="D458" s="36" t="str">
        <x:v>Finance​</x:v>
      </x:c>
      <x:c r="E458" s="36" t="str"/>
      <x:c r="F458" s="36" t="str">
        <x:v>Continuous Improvement</x:v>
      </x:c>
      <x:c r="G458" s="36" t="str"/>
      <x:c r="H458" s="36" t="str">
        <x:v>Must Do</x:v>
      </x:c>
      <x:c r="I458" s="36" t="str">
        <x:v>New Initiative</x:v>
      </x:c>
      <x:c r="J458" s="38" t="n">
        <x:v>0.3</x:v>
      </x:c>
      <x:c r="K458" s="38"/>
      <x:c r="L458" s="38"/>
      <x:c r="M458" s="38"/>
      <x:c r="N458" s="38"/>
      <x:c r="O458" s="38"/>
      <x:c r="P458" s="37" t="str">
        <x:v>TBC</x:v>
      </x:c>
      <x:c r="Q458" s="37" t="str">
        <x:v>Unclassified</x:v>
      </x:c>
      <x:c r="R458" s="37" t="str">
        <x:v>Revenue recognition errors risk continues; Manual and error-prone processes; TAO requirements unmet; UIPE and capitalization issues persist; </x:v>
      </x:c>
      <x:c r="S458" s="37" t="str"/>
      <x:c r="T458" s="37" t="str"/>
      <x:c r="U458" s="37" t="str"/>
      <x:c r="V458" s="36" t="str"/>
      <x:c r="W458" s="36" t="str"/>
      <x:c r="X458" s="36"/>
      <x:c r="Y458" s="36" t="str">
        <x:v>NotAssessed</x:v>
      </x:c>
      <x:c r="Z458" s="36" t="str"/>
      <x:c r="AA458" s="36" t="str"/>
      <x:c r="AB458" s="36"/>
      <x:c r="AC458" s="36"/>
      <x:c r="AD458" s="36" t="str"/>
      <x:c r="AE458" s="36" t="str"/>
      <x:c r="AF458" s="36" t="str">
        <x:v>No exact waste match</x:v>
      </x:c>
      <x:c r="AG458" s="36" t="str">
        <x:v>Common pot</x:v>
      </x:c>
      <x:c r="AH458" s="36" t="str">
        <x:v>EW Demand!row 255</x:v>
      </x:c>
      <x:c r="AI458" s="36" t="str">
        <x:v>CI</x:v>
      </x:c>
      <x:c r="AJ458" s="36" t="str">
        <x:v>Blank</x:v>
      </x:c>
      <x:c r="AK458" s="36" t="str">
        <x:v>Must Do</x:v>
      </x:c>
      <x:c r="AL458" s="36" t="n">
        <x:v>0</x:v>
      </x:c>
      <x:c r="AM458" s="36" t="n">
        <x:v>0</x:v>
      </x:c>
      <x:c r="AN458" s="43"/>
      <x:c r="AO458" s="43"/>
      <x:c r="AP458" s="43"/>
    </x:row>
    <x:row r="459" ht="15" hidden="0" customHeight="1">
      <x:c r="A459" s="36" t="str">
        <x:v>EW-137</x:v>
      </x:c>
      <x:c r="B459" s="37" t="str">
        <x:v>FIN-Process Mining RTR</x:v>
      </x:c>
      <x:c r="C459" s="36" t="str">
        <x:v>EW</x:v>
      </x:c>
      <x:c r="D459" s="36" t="str">
        <x:v>Finance​</x:v>
      </x:c>
      <x:c r="E459" s="36" t="str"/>
      <x:c r="F459" s="36" t="str">
        <x:v>Continuous Improvement</x:v>
      </x:c>
      <x:c r="G459" s="36" t="str"/>
      <x:c r="H459" s="36" t="str">
        <x:v>Must Do</x:v>
      </x:c>
      <x:c r="I459" s="36" t="str">
        <x:v>Carry Over</x:v>
      </x:c>
      <x:c r="J459" s="38" t="n">
        <x:v>0.1</x:v>
      </x:c>
      <x:c r="K459" s="38"/>
      <x:c r="L459" s="38"/>
      <x:c r="M459" s="38"/>
      <x:c r="N459" s="38"/>
      <x:c r="O459" s="38" t="n">
        <x:v>0.32</x:v>
      </x:c>
      <x:c r="P459" s="37" t="str">
        <x:v>320</x:v>
      </x:c>
      <x:c r="Q459" s="37" t="str">
        <x:v>Unclassified</x:v>
      </x:c>
      <x:c r="R459" s="37" t="str">
        <x:v>Non-standard design accounting postings unidentified; Resolution delayed (4 FTEs)</x:v>
      </x:c>
      <x:c r="S459" s="37" t="str"/>
      <x:c r="T459" s="37" t="str"/>
      <x:c r="U459" s="37" t="str"/>
      <x:c r="V459" s="36" t="str"/>
      <x:c r="W459" s="36" t="str"/>
      <x:c r="X459" s="36"/>
      <x:c r="Y459" s="36" t="str">
        <x:v>NotAssessed</x:v>
      </x:c>
      <x:c r="Z459" s="36" t="str"/>
      <x:c r="AA459" s="36" t="str"/>
      <x:c r="AB459" s="36"/>
      <x:c r="AC459" s="36"/>
      <x:c r="AD459" s="36" t="str"/>
      <x:c r="AE459" s="36" t="str"/>
      <x:c r="AF459" s="36" t="str">
        <x:v>No exact waste match</x:v>
      </x:c>
      <x:c r="AG459" s="36" t="str">
        <x:v>Common pot</x:v>
      </x:c>
      <x:c r="AH459" s="36" t="str">
        <x:v>EW Demand!row 256</x:v>
      </x:c>
      <x:c r="AI459" s="36" t="str">
        <x:v>CI</x:v>
      </x:c>
      <x:c r="AJ459" s="36" t="str">
        <x:v>Blank</x:v>
      </x:c>
      <x:c r="AK459" s="36" t="str">
        <x:v>Must Do</x:v>
      </x:c>
      <x:c r="AL459" s="36" t="n">
        <x:v>0</x:v>
      </x:c>
      <x:c r="AM459" s="36" t="n">
        <x:v>0</x:v>
      </x:c>
      <x:c r="AN459" s="43"/>
      <x:c r="AO459" s="43"/>
      <x:c r="AP459" s="43"/>
    </x:row>
    <x:row r="460" ht="15" hidden="0" customHeight="1">
      <x:c r="A460" s="36" t="str">
        <x:v>EW-138</x:v>
      </x:c>
      <x:c r="B460" s="37" t="str">
        <x:v>FIN-RTR ChatBOT</x:v>
      </x:c>
      <x:c r="C460" s="36" t="str">
        <x:v>EW</x:v>
      </x:c>
      <x:c r="D460" s="36" t="str">
        <x:v>Information Technology ​</x:v>
      </x:c>
      <x:c r="E460" s="36" t="str"/>
      <x:c r="F460" s="36" t="str">
        <x:v>AI Enablement</x:v>
      </x:c>
      <x:c r="G460" s="36" t="str"/>
      <x:c r="H460" s="36" t="str">
        <x:v>Must Do</x:v>
      </x:c>
      <x:c r="I460" s="36" t="str">
        <x:v>Carry Over</x:v>
      </x:c>
      <x:c r="J460" s="38" t="n">
        <x:v>0</x:v>
      </x:c>
      <x:c r="K460" s="38"/>
      <x:c r="L460" s="38"/>
      <x:c r="M460" s="38"/>
      <x:c r="N460" s="38"/>
      <x:c r="O460" s="38"/>
      <x:c r="P460" s="37" t="str">
        <x:v>NA</x:v>
      </x:c>
      <x:c r="Q460" s="37" t="str">
        <x:v>Unclassified</x:v>
      </x:c>
      <x:c r="R460" s="37" t="str">
        <x:v>MJV ChatBot automation not realized; </x:v>
      </x:c>
      <x:c r="S460" s="37" t="str"/>
      <x:c r="T460" s="37" t="str"/>
      <x:c r="U460" s="37" t="str"/>
      <x:c r="V460" s="36" t="str"/>
      <x:c r="W460" s="36" t="str"/>
      <x:c r="X460" s="36"/>
      <x:c r="Y460" s="36" t="str">
        <x:v>NotAssessed</x:v>
      </x:c>
      <x:c r="Z460" s="36" t="str"/>
      <x:c r="AA460" s="36" t="str"/>
      <x:c r="AB460" s="36"/>
      <x:c r="AC460" s="36"/>
      <x:c r="AD460" s="36" t="str"/>
      <x:c r="AE460" s="36" t="str"/>
      <x:c r="AF460" s="36" t="str">
        <x:v>No exact waste match</x:v>
      </x:c>
      <x:c r="AG460" s="36" t="str">
        <x:v>Common pot</x:v>
      </x:c>
      <x:c r="AH460" s="36" t="str">
        <x:v>EW Demand!row 257</x:v>
      </x:c>
      <x:c r="AI460" s="36" t="str">
        <x:v>AI</x:v>
      </x:c>
      <x:c r="AJ460" s="36" t="str">
        <x:v>Blank</x:v>
      </x:c>
      <x:c r="AK460" s="36" t="str">
        <x:v>Must Do</x:v>
      </x:c>
      <x:c r="AL460" s="36" t="n">
        <x:v>0</x:v>
      </x:c>
      <x:c r="AM460" s="36" t="n">
        <x:v>0</x:v>
      </x:c>
      <x:c r="AN460" s="43"/>
      <x:c r="AO460" s="43"/>
      <x:c r="AP460" s="43"/>
    </x:row>
    <x:row r="461" ht="15" hidden="0" customHeight="1">
      <x:c r="A461" s="36" t="str">
        <x:v>EW-139</x:v>
      </x:c>
      <x:c r="B461" s="37" t="str">
        <x:v>Global AI Hub</x:v>
      </x:c>
      <x:c r="C461" s="36" t="str">
        <x:v>EW</x:v>
      </x:c>
      <x:c r="D461" s="36" t="str">
        <x:v>Information Technology ​</x:v>
      </x:c>
      <x:c r="E461" s="36" t="str">
        <x:v>1005372</x:v>
      </x:c>
      <x:c r="F461" s="36" t="str">
        <x:v>AI Enablement</x:v>
      </x:c>
      <x:c r="G461" s="36" t="str">
        <x:v>Productivity savings</x:v>
      </x:c>
      <x:c r="H461" s="36" t="str">
        <x:v>Must Do</x:v>
      </x:c>
      <x:c r="I461" s="36" t="str">
        <x:v>Carry Over</x:v>
      </x:c>
      <x:c r="J461" s="38" t="n">
        <x:v>1.5</x:v>
      </x:c>
      <x:c r="K461" s="38"/>
      <x:c r="L461" s="38"/>
      <x:c r="M461" s="38"/>
      <x:c r="N461" s="38"/>
      <x:c r="O461" s="38"/>
      <x:c r="P461" s="37" t="str">
        <x:v>This is an enterprise wide AI initiative that will consolidate all the AI capabiliies inside one umbrella. Exact number cannot be determined at this point as this is an aggregaton of all enterprise AI capabilities. </x:v>
      </x:c>
      <x:c r="Q461" s="37" t="str">
        <x:v>Cash savings</x:v>
      </x:c>
      <x:c r="R461" s="37" t="str">
        <x:v>As an oraganization, we will not be able to drive AI capabilities and adoption of AI in a cost effective, responsible and secure manner</x:v>
      </x:c>
      <x:c r="S461" s="37" t="str">
        <x:v>There is an ask from the Philips leadership for the company to Adopt AI to bring tangible benefits and productivty improvement is all we do. This initiative is a step in that direction</x:v>
      </x:c>
      <x:c r="T461" s="37" t="str">
        <x:v>Global</x:v>
      </x:c>
      <x:c r="U461" s="37" t="str"/>
      <x:c r="V461" s="36" t="str"/>
      <x:c r="W461" s="36" t="str"/>
      <x:c r="X461" s="36" t="n">
        <x:v>1</x:v>
      </x:c>
      <x:c r="Y461" s="36" t="str">
        <x:v>HEALTHY</x:v>
      </x:c>
      <x:c r="Z461" s="36" t="str"/>
      <x:c r="AA461" s="36" t="str"/>
      <x:c r="AB461" s="36"/>
      <x:c r="AC461" s="36"/>
      <x:c r="AD461" s="36" t="str"/>
      <x:c r="AE461" s="36" t="str">
        <x:v>HEALTHY — Rank in priority matrix</x:v>
      </x:c>
      <x:c r="AF461" s="36" t="str">
        <x:v>Name and organisation matched</x:v>
      </x:c>
      <x:c r="AG461" s="36" t="str">
        <x:v>Common pot</x:v>
      </x:c>
      <x:c r="AH461" s="36" t="str">
        <x:v>EW Demand!row 258</x:v>
      </x:c>
      <x:c r="AI461" s="36" t="str">
        <x:v>AI</x:v>
      </x:c>
      <x:c r="AJ461" s="36" t="str">
        <x:v>Productivity</x:v>
      </x:c>
      <x:c r="AK461" s="36" t="str">
        <x:v>Must Do</x:v>
      </x:c>
      <x:c r="AL461" s="36" t="n">
        <x:v>0</x:v>
      </x:c>
      <x:c r="AM461" s="36" t="n">
        <x:v>0</x:v>
      </x:c>
      <x:c r="AN461" s="43"/>
      <x:c r="AO461" s="43"/>
      <x:c r="AP461" s="43"/>
    </x:row>
    <x:row r="462" ht="15" hidden="0" customHeight="1">
      <x:c r="A462" s="36" t="str">
        <x:v>EW-140</x:v>
      </x:c>
      <x:c r="B462" s="37" t="str"/>
      <x:c r="C462" s="36" t="str">
        <x:v>EW</x:v>
      </x:c>
      <x:c r="D462" s="36" t="str">
        <x:v>Information Technology ​</x:v>
      </x:c>
      <x:c r="E462" s="36" t="str">
        <x:v>1007215</x:v>
      </x:c>
      <x:c r="F462" s="36" t="str">
        <x:v>Upgrades &amp; Enhancements</x:v>
      </x:c>
      <x:c r="G462" s="36" t="str">
        <x:v>Productivity savings</x:v>
      </x:c>
      <x:c r="H462" s="36" t="str"/>
      <x:c r="I462" s="36" t="str">
        <x:v>Carry Over</x:v>
      </x:c>
      <x:c r="J462" s="38"/>
      <x:c r="K462" s="38"/>
      <x:c r="L462" s="38"/>
      <x:c r="M462" s="38"/>
      <x:c r="N462" s="38"/>
      <x:c r="O462" s="38"/>
      <x:c r="P462" s="37" t="str"/>
      <x:c r="Q462" s="37" t="str">
        <x:v>Cash savings</x:v>
      </x:c>
      <x:c r="R462" s="37" t="str"/>
      <x:c r="S462" s="37" t="str">
        <x:v>When Hardware goes out of support by OEM we need to refresh them with new lease contracts leading to lockin with vendors for another 5 years</x:v>
      </x:c>
      <x:c r="T462" s="37" t="str">
        <x:v>Global</x:v>
      </x:c>
      <x:c r="U462" s="37" t="str"/>
      <x:c r="V462" s="36" t="str"/>
      <x:c r="W462" s="36" t="str"/>
      <x:c r="X462" s="36"/>
      <x:c r="Y462" s="36" t="str">
        <x:v>NotAssessed</x:v>
      </x:c>
      <x:c r="Z462" s="36" t="str"/>
      <x:c r="AA462" s="36" t="str"/>
      <x:c r="AB462" s="36"/>
      <x:c r="AC462" s="36"/>
      <x:c r="AD462" s="36" t="str"/>
      <x:c r="AE462" s="36" t="str"/>
      <x:c r="AF462" s="36" t="str">
        <x:v>No exact waste match</x:v>
      </x:c>
      <x:c r="AG462" s="36" t="str">
        <x:v>Incomplete record</x:v>
      </x:c>
      <x:c r="AH462" s="36" t="str">
        <x:v>EW Demand!row 259</x:v>
      </x:c>
      <x:c r="AI462" s="36" t="str">
        <x:v>Upgrades</x:v>
      </x:c>
      <x:c r="AJ462" s="36" t="str">
        <x:v>Productivity</x:v>
      </x:c>
      <x:c r="AK462" s="36" t="str">
        <x:v>Blank</x:v>
      </x:c>
      <x:c r="AL462" s="36" t="n">
        <x:v>0</x:v>
      </x:c>
      <x:c r="AM462" s="36" t="n">
        <x:v>1</x:v>
      </x:c>
      <x:c r="AN462" s="43"/>
      <x:c r="AO462" s="43"/>
      <x:c r="AP462" s="43"/>
    </x:row>
    <x:row r="463" ht="15" hidden="0" customHeight="1">
      <x:c r="A463" s="36" t="str">
        <x:v>EW-141</x:v>
      </x:c>
      <x:c r="B463" s="37" t="str"/>
      <x:c r="C463" s="36" t="str">
        <x:v>EW</x:v>
      </x:c>
      <x:c r="D463" s="36" t="str">
        <x:v>Information Technology ​</x:v>
      </x:c>
      <x:c r="E463" s="36" t="str">
        <x:v>1007216</x:v>
      </x:c>
      <x:c r="F463" s="36" t="str">
        <x:v>Upgrades &amp; Enhancements</x:v>
      </x:c>
      <x:c r="G463" s="36" t="str"/>
      <x:c r="H463" s="36" t="str"/>
      <x:c r="I463" s="36" t="str">
        <x:v>Carry Over</x:v>
      </x:c>
      <x:c r="J463" s="38"/>
      <x:c r="K463" s="38"/>
      <x:c r="L463" s="38"/>
      <x:c r="M463" s="38"/>
      <x:c r="N463" s="38"/>
      <x:c r="O463" s="38"/>
      <x:c r="P463" s="37" t="str"/>
      <x:c r="Q463" s="37" t="str">
        <x:v>Unclassified</x:v>
      </x:c>
      <x:c r="R463" s="37" t="str"/>
      <x:c r="S463" s="37" t="str">
        <x:v>When Hardware goes out of support by OEM we need to refresh them with new lease contracts leading to lockin with vendors for another 5 years</x:v>
      </x:c>
      <x:c r="T463" s="37" t="str">
        <x:v>Global</x:v>
      </x:c>
      <x:c r="U463" s="37" t="str"/>
      <x:c r="V463" s="36" t="str"/>
      <x:c r="W463" s="36" t="str"/>
      <x:c r="X463" s="36"/>
      <x:c r="Y463" s="36" t="str">
        <x:v>NotAssessed</x:v>
      </x:c>
      <x:c r="Z463" s="36" t="str"/>
      <x:c r="AA463" s="36" t="str"/>
      <x:c r="AB463" s="36"/>
      <x:c r="AC463" s="36"/>
      <x:c r="AD463" s="36" t="str"/>
      <x:c r="AE463" s="36" t="str"/>
      <x:c r="AF463" s="36" t="str">
        <x:v>No exact waste match</x:v>
      </x:c>
      <x:c r="AG463" s="36" t="str">
        <x:v>Incomplete record</x:v>
      </x:c>
      <x:c r="AH463" s="36" t="str">
        <x:v>EW Demand!row 260</x:v>
      </x:c>
      <x:c r="AI463" s="36" t="str">
        <x:v>Upgrades</x:v>
      </x:c>
      <x:c r="AJ463" s="36" t="str">
        <x:v>Blank</x:v>
      </x:c>
      <x:c r="AK463" s="36" t="str">
        <x:v>Blank</x:v>
      </x:c>
      <x:c r="AL463" s="36" t="n">
        <x:v>0</x:v>
      </x:c>
      <x:c r="AM463" s="36" t="n">
        <x:v>1</x:v>
      </x:c>
      <x:c r="AN463" s="43"/>
      <x:c r="AO463" s="43"/>
      <x:c r="AP463" s="43"/>
    </x:row>
    <x:row r="464" ht="15" hidden="0" customHeight="1">
      <x:c r="A464" s="36" t="str">
        <x:v>EW-142</x:v>
      </x:c>
      <x:c r="B464" s="37" t="str">
        <x:v>Vmware/Broadcom exit for Compute estate (GoA)</x:v>
      </x:c>
      <x:c r="C464" s="36" t="str">
        <x:v>EW</x:v>
      </x:c>
      <x:c r="D464" s="36" t="str">
        <x:v>Information Technology ​</x:v>
      </x:c>
      <x:c r="E464" s="36" t="str"/>
      <x:c r="F464" s="36" t="str">
        <x:v>Legal Fiscal, Regulatory &amp; Compliancy</x:v>
      </x:c>
      <x:c r="G464" s="36" t="str">
        <x:v>Compliance/Keeping the lights on</x:v>
      </x:c>
      <x:c r="H464" s="36" t="str">
        <x:v>Must Do</x:v>
      </x:c>
      <x:c r="I464" s="36" t="str">
        <x:v>New Initiative</x:v>
      </x:c>
      <x:c r="J464" s="38" t="n">
        <x:v>0.7</x:v>
      </x:c>
      <x:c r="K464" s="38"/>
      <x:c r="L464" s="38"/>
      <x:c r="M464" s="38"/>
      <x:c r="N464" s="38"/>
      <x:c r="O464" s="38"/>
      <x:c r="P464" s="37" t="str">
        <x:v>Avoid 0.35M in licenses to broadcom</x:v>
      </x:c>
      <x:c r="Q464" s="37" t="str">
        <x:v>Risk exposure</x:v>
      </x:c>
      <x:c r="R464" s="37" t="str">
        <x:v>Aug 2027 Microsoft will no longer be able to provide a license included service and we would need to procure licenses directly from broadcom</x:v>
      </x:c>
      <x:c r="S464" s="37" t="str">
        <x:v>Following Broadcom's Vmware acquisition and further license announcement, cloud workloads will require license procurement directly from broadcom. As per the Microsoft team, Philips must either procure the necessary licenses before Aug 2027.</x:v>
      </x:c>
      <x:c r="T464" s="37" t="str">
        <x:v>Global</x:v>
      </x:c>
      <x:c r="U464" s="37" t="str"/>
      <x:c r="V464" s="36" t="str"/>
      <x:c r="W464" s="36" t="str"/>
      <x:c r="X464" s="36" t="n">
        <x:v>2.2</x:v>
      </x:c>
      <x:c r="Y464" s="36" t="str">
        <x:v>CONTAIN</x:v>
      </x:c>
      <x:c r="Z464" s="36" t="str">
        <x:v>YES</x:v>
      </x:c>
      <x:c r="AA464" s="36" t="str">
        <x:v>5 — Exactly the minimum — only what's needed to meet the rule, nothing more.</x:v>
      </x:c>
      <x:c r="AB464" s="36" t="n">
        <x:v>4</x:v>
      </x:c>
      <x:c r="AC464" s="36" t="n">
        <x:v>20</x:v>
      </x:c>
      <x:c r="AD464" s="36" t="str">
        <x:v>P1 — Immediate</x:v>
      </x:c>
      <x:c r="AE464" s="36" t="str">
        <x:v>HEALTHY / MUST-DO — P1 — Immediate</x:v>
      </x:c>
      <x:c r="AF464" s="36" t="str">
        <x:v>Name and organisation matched</x:v>
      </x:c>
      <x:c r="AG464" s="36" t="str">
        <x:v>LFR validated candidate</x:v>
      </x:c>
      <x:c r="AH464" s="36" t="str">
        <x:v>EW Demand!row 261</x:v>
      </x:c>
      <x:c r="AI464" s="36" t="str">
        <x:v>LFR</x:v>
      </x:c>
      <x:c r="AJ464" s="36" t="str">
        <x:v>Compliance</x:v>
      </x:c>
      <x:c r="AK464" s="36" t="str">
        <x:v>Must Do</x:v>
      </x:c>
      <x:c r="AL464" s="36" t="n">
        <x:v>0</x:v>
      </x:c>
      <x:c r="AM464" s="36" t="n">
        <x:v>0</x:v>
      </x:c>
      <x:c r="AN464" s="43"/>
      <x:c r="AO464" s="43"/>
      <x:c r="AP464" s="43"/>
    </x:row>
    <x:row r="465" ht="24" hidden="0" customHeight="1">
      <x:c r="A465" s="36" t="str">
        <x:v>EW-143</x:v>
      </x:c>
      <x:c r="B465" s="37" t="str">
        <x:v>FIN-IGM performance management improvement ( Tagged to - IT Finance Foundation)</x:v>
      </x:c>
      <x:c r="C465" s="36" t="str">
        <x:v>EW</x:v>
      </x:c>
      <x:c r="D465" s="36" t="str">
        <x:v>Finance​</x:v>
      </x:c>
      <x:c r="E465" s="36" t="str"/>
      <x:c r="F465" s="36" t="str">
        <x:v>Continuous Improvement</x:v>
      </x:c>
      <x:c r="G465" s="36" t="str">
        <x:v>Cost Avoidance</x:v>
      </x:c>
      <x:c r="H465" s="36" t="str">
        <x:v>Must Do</x:v>
      </x:c>
      <x:c r="I465" s="36" t="str">
        <x:v>New Initiative</x:v>
      </x:c>
      <x:c r="J465" s="38" t="n">
        <x:v>0.2</x:v>
      </x:c>
      <x:c r="K465" s="38"/>
      <x:c r="L465" s="38"/>
      <x:c r="M465" s="38"/>
      <x:c r="N465" s="38"/>
      <x:c r="O465" s="38" t="n">
        <x:v>0.981</x:v>
      </x:c>
      <x:c r="P465" s="37" t="str">
        <x:v>981</x:v>
      </x:c>
      <x:c r="Q465" s="37" t="str">
        <x:v>Cash savings</x:v>
      </x:c>
      <x:c r="R465" s="37" t="str">
        <x:v>IGM leakage continues; Customer projects with risk of leakage not proactively identified (Benefit Y1 - € 234 K &amp; Y2 € 981 K.)</x:v>
      </x:c>
      <x:c r="S465" s="37" t="str"/>
      <x:c r="T465" s="37" t="str"/>
      <x:c r="U465" s="37" t="str"/>
      <x:c r="V465" s="36" t="str"/>
      <x:c r="W465" s="36" t="str"/>
      <x:c r="X465" s="36"/>
      <x:c r="Y465" s="36" t="str">
        <x:v>NotAssessed</x:v>
      </x:c>
      <x:c r="Z465" s="36" t="str"/>
      <x:c r="AA465" s="36" t="str"/>
      <x:c r="AB465" s="36"/>
      <x:c r="AC465" s="36"/>
      <x:c r="AD465" s="36" t="str"/>
      <x:c r="AE465" s="36" t="str"/>
      <x:c r="AF465" s="36" t="str">
        <x:v>No exact waste match</x:v>
      </x:c>
      <x:c r="AG465" s="36" t="str">
        <x:v>Common pot</x:v>
      </x:c>
      <x:c r="AH465" s="36" t="str">
        <x:v>EW Demand!row 262</x:v>
      </x:c>
      <x:c r="AI465" s="36" t="str">
        <x:v>CI</x:v>
      </x:c>
      <x:c r="AJ465" s="36" t="str">
        <x:v>CostAvoidance</x:v>
      </x:c>
      <x:c r="AK465" s="36" t="str">
        <x:v>Must Do</x:v>
      </x:c>
      <x:c r="AL465" s="36" t="n">
        <x:v>0</x:v>
      </x:c>
      <x:c r="AM465" s="36" t="n">
        <x:v>0</x:v>
      </x:c>
      <x:c r="AN465" s="43"/>
      <x:c r="AO465" s="43"/>
      <x:c r="AP465" s="43"/>
    </x:row>
    <x:row r="466" ht="15" hidden="0" customHeight="1">
      <x:c r="A466" s="36" t="str">
        <x:v>EW-144</x:v>
      </x:c>
      <x:c r="B466" s="37" t="str">
        <x:v>ISC IT DRP - Software Optimization: RunMyJob</x:v>
      </x:c>
      <x:c r="C466" s="36" t="str">
        <x:v>EW</x:v>
      </x:c>
      <x:c r="D466" s="36" t="str">
        <x:v>Information Technology ​</x:v>
      </x:c>
      <x:c r="E466" s="36" t="str"/>
      <x:c r="F466" s="36" t="str">
        <x:v>Decomm/Replatforming</x:v>
      </x:c>
      <x:c r="G466" s="36" t="str">
        <x:v>Productivity savings</x:v>
      </x:c>
      <x:c r="H466" s="36" t="str">
        <x:v>Must Do</x:v>
      </x:c>
      <x:c r="I466" s="36" t="str">
        <x:v>New Initiative</x:v>
      </x:c>
      <x:c r="J466" s="38" t="n">
        <x:v>0.3</x:v>
      </x:c>
      <x:c r="K466" s="38"/>
      <x:c r="L466" s="38"/>
      <x:c r="M466" s="38"/>
      <x:c r="N466" s="38"/>
      <x:c r="O466" s="38" t="n">
        <x:v>0.5</x:v>
      </x:c>
      <x:c r="P466" s="37" t="str">
        <x:v>500</x:v>
      </x:c>
      <x:c r="Q466" s="37" t="str">
        <x:v>Cash savings</x:v>
      </x:c>
      <x:c r="R466" s="37" t="str">
        <x:v>Compelling business case of cost avoidance</x:v>
      </x:c>
      <x:c r="S466" s="37" t="str"/>
      <x:c r="T466" s="37" t="str"/>
      <x:c r="U466" s="37" t="str"/>
      <x:c r="V466" s="36" t="str"/>
      <x:c r="W466" s="36" t="str"/>
      <x:c r="X466" s="36" t="n">
        <x:v>1.6</x:v>
      </x:c>
      <x:c r="Y466" s="36" t="str">
        <x:v>HEALTHY</x:v>
      </x:c>
      <x:c r="Z466" s="36" t="str"/>
      <x:c r="AA466" s="36" t="str"/>
      <x:c r="AB466" s="36"/>
      <x:c r="AC466" s="36"/>
      <x:c r="AD466" s="36" t="str"/>
      <x:c r="AE466" s="36" t="str">
        <x:v>HEALTHY — Rank in priority matrix</x:v>
      </x:c>
      <x:c r="AF466" s="36" t="str">
        <x:v>Name and organisation matched</x:v>
      </x:c>
      <x:c r="AG466" s="36" t="str">
        <x:v>Common pot</x:v>
      </x:c>
      <x:c r="AH466" s="36" t="str">
        <x:v>EW Demand!row 263</x:v>
      </x:c>
      <x:c r="AI466" s="36" t="str">
        <x:v>Decomm</x:v>
      </x:c>
      <x:c r="AJ466" s="36" t="str">
        <x:v>Productivity</x:v>
      </x:c>
      <x:c r="AK466" s="36" t="str">
        <x:v>Must Do</x:v>
      </x:c>
      <x:c r="AL466" s="36" t="n">
        <x:v>0</x:v>
      </x:c>
      <x:c r="AM466" s="36" t="n">
        <x:v>0</x:v>
      </x:c>
      <x:c r="AN466" s="43"/>
      <x:c r="AO466" s="43"/>
      <x:c r="AP466" s="43"/>
    </x:row>
    <x:row r="467" ht="15" hidden="0" customHeight="1">
      <x:c r="A467" s="36" t="str">
        <x:v>EW-145</x:v>
      </x:c>
      <x:c r="B467" s="37" t="str">
        <x:v>ISC IT DRP - Software Optimization: EveryAngle -&gt; ADL</x:v>
      </x:c>
      <x:c r="C467" s="36" t="str">
        <x:v>EW</x:v>
      </x:c>
      <x:c r="D467" s="36" t="str">
        <x:v>Information Technology ​</x:v>
      </x:c>
      <x:c r="E467" s="36" t="str"/>
      <x:c r="F467" s="36" t="str">
        <x:v>Decomm/Replatforming</x:v>
      </x:c>
      <x:c r="G467" s="36" t="str">
        <x:v>Productivity savings</x:v>
      </x:c>
      <x:c r="H467" s="36" t="str">
        <x:v>Must Do</x:v>
      </x:c>
      <x:c r="I467" s="36" t="str">
        <x:v>New Initiative</x:v>
      </x:c>
      <x:c r="J467" s="38" t="n">
        <x:v>0.5</x:v>
      </x:c>
      <x:c r="K467" s="38"/>
      <x:c r="L467" s="38"/>
      <x:c r="M467" s="38"/>
      <x:c r="N467" s="38"/>
      <x:c r="O467" s="38" t="n">
        <x:v>0.7</x:v>
      </x:c>
      <x:c r="P467" s="37" t="str">
        <x:v>700</x:v>
      </x:c>
      <x:c r="Q467" s="37" t="str">
        <x:v>Cash savings</x:v>
      </x:c>
      <x:c r="R467" s="37" t="str">
        <x:v>Compelling business case of cost avoidance</x:v>
      </x:c>
      <x:c r="S467" s="37" t="str"/>
      <x:c r="T467" s="37" t="str"/>
      <x:c r="U467" s="37" t="str"/>
      <x:c r="V467" s="36" t="str"/>
      <x:c r="W467" s="36" t="str"/>
      <x:c r="X467" s="36" t="n">
        <x:v>1.2</x:v>
      </x:c>
      <x:c r="Y467" s="36" t="str">
        <x:v>HEALTHY</x:v>
      </x:c>
      <x:c r="Z467" s="36" t="str"/>
      <x:c r="AA467" s="36" t="str"/>
      <x:c r="AB467" s="36"/>
      <x:c r="AC467" s="36"/>
      <x:c r="AD467" s="36" t="str"/>
      <x:c r="AE467" s="36" t="str">
        <x:v>HEALTHY — Rank in priority matrix</x:v>
      </x:c>
      <x:c r="AF467" s="36" t="str">
        <x:v>Name and organisation matched</x:v>
      </x:c>
      <x:c r="AG467" s="36" t="str">
        <x:v>Common pot</x:v>
      </x:c>
      <x:c r="AH467" s="36" t="str">
        <x:v>EW Demand!row 264</x:v>
      </x:c>
      <x:c r="AI467" s="36" t="str">
        <x:v>Decomm</x:v>
      </x:c>
      <x:c r="AJ467" s="36" t="str">
        <x:v>Productivity</x:v>
      </x:c>
      <x:c r="AK467" s="36" t="str">
        <x:v>Must Do</x:v>
      </x:c>
      <x:c r="AL467" s="36" t="n">
        <x:v>0</x:v>
      </x:c>
      <x:c r="AM467" s="36" t="n">
        <x:v>0</x:v>
      </x:c>
      <x:c r="AN467" s="43"/>
      <x:c r="AO467" s="43"/>
      <x:c r="AP467" s="43"/>
    </x:row>
    <x:row r="468" ht="15" hidden="0" customHeight="1">
      <x:c r="A468" s="36" t="str">
        <x:v>EW-146</x:v>
      </x:c>
      <x:c r="B468" s="37" t="str">
        <x:v>ISC IT DRP - SAP OneBi &amp; BCS to BDC</x:v>
      </x:c>
      <x:c r="C468" s="36" t="str">
        <x:v>EW</x:v>
      </x:c>
      <x:c r="D468" s="36" t="str">
        <x:v>Information Technology ​</x:v>
      </x:c>
      <x:c r="E468" s="36" t="str"/>
      <x:c r="F468" s="36" t="str">
        <x:v>Decomm/Replatforming</x:v>
      </x:c>
      <x:c r="G468" s="36" t="str">
        <x:v>Productivity savings</x:v>
      </x:c>
      <x:c r="H468" s="36" t="str">
        <x:v>Must Do</x:v>
      </x:c>
      <x:c r="I468" s="36" t="str">
        <x:v>New Initiative</x:v>
      </x:c>
      <x:c r="J468" s="38" t="n">
        <x:v>0.3</x:v>
      </x:c>
      <x:c r="K468" s="38"/>
      <x:c r="L468" s="38"/>
      <x:c r="M468" s="38"/>
      <x:c r="N468" s="38"/>
      <x:c r="O468" s="38" t="n">
        <x:v>0.5</x:v>
      </x:c>
      <x:c r="P468" s="37" t="str">
        <x:v>500</x:v>
      </x:c>
      <x:c r="Q468" s="37" t="str">
        <x:v>Cash savings</x:v>
      </x:c>
      <x:c r="R468" s="37" t="str">
        <x:v>Unsupported software - EOL, Security Vulnerability</x:v>
      </x:c>
      <x:c r="S468" s="37" t="str"/>
      <x:c r="T468" s="37" t="str"/>
      <x:c r="U468" s="37" t="str"/>
      <x:c r="V468" s="36" t="str"/>
      <x:c r="W468" s="36" t="str"/>
      <x:c r="X468" s="36" t="n">
        <x:v>1.45</x:v>
      </x:c>
      <x:c r="Y468" s="36" t="str">
        <x:v>HEALTHY</x:v>
      </x:c>
      <x:c r="Z468" s="36" t="str"/>
      <x:c r="AA468" s="36" t="str"/>
      <x:c r="AB468" s="36"/>
      <x:c r="AC468" s="36"/>
      <x:c r="AD468" s="36" t="str"/>
      <x:c r="AE468" s="36" t="str">
        <x:v>HEALTHY — Rank in priority matrix</x:v>
      </x:c>
      <x:c r="AF468" s="36" t="str">
        <x:v>Name and organisation matched</x:v>
      </x:c>
      <x:c r="AG468" s="36" t="str">
        <x:v>Common pot</x:v>
      </x:c>
      <x:c r="AH468" s="36" t="str">
        <x:v>EW Demand!row 265</x:v>
      </x:c>
      <x:c r="AI468" s="36" t="str">
        <x:v>Decomm</x:v>
      </x:c>
      <x:c r="AJ468" s="36" t="str">
        <x:v>Productivity</x:v>
      </x:c>
      <x:c r="AK468" s="36" t="str">
        <x:v>Must Do</x:v>
      </x:c>
      <x:c r="AL468" s="36" t="n">
        <x:v>0</x:v>
      </x:c>
      <x:c r="AM468" s="36" t="n">
        <x:v>0</x:v>
      </x:c>
      <x:c r="AN468" s="43"/>
      <x:c r="AO468" s="43"/>
      <x:c r="AP468" s="43"/>
    </x:row>
    <x:row r="469" ht="24" hidden="0" customHeight="1">
      <x:c r="A469" s="36" t="str">
        <x:v>EW-147</x:v>
      </x:c>
      <x:c r="B469" s="37" t="str">
        <x:v>ISC IT DRP - Decommission legacy app and rebuild via GenAI - HS Industry app</x:v>
      </x:c>
      <x:c r="C469" s="36" t="str">
        <x:v>EW</x:v>
      </x:c>
      <x:c r="D469" s="36" t="str">
        <x:v>Information Technology ​</x:v>
      </x:c>
      <x:c r="E469" s="36" t="str"/>
      <x:c r="F469" s="36" t="str">
        <x:v>Decomm/Replatforming</x:v>
      </x:c>
      <x:c r="G469" s="36" t="str">
        <x:v>Productivity savings</x:v>
      </x:c>
      <x:c r="H469" s="36" t="str">
        <x:v>Must Have</x:v>
      </x:c>
      <x:c r="I469" s="36" t="str">
        <x:v>New Initiative</x:v>
      </x:c>
      <x:c r="J469" s="38" t="n">
        <x:v>0.35</x:v>
      </x:c>
      <x:c r="K469" s="38"/>
      <x:c r="L469" s="38"/>
      <x:c r="M469" s="38"/>
      <x:c r="N469" s="38"/>
      <x:c r="O469" s="38"/>
      <x:c r="P469" s="37" t="str">
        <x:v>Underpinning in progress  </x:v>
      </x:c>
      <x:c r="Q469" s="37" t="str">
        <x:v>Cash savings</x:v>
      </x:c>
      <x:c r="R469" s="37" t="str">
        <x:v>Service continuity of Factory and Warehouse at Best site; Unsupported software - EOL, Security Vulnerability</x:v>
      </x:c>
      <x:c r="S469" s="37" t="str"/>
      <x:c r="T469" s="37" t="str"/>
      <x:c r="U469" s="37" t="str"/>
      <x:c r="V469" s="36" t="str"/>
      <x:c r="W469" s="36" t="str"/>
      <x:c r="X469" s="36" t="n">
        <x:v>1.9</x:v>
      </x:c>
      <x:c r="Y469" s="36" t="str">
        <x:v>HEALTHY</x:v>
      </x:c>
      <x:c r="Z469" s="36" t="str"/>
      <x:c r="AA469" s="36" t="str"/>
      <x:c r="AB469" s="36"/>
      <x:c r="AC469" s="36"/>
      <x:c r="AD469" s="36" t="str"/>
      <x:c r="AE469" s="36" t="str">
        <x:v>HEALTHY — Rank in priority matrix</x:v>
      </x:c>
      <x:c r="AF469" s="36" t="str">
        <x:v>Name and organisation matched</x:v>
      </x:c>
      <x:c r="AG469" s="36" t="str">
        <x:v>Common pot</x:v>
      </x:c>
      <x:c r="AH469" s="36" t="str">
        <x:v>EW Demand!row 266</x:v>
      </x:c>
      <x:c r="AI469" s="36" t="str">
        <x:v>Decomm</x:v>
      </x:c>
      <x:c r="AJ469" s="36" t="str">
        <x:v>Productivity</x:v>
      </x:c>
      <x:c r="AK469" s="36" t="str">
        <x:v>Must Have</x:v>
      </x:c>
      <x:c r="AL469" s="36" t="n">
        <x:v>0</x:v>
      </x:c>
      <x:c r="AM469" s="36" t="n">
        <x:v>0</x:v>
      </x:c>
      <x:c r="AN469" s="43"/>
      <x:c r="AO469" s="43"/>
      <x:c r="AP469" s="43"/>
    </x:row>
    <x:row r="470" ht="15" hidden="0" customHeight="1">
      <x:c r="A470" s="36" t="str">
        <x:v>EW-148</x:v>
      </x:c>
      <x:c r="B470" s="37" t="str">
        <x:v>TrueContext replacement</x:v>
      </x:c>
      <x:c r="C470" s="36" t="str">
        <x:v>EW</x:v>
      </x:c>
      <x:c r="D470" s="36" t="str">
        <x:v>Information Technology ​</x:v>
      </x:c>
      <x:c r="E470" s="36" t="str"/>
      <x:c r="F470" s="36" t="str">
        <x:v>Decomm/Replatforming</x:v>
      </x:c>
      <x:c r="G470" s="36" t="str">
        <x:v>Compliance/Keeping the lights on</x:v>
      </x:c>
      <x:c r="H470" s="36" t="str">
        <x:v>Must Do</x:v>
      </x:c>
      <x:c r="I470" s="36" t="str">
        <x:v>New Initiative</x:v>
      </x:c>
      <x:c r="J470" s="38" t="n">
        <x:v>0.7</x:v>
      </x:c>
      <x:c r="K470" s="38"/>
      <x:c r="L470" s="38"/>
      <x:c r="M470" s="38"/>
      <x:c r="N470" s="38"/>
      <x:c r="O470" s="38" t="n">
        <x:v>1.675</x:v>
      </x:c>
      <x:c r="P470" s="37" t="str">
        <x:v>1675</x:v>
      </x:c>
      <x:c r="Q470" s="37" t="str">
        <x:v>Risk exposure</x:v>
      </x:c>
      <x:c r="R470" s="37" t="str">
        <x:v>License cost  Impact</x:v>
      </x:c>
      <x:c r="S470" s="37" t="str">
        <x:v>Build in house solution for Test and Verification, as a replacement to current 3rd party licensed application (TrueContext), thus significantly reducing operations costs</x:v>
      </x:c>
      <x:c r="T470" s="37" t="str">
        <x:v>Develop and implement an in-house Test &amp; Verification solution to replace TrueContext, replicating critical business workflows and capabilities while improving flexibility, security, and reporting and significantly reducing licensing and operational costs.</x:v>
      </x:c>
      <x:c r="U470" s="37" t="str"/>
      <x:c r="V470" s="36" t="str"/>
      <x:c r="W470" s="36" t="str"/>
      <x:c r="X470" s="36" t="n">
        <x:v>1.8</x:v>
      </x:c>
      <x:c r="Y470" s="36" t="str">
        <x:v>HEALTHY</x:v>
      </x:c>
      <x:c r="Z470" s="36" t="str">
        <x:v>NO</x:v>
      </x:c>
      <x:c r="AA470" s="36" t="str">
        <x:v>5 — Exactly the minimum — only what's needed to meet the rule, nothing more.</x:v>
      </x:c>
      <x:c r="AB470" s="36" t="n">
        <x:v>1</x:v>
      </x:c>
      <x:c r="AC470" s="36" t="n">
        <x:v>2</x:v>
      </x:c>
      <x:c r="AD470" s="36" t="str">
        <x:v>P3 — Plan in window</x:v>
      </x:c>
      <x:c r="AE470" s="36" t="str">
        <x:v>HEALTHY — Rank in priority matrix</x:v>
      </x:c>
      <x:c r="AF470" s="36" t="str">
        <x:v>Name and organisation matched</x:v>
      </x:c>
      <x:c r="AG470" s="36" t="str">
        <x:v>Common pot</x:v>
      </x:c>
      <x:c r="AH470" s="36" t="str">
        <x:v>EW Demand!row 267</x:v>
      </x:c>
      <x:c r="AI470" s="36" t="str">
        <x:v>Decomm</x:v>
      </x:c>
      <x:c r="AJ470" s="36" t="str">
        <x:v>Compliance</x:v>
      </x:c>
      <x:c r="AK470" s="36" t="str">
        <x:v>Must Do</x:v>
      </x:c>
      <x:c r="AL470" s="36" t="n">
        <x:v>0</x:v>
      </x:c>
      <x:c r="AM470" s="36" t="n">
        <x:v>0</x:v>
      </x:c>
      <x:c r="AN470" s="43"/>
      <x:c r="AO470" s="43"/>
      <x:c r="AP470" s="43"/>
    </x:row>
    <x:row r="471" ht="15" hidden="0" customHeight="1">
      <x:c r="A471" s="36" t="str">
        <x:v>EW-149</x:v>
      </x:c>
      <x:c r="B471" s="37" t="str">
        <x:v>Decisions replacement</x:v>
      </x:c>
      <x:c r="C471" s="36" t="str">
        <x:v>EW</x:v>
      </x:c>
      <x:c r="D471" s="36" t="str">
        <x:v>Information Technology ​</x:v>
      </x:c>
      <x:c r="E471" s="36" t="str"/>
      <x:c r="F471" s="36" t="str">
        <x:v>Decomm/Replatforming</x:v>
      </x:c>
      <x:c r="G471" s="36" t="str"/>
      <x:c r="H471" s="36" t="str">
        <x:v>Must Do</x:v>
      </x:c>
      <x:c r="I471" s="36" t="str">
        <x:v>New Initiative</x:v>
      </x:c>
      <x:c r="J471" s="38" t="n">
        <x:v>0.1</x:v>
      </x:c>
      <x:c r="K471" s="38"/>
      <x:c r="L471" s="38"/>
      <x:c r="M471" s="38"/>
      <x:c r="N471" s="38"/>
      <x:c r="O471" s="38" t="n">
        <x:v>0.229</x:v>
      </x:c>
      <x:c r="P471" s="37" t="str">
        <x:v>229</x:v>
      </x:c>
      <x:c r="Q471" s="37" t="str">
        <x:v>Unclassified</x:v>
      </x:c>
      <x:c r="R471" s="37" t="str">
        <x:v>License cost  Impact</x:v>
      </x:c>
      <x:c r="S471" s="37" t="str">
        <x:v>Build in house solution for Service Entitlment checks, as a replacement to current 3rd party licensed application (Decisions), thus significantly reducing operations costs</x:v>
      </x:c>
      <x:c r="T471" s="37" t="str">
        <x:v>Develop and implement an in-house Service Entitlement solution to replace Decisions, automating entitlement validation and business rules while reducing third-party licensing and operational costs.</x:v>
      </x:c>
      <x:c r="U471" s="37" t="str"/>
      <x:c r="V471" s="36" t="str"/>
      <x:c r="W471" s="36" t="str"/>
      <x:c r="X471" s="36" t="n">
        <x:v>1.8</x:v>
      </x:c>
      <x:c r="Y471" s="36" t="str">
        <x:v>HEALTHY</x:v>
      </x:c>
      <x:c r="Z471" s="36" t="str">
        <x:v>NO</x:v>
      </x:c>
      <x:c r="AA471" s="36" t="str">
        <x:v>5 — Exactly the minimum — only what's needed to meet the rule, nothing more.</x:v>
      </x:c>
      <x:c r="AB471" s="36" t="n">
        <x:v>1</x:v>
      </x:c>
      <x:c r="AC471" s="36" t="n">
        <x:v>2</x:v>
      </x:c>
      <x:c r="AD471" s="36" t="str">
        <x:v>P3 — Plan in window</x:v>
      </x:c>
      <x:c r="AE471" s="36" t="str">
        <x:v>HEALTHY — Rank in priority matrix</x:v>
      </x:c>
      <x:c r="AF471" s="36" t="str">
        <x:v>Name and organisation matched</x:v>
      </x:c>
      <x:c r="AG471" s="36" t="str">
        <x:v>Common pot</x:v>
      </x:c>
      <x:c r="AH471" s="36" t="str">
        <x:v>EW Demand!row 268</x:v>
      </x:c>
      <x:c r="AI471" s="36" t="str">
        <x:v>Decomm</x:v>
      </x:c>
      <x:c r="AJ471" s="36" t="str">
        <x:v>Blank</x:v>
      </x:c>
      <x:c r="AK471" s="36" t="str">
        <x:v>Must Do</x:v>
      </x:c>
      <x:c r="AL471" s="36" t="n">
        <x:v>0</x:v>
      </x:c>
      <x:c r="AM471" s="36" t="n">
        <x:v>0</x:v>
      </x:c>
      <x:c r="AN471" s="43"/>
      <x:c r="AO471" s="43"/>
      <x:c r="AP471" s="43"/>
    </x:row>
    <x:row r="472" ht="15" hidden="0" customHeight="1">
      <x:c r="A472" s="36" t="str">
        <x:v>EW-150</x:v>
      </x:c>
      <x:c r="B472" s="37" t="str">
        <x:v>PS Cloud replacement</x:v>
      </x:c>
      <x:c r="C472" s="36" t="str">
        <x:v>EW</x:v>
      </x:c>
      <x:c r="D472" s="36" t="str">
        <x:v>Information Technology ​</x:v>
      </x:c>
      <x:c r="E472" s="36" t="str"/>
      <x:c r="F472" s="36" t="str">
        <x:v>Decomm/Replatforming</x:v>
      </x:c>
      <x:c r="G472" s="36" t="str"/>
      <x:c r="H472" s="36" t="str">
        <x:v>Must Do</x:v>
      </x:c>
      <x:c r="I472" s="36" t="str">
        <x:v>New Initiative</x:v>
      </x:c>
      <x:c r="J472" s="38" t="n">
        <x:v>1.2</x:v>
      </x:c>
      <x:c r="K472" s="38"/>
      <x:c r="L472" s="38"/>
      <x:c r="M472" s="38"/>
      <x:c r="N472" s="38"/>
      <x:c r="O472" s="38" t="n">
        <x:v>1.7</x:v>
      </x:c>
      <x:c r="P472" s="37" t="str">
        <x:v>1700</x:v>
      </x:c>
      <x:c r="Q472" s="37" t="str">
        <x:v>Unclassified</x:v>
      </x:c>
      <x:c r="R472" s="37" t="str">
        <x:v>License cost  Impact</x:v>
      </x:c>
      <x:c r="S472" s="37" t="str">
        <x:v>Migration of SaaS based PS Cloud app to custom developed app.</x:v>
      </x:c>
      <x:c r="T472" s="37" t="str">
        <x:v>Migrate the SaaS-based PS Cloud application to a custom-developed in-house solution, ensuring functional continuity, data migration, integrations, security, and improved flexibility while reducing dependency and operational costs.</x:v>
      </x:c>
      <x:c r="U472" s="37" t="str"/>
      <x:c r="V472" s="36" t="str"/>
      <x:c r="W472" s="36" t="str"/>
      <x:c r="X472" s="36" t="n">
        <x:v>1.8</x:v>
      </x:c>
      <x:c r="Y472" s="36" t="str">
        <x:v>HEALTHY</x:v>
      </x:c>
      <x:c r="Z472" s="36" t="str">
        <x:v>NO</x:v>
      </x:c>
      <x:c r="AA472" s="36" t="str">
        <x:v>5 — Exactly the minimum — only what's needed to meet the rule, nothing more.</x:v>
      </x:c>
      <x:c r="AB472" s="36" t="n">
        <x:v>1</x:v>
      </x:c>
      <x:c r="AC472" s="36" t="n">
        <x:v>2</x:v>
      </x:c>
      <x:c r="AD472" s="36" t="str">
        <x:v>P3 — Plan in window</x:v>
      </x:c>
      <x:c r="AE472" s="36" t="str">
        <x:v>HEALTHY — Rank in priority matrix</x:v>
      </x:c>
      <x:c r="AF472" s="36" t="str">
        <x:v>Name and organisation matched</x:v>
      </x:c>
      <x:c r="AG472" s="36" t="str">
        <x:v>Common pot</x:v>
      </x:c>
      <x:c r="AH472" s="36" t="str">
        <x:v>EW Demand!row 269</x:v>
      </x:c>
      <x:c r="AI472" s="36" t="str">
        <x:v>Decomm</x:v>
      </x:c>
      <x:c r="AJ472" s="36" t="str">
        <x:v>Blank</x:v>
      </x:c>
      <x:c r="AK472" s="36" t="str">
        <x:v>Must Do</x:v>
      </x:c>
      <x:c r="AL472" s="36" t="n">
        <x:v>0</x:v>
      </x:c>
      <x:c r="AM472" s="36" t="n">
        <x:v>0</x:v>
      </x:c>
      <x:c r="AN472" s="43"/>
      <x:c r="AO472" s="43"/>
      <x:c r="AP472" s="43"/>
    </x:row>
    <x:row r="473" ht="15" hidden="0" customHeight="1">
      <x:c r="A473" s="36" t="str">
        <x:v>EW-151</x:v>
      </x:c>
      <x:c r="B473" s="37" t="str">
        <x:v>Incenter replacement</x:v>
      </x:c>
      <x:c r="C473" s="36" t="str">
        <x:v>EW</x:v>
      </x:c>
      <x:c r="D473" s="36" t="str">
        <x:v>Information Technology ​</x:v>
      </x:c>
      <x:c r="E473" s="36" t="str"/>
      <x:c r="F473" s="36" t="str">
        <x:v>Decomm/Replatforming</x:v>
      </x:c>
      <x:c r="G473" s="36" t="str"/>
      <x:c r="H473" s="36" t="str">
        <x:v>Must Do</x:v>
      </x:c>
      <x:c r="I473" s="36" t="str">
        <x:v>New Initiative</x:v>
      </x:c>
      <x:c r="J473" s="38" t="n">
        <x:v>0.8</x:v>
      </x:c>
      <x:c r="K473" s="38"/>
      <x:c r="L473" s="38"/>
      <x:c r="M473" s="38"/>
      <x:c r="N473" s="38"/>
      <x:c r="O473" s="38" t="n">
        <x:v>1.7</x:v>
      </x:c>
      <x:c r="P473" s="37" t="str">
        <x:v>1700</x:v>
      </x:c>
      <x:c r="Q473" s="37" t="str">
        <x:v>Unclassified</x:v>
      </x:c>
      <x:c r="R473" s="37" t="str">
        <x:v>License cost  Impact</x:v>
      </x:c>
      <x:c r="S473" s="37" t="str">
        <x:v>Replace with an in-house solution to address limitation with current Vendor solution and to reduce operations cost</x:v>
      </x:c>
      <x:c r="T473" s="37" t="str">
        <x:v>Develop and implement an in-house solution to overcome current vendor solution limitations, enhance flexibility and capabilities, and reduce operational and licensing costs.</x:v>
      </x:c>
      <x:c r="U473" s="37" t="str"/>
      <x:c r="V473" s="36" t="str"/>
      <x:c r="W473" s="36" t="str"/>
      <x:c r="X473" s="36" t="n">
        <x:v>1.8</x:v>
      </x:c>
      <x:c r="Y473" s="36" t="str">
        <x:v>HEALTHY</x:v>
      </x:c>
      <x:c r="Z473" s="36" t="str">
        <x:v>NO</x:v>
      </x:c>
      <x:c r="AA473" s="36" t="str">
        <x:v>5 — Exactly the minimum — only what's needed to meet the rule, nothing more.</x:v>
      </x:c>
      <x:c r="AB473" s="36" t="n">
        <x:v>1</x:v>
      </x:c>
      <x:c r="AC473" s="36" t="n">
        <x:v>2</x:v>
      </x:c>
      <x:c r="AD473" s="36" t="str">
        <x:v>P3 — Plan in window</x:v>
      </x:c>
      <x:c r="AE473" s="36" t="str">
        <x:v>HEALTHY — Rank in priority matrix</x:v>
      </x:c>
      <x:c r="AF473" s="36" t="str">
        <x:v>Name and organisation matched</x:v>
      </x:c>
      <x:c r="AG473" s="36" t="str">
        <x:v>Common pot</x:v>
      </x:c>
      <x:c r="AH473" s="36" t="str">
        <x:v>EW Demand!row 270</x:v>
      </x:c>
      <x:c r="AI473" s="36" t="str">
        <x:v>Decomm</x:v>
      </x:c>
      <x:c r="AJ473" s="36" t="str">
        <x:v>Blank</x:v>
      </x:c>
      <x:c r="AK473" s="36" t="str">
        <x:v>Must Do</x:v>
      </x:c>
      <x:c r="AL473" s="36" t="n">
        <x:v>0</x:v>
      </x:c>
      <x:c r="AM473" s="36" t="n">
        <x:v>0</x:v>
      </x:c>
      <x:c r="AN473" s="43"/>
      <x:c r="AO473" s="43"/>
      <x:c r="AP473" s="43"/>
    </x:row>
    <x:row r="474" ht="15" hidden="0" customHeight="1">
      <x:c r="A474" s="36" t="str">
        <x:v>EW-152</x:v>
      </x:c>
      <x:c r="B474" s="37" t="str">
        <x:v>Grading (framework, governance &amp; job catalogue) </x:v>
      </x:c>
      <x:c r="C474" s="36" t="str">
        <x:v>EW</x:v>
      </x:c>
      <x:c r="D474" s="36" t="str">
        <x:v>People function​</x:v>
      </x:c>
      <x:c r="E474" s="36" t="str">
        <x:v>New</x:v>
      </x:c>
      <x:c r="F474" s="36" t="str">
        <x:v>Continuous Improvement</x:v>
      </x:c>
      <x:c r="G474" s="36" t="str">
        <x:v>Process simplification/ efficiency gain</x:v>
      </x:c>
      <x:c r="H474" s="36" t="str">
        <x:v>Must Have</x:v>
      </x:c>
      <x:c r="I474" s="36" t="str">
        <x:v>New Initiative</x:v>
      </x:c>
      <x:c r="J474" s="38" t="n">
        <x:v>0.35</x:v>
      </x:c>
      <x:c r="K474" s="38"/>
      <x:c r="L474" s="38"/>
      <x:c r="M474" s="38"/>
      <x:c r="N474" s="38"/>
      <x:c r="O474" s="38"/>
      <x:c r="P474" s="37" t="str">
        <x:v>Soft Benefit</x:v>
      </x:c>
      <x:c r="Q474" s="37" t="str">
        <x:v>Cash savings</x:v>
      </x:c>
      <x:c r="R474" s="37" t="str">
        <x:v>Strategic priorities of PF will not be met.</x:v>
      </x:c>
      <x:c r="S474" s="37" t="str">
        <x:v>New or significantly changed job profiles need consistent, fair grading.</x:v>
      </x:c>
      <x:c r="T474" s="37" t="str">
        <x:v>Build grading governance into the Job Catalog using reference roles and checks for scope, accountability, overlap and market fit.</x:v>
      </x:c>
      <x:c r="U474" s="37" t="str">
        <x:v>None</x:v>
      </x:c>
      <x:c r="V474" s="36" t="str"/>
      <x:c r="W474" s="36" t="str"/>
      <x:c r="X474" s="36" t="n">
        <x:v>1.7</x:v>
      </x:c>
      <x:c r="Y474" s="36" t="str">
        <x:v>HEALTHY</x:v>
      </x:c>
      <x:c r="Z474" s="36" t="str"/>
      <x:c r="AA474" s="36" t="str"/>
      <x:c r="AB474" s="36"/>
      <x:c r="AC474" s="36"/>
      <x:c r="AD474" s="36" t="str"/>
      <x:c r="AE474" s="36" t="str">
        <x:v>HEALTHY — Rank in priority matrix</x:v>
      </x:c>
      <x:c r="AF474" s="36" t="str">
        <x:v>Name and organisation matched</x:v>
      </x:c>
      <x:c r="AG474" s="36" t="str">
        <x:v>Common pot</x:v>
      </x:c>
      <x:c r="AH474" s="36" t="str">
        <x:v>EW Demand!row 271</x:v>
      </x:c>
      <x:c r="AI474" s="36" t="str">
        <x:v>CI</x:v>
      </x:c>
      <x:c r="AJ474" s="36" t="str">
        <x:v>ProcSimp</x:v>
      </x:c>
      <x:c r="AK474" s="36" t="str">
        <x:v>Must Have</x:v>
      </x:c>
      <x:c r="AL474" s="36" t="n">
        <x:v>0</x:v>
      </x:c>
      <x:c r="AM474" s="36" t="n">
        <x:v>0</x:v>
      </x:c>
      <x:c r="AN474" s="43"/>
      <x:c r="AO474" s="43"/>
      <x:c r="AP474" s="43"/>
    </x:row>
    <x:row r="475" ht="15" hidden="0" customHeight="1">
      <x:c r="A475" s="36" t="str">
        <x:v>EW-153</x:v>
      </x:c>
      <x:c r="B475" s="37" t="str">
        <x:v>Onboarding </x:v>
      </x:c>
      <x:c r="C475" s="36" t="str">
        <x:v>EW</x:v>
      </x:c>
      <x:c r="D475" s="36" t="str">
        <x:v>People function​</x:v>
      </x:c>
      <x:c r="E475" s="36" t="str">
        <x:v>New</x:v>
      </x:c>
      <x:c r="F475" s="36" t="str">
        <x:v>Continuous Improvement</x:v>
      </x:c>
      <x:c r="G475" s="36" t="str">
        <x:v>Process simplification/ efficiency gain</x:v>
      </x:c>
      <x:c r="H475" s="36" t="str">
        <x:v>Must Have</x:v>
      </x:c>
      <x:c r="I475" s="36" t="str">
        <x:v>New Initiative</x:v>
      </x:c>
      <x:c r="J475" s="38" t="n">
        <x:v>0.152</x:v>
      </x:c>
      <x:c r="K475" s="38"/>
      <x:c r="L475" s="38"/>
      <x:c r="M475" s="38"/>
      <x:c r="N475" s="38"/>
      <x:c r="O475" s="38"/>
      <x:c r="P475" s="37" t="str">
        <x:v>Soft Benefit</x:v>
      </x:c>
      <x:c r="Q475" s="37" t="str">
        <x:v>Cash savings</x:v>
      </x:c>
      <x:c r="R475" s="37" t="str">
        <x:v>Strategic priorities of PF will not be met.</x:v>
      </x:c>
      <x:c r="S475" s="37" t="str">
        <x:v>Measure onboarding outcomes to improve time-to-proficiency using targeted feedback for leaders and new hires. This is mainly a process and operating-model change, not an IT investment.</x:v>
      </x:c>
      <x:c r="T475" s="37" t="str">
        <x:v>Add onboarding outcome measures and targeted feedback, potentially linked to the Hiring Manager experience.</x:v>
      </x:c>
      <x:c r="U475" s="37" t="str">
        <x:v>None</x:v>
      </x:c>
      <x:c r="V475" s="36" t="str"/>
      <x:c r="W475" s="36" t="str"/>
      <x:c r="X475" s="36" t="n">
        <x:v>1.7</x:v>
      </x:c>
      <x:c r="Y475" s="36" t="str">
        <x:v>HEALTHY</x:v>
      </x:c>
      <x:c r="Z475" s="36" t="str"/>
      <x:c r="AA475" s="36" t="str"/>
      <x:c r="AB475" s="36"/>
      <x:c r="AC475" s="36"/>
      <x:c r="AD475" s="36" t="str"/>
      <x:c r="AE475" s="36" t="str">
        <x:v>HEALTHY — Rank in priority matrix</x:v>
      </x:c>
      <x:c r="AF475" s="36" t="str">
        <x:v>Name and organisation matched</x:v>
      </x:c>
      <x:c r="AG475" s="36" t="str">
        <x:v>Common pot</x:v>
      </x:c>
      <x:c r="AH475" s="36" t="str">
        <x:v>EW Demand!row 272</x:v>
      </x:c>
      <x:c r="AI475" s="36" t="str">
        <x:v>CI</x:v>
      </x:c>
      <x:c r="AJ475" s="36" t="str">
        <x:v>ProcSimp</x:v>
      </x:c>
      <x:c r="AK475" s="36" t="str">
        <x:v>Must Have</x:v>
      </x:c>
      <x:c r="AL475" s="36" t="n">
        <x:v>0</x:v>
      </x:c>
      <x:c r="AM475" s="36" t="n">
        <x:v>0</x:v>
      </x:c>
      <x:c r="AN475" s="43"/>
      <x:c r="AO475" s="43"/>
      <x:c r="AP475" s="43"/>
    </x:row>
    <x:row r="476" ht="24" hidden="0" customHeight="1">
      <x:c r="A476" s="36" t="str">
        <x:v>EW-154</x:v>
      </x:c>
      <x:c r="B476" s="37" t="str">
        <x:v>E2E event planning incl. GBP compliance review, HCP engagement review &amp; registration for GCR (Engage - Legal not usable)</x:v>
      </x:c>
      <x:c r="C476" s="36" t="str">
        <x:v>EW</x:v>
      </x:c>
      <x:c r="D476" s="36" t="str">
        <x:v>Greater China </x:v>
      </x:c>
      <x:c r="E476" s="36" t="str">
        <x:v>New</x:v>
      </x:c>
      <x:c r="F476" s="36" t="str">
        <x:v>Decomm/Replatforming</x:v>
      </x:c>
      <x:c r="G476" s="36" t="str"/>
      <x:c r="H476" s="36" t="str">
        <x:v>Must Have</x:v>
      </x:c>
      <x:c r="I476" s="36" t="str">
        <x:v>New Initiative</x:v>
      </x:c>
      <x:c r="J476" s="38" t="n">
        <x:v>0.25</x:v>
      </x:c>
      <x:c r="K476" s="38"/>
      <x:c r="L476" s="38"/>
      <x:c r="M476" s="38"/>
      <x:c r="N476" s="38"/>
      <x:c r="O476" s="38"/>
      <x:c r="P476" s="37" t="str">
        <x:v>NA</x:v>
      </x:c>
      <x:c r="Q476" s="37" t="str">
        <x:v>Unclassified</x:v>
      </x:c>
      <x:c r="R476" s="37" t="str">
        <x:v>This is the China version of Legal Engage Platform due to non-compliance of data hosting for Engage. Combined with replacemnet/decommision of a currently non-compliant event + GBP review tool hosted on Japan SFDC (ePR).</x:v>
      </x:c>
      <x:c r="S476" s="37" t="str"/>
      <x:c r="T476" s="37" t="str"/>
      <x:c r="U476" s="37" t="str"/>
      <x:c r="V476" s="36" t="str">
        <x:v>2027</x:v>
      </x:c>
      <x:c r="W476" s="36" t="str">
        <x:v>GBP, PIPL, CBDT</x:v>
      </x:c>
      <x:c r="X476" s="36" t="n">
        <x:v>1.55</x:v>
      </x:c>
      <x:c r="Y476" s="36" t="str">
        <x:v>HEALTHY</x:v>
      </x:c>
      <x:c r="Z476" s="36" t="str">
        <x:v>YES</x:v>
      </x:c>
      <x:c r="AA476" s="36" t="str">
        <x:v>5 — Exactly the minimum — only what's needed to meet the rule, nothing more.</x:v>
      </x:c>
      <x:c r="AB476" s="36" t="n">
        <x:v>5</x:v>
      </x:c>
      <x:c r="AC476" s="36" t="n">
        <x:v>15</x:v>
      </x:c>
      <x:c r="AD476" s="36" t="str">
        <x:v>P1 — Immediate</x:v>
      </x:c>
      <x:c r="AE476" s="36" t="str">
        <x:v>HEALTHY / MUST-DO — P1 — Immediate</x:v>
      </x:c>
      <x:c r="AF476" s="36" t="str">
        <x:v>Name and organisation matched</x:v>
      </x:c>
      <x:c r="AG476" s="36" t="str">
        <x:v>LFR validated candidate</x:v>
      </x:c>
      <x:c r="AH476" s="36" t="str">
        <x:v>EW Demand!row 273</x:v>
      </x:c>
      <x:c r="AI476" s="36" t="str">
        <x:v>Decomm</x:v>
      </x:c>
      <x:c r="AJ476" s="36" t="str">
        <x:v>Blank</x:v>
      </x:c>
      <x:c r="AK476" s="36" t="str">
        <x:v>Must Have</x:v>
      </x:c>
      <x:c r="AL476" s="36" t="n">
        <x:v>0</x:v>
      </x:c>
      <x:c r="AM476" s="36" t="n">
        <x:v>0</x:v>
      </x:c>
      <x:c r="AN476" s="43"/>
      <x:c r="AO476" s="43"/>
      <x:c r="AP476" s="43"/>
    </x:row>
    <x:row r="477" ht="15" hidden="0" customHeight="1">
      <x:c r="A477" s="36" t="str">
        <x:v>EW-155</x:v>
      </x:c>
      <x:c r="B477" s="37" t="str">
        <x:v>CRMA and Qlikview Decom - Commercial Analytics</x:v>
      </x:c>
      <x:c r="C477" s="36" t="str">
        <x:v>EW</x:v>
      </x:c>
      <x:c r="D477" s="36" t="str">
        <x:v>Information Technology ​</x:v>
      </x:c>
      <x:c r="E477" s="36" t="str">
        <x:v>New</x:v>
      </x:c>
      <x:c r="F477" s="36" t="str">
        <x:v>Decomm/Replatforming</x:v>
      </x:c>
      <x:c r="G477" s="36" t="str">
        <x:v>Productivity savings</x:v>
      </x:c>
      <x:c r="H477" s="36" t="str">
        <x:v>Must Have</x:v>
      </x:c>
      <x:c r="I477" s="36" t="str">
        <x:v>New Initiative</x:v>
      </x:c>
      <x:c r="J477" s="38" t="n">
        <x:v>0.15</x:v>
      </x:c>
      <x:c r="K477" s="38"/>
      <x:c r="L477" s="38"/>
      <x:c r="M477" s="38"/>
      <x:c r="N477" s="38"/>
      <x:c r="O477" s="38" t="n">
        <x:v>0.77</x:v>
      </x:c>
      <x:c r="P477" s="37" t="str">
        <x:v>770</x:v>
      </x:c>
      <x:c r="Q477" s="37" t="str">
        <x:v>Cash savings</x:v>
      </x:c>
      <x:c r="R477" s="37" t="str">
        <x:v>License and maintenance cost reduction in line with our Ops spend reduction</x:v>
      </x:c>
      <x:c r="S477" s="37" t="str">
        <x:v>Use context-aware AI nudges to give leaders and employees timely onboarding actions, improving accountability, consistency and the new-hire experience.</x:v>
      </x:c>
      <x:c r="T477" s="37" t="str">
        <x:v>Replace generic onboarding messages with timely, milestone-based AI guidance.</x:v>
      </x:c>
      <x:c r="U477" s="37" t="str"/>
      <x:c r="V477" s="36" t="str"/>
      <x:c r="W477" s="36" t="str"/>
      <x:c r="X477" s="36" t="n">
        <x:v>1.45</x:v>
      </x:c>
      <x:c r="Y477" s="36" t="str">
        <x:v>HEALTHY</x:v>
      </x:c>
      <x:c r="Z477" s="36" t="str"/>
      <x:c r="AA477" s="36" t="str"/>
      <x:c r="AB477" s="36"/>
      <x:c r="AC477" s="36"/>
      <x:c r="AD477" s="36" t="str"/>
      <x:c r="AE477" s="36" t="str">
        <x:v>HEALTHY — Rank in priority matrix</x:v>
      </x:c>
      <x:c r="AF477" s="36" t="str">
        <x:v>Name and organisation matched</x:v>
      </x:c>
      <x:c r="AG477" s="36" t="str">
        <x:v>Common pot</x:v>
      </x:c>
      <x:c r="AH477" s="36" t="str">
        <x:v>EW Demand!row 274</x:v>
      </x:c>
      <x:c r="AI477" s="36" t="str">
        <x:v>Decomm</x:v>
      </x:c>
      <x:c r="AJ477" s="36" t="str">
        <x:v>Productivity</x:v>
      </x:c>
      <x:c r="AK477" s="36" t="str">
        <x:v>Must Have</x:v>
      </x:c>
      <x:c r="AL477" s="36" t="n">
        <x:v>0</x:v>
      </x:c>
      <x:c r="AM477" s="36" t="n">
        <x:v>0</x:v>
      </x:c>
      <x:c r="AN477" s="43"/>
      <x:c r="AO477" s="43"/>
      <x:c r="AP477" s="43"/>
    </x:row>
    <x:row r="478" ht="15" hidden="0" customHeight="1">
      <x:c r="A478" s="36" t="str">
        <x:v>EW-156</x:v>
      </x:c>
      <x:c r="B478" s="37" t="str">
        <x:v>Philips Skills Framework </x:v>
      </x:c>
      <x:c r="C478" s="36" t="str">
        <x:v>EW</x:v>
      </x:c>
      <x:c r="D478" s="36" t="str">
        <x:v>People function​</x:v>
      </x:c>
      <x:c r="E478" s="36" t="str">
        <x:v>New</x:v>
      </x:c>
      <x:c r="F478" s="36" t="str">
        <x:v>Continuous Improvement</x:v>
      </x:c>
      <x:c r="G478" s="36" t="str">
        <x:v>Process simplification/ efficiency gain</x:v>
      </x:c>
      <x:c r="H478" s="36" t="str">
        <x:v>Must Have</x:v>
      </x:c>
      <x:c r="I478" s="36" t="str">
        <x:v>New Initiative</x:v>
      </x:c>
      <x:c r="J478" s="38" t="n">
        <x:v>0.3</x:v>
      </x:c>
      <x:c r="K478" s="38"/>
      <x:c r="L478" s="38"/>
      <x:c r="M478" s="38"/>
      <x:c r="N478" s="38"/>
      <x:c r="O478" s="38"/>
      <x:c r="P478" s="37" t="str">
        <x:v>Soft Benefit</x:v>
      </x:c>
      <x:c r="Q478" s="37" t="str">
        <x:v>Cash savings</x:v>
      </x:c>
      <x:c r="R478" s="37" t="str">
        <x:v>Strategic priorities of PF will not be met.</x:v>
      </x:c>
      <x:c r="S478" s="37" t="str">
        <x:v>Create one skills framework across jobs, hiring, onboarding, learning, performance and possibly rewards. The cross-portfolio vision still needs definition; Antoine is interim owner.</x:v>
      </x:c>
      <x:c r="T478" s="37" t="str">
        <x:v>Once defined, integrate the skills framework across systems and add new systems if needed.</x:v>
      </x:c>
      <x:c r="U478" s="37" t="str">
        <x:v>None</x:v>
      </x:c>
      <x:c r="V478" s="36" t="str"/>
      <x:c r="W478" s="36" t="str"/>
      <x:c r="X478" s="36" t="n">
        <x:v>2.5</x:v>
      </x:c>
      <x:c r="Y478" s="36" t="str">
        <x:v>CONTAIN</x:v>
      </x:c>
      <x:c r="Z478" s="36" t="str"/>
      <x:c r="AA478" s="36" t="str"/>
      <x:c r="AB478" s="36"/>
      <x:c r="AC478" s="36"/>
      <x:c r="AD478" s="36" t="str"/>
      <x:c r="AE478" s="36" t="str">
        <x:v>CONTAIN — Conditions</x:v>
      </x:c>
      <x:c r="AF478" s="36" t="str">
        <x:v>Name and organisation matched</x:v>
      </x:c>
      <x:c r="AG478" s="36" t="str">
        <x:v>Common pot</x:v>
      </x:c>
      <x:c r="AH478" s="36" t="str">
        <x:v>EW Demand!row 275</x:v>
      </x:c>
      <x:c r="AI478" s="36" t="str">
        <x:v>CI</x:v>
      </x:c>
      <x:c r="AJ478" s="36" t="str">
        <x:v>ProcSimp</x:v>
      </x:c>
      <x:c r="AK478" s="36" t="str">
        <x:v>Must Have</x:v>
      </x:c>
      <x:c r="AL478" s="36" t="n">
        <x:v>0</x:v>
      </x:c>
      <x:c r="AM478" s="36" t="n">
        <x:v>0</x:v>
      </x:c>
      <x:c r="AN478" s="43"/>
      <x:c r="AO478" s="43"/>
      <x:c r="AP478" s="43"/>
    </x:row>
    <x:row r="479" ht="15" hidden="0" customHeight="1">
      <x:c r="A479" s="36" t="str">
        <x:v>EW-157</x:v>
      </x:c>
      <x:c r="B479" s="37" t="str">
        <x:v>PPM</x:v>
      </x:c>
      <x:c r="C479" s="36" t="str">
        <x:v>EW</x:v>
      </x:c>
      <x:c r="D479" s="36" t="str">
        <x:v>People function​</x:v>
      </x:c>
      <x:c r="E479" s="36" t="str">
        <x:v>New</x:v>
      </x:c>
      <x:c r="F479" s="36" t="str">
        <x:v>Continuous Improvement</x:v>
      </x:c>
      <x:c r="G479" s="36" t="str">
        <x:v>Process simplification/ efficiency gain</x:v>
      </x:c>
      <x:c r="H479" s="36" t="str">
        <x:v>Must Do</x:v>
      </x:c>
      <x:c r="I479" s="36" t="str">
        <x:v>New Initiative</x:v>
      </x:c>
      <x:c r="J479" s="38" t="n">
        <x:v>0.195</x:v>
      </x:c>
      <x:c r="K479" s="38"/>
      <x:c r="L479" s="38"/>
      <x:c r="M479" s="38"/>
      <x:c r="N479" s="38"/>
      <x:c r="O479" s="38"/>
      <x:c r="P479" s="37" t="str">
        <x:v>Soft Benefit</x:v>
      </x:c>
      <x:c r="Q479" s="37" t="str">
        <x:v>Cash savings</x:v>
      </x:c>
      <x:c r="R479" s="37" t="str">
        <x:v>Strategic priorities of PF will not be met.</x:v>
      </x:c>
      <x:c r="S479" s="37" t="str">
        <x:v>Improve performance during the year through reviews, development and guidance, while meeting governance and local requirements.</x:v>
      </x:c>
      <x:c r="T479" s="37" t="str">
        <x:v>Unify performance activities and add AI summaries, personalized guidance, possible Career Hub integration and updated P&amp;D expectations.</x:v>
      </x:c>
      <x:c r="U479" s="37" t="str">
        <x:v>None</x:v>
      </x:c>
      <x:c r="V479" s="36" t="str"/>
      <x:c r="W479" s="36" t="str"/>
      <x:c r="X479" s="36" t="n">
        <x:v>1.7</x:v>
      </x:c>
      <x:c r="Y479" s="36" t="str">
        <x:v>HEALTHY</x:v>
      </x:c>
      <x:c r="Z479" s="36" t="str"/>
      <x:c r="AA479" s="36" t="str"/>
      <x:c r="AB479" s="36"/>
      <x:c r="AC479" s="36"/>
      <x:c r="AD479" s="36" t="str"/>
      <x:c r="AE479" s="36" t="str">
        <x:v>HEALTHY — Rank in priority matrix</x:v>
      </x:c>
      <x:c r="AF479" s="36" t="str">
        <x:v>Name and organisation matched</x:v>
      </x:c>
      <x:c r="AG479" s="36" t="str">
        <x:v>Common pot</x:v>
      </x:c>
      <x:c r="AH479" s="36" t="str">
        <x:v>EW Demand!row 276</x:v>
      </x:c>
      <x:c r="AI479" s="36" t="str">
        <x:v>CI</x:v>
      </x:c>
      <x:c r="AJ479" s="36" t="str">
        <x:v>ProcSimp</x:v>
      </x:c>
      <x:c r="AK479" s="36" t="str">
        <x:v>Must Do</x:v>
      </x:c>
      <x:c r="AL479" s="36" t="n">
        <x:v>0</x:v>
      </x:c>
      <x:c r="AM479" s="36" t="n">
        <x:v>0</x:v>
      </x:c>
      <x:c r="AN479" s="43"/>
      <x:c r="AO479" s="43"/>
      <x:c r="AP479" s="43"/>
    </x:row>
    <x:row r="480" ht="15" hidden="0" customHeight="1">
      <x:c r="A480" s="36" t="str">
        <x:v>EW-158</x:v>
      </x:c>
      <x:c r="B480" s="37" t="str">
        <x:v>Scheduling</x:v>
      </x:c>
      <x:c r="C480" s="36" t="str">
        <x:v>EW</x:v>
      </x:c>
      <x:c r="D480" s="36" t="str">
        <x:v>People function​</x:v>
      </x:c>
      <x:c r="E480" s="36" t="str">
        <x:v>New</x:v>
      </x:c>
      <x:c r="F480" s="36" t="str">
        <x:v>Continuous Improvement</x:v>
      </x:c>
      <x:c r="G480" s="36" t="str">
        <x:v>Productivity savings</x:v>
      </x:c>
      <x:c r="H480" s="36" t="str">
        <x:v>Must Do</x:v>
      </x:c>
      <x:c r="I480" s="36" t="str">
        <x:v>New Initiative</x:v>
      </x:c>
      <x:c r="J480" s="38" t="n">
        <x:v>0.05</x:v>
      </x:c>
      <x:c r="K480" s="38"/>
      <x:c r="L480" s="38"/>
      <x:c r="M480" s="38"/>
      <x:c r="N480" s="38"/>
      <x:c r="O480" s="38" t="n">
        <x:v>0.1</x:v>
      </x:c>
      <x:c r="P480" s="37" t="str">
        <x:v>100</x:v>
      </x:c>
      <x:c r="Q480" s="37" t="str">
        <x:v>Cash savings</x:v>
      </x:c>
      <x:c r="R480" s="37" t="str">
        <x:v>Productivity targets will not be met and thereby forfeit Business case worth of 100K</x:v>
      </x:c>
      <x:c r="S480" s="37" t="str"/>
      <x:c r="T480" s="37" t="str">
        <x:v>Expand automated interview scheduling and fix regional process and coordinator gaps.</x:v>
      </x:c>
      <x:c r="U480" s="37" t="str">
        <x:v>None</x:v>
      </x:c>
      <x:c r="V480" s="36" t="str"/>
      <x:c r="W480" s="36" t="str"/>
      <x:c r="X480" s="36" t="n">
        <x:v>1.35</x:v>
      </x:c>
      <x:c r="Y480" s="36" t="str">
        <x:v>HEALTHY</x:v>
      </x:c>
      <x:c r="Z480" s="36" t="str"/>
      <x:c r="AA480" s="36" t="str"/>
      <x:c r="AB480" s="36"/>
      <x:c r="AC480" s="36"/>
      <x:c r="AD480" s="36" t="str"/>
      <x:c r="AE480" s="36" t="str">
        <x:v>HEALTHY — Rank in priority matrix</x:v>
      </x:c>
      <x:c r="AF480" s="36" t="str">
        <x:v>Name and organisation matched</x:v>
      </x:c>
      <x:c r="AG480" s="36" t="str">
        <x:v>Common pot</x:v>
      </x:c>
      <x:c r="AH480" s="36" t="str">
        <x:v>EW Demand!row 277</x:v>
      </x:c>
      <x:c r="AI480" s="36" t="str">
        <x:v>CI</x:v>
      </x:c>
      <x:c r="AJ480" s="36" t="str">
        <x:v>Productivity</x:v>
      </x:c>
      <x:c r="AK480" s="36" t="str">
        <x:v>Must Do</x:v>
      </x:c>
      <x:c r="AL480" s="36" t="n">
        <x:v>0</x:v>
      </x:c>
      <x:c r="AM480" s="36" t="n">
        <x:v>0</x:v>
      </x:c>
      <x:c r="AN480" s="43"/>
      <x:c r="AO480" s="43"/>
      <x:c r="AP480" s="43"/>
    </x:row>
    <x:row r="481" ht="15" hidden="0" customHeight="1">
      <x:c r="A481" s="36" t="str">
        <x:v>EW-159</x:v>
      </x:c>
      <x:c r="B481" s="37" t="str">
        <x:v>Sourcing </x:v>
      </x:c>
      <x:c r="C481" s="36" t="str">
        <x:v>EW</x:v>
      </x:c>
      <x:c r="D481" s="36" t="str">
        <x:v>People function​</x:v>
      </x:c>
      <x:c r="E481" s="36" t="str">
        <x:v>New</x:v>
      </x:c>
      <x:c r="F481" s="36" t="str">
        <x:v>Continuous Improvement</x:v>
      </x:c>
      <x:c r="G481" s="36" t="str">
        <x:v>Process simplification/ efficiency gain</x:v>
      </x:c>
      <x:c r="H481" s="36" t="str">
        <x:v>Must Have</x:v>
      </x:c>
      <x:c r="I481" s="36" t="str">
        <x:v>New Initiative</x:v>
      </x:c>
      <x:c r="J481" s="38" t="n">
        <x:v>0.129</x:v>
      </x:c>
      <x:c r="K481" s="38"/>
      <x:c r="L481" s="38"/>
      <x:c r="M481" s="38"/>
      <x:c r="N481" s="38"/>
      <x:c r="O481" s="38"/>
      <x:c r="P481" s="37" t="str">
        <x:v>Soft Benefit</x:v>
      </x:c>
      <x:c r="Q481" s="37" t="str">
        <x:v>Cash savings</x:v>
      </x:c>
      <x:c r="R481" s="37" t="str">
        <x:v>Strategic priorities of PF will not be met.</x:v>
      </x:c>
      <x:c r="S481" s="37" t="str">
        <x:v>Maintain compliant talent pipelines for critical roles and scarce skills.</x:v>
      </x:c>
      <x:c r="T481" s="37" t="str">
        <x:v>Use connected workforce data, Avature and AI to strengthen pipelines, reduce agency reliance and forecast demand.</x:v>
      </x:c>
      <x:c r="U481" s="37" t="str">
        <x:v>None</x:v>
      </x:c>
      <x:c r="V481" s="36" t="str"/>
      <x:c r="W481" s="36" t="str"/>
      <x:c r="X481" s="36" t="n">
        <x:v>1.7</x:v>
      </x:c>
      <x:c r="Y481" s="36" t="str">
        <x:v>HEALTHY</x:v>
      </x:c>
      <x:c r="Z481" s="36" t="str"/>
      <x:c r="AA481" s="36" t="str"/>
      <x:c r="AB481" s="36"/>
      <x:c r="AC481" s="36"/>
      <x:c r="AD481" s="36" t="str"/>
      <x:c r="AE481" s="36" t="str">
        <x:v>HEALTHY — Rank in priority matrix</x:v>
      </x:c>
      <x:c r="AF481" s="36" t="str">
        <x:v>Name and organisation matched</x:v>
      </x:c>
      <x:c r="AG481" s="36" t="str">
        <x:v>Common pot</x:v>
      </x:c>
      <x:c r="AH481" s="36" t="str">
        <x:v>EW Demand!row 278</x:v>
      </x:c>
      <x:c r="AI481" s="36" t="str">
        <x:v>CI</x:v>
      </x:c>
      <x:c r="AJ481" s="36" t="str">
        <x:v>ProcSimp</x:v>
      </x:c>
      <x:c r="AK481" s="36" t="str">
        <x:v>Must Have</x:v>
      </x:c>
      <x:c r="AL481" s="36" t="n">
        <x:v>0</x:v>
      </x:c>
      <x:c r="AM481" s="36" t="n">
        <x:v>0</x:v>
      </x:c>
      <x:c r="AN481" s="43"/>
      <x:c r="AO481" s="43"/>
      <x:c r="AP481" s="43"/>
    </x:row>
    <x:row r="482" ht="15" hidden="0" customHeight="1">
      <x:c r="A482" s="36" t="str">
        <x:v>EW-160</x:v>
      </x:c>
      <x:c r="B482" s="37" t="str">
        <x:v>Well-being Insights Platform</x:v>
      </x:c>
      <x:c r="C482" s="36" t="str">
        <x:v>EW</x:v>
      </x:c>
      <x:c r="D482" s="36" t="str">
        <x:v>People function​</x:v>
      </x:c>
      <x:c r="E482" s="36" t="str">
        <x:v>New</x:v>
      </x:c>
      <x:c r="F482" s="36" t="str">
        <x:v>Continuous Improvement</x:v>
      </x:c>
      <x:c r="G482" s="36" t="str">
        <x:v>Process simplification/ efficiency gain</x:v>
      </x:c>
      <x:c r="H482" s="36" t="str">
        <x:v>Must Have</x:v>
      </x:c>
      <x:c r="I482" s="36" t="str">
        <x:v>New Initiative</x:v>
      </x:c>
      <x:c r="J482" s="38" t="n">
        <x:v>0.075</x:v>
      </x:c>
      <x:c r="K482" s="38"/>
      <x:c r="L482" s="38"/>
      <x:c r="M482" s="38"/>
      <x:c r="N482" s="38"/>
      <x:c r="O482" s="38"/>
      <x:c r="P482" s="37" t="str">
        <x:v>Soft Benefit</x:v>
      </x:c>
      <x:c r="Q482" s="37" t="str">
        <x:v>Cash savings</x:v>
      </x:c>
      <x:c r="R482" s="37" t="str">
        <x:v>Strategic priorities of PF will not be met.</x:v>
      </x:c>
      <x:c r="S482" s="37" t="str">
        <x:v>Maintain compliant workforce, absence and wellbeing reporting.</x:v>
      </x:c>
      <x:c r="T482" s="37" t="str">
        <x:v>Create a predictive Well-being Insights Platform to identify risks, track costs and trends, and guide action.</x:v>
      </x:c>
      <x:c r="U482" s="37" t="str">
        <x:v>None</x:v>
      </x:c>
      <x:c r="V482" s="36" t="str"/>
      <x:c r="W482" s="36" t="str"/>
      <x:c r="X482" s="36" t="n">
        <x:v>1.7</x:v>
      </x:c>
      <x:c r="Y482" s="36" t="str">
        <x:v>HEALTHY</x:v>
      </x:c>
      <x:c r="Z482" s="36" t="str"/>
      <x:c r="AA482" s="36" t="str"/>
      <x:c r="AB482" s="36"/>
      <x:c r="AC482" s="36"/>
      <x:c r="AD482" s="36" t="str"/>
      <x:c r="AE482" s="36" t="str">
        <x:v>HEALTHY — Rank in priority matrix</x:v>
      </x:c>
      <x:c r="AF482" s="36" t="str">
        <x:v>Name and organisation matched</x:v>
      </x:c>
      <x:c r="AG482" s="36" t="str">
        <x:v>Common pot</x:v>
      </x:c>
      <x:c r="AH482" s="36" t="str">
        <x:v>EW Demand!row 279</x:v>
      </x:c>
      <x:c r="AI482" s="36" t="str">
        <x:v>CI</x:v>
      </x:c>
      <x:c r="AJ482" s="36" t="str">
        <x:v>ProcSimp</x:v>
      </x:c>
      <x:c r="AK482" s="36" t="str">
        <x:v>Must Have</x:v>
      </x:c>
      <x:c r="AL482" s="36" t="n">
        <x:v>0</x:v>
      </x:c>
      <x:c r="AM482" s="36" t="n">
        <x:v>0</x:v>
      </x:c>
      <x:c r="AN482" s="43"/>
      <x:c r="AO482" s="43"/>
      <x:c r="AP482" s="43"/>
    </x:row>
    <x:row r="483" ht="15" hidden="0" customHeight="1">
      <x:c r="A483" s="36" t="str">
        <x:v>EW-161</x:v>
      </x:c>
      <x:c r="B483" s="37" t="str">
        <x:v>Regina AI - GCR NMPA Submission Assistant for Regulatory Affair</x:v>
      </x:c>
      <x:c r="C483" s="36" t="str">
        <x:v>EW</x:v>
      </x:c>
      <x:c r="D483" s="36" t="str">
        <x:v>Greater China </x:v>
      </x:c>
      <x:c r="E483" s="36" t="str">
        <x:v>New</x:v>
      </x:c>
      <x:c r="F483" s="36" t="str">
        <x:v>Continuous Improvement</x:v>
      </x:c>
      <x:c r="G483" s="36" t="str">
        <x:v>Productivity savings</x:v>
      </x:c>
      <x:c r="H483" s="36" t="str">
        <x:v>Must Have</x:v>
      </x:c>
      <x:c r="I483" s="36" t="str">
        <x:v>Change &amp; Sustain</x:v>
      </x:c>
      <x:c r="J483" s="38" t="n">
        <x:v>0.15</x:v>
      </x:c>
      <x:c r="K483" s="38"/>
      <x:c r="L483" s="38"/>
      <x:c r="M483" s="38"/>
      <x:c r="N483" s="38"/>
      <x:c r="O483" s="38"/>
      <x:c r="P483" s="37" t="str">
        <x:v>NA</x:v>
      </x:c>
      <x:c r="Q483" s="37" t="str">
        <x:v>Cash savings</x:v>
      </x:c>
      <x:c r="R483" s="37" t="str">
        <x:v>Delayed product registration for China FDA</x:v>
      </x:c>
      <x:c r="S483" s="37" t="str">
        <x:v>Already developed 2 modules that already significantly improved the speed for regulatory submission. Need to embed E2E into workflow to make it useful and scalable</x:v>
      </x:c>
      <x:c r="T483" s="37" t="str">
        <x: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x:v>
      </x:c>
      <x:c r="U483" s="37" t="str"/>
      <x:c r="V483" s="36" t="str">
        <x:v>2026</x:v>
      </x:c>
      <x:c r="W483" s="36" t="str">
        <x:v>NMPA</x:v>
      </x:c>
      <x:c r="X483" s="36"/>
      <x:c r="Y483" s="36" t="str">
        <x:v>NotAssessed</x:v>
      </x:c>
      <x:c r="Z483" s="36" t="str"/>
      <x:c r="AA483" s="36" t="str"/>
      <x:c r="AB483" s="36"/>
      <x:c r="AC483" s="36"/>
      <x:c r="AD483" s="36" t="str"/>
      <x:c r="AE483" s="36" t="str"/>
      <x:c r="AF483" s="36" t="str">
        <x:v>No exact waste match</x:v>
      </x:c>
      <x:c r="AG483" s="36" t="str">
        <x:v>Change and Sustain candidate</x:v>
      </x:c>
      <x:c r="AH483" s="36" t="str">
        <x:v>EW Demand!row 280</x:v>
      </x:c>
      <x:c r="AI483" s="36" t="str">
        <x:v>CI</x:v>
      </x:c>
      <x:c r="AJ483" s="36" t="str">
        <x:v>Productivity</x:v>
      </x:c>
      <x:c r="AK483" s="36" t="str">
        <x:v>Must Have</x:v>
      </x:c>
      <x:c r="AL483" s="36" t="n">
        <x:v>0</x:v>
      </x:c>
      <x:c r="AM483" s="36" t="n">
        <x:v>0</x:v>
      </x:c>
      <x:c r="AN483" s="43"/>
      <x:c r="AO483" s="43"/>
      <x:c r="AP483" s="43"/>
    </x:row>
    <x:row r="484" ht="15" hidden="0" customHeight="1">
      <x:c r="A484" s="36" t="str">
        <x:v>EW-162</x:v>
      </x:c>
      <x:c r="B484" s="37" t="str">
        <x:v>Quality AI for GCR Adverse Event Report and Post Market Vigilance</x:v>
      </x:c>
      <x:c r="C484" s="36" t="str">
        <x:v>EW</x:v>
      </x:c>
      <x:c r="D484" s="36" t="str">
        <x:v>Patient Safety &amp; Quality</x:v>
      </x:c>
      <x:c r="E484" s="36" t="str">
        <x:v>New</x:v>
      </x:c>
      <x:c r="F484" s="36" t="str">
        <x:v>New Technology</x:v>
      </x:c>
      <x:c r="G484" s="36" t="str">
        <x:v>Process simplification/ efficiency gain</x:v>
      </x:c>
      <x:c r="H484" s="36" t="str">
        <x:v>Must Have</x:v>
      </x:c>
      <x:c r="I484" s="36" t="str">
        <x:v>New Initiative</x:v>
      </x:c>
      <x:c r="J484" s="38" t="n">
        <x:v>0.35</x:v>
      </x:c>
      <x:c r="K484" s="38"/>
      <x:c r="L484" s="38"/>
      <x:c r="M484" s="38"/>
      <x:c r="N484" s="38"/>
      <x:c r="O484" s="38" t="n">
        <x:v>1</x:v>
      </x:c>
      <x:c r="P484" s="37" t="str">
        <x:v>1000</x:v>
      </x:c>
      <x:c r="Q484" s="37" t="str">
        <x:v>Cash savings</x:v>
      </x:c>
      <x:c r="R484" s="37" t="str">
        <x:v>Addtional 25 incremental FTE requirement (~ EUR 1M+), not able to have required high quality of quality issue reporting, not able to provide audit traceability, no risk-trend analysis and earlier detection of quality-risk signals.</x:v>
      </x:c>
      <x:c r="S484" s="37" t="str">
        <x:v>Manual fragmented effort for post market quality incidents that takes lots of wasted time, inefficient &amp; introduced human error</x:v>
      </x:c>
      <x:c r="T484" s="37" t="str">
        <x: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x:v>
      </x:c>
      <x:c r="U484" s="37" t="str"/>
      <x:c r="V484" s="36" t="str">
        <x:v>2027</x:v>
      </x:c>
      <x:c r="W484" s="36" t="str">
        <x:v>CAPA</x:v>
      </x:c>
      <x:c r="X484" s="36" t="n">
        <x:v>1.15</x:v>
      </x:c>
      <x:c r="Y484" s="36" t="str">
        <x:v>HEALTHY</x:v>
      </x:c>
      <x:c r="Z484" s="36" t="str">
        <x:v>YES</x:v>
      </x:c>
      <x:c r="AA484" s="36" t="str">
        <x:v>5 — Exactly the minimum — only what's needed to meet the rule, nothing more.</x:v>
      </x:c>
      <x:c r="AB484" s="36" t="n">
        <x:v>5</x:v>
      </x:c>
      <x:c r="AC484" s="36" t="n">
        <x:v>25</x:v>
      </x:c>
      <x:c r="AD484" s="36" t="str">
        <x:v>P1 — Immediate</x:v>
      </x:c>
      <x:c r="AE484" s="36" t="str">
        <x:v>HEALTHY / MUST-DO — P1 — Immediate</x:v>
      </x:c>
      <x:c r="AF484" s="36" t="str">
        <x:v>Name and organisation matched</x:v>
      </x:c>
      <x:c r="AG484" s="36" t="str">
        <x:v>LFR validated candidate</x:v>
      </x:c>
      <x:c r="AH484" s="36" t="str">
        <x:v>EW Demand!row 281</x:v>
      </x:c>
      <x:c r="AI484" s="36" t="str">
        <x:v>NewTech</x:v>
      </x:c>
      <x:c r="AJ484" s="36" t="str">
        <x:v>ProcSimp</x:v>
      </x:c>
      <x:c r="AK484" s="36" t="str">
        <x:v>Must Have</x:v>
      </x:c>
      <x:c r="AL484" s="36" t="n">
        <x:v>0</x:v>
      </x:c>
      <x:c r="AM484" s="36" t="n">
        <x:v>0</x:v>
      </x:c>
      <x:c r="AN484" s="43"/>
      <x:c r="AO484" s="43"/>
      <x:c r="AP484" s="43"/>
    </x:row>
    <x:row r="485" ht="24" hidden="0" customHeight="1">
      <x:c r="A485" s="36" t="str">
        <x:v>EW-163</x:v>
      </x:c>
      <x:c r="B485" s="37" t="str">
        <x:v>Master Data Clean up, Harmonization &amp; Data Stweart for HS &amp; PH (incl. mainland, TW, HK split) for IT SoX readiness, Key Reports</x:v>
      </x:c>
      <x:c r="C485" s="36" t="str">
        <x:v>EW</x:v>
      </x:c>
      <x:c r="D485" s="36" t="str">
        <x:v>Greater China </x:v>
      </x:c>
      <x:c r="E485" s="36" t="str">
        <x:v>New</x:v>
      </x:c>
      <x:c r="F485" s="36" t="str">
        <x:v>Legal Fiscal, Regulatory &amp; Compliancy</x:v>
      </x:c>
      <x:c r="G485" s="36" t="str">
        <x:v>Compliance/Keeping the lights on</x:v>
      </x:c>
      <x:c r="H485" s="36" t="str">
        <x:v>Must Have</x:v>
      </x:c>
      <x:c r="I485" s="36" t="str">
        <x:v>New Initiative</x:v>
      </x:c>
      <x:c r="J485" s="38" t="n">
        <x:v>0.1</x:v>
      </x:c>
      <x:c r="K485" s="38"/>
      <x:c r="L485" s="38"/>
      <x:c r="M485" s="38"/>
      <x:c r="N485" s="38"/>
      <x:c r="O485" s="38"/>
      <x:c r="P485" s="37" t="str">
        <x:v>NA</x:v>
      </x:c>
      <x:c r="Q485" s="37" t="str">
        <x:v>Risk exposure</x:v>
      </x:c>
      <x:c r="R485" s="37" t="str">
        <x:v>Wrong data generate issue across various systems and reporting, incl SOX related systems. Not able to empower AI usages since garbage in garbage out</x:v>
      </x:c>
      <x:c r="S485" s="37" t="str"/>
      <x:c r="T485" s="37" t="str"/>
      <x:c r="U485" s="37" t="str"/>
      <x:c r="V485" s="36" t="str">
        <x:v>2026</x:v>
      </x:c>
      <x:c r="W485" s="36" t="str">
        <x:v>SoX</x:v>
      </x:c>
      <x:c r="X485" s="36" t="n">
        <x:v>1.15</x:v>
      </x:c>
      <x:c r="Y485" s="36" t="str">
        <x:v>HEALTHY</x:v>
      </x:c>
      <x:c r="Z485" s="36" t="str">
        <x:v>YES</x:v>
      </x:c>
      <x:c r="AA485" s="36" t="str">
        <x:v>5 — Exactly the minimum — only what's needed to meet the rule, nothing more.</x:v>
      </x:c>
      <x:c r="AB485" s="36" t="n">
        <x:v>5</x:v>
      </x:c>
      <x:c r="AC485" s="36" t="n">
        <x:v>25</x:v>
      </x:c>
      <x:c r="AD485" s="36" t="str">
        <x:v>P1 — Immediate</x:v>
      </x:c>
      <x:c r="AE485" s="36" t="str">
        <x:v>HEALTHY / MUST-DO — P1 — Immediate</x:v>
      </x:c>
      <x:c r="AF485" s="36" t="str">
        <x:v>Name and organisation matched</x:v>
      </x:c>
      <x:c r="AG485" s="36" t="str">
        <x:v>LFR validated candidate</x:v>
      </x:c>
      <x:c r="AH485" s="36" t="str">
        <x:v>EW Demand!row 283</x:v>
      </x:c>
      <x:c r="AI485" s="36" t="str">
        <x:v>LFR</x:v>
      </x:c>
      <x:c r="AJ485" s="36" t="str">
        <x:v>Compliance</x:v>
      </x:c>
      <x:c r="AK485" s="36" t="str">
        <x:v>Must Have</x:v>
      </x:c>
      <x:c r="AL485" s="36" t="n">
        <x:v>0</x:v>
      </x:c>
      <x:c r="AM485" s="36" t="n">
        <x:v>0</x:v>
      </x:c>
      <x:c r="AN485" s="43"/>
      <x:c r="AO485" s="43"/>
      <x:c r="AP485" s="43"/>
    </x:row>
    <x:row r="486" ht="15" hidden="0" customHeight="1">
      <x:c r="A486" s="36" t="str">
        <x:v>EW-164</x:v>
      </x:c>
      <x:c r="B486" s="37" t="str">
        <x:v>Lexa AI - GCR Legal Review &amp; Compliance Assistant</x:v>
      </x:c>
      <x:c r="C486" s="36" t="str">
        <x:v>EW</x:v>
      </x:c>
      <x:c r="D486" s="36" t="str">
        <x:v>Legal​</x:v>
      </x:c>
      <x:c r="E486" s="36" t="str">
        <x:v>New</x:v>
      </x:c>
      <x:c r="F486" s="36" t="str">
        <x:v>Continuous Improvement</x:v>
      </x:c>
      <x:c r="G486" s="36" t="str">
        <x:v>Productivity savings</x:v>
      </x:c>
      <x:c r="H486" s="36" t="str">
        <x:v>Must Have</x:v>
      </x:c>
      <x:c r="I486" s="36" t="str"/>
      <x:c r="J486" s="38" t="n">
        <x:v>0.15</x:v>
      </x:c>
      <x:c r="K486" s="38"/>
      <x:c r="L486" s="38"/>
      <x:c r="M486" s="38"/>
      <x:c r="N486" s="38"/>
      <x:c r="O486" s="38"/>
      <x:c r="P486" s="37" t="str">
        <x:v>TBD</x:v>
      </x:c>
      <x:c r="Q486" s="37" t="str">
        <x:v>Cash savings</x:v>
      </x:c>
      <x:c r="R486" s="37" t="str">
        <x:v>Overdue legal reviews and law suit handling for contracts, partnerships and other business critical engagement that requires legal support</x:v>
      </x:c>
      <x:c r="S486" s="37" t="str">
        <x:v>Wasted time to search for the latest legal reference, review and compare notes on submitted document, track differences and provide timely feedback</x:v>
      </x:c>
      <x:c r="T486" s="37" t="str">
        <x:v>Lexa AI is an AI-powered Legal Contract Intelligence Platform that enables intelligent contract search, comparison, risk assessment, and clause recommendation, significantly improving legal productivity, compliance consistency, and contract review efficiency</x:v>
      </x:c>
      <x:c r="U486" s="37" t="str"/>
      <x:c r="V486" s="36" t="str"/>
      <x:c r="W486" s="36" t="str"/>
      <x:c r="X486" s="36" t="n">
        <x:v>1.15</x:v>
      </x:c>
      <x:c r="Y486" s="36" t="str">
        <x:v>HEALTHY</x:v>
      </x:c>
      <x:c r="Z486" s="36" t="str"/>
      <x:c r="AA486" s="36" t="str"/>
      <x:c r="AB486" s="36"/>
      <x:c r="AC486" s="36"/>
      <x:c r="AD486" s="36" t="str"/>
      <x:c r="AE486" s="36" t="str">
        <x:v>HEALTHY — Rank in priority matrix</x:v>
      </x:c>
      <x:c r="AF486" s="36" t="str">
        <x:v>Name and organisation matched</x:v>
      </x:c>
      <x:c r="AG486" s="36" t="str">
        <x:v>Common pot</x:v>
      </x:c>
      <x:c r="AH486" s="36" t="str">
        <x:v>EW Demand!row 284</x:v>
      </x:c>
      <x:c r="AI486" s="36" t="str">
        <x:v>CI</x:v>
      </x:c>
      <x:c r="AJ486" s="36" t="str">
        <x:v>Productivity</x:v>
      </x:c>
      <x:c r="AK486" s="36" t="str">
        <x:v>Must Have</x:v>
      </x:c>
      <x:c r="AL486" s="36" t="n">
        <x:v>0</x:v>
      </x:c>
      <x:c r="AM486" s="36" t="n">
        <x:v>0</x:v>
      </x:c>
      <x:c r="AN486" s="43"/>
      <x:c r="AO486" s="43"/>
      <x:c r="AP486" s="43"/>
    </x:row>
    <x:row r="487" ht="36" hidden="0" customHeight="1">
      <x:c r="A487" s="36" t="str">
        <x:v>EW-165</x:v>
      </x:c>
      <x:c r="B487" s="37" t="str">
        <x:v>Multiple GCR Application Enhancement (VAT Mainland, VAT Taiwan, VAT Hongkong, e-Invoice, T&amp;E company billing, EHS Lone woker, USB DLP for IP protection etc.)</x:v>
      </x:c>
      <x:c r="C487" s="36" t="str">
        <x:v>EW</x:v>
      </x:c>
      <x:c r="D487" s="36" t="str">
        <x:v>Greater China </x:v>
      </x:c>
      <x:c r="E487" s="36" t="str">
        <x:v>New</x:v>
      </x:c>
      <x:c r="F487" s="36" t="str">
        <x:v>Legal Fiscal, Regulatory &amp; Compliancy</x:v>
      </x:c>
      <x:c r="G487" s="36" t="str">
        <x:v>Compliance/Keeping the lights on</x:v>
      </x:c>
      <x:c r="H487" s="36" t="str">
        <x:v>Must Have</x:v>
      </x:c>
      <x:c r="I487" s="36" t="str"/>
      <x:c r="J487" s="38" t="n">
        <x:v>0.05</x:v>
      </x:c>
      <x:c r="K487" s="38"/>
      <x:c r="L487" s="38"/>
      <x:c r="M487" s="38"/>
      <x:c r="N487" s="38"/>
      <x:c r="O487" s="38"/>
      <x:c r="P487" s="37" t="str">
        <x:v>NA</x:v>
      </x:c>
      <x:c r="Q487" s="37" t="str">
        <x:v>Risk exposure</x:v>
      </x:c>
      <x:c r="R487" s="37" t="str">
        <x:v>Not able to comply with local tax/fiscal policy and requirements, &amp; security monitoring</x:v>
      </x:c>
      <x:c r="S487" s="37" t="str"/>
      <x:c r="T487" s="37" t="str"/>
      <x:c r="U487" s="37" t="str"/>
      <x:c r="V487" s="36" t="str"/>
      <x:c r="W487" s="36" t="str"/>
      <x:c r="X487" s="36" t="n">
        <x:v>1.5</x:v>
      </x:c>
      <x:c r="Y487" s="36" t="str">
        <x:v>HEALTHY</x:v>
      </x:c>
      <x:c r="Z487" s="36" t="str">
        <x:v>YES</x:v>
      </x:c>
      <x:c r="AA487" s="36" t="str">
        <x:v>5 — Exactly the minimum — only what's needed to meet the rule, nothing more.</x:v>
      </x:c>
      <x:c r="AB487" s="36" t="n">
        <x:v>5</x:v>
      </x:c>
      <x:c r="AC487" s="36" t="n">
        <x:v>15</x:v>
      </x:c>
      <x:c r="AD487" s="36" t="str">
        <x:v>P1 — Immediate</x:v>
      </x:c>
      <x:c r="AE487" s="36" t="str">
        <x:v>HEALTHY / MUST-DO — P1 — Immediate</x:v>
      </x:c>
      <x:c r="AF487" s="36" t="str">
        <x:v>Name and organisation matched</x:v>
      </x:c>
      <x:c r="AG487" s="36" t="str">
        <x:v>LFR validated candidate</x:v>
      </x:c>
      <x:c r="AH487" s="36" t="str">
        <x:v>EW Demand!row 285</x:v>
      </x:c>
      <x:c r="AI487" s="36" t="str">
        <x:v>LFR</x:v>
      </x:c>
      <x:c r="AJ487" s="36" t="str">
        <x:v>Compliance</x:v>
      </x:c>
      <x:c r="AK487" s="36" t="str">
        <x:v>Must Have</x:v>
      </x:c>
      <x:c r="AL487" s="36" t="n">
        <x:v>0</x:v>
      </x:c>
      <x:c r="AM487" s="36" t="n">
        <x:v>0</x:v>
      </x:c>
      <x:c r="AN487" s="43"/>
      <x:c r="AO487" s="43"/>
      <x:c r="AP487" s="43"/>
    </x:row>
    <x:row r="488" ht="24" hidden="0" customHeight="1">
      <x:c r="A488" s="36" t="str">
        <x:v>EW-166</x:v>
      </x:c>
      <x:c r="B488" s="37" t="str">
        <x:v>WeComm implementation &amp; AI analysis (official wechat platform to derisk IP leakage and security violation) for GCR</x:v>
      </x:c>
      <x:c r="C488" s="36" t="str">
        <x:v>EW</x:v>
      </x:c>
      <x:c r="D488" s="36" t="str">
        <x:v>Group Security​</x:v>
      </x:c>
      <x:c r="E488" s="36" t="str">
        <x:v>New</x:v>
      </x:c>
      <x:c r="F488" s="36" t="str">
        <x:v>Legal Fiscal, Regulatory &amp; Compliancy</x:v>
      </x:c>
      <x:c r="G488" s="36" t="str">
        <x:v>Compliance/Keeping the lights on</x:v>
      </x:c>
      <x:c r="H488" s="36" t="str"/>
      <x:c r="I488" s="36" t="str">
        <x:v>New Initiative</x:v>
      </x:c>
      <x:c r="J488" s="38" t="n">
        <x:v>0.1</x:v>
      </x:c>
      <x:c r="K488" s="38"/>
      <x:c r="L488" s="38"/>
      <x:c r="M488" s="38"/>
      <x:c r="N488" s="38"/>
      <x:c r="O488" s="38"/>
      <x:c r="P488" s="37" t="str">
        <x:v>Soft Benefit</x:v>
      </x:c>
      <x:c r="Q488" s="37" t="str">
        <x:v>Risk exposure</x:v>
      </x:c>
      <x:c r="R488" s="37" t="str">
        <x:v>Severe IP &amp; security risk associated with use of wechat, need an enterprise solution that provide better security guiderail</x:v>
      </x:c>
      <x:c r="S488" s="37" t="str">
        <x:v>Usage of private/pesonal wechat in Sales and Field Service, PH and other functions exposed risk in Data &amp; IP</x:v>
      </x:c>
      <x:c r="T488" s="37" t="str">
        <x:v>Using WeCom (enterprise Wechat provided by Tecent for better security monitoring, prevention and company data continuity), annual fee + operations reqruied post one time setup cost. Also combine this with effort for AI enabled security scan/analysis</x:v>
      </x:c>
      <x:c r="U488" s="37" t="str"/>
      <x:c r="V488" s="36" t="str"/>
      <x:c r="W488" s="36" t="str"/>
      <x:c r="X488" s="36"/>
      <x:c r="Y488" s="36" t="str">
        <x:v>NotAssessed</x:v>
      </x:c>
      <x:c r="Z488" s="36" t="str"/>
      <x:c r="AA488" s="36" t="str"/>
      <x:c r="AB488" s="36"/>
      <x:c r="AC488" s="36"/>
      <x:c r="AD488" s="36" t="str"/>
      <x:c r="AE488" s="36" t="str"/>
      <x:c r="AF488" s="36" t="str">
        <x:v>Name and organisation matched</x:v>
      </x:c>
      <x:c r="AG488" s="36" t="str">
        <x:v>Common pot</x:v>
      </x:c>
      <x:c r="AH488" s="36" t="str">
        <x:v>EW Demand!row 286</x:v>
      </x:c>
      <x:c r="AI488" s="36" t="str">
        <x:v>LFR</x:v>
      </x:c>
      <x:c r="AJ488" s="36" t="str">
        <x:v>Compliance</x:v>
      </x:c>
      <x:c r="AK488" s="36" t="str">
        <x:v>Blank</x:v>
      </x:c>
      <x:c r="AL488" s="36" t="n">
        <x:v>0</x:v>
      </x:c>
      <x:c r="AM488" s="36" t="n">
        <x:v>0</x:v>
      </x:c>
      <x:c r="AN488" s="43"/>
      <x:c r="AO488" s="43"/>
      <x:c r="AP488" s="43"/>
    </x:row>
    <x:row r="489" ht="15" hidden="0" customHeight="1">
      <x:c r="A489" s="36" t="str">
        <x:v>EW-167</x:v>
      </x:c>
      <x:c r="B489" s="37" t="str">
        <x:v>Veeva-Seismic-PAL Integration API upgrade</x:v>
      </x:c>
      <x:c r="C489" s="36" t="str">
        <x:v>EW</x:v>
      </x:c>
      <x:c r="D489" s="36" t="str"/>
      <x:c r="E489" s="36" t="str">
        <x:v>New</x:v>
      </x:c>
      <x:c r="F489" s="36" t="str">
        <x:v>Continuous Improvement</x:v>
      </x:c>
      <x:c r="G489" s="36" t="str">
        <x:v>Compliance/Keeping the lights on</x:v>
      </x:c>
      <x:c r="H489" s="36" t="str">
        <x:v>Must Do</x:v>
      </x:c>
      <x:c r="I489" s="36" t="str">
        <x:v>Carry Over</x:v>
      </x:c>
      <x:c r="J489" s="38" t="n">
        <x:v>0.05</x:v>
      </x:c>
      <x:c r="K489" s="38"/>
      <x:c r="L489" s="38"/>
      <x:c r="M489" s="38"/>
      <x:c r="N489" s="38"/>
      <x:c r="O489" s="38"/>
      <x:c r="P489" s="37" t="str"/>
      <x:c r="Q489" s="37" t="str">
        <x:v>Risk exposure</x:v>
      </x:c>
      <x:c r="R489" s="37" t="str">
        <x:v>Making non compliant marketing claims</x:v>
      </x:c>
      <x:c r="S489" s="37" t="str"/>
      <x:c r="T489" s="37" t="str"/>
      <x:c r="U489" s="37" t="str"/>
      <x:c r="V489" s="36" t="str"/>
      <x:c r="W489" s="36" t="str"/>
      <x:c r="X489" s="36" t="n">
        <x:v>1.05</x:v>
      </x:c>
      <x:c r="Y489" s="36" t="str">
        <x:v>HEALTHY</x:v>
      </x:c>
      <x:c r="Z489" s="36" t="str"/>
      <x:c r="AA489" s="36" t="str"/>
      <x:c r="AB489" s="36"/>
      <x:c r="AC489" s="36"/>
      <x:c r="AD489" s="36" t="str"/>
      <x:c r="AE489" s="36" t="str">
        <x:v>HEALTHY — Rank in priority matrix</x:v>
      </x:c>
      <x:c r="AF489" s="36" t="str">
        <x:v>Name and organisation matched</x:v>
      </x:c>
      <x:c r="AG489" s="36" t="str">
        <x:v>Common pot</x:v>
      </x:c>
      <x:c r="AH489" s="36" t="str">
        <x:v>EW Demand!row 287</x:v>
      </x:c>
      <x:c r="AI489" s="36" t="str">
        <x:v>CI</x:v>
      </x:c>
      <x:c r="AJ489" s="36" t="str">
        <x:v>Compliance</x:v>
      </x:c>
      <x:c r="AK489" s="36" t="str">
        <x:v>Must Do</x:v>
      </x:c>
      <x:c r="AL489" s="36" t="n">
        <x:v>0</x:v>
      </x:c>
      <x:c r="AM489" s="36" t="n">
        <x:v>0</x:v>
      </x:c>
      <x:c r="AN489" s="43"/>
      <x:c r="AO489" s="43"/>
      <x:c r="AP489" s="43"/>
    </x:row>
    <x:row r="490" ht="15" hidden="0" customHeight="1">
      <x:c r="A490" s="36" t="str">
        <x:v>EW-168</x:v>
      </x:c>
      <x:c r="B490" s="37" t="str">
        <x:v>Standardization</x:v>
      </x:c>
      <x:c r="C490" s="36" t="str">
        <x:v>EW</x:v>
      </x:c>
      <x:c r="D490" s="36" t="str">
        <x:v>People function​</x:v>
      </x:c>
      <x:c r="E490" s="36" t="str">
        <x:v>New</x:v>
      </x:c>
      <x:c r="F490" s="36" t="str">
        <x:v>Continuous Improvement</x:v>
      </x:c>
      <x:c r="G490" s="36" t="str">
        <x:v>Productivity savings</x:v>
      </x:c>
      <x:c r="H490" s="36" t="str">
        <x:v>Must Do</x:v>
      </x:c>
      <x:c r="I490" s="36" t="str">
        <x:v>New Initiative</x:v>
      </x:c>
      <x:c r="J490" s="38" t="n">
        <x:v>0.2</x:v>
      </x:c>
      <x:c r="K490" s="38"/>
      <x:c r="L490" s="38"/>
      <x:c r="M490" s="38"/>
      <x:c r="N490" s="38"/>
      <x:c r="O490" s="38" t="n">
        <x:v>0.7</x:v>
      </x:c>
      <x:c r="P490" s="37" t="str">
        <x:v>700</x:v>
      </x:c>
      <x:c r="Q490" s="37" t="str">
        <x:v>Cash savings</x:v>
      </x:c>
      <x:c r="R490" s="37" t="str">
        <x:v>Productivity targets will not be met and thereby forfeit Business case worth of 700K</x:v>
      </x:c>
      <x:c r="S490" s="37" t="str">
        <x:v>Inconsistent local processes limit efficiency, governance, and AI readiness.</x:v>
      </x:c>
      <x:c r="T490" s="37" t="str">
        <x:v>Define global standards while retaining only essential local variations.</x:v>
      </x:c>
      <x:c r="U490" s="37" t="str">
        <x:v>None</x:v>
      </x:c>
      <x:c r="V490" s="36" t="str"/>
      <x:c r="W490" s="36" t="str"/>
      <x:c r="X490" s="36" t="n">
        <x:v>1.35</x:v>
      </x:c>
      <x:c r="Y490" s="36" t="str">
        <x:v>HEALTHY</x:v>
      </x:c>
      <x:c r="Z490" s="36" t="str"/>
      <x:c r="AA490" s="36" t="str"/>
      <x:c r="AB490" s="36"/>
      <x:c r="AC490" s="36"/>
      <x:c r="AD490" s="36" t="str"/>
      <x:c r="AE490" s="36" t="str">
        <x:v>HEALTHY — Rank in priority matrix</x:v>
      </x:c>
      <x:c r="AF490" s="36" t="str">
        <x:v>Name and organisation matched</x:v>
      </x:c>
      <x:c r="AG490" s="36" t="str">
        <x:v>Common pot</x:v>
      </x:c>
      <x:c r="AH490" s="36" t="str">
        <x:v>EW Demand!row 288</x:v>
      </x:c>
      <x:c r="AI490" s="36" t="str">
        <x:v>CI</x:v>
      </x:c>
      <x:c r="AJ490" s="36" t="str">
        <x:v>Productivity</x:v>
      </x:c>
      <x:c r="AK490" s="36" t="str">
        <x:v>Must Do</x:v>
      </x:c>
      <x:c r="AL490" s="36" t="n">
        <x:v>0</x:v>
      </x:c>
      <x:c r="AM490" s="36" t="n">
        <x:v>0</x:v>
      </x:c>
      <x:c r="AN490" s="43"/>
      <x:c r="AO490" s="43"/>
      <x:c r="AP490" s="43"/>
    </x:row>
    <x:row r="491" ht="15" hidden="0" customHeight="1">
      <x:c r="A491" s="36" t="str">
        <x:v>EW-169</x:v>
      </x:c>
      <x:c r="B491" s="37" t="str">
        <x:v>People data architechture &amp; AI solutions enablement</x:v>
      </x:c>
      <x:c r="C491" s="36" t="str">
        <x:v>EW</x:v>
      </x:c>
      <x:c r="D491" s="36" t="str">
        <x:v>People function​</x:v>
      </x:c>
      <x:c r="E491" s="36" t="str">
        <x:v>New</x:v>
      </x:c>
      <x:c r="F491" s="36" t="str">
        <x:v>Continuous Improvement</x:v>
      </x:c>
      <x:c r="G491" s="36" t="str">
        <x:v>Productivity savings</x:v>
      </x:c>
      <x:c r="H491" s="36" t="str">
        <x:v>Must Have</x:v>
      </x:c>
      <x:c r="I491" s="36" t="str">
        <x:v>New Initiative</x:v>
      </x:c>
      <x:c r="J491" s="38" t="n">
        <x:v>0.3</x:v>
      </x:c>
      <x:c r="K491" s="38"/>
      <x:c r="L491" s="38"/>
      <x:c r="M491" s="38"/>
      <x:c r="N491" s="38"/>
      <x:c r="O491" s="38" t="n">
        <x:v>0.4</x:v>
      </x:c>
      <x:c r="P491" s="37" t="str">
        <x:v>400</x:v>
      </x:c>
      <x:c r="Q491" s="37" t="str">
        <x:v>Cash savings</x:v>
      </x:c>
      <x:c r="R491" s="37" t="str">
        <x:v>Productivity targets will not be met and thereby forfeit Business case worth of 400K</x:v>
      </x:c>
      <x:c r="S491" s="37" t="str">
        <x:v>Fragmented data architecture prevents trusted, integrated AI insights.</x:v>
      </x:c>
      <x:c r="T491" s="37" t="str">
        <x:v>Build a connected data foundation and trusted intelligence layer.</x:v>
      </x:c>
      <x:c r="U491" s="37" t="str">
        <x:v>None</x:v>
      </x:c>
      <x:c r="V491" s="36" t="str"/>
      <x:c r="W491" s="36" t="str"/>
      <x:c r="X491" s="36" t="n">
        <x:v>1.35</x:v>
      </x:c>
      <x:c r="Y491" s="36" t="str">
        <x:v>HEALTHY</x:v>
      </x:c>
      <x:c r="Z491" s="36" t="str"/>
      <x:c r="AA491" s="36" t="str"/>
      <x:c r="AB491" s="36"/>
      <x:c r="AC491" s="36"/>
      <x:c r="AD491" s="36" t="str"/>
      <x:c r="AE491" s="36" t="str">
        <x:v>HEALTHY — Rank in priority matrix</x:v>
      </x:c>
      <x:c r="AF491" s="36" t="str">
        <x:v>Name and organisation matched</x:v>
      </x:c>
      <x:c r="AG491" s="36" t="str">
        <x:v>Common pot</x:v>
      </x:c>
      <x:c r="AH491" s="36" t="str">
        <x:v>EW Demand!row 289</x:v>
      </x:c>
      <x:c r="AI491" s="36" t="str">
        <x:v>CI</x:v>
      </x:c>
      <x:c r="AJ491" s="36" t="str">
        <x:v>Productivity</x:v>
      </x:c>
      <x:c r="AK491" s="36" t="str">
        <x:v>Must Have</x:v>
      </x:c>
      <x:c r="AL491" s="36" t="n">
        <x:v>0</x:v>
      </x:c>
      <x:c r="AM491" s="36" t="n">
        <x:v>0</x:v>
      </x:c>
      <x:c r="AN491" s="43"/>
      <x:c r="AO491" s="43"/>
      <x:c r="AP491" s="43"/>
    </x:row>
    <x:row r="492" ht="15" hidden="0" customHeight="1">
      <x:c r="A492" s="36" t="str">
        <x:v>EW-170</x:v>
      </x:c>
      <x:c r="B492" s="37" t="str">
        <x:v>Long term incentive</x:v>
      </x:c>
      <x:c r="C492" s="36" t="str">
        <x:v>EW</x:v>
      </x:c>
      <x:c r="D492" s="36" t="str">
        <x:v>People function​</x:v>
      </x:c>
      <x:c r="E492" s="36" t="str">
        <x:v>New</x:v>
      </x:c>
      <x:c r="F492" s="36" t="str">
        <x:v>Continuous Improvement</x:v>
      </x:c>
      <x:c r="G492" s="36" t="str">
        <x:v>Revenue increase</x:v>
      </x:c>
      <x:c r="H492" s="36" t="str">
        <x:v>Must Have</x:v>
      </x:c>
      <x:c r="I492" s="36" t="str">
        <x:v>New Initiative</x:v>
      </x:c>
      <x:c r="J492" s="38" t="n">
        <x:v>0.05</x:v>
      </x:c>
      <x:c r="K492" s="38"/>
      <x:c r="L492" s="38"/>
      <x:c r="M492" s="38"/>
      <x:c r="N492" s="38"/>
      <x:c r="O492" s="38"/>
      <x:c r="P492" s="37" t="str">
        <x:v>Soft Benefit</x:v>
      </x:c>
      <x:c r="Q492" s="37" t="str">
        <x:v>Revenue</x:v>
      </x:c>
      <x:c r="R492" s="37" t="str">
        <x:v>Strategic priorities of PF will not be met.</x:v>
      </x:c>
      <x:c r="S492" s="37" t="str">
        <x:v>LTI administration and allocation may not optimally support attraction, motivation, and retention.</x:v>
      </x:c>
      <x:c r="T492" s="37" t="str">
        <x:v>Maintain LTI operations while reviewing the budget-versus-allocation approach.</x:v>
      </x:c>
      <x:c r="U492" s="37" t="str">
        <x:v>None</x:v>
      </x:c>
      <x:c r="V492" s="36" t="str"/>
      <x:c r="W492" s="36" t="str"/>
      <x:c r="X492" s="36" t="n">
        <x:v>2.2</x:v>
      </x:c>
      <x:c r="Y492" s="36" t="str">
        <x:v>CONTAIN</x:v>
      </x:c>
      <x:c r="Z492" s="36" t="str"/>
      <x:c r="AA492" s="36" t="str"/>
      <x:c r="AB492" s="36"/>
      <x:c r="AC492" s="36"/>
      <x:c r="AD492" s="36" t="str"/>
      <x:c r="AE492" s="36" t="str">
        <x:v>CONTAIN — Conditions</x:v>
      </x:c>
      <x:c r="AF492" s="36" t="str">
        <x:v>Name and organisation matched</x:v>
      </x:c>
      <x:c r="AG492" s="36" t="str">
        <x:v>Common pot</x:v>
      </x:c>
      <x:c r="AH492" s="36" t="str">
        <x:v>EW Demand!row 290</x:v>
      </x:c>
      <x:c r="AI492" s="36" t="str">
        <x:v>CI</x:v>
      </x:c>
      <x:c r="AJ492" s="36" t="str">
        <x:v>Revenue</x:v>
      </x:c>
      <x:c r="AK492" s="36" t="str">
        <x:v>Must Have</x:v>
      </x:c>
      <x:c r="AL492" s="36" t="n">
        <x:v>0</x:v>
      </x:c>
      <x:c r="AM492" s="36" t="n">
        <x:v>0</x:v>
      </x:c>
      <x:c r="AN492" s="43"/>
      <x:c r="AO492" s="43"/>
      <x:c r="AP492" s="43"/>
    </x:row>
    <x:row r="493" ht="15" hidden="0" customHeight="1">
      <x:c r="A493" s="36" t="str">
        <x:v>EW-171</x:v>
      </x:c>
      <x:c r="B493" s="37" t="str">
        <x:v>Critical Capabilities</x:v>
      </x:c>
      <x:c r="C493" s="36" t="str">
        <x:v>EW</x:v>
      </x:c>
      <x:c r="D493" s="36" t="str">
        <x:v>People function​</x:v>
      </x:c>
      <x:c r="E493" s="36" t="str">
        <x:v>New</x:v>
      </x:c>
      <x:c r="F493" s="36" t="str">
        <x:v>Continuous Improvement</x:v>
      </x:c>
      <x:c r="G493" s="36" t="str">
        <x:v>Process simplification/ efficiency gain</x:v>
      </x:c>
      <x:c r="H493" s="36" t="str">
        <x:v>Must Have</x:v>
      </x:c>
      <x:c r="I493" s="36" t="str">
        <x:v>New Initiative</x:v>
      </x:c>
      <x:c r="J493" s="38" t="n">
        <x:v>0.425</x:v>
      </x:c>
      <x:c r="K493" s="38"/>
      <x:c r="L493" s="38"/>
      <x:c r="M493" s="38"/>
      <x:c r="N493" s="38"/>
      <x:c r="O493" s="38"/>
      <x:c r="P493" s="37" t="str">
        <x:v>Soft Benefit</x:v>
      </x:c>
      <x:c r="Q493" s="37" t="str">
        <x:v>Cash savings</x:v>
      </x:c>
      <x:c r="R493" s="37" t="str">
        <x:v>Strategic priorities of PF will not be met.</x:v>
      </x:c>
      <x:c r="S493" s="37" t="str">
        <x:v>Commercial, product, and service capabilities are inconsistent across businesses and regions.</x:v>
      </x:c>
      <x:c r="T493" s="37" t="str">
        <x:v>Standardize development, leadership, role clarity, onboarding, and skills-based workforce planning.</x:v>
      </x:c>
      <x:c r="U493" s="37" t="str">
        <x:v>None</x:v>
      </x:c>
      <x:c r="V493" s="36" t="str"/>
      <x:c r="W493" s="36" t="str"/>
      <x:c r="X493" s="36" t="n">
        <x:v>1.75</x:v>
      </x:c>
      <x:c r="Y493" s="36" t="str">
        <x:v>HEALTHY</x:v>
      </x:c>
      <x:c r="Z493" s="36" t="str"/>
      <x:c r="AA493" s="36" t="str"/>
      <x:c r="AB493" s="36"/>
      <x:c r="AC493" s="36"/>
      <x:c r="AD493" s="36" t="str"/>
      <x:c r="AE493" s="36" t="str">
        <x:v>HEALTHY — Rank in priority matrix</x:v>
      </x:c>
      <x:c r="AF493" s="36" t="str">
        <x:v>Name and organisation matched</x:v>
      </x:c>
      <x:c r="AG493" s="36" t="str">
        <x:v>Common pot</x:v>
      </x:c>
      <x:c r="AH493" s="36" t="str">
        <x:v>EW Demand!row 291</x:v>
      </x:c>
      <x:c r="AI493" s="36" t="str">
        <x:v>CI</x:v>
      </x:c>
      <x:c r="AJ493" s="36" t="str">
        <x:v>ProcSimp</x:v>
      </x:c>
      <x:c r="AK493" s="36" t="str">
        <x:v>Must Have</x:v>
      </x:c>
      <x:c r="AL493" s="36" t="n">
        <x:v>0</x:v>
      </x:c>
      <x:c r="AM493" s="36" t="n">
        <x:v>0</x:v>
      </x:c>
      <x:c r="AN493" s="43"/>
      <x:c r="AO493" s="43"/>
      <x:c r="AP493" s="43"/>
    </x:row>
    <x:row r="494" ht="15" hidden="0" customHeight="1">
      <x:c r="A494" s="36" t="str">
        <x:v>EW-172</x:v>
      </x:c>
      <x:c r="B494" s="37" t="str">
        <x:v>Learning architecture</x:v>
      </x:c>
      <x:c r="C494" s="36" t="str">
        <x:v>EW</x:v>
      </x:c>
      <x:c r="D494" s="36" t="str">
        <x:v>People function​</x:v>
      </x:c>
      <x:c r="E494" s="36" t="str">
        <x:v>New</x:v>
      </x:c>
      <x:c r="F494" s="36" t="str">
        <x:v>Continuous Improvement</x:v>
      </x:c>
      <x:c r="G494" s="36" t="str">
        <x:v>Process simplification/ efficiency gain</x:v>
      </x:c>
      <x:c r="H494" s="36" t="str">
        <x:v>Must Have</x:v>
      </x:c>
      <x:c r="I494" s="36" t="str">
        <x:v>New Initiative</x:v>
      </x:c>
      <x:c r="J494" s="38" t="n">
        <x:v>1.5</x:v>
      </x:c>
      <x:c r="K494" s="38"/>
      <x:c r="L494" s="38"/>
      <x:c r="M494" s="38"/>
      <x:c r="N494" s="38"/>
      <x:c r="O494" s="38"/>
      <x:c r="P494" s="37" t="str">
        <x:v>Soft Benefit</x:v>
      </x:c>
      <x:c r="Q494" s="37" t="str">
        <x:v>Cash savings</x:v>
      </x:c>
      <x:c r="R494" s="37" t="str">
        <x:v>Strategic priorities of PF will not be met.</x:v>
      </x:c>
      <x:c r="S494" s="37" t="str">
        <x:v>A fragmented learning ecosystem limits personalization, efficiency, and skills-based development.</x:v>
      </x:c>
      <x:c r="T494" s="37" t="str">
        <x:v>Consolidate platforms and build a trusted, AI-enabled learning experience and data foundation.</x:v>
      </x:c>
      <x:c r="U494" s="37" t="str">
        <x:v>None</x:v>
      </x:c>
      <x:c r="V494" s="36" t="str"/>
      <x:c r="W494" s="36" t="str"/>
      <x:c r="X494" s="36" t="n">
        <x:v>1.55</x:v>
      </x:c>
      <x:c r="Y494" s="36" t="str">
        <x:v>HEALTHY</x:v>
      </x:c>
      <x:c r="Z494" s="36" t="str"/>
      <x:c r="AA494" s="36" t="str"/>
      <x:c r="AB494" s="36"/>
      <x:c r="AC494" s="36"/>
      <x:c r="AD494" s="36" t="str"/>
      <x:c r="AE494" s="36" t="str">
        <x:v>HEALTHY — Rank in priority matrix</x:v>
      </x:c>
      <x:c r="AF494" s="36" t="str">
        <x:v>Name and organisation matched</x:v>
      </x:c>
      <x:c r="AG494" s="36" t="str">
        <x:v>Common pot</x:v>
      </x:c>
      <x:c r="AH494" s="36" t="str">
        <x:v>EW Demand!row 292</x:v>
      </x:c>
      <x:c r="AI494" s="36" t="str">
        <x:v>CI</x:v>
      </x:c>
      <x:c r="AJ494" s="36" t="str">
        <x:v>ProcSimp</x:v>
      </x:c>
      <x:c r="AK494" s="36" t="str">
        <x:v>Must Have</x:v>
      </x:c>
      <x:c r="AL494" s="36" t="n">
        <x:v>0</x:v>
      </x:c>
      <x:c r="AM494" s="36" t="n">
        <x:v>0</x:v>
      </x:c>
      <x:c r="AN494" s="43"/>
      <x:c r="AO494" s="43"/>
      <x:c r="AP494" s="43"/>
    </x:row>
    <x:row r="495" ht="15" hidden="0" customHeight="1">
      <x:c r="A495" s="36" t="str">
        <x:v>EW-173</x:v>
      </x:c>
      <x:c r="B495" s="37" t="str">
        <x:v>ISC IT DRP - DESCARTES</x:v>
      </x:c>
      <x:c r="C495" s="36" t="str">
        <x:v>EW</x:v>
      </x:c>
      <x:c r="D495" s="36" t="str">
        <x:v>Information Technology ​</x:v>
      </x:c>
      <x:c r="E495" s="36" t="str"/>
      <x:c r="F495" s="36" t="str">
        <x:v>Decomm/Replatforming</x:v>
      </x:c>
      <x:c r="G495" s="36" t="str">
        <x:v>Productivity savings</x:v>
      </x:c>
      <x:c r="H495" s="36" t="str">
        <x:v>Must Do</x:v>
      </x:c>
      <x:c r="I495" s="36" t="str">
        <x:v>New Initiative</x:v>
      </x:c>
      <x:c r="J495" s="38" t="n">
        <x:v>0.5</x:v>
      </x:c>
      <x:c r="K495" s="38"/>
      <x:c r="L495" s="38"/>
      <x:c r="M495" s="38"/>
      <x:c r="N495" s="38"/>
      <x:c r="O495" s="38" t="n">
        <x:v>0.8</x:v>
      </x:c>
      <x:c r="P495" s="37" t="str">
        <x:v>800</x:v>
      </x:c>
      <x:c r="Q495" s="37" t="str">
        <x:v>Cash savings</x:v>
      </x:c>
      <x:c r="R495" s="37" t="str">
        <x:v>Higher licensing cost that increase YoY</x:v>
      </x:c>
      <x:c r="S495" s="37" t="str"/>
      <x:c r="T495" s="37" t="str"/>
      <x:c r="U495" s="37" t="str"/>
      <x:c r="V495" s="36" t="str"/>
      <x:c r="W495" s="36" t="str"/>
      <x:c r="X495" s="36"/>
      <x:c r="Y495" s="36" t="str">
        <x:v>NotAssessed</x:v>
      </x:c>
      <x:c r="Z495" s="36" t="str"/>
      <x:c r="AA495" s="36" t="str"/>
      <x:c r="AB495" s="36"/>
      <x:c r="AC495" s="36"/>
      <x:c r="AD495" s="36" t="str"/>
      <x:c r="AE495" s="36" t="str"/>
      <x:c r="AF495" s="36" t="str">
        <x:v>No exact waste match</x:v>
      </x:c>
      <x:c r="AG495" s="36" t="str">
        <x:v>Common pot</x:v>
      </x:c>
      <x:c r="AH495" s="36" t="str">
        <x:v>EW Demand!row 293</x:v>
      </x:c>
      <x:c r="AI495" s="36" t="str">
        <x:v>Decomm</x:v>
      </x:c>
      <x:c r="AJ495" s="36" t="str">
        <x:v>Productivity</x:v>
      </x:c>
      <x:c r="AK495" s="36" t="str">
        <x:v>Must Do</x:v>
      </x:c>
      <x:c r="AL495" s="36" t="n">
        <x:v>0</x:v>
      </x:c>
      <x:c r="AM495" s="36" t="n">
        <x:v>0</x:v>
      </x:c>
      <x:c r="AN495" s="43"/>
      <x:c r="AO495" s="43"/>
      <x:c r="AP495" s="43"/>
    </x:row>
    <x:row r="496" ht="15" hidden="0" customHeight="1">
      <x:c r="A496" s="36" t="str">
        <x:v>EW-174</x:v>
      </x:c>
      <x:c r="B496" s="37" t="str">
        <x:v>Global Intranet &amp; Sharepoint</x:v>
      </x:c>
      <x:c r="C496" s="36" t="str">
        <x:v>EW</x:v>
      </x:c>
      <x:c r="D496" s="36" t="str">
        <x:v>Communications &amp; Brand</x:v>
      </x:c>
      <x:c r="E496" s="36" t="str">
        <x:v>New (Also CCB Program)</x:v>
      </x:c>
      <x:c r="F496" s="36" t="str">
        <x:v>Continuous Improvement</x:v>
      </x:c>
      <x:c r="G496" s="36" t="str">
        <x:v>Compliance/Keeping the lights on</x:v>
      </x:c>
      <x:c r="H496" s="36" t="str">
        <x:v>Must Do</x:v>
      </x:c>
      <x:c r="I496" s="36" t="str">
        <x:v>Carry Over</x:v>
      </x:c>
      <x:c r="J496" s="38" t="n">
        <x:v>0.175</x:v>
      </x:c>
      <x:c r="K496" s="38" t="n">
        <x:v>0.175</x:v>
      </x:c>
      <x:c r="L496" s="38"/>
      <x:c r="M496" s="38"/>
      <x:c r="N496" s="38"/>
      <x:c r="O496" s="38"/>
      <x:c r="P496" s="37" t="str">
        <x:v>€720,000 annual employee-productivity value</x:v>
      </x:c>
      <x:c r="Q496" s="37" t="str">
        <x:v>Risk exposure</x:v>
      </x:c>
      <x:c r="R496" s="37" t="str">
        <x:v>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x:v>
      </x:c>
      <x:c r="S496" s="37" t="str">
        <x: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x:v>
      </x:c>
      <x:c r="T496" s="37" t="str">
        <x: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x:v>
      </x:c>
      <x:c r="U496" s="37" t="str"/>
      <x:c r="V496" s="36" t="str"/>
      <x:c r="W496" s="36" t="str"/>
      <x:c r="X496" s="36" t="n">
        <x:v>1.05</x:v>
      </x:c>
      <x:c r="Y496" s="36" t="str">
        <x:v>HEALTHY</x:v>
      </x:c>
      <x:c r="Z496" s="36" t="str"/>
      <x:c r="AA496" s="36" t="str"/>
      <x:c r="AB496" s="36"/>
      <x:c r="AC496" s="36"/>
      <x:c r="AD496" s="36" t="str"/>
      <x:c r="AE496" s="36" t="str">
        <x:v>HEALTHY — Rank in priority matrix</x:v>
      </x:c>
      <x:c r="AF496" s="36" t="str">
        <x:v>Name and organisation matched</x:v>
      </x:c>
      <x:c r="AG496" s="36" t="str">
        <x:v>Common pot</x:v>
      </x:c>
      <x:c r="AH496" s="36" t="str">
        <x:v>EW Demand!row 294</x:v>
      </x:c>
      <x:c r="AI496" s="36" t="str">
        <x:v>CI</x:v>
      </x:c>
      <x:c r="AJ496" s="36" t="str">
        <x:v>Compliance</x:v>
      </x:c>
      <x:c r="AK496" s="36" t="str">
        <x:v>Must Do</x:v>
      </x:c>
      <x:c r="AL496" s="36" t="n">
        <x:v>0</x:v>
      </x:c>
      <x:c r="AM496" s="36" t="n">
        <x:v>0</x:v>
      </x:c>
      <x:c r="AN496" s="43"/>
      <x:c r="AO496" s="43"/>
      <x:c r="AP496" s="43"/>
    </x:row>
    <x:row r="497" ht="24" hidden="0" customHeight="1">
      <x:c r="A497" s="36" t="str">
        <x:v>EW-175</x:v>
      </x:c>
      <x:c r="B497" s="37" t="str">
        <x:v>Corporate website (Investors, Legal &amp; Regulatory pages, ExCo pages, News, Museum, Foundation etc.)</x:v>
      </x:c>
      <x:c r="C497" s="36" t="str">
        <x:v>EW</x:v>
      </x:c>
      <x:c r="D497" s="36" t="str">
        <x:v>Communications &amp; Brand</x:v>
      </x:c>
      <x:c r="E497" s="36" t="str">
        <x:v>New (Also CCB Program)</x:v>
      </x:c>
      <x:c r="F497" s="36" t="str">
        <x:v>Decomm/Replatforming</x:v>
      </x:c>
      <x:c r="G497" s="36" t="str">
        <x:v>Compliance/Keeping the lights on</x:v>
      </x:c>
      <x:c r="H497" s="36" t="str">
        <x:v>Must have</x:v>
      </x:c>
      <x:c r="I497" s="36" t="str">
        <x:v>Carry Over</x:v>
      </x:c>
      <x:c r="J497" s="38" t="n">
        <x:v>0.6</x:v>
      </x:c>
      <x:c r="K497" s="38"/>
      <x:c r="L497" s="38"/>
      <x:c r="M497" s="38"/>
      <x:c r="N497" s="38"/>
      <x:c r="O497" s="38"/>
      <x:c r="P497" s="37" t="str">
        <x:v>The primary value is reputation protection and improved (AI) findability.  A conservative 0.1% contribution to, or protection of, that value through stronger awareness, accurate representation and authoritative visibility in AI-led search equals EUR 10.6M (current total brand value is 10.6B, Interbrand)</x:v>
      </x:c>
      <x:c r="Q497" s="37" t="str">
        <x:v>Risk exposure</x:v>
      </x:c>
      <x:c r="R497" s="37" t="str">
        <x:v>The cost of doing nothing is not measured by lost website visits. The cost is measured by:</x:v>
      </x:c>
      <x:c r="S497" s="37" t="str">
        <x:v>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
The website serves as the authoritative source of truth for investors, media, regulators, healthcare stakeholders, employees, partners, and customers. It is where Philips publishes and validates its strategy, financial performance, governance, sustainability commitments, leadership communications, policies, legal documents (privacy notices, also for HS and PH), and company news.
The investments made during the Contentful migration established a foundation. However, migration alone does not realize the full business value of the platform. Continued development is required to transform the website from a migrated platform into a strategic corporate capability that can protect and strengthen the Philips brand in an AI-first world.
The business case addresses two urgent needs:
Protect reputation and trust by keeping the platform reliable, current, accessible, secure and ready for critical communications.
Improve AI findability so authoritative Philips-owned content can compete with competitor and third-party sources in AI-generated answers and beat our direct competitors who are ahead (e.g. GE Healthcare)
CURRENT REALITY: PHILIPS IS PRESENT IN AI ANSWERS, BUT IS NOT WINNING.
The Communications and Brand GEO leadership report for July 14-August 12, 2026 shows Philips at 17.4% average Share of Voice and an average market position of #5.8. Medtronic leads at 31.1% and #1.5; GE HealthCare reaches 22.5% and #2.8.
Philips ranks #2 in the Netherlands, #4 in the United Kingdom, #7 in the United States and #10 in Germany. Recognition is not translating into consistent competitive prominence.</x:v>
      </x:c>
      <x:c r="T497" s="37" t="str">
        <x:v>Scope: continued development of the corporate website and associated microsites, prioritized around two investment pillars:
Platform and reputation protection: monitoring, release quality, automated testing, resilience, disaster recovery, accessibility, performance, lifecycle management, corporate templates and publishing workflows.
AI and search findability: crawlability, technical SEO/GEO, structured content, sitemaps, metadata, freshness, content clarity, analytics, citation monitoring and prioritized improvements for topics and markets where Philips is underperforming.</x:v>
      </x:c>
      <x:c r="U497" s="37" t="str"/>
      <x:c r="V497" s="36" t="str"/>
      <x:c r="W497" s="36" t="str"/>
      <x:c r="X497" s="36" t="n">
        <x:v>1.05</x:v>
      </x:c>
      <x:c r="Y497" s="36" t="str">
        <x:v>HEALTHY</x:v>
      </x:c>
      <x:c r="Z497" s="36" t="str"/>
      <x:c r="AA497" s="36" t="str"/>
      <x:c r="AB497" s="36"/>
      <x:c r="AC497" s="36"/>
      <x:c r="AD497" s="36" t="str"/>
      <x:c r="AE497" s="36" t="str">
        <x:v>HEALTHY — Rank in priority matrix</x:v>
      </x:c>
      <x:c r="AF497" s="36" t="str">
        <x:v>Name and organisation matched</x:v>
      </x:c>
      <x:c r="AG497" s="36" t="str">
        <x:v>Common pot</x:v>
      </x:c>
      <x:c r="AH497" s="36" t="str">
        <x:v>EW Demand!row 305</x:v>
      </x:c>
      <x:c r="AI497" s="36" t="str">
        <x:v>Decomm</x:v>
      </x:c>
      <x:c r="AJ497" s="36" t="str">
        <x:v>Compliance</x:v>
      </x:c>
      <x:c r="AK497" s="36" t="str">
        <x:v>Must Have</x:v>
      </x:c>
      <x:c r="AL497" s="36" t="n">
        <x:v>0</x:v>
      </x:c>
      <x:c r="AM497" s="36" t="n">
        <x:v>0</x:v>
      </x:c>
      <x:c r="AN497" s="43"/>
      <x:c r="AO497" s="43"/>
      <x:c r="AP497" s="43"/>
    </x:row>
    <x:row r="498" ht="15" hidden="0" customHeight="1">
      <x:c r="A498" s="36" t="str">
        <x:v>EW-176</x:v>
      </x:c>
      <x:c r="B498" s="37" t="str">
        <x:v>Results hub replatforming (Quarterly and annual financial reporting)</x:v>
      </x:c>
      <x:c r="C498" s="36" t="str">
        <x:v>EW</x:v>
      </x:c>
      <x:c r="D498" s="36" t="str">
        <x:v>Communications &amp; Brand</x:v>
      </x:c>
      <x:c r="E498" s="36" t="str">
        <x:v>New (Also CCB Program)</x:v>
      </x:c>
      <x:c r="F498" s="36" t="str">
        <x:v>Decomm/Replatforming</x:v>
      </x:c>
      <x:c r="G498" s="36" t="str">
        <x:v>Compliance/Keeping the lights on</x:v>
      </x:c>
      <x:c r="H498" s="36" t="str">
        <x:v>Must Do</x:v>
      </x:c>
      <x:c r="I498" s="36" t="str">
        <x:v>Carry Over</x:v>
      </x:c>
      <x:c r="J498" s="38" t="n">
        <x:v>0.4</x:v>
      </x:c>
      <x:c r="K498" s="38"/>
      <x:c r="L498" s="38"/>
      <x:c r="M498" s="38"/>
      <x:c r="N498" s="38"/>
      <x:c r="O498" s="38"/>
      <x:c r="P498" s="37" t="str">
        <x:v>Validated recurring hard benefit: EUR 178K per year once the external Results Hub platform is retired. This comprises EUR 118K annual platform and licence fees paid to Workiva and approximately EUR 60K annual operational and maintenance support costs..</x:v>
      </x:c>
      <x:c r="Q498" s="37" t="str">
        <x:v>Risk exposure</x:v>
      </x:c>
      <x:c r="R498" s="37" t="str">
        <x:v>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x:v>
      </x:c>
      <x:c r="S498" s="37" t="str">
        <x:v>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x:v>
      </x:c>
      <x:c r="T498" s="37" t="str">
        <x:v>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
Out of scope is the migration or replacement of Workiva, SAP BW, TD Cascade, the CAT editor, regulated financial source data, report generation, ESEF/SEC iXBRL filing processes and statutory PDF production. These systems remain the controlled systems of record and must be integrated with Contentful and the release orchestration flow.</x:v>
      </x:c>
      <x:c r="U498" s="37" t="str"/>
      <x:c r="V498" s="36" t="str"/>
      <x:c r="W498" s="36" t="str"/>
      <x:c r="X498" s="36" t="n">
        <x:v>1</x:v>
      </x:c>
      <x:c r="Y498" s="36" t="str">
        <x:v>HEALTHY</x:v>
      </x:c>
      <x:c r="Z498" s="36" t="str"/>
      <x:c r="AA498" s="36" t="str"/>
      <x:c r="AB498" s="36"/>
      <x:c r="AC498" s="36"/>
      <x:c r="AD498" s="36" t="str"/>
      <x:c r="AE498" s="36" t="str">
        <x:v>HEALTHY — Rank in priority matrix</x:v>
      </x:c>
      <x:c r="AF498" s="36" t="str">
        <x:v>Name and organisation matched</x:v>
      </x:c>
      <x:c r="AG498" s="36" t="str">
        <x:v>Common pot</x:v>
      </x:c>
      <x:c r="AH498" s="36" t="str">
        <x:v>EW Demand!row 343</x:v>
      </x:c>
      <x:c r="AI498" s="36" t="str">
        <x:v>Decomm</x:v>
      </x:c>
      <x:c r="AJ498" s="36" t="str">
        <x:v>Compliance</x:v>
      </x:c>
      <x:c r="AK498" s="36" t="str">
        <x:v>Must Do</x:v>
      </x:c>
      <x:c r="AL498" s="36" t="n">
        <x:v>0</x:v>
      </x:c>
      <x:c r="AM498" s="36" t="n">
        <x:v>0</x:v>
      </x:c>
      <x:c r="AN498" s="43"/>
      <x:c r="AO498" s="43"/>
      <x:c r="AP498" s="43"/>
    </x:row>
    <x:row r="499" ht="24" hidden="0" customHeight="1">
      <x:c r="A499" s="36" t="str">
        <x:v>EW-177</x:v>
      </x:c>
      <x:c r="B499" s="37" t="str">
        <x:v>Extending Artifactory footprint &amp; offering to support SDLC and SDLC Security at scale</x:v>
      </x:c>
      <x:c r="C499" s="36" t="str">
        <x:v>EW</x:v>
      </x:c>
      <x:c r="D499" s="36" t="str">
        <x:v>Group Security​</x:v>
      </x:c>
      <x:c r="E499" s="36" t="str">
        <x:v>New</x:v>
      </x:c>
      <x:c r="F499" s="36" t="str">
        <x:v>Upgrades &amp; Enhancements</x:v>
      </x:c>
      <x:c r="G499" s="36" t="str">
        <x:v>Security</x:v>
      </x:c>
      <x:c r="H499" s="36" t="str">
        <x:v>Must Do</x:v>
      </x:c>
      <x:c r="I499" s="36" t="str">
        <x:v>New Initiative</x:v>
      </x:c>
      <x:c r="J499" s="38" t="n">
        <x:v>0.7</x:v>
      </x:c>
      <x:c r="K499" s="38"/>
      <x:c r="L499" s="38"/>
      <x:c r="M499" s="38"/>
      <x:c r="N499" s="38"/>
      <x:c r="O499" s="38"/>
      <x:c r="P499" s="37" t="str">
        <x:v>Avoid security breaches, early detection</x:v>
      </x:c>
      <x:c r="Q499" s="37" t="str">
        <x:v>Unclassified</x:v>
      </x:c>
      <x:c r="R499" s="37" t="str"/>
      <x:c r="S499" s="37" t="str">
        <x:v>Extending Artifactory footprint &amp; offering to support SDLC and SDLC Security at scale; Improving security footprint, e.g. avoid supply chain attack. (contact Uzi Yona); Derived from security containment through Wim Sonneman and team.</x:v>
      </x:c>
      <x:c r="T499" s="37" t="str"/>
      <x:c r="U499" s="37" t="str"/>
      <x:c r="V499" s="36" t="str"/>
      <x:c r="W499" s="36" t="str"/>
      <x:c r="X499" s="36" t="n">
        <x:v>1</x:v>
      </x:c>
      <x:c r="Y499" s="36" t="str">
        <x:v>HEALTHY</x:v>
      </x:c>
      <x:c r="Z499" s="36" t="str"/>
      <x:c r="AA499" s="36" t="str"/>
      <x:c r="AB499" s="36"/>
      <x:c r="AC499" s="36"/>
      <x:c r="AD499" s="36" t="str"/>
      <x:c r="AE499" s="36" t="str">
        <x:v>HEALTHY — Rank in priority matrix</x:v>
      </x:c>
      <x:c r="AF499" s="36" t="str">
        <x:v>Name and organisation matched</x:v>
      </x:c>
      <x:c r="AG499" s="36" t="str">
        <x:v>Common pot</x:v>
      </x:c>
      <x:c r="AH499" s="36" t="str">
        <x:v>EW Demand!row 346</x:v>
      </x:c>
      <x:c r="AI499" s="36" t="str">
        <x:v>Upgrades</x:v>
      </x:c>
      <x:c r="AJ499" s="36" t="str">
        <x:v>Security</x:v>
      </x:c>
      <x:c r="AK499" s="36" t="str">
        <x:v>Must Do</x:v>
      </x:c>
      <x:c r="AL499" s="36" t="n">
        <x:v>0</x:v>
      </x:c>
      <x:c r="AM499" s="36" t="n">
        <x:v>0</x:v>
      </x:c>
      <x:c r="AN499" s="43"/>
      <x:c r="AO499" s="43"/>
      <x:c r="AP499" s="43"/>
    </x:row>
    <x:row r="500" ht="15" hidden="0" customHeight="1">
      <x:c r="A500" s="36" t="str">
        <x:v>EW-178</x:v>
      </x:c>
      <x:c r="B500" s="37" t="str">
        <x:v>CCB - I&amp;D: Brand Licensing</x:v>
      </x:c>
      <x:c r="C500" s="36" t="str">
        <x:v>EW</x:v>
      </x:c>
      <x:c r="D500" s="36" t="str">
        <x:v>Intellectual Property &amp; Standards (IP&amp;S)​</x:v>
      </x:c>
      <x:c r="E500" s="36" t="str"/>
      <x:c r="F500" s="36" t="str">
        <x:v>Continuous Improvement</x:v>
      </x:c>
      <x:c r="G500" s="36" t="str">
        <x:v>Compliance/Keeping the lights on</x:v>
      </x:c>
      <x:c r="H500" s="36" t="str">
        <x:v>Must Have</x:v>
      </x:c>
      <x:c r="I500" s="36" t="str">
        <x:v>Change &amp; Sustain</x:v>
      </x:c>
      <x:c r="J500" s="38" t="n">
        <x:v>0.333</x:v>
      </x:c>
      <x:c r="K500" s="38"/>
      <x:c r="L500" s="38"/>
      <x:c r="M500" s="38"/>
      <x:c r="N500" s="38"/>
      <x:c r="O500" s="38"/>
      <x:c r="P500" s="37" t="str">
        <x:v>-</x:v>
      </x:c>
      <x:c r="Q500" s="37" t="str">
        <x:v>Risk exposure</x:v>
      </x:c>
      <x:c r="R500" s="37" t="str">
        <x:v>Support needed to ad hoc fullfill needs for our Brand licensees</x:v>
      </x:c>
      <x:c r="S500" s="37" t="str"/>
      <x:c r="T500" s="37" t="str"/>
      <x:c r="U500" s="37" t="str"/>
      <x:c r="V500" s="36" t="str"/>
      <x:c r="W500" s="36" t="str"/>
      <x:c r="X500" s="36"/>
      <x:c r="Y500" s="36" t="str">
        <x:v>NotAssessed</x:v>
      </x:c>
      <x:c r="Z500" s="36" t="str"/>
      <x:c r="AA500" s="36" t="str"/>
      <x:c r="AB500" s="36"/>
      <x:c r="AC500" s="36"/>
      <x:c r="AD500" s="36" t="str"/>
      <x:c r="AE500" s="36" t="str"/>
      <x:c r="AF500" s="36" t="str">
        <x:v>No exact waste match</x:v>
      </x:c>
      <x:c r="AG500" s="36" t="str">
        <x:v>Change and Sustain candidate</x:v>
      </x:c>
      <x:c r="AH500" s="36" t="str">
        <x:v>EW Demand!row 347</x:v>
      </x:c>
      <x:c r="AI500" s="36" t="str">
        <x:v>CI</x:v>
      </x:c>
      <x:c r="AJ500" s="36" t="str">
        <x:v>Compliance</x:v>
      </x:c>
      <x:c r="AK500" s="36" t="str">
        <x:v>Must Have</x:v>
      </x:c>
      <x:c r="AL500" s="36" t="n">
        <x:v>0</x:v>
      </x:c>
      <x:c r="AM500" s="36" t="n">
        <x:v>0</x:v>
      </x:c>
      <x:c r="AN500" s="43"/>
      <x:c r="AO500" s="43"/>
      <x:c r="AP500" s="43"/>
    </x:row>
    <x:row r="501" ht="15" hidden="0" customHeight="1">
      <x:c r="A501" s="36" t="str">
        <x:v>EW-179</x:v>
      </x:c>
      <x:c r="B501" s="37" t="str">
        <x:v>Upgrade Windchill 2027 to meet support compliance requirements</x:v>
      </x:c>
      <x:c r="C501" s="36" t="str">
        <x:v>EW</x:v>
      </x:c>
      <x:c r="D501" s="36" t="str">
        <x:v>Information Technology ​</x:v>
      </x:c>
      <x:c r="E501" s="36" t="str"/>
      <x:c r="F501" s="36" t="str">
        <x:v>Continuous Improvement</x:v>
      </x:c>
      <x:c r="G501" s="36" t="str">
        <x:v>Compliance/Keeping the lights on</x:v>
      </x:c>
      <x:c r="H501" s="36" t="str">
        <x:v>Must Do</x:v>
      </x:c>
      <x:c r="I501" s="36" t="str">
        <x:v>Change &amp; Sustain</x:v>
      </x:c>
      <x:c r="J501" s="38" t="n">
        <x:v>1</x:v>
      </x:c>
      <x:c r="K501" s="38"/>
      <x:c r="L501" s="38"/>
      <x:c r="M501" s="38"/>
      <x:c r="N501" s="38"/>
      <x:c r="O501" s="38"/>
      <x:c r="P501" s="37" t="str">
        <x:v>-</x:v>
      </x:c>
      <x:c r="Q501" s="37" t="str">
        <x:v>Risk exposure</x:v>
      </x:c>
      <x:c r="R501" s="37" t="str">
        <x:v>Our company wide PLM system will run out of support; non compliance</x:v>
      </x:c>
      <x:c r="S501" s="37" t="str">
        <x:v>Our company wide PLM system will run out of support; non compliance</x:v>
      </x:c>
      <x:c r="T501" s="37" t="str"/>
      <x:c r="U501" s="37" t="str"/>
      <x:c r="V501" s="36" t="str"/>
      <x:c r="W501" s="36" t="str"/>
      <x:c r="X501" s="36"/>
      <x:c r="Y501" s="36" t="str">
        <x:v>NotAssessed</x:v>
      </x:c>
      <x:c r="Z501" s="36" t="str"/>
      <x:c r="AA501" s="36" t="str"/>
      <x:c r="AB501" s="36"/>
      <x:c r="AC501" s="36"/>
      <x:c r="AD501" s="36" t="str"/>
      <x:c r="AE501" s="36" t="str"/>
      <x:c r="AF501" s="36" t="str">
        <x:v>No exact waste match</x:v>
      </x:c>
      <x:c r="AG501" s="36" t="str">
        <x:v>Change and Sustain candidate</x:v>
      </x:c>
      <x:c r="AH501" s="36" t="str">
        <x:v>EW Demand!row 348</x:v>
      </x:c>
      <x:c r="AI501" s="36" t="str">
        <x:v>CI</x:v>
      </x:c>
      <x:c r="AJ501" s="36" t="str">
        <x:v>Compliance</x:v>
      </x:c>
      <x:c r="AK501" s="36" t="str">
        <x:v>Must Do</x:v>
      </x:c>
      <x:c r="AL501" s="36" t="n">
        <x:v>0</x:v>
      </x:c>
      <x:c r="AM501" s="36" t="n">
        <x:v>0</x:v>
      </x:c>
      <x:c r="AN501" s="43"/>
      <x:c r="AO501" s="43"/>
      <x:c r="AP501" s="43"/>
    </x:row>
    <x:row r="502" ht="15" hidden="0" customHeight="1">
      <x:c r="A502" s="36" t="str">
        <x:v>EW-180</x:v>
      </x:c>
      <x:c r="B502" s="37" t="str">
        <x:v>CCB - I&amp;D - The Vault</x:v>
      </x:c>
      <x:c r="C502" s="36" t="str">
        <x:v>EW</x:v>
      </x:c>
      <x:c r="D502" s="36" t="str">
        <x:v>Intellectual Property &amp; Standards (IP&amp;S)​</x:v>
      </x:c>
      <x:c r="E502" s="36" t="str"/>
      <x:c r="F502" s="36" t="str">
        <x:v>Continuous Improvement</x:v>
      </x:c>
      <x:c r="G502" s="36" t="str">
        <x:v>Compliance/Keeping the lights on</x:v>
      </x:c>
      <x:c r="H502" s="36" t="str">
        <x:v>Must Do</x:v>
      </x:c>
      <x:c r="I502" s="36" t="str">
        <x:v>Change &amp; Sustain</x:v>
      </x:c>
      <x:c r="J502" s="38" t="n">
        <x:v>0.05</x:v>
      </x:c>
      <x:c r="K502" s="38"/>
      <x:c r="L502" s="38"/>
      <x:c r="M502" s="38"/>
      <x:c r="N502" s="38"/>
      <x:c r="O502" s="38"/>
      <x:c r="P502" s="37" t="str">
        <x:v>Keep the Vault (storarage for all our license and patents) complaint</x:v>
      </x:c>
      <x:c r="Q502" s="37" t="str">
        <x:v>Risk exposure</x:v>
      </x:c>
      <x:c r="R502" s="37" t="str">
        <x:v>Storage of all our patence and license information</x:v>
      </x:c>
      <x:c r="S502" s="37" t="str">
        <x:v>The Vault is the system where all our IP, patents and brand license information is stored</x:v>
      </x:c>
      <x:c r="T502" s="37" t="str">
        <x:v>Small must do changes for compliance</x:v>
      </x:c>
      <x:c r="U502" s="37" t="str"/>
      <x:c r="V502" s="36" t="str"/>
      <x:c r="W502" s="36" t="str"/>
      <x:c r="X502" s="36"/>
      <x:c r="Y502" s="36" t="str">
        <x:v>NotAssessed</x:v>
      </x:c>
      <x:c r="Z502" s="36" t="str"/>
      <x:c r="AA502" s="36" t="str"/>
      <x:c r="AB502" s="36"/>
      <x:c r="AC502" s="36"/>
      <x:c r="AD502" s="36" t="str"/>
      <x:c r="AE502" s="36" t="str"/>
      <x:c r="AF502" s="36" t="str">
        <x:v>No exact waste match</x:v>
      </x:c>
      <x:c r="AG502" s="36" t="str">
        <x:v>Change and Sustain candidate</x:v>
      </x:c>
      <x:c r="AH502" s="36" t="str">
        <x:v>EW Demand!row 349</x:v>
      </x:c>
      <x:c r="AI502" s="36" t="str">
        <x:v>CI</x:v>
      </x:c>
      <x:c r="AJ502" s="36" t="str">
        <x:v>Compliance</x:v>
      </x:c>
      <x:c r="AK502" s="36" t="str">
        <x:v>Must Do</x:v>
      </x:c>
      <x:c r="AL502" s="36" t="n">
        <x:v>0</x:v>
      </x:c>
      <x:c r="AM502" s="36" t="n">
        <x:v>0</x:v>
      </x:c>
      <x:c r="AN502" s="43"/>
      <x:c r="AO502" s="43"/>
      <x:c r="AP502" s="43"/>
    </x:row>
    <x:row r="503" ht="15" hidden="0" customHeight="1">
      <x:c r="A503" s="36" t="str">
        <x:v>EW-181</x:v>
      </x:c>
      <x:c r="B503" s="37" t="str">
        <x:v>GALA refactoring (license revenue management)</x:v>
      </x:c>
      <x:c r="C503" s="36" t="str">
        <x:v>EW</x:v>
      </x:c>
      <x:c r="D503" s="36" t="str">
        <x:v>Intellectual Property &amp; Standards (IP&amp;S)​</x:v>
      </x:c>
      <x:c r="E503" s="36" t="str"/>
      <x:c r="F503" s="36" t="str">
        <x:v>Decomm/Replatforming</x:v>
      </x:c>
      <x:c r="G503" s="36" t="str">
        <x:v>Compliance/Keeping the lights on</x:v>
      </x:c>
      <x:c r="H503" s="36" t="str">
        <x:v>Must Do</x:v>
      </x:c>
      <x:c r="I503" s="36" t="str">
        <x:v>Carry Over</x:v>
      </x:c>
      <x:c r="J503" s="38" t="n">
        <x:v>1.1</x:v>
      </x:c>
      <x:c r="K503" s="38"/>
      <x:c r="L503" s="38"/>
      <x:c r="M503" s="38"/>
      <x:c r="N503" s="38"/>
      <x:c r="O503" s="38"/>
      <x:c r="P503" s="37" t="str">
        <x:v>License revenue managament generating 500M annual profit</x:v>
      </x:c>
      <x:c r="Q503" s="37" t="str">
        <x:v>Risk exposure</x:v>
      </x:c>
      <x:c r="R503" s="37" t="str">
        <x:v>500 Meuro revenue at risk</x:v>
      </x:c>
      <x:c r="S503" s="37" t="str">
        <x:v>Current technology is out of support (20 year old oracle). Need to replatform</x:v>
      </x:c>
      <x:c r="T503" s="37" t="str">
        <x:v>Build new platform with help of AI</x:v>
      </x:c>
      <x:c r="U503" s="37" t="str"/>
      <x:c r="V503" s="36" t="str"/>
      <x:c r="W503" s="36" t="str"/>
      <x:c r="X503" s="36"/>
      <x:c r="Y503" s="36" t="str">
        <x:v>NotAssessed</x:v>
      </x:c>
      <x:c r="Z503" s="36" t="str"/>
      <x:c r="AA503" s="36" t="str"/>
      <x:c r="AB503" s="36"/>
      <x:c r="AC503" s="36"/>
      <x:c r="AD503" s="36" t="str"/>
      <x:c r="AE503" s="36" t="str"/>
      <x:c r="AF503" s="36" t="str">
        <x:v>No exact waste match</x:v>
      </x:c>
      <x:c r="AG503" s="36" t="str">
        <x:v>Common pot</x:v>
      </x:c>
      <x:c r="AH503" s="36" t="str">
        <x:v>EW Demand!row 350</x:v>
      </x:c>
      <x:c r="AI503" s="36" t="str">
        <x:v>Decomm</x:v>
      </x:c>
      <x:c r="AJ503" s="36" t="str">
        <x:v>Compliance</x:v>
      </x:c>
      <x:c r="AK503" s="36" t="str">
        <x:v>Must Do</x:v>
      </x:c>
      <x:c r="AL503" s="36" t="n">
        <x:v>0</x:v>
      </x:c>
      <x:c r="AM503" s="36" t="n">
        <x:v>0</x:v>
      </x:c>
      <x:c r="AN503" s="43"/>
      <x:c r="AO503" s="43"/>
      <x:c r="AP503" s="43"/>
    </x:row>
    <x:row r="504" ht="15" hidden="0" customHeight="1">
      <x:c r="A504" s="36" t="str">
        <x:v>EW-182</x:v>
      </x:c>
      <x:c r="B504" s="37" t="str">
        <x:v>Future State Product Configuration Platform</x:v>
      </x:c>
      <x:c r="C504" s="36" t="str">
        <x:v>EW</x:v>
      </x:c>
      <x:c r="D504" s="36" t="str">
        <x:v>Information Technology ​</x:v>
      </x:c>
      <x:c r="E504" s="36" t="str"/>
      <x:c r="F504" s="36" t="str">
        <x:v>Decomm/Replatforming</x:v>
      </x:c>
      <x:c r="G504" s="36" t="str">
        <x:v>Productivity savings</x:v>
      </x:c>
      <x:c r="H504" s="36" t="str">
        <x:v>Must Do</x:v>
      </x:c>
      <x:c r="I504" s="36" t="str">
        <x:v>New Initiative</x:v>
      </x:c>
      <x:c r="J504" s="38" t="n">
        <x:v>0.7</x:v>
      </x:c>
      <x:c r="K504" s="38"/>
      <x:c r="L504" s="38"/>
      <x:c r="M504" s="38"/>
      <x:c r="N504" s="38"/>
      <x:c r="O504" s="38"/>
      <x:c r="P504" s="37" t="str"/>
      <x:c r="Q504" s="37" t="str">
        <x:v>Cash savings</x:v>
      </x:c>
      <x:c r="R504" s="37" t="str">
        <x:v>High level license fee</x:v>
      </x:c>
      <x:c r="S504" s="37" t="str">
        <x:v>To drive recuring license cost down (ops budget) we are looking for a new solution for Configuration management</x:v>
      </x:c>
      <x:c r="T504" s="37" t="str">
        <x:v>Use AI to rebuild new platform against lower maintenance cost.</x:v>
      </x:c>
      <x:c r="U504" s="37" t="str"/>
      <x:c r="V504" s="36" t="str"/>
      <x:c r="W504" s="36" t="str"/>
      <x:c r="X504" s="36"/>
      <x:c r="Y504" s="36" t="str">
        <x:v>NotAssessed</x:v>
      </x:c>
      <x:c r="Z504" s="36" t="str"/>
      <x:c r="AA504" s="36" t="str"/>
      <x:c r="AB504" s="36"/>
      <x:c r="AC504" s="36"/>
      <x:c r="AD504" s="36" t="str"/>
      <x:c r="AE504" s="36" t="str"/>
      <x:c r="AF504" s="36" t="str">
        <x:v>Name and organisation matched</x:v>
      </x:c>
      <x:c r="AG504" s="36" t="str">
        <x:v>Common pot</x:v>
      </x:c>
      <x:c r="AH504" s="36" t="str">
        <x:v>EW Demand!row 351</x:v>
      </x:c>
      <x:c r="AI504" s="36" t="str">
        <x:v>Decomm</x:v>
      </x:c>
      <x:c r="AJ504" s="36" t="str">
        <x:v>Productivity</x:v>
      </x:c>
      <x:c r="AK504" s="36" t="str">
        <x:v>Must Do</x:v>
      </x:c>
      <x:c r="AL504" s="36" t="n">
        <x:v>0</x:v>
      </x:c>
      <x:c r="AM504" s="36" t="n">
        <x:v>0</x:v>
      </x:c>
      <x:c r="AN504" s="43"/>
      <x:c r="AO504" s="43"/>
      <x:c r="AP504" s="43"/>
    </x:row>
    <x:row r="505" ht="15" hidden="0" customHeight="1">
      <x:c r="A505" s="36" t="str">
        <x:v>EW-183</x:v>
      </x:c>
      <x:c r="B505" s="37" t="str">
        <x:v>FIN - Internal Controls Automation</x:v>
      </x:c>
      <x:c r="C505" s="36" t="str">
        <x:v>EW</x:v>
      </x:c>
      <x:c r="D505" s="36" t="str">
        <x:v>Finance​</x:v>
      </x:c>
      <x:c r="E505" s="36" t="str"/>
      <x:c r="F505" s="36" t="str">
        <x:v>Continuous Improvement</x:v>
      </x:c>
      <x:c r="G505" s="36" t="str">
        <x:v>Productivity savings</x:v>
      </x:c>
      <x:c r="H505" s="36" t="str">
        <x:v>Must Do</x:v>
      </x:c>
      <x:c r="I505" s="36" t="str">
        <x:v>Carry Over</x:v>
      </x:c>
      <x:c r="J505" s="38" t="n">
        <x:v>0.15</x:v>
      </x:c>
      <x:c r="K505" s="38"/>
      <x:c r="L505" s="38"/>
      <x:c r="M505" s="38"/>
      <x:c r="N505" s="38"/>
      <x:c r="O505" s="38"/>
      <x:c r="P505" s="37" t="str"/>
      <x:c r="Q505" s="37" t="str">
        <x:v>Cash savings</x:v>
      </x:c>
      <x:c r="R505" s="37" t="str"/>
      <x:c r="S505" s="37" t="str"/>
      <x:c r="T505" s="37" t="str">
        <x:v>Implementation of automation IT application controls contineous monitoring/testing (IT application dashboards). IT support required for implementation in ADL and handover to IT (zone 3).
Also as part of AI Big bets implementation of dashboard and scoping agent (IT support for zone 2)</x:v>
      </x:c>
      <x:c r="U505" s="37" t="str"/>
      <x:c r="V505" s="36" t="str"/>
      <x:c r="W505" s="36" t="str"/>
      <x:c r="X505" s="36"/>
      <x:c r="Y505" s="36" t="str">
        <x:v>NotAssessed</x:v>
      </x:c>
      <x:c r="Z505" s="36" t="str"/>
      <x:c r="AA505" s="36" t="str"/>
      <x:c r="AB505" s="36"/>
      <x:c r="AC505" s="36"/>
      <x:c r="AD505" s="36" t="str"/>
      <x:c r="AE505" s="36" t="str"/>
      <x:c r="AF505" s="36" t="str">
        <x:v>Name and organisation matched</x:v>
      </x:c>
      <x:c r="AG505" s="36" t="str">
        <x:v>Common pot</x:v>
      </x:c>
      <x:c r="AH505" s="36" t="str">
        <x:v>EW Demand!row 352</x:v>
      </x:c>
      <x:c r="AI505" s="36" t="str">
        <x:v>CI</x:v>
      </x:c>
      <x:c r="AJ505" s="36" t="str">
        <x:v>Productivity</x:v>
      </x:c>
      <x:c r="AK505" s="36" t="str">
        <x:v>Must Do</x:v>
      </x:c>
      <x:c r="AL505" s="36" t="n">
        <x:v>0</x:v>
      </x:c>
      <x:c r="AM505" s="36" t="n">
        <x:v>0</x:v>
      </x:c>
      <x:c r="AN505" s="43"/>
      <x:c r="AO505" s="43"/>
      <x:c r="AP505" s="43"/>
    </x:row>
    <x:row r="506" ht="15" hidden="0" customHeight="1">
      <x:c r="A506" s="36" t="str">
        <x:v>EW-unassigned-row-354</x:v>
      </x:c>
      <x:c r="B506" s="37" t="str">
        <x:v>ISC - Hardware Refresh 3 Sites</x:v>
      </x:c>
      <x:c r="C506" s="36" t="str">
        <x:v>EW</x:v>
      </x:c>
      <x:c r="D506" s="36" t="str">
        <x:v>Information Technology ​</x:v>
      </x:c>
      <x:c r="E506" s="36" t="str"/>
      <x:c r="F506" s="36" t="str">
        <x:v>New Technology</x:v>
      </x:c>
      <x:c r="G506" s="36" t="str">
        <x:v>Compliance/Keeping the lights on</x:v>
      </x:c>
      <x:c r="H506" s="36" t="str">
        <x:v>Must Do</x:v>
      </x:c>
      <x:c r="I506" s="36" t="str">
        <x:v>New Initiative</x:v>
      </x:c>
      <x:c r="J506" s="38" t="n">
        <x:v>4</x:v>
      </x:c>
      <x:c r="K506" s="38"/>
      <x:c r="L506" s="38"/>
      <x:c r="M506" s="38"/>
      <x:c r="N506" s="38"/>
      <x:c r="O506" s="38" t="n">
        <x:v>0.87</x:v>
      </x:c>
      <x:c r="P506" s="37" t="str">
        <x:v>870</x:v>
      </x:c>
      <x:c r="Q506" s="37" t="str">
        <x:v>Risk exposure</x:v>
      </x:c>
      <x:c r="R506" s="37" t="str">
        <x:v>0.87M impact per shift for all 3 sites; End of life and technical debt</x:v>
      </x:c>
      <x:c r="S506" s="37" t="str"/>
      <x:c r="T506" s="37" t="str"/>
      <x:c r="U506" s="37" t="str"/>
      <x:c r="V506" s="36" t="str"/>
      <x:c r="W506" s="36" t="str"/>
      <x:c r="X506" s="36" t="n">
        <x:v>1.55</x:v>
      </x:c>
      <x:c r="Y506" s="36" t="str">
        <x:v>HEALTHY</x:v>
      </x:c>
      <x:c r="Z506" s="36" t="str"/>
      <x:c r="AA506" s="36" t="str"/>
      <x:c r="AB506" s="36"/>
      <x:c r="AC506" s="36"/>
      <x:c r="AD506" s="36" t="str"/>
      <x:c r="AE506" s="36" t="str">
        <x:v>HEALTHY — Rank in priority matrix</x:v>
      </x:c>
      <x:c r="AF506" s="36" t="str">
        <x:v>Name and organisation matched</x:v>
      </x:c>
      <x:c r="AG506" s="36" t="str">
        <x:v>Common pot</x:v>
      </x:c>
      <x:c r="AH506" s="36" t="str">
        <x:v>EW Demand!row 354</x:v>
      </x:c>
      <x:c r="AI506" s="36" t="str">
        <x:v>NewTech</x:v>
      </x:c>
      <x:c r="AJ506" s="36" t="str">
        <x:v>Compliance</x:v>
      </x:c>
      <x:c r="AK506" s="36" t="str">
        <x:v>Must Do</x:v>
      </x:c>
      <x:c r="AL506" s="36" t="n">
        <x:v>1</x:v>
      </x:c>
      <x:c r="AM506" s="36" t="n">
        <x:v>0</x:v>
      </x:c>
      <x:c r="AN506" s="43"/>
      <x:c r="AO506" s="43"/>
      <x:c r="AP506" s="43"/>
    </x:row>
    <x:row r="507" ht="15" hidden="0" customHeight="1">
      <x:c r="A507" s="36" t="str">
        <x:v>EW-unassigned-row-355</x:v>
      </x:c>
      <x:c r="B507" s="37" t="str">
        <x:v>ISC - Stable MES</x:v>
      </x:c>
      <x:c r="C507" s="36" t="str">
        <x:v>EW</x:v>
      </x:c>
      <x:c r="D507" s="36" t="str">
        <x:v>Information Technology ​</x:v>
      </x:c>
      <x:c r="E507" s="36" t="str"/>
      <x:c r="F507" s="36" t="str"/>
      <x:c r="G507" s="36" t="str">
        <x:v>Compliance/Keeping the lights on</x:v>
      </x:c>
      <x:c r="H507" s="36" t="str">
        <x:v>Must Have</x:v>
      </x:c>
      <x:c r="I507" s="36" t="str">
        <x:v>New Initiative</x:v>
      </x:c>
      <x:c r="J507" s="38" t="n">
        <x:v>0.5</x:v>
      </x:c>
      <x:c r="K507" s="38"/>
      <x:c r="L507" s="38"/>
      <x:c r="M507" s="38"/>
      <x:c r="N507" s="38"/>
      <x:c r="O507" s="38"/>
      <x:c r="P507" s="37" t="str"/>
      <x:c r="Q507" s="37" t="str">
        <x:v>Risk exposure</x:v>
      </x:c>
      <x:c r="R507" s="37" t="str"/>
      <x:c r="S507" s="37" t="str"/>
      <x:c r="T507" s="37" t="str"/>
      <x:c r="U507" s="37" t="str"/>
      <x:c r="V507" s="36" t="str"/>
      <x:c r="W507" s="36" t="str"/>
      <x:c r="X507" s="36" t="n">
        <x:v>2.25</x:v>
      </x:c>
      <x:c r="Y507" s="36" t="str">
        <x:v>CONTAIN</x:v>
      </x:c>
      <x:c r="Z507" s="36" t="str"/>
      <x:c r="AA507" s="36" t="str"/>
      <x:c r="AB507" s="36"/>
      <x:c r="AC507" s="36"/>
      <x:c r="AD507" s="36" t="str"/>
      <x:c r="AE507" s="36" t="str">
        <x:v>CONTAIN — Conditions</x:v>
      </x:c>
      <x:c r="AF507" s="36" t="str">
        <x:v>Name and organisation matched</x:v>
      </x:c>
      <x:c r="AG507" s="36" t="str">
        <x:v>Common pot</x:v>
      </x:c>
      <x:c r="AH507" s="36" t="str">
        <x:v>EW Demand!row 355</x:v>
      </x:c>
      <x:c r="AI507" s="36" t="str">
        <x:v>Blank</x:v>
      </x:c>
      <x:c r="AJ507" s="36" t="str">
        <x:v>Compliance</x:v>
      </x:c>
      <x:c r="AK507" s="36" t="str">
        <x:v>Must Have</x:v>
      </x:c>
      <x:c r="AL507" s="36" t="n">
        <x:v>1</x:v>
      </x:c>
      <x:c r="AM507" s="36" t="n">
        <x:v>0</x:v>
      </x:c>
      <x:c r="AN507" s="43"/>
      <x:c r="AO507" s="43"/>
      <x:c r="AP507" s="43"/>
    </x:row>
    <x:row r="508" ht="15" hidden="0" customHeight="1">
      <x:c r="A508" s="36" t="str">
        <x:v>EW-unassigned-row-356</x:v>
      </x:c>
      <x:c r="B508" s="37" t="str">
        <x:v>Agent Atelier</x:v>
      </x:c>
      <x:c r="C508" s="36" t="str">
        <x:v>EW</x:v>
      </x:c>
      <x:c r="D508" s="36" t="str">
        <x:v>Innovation and Design Business Operations</x:v>
      </x:c>
      <x:c r="E508" s="36" t="str"/>
      <x:c r="F508" s="36" t="str">
        <x:v>Continuous Improvement</x:v>
      </x:c>
      <x:c r="G508" s="36" t="str">
        <x:v>Process simplification/ efficiency gain</x:v>
      </x:c>
      <x:c r="H508" s="36" t="str">
        <x:v>Must Have</x:v>
      </x:c>
      <x:c r="I508" s="36" t="str">
        <x:v>Carry Over</x:v>
      </x:c>
      <x:c r="J508" s="38" t="n">
        <x:v>0.075</x:v>
      </x:c>
      <x:c r="K508" s="38"/>
      <x:c r="L508" s="38"/>
      <x:c r="M508" s="38"/>
      <x:c r="N508" s="38"/>
      <x:c r="O508" s="38" t="n">
        <x:v>0.4</x:v>
      </x:c>
      <x:c r="P508" s="37" t="str">
        <x:v>400</x:v>
      </x:c>
      <x:c r="Q508" s="37" t="str">
        <x:v>Cash savings</x:v>
      </x:c>
      <x:c r="R508" s="37" t="str">
        <x:v>Duplication of work, lost visibility of existing projects and capabilities, lack of collaboration across businesses and functions, slow reuse and scaling of solutions, low R&amp;D efficiency and innovation speed</x:v>
      </x:c>
      <x:c r="S508" s="37" t="str"/>
      <x:c r="T508" s="37" t="str"/>
      <x:c r="U508" s="37" t="str"/>
      <x:c r="V508" s="36" t="str"/>
      <x:c r="W508" s="36" t="str"/>
      <x:c r="X508" s="36"/>
      <x:c r="Y508" s="36" t="str">
        <x:v>NotAssessed</x:v>
      </x:c>
      <x:c r="Z508" s="36" t="str"/>
      <x:c r="AA508" s="36" t="str"/>
      <x:c r="AB508" s="36"/>
      <x:c r="AC508" s="36"/>
      <x:c r="AD508" s="36" t="str"/>
      <x:c r="AE508" s="36" t="str"/>
      <x:c r="AF508" s="36" t="str">
        <x:v>No exact waste match</x:v>
      </x:c>
      <x:c r="AG508" s="36" t="str">
        <x:v>Common pot</x:v>
      </x:c>
      <x:c r="AH508" s="36" t="str">
        <x:v>EW Demand!row 356</x:v>
      </x:c>
      <x:c r="AI508" s="36" t="str">
        <x:v>CI</x:v>
      </x:c>
      <x:c r="AJ508" s="36" t="str">
        <x:v>ProcSimp</x:v>
      </x:c>
      <x:c r="AK508" s="36" t="str">
        <x:v>Must Have</x:v>
      </x:c>
      <x:c r="AL508" s="36" t="n">
        <x:v>1</x:v>
      </x:c>
      <x:c r="AM508" s="36" t="n">
        <x:v>0</x:v>
      </x:c>
      <x:c r="AN508" s="43"/>
      <x:c r="AO508" s="43"/>
      <x:c r="AP508" s="43"/>
    </x:row>
    <x:row r="509" ht="15" hidden="0" customHeight="1">
      <x:c r="A509" s="36" t="str">
        <x:v>EW-unassigned-row-357</x:v>
      </x:c>
      <x:c r="B509" s="37" t="str">
        <x:v>Innovation &amp; AI Atlas</x:v>
      </x:c>
      <x:c r="C509" s="36" t="str">
        <x:v>EW</x:v>
      </x:c>
      <x:c r="D509" s="36" t="str">
        <x:v>Innovation and Design Business Operations</x:v>
      </x:c>
      <x:c r="E509" s="36" t="str"/>
      <x:c r="F509" s="36" t="str">
        <x:v>Continuous Improvement</x:v>
      </x:c>
      <x:c r="G509" s="36" t="str">
        <x:v>Process simplification/ efficiency gain</x:v>
      </x:c>
      <x:c r="H509" s="36" t="str">
        <x:v>Must Have</x:v>
      </x:c>
      <x:c r="I509" s="36" t="str">
        <x:v>Carry Over</x:v>
      </x:c>
      <x:c r="J509" s="38" t="n">
        <x:v>0.075</x:v>
      </x:c>
      <x:c r="K509" s="38"/>
      <x:c r="L509" s="38"/>
      <x:c r="M509" s="38"/>
      <x:c r="N509" s="38"/>
      <x:c r="O509" s="38" t="n">
        <x:v>0.4</x:v>
      </x:c>
      <x:c r="P509" s="37" t="str">
        <x:v>400</x:v>
      </x:c>
      <x:c r="Q509" s="37" t="str">
        <x:v>Cash savings</x:v>
      </x:c>
      <x:c r="R509" s="37" t="str">
        <x:v>Duplication of work, lost visibility of existing projects and capabilities, lack of collaboration across businesses and functions, slow reuse and scaling of solutions, low R&amp;D efficiency and innovation speed</x:v>
      </x:c>
      <x:c r="S509" s="37" t="str"/>
      <x:c r="T509" s="37" t="str"/>
      <x:c r="U509" s="37" t="str"/>
      <x:c r="V509" s="36" t="str"/>
      <x:c r="W509" s="36" t="str"/>
      <x:c r="X509" s="36"/>
      <x:c r="Y509" s="36" t="str">
        <x:v>NotAssessed</x:v>
      </x:c>
      <x:c r="Z509" s="36" t="str"/>
      <x:c r="AA509" s="36" t="str"/>
      <x:c r="AB509" s="36"/>
      <x:c r="AC509" s="36"/>
      <x:c r="AD509" s="36" t="str"/>
      <x:c r="AE509" s="36" t="str"/>
      <x:c r="AF509" s="36" t="str">
        <x:v>No exact waste match</x:v>
      </x:c>
      <x:c r="AG509" s="36" t="str">
        <x:v>Common pot</x:v>
      </x:c>
      <x:c r="AH509" s="36" t="str">
        <x:v>EW Demand!row 357</x:v>
      </x:c>
      <x:c r="AI509" s="36" t="str">
        <x:v>CI</x:v>
      </x:c>
      <x:c r="AJ509" s="36" t="str">
        <x:v>ProcSimp</x:v>
      </x:c>
      <x:c r="AK509" s="36" t="str">
        <x:v>Must Have</x:v>
      </x:c>
      <x:c r="AL509" s="36" t="n">
        <x:v>1</x:v>
      </x:c>
      <x:c r="AM509" s="36" t="n">
        <x:v>0</x:v>
      </x:c>
      <x:c r="AN509" s="43"/>
      <x:c r="AO509" s="43"/>
      <x:c r="AP509" s="43"/>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row>
  </x:sheetData>
  <x:pageMargins left="0.7" right="0.7" top="0.75" bottom="0.75" header="0.3" footer="0.3"/>
  <x:tableParts count="1">
    <x:tablePart xmlns:r="http://schemas.openxmlformats.org/officeDocument/2006/relationships" r:id="R73d1945af67149a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62" hidden="0" customWidth="1"/>
    <x:col min="4" max="4" width="22" hidden="0" customWidth="1"/>
    <x:col min="5" max="5" width="24" hidden="0" customWidth="1"/>
    <x:col min="6" max="6" width="24" hidden="0" customWidth="1"/>
    <x:col min="7" max="7" width="24" hidden="0" customWidth="1"/>
  </x:cols>
  <x:sheetData>
    <x:row r="1" ht="32" customHeight="1">
      <x:c r="A1" s="10" t="str">
        <x:v>Configurable scoring</x:v>
      </x:c>
      <x:c r="B1" s="9"/>
      <x:c r="C1" s="9"/>
      <x:c r="D1" s="9"/>
      <x:c r="E1" s="9"/>
      <x:c r="F1" s="9"/>
      <x:c r="G1" s="9"/>
    </x:row>
    <x:row r="2">
      <x:c r="A2" s="9"/>
      <x:c r="B2" s="9"/>
      <x:c r="C2" s="9"/>
      <x:c r="D2" s="9"/>
      <x:c r="E2" s="9"/>
      <x:c r="F2" s="9"/>
      <x:c r="G2" s="9"/>
    </x:row>
    <x:row r="3">
      <x:c r="A3" s="14" t="str">
        <x:v>Dimension</x:v>
      </x:c>
      <x:c r="B3" s="14" t="str">
        <x:v>Tier maximum</x:v>
      </x:c>
      <x:c r="C3" s="14" t="str">
        <x:v>Reference weight</x:v>
      </x:c>
      <x:c r="D3" s="14" t="str">
        <x:v>Recommended weight</x:v>
      </x:c>
      <x:c r="E3" s="9"/>
      <x:c r="F3" s="9"/>
      <x:c r="G3" s="9"/>
    </x:row>
    <x:row r="4">
      <x:c r="A4" s="9" t="str">
        <x:v>Priority</x:v>
      </x:c>
      <x:c r="B4" s="15" t="n">
        <x:v>25</x:v>
      </x:c>
      <x:c r="C4" s="15" t="n">
        <x:v>25</x:v>
      </x:c>
      <x:c r="D4" s="15" t="n">
        <x:v>15</x:v>
      </x:c>
      <x:c r="E4" s="9"/>
      <x:c r="F4" s="9"/>
      <x:c r="G4" s="9"/>
    </x:row>
    <x:row r="5">
      <x:c r="A5" s="9" t="str">
        <x:v>Category</x:v>
      </x:c>
      <x:c r="B5" s="15" t="n">
        <x:v>20</x:v>
      </x:c>
      <x:c r="C5" s="15" t="n">
        <x:v>20</x:v>
      </x:c>
      <x:c r="D5" s="15" t="n">
        <x:v>10</x:v>
      </x:c>
      <x:c r="E5" s="9"/>
      <x:c r="F5" s="9"/>
      <x:c r="G5" s="9"/>
    </x:row>
    <x:row r="6">
      <x:c r="A6" s="9" t="str">
        <x:v>Investment area</x:v>
      </x:c>
      <x:c r="B6" s="15" t="n">
        <x:v>15</x:v>
      </x:c>
      <x:c r="C6" s="15" t="n">
        <x:v>15</x:v>
      </x:c>
      <x:c r="D6" s="15" t="n">
        <x:v>10</x:v>
      </x:c>
      <x:c r="E6" s="9"/>
      <x:c r="F6" s="9"/>
      <x:c r="G6" s="9"/>
    </x:row>
    <x:row r="7">
      <x:c r="A7" s="9" t="str">
        <x:v>Benefits</x:v>
      </x:c>
      <x:c r="B7" s="15" t="n">
        <x:v>25</x:v>
      </x:c>
      <x:c r="C7" s="15" t="n">
        <x:v>25</x:v>
      </x:c>
      <x:c r="D7" s="15" t="n">
        <x:v>30</x:v>
      </x:c>
      <x:c r="E7" s="9"/>
      <x:c r="F7" s="9"/>
      <x:c r="G7" s="9"/>
    </x:row>
    <x:row r="8">
      <x:c r="A8" s="9" t="str">
        <x:v>Waste</x:v>
      </x:c>
      <x:c r="B8" s="15" t="n">
        <x:v>15</x:v>
      </x:c>
      <x:c r="C8" s="15" t="n">
        <x:v>15</x:v>
      </x:c>
      <x:c r="D8" s="15" t="n">
        <x:v>10</x:v>
      </x:c>
      <x:c r="E8" s="9"/>
      <x:c r="F8" s="9"/>
      <x:c r="G8" s="9"/>
    </x:row>
    <x:row r="9">
      <x:c r="A9" s="9" t="str">
        <x:v>Impact and cost of not doing</x:v>
      </x:c>
      <x:c r="B9" s="15" t="n">
        <x:v>25</x:v>
      </x:c>
      <x:c r="C9" s="15" t="n">
        <x:v>0</x:v>
      </x:c>
      <x:c r="D9" s="15" t="n">
        <x:v>25</x:v>
      </x:c>
      <x:c r="E9" s="9"/>
      <x:c r="F9" s="9"/>
      <x:c r="G9" s="9"/>
    </x:row>
    <x:row r="10">
      <x:c r="A10" s="9" t="str">
        <x:v>Weight total</x:v>
      </x:c>
      <x:c r="B10" s="9"/>
      <x:c r="C10" s="9" t="n">
        <x:f>SUM(C4:C9)</x:f>
        <x:v>100</x:v>
      </x:c>
      <x:c r="D10" s="9" t="n">
        <x:f>SUM(D4:D9)</x:f>
        <x:v>100</x:v>
      </x:c>
      <x:c r="E10" s="9"/>
      <x:c r="F10" s="9"/>
      <x:c r="G10" s="9"/>
    </x:row>
    <x:row r="11">
      <x:c r="A11" s="9"/>
      <x:c r="B11" s="9"/>
      <x:c r="C11" s="9"/>
      <x:c r="D11" s="9"/>
      <x:c r="E11" s="9"/>
      <x:c r="F11" s="9"/>
      <x:c r="G11" s="9"/>
    </x:row>
    <x:row r="12">
      <x:c r="A12" s="9"/>
      <x:c r="B12" s="9"/>
      <x:c r="C12" s="9"/>
      <x:c r="D12" s="9"/>
      <x:c r="E12" s="9"/>
      <x:c r="F12" s="9"/>
      <x:c r="G12" s="9"/>
    </x:row>
    <x:row r="13">
      <x:c r="A13" s="14" t="str">
        <x:v>Tier key</x:v>
      </x:c>
      <x:c r="B13" s="14" t="str">
        <x:v>Reference points</x:v>
      </x:c>
      <x:c r="C13" s="14" t="str">
        <x:v>Recommended points</x:v>
      </x:c>
      <x:c r="D13" s="9"/>
      <x:c r="E13" s="9" t="str">
        <x:v>Ratio threshold</x:v>
      </x:c>
      <x:c r="F13" s="9" t="str">
        <x:v>Benefit tier</x:v>
      </x:c>
      <x:c r="G13" s="9" t="str">
        <x:v>Expected loss points</x:v>
      </x:c>
    </x:row>
    <x:row r="14">
      <x:c r="A14" s="9" t="str">
        <x:v>Priority|Must Do</x:v>
      </x:c>
      <x:c r="B14" s="15" t="n">
        <x:v>25</x:v>
      </x:c>
      <x:c r="C14" s="15" t="n">
        <x:v>25</x:v>
      </x:c>
      <x:c r="D14" s="9"/>
      <x:c r="E14" s="9" t="n">
        <x:v>0</x:v>
      </x:c>
      <x:c r="F14" s="9" t="str">
        <x:v>positive</x:v>
      </x:c>
      <x:c r="G14" s="9" t="n">
        <x:v>6</x:v>
      </x:c>
    </x:row>
    <x:row r="15">
      <x:c r="A15" s="9" t="str">
        <x:v>Priority|Must Have</x:v>
      </x:c>
      <x:c r="B15" s="15" t="n">
        <x:v>18</x:v>
      </x:c>
      <x:c r="C15" s="15" t="n">
        <x:v>18</x:v>
      </x:c>
      <x:c r="D15" s="9"/>
      <x:c r="E15" s="9" t="n">
        <x:v>0.5</x:v>
      </x:c>
      <x:c r="F15" s="9" t="str">
        <x:v>0.5to1.5</x:v>
      </x:c>
      <x:c r="G15" s="9" t="n">
        <x:v>9</x:v>
      </x:c>
    </x:row>
    <x:row r="16">
      <x:c r="A16" s="9" t="str">
        <x:v>Priority|Depri</x:v>
      </x:c>
      <x:c r="B16" s="15" t="n">
        <x:v>5</x:v>
      </x:c>
      <x:c r="C16" s="15" t="n">
        <x:v>5</x:v>
      </x:c>
      <x:c r="D16" s="9"/>
      <x:c r="E16" s="9" t="n">
        <x:v>1.5</x:v>
      </x:c>
      <x:c r="F16" s="9" t="str">
        <x:v>1.5to3</x:v>
      </x:c>
      <x:c r="G16" s="9" t="n">
        <x:v>12</x:v>
      </x:c>
    </x:row>
    <x:row r="17">
      <x:c r="A17" s="9" t="str">
        <x:v>Priority|Blank</x:v>
      </x:c>
      <x:c r="B17" s="15" t="n">
        <x:v>10</x:v>
      </x:c>
      <x:c r="C17" s="15" t="n">
        <x:v>0</x:v>
      </x:c>
      <x:c r="D17" s="9"/>
      <x:c r="E17" s="9" t="n">
        <x:v>3</x:v>
      </x:c>
      <x:c r="F17" s="9" t="str">
        <x:v>3plus</x:v>
      </x:c>
      <x:c r="G17" s="9" t="n">
        <x:v>15</x:v>
      </x:c>
    </x:row>
    <x:row r="18">
      <x:c r="A18" s="9" t="str">
        <x:v>Category|LFR</x:v>
      </x:c>
      <x:c r="B18" s="15" t="n">
        <x:v>20</x:v>
      </x:c>
      <x:c r="C18" s="15" t="n">
        <x:v>20</x:v>
      </x:c>
      <x:c r="D18" s="9"/>
      <x:c r="E18" s="9"/>
      <x:c r="F18" s="9" t="str">
        <x:v>None</x:v>
      </x:c>
      <x:c r="G18" s="9" t="n">
        <x:v>0</x:v>
      </x:c>
    </x:row>
    <x:row r="19">
      <x:c r="A19" s="9" t="str">
        <x:v>Category|Decomm</x:v>
      </x:c>
      <x:c r="B19" s="15" t="n">
        <x:v>17</x:v>
      </x:c>
      <x:c r="C19" s="15" t="n">
        <x:v>17</x:v>
      </x:c>
      <x:c r="D19" s="9"/>
      <x:c r="E19" s="9"/>
      <x:c r="F19" s="9"/>
      <x:c r="G19" s="9"/>
    </x:row>
    <x:row r="20">
      <x:c r="A20" s="9" t="str">
        <x:v>Category|AI</x:v>
      </x:c>
      <x:c r="B20" s="15" t="n">
        <x:v>16</x:v>
      </x:c>
      <x:c r="C20" s="15" t="n">
        <x:v>16</x:v>
      </x:c>
      <x:c r="D20" s="9"/>
      <x:c r="E20" s="9"/>
      <x:c r="F20" s="9"/>
      <x:c r="G20" s="9"/>
    </x:row>
    <x:row r="21">
      <x:c r="A21" s="9" t="str">
        <x:v>Category|Upgrades</x:v>
      </x:c>
      <x:c r="B21" s="15" t="n">
        <x:v>10</x:v>
      </x:c>
      <x:c r="C21" s="15" t="n">
        <x:v>10</x:v>
      </x:c>
      <x:c r="D21" s="9"/>
      <x:c r="E21" s="9" t="str">
        <x:v>Reviewed impact tier</x:v>
      </x:c>
      <x:c r="F21" s="9" t="str">
        <x:v>Severity points</x:v>
      </x:c>
      <x:c r="G21" s="9"/>
    </x:row>
    <x:row r="22">
      <x:c r="A22" s="9" t="str">
        <x:v>Category|CI</x:v>
      </x:c>
      <x:c r="B22" s="15" t="n">
        <x:v>8</x:v>
      </x:c>
      <x:c r="C22" s="15" t="n">
        <x:v>8</x:v>
      </x:c>
      <x:c r="D22" s="9"/>
      <x:c r="E22" s="9" t="n">
        <x:v>1</x:v>
      </x:c>
      <x:c r="F22" s="9" t="n">
        <x:v>2</x:v>
      </x:c>
      <x:c r="G22" s="9"/>
    </x:row>
    <x:row r="23">
      <x:c r="A23" s="9" t="str">
        <x:v>Category|NewFeat</x:v>
      </x:c>
      <x:c r="B23" s="15" t="n">
        <x:v>6</x:v>
      </x:c>
      <x:c r="C23" s="15" t="n">
        <x:v>6</x:v>
      </x:c>
      <x:c r="D23" s="9"/>
      <x:c r="E23" s="9" t="n">
        <x:v>2</x:v>
      </x:c>
      <x:c r="F23" s="9" t="n">
        <x:v>4</x:v>
      </x:c>
      <x:c r="G23" s="9"/>
    </x:row>
    <x:row r="24">
      <x:c r="A24" s="9" t="str">
        <x:v>Category|NewTech</x:v>
      </x:c>
      <x:c r="B24" s="15" t="n">
        <x:v>5</x:v>
      </x:c>
      <x:c r="C24" s="15" t="n">
        <x:v>5</x:v>
      </x:c>
      <x:c r="D24" s="9"/>
      <x:c r="E24" s="9" t="n">
        <x:v>3</x:v>
      </x:c>
      <x:c r="F24" s="9" t="n">
        <x:v>6</x:v>
      </x:c>
      <x:c r="G24" s="9"/>
    </x:row>
    <x:row r="25">
      <x:c r="A25" s="9" t="str">
        <x:v>Category|Blank</x:v>
      </x:c>
      <x:c r="B25" s="15" t="n">
        <x:v>4</x:v>
      </x:c>
      <x:c r="C25" s="15" t="n">
        <x:v>0</x:v>
      </x:c>
      <x:c r="D25" s="9"/>
      <x:c r="E25" s="9" t="n">
        <x:v>4</x:v>
      </x:c>
      <x:c r="F25" s="9" t="n">
        <x:v>8</x:v>
      </x:c>
      <x:c r="G25" s="9"/>
    </x:row>
    <x:row r="26">
      <x:c r="A26" s="9" t="str">
        <x:v>Area|Compliance</x:v>
      </x:c>
      <x:c r="B26" s="15" t="n">
        <x:v>15</x:v>
      </x:c>
      <x:c r="C26" s="15" t="n">
        <x:v>15</x:v>
      </x:c>
      <x:c r="D26" s="9"/>
      <x:c r="E26" s="9" t="n">
        <x:v>5</x:v>
      </x:c>
      <x:c r="F26" s="9" t="n">
        <x:v>10</x:v>
      </x:c>
      <x:c r="G26" s="9"/>
    </x:row>
    <x:row r="27">
      <x:c r="A27" s="9" t="str">
        <x:v>Area|Security</x:v>
      </x:c>
      <x:c r="B27" s="15" t="n">
        <x:v>14</x:v>
      </x:c>
      <x:c r="C27" s="15" t="n">
        <x:v>14</x:v>
      </x:c>
      <x:c r="D27" s="9"/>
      <x:c r="E27" s="9"/>
      <x:c r="F27" s="9"/>
      <x:c r="G27" s="9"/>
    </x:row>
    <x:row r="28">
      <x:c r="A28" s="9" t="str">
        <x:v>Area|ProcSimp</x:v>
      </x:c>
      <x:c r="B28" s="15" t="n">
        <x:v>12</x:v>
      </x:c>
      <x:c r="C28" s="15" t="n">
        <x:v>12</x:v>
      </x:c>
      <x:c r="D28" s="9"/>
      <x:c r="E28" s="9"/>
      <x:c r="F28" s="9"/>
      <x:c r="G28" s="9"/>
    </x:row>
    <x:row r="29">
      <x:c r="A29" s="9" t="str">
        <x:v>Area|Revenue</x:v>
      </x:c>
      <x:c r="B29" s="15" t="n">
        <x:v>11</x:v>
      </x:c>
      <x:c r="C29" s="15" t="n">
        <x:v>11</x:v>
      </x:c>
      <x:c r="D29" s="9"/>
      <x:c r="E29" s="9"/>
      <x:c r="F29" s="9"/>
      <x:c r="G29" s="9"/>
    </x:row>
    <x:row r="30">
      <x:c r="A30" s="9" t="str">
        <x:v>Area|CostAvoidance</x:v>
      </x:c>
      <x:c r="B30" s="15" t="n">
        <x:v>11</x:v>
      </x:c>
      <x:c r="C30" s="15" t="n">
        <x:v>11</x:v>
      </x:c>
      <x:c r="D30" s="9"/>
      <x:c r="E30" s="9"/>
      <x:c r="F30" s="9"/>
      <x:c r="G30" s="9"/>
    </x:row>
    <x:row r="31">
      <x:c r="A31" s="9" t="str">
        <x:v>Area|Productivity</x:v>
      </x:c>
      <x:c r="B31" s="15" t="n">
        <x:v>10</x:v>
      </x:c>
      <x:c r="C31" s="15" t="n">
        <x:v>10</x:v>
      </x:c>
      <x:c r="D31" s="9"/>
      <x:c r="E31" s="9"/>
      <x:c r="F31" s="9"/>
      <x:c r="G31" s="9"/>
    </x:row>
    <x:row r="32">
      <x:c r="A32" s="9" t="str">
        <x:v>Area|Transform</x:v>
      </x:c>
      <x:c r="B32" s="15" t="n">
        <x:v>8</x:v>
      </x:c>
      <x:c r="C32" s="15" t="n">
        <x:v>8</x:v>
      </x:c>
      <x:c r="D32" s="9"/>
      <x:c r="E32" s="9"/>
      <x:c r="F32" s="9"/>
      <x:c r="G32" s="9"/>
    </x:row>
    <x:row r="33">
      <x:c r="A33" s="9" t="str">
        <x:v>Area|Blank</x:v>
      </x:c>
      <x:c r="B33" s="15" t="n">
        <x:v>3</x:v>
      </x:c>
      <x:c r="C33" s="15" t="n">
        <x:v>0</x:v>
      </x:c>
      <x:c r="D33" s="9"/>
      <x:c r="E33" s="9"/>
      <x:c r="F33" s="9"/>
      <x:c r="G33" s="9"/>
    </x:row>
    <x:row r="34">
      <x:c r="A34" s="9" t="str">
        <x:v>Benefits|3plus</x:v>
      </x:c>
      <x:c r="B34" s="15" t="n">
        <x:v>25</x:v>
      </x:c>
      <x:c r="C34" s="15" t="n">
        <x:v>25</x:v>
      </x:c>
      <x:c r="D34" s="9"/>
      <x:c r="E34" s="9"/>
      <x:c r="F34" s="9"/>
      <x:c r="G34" s="9"/>
    </x:row>
    <x:row r="35">
      <x:c r="A35" s="9" t="str">
        <x:v>Benefits|1.5to3</x:v>
      </x:c>
      <x:c r="B35" s="15" t="n">
        <x:v>20</x:v>
      </x:c>
      <x:c r="C35" s="15" t="n">
        <x:v>20</x:v>
      </x:c>
      <x:c r="D35" s="9"/>
      <x:c r="E35" s="9"/>
      <x:c r="F35" s="9"/>
      <x:c r="G35" s="9"/>
    </x:row>
    <x:row r="36">
      <x:c r="A36" s="9" t="str">
        <x:v>Benefits|0.5to1.5</x:v>
      </x:c>
      <x:c r="B36" s="15" t="n">
        <x:v>15</x:v>
      </x:c>
      <x:c r="C36" s="15" t="n">
        <x:v>15</x:v>
      </x:c>
      <x:c r="D36" s="9"/>
      <x:c r="E36" s="9"/>
      <x:c r="F36" s="9"/>
      <x:c r="G36" s="9"/>
    </x:row>
    <x:row r="37">
      <x:c r="A37" s="9" t="str">
        <x:v>Benefits|positive</x:v>
      </x:c>
      <x:c r="B37" s="15" t="n">
        <x:v>10</x:v>
      </x:c>
      <x:c r="C37" s="15" t="n">
        <x:v>10</x:v>
      </x:c>
      <x:c r="D37" s="9"/>
      <x:c r="E37" s="9"/>
      <x:c r="F37" s="9"/>
      <x:c r="G37" s="9"/>
    </x:row>
    <x:row r="38">
      <x:c r="A38" s="9" t="str">
        <x:v>Benefits|None</x:v>
      </x:c>
      <x:c r="B38" s="15" t="n">
        <x:v>5</x:v>
      </x:c>
      <x:c r="C38" s="15" t="n">
        <x:v>0</x:v>
      </x:c>
      <x:c r="D38" s="9"/>
      <x:c r="E38" s="9"/>
      <x:c r="F38" s="9"/>
      <x:c r="G38" s="9"/>
    </x:row>
    <x:row r="39">
      <x:c r="A39" s="9" t="str">
        <x:v>Waste|HEALTHY</x:v>
      </x:c>
      <x:c r="B39" s="15" t="n">
        <x:v>15</x:v>
      </x:c>
      <x:c r="C39" s="15" t="n">
        <x:v>15</x:v>
      </x:c>
      <x:c r="D39" s="9"/>
      <x:c r="E39" s="9"/>
      <x:c r="F39" s="9"/>
      <x:c r="G39" s="9"/>
    </x:row>
    <x:row r="40">
      <x:c r="A40" s="9" t="str">
        <x:v>Waste|CONTAIN</x:v>
      </x:c>
      <x:c r="B40" s="15" t="n">
        <x:v>9</x:v>
      </x:c>
      <x:c r="C40" s="15" t="n">
        <x:v>9</x:v>
      </x:c>
      <x:c r="D40" s="9"/>
      <x:c r="E40" s="9"/>
      <x:c r="F40" s="9"/>
      <x:c r="G40" s="9"/>
    </x:row>
    <x:row r="41">
      <x:c r="A41" s="9" t="str">
        <x:v>Waste|CHALLENGE</x:v>
      </x:c>
      <x:c r="B41" s="15" t="n">
        <x:v>3</x:v>
      </x:c>
      <x:c r="C41" s="15" t="n">
        <x:v>3</x:v>
      </x:c>
      <x:c r="D41" s="9"/>
      <x:c r="E41" s="9"/>
      <x:c r="F41" s="9"/>
      <x:c r="G41" s="9"/>
    </x:row>
    <x:row r="42">
      <x:c r="A42" s="9" t="str">
        <x:v>Waste|EXIT</x:v>
      </x:c>
      <x:c r="B42" s="15" t="n">
        <x:v>0</x:v>
      </x:c>
      <x:c r="C42" s="15" t="n">
        <x:v>0</x:v>
      </x:c>
      <x:c r="D42" s="9"/>
      <x:c r="E42" s="9"/>
      <x:c r="F42" s="9"/>
      <x:c r="G42" s="9"/>
    </x:row>
    <x:row r="43">
      <x:c r="A43" s="9" t="str">
        <x:v>Waste|NotAssessed</x:v>
      </x:c>
      <x:c r="B43" s="15" t="n">
        <x:v>7</x:v>
      </x:c>
      <x:c r="C43" s="15" t="n">
        <x:v>0</x:v>
      </x:c>
      <x:c r="D43" s="9"/>
      <x:c r="E43" s="9"/>
      <x:c r="F43" s="9"/>
      <x:c r="G43" s="9"/>
    </x:row>
    <x:row r="44">
      <x:c r="A44" s="9"/>
      <x:c r="B44" s="9"/>
      <x:c r="C44" s="9"/>
      <x:c r="D44" s="9"/>
      <x:c r="E44" s="9"/>
      <x:c r="F44" s="9"/>
      <x:c r="G44" s="9"/>
    </x:row>
    <x:row r="45">
      <x:c r="A45" s="9"/>
      <x:c r="B45" s="9"/>
      <x:c r="C45" s="9"/>
      <x:c r="D45" s="9"/>
      <x:c r="E45" s="9"/>
      <x:c r="F45" s="9"/>
      <x:c r="G45" s="9"/>
    </x:row>
    <x:row r="46">
      <x:c r="A46" s="9" t="str">
        <x:v>Lower bound</x:v>
      </x:c>
      <x:c r="B46" s="9" t="str">
        <x:v>Reference band</x:v>
      </x:c>
      <x:c r="C46" s="9" t="str">
        <x:v>Recommended band</x:v>
      </x:c>
      <x:c r="D46" s="9" t="str">
        <x:v>Decision meaning</x:v>
      </x:c>
      <x:c r="E46" s="9"/>
      <x:c r="F46" s="9"/>
      <x:c r="G46" s="9"/>
    </x:row>
    <x:row r="47">
      <x:c r="A47" s="9" t="n">
        <x:v>0</x:v>
      </x:c>
      <x:c r="B47" s="9" t="str">
        <x:v>Weak</x:v>
      </x:c>
      <x:c r="C47" s="9" t="str">
        <x:v>Weak</x:v>
      </x:c>
      <x:c r="D47" s="19" t="str">
        <x:v>Minimal fit; review</x:v>
      </x:c>
      <x:c r="E47" s="9"/>
      <x:c r="F47" s="9"/>
      <x:c r="G47" s="9"/>
    </x:row>
    <x:row r="48">
      <x:c r="A48" s="9" t="n">
        <x:v>25</x:v>
      </x:c>
      <x:c r="B48" s="9" t="str">
        <x:v>Discretionary</x:v>
      </x:c>
      <x:c r="C48" s="9" t="str">
        <x:v>Discretionary</x:v>
      </x:c>
      <x:c r="D48" s="19" t="str">
        <x:v>Justify or defer</x:v>
      </x:c>
      <x:c r="E48" s="9"/>
      <x:c r="F48" s="9"/>
      <x:c r="G48" s="9"/>
    </x:row>
    <x:row r="49">
      <x:c r="A49" s="9" t="n">
        <x:v>45</x:v>
      </x:c>
      <x:c r="B49" s="9" t="str">
        <x:v>Strong</x:v>
      </x:c>
      <x:c r="C49" s="9" t="str">
        <x:v>Strong</x:v>
      </x:c>
      <x:c r="D49" s="19" t="str">
        <x:v>Confirm scope and affordability</x:v>
      </x:c>
      <x:c r="E49" s="9"/>
      <x:c r="F49" s="9"/>
      <x:c r="G49" s="9"/>
    </x:row>
    <x:row r="50">
      <x:c r="A50" s="9" t="n">
        <x:v>65</x:v>
      </x:c>
      <x:c r="B50" s="9" t="str">
        <x:v>Protected</x:v>
      </x:c>
      <x:c r="C50" s="9" t="str">
        <x:v>High alignment</x:v>
      </x:c>
      <x:c r="D50" s="19" t="str">
        <x:v>Merit recommendation; protection requires validated mandate</x:v>
      </x:c>
      <x:c r="E50" s="9"/>
      <x:c r="F50" s="9"/>
      <x:c r="G50" s="9"/>
    </x:row>
    <x:row r="51">
      <x:c r="A51" s="9"/>
      <x:c r="B51" s="9"/>
      <x:c r="C51" s="9"/>
      <x:c r="D51" s="9"/>
      <x:c r="E51" s="9"/>
      <x:c r="F51" s="9"/>
      <x:c r="G51" s="9"/>
    </x:row>
    <x:row r="52">
      <x:c r="A52" s="9"/>
      <x:c r="B52" s="9"/>
      <x:c r="C52" s="9"/>
      <x:c r="D52" s="9"/>
      <x:c r="E52" s="9"/>
      <x:c r="F52" s="9"/>
      <x:c r="G52" s="9"/>
    </x:row>
    <x:row r="53">
      <x:c r="A53" s="9"/>
      <x:c r="B53" s="9"/>
      <x:c r="C53" s="9"/>
      <x:c r="D53" s="9"/>
      <x:c r="E53" s="9"/>
      <x:c r="F53" s="9"/>
      <x:c r="G53" s="9"/>
    </x:row>
    <x:row r="54" ht="35" customHeight="1">
      <x:c r="A54" s="9" t="str">
        <x:v>Parameter</x:v>
      </x:c>
      <x:c r="B54" s="9" t="str">
        <x:v>Value</x:v>
      </x:c>
      <x:c r="C54" s="19" t="str">
        <x:v>Meaning</x:v>
      </x:c>
      <x:c r="D54" s="9"/>
      <x:c r="E54" s="9"/>
      <x:c r="F54" s="9"/>
      <x:c r="G54" s="9"/>
    </x:row>
    <x:row r="55" ht="35" customHeight="1">
      <x:c r="A55" s="9" t="str">
        <x:v>Revenue margin</x:v>
      </x:c>
      <x:c r="B55" s="16" t="n">
        <x:v>0.15</x:v>
      </x:c>
      <x:c r="C55" s="19" t="str">
        <x:v>Proposed comparison assumption; confirm by program</x:v>
      </x:c>
      <x:c r="D55" s="9"/>
      <x:c r="E55" s="9"/>
      <x:c r="F55" s="9"/>
      <x:c r="G55" s="9"/>
    </x:row>
    <x:row r="56" ht="35" customHeight="1">
      <x:c r="A56" s="9" t="str">
        <x:v>Envelope M€</x:v>
      </x:c>
      <x:c r="B56" s="17" t="n">
        <x:v>168</x:v>
      </x:c>
      <x:c r="C56" s="19" t="str">
        <x:v>Planning scenario matching the current HTML; not a signed budget</x:v>
      </x:c>
      <x:c r="D56" s="9"/>
      <x:c r="E56" s="9"/>
      <x:c r="F56" s="9"/>
      <x:c r="G56" s="9"/>
    </x:row>
    <x:row r="57" ht="35" customHeight="1">
      <x:c r="A57" s="9" t="str">
        <x:v>Region reserve</x:v>
      </x:c>
      <x:c r="B57" s="16" t="n">
        <x:v>0.1</x:v>
      </x:c>
      <x:c r="C57" s="19" t="str">
        <x:v>Proposed initial share of total envelope; approve before conference</x:v>
      </x:c>
      <x:c r="D57" s="9"/>
      <x:c r="E57" s="9"/>
      <x:c r="F57" s="9"/>
      <x:c r="G57" s="9"/>
    </x:row>
    <x:row r="58" ht="35" customHeight="1">
      <x:c r="A58" s="9" t="str">
        <x:v>High ratio review threshold</x:v>
      </x:c>
      <x:c r="B58" s="18" t="n">
        <x:v>50</x:v>
      </x:c>
      <x:c r="C58" s="19" t="str">
        <x:v>Review units; never automatically divide by 1000</x:v>
      </x:c>
      <x:c r="D58" s="9"/>
      <x:c r="E58" s="9"/>
      <x:c r="F58" s="9"/>
      <x:c r="G58" s="9"/>
    </x:row>
    <x:row r="59" ht="35" customHeight="1">
      <x:c r="A59" s="9" t="str">
        <x:v>Common pot score floor</x:v>
      </x:c>
      <x:c r="B59" s="18" t="n">
        <x:v>45</x:v>
      </x:c>
      <x:c r="C59" s="19" t="str">
        <x:v>Proposed recommended default</x:v>
      </x:c>
      <x:c r="D59" s="9"/>
      <x:c r="E59" s="9"/>
      <x:c r="F59" s="9"/>
      <x:c r="G59" s="9"/>
    </x:row>
    <x:row r="60" ht="35" customHeight="1">
      <x:c r="A60" s="9" t="str">
        <x:v>Cost of not doing maximum</x:v>
      </x:c>
      <x:c r="B60" s="18" t="n">
        <x:v>15</x:v>
      </x:c>
      <x:c r="C60" s="19" t="str">
        <x:v>Expected loss ratio component</x:v>
      </x:c>
      <x:c r="D60" s="9"/>
      <x:c r="E60" s="9"/>
      <x:c r="F60" s="9"/>
      <x:c r="G60" s="9"/>
    </x:row>
    <x:row r="61" ht="35" customHeight="1">
      <x:c r="A61" s="9" t="str">
        <x:v>Impact severity maximum</x:v>
      </x:c>
      <x:c r="B61" s="18" t="n">
        <x:v>10</x:v>
      </x:c>
      <x:c r="C61" s="19" t="str">
        <x:v>Severity component; combined maximum must equal 25</x:v>
      </x:c>
      <x:c r="D61" s="9"/>
      <x:c r="E61" s="9"/>
      <x:c r="F61" s="9"/>
      <x:c r="G61" s="9"/>
    </x:row>
    <x:row r="62" ht="35" customHeight="1">
      <x:c r="A62" s="9" t="str">
        <x:v>Recommended weight check</x:v>
      </x:c>
      <x:c r="B62" s="9" t="n">
        <x:f>SUM(D4:D9)</x:f>
        <x:v>100</x:v>
      </x:c>
      <x:c r="C62" s="19" t="str">
        <x:v>Must equal 100</x:v>
      </x:c>
      <x:c r="D62" s="9"/>
      <x:c r="E62" s="9"/>
      <x:c r="F62" s="9"/>
      <x:c r="G62" s="9"/>
    </x:row>
    <x:row r="63" ht="35" customHeight="1">
      <x:c r="A63" s="9" t="str">
        <x:v>Component check</x:v>
      </x:c>
      <x:c r="B63" s="9" t="n">
        <x:f>SUM(B60:B61)</x:f>
        <x:v>25</x:v>
      </x:c>
      <x:c r="C63" s="19" t="str">
        <x:v>Must equal 25</x:v>
      </x:c>
      <x:c r="D63" s="9"/>
      <x:c r="E63" s="9"/>
      <x:c r="F63" s="9"/>
      <x:c r="G63" s="9"/>
    </x:row>
    <x:row r="64" ht="35" customHeight="1">
      <x:c r="A64" s="9" t="str">
        <x:v>Configuration status</x:v>
      </x:c>
      <x:c r="B64" s="9" t="str">
        <x:f>IF(AND(C10=100,D10=100,B63=25,MIN(B4:B9)&gt;0),"Review tiers","Invalid settings")</x:f>
        <x:v>Review tiers</x:v>
      </x:c>
      <x:c r="C64" s="19" t="str">
        <x:v>Check weights, impact components and positive tier maxima before use</x:v>
      </x:c>
      <x:c r="D64" s="9"/>
      <x:c r="E64" s="9"/>
      <x:c r="F64" s="9"/>
      <x:c r="G64" s="9"/>
    </x:row>
    <x:row r="65">
      <x:c r="A65" s="9"/>
      <x:c r="B65" s="9"/>
      <x:c r="C65" s="9"/>
      <x:c r="D65" s="9"/>
      <x:c r="E65" s="9"/>
      <x:c r="F65" s="9"/>
      <x:c r="G65" s="9"/>
    </x:row>
    <x:row r="66">
      <x:c r="A66" s="9"/>
      <x:c r="B66" s="9"/>
      <x:c r="C66" s="9"/>
      <x:c r="D66" s="9"/>
      <x:c r="E66" s="9"/>
      <x:c r="F66" s="9"/>
      <x:c r="G66" s="9"/>
    </x:row>
    <x:row r="67">
      <x:c r="A67" s="9"/>
      <x:c r="B67" s="9"/>
      <x:c r="C67" s="9"/>
      <x:c r="D67" s="9"/>
      <x:c r="E67" s="9"/>
      <x:c r="F67" s="9"/>
      <x:c r="G67" s="9"/>
    </x:row>
    <x:row r="68">
      <x:c r="A68" s="9"/>
      <x:c r="B68" s="9"/>
      <x:c r="C68" s="9"/>
      <x:c r="D68" s="9"/>
      <x:c r="E68" s="9"/>
      <x:c r="F68" s="9"/>
      <x:c r="G68" s="9"/>
    </x:row>
    <x:row r="69">
      <x:c r="A69" s="9"/>
      <x:c r="B69" s="9"/>
      <x:c r="C69" s="9"/>
      <x:c r="D69" s="9"/>
      <x:c r="E69" s="9"/>
      <x:c r="F69" s="9"/>
      <x:c r="G69" s="9"/>
    </x:row>
    <x:row r="70">
      <x:c r="A70" s="9"/>
      <x:c r="B70" s="9"/>
      <x:c r="C70" s="9"/>
      <x:c r="D70" s="9"/>
      <x:c r="E70" s="9"/>
      <x:c r="F70" s="9"/>
      <x:c r="G70" s="9"/>
    </x:row>
    <x:row r="71">
      <x:c r="A71" s="9"/>
      <x:c r="B71" s="9"/>
      <x:c r="C71" s="9"/>
      <x:c r="D71" s="9"/>
      <x:c r="E71" s="9"/>
      <x:c r="F71" s="9"/>
      <x:c r="G71" s="9"/>
    </x:row>
    <x:row r="72">
      <x:c r="A72" s="9"/>
      <x:c r="B72" s="9"/>
      <x:c r="C72" s="9"/>
      <x:c r="D72" s="9"/>
      <x:c r="E72" s="9"/>
      <x:c r="F72" s="9"/>
      <x:c r="G72" s="9"/>
    </x:row>
    <x:row r="73">
      <x:c r="A73" s="9"/>
      <x:c r="B73" s="9"/>
      <x:c r="C73" s="9"/>
      <x:c r="D73" s="9"/>
      <x:c r="E73" s="9"/>
      <x:c r="F73" s="9"/>
      <x:c r="G73" s="9"/>
    </x:row>
    <x:row r="74">
      <x:c r="A74" s="9"/>
      <x:c r="B74" s="9"/>
      <x:c r="C74" s="9"/>
      <x:c r="D74" s="9"/>
      <x:c r="E74" s="9"/>
      <x:c r="F74" s="9"/>
      <x:c r="G74" s="9"/>
    </x:row>
    <x:row r="75">
      <x:c r="A75" s="9"/>
      <x:c r="B75" s="9"/>
      <x:c r="C75" s="9"/>
      <x:c r="D75" s="9"/>
      <x:c r="E75" s="9"/>
      <x:c r="F75" s="9"/>
      <x:c r="G75" s="9"/>
    </x:row>
    <x:row r="76">
      <x:c r="A76" s="9"/>
      <x:c r="B76" s="9"/>
      <x:c r="C76" s="9"/>
      <x:c r="D76" s="9"/>
      <x:c r="E76" s="9"/>
      <x:c r="F76" s="9"/>
      <x:c r="G76" s="9"/>
    </x:row>
    <x:row r="77">
      <x:c r="A77" s="9"/>
      <x:c r="B77" s="9"/>
      <x:c r="C77" s="9"/>
      <x:c r="D77" s="9"/>
      <x:c r="E77" s="9"/>
      <x:c r="F77" s="9"/>
      <x:c r="G77" s="9"/>
    </x:row>
    <x:row r="78">
      <x:c r="A78" s="9"/>
      <x:c r="B78" s="9"/>
      <x:c r="C78" s="9"/>
      <x:c r="D78" s="9"/>
      <x:c r="E78" s="9"/>
      <x:c r="F78" s="9"/>
      <x:c r="G78" s="9"/>
    </x:row>
    <x:row r="79">
      <x:c r="A79" s="9"/>
      <x:c r="B79" s="9"/>
      <x:c r="C79" s="9"/>
      <x:c r="D79" s="9"/>
      <x:c r="E79" s="9"/>
      <x:c r="F79" s="9"/>
      <x:c r="G79" s="9"/>
    </x:row>
    <x:row r="80">
      <x:c r="A80" s="9"/>
      <x:c r="B80" s="9"/>
      <x:c r="C80" s="9"/>
      <x:c r="D80" s="9"/>
      <x:c r="E80" s="9"/>
      <x:c r="F80" s="9"/>
      <x:c r="G80" s="9"/>
    </x:row>
    <x:row r="81">
      <x:c r="A81" s="9"/>
      <x:c r="B81" s="9"/>
      <x:c r="C81" s="9"/>
      <x:c r="D81" s="9"/>
      <x:c r="E81" s="9"/>
      <x:c r="F81" s="9"/>
      <x:c r="G81" s="9"/>
    </x:row>
    <x:row r="82">
      <x:c r="A82" s="9"/>
      <x:c r="B82" s="9"/>
      <x:c r="C82" s="9"/>
      <x:c r="D82" s="9"/>
      <x:c r="E82" s="9"/>
      <x:c r="F82" s="9"/>
      <x:c r="G82" s="9"/>
    </x:row>
    <x:row r="83">
      <x:c r="A83" s="9"/>
      <x:c r="B83" s="9"/>
      <x:c r="C83" s="9"/>
      <x:c r="D83" s="9"/>
      <x:c r="E83" s="9"/>
      <x:c r="F83" s="9"/>
      <x:c r="G83" s="9"/>
    </x:row>
    <x:row r="84">
      <x:c r="A84" s="9"/>
      <x:c r="B84" s="9"/>
      <x:c r="C84" s="9"/>
      <x:c r="D84" s="9"/>
      <x:c r="E84" s="9"/>
      <x:c r="F84" s="9"/>
      <x:c r="G84" s="9"/>
    </x:row>
    <x:row r="85">
      <x:c r="A85" s="9"/>
      <x:c r="B85" s="9"/>
      <x:c r="C85" s="9"/>
      <x:c r="D85" s="9"/>
      <x:c r="E85" s="9"/>
      <x:c r="F85" s="9"/>
      <x:c r="G85" s="9"/>
    </x:row>
    <x:row r="86">
      <x:c r="A86" s="9"/>
      <x:c r="B86" s="9"/>
      <x:c r="C86" s="9"/>
      <x:c r="D86" s="9"/>
      <x:c r="E86" s="9"/>
      <x:c r="F86" s="9"/>
      <x:c r="G86" s="9"/>
    </x:row>
    <x:row r="87">
      <x:c r="A87" s="9"/>
      <x:c r="B87" s="9"/>
      <x:c r="C87" s="9"/>
      <x:c r="D87" s="9"/>
      <x:c r="E87" s="9"/>
      <x:c r="F87" s="9"/>
      <x:c r="G87" s="9"/>
    </x:row>
    <x:row r="88">
      <x:c r="A88" s="9"/>
      <x:c r="B88" s="9"/>
      <x:c r="C88" s="9"/>
      <x:c r="D88" s="9"/>
      <x:c r="E88" s="9"/>
      <x:c r="F88" s="9"/>
      <x:c r="G88" s="9"/>
    </x:row>
    <x:row r="89">
      <x:c r="A89" s="9"/>
      <x:c r="B89" s="9"/>
      <x:c r="C89" s="9"/>
      <x:c r="D89" s="9"/>
      <x:c r="E89" s="9"/>
      <x:c r="F89" s="9"/>
      <x:c r="G89" s="9"/>
    </x:row>
    <x:row r="90">
      <x:c r="A90" s="9"/>
      <x:c r="B90" s="9"/>
      <x:c r="C90" s="9"/>
      <x:c r="D90" s="9"/>
      <x:c r="E90" s="9"/>
      <x:c r="F90" s="9"/>
      <x:c r="G90" s="9"/>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2" hidden="0" customWidth="1"/>
    <x:col min="2" max="2" width="17" hidden="0" customWidth="1"/>
    <x:col min="3" max="3" width="44" hidden="0" customWidth="1"/>
    <x:col min="4" max="4" width="38" hidden="0" customWidth="1"/>
    <x:col min="5" max="5" width="17" hidden="0" customWidth="1"/>
    <x:col min="6" max="6" width="17" hidden="0" customWidth="1"/>
    <x:col min="7" max="7" width="29" hidden="0" customWidth="1"/>
    <x:col min="8" max="8" width="32" hidden="0" customWidth="1"/>
    <x:col min="9" max="9" width="65" hidden="0" customWidth="1"/>
  </x:cols>
  <x:sheetData>
    <x:row r="1" ht="32" customHeight="1">
      <x:c r="A1" s="2" t="str">
        <x:v>Scenario options</x:v>
      </x:c>
      <x:c r="B1" s="1"/>
      <x:c r="C1" s="1"/>
      <x:c r="D1" s="1"/>
      <x:c r="E1" s="1"/>
      <x:c r="F1" s="1"/>
      <x:c r="G1" s="1"/>
      <x:c r="H1" s="1"/>
      <x:c r="I1" s="1"/>
    </x:row>
    <x:row r="2">
      <x:c r="A2" s="1" t="str">
        <x:v>Recommended proposals, not approved Philips policy. LFR and C&amp;S amounts require minimum scope and service baseline confirmation.</x:v>
      </x:c>
      <x:c r="B2" s="1"/>
      <x:c r="C2" s="1"/>
      <x:c r="D2" s="1"/>
      <x:c r="E2" s="1"/>
      <x:c r="F2" s="1"/>
      <x:c r="G2" s="1"/>
      <x:c r="H2" s="1"/>
      <x:c r="I2" s="1"/>
    </x:row>
    <x:row r="3" ht="42" customHeight="1">
      <x:c r="A3" s="6" t="str">
        <x:v>Scenario</x:v>
      </x:c>
      <x:c r="B3" s="6" t="str">
        <x:v>Envelope M€</x:v>
      </x:c>
      <x:c r="C3" s="6" t="str">
        <x:v>LFR reservation</x:v>
      </x:c>
      <x:c r="D3" s="6" t="str">
        <x:v>Change and Sustain</x:v>
      </x:c>
      <x:c r="E3" s="6" t="str">
        <x:v>Region % of total</x:v>
      </x:c>
      <x:c r="F3" s="6" t="str">
        <x:v>Common score floor</x:v>
      </x:c>
      <x:c r="G3" s="6" t="str">
        <x:v>Scoring profile</x:v>
      </x:c>
      <x:c r="H3" s="6" t="str">
        <x:v>Common pot rule</x:v>
      </x:c>
      <x:c r="I3" s="6" t="str">
        <x:v>Interpretation</x:v>
      </x:c>
    </x:row>
    <x:row r="4" ht="30" customHeight="1">
      <x:c r="A4" s="1" t="str">
        <x:v>R0 Recommended conference baseline</x:v>
      </x:c>
      <x:c r="B4" s="7" t="n">
        <x:v>168</x:v>
      </x:c>
      <x:c r="C4" s="1" t="str">
        <x:v>Derived from validated minimum scope</x:v>
      </x:c>
      <x:c r="D4" s="1" t="str">
        <x:v>100% approved service baseline</x:v>
      </x:c>
      <x:c r="E4" s="26" t="n">
        <x:v>0.1</x:v>
      </x:c>
      <x:c r="F4" s="1" t="n">
        <x:v>45</x:v>
      </x:c>
      <x:c r="G4" s="1" t="str">
        <x:v>Recommended 6 dimensions</x:v>
      </x:c>
      <x:c r="H4" s="1" t="str">
        <x:v>Merit first</x:v>
      </x:c>
      <x:c r="I4" s="1" t="str">
        <x:v>Numeric reservation rates become final only after evidence and baseline approval</x:v>
      </x:c>
    </x:row>
    <x:row r="5" ht="30" customHeight="1">
      <x:c r="A5" s="1" t="str">
        <x:v>R1 Evidenced core</x:v>
      </x:c>
      <x:c r="B5" s="7" t="n">
        <x:v>168</x:v>
      </x:c>
      <x:c r="C5" s="1" t="str">
        <x:v>Same as R0</x:v>
      </x:c>
      <x:c r="D5" s="1" t="str">
        <x:v>Same as R0</x:v>
      </x:c>
      <x:c r="E5" s="26" t="n">
        <x:v>0.1</x:v>
      </x:c>
      <x:c r="F5" s="1" t="n">
        <x:v>65</x:v>
      </x:c>
      <x:c r="G5" s="1" t="str">
        <x:v>Recommended 6 dimensions</x:v>
      </x:c>
      <x:c r="H5" s="1" t="str">
        <x:v>Merit first</x:v>
      </x:c>
      <x:c r="I5" s="1" t="str">
        <x:v>Higher score floor; preserve mandates and service minimums</x:v>
      </x:c>
    </x:row>
    <x:row r="6" ht="30" customHeight="1">
      <x:c r="A6" s="1" t="str">
        <x:v>R2 Verified value</x:v>
      </x:c>
      <x:c r="B6" s="7" t="n">
        <x:v>168</x:v>
      </x:c>
      <x:c r="C6" s="1" t="str">
        <x:v>Same as R0</x:v>
      </x:c>
      <x:c r="D6" s="1" t="str">
        <x:v>Same as R0</x:v>
      </x:c>
      <x:c r="E6" s="26" t="n">
        <x:v>0.1</x:v>
      </x:c>
      <x:c r="F6" s="1" t="n">
        <x:v>45</x:v>
      </x:c>
      <x:c r="G6" s="1" t="str">
        <x:v>Recommended 6 dimensions</x:v>
      </x:c>
      <x:c r="H6" s="1" t="str">
        <x:v>Max supported net value</x:v>
      </x:c>
      <x:c r="I6" s="1" t="str">
        <x:v>Deduplicated benefit plus expected loss; compare against merit selection</x:v>
      </x:c>
    </x:row>
    <x:row r="7" ht="30" customHeight="1">
      <x:c r="A7" s="1" t="str">
        <x:v>R3 Region pressure</x:v>
      </x:c>
      <x:c r="B7" s="7" t="n">
        <x:v>168</x:v>
      </x:c>
      <x:c r="C7" s="1" t="str">
        <x:v>Same as R0</x:v>
      </x:c>
      <x:c r="D7" s="1" t="str">
        <x:v>Same as R0</x:v>
      </x:c>
      <x:c r="E7" s="26" t="n">
        <x:v>0.15</x:v>
      </x:c>
      <x:c r="F7" s="1" t="n">
        <x:v>45</x:v>
      </x:c>
      <x:c r="G7" s="1" t="str">
        <x:v>Recommended 6 dimensions</x:v>
      </x:c>
      <x:c r="H7" s="1" t="str">
        <x:v>Merit first</x:v>
      </x:c>
      <x:c r="I7" s="1" t="str">
        <x:v>Five additional percentage points to Region; common pot reduces equally</x:v>
      </x:c>
    </x:row>
    <x:row r="8" ht="30" customHeight="1">
      <x:c r="A8" s="1" t="str">
        <x:v>R4 Service continuity</x:v>
      </x:c>
      <x:c r="B8" s="7" t="n">
        <x:v>168</x:v>
      </x:c>
      <x:c r="C8" s="1" t="str">
        <x:v>Same as R0</x:v>
      </x:c>
      <x:c r="D8" s="1" t="str">
        <x:v>110% approved baseline</x:v>
      </x:c>
      <x:c r="E8" s="26" t="n">
        <x:v>0.1</x:v>
      </x:c>
      <x:c r="F8" s="1" t="n">
        <x:v>45</x:v>
      </x:c>
      <x:c r="G8" s="1" t="str">
        <x:v>Recommended 6 dimensions</x:v>
      </x:c>
      <x:c r="H8" s="1" t="str">
        <x:v>Merit first</x:v>
      </x:c>
      <x:c r="I8" s="1" t="str">
        <x:v>Sensitivity case; minimum viable C&amp;S work remains protected</x:v>
      </x:c>
    </x:row>
    <x:row r="9" ht="30" customHeight="1">
      <x:c r="A9" s="1" t="str">
        <x:v>R5 Envelope pressure</x:v>
      </x:c>
      <x:c r="B9" s="7" t="n">
        <x:v>151.2</x:v>
      </x:c>
      <x:c r="C9" s="1" t="str">
        <x:v>Recalculate % to hold minimum amount</x:v>
      </x:c>
      <x:c r="D9" s="1" t="str">
        <x:v>Hold approved minimum amount</x:v>
      </x:c>
      <x:c r="E9" s="26" t="n">
        <x:v>0.1</x:v>
      </x:c>
      <x:c r="F9" s="1" t="n">
        <x:v>45</x:v>
      </x:c>
      <x:c r="G9" s="1" t="str">
        <x:v>Recommended 6 dimensions</x:v>
      </x:c>
      <x:c r="H9" s="1" t="str">
        <x:v>Merit first</x:v>
      </x:c>
      <x:c r="I9" s="1" t="str">
        <x:v>10% lower total; report any mandatory shortfall</x:v>
      </x:c>
    </x:row>
    <x:row r="10" ht="30" customHeight="1">
      <x:c r="A10" s="1" t="str">
        <x:v>R6 Full demand benchmark</x:v>
      </x:c>
      <x:c r="B10" s="7" t="n">
        <x:v>279.995</x:v>
      </x:c>
      <x:c r="C10" s="1" t="str">
        <x:v>100% submitted LFR ask</x:v>
      </x:c>
      <x:c r="D10" s="1" t="str">
        <x:v>100% submitted C&amp;S ask</x:v>
      </x:c>
      <x:c r="E10" s="26"/>
      <x:c r="F10" s="1" t="n">
        <x:v>0</x:v>
      </x:c>
      <x:c r="G10" s="1" t="str">
        <x:v>Reference 5 dimensions</x:v>
      </x:c>
      <x:c r="H10" s="1" t="str">
        <x:v>Demand benchmark</x:v>
      </x:c>
      <x:c r="I10" s="1" t="str">
        <x:v>No approval implied; request total changes with source updates</x:v>
      </x:c>
    </x:row>
    <x:row r="11">
      <x:c r="A11" s="1"/>
      <x:c r="B11" s="1"/>
      <x:c r="C11" s="1"/>
      <x:c r="D11" s="1"/>
      <x:c r="E11" s="1"/>
      <x:c r="F11" s="1"/>
      <x:c r="G11" s="1"/>
      <x:c r="H11" s="1"/>
      <x:c r="I11" s="1"/>
    </x:row>
  </x:sheetData>
  <x:pageMargins left="0.7" right="0.7" top="0.75" bottom="0.75" header="0.3" footer="0.3"/>
  <x:tableParts count="1">
    <x:tablePart xmlns:r="http://schemas.openxmlformats.org/officeDocument/2006/relationships" r:id="Ra85444fef44743bc"/>
  </x:tableParts>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1" hidden="0" customWidth="1"/>
    <x:col min="2" max="2" width="43" hidden="0" customWidth="1"/>
    <x:col min="3" max="3" width="49" hidden="0" customWidth="1"/>
    <x:col min="4" max="4" width="29" hidden="0" customWidth="1"/>
    <x:col min="5" max="5" width="85" hidden="0" customWidth="1"/>
    <x:col min="6" max="6" width="35" hidden="0" customWidth="1"/>
  </x:cols>
  <x:sheetData>
    <x:row r="1" ht="32" customHeight="1">
      <x:c r="A1" s="2" t="str">
        <x:v>Data requirements</x:v>
      </x:c>
      <x:c r="B1" s="1"/>
      <x:c r="C1" s="1"/>
      <x:c r="D1" s="1"/>
      <x:c r="E1" s="1"/>
      <x:c r="F1" s="1"/>
    </x:row>
    <x:row r="2">
      <x:c r="A2" s="1"/>
      <x:c r="B2" s="1"/>
      <x:c r="C2" s="1"/>
      <x:c r="D2" s="1"/>
      <x:c r="E2" s="1"/>
      <x:c r="F2" s="1"/>
    </x:row>
    <x:row r="3" ht="42" customHeight="1">
      <x:c r="A3" s="6" t="str">
        <x:v>Decision input</x:v>
      </x:c>
      <x:c r="B3" s="6" t="str">
        <x:v>Current location</x:v>
      </x:c>
      <x:c r="C3" s="6" t="str">
        <x:v>Availability</x:v>
      </x:c>
      <x:c r="D3" s="6" t="str">
        <x:v>When required</x:v>
      </x:c>
      <x:c r="E3" s="6" t="str">
        <x:v>Validation rule</x:v>
      </x:c>
      <x:c r="F3" s="6" t="str">
        <x:v>Proposed accountable role</x:v>
      </x:c>
    </x:row>
    <x:row r="4" ht="52" customHeight="1">
      <x:c r="A4" s="8" t="str">
        <x:v>Permanent program ID</x:v>
      </x:c>
      <x:c r="B4" s="8" t="str">
        <x:v>Demand details</x:v>
      </x:c>
      <x:c r="C4" s="8" t="str">
        <x:v>Four requests have no Item No.</x:v>
      </x:c>
      <x:c r="D4" s="8" t="str">
        <x:v>Required for approval</x:v>
      </x:c>
      <x:c r="E4" s="8" t="str">
        <x:v>Unique, stable and cross-file reconciled</x:v>
      </x:c>
      <x:c r="F4" s="8" t="str">
        <x:v>Portfolio office</x:v>
      </x:c>
    </x:row>
    <x:row r="5" ht="52" customHeight="1">
      <x:c r="A5" s="8" t="str">
        <x:v>2027 agreed investment</x:v>
      </x:c>
      <x:c r="B5" s="8" t="str">
        <x:v>Requested / updated / agreed scope</x:v>
      </x:c>
      <x:c r="C5" s="8" t="str">
        <x:v>Multiple different source measures</x:v>
      </x:c>
      <x:c r="D5" s="8" t="str">
        <x:v>Required for funding</x:v>
      </x:c>
      <x:c r="E5" s="8" t="str">
        <x:v>Approved basis, unit, date and scope version</x:v>
      </x:c>
      <x:c r="F5" s="8" t="str">
        <x:v>Finance and sponsor</x:v>
      </x:c>
    </x:row>
    <x:row r="6" ht="52" customHeight="1">
      <x:c r="A6" s="8" t="str">
        <x:v>Comparable benefit</x:v>
      </x:c>
      <x:c r="B6" s="8" t="str">
        <x:v>Numeric source and narrative text</x:v>
      </x:c>
      <x:c r="C6" s="8" t="str">
        <x:v>189 numeric; 102 text entries</x:v>
      </x:c>
      <x:c r="D6" s="8" t="str">
        <x:v>Required for value scoring</x:v>
      </x:c>
      <x:c r="E6" s="8" t="str">
        <x:v>Class, amount, period, contribution margin, owner, approval</x:v>
      </x:c>
      <x:c r="F6" s="8" t="str">
        <x:v>Finance and benefit owner</x:v>
      </x:c>
    </x:row>
    <x:row r="7" ht="52" customHeight="1">
      <x:c r="A7" s="8" t="str">
        <x:v>Expected cost of not doing</x:v>
      </x:c>
      <x:c r="B7" s="8" t="str">
        <x:v>Impact and cost of not doing</x:v>
      </x:c>
      <x:c r="C7" s="8" t="str">
        <x:v>Narrative largely unstructured</x:v>
      </x:c>
      <x:c r="D7" s="8" t="str">
        <x:v>Required for loss-based score</x:v>
      </x:c>
      <x:c r="E7" s="8" t="str">
        <x:v>Loss amount x probability, period and overlap with benefits</x:v>
      </x:c>
      <x:c r="F7" s="8" t="str">
        <x:v>Finance and risk owner</x:v>
      </x:c>
    </x:row>
    <x:row r="8" ht="52" customHeight="1">
      <x:c r="A8" s="8" t="str">
        <x:v>Impact severity</x:v>
      </x:c>
      <x:c r="B8" s="8" t="str">
        <x:v>Recorded impact tier</x:v>
      </x:c>
      <x:c r="C8" s="8" t="str">
        <x:v>Some waste assessments have ratings</x:v>
      </x:c>
      <x:c r="D8" s="8" t="str">
        <x:v>Required for impact score</x:v>
      </x:c>
      <x:c r="E8" s="8" t="str">
        <x:v>Reviewed tier 0-5 with evidence and accountable owner</x:v>
      </x:c>
      <x:c r="F8" s="8" t="str">
        <x:v>Sponsor and risk owner</x:v>
      </x:c>
    </x:row>
    <x:row r="9" ht="52" customHeight="1">
      <x:c r="A9" s="8" t="str">
        <x:v>LFR protection</x:v>
      </x:c>
      <x:c r="B9" s="8" t="str">
        <x:v>Waste validation and named instrument</x:v>
      </x:c>
      <x:c r="C9" s="8" t="str">
        <x:v>34 strict matches marked YES</x:v>
      </x:c>
      <x:c r="D9" s="8" t="str">
        <x:v>Required for LFR reserve</x:v>
      </x:c>
      <x:c r="E9" s="8" t="str">
        <x:v>Legal/Tax/Compliance sign-off, deadline, minimum scope cost</x:v>
      </x:c>
      <x:c r="F9" s="8" t="str">
        <x:v>Legal Tax Compliance</x:v>
      </x:c>
    </x:row>
    <x:row r="10" ht="52" customHeight="1">
      <x:c r="A10" s="8" t="str">
        <x:v>Change and Sustain baseline</x:v>
      </x:c>
      <x:c r="B10" s="8" t="str">
        <x:v>Lifecycle label and CCB name</x:v>
      </x:c>
      <x:c r="C10" s="8" t="str">
        <x:v>Demand classification only</x:v>
      </x:c>
      <x:c r="D10" s="8" t="str">
        <x:v>Required for C&amp;S reserve</x:v>
      </x:c>
      <x:c r="E10" s="8" t="str">
        <x:v>2026 actuals, consumption, 2027 service floor, priced work packages</x:v>
      </x:c>
      <x:c r="F10" s="8" t="str">
        <x:v>Platform owner and Finance</x:v>
      </x:c>
    </x:row>
    <x:row r="11" ht="52" customHeight="1">
      <x:c r="A11" s="8" t="str">
        <x:v>Region attribution</x:v>
      </x:c>
      <x:c r="B11" s="8" t="str">
        <x:v>Organisation and lead BU</x:v>
      </x:c>
      <x:c r="C11" s="8" t="str">
        <x:v>Organisation used as candidate label</x:v>
      </x:c>
      <x:c r="D11" s="8" t="str">
        <x:v>Required for Region reserve</x:v>
      </x:c>
      <x:c r="E11" s="8" t="str">
        <x:v>Explicit originating region and allocation ownership; no double counting</x:v>
      </x:c>
      <x:c r="F11" s="8" t="str">
        <x:v>Region and BU leads</x:v>
      </x:c>
    </x:row>
    <x:row r="12" ht="52" customHeight="1">
      <x:c r="A12" s="8" t="str">
        <x:v>Waste decision</x:v>
      </x:c>
      <x:c r="B12" s="8" t="str">
        <x:v>Waste score band and overall decision</x:v>
      </x:c>
      <x:c r="C12" s="8" t="str">
        <x:v>328 strict matches; many blank results</x:v>
      </x:c>
      <x:c r="D12" s="8" t="str">
        <x:v>Required for eligibility</x:v>
      </x:c>
      <x:c r="E12" s="8" t="str">
        <x:v>Evidence, assessor, date, scope version; examples excluded</x:v>
      </x:c>
      <x:c r="F12" s="8" t="str">
        <x:v>Architecture and portfolio office</x:v>
      </x:c>
    </x:row>
    <x:row r="13" ht="52" customHeight="1">
      <x:c r="A13" s="8" t="str">
        <x:v>Problem and scope</x:v>
      </x:c>
      <x:c r="B13" s="8" t="str">
        <x:v>Problem statement and scope</x:v>
      </x:c>
      <x:c r="C13" s="8" t="str">
        <x:v>Narrative text and continuation rows</x:v>
      </x:c>
      <x:c r="D13" s="8" t="str">
        <x:v>Required for funding</x:v>
      </x:c>
      <x:c r="E13" s="8" t="str">
        <x:v>Measurable outcome, in/out scope and viable phase options</x:v>
      </x:c>
      <x:c r="F13" s="8" t="str">
        <x:v>Program sponsor</x:v>
      </x:c>
    </x:row>
    <x:row r="14" ht="52" customHeight="1">
      <x:c r="A14" s="8" t="str">
        <x:v>Dependencies and duplication</x:v>
      </x:c>
      <x:c r="B14" s="8" t="str">
        <x:v>Dependency</x:v>
      </x:c>
      <x:c r="C14" s="8" t="str">
        <x:v>Narrative references</x:v>
      </x:c>
      <x:c r="D14" s="8" t="str">
        <x:v>Required where applicable</x:v>
      </x:c>
      <x:c r="E14" s="8" t="str">
        <x:v>Stable IDs, prerequisite cost, mutual exclusions and shared benefits</x:v>
      </x:c>
      <x:c r="F14" s="8" t="str">
        <x:v>IT platform owners</x:v>
      </x:c>
    </x:row>
    <x:row r="15" ht="52" customHeight="1">
      <x:c r="A15" s="8" t="str">
        <x:v>Conference decision</x:v>
      </x:c>
      <x:c r="B15" s="8" t="str">
        <x:v>Scored demand decision inputs</x:v>
      </x:c>
      <x:c r="C15" s="8" t="str">
        <x:v>Blank pending conference</x:v>
      </x:c>
      <x:c r="D15" s="8" t="str">
        <x:v>Required for final baseline</x:v>
      </x:c>
      <x:c r="E15" s="8" t="str">
        <x:v>Decision, amount, rationale, approver, timestamp and scenario version</x:v>
      </x:c>
      <x:c r="F15" s="8" t="str">
        <x:v>Conference chair</x:v>
      </x:c>
    </x:row>
    <x:row r="16" ht="52" customHeight="1">
      <x:c r="A16" s="8" t="str">
        <x:v>Commercial commitments</x:v>
      </x:c>
      <x:c r="B16" s="8" t="str">
        <x:v>Additional requirement</x:v>
      </x:c>
      <x:c r="C16" s="8" t="str">
        <x:v>Not consistently structured</x:v>
      </x:c>
      <x:c r="D16" s="8" t="str">
        <x:v>Required when binding</x:v>
      </x:c>
      <x:c r="E16" s="8" t="str">
        <x:v>Contract/service obligation and cancellation cost evidence</x:v>
      </x:c>
      <x:c r="F16" s="8" t="str">
        <x:v>Procurement and Finance</x:v>
      </x:c>
    </x:row>
    <x:row r="17">
      <x:c r="A17" s="1"/>
      <x:c r="B17" s="1"/>
      <x:c r="C17" s="1"/>
      <x:c r="D17" s="1"/>
      <x:c r="E17" s="1"/>
      <x:c r="F17" s="1"/>
    </x:row>
  </x:sheetData>
  <x:pageMargins left="0.7" right="0.7" top="0.75" bottom="0.75" header="0.3" footer="0.3"/>
  <x:tableParts count="1">
    <x:tablePart xmlns:r="http://schemas.openxmlformats.org/officeDocument/2006/relationships" r:id="R3a1f766d88514923"/>
  </x:tableParts>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8" hidden="0" customWidth="1"/>
    <x:col min="2" max="2" width="60" hidden="0" customWidth="1"/>
    <x:col min="3" max="3" width="40" hidden="0" customWidth="1"/>
    <x:col min="4" max="4" width="17" hidden="0" customWidth="1"/>
    <x:col min="5" max="5" width="17" hidden="0" customWidth="1"/>
    <x:col min="6" max="6" width="17" hidden="0" customWidth="1"/>
    <x:col min="7" max="7" width="65" hidden="0" customWidth="1"/>
    <x:col min="8" max="8" width="60" hidden="0" customWidth="1"/>
    <x:col min="9" max="9" width="60" hidden="0" customWidth="1"/>
    <x:col min="10" max="10" width="60" hidden="0" customWidth="1"/>
    <x:col min="11" max="11" width="17" hidden="0" customWidth="1"/>
    <x:col min="12" max="12" width="17" hidden="0" customWidth="1"/>
    <x:col min="13" max="13" width="17" hidden="0" customWidth="1"/>
    <x:col min="14" max="14" width="85" hidden="0" customWidth="1"/>
  </x:cols>
  <x:sheetData>
    <x:row r="1" ht="32" customHeight="1">
      <x:c r="A1" s="2" t="str">
        <x:v>Waste evidence</x:v>
      </x:c>
      <x:c r="B1" s="1"/>
      <x:c r="C1" s="1"/>
      <x:c r="D1" s="1"/>
      <x:c r="E1" s="1"/>
      <x:c r="F1" s="1"/>
      <x:c r="G1" s="1"/>
      <x:c r="H1" s="1"/>
      <x:c r="I1" s="1"/>
      <x:c r="J1" s="1"/>
      <x:c r="K1" s="1"/>
      <x:c r="L1" s="1"/>
      <x:c r="M1" s="1"/>
      <x:c r="N1" s="1"/>
    </x:row>
    <x:row r="2">
      <x:c r="A2" s="1"/>
      <x:c r="B2" s="1"/>
      <x:c r="C2" s="1"/>
      <x:c r="D2" s="1"/>
      <x:c r="E2" s="1"/>
      <x:c r="F2" s="1"/>
      <x:c r="G2" s="1"/>
      <x:c r="H2" s="1"/>
      <x:c r="I2" s="1"/>
      <x:c r="J2" s="1"/>
      <x:c r="K2" s="1"/>
      <x:c r="L2" s="1"/>
      <x:c r="M2" s="1"/>
      <x:c r="N2" s="1"/>
    </x:row>
    <x:row r="3" ht="42" customHeight="1">
      <x:c r="A3" s="6" t="str">
        <x:v>Assessment reference</x:v>
      </x:c>
      <x:c r="B3" s="6" t="str">
        <x:v>Initiative</x:v>
      </x:c>
      <x:c r="C3" s="6" t="str">
        <x:v>Organisation</x:v>
      </x:c>
      <x:c r="D3" s="6" t="str">
        <x:v>Waste score</x:v>
      </x:c>
      <x:c r="E3" s="6" t="str">
        <x:v>Waste band</x:v>
      </x:c>
      <x:c r="F3" s="6" t="str">
        <x:v>Validated must do</x:v>
      </x:c>
      <x:c r="G3" s="6" t="str">
        <x:v>Minimum scope</x:v>
      </x:c>
      <x:c r="H3" s="6" t="str">
        <x:v>Impact narrative</x:v>
      </x:c>
      <x:c r="I3" s="6" t="str">
        <x:v>Likelihood narrative</x:v>
      </x:c>
      <x:c r="J3" s="6" t="str">
        <x:v>Deadline narrative</x:v>
      </x:c>
      <x:c r="K3" s="6" t="str">
        <x:v>Exposure</x:v>
      </x:c>
      <x:c r="L3" s="6" t="str">
        <x:v>Priority tier</x:v>
      </x:c>
      <x:c r="M3" s="6" t="str">
        <x:v>Overall AOP decision</x:v>
      </x:c>
      <x:c r="N3" s="6" t="str">
        <x:v>Evidence</x:v>
      </x:c>
    </x:row>
    <x:row r="4" ht="15" hidden="0" customHeight="1">
      <x:c r="A4" s="36" t="str">
        <x:v>BU Led Waste Matrix!row 7</x:v>
      </x:c>
      <x:c r="B4" s="37" t="str">
        <x:v>EI-IS-AI Service Excellence program - SPM</x:v>
      </x:c>
      <x:c r="C4" s="36" t="str">
        <x:v>Enterprise Informatics (EI)</x:v>
      </x:c>
      <x:c r="D4" s="36"/>
      <x:c r="E4" s="36" t="str"/>
      <x:c r="F4" s="36" t="str"/>
      <x:c r="G4" s="36" t="str"/>
      <x:c r="H4" s="36" t="str"/>
      <x:c r="I4" s="36" t="str"/>
      <x:c r="J4" s="36" t="str"/>
      <x:c r="K4" s="36"/>
      <x:c r="L4" s="36" t="str"/>
      <x:c r="M4" s="36" t="str"/>
      <x:c r="N4" s="36" t="str"/>
      <x:c r="O4" s="43"/>
      <x:c r="P4" s="43"/>
      <x:c r="Q4" s="43"/>
      <x:c r="R4" s="43"/>
      <x:c r="S4" s="43"/>
      <x:c r="T4" s="43"/>
      <x:c r="U4" s="43"/>
      <x:c r="V4" s="43"/>
      <x:c r="W4" s="43"/>
      <x:c r="X4" s="43"/>
      <x:c r="Y4" s="43"/>
      <x:c r="Z4" s="43"/>
      <x:c r="AA4" s="43"/>
      <x:c r="AB4" s="43"/>
      <x:c r="AC4" s="43"/>
      <x:c r="AD4" s="43"/>
      <x:c r="AE4" s="43"/>
      <x:c r="AF4" s="43"/>
      <x:c r="AG4" s="43"/>
      <x:c r="AH4" s="43"/>
      <x:c r="AI4" s="43"/>
      <x:c r="AJ4" s="43"/>
      <x:c r="AK4" s="43"/>
      <x:c r="AL4" s="43"/>
      <x:c r="AM4" s="43"/>
      <x:c r="AN4" s="43"/>
      <x:c r="AO4" s="43"/>
      <x:c r="AP4" s="43"/>
    </x:row>
    <x:row r="5" ht="15" hidden="0" customHeight="1">
      <x:c r="A5" s="36" t="str">
        <x:v>BU Led Waste Matrix!row 8</x:v>
      </x:c>
      <x:c r="B5" s="37" t="str">
        <x:v>Sensei Usage-to-Cash: Contract, Billing &amp; Invoice Automation</x:v>
      </x:c>
      <x:c r="C5" s="36" t="str">
        <x:v>Enterprise Informatics (EI)</x:v>
      </x:c>
      <x:c r="D5" s="36"/>
      <x:c r="E5" s="36" t="str"/>
      <x:c r="F5" s="36" t="str"/>
      <x:c r="G5" s="36" t="str"/>
      <x:c r="H5" s="36" t="str"/>
      <x:c r="I5" s="36" t="str"/>
      <x:c r="J5" s="36" t="str"/>
      <x:c r="K5" s="36"/>
      <x:c r="L5" s="36" t="str"/>
      <x:c r="M5" s="36" t="str"/>
      <x:c r="N5" s="36" t="str"/>
      <x:c r="O5" s="43"/>
      <x:c r="P5" s="43"/>
      <x:c r="Q5" s="43"/>
      <x:c r="R5" s="43"/>
      <x:c r="S5" s="43"/>
      <x:c r="T5" s="43"/>
      <x:c r="U5" s="43"/>
      <x:c r="V5" s="43"/>
      <x:c r="W5" s="43"/>
      <x:c r="X5" s="43"/>
      <x:c r="Y5" s="43"/>
      <x:c r="Z5" s="43"/>
      <x:c r="AA5" s="43"/>
      <x:c r="AB5" s="43"/>
      <x:c r="AC5" s="43"/>
      <x:c r="AD5" s="43"/>
      <x:c r="AE5" s="43"/>
      <x:c r="AF5" s="43"/>
      <x:c r="AG5" s="43"/>
      <x:c r="AH5" s="43"/>
      <x:c r="AI5" s="43"/>
      <x:c r="AJ5" s="43"/>
      <x:c r="AK5" s="43"/>
      <x:c r="AL5" s="43"/>
      <x:c r="AM5" s="43"/>
      <x:c r="AN5" s="43"/>
      <x:c r="AO5" s="43"/>
      <x:c r="AP5" s="43"/>
    </x:row>
    <x:row r="6" ht="36" hidden="0" customHeight="1">
      <x:c r="A6" s="36" t="str">
        <x:v>BU Led Waste Matrix!row 9</x:v>
      </x:c>
      <x:c r="B6" s="37" t="str">
        <x:v>Service CLV (TechMax Enablement and eZCQ workflow with EMO integration, Rmeote Software Distribution Workflow (incl. payment to global systems for integration)</x:v>
      </x:c>
      <x:c r="C6" s="36" t="str">
        <x:v>Greater China (GRC)</x:v>
      </x:c>
      <x:c r="D6" s="36"/>
      <x:c r="E6" s="36" t="str"/>
      <x:c r="F6" s="36" t="str"/>
      <x:c r="G6" s="36" t="str"/>
      <x:c r="H6" s="36" t="str"/>
      <x:c r="I6" s="36" t="str"/>
      <x:c r="J6" s="36" t="str"/>
      <x:c r="K6" s="36"/>
      <x:c r="L6" s="36" t="str"/>
      <x:c r="M6" s="36" t="str"/>
      <x:c r="N6" s="36" t="str"/>
      <x:c r="O6" s="43"/>
      <x:c r="P6" s="43"/>
      <x:c r="Q6" s="43"/>
      <x:c r="R6" s="43"/>
      <x:c r="S6" s="43"/>
      <x:c r="T6" s="43"/>
      <x:c r="U6" s="43"/>
      <x:c r="V6" s="43"/>
      <x:c r="W6" s="43"/>
      <x:c r="X6" s="43"/>
      <x:c r="Y6" s="43"/>
      <x:c r="Z6" s="43"/>
      <x:c r="AA6" s="43"/>
      <x:c r="AB6" s="43"/>
      <x:c r="AC6" s="43"/>
      <x:c r="AD6" s="43"/>
      <x:c r="AE6" s="43"/>
      <x:c r="AF6" s="43"/>
      <x:c r="AG6" s="43"/>
      <x:c r="AH6" s="43"/>
      <x:c r="AI6" s="43"/>
      <x:c r="AJ6" s="43"/>
      <x:c r="AK6" s="43"/>
      <x:c r="AL6" s="43"/>
      <x:c r="AM6" s="43"/>
      <x:c r="AN6" s="43"/>
      <x:c r="AO6" s="43"/>
      <x:c r="AP6" s="43"/>
    </x:row>
    <x:row r="7" ht="15" hidden="0" customHeight="1">
      <x:c r="A7" s="36" t="str">
        <x:v>BU Led Waste Matrix!row 10</x:v>
      </x:c>
      <x:c r="B7" s="37" t="str">
        <x:v>2027 IGTD DATA and INSIGHTS</x:v>
      </x:c>
      <x:c r="C7" s="36" t="str">
        <x:v>Image Guided Therapy - Devices (IGT-D)</x:v>
      </x:c>
      <x:c r="D7" s="36"/>
      <x:c r="E7" s="36" t="str"/>
      <x:c r="F7" s="36" t="str"/>
      <x:c r="G7" s="36" t="str"/>
      <x:c r="H7" s="36" t="str"/>
      <x:c r="I7" s="36" t="str"/>
      <x:c r="J7" s="36" t="str"/>
      <x:c r="K7" s="36"/>
      <x:c r="L7" s="36" t="str"/>
      <x:c r="M7" s="36" t="str"/>
      <x:c r="N7" s="36" t="str"/>
      <x:c r="O7" s="43"/>
      <x:c r="P7" s="43"/>
      <x:c r="Q7" s="43"/>
      <x:c r="R7" s="43"/>
      <x:c r="S7" s="43"/>
      <x:c r="T7" s="43"/>
      <x:c r="U7" s="43"/>
      <x:c r="V7" s="43"/>
      <x:c r="W7" s="43"/>
      <x:c r="X7" s="43"/>
      <x:c r="Y7" s="43"/>
      <x:c r="Z7" s="43"/>
      <x:c r="AA7" s="43"/>
      <x:c r="AB7" s="43"/>
      <x:c r="AC7" s="43"/>
      <x:c r="AD7" s="43"/>
      <x:c r="AE7" s="43"/>
      <x:c r="AF7" s="43"/>
      <x:c r="AG7" s="43"/>
      <x:c r="AH7" s="43"/>
      <x:c r="AI7" s="43"/>
      <x:c r="AJ7" s="43"/>
      <x:c r="AK7" s="43"/>
      <x:c r="AL7" s="43"/>
      <x:c r="AM7" s="43"/>
      <x:c r="AN7" s="43"/>
      <x:c r="AO7" s="43"/>
      <x:c r="AP7" s="43"/>
    </x:row>
    <x:row r="8" ht="15" hidden="0" customHeight="1">
      <x:c r="A8" s="36" t="str">
        <x:v>BU Led Waste Matrix!row 11</x:v>
      </x:c>
      <x:c r="B8" s="37" t="str">
        <x:v>Compliance - GTS</x:v>
      </x:c>
      <x:c r="C8" s="36" t="str">
        <x:v>Integrated Supply Chain (ISC)</x:v>
      </x:c>
      <x:c r="D8" s="36" t="n">
        <x:v>1</x:v>
      </x:c>
      <x:c r="E8" s="36" t="str">
        <x:v>HEALTHY</x:v>
      </x:c>
      <x:c r="F8" s="36" t="str"/>
      <x:c r="G8" s="36" t="str"/>
      <x:c r="H8" s="36" t="str"/>
      <x:c r="I8" s="36" t="str"/>
      <x:c r="J8" s="36" t="str"/>
      <x:c r="K8" s="36"/>
      <x:c r="L8" s="36" t="str"/>
      <x:c r="M8" s="36" t="str">
        <x:v>HEALTHY — Rank in priority matrix</x:v>
      </x:c>
      <x:c r="N8" s="36" t="str"/>
      <x:c r="O8" s="43"/>
      <x:c r="P8" s="43"/>
      <x:c r="Q8" s="43"/>
      <x:c r="R8" s="43"/>
      <x:c r="S8" s="43"/>
      <x:c r="T8" s="43"/>
      <x:c r="U8" s="43"/>
      <x:c r="V8" s="43"/>
      <x:c r="W8" s="43"/>
      <x:c r="X8" s="43"/>
      <x:c r="Y8" s="43"/>
      <x:c r="Z8" s="43"/>
      <x:c r="AA8" s="43"/>
      <x:c r="AB8" s="43"/>
      <x:c r="AC8" s="43"/>
      <x:c r="AD8" s="43"/>
      <x:c r="AE8" s="43"/>
      <x:c r="AF8" s="43"/>
      <x:c r="AG8" s="43"/>
      <x:c r="AH8" s="43"/>
      <x:c r="AI8" s="43"/>
      <x:c r="AJ8" s="43"/>
      <x:c r="AK8" s="43"/>
      <x:c r="AL8" s="43"/>
      <x:c r="AM8" s="43"/>
      <x:c r="AN8" s="43"/>
      <x:c r="AO8" s="43"/>
      <x:c r="AP8" s="43"/>
    </x:row>
    <x:row r="9" ht="15" hidden="0" customHeight="1">
      <x:c r="A9" s="36" t="str">
        <x:v>BU Led Waste Matrix!row 12</x:v>
      </x:c>
      <x:c r="B9" s="37" t="str">
        <x:v>Implement Tech Enabled Integrated Planning</x:v>
      </x:c>
      <x:c r="C9" s="36" t="str">
        <x:v>Integrated Supply Chain (ISC)</x:v>
      </x:c>
      <x:c r="D9" s="36" t="n">
        <x:v>1</x:v>
      </x:c>
      <x:c r="E9" s="36" t="str">
        <x:v>HEALTHY</x:v>
      </x:c>
      <x:c r="F9" s="36" t="str"/>
      <x:c r="G9" s="36" t="str"/>
      <x:c r="H9" s="36" t="str"/>
      <x:c r="I9" s="36" t="str"/>
      <x:c r="J9" s="36" t="str"/>
      <x:c r="K9" s="36"/>
      <x:c r="L9" s="36" t="str"/>
      <x:c r="M9" s="36" t="str">
        <x:v>HEALTHY — Rank in priority matrix</x:v>
      </x:c>
      <x:c r="N9" s="36" t="str"/>
      <x:c r="O9" s="43"/>
      <x:c r="P9" s="43"/>
      <x:c r="Q9" s="43"/>
      <x:c r="R9" s="43"/>
      <x:c r="S9" s="43"/>
      <x:c r="T9" s="43"/>
      <x:c r="U9" s="43"/>
      <x:c r="V9" s="43"/>
      <x:c r="W9" s="43"/>
      <x:c r="X9" s="43"/>
      <x:c r="Y9" s="43"/>
      <x:c r="Z9" s="43"/>
      <x:c r="AA9" s="43"/>
      <x:c r="AB9" s="43"/>
      <x:c r="AC9" s="43"/>
      <x:c r="AD9" s="43"/>
      <x:c r="AE9" s="43"/>
      <x:c r="AF9" s="43"/>
      <x:c r="AG9" s="43"/>
      <x:c r="AH9" s="43"/>
      <x:c r="AI9" s="43"/>
      <x:c r="AJ9" s="43"/>
      <x:c r="AK9" s="43"/>
      <x:c r="AL9" s="43"/>
      <x:c r="AM9" s="43"/>
      <x:c r="AN9" s="43"/>
      <x:c r="AO9" s="43"/>
      <x:c r="AP9" s="43"/>
    </x:row>
    <x:row r="10" ht="15" hidden="0" customHeight="1">
      <x:c r="A10" s="36" t="str">
        <x:v>BU Led Waste Matrix!row 13</x:v>
      </x:c>
      <x:c r="B10" s="37" t="str">
        <x:v>IWD capabilities improvements and cost reductions</x:v>
      </x:c>
      <x:c r="C10" s="36" t="str">
        <x:v>Integrated Supply Chain (ISC)</x:v>
      </x:c>
      <x:c r="D10" s="36" t="n">
        <x:v>1.35</x:v>
      </x:c>
      <x:c r="E10" s="36" t="str">
        <x:v>HEALTHY</x:v>
      </x:c>
      <x:c r="F10" s="36" t="str"/>
      <x:c r="G10" s="36" t="str"/>
      <x:c r="H10" s="36" t="str"/>
      <x:c r="I10" s="36" t="str"/>
      <x:c r="J10" s="36" t="str"/>
      <x:c r="K10" s="36"/>
      <x:c r="L10" s="36" t="str"/>
      <x:c r="M10" s="36" t="str">
        <x:v>HEALTHY — Rank in priority matrix</x:v>
      </x:c>
      <x:c r="N10" s="36" t="str"/>
      <x:c r="O10" s="43"/>
      <x:c r="P10" s="43"/>
      <x:c r="Q10" s="43"/>
      <x:c r="R10" s="43"/>
      <x:c r="S10" s="43"/>
      <x:c r="T10" s="43"/>
      <x:c r="U10" s="43"/>
      <x:c r="V10" s="43"/>
      <x:c r="W10" s="43"/>
      <x:c r="X10" s="43"/>
      <x:c r="Y10" s="43"/>
      <x:c r="Z10" s="43"/>
      <x:c r="AA10" s="43"/>
      <x:c r="AB10" s="43"/>
      <x:c r="AC10" s="43"/>
      <x:c r="AD10" s="43"/>
      <x:c r="AE10" s="43"/>
      <x:c r="AF10" s="43"/>
      <x:c r="AG10" s="43"/>
      <x:c r="AH10" s="43"/>
      <x:c r="AI10" s="43"/>
      <x:c r="AJ10" s="43"/>
      <x:c r="AK10" s="43"/>
      <x:c r="AL10" s="43"/>
      <x:c r="AM10" s="43"/>
      <x:c r="AN10" s="43"/>
      <x:c r="AO10" s="43"/>
      <x:c r="AP10" s="43"/>
    </x:row>
    <x:row r="11" ht="15" hidden="0" customHeight="1">
      <x:c r="A11" s="36" t="str">
        <x:v>BU Led Waste Matrix!row 14</x:v>
      </x:c>
      <x:c r="B11" s="37" t="str">
        <x:v>Circular Lifecycle Solutions and Spare parts delivery</x:v>
      </x:c>
      <x:c r="C11" s="36" t="str">
        <x:v>Integrated Supply Chain (ISC)</x:v>
      </x:c>
      <x:c r="D11" s="36" t="n">
        <x:v>1</x:v>
      </x:c>
      <x:c r="E11" s="36" t="str">
        <x:v>HEALTHY</x:v>
      </x:c>
      <x:c r="F11" s="36" t="str"/>
      <x:c r="G11" s="36" t="str"/>
      <x:c r="H11" s="36" t="str"/>
      <x:c r="I11" s="36" t="str"/>
      <x:c r="J11" s="36" t="str"/>
      <x:c r="K11" s="36"/>
      <x:c r="L11" s="36" t="str"/>
      <x:c r="M11" s="36" t="str">
        <x:v>HEALTHY — Rank in priority matrix</x:v>
      </x:c>
      <x:c r="N11" s="36" t="str"/>
      <x:c r="O11" s="43"/>
      <x:c r="P11" s="43"/>
      <x:c r="Q11" s="43"/>
      <x:c r="R11" s="43"/>
      <x:c r="S11" s="43"/>
      <x:c r="T11" s="43"/>
      <x:c r="U11" s="43"/>
      <x:c r="V11" s="43"/>
      <x:c r="W11" s="43"/>
      <x:c r="X11" s="43"/>
      <x:c r="Y11" s="43"/>
      <x:c r="Z11" s="43"/>
      <x:c r="AA11" s="43"/>
      <x:c r="AB11" s="43"/>
      <x:c r="AC11" s="43"/>
      <x:c r="AD11" s="43"/>
      <x:c r="AE11" s="43"/>
      <x:c r="AF11" s="43"/>
      <x:c r="AG11" s="43"/>
      <x:c r="AH11" s="43"/>
      <x:c r="AI11" s="43"/>
      <x:c r="AJ11" s="43"/>
      <x:c r="AK11" s="43"/>
      <x:c r="AL11" s="43"/>
      <x:c r="AM11" s="43"/>
      <x:c r="AN11" s="43"/>
      <x:c r="AO11" s="43"/>
      <x:c r="AP11" s="43"/>
    </x:row>
    <x:row r="12" ht="15" hidden="0" customHeight="1">
      <x:c r="A12" s="36" t="str">
        <x:v>BU Led Waste Matrix!row 15</x:v>
      </x:c>
      <x:c r="B12" s="37" t="str">
        <x:v>Master Data and Data Quality</x:v>
      </x:c>
      <x:c r="C12" s="36" t="str">
        <x:v>Integrated Supply Chain (ISC)</x:v>
      </x:c>
      <x:c r="D12" s="36" t="n">
        <x:v>1</x:v>
      </x:c>
      <x:c r="E12" s="36" t="str">
        <x:v>HEALTHY</x:v>
      </x:c>
      <x:c r="F12" s="36" t="str"/>
      <x:c r="G12" s="36" t="str"/>
      <x:c r="H12" s="36" t="str"/>
      <x:c r="I12" s="36" t="str"/>
      <x:c r="J12" s="36" t="str"/>
      <x:c r="K12" s="36"/>
      <x:c r="L12" s="36" t="str"/>
      <x:c r="M12" s="36" t="str">
        <x:v>HEALTHY — Rank in priority matrix</x:v>
      </x:c>
      <x:c r="N12" s="36" t="str"/>
      <x:c r="O12" s="43"/>
      <x:c r="P12" s="43"/>
      <x:c r="Q12" s="43"/>
      <x:c r="R12" s="43"/>
      <x:c r="S12" s="43"/>
      <x:c r="T12" s="43"/>
      <x:c r="U12" s="43"/>
      <x:c r="V12" s="43"/>
      <x:c r="W12" s="43"/>
      <x:c r="X12" s="43"/>
      <x:c r="Y12" s="43"/>
      <x:c r="Z12" s="43"/>
      <x:c r="AA12" s="43"/>
      <x:c r="AB12" s="43"/>
      <x:c r="AC12" s="43"/>
      <x:c r="AD12" s="43"/>
      <x:c r="AE12" s="43"/>
      <x:c r="AF12" s="43"/>
      <x:c r="AG12" s="43"/>
      <x:c r="AH12" s="43"/>
      <x:c r="AI12" s="43"/>
      <x:c r="AJ12" s="43"/>
      <x:c r="AK12" s="43"/>
      <x:c r="AL12" s="43"/>
      <x:c r="AM12" s="43"/>
      <x:c r="AN12" s="43"/>
      <x:c r="AO12" s="43"/>
      <x:c r="AP12" s="43"/>
    </x:row>
    <x:row r="13" ht="15" hidden="0" customHeight="1">
      <x:c r="A13" s="36" t="str">
        <x:v>BU Led Waste Matrix!row 16</x:v>
      </x:c>
      <x:c r="B13" s="37" t="str">
        <x:v>Direct Procurement Transformation</x:v>
      </x:c>
      <x:c r="C13" s="36" t="str">
        <x:v>Integrated Supply Chain (ISC)</x:v>
      </x:c>
      <x:c r="D13" s="36" t="n">
        <x:v>1.05</x:v>
      </x:c>
      <x:c r="E13" s="36" t="str">
        <x:v>HEALTHY</x:v>
      </x:c>
      <x:c r="F13" s="36" t="str"/>
      <x:c r="G13" s="36" t="str"/>
      <x:c r="H13" s="36" t="str"/>
      <x:c r="I13" s="36" t="str"/>
      <x:c r="J13" s="36" t="str"/>
      <x:c r="K13" s="36"/>
      <x:c r="L13" s="36" t="str"/>
      <x:c r="M13" s="36" t="str">
        <x:v>HEALTHY — Rank in priority matrix</x:v>
      </x:c>
      <x:c r="N13" s="36" t="str"/>
      <x:c r="O13" s="43"/>
      <x:c r="P13" s="43"/>
      <x:c r="Q13" s="43"/>
      <x:c r="R13" s="43"/>
      <x:c r="S13" s="43"/>
      <x:c r="T13" s="43"/>
      <x:c r="U13" s="43"/>
      <x:c r="V13" s="43"/>
      <x:c r="W13" s="43"/>
      <x:c r="X13" s="43"/>
      <x:c r="Y13" s="43"/>
      <x:c r="Z13" s="43"/>
      <x:c r="AA13" s="43"/>
      <x:c r="AB13" s="43"/>
      <x:c r="AC13" s="43"/>
      <x:c r="AD13" s="43"/>
      <x:c r="AE13" s="43"/>
      <x:c r="AF13" s="43"/>
      <x:c r="AG13" s="43"/>
      <x:c r="AH13" s="43"/>
      <x:c r="AI13" s="43"/>
      <x:c r="AJ13" s="43"/>
      <x:c r="AK13" s="43"/>
      <x:c r="AL13" s="43"/>
      <x:c r="AM13" s="43"/>
      <x:c r="AN13" s="43"/>
      <x:c r="AO13" s="43"/>
      <x:c r="AP13" s="43"/>
    </x:row>
    <x:row r="14" ht="15" hidden="0" customHeight="1">
      <x:c r="A14" s="36" t="str">
        <x:v>BU Led Waste Matrix!row 17</x:v>
      </x:c>
      <x:c r="B14" s="37" t="str">
        <x:v>Implement Integrated Planning Basics</x:v>
      </x:c>
      <x:c r="C14" s="36" t="str">
        <x:v>Integrated Supply Chain (ISC)</x:v>
      </x:c>
      <x:c r="D14" s="36" t="n">
        <x:v>1</x:v>
      </x:c>
      <x:c r="E14" s="36" t="str">
        <x:v>HEALTHY</x:v>
      </x:c>
      <x:c r="F14" s="36" t="str"/>
      <x:c r="G14" s="36" t="str"/>
      <x:c r="H14" s="36" t="str"/>
      <x:c r="I14" s="36" t="str"/>
      <x:c r="J14" s="36" t="str"/>
      <x:c r="K14" s="36"/>
      <x:c r="L14" s="36" t="str"/>
      <x:c r="M14" s="36" t="str">
        <x:v>HEALTHY — Rank in priority matrix</x:v>
      </x:c>
      <x:c r="N14" s="36" t="str"/>
      <x:c r="O14" s="43"/>
      <x:c r="P14" s="43"/>
      <x:c r="Q14" s="43"/>
      <x:c r="R14" s="43"/>
      <x:c r="S14" s="43"/>
      <x:c r="T14" s="43"/>
      <x:c r="U14" s="43"/>
      <x:c r="V14" s="43"/>
      <x:c r="W14" s="43"/>
      <x:c r="X14" s="43"/>
      <x:c r="Y14" s="43"/>
      <x:c r="Z14" s="43"/>
      <x:c r="AA14" s="43"/>
      <x:c r="AB14" s="43"/>
      <x:c r="AC14" s="43"/>
      <x:c r="AD14" s="43"/>
      <x:c r="AE14" s="43"/>
      <x:c r="AF14" s="43"/>
      <x:c r="AG14" s="43"/>
      <x:c r="AH14" s="43"/>
      <x:c r="AI14" s="43"/>
      <x:c r="AJ14" s="43"/>
      <x:c r="AK14" s="43"/>
      <x:c r="AL14" s="43"/>
      <x:c r="AM14" s="43"/>
      <x:c r="AN14" s="43"/>
      <x:c r="AO14" s="43"/>
      <x:c r="AP14" s="43"/>
    </x:row>
    <x:row r="15" ht="15" hidden="0" customHeight="1">
      <x:c r="A15" s="36" t="str">
        <x:v>BU Led Waste Matrix!row 18</x:v>
      </x:c>
      <x:c r="B15" s="37" t="str">
        <x:v>HPM - P3S - MaaS Capability Program: Scaling</x:v>
      </x:c>
      <x:c r="C15" s="36" t="str">
        <x:v>Monitoring - HPM (MCH)</x:v>
      </x:c>
      <x:c r="D15" s="36"/>
      <x:c r="E15" s="36" t="str"/>
      <x:c r="F15" s="36" t="str"/>
      <x:c r="G15" s="36" t="str"/>
      <x:c r="H15" s="36" t="str"/>
      <x:c r="I15" s="36" t="str"/>
      <x:c r="J15" s="36" t="str"/>
      <x:c r="K15" s="36"/>
      <x:c r="L15" s="36" t="str"/>
      <x:c r="M15" s="36" t="str"/>
      <x:c r="N15" s="36" t="str"/>
      <x:c r="O15" s="43"/>
      <x:c r="P15" s="43"/>
      <x:c r="Q15" s="43"/>
      <x:c r="R15" s="43"/>
      <x:c r="S15" s="43"/>
      <x:c r="T15" s="43"/>
      <x:c r="U15" s="43"/>
      <x:c r="V15" s="43"/>
      <x:c r="W15" s="43"/>
      <x:c r="X15" s="43"/>
      <x:c r="Y15" s="43"/>
      <x:c r="Z15" s="43"/>
      <x:c r="AA15" s="43"/>
      <x:c r="AB15" s="43"/>
      <x:c r="AC15" s="43"/>
      <x:c r="AD15" s="43"/>
      <x:c r="AE15" s="43"/>
      <x:c r="AF15" s="43"/>
      <x:c r="AG15" s="43"/>
      <x:c r="AH15" s="43"/>
      <x:c r="AI15" s="43"/>
      <x:c r="AJ15" s="43"/>
      <x:c r="AK15" s="43"/>
      <x:c r="AL15" s="43"/>
      <x:c r="AM15" s="43"/>
      <x:c r="AN15" s="43"/>
      <x:c r="AO15" s="43"/>
      <x:c r="AP15" s="43"/>
    </x:row>
    <x:row r="16" ht="15" hidden="0" customHeight="1">
      <x:c r="A16" s="36" t="str">
        <x:v>BU Led Waste Matrix!row 19</x:v>
      </x:c>
      <x:c r="B16" s="37" t="str">
        <x:v>HPM - Tariff Mitigation - long term (LTS-4 Late Customization)</x:v>
      </x:c>
      <x:c r="C16" s="36" t="str">
        <x:v>Monitoring - HPM (MCH)</x:v>
      </x:c>
      <x:c r="D16" s="36" t="n">
        <x:v>1</x:v>
      </x:c>
      <x:c r="E16" s="36" t="str">
        <x:v>HEALTHY</x:v>
      </x:c>
      <x:c r="F16" s="36" t="str"/>
      <x:c r="G16" s="36" t="str"/>
      <x:c r="H16" s="36" t="str"/>
      <x:c r="I16" s="36" t="str"/>
      <x:c r="J16" s="36" t="str"/>
      <x:c r="K16" s="36"/>
      <x:c r="L16" s="36" t="str"/>
      <x:c r="M16" s="36" t="str">
        <x:v>HEALTHY — Rank in priority matrix</x:v>
      </x:c>
      <x:c r="N16" s="36" t="str"/>
      <x:c r="O16" s="43"/>
      <x:c r="P16" s="43"/>
      <x:c r="Q16" s="43"/>
      <x:c r="R16" s="43"/>
      <x:c r="S16" s="43"/>
      <x:c r="T16" s="43"/>
      <x:c r="U16" s="43"/>
      <x:c r="V16" s="43"/>
      <x:c r="W16" s="43"/>
      <x:c r="X16" s="43"/>
      <x:c r="Y16" s="43"/>
      <x:c r="Z16" s="43"/>
      <x:c r="AA16" s="43"/>
      <x:c r="AB16" s="43"/>
      <x:c r="AC16" s="43"/>
      <x:c r="AD16" s="43"/>
      <x:c r="AE16" s="43"/>
      <x:c r="AF16" s="43"/>
      <x:c r="AG16" s="43"/>
      <x:c r="AH16" s="43"/>
      <x:c r="AI16" s="43"/>
      <x:c r="AJ16" s="43"/>
      <x:c r="AK16" s="43"/>
      <x:c r="AL16" s="43"/>
      <x:c r="AM16" s="43"/>
      <x:c r="AN16" s="43"/>
      <x:c r="AO16" s="43"/>
      <x:c r="AP16" s="43"/>
    </x:row>
    <x:row r="17" ht="15" hidden="0" customHeight="1">
      <x:c r="A17" s="36" t="str">
        <x:v>BU Led Waste Matrix!row 20</x:v>
      </x:c>
      <x:c r="B17" s="37" t="str">
        <x:v>HPM - Sofon Q2O automation</x:v>
      </x:c>
      <x:c r="C17" s="36" t="str">
        <x:v>Monitoring - HPM (MCH)</x:v>
      </x:c>
      <x:c r="D17" s="36"/>
      <x:c r="E17" s="36" t="str"/>
      <x:c r="F17" s="36" t="str"/>
      <x:c r="G17" s="36" t="str"/>
      <x:c r="H17" s="36" t="str"/>
      <x:c r="I17" s="36" t="str"/>
      <x:c r="J17" s="36" t="str"/>
      <x:c r="K17" s="36"/>
      <x:c r="L17" s="36" t="str"/>
      <x:c r="M17" s="36" t="str"/>
      <x:c r="N17" s="36" t="str"/>
      <x:c r="O17" s="43"/>
      <x:c r="P17" s="43"/>
      <x:c r="Q17" s="43"/>
      <x:c r="R17" s="43"/>
      <x:c r="S17" s="43"/>
      <x:c r="T17" s="43"/>
      <x:c r="U17" s="43"/>
      <x:c r="V17" s="43"/>
      <x:c r="W17" s="43"/>
      <x:c r="X17" s="43"/>
      <x:c r="Y17" s="43"/>
      <x:c r="Z17" s="43"/>
      <x:c r="AA17" s="43"/>
      <x:c r="AB17" s="43"/>
      <x:c r="AC17" s="43"/>
      <x:c r="AD17" s="43"/>
      <x:c r="AE17" s="43"/>
      <x:c r="AF17" s="43"/>
      <x:c r="AG17" s="43"/>
      <x:c r="AH17" s="43"/>
      <x:c r="AI17" s="43"/>
      <x:c r="AJ17" s="43"/>
      <x:c r="AK17" s="43"/>
      <x:c r="AL17" s="43"/>
      <x:c r="AM17" s="43"/>
      <x:c r="AN17" s="43"/>
      <x:c r="AO17" s="43"/>
      <x:c r="AP17" s="43"/>
    </x:row>
    <x:row r="18" ht="15" hidden="0" customHeight="1">
      <x:c r="A18" s="36" t="str">
        <x:v>BU Led Waste Matrix!row 21</x:v>
      </x:c>
      <x:c r="B18" s="37" t="str">
        <x:v>HPM - AI capabilities</x:v>
      </x:c>
      <x:c r="C18" s="36" t="str">
        <x:v>Monitoring - HPM (MCH)</x:v>
      </x:c>
      <x:c r="D18" s="36"/>
      <x:c r="E18" s="36" t="str"/>
      <x:c r="F18" s="36" t="str"/>
      <x:c r="G18" s="36" t="str"/>
      <x:c r="H18" s="36" t="str"/>
      <x:c r="I18" s="36" t="str"/>
      <x:c r="J18" s="36" t="str"/>
      <x:c r="K18" s="36"/>
      <x:c r="L18" s="36" t="str"/>
      <x:c r="M18" s="36" t="str"/>
      <x:c r="N18" s="36" t="str"/>
      <x:c r="O18" s="43"/>
      <x:c r="P18" s="43"/>
      <x:c r="Q18" s="43"/>
      <x:c r="R18" s="43"/>
      <x:c r="S18" s="43"/>
      <x:c r="T18" s="43"/>
      <x:c r="U18" s="43"/>
      <x:c r="V18" s="43"/>
      <x:c r="W18" s="43"/>
      <x:c r="X18" s="43"/>
      <x:c r="Y18" s="43"/>
      <x:c r="Z18" s="43"/>
      <x:c r="AA18" s="43"/>
      <x:c r="AB18" s="43"/>
      <x:c r="AC18" s="43"/>
      <x:c r="AD18" s="43"/>
      <x:c r="AE18" s="43"/>
      <x:c r="AF18" s="43"/>
      <x:c r="AG18" s="43"/>
      <x:c r="AH18" s="43"/>
      <x:c r="AI18" s="43"/>
      <x:c r="AJ18" s="43"/>
      <x:c r="AK18" s="43"/>
      <x:c r="AL18" s="43"/>
      <x:c r="AM18" s="43"/>
      <x:c r="AN18" s="43"/>
      <x:c r="AO18" s="43"/>
      <x:c r="AP18" s="43"/>
    </x:row>
    <x:row r="19" ht="15" hidden="0" customHeight="1">
      <x:c r="A19" s="36" t="str">
        <x:v>BU Led Waste Matrix!row 22</x:v>
      </x:c>
      <x:c r="B19" s="37" t="str">
        <x:v>06. Unlocking Digital Marketplaces: Expansion for future growth</x:v>
      </x:c>
      <x:c r="C19" s="36" t="str">
        <x:v>Personal Health (PH)</x:v>
      </x:c>
      <x:c r="D19" s="36"/>
      <x:c r="E19" s="36" t="str"/>
      <x:c r="F19" s="36" t="str"/>
      <x:c r="G19" s="36" t="str"/>
      <x:c r="H19" s="36" t="str"/>
      <x:c r="I19" s="36" t="str"/>
      <x:c r="J19" s="36" t="str"/>
      <x:c r="K19" s="36"/>
      <x:c r="L19" s="36" t="str"/>
      <x:c r="M19" s="36" t="str"/>
      <x:c r="N19" s="36" t="str"/>
      <x:c r="O19" s="43"/>
      <x:c r="P19" s="43"/>
      <x:c r="Q19" s="43"/>
      <x:c r="R19" s="43"/>
      <x:c r="S19" s="43"/>
      <x:c r="T19" s="43"/>
      <x:c r="U19" s="43"/>
      <x:c r="V19" s="43"/>
      <x:c r="W19" s="43"/>
      <x:c r="X19" s="43"/>
      <x:c r="Y19" s="43"/>
      <x:c r="Z19" s="43"/>
      <x:c r="AA19" s="43"/>
      <x:c r="AB19" s="43"/>
      <x:c r="AC19" s="43"/>
      <x:c r="AD19" s="43"/>
      <x:c r="AE19" s="43"/>
      <x:c r="AF19" s="43"/>
      <x:c r="AG19" s="43"/>
      <x:c r="AH19" s="43"/>
      <x:c r="AI19" s="43"/>
      <x:c r="AJ19" s="43"/>
      <x:c r="AK19" s="43"/>
      <x:c r="AL19" s="43"/>
      <x:c r="AM19" s="43"/>
      <x:c r="AN19" s="43"/>
      <x:c r="AO19" s="43"/>
      <x:c r="AP19" s="43"/>
    </x:row>
    <x:row r="20" ht="15" hidden="0" customHeight="1">
      <x:c r="A20" s="36" t="str">
        <x:v>BU Led Waste Matrix!row 23</x:v>
      </x:c>
      <x:c r="B20" s="37" t="str">
        <x:v>01. Unleashing the power of Subscriptions </x:v>
      </x:c>
      <x:c r="C20" s="36" t="str">
        <x:v>Personal Health (PH)</x:v>
      </x:c>
      <x:c r="D20" s="36"/>
      <x:c r="E20" s="36" t="str"/>
      <x:c r="F20" s="36" t="str"/>
      <x:c r="G20" s="36" t="str"/>
      <x:c r="H20" s="36" t="str"/>
      <x:c r="I20" s="36" t="str"/>
      <x:c r="J20" s="36" t="str"/>
      <x:c r="K20" s="36"/>
      <x:c r="L20" s="36" t="str"/>
      <x:c r="M20" s="36" t="str"/>
      <x:c r="N20" s="36" t="str"/>
      <x:c r="O20" s="43"/>
      <x:c r="P20" s="43"/>
      <x:c r="Q20" s="43"/>
      <x:c r="R20" s="43"/>
      <x:c r="S20" s="43"/>
      <x:c r="T20" s="43"/>
      <x:c r="U20" s="43"/>
      <x:c r="V20" s="43"/>
      <x:c r="W20" s="43"/>
      <x:c r="X20" s="43"/>
      <x:c r="Y20" s="43"/>
      <x:c r="Z20" s="43"/>
      <x:c r="AA20" s="43"/>
      <x:c r="AB20" s="43"/>
      <x:c r="AC20" s="43"/>
      <x:c r="AD20" s="43"/>
      <x:c r="AE20" s="43"/>
      <x:c r="AF20" s="43"/>
      <x:c r="AG20" s="43"/>
      <x:c r="AH20" s="43"/>
      <x:c r="AI20" s="43"/>
      <x:c r="AJ20" s="43"/>
      <x:c r="AK20" s="43"/>
      <x:c r="AL20" s="43"/>
      <x:c r="AM20" s="43"/>
      <x:c r="AN20" s="43"/>
      <x:c r="AO20" s="43"/>
      <x:c r="AP20" s="43"/>
    </x:row>
    <x:row r="21" ht="15" hidden="0" customHeight="1">
      <x:c r="A21" s="36" t="str">
        <x:v>BU Led Waste Matrix!row 24</x:v>
      </x:c>
      <x:c r="B21" s="37" t="str">
        <x:v>17.2 GCS/WCMS replacement</x:v>
      </x:c>
      <x:c r="C21" s="36" t="str">
        <x:v>Personal Health (PH)</x:v>
      </x:c>
      <x:c r="D21" s="36"/>
      <x:c r="E21" s="36" t="str"/>
      <x:c r="F21" s="36" t="str"/>
      <x:c r="G21" s="36" t="str"/>
      <x:c r="H21" s="36" t="str"/>
      <x:c r="I21" s="36" t="str"/>
      <x:c r="J21" s="36" t="str"/>
      <x:c r="K21" s="36"/>
      <x:c r="L21" s="36" t="str"/>
      <x:c r="M21" s="36" t="str"/>
      <x:c r="N21" s="36" t="str"/>
      <x:c r="O21" s="43"/>
      <x:c r="P21" s="43"/>
      <x:c r="Q21" s="43"/>
      <x:c r="R21" s="43"/>
      <x:c r="S21" s="43"/>
      <x:c r="T21" s="43"/>
      <x:c r="U21" s="43"/>
      <x:c r="V21" s="43"/>
      <x:c r="W21" s="43"/>
      <x:c r="X21" s="43"/>
      <x:c r="Y21" s="43"/>
      <x:c r="Z21" s="43"/>
      <x:c r="AA21" s="43"/>
      <x:c r="AB21" s="43"/>
      <x:c r="AC21" s="43"/>
      <x:c r="AD21" s="43"/>
      <x:c r="AE21" s="43"/>
      <x:c r="AF21" s="43"/>
      <x:c r="AG21" s="43"/>
      <x:c r="AH21" s="43"/>
      <x:c r="AI21" s="43"/>
      <x:c r="AJ21" s="43"/>
      <x:c r="AK21" s="43"/>
      <x:c r="AL21" s="43"/>
      <x:c r="AM21" s="43"/>
      <x:c r="AN21" s="43"/>
      <x:c r="AO21" s="43"/>
      <x:c r="AP21" s="43"/>
    </x:row>
    <x:row r="22" ht="15" hidden="0" customHeight="1">
      <x:c r="A22" s="36" t="str">
        <x:v>BU Led Waste Matrix!row 25</x:v>
      </x:c>
      <x:c r="B22" s="37" t="str">
        <x:v>13. Finish the ecommerce  brilliant basics</x:v>
      </x:c>
      <x:c r="C22" s="36" t="str">
        <x:v>Personal Health (PH)</x:v>
      </x:c>
      <x:c r="D22" s="36"/>
      <x:c r="E22" s="36" t="str"/>
      <x:c r="F22" s="36" t="str"/>
      <x:c r="G22" s="36" t="str"/>
      <x:c r="H22" s="36" t="str"/>
      <x:c r="I22" s="36" t="str"/>
      <x:c r="J22" s="36" t="str"/>
      <x:c r="K22" s="36"/>
      <x:c r="L22" s="36" t="str"/>
      <x:c r="M22" s="36" t="str"/>
      <x:c r="N22" s="36" t="str"/>
      <x:c r="O22" s="43"/>
      <x:c r="P22" s="43"/>
      <x:c r="Q22" s="43"/>
      <x:c r="R22" s="43"/>
      <x:c r="S22" s="43"/>
      <x:c r="T22" s="43"/>
      <x:c r="U22" s="43"/>
      <x:c r="V22" s="43"/>
      <x:c r="W22" s="43"/>
      <x:c r="X22" s="43"/>
      <x:c r="Y22" s="43"/>
      <x:c r="Z22" s="43"/>
      <x:c r="AA22" s="43"/>
      <x:c r="AB22" s="43"/>
      <x:c r="AC22" s="43"/>
      <x:c r="AD22" s="43"/>
      <x:c r="AE22" s="43"/>
      <x:c r="AF22" s="43"/>
      <x:c r="AG22" s="43"/>
      <x:c r="AH22" s="43"/>
      <x:c r="AI22" s="43"/>
      <x:c r="AJ22" s="43"/>
      <x:c r="AK22" s="43"/>
      <x:c r="AL22" s="43"/>
      <x:c r="AM22" s="43"/>
      <x:c r="AN22" s="43"/>
      <x:c r="AO22" s="43"/>
      <x:c r="AP22" s="43"/>
    </x:row>
    <x:row r="23" ht="15" hidden="0" customHeight="1">
      <x:c r="A23" s="36" t="str">
        <x:v>BU Led Waste Matrix!row 26</x:v>
      </x:c>
      <x:c r="B23" s="37" t="str">
        <x:v>03. Professionals / D2B2C</x:v>
      </x:c>
      <x:c r="C23" s="36" t="str">
        <x:v>Personal Health (PH)</x:v>
      </x:c>
      <x:c r="D23" s="36"/>
      <x:c r="E23" s="36" t="str"/>
      <x:c r="F23" s="36" t="str"/>
      <x:c r="G23" s="36" t="str"/>
      <x:c r="H23" s="36" t="str"/>
      <x:c r="I23" s="36" t="str"/>
      <x:c r="J23" s="36" t="str"/>
      <x:c r="K23" s="36"/>
      <x:c r="L23" s="36" t="str"/>
      <x:c r="M23" s="36" t="str"/>
      <x:c r="N23" s="36" t="str"/>
      <x:c r="O23" s="43"/>
      <x:c r="P23" s="43"/>
      <x:c r="Q23" s="43"/>
      <x:c r="R23" s="43"/>
      <x:c r="S23" s="43"/>
      <x:c r="T23" s="43"/>
      <x:c r="U23" s="43"/>
      <x:c r="V23" s="43"/>
      <x:c r="W23" s="43"/>
      <x:c r="X23" s="43"/>
      <x:c r="Y23" s="43"/>
      <x:c r="Z23" s="43"/>
      <x:c r="AA23" s="43"/>
      <x:c r="AB23" s="43"/>
      <x:c r="AC23" s="43"/>
      <x:c r="AD23" s="43"/>
      <x:c r="AE23" s="43"/>
      <x:c r="AF23" s="43"/>
      <x:c r="AG23" s="43"/>
      <x:c r="AH23" s="43"/>
      <x:c r="AI23" s="43"/>
      <x:c r="AJ23" s="43"/>
      <x:c r="AK23" s="43"/>
      <x:c r="AL23" s="43"/>
      <x:c r="AM23" s="43"/>
      <x:c r="AN23" s="43"/>
      <x:c r="AO23" s="43"/>
      <x:c r="AP23" s="43"/>
    </x:row>
    <x:row r="24" ht="15" hidden="0" customHeight="1">
      <x:c r="A24" s="36" t="str">
        <x:v>BU Led Waste Matrix!row 27</x:v>
      </x:c>
      <x:c r="B24" s="37" t="str">
        <x:v>02. CRM | Building meaningful relationships</x:v>
      </x:c>
      <x:c r="C24" s="36" t="str">
        <x:v>Personal Health (PH)</x:v>
      </x:c>
      <x:c r="D24" s="36"/>
      <x:c r="E24" s="36" t="str"/>
      <x:c r="F24" s="36" t="str"/>
      <x:c r="G24" s="36" t="str"/>
      <x:c r="H24" s="36" t="str"/>
      <x:c r="I24" s="36" t="str"/>
      <x:c r="J24" s="36" t="str"/>
      <x:c r="K24" s="36"/>
      <x:c r="L24" s="36" t="str"/>
      <x:c r="M24" s="36" t="str"/>
      <x:c r="N24" s="36" t="str"/>
      <x:c r="O24" s="43"/>
      <x:c r="P24" s="43"/>
      <x:c r="Q24" s="43"/>
      <x:c r="R24" s="43"/>
      <x:c r="S24" s="43"/>
      <x:c r="T24" s="43"/>
      <x:c r="U24" s="43"/>
      <x:c r="V24" s="43"/>
      <x:c r="W24" s="43"/>
      <x:c r="X24" s="43"/>
      <x:c r="Y24" s="43"/>
      <x:c r="Z24" s="43"/>
      <x:c r="AA24" s="43"/>
      <x:c r="AB24" s="43"/>
      <x:c r="AC24" s="43"/>
      <x:c r="AD24" s="43"/>
      <x:c r="AE24" s="43"/>
      <x:c r="AF24" s="43"/>
      <x:c r="AG24" s="43"/>
      <x:c r="AH24" s="43"/>
      <x:c r="AI24" s="43"/>
      <x:c r="AJ24" s="43"/>
      <x:c r="AK24" s="43"/>
      <x:c r="AL24" s="43"/>
      <x:c r="AM24" s="43"/>
      <x:c r="AN24" s="43"/>
      <x:c r="AO24" s="43"/>
      <x:c r="AP24" s="43"/>
    </x:row>
    <x:row r="25" ht="15" hidden="0" customHeight="1">
      <x:c r="A25" s="36" t="str">
        <x:v>BU Led Waste Matrix!row 28</x:v>
      </x:c>
      <x:c r="B25" s="37" t="str">
        <x:v>22. PH Digitalization Innovation Process - Development</x:v>
      </x:c>
      <x:c r="C25" s="36" t="str">
        <x:v>Personal Health (PH)</x:v>
      </x:c>
      <x:c r="D25" s="36"/>
      <x:c r="E25" s="36" t="str"/>
      <x:c r="F25" s="36" t="str"/>
      <x:c r="G25" s="36" t="str"/>
      <x:c r="H25" s="36" t="str"/>
      <x:c r="I25" s="36" t="str"/>
      <x:c r="J25" s="36" t="str"/>
      <x:c r="K25" s="36"/>
      <x:c r="L25" s="36" t="str"/>
      <x:c r="M25" s="36" t="str"/>
      <x:c r="N25" s="36" t="str"/>
      <x:c r="O25" s="43"/>
      <x:c r="P25" s="43"/>
      <x:c r="Q25" s="43"/>
      <x:c r="R25" s="43"/>
      <x:c r="S25" s="43"/>
      <x:c r="T25" s="43"/>
      <x:c r="U25" s="43"/>
      <x:c r="V25" s="43"/>
      <x:c r="W25" s="43"/>
      <x:c r="X25" s="43"/>
      <x:c r="Y25" s="43"/>
      <x:c r="Z25" s="43"/>
      <x:c r="AA25" s="43"/>
      <x:c r="AB25" s="43"/>
      <x:c r="AC25" s="43"/>
      <x:c r="AD25" s="43"/>
      <x:c r="AE25" s="43"/>
      <x:c r="AF25" s="43"/>
      <x:c r="AG25" s="43"/>
      <x:c r="AH25" s="43"/>
      <x:c r="AI25" s="43"/>
      <x:c r="AJ25" s="43"/>
      <x:c r="AK25" s="43"/>
      <x:c r="AL25" s="43"/>
      <x:c r="AM25" s="43"/>
      <x:c r="AN25" s="43"/>
      <x:c r="AO25" s="43"/>
      <x:c r="AP25" s="43"/>
    </x:row>
    <x:row r="26" ht="15" hidden="0" customHeight="1">
      <x:c r="A26" s="36" t="str">
        <x:v>BU Led Waste Matrix!row 29</x:v>
      </x:c>
      <x:c r="B26" s="37" t="str">
        <x:v>19. Consumer Care | Deliver effortless, easy to use, personal support </x:v>
      </x:c>
      <x:c r="C26" s="36" t="str">
        <x:v>Personal Health (PH)</x:v>
      </x:c>
      <x:c r="D26" s="36"/>
      <x:c r="E26" s="36" t="str"/>
      <x:c r="F26" s="36" t="str"/>
      <x:c r="G26" s="36" t="str"/>
      <x:c r="H26" s="36" t="str"/>
      <x:c r="I26" s="36" t="str"/>
      <x:c r="J26" s="36" t="str"/>
      <x:c r="K26" s="36"/>
      <x:c r="L26" s="36" t="str"/>
      <x:c r="M26" s="36" t="str"/>
      <x:c r="N26" s="36" t="str"/>
      <x:c r="O26" s="43"/>
      <x:c r="P26" s="43"/>
      <x:c r="Q26" s="43"/>
      <x:c r="R26" s="43"/>
      <x:c r="S26" s="43"/>
      <x:c r="T26" s="43"/>
      <x:c r="U26" s="43"/>
      <x:c r="V26" s="43"/>
      <x:c r="W26" s="43"/>
      <x:c r="X26" s="43"/>
      <x:c r="Y26" s="43"/>
      <x:c r="Z26" s="43"/>
      <x:c r="AA26" s="43"/>
      <x:c r="AB26" s="43"/>
      <x:c r="AC26" s="43"/>
      <x:c r="AD26" s="43"/>
      <x:c r="AE26" s="43"/>
      <x:c r="AF26" s="43"/>
      <x:c r="AG26" s="43"/>
      <x:c r="AH26" s="43"/>
      <x:c r="AI26" s="43"/>
      <x:c r="AJ26" s="43"/>
      <x:c r="AK26" s="43"/>
      <x:c r="AL26" s="43"/>
      <x:c r="AM26" s="43"/>
      <x:c r="AN26" s="43"/>
      <x:c r="AO26" s="43"/>
      <x:c r="AP26" s="43"/>
    </x:row>
    <x:row r="27" ht="15" hidden="0" customHeight="1">
      <x:c r="A27" s="36" t="str">
        <x:v>BU Led Waste Matrix!row 30</x:v>
      </x:c>
      <x:c r="B27" s="37" t="str">
        <x:v>18. Product Content Excellence - Content Engine</x:v>
      </x:c>
      <x:c r="C27" s="36" t="str">
        <x:v>Personal Health (PH)</x:v>
      </x:c>
      <x:c r="D27" s="36"/>
      <x:c r="E27" s="36" t="str"/>
      <x:c r="F27" s="36" t="str"/>
      <x:c r="G27" s="36" t="str"/>
      <x:c r="H27" s="36" t="str"/>
      <x:c r="I27" s="36" t="str"/>
      <x:c r="J27" s="36" t="str"/>
      <x:c r="K27" s="36"/>
      <x:c r="L27" s="36" t="str"/>
      <x:c r="M27" s="36" t="str"/>
      <x:c r="N27" s="36" t="str"/>
      <x:c r="O27" s="43"/>
      <x:c r="P27" s="43"/>
      <x:c r="Q27" s="43"/>
      <x:c r="R27" s="43"/>
      <x:c r="S27" s="43"/>
      <x:c r="T27" s="43"/>
      <x:c r="U27" s="43"/>
      <x:c r="V27" s="43"/>
      <x:c r="W27" s="43"/>
      <x:c r="X27" s="43"/>
      <x:c r="Y27" s="43"/>
      <x:c r="Z27" s="43"/>
      <x:c r="AA27" s="43"/>
      <x:c r="AB27" s="43"/>
      <x:c r="AC27" s="43"/>
      <x:c r="AD27" s="43"/>
      <x:c r="AE27" s="43"/>
      <x:c r="AF27" s="43"/>
      <x:c r="AG27" s="43"/>
      <x:c r="AH27" s="43"/>
      <x:c r="AI27" s="43"/>
      <x:c r="AJ27" s="43"/>
      <x:c r="AK27" s="43"/>
      <x:c r="AL27" s="43"/>
      <x:c r="AM27" s="43"/>
      <x:c r="AN27" s="43"/>
      <x:c r="AO27" s="43"/>
      <x:c r="AP27" s="43"/>
    </x:row>
    <x:row r="28" ht="15" hidden="0" customHeight="1">
      <x:c r="A28" s="36" t="str">
        <x:v>BU Led Waste Matrix!row 31</x:v>
      </x:c>
      <x:c r="B28" s="37" t="str">
        <x:v>34. Retailer Sell-out Dashboard (RSD)</x:v>
      </x:c>
      <x:c r="C28" s="36" t="str">
        <x:v>Personal Health (PH)</x:v>
      </x:c>
      <x:c r="D28" s="36"/>
      <x:c r="E28" s="36" t="str"/>
      <x:c r="F28" s="36" t="str"/>
      <x:c r="G28" s="36" t="str"/>
      <x:c r="H28" s="36" t="str"/>
      <x:c r="I28" s="36" t="str"/>
      <x:c r="J28" s="36" t="str"/>
      <x:c r="K28" s="36"/>
      <x:c r="L28" s="36" t="str"/>
      <x:c r="M28" s="36" t="str"/>
      <x:c r="N28" s="36" t="str"/>
      <x:c r="O28" s="43"/>
      <x:c r="P28" s="43"/>
      <x:c r="Q28" s="43"/>
      <x:c r="R28" s="43"/>
      <x:c r="S28" s="43"/>
      <x:c r="T28" s="43"/>
      <x:c r="U28" s="43"/>
      <x:c r="V28" s="43"/>
      <x:c r="W28" s="43"/>
      <x:c r="X28" s="43"/>
      <x:c r="Y28" s="43"/>
      <x:c r="Z28" s="43"/>
      <x:c r="AA28" s="43"/>
      <x:c r="AB28" s="43"/>
      <x:c r="AC28" s="43"/>
      <x:c r="AD28" s="43"/>
      <x:c r="AE28" s="43"/>
      <x:c r="AF28" s="43"/>
      <x:c r="AG28" s="43"/>
      <x:c r="AH28" s="43"/>
      <x:c r="AI28" s="43"/>
      <x:c r="AJ28" s="43"/>
      <x:c r="AK28" s="43"/>
      <x:c r="AL28" s="43"/>
      <x:c r="AM28" s="43"/>
      <x:c r="AN28" s="43"/>
      <x:c r="AO28" s="43"/>
      <x:c r="AP28" s="43"/>
    </x:row>
    <x:row r="29" ht="15" hidden="0" customHeight="1">
      <x:c r="A29" s="36" t="str">
        <x:v>BU Led Waste Matrix!row 32</x:v>
      </x:c>
      <x:c r="B29" s="37" t="str">
        <x:v>27. Sales operations | Raise the norm in commercial excellence</x:v>
      </x:c>
      <x:c r="C29" s="36" t="str">
        <x:v>Personal Health (PH)</x:v>
      </x:c>
      <x:c r="D29" s="36"/>
      <x:c r="E29" s="36" t="str"/>
      <x:c r="F29" s="36" t="str"/>
      <x:c r="G29" s="36" t="str"/>
      <x:c r="H29" s="36" t="str"/>
      <x:c r="I29" s="36" t="str"/>
      <x:c r="J29" s="36" t="str"/>
      <x:c r="K29" s="36"/>
      <x:c r="L29" s="36" t="str"/>
      <x:c r="M29" s="36" t="str"/>
      <x:c r="N29" s="36" t="str"/>
      <x:c r="O29" s="43"/>
      <x:c r="P29" s="43"/>
      <x:c r="Q29" s="43"/>
      <x:c r="R29" s="43"/>
      <x:c r="S29" s="43"/>
      <x:c r="T29" s="43"/>
      <x:c r="U29" s="43"/>
      <x:c r="V29" s="43"/>
      <x:c r="W29" s="43"/>
      <x:c r="X29" s="43"/>
      <x:c r="Y29" s="43"/>
      <x:c r="Z29" s="43"/>
      <x:c r="AA29" s="43"/>
      <x:c r="AB29" s="43"/>
      <x:c r="AC29" s="43"/>
      <x:c r="AD29" s="43"/>
      <x:c r="AE29" s="43"/>
      <x:c r="AF29" s="43"/>
      <x:c r="AG29" s="43"/>
      <x:c r="AH29" s="43"/>
      <x:c r="AI29" s="43"/>
      <x:c r="AJ29" s="43"/>
      <x:c r="AK29" s="43"/>
      <x:c r="AL29" s="43"/>
      <x:c r="AM29" s="43"/>
      <x:c r="AN29" s="43"/>
      <x:c r="AO29" s="43"/>
      <x:c r="AP29" s="43"/>
    </x:row>
    <x:row r="30" ht="15" hidden="0" customHeight="1">
      <x:c r="A30" s="36" t="str">
        <x:v>BU Led Waste Matrix!row 33</x:v>
      </x:c>
      <x:c r="B30" s="37" t="str">
        <x:v>41. Accelerate Incremental Sales from Media Investments (MMM)</x:v>
      </x:c>
      <x:c r="C30" s="36" t="str">
        <x:v>Personal Health (PH)</x:v>
      </x:c>
      <x:c r="D30" s="36"/>
      <x:c r="E30" s="36" t="str"/>
      <x:c r="F30" s="36" t="str"/>
      <x:c r="G30" s="36" t="str"/>
      <x:c r="H30" s="36" t="str"/>
      <x:c r="I30" s="36" t="str"/>
      <x:c r="J30" s="36" t="str"/>
      <x:c r="K30" s="36"/>
      <x:c r="L30" s="36" t="str"/>
      <x:c r="M30" s="36" t="str"/>
      <x:c r="N30" s="36" t="str"/>
      <x:c r="O30" s="43"/>
      <x:c r="P30" s="43"/>
      <x:c r="Q30" s="43"/>
      <x:c r="R30" s="43"/>
      <x:c r="S30" s="43"/>
      <x:c r="T30" s="43"/>
      <x:c r="U30" s="43"/>
      <x:c r="V30" s="43"/>
      <x:c r="W30" s="43"/>
      <x:c r="X30" s="43"/>
      <x:c r="Y30" s="43"/>
      <x:c r="Z30" s="43"/>
      <x:c r="AA30" s="43"/>
      <x:c r="AB30" s="43"/>
      <x:c r="AC30" s="43"/>
      <x:c r="AD30" s="43"/>
      <x:c r="AE30" s="43"/>
      <x:c r="AF30" s="43"/>
      <x:c r="AG30" s="43"/>
      <x:c r="AH30" s="43"/>
      <x:c r="AI30" s="43"/>
      <x:c r="AJ30" s="43"/>
      <x:c r="AK30" s="43"/>
      <x:c r="AL30" s="43"/>
      <x:c r="AM30" s="43"/>
      <x:c r="AN30" s="43"/>
      <x:c r="AO30" s="43"/>
      <x:c r="AP30" s="43"/>
    </x:row>
    <x:row r="31" ht="15" hidden="0" customHeight="1">
      <x:c r="A31" s="36" t="str">
        <x:v>BU Led Waste Matrix!row 34</x:v>
      </x:c>
      <x:c r="B31" s="37" t="str">
        <x:v>07 Philips Store for Business</x:v>
      </x:c>
      <x:c r="C31" s="36" t="str">
        <x:v>Personal Health (PH)</x:v>
      </x:c>
      <x:c r="D31" s="36"/>
      <x:c r="E31" s="36" t="str"/>
      <x:c r="F31" s="36" t="str"/>
      <x:c r="G31" s="36" t="str"/>
      <x:c r="H31" s="36" t="str"/>
      <x:c r="I31" s="36" t="str"/>
      <x:c r="J31" s="36" t="str"/>
      <x:c r="K31" s="36"/>
      <x:c r="L31" s="36" t="str"/>
      <x:c r="M31" s="36" t="str"/>
      <x:c r="N31" s="36" t="str"/>
      <x:c r="O31" s="43"/>
      <x:c r="P31" s="43"/>
      <x:c r="Q31" s="43"/>
      <x:c r="R31" s="43"/>
      <x:c r="S31" s="43"/>
      <x:c r="T31" s="43"/>
      <x:c r="U31" s="43"/>
      <x:c r="V31" s="43"/>
      <x:c r="W31" s="43"/>
      <x:c r="X31" s="43"/>
      <x:c r="Y31" s="43"/>
      <x:c r="Z31" s="43"/>
      <x:c r="AA31" s="43"/>
      <x:c r="AB31" s="43"/>
      <x:c r="AC31" s="43"/>
      <x:c r="AD31" s="43"/>
      <x:c r="AE31" s="43"/>
      <x:c r="AF31" s="43"/>
      <x:c r="AG31" s="43"/>
      <x:c r="AH31" s="43"/>
      <x:c r="AI31" s="43"/>
      <x:c r="AJ31" s="43"/>
      <x:c r="AK31" s="43"/>
      <x:c r="AL31" s="43"/>
      <x:c r="AM31" s="43"/>
      <x:c r="AN31" s="43"/>
      <x:c r="AO31" s="43"/>
      <x:c r="AP31" s="43"/>
    </x:row>
    <x:row r="32" ht="15" hidden="0" customHeight="1">
      <x:c r="A32" s="36" t="str">
        <x:v>BU Led Waste Matrix!row 35</x:v>
      </x:c>
      <x:c r="B32" s="37" t="str">
        <x:v>31. E-Commerce Analytics &amp; Digital Shelf</x:v>
      </x:c>
      <x:c r="C32" s="36" t="str">
        <x:v>Personal Health (PH)</x:v>
      </x:c>
      <x:c r="D32" s="36"/>
      <x:c r="E32" s="36" t="str"/>
      <x:c r="F32" s="36" t="str"/>
      <x:c r="G32" s="36" t="str"/>
      <x:c r="H32" s="36" t="str"/>
      <x:c r="I32" s="36" t="str"/>
      <x:c r="J32" s="36" t="str"/>
      <x:c r="K32" s="36"/>
      <x:c r="L32" s="36" t="str"/>
      <x:c r="M32" s="36" t="str"/>
      <x:c r="N32" s="36" t="str"/>
      <x:c r="O32" s="43"/>
      <x:c r="P32" s="43"/>
      <x:c r="Q32" s="43"/>
      <x:c r="R32" s="43"/>
      <x:c r="S32" s="43"/>
      <x:c r="T32" s="43"/>
      <x:c r="U32" s="43"/>
      <x:c r="V32" s="43"/>
      <x:c r="W32" s="43"/>
      <x:c r="X32" s="43"/>
      <x:c r="Y32" s="43"/>
      <x:c r="Z32" s="43"/>
      <x:c r="AA32" s="43"/>
      <x:c r="AB32" s="43"/>
      <x:c r="AC32" s="43"/>
      <x:c r="AD32" s="43"/>
      <x:c r="AE32" s="43"/>
      <x:c r="AF32" s="43"/>
      <x:c r="AG32" s="43"/>
      <x:c r="AH32" s="43"/>
      <x:c r="AI32" s="43"/>
      <x:c r="AJ32" s="43"/>
      <x:c r="AK32" s="43"/>
      <x:c r="AL32" s="43"/>
      <x:c r="AM32" s="43"/>
      <x:c r="AN32" s="43"/>
      <x:c r="AO32" s="43"/>
      <x:c r="AP32" s="43"/>
    </x:row>
    <x:row r="33" ht="15" hidden="0" customHeight="1">
      <x:c r="A33" s="36" t="str">
        <x:v>BU Led Waste Matrix!row 36</x:v>
      </x:c>
      <x:c r="B33" s="37" t="str">
        <x:v>30. COPAD (Customer One performance Analytics Dashboards)</x:v>
      </x:c>
      <x:c r="C33" s="36" t="str">
        <x:v>Personal Health (PH)</x:v>
      </x:c>
      <x:c r="D33" s="36"/>
      <x:c r="E33" s="36" t="str"/>
      <x:c r="F33" s="36" t="str"/>
      <x:c r="G33" s="36" t="str"/>
      <x:c r="H33" s="36" t="str"/>
      <x:c r="I33" s="36" t="str"/>
      <x:c r="J33" s="36" t="str"/>
      <x:c r="K33" s="36"/>
      <x:c r="L33" s="36" t="str"/>
      <x:c r="M33" s="36" t="str"/>
      <x:c r="N33" s="36" t="str"/>
      <x:c r="O33" s="43"/>
      <x:c r="P33" s="43"/>
      <x:c r="Q33" s="43"/>
      <x:c r="R33" s="43"/>
      <x:c r="S33" s="43"/>
      <x:c r="T33" s="43"/>
      <x:c r="U33" s="43"/>
      <x:c r="V33" s="43"/>
      <x:c r="W33" s="43"/>
      <x:c r="X33" s="43"/>
      <x:c r="Y33" s="43"/>
      <x:c r="Z33" s="43"/>
      <x:c r="AA33" s="43"/>
      <x:c r="AB33" s="43"/>
      <x:c r="AC33" s="43"/>
      <x:c r="AD33" s="43"/>
      <x:c r="AE33" s="43"/>
      <x:c r="AF33" s="43"/>
      <x:c r="AG33" s="43"/>
      <x:c r="AH33" s="43"/>
      <x:c r="AI33" s="43"/>
      <x:c r="AJ33" s="43"/>
      <x:c r="AK33" s="43"/>
      <x:c r="AL33" s="43"/>
      <x:c r="AM33" s="43"/>
      <x:c r="AN33" s="43"/>
      <x:c r="AO33" s="43"/>
      <x:c r="AP33" s="43"/>
    </x:row>
    <x:row r="34" ht="15" hidden="0" customHeight="1">
      <x:c r="A34" s="36" t="str">
        <x:v>BU Led Waste Matrix!row 37</x:v>
      </x:c>
      <x:c r="B34" s="37" t="str">
        <x:v>28. Social Care and Project Management</x:v>
      </x:c>
      <x:c r="C34" s="36" t="str">
        <x:v>Personal Health (PH)</x:v>
      </x:c>
      <x:c r="D34" s="36"/>
      <x:c r="E34" s="36" t="str"/>
      <x:c r="F34" s="36" t="str"/>
      <x:c r="G34" s="36" t="str"/>
      <x:c r="H34" s="36" t="str"/>
      <x:c r="I34" s="36" t="str"/>
      <x:c r="J34" s="36" t="str"/>
      <x:c r="K34" s="36"/>
      <x:c r="L34" s="36" t="str"/>
      <x:c r="M34" s="36" t="str"/>
      <x:c r="N34" s="36" t="str"/>
      <x:c r="O34" s="43"/>
      <x:c r="P34" s="43"/>
      <x:c r="Q34" s="43"/>
      <x:c r="R34" s="43"/>
      <x:c r="S34" s="43"/>
      <x:c r="T34" s="43"/>
      <x:c r="U34" s="43"/>
      <x:c r="V34" s="43"/>
      <x:c r="W34" s="43"/>
      <x:c r="X34" s="43"/>
      <x:c r="Y34" s="43"/>
      <x:c r="Z34" s="43"/>
      <x:c r="AA34" s="43"/>
      <x:c r="AB34" s="43"/>
      <x:c r="AC34" s="43"/>
      <x:c r="AD34" s="43"/>
      <x:c r="AE34" s="43"/>
      <x:c r="AF34" s="43"/>
      <x:c r="AG34" s="43"/>
      <x:c r="AH34" s="43"/>
      <x:c r="AI34" s="43"/>
      <x:c r="AJ34" s="43"/>
      <x:c r="AK34" s="43"/>
      <x:c r="AL34" s="43"/>
      <x:c r="AM34" s="43"/>
      <x:c r="AN34" s="43"/>
      <x:c r="AO34" s="43"/>
      <x:c r="AP34" s="43"/>
    </x:row>
    <x:row r="35" ht="15" hidden="0" customHeight="1">
      <x:c r="A35" s="36" t="str">
        <x:v>BU Led Waste Matrix!row 38</x:v>
      </x:c>
      <x:c r="B35" s="37" t="str">
        <x:v>19. AI Consumer Care</x:v>
      </x:c>
      <x:c r="C35" s="36" t="str">
        <x:v>Personal Health (PH)</x:v>
      </x:c>
      <x:c r="D35" s="36"/>
      <x:c r="E35" s="36" t="str"/>
      <x:c r="F35" s="36" t="str"/>
      <x:c r="G35" s="36" t="str"/>
      <x:c r="H35" s="36" t="str"/>
      <x:c r="I35" s="36" t="str"/>
      <x:c r="J35" s="36" t="str"/>
      <x:c r="K35" s="36"/>
      <x:c r="L35" s="36" t="str"/>
      <x:c r="M35" s="36" t="str"/>
      <x:c r="N35" s="36" t="str"/>
      <x:c r="O35" s="43"/>
      <x:c r="P35" s="43"/>
      <x:c r="Q35" s="43"/>
      <x:c r="R35" s="43"/>
      <x:c r="S35" s="43"/>
      <x:c r="T35" s="43"/>
      <x:c r="U35" s="43"/>
      <x:c r="V35" s="43"/>
      <x:c r="W35" s="43"/>
      <x:c r="X35" s="43"/>
      <x:c r="Y35" s="43"/>
      <x:c r="Z35" s="43"/>
      <x:c r="AA35" s="43"/>
      <x:c r="AB35" s="43"/>
      <x:c r="AC35" s="43"/>
      <x:c r="AD35" s="43"/>
      <x:c r="AE35" s="43"/>
      <x:c r="AF35" s="43"/>
      <x:c r="AG35" s="43"/>
      <x:c r="AH35" s="43"/>
      <x:c r="AI35" s="43"/>
      <x:c r="AJ35" s="43"/>
      <x:c r="AK35" s="43"/>
      <x:c r="AL35" s="43"/>
      <x:c r="AM35" s="43"/>
      <x:c r="AN35" s="43"/>
      <x:c r="AO35" s="43"/>
      <x:c r="AP35" s="43"/>
    </x:row>
    <x:row r="36" ht="15" hidden="0" customHeight="1">
      <x:c r="A36" s="36" t="str">
        <x:v>BU Led Waste Matrix!row 39</x:v>
      </x:c>
      <x:c r="B36" s="37" t="str">
        <x:v>54. AI in Consumer Insights and Innovation</x:v>
      </x:c>
      <x:c r="C36" s="36" t="str">
        <x:v>Personal Health (PH)</x:v>
      </x:c>
      <x:c r="D36" s="36"/>
      <x:c r="E36" s="36" t="str"/>
      <x:c r="F36" s="36" t="str"/>
      <x:c r="G36" s="36" t="str"/>
      <x:c r="H36" s="36" t="str"/>
      <x:c r="I36" s="36" t="str"/>
      <x:c r="J36" s="36" t="str"/>
      <x:c r="K36" s="36"/>
      <x:c r="L36" s="36" t="str"/>
      <x:c r="M36" s="36" t="str"/>
      <x:c r="N36" s="36" t="str"/>
      <x:c r="O36" s="43"/>
      <x:c r="P36" s="43"/>
      <x:c r="Q36" s="43"/>
      <x:c r="R36" s="43"/>
      <x:c r="S36" s="43"/>
      <x:c r="T36" s="43"/>
      <x:c r="U36" s="43"/>
      <x:c r="V36" s="43"/>
      <x:c r="W36" s="43"/>
      <x:c r="X36" s="43"/>
      <x:c r="Y36" s="43"/>
      <x:c r="Z36" s="43"/>
      <x:c r="AA36" s="43"/>
      <x:c r="AB36" s="43"/>
      <x:c r="AC36" s="43"/>
      <x:c r="AD36" s="43"/>
      <x:c r="AE36" s="43"/>
      <x:c r="AF36" s="43"/>
      <x:c r="AG36" s="43"/>
      <x:c r="AH36" s="43"/>
      <x:c r="AI36" s="43"/>
      <x:c r="AJ36" s="43"/>
      <x:c r="AK36" s="43"/>
      <x:c r="AL36" s="43"/>
      <x:c r="AM36" s="43"/>
      <x:c r="AN36" s="43"/>
      <x:c r="AO36" s="43"/>
      <x:c r="AP36" s="43"/>
    </x:row>
    <x:row r="37" ht="15" hidden="0" customHeight="1">
      <x:c r="A37" s="36" t="str">
        <x:v>BU Led Waste Matrix!row 40</x:v>
      </x:c>
      <x:c r="B37" s="37" t="str">
        <x:v>58. Akamai replatforming (Identify &amp; Access Management)</x:v>
      </x:c>
      <x:c r="C37" s="36" t="str">
        <x:v>Personal Health (PH)</x:v>
      </x:c>
      <x:c r="D37" s="36"/>
      <x:c r="E37" s="36" t="str"/>
      <x:c r="F37" s="36" t="str"/>
      <x:c r="G37" s="36" t="str"/>
      <x:c r="H37" s="36" t="str"/>
      <x:c r="I37" s="36" t="str"/>
      <x:c r="J37" s="36" t="str"/>
      <x:c r="K37" s="36"/>
      <x:c r="L37" s="36" t="str"/>
      <x:c r="M37" s="36" t="str"/>
      <x:c r="N37" s="36" t="str"/>
      <x:c r="O37" s="43"/>
      <x:c r="P37" s="43"/>
      <x:c r="Q37" s="43"/>
      <x:c r="R37" s="43"/>
      <x:c r="S37" s="43"/>
      <x:c r="T37" s="43"/>
      <x:c r="U37" s="43"/>
      <x:c r="V37" s="43"/>
      <x:c r="W37" s="43"/>
      <x:c r="X37" s="43"/>
      <x:c r="Y37" s="43"/>
      <x:c r="Z37" s="43"/>
      <x:c r="AA37" s="43"/>
      <x:c r="AB37" s="43"/>
      <x:c r="AC37" s="43"/>
      <x:c r="AD37" s="43"/>
      <x:c r="AE37" s="43"/>
      <x:c r="AF37" s="43"/>
      <x:c r="AG37" s="43"/>
      <x:c r="AH37" s="43"/>
      <x:c r="AI37" s="43"/>
      <x:c r="AJ37" s="43"/>
      <x:c r="AK37" s="43"/>
      <x:c r="AL37" s="43"/>
      <x:c r="AM37" s="43"/>
      <x:c r="AN37" s="43"/>
      <x:c r="AO37" s="43"/>
      <x:c r="AP37" s="43"/>
    </x:row>
    <x:row r="38" ht="15" hidden="0" customHeight="1">
      <x:c r="A38" s="36" t="str">
        <x:v>BU Led Waste Matrix!row 41</x:v>
      </x:c>
      <x:c r="B38" s="37" t="str">
        <x:v>05. One AI-powered Translation Solution for PH</x:v>
      </x:c>
      <x:c r="C38" s="36" t="str">
        <x:v>Personal Health (PH)</x:v>
      </x:c>
      <x:c r="D38" s="36"/>
      <x:c r="E38" s="36" t="str"/>
      <x:c r="F38" s="36" t="str"/>
      <x:c r="G38" s="36" t="str"/>
      <x:c r="H38" s="36" t="str"/>
      <x:c r="I38" s="36" t="str"/>
      <x:c r="J38" s="36" t="str"/>
      <x:c r="K38" s="36"/>
      <x:c r="L38" s="36" t="str"/>
      <x:c r="M38" s="36" t="str"/>
      <x:c r="N38" s="36" t="str"/>
      <x:c r="O38" s="43"/>
      <x:c r="P38" s="43"/>
      <x:c r="Q38" s="43"/>
      <x:c r="R38" s="43"/>
      <x:c r="S38" s="43"/>
      <x:c r="T38" s="43"/>
      <x:c r="U38" s="43"/>
      <x:c r="V38" s="43"/>
      <x:c r="W38" s="43"/>
      <x:c r="X38" s="43"/>
      <x:c r="Y38" s="43"/>
      <x:c r="Z38" s="43"/>
      <x:c r="AA38" s="43"/>
      <x:c r="AB38" s="43"/>
      <x:c r="AC38" s="43"/>
      <x:c r="AD38" s="43"/>
      <x:c r="AE38" s="43"/>
      <x:c r="AF38" s="43"/>
      <x:c r="AG38" s="43"/>
      <x:c r="AH38" s="43"/>
      <x:c r="AI38" s="43"/>
      <x:c r="AJ38" s="43"/>
      <x:c r="AK38" s="43"/>
      <x:c r="AL38" s="43"/>
      <x:c r="AM38" s="43"/>
      <x:c r="AN38" s="43"/>
      <x:c r="AO38" s="43"/>
      <x:c r="AP38" s="43"/>
    </x:row>
    <x:row r="39" ht="15" hidden="0" customHeight="1">
      <x:c r="A39" s="36" t="str">
        <x:v>BU Led Waste Matrix!row 42</x:v>
      </x:c>
      <x:c r="B39" s="37" t="str">
        <x:v>32. PH ISC Analytics</x:v>
      </x:c>
      <x:c r="C39" s="36" t="str">
        <x:v>Personal Health (PH)</x:v>
      </x:c>
      <x:c r="D39" s="36"/>
      <x:c r="E39" s="36" t="str"/>
      <x:c r="F39" s="36" t="str"/>
      <x:c r="G39" s="36" t="str"/>
      <x:c r="H39" s="36" t="str"/>
      <x:c r="I39" s="36" t="str"/>
      <x:c r="J39" s="36" t="str"/>
      <x:c r="K39" s="36"/>
      <x:c r="L39" s="36" t="str"/>
      <x:c r="M39" s="36" t="str"/>
      <x:c r="N39" s="36" t="str"/>
      <x:c r="O39" s="43"/>
      <x:c r="P39" s="43"/>
      <x:c r="Q39" s="43"/>
      <x:c r="R39" s="43"/>
      <x:c r="S39" s="43"/>
      <x:c r="T39" s="43"/>
      <x:c r="U39" s="43"/>
      <x:c r="V39" s="43"/>
      <x:c r="W39" s="43"/>
      <x:c r="X39" s="43"/>
      <x:c r="Y39" s="43"/>
      <x:c r="Z39" s="43"/>
      <x:c r="AA39" s="43"/>
      <x:c r="AB39" s="43"/>
      <x:c r="AC39" s="43"/>
      <x:c r="AD39" s="43"/>
      <x:c r="AE39" s="43"/>
      <x:c r="AF39" s="43"/>
      <x:c r="AG39" s="43"/>
      <x:c r="AH39" s="43"/>
      <x:c r="AI39" s="43"/>
      <x:c r="AJ39" s="43"/>
      <x:c r="AK39" s="43"/>
      <x:c r="AL39" s="43"/>
      <x:c r="AM39" s="43"/>
      <x:c r="AN39" s="43"/>
      <x:c r="AO39" s="43"/>
      <x:c r="AP39" s="43"/>
    </x:row>
    <x:row r="40" ht="15" hidden="0" customHeight="1">
      <x:c r="A40" s="36" t="str">
        <x:v>BU Led Waste Matrix!row 43</x:v>
      </x:c>
      <x:c r="B40" s="37" t="str">
        <x:v>09. Refurbishment: reverse set-up Supply Chain</x:v>
      </x:c>
      <x:c r="C40" s="36" t="str">
        <x:v>Personal Health (PH)</x:v>
      </x:c>
      <x:c r="D40" s="36" t="n">
        <x:v>1</x:v>
      </x:c>
      <x:c r="E40" s="36" t="str">
        <x:v>HEALTHY</x:v>
      </x:c>
      <x:c r="F40" s="36" t="str"/>
      <x:c r="G40" s="36" t="str"/>
      <x:c r="H40" s="36" t="str"/>
      <x:c r="I40" s="36" t="str"/>
      <x:c r="J40" s="36" t="str"/>
      <x:c r="K40" s="36"/>
      <x:c r="L40" s="36" t="str"/>
      <x:c r="M40" s="36" t="str">
        <x:v>HEALTHY — Rank in priority matrix</x:v>
      </x:c>
      <x:c r="N40" s="36" t="str"/>
      <x:c r="O40" s="43"/>
      <x:c r="P40" s="43"/>
      <x:c r="Q40" s="43"/>
      <x:c r="R40" s="43"/>
      <x:c r="S40" s="43"/>
      <x:c r="T40" s="43"/>
      <x:c r="U40" s="43"/>
      <x:c r="V40" s="43"/>
      <x:c r="W40" s="43"/>
      <x:c r="X40" s="43"/>
      <x:c r="Y40" s="43"/>
      <x:c r="Z40" s="43"/>
      <x:c r="AA40" s="43"/>
      <x:c r="AB40" s="43"/>
      <x:c r="AC40" s="43"/>
      <x:c r="AD40" s="43"/>
      <x:c r="AE40" s="43"/>
      <x:c r="AF40" s="43"/>
      <x:c r="AG40" s="43"/>
      <x:c r="AH40" s="43"/>
      <x:c r="AI40" s="43"/>
      <x:c r="AJ40" s="43"/>
      <x:c r="AK40" s="43"/>
      <x:c r="AL40" s="43"/>
      <x:c r="AM40" s="43"/>
      <x:c r="AN40" s="43"/>
      <x:c r="AO40" s="43"/>
      <x:c r="AP40" s="43"/>
    </x:row>
    <x:row r="41" ht="15" hidden="0" customHeight="1">
      <x:c r="A41" s="36" t="str">
        <x:v>BU Led Waste Matrix!row 44</x:v>
      </x:c>
      <x:c r="B41" s="37" t="str">
        <x:v>COSAC EOL to PIL (New Architecture)</x:v>
      </x:c>
      <x:c r="C41" s="36" t="str">
        <x:v>Precision Diagnosis - Magnetic Resonance (MR)</x:v>
      </x:c>
      <x:c r="D41" s="36"/>
      <x:c r="E41" s="36" t="str"/>
      <x:c r="F41" s="36" t="str"/>
      <x:c r="G41" s="36" t="str"/>
      <x:c r="H41" s="36" t="str"/>
      <x:c r="I41" s="36" t="str"/>
      <x:c r="J41" s="36" t="str"/>
      <x:c r="K41" s="36"/>
      <x:c r="L41" s="36" t="str"/>
      <x:c r="M41" s="36" t="str"/>
      <x:c r="N41" s="36" t="str"/>
      <x:c r="O41" s="43"/>
      <x:c r="P41" s="43"/>
      <x:c r="Q41" s="43"/>
      <x:c r="R41" s="43"/>
      <x:c r="S41" s="43"/>
      <x:c r="T41" s="43"/>
      <x:c r="U41" s="43"/>
      <x:c r="V41" s="43"/>
      <x:c r="W41" s="43"/>
      <x:c r="X41" s="43"/>
      <x:c r="Y41" s="43"/>
      <x:c r="Z41" s="43"/>
      <x:c r="AA41" s="43"/>
      <x:c r="AB41" s="43"/>
      <x:c r="AC41" s="43"/>
      <x:c r="AD41" s="43"/>
      <x:c r="AE41" s="43"/>
      <x:c r="AF41" s="43"/>
      <x:c r="AG41" s="43"/>
      <x:c r="AH41" s="43"/>
      <x:c r="AI41" s="43"/>
      <x:c r="AJ41" s="43"/>
      <x:c r="AK41" s="43"/>
      <x:c r="AL41" s="43"/>
      <x:c r="AM41" s="43"/>
      <x:c r="AN41" s="43"/>
      <x:c r="AO41" s="43"/>
      <x:c r="AP41" s="43"/>
    </x:row>
    <x:row r="42" ht="15" hidden="0" customHeight="1">
      <x:c r="A42" s="36" t="str">
        <x:v>BU Led Waste Matrix!row 45</x:v>
      </x:c>
      <x:c r="B42" s="37" t="str">
        <x:v>Imaging Small Investment 2026</x:v>
      </x:c>
      <x:c r="C42" s="36" t="str">
        <x:v>Precision Diagnosis - Magnetic Resonance (MR)</x:v>
      </x:c>
      <x:c r="D42" s="36"/>
      <x:c r="E42" s="36" t="str"/>
      <x:c r="F42" s="36" t="str"/>
      <x:c r="G42" s="36" t="str"/>
      <x:c r="H42" s="36" t="str"/>
      <x:c r="I42" s="36" t="str"/>
      <x:c r="J42" s="36" t="str"/>
      <x:c r="K42" s="36"/>
      <x:c r="L42" s="36" t="str"/>
      <x:c r="M42" s="36" t="str"/>
      <x:c r="N42" s="36" t="str"/>
      <x:c r="O42" s="43"/>
      <x:c r="P42" s="43"/>
      <x:c r="Q42" s="43"/>
      <x:c r="R42" s="43"/>
      <x:c r="S42" s="43"/>
      <x:c r="T42" s="43"/>
      <x:c r="U42" s="43"/>
      <x:c r="V42" s="43"/>
      <x:c r="W42" s="43"/>
      <x:c r="X42" s="43"/>
      <x:c r="Y42" s="43"/>
      <x:c r="Z42" s="43"/>
      <x:c r="AA42" s="43"/>
      <x:c r="AB42" s="43"/>
      <x:c r="AC42" s="43"/>
      <x:c r="AD42" s="43"/>
      <x:c r="AE42" s="43"/>
      <x:c r="AF42" s="43"/>
      <x:c r="AG42" s="43"/>
      <x:c r="AH42" s="43"/>
      <x:c r="AI42" s="43"/>
      <x:c r="AJ42" s="43"/>
      <x:c r="AK42" s="43"/>
      <x:c r="AL42" s="43"/>
      <x:c r="AM42" s="43"/>
      <x:c r="AN42" s="43"/>
      <x:c r="AO42" s="43"/>
      <x:c r="AP42" s="43"/>
    </x:row>
    <x:row r="43" ht="15" hidden="0" customHeight="1">
      <x:c r="A43" s="36" t="str">
        <x:v>BU Led Waste Matrix!row 46</x:v>
      </x:c>
      <x:c r="B43" s="37" t="str">
        <x:v>PRISM - Product, Regulatory, Installed Base, Services Metrics unified</x:v>
      </x:c>
      <x:c r="C43" s="36" t="str">
        <x:v>Precision Diagnosis - Magnetic Resonance (MR)</x:v>
      </x:c>
      <x:c r="D43" s="36"/>
      <x:c r="E43" s="36" t="str"/>
      <x:c r="F43" s="36" t="str"/>
      <x:c r="G43" s="36" t="str"/>
      <x:c r="H43" s="36" t="str"/>
      <x:c r="I43" s="36" t="str"/>
      <x:c r="J43" s="36" t="str"/>
      <x:c r="K43" s="36"/>
      <x:c r="L43" s="36" t="str"/>
      <x:c r="M43" s="36" t="str"/>
      <x:c r="N43" s="36" t="str"/>
      <x:c r="O43" s="43"/>
      <x:c r="P43" s="43"/>
      <x:c r="Q43" s="43"/>
      <x:c r="R43" s="43"/>
      <x:c r="S43" s="43"/>
      <x:c r="T43" s="43"/>
      <x:c r="U43" s="43"/>
      <x:c r="V43" s="43"/>
      <x:c r="W43" s="43"/>
      <x:c r="X43" s="43"/>
      <x:c r="Y43" s="43"/>
      <x:c r="Z43" s="43"/>
      <x:c r="AA43" s="43"/>
      <x:c r="AB43" s="43"/>
      <x:c r="AC43" s="43"/>
      <x:c r="AD43" s="43"/>
      <x:c r="AE43" s="43"/>
      <x:c r="AF43" s="43"/>
      <x:c r="AG43" s="43"/>
      <x:c r="AH43" s="43"/>
      <x:c r="AI43" s="43"/>
      <x:c r="AJ43" s="43"/>
      <x:c r="AK43" s="43"/>
      <x:c r="AL43" s="43"/>
      <x:c r="AM43" s="43"/>
      <x:c r="AN43" s="43"/>
      <x:c r="AO43" s="43"/>
      <x:c r="AP43" s="43"/>
    </x:row>
    <x:row r="44" ht="15" hidden="0" customHeight="1">
      <x:c r="A44" s="36" t="str">
        <x:v>BU Led Waste Matrix!row 47</x:v>
      </x:c>
      <x:c r="B44" s="37" t="str">
        <x:v>Product information dashboard</x:v>
      </x:c>
      <x:c r="C44" s="36" t="str">
        <x:v>Precision Diagnosis - Magnetic Resonance (MR)</x:v>
      </x:c>
      <x:c r="D44" s="36"/>
      <x:c r="E44" s="36" t="str"/>
      <x:c r="F44" s="36" t="str"/>
      <x:c r="G44" s="36" t="str"/>
      <x:c r="H44" s="36" t="str"/>
      <x:c r="I44" s="36" t="str"/>
      <x:c r="J44" s="36" t="str"/>
      <x:c r="K44" s="36"/>
      <x:c r="L44" s="36" t="str"/>
      <x:c r="M44" s="36" t="str"/>
      <x:c r="N44" s="36" t="str"/>
      <x:c r="O44" s="43"/>
      <x:c r="P44" s="43"/>
      <x:c r="Q44" s="43"/>
      <x:c r="R44" s="43"/>
      <x:c r="S44" s="43"/>
      <x:c r="T44" s="43"/>
      <x:c r="U44" s="43"/>
      <x:c r="V44" s="43"/>
      <x:c r="W44" s="43"/>
      <x:c r="X44" s="43"/>
      <x:c r="Y44" s="43"/>
      <x:c r="Z44" s="43"/>
      <x:c r="AA44" s="43"/>
      <x:c r="AB44" s="43"/>
      <x:c r="AC44" s="43"/>
      <x:c r="AD44" s="43"/>
      <x:c r="AE44" s="43"/>
      <x:c r="AF44" s="43"/>
      <x:c r="AG44" s="43"/>
      <x:c r="AH44" s="43"/>
      <x:c r="AI44" s="43"/>
      <x:c r="AJ44" s="43"/>
      <x:c r="AK44" s="43"/>
      <x:c r="AL44" s="43"/>
      <x:c r="AM44" s="43"/>
      <x:c r="AN44" s="43"/>
      <x:c r="AO44" s="43"/>
      <x:c r="AP44" s="43"/>
    </x:row>
    <x:row r="45" ht="15" hidden="0" customHeight="1">
      <x:c r="A45" s="36" t="str">
        <x:v>BU Led Waste Matrix!row 48</x:v>
      </x:c>
      <x:c r="B45" s="37" t="str">
        <x:v>Sentinel LDK integration to NPI</x:v>
      </x:c>
      <x:c r="C45" s="36" t="str">
        <x:v>Precision Diagnosis - Magnetic Resonance (MR)</x:v>
      </x:c>
      <x:c r="D45" s="36"/>
      <x:c r="E45" s="36" t="str"/>
      <x:c r="F45" s="36" t="str"/>
      <x:c r="G45" s="36" t="str"/>
      <x:c r="H45" s="36" t="str"/>
      <x:c r="I45" s="36" t="str"/>
      <x:c r="J45" s="36" t="str"/>
      <x:c r="K45" s="36"/>
      <x:c r="L45" s="36" t="str"/>
      <x:c r="M45" s="36" t="str"/>
      <x:c r="N45" s="36" t="str"/>
      <x:c r="O45" s="43"/>
      <x:c r="P45" s="43"/>
      <x:c r="Q45" s="43"/>
      <x:c r="R45" s="43"/>
      <x:c r="S45" s="43"/>
      <x:c r="T45" s="43"/>
      <x:c r="U45" s="43"/>
      <x:c r="V45" s="43"/>
      <x:c r="W45" s="43"/>
      <x:c r="X45" s="43"/>
      <x:c r="Y45" s="43"/>
      <x:c r="Z45" s="43"/>
      <x:c r="AA45" s="43"/>
      <x:c r="AB45" s="43"/>
      <x:c r="AC45" s="43"/>
      <x:c r="AD45" s="43"/>
      <x:c r="AE45" s="43"/>
      <x:c r="AF45" s="43"/>
      <x:c r="AG45" s="43"/>
      <x:c r="AH45" s="43"/>
      <x:c r="AI45" s="43"/>
      <x:c r="AJ45" s="43"/>
      <x:c r="AK45" s="43"/>
      <x:c r="AL45" s="43"/>
      <x:c r="AM45" s="43"/>
      <x:c r="AN45" s="43"/>
      <x:c r="AO45" s="43"/>
      <x:c r="AP45" s="43"/>
    </x:row>
    <x:row r="46" ht="15" hidden="0" customHeight="1">
      <x:c r="A46" s="36" t="str">
        <x:v>BU Led Waste Matrix!row 49</x:v>
      </x:c>
      <x:c r="B46" s="37" t="str">
        <x:v>Workpath</x:v>
      </x:c>
      <x:c r="C46" s="36" t="str">
        <x:v>Precision Diagnosis - Magnetic Resonance (MR)</x:v>
      </x:c>
      <x:c r="D46" s="36"/>
      <x:c r="E46" s="36" t="str"/>
      <x:c r="F46" s="36" t="str"/>
      <x:c r="G46" s="36" t="str"/>
      <x:c r="H46" s="36" t="str"/>
      <x:c r="I46" s="36" t="str"/>
      <x:c r="J46" s="36" t="str"/>
      <x:c r="K46" s="36"/>
      <x:c r="L46" s="36" t="str"/>
      <x:c r="M46" s="36" t="str"/>
      <x:c r="N46" s="36" t="str"/>
      <x:c r="O46" s="43"/>
      <x:c r="P46" s="43"/>
      <x:c r="Q46" s="43"/>
      <x:c r="R46" s="43"/>
      <x:c r="S46" s="43"/>
      <x:c r="T46" s="43"/>
      <x:c r="U46" s="43"/>
      <x:c r="V46" s="43"/>
      <x:c r="W46" s="43"/>
      <x:c r="X46" s="43"/>
      <x:c r="Y46" s="43"/>
      <x:c r="Z46" s="43"/>
      <x:c r="AA46" s="43"/>
      <x:c r="AB46" s="43"/>
      <x:c r="AC46" s="43"/>
      <x:c r="AD46" s="43"/>
      <x:c r="AE46" s="43"/>
      <x:c r="AF46" s="43"/>
      <x:c r="AG46" s="43"/>
      <x:c r="AH46" s="43"/>
      <x:c r="AI46" s="43"/>
      <x:c r="AJ46" s="43"/>
      <x:c r="AK46" s="43"/>
      <x:c r="AL46" s="43"/>
      <x:c r="AM46" s="43"/>
      <x:c r="AN46" s="43"/>
      <x:c r="AO46" s="43"/>
      <x:c r="AP46" s="43"/>
    </x:row>
    <x:row r="47" ht="15" hidden="0" customHeight="1">
      <x:c r="A47" s="36" t="str">
        <x:v>BU Led Waste Matrix!row 50</x:v>
      </x:c>
      <x:c r="B47" s="37" t="str">
        <x:v>Imaging Checksum and AI</x:v>
      </x:c>
      <x:c r="C47" s="36" t="str">
        <x:v>Precision Diagnosis - Magnetic Resonance (MR)</x:v>
      </x:c>
      <x:c r="D47" s="36"/>
      <x:c r="E47" s="36" t="str"/>
      <x:c r="F47" s="36" t="str"/>
      <x:c r="G47" s="36" t="str"/>
      <x:c r="H47" s="36" t="str"/>
      <x:c r="I47" s="36" t="str"/>
      <x:c r="J47" s="36" t="str"/>
      <x:c r="K47" s="36"/>
      <x:c r="L47" s="36" t="str"/>
      <x:c r="M47" s="36" t="str"/>
      <x:c r="N47" s="36" t="str"/>
      <x:c r="O47" s="43"/>
      <x:c r="P47" s="43"/>
      <x:c r="Q47" s="43"/>
      <x:c r="R47" s="43"/>
      <x:c r="S47" s="43"/>
      <x:c r="T47" s="43"/>
      <x:c r="U47" s="43"/>
      <x:c r="V47" s="43"/>
      <x:c r="W47" s="43"/>
      <x:c r="X47" s="43"/>
      <x:c r="Y47" s="43"/>
      <x:c r="Z47" s="43"/>
      <x:c r="AA47" s="43"/>
      <x:c r="AB47" s="43"/>
      <x:c r="AC47" s="43"/>
      <x:c r="AD47" s="43"/>
      <x:c r="AE47" s="43"/>
      <x:c r="AF47" s="43"/>
      <x:c r="AG47" s="43"/>
      <x:c r="AH47" s="43"/>
      <x:c r="AI47" s="43"/>
      <x:c r="AJ47" s="43"/>
      <x:c r="AK47" s="43"/>
      <x:c r="AL47" s="43"/>
      <x:c r="AM47" s="43"/>
      <x:c r="AN47" s="43"/>
      <x:c r="AO47" s="43"/>
      <x:c r="AP47" s="43"/>
    </x:row>
    <x:row r="48" ht="15" hidden="0" customHeight="1">
      <x:c r="A48" s="36" t="str">
        <x:v>BU Led Waste Matrix!row 51</x:v>
      </x:c>
      <x:c r="B48" s="37" t="str">
        <x:v>ORION – MR specific changes 2026</x:v>
      </x:c>
      <x:c r="C48" s="36" t="str">
        <x:v>Precision Diagnosis - Magnetic Resonance (MR)</x:v>
      </x:c>
      <x:c r="D48" s="36"/>
      <x:c r="E48" s="36" t="str"/>
      <x:c r="F48" s="36" t="str"/>
      <x:c r="G48" s="36" t="str"/>
      <x:c r="H48" s="36" t="str"/>
      <x:c r="I48" s="36" t="str"/>
      <x:c r="J48" s="36" t="str"/>
      <x:c r="K48" s="36"/>
      <x:c r="L48" s="36" t="str"/>
      <x:c r="M48" s="36" t="str"/>
      <x:c r="N48" s="36" t="str"/>
      <x:c r="O48" s="43"/>
      <x:c r="P48" s="43"/>
      <x:c r="Q48" s="43"/>
      <x:c r="R48" s="43"/>
      <x:c r="S48" s="43"/>
      <x:c r="T48" s="43"/>
      <x:c r="U48" s="43"/>
      <x:c r="V48" s="43"/>
      <x:c r="W48" s="43"/>
      <x:c r="X48" s="43"/>
      <x:c r="Y48" s="43"/>
      <x:c r="Z48" s="43"/>
      <x:c r="AA48" s="43"/>
      <x:c r="AB48" s="43"/>
      <x:c r="AC48" s="43"/>
      <x:c r="AD48" s="43"/>
      <x:c r="AE48" s="43"/>
      <x:c r="AF48" s="43"/>
      <x:c r="AG48" s="43"/>
      <x:c r="AH48" s="43"/>
      <x:c r="AI48" s="43"/>
      <x:c r="AJ48" s="43"/>
      <x:c r="AK48" s="43"/>
      <x:c r="AL48" s="43"/>
      <x:c r="AM48" s="43"/>
      <x:c r="AN48" s="43"/>
      <x:c r="AO48" s="43"/>
      <x:c r="AP48" s="43"/>
    </x:row>
    <x:row r="49" ht="15" hidden="0" customHeight="1">
      <x:c r="A49" s="36" t="str">
        <x:v>BU Led Waste Matrix!row 52</x:v>
      </x:c>
      <x:c r="B49" s="37" t="str">
        <x:v>STO Carryover Demand</x:v>
      </x:c>
      <x:c r="C49" s="36" t="str">
        <x:v>Service Transformation Office (STO)</x:v>
      </x:c>
      <x:c r="D49" s="36"/>
      <x:c r="E49" s="36" t="str"/>
      <x:c r="F49" s="36" t="str"/>
      <x:c r="G49" s="36" t="str"/>
      <x:c r="H49" s="36" t="str"/>
      <x:c r="I49" s="36" t="str"/>
      <x:c r="J49" s="36" t="str"/>
      <x:c r="K49" s="36"/>
      <x:c r="L49" s="36" t="str"/>
      <x:c r="M49" s="36" t="str"/>
      <x:c r="N49" s="36" t="str"/>
      <x:c r="O49" s="43"/>
      <x:c r="P49" s="43"/>
      <x:c r="Q49" s="43"/>
      <x:c r="R49" s="43"/>
      <x:c r="S49" s="43"/>
      <x:c r="T49" s="43"/>
      <x:c r="U49" s="43"/>
      <x:c r="V49" s="43"/>
      <x:c r="W49" s="43"/>
      <x:c r="X49" s="43"/>
      <x:c r="Y49" s="43"/>
      <x:c r="Z49" s="43"/>
      <x:c r="AA49" s="43"/>
      <x:c r="AB49" s="43"/>
      <x:c r="AC49" s="43"/>
      <x:c r="AD49" s="43"/>
      <x:c r="AE49" s="43"/>
      <x:c r="AF49" s="43"/>
      <x:c r="AG49" s="43"/>
      <x:c r="AH49" s="43"/>
      <x:c r="AI49" s="43"/>
      <x:c r="AJ49" s="43"/>
      <x:c r="AK49" s="43"/>
      <x:c r="AL49" s="43"/>
      <x:c r="AM49" s="43"/>
      <x:c r="AN49" s="43"/>
      <x:c r="AO49" s="43"/>
      <x:c r="AP49" s="43"/>
    </x:row>
    <x:row r="50" ht="15" hidden="0" customHeight="1">
      <x:c r="A50" s="36" t="str">
        <x:v>BU Led Waste Matrix!row 53</x:v>
      </x:c>
      <x:c r="B50" s="37" t="str">
        <x:v>Demand &amp; Supply Planning SRC</x:v>
      </x:c>
      <x:c r="C50" s="36" t="str">
        <x:v>Sleep &amp; Respiratory Care (SRC)</x:v>
      </x:c>
      <x:c r="D50" s="36" t="n">
        <x:v>1.15</x:v>
      </x:c>
      <x:c r="E50" s="36" t="str">
        <x:v>HEALTHY</x:v>
      </x:c>
      <x:c r="F50" s="36" t="str"/>
      <x:c r="G50" s="36" t="str"/>
      <x:c r="H50" s="36" t="str"/>
      <x:c r="I50" s="36" t="str"/>
      <x:c r="J50" s="36" t="str"/>
      <x:c r="K50" s="36"/>
      <x:c r="L50" s="36" t="str"/>
      <x:c r="M50" s="36" t="str">
        <x:v>HEALTHY — Rank in priority matrix</x:v>
      </x:c>
      <x:c r="N50" s="36" t="str"/>
      <x:c r="O50" s="43"/>
      <x:c r="P50" s="43"/>
      <x:c r="Q50" s="43"/>
      <x:c r="R50" s="43"/>
      <x:c r="S50" s="43"/>
      <x:c r="T50" s="43"/>
      <x:c r="U50" s="43"/>
      <x:c r="V50" s="43"/>
      <x:c r="W50" s="43"/>
      <x:c r="X50" s="43"/>
      <x:c r="Y50" s="43"/>
      <x:c r="Z50" s="43"/>
      <x:c r="AA50" s="43"/>
      <x:c r="AB50" s="43"/>
      <x:c r="AC50" s="43"/>
      <x:c r="AD50" s="43"/>
      <x:c r="AE50" s="43"/>
      <x:c r="AF50" s="43"/>
      <x:c r="AG50" s="43"/>
      <x:c r="AH50" s="43"/>
      <x:c r="AI50" s="43"/>
      <x:c r="AJ50" s="43"/>
      <x:c r="AK50" s="43"/>
      <x:c r="AL50" s="43"/>
      <x:c r="AM50" s="43"/>
      <x:c r="AN50" s="43"/>
      <x:c r="AO50" s="43"/>
      <x:c r="AP50" s="43"/>
    </x:row>
    <x:row r="51" ht="15" hidden="0" customHeight="1">
      <x:c r="A51" s="36" t="str">
        <x:v>BU Led Waste Matrix!row 54</x:v>
      </x:c>
      <x:c r="B51" s="37" t="str">
        <x:v>E2E NAM Re-entry Digital SRC</x:v>
      </x:c>
      <x:c r="C51" s="36" t="str">
        <x:v>Sleep &amp; Respiratory Care (SRC)</x:v>
      </x:c>
      <x:c r="D51" s="36"/>
      <x:c r="E51" s="36" t="str"/>
      <x:c r="F51" s="36" t="str"/>
      <x:c r="G51" s="36" t="str"/>
      <x:c r="H51" s="36" t="str"/>
      <x:c r="I51" s="36" t="str"/>
      <x:c r="J51" s="36" t="str"/>
      <x:c r="K51" s="36"/>
      <x:c r="L51" s="36" t="str"/>
      <x:c r="M51" s="36" t="str"/>
      <x:c r="N51" s="36" t="str"/>
      <x:c r="O51" s="43"/>
      <x:c r="P51" s="43"/>
      <x:c r="Q51" s="43"/>
      <x:c r="R51" s="43"/>
      <x:c r="S51" s="43"/>
      <x:c r="T51" s="43"/>
      <x:c r="U51" s="43"/>
      <x:c r="V51" s="43"/>
      <x:c r="W51" s="43"/>
      <x:c r="X51" s="43"/>
      <x:c r="Y51" s="43"/>
      <x:c r="Z51" s="43"/>
      <x:c r="AA51" s="43"/>
      <x:c r="AB51" s="43"/>
      <x:c r="AC51" s="43"/>
      <x:c r="AD51" s="43"/>
      <x:c r="AE51" s="43"/>
      <x:c r="AF51" s="43"/>
      <x:c r="AG51" s="43"/>
      <x:c r="AH51" s="43"/>
      <x:c r="AI51" s="43"/>
      <x:c r="AJ51" s="43"/>
      <x:c r="AK51" s="43"/>
      <x:c r="AL51" s="43"/>
      <x:c r="AM51" s="43"/>
      <x:c r="AN51" s="43"/>
      <x:c r="AO51" s="43"/>
      <x:c r="AP51" s="43"/>
    </x:row>
    <x:row r="52" ht="15" hidden="0" customHeight="1">
      <x:c r="A52" s="36" t="str">
        <x:v>BU Led Waste Matrix!row 55</x:v>
      </x:c>
      <x:c r="B52" s="37" t="str">
        <x:v>Customer Service Management SRC</x:v>
      </x:c>
      <x:c r="C52" s="36" t="str">
        <x:v>Sleep &amp; Respiratory Care (SRC)</x:v>
      </x:c>
      <x:c r="D52" s="36"/>
      <x:c r="E52" s="36" t="str"/>
      <x:c r="F52" s="36" t="str">
        <x:v>YES</x:v>
      </x:c>
      <x:c r="G52" s="36" t="str">
        <x:v>5 — Exactly the minimum — only what's needed to meet the rule, nothing more.</x:v>
      </x:c>
      <x:c r="H52" s="36" t="str">
        <x:v>5 — Severe — criminal liability, loss of a licence, a product or market withdrawal, or a patient-safety / major data-breach exposure.</x:v>
      </x:c>
      <x:c r="I52" s="36" t="str">
        <x:v>4 — Likely — an audit or inspection is scheduled, or we've had findings on this before.</x:v>
      </x:c>
      <x:c r="J52" s="36" t="str">
        <x:v>4 — Less than six months away.</x:v>
      </x:c>
      <x:c r="K52" s="36" t="n">
        <x:v>20</x:v>
      </x:c>
      <x:c r="L52" s="36" t="str">
        <x:v>P1 — Immediate</x:v>
      </x:c>
      <x:c r="M52" s="36" t="str"/>
      <x:c r="N52" s="36" t="str"/>
      <x:c r="O52" s="43"/>
      <x:c r="P52" s="43"/>
      <x:c r="Q52" s="43"/>
      <x:c r="R52" s="43"/>
      <x:c r="S52" s="43"/>
      <x:c r="T52" s="43"/>
      <x:c r="U52" s="43"/>
      <x:c r="V52" s="43"/>
      <x:c r="W52" s="43"/>
      <x:c r="X52" s="43"/>
      <x:c r="Y52" s="43"/>
      <x:c r="Z52" s="43"/>
      <x:c r="AA52" s="43"/>
      <x:c r="AB52" s="43"/>
      <x:c r="AC52" s="43"/>
      <x:c r="AD52" s="43"/>
      <x:c r="AE52" s="43"/>
      <x:c r="AF52" s="43"/>
      <x:c r="AG52" s="43"/>
      <x:c r="AH52" s="43"/>
      <x:c r="AI52" s="43"/>
      <x:c r="AJ52" s="43"/>
      <x:c r="AK52" s="43"/>
      <x:c r="AL52" s="43"/>
      <x:c r="AM52" s="43"/>
      <x:c r="AN52" s="43"/>
      <x:c r="AO52" s="43"/>
      <x:c r="AP52" s="43"/>
    </x:row>
    <x:row r="53" ht="15" hidden="0" customHeight="1">
      <x:c r="A53" s="36" t="str">
        <x:v>BU Led Waste Matrix!row 56</x:v>
      </x:c>
      <x:c r="B53" s="37" t="str">
        <x:v>Web Replatforming SRC - phase 2</x:v>
      </x:c>
      <x:c r="C53" s="36" t="str">
        <x:v>Sleep &amp; Respiratory Care (SRC)</x:v>
      </x:c>
      <x:c r="D53" s="36"/>
      <x:c r="E53" s="36" t="str"/>
      <x:c r="F53" s="36" t="str"/>
      <x:c r="G53" s="36" t="str"/>
      <x:c r="H53" s="36" t="str"/>
      <x:c r="I53" s="36" t="str"/>
      <x:c r="J53" s="36" t="str"/>
      <x:c r="K53" s="36"/>
      <x:c r="L53" s="36" t="str"/>
      <x:c r="M53" s="36" t="str"/>
      <x:c r="N53" s="36" t="str"/>
      <x:c r="O53" s="43"/>
      <x:c r="P53" s="43"/>
      <x:c r="Q53" s="43"/>
      <x:c r="R53" s="43"/>
      <x:c r="S53" s="43"/>
      <x:c r="T53" s="43"/>
      <x:c r="U53" s="43"/>
      <x:c r="V53" s="43"/>
      <x:c r="W53" s="43"/>
      <x:c r="X53" s="43"/>
      <x:c r="Y53" s="43"/>
      <x:c r="Z53" s="43"/>
      <x:c r="AA53" s="43"/>
      <x:c r="AB53" s="43"/>
      <x:c r="AC53" s="43"/>
      <x:c r="AD53" s="43"/>
      <x:c r="AE53" s="43"/>
      <x:c r="AF53" s="43"/>
      <x:c r="AG53" s="43"/>
      <x:c r="AH53" s="43"/>
      <x:c r="AI53" s="43"/>
      <x:c r="AJ53" s="43"/>
      <x:c r="AK53" s="43"/>
      <x:c r="AL53" s="43"/>
      <x:c r="AM53" s="43"/>
      <x:c r="AN53" s="43"/>
      <x:c r="AO53" s="43"/>
      <x:c r="AP53" s="43"/>
    </x:row>
    <x:row r="54" ht="15" hidden="0" customHeight="1">
      <x:c r="A54" s="36" t="str">
        <x:v>BU Led Waste Matrix!row 57</x:v>
      </x:c>
      <x:c r="B54" s="37" t="str">
        <x:v>Procurement</x:v>
      </x:c>
      <x:c r="C54" s="36" t="str">
        <x:v>Integrated Supply Chain (ISC)</x:v>
      </x:c>
      <x:c r="D54" s="36" t="n">
        <x:v>1</x:v>
      </x:c>
      <x:c r="E54" s="36" t="str">
        <x:v>HEALTHY</x:v>
      </x:c>
      <x:c r="F54" s="36" t="str"/>
      <x:c r="G54" s="36" t="str"/>
      <x:c r="H54" s="36" t="str"/>
      <x:c r="I54" s="36" t="str"/>
      <x:c r="J54" s="36" t="str"/>
      <x:c r="K54" s="36"/>
      <x:c r="L54" s="36" t="str"/>
      <x:c r="M54" s="36" t="str">
        <x:v>HEALTHY — Rank in priority matrix</x:v>
      </x:c>
      <x:c r="N54" s="36" t="str"/>
      <x:c r="O54" s="43"/>
      <x:c r="P54" s="43"/>
      <x:c r="Q54" s="43"/>
      <x:c r="R54" s="43"/>
      <x:c r="S54" s="43"/>
      <x:c r="T54" s="43"/>
      <x:c r="U54" s="43"/>
      <x:c r="V54" s="43"/>
      <x:c r="W54" s="43"/>
      <x:c r="X54" s="43"/>
      <x:c r="Y54" s="43"/>
      <x:c r="Z54" s="43"/>
      <x:c r="AA54" s="43"/>
      <x:c r="AB54" s="43"/>
      <x:c r="AC54" s="43"/>
      <x:c r="AD54" s="43"/>
      <x:c r="AE54" s="43"/>
      <x:c r="AF54" s="43"/>
      <x:c r="AG54" s="43"/>
      <x:c r="AH54" s="43"/>
      <x:c r="AI54" s="43"/>
      <x:c r="AJ54" s="43"/>
      <x:c r="AK54" s="43"/>
      <x:c r="AL54" s="43"/>
      <x:c r="AM54" s="43"/>
      <x:c r="AN54" s="43"/>
      <x:c r="AO54" s="43"/>
      <x:c r="AP54" s="43"/>
    </x:row>
    <x:row r="55" ht="15" hidden="0" customHeight="1">
      <x:c r="A55" s="36" t="str">
        <x:v>BU Led Waste Matrix!row 58</x:v>
      </x:c>
      <x:c r="B55" s="37" t="str">
        <x:v>D2B HS eCommerce 2025_26</x:v>
      </x:c>
      <x:c r="C55" s="36" t="str">
        <x:v>CoE Marketing – HS (former DMEC)​</x:v>
      </x:c>
      <x:c r="D55" s="36"/>
      <x:c r="E55" s="36" t="str"/>
      <x:c r="F55" s="36" t="str"/>
      <x:c r="G55" s="36" t="str"/>
      <x:c r="H55" s="36" t="str"/>
      <x:c r="I55" s="36" t="str"/>
      <x:c r="J55" s="36" t="str"/>
      <x:c r="K55" s="36"/>
      <x:c r="L55" s="36" t="str"/>
      <x:c r="M55" s="36" t="str"/>
      <x:c r="N55" s="36" t="str"/>
      <x:c r="O55" s="43"/>
      <x:c r="P55" s="43"/>
      <x:c r="Q55" s="43"/>
      <x:c r="R55" s="43"/>
      <x:c r="S55" s="43"/>
      <x:c r="T55" s="43"/>
      <x:c r="U55" s="43"/>
      <x:c r="V55" s="43"/>
      <x:c r="W55" s="43"/>
      <x:c r="X55" s="43"/>
      <x:c r="Y55" s="43"/>
      <x:c r="Z55" s="43"/>
      <x:c r="AA55" s="43"/>
      <x:c r="AB55" s="43"/>
      <x:c r="AC55" s="43"/>
      <x:c r="AD55" s="43"/>
      <x:c r="AE55" s="43"/>
      <x:c r="AF55" s="43"/>
      <x:c r="AG55" s="43"/>
      <x:c r="AH55" s="43"/>
      <x:c r="AI55" s="43"/>
      <x:c r="AJ55" s="43"/>
      <x:c r="AK55" s="43"/>
      <x:c r="AL55" s="43"/>
      <x:c r="AM55" s="43"/>
      <x:c r="AN55" s="43"/>
      <x:c r="AO55" s="43"/>
      <x:c r="AP55" s="43"/>
    </x:row>
    <x:row r="56" ht="15" hidden="0" customHeight="1">
      <x:c r="A56" s="36" t="str">
        <x:v>BU Led Waste Matrix!row 59</x:v>
      </x:c>
      <x:c r="B56" s="37" t="str">
        <x:v>Symphony Eye</x:v>
      </x:c>
      <x:c r="C56" s="36" t="str">
        <x:v>Image Guided Therapy - Systems (IGT-S)</x:v>
      </x:c>
      <x:c r="D56" s="36" t="n">
        <x:v>1</x:v>
      </x:c>
      <x:c r="E56" s="36" t="str">
        <x:v>HEALTHY</x:v>
      </x:c>
      <x:c r="F56" s="36" t="str"/>
      <x:c r="G56" s="36" t="str"/>
      <x:c r="H56" s="36" t="str"/>
      <x:c r="I56" s="36" t="str"/>
      <x:c r="J56" s="36" t="str"/>
      <x:c r="K56" s="36"/>
      <x:c r="L56" s="36" t="str"/>
      <x:c r="M56" s="36" t="str">
        <x:v>HEALTHY — Rank in priority matrix</x:v>
      </x:c>
      <x:c r="N56" s="36" t="str"/>
      <x:c r="O56" s="43"/>
      <x:c r="P56" s="43"/>
      <x:c r="Q56" s="43"/>
      <x:c r="R56" s="43"/>
      <x:c r="S56" s="43"/>
      <x:c r="T56" s="43"/>
      <x:c r="U56" s="43"/>
      <x:c r="V56" s="43"/>
      <x:c r="W56" s="43"/>
      <x:c r="X56" s="43"/>
      <x:c r="Y56" s="43"/>
      <x:c r="Z56" s="43"/>
      <x:c r="AA56" s="43"/>
      <x:c r="AB56" s="43"/>
      <x:c r="AC56" s="43"/>
      <x:c r="AD56" s="43"/>
      <x:c r="AE56" s="43"/>
      <x:c r="AF56" s="43"/>
      <x:c r="AG56" s="43"/>
      <x:c r="AH56" s="43"/>
      <x:c r="AI56" s="43"/>
      <x:c r="AJ56" s="43"/>
      <x:c r="AK56" s="43"/>
      <x:c r="AL56" s="43"/>
      <x:c r="AM56" s="43"/>
      <x:c r="AN56" s="43"/>
      <x:c r="AO56" s="43"/>
      <x:c r="AP56" s="43"/>
    </x:row>
    <x:row r="57" ht="15" hidden="0" customHeight="1">
      <x:c r="A57" s="36" t="str">
        <x:v>BU Led Waste Matrix!row 60</x:v>
      </x:c>
      <x:c r="B57" s="37" t="str">
        <x:v>MI&amp;A Workbench program</x:v>
      </x:c>
      <x:c r="C57" s="36" t="str">
        <x:v>CoE Marketing – HS (former DMEC)​</x:v>
      </x:c>
      <x:c r="D57" s="36"/>
      <x:c r="E57" s="36" t="str"/>
      <x:c r="F57" s="36" t="str"/>
      <x:c r="G57" s="36" t="str"/>
      <x:c r="H57" s="36" t="str"/>
      <x:c r="I57" s="36" t="str"/>
      <x:c r="J57" s="36" t="str"/>
      <x:c r="K57" s="36"/>
      <x:c r="L57" s="36" t="str"/>
      <x:c r="M57" s="36" t="str"/>
      <x:c r="N57" s="36" t="str"/>
      <x:c r="O57" s="43"/>
      <x:c r="P57" s="43"/>
      <x:c r="Q57" s="43"/>
      <x:c r="R57" s="43"/>
      <x:c r="S57" s="43"/>
      <x:c r="T57" s="43"/>
      <x:c r="U57" s="43"/>
      <x:c r="V57" s="43"/>
      <x:c r="W57" s="43"/>
      <x:c r="X57" s="43"/>
      <x:c r="Y57" s="43"/>
      <x:c r="Z57" s="43"/>
      <x:c r="AA57" s="43"/>
      <x:c r="AB57" s="43"/>
      <x:c r="AC57" s="43"/>
      <x:c r="AD57" s="43"/>
      <x:c r="AE57" s="43"/>
      <x:c r="AF57" s="43"/>
      <x:c r="AG57" s="43"/>
      <x:c r="AH57" s="43"/>
      <x:c r="AI57" s="43"/>
      <x:c r="AJ57" s="43"/>
      <x:c r="AK57" s="43"/>
      <x:c r="AL57" s="43"/>
      <x:c r="AM57" s="43"/>
      <x:c r="AN57" s="43"/>
      <x:c r="AO57" s="43"/>
      <x:c r="AP57" s="43"/>
    </x:row>
    <x:row r="58" ht="15" hidden="0" customHeight="1">
      <x:c r="A58" s="36" t="str">
        <x:v>BU Led Waste Matrix!row 61</x:v>
      </x:c>
      <x:c r="B58" s="37" t="str">
        <x:v>Event CoE_Data Quality, Visibility &amp; Simplification Program</x:v>
      </x:c>
      <x:c r="C58" s="36" t="str">
        <x:v>CoE Marketing – HS (former DMEC)​</x:v>
      </x:c>
      <x:c r="D58" s="36"/>
      <x:c r="E58" s="36" t="str"/>
      <x:c r="F58" s="36" t="str"/>
      <x:c r="G58" s="36" t="str"/>
      <x:c r="H58" s="36" t="str"/>
      <x:c r="I58" s="36" t="str"/>
      <x:c r="J58" s="36" t="str"/>
      <x:c r="K58" s="36"/>
      <x:c r="L58" s="36" t="str"/>
      <x:c r="M58" s="36" t="str"/>
      <x:c r="N58" s="36" t="str"/>
      <x:c r="O58" s="43"/>
      <x:c r="P58" s="43"/>
      <x:c r="Q58" s="43"/>
      <x:c r="R58" s="43"/>
      <x:c r="S58" s="43"/>
      <x:c r="T58" s="43"/>
      <x:c r="U58" s="43"/>
      <x:c r="V58" s="43"/>
      <x:c r="W58" s="43"/>
      <x:c r="X58" s="43"/>
      <x:c r="Y58" s="43"/>
      <x:c r="Z58" s="43"/>
      <x:c r="AA58" s="43"/>
      <x:c r="AB58" s="43"/>
      <x:c r="AC58" s="43"/>
      <x:c r="AD58" s="43"/>
      <x:c r="AE58" s="43"/>
      <x:c r="AF58" s="43"/>
      <x:c r="AG58" s="43"/>
      <x:c r="AH58" s="43"/>
      <x:c r="AI58" s="43"/>
      <x:c r="AJ58" s="43"/>
      <x:c r="AK58" s="43"/>
      <x:c r="AL58" s="43"/>
      <x:c r="AM58" s="43"/>
      <x:c r="AN58" s="43"/>
      <x:c r="AO58" s="43"/>
      <x:c r="AP58" s="43"/>
    </x:row>
    <x:row r="59" ht="15" hidden="0" customHeight="1">
      <x:c r="A59" s="36" t="str">
        <x:v>BU Led Waste Matrix!row 62</x:v>
      </x:c>
      <x:c r="B59" s="37" t="str">
        <x:v>Symphony - Azurion NextGen</x:v>
      </x:c>
      <x:c r="C59" s="36" t="str">
        <x:v>Image Guided Therapy - Systems (IGT-S)</x:v>
      </x:c>
      <x:c r="D59" s="36" t="n">
        <x:v>1</x:v>
      </x:c>
      <x:c r="E59" s="36" t="str">
        <x:v>HEALTHY</x:v>
      </x:c>
      <x:c r="F59" s="36" t="str"/>
      <x:c r="G59" s="36" t="str"/>
      <x:c r="H59" s="36" t="str"/>
      <x:c r="I59" s="36" t="str"/>
      <x:c r="J59" s="36" t="str"/>
      <x:c r="K59" s="36"/>
      <x:c r="L59" s="36" t="str"/>
      <x:c r="M59" s="36" t="str">
        <x:v>HEALTHY — Rank in priority matrix</x:v>
      </x:c>
      <x:c r="N59" s="36" t="str"/>
      <x:c r="O59" s="43"/>
      <x:c r="P59" s="43"/>
      <x:c r="Q59" s="43"/>
      <x:c r="R59" s="43"/>
      <x:c r="S59" s="43"/>
      <x:c r="T59" s="43"/>
      <x:c r="U59" s="43"/>
      <x:c r="V59" s="43"/>
      <x:c r="W59" s="43"/>
      <x:c r="X59" s="43"/>
      <x:c r="Y59" s="43"/>
      <x:c r="Z59" s="43"/>
      <x:c r="AA59" s="43"/>
      <x:c r="AB59" s="43"/>
      <x:c r="AC59" s="43"/>
      <x:c r="AD59" s="43"/>
      <x:c r="AE59" s="43"/>
      <x:c r="AF59" s="43"/>
      <x:c r="AG59" s="43"/>
      <x:c r="AH59" s="43"/>
      <x:c r="AI59" s="43"/>
      <x:c r="AJ59" s="43"/>
      <x:c r="AK59" s="43"/>
      <x:c r="AL59" s="43"/>
      <x:c r="AM59" s="43"/>
      <x:c r="AN59" s="43"/>
      <x:c r="AO59" s="43"/>
      <x:c r="AP59" s="43"/>
    </x:row>
    <x:row r="60" ht="15" hidden="0" customHeight="1">
      <x:c r="A60" s="36" t="str">
        <x:v>BU Led Waste Matrix!row 63</x:v>
      </x:c>
      <x:c r="B60" s="37" t="str">
        <x:v>Entrepreneur Split</x:v>
      </x:c>
      <x:c r="C60" s="36" t="str">
        <x:v>Image Guided Therapy - Systems (IGT-S)</x:v>
      </x:c>
      <x:c r="D60" s="36" t="n">
        <x:v>1</x:v>
      </x:c>
      <x:c r="E60" s="36" t="str">
        <x:v>HEALTHY</x:v>
      </x:c>
      <x:c r="F60" s="36" t="str">
        <x:v>YES</x:v>
      </x:c>
      <x:c r="G60" s="36" t="str">
        <x:v>5 — Exactly the minimum — only what's needed to meet the rule, nothing more.</x:v>
      </x:c>
      <x:c r="H60" s="36" t="str">
        <x:v>4 — Large fine, temporary loss of a licence or certification, or a real hit to customers or the market.</x:v>
      </x:c>
      <x:c r="I60" s="36" t="str">
        <x:v>5 — Almost certain — active enforcement, an open finding, or automatic detection of a hard reporting obligation.</x:v>
      </x:c>
      <x:c r="J60" s="36" t="str">
        <x:v>3 — Between six months and a year away.</x:v>
      </x:c>
      <x:c r="K60" s="36" t="n">
        <x:v>20</x:v>
      </x:c>
      <x:c r="L60" s="36" t="str">
        <x:v>P1 — Immediate</x:v>
      </x:c>
      <x:c r="M60" s="36" t="str">
        <x:v>HEALTHY / MUST-DO — P1 — Immediate</x:v>
      </x:c>
      <x:c r="N60" s="36" t="str"/>
      <x:c r="O60" s="43"/>
      <x:c r="P60" s="43"/>
      <x:c r="Q60" s="43"/>
      <x:c r="R60" s="43"/>
      <x:c r="S60" s="43"/>
      <x:c r="T60" s="43"/>
      <x:c r="U60" s="43"/>
      <x:c r="V60" s="43"/>
      <x:c r="W60" s="43"/>
      <x:c r="X60" s="43"/>
      <x:c r="Y60" s="43"/>
      <x:c r="Z60" s="43"/>
      <x:c r="AA60" s="43"/>
      <x:c r="AB60" s="43"/>
      <x:c r="AC60" s="43"/>
      <x:c r="AD60" s="43"/>
      <x:c r="AE60" s="43"/>
      <x:c r="AF60" s="43"/>
      <x:c r="AG60" s="43"/>
      <x:c r="AH60" s="43"/>
      <x:c r="AI60" s="43"/>
      <x:c r="AJ60" s="43"/>
      <x:c r="AK60" s="43"/>
      <x:c r="AL60" s="43"/>
      <x:c r="AM60" s="43"/>
      <x:c r="AN60" s="43"/>
      <x:c r="AO60" s="43"/>
      <x:c r="AP60" s="43"/>
    </x:row>
    <x:row r="61" ht="15" hidden="0" customHeight="1">
      <x:c r="A61" s="36" t="str">
        <x:v>BU Led Waste Matrix!row 64</x:v>
      </x:c>
      <x:c r="B61" s="37" t="str">
        <x:v>CRM KOL Management tool</x:v>
      </x:c>
      <x:c r="C61" s="36" t="str">
        <x:v>Image Guided Therapy - Systems (IGT-S)</x:v>
      </x:c>
      <x:c r="D61" s="36" t="n">
        <x:v>1.35</x:v>
      </x:c>
      <x:c r="E61" s="36" t="str">
        <x:v>HEALTHY</x:v>
      </x:c>
      <x:c r="F61" s="36" t="str"/>
      <x:c r="G61" s="36" t="str"/>
      <x:c r="H61" s="36" t="str"/>
      <x:c r="I61" s="36" t="str"/>
      <x:c r="J61" s="36" t="str"/>
      <x:c r="K61" s="36"/>
      <x:c r="L61" s="36" t="str"/>
      <x:c r="M61" s="36" t="str">
        <x:v>HEALTHY — Rank in priority matrix</x:v>
      </x:c>
      <x:c r="N61" s="36" t="str"/>
      <x:c r="O61" s="43"/>
      <x:c r="P61" s="43"/>
      <x:c r="Q61" s="43"/>
      <x:c r="R61" s="43"/>
      <x:c r="S61" s="43"/>
      <x:c r="T61" s="43"/>
      <x:c r="U61" s="43"/>
      <x:c r="V61" s="43"/>
      <x:c r="W61" s="43"/>
      <x:c r="X61" s="43"/>
      <x:c r="Y61" s="43"/>
      <x:c r="Z61" s="43"/>
      <x:c r="AA61" s="43"/>
      <x:c r="AB61" s="43"/>
      <x:c r="AC61" s="43"/>
      <x:c r="AD61" s="43"/>
      <x:c r="AE61" s="43"/>
      <x:c r="AF61" s="43"/>
      <x:c r="AG61" s="43"/>
      <x:c r="AH61" s="43"/>
      <x:c r="AI61" s="43"/>
      <x:c r="AJ61" s="43"/>
      <x:c r="AK61" s="43"/>
      <x:c r="AL61" s="43"/>
      <x:c r="AM61" s="43"/>
      <x:c r="AN61" s="43"/>
      <x:c r="AO61" s="43"/>
      <x:c r="AP61" s="43"/>
    </x:row>
    <x:row r="62" ht="15" hidden="0" customHeight="1">
      <x:c r="A62" s="36" t="str">
        <x:v>BU Led Waste Matrix!row 65</x:v>
      </x:c>
      <x:c r="B62" s="37" t="str">
        <x:v>Commercial Intelligence</x:v>
      </x:c>
      <x:c r="C62" s="36" t="str">
        <x:v>Image Guided Therapy - Systems (IGT-S)</x:v>
      </x:c>
      <x:c r="D62" s="36" t="n">
        <x:v>1.2</x:v>
      </x:c>
      <x:c r="E62" s="36" t="str">
        <x:v>HEALTHY</x:v>
      </x:c>
      <x:c r="F62" s="36" t="str"/>
      <x:c r="G62" s="36" t="str"/>
      <x:c r="H62" s="36" t="str"/>
      <x:c r="I62" s="36" t="str"/>
      <x:c r="J62" s="36" t="str"/>
      <x:c r="K62" s="36"/>
      <x:c r="L62" s="36" t="str"/>
      <x:c r="M62" s="36" t="str">
        <x:v>HEALTHY — Rank in priority matrix</x:v>
      </x:c>
      <x:c r="N62" s="36" t="str"/>
      <x:c r="O62" s="43"/>
      <x:c r="P62" s="43"/>
      <x:c r="Q62" s="43"/>
      <x:c r="R62" s="43"/>
      <x:c r="S62" s="43"/>
      <x:c r="T62" s="43"/>
      <x:c r="U62" s="43"/>
      <x:c r="V62" s="43"/>
      <x:c r="W62" s="43"/>
      <x:c r="X62" s="43"/>
      <x:c r="Y62" s="43"/>
      <x:c r="Z62" s="43"/>
      <x:c r="AA62" s="43"/>
      <x:c r="AB62" s="43"/>
      <x:c r="AC62" s="43"/>
      <x:c r="AD62" s="43"/>
      <x:c r="AE62" s="43"/>
      <x:c r="AF62" s="43"/>
      <x:c r="AG62" s="43"/>
      <x:c r="AH62" s="43"/>
      <x:c r="AI62" s="43"/>
      <x:c r="AJ62" s="43"/>
      <x:c r="AK62" s="43"/>
      <x:c r="AL62" s="43"/>
      <x:c r="AM62" s="43"/>
      <x:c r="AN62" s="43"/>
      <x:c r="AO62" s="43"/>
      <x:c r="AP62" s="43"/>
    </x:row>
    <x:row r="63" ht="15" hidden="0" customHeight="1">
      <x:c r="A63" s="36" t="str">
        <x:v>BU Led Waste Matrix!row 66</x:v>
      </x:c>
      <x:c r="B63" s="37" t="str">
        <x:v>IR27#18 - Performance Split Automation Step 2</x:v>
      </x:c>
      <x:c r="C63" s="36" t="str">
        <x:v>International Regions (IR)</x:v>
      </x:c>
      <x:c r="D63" s="36" t="n">
        <x:v>1.05</x:v>
      </x:c>
      <x:c r="E63" s="36" t="str">
        <x:v>HEALTHY</x:v>
      </x:c>
      <x:c r="F63" s="36" t="str"/>
      <x:c r="G63" s="36" t="str"/>
      <x:c r="H63" s="36" t="str"/>
      <x:c r="I63" s="36" t="str"/>
      <x:c r="J63" s="36" t="str"/>
      <x:c r="K63" s="36"/>
      <x:c r="L63" s="36" t="str"/>
      <x:c r="M63" s="36" t="str">
        <x:v>HEALTHY — Rank in priority matrix</x:v>
      </x:c>
      <x:c r="N63" s="36" t="str"/>
      <x:c r="O63" s="43"/>
      <x:c r="P63" s="43"/>
      <x:c r="Q63" s="43"/>
      <x:c r="R63" s="43"/>
      <x:c r="S63" s="43"/>
      <x:c r="T63" s="43"/>
      <x:c r="U63" s="43"/>
      <x:c r="V63" s="43"/>
      <x:c r="W63" s="43"/>
      <x:c r="X63" s="43"/>
      <x:c r="Y63" s="43"/>
      <x:c r="Z63" s="43"/>
      <x:c r="AA63" s="43"/>
      <x:c r="AB63" s="43"/>
      <x:c r="AC63" s="43"/>
      <x:c r="AD63" s="43"/>
      <x:c r="AE63" s="43"/>
      <x:c r="AF63" s="43"/>
      <x:c r="AG63" s="43"/>
      <x:c r="AH63" s="43"/>
      <x:c r="AI63" s="43"/>
      <x:c r="AJ63" s="43"/>
      <x:c r="AK63" s="43"/>
      <x:c r="AL63" s="43"/>
      <x:c r="AM63" s="43"/>
      <x:c r="AN63" s="43"/>
      <x:c r="AO63" s="43"/>
      <x:c r="AP63" s="43"/>
    </x:row>
    <x:row r="64" ht="15" hidden="0" customHeight="1">
      <x:c r="A64" s="36" t="str">
        <x:v>BU Led Waste Matrix!row 67</x:v>
      </x:c>
      <x:c r="B64" s="37" t="str">
        <x:v>IR27#21 - AI in Commercial Excellence</x:v>
      </x:c>
      <x:c r="C64" s="36" t="str">
        <x:v>International Regions (IR)</x:v>
      </x:c>
      <x:c r="D64" s="36"/>
      <x:c r="E64" s="36" t="str"/>
      <x:c r="F64" s="36" t="str"/>
      <x:c r="G64" s="36" t="str"/>
      <x:c r="H64" s="36" t="str"/>
      <x:c r="I64" s="36" t="str"/>
      <x:c r="J64" s="36" t="str"/>
      <x:c r="K64" s="36"/>
      <x:c r="L64" s="36" t="str"/>
      <x:c r="M64" s="36" t="str"/>
      <x:c r="N64" s="36" t="str"/>
      <x:c r="O64" s="43"/>
      <x:c r="P64" s="43"/>
      <x:c r="Q64" s="43"/>
      <x:c r="R64" s="43"/>
      <x:c r="S64" s="43"/>
      <x:c r="T64" s="43"/>
      <x:c r="U64" s="43"/>
      <x:c r="V64" s="43"/>
      <x:c r="W64" s="43"/>
      <x:c r="X64" s="43"/>
      <x:c r="Y64" s="43"/>
      <x:c r="Z64" s="43"/>
      <x:c r="AA64" s="43"/>
      <x:c r="AB64" s="43"/>
      <x:c r="AC64" s="43"/>
      <x:c r="AD64" s="43"/>
      <x:c r="AE64" s="43"/>
      <x:c r="AF64" s="43"/>
      <x:c r="AG64" s="43"/>
      <x:c r="AH64" s="43"/>
      <x:c r="AI64" s="43"/>
      <x:c r="AJ64" s="43"/>
      <x:c r="AK64" s="43"/>
      <x:c r="AL64" s="43"/>
      <x:c r="AM64" s="43"/>
      <x:c r="AN64" s="43"/>
      <x:c r="AO64" s="43"/>
      <x:c r="AP64" s="43"/>
    </x:row>
    <x:row r="65" ht="15" hidden="0" customHeight="1">
      <x:c r="A65" s="36" t="str">
        <x:v>BU Led Waste Matrix!row 68</x:v>
      </x:c>
      <x:c r="B65" s="37" t="str">
        <x:v>IR27#22 - Sales Incentives Auto-Credit</x:v>
      </x:c>
      <x:c r="C65" s="36" t="str">
        <x:v>International Regions (IR)</x:v>
      </x:c>
      <x:c r="D65" s="36"/>
      <x:c r="E65" s="36" t="str"/>
      <x:c r="F65" s="36" t="str"/>
      <x:c r="G65" s="36" t="str"/>
      <x:c r="H65" s="36" t="str"/>
      <x:c r="I65" s="36" t="str"/>
      <x:c r="J65" s="36" t="str"/>
      <x:c r="K65" s="36"/>
      <x:c r="L65" s="36" t="str"/>
      <x:c r="M65" s="36" t="str"/>
      <x:c r="N65" s="36" t="str"/>
      <x:c r="O65" s="43"/>
      <x:c r="P65" s="43"/>
      <x:c r="Q65" s="43"/>
      <x:c r="R65" s="43"/>
      <x:c r="S65" s="43"/>
      <x:c r="T65" s="43"/>
      <x:c r="U65" s="43"/>
      <x:c r="V65" s="43"/>
      <x:c r="W65" s="43"/>
      <x:c r="X65" s="43"/>
      <x:c r="Y65" s="43"/>
      <x:c r="Z65" s="43"/>
      <x:c r="AA65" s="43"/>
      <x:c r="AB65" s="43"/>
      <x:c r="AC65" s="43"/>
      <x:c r="AD65" s="43"/>
      <x:c r="AE65" s="43"/>
      <x:c r="AF65" s="43"/>
      <x:c r="AG65" s="43"/>
      <x:c r="AH65" s="43"/>
      <x:c r="AI65" s="43"/>
      <x:c r="AJ65" s="43"/>
      <x:c r="AK65" s="43"/>
      <x:c r="AL65" s="43"/>
      <x:c r="AM65" s="43"/>
      <x:c r="AN65" s="43"/>
      <x:c r="AO65" s="43"/>
      <x:c r="AP65" s="43"/>
    </x:row>
    <x:row r="66" ht="15" hidden="0" customHeight="1">
      <x:c r="A66" s="36" t="str">
        <x:v>BU Led Waste Matrix!row 69</x:v>
      </x:c>
      <x:c r="B66" s="37" t="str">
        <x:v>IR27#23 - Sales Deals compliance</x:v>
      </x:c>
      <x:c r="C66" s="36" t="str">
        <x:v>International Regions (IR)</x:v>
      </x:c>
      <x:c r="D66" s="36"/>
      <x:c r="E66" s="36" t="str"/>
      <x:c r="F66" s="36" t="str"/>
      <x:c r="G66" s="36" t="str"/>
      <x:c r="H66" s="36" t="str"/>
      <x:c r="I66" s="36" t="str"/>
      <x:c r="J66" s="36" t="str"/>
      <x:c r="K66" s="36"/>
      <x:c r="L66" s="36" t="str"/>
      <x:c r="M66" s="36" t="str"/>
      <x:c r="N66" s="36" t="str"/>
      <x:c r="O66" s="43"/>
      <x:c r="P66" s="43"/>
      <x:c r="Q66" s="43"/>
      <x:c r="R66" s="43"/>
      <x:c r="S66" s="43"/>
      <x:c r="T66" s="43"/>
      <x:c r="U66" s="43"/>
      <x:c r="V66" s="43"/>
      <x:c r="W66" s="43"/>
      <x:c r="X66" s="43"/>
      <x:c r="Y66" s="43"/>
      <x:c r="Z66" s="43"/>
      <x:c r="AA66" s="43"/>
      <x:c r="AB66" s="43"/>
      <x:c r="AC66" s="43"/>
      <x:c r="AD66" s="43"/>
      <x:c r="AE66" s="43"/>
      <x:c r="AF66" s="43"/>
      <x:c r="AG66" s="43"/>
      <x:c r="AH66" s="43"/>
      <x:c r="AI66" s="43"/>
      <x:c r="AJ66" s="43"/>
      <x:c r="AK66" s="43"/>
      <x:c r="AL66" s="43"/>
      <x:c r="AM66" s="43"/>
      <x:c r="AN66" s="43"/>
      <x:c r="AO66" s="43"/>
      <x:c r="AP66" s="43"/>
    </x:row>
    <x:row r="67" ht="15" hidden="0" customHeight="1">
      <x:c r="A67" s="36" t="str">
        <x:v>BU Led Waste Matrix!row 70</x:v>
      </x:c>
      <x:c r="B67" s="37" t="str">
        <x:v>IR27#31 - Partner Central: Democratize Action to Allow Scale </x:v>
      </x:c>
      <x:c r="C67" s="36" t="str">
        <x:v>International Regions (IR)</x:v>
      </x:c>
      <x:c r="D67" s="36"/>
      <x:c r="E67" s="36" t="str"/>
      <x:c r="F67" s="36" t="str"/>
      <x:c r="G67" s="36" t="str"/>
      <x:c r="H67" s="36" t="str"/>
      <x:c r="I67" s="36" t="str"/>
      <x:c r="J67" s="36" t="str"/>
      <x:c r="K67" s="36"/>
      <x:c r="L67" s="36" t="str"/>
      <x:c r="M67" s="36" t="str"/>
      <x:c r="N67" s="36" t="str"/>
      <x:c r="O67" s="43"/>
      <x:c r="P67" s="43"/>
      <x:c r="Q67" s="43"/>
      <x:c r="R67" s="43"/>
      <x:c r="S67" s="43"/>
      <x:c r="T67" s="43"/>
      <x:c r="U67" s="43"/>
      <x:c r="V67" s="43"/>
      <x:c r="W67" s="43"/>
      <x:c r="X67" s="43"/>
      <x:c r="Y67" s="43"/>
      <x:c r="Z67" s="43"/>
      <x:c r="AA67" s="43"/>
      <x:c r="AB67" s="43"/>
      <x:c r="AC67" s="43"/>
      <x:c r="AD67" s="43"/>
      <x:c r="AE67" s="43"/>
      <x:c r="AF67" s="43"/>
      <x:c r="AG67" s="43"/>
      <x:c r="AH67" s="43"/>
      <x:c r="AI67" s="43"/>
      <x:c r="AJ67" s="43"/>
      <x:c r="AK67" s="43"/>
      <x:c r="AL67" s="43"/>
      <x:c r="AM67" s="43"/>
      <x:c r="AN67" s="43"/>
      <x:c r="AO67" s="43"/>
      <x:c r="AP67" s="43"/>
    </x:row>
    <x:row r="68" ht="15" hidden="0" customHeight="1">
      <x:c r="A68" s="36" t="str">
        <x:v>BU Led Waste Matrix!row 71</x:v>
      </x:c>
      <x:c r="B68" s="37" t="str">
        <x:v>IR27#32 - Partner Journeys to Drive Value Extraction</x:v>
      </x:c>
      <x:c r="C68" s="36" t="str">
        <x:v>International Regions (IR)</x:v>
      </x:c>
      <x:c r="D68" s="36"/>
      <x:c r="E68" s="36" t="str"/>
      <x:c r="F68" s="36" t="str"/>
      <x:c r="G68" s="36" t="str"/>
      <x:c r="H68" s="36" t="str"/>
      <x:c r="I68" s="36" t="str"/>
      <x:c r="J68" s="36" t="str"/>
      <x:c r="K68" s="36"/>
      <x:c r="L68" s="36" t="str"/>
      <x:c r="M68" s="36" t="str"/>
      <x:c r="N68" s="36" t="str"/>
      <x:c r="O68" s="43"/>
      <x:c r="P68" s="43"/>
      <x:c r="Q68" s="43"/>
      <x:c r="R68" s="43"/>
      <x:c r="S68" s="43"/>
      <x:c r="T68" s="43"/>
      <x:c r="U68" s="43"/>
      <x:c r="V68" s="43"/>
      <x:c r="W68" s="43"/>
      <x:c r="X68" s="43"/>
      <x:c r="Y68" s="43"/>
      <x:c r="Z68" s="43"/>
      <x:c r="AA68" s="43"/>
      <x:c r="AB68" s="43"/>
      <x:c r="AC68" s="43"/>
      <x:c r="AD68" s="43"/>
      <x:c r="AE68" s="43"/>
      <x:c r="AF68" s="43"/>
      <x:c r="AG68" s="43"/>
      <x:c r="AH68" s="43"/>
      <x:c r="AI68" s="43"/>
      <x:c r="AJ68" s="43"/>
      <x:c r="AK68" s="43"/>
      <x:c r="AL68" s="43"/>
      <x:c r="AM68" s="43"/>
      <x:c r="AN68" s="43"/>
      <x:c r="AO68" s="43"/>
      <x:c r="AP68" s="43"/>
    </x:row>
    <x:row r="69" ht="15" hidden="0" customHeight="1">
      <x:c r="A69" s="36" t="str">
        <x:v>BU Led Waste Matrix!row 72</x:v>
      </x:c>
      <x:c r="B69" s="37" t="str">
        <x:v>IR27#33 - Partner Data towards Commercial Action</x:v>
      </x:c>
      <x:c r="C69" s="36" t="str">
        <x:v>International Regions (IR)</x:v>
      </x:c>
      <x:c r="D69" s="36"/>
      <x:c r="E69" s="36" t="str"/>
      <x:c r="F69" s="36" t="str"/>
      <x:c r="G69" s="36" t="str"/>
      <x:c r="H69" s="36" t="str"/>
      <x:c r="I69" s="36" t="str"/>
      <x:c r="J69" s="36" t="str"/>
      <x:c r="K69" s="36"/>
      <x:c r="L69" s="36" t="str"/>
      <x:c r="M69" s="36" t="str"/>
      <x:c r="N69" s="36" t="str"/>
      <x:c r="O69" s="43"/>
      <x:c r="P69" s="43"/>
      <x:c r="Q69" s="43"/>
      <x:c r="R69" s="43"/>
      <x:c r="S69" s="43"/>
      <x:c r="T69" s="43"/>
      <x:c r="U69" s="43"/>
      <x:c r="V69" s="43"/>
      <x:c r="W69" s="43"/>
      <x:c r="X69" s="43"/>
      <x:c r="Y69" s="43"/>
      <x:c r="Z69" s="43"/>
      <x:c r="AA69" s="43"/>
      <x:c r="AB69" s="43"/>
      <x:c r="AC69" s="43"/>
      <x:c r="AD69" s="43"/>
      <x:c r="AE69" s="43"/>
      <x:c r="AF69" s="43"/>
      <x:c r="AG69" s="43"/>
      <x:c r="AH69" s="43"/>
      <x:c r="AI69" s="43"/>
      <x:c r="AJ69" s="43"/>
      <x:c r="AK69" s="43"/>
      <x:c r="AL69" s="43"/>
      <x:c r="AM69" s="43"/>
      <x:c r="AN69" s="43"/>
      <x:c r="AO69" s="43"/>
      <x:c r="AP69" s="43"/>
    </x:row>
    <x:row r="70" ht="15" hidden="0" customHeight="1">
      <x:c r="A70" s="36" t="str">
        <x:v>BU Led Waste Matrix!row 73</x:v>
      </x:c>
      <x:c r="B70" s="37" t="str">
        <x:v>IR27#34 - Partner Central Consistency While Scaling</x:v>
      </x:c>
      <x:c r="C70" s="36" t="str">
        <x:v>International Regions (IR)</x:v>
      </x:c>
      <x:c r="D70" s="36"/>
      <x:c r="E70" s="36" t="str"/>
      <x:c r="F70" s="36" t="str"/>
      <x:c r="G70" s="36" t="str"/>
      <x:c r="H70" s="36" t="str"/>
      <x:c r="I70" s="36" t="str"/>
      <x:c r="J70" s="36" t="str"/>
      <x:c r="K70" s="36"/>
      <x:c r="L70" s="36" t="str"/>
      <x:c r="M70" s="36" t="str"/>
      <x:c r="N70" s="36" t="str"/>
      <x:c r="O70" s="43"/>
      <x:c r="P70" s="43"/>
      <x:c r="Q70" s="43"/>
      <x:c r="R70" s="43"/>
      <x:c r="S70" s="43"/>
      <x:c r="T70" s="43"/>
      <x:c r="U70" s="43"/>
      <x:c r="V70" s="43"/>
      <x:c r="W70" s="43"/>
      <x:c r="X70" s="43"/>
      <x:c r="Y70" s="43"/>
      <x:c r="Z70" s="43"/>
      <x:c r="AA70" s="43"/>
      <x:c r="AB70" s="43"/>
      <x:c r="AC70" s="43"/>
      <x:c r="AD70" s="43"/>
      <x:c r="AE70" s="43"/>
      <x:c r="AF70" s="43"/>
      <x:c r="AG70" s="43"/>
      <x:c r="AH70" s="43"/>
      <x:c r="AI70" s="43"/>
      <x:c r="AJ70" s="43"/>
      <x:c r="AK70" s="43"/>
      <x:c r="AL70" s="43"/>
      <x:c r="AM70" s="43"/>
      <x:c r="AN70" s="43"/>
      <x:c r="AO70" s="43"/>
      <x:c r="AP70" s="43"/>
    </x:row>
    <x:row r="71" ht="15" hidden="0" customHeight="1">
      <x:c r="A71" s="36" t="str">
        <x:v>BU Led Waste Matrix!row 74</x:v>
      </x:c>
      <x:c r="B71" s="37" t="str">
        <x:v>IR27#35 - Partner: Scale Impact with Agile Publishing</x:v>
      </x:c>
      <x:c r="C71" s="36" t="str">
        <x:v>International Regions (IR)</x:v>
      </x:c>
      <x:c r="D71" s="36"/>
      <x:c r="E71" s="36" t="str"/>
      <x:c r="F71" s="36" t="str"/>
      <x:c r="G71" s="36" t="str"/>
      <x:c r="H71" s="36" t="str"/>
      <x:c r="I71" s="36" t="str"/>
      <x:c r="J71" s="36" t="str"/>
      <x:c r="K71" s="36"/>
      <x:c r="L71" s="36" t="str"/>
      <x:c r="M71" s="36" t="str"/>
      <x:c r="N71" s="36" t="str"/>
      <x:c r="O71" s="43"/>
      <x:c r="P71" s="43"/>
      <x:c r="Q71" s="43"/>
      <x:c r="R71" s="43"/>
      <x:c r="S71" s="43"/>
      <x:c r="T71" s="43"/>
      <x:c r="U71" s="43"/>
      <x:c r="V71" s="43"/>
      <x:c r="W71" s="43"/>
      <x:c r="X71" s="43"/>
      <x:c r="Y71" s="43"/>
      <x:c r="Z71" s="43"/>
      <x:c r="AA71" s="43"/>
      <x:c r="AB71" s="43"/>
      <x:c r="AC71" s="43"/>
      <x:c r="AD71" s="43"/>
      <x:c r="AE71" s="43"/>
      <x:c r="AF71" s="43"/>
      <x:c r="AG71" s="43"/>
      <x:c r="AH71" s="43"/>
      <x:c r="AI71" s="43"/>
      <x:c r="AJ71" s="43"/>
      <x:c r="AK71" s="43"/>
      <x:c r="AL71" s="43"/>
      <x:c r="AM71" s="43"/>
      <x:c r="AN71" s="43"/>
      <x:c r="AO71" s="43"/>
      <x:c r="AP71" s="43"/>
    </x:row>
    <x:row r="72" ht="15" hidden="0" customHeight="1">
      <x:c r="A72" s="36" t="str">
        <x:v>BU Led Waste Matrix!row 75</x:v>
      </x:c>
      <x:c r="B72" s="37" t="str">
        <x:v>IR27#14 - ORU KSA APM 'Kafu' </x:v>
      </x:c>
      <x:c r="C72" s="36" t="str">
        <x:v>International Regions (IR)</x:v>
      </x:c>
      <x:c r="D72" s="36" t="n">
        <x:v>1.2</x:v>
      </x:c>
      <x:c r="E72" s="36" t="str">
        <x:v>HEALTHY</x:v>
      </x:c>
      <x:c r="F72" s="36" t="str"/>
      <x:c r="G72" s="36" t="str"/>
      <x:c r="H72" s="36" t="str"/>
      <x:c r="I72" s="36" t="str"/>
      <x:c r="J72" s="36" t="str"/>
      <x:c r="K72" s="36"/>
      <x:c r="L72" s="36" t="str"/>
      <x:c r="M72" s="36" t="str">
        <x:v>HEALTHY — Rank in priority matrix</x:v>
      </x:c>
      <x:c r="N72" s="36" t="str"/>
      <x:c r="O72" s="43"/>
      <x:c r="P72" s="43"/>
      <x:c r="Q72" s="43"/>
      <x:c r="R72" s="43"/>
      <x:c r="S72" s="43"/>
      <x:c r="T72" s="43"/>
      <x:c r="U72" s="43"/>
      <x:c r="V72" s="43"/>
      <x:c r="W72" s="43"/>
      <x:c r="X72" s="43"/>
      <x:c r="Y72" s="43"/>
      <x:c r="Z72" s="43"/>
      <x:c r="AA72" s="43"/>
      <x:c r="AB72" s="43"/>
      <x:c r="AC72" s="43"/>
      <x:c r="AD72" s="43"/>
      <x:c r="AE72" s="43"/>
      <x:c r="AF72" s="43"/>
      <x:c r="AG72" s="43"/>
      <x:c r="AH72" s="43"/>
      <x:c r="AI72" s="43"/>
      <x:c r="AJ72" s="43"/>
      <x:c r="AK72" s="43"/>
      <x:c r="AL72" s="43"/>
      <x:c r="AM72" s="43"/>
      <x:c r="AN72" s="43"/>
      <x:c r="AO72" s="43"/>
      <x:c r="AP72" s="43"/>
    </x:row>
    <x:row r="73" ht="15" hidden="0" customHeight="1">
      <x:c r="A73" s="36" t="str">
        <x:v>BU Led Waste Matrix!row 76</x:v>
      </x:c>
      <x:c r="B73" s="37" t="str">
        <x:v>Data Analytics &amp; IB Fix2Perform</x:v>
      </x:c>
      <x:c r="C73" s="36" t="str">
        <x:v>Image Guided Therapy - Systems (IGT-S)</x:v>
      </x:c>
      <x:c r="D73" s="36" t="n">
        <x:v>1.4</x:v>
      </x:c>
      <x:c r="E73" s="36" t="str">
        <x:v>HEALTHY</x:v>
      </x:c>
      <x:c r="F73" s="36" t="str">
        <x:v>NO</x:v>
      </x:c>
      <x:c r="G73" s="36" t="str">
        <x:v>3 — Mostly lean — only a few extras beyond the minimum remain.</x:v>
      </x:c>
      <x:c r="H73" s="36" t="str">
        <x:v>3 — Meaningful fine, a reportable finding, or a limited restriction on the business.</x:v>
      </x:c>
      <x:c r="I73" s="36" t="str">
        <x:v>4 — Likely — an audit or inspection is scheduled, or we've had findings on this before.</x:v>
      </x:c>
      <x:c r="J73" s="36" t="str">
        <x:v>2 — Between one and two years away.</x:v>
      </x:c>
      <x:c r="K73" s="36" t="n">
        <x:v>12</x:v>
      </x:c>
      <x:c r="L73" s="36" t="str">
        <x:v>P2 — Scheduled</x:v>
      </x:c>
      <x:c r="M73" s="36" t="str">
        <x:v>HEALTHY — Rank in priority matrix</x:v>
      </x:c>
      <x:c r="N73" s="36" t="str"/>
      <x:c r="O73" s="43"/>
      <x:c r="P73" s="43"/>
      <x:c r="Q73" s="43"/>
      <x:c r="R73" s="43"/>
      <x:c r="S73" s="43"/>
      <x:c r="T73" s="43"/>
      <x:c r="U73" s="43"/>
      <x:c r="V73" s="43"/>
      <x:c r="W73" s="43"/>
      <x:c r="X73" s="43"/>
      <x:c r="Y73" s="43"/>
      <x:c r="Z73" s="43"/>
      <x:c r="AA73" s="43"/>
      <x:c r="AB73" s="43"/>
      <x:c r="AC73" s="43"/>
      <x:c r="AD73" s="43"/>
      <x:c r="AE73" s="43"/>
      <x:c r="AF73" s="43"/>
      <x:c r="AG73" s="43"/>
      <x:c r="AH73" s="43"/>
      <x:c r="AI73" s="43"/>
      <x:c r="AJ73" s="43"/>
      <x:c r="AK73" s="43"/>
      <x:c r="AL73" s="43"/>
      <x:c r="AM73" s="43"/>
      <x:c r="AN73" s="43"/>
      <x:c r="AO73" s="43"/>
      <x:c r="AP73" s="43"/>
    </x:row>
    <x:row r="74" ht="15" hidden="0" customHeight="1">
      <x:c r="A74" s="36" t="str">
        <x:v>BU Led Waste Matrix!row 77</x:v>
      </x:c>
      <x:c r="B74" s="37" t="str">
        <x:v>IGTS AI 2027</x:v>
      </x:c>
      <x:c r="C74" s="36" t="str">
        <x:v>Image Guided Therapy - Systems (IGT-S)</x:v>
      </x:c>
      <x:c r="D74" s="36" t="n">
        <x:v>1.05</x:v>
      </x:c>
      <x:c r="E74" s="36" t="str">
        <x:v>HEALTHY</x:v>
      </x:c>
      <x:c r="F74" s="36" t="str"/>
      <x:c r="G74" s="36" t="str"/>
      <x:c r="H74" s="36" t="str"/>
      <x:c r="I74" s="36" t="str"/>
      <x:c r="J74" s="36" t="str"/>
      <x:c r="K74" s="36"/>
      <x:c r="L74" s="36" t="str"/>
      <x:c r="M74" s="36" t="str">
        <x:v>HEALTHY — Rank in priority matrix</x:v>
      </x:c>
      <x:c r="N74" s="36" t="str"/>
      <x:c r="O74" s="43"/>
      <x:c r="P74" s="43"/>
      <x:c r="Q74" s="43"/>
      <x:c r="R74" s="43"/>
      <x:c r="S74" s="43"/>
      <x:c r="T74" s="43"/>
      <x:c r="U74" s="43"/>
      <x:c r="V74" s="43"/>
      <x:c r="W74" s="43"/>
      <x:c r="X74" s="43"/>
      <x:c r="Y74" s="43"/>
      <x:c r="Z74" s="43"/>
      <x:c r="AA74" s="43"/>
      <x:c r="AB74" s="43"/>
      <x:c r="AC74" s="43"/>
      <x:c r="AD74" s="43"/>
      <x:c r="AE74" s="43"/>
      <x:c r="AF74" s="43"/>
      <x:c r="AG74" s="43"/>
      <x:c r="AH74" s="43"/>
      <x:c r="AI74" s="43"/>
      <x:c r="AJ74" s="43"/>
      <x:c r="AK74" s="43"/>
      <x:c r="AL74" s="43"/>
      <x:c r="AM74" s="43"/>
      <x:c r="AN74" s="43"/>
      <x:c r="AO74" s="43"/>
      <x:c r="AP74" s="43"/>
    </x:row>
    <x:row r="75" ht="15" hidden="0" customHeight="1">
      <x:c r="A75" s="36" t="str">
        <x:v>BU Led Waste Matrix!row 78</x:v>
      </x:c>
      <x:c r="B75" s="37" t="str">
        <x:v>M&amp;A PMI Helios</x:v>
      </x:c>
      <x:c r="C75" s="36" t="str">
        <x:v>Image Guided Therapy - Devices (IGT-D)</x:v>
      </x:c>
      <x:c r="D75" s="36"/>
      <x:c r="E75" s="36" t="str"/>
      <x:c r="F75" s="36" t="str"/>
      <x:c r="G75" s="36" t="str"/>
      <x:c r="H75" s="36" t="str"/>
      <x:c r="I75" s="36" t="str"/>
      <x:c r="J75" s="36" t="str"/>
      <x:c r="K75" s="36"/>
      <x:c r="L75" s="36" t="str"/>
      <x:c r="M75" s="36" t="str"/>
      <x:c r="N75" s="36" t="str"/>
      <x:c r="O75" s="43"/>
      <x:c r="P75" s="43"/>
      <x:c r="Q75" s="43"/>
      <x:c r="R75" s="43"/>
      <x:c r="S75" s="43"/>
      <x:c r="T75" s="43"/>
      <x:c r="U75" s="43"/>
      <x:c r="V75" s="43"/>
      <x:c r="W75" s="43"/>
      <x:c r="X75" s="43"/>
      <x:c r="Y75" s="43"/>
      <x:c r="Z75" s="43"/>
      <x:c r="AA75" s="43"/>
      <x:c r="AB75" s="43"/>
      <x:c r="AC75" s="43"/>
      <x:c r="AD75" s="43"/>
      <x:c r="AE75" s="43"/>
      <x:c r="AF75" s="43"/>
      <x:c r="AG75" s="43"/>
      <x:c r="AH75" s="43"/>
      <x:c r="AI75" s="43"/>
      <x:c r="AJ75" s="43"/>
      <x:c r="AK75" s="43"/>
      <x:c r="AL75" s="43"/>
      <x:c r="AM75" s="43"/>
      <x:c r="AN75" s="43"/>
      <x:c r="AO75" s="43"/>
      <x:c r="AP75" s="43"/>
    </x:row>
    <x:row r="76" ht="15" hidden="0" customHeight="1">
      <x:c r="A76" s="36" t="str">
        <x:v>BU Led Waste Matrix!row 79</x:v>
      </x:c>
      <x:c r="B76" s="37" t="str">
        <x:v>M&amp;A PMI HeartStream</x:v>
      </x:c>
      <x:c r="C76" s="36" t="str">
        <x:v>Monitoring - HPM (MCH)</x:v>
      </x:c>
      <x:c r="D76" s="36"/>
      <x:c r="E76" s="36" t="str"/>
      <x:c r="F76" s="36" t="str"/>
      <x:c r="G76" s="36" t="str"/>
      <x:c r="H76" s="36" t="str"/>
      <x:c r="I76" s="36" t="str"/>
      <x:c r="J76" s="36" t="str"/>
      <x:c r="K76" s="36"/>
      <x:c r="L76" s="36" t="str"/>
      <x:c r="M76" s="36" t="str"/>
      <x:c r="N76" s="36" t="str"/>
      <x:c r="O76" s="43"/>
      <x:c r="P76" s="43"/>
      <x:c r="Q76" s="43"/>
      <x:c r="R76" s="43"/>
      <x:c r="S76" s="43"/>
      <x:c r="T76" s="43"/>
      <x:c r="U76" s="43"/>
      <x:c r="V76" s="43"/>
      <x:c r="W76" s="43"/>
      <x:c r="X76" s="43"/>
      <x:c r="Y76" s="43"/>
      <x:c r="Z76" s="43"/>
      <x:c r="AA76" s="43"/>
      <x:c r="AB76" s="43"/>
      <x:c r="AC76" s="43"/>
      <x:c r="AD76" s="43"/>
      <x:c r="AE76" s="43"/>
      <x:c r="AF76" s="43"/>
      <x:c r="AG76" s="43"/>
      <x:c r="AH76" s="43"/>
      <x:c r="AI76" s="43"/>
      <x:c r="AJ76" s="43"/>
      <x:c r="AK76" s="43"/>
      <x:c r="AL76" s="43"/>
      <x:c r="AM76" s="43"/>
      <x:c r="AN76" s="43"/>
      <x:c r="AO76" s="43"/>
      <x:c r="AP76" s="43"/>
    </x:row>
    <x:row r="77" ht="15" hidden="0" customHeight="1">
      <x:c r="A77" s="36" t="str">
        <x:v>BU Led Waste Matrix!row 80</x:v>
      </x:c>
      <x:c r="B77" s="37" t="str">
        <x:v>M&amp;A PMI Everest Change Request</x:v>
      </x:c>
      <x:c r="C77" s="36" t="str">
        <x:v>Monitoring - HPM (MCH)</x:v>
      </x:c>
      <x:c r="D77" s="36"/>
      <x:c r="E77" s="36" t="str"/>
      <x:c r="F77" s="36" t="str"/>
      <x:c r="G77" s="36" t="str"/>
      <x:c r="H77" s="36" t="str"/>
      <x:c r="I77" s="36" t="str"/>
      <x:c r="J77" s="36" t="str"/>
      <x:c r="K77" s="36"/>
      <x:c r="L77" s="36" t="str"/>
      <x:c r="M77" s="36" t="str"/>
      <x:c r="N77" s="36" t="str"/>
      <x:c r="O77" s="43"/>
      <x:c r="P77" s="43"/>
      <x:c r="Q77" s="43"/>
      <x:c r="R77" s="43"/>
      <x:c r="S77" s="43"/>
      <x:c r="T77" s="43"/>
      <x:c r="U77" s="43"/>
      <x:c r="V77" s="43"/>
      <x:c r="W77" s="43"/>
      <x:c r="X77" s="43"/>
      <x:c r="Y77" s="43"/>
      <x:c r="Z77" s="43"/>
      <x:c r="AA77" s="43"/>
      <x:c r="AB77" s="43"/>
      <x:c r="AC77" s="43"/>
      <x:c r="AD77" s="43"/>
      <x:c r="AE77" s="43"/>
      <x:c r="AF77" s="43"/>
      <x:c r="AG77" s="43"/>
      <x:c r="AH77" s="43"/>
      <x:c r="AI77" s="43"/>
      <x:c r="AJ77" s="43"/>
      <x:c r="AK77" s="43"/>
      <x:c r="AL77" s="43"/>
      <x:c r="AM77" s="43"/>
      <x:c r="AN77" s="43"/>
      <x:c r="AO77" s="43"/>
      <x:c r="AP77" s="43"/>
    </x:row>
    <x:row r="78" ht="15" hidden="0" customHeight="1">
      <x:c r="A78" s="36" t="str">
        <x:v>BU Led Waste Matrix!row 81</x:v>
      </x:c>
      <x:c r="B78" s="37" t="str">
        <x:v>NAR Commercial Excellence</x:v>
      </x:c>
      <x:c r="C78" s="36" t="str">
        <x:v>North America (NAR)</x:v>
      </x:c>
      <x:c r="D78" s="36" t="n">
        <x:v>1</x:v>
      </x:c>
      <x:c r="E78" s="36" t="str">
        <x:v>HEALTHY</x:v>
      </x:c>
      <x:c r="F78" s="36" t="str">
        <x:v>NO</x:v>
      </x:c>
      <x:c r="G78" s="36" t="str">
        <x:v>5 — Exactly the minimum — only what's needed to meet the rule, nothing more.</x:v>
      </x:c>
      <x:c r="H78" s="36" t="str">
        <x:v>4 — Large fine, temporary loss of a licence or certification, or a real hit to customers or the market.</x:v>
      </x:c>
      <x:c r="I78" s="36" t="str">
        <x:v>4 — Likely — an audit or inspection is scheduled, or we've had findings on this before.</x:v>
      </x:c>
      <x:c r="J78" s="36" t="str">
        <x:v>3 — Between six months and a year away.</x:v>
      </x:c>
      <x:c r="K78" s="36" t="n">
        <x:v>16</x:v>
      </x:c>
      <x:c r="L78" s="36" t="str">
        <x:v>P1 — Immediate</x:v>
      </x:c>
      <x:c r="M78" s="36" t="str">
        <x:v>HEALTHY — Rank in priority matrix</x:v>
      </x:c>
      <x:c r="N78" s="36" t="str"/>
      <x:c r="O78" s="43"/>
      <x:c r="P78" s="43"/>
      <x:c r="Q78" s="43"/>
      <x:c r="R78" s="43"/>
      <x:c r="S78" s="43"/>
      <x:c r="T78" s="43"/>
      <x:c r="U78" s="43"/>
      <x:c r="V78" s="43"/>
      <x:c r="W78" s="43"/>
      <x:c r="X78" s="43"/>
      <x:c r="Y78" s="43"/>
      <x:c r="Z78" s="43"/>
      <x:c r="AA78" s="43"/>
      <x:c r="AB78" s="43"/>
      <x:c r="AC78" s="43"/>
      <x:c r="AD78" s="43"/>
      <x:c r="AE78" s="43"/>
      <x:c r="AF78" s="43"/>
      <x:c r="AG78" s="43"/>
      <x:c r="AH78" s="43"/>
      <x:c r="AI78" s="43"/>
      <x:c r="AJ78" s="43"/>
      <x:c r="AK78" s="43"/>
      <x:c r="AL78" s="43"/>
      <x:c r="AM78" s="43"/>
      <x:c r="AN78" s="43"/>
      <x:c r="AO78" s="43"/>
      <x:c r="AP78" s="43"/>
    </x:row>
    <x:row r="79" ht="15" hidden="0" customHeight="1">
      <x:c r="A79" s="36" t="str">
        <x:v>BU Led Waste Matrix!row 82</x:v>
      </x:c>
      <x:c r="B79" s="37" t="str">
        <x:v>SRC PPL Tree</x:v>
      </x:c>
      <x:c r="C79" s="36" t="str">
        <x:v>Sleep &amp; Respiratory Care (SRC)</x:v>
      </x:c>
      <x:c r="D79" s="36"/>
      <x:c r="E79" s="36" t="str"/>
      <x:c r="F79" s="36" t="str"/>
      <x:c r="G79" s="36" t="str"/>
      <x:c r="H79" s="36" t="str"/>
      <x:c r="I79" s="36" t="str"/>
      <x:c r="J79" s="36" t="str"/>
      <x:c r="K79" s="36"/>
      <x:c r="L79" s="36" t="str"/>
      <x:c r="M79" s="36" t="str"/>
      <x:c r="N79" s="36" t="str"/>
      <x:c r="O79" s="43"/>
      <x:c r="P79" s="43"/>
      <x:c r="Q79" s="43"/>
      <x:c r="R79" s="43"/>
      <x:c r="S79" s="43"/>
      <x:c r="T79" s="43"/>
      <x:c r="U79" s="43"/>
      <x:c r="V79" s="43"/>
      <x:c r="W79" s="43"/>
      <x:c r="X79" s="43"/>
      <x:c r="Y79" s="43"/>
      <x:c r="Z79" s="43"/>
      <x:c r="AA79" s="43"/>
      <x:c r="AB79" s="43"/>
      <x:c r="AC79" s="43"/>
      <x:c r="AD79" s="43"/>
      <x:c r="AE79" s="43"/>
      <x:c r="AF79" s="43"/>
      <x:c r="AG79" s="43"/>
      <x:c r="AH79" s="43"/>
      <x:c r="AI79" s="43"/>
      <x:c r="AJ79" s="43"/>
      <x:c r="AK79" s="43"/>
      <x:c r="AL79" s="43"/>
      <x:c r="AM79" s="43"/>
      <x:c r="AN79" s="43"/>
      <x:c r="AO79" s="43"/>
      <x:c r="AP79" s="43"/>
    </x:row>
    <x:row r="80" ht="15" hidden="0" customHeight="1">
      <x:c r="A80" s="36" t="str">
        <x:v>BU Led Waste Matrix!row 83</x:v>
      </x:c>
      <x:c r="B80" s="37" t="str">
        <x:v>SRC Integrated Portal</x:v>
      </x:c>
      <x:c r="C80" s="36" t="str">
        <x:v>Sleep &amp; Respiratory Care (SRC)</x:v>
      </x:c>
      <x:c r="D80" s="36"/>
      <x:c r="E80" s="36" t="str"/>
      <x:c r="F80" s="36" t="str"/>
      <x:c r="G80" s="36" t="str"/>
      <x:c r="H80" s="36" t="str"/>
      <x:c r="I80" s="36" t="str"/>
      <x:c r="J80" s="36" t="str"/>
      <x:c r="K80" s="36"/>
      <x:c r="L80" s="36" t="str"/>
      <x:c r="M80" s="36" t="str"/>
      <x:c r="N80" s="36" t="str"/>
      <x:c r="O80" s="43"/>
      <x:c r="P80" s="43"/>
      <x:c r="Q80" s="43"/>
      <x:c r="R80" s="43"/>
      <x:c r="S80" s="43"/>
      <x:c r="T80" s="43"/>
      <x:c r="U80" s="43"/>
      <x:c r="V80" s="43"/>
      <x:c r="W80" s="43"/>
      <x:c r="X80" s="43"/>
      <x:c r="Y80" s="43"/>
      <x:c r="Z80" s="43"/>
      <x:c r="AA80" s="43"/>
      <x:c r="AB80" s="43"/>
      <x:c r="AC80" s="43"/>
      <x:c r="AD80" s="43"/>
      <x:c r="AE80" s="43"/>
      <x:c r="AF80" s="43"/>
      <x:c r="AG80" s="43"/>
      <x:c r="AH80" s="43"/>
      <x:c r="AI80" s="43"/>
      <x:c r="AJ80" s="43"/>
      <x:c r="AK80" s="43"/>
      <x:c r="AL80" s="43"/>
      <x:c r="AM80" s="43"/>
      <x:c r="AN80" s="43"/>
      <x:c r="AO80" s="43"/>
      <x:c r="AP80" s="43"/>
    </x:row>
    <x:row r="81" ht="15" hidden="0" customHeight="1">
      <x:c r="A81" s="36" t="str">
        <x:v>BU Led Waste Matrix!row 84</x:v>
      </x:c>
      <x:c r="B81" s="37" t="str">
        <x:v>Salsify Integration</x:v>
      </x:c>
      <x:c r="C81" s="36" t="str">
        <x:v>Sleep &amp; Respiratory Care (SRC)</x:v>
      </x:c>
      <x:c r="D81" s="36"/>
      <x:c r="E81" s="36" t="str"/>
      <x:c r="F81" s="36" t="str"/>
      <x:c r="G81" s="36" t="str"/>
      <x:c r="H81" s="36" t="str"/>
      <x:c r="I81" s="36" t="str"/>
      <x:c r="J81" s="36" t="str"/>
      <x:c r="K81" s="36"/>
      <x:c r="L81" s="36" t="str"/>
      <x:c r="M81" s="36" t="str"/>
      <x:c r="N81" s="36" t="str"/>
      <x:c r="O81" s="43"/>
      <x:c r="P81" s="43"/>
      <x:c r="Q81" s="43"/>
      <x:c r="R81" s="43"/>
      <x:c r="S81" s="43"/>
      <x:c r="T81" s="43"/>
      <x:c r="U81" s="43"/>
      <x:c r="V81" s="43"/>
      <x:c r="W81" s="43"/>
      <x:c r="X81" s="43"/>
      <x:c r="Y81" s="43"/>
      <x:c r="Z81" s="43"/>
      <x:c r="AA81" s="43"/>
      <x:c r="AB81" s="43"/>
      <x:c r="AC81" s="43"/>
      <x:c r="AD81" s="43"/>
      <x:c r="AE81" s="43"/>
      <x:c r="AF81" s="43"/>
      <x:c r="AG81" s="43"/>
      <x:c r="AH81" s="43"/>
      <x:c r="AI81" s="43"/>
      <x:c r="AJ81" s="43"/>
      <x:c r="AK81" s="43"/>
      <x:c r="AL81" s="43"/>
      <x:c r="AM81" s="43"/>
      <x:c r="AN81" s="43"/>
      <x:c r="AO81" s="43"/>
      <x:c r="AP81" s="43"/>
    </x:row>
    <x:row r="82" ht="15" hidden="0" customHeight="1">
      <x:c r="A82" s="36" t="str">
        <x:v>BU Led Waste Matrix!row 85</x:v>
      </x:c>
      <x:c r="B82" s="37" t="str">
        <x:v>Content Syndication - SRC</x:v>
      </x:c>
      <x:c r="C82" s="36" t="str">
        <x:v>Sleep &amp; Respiratory Care (SRC)</x:v>
      </x:c>
      <x:c r="D82" s="36"/>
      <x:c r="E82" s="36" t="str"/>
      <x:c r="F82" s="36" t="str"/>
      <x:c r="G82" s="36" t="str"/>
      <x:c r="H82" s="36" t="str"/>
      <x:c r="I82" s="36" t="str"/>
      <x:c r="J82" s="36" t="str"/>
      <x:c r="K82" s="36"/>
      <x:c r="L82" s="36" t="str"/>
      <x:c r="M82" s="36" t="str"/>
      <x:c r="N82" s="36" t="str"/>
      <x:c r="O82" s="43"/>
      <x:c r="P82" s="43"/>
      <x:c r="Q82" s="43"/>
      <x:c r="R82" s="43"/>
      <x:c r="S82" s="43"/>
      <x:c r="T82" s="43"/>
      <x:c r="U82" s="43"/>
      <x:c r="V82" s="43"/>
      <x:c r="W82" s="43"/>
      <x:c r="X82" s="43"/>
      <x:c r="Y82" s="43"/>
      <x:c r="Z82" s="43"/>
      <x:c r="AA82" s="43"/>
      <x:c r="AB82" s="43"/>
      <x:c r="AC82" s="43"/>
      <x:c r="AD82" s="43"/>
      <x:c r="AE82" s="43"/>
      <x:c r="AF82" s="43"/>
      <x:c r="AG82" s="43"/>
      <x:c r="AH82" s="43"/>
      <x:c r="AI82" s="43"/>
      <x:c r="AJ82" s="43"/>
      <x:c r="AK82" s="43"/>
      <x:c r="AL82" s="43"/>
      <x:c r="AM82" s="43"/>
      <x:c r="AN82" s="43"/>
      <x:c r="AO82" s="43"/>
      <x:c r="AP82" s="43"/>
    </x:row>
    <x:row r="83" ht="15" hidden="0" customHeight="1">
      <x:c r="A83" s="36" t="str">
        <x:v>BU Led Waste Matrix!row 86</x:v>
      </x:c>
      <x:c r="B83" s="37" t="str">
        <x:v>ISC Lanscape Transformation</x:v>
      </x:c>
      <x:c r="C83" s="36" t="str">
        <x:v>Sleep &amp; Respiratory Care (SRC)</x:v>
      </x:c>
      <x:c r="D83" s="36" t="n">
        <x:v>1</x:v>
      </x:c>
      <x:c r="E83" s="36" t="str">
        <x:v>HEALTHY</x:v>
      </x:c>
      <x:c r="F83" s="36" t="str"/>
      <x:c r="G83" s="36" t="str"/>
      <x:c r="H83" s="36" t="str"/>
      <x:c r="I83" s="36" t="str"/>
      <x:c r="J83" s="36" t="str"/>
      <x:c r="K83" s="36"/>
      <x:c r="L83" s="36" t="str"/>
      <x:c r="M83" s="36" t="str">
        <x:v>HEALTHY — Rank in priority matrix</x:v>
      </x:c>
      <x:c r="N83" s="36" t="str"/>
      <x:c r="O83" s="43"/>
      <x:c r="P83" s="43"/>
      <x:c r="Q83" s="43"/>
      <x:c r="R83" s="43"/>
      <x:c r="S83" s="43"/>
      <x:c r="T83" s="43"/>
      <x:c r="U83" s="43"/>
      <x:c r="V83" s="43"/>
      <x:c r="W83" s="43"/>
      <x:c r="X83" s="43"/>
      <x:c r="Y83" s="43"/>
      <x:c r="Z83" s="43"/>
      <x:c r="AA83" s="43"/>
      <x:c r="AB83" s="43"/>
      <x:c r="AC83" s="43"/>
      <x:c r="AD83" s="43"/>
      <x:c r="AE83" s="43"/>
      <x:c r="AF83" s="43"/>
      <x:c r="AG83" s="43"/>
      <x:c r="AH83" s="43"/>
      <x:c r="AI83" s="43"/>
      <x:c r="AJ83" s="43"/>
      <x:c r="AK83" s="43"/>
      <x:c r="AL83" s="43"/>
      <x:c r="AM83" s="43"/>
      <x:c r="AN83" s="43"/>
      <x:c r="AO83" s="43"/>
      <x:c r="AP83" s="43"/>
    </x:row>
    <x:row r="84" ht="15" hidden="0" customHeight="1">
      <x:c r="A84" s="36" t="str">
        <x:v>BU Led Waste Matrix!row 87</x:v>
      </x:c>
      <x:c r="B84" s="37" t="str">
        <x:v>Contract Lifecycle Management</x:v>
      </x:c>
      <x:c r="C84" s="36" t="str">
        <x:v>Sleep &amp; Respiratory Care (SRC)</x:v>
      </x:c>
      <x:c r="D84" s="36"/>
      <x:c r="E84" s="36" t="str"/>
      <x:c r="F84" s="36" t="str">
        <x:v>YES</x:v>
      </x:c>
      <x:c r="G84" s="36" t="str">
        <x:v>5 — Exactly the minimum — only what's needed to meet the rule, nothing more.</x:v>
      </x:c>
      <x:c r="H84" s="36" t="str">
        <x:v>4 — Large fine, temporary loss of a licence or certification, or a real hit to customers or the market.</x:v>
      </x:c>
      <x:c r="I84" s="36" t="str">
        <x:v>4 — Likely — an audit or inspection is scheduled, or we've had findings on this before.</x:v>
      </x:c>
      <x:c r="J84" s="36" t="str">
        <x:v>4 — Less than six months away.</x:v>
      </x:c>
      <x:c r="K84" s="36" t="n">
        <x:v>16</x:v>
      </x:c>
      <x:c r="L84" s="36" t="str">
        <x:v>P1 — Immediate</x:v>
      </x:c>
      <x:c r="M84" s="36" t="str"/>
      <x:c r="N84" s="36" t="str"/>
      <x:c r="O84" s="43"/>
      <x:c r="P84" s="43"/>
      <x:c r="Q84" s="43"/>
      <x:c r="R84" s="43"/>
      <x:c r="S84" s="43"/>
      <x:c r="T84" s="43"/>
      <x:c r="U84" s="43"/>
      <x:c r="V84" s="43"/>
      <x:c r="W84" s="43"/>
      <x:c r="X84" s="43"/>
      <x:c r="Y84" s="43"/>
      <x:c r="Z84" s="43"/>
      <x:c r="AA84" s="43"/>
      <x:c r="AB84" s="43"/>
      <x:c r="AC84" s="43"/>
      <x:c r="AD84" s="43"/>
      <x:c r="AE84" s="43"/>
      <x:c r="AF84" s="43"/>
      <x:c r="AG84" s="43"/>
      <x:c r="AH84" s="43"/>
      <x:c r="AI84" s="43"/>
      <x:c r="AJ84" s="43"/>
      <x:c r="AK84" s="43"/>
      <x:c r="AL84" s="43"/>
      <x:c r="AM84" s="43"/>
      <x:c r="AN84" s="43"/>
      <x:c r="AO84" s="43"/>
      <x:c r="AP84" s="43"/>
    </x:row>
    <x:row r="85" ht="15" hidden="0" customHeight="1">
      <x:c r="A85" s="36" t="str">
        <x:v>BU Led Waste Matrix!row 88</x:v>
      </x:c>
      <x:c r="B85" s="37" t="str">
        <x:v>ISC CRs</x:v>
      </x:c>
      <x:c r="C85" s="36" t="str">
        <x:v>Sleep &amp; Respiratory Care (SRC)</x:v>
      </x:c>
      <x:c r="D85" s="36" t="n">
        <x:v>1.35</x:v>
      </x:c>
      <x:c r="E85" s="36" t="str">
        <x:v>HEALTHY</x:v>
      </x:c>
      <x:c r="F85" s="36" t="str"/>
      <x:c r="G85" s="36" t="str"/>
      <x:c r="H85" s="36" t="str"/>
      <x:c r="I85" s="36" t="str"/>
      <x:c r="J85" s="36" t="str"/>
      <x:c r="K85" s="36"/>
      <x:c r="L85" s="36" t="str"/>
      <x:c r="M85" s="36" t="str">
        <x:v>HEALTHY — Rank in priority matrix</x:v>
      </x:c>
      <x:c r="N85" s="36" t="str"/>
      <x:c r="O85" s="43"/>
      <x:c r="P85" s="43"/>
      <x:c r="Q85" s="43"/>
      <x:c r="R85" s="43"/>
      <x:c r="S85" s="43"/>
      <x:c r="T85" s="43"/>
      <x:c r="U85" s="43"/>
      <x:c r="V85" s="43"/>
      <x:c r="W85" s="43"/>
      <x:c r="X85" s="43"/>
      <x:c r="Y85" s="43"/>
      <x:c r="Z85" s="43"/>
      <x:c r="AA85" s="43"/>
      <x:c r="AB85" s="43"/>
      <x:c r="AC85" s="43"/>
      <x:c r="AD85" s="43"/>
      <x:c r="AE85" s="43"/>
      <x:c r="AF85" s="43"/>
      <x:c r="AG85" s="43"/>
      <x:c r="AH85" s="43"/>
      <x:c r="AI85" s="43"/>
      <x:c r="AJ85" s="43"/>
      <x:c r="AK85" s="43"/>
      <x:c r="AL85" s="43"/>
      <x:c r="AM85" s="43"/>
      <x:c r="AN85" s="43"/>
      <x:c r="AO85" s="43"/>
      <x:c r="AP85" s="43"/>
    </x:row>
    <x:row r="86" ht="15" hidden="0" customHeight="1">
      <x:c r="A86" s="36" t="str">
        <x:v>BU Led Waste Matrix!row 89</x:v>
      </x:c>
      <x:c r="B86" s="37" t="str">
        <x:v>Rotech  Virtual Org (CPG in BY)</x:v>
      </x:c>
      <x:c r="C86" s="36" t="str">
        <x:v>Sleep &amp; Respiratory Care (SRC)</x:v>
      </x:c>
      <x:c r="D86" s="36"/>
      <x:c r="E86" s="36" t="str"/>
      <x:c r="F86" s="36" t="str"/>
      <x:c r="G86" s="36" t="str"/>
      <x:c r="H86" s="36" t="str"/>
      <x:c r="I86" s="36" t="str"/>
      <x:c r="J86" s="36" t="str"/>
      <x:c r="K86" s="36"/>
      <x:c r="L86" s="36" t="str"/>
      <x:c r="M86" s="36" t="str"/>
      <x:c r="N86" s="36" t="str"/>
      <x:c r="O86" s="43"/>
      <x:c r="P86" s="43"/>
      <x:c r="Q86" s="43"/>
      <x:c r="R86" s="43"/>
      <x:c r="S86" s="43"/>
      <x:c r="T86" s="43"/>
      <x:c r="U86" s="43"/>
      <x:c r="V86" s="43"/>
      <x:c r="W86" s="43"/>
      <x:c r="X86" s="43"/>
      <x:c r="Y86" s="43"/>
      <x:c r="Z86" s="43"/>
      <x:c r="AA86" s="43"/>
      <x:c r="AB86" s="43"/>
      <x:c r="AC86" s="43"/>
      <x:c r="AD86" s="43"/>
      <x:c r="AE86" s="43"/>
      <x:c r="AF86" s="43"/>
      <x:c r="AG86" s="43"/>
      <x:c r="AH86" s="43"/>
      <x:c r="AI86" s="43"/>
      <x:c r="AJ86" s="43"/>
      <x:c r="AK86" s="43"/>
      <x:c r="AL86" s="43"/>
      <x:c r="AM86" s="43"/>
      <x:c r="AN86" s="43"/>
      <x:c r="AO86" s="43"/>
      <x:c r="AP86" s="43"/>
    </x:row>
    <x:row r="87" ht="15" hidden="0" customHeight="1">
      <x:c r="A87" s="36" t="str">
        <x:v>BU Led Waste Matrix!row 90</x:v>
      </x:c>
      <x:c r="B87" s="37" t="str">
        <x:v>ATP Changes</x:v>
      </x:c>
      <x:c r="C87" s="36" t="str">
        <x:v>Sleep &amp; Respiratory Care (SRC)</x:v>
      </x:c>
      <x:c r="D87" s="36"/>
      <x:c r="E87" s="36" t="str"/>
      <x:c r="F87" s="36" t="str"/>
      <x:c r="G87" s="36" t="str"/>
      <x:c r="H87" s="36" t="str"/>
      <x:c r="I87" s="36" t="str"/>
      <x:c r="J87" s="36" t="str"/>
      <x:c r="K87" s="36"/>
      <x:c r="L87" s="36" t="str"/>
      <x:c r="M87" s="36" t="str"/>
      <x:c r="N87" s="36" t="str"/>
      <x:c r="O87" s="43"/>
      <x:c r="P87" s="43"/>
      <x:c r="Q87" s="43"/>
      <x:c r="R87" s="43"/>
      <x:c r="S87" s="43"/>
      <x:c r="T87" s="43"/>
      <x:c r="U87" s="43"/>
      <x:c r="V87" s="43"/>
      <x:c r="W87" s="43"/>
      <x:c r="X87" s="43"/>
      <x:c r="Y87" s="43"/>
      <x:c r="Z87" s="43"/>
      <x:c r="AA87" s="43"/>
      <x:c r="AB87" s="43"/>
      <x:c r="AC87" s="43"/>
      <x:c r="AD87" s="43"/>
      <x:c r="AE87" s="43"/>
      <x:c r="AF87" s="43"/>
      <x:c r="AG87" s="43"/>
      <x:c r="AH87" s="43"/>
      <x:c r="AI87" s="43"/>
      <x:c r="AJ87" s="43"/>
      <x:c r="AK87" s="43"/>
      <x:c r="AL87" s="43"/>
      <x:c r="AM87" s="43"/>
      <x:c r="AN87" s="43"/>
      <x:c r="AO87" s="43"/>
      <x:c r="AP87" s="43"/>
    </x:row>
    <x:row r="88" ht="15" hidden="0" customHeight="1">
      <x:c r="A88" s="36" t="str">
        <x:v>BU Led Waste Matrix!row 91</x:v>
      </x:c>
      <x:c r="B88" s="37" t="str">
        <x:v>Kimball/Smoke changes </x:v>
      </x:c>
      <x:c r="C88" s="36" t="str">
        <x:v>Sleep &amp; Respiratory Care (SRC)</x:v>
      </x:c>
      <x:c r="D88" s="36" t="n">
        <x:v>1</x:v>
      </x:c>
      <x:c r="E88" s="36" t="str">
        <x:v>HEALTHY</x:v>
      </x:c>
      <x:c r="F88" s="36" t="str">
        <x:v>YES</x:v>
      </x:c>
      <x:c r="G88" s="36" t="str">
        <x:v>5 — Exactly the minimum — only what's needed to meet the rule, nothing more.</x:v>
      </x:c>
      <x:c r="H88" s="36" t="str">
        <x:v>5 — Severe — criminal liability, loss of a licence, a product or market withdrawal, or a patient-safety / major data-breach exposure.</x:v>
      </x:c>
      <x:c r="I88" s="36" t="str">
        <x:v>4 — Likely — an audit or inspection is scheduled, or we've had findings on this before.</x:v>
      </x:c>
      <x:c r="J88" s="36" t="str">
        <x:v>5 — Overdue, or under three months away — we're at or near breach.</x:v>
      </x:c>
      <x:c r="K88" s="36" t="n">
        <x:v>20</x:v>
      </x:c>
      <x:c r="L88" s="36" t="str">
        <x:v>P1 — Immediate</x:v>
      </x:c>
      <x:c r="M88" s="36" t="str">
        <x:v>HEALTHY / MUST-DO — P1 — Immediate</x:v>
      </x:c>
      <x:c r="N88" s="36" t="str"/>
      <x:c r="O88" s="43"/>
      <x:c r="P88" s="43"/>
      <x:c r="Q88" s="43"/>
      <x:c r="R88" s="43"/>
      <x:c r="S88" s="43"/>
      <x:c r="T88" s="43"/>
      <x:c r="U88" s="43"/>
      <x:c r="V88" s="43"/>
      <x:c r="W88" s="43"/>
      <x:c r="X88" s="43"/>
      <x:c r="Y88" s="43"/>
      <x:c r="Z88" s="43"/>
      <x:c r="AA88" s="43"/>
      <x:c r="AB88" s="43"/>
      <x:c r="AC88" s="43"/>
      <x:c r="AD88" s="43"/>
      <x:c r="AE88" s="43"/>
      <x:c r="AF88" s="43"/>
      <x:c r="AG88" s="43"/>
      <x:c r="AH88" s="43"/>
      <x:c r="AI88" s="43"/>
      <x:c r="AJ88" s="43"/>
      <x:c r="AK88" s="43"/>
      <x:c r="AL88" s="43"/>
      <x:c r="AM88" s="43"/>
      <x:c r="AN88" s="43"/>
      <x:c r="AO88" s="43"/>
      <x:c r="AP88" s="43"/>
    </x:row>
    <x:row r="89" ht="15" hidden="0" customHeight="1">
      <x:c r="A89" s="36" t="str">
        <x:v>BU Led Waste Matrix!row 92</x:v>
      </x:c>
      <x:c r="B89" s="37" t="str">
        <x:v>NAR Contract Execution and Compliance</x:v>
      </x:c>
      <x:c r="C89" s="36" t="str">
        <x:v>North America (NAR)</x:v>
      </x:c>
      <x:c r="D89" s="36"/>
      <x:c r="E89" s="36" t="str"/>
      <x:c r="F89" s="36" t="str"/>
      <x:c r="G89" s="36" t="str"/>
      <x:c r="H89" s="36" t="str"/>
      <x:c r="I89" s="36" t="str"/>
      <x:c r="J89" s="36" t="str"/>
      <x:c r="K89" s="36"/>
      <x:c r="L89" s="36" t="str"/>
      <x:c r="M89" s="36" t="str"/>
      <x:c r="N89" s="36" t="str"/>
      <x:c r="O89" s="43"/>
      <x:c r="P89" s="43"/>
      <x:c r="Q89" s="43"/>
      <x:c r="R89" s="43"/>
      <x:c r="S89" s="43"/>
      <x:c r="T89" s="43"/>
      <x:c r="U89" s="43"/>
      <x:c r="V89" s="43"/>
      <x:c r="W89" s="43"/>
      <x:c r="X89" s="43"/>
      <x:c r="Y89" s="43"/>
      <x:c r="Z89" s="43"/>
      <x:c r="AA89" s="43"/>
      <x:c r="AB89" s="43"/>
      <x:c r="AC89" s="43"/>
      <x:c r="AD89" s="43"/>
      <x:c r="AE89" s="43"/>
      <x:c r="AF89" s="43"/>
      <x:c r="AG89" s="43"/>
      <x:c r="AH89" s="43"/>
      <x:c r="AI89" s="43"/>
      <x:c r="AJ89" s="43"/>
      <x:c r="AK89" s="43"/>
      <x:c r="AL89" s="43"/>
      <x:c r="AM89" s="43"/>
      <x:c r="AN89" s="43"/>
      <x:c r="AO89" s="43"/>
      <x:c r="AP89" s="43"/>
    </x:row>
    <x:row r="90" ht="15" hidden="0" customHeight="1">
      <x:c r="A90" s="36" t="str">
        <x:v>BU Led Waste Matrix!row 93</x:v>
      </x:c>
      <x:c r="B90" s="37" t="str">
        <x:v>Symphony Eye - Req2Res</x:v>
      </x:c>
      <x:c r="C90" s="36" t="str">
        <x:v>Image Guided Therapy - Systems (IGT-S)</x:v>
      </x:c>
      <x:c r="D90" s="36" t="n">
        <x:v>1</x:v>
      </x:c>
      <x:c r="E90" s="36" t="str">
        <x:v>HEALTHY</x:v>
      </x:c>
      <x:c r="F90" s="36" t="str"/>
      <x:c r="G90" s="36" t="str"/>
      <x:c r="H90" s="36" t="str"/>
      <x:c r="I90" s="36" t="str"/>
      <x:c r="J90" s="36" t="str"/>
      <x:c r="K90" s="36"/>
      <x:c r="L90" s="36" t="str"/>
      <x:c r="M90" s="36" t="str">
        <x:v>HEALTHY — Rank in priority matrix</x:v>
      </x:c>
      <x:c r="N90" s="36" t="str"/>
      <x:c r="O90" s="43"/>
      <x:c r="P90" s="43"/>
      <x:c r="Q90" s="43"/>
      <x:c r="R90" s="43"/>
      <x:c r="S90" s="43"/>
      <x:c r="T90" s="43"/>
      <x:c r="U90" s="43"/>
      <x:c r="V90" s="43"/>
      <x:c r="W90" s="43"/>
      <x:c r="X90" s="43"/>
      <x:c r="Y90" s="43"/>
      <x:c r="Z90" s="43"/>
      <x:c r="AA90" s="43"/>
      <x:c r="AB90" s="43"/>
      <x:c r="AC90" s="43"/>
      <x:c r="AD90" s="43"/>
      <x:c r="AE90" s="43"/>
      <x:c r="AF90" s="43"/>
      <x:c r="AG90" s="43"/>
      <x:c r="AH90" s="43"/>
      <x:c r="AI90" s="43"/>
      <x:c r="AJ90" s="43"/>
      <x:c r="AK90" s="43"/>
      <x:c r="AL90" s="43"/>
      <x:c r="AM90" s="43"/>
      <x:c r="AN90" s="43"/>
      <x:c r="AO90" s="43"/>
      <x:c r="AP90" s="43"/>
    </x:row>
    <x:row r="91" ht="15" hidden="0" customHeight="1">
      <x:c r="A91" s="36" t="str">
        <x:v>BU Led Waste Matrix!row 94</x:v>
      </x:c>
      <x:c r="B91" s="37" t="str">
        <x:v>3rd Party Inventory and Hold status update from SAP/PRD</x:v>
      </x:c>
      <x:c r="C91" s="36" t="str">
        <x:v>Sleep &amp; Respiratory Care (SRC)</x:v>
      </x:c>
      <x:c r="D91" s="36" t="n">
        <x:v>1</x:v>
      </x:c>
      <x:c r="E91" s="36" t="str">
        <x:v>HEALTHY</x:v>
      </x:c>
      <x:c r="F91" s="36" t="str">
        <x:v>YES</x:v>
      </x:c>
      <x:c r="G91" s="36" t="str">
        <x:v>5 — Exactly the minimum — only what's needed to meet the rule, nothing more.</x:v>
      </x:c>
      <x:c r="H91" s="36" t="str">
        <x:v>5 — Severe — criminal liability, loss of a licence, a product or market withdrawal, or a patient-safety / major data-breach exposure.</x:v>
      </x:c>
      <x:c r="I91" s="36" t="str">
        <x:v>4 — Likely — an audit or inspection is scheduled, or we've had findings on this before.</x:v>
      </x:c>
      <x:c r="J91" s="36" t="str">
        <x:v>5 — Overdue, or under three months away — we're at or near breach.</x:v>
      </x:c>
      <x:c r="K91" s="36" t="n">
        <x:v>20</x:v>
      </x:c>
      <x:c r="L91" s="36" t="str">
        <x:v>P1 — Immediate</x:v>
      </x:c>
      <x:c r="M91" s="36" t="str">
        <x:v>HEALTHY / MUST-DO — P1 — Immediate</x:v>
      </x:c>
      <x:c r="N91" s="36" t="str"/>
      <x:c r="O91" s="43"/>
      <x:c r="P91" s="43"/>
      <x:c r="Q91" s="43"/>
      <x:c r="R91" s="43"/>
      <x:c r="S91" s="43"/>
      <x:c r="T91" s="43"/>
      <x:c r="U91" s="43"/>
      <x:c r="V91" s="43"/>
      <x:c r="W91" s="43"/>
      <x:c r="X91" s="43"/>
      <x:c r="Y91" s="43"/>
      <x:c r="Z91" s="43"/>
      <x:c r="AA91" s="43"/>
      <x:c r="AB91" s="43"/>
      <x:c r="AC91" s="43"/>
      <x:c r="AD91" s="43"/>
      <x:c r="AE91" s="43"/>
      <x:c r="AF91" s="43"/>
      <x:c r="AG91" s="43"/>
      <x:c r="AH91" s="43"/>
      <x:c r="AI91" s="43"/>
      <x:c r="AJ91" s="43"/>
      <x:c r="AK91" s="43"/>
      <x:c r="AL91" s="43"/>
      <x:c r="AM91" s="43"/>
      <x:c r="AN91" s="43"/>
      <x:c r="AO91" s="43"/>
      <x:c r="AP91" s="43"/>
    </x:row>
    <x:row r="92" ht="15" hidden="0" customHeight="1">
      <x:c r="A92" s="36" t="str">
        <x:v>BU Led Waste Matrix!row 95</x:v>
      </x:c>
      <x:c r="B92" s="37" t="str">
        <x:v>Windchil C&amp;CM</x:v>
      </x:c>
      <x:c r="C92" s="36" t="str">
        <x:v>Sleep &amp; Respiratory Care (SRC)</x:v>
      </x:c>
      <x:c r="D92" s="36"/>
      <x:c r="E92" s="36" t="str"/>
      <x:c r="F92" s="36" t="str">
        <x:v>YES</x:v>
      </x:c>
      <x:c r="G92" s="36" t="str">
        <x:v>5 — Exactly the minimum — only what's needed to meet the rule, nothing more.</x:v>
      </x:c>
      <x:c r="H92" s="36" t="str">
        <x:v>5 — Severe — criminal liability, loss of a licence, a product or market withdrawal, or a patient-safety / major data-breach exposure.</x:v>
      </x:c>
      <x:c r="I92" s="36" t="str">
        <x:v>4 — Likely — an audit or inspection is scheduled, or we've had findings on this before.</x:v>
      </x:c>
      <x:c r="J92" s="36" t="str">
        <x:v>5 — Overdue, or under three months away — we're at or near breach.</x:v>
      </x:c>
      <x:c r="K92" s="36" t="n">
        <x:v>20</x:v>
      </x:c>
      <x:c r="L92" s="36" t="str">
        <x:v>P1 — Immediate</x:v>
      </x:c>
      <x:c r="M92" s="36" t="str"/>
      <x:c r="N92" s="36" t="str"/>
      <x:c r="O92" s="43"/>
      <x:c r="P92" s="43"/>
      <x:c r="Q92" s="43"/>
      <x:c r="R92" s="43"/>
      <x:c r="S92" s="43"/>
      <x:c r="T92" s="43"/>
      <x:c r="U92" s="43"/>
      <x:c r="V92" s="43"/>
      <x:c r="W92" s="43"/>
      <x:c r="X92" s="43"/>
      <x:c r="Y92" s="43"/>
      <x:c r="Z92" s="43"/>
      <x:c r="AA92" s="43"/>
      <x:c r="AB92" s="43"/>
      <x:c r="AC92" s="43"/>
      <x:c r="AD92" s="43"/>
      <x:c r="AE92" s="43"/>
      <x:c r="AF92" s="43"/>
      <x:c r="AG92" s="43"/>
      <x:c r="AH92" s="43"/>
      <x:c r="AI92" s="43"/>
      <x:c r="AJ92" s="43"/>
      <x:c r="AK92" s="43"/>
      <x:c r="AL92" s="43"/>
      <x:c r="AM92" s="43"/>
      <x:c r="AN92" s="43"/>
      <x:c r="AO92" s="43"/>
      <x:c r="AP92" s="43"/>
    </x:row>
    <x:row r="93" ht="15" hidden="0" customHeight="1">
      <x:c r="A93" s="36" t="str">
        <x:v>BU Led Waste Matrix!row 96</x:v>
      </x:c>
      <x:c r="B93" s="37" t="str">
        <x:v>Catalogue Phase 2</x:v>
      </x:c>
      <x:c r="C93" s="36" t="str">
        <x:v>Sleep &amp; Respiratory Care (SRC)</x:v>
      </x:c>
      <x:c r="D93" s="36"/>
      <x:c r="E93" s="36" t="str"/>
      <x:c r="F93" s="36" t="str"/>
      <x:c r="G93" s="36" t="str"/>
      <x:c r="H93" s="36" t="str"/>
      <x:c r="I93" s="36" t="str"/>
      <x:c r="J93" s="36" t="str"/>
      <x:c r="K93" s="36"/>
      <x:c r="L93" s="36" t="str"/>
      <x:c r="M93" s="36" t="str"/>
      <x:c r="N93" s="36" t="str"/>
      <x:c r="O93" s="43"/>
      <x:c r="P93" s="43"/>
      <x:c r="Q93" s="43"/>
      <x:c r="R93" s="43"/>
      <x:c r="S93" s="43"/>
      <x:c r="T93" s="43"/>
      <x:c r="U93" s="43"/>
      <x:c r="V93" s="43"/>
      <x:c r="W93" s="43"/>
      <x:c r="X93" s="43"/>
      <x:c r="Y93" s="43"/>
      <x:c r="Z93" s="43"/>
      <x:c r="AA93" s="43"/>
      <x:c r="AB93" s="43"/>
      <x:c r="AC93" s="43"/>
      <x:c r="AD93" s="43"/>
      <x:c r="AE93" s="43"/>
      <x:c r="AF93" s="43"/>
      <x:c r="AG93" s="43"/>
      <x:c r="AH93" s="43"/>
      <x:c r="AI93" s="43"/>
      <x:c r="AJ93" s="43"/>
      <x:c r="AK93" s="43"/>
      <x:c r="AL93" s="43"/>
      <x:c r="AM93" s="43"/>
      <x:c r="AN93" s="43"/>
      <x:c r="AO93" s="43"/>
      <x:c r="AP93" s="43"/>
    </x:row>
    <x:row r="94" ht="15" hidden="0" customHeight="1">
      <x:c r="A94" s="36" t="str">
        <x:v>BU Led Waste Matrix!row 97</x:v>
      </x:c>
      <x:c r="B94" s="37" t="str">
        <x:v>Automation of offline sales process</x:v>
      </x:c>
      <x:c r="C94" s="36" t="str">
        <x:v>Sleep &amp; Respiratory Care (SRC)</x:v>
      </x:c>
      <x:c r="D94" s="36"/>
      <x:c r="E94" s="36" t="str"/>
      <x:c r="F94" s="36" t="str"/>
      <x:c r="G94" s="36" t="str"/>
      <x:c r="H94" s="36" t="str"/>
      <x:c r="I94" s="36" t="str"/>
      <x:c r="J94" s="36" t="str"/>
      <x:c r="K94" s="36"/>
      <x:c r="L94" s="36" t="str"/>
      <x:c r="M94" s="36" t="str"/>
      <x:c r="N94" s="36" t="str"/>
      <x:c r="O94" s="43"/>
      <x:c r="P94" s="43"/>
      <x:c r="Q94" s="43"/>
      <x:c r="R94" s="43"/>
      <x:c r="S94" s="43"/>
      <x:c r="T94" s="43"/>
      <x:c r="U94" s="43"/>
      <x:c r="V94" s="43"/>
      <x:c r="W94" s="43"/>
      <x:c r="X94" s="43"/>
      <x:c r="Y94" s="43"/>
      <x:c r="Z94" s="43"/>
      <x:c r="AA94" s="43"/>
      <x:c r="AB94" s="43"/>
      <x:c r="AC94" s="43"/>
      <x:c r="AD94" s="43"/>
      <x:c r="AE94" s="43"/>
      <x:c r="AF94" s="43"/>
      <x:c r="AG94" s="43"/>
      <x:c r="AH94" s="43"/>
      <x:c r="AI94" s="43"/>
      <x:c r="AJ94" s="43"/>
      <x:c r="AK94" s="43"/>
      <x:c r="AL94" s="43"/>
      <x:c r="AM94" s="43"/>
      <x:c r="AN94" s="43"/>
      <x:c r="AO94" s="43"/>
      <x:c r="AP94" s="43"/>
    </x:row>
    <x:row r="95" ht="15" hidden="0" customHeight="1">
      <x:c r="A95" s="36" t="str">
        <x:v>BU Led Waste Matrix!row 98</x:v>
      </x:c>
      <x:c r="B95" s="37" t="str">
        <x:v>SAP changes CD related and others</x:v>
      </x:c>
      <x:c r="C95" s="36" t="str">
        <x:v>Sleep &amp; Respiratory Care (SRC)</x:v>
      </x:c>
      <x:c r="D95" s="36" t="n">
        <x:v>1</x:v>
      </x:c>
      <x:c r="E95" s="36" t="str">
        <x:v>HEALTHY</x:v>
      </x:c>
      <x:c r="F95" s="36" t="str">
        <x:v>YES</x:v>
      </x:c>
      <x:c r="G95" s="36" t="str">
        <x:v>5 — Exactly the minimum — only what's needed to meet the rule, nothing more.</x:v>
      </x:c>
      <x:c r="H95" s="36" t="str">
        <x:v>4 — Large fine, temporary loss of a licence or certification, or a real hit to customers or the market.</x:v>
      </x:c>
      <x:c r="I95" s="36" t="str">
        <x:v>4 — Likely — an audit or inspection is scheduled, or we've had findings on this before.</x:v>
      </x:c>
      <x:c r="J95" s="36" t="str">
        <x:v>4 — Less than six months away.</x:v>
      </x:c>
      <x:c r="K95" s="36" t="n">
        <x:v>16</x:v>
      </x:c>
      <x:c r="L95" s="36" t="str">
        <x:v>P1 — Immediate</x:v>
      </x:c>
      <x:c r="M95" s="36" t="str">
        <x:v>HEALTHY / MUST-DO — P1 — Immediate</x:v>
      </x:c>
      <x:c r="N95" s="36" t="str"/>
      <x:c r="O95" s="43"/>
      <x:c r="P95" s="43"/>
      <x:c r="Q95" s="43"/>
      <x:c r="R95" s="43"/>
      <x:c r="S95" s="43"/>
      <x:c r="T95" s="43"/>
      <x:c r="U95" s="43"/>
      <x:c r="V95" s="43"/>
      <x:c r="W95" s="43"/>
      <x:c r="X95" s="43"/>
      <x:c r="Y95" s="43"/>
      <x:c r="Z95" s="43"/>
      <x:c r="AA95" s="43"/>
      <x:c r="AB95" s="43"/>
      <x:c r="AC95" s="43"/>
      <x:c r="AD95" s="43"/>
      <x:c r="AE95" s="43"/>
      <x:c r="AF95" s="43"/>
      <x:c r="AG95" s="43"/>
      <x:c r="AH95" s="43"/>
      <x:c r="AI95" s="43"/>
      <x:c r="AJ95" s="43"/>
      <x:c r="AK95" s="43"/>
      <x:c r="AL95" s="43"/>
      <x:c r="AM95" s="43"/>
      <x:c r="AN95" s="43"/>
      <x:c r="AO95" s="43"/>
      <x:c r="AP95" s="43"/>
    </x:row>
    <x:row r="96" ht="15" hidden="0" customHeight="1">
      <x:c r="A96" s="36" t="str">
        <x:v>BU Led Waste Matrix!row 99</x:v>
      </x:c>
      <x:c r="B96" s="37" t="str">
        <x:v>Commercial Transformation 2027</x:v>
      </x:c>
      <x:c r="C96" s="36" t="str">
        <x:v>Sleep &amp; Respiratory Care (SRC)</x:v>
      </x:c>
      <x:c r="D96" s="36"/>
      <x:c r="E96" s="36" t="str"/>
      <x:c r="F96" s="36" t="str"/>
      <x:c r="G96" s="36" t="str"/>
      <x:c r="H96" s="36" t="str"/>
      <x:c r="I96" s="36" t="str"/>
      <x:c r="J96" s="36" t="str"/>
      <x:c r="K96" s="36"/>
      <x:c r="L96" s="36" t="str"/>
      <x:c r="M96" s="36" t="str"/>
      <x:c r="N96" s="36" t="str"/>
      <x:c r="O96" s="43"/>
      <x:c r="P96" s="43"/>
      <x:c r="Q96" s="43"/>
      <x:c r="R96" s="43"/>
      <x:c r="S96" s="43"/>
      <x:c r="T96" s="43"/>
      <x:c r="U96" s="43"/>
      <x:c r="V96" s="43"/>
      <x:c r="W96" s="43"/>
      <x:c r="X96" s="43"/>
      <x:c r="Y96" s="43"/>
      <x:c r="Z96" s="43"/>
      <x:c r="AA96" s="43"/>
      <x:c r="AB96" s="43"/>
      <x:c r="AC96" s="43"/>
      <x:c r="AD96" s="43"/>
      <x:c r="AE96" s="43"/>
      <x:c r="AF96" s="43"/>
      <x:c r="AG96" s="43"/>
      <x:c r="AH96" s="43"/>
      <x:c r="AI96" s="43"/>
      <x:c r="AJ96" s="43"/>
      <x:c r="AK96" s="43"/>
      <x:c r="AL96" s="43"/>
      <x:c r="AM96" s="43"/>
      <x:c r="AN96" s="43"/>
      <x:c r="AO96" s="43"/>
      <x:c r="AP96" s="43"/>
    </x:row>
    <x:row r="97" ht="15" hidden="0" customHeight="1">
      <x:c r="A97" s="36" t="str">
        <x:v>BU Led Waste Matrix!row 100</x:v>
      </x:c>
      <x:c r="B97" s="37" t="str">
        <x:v>Project Nexus 2027</x:v>
      </x:c>
      <x:c r="C97" s="36" t="str">
        <x:v>Sleep &amp; Respiratory Care (SRC)</x:v>
      </x:c>
      <x:c r="D97" s="36"/>
      <x:c r="E97" s="36" t="str"/>
      <x:c r="F97" s="36" t="str"/>
      <x:c r="G97" s="36" t="str"/>
      <x:c r="H97" s="36" t="str"/>
      <x:c r="I97" s="36" t="str"/>
      <x:c r="J97" s="36" t="str"/>
      <x:c r="K97" s="36"/>
      <x:c r="L97" s="36" t="str"/>
      <x:c r="M97" s="36" t="str"/>
      <x:c r="N97" s="36" t="str"/>
      <x:c r="O97" s="43"/>
      <x:c r="P97" s="43"/>
      <x:c r="Q97" s="43"/>
      <x:c r="R97" s="43"/>
      <x:c r="S97" s="43"/>
      <x:c r="T97" s="43"/>
      <x:c r="U97" s="43"/>
      <x:c r="V97" s="43"/>
      <x:c r="W97" s="43"/>
      <x:c r="X97" s="43"/>
      <x:c r="Y97" s="43"/>
      <x:c r="Z97" s="43"/>
      <x:c r="AA97" s="43"/>
      <x:c r="AB97" s="43"/>
      <x:c r="AC97" s="43"/>
      <x:c r="AD97" s="43"/>
      <x:c r="AE97" s="43"/>
      <x:c r="AF97" s="43"/>
      <x:c r="AG97" s="43"/>
      <x:c r="AH97" s="43"/>
      <x:c r="AI97" s="43"/>
      <x:c r="AJ97" s="43"/>
      <x:c r="AK97" s="43"/>
      <x:c r="AL97" s="43"/>
      <x:c r="AM97" s="43"/>
      <x:c r="AN97" s="43"/>
      <x:c r="AO97" s="43"/>
      <x:c r="AP97" s="43"/>
    </x:row>
    <x:row r="98" ht="15" hidden="0" customHeight="1">
      <x:c r="A98" s="36" t="str">
        <x:v>BU Led Waste Matrix!row 101</x:v>
      </x:c>
      <x:c r="B98" s="37" t="str">
        <x:v>ISC and CS Transformation 2027</x:v>
      </x:c>
      <x:c r="C98" s="36" t="str">
        <x:v>Sleep &amp; Respiratory Care (SRC)</x:v>
      </x:c>
      <x:c r="D98" s="36"/>
      <x:c r="E98" s="36" t="str"/>
      <x:c r="F98" s="36" t="str"/>
      <x:c r="G98" s="36" t="str"/>
      <x:c r="H98" s="36" t="str"/>
      <x:c r="I98" s="36" t="str"/>
      <x:c r="J98" s="36" t="str"/>
      <x:c r="K98" s="36"/>
      <x:c r="L98" s="36" t="str"/>
      <x:c r="M98" s="36" t="str"/>
      <x:c r="N98" s="36" t="str"/>
      <x:c r="O98" s="43"/>
      <x:c r="P98" s="43"/>
      <x:c r="Q98" s="43"/>
      <x:c r="R98" s="43"/>
      <x:c r="S98" s="43"/>
      <x:c r="T98" s="43"/>
      <x:c r="U98" s="43"/>
      <x:c r="V98" s="43"/>
      <x:c r="W98" s="43"/>
      <x:c r="X98" s="43"/>
      <x:c r="Y98" s="43"/>
      <x:c r="Z98" s="43"/>
      <x:c r="AA98" s="43"/>
      <x:c r="AB98" s="43"/>
      <x:c r="AC98" s="43"/>
      <x:c r="AD98" s="43"/>
      <x:c r="AE98" s="43"/>
      <x:c r="AF98" s="43"/>
      <x:c r="AG98" s="43"/>
      <x:c r="AH98" s="43"/>
      <x:c r="AI98" s="43"/>
      <x:c r="AJ98" s="43"/>
      <x:c r="AK98" s="43"/>
      <x:c r="AL98" s="43"/>
      <x:c r="AM98" s="43"/>
      <x:c r="AN98" s="43"/>
      <x:c r="AO98" s="43"/>
      <x:c r="AP98" s="43"/>
    </x:row>
    <x:row r="99" ht="15" hidden="0" customHeight="1">
      <x:c r="A99" s="36" t="str">
        <x:v>BU Led Waste Matrix!row 102</x:v>
      </x:c>
      <x:c r="B99" s="37" t="str">
        <x:v>Sales &amp; Marketing Transformation 2027</x:v>
      </x:c>
      <x:c r="C99" s="36" t="str">
        <x:v>Sleep &amp; Respiratory Care (SRC)</x:v>
      </x:c>
      <x:c r="D99" s="36"/>
      <x:c r="E99" s="36" t="str"/>
      <x:c r="F99" s="36" t="str"/>
      <x:c r="G99" s="36" t="str"/>
      <x:c r="H99" s="36" t="str"/>
      <x:c r="I99" s="36" t="str"/>
      <x:c r="J99" s="36" t="str"/>
      <x:c r="K99" s="36"/>
      <x:c r="L99" s="36" t="str"/>
      <x:c r="M99" s="36" t="str"/>
      <x:c r="N99" s="36" t="str"/>
      <x:c r="O99" s="43"/>
      <x:c r="P99" s="43"/>
      <x:c r="Q99" s="43"/>
      <x:c r="R99" s="43"/>
      <x:c r="S99" s="43"/>
      <x:c r="T99" s="43"/>
      <x:c r="U99" s="43"/>
      <x:c r="V99" s="43"/>
      <x:c r="W99" s="43"/>
      <x:c r="X99" s="43"/>
      <x:c r="Y99" s="43"/>
      <x:c r="Z99" s="43"/>
      <x:c r="AA99" s="43"/>
      <x:c r="AB99" s="43"/>
      <x:c r="AC99" s="43"/>
      <x:c r="AD99" s="43"/>
      <x:c r="AE99" s="43"/>
      <x:c r="AF99" s="43"/>
      <x:c r="AG99" s="43"/>
      <x:c r="AH99" s="43"/>
      <x:c r="AI99" s="43"/>
      <x:c r="AJ99" s="43"/>
      <x:c r="AK99" s="43"/>
      <x:c r="AL99" s="43"/>
      <x:c r="AM99" s="43"/>
      <x:c r="AN99" s="43"/>
      <x:c r="AO99" s="43"/>
      <x:c r="AP99" s="43"/>
    </x:row>
    <x:row r="100" ht="15" hidden="0" customHeight="1">
      <x:c r="A100" s="36" t="str">
        <x:v>BU Led Waste Matrix!row 103</x:v>
      </x:c>
      <x:c r="B100" s="37" t="str">
        <x:v>Project Keystone 2027</x:v>
      </x:c>
      <x:c r="C100" s="36" t="str">
        <x:v>Sleep &amp; Respiratory Care (SRC)</x:v>
      </x:c>
      <x:c r="D100" s="36"/>
      <x:c r="E100" s="36" t="str"/>
      <x:c r="F100" s="36" t="str"/>
      <x:c r="G100" s="36" t="str"/>
      <x:c r="H100" s="36" t="str"/>
      <x:c r="I100" s="36" t="str"/>
      <x:c r="J100" s="36" t="str"/>
      <x:c r="K100" s="36"/>
      <x:c r="L100" s="36" t="str"/>
      <x:c r="M100" s="36" t="str"/>
      <x:c r="N100" s="36" t="str"/>
      <x:c r="O100" s="43"/>
      <x:c r="P100" s="43"/>
      <x:c r="Q100" s="43"/>
      <x:c r="R100" s="43"/>
      <x:c r="S100" s="43"/>
      <x:c r="T100" s="43"/>
      <x:c r="U100" s="43"/>
      <x:c r="V100" s="43"/>
      <x:c r="W100" s="43"/>
      <x:c r="X100" s="43"/>
      <x:c r="Y100" s="43"/>
      <x:c r="Z100" s="43"/>
      <x:c r="AA100" s="43"/>
      <x:c r="AB100" s="43"/>
      <x:c r="AC100" s="43"/>
      <x:c r="AD100" s="43"/>
      <x:c r="AE100" s="43"/>
      <x:c r="AF100" s="43"/>
      <x:c r="AG100" s="43"/>
      <x:c r="AH100" s="43"/>
      <x:c r="AI100" s="43"/>
      <x:c r="AJ100" s="43"/>
      <x:c r="AK100" s="43"/>
      <x:c r="AL100" s="43"/>
      <x:c r="AM100" s="43"/>
      <x:c r="AN100" s="43"/>
      <x:c r="AO100" s="43"/>
      <x:c r="AP100" s="43"/>
    </x:row>
    <x:row r="101" ht="15" hidden="0" customHeight="1">
      <x:c r="A101" s="36" t="str">
        <x:v>BU Led Waste Matrix!row 104</x:v>
      </x:c>
      <x:c r="B101" s="37" t="str">
        <x:v>SFDC NAM Changes</x:v>
      </x:c>
      <x:c r="C101" s="36" t="str">
        <x:v>Sleep &amp; Respiratory Care (SRC)</x:v>
      </x:c>
      <x:c r="D101" s="36"/>
      <x:c r="E101" s="36" t="str"/>
      <x:c r="F101" s="36" t="str"/>
      <x:c r="G101" s="36" t="str"/>
      <x:c r="H101" s="36" t="str"/>
      <x:c r="I101" s="36" t="str"/>
      <x:c r="J101" s="36" t="str"/>
      <x:c r="K101" s="36"/>
      <x:c r="L101" s="36" t="str"/>
      <x:c r="M101" s="36" t="str"/>
      <x:c r="N101" s="36" t="str"/>
      <x:c r="O101" s="43"/>
      <x:c r="P101" s="43"/>
      <x:c r="Q101" s="43"/>
      <x:c r="R101" s="43"/>
      <x:c r="S101" s="43"/>
      <x:c r="T101" s="43"/>
      <x:c r="U101" s="43"/>
      <x:c r="V101" s="43"/>
      <x:c r="W101" s="43"/>
      <x:c r="X101" s="43"/>
      <x:c r="Y101" s="43"/>
      <x:c r="Z101" s="43"/>
      <x:c r="AA101" s="43"/>
      <x:c r="AB101" s="43"/>
      <x:c r="AC101" s="43"/>
      <x:c r="AD101" s="43"/>
      <x:c r="AE101" s="43"/>
      <x:c r="AF101" s="43"/>
      <x:c r="AG101" s="43"/>
      <x:c r="AH101" s="43"/>
      <x:c r="AI101" s="43"/>
      <x:c r="AJ101" s="43"/>
      <x:c r="AK101" s="43"/>
      <x:c r="AL101" s="43"/>
      <x:c r="AM101" s="43"/>
      <x:c r="AN101" s="43"/>
      <x:c r="AO101" s="43"/>
      <x:c r="AP101" s="43"/>
    </x:row>
    <x:row r="102" ht="15" hidden="0" customHeight="1">
      <x:c r="A102" s="36" t="str">
        <x:v>BU Led Waste Matrix!row 105</x:v>
      </x:c>
      <x:c r="B102" s="37" t="str">
        <x:v>SRC Uno Analytics</x:v>
      </x:c>
      <x:c r="C102" s="36" t="str">
        <x:v>Sleep &amp; Respiratory Care (SRC)</x:v>
      </x:c>
      <x:c r="D102" s="36"/>
      <x:c r="E102" s="36" t="str"/>
      <x:c r="F102" s="36" t="str">
        <x:v>YES</x:v>
      </x:c>
      <x:c r="G102" s="36" t="str">
        <x:v>5 — Exactly the minimum — only what's needed to meet the rule, nothing more.</x:v>
      </x:c>
      <x:c r="H102" s="36" t="str">
        <x:v>5 — Severe — criminal liability, loss of a licence, a product or market withdrawal, or a patient-safety / major data-breach exposure.</x:v>
      </x:c>
      <x:c r="I102" s="36" t="str">
        <x:v>4 — Likely — an audit or inspection is scheduled, or we've had findings on this before.</x:v>
      </x:c>
      <x:c r="J102" s="36" t="str">
        <x:v>3 — Between six months and a year away.</x:v>
      </x:c>
      <x:c r="K102" s="36" t="n">
        <x:v>20</x:v>
      </x:c>
      <x:c r="L102" s="36" t="str">
        <x:v>P1 — Immediate</x:v>
      </x:c>
      <x:c r="M102" s="36" t="str"/>
      <x:c r="N102" s="36" t="str"/>
      <x:c r="O102" s="43"/>
      <x:c r="P102" s="43"/>
      <x:c r="Q102" s="43"/>
      <x:c r="R102" s="43"/>
      <x:c r="S102" s="43"/>
      <x:c r="T102" s="43"/>
      <x:c r="U102" s="43"/>
      <x:c r="V102" s="43"/>
      <x:c r="W102" s="43"/>
      <x:c r="X102" s="43"/>
      <x:c r="Y102" s="43"/>
      <x:c r="Z102" s="43"/>
      <x:c r="AA102" s="43"/>
      <x:c r="AB102" s="43"/>
      <x:c r="AC102" s="43"/>
      <x:c r="AD102" s="43"/>
      <x:c r="AE102" s="43"/>
      <x:c r="AF102" s="43"/>
      <x:c r="AG102" s="43"/>
      <x:c r="AH102" s="43"/>
      <x:c r="AI102" s="43"/>
      <x:c r="AJ102" s="43"/>
      <x:c r="AK102" s="43"/>
      <x:c r="AL102" s="43"/>
      <x:c r="AM102" s="43"/>
      <x:c r="AN102" s="43"/>
      <x:c r="AO102" s="43"/>
      <x:c r="AP102" s="43"/>
    </x:row>
    <x:row r="103" ht="15" hidden="0" customHeight="1">
      <x:c r="A103" s="36" t="str">
        <x:v>BU Led Waste Matrix!row 106</x:v>
      </x:c>
      <x:c r="B103" s="37" t="str">
        <x:v>SRC Uno Data Lake</x:v>
      </x:c>
      <x:c r="C103" s="36" t="str">
        <x:v>Sleep &amp; Respiratory Care (SRC)</x:v>
      </x:c>
      <x:c r="D103" s="36"/>
      <x:c r="E103" s="36" t="str"/>
      <x:c r="F103" s="36" t="str">
        <x:v>YES</x:v>
      </x:c>
      <x:c r="G103" s="36" t="str">
        <x:v>5 — Exactly the minimum — only what's needed to meet the rule, nothing more.</x:v>
      </x:c>
      <x:c r="H103" s="36" t="str">
        <x:v>5 — Severe — criminal liability, loss of a licence, a product or market withdrawal, or a patient-safety / major data-breach exposure.</x:v>
      </x:c>
      <x:c r="I103" s="36" t="str">
        <x:v>4 — Likely — an audit or inspection is scheduled, or we've had findings on this before.</x:v>
      </x:c>
      <x:c r="J103" s="36" t="str">
        <x:v>3 — Between six months and a year away.</x:v>
      </x:c>
      <x:c r="K103" s="36" t="n">
        <x:v>20</x:v>
      </x:c>
      <x:c r="L103" s="36" t="str">
        <x:v>P1 — Immediate</x:v>
      </x:c>
      <x:c r="M103" s="36" t="str"/>
      <x:c r="N103" s="36" t="str"/>
      <x:c r="O103" s="43"/>
      <x:c r="P103" s="43"/>
      <x:c r="Q103" s="43"/>
      <x:c r="R103" s="43"/>
      <x:c r="S103" s="43"/>
      <x:c r="T103" s="43"/>
      <x:c r="U103" s="43"/>
      <x:c r="V103" s="43"/>
      <x:c r="W103" s="43"/>
      <x:c r="X103" s="43"/>
      <x:c r="Y103" s="43"/>
      <x:c r="Z103" s="43"/>
      <x:c r="AA103" s="43"/>
      <x:c r="AB103" s="43"/>
      <x:c r="AC103" s="43"/>
      <x:c r="AD103" s="43"/>
      <x:c r="AE103" s="43"/>
      <x:c r="AF103" s="43"/>
      <x:c r="AG103" s="43"/>
      <x:c r="AH103" s="43"/>
      <x:c r="AI103" s="43"/>
      <x:c r="AJ103" s="43"/>
      <x:c r="AK103" s="43"/>
      <x:c r="AL103" s="43"/>
      <x:c r="AM103" s="43"/>
      <x:c r="AN103" s="43"/>
      <x:c r="AO103" s="43"/>
      <x:c r="AP103" s="43"/>
    </x:row>
    <x:row r="104" ht="15" hidden="0" customHeight="1">
      <x:c r="A104" s="36" t="str">
        <x:v>BU Led Waste Matrix!row 107</x:v>
      </x:c>
      <x:c r="B104" s="37" t="str">
        <x:v>Planisware/PARP</x:v>
      </x:c>
      <x:c r="C104" s="36" t="str">
        <x:v>Image Guided Therapy - Systems (IGT-S)</x:v>
      </x:c>
      <x:c r="D104" s="36" t="n">
        <x:v>1.1</x:v>
      </x:c>
      <x:c r="E104" s="36" t="str">
        <x:v>HEALTHY</x:v>
      </x:c>
      <x:c r="F104" s="36" t="str"/>
      <x:c r="G104" s="36" t="str"/>
      <x:c r="H104" s="36" t="str"/>
      <x:c r="I104" s="36" t="str"/>
      <x:c r="J104" s="36" t="str"/>
      <x:c r="K104" s="36"/>
      <x:c r="L104" s="36" t="str"/>
      <x:c r="M104" s="36" t="str">
        <x:v>HEALTHY — Rank in priority matrix</x:v>
      </x:c>
      <x:c r="N104" s="36" t="str"/>
      <x:c r="O104" s="43"/>
      <x:c r="P104" s="43"/>
      <x:c r="Q104" s="43"/>
      <x:c r="R104" s="43"/>
      <x:c r="S104" s="43"/>
      <x:c r="T104" s="43"/>
      <x:c r="U104" s="43"/>
      <x:c r="V104" s="43"/>
      <x:c r="W104" s="43"/>
      <x:c r="X104" s="43"/>
      <x:c r="Y104" s="43"/>
      <x:c r="Z104" s="43"/>
      <x:c r="AA104" s="43"/>
      <x:c r="AB104" s="43"/>
      <x:c r="AC104" s="43"/>
      <x:c r="AD104" s="43"/>
      <x:c r="AE104" s="43"/>
      <x:c r="AF104" s="43"/>
      <x:c r="AG104" s="43"/>
      <x:c r="AH104" s="43"/>
      <x:c r="AI104" s="43"/>
      <x:c r="AJ104" s="43"/>
      <x:c r="AK104" s="43"/>
      <x:c r="AL104" s="43"/>
      <x:c r="AM104" s="43"/>
      <x:c r="AN104" s="43"/>
      <x:c r="AO104" s="43"/>
      <x:c r="AP104" s="43"/>
    </x:row>
    <x:row r="105" ht="15" hidden="0" customHeight="1">
      <x:c r="A105" s="36" t="str">
        <x:v>BU Led Waste Matrix!row 108</x:v>
      </x:c>
      <x:c r="B105" s="37" t="str">
        <x:v>QlikSense/ADL</x:v>
      </x:c>
      <x:c r="C105" s="36" t="str">
        <x:v>Image Guided Therapy - Systems (IGT-S)</x:v>
      </x:c>
      <x:c r="D105" s="36" t="n">
        <x:v>1.05</x:v>
      </x:c>
      <x:c r="E105" s="36" t="str">
        <x:v>HEALTHY</x:v>
      </x:c>
      <x:c r="F105" s="36" t="str"/>
      <x:c r="G105" s="36" t="str"/>
      <x:c r="H105" s="36" t="str"/>
      <x:c r="I105" s="36" t="str"/>
      <x:c r="J105" s="36" t="str"/>
      <x:c r="K105" s="36"/>
      <x:c r="L105" s="36" t="str"/>
      <x:c r="M105" s="36" t="str">
        <x:v>HEALTHY — Rank in priority matrix</x:v>
      </x:c>
      <x:c r="N105" s="36" t="str"/>
      <x:c r="O105" s="43"/>
      <x:c r="P105" s="43"/>
      <x:c r="Q105" s="43"/>
      <x:c r="R105" s="43"/>
      <x:c r="S105" s="43"/>
      <x:c r="T105" s="43"/>
      <x:c r="U105" s="43"/>
      <x:c r="V105" s="43"/>
      <x:c r="W105" s="43"/>
      <x:c r="X105" s="43"/>
      <x:c r="Y105" s="43"/>
      <x:c r="Z105" s="43"/>
      <x:c r="AA105" s="43"/>
      <x:c r="AB105" s="43"/>
      <x:c r="AC105" s="43"/>
      <x:c r="AD105" s="43"/>
      <x:c r="AE105" s="43"/>
      <x:c r="AF105" s="43"/>
      <x:c r="AG105" s="43"/>
      <x:c r="AH105" s="43"/>
      <x:c r="AI105" s="43"/>
      <x:c r="AJ105" s="43"/>
      <x:c r="AK105" s="43"/>
      <x:c r="AL105" s="43"/>
      <x:c r="AM105" s="43"/>
      <x:c r="AN105" s="43"/>
      <x:c r="AO105" s="43"/>
      <x:c r="AP105" s="43"/>
    </x:row>
    <x:row r="106" ht="15" hidden="0" customHeight="1">
      <x:c r="A106" s="36" t="str">
        <x:v>BU Led Waste Matrix!row 109</x:v>
      </x:c>
      <x:c r="B106" s="37" t="str">
        <x:v>cPLM (Windchill)</x:v>
      </x:c>
      <x:c r="C106" s="36" t="str">
        <x:v>Image Guided Therapy - Systems (IGT-S)</x:v>
      </x:c>
      <x:c r="D106" s="36" t="n">
        <x:v>1.05</x:v>
      </x:c>
      <x:c r="E106" s="36" t="str">
        <x:v>HEALTHY</x:v>
      </x:c>
      <x:c r="F106" s="36" t="str"/>
      <x:c r="G106" s="36" t="str"/>
      <x:c r="H106" s="36" t="str"/>
      <x:c r="I106" s="36" t="str"/>
      <x:c r="J106" s="36" t="str"/>
      <x:c r="K106" s="36"/>
      <x:c r="L106" s="36" t="str"/>
      <x:c r="M106" s="36" t="str">
        <x:v>HEALTHY — Rank in priority matrix</x:v>
      </x:c>
      <x:c r="N106" s="36" t="str"/>
      <x:c r="O106" s="43"/>
      <x:c r="P106" s="43"/>
      <x:c r="Q106" s="43"/>
      <x:c r="R106" s="43"/>
      <x:c r="S106" s="43"/>
      <x:c r="T106" s="43"/>
      <x:c r="U106" s="43"/>
      <x:c r="V106" s="43"/>
      <x:c r="W106" s="43"/>
      <x:c r="X106" s="43"/>
      <x:c r="Y106" s="43"/>
      <x:c r="Z106" s="43"/>
      <x:c r="AA106" s="43"/>
      <x:c r="AB106" s="43"/>
      <x:c r="AC106" s="43"/>
      <x:c r="AD106" s="43"/>
      <x:c r="AE106" s="43"/>
      <x:c r="AF106" s="43"/>
      <x:c r="AG106" s="43"/>
      <x:c r="AH106" s="43"/>
      <x:c r="AI106" s="43"/>
      <x:c r="AJ106" s="43"/>
      <x:c r="AK106" s="43"/>
      <x:c r="AL106" s="43"/>
      <x:c r="AM106" s="43"/>
      <x:c r="AN106" s="43"/>
      <x:c r="AO106" s="43"/>
      <x:c r="AP106" s="43"/>
    </x:row>
    <x:row r="107" ht="15" hidden="0" customHeight="1">
      <x:c r="A107" s="36" t="str">
        <x:v>BU Led Waste Matrix!row 110</x:v>
      </x:c>
      <x:c r="B107" s="37" t="str">
        <x:v>Probe Repair</x:v>
      </x:c>
      <x:c r="C107" s="36" t="str">
        <x:v>Precision Diagnosis - Ultrasound (PDU)</x:v>
      </x:c>
      <x:c r="D107" s="36"/>
      <x:c r="E107" s="36" t="str"/>
      <x:c r="F107" s="36" t="str"/>
      <x:c r="G107" s="36" t="str"/>
      <x:c r="H107" s="36" t="str"/>
      <x:c r="I107" s="36" t="str"/>
      <x:c r="J107" s="36" t="str"/>
      <x:c r="K107" s="36"/>
      <x:c r="L107" s="36" t="str"/>
      <x:c r="M107" s="36" t="str"/>
      <x:c r="N107" s="36" t="str"/>
      <x:c r="O107" s="43"/>
      <x:c r="P107" s="43"/>
      <x:c r="Q107" s="43"/>
      <x:c r="R107" s="43"/>
      <x:c r="S107" s="43"/>
      <x:c r="T107" s="43"/>
      <x:c r="U107" s="43"/>
      <x:c r="V107" s="43"/>
      <x:c r="W107" s="43"/>
      <x:c r="X107" s="43"/>
      <x:c r="Y107" s="43"/>
      <x:c r="Z107" s="43"/>
      <x:c r="AA107" s="43"/>
      <x:c r="AB107" s="43"/>
      <x:c r="AC107" s="43"/>
      <x:c r="AD107" s="43"/>
      <x:c r="AE107" s="43"/>
      <x:c r="AF107" s="43"/>
      <x:c r="AG107" s="43"/>
      <x:c r="AH107" s="43"/>
      <x:c r="AI107" s="43"/>
      <x:c r="AJ107" s="43"/>
      <x:c r="AK107" s="43"/>
      <x:c r="AL107" s="43"/>
      <x:c r="AM107" s="43"/>
      <x:c r="AN107" s="43"/>
      <x:c r="AO107" s="43"/>
      <x:c r="AP107" s="43"/>
    </x:row>
    <x:row r="108" ht="15" hidden="0" customHeight="1">
      <x:c r="A108" s="36" t="str">
        <x:v>BU Led Waste Matrix!row 111</x:v>
      </x:c>
      <x:c r="B108" s="37" t="str">
        <x:v>Ultrasound Simplification</x:v>
      </x:c>
      <x:c r="C108" s="36" t="str">
        <x:v>Precision Diagnosis - Ultrasound (PDU)</x:v>
      </x:c>
      <x:c r="D108" s="36" t="n">
        <x:v>1.4</x:v>
      </x:c>
      <x:c r="E108" s="36" t="str">
        <x:v>HEALTHY</x:v>
      </x:c>
      <x:c r="F108" s="36" t="str"/>
      <x:c r="G108" s="36" t="str"/>
      <x:c r="H108" s="36" t="str"/>
      <x:c r="I108" s="36" t="str"/>
      <x:c r="J108" s="36" t="str"/>
      <x:c r="K108" s="36"/>
      <x:c r="L108" s="36" t="str"/>
      <x:c r="M108" s="36" t="str">
        <x:v>HEALTHY — Rank in priority matrix</x:v>
      </x:c>
      <x:c r="N108" s="36" t="str"/>
      <x:c r="O108" s="43"/>
      <x:c r="P108" s="43"/>
      <x:c r="Q108" s="43"/>
      <x:c r="R108" s="43"/>
      <x:c r="S108" s="43"/>
      <x:c r="T108" s="43"/>
      <x:c r="U108" s="43"/>
      <x:c r="V108" s="43"/>
      <x:c r="W108" s="43"/>
      <x:c r="X108" s="43"/>
      <x:c r="Y108" s="43"/>
      <x:c r="Z108" s="43"/>
      <x:c r="AA108" s="43"/>
      <x:c r="AB108" s="43"/>
      <x:c r="AC108" s="43"/>
      <x:c r="AD108" s="43"/>
      <x:c r="AE108" s="43"/>
      <x:c r="AF108" s="43"/>
      <x:c r="AG108" s="43"/>
      <x:c r="AH108" s="43"/>
      <x:c r="AI108" s="43"/>
      <x:c r="AJ108" s="43"/>
      <x:c r="AK108" s="43"/>
      <x:c r="AL108" s="43"/>
      <x:c r="AM108" s="43"/>
      <x:c r="AN108" s="43"/>
      <x:c r="AO108" s="43"/>
      <x:c r="AP108" s="43"/>
    </x:row>
    <x:row r="109" ht="15" hidden="0" customHeight="1">
      <x:c r="A109" s="36" t="str">
        <x:v>BU Led Waste Matrix!row 112</x:v>
      </x:c>
      <x:c r="B109" s="37" t="str">
        <x:v>Ultrasound Data &amp; AI</x:v>
      </x:c>
      <x:c r="C109" s="36" t="str">
        <x:v>Precision Diagnosis - Ultrasound (PDU)</x:v>
      </x:c>
      <x:c r="D109" s="36" t="n">
        <x:v>1.5</x:v>
      </x:c>
      <x:c r="E109" s="36" t="str">
        <x:v>HEALTHY</x:v>
      </x:c>
      <x:c r="F109" s="36" t="str"/>
      <x:c r="G109" s="36" t="str"/>
      <x:c r="H109" s="36" t="str"/>
      <x:c r="I109" s="36" t="str"/>
      <x:c r="J109" s="36" t="str"/>
      <x:c r="K109" s="36"/>
      <x:c r="L109" s="36" t="str"/>
      <x:c r="M109" s="36" t="str">
        <x:v>HEALTHY — Rank in priority matrix</x:v>
      </x:c>
      <x:c r="N109" s="36" t="str"/>
      <x:c r="O109" s="43"/>
      <x:c r="P109" s="43"/>
      <x:c r="Q109" s="43"/>
      <x:c r="R109" s="43"/>
      <x:c r="S109" s="43"/>
      <x:c r="T109" s="43"/>
      <x:c r="U109" s="43"/>
      <x:c r="V109" s="43"/>
      <x:c r="W109" s="43"/>
      <x:c r="X109" s="43"/>
      <x:c r="Y109" s="43"/>
      <x:c r="Z109" s="43"/>
      <x:c r="AA109" s="43"/>
      <x:c r="AB109" s="43"/>
      <x:c r="AC109" s="43"/>
      <x:c r="AD109" s="43"/>
      <x:c r="AE109" s="43"/>
      <x:c r="AF109" s="43"/>
      <x:c r="AG109" s="43"/>
      <x:c r="AH109" s="43"/>
      <x:c r="AI109" s="43"/>
      <x:c r="AJ109" s="43"/>
      <x:c r="AK109" s="43"/>
      <x:c r="AL109" s="43"/>
      <x:c r="AM109" s="43"/>
      <x:c r="AN109" s="43"/>
      <x:c r="AO109" s="43"/>
      <x:c r="AP109" s="43"/>
    </x:row>
    <x:row r="110" ht="15" hidden="0" customHeight="1">
      <x:c r="A110" s="36" t="str">
        <x:v>BU Led Waste Matrix!row 113</x:v>
      </x:c>
      <x:c r="B110" s="37" t="str">
        <x:v>Catalog Simplification - Catalog workflow</x:v>
      </x:c>
      <x:c r="C110" s="36" t="str">
        <x:v>Precision Diagnosis - Ultrasound (PDU)</x:v>
      </x:c>
      <x:c r="D110" s="36" t="n">
        <x:v>1.7</x:v>
      </x:c>
      <x:c r="E110" s="36" t="str">
        <x:v>HEALTHY</x:v>
      </x:c>
      <x:c r="F110" s="36" t="str"/>
      <x:c r="G110" s="36" t="str"/>
      <x:c r="H110" s="36" t="str"/>
      <x:c r="I110" s="36" t="str"/>
      <x:c r="J110" s="36" t="str"/>
      <x:c r="K110" s="36"/>
      <x:c r="L110" s="36" t="str"/>
      <x:c r="M110" s="36" t="str">
        <x:v>HEALTHY — Rank in priority matrix</x:v>
      </x:c>
      <x:c r="N110" s="36" t="str"/>
      <x:c r="O110" s="43"/>
      <x:c r="P110" s="43"/>
      <x:c r="Q110" s="43"/>
      <x:c r="R110" s="43"/>
      <x:c r="S110" s="43"/>
      <x:c r="T110" s="43"/>
      <x:c r="U110" s="43"/>
      <x:c r="V110" s="43"/>
      <x:c r="W110" s="43"/>
      <x:c r="X110" s="43"/>
      <x:c r="Y110" s="43"/>
      <x:c r="Z110" s="43"/>
      <x:c r="AA110" s="43"/>
      <x:c r="AB110" s="43"/>
      <x:c r="AC110" s="43"/>
      <x:c r="AD110" s="43"/>
      <x:c r="AE110" s="43"/>
      <x:c r="AF110" s="43"/>
      <x:c r="AG110" s="43"/>
      <x:c r="AH110" s="43"/>
      <x:c r="AI110" s="43"/>
      <x:c r="AJ110" s="43"/>
      <x:c r="AK110" s="43"/>
      <x:c r="AL110" s="43"/>
      <x:c r="AM110" s="43"/>
      <x:c r="AN110" s="43"/>
      <x:c r="AO110" s="43"/>
      <x:c r="AP110" s="43"/>
    </x:row>
    <x:row r="111" ht="15" hidden="0" customHeight="1">
      <x:c r="A111" s="36" t="str">
        <x:v>BU Led Waste Matrix!row 114</x:v>
      </x:c>
      <x:c r="B111" s="37" t="str">
        <x:v>Ultrasound ISC Transformation</x:v>
      </x:c>
      <x:c r="C111" s="36" t="str">
        <x:v>Precision Diagnosis - Ultrasound (PDU)</x:v>
      </x:c>
      <x:c r="D111" s="36" t="n">
        <x:v>1.4</x:v>
      </x:c>
      <x:c r="E111" s="36" t="str">
        <x:v>HEALTHY</x:v>
      </x:c>
      <x:c r="F111" s="36" t="str"/>
      <x:c r="G111" s="36" t="str"/>
      <x:c r="H111" s="36" t="str"/>
      <x:c r="I111" s="36" t="str"/>
      <x:c r="J111" s="36" t="str"/>
      <x:c r="K111" s="36"/>
      <x:c r="L111" s="36" t="str"/>
      <x:c r="M111" s="36" t="str">
        <x:v>HEALTHY — Rank in priority matrix</x:v>
      </x:c>
      <x:c r="N111" s="36" t="str"/>
      <x:c r="O111" s="43"/>
      <x:c r="P111" s="43"/>
      <x:c r="Q111" s="43"/>
      <x:c r="R111" s="43"/>
      <x:c r="S111" s="43"/>
      <x:c r="T111" s="43"/>
      <x:c r="U111" s="43"/>
      <x:c r="V111" s="43"/>
      <x:c r="W111" s="43"/>
      <x:c r="X111" s="43"/>
      <x:c r="Y111" s="43"/>
      <x:c r="Z111" s="43"/>
      <x:c r="AA111" s="43"/>
      <x:c r="AB111" s="43"/>
      <x:c r="AC111" s="43"/>
      <x:c r="AD111" s="43"/>
      <x:c r="AE111" s="43"/>
      <x:c r="AF111" s="43"/>
      <x:c r="AG111" s="43"/>
      <x:c r="AH111" s="43"/>
      <x:c r="AI111" s="43"/>
      <x:c r="AJ111" s="43"/>
      <x:c r="AK111" s="43"/>
      <x:c r="AL111" s="43"/>
      <x:c r="AM111" s="43"/>
      <x:c r="AN111" s="43"/>
      <x:c r="AO111" s="43"/>
      <x:c r="AP111" s="43"/>
    </x:row>
    <x:row r="112" ht="15" hidden="0" customHeight="1">
      <x:c r="A112" s="36" t="str">
        <x:v>BU Led Waste Matrix!row 115</x:v>
      </x:c>
      <x:c r="B112" s="37" t="str">
        <x:v>IR27#43 - D2B Configurable Product Mgt</x:v>
      </x:c>
      <x:c r="C112" s="36" t="str">
        <x:v>International Regions (IR)</x:v>
      </x:c>
      <x:c r="D112" s="36"/>
      <x:c r="E112" s="36" t="str"/>
      <x:c r="F112" s="36" t="str"/>
      <x:c r="G112" s="36" t="str"/>
      <x:c r="H112" s="36" t="str"/>
      <x:c r="I112" s="36" t="str"/>
      <x:c r="J112" s="36" t="str"/>
      <x:c r="K112" s="36"/>
      <x:c r="L112" s="36" t="str"/>
      <x:c r="M112" s="36" t="str"/>
      <x:c r="N112" s="36" t="str"/>
      <x:c r="O112" s="43"/>
      <x:c r="P112" s="43"/>
      <x:c r="Q112" s="43"/>
      <x:c r="R112" s="43"/>
      <x:c r="S112" s="43"/>
      <x:c r="T112" s="43"/>
      <x:c r="U112" s="43"/>
      <x:c r="V112" s="43"/>
      <x:c r="W112" s="43"/>
      <x:c r="X112" s="43"/>
      <x:c r="Y112" s="43"/>
      <x:c r="Z112" s="43"/>
      <x:c r="AA112" s="43"/>
      <x:c r="AB112" s="43"/>
      <x:c r="AC112" s="43"/>
      <x:c r="AD112" s="43"/>
      <x:c r="AE112" s="43"/>
      <x:c r="AF112" s="43"/>
      <x:c r="AG112" s="43"/>
      <x:c r="AH112" s="43"/>
      <x:c r="AI112" s="43"/>
      <x:c r="AJ112" s="43"/>
      <x:c r="AK112" s="43"/>
      <x:c r="AL112" s="43"/>
      <x:c r="AM112" s="43"/>
      <x:c r="AN112" s="43"/>
      <x:c r="AO112" s="43"/>
      <x:c r="AP112" s="43"/>
    </x:row>
    <x:row r="113" ht="15" hidden="0" customHeight="1">
      <x:c r="A113" s="36" t="str">
        <x:v>BU Led Waste Matrix!row 116</x:v>
      </x:c>
      <x:c r="B113" s="37" t="str">
        <x:v>IR27#44 - EDI Continuous Improvement incl BNL Peppol Orders</x:v>
      </x:c>
      <x:c r="C113" s="36" t="str">
        <x:v>International Regions (IR)</x:v>
      </x:c>
      <x:c r="D113" s="36"/>
      <x:c r="E113" s="36" t="str"/>
      <x:c r="F113" s="36" t="str"/>
      <x:c r="G113" s="36" t="str"/>
      <x:c r="H113" s="36" t="str"/>
      <x:c r="I113" s="36" t="str"/>
      <x:c r="J113" s="36" t="str"/>
      <x:c r="K113" s="36"/>
      <x:c r="L113" s="36" t="str"/>
      <x:c r="M113" s="36" t="str"/>
      <x:c r="N113" s="36" t="str"/>
      <x:c r="O113" s="43"/>
      <x:c r="P113" s="43"/>
      <x:c r="Q113" s="43"/>
      <x:c r="R113" s="43"/>
      <x:c r="S113" s="43"/>
      <x:c r="T113" s="43"/>
      <x:c r="U113" s="43"/>
      <x:c r="V113" s="43"/>
      <x:c r="W113" s="43"/>
      <x:c r="X113" s="43"/>
      <x:c r="Y113" s="43"/>
      <x:c r="Z113" s="43"/>
      <x:c r="AA113" s="43"/>
      <x:c r="AB113" s="43"/>
      <x:c r="AC113" s="43"/>
      <x:c r="AD113" s="43"/>
      <x:c r="AE113" s="43"/>
      <x:c r="AF113" s="43"/>
      <x:c r="AG113" s="43"/>
      <x:c r="AH113" s="43"/>
      <x:c r="AI113" s="43"/>
      <x:c r="AJ113" s="43"/>
      <x:c r="AK113" s="43"/>
      <x:c r="AL113" s="43"/>
      <x:c r="AM113" s="43"/>
      <x:c r="AN113" s="43"/>
      <x:c r="AO113" s="43"/>
      <x:c r="AP113" s="43"/>
    </x:row>
    <x:row r="114" ht="24" hidden="0" customHeight="1">
      <x:c r="A114" s="36" t="str">
        <x:v>BU Led Waste Matrix!row 117</x:v>
      </x:c>
      <x:c r="B114" s="37" t="str">
        <x:v>IR27#60 - Supply Chain Excellence (in fact 3x Type 1: each 50K HPM SE, ULS DK, IGTD Italy) - create 3 lines?</x:v>
      </x:c>
      <x:c r="C114" s="36" t="str">
        <x:v>International Regions (IR)</x:v>
      </x:c>
      <x:c r="D114" s="36" t="n">
        <x:v>1.2</x:v>
      </x:c>
      <x:c r="E114" s="36" t="str">
        <x:v>HEALTHY</x:v>
      </x:c>
      <x:c r="F114" s="36" t="str"/>
      <x:c r="G114" s="36" t="str"/>
      <x:c r="H114" s="36" t="str"/>
      <x:c r="I114" s="36" t="str"/>
      <x:c r="J114" s="36" t="str"/>
      <x:c r="K114" s="36"/>
      <x:c r="L114" s="36" t="str"/>
      <x:c r="M114" s="36" t="str">
        <x:v>HEALTHY — Rank in priority matrix</x:v>
      </x:c>
      <x:c r="N114" s="36" t="str"/>
      <x:c r="O114" s="43"/>
      <x:c r="P114" s="43"/>
      <x:c r="Q114" s="43"/>
      <x:c r="R114" s="43"/>
      <x:c r="S114" s="43"/>
      <x:c r="T114" s="43"/>
      <x:c r="U114" s="43"/>
      <x:c r="V114" s="43"/>
      <x:c r="W114" s="43"/>
      <x:c r="X114" s="43"/>
      <x:c r="Y114" s="43"/>
      <x:c r="Z114" s="43"/>
      <x:c r="AA114" s="43"/>
      <x:c r="AB114" s="43"/>
      <x:c r="AC114" s="43"/>
      <x:c r="AD114" s="43"/>
      <x:c r="AE114" s="43"/>
      <x:c r="AF114" s="43"/>
      <x:c r="AG114" s="43"/>
      <x:c r="AH114" s="43"/>
      <x:c r="AI114" s="43"/>
      <x:c r="AJ114" s="43"/>
      <x:c r="AK114" s="43"/>
      <x:c r="AL114" s="43"/>
      <x:c r="AM114" s="43"/>
      <x:c r="AN114" s="43"/>
      <x:c r="AO114" s="43"/>
      <x:c r="AP114" s="43"/>
    </x:row>
    <x:row r="115" ht="15" hidden="0" customHeight="1">
      <x:c r="A115" s="36" t="str">
        <x:v>BU Led Waste Matrix!row 118</x:v>
      </x:c>
      <x:c r="B115" s="37" t="str">
        <x:v>IR27#70 - SC IW&amp;D Excellence</x:v>
      </x:c>
      <x:c r="C115" s="36" t="str">
        <x:v>International Regions (IR)</x:v>
      </x:c>
      <x:c r="D115" s="36" t="n">
        <x:v>1.55</x:v>
      </x:c>
      <x:c r="E115" s="36" t="str">
        <x:v>HEALTHY</x:v>
      </x:c>
      <x:c r="F115" s="36" t="str"/>
      <x:c r="G115" s="36" t="str"/>
      <x:c r="H115" s="36" t="str"/>
      <x:c r="I115" s="36" t="str"/>
      <x:c r="J115" s="36" t="str"/>
      <x:c r="K115" s="36"/>
      <x:c r="L115" s="36" t="str"/>
      <x:c r="M115" s="36" t="str">
        <x:v>HEALTHY — Rank in priority matrix</x:v>
      </x:c>
      <x:c r="N115" s="36" t="str"/>
      <x:c r="O115" s="43"/>
      <x:c r="P115" s="43"/>
      <x:c r="Q115" s="43"/>
      <x:c r="R115" s="43"/>
      <x:c r="S115" s="43"/>
      <x:c r="T115" s="43"/>
      <x:c r="U115" s="43"/>
      <x:c r="V115" s="43"/>
      <x:c r="W115" s="43"/>
      <x:c r="X115" s="43"/>
      <x:c r="Y115" s="43"/>
      <x:c r="Z115" s="43"/>
      <x:c r="AA115" s="43"/>
      <x:c r="AB115" s="43"/>
      <x:c r="AC115" s="43"/>
      <x:c r="AD115" s="43"/>
      <x:c r="AE115" s="43"/>
      <x:c r="AF115" s="43"/>
      <x:c r="AG115" s="43"/>
      <x:c r="AH115" s="43"/>
      <x:c r="AI115" s="43"/>
      <x:c r="AJ115" s="43"/>
      <x:c r="AK115" s="43"/>
      <x:c r="AL115" s="43"/>
      <x:c r="AM115" s="43"/>
      <x:c r="AN115" s="43"/>
      <x:c r="AO115" s="43"/>
      <x:c r="AP115" s="43"/>
    </x:row>
    <x:row r="116" ht="15" hidden="0" customHeight="1">
      <x:c r="A116" s="36" t="str">
        <x:v>BU Led Waste Matrix!row 119</x:v>
      </x:c>
      <x:c r="B116" s="37" t="str">
        <x:v>(idle)</x:v>
      </x:c>
      <x:c r="C116" s="36" t="str">
        <x:v>International Regions (IR)</x:v>
      </x:c>
      <x:c r="D116" s="36"/>
      <x:c r="E116" s="36" t="str"/>
      <x:c r="F116" s="36" t="str"/>
      <x:c r="G116" s="36" t="str"/>
      <x:c r="H116" s="36" t="str"/>
      <x:c r="I116" s="36" t="str"/>
      <x:c r="J116" s="36" t="str"/>
      <x:c r="K116" s="36"/>
      <x:c r="L116" s="36" t="str"/>
      <x:c r="M116" s="36" t="str"/>
      <x:c r="N116" s="36" t="str"/>
      <x:c r="O116" s="43"/>
      <x:c r="P116" s="43"/>
      <x:c r="Q116" s="43"/>
      <x:c r="R116" s="43"/>
      <x:c r="S116" s="43"/>
      <x:c r="T116" s="43"/>
      <x:c r="U116" s="43"/>
      <x:c r="V116" s="43"/>
      <x:c r="W116" s="43"/>
      <x:c r="X116" s="43"/>
      <x:c r="Y116" s="43"/>
      <x:c r="Z116" s="43"/>
      <x:c r="AA116" s="43"/>
      <x:c r="AB116" s="43"/>
      <x:c r="AC116" s="43"/>
      <x:c r="AD116" s="43"/>
      <x:c r="AE116" s="43"/>
      <x:c r="AF116" s="43"/>
      <x:c r="AG116" s="43"/>
      <x:c r="AH116" s="43"/>
      <x:c r="AI116" s="43"/>
      <x:c r="AJ116" s="43"/>
      <x:c r="AK116" s="43"/>
      <x:c r="AL116" s="43"/>
      <x:c r="AM116" s="43"/>
      <x:c r="AN116" s="43"/>
      <x:c r="AO116" s="43"/>
      <x:c r="AP116" s="43"/>
    </x:row>
    <x:row r="117" ht="24" hidden="0" customHeight="1">
      <x:c r="A117" s="36" t="str">
        <x:v>BU Led Waste Matrix!row 120</x:v>
      </x:c>
      <x:c r="B117" s="37" t="str">
        <x:v>IR27#15 - ORU extension requirement (too early to submit/judge, ballpark 500K, Exco discussion proceeding)</x:v>
      </x:c>
      <x:c r="C117" s="36" t="str">
        <x:v>International Regions (IR)</x:v>
      </x:c>
      <x:c r="D117" s="36" t="n">
        <x:v>1.05</x:v>
      </x:c>
      <x:c r="E117" s="36" t="str">
        <x:v>HEALTHY</x:v>
      </x:c>
      <x:c r="F117" s="36" t="str"/>
      <x:c r="G117" s="36" t="str"/>
      <x:c r="H117" s="36" t="str"/>
      <x:c r="I117" s="36" t="str"/>
      <x:c r="J117" s="36" t="str"/>
      <x:c r="K117" s="36"/>
      <x:c r="L117" s="36" t="str"/>
      <x:c r="M117" s="36" t="str">
        <x:v>HEALTHY — Rank in priority matrix</x:v>
      </x:c>
      <x:c r="N117" s="36" t="str"/>
      <x:c r="O117" s="43"/>
      <x:c r="P117" s="43"/>
      <x:c r="Q117" s="43"/>
      <x:c r="R117" s="43"/>
      <x:c r="S117" s="43"/>
      <x:c r="T117" s="43"/>
      <x:c r="U117" s="43"/>
      <x:c r="V117" s="43"/>
      <x:c r="W117" s="43"/>
      <x:c r="X117" s="43"/>
      <x:c r="Y117" s="43"/>
      <x:c r="Z117" s="43"/>
      <x:c r="AA117" s="43"/>
      <x:c r="AB117" s="43"/>
      <x:c r="AC117" s="43"/>
      <x:c r="AD117" s="43"/>
      <x:c r="AE117" s="43"/>
      <x:c r="AF117" s="43"/>
      <x:c r="AG117" s="43"/>
      <x:c r="AH117" s="43"/>
      <x:c r="AI117" s="43"/>
      <x:c r="AJ117" s="43"/>
      <x:c r="AK117" s="43"/>
      <x:c r="AL117" s="43"/>
      <x:c r="AM117" s="43"/>
      <x:c r="AN117" s="43"/>
      <x:c r="AO117" s="43"/>
      <x:c r="AP117" s="43"/>
    </x:row>
    <x:row r="118" ht="15" hidden="0" customHeight="1">
      <x:c r="A118" s="36" t="str">
        <x:v>BU Led Waste Matrix!row 121</x:v>
      </x:c>
      <x:c r="B118" s="37" t="str">
        <x:v>M&amp;A PMI Matrix</x:v>
      </x:c>
      <x:c r="C118" s="36" t="str">
        <x:v>Group Innovation &amp; Strategy ​</x:v>
      </x:c>
      <x:c r="D118" s="36"/>
      <x:c r="E118" s="36" t="str"/>
      <x:c r="F118" s="36" t="str"/>
      <x:c r="G118" s="36" t="str"/>
      <x:c r="H118" s="36" t="str"/>
      <x:c r="I118" s="36" t="str"/>
      <x:c r="J118" s="36" t="str"/>
      <x:c r="K118" s="36"/>
      <x:c r="L118" s="36" t="str"/>
      <x:c r="M118" s="36" t="str"/>
      <x:c r="N118" s="36" t="str"/>
      <x:c r="O118" s="43"/>
      <x:c r="P118" s="43"/>
      <x:c r="Q118" s="43"/>
      <x:c r="R118" s="43"/>
      <x:c r="S118" s="43"/>
      <x:c r="T118" s="43"/>
      <x:c r="U118" s="43"/>
      <x:c r="V118" s="43"/>
      <x:c r="W118" s="43"/>
      <x:c r="X118" s="43"/>
      <x:c r="Y118" s="43"/>
      <x:c r="Z118" s="43"/>
      <x:c r="AA118" s="43"/>
      <x:c r="AB118" s="43"/>
      <x:c r="AC118" s="43"/>
      <x:c r="AD118" s="43"/>
      <x:c r="AE118" s="43"/>
      <x:c r="AF118" s="43"/>
      <x:c r="AG118" s="43"/>
      <x:c r="AH118" s="43"/>
      <x:c r="AI118" s="43"/>
      <x:c r="AJ118" s="43"/>
      <x:c r="AK118" s="43"/>
      <x:c r="AL118" s="43"/>
      <x:c r="AM118" s="43"/>
      <x:c r="AN118" s="43"/>
      <x:c r="AO118" s="43"/>
      <x:c r="AP118" s="43"/>
    </x:row>
    <x:row r="119" ht="15" hidden="0" customHeight="1">
      <x:c r="A119" s="36" t="str">
        <x:v>BU Led Waste Matrix!row 122</x:v>
      </x:c>
      <x:c r="B119" s="37" t="str">
        <x:v>Estore Headless and transformation</x:v>
      </x:c>
      <x:c r="C119" s="36" t="str">
        <x:v>Sleep &amp; Respiratory Care (SRC)</x:v>
      </x:c>
      <x:c r="D119" s="36"/>
      <x:c r="E119" s="36" t="str"/>
      <x:c r="F119" s="36" t="str"/>
      <x:c r="G119" s="36" t="str"/>
      <x:c r="H119" s="36" t="str"/>
      <x:c r="I119" s="36" t="str"/>
      <x:c r="J119" s="36" t="str"/>
      <x:c r="K119" s="36"/>
      <x:c r="L119" s="36" t="str"/>
      <x:c r="M119" s="36" t="str"/>
      <x:c r="N119" s="36" t="str"/>
      <x:c r="O119" s="43"/>
      <x:c r="P119" s="43"/>
      <x:c r="Q119" s="43"/>
      <x:c r="R119" s="43"/>
      <x:c r="S119" s="43"/>
      <x:c r="T119" s="43"/>
      <x:c r="U119" s="43"/>
      <x:c r="V119" s="43"/>
      <x:c r="W119" s="43"/>
      <x:c r="X119" s="43"/>
      <x:c r="Y119" s="43"/>
      <x:c r="Z119" s="43"/>
      <x:c r="AA119" s="43"/>
      <x:c r="AB119" s="43"/>
      <x:c r="AC119" s="43"/>
      <x:c r="AD119" s="43"/>
      <x:c r="AE119" s="43"/>
      <x:c r="AF119" s="43"/>
      <x:c r="AG119" s="43"/>
      <x:c r="AH119" s="43"/>
      <x:c r="AI119" s="43"/>
      <x:c r="AJ119" s="43"/>
      <x:c r="AK119" s="43"/>
      <x:c r="AL119" s="43"/>
      <x:c r="AM119" s="43"/>
      <x:c r="AN119" s="43"/>
      <x:c r="AO119" s="43"/>
      <x:c r="AP119" s="43"/>
    </x:row>
    <x:row r="120" ht="15" hidden="0" customHeight="1">
      <x:c r="A120" s="36" t="str">
        <x:v>BU Led Waste Matrix!row 123</x:v>
      </x:c>
      <x:c r="B120" s="37" t="str">
        <x:v>QMS Roles Standardization (Lumen) and Job Catalog alignment</x:v>
      </x:c>
      <x:c r="C120" s="36" t="str">
        <x:v>Sleep &amp; Respiratory Care (SRC)</x:v>
      </x:c>
      <x:c r="D120" s="36"/>
      <x:c r="E120" s="36" t="str"/>
      <x:c r="F120" s="36" t="str">
        <x:v>YES</x:v>
      </x:c>
      <x:c r="G120" s="36" t="str">
        <x:v>4 — Lean — scope is limited to compliance, with small, justified allowances.</x:v>
      </x:c>
      <x:c r="H120" s="36" t="str">
        <x:v>3 — Meaningful fine, a reportable finding, or a limited restriction on the business.</x:v>
      </x:c>
      <x:c r="I120" s="36" t="str">
        <x:v>4 — Likely — an audit or inspection is scheduled, or we've had findings on this before.</x:v>
      </x:c>
      <x:c r="J120" s="36" t="str">
        <x:v>3 — Between six months and a year away.</x:v>
      </x:c>
      <x:c r="K120" s="36" t="n">
        <x:v>12</x:v>
      </x:c>
      <x:c r="L120" s="36" t="str">
        <x:v>P2 — Scheduled</x:v>
      </x:c>
      <x:c r="M120" s="36" t="str"/>
      <x:c r="N120" s="36" t="str"/>
      <x:c r="O120" s="43"/>
      <x:c r="P120" s="43"/>
      <x:c r="Q120" s="43"/>
      <x:c r="R120" s="43"/>
      <x:c r="S120" s="43"/>
      <x:c r="T120" s="43"/>
      <x:c r="U120" s="43"/>
      <x:c r="V120" s="43"/>
      <x:c r="W120" s="43"/>
      <x:c r="X120" s="43"/>
      <x:c r="Y120" s="43"/>
      <x:c r="Z120" s="43"/>
      <x:c r="AA120" s="43"/>
      <x:c r="AB120" s="43"/>
      <x:c r="AC120" s="43"/>
      <x:c r="AD120" s="43"/>
      <x:c r="AE120" s="43"/>
      <x:c r="AF120" s="43"/>
      <x:c r="AG120" s="43"/>
      <x:c r="AH120" s="43"/>
      <x:c r="AI120" s="43"/>
      <x:c r="AJ120" s="43"/>
      <x:c r="AK120" s="43"/>
      <x:c r="AL120" s="43"/>
      <x:c r="AM120" s="43"/>
      <x:c r="AN120" s="43"/>
      <x:c r="AO120" s="43"/>
      <x:c r="AP120" s="43"/>
    </x:row>
    <x:row r="121" ht="15" hidden="0" customHeight="1">
      <x:c r="A121" s="36" t="str">
        <x:v>BU Led Waste Matrix!row 124</x:v>
      </x:c>
      <x:c r="B121" s="37" t="str">
        <x:v>Mammoth migration TEDS to Cornerstone (Wave 5)</x:v>
      </x:c>
      <x:c r="C121" s="36" t="str">
        <x:v>Sleep &amp; Respiratory Care (SRC)</x:v>
      </x:c>
      <x:c r="D121" s="36"/>
      <x:c r="E121" s="36" t="str"/>
      <x:c r="F121" s="36" t="str">
        <x:v>YES</x:v>
      </x:c>
      <x:c r="G121" s="36" t="str">
        <x:v>3 — Mostly lean — only a few extras beyond the minimum remain.</x:v>
      </x:c>
      <x:c r="H121" s="36" t="str">
        <x:v>3 — Meaningful fine, a reportable finding, or a limited restriction on the business.</x:v>
      </x:c>
      <x:c r="I121" s="36" t="str">
        <x:v>4 — Likely — an audit or inspection is scheduled, or we've had findings on this before.</x:v>
      </x:c>
      <x:c r="J121" s="36" t="str">
        <x:v>3 — Between six months and a year away.</x:v>
      </x:c>
      <x:c r="K121" s="36" t="n">
        <x:v>12</x:v>
      </x:c>
      <x:c r="L121" s="36" t="str">
        <x:v>P2 — Scheduled</x:v>
      </x:c>
      <x:c r="M121" s="36" t="str"/>
      <x:c r="N121" s="36" t="str"/>
      <x:c r="O121" s="43"/>
      <x:c r="P121" s="43"/>
      <x:c r="Q121" s="43"/>
      <x:c r="R121" s="43"/>
      <x:c r="S121" s="43"/>
      <x:c r="T121" s="43"/>
      <x:c r="U121" s="43"/>
      <x:c r="V121" s="43"/>
      <x:c r="W121" s="43"/>
      <x:c r="X121" s="43"/>
      <x:c r="Y121" s="43"/>
      <x:c r="Z121" s="43"/>
      <x:c r="AA121" s="43"/>
      <x:c r="AB121" s="43"/>
      <x:c r="AC121" s="43"/>
      <x:c r="AD121" s="43"/>
      <x:c r="AE121" s="43"/>
      <x:c r="AF121" s="43"/>
      <x:c r="AG121" s="43"/>
      <x:c r="AH121" s="43"/>
      <x:c r="AI121" s="43"/>
      <x:c r="AJ121" s="43"/>
      <x:c r="AK121" s="43"/>
      <x:c r="AL121" s="43"/>
      <x:c r="AM121" s="43"/>
      <x:c r="AN121" s="43"/>
      <x:c r="AO121" s="43"/>
      <x:c r="AP121" s="43"/>
    </x:row>
    <x:row r="122" ht="15" hidden="0" customHeight="1">
      <x:c r="A122" s="36" t="str">
        <x:v>BU Led Waste Matrix!row 125</x:v>
      </x:c>
      <x:c r="B122" s="37" t="str">
        <x:v>SPC Data Re-platforming</x:v>
      </x:c>
      <x:c r="C122" s="36" t="str">
        <x:v>Service Transformation Office (STO)</x:v>
      </x:c>
      <x:c r="D122" s="36"/>
      <x:c r="E122" s="36" t="str"/>
      <x:c r="F122" s="36" t="str"/>
      <x:c r="G122" s="36" t="str"/>
      <x:c r="H122" s="36" t="str"/>
      <x:c r="I122" s="36" t="str"/>
      <x:c r="J122" s="36" t="str"/>
      <x:c r="K122" s="36"/>
      <x:c r="L122" s="36" t="str"/>
      <x:c r="M122" s="36" t="str"/>
      <x:c r="N122" s="36" t="str"/>
      <x:c r="O122" s="43"/>
      <x:c r="P122" s="43"/>
      <x:c r="Q122" s="43"/>
      <x:c r="R122" s="43"/>
      <x:c r="S122" s="43"/>
      <x:c r="T122" s="43"/>
      <x:c r="U122" s="43"/>
      <x:c r="V122" s="43"/>
      <x:c r="W122" s="43"/>
      <x:c r="X122" s="43"/>
      <x:c r="Y122" s="43"/>
      <x:c r="Z122" s="43"/>
      <x:c r="AA122" s="43"/>
      <x:c r="AB122" s="43"/>
      <x:c r="AC122" s="43"/>
      <x:c r="AD122" s="43"/>
      <x:c r="AE122" s="43"/>
      <x:c r="AF122" s="43"/>
      <x:c r="AG122" s="43"/>
      <x:c r="AH122" s="43"/>
      <x:c r="AI122" s="43"/>
      <x:c r="AJ122" s="43"/>
      <x:c r="AK122" s="43"/>
      <x:c r="AL122" s="43"/>
      <x:c r="AM122" s="43"/>
      <x:c r="AN122" s="43"/>
      <x:c r="AO122" s="43"/>
      <x:c r="AP122" s="43"/>
    </x:row>
    <x:row r="123" ht="15" hidden="0" customHeight="1">
      <x:c r="A123" s="36" t="str">
        <x:v>BU Led Waste Matrix!row 126</x:v>
      </x:c>
      <x:c r="B123" s="37" t="str">
        <x:v>TrueContext replacement</x:v>
      </x:c>
      <x:c r="C123" s="36" t="str">
        <x:v>Service Transformation Office (STO)</x:v>
      </x:c>
      <x:c r="D123" s="36"/>
      <x:c r="E123" s="36" t="str"/>
      <x:c r="F123" s="36" t="str"/>
      <x:c r="G123" s="36" t="str"/>
      <x:c r="H123" s="36" t="str"/>
      <x:c r="I123" s="36" t="str"/>
      <x:c r="J123" s="36" t="str"/>
      <x:c r="K123" s="36"/>
      <x:c r="L123" s="36" t="str"/>
      <x:c r="M123" s="36" t="str"/>
      <x:c r="N123" s="36" t="str"/>
      <x:c r="O123" s="43"/>
      <x:c r="P123" s="43"/>
      <x:c r="Q123" s="43"/>
      <x:c r="R123" s="43"/>
      <x:c r="S123" s="43"/>
      <x:c r="T123" s="43"/>
      <x:c r="U123" s="43"/>
      <x:c r="V123" s="43"/>
      <x:c r="W123" s="43"/>
      <x:c r="X123" s="43"/>
      <x:c r="Y123" s="43"/>
      <x:c r="Z123" s="43"/>
      <x:c r="AA123" s="43"/>
      <x:c r="AB123" s="43"/>
      <x:c r="AC123" s="43"/>
      <x:c r="AD123" s="43"/>
      <x:c r="AE123" s="43"/>
      <x:c r="AF123" s="43"/>
      <x:c r="AG123" s="43"/>
      <x:c r="AH123" s="43"/>
      <x:c r="AI123" s="43"/>
      <x:c r="AJ123" s="43"/>
      <x:c r="AK123" s="43"/>
      <x:c r="AL123" s="43"/>
      <x:c r="AM123" s="43"/>
      <x:c r="AN123" s="43"/>
      <x:c r="AO123" s="43"/>
      <x:c r="AP123" s="43"/>
    </x:row>
    <x:row r="124" ht="15" hidden="0" customHeight="1">
      <x:c r="A124" s="36" t="str">
        <x:v>BU Led Waste Matrix!row 127</x:v>
      </x:c>
      <x:c r="B124" s="37" t="str">
        <x:v>Decisions replacement</x:v>
      </x:c>
      <x:c r="C124" s="36" t="str">
        <x:v>Service Transformation Office (STO)</x:v>
      </x:c>
      <x:c r="D124" s="36"/>
      <x:c r="E124" s="36" t="str"/>
      <x:c r="F124" s="36" t="str"/>
      <x:c r="G124" s="36" t="str"/>
      <x:c r="H124" s="36" t="str"/>
      <x:c r="I124" s="36" t="str"/>
      <x:c r="J124" s="36" t="str"/>
      <x:c r="K124" s="36"/>
      <x:c r="L124" s="36" t="str"/>
      <x:c r="M124" s="36" t="str"/>
      <x:c r="N124" s="36" t="str"/>
      <x:c r="O124" s="43"/>
      <x:c r="P124" s="43"/>
      <x:c r="Q124" s="43"/>
      <x:c r="R124" s="43"/>
      <x:c r="S124" s="43"/>
      <x:c r="T124" s="43"/>
      <x:c r="U124" s="43"/>
      <x:c r="V124" s="43"/>
      <x:c r="W124" s="43"/>
      <x:c r="X124" s="43"/>
      <x:c r="Y124" s="43"/>
      <x:c r="Z124" s="43"/>
      <x:c r="AA124" s="43"/>
      <x:c r="AB124" s="43"/>
      <x:c r="AC124" s="43"/>
      <x:c r="AD124" s="43"/>
      <x:c r="AE124" s="43"/>
      <x:c r="AF124" s="43"/>
      <x:c r="AG124" s="43"/>
      <x:c r="AH124" s="43"/>
      <x:c r="AI124" s="43"/>
      <x:c r="AJ124" s="43"/>
      <x:c r="AK124" s="43"/>
      <x:c r="AL124" s="43"/>
      <x:c r="AM124" s="43"/>
      <x:c r="AN124" s="43"/>
      <x:c r="AO124" s="43"/>
      <x:c r="AP124" s="43"/>
    </x:row>
    <x:row r="125" ht="15" hidden="0" customHeight="1">
      <x:c r="A125" s="36" t="str">
        <x:v>BU Led Waste Matrix!row 128</x:v>
      </x:c>
      <x:c r="B125" s="37" t="str">
        <x:v>PS Cloud replacement</x:v>
      </x:c>
      <x:c r="C125" s="36" t="str">
        <x:v>Service Transformation Office (STO)</x:v>
      </x:c>
      <x:c r="D125" s="36"/>
      <x:c r="E125" s="36" t="str"/>
      <x:c r="F125" s="36" t="str"/>
      <x:c r="G125" s="36" t="str"/>
      <x:c r="H125" s="36" t="str"/>
      <x:c r="I125" s="36" t="str"/>
      <x:c r="J125" s="36" t="str"/>
      <x:c r="K125" s="36"/>
      <x:c r="L125" s="36" t="str"/>
      <x:c r="M125" s="36" t="str"/>
      <x:c r="N125" s="36" t="str"/>
      <x:c r="O125" s="43"/>
      <x:c r="P125" s="43"/>
      <x:c r="Q125" s="43"/>
      <x:c r="R125" s="43"/>
      <x:c r="S125" s="43"/>
      <x:c r="T125" s="43"/>
      <x:c r="U125" s="43"/>
      <x:c r="V125" s="43"/>
      <x:c r="W125" s="43"/>
      <x:c r="X125" s="43"/>
      <x:c r="Y125" s="43"/>
      <x:c r="Z125" s="43"/>
      <x:c r="AA125" s="43"/>
      <x:c r="AB125" s="43"/>
      <x:c r="AC125" s="43"/>
      <x:c r="AD125" s="43"/>
      <x:c r="AE125" s="43"/>
      <x:c r="AF125" s="43"/>
      <x:c r="AG125" s="43"/>
      <x:c r="AH125" s="43"/>
      <x:c r="AI125" s="43"/>
      <x:c r="AJ125" s="43"/>
      <x:c r="AK125" s="43"/>
      <x:c r="AL125" s="43"/>
      <x:c r="AM125" s="43"/>
      <x:c r="AN125" s="43"/>
      <x:c r="AO125" s="43"/>
      <x:c r="AP125" s="43"/>
    </x:row>
    <x:row r="126" ht="15" hidden="0" customHeight="1">
      <x:c r="A126" s="36" t="str">
        <x:v>BU Led Waste Matrix!row 129</x:v>
      </x:c>
      <x:c r="B126" s="37" t="str">
        <x:v>Incenter replacement</x:v>
      </x:c>
      <x:c r="C126" s="36" t="str">
        <x:v>Service Transformation Office (STO)</x:v>
      </x:c>
      <x:c r="D126" s="36"/>
      <x:c r="E126" s="36" t="str"/>
      <x:c r="F126" s="36" t="str"/>
      <x:c r="G126" s="36" t="str"/>
      <x:c r="H126" s="36" t="str"/>
      <x:c r="I126" s="36" t="str"/>
      <x:c r="J126" s="36" t="str"/>
      <x:c r="K126" s="36"/>
      <x:c r="L126" s="36" t="str"/>
      <x:c r="M126" s="36" t="str"/>
      <x:c r="N126" s="36" t="str"/>
      <x:c r="O126" s="43"/>
      <x:c r="P126" s="43"/>
      <x:c r="Q126" s="43"/>
      <x:c r="R126" s="43"/>
      <x:c r="S126" s="43"/>
      <x:c r="T126" s="43"/>
      <x:c r="U126" s="43"/>
      <x:c r="V126" s="43"/>
      <x:c r="W126" s="43"/>
      <x:c r="X126" s="43"/>
      <x:c r="Y126" s="43"/>
      <x:c r="Z126" s="43"/>
      <x:c r="AA126" s="43"/>
      <x:c r="AB126" s="43"/>
      <x:c r="AC126" s="43"/>
      <x:c r="AD126" s="43"/>
      <x:c r="AE126" s="43"/>
      <x:c r="AF126" s="43"/>
      <x:c r="AG126" s="43"/>
      <x:c r="AH126" s="43"/>
      <x:c r="AI126" s="43"/>
      <x:c r="AJ126" s="43"/>
      <x:c r="AK126" s="43"/>
      <x:c r="AL126" s="43"/>
      <x:c r="AM126" s="43"/>
      <x:c r="AN126" s="43"/>
      <x:c r="AO126" s="43"/>
      <x:c r="AP126" s="43"/>
    </x:row>
    <x:row r="127" ht="15" hidden="0" customHeight="1">
      <x:c r="A127" s="36" t="str">
        <x:v>BU Led Waste Matrix!row 130</x:v>
      </x:c>
      <x:c r="B127" s="37" t="str">
        <x:v>LEM: LEM Onboarding and Change Requests</x:v>
      </x:c>
      <x:c r="C127" s="36" t="str">
        <x:v>Enterprise Informatics (EI)</x:v>
      </x:c>
      <x:c r="D127" s="36"/>
      <x:c r="E127" s="36" t="str"/>
      <x:c r="F127" s="36" t="str"/>
      <x:c r="G127" s="36" t="str"/>
      <x:c r="H127" s="36" t="str"/>
      <x:c r="I127" s="36" t="str"/>
      <x:c r="J127" s="36" t="str"/>
      <x:c r="K127" s="36"/>
      <x:c r="L127" s="36" t="str"/>
      <x:c r="M127" s="36" t="str"/>
      <x:c r="N127" s="36" t="str"/>
      <x:c r="O127" s="43"/>
      <x:c r="P127" s="43"/>
      <x:c r="Q127" s="43"/>
      <x:c r="R127" s="43"/>
      <x:c r="S127" s="43"/>
      <x:c r="T127" s="43"/>
      <x:c r="U127" s="43"/>
      <x:c r="V127" s="43"/>
      <x:c r="W127" s="43"/>
      <x:c r="X127" s="43"/>
      <x:c r="Y127" s="43"/>
      <x:c r="Z127" s="43"/>
      <x:c r="AA127" s="43"/>
      <x:c r="AB127" s="43"/>
      <x:c r="AC127" s="43"/>
      <x:c r="AD127" s="43"/>
      <x:c r="AE127" s="43"/>
      <x:c r="AF127" s="43"/>
      <x:c r="AG127" s="43"/>
      <x:c r="AH127" s="43"/>
      <x:c r="AI127" s="43"/>
      <x:c r="AJ127" s="43"/>
      <x:c r="AK127" s="43"/>
      <x:c r="AL127" s="43"/>
      <x:c r="AM127" s="43"/>
      <x:c r="AN127" s="43"/>
      <x:c r="AO127" s="43"/>
      <x:c r="AP127" s="43"/>
    </x:row>
    <x:row r="128" ht="24" hidden="0" customHeight="1">
      <x:c r="A128" s="36" t="str">
        <x:v>BU Led Waste Matrix!row 131</x:v>
      </x:c>
      <x:c r="B128" s="37" t="str">
        <x:v>Commercial - Quoting, Revenue, Subscription Management non Sensei Systems</x:v>
      </x:c>
      <x:c r="C128" s="36" t="str">
        <x:v>Enterprise Informatics (EI)</x:v>
      </x:c>
      <x:c r="D128" s="36"/>
      <x:c r="E128" s="36" t="str"/>
      <x:c r="F128" s="36" t="str"/>
      <x:c r="G128" s="36" t="str"/>
      <x:c r="H128" s="36" t="str"/>
      <x:c r="I128" s="36" t="str"/>
      <x:c r="J128" s="36" t="str"/>
      <x:c r="K128" s="36"/>
      <x:c r="L128" s="36" t="str"/>
      <x:c r="M128" s="36" t="str"/>
      <x:c r="N128" s="36" t="str"/>
      <x:c r="O128" s="43"/>
      <x:c r="P128" s="43"/>
      <x:c r="Q128" s="43"/>
      <x:c r="R128" s="43"/>
      <x:c r="S128" s="43"/>
      <x:c r="T128" s="43"/>
      <x:c r="U128" s="43"/>
      <x:c r="V128" s="43"/>
      <x:c r="W128" s="43"/>
      <x:c r="X128" s="43"/>
      <x:c r="Y128" s="43"/>
      <x:c r="Z128" s="43"/>
      <x:c r="AA128" s="43"/>
      <x:c r="AB128" s="43"/>
      <x:c r="AC128" s="43"/>
      <x:c r="AD128" s="43"/>
      <x:c r="AE128" s="43"/>
      <x:c r="AF128" s="43"/>
      <x:c r="AG128" s="43"/>
      <x:c r="AH128" s="43"/>
      <x:c r="AI128" s="43"/>
      <x:c r="AJ128" s="43"/>
      <x:c r="AK128" s="43"/>
      <x:c r="AL128" s="43"/>
      <x:c r="AM128" s="43"/>
      <x:c r="AN128" s="43"/>
      <x:c r="AO128" s="43"/>
      <x:c r="AP128" s="43"/>
    </x:row>
    <x:row r="129" ht="15" hidden="0" customHeight="1">
      <x:c r="A129" s="36" t="str">
        <x:v>BU Led Waste Matrix!row 132</x:v>
      </x:c>
      <x:c r="B129" s="37" t="str">
        <x:v>Ignite-Powered Commercial Install-Base Intelligence</x:v>
      </x:c>
      <x:c r="C129" s="36" t="str">
        <x:v>Enterprise Informatics (EI)</x:v>
      </x:c>
      <x:c r="D129" s="36"/>
      <x:c r="E129" s="36" t="str"/>
      <x:c r="F129" s="36" t="str"/>
      <x:c r="G129" s="36" t="str"/>
      <x:c r="H129" s="36" t="str"/>
      <x:c r="I129" s="36" t="str"/>
      <x:c r="J129" s="36" t="str"/>
      <x:c r="K129" s="36"/>
      <x:c r="L129" s="36" t="str"/>
      <x:c r="M129" s="36" t="str"/>
      <x:c r="N129" s="36" t="str"/>
      <x:c r="O129" s="43"/>
      <x:c r="P129" s="43"/>
      <x:c r="Q129" s="43"/>
      <x:c r="R129" s="43"/>
      <x:c r="S129" s="43"/>
      <x:c r="T129" s="43"/>
      <x:c r="U129" s="43"/>
      <x:c r="V129" s="43"/>
      <x:c r="W129" s="43"/>
      <x:c r="X129" s="43"/>
      <x:c r="Y129" s="43"/>
      <x:c r="Z129" s="43"/>
      <x:c r="AA129" s="43"/>
      <x:c r="AB129" s="43"/>
      <x:c r="AC129" s="43"/>
      <x:c r="AD129" s="43"/>
      <x:c r="AE129" s="43"/>
      <x:c r="AF129" s="43"/>
      <x:c r="AG129" s="43"/>
      <x:c r="AH129" s="43"/>
      <x:c r="AI129" s="43"/>
      <x:c r="AJ129" s="43"/>
      <x:c r="AK129" s="43"/>
      <x:c r="AL129" s="43"/>
      <x:c r="AM129" s="43"/>
      <x:c r="AN129" s="43"/>
      <x:c r="AO129" s="43"/>
      <x:c r="AP129" s="43"/>
    </x:row>
    <x:row r="130" ht="24" hidden="0" customHeight="1">
      <x:c r="A130" s="36" t="str">
        <x:v>BU Led Waste Matrix!row 133</x:v>
      </x:c>
      <x:c r="B130" s="37" t="str">
        <x:v>IB Data Foundation: Microsoft Fabric canonical IDs reconciliation semantic model</x:v>
      </x:c>
      <x:c r="C130" s="36" t="str">
        <x:v>Enterprise Informatics (EI)</x:v>
      </x:c>
      <x:c r="D130" s="36"/>
      <x:c r="E130" s="36" t="str"/>
      <x:c r="F130" s="36" t="str"/>
      <x:c r="G130" s="36" t="str"/>
      <x:c r="H130" s="36" t="str"/>
      <x:c r="I130" s="36" t="str"/>
      <x:c r="J130" s="36" t="str"/>
      <x:c r="K130" s="36"/>
      <x:c r="L130" s="36" t="str"/>
      <x:c r="M130" s="36" t="str"/>
      <x:c r="N130" s="36" t="str"/>
      <x:c r="O130" s="43"/>
      <x:c r="P130" s="43"/>
      <x:c r="Q130" s="43"/>
      <x:c r="R130" s="43"/>
      <x:c r="S130" s="43"/>
      <x:c r="T130" s="43"/>
      <x:c r="U130" s="43"/>
      <x:c r="V130" s="43"/>
      <x:c r="W130" s="43"/>
      <x:c r="X130" s="43"/>
      <x:c r="Y130" s="43"/>
      <x:c r="Z130" s="43"/>
      <x:c r="AA130" s="43"/>
      <x:c r="AB130" s="43"/>
      <x:c r="AC130" s="43"/>
      <x:c r="AD130" s="43"/>
      <x:c r="AE130" s="43"/>
      <x:c r="AF130" s="43"/>
      <x:c r="AG130" s="43"/>
      <x:c r="AH130" s="43"/>
      <x:c r="AI130" s="43"/>
      <x:c r="AJ130" s="43"/>
      <x:c r="AK130" s="43"/>
      <x:c r="AL130" s="43"/>
      <x:c r="AM130" s="43"/>
      <x:c r="AN130" s="43"/>
      <x:c r="AO130" s="43"/>
      <x:c r="AP130" s="43"/>
    </x:row>
    <x:row r="131" ht="15" hidden="0" customHeight="1">
      <x:c r="A131" s="36" t="str">
        <x:v>BU Led Waste Matrix!row 134</x:v>
      </x:c>
      <x:c r="B131" s="37" t="str">
        <x:v>IB User Interface, Agent Orchestration, MCP Server </x:v>
      </x:c>
      <x:c r="C131" s="36" t="str">
        <x:v>Enterprise Informatics (EI)</x:v>
      </x:c>
      <x:c r="D131" s="36"/>
      <x:c r="E131" s="36" t="str"/>
      <x:c r="F131" s="36" t="str"/>
      <x:c r="G131" s="36" t="str"/>
      <x:c r="H131" s="36" t="str"/>
      <x:c r="I131" s="36" t="str"/>
      <x:c r="J131" s="36" t="str"/>
      <x:c r="K131" s="36"/>
      <x:c r="L131" s="36" t="str"/>
      <x:c r="M131" s="36" t="str"/>
      <x:c r="N131" s="36" t="str"/>
      <x:c r="O131" s="43"/>
      <x:c r="P131" s="43"/>
      <x:c r="Q131" s="43"/>
      <x:c r="R131" s="43"/>
      <x:c r="S131" s="43"/>
      <x:c r="T131" s="43"/>
      <x:c r="U131" s="43"/>
      <x:c r="V131" s="43"/>
      <x:c r="W131" s="43"/>
      <x:c r="X131" s="43"/>
      <x:c r="Y131" s="43"/>
      <x:c r="Z131" s="43"/>
      <x:c r="AA131" s="43"/>
      <x:c r="AB131" s="43"/>
      <x:c r="AC131" s="43"/>
      <x:c r="AD131" s="43"/>
      <x:c r="AE131" s="43"/>
      <x:c r="AF131" s="43"/>
      <x:c r="AG131" s="43"/>
      <x:c r="AH131" s="43"/>
      <x:c r="AI131" s="43"/>
      <x:c r="AJ131" s="43"/>
      <x:c r="AK131" s="43"/>
      <x:c r="AL131" s="43"/>
      <x:c r="AM131" s="43"/>
      <x:c r="AN131" s="43"/>
      <x:c r="AO131" s="43"/>
      <x:c r="AP131" s="43"/>
    </x:row>
    <x:row r="132" ht="15" hidden="0" customHeight="1">
      <x:c r="A132" s="36" t="str">
        <x:v>BU Led Waste Matrix!row 135</x:v>
      </x:c>
      <x:c r="B132" s="37" t="str">
        <x:v>Commercial Enablement using AI and Deployment of soluton</x:v>
      </x:c>
      <x:c r="C132" s="36" t="str">
        <x:v>Enterprise Informatics (EI)</x:v>
      </x:c>
      <x:c r="D132" s="36"/>
      <x:c r="E132" s="36" t="str"/>
      <x:c r="F132" s="36" t="str"/>
      <x:c r="G132" s="36" t="str"/>
      <x:c r="H132" s="36" t="str"/>
      <x:c r="I132" s="36" t="str"/>
      <x:c r="J132" s="36" t="str"/>
      <x:c r="K132" s="36"/>
      <x:c r="L132" s="36" t="str"/>
      <x:c r="M132" s="36" t="str"/>
      <x:c r="N132" s="36" t="str"/>
      <x:c r="O132" s="43"/>
      <x:c r="P132" s="43"/>
      <x:c r="Q132" s="43"/>
      <x:c r="R132" s="43"/>
      <x:c r="S132" s="43"/>
      <x:c r="T132" s="43"/>
      <x:c r="U132" s="43"/>
      <x:c r="V132" s="43"/>
      <x:c r="W132" s="43"/>
      <x:c r="X132" s="43"/>
      <x:c r="Y132" s="43"/>
      <x:c r="Z132" s="43"/>
      <x:c r="AA132" s="43"/>
      <x:c r="AB132" s="43"/>
      <x:c r="AC132" s="43"/>
      <x:c r="AD132" s="43"/>
      <x:c r="AE132" s="43"/>
      <x:c r="AF132" s="43"/>
      <x:c r="AG132" s="43"/>
      <x:c r="AH132" s="43"/>
      <x:c r="AI132" s="43"/>
      <x:c r="AJ132" s="43"/>
      <x:c r="AK132" s="43"/>
      <x:c r="AL132" s="43"/>
      <x:c r="AM132" s="43"/>
      <x:c r="AN132" s="43"/>
      <x:c r="AO132" s="43"/>
      <x:c r="AP132" s="43"/>
    </x:row>
    <x:row r="133" ht="15" hidden="0" customHeight="1">
      <x:c r="A133" s="36" t="str">
        <x:v>BU Led Waste Matrix!row 136</x:v>
      </x:c>
      <x:c r="B133" s="37" t="str">
        <x:v>Commercial Excellence Program - GtM and Channel CRM</x:v>
      </x:c>
      <x:c r="C133" s="36" t="str">
        <x:v>Enterprise Informatics (EI)</x:v>
      </x:c>
      <x:c r="D133" s="36"/>
      <x:c r="E133" s="36" t="str"/>
      <x:c r="F133" s="36" t="str"/>
      <x:c r="G133" s="36" t="str"/>
      <x:c r="H133" s="36" t="str"/>
      <x:c r="I133" s="36" t="str"/>
      <x:c r="J133" s="36" t="str"/>
      <x:c r="K133" s="36"/>
      <x:c r="L133" s="36" t="str"/>
      <x:c r="M133" s="36" t="str"/>
      <x:c r="N133" s="36" t="str"/>
      <x:c r="O133" s="43"/>
      <x:c r="P133" s="43"/>
      <x:c r="Q133" s="43"/>
      <x:c r="R133" s="43"/>
      <x:c r="S133" s="43"/>
      <x:c r="T133" s="43"/>
      <x:c r="U133" s="43"/>
      <x:c r="V133" s="43"/>
      <x:c r="W133" s="43"/>
      <x:c r="X133" s="43"/>
      <x:c r="Y133" s="43"/>
      <x:c r="Z133" s="43"/>
      <x:c r="AA133" s="43"/>
      <x:c r="AB133" s="43"/>
      <x:c r="AC133" s="43"/>
      <x:c r="AD133" s="43"/>
      <x:c r="AE133" s="43"/>
      <x:c r="AF133" s="43"/>
      <x:c r="AG133" s="43"/>
      <x:c r="AH133" s="43"/>
      <x:c r="AI133" s="43"/>
      <x:c r="AJ133" s="43"/>
      <x:c r="AK133" s="43"/>
      <x:c r="AL133" s="43"/>
      <x:c r="AM133" s="43"/>
      <x:c r="AN133" s="43"/>
      <x:c r="AO133" s="43"/>
      <x:c r="AP133" s="43"/>
    </x:row>
    <x:row r="134" ht="15" hidden="0" customHeight="1">
      <x:c r="A134" s="36" t="str">
        <x:v>BU Led Waste Matrix!row 137</x:v>
      </x:c>
      <x:c r="B134" s="37" t="str">
        <x:v>Innovation Excellence Team - R&amp;D Support</x:v>
      </x:c>
      <x:c r="C134" s="36" t="str">
        <x:v>Enterprise Informatics (EI)</x:v>
      </x:c>
      <x:c r="D134" s="36"/>
      <x:c r="E134" s="36" t="str"/>
      <x:c r="F134" s="36" t="str"/>
      <x:c r="G134" s="36" t="str"/>
      <x:c r="H134" s="36" t="str"/>
      <x:c r="I134" s="36" t="str"/>
      <x:c r="J134" s="36" t="str"/>
      <x:c r="K134" s="36"/>
      <x:c r="L134" s="36" t="str"/>
      <x:c r="M134" s="36" t="str"/>
      <x:c r="N134" s="36" t="str"/>
      <x:c r="O134" s="43"/>
      <x:c r="P134" s="43"/>
      <x:c r="Q134" s="43"/>
      <x:c r="R134" s="43"/>
      <x:c r="S134" s="43"/>
      <x:c r="T134" s="43"/>
      <x:c r="U134" s="43"/>
      <x:c r="V134" s="43"/>
      <x:c r="W134" s="43"/>
      <x:c r="X134" s="43"/>
      <x:c r="Y134" s="43"/>
      <x:c r="Z134" s="43"/>
      <x:c r="AA134" s="43"/>
      <x:c r="AB134" s="43"/>
      <x:c r="AC134" s="43"/>
      <x:c r="AD134" s="43"/>
      <x:c r="AE134" s="43"/>
      <x:c r="AF134" s="43"/>
      <x:c r="AG134" s="43"/>
      <x:c r="AH134" s="43"/>
      <x:c r="AI134" s="43"/>
      <x:c r="AJ134" s="43"/>
      <x:c r="AK134" s="43"/>
      <x:c r="AL134" s="43"/>
      <x:c r="AM134" s="43"/>
      <x:c r="AN134" s="43"/>
      <x:c r="AO134" s="43"/>
      <x:c r="AP134" s="43"/>
    </x:row>
    <x:row r="135" ht="15" hidden="0" customHeight="1">
      <x:c r="A135" s="36" t="str">
        <x:v>BU Led Waste Matrix!row 138</x:v>
      </x:c>
      <x:c r="B135" s="37" t="str">
        <x:v>Data &amp; Analytics Program</x:v>
      </x:c>
      <x:c r="C135" s="36" t="str">
        <x:v>Enterprise Informatics (EI)</x:v>
      </x:c>
      <x:c r="D135" s="36"/>
      <x:c r="E135" s="36" t="str"/>
      <x:c r="F135" s="36" t="str"/>
      <x:c r="G135" s="36" t="str"/>
      <x:c r="H135" s="36" t="str"/>
      <x:c r="I135" s="36" t="str"/>
      <x:c r="J135" s="36" t="str"/>
      <x:c r="K135" s="36"/>
      <x:c r="L135" s="36" t="str"/>
      <x:c r="M135" s="36" t="str"/>
      <x:c r="N135" s="36" t="str"/>
      <x:c r="O135" s="43"/>
      <x:c r="P135" s="43"/>
      <x:c r="Q135" s="43"/>
      <x:c r="R135" s="43"/>
      <x:c r="S135" s="43"/>
      <x:c r="T135" s="43"/>
      <x:c r="U135" s="43"/>
      <x:c r="V135" s="43"/>
      <x:c r="W135" s="43"/>
      <x:c r="X135" s="43"/>
      <x:c r="Y135" s="43"/>
      <x:c r="Z135" s="43"/>
      <x:c r="AA135" s="43"/>
      <x:c r="AB135" s="43"/>
      <x:c r="AC135" s="43"/>
      <x:c r="AD135" s="43"/>
      <x:c r="AE135" s="43"/>
      <x:c r="AF135" s="43"/>
      <x:c r="AG135" s="43"/>
      <x:c r="AH135" s="43"/>
      <x:c r="AI135" s="43"/>
      <x:c r="AJ135" s="43"/>
      <x:c r="AK135" s="43"/>
      <x:c r="AL135" s="43"/>
      <x:c r="AM135" s="43"/>
      <x:c r="AN135" s="43"/>
      <x:c r="AO135" s="43"/>
      <x:c r="AP135" s="43"/>
    </x:row>
    <x:row r="136" ht="15" hidden="0" customHeight="1">
      <x:c r="A136" s="36" t="str">
        <x:v>BU Led Waste Matrix!row 139</x:v>
      </x:c>
      <x:c r="B136" s="37" t="str">
        <x:v>Small Changes</x:v>
      </x:c>
      <x:c r="C136" s="36" t="str">
        <x:v>Enterprise Informatics (EI)</x:v>
      </x:c>
      <x:c r="D136" s="36"/>
      <x:c r="E136" s="36" t="str"/>
      <x:c r="F136" s="36" t="str"/>
      <x:c r="G136" s="36" t="str"/>
      <x:c r="H136" s="36" t="str"/>
      <x:c r="I136" s="36" t="str"/>
      <x:c r="J136" s="36" t="str"/>
      <x:c r="K136" s="36"/>
      <x:c r="L136" s="36" t="str"/>
      <x:c r="M136" s="36" t="str"/>
      <x:c r="N136" s="36" t="str"/>
      <x:c r="O136" s="43"/>
      <x:c r="P136" s="43"/>
      <x:c r="Q136" s="43"/>
      <x:c r="R136" s="43"/>
      <x:c r="S136" s="43"/>
      <x:c r="T136" s="43"/>
      <x:c r="U136" s="43"/>
      <x:c r="V136" s="43"/>
      <x:c r="W136" s="43"/>
      <x:c r="X136" s="43"/>
      <x:c r="Y136" s="43"/>
      <x:c r="Z136" s="43"/>
      <x:c r="AA136" s="43"/>
      <x:c r="AB136" s="43"/>
      <x:c r="AC136" s="43"/>
      <x:c r="AD136" s="43"/>
      <x:c r="AE136" s="43"/>
      <x:c r="AF136" s="43"/>
      <x:c r="AG136" s="43"/>
      <x:c r="AH136" s="43"/>
      <x:c r="AI136" s="43"/>
      <x:c r="AJ136" s="43"/>
      <x:c r="AK136" s="43"/>
      <x:c r="AL136" s="43"/>
      <x:c r="AM136" s="43"/>
      <x:c r="AN136" s="43"/>
      <x:c r="AO136" s="43"/>
      <x:c r="AP136" s="43"/>
    </x:row>
    <x:row r="137" ht="15" hidden="0" customHeight="1">
      <x:c r="A137" s="36" t="str">
        <x:v>BU Led Waste Matrix!row 140</x:v>
      </x:c>
      <x:c r="B137" s="37" t="str">
        <x:v>EI-IS-AI TomTec OEM</x:v>
      </x:c>
      <x:c r="C137" s="36" t="str">
        <x:v>Enterprise Informatics (EI)</x:v>
      </x:c>
      <x:c r="D137" s="36"/>
      <x:c r="E137" s="36" t="str"/>
      <x:c r="F137" s="36" t="str"/>
      <x:c r="G137" s="36" t="str"/>
      <x:c r="H137" s="36" t="str"/>
      <x:c r="I137" s="36" t="str"/>
      <x:c r="J137" s="36" t="str"/>
      <x:c r="K137" s="36"/>
      <x:c r="L137" s="36" t="str"/>
      <x:c r="M137" s="36" t="str"/>
      <x:c r="N137" s="36" t="str"/>
      <x:c r="O137" s="43"/>
      <x:c r="P137" s="43"/>
      <x:c r="Q137" s="43"/>
      <x:c r="R137" s="43"/>
      <x:c r="S137" s="43"/>
      <x:c r="T137" s="43"/>
      <x:c r="U137" s="43"/>
      <x:c r="V137" s="43"/>
      <x:c r="W137" s="43"/>
      <x:c r="X137" s="43"/>
      <x:c r="Y137" s="43"/>
      <x:c r="Z137" s="43"/>
      <x:c r="AA137" s="43"/>
      <x:c r="AB137" s="43"/>
      <x:c r="AC137" s="43"/>
      <x:c r="AD137" s="43"/>
      <x:c r="AE137" s="43"/>
      <x:c r="AF137" s="43"/>
      <x:c r="AG137" s="43"/>
      <x:c r="AH137" s="43"/>
      <x:c r="AI137" s="43"/>
      <x:c r="AJ137" s="43"/>
      <x:c r="AK137" s="43"/>
      <x:c r="AL137" s="43"/>
      <x:c r="AM137" s="43"/>
      <x:c r="AN137" s="43"/>
      <x:c r="AO137" s="43"/>
      <x:c r="AP137" s="43"/>
    </x:row>
    <x:row r="138" ht="15" hidden="0" customHeight="1">
      <x:c r="A138" s="36" t="str">
        <x:v>BU Led Waste Matrix!row 141</x:v>
      </x:c>
      <x:c r="B138" s="37" t="str">
        <x:v>AI License + Cloud Enablement projects</x:v>
      </x:c>
      <x:c r="C138" s="36" t="str">
        <x:v>Enterprise Informatics (EI)</x:v>
      </x:c>
      <x:c r="D138" s="36"/>
      <x:c r="E138" s="36" t="str"/>
      <x:c r="F138" s="36" t="str"/>
      <x:c r="G138" s="36" t="str"/>
      <x:c r="H138" s="36" t="str"/>
      <x:c r="I138" s="36" t="str"/>
      <x:c r="J138" s="36" t="str"/>
      <x:c r="K138" s="36"/>
      <x:c r="L138" s="36" t="str"/>
      <x:c r="M138" s="36" t="str"/>
      <x:c r="N138" s="36" t="str"/>
      <x:c r="O138" s="43"/>
      <x:c r="P138" s="43"/>
      <x:c r="Q138" s="43"/>
      <x:c r="R138" s="43"/>
      <x:c r="S138" s="43"/>
      <x:c r="T138" s="43"/>
      <x:c r="U138" s="43"/>
      <x:c r="V138" s="43"/>
      <x:c r="W138" s="43"/>
      <x:c r="X138" s="43"/>
      <x:c r="Y138" s="43"/>
      <x:c r="Z138" s="43"/>
      <x:c r="AA138" s="43"/>
      <x:c r="AB138" s="43"/>
      <x:c r="AC138" s="43"/>
      <x:c r="AD138" s="43"/>
      <x:c r="AE138" s="43"/>
      <x:c r="AF138" s="43"/>
      <x:c r="AG138" s="43"/>
      <x:c r="AH138" s="43"/>
      <x:c r="AI138" s="43"/>
      <x:c r="AJ138" s="43"/>
      <x:c r="AK138" s="43"/>
      <x:c r="AL138" s="43"/>
      <x:c r="AM138" s="43"/>
      <x:c r="AN138" s="43"/>
      <x:c r="AO138" s="43"/>
      <x:c r="AP138" s="43"/>
    </x:row>
    <x:row r="139" ht="15" hidden="0" customHeight="1">
      <x:c r="A139" s="36" t="str">
        <x:v>BU Led Waste Matrix!row 142</x:v>
      </x:c>
      <x:c r="B139" s="37" t="str">
        <x:v>Service Now : Proactive Service Operations &amp; Digital Self-Service at the Edge</x:v>
      </x:c>
      <x:c r="C139" s="36" t="str">
        <x:v>Enterprise Informatics (EI)</x:v>
      </x:c>
      <x:c r="D139" s="36"/>
      <x:c r="E139" s="36" t="str"/>
      <x:c r="F139" s="36" t="str"/>
      <x:c r="G139" s="36" t="str"/>
      <x:c r="H139" s="36" t="str"/>
      <x:c r="I139" s="36" t="str"/>
      <x:c r="J139" s="36" t="str"/>
      <x:c r="K139" s="36"/>
      <x:c r="L139" s="36" t="str"/>
      <x:c r="M139" s="36" t="str"/>
      <x:c r="N139" s="36" t="str"/>
      <x:c r="O139" s="43"/>
      <x:c r="P139" s="43"/>
      <x:c r="Q139" s="43"/>
      <x:c r="R139" s="43"/>
      <x:c r="S139" s="43"/>
      <x:c r="T139" s="43"/>
      <x:c r="U139" s="43"/>
      <x:c r="V139" s="43"/>
      <x:c r="W139" s="43"/>
      <x:c r="X139" s="43"/>
      <x:c r="Y139" s="43"/>
      <x:c r="Z139" s="43"/>
      <x:c r="AA139" s="43"/>
      <x:c r="AB139" s="43"/>
      <x:c r="AC139" s="43"/>
      <x:c r="AD139" s="43"/>
      <x:c r="AE139" s="43"/>
      <x:c r="AF139" s="43"/>
      <x:c r="AG139" s="43"/>
      <x:c r="AH139" s="43"/>
      <x:c r="AI139" s="43"/>
      <x:c r="AJ139" s="43"/>
      <x:c r="AK139" s="43"/>
      <x:c r="AL139" s="43"/>
      <x:c r="AM139" s="43"/>
      <x:c r="AN139" s="43"/>
      <x:c r="AO139" s="43"/>
      <x:c r="AP139" s="43"/>
    </x:row>
    <x:row r="140" ht="15" hidden="0" customHeight="1">
      <x:c r="A140" s="36" t="str">
        <x:v>BU Led Waste Matrix!row 143</x:v>
      </x:c>
      <x:c r="B140" s="37" t="str">
        <x:v>Service Now : Fundamentals and Change Requests</x:v>
      </x:c>
      <x:c r="C140" s="36" t="str">
        <x:v>Enterprise Informatics (EI)</x:v>
      </x:c>
      <x:c r="D140" s="36"/>
      <x:c r="E140" s="36" t="str"/>
      <x:c r="F140" s="36" t="str"/>
      <x:c r="G140" s="36" t="str"/>
      <x:c r="H140" s="36" t="str"/>
      <x:c r="I140" s="36" t="str"/>
      <x:c r="J140" s="36" t="str"/>
      <x:c r="K140" s="36"/>
      <x:c r="L140" s="36" t="str"/>
      <x:c r="M140" s="36" t="str"/>
      <x:c r="N140" s="36" t="str"/>
      <x:c r="O140" s="43"/>
      <x:c r="P140" s="43"/>
      <x:c r="Q140" s="43"/>
      <x:c r="R140" s="43"/>
      <x:c r="S140" s="43"/>
      <x:c r="T140" s="43"/>
      <x:c r="U140" s="43"/>
      <x:c r="V140" s="43"/>
      <x:c r="W140" s="43"/>
      <x:c r="X140" s="43"/>
      <x:c r="Y140" s="43"/>
      <x:c r="Z140" s="43"/>
      <x:c r="AA140" s="43"/>
      <x:c r="AB140" s="43"/>
      <x:c r="AC140" s="43"/>
      <x:c r="AD140" s="43"/>
      <x:c r="AE140" s="43"/>
      <x:c r="AF140" s="43"/>
      <x:c r="AG140" s="43"/>
      <x:c r="AH140" s="43"/>
      <x:c r="AI140" s="43"/>
      <x:c r="AJ140" s="43"/>
      <x:c r="AK140" s="43"/>
      <x:c r="AL140" s="43"/>
      <x:c r="AM140" s="43"/>
      <x:c r="AN140" s="43"/>
      <x:c r="AO140" s="43"/>
      <x:c r="AP140" s="43"/>
    </x:row>
    <x:row r="141" ht="24" hidden="0" customHeight="1">
      <x:c r="A141" s="36" t="str">
        <x:v>BU Led Waste Matrix!row 144</x:v>
      </x:c>
      <x:c r="B141" s="37" t="str">
        <x:v>Sercie Now AI Initiatives :Intelligent Contact Centre &amp; Intelligent Omnichannel Service</x:v>
      </x:c>
      <x:c r="C141" s="36" t="str">
        <x:v>Enterprise Informatics (EI)</x:v>
      </x:c>
      <x:c r="D141" s="36"/>
      <x:c r="E141" s="36" t="str"/>
      <x:c r="F141" s="36" t="str"/>
      <x:c r="G141" s="36" t="str"/>
      <x:c r="H141" s="36" t="str"/>
      <x:c r="I141" s="36" t="str"/>
      <x:c r="J141" s="36" t="str"/>
      <x:c r="K141" s="36"/>
      <x:c r="L141" s="36" t="str"/>
      <x:c r="M141" s="36" t="str"/>
      <x:c r="N141" s="36" t="str"/>
      <x:c r="O141" s="43"/>
      <x:c r="P141" s="43"/>
      <x:c r="Q141" s="43"/>
      <x:c r="R141" s="43"/>
      <x:c r="S141" s="43"/>
      <x:c r="T141" s="43"/>
      <x:c r="U141" s="43"/>
      <x:c r="V141" s="43"/>
      <x:c r="W141" s="43"/>
      <x:c r="X141" s="43"/>
      <x:c r="Y141" s="43"/>
      <x:c r="Z141" s="43"/>
      <x:c r="AA141" s="43"/>
      <x:c r="AB141" s="43"/>
      <x:c r="AC141" s="43"/>
      <x:c r="AD141" s="43"/>
      <x:c r="AE141" s="43"/>
      <x:c r="AF141" s="43"/>
      <x:c r="AG141" s="43"/>
      <x:c r="AH141" s="43"/>
      <x:c r="AI141" s="43"/>
      <x:c r="AJ141" s="43"/>
      <x:c r="AK141" s="43"/>
      <x:c r="AL141" s="43"/>
      <x:c r="AM141" s="43"/>
      <x:c r="AN141" s="43"/>
      <x:c r="AO141" s="43"/>
      <x:c r="AP141" s="43"/>
    </x:row>
    <x:row r="142" ht="24" hidden="0" customHeight="1">
      <x:c r="A142" s="36" t="str">
        <x:v>BU Led Waste Matrix!row 145</x:v>
      </x:c>
      <x:c r="B142" s="37" t="str">
        <x:v>Service Now: Agentic Workspace for Service &amp; Demand- and Skills-Based Workforce Orchestration</x:v>
      </x:c>
      <x:c r="C142" s="36" t="str">
        <x:v>Enterprise Informatics (EI)</x:v>
      </x:c>
      <x:c r="D142" s="36"/>
      <x:c r="E142" s="36" t="str"/>
      <x:c r="F142" s="36" t="str"/>
      <x:c r="G142" s="36" t="str"/>
      <x:c r="H142" s="36" t="str"/>
      <x:c r="I142" s="36" t="str"/>
      <x:c r="J142" s="36" t="str"/>
      <x:c r="K142" s="36"/>
      <x:c r="L142" s="36" t="str"/>
      <x:c r="M142" s="36" t="str"/>
      <x:c r="N142" s="36" t="str"/>
      <x:c r="O142" s="43"/>
      <x:c r="P142" s="43"/>
      <x:c r="Q142" s="43"/>
      <x:c r="R142" s="43"/>
      <x:c r="S142" s="43"/>
      <x:c r="T142" s="43"/>
      <x:c r="U142" s="43"/>
      <x:c r="V142" s="43"/>
      <x:c r="W142" s="43"/>
      <x:c r="X142" s="43"/>
      <x:c r="Y142" s="43"/>
      <x:c r="Z142" s="43"/>
      <x:c r="AA142" s="43"/>
      <x:c r="AB142" s="43"/>
      <x:c r="AC142" s="43"/>
      <x:c r="AD142" s="43"/>
      <x:c r="AE142" s="43"/>
      <x:c r="AF142" s="43"/>
      <x:c r="AG142" s="43"/>
      <x:c r="AH142" s="43"/>
      <x:c r="AI142" s="43"/>
      <x:c r="AJ142" s="43"/>
      <x:c r="AK142" s="43"/>
      <x:c r="AL142" s="43"/>
      <x:c r="AM142" s="43"/>
      <x:c r="AN142" s="43"/>
      <x:c r="AO142" s="43"/>
      <x:c r="AP142" s="43"/>
    </x:row>
    <x:row r="143" ht="15" hidden="0" customHeight="1">
      <x:c r="A143" s="36" t="str">
        <x:v>BU Led Waste Matrix!row 146</x:v>
      </x:c>
      <x:c r="B143" s="37" t="str">
        <x:v>Service Operations : Sensei</x:v>
      </x:c>
      <x:c r="C143" s="36" t="str">
        <x:v>Enterprise Informatics (EI)</x:v>
      </x:c>
      <x:c r="D143" s="36"/>
      <x:c r="E143" s="36" t="str"/>
      <x:c r="F143" s="36" t="str"/>
      <x:c r="G143" s="36" t="str"/>
      <x:c r="H143" s="36" t="str"/>
      <x:c r="I143" s="36" t="str"/>
      <x:c r="J143" s="36" t="str"/>
      <x:c r="K143" s="36"/>
      <x:c r="L143" s="36" t="str"/>
      <x:c r="M143" s="36" t="str"/>
      <x:c r="N143" s="36" t="str"/>
      <x:c r="O143" s="43"/>
      <x:c r="P143" s="43"/>
      <x:c r="Q143" s="43"/>
      <x:c r="R143" s="43"/>
      <x:c r="S143" s="43"/>
      <x:c r="T143" s="43"/>
      <x:c r="U143" s="43"/>
      <x:c r="V143" s="43"/>
      <x:c r="W143" s="43"/>
      <x:c r="X143" s="43"/>
      <x:c r="Y143" s="43"/>
      <x:c r="Z143" s="43"/>
      <x:c r="AA143" s="43"/>
      <x:c r="AB143" s="43"/>
      <x:c r="AC143" s="43"/>
      <x:c r="AD143" s="43"/>
      <x:c r="AE143" s="43"/>
      <x:c r="AF143" s="43"/>
      <x:c r="AG143" s="43"/>
      <x:c r="AH143" s="43"/>
      <x:c r="AI143" s="43"/>
      <x:c r="AJ143" s="43"/>
      <x:c r="AK143" s="43"/>
      <x:c r="AL143" s="43"/>
      <x:c r="AM143" s="43"/>
      <x:c r="AN143" s="43"/>
      <x:c r="AO143" s="43"/>
      <x:c r="AP143" s="43"/>
    </x:row>
    <x:row r="144" ht="15" hidden="0" customHeight="1">
      <x:c r="A144" s="36" t="str">
        <x:v>BU Led Waste Matrix!row 147</x:v>
      </x:c>
      <x:c r="B144" s="37" t="str">
        <x:v>Service Operations : Microsoft Project Operations</x:v>
      </x:c>
      <x:c r="C144" s="36" t="str">
        <x:v>Enterprise Informatics (EI)</x:v>
      </x:c>
      <x:c r="D144" s="36"/>
      <x:c r="E144" s="36" t="str"/>
      <x:c r="F144" s="36" t="str"/>
      <x:c r="G144" s="36" t="str"/>
      <x:c r="H144" s="36" t="str"/>
      <x:c r="I144" s="36" t="str"/>
      <x:c r="J144" s="36" t="str"/>
      <x:c r="K144" s="36"/>
      <x:c r="L144" s="36" t="str"/>
      <x:c r="M144" s="36" t="str"/>
      <x:c r="N144" s="36" t="str"/>
      <x:c r="O144" s="43"/>
      <x:c r="P144" s="43"/>
      <x:c r="Q144" s="43"/>
      <x:c r="R144" s="43"/>
      <x:c r="S144" s="43"/>
      <x:c r="T144" s="43"/>
      <x:c r="U144" s="43"/>
      <x:c r="V144" s="43"/>
      <x:c r="W144" s="43"/>
      <x:c r="X144" s="43"/>
      <x:c r="Y144" s="43"/>
      <x:c r="Z144" s="43"/>
      <x:c r="AA144" s="43"/>
      <x:c r="AB144" s="43"/>
      <x:c r="AC144" s="43"/>
      <x:c r="AD144" s="43"/>
      <x:c r="AE144" s="43"/>
      <x:c r="AF144" s="43"/>
      <x:c r="AG144" s="43"/>
      <x:c r="AH144" s="43"/>
      <x:c r="AI144" s="43"/>
      <x:c r="AJ144" s="43"/>
      <x:c r="AK144" s="43"/>
      <x:c r="AL144" s="43"/>
      <x:c r="AM144" s="43"/>
      <x:c r="AN144" s="43"/>
      <x:c r="AO144" s="43"/>
      <x:c r="AP144" s="43"/>
    </x:row>
    <x:row r="145" ht="15" hidden="0" customHeight="1">
      <x:c r="A145" s="36" t="str">
        <x:v>BU Led Waste Matrix!row 148</x:v>
      </x:c>
      <x:c r="B145" s="37" t="str">
        <x:v>Service Operations : Ignite</x:v>
      </x:c>
      <x:c r="C145" s="36" t="str">
        <x:v>Enterprise Informatics (EI)</x:v>
      </x:c>
      <x:c r="D145" s="36"/>
      <x:c r="E145" s="36" t="str"/>
      <x:c r="F145" s="36" t="str"/>
      <x:c r="G145" s="36" t="str"/>
      <x:c r="H145" s="36" t="str"/>
      <x:c r="I145" s="36" t="str"/>
      <x:c r="J145" s="36" t="str"/>
      <x:c r="K145" s="36"/>
      <x:c r="L145" s="36" t="str"/>
      <x:c r="M145" s="36" t="str"/>
      <x:c r="N145" s="36" t="str"/>
      <x:c r="O145" s="43"/>
      <x:c r="P145" s="43"/>
      <x:c r="Q145" s="43"/>
      <x:c r="R145" s="43"/>
      <x:c r="S145" s="43"/>
      <x:c r="T145" s="43"/>
      <x:c r="U145" s="43"/>
      <x:c r="V145" s="43"/>
      <x:c r="W145" s="43"/>
      <x:c r="X145" s="43"/>
      <x:c r="Y145" s="43"/>
      <x:c r="Z145" s="43"/>
      <x:c r="AA145" s="43"/>
      <x:c r="AB145" s="43"/>
      <x:c r="AC145" s="43"/>
      <x:c r="AD145" s="43"/>
      <x:c r="AE145" s="43"/>
      <x:c r="AF145" s="43"/>
      <x:c r="AG145" s="43"/>
      <x:c r="AH145" s="43"/>
      <x:c r="AI145" s="43"/>
      <x:c r="AJ145" s="43"/>
      <x:c r="AK145" s="43"/>
      <x:c r="AL145" s="43"/>
      <x:c r="AM145" s="43"/>
      <x:c r="AN145" s="43"/>
      <x:c r="AO145" s="43"/>
      <x:c r="AP145" s="43"/>
    </x:row>
    <x:row r="146" ht="24" hidden="0" customHeight="1">
      <x:c r="A146" s="36" t="str">
        <x:v>BU Led Waste Matrix!row 149</x:v>
      </x:c>
      <x:c r="B146" s="37" t="str">
        <x:v>Automate software-only fulfilment, cloud activation, trials, upgrades and entitlement changes</x:v>
      </x:c>
      <x:c r="C146" s="36" t="str">
        <x:v>Enterprise Informatics (EI)</x:v>
      </x:c>
      <x:c r="D146" s="36"/>
      <x:c r="E146" s="36" t="str"/>
      <x:c r="F146" s="36" t="str"/>
      <x:c r="G146" s="36" t="str"/>
      <x:c r="H146" s="36" t="str"/>
      <x:c r="I146" s="36" t="str"/>
      <x:c r="J146" s="36" t="str"/>
      <x:c r="K146" s="36"/>
      <x:c r="L146" s="36" t="str"/>
      <x:c r="M146" s="36" t="str"/>
      <x:c r="N146" s="36" t="str"/>
      <x:c r="O146" s="43"/>
      <x:c r="P146" s="43"/>
      <x:c r="Q146" s="43"/>
      <x:c r="R146" s="43"/>
      <x:c r="S146" s="43"/>
      <x:c r="T146" s="43"/>
      <x:c r="U146" s="43"/>
      <x:c r="V146" s="43"/>
      <x:c r="W146" s="43"/>
      <x:c r="X146" s="43"/>
      <x:c r="Y146" s="43"/>
      <x:c r="Z146" s="43"/>
      <x:c r="AA146" s="43"/>
      <x:c r="AB146" s="43"/>
      <x:c r="AC146" s="43"/>
      <x:c r="AD146" s="43"/>
      <x:c r="AE146" s="43"/>
      <x:c r="AF146" s="43"/>
      <x:c r="AG146" s="43"/>
      <x:c r="AH146" s="43"/>
      <x:c r="AI146" s="43"/>
      <x:c r="AJ146" s="43"/>
      <x:c r="AK146" s="43"/>
      <x:c r="AL146" s="43"/>
      <x:c r="AM146" s="43"/>
      <x:c r="AN146" s="43"/>
      <x:c r="AO146" s="43"/>
      <x:c r="AP146" s="43"/>
    </x:row>
    <x:row r="147" ht="15" hidden="0" customHeight="1">
      <x:c r="A147" s="36" t="str">
        <x:v>BU Led Waste Matrix!row 150</x:v>
      </x:c>
      <x:c r="B147" s="37" t="str">
        <x:v>Sentinel LEM deployment for CT/AMI (OKM – Order Key Manager) - STO 400K</x:v>
      </x:c>
      <x:c r="C147" s="36" t="str">
        <x:v>Precision Diagnosis - Computed Tomography (CT)</x:v>
      </x:c>
      <x:c r="D147" s="36"/>
      <x:c r="E147" s="36" t="str"/>
      <x:c r="F147" s="36" t="str"/>
      <x:c r="G147" s="36" t="str"/>
      <x:c r="H147" s="36" t="str"/>
      <x:c r="I147" s="36" t="str"/>
      <x:c r="J147" s="36" t="str"/>
      <x:c r="K147" s="36"/>
      <x:c r="L147" s="36" t="str"/>
      <x:c r="M147" s="36" t="str"/>
      <x:c r="N147" s="36" t="str"/>
      <x:c r="O147" s="43"/>
      <x:c r="P147" s="43"/>
      <x:c r="Q147" s="43"/>
      <x:c r="R147" s="43"/>
      <x:c r="S147" s="43"/>
      <x:c r="T147" s="43"/>
      <x:c r="U147" s="43"/>
      <x:c r="V147" s="43"/>
      <x:c r="W147" s="43"/>
      <x:c r="X147" s="43"/>
      <x:c r="Y147" s="43"/>
      <x:c r="Z147" s="43"/>
      <x:c r="AA147" s="43"/>
      <x:c r="AB147" s="43"/>
      <x:c r="AC147" s="43"/>
      <x:c r="AD147" s="43"/>
      <x:c r="AE147" s="43"/>
      <x:c r="AF147" s="43"/>
      <x:c r="AG147" s="43"/>
      <x:c r="AH147" s="43"/>
      <x:c r="AI147" s="43"/>
      <x:c r="AJ147" s="43"/>
      <x:c r="AK147" s="43"/>
      <x:c r="AL147" s="43"/>
      <x:c r="AM147" s="43"/>
      <x:c r="AN147" s="43"/>
      <x:c r="AO147" s="43"/>
      <x:c r="AP147" s="43"/>
    </x:row>
    <x:row r="148" ht="15" hidden="0" customHeight="1">
      <x:c r="A148" s="36" t="str">
        <x:v>BU Led Waste Matrix!row 151</x:v>
      </x:c>
      <x:c r="B148" s="37" t="str">
        <x:v>I2M PLM (Windchill) CR's</x:v>
      </x:c>
      <x:c r="C148" s="36" t="str">
        <x:v>Precision Diagnosis - Magnetic Resonance (MR)</x:v>
      </x:c>
      <x:c r="D148" s="36"/>
      <x:c r="E148" s="36" t="str"/>
      <x:c r="F148" s="36" t="str"/>
      <x:c r="G148" s="36" t="str"/>
      <x:c r="H148" s="36" t="str"/>
      <x:c r="I148" s="36" t="str"/>
      <x:c r="J148" s="36" t="str"/>
      <x:c r="K148" s="36"/>
      <x:c r="L148" s="36" t="str"/>
      <x:c r="M148" s="36" t="str"/>
      <x:c r="N148" s="36" t="str"/>
      <x:c r="O148" s="43"/>
      <x:c r="P148" s="43"/>
      <x:c r="Q148" s="43"/>
      <x:c r="R148" s="43"/>
      <x:c r="S148" s="43"/>
      <x:c r="T148" s="43"/>
      <x:c r="U148" s="43"/>
      <x:c r="V148" s="43"/>
      <x:c r="W148" s="43"/>
      <x:c r="X148" s="43"/>
      <x:c r="Y148" s="43"/>
      <x:c r="Z148" s="43"/>
      <x:c r="AA148" s="43"/>
      <x:c r="AB148" s="43"/>
      <x:c r="AC148" s="43"/>
      <x:c r="AD148" s="43"/>
      <x:c r="AE148" s="43"/>
      <x:c r="AF148" s="43"/>
      <x:c r="AG148" s="43"/>
      <x:c r="AH148" s="43"/>
      <x:c r="AI148" s="43"/>
      <x:c r="AJ148" s="43"/>
      <x:c r="AK148" s="43"/>
      <x:c r="AL148" s="43"/>
      <x:c r="AM148" s="43"/>
      <x:c r="AN148" s="43"/>
      <x:c r="AO148" s="43"/>
      <x:c r="AP148" s="43"/>
    </x:row>
    <x:row r="149" ht="15" hidden="0" customHeight="1">
      <x:c r="A149" s="36" t="str">
        <x:v>BU Led Waste Matrix!row 152</x:v>
      </x:c>
      <x:c r="B149" s="37" t="str">
        <x:v>MR Mobile Apps CR's (MR - Imaging app v2) - SI</x:v>
      </x:c>
      <x:c r="C149" s="36" t="str">
        <x:v>Precision Diagnosis - Magnetic Resonance (MR)</x:v>
      </x:c>
      <x:c r="D149" s="36"/>
      <x:c r="E149" s="36" t="str"/>
      <x:c r="F149" s="36" t="str"/>
      <x:c r="G149" s="36" t="str"/>
      <x:c r="H149" s="36" t="str"/>
      <x:c r="I149" s="36" t="str"/>
      <x:c r="J149" s="36" t="str"/>
      <x:c r="K149" s="36"/>
      <x:c r="L149" s="36" t="str"/>
      <x:c r="M149" s="36" t="str"/>
      <x:c r="N149" s="36" t="str"/>
      <x:c r="O149" s="43"/>
      <x:c r="P149" s="43"/>
      <x:c r="Q149" s="43"/>
      <x:c r="R149" s="43"/>
      <x:c r="S149" s="43"/>
      <x:c r="T149" s="43"/>
      <x:c r="U149" s="43"/>
      <x:c r="V149" s="43"/>
      <x:c r="W149" s="43"/>
      <x:c r="X149" s="43"/>
      <x:c r="Y149" s="43"/>
      <x:c r="Z149" s="43"/>
      <x:c r="AA149" s="43"/>
      <x:c r="AB149" s="43"/>
      <x:c r="AC149" s="43"/>
      <x:c r="AD149" s="43"/>
      <x:c r="AE149" s="43"/>
      <x:c r="AF149" s="43"/>
      <x:c r="AG149" s="43"/>
      <x:c r="AH149" s="43"/>
      <x:c r="AI149" s="43"/>
      <x:c r="AJ149" s="43"/>
      <x:c r="AK149" s="43"/>
      <x:c r="AL149" s="43"/>
      <x:c r="AM149" s="43"/>
      <x:c r="AN149" s="43"/>
      <x:c r="AO149" s="43"/>
      <x:c r="AP149" s="43"/>
    </x:row>
    <x:row r="150" ht="15" hidden="0" customHeight="1">
      <x:c r="A150" s="36" t="str">
        <x:v>BU Led Waste Matrix!row 153</x:v>
      </x:c>
      <x:c r="B150" s="37" t="str">
        <x:v>Spaniel 13 | Mobile MRI Support</x:v>
      </x:c>
      <x:c r="C150" s="36" t="str">
        <x:v>Precision Diagnosis - Magnetic Resonance (MR)</x:v>
      </x:c>
      <x:c r="D150" s="36"/>
      <x:c r="E150" s="36" t="str"/>
      <x:c r="F150" s="36" t="str"/>
      <x:c r="G150" s="36" t="str"/>
      <x:c r="H150" s="36" t="str"/>
      <x:c r="I150" s="36" t="str"/>
      <x:c r="J150" s="36" t="str"/>
      <x:c r="K150" s="36"/>
      <x:c r="L150" s="36" t="str"/>
      <x:c r="M150" s="36" t="str"/>
      <x:c r="N150" s="36" t="str"/>
      <x:c r="O150" s="43"/>
      <x:c r="P150" s="43"/>
      <x:c r="Q150" s="43"/>
      <x:c r="R150" s="43"/>
      <x:c r="S150" s="43"/>
      <x:c r="T150" s="43"/>
      <x:c r="U150" s="43"/>
      <x:c r="V150" s="43"/>
      <x:c r="W150" s="43"/>
      <x:c r="X150" s="43"/>
      <x:c r="Y150" s="43"/>
      <x:c r="Z150" s="43"/>
      <x:c r="AA150" s="43"/>
      <x:c r="AB150" s="43"/>
      <x:c r="AC150" s="43"/>
      <x:c r="AD150" s="43"/>
      <x:c r="AE150" s="43"/>
      <x:c r="AF150" s="43"/>
      <x:c r="AG150" s="43"/>
      <x:c r="AH150" s="43"/>
      <x:c r="AI150" s="43"/>
      <x:c r="AJ150" s="43"/>
      <x:c r="AK150" s="43"/>
      <x:c r="AL150" s="43"/>
      <x:c r="AM150" s="43"/>
      <x:c r="AN150" s="43"/>
      <x:c r="AO150" s="43"/>
      <x:c r="AP150" s="43"/>
    </x:row>
    <x:row r="151" ht="15" hidden="0" customHeight="1">
      <x:c r="A151" s="36" t="str">
        <x:v>BU Led Waste Matrix!row 154</x:v>
      </x:c>
      <x:c r="B151" s="37" t="str">
        <x:v>Spaniel 12 | MR subscription for Indirect channel</x:v>
      </x:c>
      <x:c r="C151" s="36" t="str">
        <x:v>Precision Diagnosis - Magnetic Resonance (MR)</x:v>
      </x:c>
      <x:c r="D151" s="36"/>
      <x:c r="E151" s="36" t="str"/>
      <x:c r="F151" s="36" t="str"/>
      <x:c r="G151" s="36" t="str"/>
      <x:c r="H151" s="36" t="str"/>
      <x:c r="I151" s="36" t="str"/>
      <x:c r="J151" s="36" t="str"/>
      <x:c r="K151" s="36"/>
      <x:c r="L151" s="36" t="str"/>
      <x:c r="M151" s="36" t="str"/>
      <x:c r="N151" s="36" t="str"/>
      <x:c r="O151" s="43"/>
      <x:c r="P151" s="43"/>
      <x:c r="Q151" s="43"/>
      <x:c r="R151" s="43"/>
      <x:c r="S151" s="43"/>
      <x:c r="T151" s="43"/>
      <x:c r="U151" s="43"/>
      <x:c r="V151" s="43"/>
      <x:c r="W151" s="43"/>
      <x:c r="X151" s="43"/>
      <x:c r="Y151" s="43"/>
      <x:c r="Z151" s="43"/>
      <x:c r="AA151" s="43"/>
      <x:c r="AB151" s="43"/>
      <x:c r="AC151" s="43"/>
      <x:c r="AD151" s="43"/>
      <x:c r="AE151" s="43"/>
      <x:c r="AF151" s="43"/>
      <x:c r="AG151" s="43"/>
      <x:c r="AH151" s="43"/>
      <x:c r="AI151" s="43"/>
      <x:c r="AJ151" s="43"/>
      <x:c r="AK151" s="43"/>
      <x:c r="AL151" s="43"/>
      <x:c r="AM151" s="43"/>
      <x:c r="AN151" s="43"/>
      <x:c r="AO151" s="43"/>
      <x:c r="AP151" s="43"/>
    </x:row>
    <x:row r="152" ht="15" hidden="0" customHeight="1">
      <x:c r="A152" s="36" t="str">
        <x:v>BU Led Waste Matrix!row 155</x:v>
      </x:c>
      <x:c r="B152" s="37" t="str">
        <x:v>Sales Text | VSM &amp; PS | Sales text process E2E</x:v>
      </x:c>
      <x:c r="C152" s="36" t="str">
        <x:v>Precision Diagnosis - Magnetic Resonance (MR)</x:v>
      </x:c>
      <x:c r="D152" s="36"/>
      <x:c r="E152" s="36" t="str"/>
      <x:c r="F152" s="36" t="str"/>
      <x:c r="G152" s="36" t="str"/>
      <x:c r="H152" s="36" t="str"/>
      <x:c r="I152" s="36" t="str"/>
      <x:c r="J152" s="36" t="str"/>
      <x:c r="K152" s="36"/>
      <x:c r="L152" s="36" t="str"/>
      <x:c r="M152" s="36" t="str"/>
      <x:c r="N152" s="36" t="str"/>
      <x:c r="O152" s="43"/>
      <x:c r="P152" s="43"/>
      <x:c r="Q152" s="43"/>
      <x:c r="R152" s="43"/>
      <x:c r="S152" s="43"/>
      <x:c r="T152" s="43"/>
      <x:c r="U152" s="43"/>
      <x:c r="V152" s="43"/>
      <x:c r="W152" s="43"/>
      <x:c r="X152" s="43"/>
      <x:c r="Y152" s="43"/>
      <x:c r="Z152" s="43"/>
      <x:c r="AA152" s="43"/>
      <x:c r="AB152" s="43"/>
      <x:c r="AC152" s="43"/>
      <x:c r="AD152" s="43"/>
      <x:c r="AE152" s="43"/>
      <x:c r="AF152" s="43"/>
      <x:c r="AG152" s="43"/>
      <x:c r="AH152" s="43"/>
      <x:c r="AI152" s="43"/>
      <x:c r="AJ152" s="43"/>
      <x:c r="AK152" s="43"/>
      <x:c r="AL152" s="43"/>
      <x:c r="AM152" s="43"/>
      <x:c r="AN152" s="43"/>
      <x:c r="AO152" s="43"/>
      <x:c r="AP152" s="43"/>
    </x:row>
    <x:row r="153" ht="15" hidden="0" customHeight="1">
      <x:c r="A153" s="36" t="str">
        <x:v>BU Led Waste Matrix!row 156</x:v>
      </x:c>
      <x:c r="B153" s="37" t="str">
        <x:v>Commercial Catalogue | 6NCs optimization | Solution for GTIN</x:v>
      </x:c>
      <x:c r="C153" s="36" t="str">
        <x:v>Precision Diagnosis - Magnetic Resonance (MR)</x:v>
      </x:c>
      <x:c r="D153" s="36"/>
      <x:c r="E153" s="36" t="str"/>
      <x:c r="F153" s="36" t="str"/>
      <x:c r="G153" s="36" t="str"/>
      <x:c r="H153" s="36" t="str"/>
      <x:c r="I153" s="36" t="str"/>
      <x:c r="J153" s="36" t="str"/>
      <x:c r="K153" s="36"/>
      <x:c r="L153" s="36" t="str"/>
      <x:c r="M153" s="36" t="str"/>
      <x:c r="N153" s="36" t="str"/>
      <x:c r="O153" s="43"/>
      <x:c r="P153" s="43"/>
      <x:c r="Q153" s="43"/>
      <x:c r="R153" s="43"/>
      <x:c r="S153" s="43"/>
      <x:c r="T153" s="43"/>
      <x:c r="U153" s="43"/>
      <x:c r="V153" s="43"/>
      <x:c r="W153" s="43"/>
      <x:c r="X153" s="43"/>
      <x:c r="Y153" s="43"/>
      <x:c r="Z153" s="43"/>
      <x:c r="AA153" s="43"/>
      <x:c r="AB153" s="43"/>
      <x:c r="AC153" s="43"/>
      <x:c r="AD153" s="43"/>
      <x:c r="AE153" s="43"/>
      <x:c r="AF153" s="43"/>
      <x:c r="AG153" s="43"/>
      <x:c r="AH153" s="43"/>
      <x:c r="AI153" s="43"/>
      <x:c r="AJ153" s="43"/>
      <x:c r="AK153" s="43"/>
      <x:c r="AL153" s="43"/>
      <x:c r="AM153" s="43"/>
      <x:c r="AN153" s="43"/>
      <x:c r="AO153" s="43"/>
      <x:c r="AP153" s="43"/>
    </x:row>
    <x:row r="154" ht="15" hidden="0" customHeight="1">
      <x:c r="A154" s="36" t="str">
        <x:v>BU Led Waste Matrix!row 157</x:v>
      </x:c>
      <x:c r="B154" s="37" t="str">
        <x:v>Spaniel 4 &amp; 5 | 3P SW PPP Business Model Archetype MVP </x:v>
      </x:c>
      <x:c r="C154" s="36" t="str">
        <x:v>Precision Diagnosis - Magnetic Resonance (MR)</x:v>
      </x:c>
      <x:c r="D154" s="36"/>
      <x:c r="E154" s="36" t="str"/>
      <x:c r="F154" s="36" t="str"/>
      <x:c r="G154" s="36" t="str"/>
      <x:c r="H154" s="36" t="str"/>
      <x:c r="I154" s="36" t="str"/>
      <x:c r="J154" s="36" t="str"/>
      <x:c r="K154" s="36"/>
      <x:c r="L154" s="36" t="str"/>
      <x:c r="M154" s="36" t="str"/>
      <x:c r="N154" s="36" t="str"/>
      <x:c r="O154" s="43"/>
      <x:c r="P154" s="43"/>
      <x:c r="Q154" s="43"/>
      <x:c r="R154" s="43"/>
      <x:c r="S154" s="43"/>
      <x:c r="T154" s="43"/>
      <x:c r="U154" s="43"/>
      <x:c r="V154" s="43"/>
      <x:c r="W154" s="43"/>
      <x:c r="X154" s="43"/>
      <x:c r="Y154" s="43"/>
      <x:c r="Z154" s="43"/>
      <x:c r="AA154" s="43"/>
      <x:c r="AB154" s="43"/>
      <x:c r="AC154" s="43"/>
      <x:c r="AD154" s="43"/>
      <x:c r="AE154" s="43"/>
      <x:c r="AF154" s="43"/>
      <x:c r="AG154" s="43"/>
      <x:c r="AH154" s="43"/>
      <x:c r="AI154" s="43"/>
      <x:c r="AJ154" s="43"/>
      <x:c r="AK154" s="43"/>
      <x:c r="AL154" s="43"/>
      <x:c r="AM154" s="43"/>
      <x:c r="AN154" s="43"/>
      <x:c r="AO154" s="43"/>
      <x:c r="AP154" s="43"/>
    </x:row>
    <x:row r="155" ht="15" hidden="0" customHeight="1">
      <x:c r="A155" s="36" t="str">
        <x:v>BU Led Waste Matrix!row 158</x:v>
      </x:c>
      <x:c r="B155" s="37" t="str">
        <x:v>Pricing | Pricing tooling maturity assessment - Road-map</x:v>
      </x:c>
      <x:c r="C155" s="36" t="str">
        <x:v>Precision Diagnosis - Magnetic Resonance (MR)</x:v>
      </x:c>
      <x:c r="D155" s="36"/>
      <x:c r="E155" s="36" t="str"/>
      <x:c r="F155" s="36" t="str"/>
      <x:c r="G155" s="36" t="str"/>
      <x:c r="H155" s="36" t="str"/>
      <x:c r="I155" s="36" t="str"/>
      <x:c r="J155" s="36" t="str"/>
      <x:c r="K155" s="36"/>
      <x:c r="L155" s="36" t="str"/>
      <x:c r="M155" s="36" t="str"/>
      <x:c r="N155" s="36" t="str"/>
      <x:c r="O155" s="43"/>
      <x:c r="P155" s="43"/>
      <x:c r="Q155" s="43"/>
      <x:c r="R155" s="43"/>
      <x:c r="S155" s="43"/>
      <x:c r="T155" s="43"/>
      <x:c r="U155" s="43"/>
      <x:c r="V155" s="43"/>
      <x:c r="W155" s="43"/>
      <x:c r="X155" s="43"/>
      <x:c r="Y155" s="43"/>
      <x:c r="Z155" s="43"/>
      <x:c r="AA155" s="43"/>
      <x:c r="AB155" s="43"/>
      <x:c r="AC155" s="43"/>
      <x:c r="AD155" s="43"/>
      <x:c r="AE155" s="43"/>
      <x:c r="AF155" s="43"/>
      <x:c r="AG155" s="43"/>
      <x:c r="AH155" s="43"/>
      <x:c r="AI155" s="43"/>
      <x:c r="AJ155" s="43"/>
      <x:c r="AK155" s="43"/>
      <x:c r="AL155" s="43"/>
      <x:c r="AM155" s="43"/>
      <x:c r="AN155" s="43"/>
      <x:c r="AO155" s="43"/>
      <x:c r="AP155" s="43"/>
    </x:row>
    <x:row r="156" ht="15" hidden="0" customHeight="1">
      <x:c r="A156" s="36" t="str">
        <x:v>BU Led Waste Matrix!row 159</x:v>
      </x:c>
      <x:c r="B156" s="37" t="str">
        <x:v>Regulatory submissions simplification | Document creation &amp; management</x:v>
      </x:c>
      <x:c r="C156" s="36" t="str">
        <x:v>Precision Diagnosis - Magnetic Resonance (MR)</x:v>
      </x:c>
      <x:c r="D156" s="36"/>
      <x:c r="E156" s="36" t="str"/>
      <x:c r="F156" s="36" t="str"/>
      <x:c r="G156" s="36" t="str"/>
      <x:c r="H156" s="36" t="str"/>
      <x:c r="I156" s="36" t="str"/>
      <x:c r="J156" s="36" t="str"/>
      <x:c r="K156" s="36"/>
      <x:c r="L156" s="36" t="str"/>
      <x:c r="M156" s="36" t="str"/>
      <x:c r="N156" s="36" t="str"/>
      <x:c r="O156" s="43"/>
      <x:c r="P156" s="43"/>
      <x:c r="Q156" s="43"/>
      <x:c r="R156" s="43"/>
      <x:c r="S156" s="43"/>
      <x:c r="T156" s="43"/>
      <x:c r="U156" s="43"/>
      <x:c r="V156" s="43"/>
      <x:c r="W156" s="43"/>
      <x:c r="X156" s="43"/>
      <x:c r="Y156" s="43"/>
      <x:c r="Z156" s="43"/>
      <x:c r="AA156" s="43"/>
      <x:c r="AB156" s="43"/>
      <x:c r="AC156" s="43"/>
      <x:c r="AD156" s="43"/>
      <x:c r="AE156" s="43"/>
      <x:c r="AF156" s="43"/>
      <x:c r="AG156" s="43"/>
      <x:c r="AH156" s="43"/>
      <x:c r="AI156" s="43"/>
      <x:c r="AJ156" s="43"/>
      <x:c r="AK156" s="43"/>
      <x:c r="AL156" s="43"/>
      <x:c r="AM156" s="43"/>
      <x:c r="AN156" s="43"/>
      <x:c r="AO156" s="43"/>
      <x:c r="AP156" s="43"/>
    </x:row>
    <x:row r="157" ht="15" hidden="0" customHeight="1">
      <x:c r="A157" s="36" t="str">
        <x:v>BU Led Waste Matrix!row 160</x:v>
      </x:c>
      <x:c r="B157" s="37" t="str">
        <x:v>Localised Label release</x:v>
      </x:c>
      <x:c r="C157" s="36" t="str">
        <x:v>Precision Diagnosis - Magnetic Resonance (MR)</x:v>
      </x:c>
      <x:c r="D157" s="36"/>
      <x:c r="E157" s="36" t="str"/>
      <x:c r="F157" s="36" t="str"/>
      <x:c r="G157" s="36" t="str"/>
      <x:c r="H157" s="36" t="str"/>
      <x:c r="I157" s="36" t="str"/>
      <x:c r="J157" s="36" t="str"/>
      <x:c r="K157" s="36"/>
      <x:c r="L157" s="36" t="str"/>
      <x:c r="M157" s="36" t="str"/>
      <x:c r="N157" s="36" t="str"/>
      <x:c r="O157" s="43"/>
      <x:c r="P157" s="43"/>
      <x:c r="Q157" s="43"/>
      <x:c r="R157" s="43"/>
      <x:c r="S157" s="43"/>
      <x:c r="T157" s="43"/>
      <x:c r="U157" s="43"/>
      <x:c r="V157" s="43"/>
      <x:c r="W157" s="43"/>
      <x:c r="X157" s="43"/>
      <x:c r="Y157" s="43"/>
      <x:c r="Z157" s="43"/>
      <x:c r="AA157" s="43"/>
      <x:c r="AB157" s="43"/>
      <x:c r="AC157" s="43"/>
      <x:c r="AD157" s="43"/>
      <x:c r="AE157" s="43"/>
      <x:c r="AF157" s="43"/>
      <x:c r="AG157" s="43"/>
      <x:c r="AH157" s="43"/>
      <x:c r="AI157" s="43"/>
      <x:c r="AJ157" s="43"/>
      <x:c r="AK157" s="43"/>
      <x:c r="AL157" s="43"/>
      <x:c r="AM157" s="43"/>
      <x:c r="AN157" s="43"/>
      <x:c r="AO157" s="43"/>
      <x:c r="AP157" s="43"/>
    </x:row>
    <x:row r="158" ht="15" hidden="0" customHeight="1">
      <x:c r="A158" s="36" t="str">
        <x:v>BU Led Waste Matrix!row 161</x:v>
      </x:c>
      <x:c r="B158" s="37" t="str">
        <x:v>I2M  Planisware CT AI Solutions</x:v>
      </x:c>
      <x:c r="C158" s="36" t="str">
        <x:v>Precision Diagnosis - Computed Tomography (CT)</x:v>
      </x:c>
      <x:c r="D158" s="36"/>
      <x:c r="E158" s="36" t="str"/>
      <x:c r="F158" s="36" t="str"/>
      <x:c r="G158" s="36" t="str"/>
      <x:c r="H158" s="36" t="str"/>
      <x:c r="I158" s="36" t="str"/>
      <x:c r="J158" s="36" t="str"/>
      <x:c r="K158" s="36"/>
      <x:c r="L158" s="36" t="str"/>
      <x:c r="M158" s="36" t="str"/>
      <x:c r="N158" s="36" t="str"/>
      <x:c r="O158" s="43"/>
      <x:c r="P158" s="43"/>
      <x:c r="Q158" s="43"/>
      <x:c r="R158" s="43"/>
      <x:c r="S158" s="43"/>
      <x:c r="T158" s="43"/>
      <x:c r="U158" s="43"/>
      <x:c r="V158" s="43"/>
      <x:c r="W158" s="43"/>
      <x:c r="X158" s="43"/>
      <x:c r="Y158" s="43"/>
      <x:c r="Z158" s="43"/>
      <x:c r="AA158" s="43"/>
      <x:c r="AB158" s="43"/>
      <x:c r="AC158" s="43"/>
      <x:c r="AD158" s="43"/>
      <x:c r="AE158" s="43"/>
      <x:c r="AF158" s="43"/>
      <x:c r="AG158" s="43"/>
      <x:c r="AH158" s="43"/>
      <x:c r="AI158" s="43"/>
      <x:c r="AJ158" s="43"/>
      <x:c r="AK158" s="43"/>
      <x:c r="AL158" s="43"/>
      <x:c r="AM158" s="43"/>
      <x:c r="AN158" s="43"/>
      <x:c r="AO158" s="43"/>
      <x:c r="AP158" s="43"/>
    </x:row>
    <x:row r="159" ht="15" hidden="0" customHeight="1">
      <x:c r="A159" s="36" t="str">
        <x:v>BU Led Waste Matrix!row 162</x:v>
      </x:c>
      <x:c r="B159" s="37" t="str">
        <x:v>Insourcing Scanbuddy App.</x:v>
      </x:c>
      <x:c r="C159" s="36" t="str">
        <x:v>Precision Diagnosis - Magnetic Resonance (MR)</x:v>
      </x:c>
      <x:c r="D159" s="36"/>
      <x:c r="E159" s="36" t="str"/>
      <x:c r="F159" s="36" t="str"/>
      <x:c r="G159" s="36" t="str"/>
      <x:c r="H159" s="36" t="str"/>
      <x:c r="I159" s="36" t="str"/>
      <x:c r="J159" s="36" t="str"/>
      <x:c r="K159" s="36"/>
      <x:c r="L159" s="36" t="str"/>
      <x:c r="M159" s="36" t="str"/>
      <x:c r="N159" s="36" t="str"/>
      <x:c r="O159" s="43"/>
      <x:c r="P159" s="43"/>
      <x:c r="Q159" s="43"/>
      <x:c r="R159" s="43"/>
      <x:c r="S159" s="43"/>
      <x:c r="T159" s="43"/>
      <x:c r="U159" s="43"/>
      <x:c r="V159" s="43"/>
      <x:c r="W159" s="43"/>
      <x:c r="X159" s="43"/>
      <x:c r="Y159" s="43"/>
      <x:c r="Z159" s="43"/>
      <x:c r="AA159" s="43"/>
      <x:c r="AB159" s="43"/>
      <x:c r="AC159" s="43"/>
      <x:c r="AD159" s="43"/>
      <x:c r="AE159" s="43"/>
      <x:c r="AF159" s="43"/>
      <x:c r="AG159" s="43"/>
      <x:c r="AH159" s="43"/>
      <x:c r="AI159" s="43"/>
      <x:c r="AJ159" s="43"/>
      <x:c r="AK159" s="43"/>
      <x:c r="AL159" s="43"/>
      <x:c r="AM159" s="43"/>
      <x:c r="AN159" s="43"/>
      <x:c r="AO159" s="43"/>
      <x:c r="AP159" s="43"/>
    </x:row>
    <x:row r="160" ht="15" hidden="0" customHeight="1">
      <x:c r="A160" s="36" t="str">
        <x:v>BU Led Waste Matrix!row 163</x:v>
      </x:c>
      <x:c r="B160" s="37" t="str">
        <x:v>PS: EOS/EOL management (IB)</x:v>
      </x:c>
      <x:c r="C160" s="36" t="str">
        <x:v>Precision Diagnosis - Magnetic Resonance (MR)</x:v>
      </x:c>
      <x:c r="D160" s="36"/>
      <x:c r="E160" s="36" t="str"/>
      <x:c r="F160" s="36" t="str"/>
      <x:c r="G160" s="36" t="str"/>
      <x:c r="H160" s="36" t="str"/>
      <x:c r="I160" s="36" t="str"/>
      <x:c r="J160" s="36" t="str"/>
      <x:c r="K160" s="36"/>
      <x:c r="L160" s="36" t="str"/>
      <x:c r="M160" s="36" t="str"/>
      <x:c r="N160" s="36" t="str"/>
      <x:c r="O160" s="43"/>
      <x:c r="P160" s="43"/>
      <x:c r="Q160" s="43"/>
      <x:c r="R160" s="43"/>
      <x:c r="S160" s="43"/>
      <x:c r="T160" s="43"/>
      <x:c r="U160" s="43"/>
      <x:c r="V160" s="43"/>
      <x:c r="W160" s="43"/>
      <x:c r="X160" s="43"/>
      <x:c r="Y160" s="43"/>
      <x:c r="Z160" s="43"/>
      <x:c r="AA160" s="43"/>
      <x:c r="AB160" s="43"/>
      <x:c r="AC160" s="43"/>
      <x:c r="AD160" s="43"/>
      <x:c r="AE160" s="43"/>
      <x:c r="AF160" s="43"/>
      <x:c r="AG160" s="43"/>
      <x:c r="AH160" s="43"/>
      <x:c r="AI160" s="43"/>
      <x:c r="AJ160" s="43"/>
      <x:c r="AK160" s="43"/>
      <x:c r="AL160" s="43"/>
      <x:c r="AM160" s="43"/>
      <x:c r="AN160" s="43"/>
      <x:c r="AO160" s="43"/>
      <x:c r="AP160" s="43"/>
    </x:row>
    <x:row r="161" ht="15" hidden="0" customHeight="1">
      <x:c r="A161" s="36" t="str">
        <x:v>BU Led Waste Matrix!row 164</x:v>
      </x:c>
      <x:c r="B161" s="37" t="str">
        <x:v>MR Req2Res Type 1 </x:v>
      </x:c>
      <x:c r="C161" s="36" t="str">
        <x:v>Precision Diagnosis - Magnetic Resonance (MR)</x:v>
      </x:c>
      <x:c r="D161" s="36"/>
      <x:c r="E161" s="36" t="str"/>
      <x:c r="F161" s="36" t="str"/>
      <x:c r="G161" s="36" t="str"/>
      <x:c r="H161" s="36" t="str"/>
      <x:c r="I161" s="36" t="str"/>
      <x:c r="J161" s="36" t="str"/>
      <x:c r="K161" s="36"/>
      <x:c r="L161" s="36" t="str"/>
      <x:c r="M161" s="36" t="str"/>
      <x:c r="N161" s="36" t="str"/>
      <x:c r="O161" s="43"/>
      <x:c r="P161" s="43"/>
      <x:c r="Q161" s="43"/>
      <x:c r="R161" s="43"/>
      <x:c r="S161" s="43"/>
      <x:c r="T161" s="43"/>
      <x:c r="U161" s="43"/>
      <x:c r="V161" s="43"/>
      <x:c r="W161" s="43"/>
      <x:c r="X161" s="43"/>
      <x:c r="Y161" s="43"/>
      <x:c r="Z161" s="43"/>
      <x:c r="AA161" s="43"/>
      <x:c r="AB161" s="43"/>
      <x:c r="AC161" s="43"/>
      <x:c r="AD161" s="43"/>
      <x:c r="AE161" s="43"/>
      <x:c r="AF161" s="43"/>
      <x:c r="AG161" s="43"/>
      <x:c r="AH161" s="43"/>
      <x:c r="AI161" s="43"/>
      <x:c r="AJ161" s="43"/>
      <x:c r="AK161" s="43"/>
      <x:c r="AL161" s="43"/>
      <x:c r="AM161" s="43"/>
      <x:c r="AN161" s="43"/>
      <x:c r="AO161" s="43"/>
      <x:c r="AP161" s="43"/>
    </x:row>
    <x:row r="162" ht="15" hidden="0" customHeight="1">
      <x:c r="A162" s="36" t="str">
        <x:v>BU Led Waste Matrix!row 165</x:v>
      </x:c>
      <x:c r="B162" s="37" t="str">
        <x:v>3PP | 3rd party partners program </x:v>
      </x:c>
      <x:c r="C162" s="36" t="str">
        <x:v>Precision Diagnosis - Magnetic Resonance (MR)</x:v>
      </x:c>
      <x:c r="D162" s="36"/>
      <x:c r="E162" s="36" t="str"/>
      <x:c r="F162" s="36" t="str"/>
      <x:c r="G162" s="36" t="str"/>
      <x:c r="H162" s="36" t="str"/>
      <x:c r="I162" s="36" t="str"/>
      <x:c r="J162" s="36" t="str"/>
      <x:c r="K162" s="36"/>
      <x:c r="L162" s="36" t="str"/>
      <x:c r="M162" s="36" t="str"/>
      <x:c r="N162" s="36" t="str"/>
      <x:c r="O162" s="43"/>
      <x:c r="P162" s="43"/>
      <x:c r="Q162" s="43"/>
      <x:c r="R162" s="43"/>
      <x:c r="S162" s="43"/>
      <x:c r="T162" s="43"/>
      <x:c r="U162" s="43"/>
      <x:c r="V162" s="43"/>
      <x:c r="W162" s="43"/>
      <x:c r="X162" s="43"/>
      <x:c r="Y162" s="43"/>
      <x:c r="Z162" s="43"/>
      <x:c r="AA162" s="43"/>
      <x:c r="AB162" s="43"/>
      <x:c r="AC162" s="43"/>
      <x:c r="AD162" s="43"/>
      <x:c r="AE162" s="43"/>
      <x:c r="AF162" s="43"/>
      <x:c r="AG162" s="43"/>
      <x:c r="AH162" s="43"/>
      <x:c r="AI162" s="43"/>
      <x:c r="AJ162" s="43"/>
      <x:c r="AK162" s="43"/>
      <x:c r="AL162" s="43"/>
      <x:c r="AM162" s="43"/>
      <x:c r="AN162" s="43"/>
      <x:c r="AO162" s="43"/>
      <x:c r="AP162" s="43"/>
    </x:row>
    <x:row r="163" ht="15" hidden="0" customHeight="1">
      <x:c r="A163" s="36" t="str">
        <x:v>BU Led Waste Matrix!row 166</x:v>
      </x:c>
      <x:c r="B163" s="37" t="str">
        <x:v>Sensei for quoting (AI solution)</x:v>
      </x:c>
      <x:c r="C163" s="36" t="str">
        <x:v>Precision Diagnosis - Magnetic Resonance (MR)</x:v>
      </x:c>
      <x:c r="D163" s="36"/>
      <x:c r="E163" s="36" t="str"/>
      <x:c r="F163" s="36" t="str"/>
      <x:c r="G163" s="36" t="str"/>
      <x:c r="H163" s="36" t="str"/>
      <x:c r="I163" s="36" t="str"/>
      <x:c r="J163" s="36" t="str"/>
      <x:c r="K163" s="36"/>
      <x:c r="L163" s="36" t="str"/>
      <x:c r="M163" s="36" t="str"/>
      <x:c r="N163" s="36" t="str"/>
      <x:c r="O163" s="43"/>
      <x:c r="P163" s="43"/>
      <x:c r="Q163" s="43"/>
      <x:c r="R163" s="43"/>
      <x:c r="S163" s="43"/>
      <x:c r="T163" s="43"/>
      <x:c r="U163" s="43"/>
      <x:c r="V163" s="43"/>
      <x:c r="W163" s="43"/>
      <x:c r="X163" s="43"/>
      <x:c r="Y163" s="43"/>
      <x:c r="Z163" s="43"/>
      <x:c r="AA163" s="43"/>
      <x:c r="AB163" s="43"/>
      <x:c r="AC163" s="43"/>
      <x:c r="AD163" s="43"/>
      <x:c r="AE163" s="43"/>
      <x:c r="AF163" s="43"/>
      <x:c r="AG163" s="43"/>
      <x:c r="AH163" s="43"/>
      <x:c r="AI163" s="43"/>
      <x:c r="AJ163" s="43"/>
      <x:c r="AK163" s="43"/>
      <x:c r="AL163" s="43"/>
      <x:c r="AM163" s="43"/>
      <x:c r="AN163" s="43"/>
      <x:c r="AO163" s="43"/>
      <x:c r="AP163" s="43"/>
    </x:row>
    <x:row r="164" ht="15" hidden="0" customHeight="1">
      <x:c r="A164" s="36" t="str">
        <x:v>BU Led Waste Matrix!row 167</x:v>
      </x:c>
      <x:c r="B164" s="37" t="str">
        <x:v>I2M Program/Portfolio/Project Management (Planisware) CR's</x:v>
      </x:c>
      <x:c r="C164" s="36" t="str">
        <x:v>Precision Diagnosis - Magnetic Resonance (MR)</x:v>
      </x:c>
      <x:c r="D164" s="36"/>
      <x:c r="E164" s="36" t="str"/>
      <x:c r="F164" s="36" t="str"/>
      <x:c r="G164" s="36" t="str"/>
      <x:c r="H164" s="36" t="str"/>
      <x:c r="I164" s="36" t="str"/>
      <x:c r="J164" s="36" t="str"/>
      <x:c r="K164" s="36"/>
      <x:c r="L164" s="36" t="str"/>
      <x:c r="M164" s="36" t="str"/>
      <x:c r="N164" s="36" t="str"/>
      <x:c r="O164" s="43"/>
      <x:c r="P164" s="43"/>
      <x:c r="Q164" s="43"/>
      <x:c r="R164" s="43"/>
      <x:c r="S164" s="43"/>
      <x:c r="T164" s="43"/>
      <x:c r="U164" s="43"/>
      <x:c r="V164" s="43"/>
      <x:c r="W164" s="43"/>
      <x:c r="X164" s="43"/>
      <x:c r="Y164" s="43"/>
      <x:c r="Z164" s="43"/>
      <x:c r="AA164" s="43"/>
      <x:c r="AB164" s="43"/>
      <x:c r="AC164" s="43"/>
      <x:c r="AD164" s="43"/>
      <x:c r="AE164" s="43"/>
      <x:c r="AF164" s="43"/>
      <x:c r="AG164" s="43"/>
      <x:c r="AH164" s="43"/>
      <x:c r="AI164" s="43"/>
      <x:c r="AJ164" s="43"/>
      <x:c r="AK164" s="43"/>
      <x:c r="AL164" s="43"/>
      <x:c r="AM164" s="43"/>
      <x:c r="AN164" s="43"/>
      <x:c r="AO164" s="43"/>
      <x:c r="AP164" s="43"/>
    </x:row>
    <x:row r="165" ht="15" hidden="0" customHeight="1">
      <x:c r="A165" s="36" t="str">
        <x:v>BU Led Waste Matrix!row 168</x:v>
      </x:c>
      <x:c r="B165" s="37" t="str">
        <x:v>I2M Engineering Tooling CR's &amp; Licenses</x:v>
      </x:c>
      <x:c r="C165" s="36" t="str">
        <x:v>Precision Diagnosis - Magnetic Resonance (MR)</x:v>
      </x:c>
      <x:c r="D165" s="36"/>
      <x:c r="E165" s="36" t="str"/>
      <x:c r="F165" s="36" t="str"/>
      <x:c r="G165" s="36" t="str"/>
      <x:c r="H165" s="36" t="str"/>
      <x:c r="I165" s="36" t="str"/>
      <x:c r="J165" s="36" t="str"/>
      <x:c r="K165" s="36"/>
      <x:c r="L165" s="36" t="str"/>
      <x:c r="M165" s="36" t="str"/>
      <x:c r="N165" s="36" t="str"/>
      <x:c r="O165" s="43"/>
      <x:c r="P165" s="43"/>
      <x:c r="Q165" s="43"/>
      <x:c r="R165" s="43"/>
      <x:c r="S165" s="43"/>
      <x:c r="T165" s="43"/>
      <x:c r="U165" s="43"/>
      <x:c r="V165" s="43"/>
      <x:c r="W165" s="43"/>
      <x:c r="X165" s="43"/>
      <x:c r="Y165" s="43"/>
      <x:c r="Z165" s="43"/>
      <x:c r="AA165" s="43"/>
      <x:c r="AB165" s="43"/>
      <x:c r="AC165" s="43"/>
      <x:c r="AD165" s="43"/>
      <x:c r="AE165" s="43"/>
      <x:c r="AF165" s="43"/>
      <x:c r="AG165" s="43"/>
      <x:c r="AH165" s="43"/>
      <x:c r="AI165" s="43"/>
      <x:c r="AJ165" s="43"/>
      <x:c r="AK165" s="43"/>
      <x:c r="AL165" s="43"/>
      <x:c r="AM165" s="43"/>
      <x:c r="AN165" s="43"/>
      <x:c r="AO165" s="43"/>
      <x:c r="AP165" s="43"/>
    </x:row>
    <x:row r="166" ht="15" hidden="0" customHeight="1">
      <x:c r="A166" s="36" t="str">
        <x:v>BU Led Waste Matrix!row 169</x:v>
      </x:c>
      <x:c r="B166" s="37" t="str">
        <x:v>Deploy maintenance logbook preparations (IB whitepaper)</x:v>
      </x:c>
      <x:c r="C166" s="36" t="str">
        <x:v>Precision Diagnosis - Magnetic Resonance (MR)</x:v>
      </x:c>
      <x:c r="D166" s="36"/>
      <x:c r="E166" s="36" t="str"/>
      <x:c r="F166" s="36" t="str"/>
      <x:c r="G166" s="36" t="str"/>
      <x:c r="H166" s="36" t="str"/>
      <x:c r="I166" s="36" t="str"/>
      <x:c r="J166" s="36" t="str"/>
      <x:c r="K166" s="36"/>
      <x:c r="L166" s="36" t="str"/>
      <x:c r="M166" s="36" t="str"/>
      <x:c r="N166" s="36" t="str"/>
      <x:c r="O166" s="43"/>
      <x:c r="P166" s="43"/>
      <x:c r="Q166" s="43"/>
      <x:c r="R166" s="43"/>
      <x:c r="S166" s="43"/>
      <x:c r="T166" s="43"/>
      <x:c r="U166" s="43"/>
      <x:c r="V166" s="43"/>
      <x:c r="W166" s="43"/>
      <x:c r="X166" s="43"/>
      <x:c r="Y166" s="43"/>
      <x:c r="Z166" s="43"/>
      <x:c r="AA166" s="43"/>
      <x:c r="AB166" s="43"/>
      <x:c r="AC166" s="43"/>
      <x:c r="AD166" s="43"/>
      <x:c r="AE166" s="43"/>
      <x:c r="AF166" s="43"/>
      <x:c r="AG166" s="43"/>
      <x:c r="AH166" s="43"/>
      <x:c r="AI166" s="43"/>
      <x:c r="AJ166" s="43"/>
      <x:c r="AK166" s="43"/>
      <x:c r="AL166" s="43"/>
      <x:c r="AM166" s="43"/>
      <x:c r="AN166" s="43"/>
      <x:c r="AO166" s="43"/>
      <x:c r="AP166" s="43"/>
    </x:row>
    <x:row r="167" ht="15" hidden="0" customHeight="1">
      <x:c r="A167" s="36" t="str">
        <x:v>BU Led Waste Matrix!row 170</x:v>
      </x:c>
      <x:c r="B167" s="37" t="str">
        <x:v>Unlock as-granted ibase for HW to auto-populate guided selling</x:v>
      </x:c>
      <x:c r="C167" s="36" t="str">
        <x:v>Precision Diagnosis - Magnetic Resonance (MR)</x:v>
      </x:c>
      <x:c r="D167" s="36"/>
      <x:c r="E167" s="36" t="str"/>
      <x:c r="F167" s="36" t="str"/>
      <x:c r="G167" s="36" t="str"/>
      <x:c r="H167" s="36" t="str"/>
      <x:c r="I167" s="36" t="str"/>
      <x:c r="J167" s="36" t="str"/>
      <x:c r="K167" s="36"/>
      <x:c r="L167" s="36" t="str"/>
      <x:c r="M167" s="36" t="str"/>
      <x:c r="N167" s="36" t="str"/>
      <x:c r="O167" s="43"/>
      <x:c r="P167" s="43"/>
      <x:c r="Q167" s="43"/>
      <x:c r="R167" s="43"/>
      <x:c r="S167" s="43"/>
      <x:c r="T167" s="43"/>
      <x:c r="U167" s="43"/>
      <x:c r="V167" s="43"/>
      <x:c r="W167" s="43"/>
      <x:c r="X167" s="43"/>
      <x:c r="Y167" s="43"/>
      <x:c r="Z167" s="43"/>
      <x:c r="AA167" s="43"/>
      <x:c r="AB167" s="43"/>
      <x:c r="AC167" s="43"/>
      <x:c r="AD167" s="43"/>
      <x:c r="AE167" s="43"/>
      <x:c r="AF167" s="43"/>
      <x:c r="AG167" s="43"/>
      <x:c r="AH167" s="43"/>
      <x:c r="AI167" s="43"/>
      <x:c r="AJ167" s="43"/>
      <x:c r="AK167" s="43"/>
      <x:c r="AL167" s="43"/>
      <x:c r="AM167" s="43"/>
      <x:c r="AN167" s="43"/>
      <x:c r="AO167" s="43"/>
      <x:c r="AP167" s="43"/>
    </x:row>
    <x:row r="168" ht="15" hidden="0" customHeight="1">
      <x:c r="A168" s="36" t="str">
        <x:v>BU Led Waste Matrix!row 171</x:v>
      </x:c>
      <x:c r="B168" s="37" t="str">
        <x:v>Digital thread, traceability applications (AI/RPA)</x:v>
      </x:c>
      <x:c r="C168" s="36" t="str">
        <x:v>Precision Diagnosis - Magnetic Resonance (MR)</x:v>
      </x:c>
      <x:c r="D168" s="36"/>
      <x:c r="E168" s="36" t="str"/>
      <x:c r="F168" s="36" t="str"/>
      <x:c r="G168" s="36" t="str"/>
      <x:c r="H168" s="36" t="str"/>
      <x:c r="I168" s="36" t="str"/>
      <x:c r="J168" s="36" t="str"/>
      <x:c r="K168" s="36"/>
      <x:c r="L168" s="36" t="str"/>
      <x:c r="M168" s="36" t="str"/>
      <x:c r="N168" s="36" t="str"/>
      <x:c r="O168" s="43"/>
      <x:c r="P168" s="43"/>
      <x:c r="Q168" s="43"/>
      <x:c r="R168" s="43"/>
      <x:c r="S168" s="43"/>
      <x:c r="T168" s="43"/>
      <x:c r="U168" s="43"/>
      <x:c r="V168" s="43"/>
      <x:c r="W168" s="43"/>
      <x:c r="X168" s="43"/>
      <x:c r="Y168" s="43"/>
      <x:c r="Z168" s="43"/>
      <x:c r="AA168" s="43"/>
      <x:c r="AB168" s="43"/>
      <x:c r="AC168" s="43"/>
      <x:c r="AD168" s="43"/>
      <x:c r="AE168" s="43"/>
      <x:c r="AF168" s="43"/>
      <x:c r="AG168" s="43"/>
      <x:c r="AH168" s="43"/>
      <x:c r="AI168" s="43"/>
      <x:c r="AJ168" s="43"/>
      <x:c r="AK168" s="43"/>
      <x:c r="AL168" s="43"/>
      <x:c r="AM168" s="43"/>
      <x:c r="AN168" s="43"/>
      <x:c r="AO168" s="43"/>
      <x:c r="AP168" s="43"/>
    </x:row>
    <x:row r="169" ht="15" hidden="0" customHeight="1">
      <x:c r="A169" s="36" t="str">
        <x:v>BU Led Waste Matrix!row 172</x:v>
      </x:c>
      <x:c r="B169" s="37" t="str">
        <x:v>DI AI Solution Placeholder</x:v>
      </x:c>
      <x:c r="C169" s="36" t="str">
        <x:v>Precision Diagnosis - Magnetic Resonance (MR)</x:v>
      </x:c>
      <x:c r="D169" s="36"/>
      <x:c r="E169" s="36" t="str"/>
      <x:c r="F169" s="36" t="str"/>
      <x:c r="G169" s="36" t="str"/>
      <x:c r="H169" s="36" t="str"/>
      <x:c r="I169" s="36" t="str"/>
      <x:c r="J169" s="36" t="str"/>
      <x:c r="K169" s="36"/>
      <x:c r="L169" s="36" t="str"/>
      <x:c r="M169" s="36" t="str"/>
      <x:c r="N169" s="36" t="str"/>
      <x:c r="O169" s="43"/>
      <x:c r="P169" s="43"/>
      <x:c r="Q169" s="43"/>
      <x:c r="R169" s="43"/>
      <x:c r="S169" s="43"/>
      <x:c r="T169" s="43"/>
      <x:c r="U169" s="43"/>
      <x:c r="V169" s="43"/>
      <x:c r="W169" s="43"/>
      <x:c r="X169" s="43"/>
      <x:c r="Y169" s="43"/>
      <x:c r="Z169" s="43"/>
      <x:c r="AA169" s="43"/>
      <x:c r="AB169" s="43"/>
      <x:c r="AC169" s="43"/>
      <x:c r="AD169" s="43"/>
      <x:c r="AE169" s="43"/>
      <x:c r="AF169" s="43"/>
      <x:c r="AG169" s="43"/>
      <x:c r="AH169" s="43"/>
      <x:c r="AI169" s="43"/>
      <x:c r="AJ169" s="43"/>
      <x:c r="AK169" s="43"/>
      <x:c r="AL169" s="43"/>
      <x:c r="AM169" s="43"/>
      <x:c r="AN169" s="43"/>
      <x:c r="AO169" s="43"/>
      <x:c r="AP169" s="43"/>
    </x:row>
    <x:row r="170" ht="15" hidden="0" customHeight="1">
      <x:c r="A170" s="36" t="str">
        <x:v>BU Led Waste Matrix!row 173</x:v>
      </x:c>
      <x:c r="B170" s="37" t="str">
        <x:v>CERA deployment</x:v>
      </x:c>
      <x:c r="C170" s="36" t="str">
        <x:v>Precision Diagnosis - Magnetic Resonance (MR)</x:v>
      </x:c>
      <x:c r="D170" s="36"/>
      <x:c r="E170" s="36" t="str"/>
      <x:c r="F170" s="36" t="str"/>
      <x:c r="G170" s="36" t="str"/>
      <x:c r="H170" s="36" t="str"/>
      <x:c r="I170" s="36" t="str"/>
      <x:c r="J170" s="36" t="str"/>
      <x:c r="K170" s="36"/>
      <x:c r="L170" s="36" t="str"/>
      <x:c r="M170" s="36" t="str"/>
      <x:c r="N170" s="36" t="str"/>
      <x:c r="O170" s="43"/>
      <x:c r="P170" s="43"/>
      <x:c r="Q170" s="43"/>
      <x:c r="R170" s="43"/>
      <x:c r="S170" s="43"/>
      <x:c r="T170" s="43"/>
      <x:c r="U170" s="43"/>
      <x:c r="V170" s="43"/>
      <x:c r="W170" s="43"/>
      <x:c r="X170" s="43"/>
      <x:c r="Y170" s="43"/>
      <x:c r="Z170" s="43"/>
      <x:c r="AA170" s="43"/>
      <x:c r="AB170" s="43"/>
      <x:c r="AC170" s="43"/>
      <x:c r="AD170" s="43"/>
      <x:c r="AE170" s="43"/>
      <x:c r="AF170" s="43"/>
      <x:c r="AG170" s="43"/>
      <x:c r="AH170" s="43"/>
      <x:c r="AI170" s="43"/>
      <x:c r="AJ170" s="43"/>
      <x:c r="AK170" s="43"/>
      <x:c r="AL170" s="43"/>
      <x:c r="AM170" s="43"/>
      <x:c r="AN170" s="43"/>
      <x:c r="AO170" s="43"/>
      <x:c r="AP170" s="43"/>
    </x:row>
    <x:row r="171" ht="15" hidden="0" customHeight="1">
      <x:c r="A171" s="36" t="str">
        <x:v>BU Led Waste Matrix!row 174</x:v>
      </x:c>
      <x:c r="B171" s="37" t="str">
        <x:v>Imaging Small Investment - Unallocated</x:v>
      </x:c>
      <x:c r="C171" s="36" t="str">
        <x:v>Precision Diagnosis - Magnetic Resonance (MR)</x:v>
      </x:c>
      <x:c r="D171" s="36"/>
      <x:c r="E171" s="36" t="str"/>
      <x:c r="F171" s="36" t="str"/>
      <x:c r="G171" s="36" t="str"/>
      <x:c r="H171" s="36" t="str"/>
      <x:c r="I171" s="36" t="str"/>
      <x:c r="J171" s="36" t="str"/>
      <x:c r="K171" s="36"/>
      <x:c r="L171" s="36" t="str"/>
      <x:c r="M171" s="36" t="str"/>
      <x:c r="N171" s="36" t="str"/>
      <x:c r="O171" s="43"/>
      <x:c r="P171" s="43"/>
      <x:c r="Q171" s="43"/>
      <x:c r="R171" s="43"/>
      <x:c r="S171" s="43"/>
      <x:c r="T171" s="43"/>
      <x:c r="U171" s="43"/>
      <x:c r="V171" s="43"/>
      <x:c r="W171" s="43"/>
      <x:c r="X171" s="43"/>
      <x:c r="Y171" s="43"/>
      <x:c r="Z171" s="43"/>
      <x:c r="AA171" s="43"/>
      <x:c r="AB171" s="43"/>
      <x:c r="AC171" s="43"/>
      <x:c r="AD171" s="43"/>
      <x:c r="AE171" s="43"/>
      <x:c r="AF171" s="43"/>
      <x:c r="AG171" s="43"/>
      <x:c r="AH171" s="43"/>
      <x:c r="AI171" s="43"/>
      <x:c r="AJ171" s="43"/>
      <x:c r="AK171" s="43"/>
      <x:c r="AL171" s="43"/>
      <x:c r="AM171" s="43"/>
      <x:c r="AN171" s="43"/>
      <x:c r="AO171" s="43"/>
      <x:c r="AP171" s="43"/>
    </x:row>
    <x:row r="172" ht="24" hidden="0" customHeight="1">
      <x:c r="A172" s="36" t="str">
        <x:v>BU Led Waste Matrix!row 175</x:v>
      </x:c>
      <x:c r="B172" s="37" t="str">
        <x:v>RSDI (Type 1) | CSI: Support on device for artifacts based RSDI downloads from RSM portal : On-device support for artifact-based RSDI downloads.</x:v>
      </x:c>
      <x:c r="C172" s="36" t="str">
        <x:v>Precision Diagnosis - Magnetic Resonance (MR)</x:v>
      </x:c>
      <x:c r="D172" s="36"/>
      <x:c r="E172" s="36" t="str"/>
      <x:c r="F172" s="36" t="str"/>
      <x:c r="G172" s="36" t="str"/>
      <x:c r="H172" s="36" t="str"/>
      <x:c r="I172" s="36" t="str"/>
      <x:c r="J172" s="36" t="str"/>
      <x:c r="K172" s="36"/>
      <x:c r="L172" s="36" t="str"/>
      <x:c r="M172" s="36" t="str"/>
      <x:c r="N172" s="36" t="str"/>
      <x:c r="O172" s="43"/>
      <x:c r="P172" s="43"/>
      <x:c r="Q172" s="43"/>
      <x:c r="R172" s="43"/>
      <x:c r="S172" s="43"/>
      <x:c r="T172" s="43"/>
      <x:c r="U172" s="43"/>
      <x:c r="V172" s="43"/>
      <x:c r="W172" s="43"/>
      <x:c r="X172" s="43"/>
      <x:c r="Y172" s="43"/>
      <x:c r="Z172" s="43"/>
      <x:c r="AA172" s="43"/>
      <x:c r="AB172" s="43"/>
      <x:c r="AC172" s="43"/>
      <x:c r="AD172" s="43"/>
      <x:c r="AE172" s="43"/>
      <x:c r="AF172" s="43"/>
      <x:c r="AG172" s="43"/>
      <x:c r="AH172" s="43"/>
      <x:c r="AI172" s="43"/>
      <x:c r="AJ172" s="43"/>
      <x:c r="AK172" s="43"/>
      <x:c r="AL172" s="43"/>
      <x:c r="AM172" s="43"/>
      <x:c r="AN172" s="43"/>
      <x:c r="AO172" s="43"/>
      <x:c r="AP172" s="43"/>
    </x:row>
    <x:row r="173" ht="24" hidden="0" customHeight="1">
      <x:c r="A173" s="36" t="str">
        <x:v>BU Led Waste Matrix!row 176</x:v>
      </x:c>
      <x:c r="B173" s="37" t="str">
        <x:v>RSDI (Type 1) | RSM: Show Menu Tree based on SW release and not product type</x:v>
      </x:c>
      <x:c r="C173" s="36" t="str">
        <x:v>Precision Diagnosis - Magnetic Resonance (MR)</x:v>
      </x:c>
      <x:c r="D173" s="36"/>
      <x:c r="E173" s="36" t="str"/>
      <x:c r="F173" s="36" t="str"/>
      <x:c r="G173" s="36" t="str"/>
      <x:c r="H173" s="36" t="str"/>
      <x:c r="I173" s="36" t="str"/>
      <x:c r="J173" s="36" t="str"/>
      <x:c r="K173" s="36"/>
      <x:c r="L173" s="36" t="str"/>
      <x:c r="M173" s="36" t="str"/>
      <x:c r="N173" s="36" t="str"/>
      <x:c r="O173" s="43"/>
      <x:c r="P173" s="43"/>
      <x:c r="Q173" s="43"/>
      <x:c r="R173" s="43"/>
      <x:c r="S173" s="43"/>
      <x:c r="T173" s="43"/>
      <x:c r="U173" s="43"/>
      <x:c r="V173" s="43"/>
      <x:c r="W173" s="43"/>
      <x:c r="X173" s="43"/>
      <x:c r="Y173" s="43"/>
      <x:c r="Z173" s="43"/>
      <x:c r="AA173" s="43"/>
      <x:c r="AB173" s="43"/>
      <x:c r="AC173" s="43"/>
      <x:c r="AD173" s="43"/>
      <x:c r="AE173" s="43"/>
      <x:c r="AF173" s="43"/>
      <x:c r="AG173" s="43"/>
      <x:c r="AH173" s="43"/>
      <x:c r="AI173" s="43"/>
      <x:c r="AJ173" s="43"/>
      <x:c r="AK173" s="43"/>
      <x:c r="AL173" s="43"/>
      <x:c r="AM173" s="43"/>
      <x:c r="AN173" s="43"/>
      <x:c r="AO173" s="43"/>
      <x:c r="AP173" s="43"/>
    </x:row>
    <x:row r="174" ht="15" hidden="0" customHeight="1">
      <x:c r="A174" s="36" t="str">
        <x:v>BU Led Waste Matrix!row 177</x:v>
      </x:c>
      <x:c r="B174" s="37" t="str">
        <x:v>RSDI (Type 1) | FSE utility to create USB Media</x:v>
      </x:c>
      <x:c r="C174" s="36" t="str">
        <x:v>Precision Diagnosis - Magnetic Resonance (MR)</x:v>
      </x:c>
      <x:c r="D174" s="36"/>
      <x:c r="E174" s="36" t="str"/>
      <x:c r="F174" s="36" t="str"/>
      <x:c r="G174" s="36" t="str"/>
      <x:c r="H174" s="36" t="str"/>
      <x:c r="I174" s="36" t="str"/>
      <x:c r="J174" s="36" t="str"/>
      <x:c r="K174" s="36"/>
      <x:c r="L174" s="36" t="str"/>
      <x:c r="M174" s="36" t="str"/>
      <x:c r="N174" s="36" t="str"/>
      <x:c r="O174" s="43"/>
      <x:c r="P174" s="43"/>
      <x:c r="Q174" s="43"/>
      <x:c r="R174" s="43"/>
      <x:c r="S174" s="43"/>
      <x:c r="T174" s="43"/>
      <x:c r="U174" s="43"/>
      <x:c r="V174" s="43"/>
      <x:c r="W174" s="43"/>
      <x:c r="X174" s="43"/>
      <x:c r="Y174" s="43"/>
      <x:c r="Z174" s="43"/>
      <x:c r="AA174" s="43"/>
      <x:c r="AB174" s="43"/>
      <x:c r="AC174" s="43"/>
      <x:c r="AD174" s="43"/>
      <x:c r="AE174" s="43"/>
      <x:c r="AF174" s="43"/>
      <x:c r="AG174" s="43"/>
      <x:c r="AH174" s="43"/>
      <x:c r="AI174" s="43"/>
      <x:c r="AJ174" s="43"/>
      <x:c r="AK174" s="43"/>
      <x:c r="AL174" s="43"/>
      <x:c r="AM174" s="43"/>
      <x:c r="AN174" s="43"/>
      <x:c r="AO174" s="43"/>
      <x:c r="AP174" s="43"/>
    </x:row>
    <x:row r="175" ht="15" hidden="0" customHeight="1">
      <x:c r="A175" s="36" t="str">
        <x:v>BU Led Waste Matrix!row 178</x:v>
      </x:c>
      <x:c r="B175" s="37" t="str">
        <x:v>CT Mobile APP </x:v>
      </x:c>
      <x:c r="C175" s="36" t="str">
        <x:v>Precision Diagnosis - Computed Tomography (CT)</x:v>
      </x:c>
      <x:c r="D175" s="36"/>
      <x:c r="E175" s="36" t="str"/>
      <x:c r="F175" s="36" t="str"/>
      <x:c r="G175" s="36" t="str"/>
      <x:c r="H175" s="36" t="str"/>
      <x:c r="I175" s="36" t="str"/>
      <x:c r="J175" s="36" t="str"/>
      <x:c r="K175" s="36"/>
      <x:c r="L175" s="36" t="str"/>
      <x:c r="M175" s="36" t="str"/>
      <x:c r="N175" s="36" t="str"/>
      <x:c r="O175" s="43"/>
      <x:c r="P175" s="43"/>
      <x:c r="Q175" s="43"/>
      <x:c r="R175" s="43"/>
      <x:c r="S175" s="43"/>
      <x:c r="T175" s="43"/>
      <x:c r="U175" s="43"/>
      <x:c r="V175" s="43"/>
      <x:c r="W175" s="43"/>
      <x:c r="X175" s="43"/>
      <x:c r="Y175" s="43"/>
      <x:c r="Z175" s="43"/>
      <x:c r="AA175" s="43"/>
      <x:c r="AB175" s="43"/>
      <x:c r="AC175" s="43"/>
      <x:c r="AD175" s="43"/>
      <x:c r="AE175" s="43"/>
      <x:c r="AF175" s="43"/>
      <x:c r="AG175" s="43"/>
      <x:c r="AH175" s="43"/>
      <x:c r="AI175" s="43"/>
      <x:c r="AJ175" s="43"/>
      <x:c r="AK175" s="43"/>
      <x:c r="AL175" s="43"/>
      <x:c r="AM175" s="43"/>
      <x:c r="AN175" s="43"/>
      <x:c r="AO175" s="43"/>
      <x:c r="AP175" s="43"/>
    </x:row>
    <x:row r="176" ht="15" hidden="0" customHeight="1">
      <x:c r="A176" s="36" t="str">
        <x:v>BU Led Waste Matrix!row 179</x:v>
      </x:c>
      <x:c r="B176" s="37" t="str">
        <x:v>DXR Mobile App</x:v>
      </x:c>
      <x:c r="C176" s="36" t="str">
        <x:v>Precision Diagnosis - Digital X-ray Radiogrammetry (DXR)</x:v>
      </x:c>
      <x:c r="D176" s="36"/>
      <x:c r="E176" s="36" t="str"/>
      <x:c r="F176" s="36" t="str"/>
      <x:c r="G176" s="36" t="str"/>
      <x:c r="H176" s="36" t="str"/>
      <x:c r="I176" s="36" t="str"/>
      <x:c r="J176" s="36" t="str"/>
      <x:c r="K176" s="36"/>
      <x:c r="L176" s="36" t="str"/>
      <x:c r="M176" s="36" t="str"/>
      <x:c r="N176" s="36" t="str"/>
      <x:c r="O176" s="43"/>
      <x:c r="P176" s="43"/>
      <x:c r="Q176" s="43"/>
      <x:c r="R176" s="43"/>
      <x:c r="S176" s="43"/>
      <x:c r="T176" s="43"/>
      <x:c r="U176" s="43"/>
      <x:c r="V176" s="43"/>
      <x:c r="W176" s="43"/>
      <x:c r="X176" s="43"/>
      <x:c r="Y176" s="43"/>
      <x:c r="Z176" s="43"/>
      <x:c r="AA176" s="43"/>
      <x:c r="AB176" s="43"/>
      <x:c r="AC176" s="43"/>
      <x:c r="AD176" s="43"/>
      <x:c r="AE176" s="43"/>
      <x:c r="AF176" s="43"/>
      <x:c r="AG176" s="43"/>
      <x:c r="AH176" s="43"/>
      <x:c r="AI176" s="43"/>
      <x:c r="AJ176" s="43"/>
      <x:c r="AK176" s="43"/>
      <x:c r="AL176" s="43"/>
      <x:c r="AM176" s="43"/>
      <x:c r="AN176" s="43"/>
      <x:c r="AO176" s="43"/>
      <x:c r="AP176" s="43"/>
    </x:row>
    <x:row r="177" ht="15" hidden="0" customHeight="1">
      <x:c r="A177" s="36" t="str">
        <x:v>BU Led Waste Matrix!row 180</x:v>
      </x:c>
      <x:c r="B177" s="37" t="str">
        <x:v>PD AI Solutions</x:v>
      </x:c>
      <x:c r="C177" s="36" t="str">
        <x:v>Precision Diagnosis - Magnetic Resonance (MR)</x:v>
      </x:c>
      <x:c r="D177" s="36"/>
      <x:c r="E177" s="36" t="str"/>
      <x:c r="F177" s="36" t="str"/>
      <x:c r="G177" s="36" t="str"/>
      <x:c r="H177" s="36" t="str"/>
      <x:c r="I177" s="36" t="str"/>
      <x:c r="J177" s="36" t="str"/>
      <x:c r="K177" s="36"/>
      <x:c r="L177" s="36" t="str"/>
      <x:c r="M177" s="36" t="str"/>
      <x:c r="N177" s="36" t="str"/>
      <x:c r="O177" s="43"/>
      <x:c r="P177" s="43"/>
      <x:c r="Q177" s="43"/>
      <x:c r="R177" s="43"/>
      <x:c r="S177" s="43"/>
      <x:c r="T177" s="43"/>
      <x:c r="U177" s="43"/>
      <x:c r="V177" s="43"/>
      <x:c r="W177" s="43"/>
      <x:c r="X177" s="43"/>
      <x:c r="Y177" s="43"/>
      <x:c r="Z177" s="43"/>
      <x:c r="AA177" s="43"/>
      <x:c r="AB177" s="43"/>
      <x:c r="AC177" s="43"/>
      <x:c r="AD177" s="43"/>
      <x:c r="AE177" s="43"/>
      <x:c r="AF177" s="43"/>
      <x:c r="AG177" s="43"/>
      <x:c r="AH177" s="43"/>
      <x:c r="AI177" s="43"/>
      <x:c r="AJ177" s="43"/>
      <x:c r="AK177" s="43"/>
      <x:c r="AL177" s="43"/>
      <x:c r="AM177" s="43"/>
      <x:c r="AN177" s="43"/>
      <x:c r="AO177" s="43"/>
      <x:c r="AP177" s="43"/>
    </x:row>
    <x:row r="178" ht="15" hidden="0" customHeight="1">
      <x:c r="A178" s="36" t="str">
        <x:v>BU Led Waste Matrix!row 181</x:v>
      </x:c>
      <x:c r="B178" s="37" t="str">
        <x:v>1. GAIA - platform showing E2E product / customer quality status. </x:v>
      </x:c>
      <x:c r="C178" s="36" t="str">
        <x:v>Precision Diagnosis - Computed Tomography (CT)</x:v>
      </x:c>
      <x:c r="D178" s="36"/>
      <x:c r="E178" s="36" t="str"/>
      <x:c r="F178" s="36" t="str"/>
      <x:c r="G178" s="36" t="str"/>
      <x:c r="H178" s="36" t="str"/>
      <x:c r="I178" s="36" t="str"/>
      <x:c r="J178" s="36" t="str"/>
      <x:c r="K178" s="36"/>
      <x:c r="L178" s="36" t="str"/>
      <x:c r="M178" s="36" t="str"/>
      <x:c r="N178" s="36" t="str"/>
      <x:c r="O178" s="43"/>
      <x:c r="P178" s="43"/>
      <x:c r="Q178" s="43"/>
      <x:c r="R178" s="43"/>
      <x:c r="S178" s="43"/>
      <x:c r="T178" s="43"/>
      <x:c r="U178" s="43"/>
      <x:c r="V178" s="43"/>
      <x:c r="W178" s="43"/>
      <x:c r="X178" s="43"/>
      <x:c r="Y178" s="43"/>
      <x:c r="Z178" s="43"/>
      <x:c r="AA178" s="43"/>
      <x:c r="AB178" s="43"/>
      <x:c r="AC178" s="43"/>
      <x:c r="AD178" s="43"/>
      <x:c r="AE178" s="43"/>
      <x:c r="AF178" s="43"/>
      <x:c r="AG178" s="43"/>
      <x:c r="AH178" s="43"/>
      <x:c r="AI178" s="43"/>
      <x:c r="AJ178" s="43"/>
      <x:c r="AK178" s="43"/>
      <x:c r="AL178" s="43"/>
      <x:c r="AM178" s="43"/>
      <x:c r="AN178" s="43"/>
      <x:c r="AO178" s="43"/>
      <x:c r="AP178" s="43"/>
    </x:row>
    <x:row r="179" ht="15" hidden="0" customHeight="1">
      <x:c r="A179" s="36" t="str">
        <x:v>BU Led Waste Matrix!row 182</x:v>
      </x:c>
      <x:c r="B179" s="37" t="str">
        <x:v>2. Audit management tool </x:v>
      </x:c>
      <x:c r="C179" s="36" t="str">
        <x:v>Precision Diagnosis - Computed Tomography (CT)</x:v>
      </x:c>
      <x:c r="D179" s="36"/>
      <x:c r="E179" s="36" t="str"/>
      <x:c r="F179" s="36" t="str"/>
      <x:c r="G179" s="36" t="str"/>
      <x:c r="H179" s="36" t="str"/>
      <x:c r="I179" s="36" t="str"/>
      <x:c r="J179" s="36" t="str"/>
      <x:c r="K179" s="36"/>
      <x:c r="L179" s="36" t="str"/>
      <x:c r="M179" s="36" t="str"/>
      <x:c r="N179" s="36" t="str"/>
      <x:c r="O179" s="43"/>
      <x:c r="P179" s="43"/>
      <x:c r="Q179" s="43"/>
      <x:c r="R179" s="43"/>
      <x:c r="S179" s="43"/>
      <x:c r="T179" s="43"/>
      <x:c r="U179" s="43"/>
      <x:c r="V179" s="43"/>
      <x:c r="W179" s="43"/>
      <x:c r="X179" s="43"/>
      <x:c r="Y179" s="43"/>
      <x:c r="Z179" s="43"/>
      <x:c r="AA179" s="43"/>
      <x:c r="AB179" s="43"/>
      <x:c r="AC179" s="43"/>
      <x:c r="AD179" s="43"/>
      <x:c r="AE179" s="43"/>
      <x:c r="AF179" s="43"/>
      <x:c r="AG179" s="43"/>
      <x:c r="AH179" s="43"/>
      <x:c r="AI179" s="43"/>
      <x:c r="AJ179" s="43"/>
      <x:c r="AK179" s="43"/>
      <x:c r="AL179" s="43"/>
      <x:c r="AM179" s="43"/>
      <x:c r="AN179" s="43"/>
      <x:c r="AO179" s="43"/>
      <x:c r="AP179" s="43"/>
    </x:row>
    <x:row r="180" ht="15" hidden="0" customHeight="1">
      <x:c r="A180" s="36" t="str">
        <x:v>BU Led Waste Matrix!row 183</x:v>
      </x:c>
      <x:c r="B180" s="37" t="str">
        <x:v>LEM - Type I</x:v>
      </x:c>
      <x:c r="C180" s="36" t="str">
        <x:v>Image Guided Therapy - Systems (IGT-S)</x:v>
      </x:c>
      <x:c r="D180" s="36" t="n">
        <x:v>1.4</x:v>
      </x:c>
      <x:c r="E180" s="36" t="str">
        <x:v>HEALTHY</x:v>
      </x:c>
      <x:c r="F180" s="36" t="str"/>
      <x:c r="G180" s="36" t="str"/>
      <x:c r="H180" s="36" t="str"/>
      <x:c r="I180" s="36" t="str"/>
      <x:c r="J180" s="36" t="str"/>
      <x:c r="K180" s="36"/>
      <x:c r="L180" s="36" t="str"/>
      <x:c r="M180" s="36" t="str">
        <x:v>HEALTHY — Rank in priority matrix</x:v>
      </x:c>
      <x:c r="N180" s="36" t="str"/>
      <x:c r="O180" s="43"/>
      <x:c r="P180" s="43"/>
      <x:c r="Q180" s="43"/>
      <x:c r="R180" s="43"/>
      <x:c r="S180" s="43"/>
      <x:c r="T180" s="43"/>
      <x:c r="U180" s="43"/>
      <x:c r="V180" s="43"/>
      <x:c r="W180" s="43"/>
      <x:c r="X180" s="43"/>
      <x:c r="Y180" s="43"/>
      <x:c r="Z180" s="43"/>
      <x:c r="AA180" s="43"/>
      <x:c r="AB180" s="43"/>
      <x:c r="AC180" s="43"/>
      <x:c r="AD180" s="43"/>
      <x:c r="AE180" s="43"/>
      <x:c r="AF180" s="43"/>
      <x:c r="AG180" s="43"/>
      <x:c r="AH180" s="43"/>
      <x:c r="AI180" s="43"/>
      <x:c r="AJ180" s="43"/>
      <x:c r="AK180" s="43"/>
      <x:c r="AL180" s="43"/>
      <x:c r="AM180" s="43"/>
      <x:c r="AN180" s="43"/>
      <x:c r="AO180" s="43"/>
      <x:c r="AP180" s="43"/>
    </x:row>
    <x:row r="181" ht="15" hidden="0" customHeight="1">
      <x:c r="A181" s="36" t="str">
        <x:v>BU Led Waste Matrix!row 184</x:v>
      </x:c>
      <x:c r="B181" s="37" t="str">
        <x:v>LEM - Type II</x:v>
      </x:c>
      <x:c r="C181" s="36" t="str">
        <x:v>Image Guided Therapy - Systems (IGT-S)</x:v>
      </x:c>
      <x:c r="D181" s="36" t="n">
        <x:v>1.4</x:v>
      </x:c>
      <x:c r="E181" s="36" t="str">
        <x:v>HEALTHY</x:v>
      </x:c>
      <x:c r="F181" s="36" t="str"/>
      <x:c r="G181" s="36" t="str"/>
      <x:c r="H181" s="36" t="str"/>
      <x:c r="I181" s="36" t="str"/>
      <x:c r="J181" s="36" t="str"/>
      <x:c r="K181" s="36"/>
      <x:c r="L181" s="36" t="str"/>
      <x:c r="M181" s="36" t="str">
        <x:v>HEALTHY — Rank in priority matrix</x:v>
      </x:c>
      <x:c r="N181" s="36" t="str"/>
      <x:c r="O181" s="43"/>
      <x:c r="P181" s="43"/>
      <x:c r="Q181" s="43"/>
      <x:c r="R181" s="43"/>
      <x:c r="S181" s="43"/>
      <x:c r="T181" s="43"/>
      <x:c r="U181" s="43"/>
      <x:c r="V181" s="43"/>
      <x:c r="W181" s="43"/>
      <x:c r="X181" s="43"/>
      <x:c r="Y181" s="43"/>
      <x:c r="Z181" s="43"/>
      <x:c r="AA181" s="43"/>
      <x:c r="AB181" s="43"/>
      <x:c r="AC181" s="43"/>
      <x:c r="AD181" s="43"/>
      <x:c r="AE181" s="43"/>
      <x:c r="AF181" s="43"/>
      <x:c r="AG181" s="43"/>
      <x:c r="AH181" s="43"/>
      <x:c r="AI181" s="43"/>
      <x:c r="AJ181" s="43"/>
      <x:c r="AK181" s="43"/>
      <x:c r="AL181" s="43"/>
      <x:c r="AM181" s="43"/>
      <x:c r="AN181" s="43"/>
      <x:c r="AO181" s="43"/>
      <x:c r="AP181" s="43"/>
    </x:row>
    <x:row r="182" ht="15" hidden="0" customHeight="1">
      <x:c r="A182" s="36" t="str">
        <x:v>BU Led Waste Matrix!row 185</x:v>
      </x:c>
      <x:c r="B182" s="37" t="str">
        <x:v>Ultrasound Simplification - Supply Chain &amp; Manufacturing</x:v>
      </x:c>
      <x:c r="C182" s="36" t="str">
        <x:v>Precision Diagnosis - Ultrasound (PDU)</x:v>
      </x:c>
      <x:c r="D182" s="36"/>
      <x:c r="E182" s="36" t="str"/>
      <x:c r="F182" s="36" t="str"/>
      <x:c r="G182" s="36" t="str"/>
      <x:c r="H182" s="36" t="str"/>
      <x:c r="I182" s="36" t="str"/>
      <x:c r="J182" s="36" t="str"/>
      <x:c r="K182" s="36"/>
      <x:c r="L182" s="36" t="str"/>
      <x:c r="M182" s="36" t="str"/>
      <x:c r="N182" s="36" t="str"/>
      <x:c r="O182" s="43"/>
      <x:c r="P182" s="43"/>
      <x:c r="Q182" s="43"/>
      <x:c r="R182" s="43"/>
      <x:c r="S182" s="43"/>
      <x:c r="T182" s="43"/>
      <x:c r="U182" s="43"/>
      <x:c r="V182" s="43"/>
      <x:c r="W182" s="43"/>
      <x:c r="X182" s="43"/>
      <x:c r="Y182" s="43"/>
      <x:c r="Z182" s="43"/>
      <x:c r="AA182" s="43"/>
      <x:c r="AB182" s="43"/>
      <x:c r="AC182" s="43"/>
      <x:c r="AD182" s="43"/>
      <x:c r="AE182" s="43"/>
      <x:c r="AF182" s="43"/>
      <x:c r="AG182" s="43"/>
      <x:c r="AH182" s="43"/>
      <x:c r="AI182" s="43"/>
      <x:c r="AJ182" s="43"/>
      <x:c r="AK182" s="43"/>
      <x:c r="AL182" s="43"/>
      <x:c r="AM182" s="43"/>
      <x:c r="AN182" s="43"/>
      <x:c r="AO182" s="43"/>
      <x:c r="AP182" s="43"/>
    </x:row>
    <x:row r="183" ht="15" hidden="0" customHeight="1">
      <x:c r="A183" s="36" t="str">
        <x:v>BU Led Waste Matrix!row 186</x:v>
      </x:c>
      <x:c r="B183" s="37" t="str">
        <x:v>MP1 improvement due to shelf life finding in audit.</x:v>
      </x:c>
      <x:c r="C183" s="36" t="str">
        <x:v>Monitoring - HPM (MCH)</x:v>
      </x:c>
      <x:c r="D183" s="36"/>
      <x:c r="E183" s="36" t="str"/>
      <x:c r="F183" s="36" t="str"/>
      <x:c r="G183" s="36" t="str"/>
      <x:c r="H183" s="36" t="str"/>
      <x:c r="I183" s="36" t="str"/>
      <x:c r="J183" s="36" t="str"/>
      <x:c r="K183" s="36"/>
      <x:c r="L183" s="36" t="str"/>
      <x:c r="M183" s="36" t="str"/>
      <x:c r="N183" s="36" t="str"/>
      <x:c r="O183" s="43"/>
      <x:c r="P183" s="43"/>
      <x:c r="Q183" s="43"/>
      <x:c r="R183" s="43"/>
      <x:c r="S183" s="43"/>
      <x:c r="T183" s="43"/>
      <x:c r="U183" s="43"/>
      <x:c r="V183" s="43"/>
      <x:c r="W183" s="43"/>
      <x:c r="X183" s="43"/>
      <x:c r="Y183" s="43"/>
      <x:c r="Z183" s="43"/>
      <x:c r="AA183" s="43"/>
      <x:c r="AB183" s="43"/>
      <x:c r="AC183" s="43"/>
      <x:c r="AD183" s="43"/>
      <x:c r="AE183" s="43"/>
      <x:c r="AF183" s="43"/>
      <x:c r="AG183" s="43"/>
      <x:c r="AH183" s="43"/>
      <x:c r="AI183" s="43"/>
      <x:c r="AJ183" s="43"/>
      <x:c r="AK183" s="43"/>
      <x:c r="AL183" s="43"/>
      <x:c r="AM183" s="43"/>
      <x:c r="AN183" s="43"/>
      <x:c r="AO183" s="43"/>
      <x:c r="AP183" s="43"/>
    </x:row>
    <x:row r="184" ht="15" hidden="0" customHeight="1">
      <x:c r="A184" s="36" t="str">
        <x:v>BU Led Waste Matrix!row 187</x:v>
      </x:c>
      <x:c r="B184" s="37" t="str">
        <x:v>SW Ops: Enabling HPM on Sentinel with new licensing models for NPIs -</x:v>
      </x:c>
      <x:c r="C184" s="36" t="str">
        <x:v>Monitoring - HPM (MCH)</x:v>
      </x:c>
      <x:c r="D184" s="36"/>
      <x:c r="E184" s="36" t="str"/>
      <x:c r="F184" s="36" t="str"/>
      <x:c r="G184" s="36" t="str"/>
      <x:c r="H184" s="36" t="str"/>
      <x:c r="I184" s="36" t="str"/>
      <x:c r="J184" s="36" t="str"/>
      <x:c r="K184" s="36"/>
      <x:c r="L184" s="36" t="str"/>
      <x:c r="M184" s="36" t="str"/>
      <x:c r="N184" s="36" t="str"/>
      <x:c r="O184" s="43"/>
      <x:c r="P184" s="43"/>
      <x:c r="Q184" s="43"/>
      <x:c r="R184" s="43"/>
      <x:c r="S184" s="43"/>
      <x:c r="T184" s="43"/>
      <x:c r="U184" s="43"/>
      <x:c r="V184" s="43"/>
      <x:c r="W184" s="43"/>
      <x:c r="X184" s="43"/>
      <x:c r="Y184" s="43"/>
      <x:c r="Z184" s="43"/>
      <x:c r="AA184" s="43"/>
      <x:c r="AB184" s="43"/>
      <x:c r="AC184" s="43"/>
      <x:c r="AD184" s="43"/>
      <x:c r="AE184" s="43"/>
      <x:c r="AF184" s="43"/>
      <x:c r="AG184" s="43"/>
      <x:c r="AH184" s="43"/>
      <x:c r="AI184" s="43"/>
      <x:c r="AJ184" s="43"/>
      <x:c r="AK184" s="43"/>
      <x:c r="AL184" s="43"/>
      <x:c r="AM184" s="43"/>
      <x:c r="AN184" s="43"/>
      <x:c r="AO184" s="43"/>
      <x:c r="AP184" s="43"/>
    </x:row>
    <x:row r="185" ht="15" hidden="0" customHeight="1">
      <x:c r="A185" s="36" t="str">
        <x:v>BU Led Waste Matrix!row 188</x:v>
      </x:c>
      <x:c r="B185" s="37" t="str">
        <x:v>Remote Operations Mgt for NAR (FocalPoint)</x:v>
      </x:c>
      <x:c r="C185" s="36" t="str">
        <x:v>Monitoring - HPM (MCH)</x:v>
      </x:c>
      <x:c r="D185" s="36"/>
      <x:c r="E185" s="36" t="str"/>
      <x:c r="F185" s="36" t="str"/>
      <x:c r="G185" s="36" t="str"/>
      <x:c r="H185" s="36" t="str"/>
      <x:c r="I185" s="36" t="str"/>
      <x:c r="J185" s="36" t="str"/>
      <x:c r="K185" s="36"/>
      <x:c r="L185" s="36" t="str"/>
      <x:c r="M185" s="36" t="str"/>
      <x:c r="N185" s="36" t="str"/>
      <x:c r="O185" s="43"/>
      <x:c r="P185" s="43"/>
      <x:c r="Q185" s="43"/>
      <x:c r="R185" s="43"/>
      <x:c r="S185" s="43"/>
      <x:c r="T185" s="43"/>
      <x:c r="U185" s="43"/>
      <x:c r="V185" s="43"/>
      <x:c r="W185" s="43"/>
      <x:c r="X185" s="43"/>
      <x:c r="Y185" s="43"/>
      <x:c r="Z185" s="43"/>
      <x:c r="AA185" s="43"/>
      <x:c r="AB185" s="43"/>
      <x:c r="AC185" s="43"/>
      <x:c r="AD185" s="43"/>
      <x:c r="AE185" s="43"/>
      <x:c r="AF185" s="43"/>
      <x:c r="AG185" s="43"/>
      <x:c r="AH185" s="43"/>
      <x:c r="AI185" s="43"/>
      <x:c r="AJ185" s="43"/>
      <x:c r="AK185" s="43"/>
      <x:c r="AL185" s="43"/>
      <x:c r="AM185" s="43"/>
      <x:c r="AN185" s="43"/>
      <x:c r="AO185" s="43"/>
      <x:c r="AP185" s="43"/>
    </x:row>
    <x:row r="186" ht="15" hidden="0" customHeight="1">
      <x:c r="A186" s="36" t="str">
        <x:v>BU Led Waste Matrix!row 189</x:v>
      </x:c>
      <x:c r="B186" s="37" t="str">
        <x:v>HSPMP - enable support flow for cloud platform</x:v>
      </x:c>
      <x:c r="C186" s="36" t="str">
        <x:v>Monitoring - HPM (MCH)</x:v>
      </x:c>
      <x:c r="D186" s="36"/>
      <x:c r="E186" s="36" t="str"/>
      <x:c r="F186" s="36" t="str"/>
      <x:c r="G186" s="36" t="str"/>
      <x:c r="H186" s="36" t="str"/>
      <x:c r="I186" s="36" t="str"/>
      <x:c r="J186" s="36" t="str"/>
      <x:c r="K186" s="36"/>
      <x:c r="L186" s="36" t="str"/>
      <x:c r="M186" s="36" t="str"/>
      <x:c r="N186" s="36" t="str"/>
      <x:c r="O186" s="43"/>
      <x:c r="P186" s="43"/>
      <x:c r="Q186" s="43"/>
      <x:c r="R186" s="43"/>
      <x:c r="S186" s="43"/>
      <x:c r="T186" s="43"/>
      <x:c r="U186" s="43"/>
      <x:c r="V186" s="43"/>
      <x:c r="W186" s="43"/>
      <x:c r="X186" s="43"/>
      <x:c r="Y186" s="43"/>
      <x:c r="Z186" s="43"/>
      <x:c r="AA186" s="43"/>
      <x:c r="AB186" s="43"/>
      <x:c r="AC186" s="43"/>
      <x:c r="AD186" s="43"/>
      <x:c r="AE186" s="43"/>
      <x:c r="AF186" s="43"/>
      <x:c r="AG186" s="43"/>
      <x:c r="AH186" s="43"/>
      <x:c r="AI186" s="43"/>
      <x:c r="AJ186" s="43"/>
      <x:c r="AK186" s="43"/>
      <x:c r="AL186" s="43"/>
      <x:c r="AM186" s="43"/>
      <x:c r="AN186" s="43"/>
      <x:c r="AO186" s="43"/>
      <x:c r="AP186" s="43"/>
    </x:row>
    <x:row r="187" ht="15" hidden="0" customHeight="1">
      <x:c r="A187" s="36" t="str">
        <x:v>BU Led Waste Matrix!row 190</x:v>
      </x:c>
      <x:c r="B187" s="37" t="str">
        <x:v>Timber and dual manufacturing (NAM footprint)</x:v>
      </x:c>
      <x:c r="C187" s="36" t="str">
        <x:v>Monitoring - HPM (MCH)</x:v>
      </x:c>
      <x:c r="D187" s="36" t="n">
        <x:v>1.45</x:v>
      </x:c>
      <x:c r="E187" s="36" t="str">
        <x:v>HEALTHY</x:v>
      </x:c>
      <x:c r="F187" s="36" t="str"/>
      <x:c r="G187" s="36" t="str"/>
      <x:c r="H187" s="36" t="str"/>
      <x:c r="I187" s="36" t="str"/>
      <x:c r="J187" s="36" t="str"/>
      <x:c r="K187" s="36"/>
      <x:c r="L187" s="36" t="str"/>
      <x:c r="M187" s="36" t="str">
        <x:v>HEALTHY — Rank in priority matrix</x:v>
      </x:c>
      <x:c r="N187" s="36" t="str"/>
      <x:c r="O187" s="43"/>
      <x:c r="P187" s="43"/>
      <x:c r="Q187" s="43"/>
      <x:c r="R187" s="43"/>
      <x:c r="S187" s="43"/>
      <x:c r="T187" s="43"/>
      <x:c r="U187" s="43"/>
      <x:c r="V187" s="43"/>
      <x:c r="W187" s="43"/>
      <x:c r="X187" s="43"/>
      <x:c r="Y187" s="43"/>
      <x:c r="Z187" s="43"/>
      <x:c r="AA187" s="43"/>
      <x:c r="AB187" s="43"/>
      <x:c r="AC187" s="43"/>
      <x:c r="AD187" s="43"/>
      <x:c r="AE187" s="43"/>
      <x:c r="AF187" s="43"/>
      <x:c r="AG187" s="43"/>
      <x:c r="AH187" s="43"/>
      <x:c r="AI187" s="43"/>
      <x:c r="AJ187" s="43"/>
      <x:c r="AK187" s="43"/>
      <x:c r="AL187" s="43"/>
      <x:c r="AM187" s="43"/>
      <x:c r="AN187" s="43"/>
      <x:c r="AO187" s="43"/>
      <x:c r="AP187" s="43"/>
    </x:row>
    <x:row r="188" ht="15" hidden="0" customHeight="1">
      <x:c r="A188" s="36" t="str">
        <x:v>BU Led Waste Matrix!row 191</x:v>
      </x:c>
      <x:c r="B188" s="37" t="str">
        <x:v>Indonesia L4L</x:v>
      </x:c>
      <x:c r="C188" s="36" t="str">
        <x:v>Monitoring - HPM (MCH)</x:v>
      </x:c>
      <x:c r="D188" s="36"/>
      <x:c r="E188" s="36" t="str"/>
      <x:c r="F188" s="36" t="str"/>
      <x:c r="G188" s="36" t="str"/>
      <x:c r="H188" s="36" t="str"/>
      <x:c r="I188" s="36" t="str"/>
      <x:c r="J188" s="36" t="str"/>
      <x:c r="K188" s="36"/>
      <x:c r="L188" s="36" t="str"/>
      <x:c r="M188" s="36" t="str"/>
      <x:c r="N188" s="36" t="str"/>
      <x:c r="O188" s="43"/>
      <x:c r="P188" s="43"/>
      <x:c r="Q188" s="43"/>
      <x:c r="R188" s="43"/>
      <x:c r="S188" s="43"/>
      <x:c r="T188" s="43"/>
      <x:c r="U188" s="43"/>
      <x:c r="V188" s="43"/>
      <x:c r="W188" s="43"/>
      <x:c r="X188" s="43"/>
      <x:c r="Y188" s="43"/>
      <x:c r="Z188" s="43"/>
      <x:c r="AA188" s="43"/>
      <x:c r="AB188" s="43"/>
      <x:c r="AC188" s="43"/>
      <x:c r="AD188" s="43"/>
      <x:c r="AE188" s="43"/>
      <x:c r="AF188" s="43"/>
      <x:c r="AG188" s="43"/>
      <x:c r="AH188" s="43"/>
      <x:c r="AI188" s="43"/>
      <x:c r="AJ188" s="43"/>
      <x:c r="AK188" s="43"/>
      <x:c r="AL188" s="43"/>
      <x:c r="AM188" s="43"/>
      <x:c r="AN188" s="43"/>
      <x:c r="AO188" s="43"/>
      <x:c r="AP188" s="43"/>
    </x:row>
    <x:row r="189" ht="15" hidden="0" customHeight="1">
      <x:c r="A189" s="36" t="str">
        <x:v>BU Led Waste Matrix!row 192</x:v>
      </x:c>
      <x:c r="B189" s="37" t="str">
        <x:v>HPM - Continuous Improvement - MKT</x:v>
      </x:c>
      <x:c r="C189" s="36" t="str">
        <x:v>Monitoring - HPM (MCH)</x:v>
      </x:c>
      <x:c r="D189" s="36"/>
      <x:c r="E189" s="36" t="str"/>
      <x:c r="F189" s="36" t="str"/>
      <x:c r="G189" s="36" t="str"/>
      <x:c r="H189" s="36" t="str"/>
      <x:c r="I189" s="36" t="str"/>
      <x:c r="J189" s="36" t="str"/>
      <x:c r="K189" s="36"/>
      <x:c r="L189" s="36" t="str"/>
      <x:c r="M189" s="36" t="str"/>
      <x:c r="N189" s="36" t="str"/>
      <x:c r="O189" s="43"/>
      <x:c r="P189" s="43"/>
      <x:c r="Q189" s="43"/>
      <x:c r="R189" s="43"/>
      <x:c r="S189" s="43"/>
      <x:c r="T189" s="43"/>
      <x:c r="U189" s="43"/>
      <x:c r="V189" s="43"/>
      <x:c r="W189" s="43"/>
      <x:c r="X189" s="43"/>
      <x:c r="Y189" s="43"/>
      <x:c r="Z189" s="43"/>
      <x:c r="AA189" s="43"/>
      <x:c r="AB189" s="43"/>
      <x:c r="AC189" s="43"/>
      <x:c r="AD189" s="43"/>
      <x:c r="AE189" s="43"/>
      <x:c r="AF189" s="43"/>
      <x:c r="AG189" s="43"/>
      <x:c r="AH189" s="43"/>
      <x:c r="AI189" s="43"/>
      <x:c r="AJ189" s="43"/>
      <x:c r="AK189" s="43"/>
      <x:c r="AL189" s="43"/>
      <x:c r="AM189" s="43"/>
      <x:c r="AN189" s="43"/>
      <x:c r="AO189" s="43"/>
      <x:c r="AP189" s="43"/>
    </x:row>
    <x:row r="190" ht="15" hidden="0" customHeight="1">
      <x:c r="A190" s="36" t="str">
        <x:v>BU Led Waste Matrix!row 193</x:v>
      </x:c>
      <x:c r="B190" s="37" t="str">
        <x:v>HPM - Continuous Improvement - ISC</x:v>
      </x:c>
      <x:c r="C190" s="36" t="str">
        <x:v>Monitoring - HPM (MCH)</x:v>
      </x:c>
      <x:c r="D190" s="36"/>
      <x:c r="E190" s="36" t="str"/>
      <x:c r="F190" s="36" t="str"/>
      <x:c r="G190" s="36" t="str"/>
      <x:c r="H190" s="36" t="str"/>
      <x:c r="I190" s="36" t="str"/>
      <x:c r="J190" s="36" t="str"/>
      <x:c r="K190" s="36"/>
      <x:c r="L190" s="36" t="str"/>
      <x:c r="M190" s="36" t="str"/>
      <x:c r="N190" s="36" t="str"/>
      <x:c r="O190" s="43"/>
      <x:c r="P190" s="43"/>
      <x:c r="Q190" s="43"/>
      <x:c r="R190" s="43"/>
      <x:c r="S190" s="43"/>
      <x:c r="T190" s="43"/>
      <x:c r="U190" s="43"/>
      <x:c r="V190" s="43"/>
      <x:c r="W190" s="43"/>
      <x:c r="X190" s="43"/>
      <x:c r="Y190" s="43"/>
      <x:c r="Z190" s="43"/>
      <x:c r="AA190" s="43"/>
      <x:c r="AB190" s="43"/>
      <x:c r="AC190" s="43"/>
      <x:c r="AD190" s="43"/>
      <x:c r="AE190" s="43"/>
      <x:c r="AF190" s="43"/>
      <x:c r="AG190" s="43"/>
      <x:c r="AH190" s="43"/>
      <x:c r="AI190" s="43"/>
      <x:c r="AJ190" s="43"/>
      <x:c r="AK190" s="43"/>
      <x:c r="AL190" s="43"/>
      <x:c r="AM190" s="43"/>
      <x:c r="AN190" s="43"/>
      <x:c r="AO190" s="43"/>
      <x:c r="AP190" s="43"/>
    </x:row>
    <x:row r="191" ht="15" hidden="0" customHeight="1">
      <x:c r="A191" s="36" t="str">
        <x:v>BU Led Waste Matrix!row 194</x:v>
      </x:c>
      <x:c r="B191" s="37" t="str">
        <x:v>HPM - Continuous Improvement - SVC</x:v>
      </x:c>
      <x:c r="C191" s="36" t="str">
        <x:v>Monitoring - HPM (MCH)</x:v>
      </x:c>
      <x:c r="D191" s="36"/>
      <x:c r="E191" s="36" t="str"/>
      <x:c r="F191" s="36" t="str"/>
      <x:c r="G191" s="36" t="str"/>
      <x:c r="H191" s="36" t="str"/>
      <x:c r="I191" s="36" t="str"/>
      <x:c r="J191" s="36" t="str"/>
      <x:c r="K191" s="36"/>
      <x:c r="L191" s="36" t="str"/>
      <x:c r="M191" s="36" t="str"/>
      <x:c r="N191" s="36" t="str"/>
      <x:c r="O191" s="43"/>
      <x:c r="P191" s="43"/>
      <x:c r="Q191" s="43"/>
      <x:c r="R191" s="43"/>
      <x:c r="S191" s="43"/>
      <x:c r="T191" s="43"/>
      <x:c r="U191" s="43"/>
      <x:c r="V191" s="43"/>
      <x:c r="W191" s="43"/>
      <x:c r="X191" s="43"/>
      <x:c r="Y191" s="43"/>
      <x:c r="Z191" s="43"/>
      <x:c r="AA191" s="43"/>
      <x:c r="AB191" s="43"/>
      <x:c r="AC191" s="43"/>
      <x:c r="AD191" s="43"/>
      <x:c r="AE191" s="43"/>
      <x:c r="AF191" s="43"/>
      <x:c r="AG191" s="43"/>
      <x:c r="AH191" s="43"/>
      <x:c r="AI191" s="43"/>
      <x:c r="AJ191" s="43"/>
      <x:c r="AK191" s="43"/>
      <x:c r="AL191" s="43"/>
      <x:c r="AM191" s="43"/>
      <x:c r="AN191" s="43"/>
      <x:c r="AO191" s="43"/>
      <x:c r="AP191" s="43"/>
    </x:row>
    <x:row r="192" ht="15" hidden="0" customHeight="1">
      <x:c r="A192" s="36" t="str">
        <x:v>BU Led Waste Matrix!row 195</x:v>
      </x:c>
      <x:c r="B192" s="37" t="str">
        <x:v>HPM - Continuous Improvement -REG</x:v>
      </x:c>
      <x:c r="C192" s="36" t="str">
        <x:v>Monitoring - HPM (MCH)</x:v>
      </x:c>
      <x:c r="D192" s="36"/>
      <x:c r="E192" s="36" t="str"/>
      <x:c r="F192" s="36" t="str"/>
      <x:c r="G192" s="36" t="str"/>
      <x:c r="H192" s="36" t="str"/>
      <x:c r="I192" s="36" t="str"/>
      <x:c r="J192" s="36" t="str"/>
      <x:c r="K192" s="36"/>
      <x:c r="L192" s="36" t="str"/>
      <x:c r="M192" s="36" t="str"/>
      <x:c r="N192" s="36" t="str"/>
      <x:c r="O192" s="43"/>
      <x:c r="P192" s="43"/>
      <x:c r="Q192" s="43"/>
      <x:c r="R192" s="43"/>
      <x:c r="S192" s="43"/>
      <x:c r="T192" s="43"/>
      <x:c r="U192" s="43"/>
      <x:c r="V192" s="43"/>
      <x:c r="W192" s="43"/>
      <x:c r="X192" s="43"/>
      <x:c r="Y192" s="43"/>
      <x:c r="Z192" s="43"/>
      <x:c r="AA192" s="43"/>
      <x:c r="AB192" s="43"/>
      <x:c r="AC192" s="43"/>
      <x:c r="AD192" s="43"/>
      <x:c r="AE192" s="43"/>
      <x:c r="AF192" s="43"/>
      <x:c r="AG192" s="43"/>
      <x:c r="AH192" s="43"/>
      <x:c r="AI192" s="43"/>
      <x:c r="AJ192" s="43"/>
      <x:c r="AK192" s="43"/>
      <x:c r="AL192" s="43"/>
      <x:c r="AM192" s="43"/>
      <x:c r="AN192" s="43"/>
      <x:c r="AO192" s="43"/>
      <x:c r="AP192" s="43"/>
    </x:row>
    <x:row r="193" ht="15" hidden="0" customHeight="1">
      <x:c r="A193" s="36" t="str">
        <x:v>BU Led Waste Matrix!row 196</x:v>
      </x:c>
      <x:c r="B193" s="37" t="str">
        <x:v>HPM - Continuous Improvement -OTH</x:v>
      </x:c>
      <x:c r="C193" s="36" t="str">
        <x:v>Monitoring - HPM (MCH)</x:v>
      </x:c>
      <x:c r="D193" s="36"/>
      <x:c r="E193" s="36" t="str"/>
      <x:c r="F193" s="36" t="str"/>
      <x:c r="G193" s="36" t="str"/>
      <x:c r="H193" s="36" t="str"/>
      <x:c r="I193" s="36" t="str"/>
      <x:c r="J193" s="36" t="str"/>
      <x:c r="K193" s="36"/>
      <x:c r="L193" s="36" t="str"/>
      <x:c r="M193" s="36" t="str"/>
      <x:c r="N193" s="36" t="str"/>
      <x:c r="O193" s="43"/>
      <x:c r="P193" s="43"/>
      <x:c r="Q193" s="43"/>
      <x:c r="R193" s="43"/>
      <x:c r="S193" s="43"/>
      <x:c r="T193" s="43"/>
      <x:c r="U193" s="43"/>
      <x:c r="V193" s="43"/>
      <x:c r="W193" s="43"/>
      <x:c r="X193" s="43"/>
      <x:c r="Y193" s="43"/>
      <x:c r="Z193" s="43"/>
      <x:c r="AA193" s="43"/>
      <x:c r="AB193" s="43"/>
      <x:c r="AC193" s="43"/>
      <x:c r="AD193" s="43"/>
      <x:c r="AE193" s="43"/>
      <x:c r="AF193" s="43"/>
      <x:c r="AG193" s="43"/>
      <x:c r="AH193" s="43"/>
      <x:c r="AI193" s="43"/>
      <x:c r="AJ193" s="43"/>
      <x:c r="AK193" s="43"/>
      <x:c r="AL193" s="43"/>
      <x:c r="AM193" s="43"/>
      <x:c r="AN193" s="43"/>
      <x:c r="AO193" s="43"/>
      <x:c r="AP193" s="43"/>
    </x:row>
    <x:row r="194" ht="15" hidden="0" customHeight="1">
      <x:c r="A194" s="36" t="str">
        <x:v>BU Led Waste Matrix!row 197</x:v>
      </x:c>
      <x:c r="B194" s="37" t="str">
        <x:v>Manufacturing efficiency – I-care improvements</x:v>
      </x:c>
      <x:c r="C194" s="36" t="str">
        <x:v>Monitoring - HPM (MCH)</x:v>
      </x:c>
      <x:c r="D194" s="36"/>
      <x:c r="E194" s="36" t="str"/>
      <x:c r="F194" s="36" t="str"/>
      <x:c r="G194" s="36" t="str"/>
      <x:c r="H194" s="36" t="str"/>
      <x:c r="I194" s="36" t="str"/>
      <x:c r="J194" s="36" t="str"/>
      <x:c r="K194" s="36"/>
      <x:c r="L194" s="36" t="str"/>
      <x:c r="M194" s="36" t="str"/>
      <x:c r="N194" s="36" t="str"/>
      <x:c r="O194" s="43"/>
      <x:c r="P194" s="43"/>
      <x:c r="Q194" s="43"/>
      <x:c r="R194" s="43"/>
      <x:c r="S194" s="43"/>
      <x:c r="T194" s="43"/>
      <x:c r="U194" s="43"/>
      <x:c r="V194" s="43"/>
      <x:c r="W194" s="43"/>
      <x:c r="X194" s="43"/>
      <x:c r="Y194" s="43"/>
      <x:c r="Z194" s="43"/>
      <x:c r="AA194" s="43"/>
      <x:c r="AB194" s="43"/>
      <x:c r="AC194" s="43"/>
      <x:c r="AD194" s="43"/>
      <x:c r="AE194" s="43"/>
      <x:c r="AF194" s="43"/>
      <x:c r="AG194" s="43"/>
      <x:c r="AH194" s="43"/>
      <x:c r="AI194" s="43"/>
      <x:c r="AJ194" s="43"/>
      <x:c r="AK194" s="43"/>
      <x:c r="AL194" s="43"/>
      <x:c r="AM194" s="43"/>
      <x:c r="AN194" s="43"/>
      <x:c r="AO194" s="43"/>
      <x:c r="AP194" s="43"/>
    </x:row>
    <x:row r="195" ht="15" hidden="0" customHeight="1">
      <x:c r="A195" s="36" t="str">
        <x:v>BU Led Waste Matrix!row 198</x:v>
      </x:c>
      <x:c r="B195" s="37" t="str">
        <x:v>Fidelity (Fulcrum/RDC NAM/RDC EU/FF)</x:v>
      </x:c>
      <x:c r="C195" s="36" t="str">
        <x:v>Monitoring - HPM (MCH)</x:v>
      </x:c>
      <x:c r="D195" s="36"/>
      <x:c r="E195" s="36" t="str"/>
      <x:c r="F195" s="36" t="str"/>
      <x:c r="G195" s="36" t="str"/>
      <x:c r="H195" s="36" t="str"/>
      <x:c r="I195" s="36" t="str"/>
      <x:c r="J195" s="36" t="str"/>
      <x:c r="K195" s="36"/>
      <x:c r="L195" s="36" t="str"/>
      <x:c r="M195" s="36" t="str"/>
      <x:c r="N195" s="36" t="str"/>
      <x:c r="O195" s="43"/>
      <x:c r="P195" s="43"/>
      <x:c r="Q195" s="43"/>
      <x:c r="R195" s="43"/>
      <x:c r="S195" s="43"/>
      <x:c r="T195" s="43"/>
      <x:c r="U195" s="43"/>
      <x:c r="V195" s="43"/>
      <x:c r="W195" s="43"/>
      <x:c r="X195" s="43"/>
      <x:c r="Y195" s="43"/>
      <x:c r="Z195" s="43"/>
      <x:c r="AA195" s="43"/>
      <x:c r="AB195" s="43"/>
      <x:c r="AC195" s="43"/>
      <x:c r="AD195" s="43"/>
      <x:c r="AE195" s="43"/>
      <x:c r="AF195" s="43"/>
      <x:c r="AG195" s="43"/>
      <x:c r="AH195" s="43"/>
      <x:c r="AI195" s="43"/>
      <x:c r="AJ195" s="43"/>
      <x:c r="AK195" s="43"/>
      <x:c r="AL195" s="43"/>
      <x:c r="AM195" s="43"/>
      <x:c r="AN195" s="43"/>
      <x:c r="AO195" s="43"/>
      <x:c r="AP195" s="43"/>
    </x:row>
    <x:row r="196" ht="15" hidden="0" customHeight="1">
      <x:c r="A196" s="36" t="str">
        <x:v>BU Led Waste Matrix!row 199</x:v>
      </x:c>
      <x:c r="B196" s="37" t="str">
        <x:v>NAR Contract Execution &amp; Compliance</x:v>
      </x:c>
      <x:c r="C196" s="36" t="str">
        <x:v>Monitoring - HPM (MCH)</x:v>
      </x:c>
      <x:c r="D196" s="36"/>
      <x:c r="E196" s="36" t="str"/>
      <x:c r="F196" s="36" t="str"/>
      <x:c r="G196" s="36" t="str"/>
      <x:c r="H196" s="36" t="str"/>
      <x:c r="I196" s="36" t="str"/>
      <x:c r="J196" s="36" t="str"/>
      <x:c r="K196" s="36"/>
      <x:c r="L196" s="36" t="str"/>
      <x:c r="M196" s="36" t="str"/>
      <x:c r="N196" s="36" t="str"/>
      <x:c r="O196" s="43"/>
      <x:c r="P196" s="43"/>
      <x:c r="Q196" s="43"/>
      <x:c r="R196" s="43"/>
      <x:c r="S196" s="43"/>
      <x:c r="T196" s="43"/>
      <x:c r="U196" s="43"/>
      <x:c r="V196" s="43"/>
      <x:c r="W196" s="43"/>
      <x:c r="X196" s="43"/>
      <x:c r="Y196" s="43"/>
      <x:c r="Z196" s="43"/>
      <x:c r="AA196" s="43"/>
      <x:c r="AB196" s="43"/>
      <x:c r="AC196" s="43"/>
      <x:c r="AD196" s="43"/>
      <x:c r="AE196" s="43"/>
      <x:c r="AF196" s="43"/>
      <x:c r="AG196" s="43"/>
      <x:c r="AH196" s="43"/>
      <x:c r="AI196" s="43"/>
      <x:c r="AJ196" s="43"/>
      <x:c r="AK196" s="43"/>
      <x:c r="AL196" s="43"/>
      <x:c r="AM196" s="43"/>
      <x:c r="AN196" s="43"/>
      <x:c r="AO196" s="43"/>
      <x:c r="AP196" s="43"/>
    </x:row>
    <x:row r="197" ht="15" hidden="0" customHeight="1">
      <x:c r="A197" s="36" t="str">
        <x:v>BU Led Waste Matrix!row 200</x:v>
      </x:c>
      <x:c r="B197" s="37" t="str">
        <x:v>GBS Collaboration - Order Orchestration (Appian)</x:v>
      </x:c>
      <x:c r="C197" s="36" t="str">
        <x:v>Monitoring - HPM (MCH)</x:v>
      </x:c>
      <x:c r="D197" s="36" t="n">
        <x:v>2.15</x:v>
      </x:c>
      <x:c r="E197" s="36" t="str">
        <x:v>CONTAIN</x:v>
      </x:c>
      <x:c r="F197" s="36" t="str"/>
      <x:c r="G197" s="36" t="str"/>
      <x:c r="H197" s="36" t="str"/>
      <x:c r="I197" s="36" t="str"/>
      <x:c r="J197" s="36" t="str"/>
      <x:c r="K197" s="36"/>
      <x:c r="L197" s="36" t="str"/>
      <x:c r="M197" s="36" t="str">
        <x:v>CONTAIN — Conditions</x:v>
      </x:c>
      <x:c r="N197" s="36" t="str"/>
      <x:c r="O197" s="43"/>
      <x:c r="P197" s="43"/>
      <x:c r="Q197" s="43"/>
      <x:c r="R197" s="43"/>
      <x:c r="S197" s="43"/>
      <x:c r="T197" s="43"/>
      <x:c r="U197" s="43"/>
      <x:c r="V197" s="43"/>
      <x:c r="W197" s="43"/>
      <x:c r="X197" s="43"/>
      <x:c r="Y197" s="43"/>
      <x:c r="Z197" s="43"/>
      <x:c r="AA197" s="43"/>
      <x:c r="AB197" s="43"/>
      <x:c r="AC197" s="43"/>
      <x:c r="AD197" s="43"/>
      <x:c r="AE197" s="43"/>
      <x:c r="AF197" s="43"/>
      <x:c r="AG197" s="43"/>
      <x:c r="AH197" s="43"/>
      <x:c r="AI197" s="43"/>
      <x:c r="AJ197" s="43"/>
      <x:c r="AK197" s="43"/>
      <x:c r="AL197" s="43"/>
      <x:c r="AM197" s="43"/>
      <x:c r="AN197" s="43"/>
      <x:c r="AO197" s="43"/>
      <x:c r="AP197" s="43"/>
    </x:row>
    <x:row r="198" ht="15" hidden="0" customHeight="1">
      <x:c r="A198" s="36" t="str">
        <x:v>BU Led Waste Matrix!row 201</x:v>
      </x:c>
      <x:c r="B198" s="37" t="str">
        <x:v>OMM - Carry Over (Integr Planning Basics)</x:v>
      </x:c>
      <x:c r="C198" s="36" t="str">
        <x:v>Monitoring - HPM (MCH)</x:v>
      </x:c>
      <x:c r="D198" s="36"/>
      <x:c r="E198" s="36" t="str"/>
      <x:c r="F198" s="36" t="str"/>
      <x:c r="G198" s="36" t="str"/>
      <x:c r="H198" s="36" t="str"/>
      <x:c r="I198" s="36" t="str"/>
      <x:c r="J198" s="36" t="str"/>
      <x:c r="K198" s="36"/>
      <x:c r="L198" s="36" t="str"/>
      <x:c r="M198" s="36" t="str"/>
      <x:c r="N198" s="36" t="str"/>
      <x:c r="O198" s="43"/>
      <x:c r="P198" s="43"/>
      <x:c r="Q198" s="43"/>
      <x:c r="R198" s="43"/>
      <x:c r="S198" s="43"/>
      <x:c r="T198" s="43"/>
      <x:c r="U198" s="43"/>
      <x:c r="V198" s="43"/>
      <x:c r="W198" s="43"/>
      <x:c r="X198" s="43"/>
      <x:c r="Y198" s="43"/>
      <x:c r="Z198" s="43"/>
      <x:c r="AA198" s="43"/>
      <x:c r="AB198" s="43"/>
      <x:c r="AC198" s="43"/>
      <x:c r="AD198" s="43"/>
      <x:c r="AE198" s="43"/>
      <x:c r="AF198" s="43"/>
      <x:c r="AG198" s="43"/>
      <x:c r="AH198" s="43"/>
      <x:c r="AI198" s="43"/>
      <x:c r="AJ198" s="43"/>
      <x:c r="AK198" s="43"/>
      <x:c r="AL198" s="43"/>
      <x:c r="AM198" s="43"/>
      <x:c r="AN198" s="43"/>
      <x:c r="AO198" s="43"/>
      <x:c r="AP198" s="43"/>
    </x:row>
    <x:row r="199" ht="15" hidden="0" customHeight="1">
      <x:c r="A199" s="36" t="str">
        <x:v>BU Led Waste Matrix!row 202</x:v>
      </x:c>
      <x:c r="B199" s="37" t="str">
        <x:v>IR [C1/C2/C3] Channel Partner Program</x:v>
      </x:c>
      <x:c r="C199" s="36" t="str">
        <x:v>Monitoring - HPM (MCH)</x:v>
      </x:c>
      <x:c r="D199" s="36"/>
      <x:c r="E199" s="36" t="str"/>
      <x:c r="F199" s="36" t="str"/>
      <x:c r="G199" s="36" t="str"/>
      <x:c r="H199" s="36" t="str"/>
      <x:c r="I199" s="36" t="str"/>
      <x:c r="J199" s="36" t="str"/>
      <x:c r="K199" s="36"/>
      <x:c r="L199" s="36" t="str"/>
      <x:c r="M199" s="36" t="str"/>
      <x:c r="N199" s="36" t="str"/>
      <x:c r="O199" s="43"/>
      <x:c r="P199" s="43"/>
      <x:c r="Q199" s="43"/>
      <x:c r="R199" s="43"/>
      <x:c r="S199" s="43"/>
      <x:c r="T199" s="43"/>
      <x:c r="U199" s="43"/>
      <x:c r="V199" s="43"/>
      <x:c r="W199" s="43"/>
      <x:c r="X199" s="43"/>
      <x:c r="Y199" s="43"/>
      <x:c r="Z199" s="43"/>
      <x:c r="AA199" s="43"/>
      <x:c r="AB199" s="43"/>
      <x:c r="AC199" s="43"/>
      <x:c r="AD199" s="43"/>
      <x:c r="AE199" s="43"/>
      <x:c r="AF199" s="43"/>
      <x:c r="AG199" s="43"/>
      <x:c r="AH199" s="43"/>
      <x:c r="AI199" s="43"/>
      <x:c r="AJ199" s="43"/>
      <x:c r="AK199" s="43"/>
      <x:c r="AL199" s="43"/>
      <x:c r="AM199" s="43"/>
      <x:c r="AN199" s="43"/>
      <x:c r="AO199" s="43"/>
      <x:c r="AP199" s="43"/>
    </x:row>
    <x:row r="200" ht="15" hidden="0" customHeight="1">
      <x:c r="A200" s="36" t="str">
        <x:v>BU Led Waste Matrix!row 203</x:v>
      </x:c>
      <x:c r="B200" s="37" t="str">
        <x:v>Early Skills Validation in SMAX</x:v>
      </x:c>
      <x:c r="C200" s="36" t="str">
        <x:v>Monitoring - HPM (MCH)</x:v>
      </x:c>
      <x:c r="D200" s="36"/>
      <x:c r="E200" s="36" t="str"/>
      <x:c r="F200" s="36" t="str"/>
      <x:c r="G200" s="36" t="str"/>
      <x:c r="H200" s="36" t="str"/>
      <x:c r="I200" s="36" t="str"/>
      <x:c r="J200" s="36" t="str"/>
      <x:c r="K200" s="36"/>
      <x:c r="L200" s="36" t="str"/>
      <x:c r="M200" s="36" t="str"/>
      <x:c r="N200" s="36" t="str"/>
      <x:c r="O200" s="43"/>
      <x:c r="P200" s="43"/>
      <x:c r="Q200" s="43"/>
      <x:c r="R200" s="43"/>
      <x:c r="S200" s="43"/>
      <x:c r="T200" s="43"/>
      <x:c r="U200" s="43"/>
      <x:c r="V200" s="43"/>
      <x:c r="W200" s="43"/>
      <x:c r="X200" s="43"/>
      <x:c r="Y200" s="43"/>
      <x:c r="Z200" s="43"/>
      <x:c r="AA200" s="43"/>
      <x:c r="AB200" s="43"/>
      <x:c r="AC200" s="43"/>
      <x:c r="AD200" s="43"/>
      <x:c r="AE200" s="43"/>
      <x:c r="AF200" s="43"/>
      <x:c r="AG200" s="43"/>
      <x:c r="AH200" s="43"/>
      <x:c r="AI200" s="43"/>
      <x:c r="AJ200" s="43"/>
      <x:c r="AK200" s="43"/>
      <x:c r="AL200" s="43"/>
      <x:c r="AM200" s="43"/>
      <x:c r="AN200" s="43"/>
      <x:c r="AO200" s="43"/>
      <x:c r="AP200" s="43"/>
    </x:row>
    <x:row r="201" ht="15" hidden="0" customHeight="1">
      <x:c r="A201" s="36" t="str">
        <x:v>BU Led Waste Matrix!row 204</x:v>
      </x:c>
      <x:c r="B201" s="37" t="str">
        <x:v>eDMR ready for CSRD </x:v>
      </x:c>
      <x:c r="C201" s="36" t="str">
        <x:v>Monitoring - HPM (MCH)</x:v>
      </x:c>
      <x:c r="D201" s="36"/>
      <x:c r="E201" s="36" t="str"/>
      <x:c r="F201" s="36" t="str"/>
      <x:c r="G201" s="36" t="str"/>
      <x:c r="H201" s="36" t="str"/>
      <x:c r="I201" s="36" t="str"/>
      <x:c r="J201" s="36" t="str"/>
      <x:c r="K201" s="36"/>
      <x:c r="L201" s="36" t="str"/>
      <x:c r="M201" s="36" t="str"/>
      <x:c r="N201" s="36" t="str"/>
      <x:c r="O201" s="43"/>
      <x:c r="P201" s="43"/>
      <x:c r="Q201" s="43"/>
      <x:c r="R201" s="43"/>
      <x:c r="S201" s="43"/>
      <x:c r="T201" s="43"/>
      <x:c r="U201" s="43"/>
      <x:c r="V201" s="43"/>
      <x:c r="W201" s="43"/>
      <x:c r="X201" s="43"/>
      <x:c r="Y201" s="43"/>
      <x:c r="Z201" s="43"/>
      <x:c r="AA201" s="43"/>
      <x:c r="AB201" s="43"/>
      <x:c r="AC201" s="43"/>
      <x:c r="AD201" s="43"/>
      <x:c r="AE201" s="43"/>
      <x:c r="AF201" s="43"/>
      <x:c r="AG201" s="43"/>
      <x:c r="AH201" s="43"/>
      <x:c r="AI201" s="43"/>
      <x:c r="AJ201" s="43"/>
      <x:c r="AK201" s="43"/>
      <x:c r="AL201" s="43"/>
      <x:c r="AM201" s="43"/>
      <x:c r="AN201" s="43"/>
      <x:c r="AO201" s="43"/>
      <x:c r="AP201" s="43"/>
    </x:row>
    <x:row r="202" ht="15" hidden="0" customHeight="1">
      <x:c r="A202" s="36" t="str">
        <x:v>BU Led Waste Matrix!row 205</x:v>
      </x:c>
      <x:c r="B202" s="37" t="str">
        <x:v>Compliance - GTC</x:v>
      </x:c>
      <x:c r="C202" s="36" t="str">
        <x:v>Monitoring - HPM (MCH)</x:v>
      </x:c>
      <x:c r="D202" s="36"/>
      <x:c r="E202" s="36" t="str"/>
      <x:c r="F202" s="36" t="str"/>
      <x:c r="G202" s="36" t="str"/>
      <x:c r="H202" s="36" t="str"/>
      <x:c r="I202" s="36" t="str"/>
      <x:c r="J202" s="36" t="str"/>
      <x:c r="K202" s="36"/>
      <x:c r="L202" s="36" t="str"/>
      <x:c r="M202" s="36" t="str"/>
      <x:c r="N202" s="36" t="str"/>
      <x:c r="O202" s="43"/>
      <x:c r="P202" s="43"/>
      <x:c r="Q202" s="43"/>
      <x:c r="R202" s="43"/>
      <x:c r="S202" s="43"/>
      <x:c r="T202" s="43"/>
      <x:c r="U202" s="43"/>
      <x:c r="V202" s="43"/>
      <x:c r="W202" s="43"/>
      <x:c r="X202" s="43"/>
      <x:c r="Y202" s="43"/>
      <x:c r="Z202" s="43"/>
      <x:c r="AA202" s="43"/>
      <x:c r="AB202" s="43"/>
      <x:c r="AC202" s="43"/>
      <x:c r="AD202" s="43"/>
      <x:c r="AE202" s="43"/>
      <x:c r="AF202" s="43"/>
      <x:c r="AG202" s="43"/>
      <x:c r="AH202" s="43"/>
      <x:c r="AI202" s="43"/>
      <x:c r="AJ202" s="43"/>
      <x:c r="AK202" s="43"/>
      <x:c r="AL202" s="43"/>
      <x:c r="AM202" s="43"/>
      <x:c r="AN202" s="43"/>
      <x:c r="AO202" s="43"/>
      <x:c r="AP202" s="43"/>
    </x:row>
    <x:row r="203" ht="15" hidden="0" customHeight="1">
      <x:c r="A203" s="36" t="str">
        <x:v>BU Led Waste Matrix!row 206</x:v>
      </x:c>
      <x:c r="B203" s="37" t="str">
        <x:v>FCO Partner Portal Validations Req</x:v>
      </x:c>
      <x:c r="C203" s="36" t="str">
        <x:v>Monitoring - HPM (MCH)</x:v>
      </x:c>
      <x:c r="D203" s="36"/>
      <x:c r="E203" s="36" t="str"/>
      <x:c r="F203" s="36" t="str"/>
      <x:c r="G203" s="36" t="str"/>
      <x:c r="H203" s="36" t="str"/>
      <x:c r="I203" s="36" t="str"/>
      <x:c r="J203" s="36" t="str"/>
      <x:c r="K203" s="36"/>
      <x:c r="L203" s="36" t="str"/>
      <x:c r="M203" s="36" t="str"/>
      <x:c r="N203" s="36" t="str"/>
      <x:c r="O203" s="43"/>
      <x:c r="P203" s="43"/>
      <x:c r="Q203" s="43"/>
      <x:c r="R203" s="43"/>
      <x:c r="S203" s="43"/>
      <x:c r="T203" s="43"/>
      <x:c r="U203" s="43"/>
      <x:c r="V203" s="43"/>
      <x:c r="W203" s="43"/>
      <x:c r="X203" s="43"/>
      <x:c r="Y203" s="43"/>
      <x:c r="Z203" s="43"/>
      <x:c r="AA203" s="43"/>
      <x:c r="AB203" s="43"/>
      <x:c r="AC203" s="43"/>
      <x:c r="AD203" s="43"/>
      <x:c r="AE203" s="43"/>
      <x:c r="AF203" s="43"/>
      <x:c r="AG203" s="43"/>
      <x:c r="AH203" s="43"/>
      <x:c r="AI203" s="43"/>
      <x:c r="AJ203" s="43"/>
      <x:c r="AK203" s="43"/>
      <x:c r="AL203" s="43"/>
      <x:c r="AM203" s="43"/>
      <x:c r="AN203" s="43"/>
      <x:c r="AO203" s="43"/>
      <x:c r="AP203" s="43"/>
    </x:row>
    <x:row r="204" ht="15" hidden="0" customHeight="1">
      <x:c r="A204" s="36" t="str">
        <x:v>BU Led Waste Matrix!row 207</x:v>
      </x:c>
      <x:c r="B204" s="37" t="str">
        <x:v>Digital Delivery - Print on Demand for OEM</x:v>
      </x:c>
      <x:c r="C204" s="36" t="str">
        <x:v>Monitoring - HPM (MCH)</x:v>
      </x:c>
      <x:c r="D204" s="36"/>
      <x:c r="E204" s="36" t="str"/>
      <x:c r="F204" s="36" t="str"/>
      <x:c r="G204" s="36" t="str"/>
      <x:c r="H204" s="36" t="str"/>
      <x:c r="I204" s="36" t="str"/>
      <x:c r="J204" s="36" t="str"/>
      <x:c r="K204" s="36"/>
      <x:c r="L204" s="36" t="str"/>
      <x:c r="M204" s="36" t="str"/>
      <x:c r="N204" s="36" t="str"/>
      <x:c r="O204" s="43"/>
      <x:c r="P204" s="43"/>
      <x:c r="Q204" s="43"/>
      <x:c r="R204" s="43"/>
      <x:c r="S204" s="43"/>
      <x:c r="T204" s="43"/>
      <x:c r="U204" s="43"/>
      <x:c r="V204" s="43"/>
      <x:c r="W204" s="43"/>
      <x:c r="X204" s="43"/>
      <x:c r="Y204" s="43"/>
      <x:c r="Z204" s="43"/>
      <x:c r="AA204" s="43"/>
      <x:c r="AB204" s="43"/>
      <x:c r="AC204" s="43"/>
      <x:c r="AD204" s="43"/>
      <x:c r="AE204" s="43"/>
      <x:c r="AF204" s="43"/>
      <x:c r="AG204" s="43"/>
      <x:c r="AH204" s="43"/>
      <x:c r="AI204" s="43"/>
      <x:c r="AJ204" s="43"/>
      <x:c r="AK204" s="43"/>
      <x:c r="AL204" s="43"/>
      <x:c r="AM204" s="43"/>
      <x:c r="AN204" s="43"/>
      <x:c r="AO204" s="43"/>
      <x:c r="AP204" s="43"/>
    </x:row>
    <x:row r="205" ht="15" hidden="0" customHeight="1">
      <x:c r="A205" s="36" t="str">
        <x:v>BU Led Waste Matrix!row 208</x:v>
      </x:c>
      <x:c r="B205" s="37" t="str">
        <x:v>PSA/PS Cloud Migration(international)</x:v>
      </x:c>
      <x:c r="C205" s="36" t="str">
        <x:v>Monitoring - HPM (MCH)</x:v>
      </x:c>
      <x:c r="D205" s="36"/>
      <x:c r="E205" s="36" t="str"/>
      <x:c r="F205" s="36" t="str"/>
      <x:c r="G205" s="36" t="str"/>
      <x:c r="H205" s="36" t="str"/>
      <x:c r="I205" s="36" t="str"/>
      <x:c r="J205" s="36" t="str"/>
      <x:c r="K205" s="36"/>
      <x:c r="L205" s="36" t="str"/>
      <x:c r="M205" s="36" t="str"/>
      <x:c r="N205" s="36" t="str"/>
      <x:c r="O205" s="43"/>
      <x:c r="P205" s="43"/>
      <x:c r="Q205" s="43"/>
      <x:c r="R205" s="43"/>
      <x:c r="S205" s="43"/>
      <x:c r="T205" s="43"/>
      <x:c r="U205" s="43"/>
      <x:c r="V205" s="43"/>
      <x:c r="W205" s="43"/>
      <x:c r="X205" s="43"/>
      <x:c r="Y205" s="43"/>
      <x:c r="Z205" s="43"/>
      <x:c r="AA205" s="43"/>
      <x:c r="AB205" s="43"/>
      <x:c r="AC205" s="43"/>
      <x:c r="AD205" s="43"/>
      <x:c r="AE205" s="43"/>
      <x:c r="AF205" s="43"/>
      <x:c r="AG205" s="43"/>
      <x:c r="AH205" s="43"/>
      <x:c r="AI205" s="43"/>
      <x:c r="AJ205" s="43"/>
      <x:c r="AK205" s="43"/>
      <x:c r="AL205" s="43"/>
      <x:c r="AM205" s="43"/>
      <x:c r="AN205" s="43"/>
      <x:c r="AO205" s="43"/>
      <x:c r="AP205" s="43"/>
    </x:row>
    <x:row r="206" ht="15" hidden="0" customHeight="1">
      <x:c r="A206" s="36" t="str">
        <x:v>BU Led Waste Matrix!row 209</x:v>
      </x:c>
      <x:c r="B206" s="37" t="str">
        <x:v>Education - TEDs - Docebo Migration</x:v>
      </x:c>
      <x:c r="C206" s="36" t="str">
        <x:v>Monitoring - HPM (MCH)</x:v>
      </x:c>
      <x:c r="D206" s="36"/>
      <x:c r="E206" s="36" t="str"/>
      <x:c r="F206" s="36" t="str"/>
      <x:c r="G206" s="36" t="str"/>
      <x:c r="H206" s="36" t="str"/>
      <x:c r="I206" s="36" t="str"/>
      <x:c r="J206" s="36" t="str"/>
      <x:c r="K206" s="36"/>
      <x:c r="L206" s="36" t="str"/>
      <x:c r="M206" s="36" t="str"/>
      <x:c r="N206" s="36" t="str"/>
      <x:c r="O206" s="43"/>
      <x:c r="P206" s="43"/>
      <x:c r="Q206" s="43"/>
      <x:c r="R206" s="43"/>
      <x:c r="S206" s="43"/>
      <x:c r="T206" s="43"/>
      <x:c r="U206" s="43"/>
      <x:c r="V206" s="43"/>
      <x:c r="W206" s="43"/>
      <x:c r="X206" s="43"/>
      <x:c r="Y206" s="43"/>
      <x:c r="Z206" s="43"/>
      <x:c r="AA206" s="43"/>
      <x:c r="AB206" s="43"/>
      <x:c r="AC206" s="43"/>
      <x:c r="AD206" s="43"/>
      <x:c r="AE206" s="43"/>
      <x:c r="AF206" s="43"/>
      <x:c r="AG206" s="43"/>
      <x:c r="AH206" s="43"/>
      <x:c r="AI206" s="43"/>
      <x:c r="AJ206" s="43"/>
      <x:c r="AK206" s="43"/>
      <x:c r="AL206" s="43"/>
      <x:c r="AM206" s="43"/>
      <x:c r="AN206" s="43"/>
      <x:c r="AO206" s="43"/>
      <x:c r="AP206" s="43"/>
    </x:row>
    <x:row r="207" ht="15" hidden="0" customHeight="1">
      <x:c r="A207" s="36" t="str">
        <x:v>BU Led Waste Matrix!row 210</x:v>
      </x:c>
      <x:c r="B207" s="37" t="str">
        <x:v>Cross business value proposition enablement - (e.g.CCS Stage 2)</x:v>
      </x:c>
      <x:c r="C207" s="36" t="str">
        <x:v>Monitoring - HPM (MCH)</x:v>
      </x:c>
      <x:c r="D207" s="36"/>
      <x:c r="E207" s="36" t="str"/>
      <x:c r="F207" s="36" t="str"/>
      <x:c r="G207" s="36" t="str"/>
      <x:c r="H207" s="36" t="str"/>
      <x:c r="I207" s="36" t="str"/>
      <x:c r="J207" s="36" t="str"/>
      <x:c r="K207" s="36"/>
      <x:c r="L207" s="36" t="str"/>
      <x:c r="M207" s="36" t="str"/>
      <x:c r="N207" s="36" t="str"/>
      <x:c r="O207" s="43"/>
      <x:c r="P207" s="43"/>
      <x:c r="Q207" s="43"/>
      <x:c r="R207" s="43"/>
      <x:c r="S207" s="43"/>
      <x:c r="T207" s="43"/>
      <x:c r="U207" s="43"/>
      <x:c r="V207" s="43"/>
      <x:c r="W207" s="43"/>
      <x:c r="X207" s="43"/>
      <x:c r="Y207" s="43"/>
      <x:c r="Z207" s="43"/>
      <x:c r="AA207" s="43"/>
      <x:c r="AB207" s="43"/>
      <x:c r="AC207" s="43"/>
      <x:c r="AD207" s="43"/>
      <x:c r="AE207" s="43"/>
      <x:c r="AF207" s="43"/>
      <x:c r="AG207" s="43"/>
      <x:c r="AH207" s="43"/>
      <x:c r="AI207" s="43"/>
      <x:c r="AJ207" s="43"/>
      <x:c r="AK207" s="43"/>
      <x:c r="AL207" s="43"/>
      <x:c r="AM207" s="43"/>
      <x:c r="AN207" s="43"/>
      <x:c r="AO207" s="43"/>
      <x:c r="AP207" s="43"/>
    </x:row>
    <x:row r="208" ht="15" hidden="0" customHeight="1">
      <x:c r="A208" s="36" t="str">
        <x:v>BU Led Waste Matrix!row 211</x:v>
      </x:c>
      <x:c r="B208" s="37" t="str">
        <x:v>Mediana - low end monitoring via OEM (South Korea)</x:v>
      </x:c>
      <x:c r="C208" s="36" t="str">
        <x:v>Monitoring - HPM (MCH)</x:v>
      </x:c>
      <x:c r="D208" s="36"/>
      <x:c r="E208" s="36" t="str"/>
      <x:c r="F208" s="36" t="str"/>
      <x:c r="G208" s="36" t="str"/>
      <x:c r="H208" s="36" t="str"/>
      <x:c r="I208" s="36" t="str"/>
      <x:c r="J208" s="36" t="str"/>
      <x:c r="K208" s="36"/>
      <x:c r="L208" s="36" t="str"/>
      <x:c r="M208" s="36" t="str"/>
      <x:c r="N208" s="36" t="str"/>
      <x:c r="O208" s="43"/>
      <x:c r="P208" s="43"/>
      <x:c r="Q208" s="43"/>
      <x:c r="R208" s="43"/>
      <x:c r="S208" s="43"/>
      <x:c r="T208" s="43"/>
      <x:c r="U208" s="43"/>
      <x:c r="V208" s="43"/>
      <x:c r="W208" s="43"/>
      <x:c r="X208" s="43"/>
      <x:c r="Y208" s="43"/>
      <x:c r="Z208" s="43"/>
      <x:c r="AA208" s="43"/>
      <x:c r="AB208" s="43"/>
      <x:c r="AC208" s="43"/>
      <x:c r="AD208" s="43"/>
      <x:c r="AE208" s="43"/>
      <x:c r="AF208" s="43"/>
      <x:c r="AG208" s="43"/>
      <x:c r="AH208" s="43"/>
      <x:c r="AI208" s="43"/>
      <x:c r="AJ208" s="43"/>
      <x:c r="AK208" s="43"/>
      <x:c r="AL208" s="43"/>
      <x:c r="AM208" s="43"/>
      <x:c r="AN208" s="43"/>
      <x:c r="AO208" s="43"/>
      <x:c r="AP208" s="43"/>
    </x:row>
    <x:row r="209" ht="24" hidden="0" customHeight="1">
      <x:c r="A209" s="36" t="str">
        <x:v>BU Led Waste Matrix!row 212</x:v>
      </x:c>
      <x:c r="B209" s="37" t="str">
        <x:v>Two white label products: NiBP cuff and SPO2 sensor will be added to the portfolio.</x:v>
      </x:c>
      <x:c r="C209" s="36" t="str">
        <x:v>Monitoring - HPM (MCH)</x:v>
      </x:c>
      <x:c r="D209" s="36"/>
      <x:c r="E209" s="36" t="str"/>
      <x:c r="F209" s="36" t="str"/>
      <x:c r="G209" s="36" t="str"/>
      <x:c r="H209" s="36" t="str"/>
      <x:c r="I209" s="36" t="str"/>
      <x:c r="J209" s="36" t="str"/>
      <x:c r="K209" s="36"/>
      <x:c r="L209" s="36" t="str"/>
      <x:c r="M209" s="36" t="str"/>
      <x:c r="N209" s="36" t="str"/>
      <x:c r="O209" s="43"/>
      <x:c r="P209" s="43"/>
      <x:c r="Q209" s="43"/>
      <x:c r="R209" s="43"/>
      <x:c r="S209" s="43"/>
      <x:c r="T209" s="43"/>
      <x:c r="U209" s="43"/>
      <x:c r="V209" s="43"/>
      <x:c r="W209" s="43"/>
      <x:c r="X209" s="43"/>
      <x:c r="Y209" s="43"/>
      <x:c r="Z209" s="43"/>
      <x:c r="AA209" s="43"/>
      <x:c r="AB209" s="43"/>
      <x:c r="AC209" s="43"/>
      <x:c r="AD209" s="43"/>
      <x:c r="AE209" s="43"/>
      <x:c r="AF209" s="43"/>
      <x:c r="AG209" s="43"/>
      <x:c r="AH209" s="43"/>
      <x:c r="AI209" s="43"/>
      <x:c r="AJ209" s="43"/>
      <x:c r="AK209" s="43"/>
      <x:c r="AL209" s="43"/>
      <x:c r="AM209" s="43"/>
      <x:c r="AN209" s="43"/>
      <x:c r="AO209" s="43"/>
      <x:c r="AP209" s="43"/>
    </x:row>
    <x:row r="210" ht="15" hidden="0" customHeight="1">
      <x:c r="A210" s="36" t="str">
        <x:v>BU Led Waste Matrix!row 213</x:v>
      </x:c>
      <x:c r="B210" s="37" t="str">
        <x:v>SaaS capabilities (incl.Lifecycle mgmt for contracts )</x:v>
      </x:c>
      <x:c r="C210" s="36" t="str">
        <x:v>Monitoring - HPM (MCH)</x:v>
      </x:c>
      <x:c r="D210" s="36"/>
      <x:c r="E210" s="36" t="str"/>
      <x:c r="F210" s="36" t="str"/>
      <x:c r="G210" s="36" t="str"/>
      <x:c r="H210" s="36" t="str"/>
      <x:c r="I210" s="36" t="str"/>
      <x:c r="J210" s="36" t="str"/>
      <x:c r="K210" s="36"/>
      <x:c r="L210" s="36" t="str"/>
      <x:c r="M210" s="36" t="str"/>
      <x:c r="N210" s="36" t="str"/>
      <x:c r="O210" s="43"/>
      <x:c r="P210" s="43"/>
      <x:c r="Q210" s="43"/>
      <x:c r="R210" s="43"/>
      <x:c r="S210" s="43"/>
      <x:c r="T210" s="43"/>
      <x:c r="U210" s="43"/>
      <x:c r="V210" s="43"/>
      <x:c r="W210" s="43"/>
      <x:c r="X210" s="43"/>
      <x:c r="Y210" s="43"/>
      <x:c r="Z210" s="43"/>
      <x:c r="AA210" s="43"/>
      <x:c r="AB210" s="43"/>
      <x:c r="AC210" s="43"/>
      <x:c r="AD210" s="43"/>
      <x:c r="AE210" s="43"/>
      <x:c r="AF210" s="43"/>
      <x:c r="AG210" s="43"/>
      <x:c r="AH210" s="43"/>
      <x:c r="AI210" s="43"/>
      <x:c r="AJ210" s="43"/>
      <x:c r="AK210" s="43"/>
      <x:c r="AL210" s="43"/>
      <x:c r="AM210" s="43"/>
      <x:c r="AN210" s="43"/>
      <x:c r="AO210" s="43"/>
      <x:c r="AP210" s="43"/>
    </x:row>
    <x:row r="211" ht="15" hidden="0" customHeight="1">
      <x:c r="A211" s="36" t="str">
        <x:v>BU Led Waste Matrix!row 214</x:v>
      </x:c>
      <x:c r="B211" s="37" t="str">
        <x:v>Bangalore Test Lab extension </x:v>
      </x:c>
      <x:c r="C211" s="36" t="str">
        <x:v>Monitoring - HPM (MCH)</x:v>
      </x:c>
      <x:c r="D211" s="36"/>
      <x:c r="E211" s="36" t="str"/>
      <x:c r="F211" s="36" t="str"/>
      <x:c r="G211" s="36" t="str"/>
      <x:c r="H211" s="36" t="str"/>
      <x:c r="I211" s="36" t="str"/>
      <x:c r="J211" s="36" t="str"/>
      <x:c r="K211" s="36"/>
      <x:c r="L211" s="36" t="str"/>
      <x:c r="M211" s="36" t="str"/>
      <x:c r="N211" s="36" t="str"/>
      <x:c r="O211" s="43"/>
      <x:c r="P211" s="43"/>
      <x:c r="Q211" s="43"/>
      <x:c r="R211" s="43"/>
      <x:c r="S211" s="43"/>
      <x:c r="T211" s="43"/>
      <x:c r="U211" s="43"/>
      <x:c r="V211" s="43"/>
      <x:c r="W211" s="43"/>
      <x:c r="X211" s="43"/>
      <x:c r="Y211" s="43"/>
      <x:c r="Z211" s="43"/>
      <x:c r="AA211" s="43"/>
      <x:c r="AB211" s="43"/>
      <x:c r="AC211" s="43"/>
      <x:c r="AD211" s="43"/>
      <x:c r="AE211" s="43"/>
      <x:c r="AF211" s="43"/>
      <x:c r="AG211" s="43"/>
      <x:c r="AH211" s="43"/>
      <x:c r="AI211" s="43"/>
      <x:c r="AJ211" s="43"/>
      <x:c r="AK211" s="43"/>
      <x:c r="AL211" s="43"/>
      <x:c r="AM211" s="43"/>
      <x:c r="AN211" s="43"/>
      <x:c r="AO211" s="43"/>
      <x:c r="AP211" s="43"/>
    </x:row>
    <x:row r="212" ht="15" hidden="0" customHeight="1">
      <x:c r="A212" s="36" t="str">
        <x:v>BU Led Waste Matrix!row 215</x:v>
      </x:c>
      <x:c r="B212" s="37" t="str">
        <x:v>SpO2 Oem business setup</x:v>
      </x:c>
      <x:c r="C212" s="36" t="str">
        <x:v>Monitoring - HPM (MCH)</x:v>
      </x:c>
      <x:c r="D212" s="36"/>
      <x:c r="E212" s="36" t="str"/>
      <x:c r="F212" s="36" t="str"/>
      <x:c r="G212" s="36" t="str"/>
      <x:c r="H212" s="36" t="str"/>
      <x:c r="I212" s="36" t="str"/>
      <x:c r="J212" s="36" t="str"/>
      <x:c r="K212" s="36"/>
      <x:c r="L212" s="36" t="str"/>
      <x:c r="M212" s="36" t="str"/>
      <x:c r="N212" s="36" t="str"/>
      <x:c r="O212" s="43"/>
      <x:c r="P212" s="43"/>
      <x:c r="Q212" s="43"/>
      <x:c r="R212" s="43"/>
      <x:c r="S212" s="43"/>
      <x:c r="T212" s="43"/>
      <x:c r="U212" s="43"/>
      <x:c r="V212" s="43"/>
      <x:c r="W212" s="43"/>
      <x:c r="X212" s="43"/>
      <x:c r="Y212" s="43"/>
      <x:c r="Z212" s="43"/>
      <x:c r="AA212" s="43"/>
      <x:c r="AB212" s="43"/>
      <x:c r="AC212" s="43"/>
      <x:c r="AD212" s="43"/>
      <x:c r="AE212" s="43"/>
      <x:c r="AF212" s="43"/>
      <x:c r="AG212" s="43"/>
      <x:c r="AH212" s="43"/>
      <x:c r="AI212" s="43"/>
      <x:c r="AJ212" s="43"/>
      <x:c r="AK212" s="43"/>
      <x:c r="AL212" s="43"/>
      <x:c r="AM212" s="43"/>
      <x:c r="AN212" s="43"/>
      <x:c r="AO212" s="43"/>
      <x:c r="AP212" s="43"/>
    </x:row>
    <x:row r="213" ht="15" hidden="0" customHeight="1">
      <x:c r="A213" s="36" t="str">
        <x:v>BU Led Waste Matrix!row 216</x:v>
      </x:c>
      <x:c r="B213" s="37" t="str">
        <x:v>ACI Integration (SNOW)</x:v>
      </x:c>
      <x:c r="C213" s="36" t="str">
        <x:v>Monitoring - HPM (MCH)</x:v>
      </x:c>
      <x:c r="D213" s="36"/>
      <x:c r="E213" s="36" t="str"/>
      <x:c r="F213" s="36" t="str"/>
      <x:c r="G213" s="36" t="str"/>
      <x:c r="H213" s="36" t="str"/>
      <x:c r="I213" s="36" t="str"/>
      <x:c r="J213" s="36" t="str"/>
      <x:c r="K213" s="36"/>
      <x:c r="L213" s="36" t="str"/>
      <x:c r="M213" s="36" t="str"/>
      <x:c r="N213" s="36" t="str"/>
      <x:c r="O213" s="43"/>
      <x:c r="P213" s="43"/>
      <x:c r="Q213" s="43"/>
      <x:c r="R213" s="43"/>
      <x:c r="S213" s="43"/>
      <x:c r="T213" s="43"/>
      <x:c r="U213" s="43"/>
      <x:c r="V213" s="43"/>
      <x:c r="W213" s="43"/>
      <x:c r="X213" s="43"/>
      <x:c r="Y213" s="43"/>
      <x:c r="Z213" s="43"/>
      <x:c r="AA213" s="43"/>
      <x:c r="AB213" s="43"/>
      <x:c r="AC213" s="43"/>
      <x:c r="AD213" s="43"/>
      <x:c r="AE213" s="43"/>
      <x:c r="AF213" s="43"/>
      <x:c r="AG213" s="43"/>
      <x:c r="AH213" s="43"/>
      <x:c r="AI213" s="43"/>
      <x:c r="AJ213" s="43"/>
      <x:c r="AK213" s="43"/>
      <x:c r="AL213" s="43"/>
      <x:c r="AM213" s="43"/>
      <x:c r="AN213" s="43"/>
      <x:c r="AO213" s="43"/>
      <x:c r="AP213" s="43"/>
    </x:row>
    <x:row r="214" ht="15" hidden="0" customHeight="1">
      <x:c r="A214" s="36" t="str">
        <x:v>BU Led Waste Matrix!row 217</x:v>
      </x:c>
      <x:c r="B214" s="37" t="str">
        <x:v>NAM late customization improvements</x:v>
      </x:c>
      <x:c r="C214" s="36" t="str">
        <x:v>Monitoring - HPM (MCH)</x:v>
      </x:c>
      <x:c r="D214" s="36"/>
      <x:c r="E214" s="36" t="str"/>
      <x:c r="F214" s="36" t="str"/>
      <x:c r="G214" s="36" t="str"/>
      <x:c r="H214" s="36" t="str"/>
      <x:c r="I214" s="36" t="str"/>
      <x:c r="J214" s="36" t="str"/>
      <x:c r="K214" s="36"/>
      <x:c r="L214" s="36" t="str"/>
      <x:c r="M214" s="36" t="str"/>
      <x:c r="N214" s="36" t="str"/>
      <x:c r="O214" s="43"/>
      <x:c r="P214" s="43"/>
      <x:c r="Q214" s="43"/>
      <x:c r="R214" s="43"/>
      <x:c r="S214" s="43"/>
      <x:c r="T214" s="43"/>
      <x:c r="U214" s="43"/>
      <x:c r="V214" s="43"/>
      <x:c r="W214" s="43"/>
      <x:c r="X214" s="43"/>
      <x:c r="Y214" s="43"/>
      <x:c r="Z214" s="43"/>
      <x:c r="AA214" s="43"/>
      <x:c r="AB214" s="43"/>
      <x:c r="AC214" s="43"/>
      <x:c r="AD214" s="43"/>
      <x:c r="AE214" s="43"/>
      <x:c r="AF214" s="43"/>
      <x:c r="AG214" s="43"/>
      <x:c r="AH214" s="43"/>
      <x:c r="AI214" s="43"/>
      <x:c r="AJ214" s="43"/>
      <x:c r="AK214" s="43"/>
      <x:c r="AL214" s="43"/>
      <x:c r="AM214" s="43"/>
      <x:c r="AN214" s="43"/>
      <x:c r="AO214" s="43"/>
      <x:c r="AP214" s="43"/>
    </x:row>
    <x:row r="215" ht="15" hidden="0" customHeight="1">
      <x:c r="A215" s="36" t="str">
        <x:v>BU Led Waste Matrix!row 218</x:v>
      </x:c>
      <x:c r="B215" s="37" t="str">
        <x:v>GBS Collaboration - Order Orchestration (Appian) - Phase 2</x:v>
      </x:c>
      <x:c r="C215" s="36" t="str">
        <x:v>Monitoring - HPM (MCH)</x:v>
      </x:c>
      <x:c r="D215" s="36" t="n">
        <x:v>2.15</x:v>
      </x:c>
      <x:c r="E215" s="36" t="str">
        <x:v>CONTAIN</x:v>
      </x:c>
      <x:c r="F215" s="36" t="str"/>
      <x:c r="G215" s="36" t="str"/>
      <x:c r="H215" s="36" t="str"/>
      <x:c r="I215" s="36" t="str"/>
      <x:c r="J215" s="36" t="str"/>
      <x:c r="K215" s="36"/>
      <x:c r="L215" s="36" t="str"/>
      <x:c r="M215" s="36" t="str">
        <x:v>CONTAIN — Conditions</x:v>
      </x:c>
      <x:c r="N215" s="36" t="str"/>
      <x:c r="O215" s="43"/>
      <x:c r="P215" s="43"/>
      <x:c r="Q215" s="43"/>
      <x:c r="R215" s="43"/>
      <x:c r="S215" s="43"/>
      <x:c r="T215" s="43"/>
      <x:c r="U215" s="43"/>
      <x:c r="V215" s="43"/>
      <x:c r="W215" s="43"/>
      <x:c r="X215" s="43"/>
      <x:c r="Y215" s="43"/>
      <x:c r="Z215" s="43"/>
      <x:c r="AA215" s="43"/>
      <x:c r="AB215" s="43"/>
      <x:c r="AC215" s="43"/>
      <x:c r="AD215" s="43"/>
      <x:c r="AE215" s="43"/>
      <x:c r="AF215" s="43"/>
      <x:c r="AG215" s="43"/>
      <x:c r="AH215" s="43"/>
      <x:c r="AI215" s="43"/>
      <x:c r="AJ215" s="43"/>
      <x:c r="AK215" s="43"/>
      <x:c r="AL215" s="43"/>
      <x:c r="AM215" s="43"/>
      <x:c r="AN215" s="43"/>
      <x:c r="AO215" s="43"/>
      <x:c r="AP215" s="43"/>
    </x:row>
    <x:row r="216" ht="15" hidden="0" customHeight="1">
      <x:c r="A216" s="36" t="str">
        <x:v>BU Led Waste Matrix!row 219</x:v>
      </x:c>
      <x:c r="B216" s="37" t="str">
        <x:v>PS cloud Capability Development</x:v>
      </x:c>
      <x:c r="C216" s="36" t="str">
        <x:v>Monitoring - HPM (MCH)</x:v>
      </x:c>
      <x:c r="D216" s="36"/>
      <x:c r="E216" s="36" t="str"/>
      <x:c r="F216" s="36" t="str"/>
      <x:c r="G216" s="36" t="str"/>
      <x:c r="H216" s="36" t="str"/>
      <x:c r="I216" s="36" t="str"/>
      <x:c r="J216" s="36" t="str"/>
      <x:c r="K216" s="36"/>
      <x:c r="L216" s="36" t="str"/>
      <x:c r="M216" s="36" t="str"/>
      <x:c r="N216" s="36" t="str"/>
      <x:c r="O216" s="43"/>
      <x:c r="P216" s="43"/>
      <x:c r="Q216" s="43"/>
      <x:c r="R216" s="43"/>
      <x:c r="S216" s="43"/>
      <x:c r="T216" s="43"/>
      <x:c r="U216" s="43"/>
      <x:c r="V216" s="43"/>
      <x:c r="W216" s="43"/>
      <x:c r="X216" s="43"/>
      <x:c r="Y216" s="43"/>
      <x:c r="Z216" s="43"/>
      <x:c r="AA216" s="43"/>
      <x:c r="AB216" s="43"/>
      <x:c r="AC216" s="43"/>
      <x:c r="AD216" s="43"/>
      <x:c r="AE216" s="43"/>
      <x:c r="AF216" s="43"/>
      <x:c r="AG216" s="43"/>
      <x:c r="AH216" s="43"/>
      <x:c r="AI216" s="43"/>
      <x:c r="AJ216" s="43"/>
      <x:c r="AK216" s="43"/>
      <x:c r="AL216" s="43"/>
      <x:c r="AM216" s="43"/>
      <x:c r="AN216" s="43"/>
      <x:c r="AO216" s="43"/>
      <x:c r="AP216" s="43"/>
    </x:row>
    <x:row r="217" ht="15" hidden="0" customHeight="1">
      <x:c r="A217" s="36" t="str">
        <x:v>BU Led Waste Matrix!row 220</x:v>
      </x:c>
      <x:c r="B217" s="37" t="str">
        <x:v>Procurement - SC Next</x:v>
      </x:c>
      <x:c r="C217" s="36" t="str">
        <x:v>Monitoring - HPM (MCH)</x:v>
      </x:c>
      <x:c r="D217" s="36"/>
      <x:c r="E217" s="36" t="str"/>
      <x:c r="F217" s="36" t="str"/>
      <x:c r="G217" s="36" t="str"/>
      <x:c r="H217" s="36" t="str"/>
      <x:c r="I217" s="36" t="str"/>
      <x:c r="J217" s="36" t="str"/>
      <x:c r="K217" s="36"/>
      <x:c r="L217" s="36" t="str"/>
      <x:c r="M217" s="36" t="str"/>
      <x:c r="N217" s="36" t="str"/>
      <x:c r="O217" s="43"/>
      <x:c r="P217" s="43"/>
      <x:c r="Q217" s="43"/>
      <x:c r="R217" s="43"/>
      <x:c r="S217" s="43"/>
      <x:c r="T217" s="43"/>
      <x:c r="U217" s="43"/>
      <x:c r="V217" s="43"/>
      <x:c r="W217" s="43"/>
      <x:c r="X217" s="43"/>
      <x:c r="Y217" s="43"/>
      <x:c r="Z217" s="43"/>
      <x:c r="AA217" s="43"/>
      <x:c r="AB217" s="43"/>
      <x:c r="AC217" s="43"/>
      <x:c r="AD217" s="43"/>
      <x:c r="AE217" s="43"/>
      <x:c r="AF217" s="43"/>
      <x:c r="AG217" s="43"/>
      <x:c r="AH217" s="43"/>
      <x:c r="AI217" s="43"/>
      <x:c r="AJ217" s="43"/>
      <x:c r="AK217" s="43"/>
      <x:c r="AL217" s="43"/>
      <x:c r="AM217" s="43"/>
      <x:c r="AN217" s="43"/>
      <x:c r="AO217" s="43"/>
      <x:c r="AP217" s="43"/>
    </x:row>
    <x:row r="218" ht="15" hidden="0" customHeight="1">
      <x:c r="A218" s="36" t="str">
        <x:v>BU Led Waste Matrix!row 221</x:v>
      </x:c>
      <x:c r="B218" s="37" t="str">
        <x:v>Procurement - Digital Proc</x:v>
      </x:c>
      <x:c r="C218" s="36" t="str">
        <x:v>Monitoring - HPM (MCH)</x:v>
      </x:c>
      <x:c r="D218" s="36"/>
      <x:c r="E218" s="36" t="str"/>
      <x:c r="F218" s="36" t="str"/>
      <x:c r="G218" s="36" t="str"/>
      <x:c r="H218" s="36" t="str"/>
      <x:c r="I218" s="36" t="str"/>
      <x:c r="J218" s="36" t="str"/>
      <x:c r="K218" s="36"/>
      <x:c r="L218" s="36" t="str"/>
      <x:c r="M218" s="36" t="str"/>
      <x:c r="N218" s="36" t="str"/>
      <x:c r="O218" s="43"/>
      <x:c r="P218" s="43"/>
      <x:c r="Q218" s="43"/>
      <x:c r="R218" s="43"/>
      <x:c r="S218" s="43"/>
      <x:c r="T218" s="43"/>
      <x:c r="U218" s="43"/>
      <x:c r="V218" s="43"/>
      <x:c r="W218" s="43"/>
      <x:c r="X218" s="43"/>
      <x:c r="Y218" s="43"/>
      <x:c r="Z218" s="43"/>
      <x:c r="AA218" s="43"/>
      <x:c r="AB218" s="43"/>
      <x:c r="AC218" s="43"/>
      <x:c r="AD218" s="43"/>
      <x:c r="AE218" s="43"/>
      <x:c r="AF218" s="43"/>
      <x:c r="AG218" s="43"/>
      <x:c r="AH218" s="43"/>
      <x:c r="AI218" s="43"/>
      <x:c r="AJ218" s="43"/>
      <x:c r="AK218" s="43"/>
      <x:c r="AL218" s="43"/>
      <x:c r="AM218" s="43"/>
      <x:c r="AN218" s="43"/>
      <x:c r="AO218" s="43"/>
      <x:c r="AP218" s="43"/>
    </x:row>
    <x:row r="219" ht="15" hidden="0" customHeight="1">
      <x:c r="A219" s="36" t="str">
        <x:v>BU Led Waste Matrix!row 222</x:v>
      </x:c>
      <x:c r="B219" s="37" t="str">
        <x:v>Procurement - SW Transformation</x:v>
      </x:c>
      <x:c r="C219" s="36" t="str">
        <x:v>Monitoring - HPM (MCH)</x:v>
      </x:c>
      <x:c r="D219" s="36"/>
      <x:c r="E219" s="36" t="str"/>
      <x:c r="F219" s="36" t="str"/>
      <x:c r="G219" s="36" t="str"/>
      <x:c r="H219" s="36" t="str"/>
      <x:c r="I219" s="36" t="str"/>
      <x:c r="J219" s="36" t="str"/>
      <x:c r="K219" s="36"/>
      <x:c r="L219" s="36" t="str"/>
      <x:c r="M219" s="36" t="str"/>
      <x:c r="N219" s="36" t="str"/>
      <x:c r="O219" s="43"/>
      <x:c r="P219" s="43"/>
      <x:c r="Q219" s="43"/>
      <x:c r="R219" s="43"/>
      <x:c r="S219" s="43"/>
      <x:c r="T219" s="43"/>
      <x:c r="U219" s="43"/>
      <x:c r="V219" s="43"/>
      <x:c r="W219" s="43"/>
      <x:c r="X219" s="43"/>
      <x:c r="Y219" s="43"/>
      <x:c r="Z219" s="43"/>
      <x:c r="AA219" s="43"/>
      <x:c r="AB219" s="43"/>
      <x:c r="AC219" s="43"/>
      <x:c r="AD219" s="43"/>
      <x:c r="AE219" s="43"/>
      <x:c r="AF219" s="43"/>
      <x:c r="AG219" s="43"/>
      <x:c r="AH219" s="43"/>
      <x:c r="AI219" s="43"/>
      <x:c r="AJ219" s="43"/>
      <x:c r="AK219" s="43"/>
      <x:c r="AL219" s="43"/>
      <x:c r="AM219" s="43"/>
      <x:c r="AN219" s="43"/>
      <x:c r="AO219" s="43"/>
      <x:c r="AP219" s="43"/>
    </x:row>
    <x:row r="220" ht="15" hidden="0" customHeight="1">
      <x:c r="A220" s="36" t="str">
        <x:v>BU Led Waste Matrix!row 223</x:v>
      </x:c>
      <x:c r="B220" s="37" t="str">
        <x:v>3PP</x:v>
      </x:c>
      <x:c r="C220" s="36" t="str">
        <x:v>Monitoring - HPM (MCH)</x:v>
      </x:c>
      <x:c r="D220" s="36" t="n">
        <x:v>1.5</x:v>
      </x:c>
      <x:c r="E220" s="36" t="str">
        <x:v>HEALTHY</x:v>
      </x:c>
      <x:c r="F220" s="36" t="str"/>
      <x:c r="G220" s="36" t="str"/>
      <x:c r="H220" s="36" t="str"/>
      <x:c r="I220" s="36" t="str"/>
      <x:c r="J220" s="36" t="str"/>
      <x:c r="K220" s="36"/>
      <x:c r="L220" s="36" t="str"/>
      <x:c r="M220" s="36" t="str">
        <x:v>HEALTHY — Rank in priority matrix</x:v>
      </x:c>
      <x:c r="N220" s="36" t="str"/>
      <x:c r="O220" s="43"/>
      <x:c r="P220" s="43"/>
      <x:c r="Q220" s="43"/>
      <x:c r="R220" s="43"/>
      <x:c r="S220" s="43"/>
      <x:c r="T220" s="43"/>
      <x:c r="U220" s="43"/>
      <x:c r="V220" s="43"/>
      <x:c r="W220" s="43"/>
      <x:c r="X220" s="43"/>
      <x:c r="Y220" s="43"/>
      <x:c r="Z220" s="43"/>
      <x:c r="AA220" s="43"/>
      <x:c r="AB220" s="43"/>
      <x:c r="AC220" s="43"/>
      <x:c r="AD220" s="43"/>
      <x:c r="AE220" s="43"/>
      <x:c r="AF220" s="43"/>
      <x:c r="AG220" s="43"/>
      <x:c r="AH220" s="43"/>
      <x:c r="AI220" s="43"/>
      <x:c r="AJ220" s="43"/>
      <x:c r="AK220" s="43"/>
      <x:c r="AL220" s="43"/>
      <x:c r="AM220" s="43"/>
      <x:c r="AN220" s="43"/>
      <x:c r="AO220" s="43"/>
      <x:c r="AP220" s="43"/>
    </x:row>
    <x:row r="221" ht="15" hidden="0" customHeight="1">
      <x:c r="A221" s="36" t="str">
        <x:v>BU Led Waste Matrix!row 224</x:v>
      </x:c>
      <x:c r="B221" s="37" t="str">
        <x:v>Direct Procurement</x:v>
      </x:c>
      <x:c r="C221" s="36" t="str">
        <x:v>Monitoring - HPM (MCH)</x:v>
      </x:c>
      <x:c r="D221" s="36"/>
      <x:c r="E221" s="36" t="str"/>
      <x:c r="F221" s="36" t="str"/>
      <x:c r="G221" s="36" t="str"/>
      <x:c r="H221" s="36" t="str"/>
      <x:c r="I221" s="36" t="str"/>
      <x:c r="J221" s="36" t="str"/>
      <x:c r="K221" s="36"/>
      <x:c r="L221" s="36" t="str"/>
      <x:c r="M221" s="36" t="str"/>
      <x:c r="N221" s="36" t="str"/>
      <x:c r="O221" s="43"/>
      <x:c r="P221" s="43"/>
      <x:c r="Q221" s="43"/>
      <x:c r="R221" s="43"/>
      <x:c r="S221" s="43"/>
      <x:c r="T221" s="43"/>
      <x:c r="U221" s="43"/>
      <x:c r="V221" s="43"/>
      <x:c r="W221" s="43"/>
      <x:c r="X221" s="43"/>
      <x:c r="Y221" s="43"/>
      <x:c r="Z221" s="43"/>
      <x:c r="AA221" s="43"/>
      <x:c r="AB221" s="43"/>
      <x:c r="AC221" s="43"/>
      <x:c r="AD221" s="43"/>
      <x:c r="AE221" s="43"/>
      <x:c r="AF221" s="43"/>
      <x:c r="AG221" s="43"/>
      <x:c r="AH221" s="43"/>
      <x:c r="AI221" s="43"/>
      <x:c r="AJ221" s="43"/>
      <x:c r="AK221" s="43"/>
      <x:c r="AL221" s="43"/>
      <x:c r="AM221" s="43"/>
      <x:c r="AN221" s="43"/>
      <x:c r="AO221" s="43"/>
      <x:c r="AP221" s="43"/>
    </x:row>
    <x:row r="222" ht="15" hidden="0" customHeight="1">
      <x:c r="A222" s="36" t="str">
        <x:v>BU Led Waste Matrix!row 225</x:v>
      </x:c>
      <x:c r="B222" s="37" t="str">
        <x:v>Topkal</x:v>
      </x:c>
      <x:c r="C222" s="36" t="str">
        <x:v>Monitoring - HPM (MCH)</x:v>
      </x:c>
      <x:c r="D222" s="36"/>
      <x:c r="E222" s="36" t="str"/>
      <x:c r="F222" s="36" t="str"/>
      <x:c r="G222" s="36" t="str"/>
      <x:c r="H222" s="36" t="str"/>
      <x:c r="I222" s="36" t="str"/>
      <x:c r="J222" s="36" t="str"/>
      <x:c r="K222" s="36"/>
      <x:c r="L222" s="36" t="str"/>
      <x:c r="M222" s="36" t="str"/>
      <x:c r="N222" s="36" t="str"/>
      <x:c r="O222" s="43"/>
      <x:c r="P222" s="43"/>
      <x:c r="Q222" s="43"/>
      <x:c r="R222" s="43"/>
      <x:c r="S222" s="43"/>
      <x:c r="T222" s="43"/>
      <x:c r="U222" s="43"/>
      <x:c r="V222" s="43"/>
      <x:c r="W222" s="43"/>
      <x:c r="X222" s="43"/>
      <x:c r="Y222" s="43"/>
      <x:c r="Z222" s="43"/>
      <x:c r="AA222" s="43"/>
      <x:c r="AB222" s="43"/>
      <x:c r="AC222" s="43"/>
      <x:c r="AD222" s="43"/>
      <x:c r="AE222" s="43"/>
      <x:c r="AF222" s="43"/>
      <x:c r="AG222" s="43"/>
      <x:c r="AH222" s="43"/>
      <x:c r="AI222" s="43"/>
      <x:c r="AJ222" s="43"/>
      <x:c r="AK222" s="43"/>
      <x:c r="AL222" s="43"/>
      <x:c r="AM222" s="43"/>
      <x:c r="AN222" s="43"/>
      <x:c r="AO222" s="43"/>
      <x:c r="AP222" s="43"/>
    </x:row>
    <x:row r="223" ht="15" hidden="0" customHeight="1">
      <x:c r="A223" s="36" t="str">
        <x:v>BU Led Waste Matrix!row 226</x:v>
      </x:c>
      <x:c r="B223" s="37" t="str">
        <x:v>ConfigIT - Transforming our Configure to Deliver Landscape</x:v>
      </x:c>
      <x:c r="C223" s="36" t="str">
        <x:v>Precision Diagnosis - Magnetic Resonance (MR)</x:v>
      </x:c>
      <x:c r="D223" s="36"/>
      <x:c r="E223" s="36" t="str"/>
      <x:c r="F223" s="36" t="str"/>
      <x:c r="G223" s="36" t="str"/>
      <x:c r="H223" s="36" t="str"/>
      <x:c r="I223" s="36" t="str"/>
      <x:c r="J223" s="36" t="str"/>
      <x:c r="K223" s="36"/>
      <x:c r="L223" s="36" t="str"/>
      <x:c r="M223" s="36" t="str"/>
      <x:c r="N223" s="36" t="str"/>
      <x:c r="O223" s="43"/>
      <x:c r="P223" s="43"/>
      <x:c r="Q223" s="43"/>
      <x:c r="R223" s="43"/>
      <x:c r="S223" s="43"/>
      <x:c r="T223" s="43"/>
      <x:c r="U223" s="43"/>
      <x:c r="V223" s="43"/>
      <x:c r="W223" s="43"/>
      <x:c r="X223" s="43"/>
      <x:c r="Y223" s="43"/>
      <x:c r="Z223" s="43"/>
      <x:c r="AA223" s="43"/>
      <x:c r="AB223" s="43"/>
      <x:c r="AC223" s="43"/>
      <x:c r="AD223" s="43"/>
      <x:c r="AE223" s="43"/>
      <x:c r="AF223" s="43"/>
      <x:c r="AG223" s="43"/>
      <x:c r="AH223" s="43"/>
      <x:c r="AI223" s="43"/>
      <x:c r="AJ223" s="43"/>
      <x:c r="AK223" s="43"/>
      <x:c r="AL223" s="43"/>
      <x:c r="AM223" s="43"/>
      <x:c r="AN223" s="43"/>
      <x:c r="AO223" s="43"/>
      <x:c r="AP223" s="43"/>
    </x:row>
    <x:row r="224" ht="15" hidden="0" customHeight="1">
      <x:c r="A224" s="36" t="str">
        <x:v>BU Led Waste Matrix!row 227</x:v>
      </x:c>
      <x:c r="B224" s="37" t="str">
        <x:v>Atlas (Regional Merge Center) — IT sap System</x:v>
      </x:c>
      <x:c r="C224" s="36" t="str">
        <x:v>Precision Diagnosis - Magnetic Resonance (MR)</x:v>
      </x:c>
      <x:c r="D224" s="36"/>
      <x:c r="E224" s="36" t="str"/>
      <x:c r="F224" s="36" t="str"/>
      <x:c r="G224" s="36" t="str"/>
      <x:c r="H224" s="36" t="str"/>
      <x:c r="I224" s="36" t="str"/>
      <x:c r="J224" s="36" t="str"/>
      <x:c r="K224" s="36"/>
      <x:c r="L224" s="36" t="str"/>
      <x:c r="M224" s="36" t="str"/>
      <x:c r="N224" s="36" t="str"/>
      <x:c r="O224" s="43"/>
      <x:c r="P224" s="43"/>
      <x:c r="Q224" s="43"/>
      <x:c r="R224" s="43"/>
      <x:c r="S224" s="43"/>
      <x:c r="T224" s="43"/>
      <x:c r="U224" s="43"/>
      <x:c r="V224" s="43"/>
      <x:c r="W224" s="43"/>
      <x:c r="X224" s="43"/>
      <x:c r="Y224" s="43"/>
      <x:c r="Z224" s="43"/>
      <x:c r="AA224" s="43"/>
      <x:c r="AB224" s="43"/>
      <x:c r="AC224" s="43"/>
      <x:c r="AD224" s="43"/>
      <x:c r="AE224" s="43"/>
      <x:c r="AF224" s="43"/>
      <x:c r="AG224" s="43"/>
      <x:c r="AH224" s="43"/>
      <x:c r="AI224" s="43"/>
      <x:c r="AJ224" s="43"/>
      <x:c r="AK224" s="43"/>
      <x:c r="AL224" s="43"/>
      <x:c r="AM224" s="43"/>
      <x:c r="AN224" s="43"/>
      <x:c r="AO224" s="43"/>
      <x:c r="AP224" s="43"/>
    </x:row>
    <x:row r="225" ht="15" hidden="0" customHeight="1">
      <x:c r="A225" s="36" t="str">
        <x:v>BU Led Waste Matrix!row 228</x:v>
      </x:c>
      <x:c r="B225" s="37" t="str">
        <x:v>Entreperner flow Iray -SPS</x:v>
      </x:c>
      <x:c r="C225" s="36" t="str">
        <x:v>Precision Diagnosis - Magnetic Resonance (MR)</x:v>
      </x:c>
      <x:c r="D225" s="36"/>
      <x:c r="E225" s="36" t="str"/>
      <x:c r="F225" s="36" t="str"/>
      <x:c r="G225" s="36" t="str"/>
      <x:c r="H225" s="36" t="str"/>
      <x:c r="I225" s="36" t="str"/>
      <x:c r="J225" s="36" t="str"/>
      <x:c r="K225" s="36"/>
      <x:c r="L225" s="36" t="str"/>
      <x:c r="M225" s="36" t="str"/>
      <x:c r="N225" s="36" t="str"/>
      <x:c r="O225" s="43"/>
      <x:c r="P225" s="43"/>
      <x:c r="Q225" s="43"/>
      <x:c r="R225" s="43"/>
      <x:c r="S225" s="43"/>
      <x:c r="T225" s="43"/>
      <x:c r="U225" s="43"/>
      <x:c r="V225" s="43"/>
      <x:c r="W225" s="43"/>
      <x:c r="X225" s="43"/>
      <x:c r="Y225" s="43"/>
      <x:c r="Z225" s="43"/>
      <x:c r="AA225" s="43"/>
      <x:c r="AB225" s="43"/>
      <x:c r="AC225" s="43"/>
      <x:c r="AD225" s="43"/>
      <x:c r="AE225" s="43"/>
      <x:c r="AF225" s="43"/>
      <x:c r="AG225" s="43"/>
      <x:c r="AH225" s="43"/>
      <x:c r="AI225" s="43"/>
      <x:c r="AJ225" s="43"/>
      <x:c r="AK225" s="43"/>
      <x:c r="AL225" s="43"/>
      <x:c r="AM225" s="43"/>
      <x:c r="AN225" s="43"/>
      <x:c r="AO225" s="43"/>
      <x:c r="AP225" s="43"/>
    </x:row>
    <x:row r="226" ht="15" hidden="0" customHeight="1">
      <x:c r="A226" s="36" t="str">
        <x:v>BU Led Waste Matrix!row 229</x:v>
      </x:c>
      <x:c r="B226" s="37" t="str">
        <x:v>DEFOA OEM 1EMS IT structure</x:v>
      </x:c>
      <x:c r="C226" s="36" t="str">
        <x:v>Precision Diagnosis - Magnetic Resonance (MR)</x:v>
      </x:c>
      <x:c r="D226" s="36"/>
      <x:c r="E226" s="36" t="str"/>
      <x:c r="F226" s="36" t="str"/>
      <x:c r="G226" s="36" t="str"/>
      <x:c r="H226" s="36" t="str"/>
      <x:c r="I226" s="36" t="str"/>
      <x:c r="J226" s="36" t="str"/>
      <x:c r="K226" s="36"/>
      <x:c r="L226" s="36" t="str"/>
      <x:c r="M226" s="36" t="str"/>
      <x:c r="N226" s="36" t="str"/>
      <x:c r="O226" s="43"/>
      <x:c r="P226" s="43"/>
      <x:c r="Q226" s="43"/>
      <x:c r="R226" s="43"/>
      <x:c r="S226" s="43"/>
      <x:c r="T226" s="43"/>
      <x:c r="U226" s="43"/>
      <x:c r="V226" s="43"/>
      <x:c r="W226" s="43"/>
      <x:c r="X226" s="43"/>
      <x:c r="Y226" s="43"/>
      <x:c r="Z226" s="43"/>
      <x:c r="AA226" s="43"/>
      <x:c r="AB226" s="43"/>
      <x:c r="AC226" s="43"/>
      <x:c r="AD226" s="43"/>
      <x:c r="AE226" s="43"/>
      <x:c r="AF226" s="43"/>
      <x:c r="AG226" s="43"/>
      <x:c r="AH226" s="43"/>
      <x:c r="AI226" s="43"/>
      <x:c r="AJ226" s="43"/>
      <x:c r="AK226" s="43"/>
      <x:c r="AL226" s="43"/>
      <x:c r="AM226" s="43"/>
      <x:c r="AN226" s="43"/>
      <x:c r="AO226" s="43"/>
      <x:c r="AP226" s="43"/>
    </x:row>
    <x:row r="227" ht="15" hidden="0" customHeight="1">
      <x:c r="A227" s="36" t="str">
        <x:v>BU Led Waste Matrix!row 230</x:v>
      </x:c>
      <x:c r="B227" s="37" t="str">
        <x:v>DEFOA IT Investment</x:v>
      </x:c>
      <x:c r="C227" s="36" t="str">
        <x:v>Precision Diagnosis - Magnetic Resonance (MR)</x:v>
      </x:c>
      <x:c r="D227" s="36"/>
      <x:c r="E227" s="36" t="str"/>
      <x:c r="F227" s="36" t="str"/>
      <x:c r="G227" s="36" t="str"/>
      <x:c r="H227" s="36" t="str"/>
      <x:c r="I227" s="36" t="str"/>
      <x:c r="J227" s="36" t="str"/>
      <x:c r="K227" s="36"/>
      <x:c r="L227" s="36" t="str"/>
      <x:c r="M227" s="36" t="str"/>
      <x:c r="N227" s="36" t="str"/>
      <x:c r="O227" s="43"/>
      <x:c r="P227" s="43"/>
      <x:c r="Q227" s="43"/>
      <x:c r="R227" s="43"/>
      <x:c r="S227" s="43"/>
      <x:c r="T227" s="43"/>
      <x:c r="U227" s="43"/>
      <x:c r="V227" s="43"/>
      <x:c r="W227" s="43"/>
      <x:c r="X227" s="43"/>
      <x:c r="Y227" s="43"/>
      <x:c r="Z227" s="43"/>
      <x:c r="AA227" s="43"/>
      <x:c r="AB227" s="43"/>
      <x:c r="AC227" s="43"/>
      <x:c r="AD227" s="43"/>
      <x:c r="AE227" s="43"/>
      <x:c r="AF227" s="43"/>
      <x:c r="AG227" s="43"/>
      <x:c r="AH227" s="43"/>
      <x:c r="AI227" s="43"/>
      <x:c r="AJ227" s="43"/>
      <x:c r="AK227" s="43"/>
      <x:c r="AL227" s="43"/>
      <x:c r="AM227" s="43"/>
      <x:c r="AN227" s="43"/>
      <x:c r="AO227" s="43"/>
      <x:c r="AP227" s="43"/>
    </x:row>
    <x:row r="228" ht="15" hidden="0" customHeight="1">
      <x:c r="A228" s="36" t="str">
        <x:v>BU Led Waste Matrix!row 231</x:v>
      </x:c>
      <x:c r="B228" s="37" t="str">
        <x:v>DEFOA Brain AI program</x:v>
      </x:c>
      <x:c r="C228" s="36" t="str">
        <x:v>Precision Diagnosis - Magnetic Resonance (MR)</x:v>
      </x:c>
      <x:c r="D228" s="36"/>
      <x:c r="E228" s="36" t="str"/>
      <x:c r="F228" s="36" t="str"/>
      <x:c r="G228" s="36" t="str"/>
      <x:c r="H228" s="36" t="str"/>
      <x:c r="I228" s="36" t="str"/>
      <x:c r="J228" s="36" t="str"/>
      <x:c r="K228" s="36"/>
      <x:c r="L228" s="36" t="str"/>
      <x:c r="M228" s="36" t="str"/>
      <x:c r="N228" s="36" t="str"/>
      <x:c r="O228" s="43"/>
      <x:c r="P228" s="43"/>
      <x:c r="Q228" s="43"/>
      <x:c r="R228" s="43"/>
      <x:c r="S228" s="43"/>
      <x:c r="T228" s="43"/>
      <x:c r="U228" s="43"/>
      <x:c r="V228" s="43"/>
      <x:c r="W228" s="43"/>
      <x:c r="X228" s="43"/>
      <x:c r="Y228" s="43"/>
      <x:c r="Z228" s="43"/>
      <x:c r="AA228" s="43"/>
      <x:c r="AB228" s="43"/>
      <x:c r="AC228" s="43"/>
      <x:c r="AD228" s="43"/>
      <x:c r="AE228" s="43"/>
      <x:c r="AF228" s="43"/>
      <x:c r="AG228" s="43"/>
      <x:c r="AH228" s="43"/>
      <x:c r="AI228" s="43"/>
      <x:c r="AJ228" s="43"/>
      <x:c r="AK228" s="43"/>
      <x:c r="AL228" s="43"/>
      <x:c r="AM228" s="43"/>
      <x:c r="AN228" s="43"/>
      <x:c r="AO228" s="43"/>
      <x:c r="AP228" s="43"/>
    </x:row>
    <x:row r="229" ht="15" hidden="0" customHeight="1">
      <x:c r="A229" s="36" t="str">
        <x:v>BU Led Waste Matrix!row 232</x:v>
      </x:c>
      <x:c r="B229" s="37" t="str">
        <x:v>Mantan (NDA Project CT &amp; MR)</x:v>
      </x:c>
      <x:c r="C229" s="36" t="str">
        <x:v>Precision Diagnosis - Magnetic Resonance (MR)</x:v>
      </x:c>
      <x:c r="D229" s="36"/>
      <x:c r="E229" s="36" t="str"/>
      <x:c r="F229" s="36" t="str"/>
      <x:c r="G229" s="36" t="str"/>
      <x:c r="H229" s="36" t="str"/>
      <x:c r="I229" s="36" t="str"/>
      <x:c r="J229" s="36" t="str"/>
      <x:c r="K229" s="36"/>
      <x:c r="L229" s="36" t="str"/>
      <x:c r="M229" s="36" t="str"/>
      <x:c r="N229" s="36" t="str"/>
      <x:c r="O229" s="43"/>
      <x:c r="P229" s="43"/>
      <x:c r="Q229" s="43"/>
      <x:c r="R229" s="43"/>
      <x:c r="S229" s="43"/>
      <x:c r="T229" s="43"/>
      <x:c r="U229" s="43"/>
      <x:c r="V229" s="43"/>
      <x:c r="W229" s="43"/>
      <x:c r="X229" s="43"/>
      <x:c r="Y229" s="43"/>
      <x:c r="Z229" s="43"/>
      <x:c r="AA229" s="43"/>
      <x:c r="AB229" s="43"/>
      <x:c r="AC229" s="43"/>
      <x:c r="AD229" s="43"/>
      <x:c r="AE229" s="43"/>
      <x:c r="AF229" s="43"/>
      <x:c r="AG229" s="43"/>
      <x:c r="AH229" s="43"/>
      <x:c r="AI229" s="43"/>
      <x:c r="AJ229" s="43"/>
      <x:c r="AK229" s="43"/>
      <x:c r="AL229" s="43"/>
      <x:c r="AM229" s="43"/>
      <x:c r="AN229" s="43"/>
      <x:c r="AO229" s="43"/>
      <x:c r="AP229" s="43"/>
    </x:row>
    <x:row r="230" ht="15" hidden="0" customHeight="1">
      <x:c r="A230" s="36" t="str">
        <x:v>BU Led Waste Matrix!row 233</x:v>
      </x:c>
      <x:c r="B230" s="37" t="str">
        <x:v>MES features in factories</x:v>
      </x:c>
      <x:c r="C230" s="36" t="str">
        <x:v>Precision Diagnosis - Magnetic Resonance (MR)</x:v>
      </x:c>
      <x:c r="D230" s="36" t="n">
        <x:v>1</x:v>
      </x:c>
      <x:c r="E230" s="36" t="str">
        <x:v>HEALTHY</x:v>
      </x:c>
      <x:c r="F230" s="36" t="str"/>
      <x:c r="G230" s="36" t="str"/>
      <x:c r="H230" s="36" t="str"/>
      <x:c r="I230" s="36" t="str"/>
      <x:c r="J230" s="36" t="str"/>
      <x:c r="K230" s="36"/>
      <x:c r="L230" s="36" t="str"/>
      <x:c r="M230" s="36" t="str">
        <x:v>HEALTHY — Rank in priority matrix</x:v>
      </x:c>
      <x:c r="N230" s="36" t="str"/>
      <x:c r="O230" s="43"/>
      <x:c r="P230" s="43"/>
      <x:c r="Q230" s="43"/>
      <x:c r="R230" s="43"/>
      <x:c r="S230" s="43"/>
      <x:c r="T230" s="43"/>
      <x:c r="U230" s="43"/>
      <x:c r="V230" s="43"/>
      <x:c r="W230" s="43"/>
      <x:c r="X230" s="43"/>
      <x:c r="Y230" s="43"/>
      <x:c r="Z230" s="43"/>
      <x:c r="AA230" s="43"/>
      <x:c r="AB230" s="43"/>
      <x:c r="AC230" s="43"/>
      <x:c r="AD230" s="43"/>
      <x:c r="AE230" s="43"/>
      <x:c r="AF230" s="43"/>
      <x:c r="AG230" s="43"/>
      <x:c r="AH230" s="43"/>
      <x:c r="AI230" s="43"/>
      <x:c r="AJ230" s="43"/>
      <x:c r="AK230" s="43"/>
      <x:c r="AL230" s="43"/>
      <x:c r="AM230" s="43"/>
      <x:c r="AN230" s="43"/>
      <x:c r="AO230" s="43"/>
      <x:c r="AP230" s="43"/>
    </x:row>
    <x:row r="231" ht="15" hidden="0" customHeight="1">
      <x:c r="A231" s="36" t="str">
        <x:v>BU Led Waste Matrix!row 234</x:v>
      </x:c>
      <x:c r="B231" s="37" t="str">
        <x:v>SAP Functionality expansion LMPC/LFP (Pune &amp; Latham)</x:v>
      </x:c>
      <x:c r="C231" s="36" t="str">
        <x:v>Precision Diagnosis - Magnetic Resonance (MR)</x:v>
      </x:c>
      <x:c r="D231" s="36"/>
      <x:c r="E231" s="36" t="str"/>
      <x:c r="F231" s="36" t="str"/>
      <x:c r="G231" s="36" t="str"/>
      <x:c r="H231" s="36" t="str"/>
      <x:c r="I231" s="36" t="str"/>
      <x:c r="J231" s="36" t="str"/>
      <x:c r="K231" s="36"/>
      <x:c r="L231" s="36" t="str"/>
      <x:c r="M231" s="36" t="str"/>
      <x:c r="N231" s="36" t="str"/>
      <x:c r="O231" s="43"/>
      <x:c r="P231" s="43"/>
      <x:c r="Q231" s="43"/>
      <x:c r="R231" s="43"/>
      <x:c r="S231" s="43"/>
      <x:c r="T231" s="43"/>
      <x:c r="U231" s="43"/>
      <x:c r="V231" s="43"/>
      <x:c r="W231" s="43"/>
      <x:c r="X231" s="43"/>
      <x:c r="Y231" s="43"/>
      <x:c r="Z231" s="43"/>
      <x:c r="AA231" s="43"/>
      <x:c r="AB231" s="43"/>
      <x:c r="AC231" s="43"/>
      <x:c r="AD231" s="43"/>
      <x:c r="AE231" s="43"/>
      <x:c r="AF231" s="43"/>
      <x:c r="AG231" s="43"/>
      <x:c r="AH231" s="43"/>
      <x:c r="AI231" s="43"/>
      <x:c r="AJ231" s="43"/>
      <x:c r="AK231" s="43"/>
      <x:c r="AL231" s="43"/>
      <x:c r="AM231" s="43"/>
      <x:c r="AN231" s="43"/>
      <x:c r="AO231" s="43"/>
      <x:c r="AP231" s="43"/>
    </x:row>
    <x:row r="232" ht="15" hidden="0" customHeight="1">
      <x:c r="A232" s="36" t="str">
        <x:v>BU Led Waste Matrix!row 235</x:v>
      </x:c>
      <x:c r="B232" s="37" t="str">
        <x:v>Placeholder</x:v>
      </x:c>
      <x:c r="C232" s="36" t="str">
        <x:v>Precision Diagnosis - Magnetic Resonance (MR)</x:v>
      </x:c>
      <x:c r="D232" s="36"/>
      <x:c r="E232" s="36" t="str"/>
      <x:c r="F232" s="36" t="str"/>
      <x:c r="G232" s="36" t="str"/>
      <x:c r="H232" s="36" t="str"/>
      <x:c r="I232" s="36" t="str"/>
      <x:c r="J232" s="36" t="str"/>
      <x:c r="K232" s="36"/>
      <x:c r="L232" s="36" t="str"/>
      <x:c r="M232" s="36" t="str"/>
      <x:c r="N232" s="36" t="str"/>
      <x:c r="O232" s="43"/>
      <x:c r="P232" s="43"/>
      <x:c r="Q232" s="43"/>
      <x:c r="R232" s="43"/>
      <x:c r="S232" s="43"/>
      <x:c r="T232" s="43"/>
      <x:c r="U232" s="43"/>
      <x:c r="V232" s="43"/>
      <x:c r="W232" s="43"/>
      <x:c r="X232" s="43"/>
      <x:c r="Y232" s="43"/>
      <x:c r="Z232" s="43"/>
      <x:c r="AA232" s="43"/>
      <x:c r="AB232" s="43"/>
      <x:c r="AC232" s="43"/>
      <x:c r="AD232" s="43"/>
      <x:c r="AE232" s="43"/>
      <x:c r="AF232" s="43"/>
      <x:c r="AG232" s="43"/>
      <x:c r="AH232" s="43"/>
      <x:c r="AI232" s="43"/>
      <x:c r="AJ232" s="43"/>
      <x:c r="AK232" s="43"/>
      <x:c r="AL232" s="43"/>
      <x:c r="AM232" s="43"/>
      <x:c r="AN232" s="43"/>
      <x:c r="AO232" s="43"/>
      <x:c r="AP232" s="43"/>
    </x:row>
    <x:row r="233" ht="15" hidden="0" customHeight="1">
      <x:c r="A233" s="36" t="str">
        <x:v>BU Led Waste Matrix!row 236</x:v>
      </x:c>
      <x:c r="B233" s="37" t="str">
        <x:v>RFID for Outward Shipments</x:v>
      </x:c>
      <x:c r="C233" s="36" t="str">
        <x:v>Precision Diagnosis - Magnetic Resonance (MR)</x:v>
      </x:c>
      <x:c r="D233" s="36"/>
      <x:c r="E233" s="36" t="str"/>
      <x:c r="F233" s="36" t="str"/>
      <x:c r="G233" s="36" t="str"/>
      <x:c r="H233" s="36" t="str"/>
      <x:c r="I233" s="36" t="str"/>
      <x:c r="J233" s="36" t="str"/>
      <x:c r="K233" s="36"/>
      <x:c r="L233" s="36" t="str"/>
      <x:c r="M233" s="36" t="str"/>
      <x:c r="N233" s="36" t="str"/>
      <x:c r="O233" s="43"/>
      <x:c r="P233" s="43"/>
      <x:c r="Q233" s="43"/>
      <x:c r="R233" s="43"/>
      <x:c r="S233" s="43"/>
      <x:c r="T233" s="43"/>
      <x:c r="U233" s="43"/>
      <x:c r="V233" s="43"/>
      <x:c r="W233" s="43"/>
      <x:c r="X233" s="43"/>
      <x:c r="Y233" s="43"/>
      <x:c r="Z233" s="43"/>
      <x:c r="AA233" s="43"/>
      <x:c r="AB233" s="43"/>
      <x:c r="AC233" s="43"/>
      <x:c r="AD233" s="43"/>
      <x:c r="AE233" s="43"/>
      <x:c r="AF233" s="43"/>
      <x:c r="AG233" s="43"/>
      <x:c r="AH233" s="43"/>
      <x:c r="AI233" s="43"/>
      <x:c r="AJ233" s="43"/>
      <x:c r="AK233" s="43"/>
      <x:c r="AL233" s="43"/>
      <x:c r="AM233" s="43"/>
      <x:c r="AN233" s="43"/>
      <x:c r="AO233" s="43"/>
      <x:c r="AP233" s="43"/>
    </x:row>
    <x:row r="234" ht="15" hidden="0" customHeight="1">
      <x:c r="A234" s="36" t="str">
        <x:v>BU Led Waste Matrix!row 237</x:v>
      </x:c>
      <x:c r="B234" s="37" t="str">
        <x:v>Defoa process improvement (400 PD, 200 IGTS)</x:v>
      </x:c>
      <x:c r="C234" s="36" t="str">
        <x:v>Precision Diagnosis - Magnetic Resonance (MR)</x:v>
      </x:c>
      <x:c r="D234" s="36"/>
      <x:c r="E234" s="36" t="str"/>
      <x:c r="F234" s="36" t="str"/>
      <x:c r="G234" s="36" t="str"/>
      <x:c r="H234" s="36" t="str"/>
      <x:c r="I234" s="36" t="str"/>
      <x:c r="J234" s="36" t="str"/>
      <x:c r="K234" s="36"/>
      <x:c r="L234" s="36" t="str"/>
      <x:c r="M234" s="36" t="str"/>
      <x:c r="N234" s="36" t="str"/>
      <x:c r="O234" s="43"/>
      <x:c r="P234" s="43"/>
      <x:c r="Q234" s="43"/>
      <x:c r="R234" s="43"/>
      <x:c r="S234" s="43"/>
      <x:c r="T234" s="43"/>
      <x:c r="U234" s="43"/>
      <x:c r="V234" s="43"/>
      <x:c r="W234" s="43"/>
      <x:c r="X234" s="43"/>
      <x:c r="Y234" s="43"/>
      <x:c r="Z234" s="43"/>
      <x:c r="AA234" s="43"/>
      <x:c r="AB234" s="43"/>
      <x:c r="AC234" s="43"/>
      <x:c r="AD234" s="43"/>
      <x:c r="AE234" s="43"/>
      <x:c r="AF234" s="43"/>
      <x:c r="AG234" s="43"/>
      <x:c r="AH234" s="43"/>
      <x:c r="AI234" s="43"/>
      <x:c r="AJ234" s="43"/>
      <x:c r="AK234" s="43"/>
      <x:c r="AL234" s="43"/>
      <x:c r="AM234" s="43"/>
      <x:c r="AN234" s="43"/>
      <x:c r="AO234" s="43"/>
      <x:c r="AP234" s="43"/>
    </x:row>
    <x:row r="235" ht="15" hidden="0" customHeight="1">
      <x:c r="A235" s="36" t="str">
        <x:v>BU Led Waste Matrix!row 238</x:v>
      </x:c>
      <x:c r="B235" s="37" t="str">
        <x:v>Conga – Change &amp; Sustain</x:v>
      </x:c>
      <x:c r="C235" s="36" t="str">
        <x:v>Image Guided Therapy - Devices (IGT-D)</x:v>
      </x:c>
      <x:c r="D235" s="36"/>
      <x:c r="E235" s="36" t="str"/>
      <x:c r="F235" s="36" t="str"/>
      <x:c r="G235" s="36" t="str"/>
      <x:c r="H235" s="36" t="str"/>
      <x:c r="I235" s="36" t="str"/>
      <x:c r="J235" s="36" t="str"/>
      <x:c r="K235" s="36"/>
      <x:c r="L235" s="36" t="str"/>
      <x:c r="M235" s="36" t="str"/>
      <x:c r="N235" s="36" t="str"/>
      <x:c r="O235" s="43"/>
      <x:c r="P235" s="43"/>
      <x:c r="Q235" s="43"/>
      <x:c r="R235" s="43"/>
      <x:c r="S235" s="43"/>
      <x:c r="T235" s="43"/>
      <x:c r="U235" s="43"/>
      <x:c r="V235" s="43"/>
      <x:c r="W235" s="43"/>
      <x:c r="X235" s="43"/>
      <x:c r="Y235" s="43"/>
      <x:c r="Z235" s="43"/>
      <x:c r="AA235" s="43"/>
      <x:c r="AB235" s="43"/>
      <x:c r="AC235" s="43"/>
      <x:c r="AD235" s="43"/>
      <x:c r="AE235" s="43"/>
      <x:c r="AF235" s="43"/>
      <x:c r="AG235" s="43"/>
      <x:c r="AH235" s="43"/>
      <x:c r="AI235" s="43"/>
      <x:c r="AJ235" s="43"/>
      <x:c r="AK235" s="43"/>
      <x:c r="AL235" s="43"/>
      <x:c r="AM235" s="43"/>
      <x:c r="AN235" s="43"/>
      <x:c r="AO235" s="43"/>
      <x:c r="AP235" s="43"/>
    </x:row>
    <x:row r="236" ht="15" hidden="0" customHeight="1">
      <x:c r="A236" s="36" t="str">
        <x:v>BU Led Waste Matrix!row 239</x:v>
      </x:c>
      <x:c r="B236" s="37" t="str">
        <x:v>cCRM – Change &amp; Sustain</x:v>
      </x:c>
      <x:c r="C236" s="36" t="str">
        <x:v>Image Guided Therapy - Devices (IGT-D)</x:v>
      </x:c>
      <x:c r="D236" s="36"/>
      <x:c r="E236" s="36" t="str"/>
      <x:c r="F236" s="36" t="str"/>
      <x:c r="G236" s="36" t="str"/>
      <x:c r="H236" s="36" t="str"/>
      <x:c r="I236" s="36" t="str"/>
      <x:c r="J236" s="36" t="str"/>
      <x:c r="K236" s="36"/>
      <x:c r="L236" s="36" t="str"/>
      <x:c r="M236" s="36" t="str"/>
      <x:c r="N236" s="36" t="str"/>
      <x:c r="O236" s="43"/>
      <x:c r="P236" s="43"/>
      <x:c r="Q236" s="43"/>
      <x:c r="R236" s="43"/>
      <x:c r="S236" s="43"/>
      <x:c r="T236" s="43"/>
      <x:c r="U236" s="43"/>
      <x:c r="V236" s="43"/>
      <x:c r="W236" s="43"/>
      <x:c r="X236" s="43"/>
      <x:c r="Y236" s="43"/>
      <x:c r="Z236" s="43"/>
      <x:c r="AA236" s="43"/>
      <x:c r="AB236" s="43"/>
      <x:c r="AC236" s="43"/>
      <x:c r="AD236" s="43"/>
      <x:c r="AE236" s="43"/>
      <x:c r="AF236" s="43"/>
      <x:c r="AG236" s="43"/>
      <x:c r="AH236" s="43"/>
      <x:c r="AI236" s="43"/>
      <x:c r="AJ236" s="43"/>
      <x:c r="AK236" s="43"/>
      <x:c r="AL236" s="43"/>
      <x:c r="AM236" s="43"/>
      <x:c r="AN236" s="43"/>
      <x:c r="AO236" s="43"/>
      <x:c r="AP236" s="43"/>
    </x:row>
    <x:row r="237" ht="15" hidden="0" customHeight="1">
      <x:c r="A237" s="36" t="str">
        <x:v>BU Led Waste Matrix!row 240</x:v>
      </x:c>
      <x:c r="B237" s="37" t="str">
        <x:v>Small Investments 2027</x:v>
      </x:c>
      <x:c r="C237" s="36" t="str">
        <x:v>Image Guided Therapy - Devices (IGT-D)</x:v>
      </x:c>
      <x:c r="D237" s="36"/>
      <x:c r="E237" s="36" t="str"/>
      <x:c r="F237" s="36" t="str"/>
      <x:c r="G237" s="36" t="str"/>
      <x:c r="H237" s="36" t="str"/>
      <x:c r="I237" s="36" t="str"/>
      <x:c r="J237" s="36" t="str"/>
      <x:c r="K237" s="36"/>
      <x:c r="L237" s="36" t="str"/>
      <x:c r="M237" s="36" t="str"/>
      <x:c r="N237" s="36" t="str"/>
      <x:c r="O237" s="43"/>
      <x:c r="P237" s="43"/>
      <x:c r="Q237" s="43"/>
      <x:c r="R237" s="43"/>
      <x:c r="S237" s="43"/>
      <x:c r="T237" s="43"/>
      <x:c r="U237" s="43"/>
      <x:c r="V237" s="43"/>
      <x:c r="W237" s="43"/>
      <x:c r="X237" s="43"/>
      <x:c r="Y237" s="43"/>
      <x:c r="Z237" s="43"/>
      <x:c r="AA237" s="43"/>
      <x:c r="AB237" s="43"/>
      <x:c r="AC237" s="43"/>
      <x:c r="AD237" s="43"/>
      <x:c r="AE237" s="43"/>
      <x:c r="AF237" s="43"/>
      <x:c r="AG237" s="43"/>
      <x:c r="AH237" s="43"/>
      <x:c r="AI237" s="43"/>
      <x:c r="AJ237" s="43"/>
      <x:c r="AK237" s="43"/>
      <x:c r="AL237" s="43"/>
      <x:c r="AM237" s="43"/>
      <x:c r="AN237" s="43"/>
      <x:c r="AO237" s="43"/>
      <x:c r="AP237" s="43"/>
    </x:row>
    <x:row r="238" ht="15" hidden="0" customHeight="1">
      <x:c r="A238" s="36" t="str">
        <x:v>BU Led Waste Matrix!row 241</x:v>
      </x:c>
      <x:c r="B238" s="37" t="str">
        <x:v>Horizon (EnLabel) </x:v>
      </x:c>
      <x:c r="C238" s="36" t="str">
        <x:v>Image Guided Therapy - Devices (IGT-D)</x:v>
      </x:c>
      <x:c r="D238" s="36" t="n">
        <x:v>1.45</x:v>
      </x:c>
      <x:c r="E238" s="36" t="str">
        <x:v>HEALTHY</x:v>
      </x:c>
      <x:c r="F238" s="36" t="str"/>
      <x:c r="G238" s="36" t="str"/>
      <x:c r="H238" s="36" t="str"/>
      <x:c r="I238" s="36" t="str"/>
      <x:c r="J238" s="36" t="str"/>
      <x:c r="K238" s="36"/>
      <x:c r="L238" s="36" t="str"/>
      <x:c r="M238" s="36" t="str">
        <x:v>HEALTHY — Rank in priority matrix</x:v>
      </x:c>
      <x:c r="N238" s="36" t="str"/>
      <x:c r="O238" s="43"/>
      <x:c r="P238" s="43"/>
      <x:c r="Q238" s="43"/>
      <x:c r="R238" s="43"/>
      <x:c r="S238" s="43"/>
      <x:c r="T238" s="43"/>
      <x:c r="U238" s="43"/>
      <x:c r="V238" s="43"/>
      <x:c r="W238" s="43"/>
      <x:c r="X238" s="43"/>
      <x:c r="Y238" s="43"/>
      <x:c r="Z238" s="43"/>
      <x:c r="AA238" s="43"/>
      <x:c r="AB238" s="43"/>
      <x:c r="AC238" s="43"/>
      <x:c r="AD238" s="43"/>
      <x:c r="AE238" s="43"/>
      <x:c r="AF238" s="43"/>
      <x:c r="AG238" s="43"/>
      <x:c r="AH238" s="43"/>
      <x:c r="AI238" s="43"/>
      <x:c r="AJ238" s="43"/>
      <x:c r="AK238" s="43"/>
      <x:c r="AL238" s="43"/>
      <x:c r="AM238" s="43"/>
      <x:c r="AN238" s="43"/>
      <x:c r="AO238" s="43"/>
      <x:c r="AP238" s="43"/>
    </x:row>
    <x:row r="239" ht="15" hidden="0" customHeight="1">
      <x:c r="A239" s="36" t="str">
        <x:v>BU Led Waste Matrix!row 242</x:v>
      </x:c>
      <x:c r="B239" s="37" t="str">
        <x:v>Windchill – Change &amp; Sustain</x:v>
      </x:c>
      <x:c r="C239" s="36" t="str">
        <x:v>Image Guided Therapy - Devices (IGT-D)</x:v>
      </x:c>
      <x:c r="D239" s="36"/>
      <x:c r="E239" s="36" t="str"/>
      <x:c r="F239" s="36" t="str"/>
      <x:c r="G239" s="36" t="str"/>
      <x:c r="H239" s="36" t="str"/>
      <x:c r="I239" s="36" t="str"/>
      <x:c r="J239" s="36" t="str"/>
      <x:c r="K239" s="36"/>
      <x:c r="L239" s="36" t="str"/>
      <x:c r="M239" s="36" t="str"/>
      <x:c r="N239" s="36" t="str"/>
      <x:c r="O239" s="43"/>
      <x:c r="P239" s="43"/>
      <x:c r="Q239" s="43"/>
      <x:c r="R239" s="43"/>
      <x:c r="S239" s="43"/>
      <x:c r="T239" s="43"/>
      <x:c r="U239" s="43"/>
      <x:c r="V239" s="43"/>
      <x:c r="W239" s="43"/>
      <x:c r="X239" s="43"/>
      <x:c r="Y239" s="43"/>
      <x:c r="Z239" s="43"/>
      <x:c r="AA239" s="43"/>
      <x:c r="AB239" s="43"/>
      <x:c r="AC239" s="43"/>
      <x:c r="AD239" s="43"/>
      <x:c r="AE239" s="43"/>
      <x:c r="AF239" s="43"/>
      <x:c r="AG239" s="43"/>
      <x:c r="AH239" s="43"/>
      <x:c r="AI239" s="43"/>
      <x:c r="AJ239" s="43"/>
      <x:c r="AK239" s="43"/>
      <x:c r="AL239" s="43"/>
      <x:c r="AM239" s="43"/>
      <x:c r="AN239" s="43"/>
      <x:c r="AO239" s="43"/>
      <x:c r="AP239" s="43"/>
    </x:row>
    <x:row r="240" ht="15" hidden="0" customHeight="1">
      <x:c r="A240" s="36" t="str">
        <x:v>BU Led Waste Matrix!row 243</x:v>
      </x:c>
      <x:c r="B240" s="37" t="str">
        <x:v>12NC Configuration Management Project</x:v>
      </x:c>
      <x:c r="C240" s="36" t="str">
        <x:v>Image Guided Therapy - Devices (IGT-D)</x:v>
      </x:c>
      <x:c r="D240" s="36"/>
      <x:c r="E240" s="36" t="str"/>
      <x:c r="F240" s="36" t="str"/>
      <x:c r="G240" s="36" t="str"/>
      <x:c r="H240" s="36" t="str"/>
      <x:c r="I240" s="36" t="str"/>
      <x:c r="J240" s="36" t="str"/>
      <x:c r="K240" s="36"/>
      <x:c r="L240" s="36" t="str"/>
      <x:c r="M240" s="36" t="str"/>
      <x:c r="N240" s="36" t="str"/>
      <x:c r="O240" s="43"/>
      <x:c r="P240" s="43"/>
      <x:c r="Q240" s="43"/>
      <x:c r="R240" s="43"/>
      <x:c r="S240" s="43"/>
      <x:c r="T240" s="43"/>
      <x:c r="U240" s="43"/>
      <x:c r="V240" s="43"/>
      <x:c r="W240" s="43"/>
      <x:c r="X240" s="43"/>
      <x:c r="Y240" s="43"/>
      <x:c r="Z240" s="43"/>
      <x:c r="AA240" s="43"/>
      <x:c r="AB240" s="43"/>
      <x:c r="AC240" s="43"/>
      <x:c r="AD240" s="43"/>
      <x:c r="AE240" s="43"/>
      <x:c r="AF240" s="43"/>
      <x:c r="AG240" s="43"/>
      <x:c r="AH240" s="43"/>
      <x:c r="AI240" s="43"/>
      <x:c r="AJ240" s="43"/>
      <x:c r="AK240" s="43"/>
      <x:c r="AL240" s="43"/>
      <x:c r="AM240" s="43"/>
      <x:c r="AN240" s="43"/>
      <x:c r="AO240" s="43"/>
      <x:c r="AP240" s="43"/>
    </x:row>
    <x:row r="241" ht="15" hidden="0" customHeight="1">
      <x:c r="A241" s="36" t="str">
        <x:v>BU Led Waste Matrix!row 244</x:v>
      </x:c>
      <x:c r="B241" s="37" t="str">
        <x:v>Automated Planning Solution</x:v>
      </x:c>
      <x:c r="C241" s="36" t="str">
        <x:v>Image Guided Therapy - Devices (IGT-D)</x:v>
      </x:c>
      <x:c r="D241" s="36"/>
      <x:c r="E241" s="36" t="str"/>
      <x:c r="F241" s="36" t="str"/>
      <x:c r="G241" s="36" t="str"/>
      <x:c r="H241" s="36" t="str"/>
      <x:c r="I241" s="36" t="str"/>
      <x:c r="J241" s="36" t="str"/>
      <x:c r="K241" s="36"/>
      <x:c r="L241" s="36" t="str"/>
      <x:c r="M241" s="36" t="str"/>
      <x:c r="N241" s="36" t="str"/>
      <x:c r="O241" s="43"/>
      <x:c r="P241" s="43"/>
      <x:c r="Q241" s="43"/>
      <x:c r="R241" s="43"/>
      <x:c r="S241" s="43"/>
      <x:c r="T241" s="43"/>
      <x:c r="U241" s="43"/>
      <x:c r="V241" s="43"/>
      <x:c r="W241" s="43"/>
      <x:c r="X241" s="43"/>
      <x:c r="Y241" s="43"/>
      <x:c r="Z241" s="43"/>
      <x:c r="AA241" s="43"/>
      <x:c r="AB241" s="43"/>
      <x:c r="AC241" s="43"/>
      <x:c r="AD241" s="43"/>
      <x:c r="AE241" s="43"/>
      <x:c r="AF241" s="43"/>
      <x:c r="AG241" s="43"/>
      <x:c r="AH241" s="43"/>
      <x:c r="AI241" s="43"/>
      <x:c r="AJ241" s="43"/>
      <x:c r="AK241" s="43"/>
      <x:c r="AL241" s="43"/>
      <x:c r="AM241" s="43"/>
      <x:c r="AN241" s="43"/>
      <x:c r="AO241" s="43"/>
      <x:c r="AP241" s="43"/>
    </x:row>
    <x:row r="242" ht="15" hidden="0" customHeight="1">
      <x:c r="A242" s="36" t="str">
        <x:v>BU Led Waste Matrix!row 245</x:v>
      </x:c>
      <x:c r="B242" s="37" t="str">
        <x:v>WMS for (Factory) Warehouses</x:v>
      </x:c>
      <x:c r="C242" s="36" t="str">
        <x:v>Image Guided Therapy - Devices (IGT-D)</x:v>
      </x:c>
      <x:c r="D242" s="36"/>
      <x:c r="E242" s="36" t="str"/>
      <x:c r="F242" s="36" t="str"/>
      <x:c r="G242" s="36" t="str"/>
      <x:c r="H242" s="36" t="str"/>
      <x:c r="I242" s="36" t="str"/>
      <x:c r="J242" s="36" t="str"/>
      <x:c r="K242" s="36"/>
      <x:c r="L242" s="36" t="str"/>
      <x:c r="M242" s="36" t="str"/>
      <x:c r="N242" s="36" t="str"/>
      <x:c r="O242" s="43"/>
      <x:c r="P242" s="43"/>
      <x:c r="Q242" s="43"/>
      <x:c r="R242" s="43"/>
      <x:c r="S242" s="43"/>
      <x:c r="T242" s="43"/>
      <x:c r="U242" s="43"/>
      <x:c r="V242" s="43"/>
      <x:c r="W242" s="43"/>
      <x:c r="X242" s="43"/>
      <x:c r="Y242" s="43"/>
      <x:c r="Z242" s="43"/>
      <x:c r="AA242" s="43"/>
      <x:c r="AB242" s="43"/>
      <x:c r="AC242" s="43"/>
      <x:c r="AD242" s="43"/>
      <x:c r="AE242" s="43"/>
      <x:c r="AF242" s="43"/>
      <x:c r="AG242" s="43"/>
      <x:c r="AH242" s="43"/>
      <x:c r="AI242" s="43"/>
      <x:c r="AJ242" s="43"/>
      <x:c r="AK242" s="43"/>
      <x:c r="AL242" s="43"/>
      <x:c r="AM242" s="43"/>
      <x:c r="AN242" s="43"/>
      <x:c r="AO242" s="43"/>
      <x:c r="AP242" s="43"/>
    </x:row>
    <x:row r="243" ht="15" hidden="0" customHeight="1">
      <x:c r="A243" s="36" t="str">
        <x:v>BU Led Waste Matrix!row 246</x:v>
      </x:c>
      <x:c r="B243" s="37" t="str">
        <x:v>Optimize Distribution Network North America</x:v>
      </x:c>
      <x:c r="C243" s="36" t="str">
        <x:v>Image Guided Therapy - Devices (IGT-D)</x:v>
      </x:c>
      <x:c r="D243" s="36"/>
      <x:c r="E243" s="36" t="str"/>
      <x:c r="F243" s="36" t="str"/>
      <x:c r="G243" s="36" t="str"/>
      <x:c r="H243" s="36" t="str"/>
      <x:c r="I243" s="36" t="str"/>
      <x:c r="J243" s="36" t="str"/>
      <x:c r="K243" s="36"/>
      <x:c r="L243" s="36" t="str"/>
      <x:c r="M243" s="36" t="str"/>
      <x:c r="N243" s="36" t="str"/>
      <x:c r="O243" s="43"/>
      <x:c r="P243" s="43"/>
      <x:c r="Q243" s="43"/>
      <x:c r="R243" s="43"/>
      <x:c r="S243" s="43"/>
      <x:c r="T243" s="43"/>
      <x:c r="U243" s="43"/>
      <x:c r="V243" s="43"/>
      <x:c r="W243" s="43"/>
      <x:c r="X243" s="43"/>
      <x:c r="Y243" s="43"/>
      <x:c r="Z243" s="43"/>
      <x:c r="AA243" s="43"/>
      <x:c r="AB243" s="43"/>
      <x:c r="AC243" s="43"/>
      <x:c r="AD243" s="43"/>
      <x:c r="AE243" s="43"/>
      <x:c r="AF243" s="43"/>
      <x:c r="AG243" s="43"/>
      <x:c r="AH243" s="43"/>
      <x:c r="AI243" s="43"/>
      <x:c r="AJ243" s="43"/>
      <x:c r="AK243" s="43"/>
      <x:c r="AL243" s="43"/>
      <x:c r="AM243" s="43"/>
      <x:c r="AN243" s="43"/>
      <x:c r="AO243" s="43"/>
      <x:c r="AP243" s="43"/>
    </x:row>
    <x:row r="244" ht="15" hidden="0" customHeight="1">
      <x:c r="A244" s="36" t="str">
        <x:v>BU Led Waste Matrix!row 247</x:v>
      </x:c>
      <x:c r="B244" s="37" t="str">
        <x:v>Converting incoming inspection from Infinity to SAP/MBP in COS</x:v>
      </x:c>
      <x:c r="C244" s="36" t="str">
        <x:v>Image Guided Therapy - Devices (IGT-D)</x:v>
      </x:c>
      <x:c r="D244" s="36"/>
      <x:c r="E244" s="36" t="str"/>
      <x:c r="F244" s="36" t="str"/>
      <x:c r="G244" s="36" t="str"/>
      <x:c r="H244" s="36" t="str"/>
      <x:c r="I244" s="36" t="str"/>
      <x:c r="J244" s="36" t="str"/>
      <x:c r="K244" s="36"/>
      <x:c r="L244" s="36" t="str"/>
      <x:c r="M244" s="36" t="str"/>
      <x:c r="N244" s="36" t="str"/>
      <x:c r="O244" s="43"/>
      <x:c r="P244" s="43"/>
      <x:c r="Q244" s="43"/>
      <x:c r="R244" s="43"/>
      <x:c r="S244" s="43"/>
      <x:c r="T244" s="43"/>
      <x:c r="U244" s="43"/>
      <x:c r="V244" s="43"/>
      <x:c r="W244" s="43"/>
      <x:c r="X244" s="43"/>
      <x:c r="Y244" s="43"/>
      <x:c r="Z244" s="43"/>
      <x:c r="AA244" s="43"/>
      <x:c r="AB244" s="43"/>
      <x:c r="AC244" s="43"/>
      <x:c r="AD244" s="43"/>
      <x:c r="AE244" s="43"/>
      <x:c r="AF244" s="43"/>
      <x:c r="AG244" s="43"/>
      <x:c r="AH244" s="43"/>
      <x:c r="AI244" s="43"/>
      <x:c r="AJ244" s="43"/>
      <x:c r="AK244" s="43"/>
      <x:c r="AL244" s="43"/>
      <x:c r="AM244" s="43"/>
      <x:c r="AN244" s="43"/>
      <x:c r="AO244" s="43"/>
      <x:c r="AP244" s="43"/>
    </x:row>
    <x:row r="245" ht="15" hidden="0" customHeight="1">
      <x:c r="A245" s="36" t="str">
        <x:v>BU Led Waste Matrix!row 248</x:v>
      </x:c>
      <x:c r="B245" s="37" t="str">
        <x:v>Rotterdam - Codebeamer</x:v>
      </x:c>
      <x:c r="C245" s="36" t="str">
        <x:v>Image Guided Therapy - Devices (IGT-D)</x:v>
      </x:c>
      <x:c r="D245" s="36"/>
      <x:c r="E245" s="36" t="str"/>
      <x:c r="F245" s="36" t="str"/>
      <x:c r="G245" s="36" t="str"/>
      <x:c r="H245" s="36" t="str"/>
      <x:c r="I245" s="36" t="str"/>
      <x:c r="J245" s="36" t="str"/>
      <x:c r="K245" s="36"/>
      <x:c r="L245" s="36" t="str"/>
      <x:c r="M245" s="36" t="str"/>
      <x:c r="N245" s="36" t="str"/>
      <x:c r="O245" s="43"/>
      <x:c r="P245" s="43"/>
      <x:c r="Q245" s="43"/>
      <x:c r="R245" s="43"/>
      <x:c r="S245" s="43"/>
      <x:c r="T245" s="43"/>
      <x:c r="U245" s="43"/>
      <x:c r="V245" s="43"/>
      <x:c r="W245" s="43"/>
      <x:c r="X245" s="43"/>
      <x:c r="Y245" s="43"/>
      <x:c r="Z245" s="43"/>
      <x:c r="AA245" s="43"/>
      <x:c r="AB245" s="43"/>
      <x:c r="AC245" s="43"/>
      <x:c r="AD245" s="43"/>
      <x:c r="AE245" s="43"/>
      <x:c r="AF245" s="43"/>
      <x:c r="AG245" s="43"/>
      <x:c r="AH245" s="43"/>
      <x:c r="AI245" s="43"/>
      <x:c r="AJ245" s="43"/>
      <x:c r="AK245" s="43"/>
      <x:c r="AL245" s="43"/>
      <x:c r="AM245" s="43"/>
      <x:c r="AN245" s="43"/>
      <x:c r="AO245" s="43"/>
      <x:c r="AP245" s="43"/>
    </x:row>
    <x:row r="246" ht="15" hidden="0" customHeight="1">
      <x:c r="A246" s="36" t="str">
        <x:v>BU Led Waste Matrix!row 249</x:v>
      </x:c>
      <x:c r="B246" s="37" t="str">
        <x:v> Codebeamer Onboarding</x:v>
      </x:c>
      <x:c r="C246" s="36" t="str">
        <x:v>Ambulatory Monitoring and Diagnostics (AM&amp;D)</x:v>
      </x:c>
      <x:c r="D246" s="36"/>
      <x:c r="E246" s="36" t="str"/>
      <x:c r="F246" s="36" t="str"/>
      <x:c r="G246" s="36" t="str"/>
      <x:c r="H246" s="36" t="str"/>
      <x:c r="I246" s="36" t="str"/>
      <x:c r="J246" s="36" t="str"/>
      <x:c r="K246" s="36"/>
      <x:c r="L246" s="36" t="str"/>
      <x:c r="M246" s="36" t="str"/>
      <x:c r="N246" s="36" t="str"/>
      <x:c r="O246" s="43"/>
      <x:c r="P246" s="43"/>
      <x:c r="Q246" s="43"/>
      <x:c r="R246" s="43"/>
      <x:c r="S246" s="43"/>
      <x:c r="T246" s="43"/>
      <x:c r="U246" s="43"/>
      <x:c r="V246" s="43"/>
      <x:c r="W246" s="43"/>
      <x:c r="X246" s="43"/>
      <x:c r="Y246" s="43"/>
      <x:c r="Z246" s="43"/>
      <x:c r="AA246" s="43"/>
      <x:c r="AB246" s="43"/>
      <x:c r="AC246" s="43"/>
      <x:c r="AD246" s="43"/>
      <x:c r="AE246" s="43"/>
      <x:c r="AF246" s="43"/>
      <x:c r="AG246" s="43"/>
      <x:c r="AH246" s="43"/>
      <x:c r="AI246" s="43"/>
      <x:c r="AJ246" s="43"/>
      <x:c r="AK246" s="43"/>
      <x:c r="AL246" s="43"/>
      <x:c r="AM246" s="43"/>
      <x:c r="AN246" s="43"/>
      <x:c r="AO246" s="43"/>
      <x:c r="AP246" s="43"/>
    </x:row>
    <x:row r="247" ht="15" hidden="0" customHeight="1">
      <x:c r="A247" s="36" t="str">
        <x:v>BU Led Waste Matrix!row 250</x:v>
      </x:c>
      <x:c r="B247" s="37" t="str">
        <x:v> Windchill customization/integration to support automation</x:v>
      </x:c>
      <x:c r="C247" s="36" t="str">
        <x:v>Ambulatory Monitoring and Diagnostics (AM&amp;D)</x:v>
      </x:c>
      <x:c r="D247" s="36"/>
      <x:c r="E247" s="36" t="str"/>
      <x:c r="F247" s="36" t="str"/>
      <x:c r="G247" s="36" t="str"/>
      <x:c r="H247" s="36" t="str"/>
      <x:c r="I247" s="36" t="str"/>
      <x:c r="J247" s="36" t="str"/>
      <x:c r="K247" s="36"/>
      <x:c r="L247" s="36" t="str"/>
      <x:c r="M247" s="36" t="str"/>
      <x:c r="N247" s="36" t="str"/>
      <x:c r="O247" s="43"/>
      <x:c r="P247" s="43"/>
      <x:c r="Q247" s="43"/>
      <x:c r="R247" s="43"/>
      <x:c r="S247" s="43"/>
      <x:c r="T247" s="43"/>
      <x:c r="U247" s="43"/>
      <x:c r="V247" s="43"/>
      <x:c r="W247" s="43"/>
      <x:c r="X247" s="43"/>
      <x:c r="Y247" s="43"/>
      <x:c r="Z247" s="43"/>
      <x:c r="AA247" s="43"/>
      <x:c r="AB247" s="43"/>
      <x:c r="AC247" s="43"/>
      <x:c r="AD247" s="43"/>
      <x:c r="AE247" s="43"/>
      <x:c r="AF247" s="43"/>
      <x:c r="AG247" s="43"/>
      <x:c r="AH247" s="43"/>
      <x:c r="AI247" s="43"/>
      <x:c r="AJ247" s="43"/>
      <x:c r="AK247" s="43"/>
      <x:c r="AL247" s="43"/>
      <x:c r="AM247" s="43"/>
      <x:c r="AN247" s="43"/>
      <x:c r="AO247" s="43"/>
      <x:c r="AP247" s="43"/>
    </x:row>
    <x:row r="248" ht="15" hidden="0" customHeight="1">
      <x:c r="A248" s="36" t="str">
        <x:v>BU Led Waste Matrix!row 251</x:v>
      </x:c>
      <x:c r="B248" s="37" t="str">
        <x:v> Advanced resource and capacity management (PARP) Onboarding / Adoption</x:v>
      </x:c>
      <x:c r="C248" s="36" t="str">
        <x:v>Ambulatory Monitoring and Diagnostics (AM&amp;D)</x:v>
      </x:c>
      <x:c r="D248" s="36"/>
      <x:c r="E248" s="36" t="str"/>
      <x:c r="F248" s="36" t="str"/>
      <x:c r="G248" s="36" t="str"/>
      <x:c r="H248" s="36" t="str"/>
      <x:c r="I248" s="36" t="str"/>
      <x:c r="J248" s="36" t="str"/>
      <x:c r="K248" s="36"/>
      <x:c r="L248" s="36" t="str"/>
      <x:c r="M248" s="36" t="str"/>
      <x:c r="N248" s="36" t="str"/>
      <x:c r="O248" s="43"/>
      <x:c r="P248" s="43"/>
      <x:c r="Q248" s="43"/>
      <x:c r="R248" s="43"/>
      <x:c r="S248" s="43"/>
      <x:c r="T248" s="43"/>
      <x:c r="U248" s="43"/>
      <x:c r="V248" s="43"/>
      <x:c r="W248" s="43"/>
      <x:c r="X248" s="43"/>
      <x:c r="Y248" s="43"/>
      <x:c r="Z248" s="43"/>
      <x:c r="AA248" s="43"/>
      <x:c r="AB248" s="43"/>
      <x:c r="AC248" s="43"/>
      <x:c r="AD248" s="43"/>
      <x:c r="AE248" s="43"/>
      <x:c r="AF248" s="43"/>
      <x:c r="AG248" s="43"/>
      <x:c r="AH248" s="43"/>
      <x:c r="AI248" s="43"/>
      <x:c r="AJ248" s="43"/>
      <x:c r="AK248" s="43"/>
      <x:c r="AL248" s="43"/>
      <x:c r="AM248" s="43"/>
      <x:c r="AN248" s="43"/>
      <x:c r="AO248" s="43"/>
      <x:c r="AP248" s="43"/>
    </x:row>
    <x:row r="249" ht="15" hidden="0" customHeight="1">
      <x:c r="A249" s="36" t="str">
        <x:v>BU Led Waste Matrix!row 252</x:v>
      </x:c>
      <x:c r="B249" s="37" t="str">
        <x:v>CEC Nexus maintence</x:v>
      </x:c>
      <x:c r="C249" s="36" t="str">
        <x:v>CoE Marketing – HS (former DMEC)​</x:v>
      </x:c>
      <x:c r="D249" s="36"/>
      <x:c r="E249" s="36" t="str"/>
      <x:c r="F249" s="36" t="str"/>
      <x:c r="G249" s="36" t="str"/>
      <x:c r="H249" s="36" t="str"/>
      <x:c r="I249" s="36" t="str"/>
      <x:c r="J249" s="36" t="str"/>
      <x:c r="K249" s="36"/>
      <x:c r="L249" s="36" t="str"/>
      <x:c r="M249" s="36" t="str"/>
      <x:c r="N249" s="36" t="str"/>
      <x:c r="O249" s="43"/>
      <x:c r="P249" s="43"/>
      <x:c r="Q249" s="43"/>
      <x:c r="R249" s="43"/>
      <x:c r="S249" s="43"/>
      <x:c r="T249" s="43"/>
      <x:c r="U249" s="43"/>
      <x:c r="V249" s="43"/>
      <x:c r="W249" s="43"/>
      <x:c r="X249" s="43"/>
      <x:c r="Y249" s="43"/>
      <x:c r="Z249" s="43"/>
      <x:c r="AA249" s="43"/>
      <x:c r="AB249" s="43"/>
      <x:c r="AC249" s="43"/>
      <x:c r="AD249" s="43"/>
      <x:c r="AE249" s="43"/>
      <x:c r="AF249" s="43"/>
      <x:c r="AG249" s="43"/>
      <x:c r="AH249" s="43"/>
      <x:c r="AI249" s="43"/>
      <x:c r="AJ249" s="43"/>
      <x:c r="AK249" s="43"/>
      <x:c r="AL249" s="43"/>
      <x:c r="AM249" s="43"/>
      <x:c r="AN249" s="43"/>
      <x:c r="AO249" s="43"/>
      <x:c r="AP249" s="43"/>
    </x:row>
    <x:row r="250" ht="15" hidden="0" customHeight="1">
      <x:c r="A250" s="36" t="str">
        <x:v>BU Led Waste Matrix!row 253</x:v>
      </x:c>
      <x:c r="B250" s="37" t="str">
        <x:v>CDP connectors </x:v>
      </x:c>
      <x:c r="C250" s="36" t="str">
        <x:v>CoE Marketing – HS (former DMEC)​</x:v>
      </x:c>
      <x:c r="D250" s="36"/>
      <x:c r="E250" s="36" t="str"/>
      <x:c r="F250" s="36" t="str"/>
      <x:c r="G250" s="36" t="str"/>
      <x:c r="H250" s="36" t="str"/>
      <x:c r="I250" s="36" t="str"/>
      <x:c r="J250" s="36" t="str"/>
      <x:c r="K250" s="36"/>
      <x:c r="L250" s="36" t="str"/>
      <x:c r="M250" s="36" t="str"/>
      <x:c r="N250" s="36" t="str"/>
      <x:c r="O250" s="43"/>
      <x:c r="P250" s="43"/>
      <x:c r="Q250" s="43"/>
      <x:c r="R250" s="43"/>
      <x:c r="S250" s="43"/>
      <x:c r="T250" s="43"/>
      <x:c r="U250" s="43"/>
      <x:c r="V250" s="43"/>
      <x:c r="W250" s="43"/>
      <x:c r="X250" s="43"/>
      <x:c r="Y250" s="43"/>
      <x:c r="Z250" s="43"/>
      <x:c r="AA250" s="43"/>
      <x:c r="AB250" s="43"/>
      <x:c r="AC250" s="43"/>
      <x:c r="AD250" s="43"/>
      <x:c r="AE250" s="43"/>
      <x:c r="AF250" s="43"/>
      <x:c r="AG250" s="43"/>
      <x:c r="AH250" s="43"/>
      <x:c r="AI250" s="43"/>
      <x:c r="AJ250" s="43"/>
      <x:c r="AK250" s="43"/>
      <x:c r="AL250" s="43"/>
      <x:c r="AM250" s="43"/>
      <x:c r="AN250" s="43"/>
      <x:c r="AO250" s="43"/>
      <x:c r="AP250" s="43"/>
    </x:row>
    <x:row r="251" ht="15" hidden="0" customHeight="1">
      <x:c r="A251" s="36" t="str">
        <x:v>BU Led Waste Matrix!row 254</x:v>
      </x:c>
      <x:c r="B251" s="37" t="str">
        <x:v>Pricing System  new</x:v>
      </x:c>
      <x:c r="C251" s="36" t="str">
        <x:v>CoE Marketing – HS (former DMEC)​</x:v>
      </x:c>
      <x:c r="D251" s="36"/>
      <x:c r="E251" s="36" t="str"/>
      <x:c r="F251" s="36" t="str"/>
      <x:c r="G251" s="36" t="str"/>
      <x:c r="H251" s="36" t="str"/>
      <x:c r="I251" s="36" t="str"/>
      <x:c r="J251" s="36" t="str"/>
      <x:c r="K251" s="36"/>
      <x:c r="L251" s="36" t="str"/>
      <x:c r="M251" s="36" t="str"/>
      <x:c r="N251" s="36" t="str"/>
      <x:c r="O251" s="43"/>
      <x:c r="P251" s="43"/>
      <x:c r="Q251" s="43"/>
      <x:c r="R251" s="43"/>
      <x:c r="S251" s="43"/>
      <x:c r="T251" s="43"/>
      <x:c r="U251" s="43"/>
      <x:c r="V251" s="43"/>
      <x:c r="W251" s="43"/>
      <x:c r="X251" s="43"/>
      <x:c r="Y251" s="43"/>
      <x:c r="Z251" s="43"/>
      <x:c r="AA251" s="43"/>
      <x:c r="AB251" s="43"/>
      <x:c r="AC251" s="43"/>
      <x:c r="AD251" s="43"/>
      <x:c r="AE251" s="43"/>
      <x:c r="AF251" s="43"/>
      <x:c r="AG251" s="43"/>
      <x:c r="AH251" s="43"/>
      <x:c r="AI251" s="43"/>
      <x:c r="AJ251" s="43"/>
      <x:c r="AK251" s="43"/>
      <x:c r="AL251" s="43"/>
      <x:c r="AM251" s="43"/>
      <x:c r="AN251" s="43"/>
      <x:c r="AO251" s="43"/>
      <x:c r="AP251" s="43"/>
    </x:row>
    <x:row r="252" ht="15" hidden="0" customHeight="1">
      <x:c r="A252" s="36" t="str">
        <x:v>BU Led Waste Matrix!row 255</x:v>
      </x:c>
      <x:c r="B252" s="37" t="str">
        <x:v>Pricing maintence</x:v>
      </x:c>
      <x:c r="C252" s="36" t="str">
        <x:v>CoE Marketing – HS (former DMEC)​</x:v>
      </x:c>
      <x:c r="D252" s="36"/>
      <x:c r="E252" s="36" t="str"/>
      <x:c r="F252" s="36" t="str"/>
      <x:c r="G252" s="36" t="str"/>
      <x:c r="H252" s="36" t="str"/>
      <x:c r="I252" s="36" t="str"/>
      <x:c r="J252" s="36" t="str"/>
      <x:c r="K252" s="36"/>
      <x:c r="L252" s="36" t="str"/>
      <x:c r="M252" s="36" t="str"/>
      <x:c r="N252" s="36" t="str"/>
      <x:c r="O252" s="43"/>
      <x:c r="P252" s="43"/>
      <x:c r="Q252" s="43"/>
      <x:c r="R252" s="43"/>
      <x:c r="S252" s="43"/>
      <x:c r="T252" s="43"/>
      <x:c r="U252" s="43"/>
      <x:c r="V252" s="43"/>
      <x:c r="W252" s="43"/>
      <x:c r="X252" s="43"/>
      <x:c r="Y252" s="43"/>
      <x:c r="Z252" s="43"/>
      <x:c r="AA252" s="43"/>
      <x:c r="AB252" s="43"/>
      <x:c r="AC252" s="43"/>
      <x:c r="AD252" s="43"/>
      <x:c r="AE252" s="43"/>
      <x:c r="AF252" s="43"/>
      <x:c r="AG252" s="43"/>
      <x:c r="AH252" s="43"/>
      <x:c r="AI252" s="43"/>
      <x:c r="AJ252" s="43"/>
      <x:c r="AK252" s="43"/>
      <x:c r="AL252" s="43"/>
      <x:c r="AM252" s="43"/>
      <x:c r="AN252" s="43"/>
      <x:c r="AO252" s="43"/>
      <x:c r="AP252" s="43"/>
    </x:row>
    <x:row r="253" ht="15" hidden="0" customHeight="1">
      <x:c r="A253" s="36" t="str">
        <x:v>BU Led Waste Matrix!row 256</x:v>
      </x:c>
      <x:c r="B253" s="37" t="str">
        <x:v>PAL/PPL enhancements</x:v>
      </x:c>
      <x:c r="C253" s="36" t="str">
        <x:v>CoE Marketing – HS (former DMEC)​</x:v>
      </x:c>
      <x:c r="D253" s="36"/>
      <x:c r="E253" s="36" t="str"/>
      <x:c r="F253" s="36" t="str"/>
      <x:c r="G253" s="36" t="str"/>
      <x:c r="H253" s="36" t="str"/>
      <x:c r="I253" s="36" t="str"/>
      <x:c r="J253" s="36" t="str"/>
      <x:c r="K253" s="36"/>
      <x:c r="L253" s="36" t="str"/>
      <x:c r="M253" s="36" t="str"/>
      <x:c r="N253" s="36" t="str"/>
      <x:c r="O253" s="43"/>
      <x:c r="P253" s="43"/>
      <x:c r="Q253" s="43"/>
      <x:c r="R253" s="43"/>
      <x:c r="S253" s="43"/>
      <x:c r="T253" s="43"/>
      <x:c r="U253" s="43"/>
      <x:c r="V253" s="43"/>
      <x:c r="W253" s="43"/>
      <x:c r="X253" s="43"/>
      <x:c r="Y253" s="43"/>
      <x:c r="Z253" s="43"/>
      <x:c r="AA253" s="43"/>
      <x:c r="AB253" s="43"/>
      <x:c r="AC253" s="43"/>
      <x:c r="AD253" s="43"/>
      <x:c r="AE253" s="43"/>
      <x:c r="AF253" s="43"/>
      <x:c r="AG253" s="43"/>
      <x:c r="AH253" s="43"/>
      <x:c r="AI253" s="43"/>
      <x:c r="AJ253" s="43"/>
      <x:c r="AK253" s="43"/>
      <x:c r="AL253" s="43"/>
      <x:c r="AM253" s="43"/>
      <x:c r="AN253" s="43"/>
      <x:c r="AO253" s="43"/>
      <x:c r="AP253" s="43"/>
    </x:row>
    <x:row r="254" ht="15" hidden="0" customHeight="1">
      <x:c r="A254" s="36" t="str">
        <x:v>BU Led Waste Matrix!row 257</x:v>
      </x:c>
      <x:c r="B254" s="37" t="str">
        <x:v>Web - Contentful features backlog (GEO, Compliance, Fixes, etc.) </x:v>
      </x:c>
      <x:c r="C254" s="36" t="str">
        <x:v>CoE Marketing – HS (former DMEC)​</x:v>
      </x:c>
      <x:c r="D254" s="36"/>
      <x:c r="E254" s="36" t="str"/>
      <x:c r="F254" s="36" t="str"/>
      <x:c r="G254" s="36" t="str"/>
      <x:c r="H254" s="36" t="str"/>
      <x:c r="I254" s="36" t="str"/>
      <x:c r="J254" s="36" t="str"/>
      <x:c r="K254" s="36"/>
      <x:c r="L254" s="36" t="str"/>
      <x:c r="M254" s="36" t="str"/>
      <x:c r="N254" s="36" t="str"/>
      <x:c r="O254" s="43"/>
      <x:c r="P254" s="43"/>
      <x:c r="Q254" s="43"/>
      <x:c r="R254" s="43"/>
      <x:c r="S254" s="43"/>
      <x:c r="T254" s="43"/>
      <x:c r="U254" s="43"/>
      <x:c r="V254" s="43"/>
      <x:c r="W254" s="43"/>
      <x:c r="X254" s="43"/>
      <x:c r="Y254" s="43"/>
      <x:c r="Z254" s="43"/>
      <x:c r="AA254" s="43"/>
      <x:c r="AB254" s="43"/>
      <x:c r="AC254" s="43"/>
      <x:c r="AD254" s="43"/>
      <x:c r="AE254" s="43"/>
      <x:c r="AF254" s="43"/>
      <x:c r="AG254" s="43"/>
      <x:c r="AH254" s="43"/>
      <x:c r="AI254" s="43"/>
      <x:c r="AJ254" s="43"/>
      <x:c r="AK254" s="43"/>
      <x:c r="AL254" s="43"/>
      <x:c r="AM254" s="43"/>
      <x:c r="AN254" s="43"/>
      <x:c r="AO254" s="43"/>
      <x:c r="AP254" s="43"/>
    </x:row>
    <x:row r="255" ht="15" hidden="0" customHeight="1">
      <x:c r="A255" s="36" t="str">
        <x:v>BU Led Waste Matrix!row 258</x:v>
      </x:c>
      <x:c r="B255" s="37" t="str">
        <x:v>Web - Personalization &amp; orchestration to leverage CDP </x:v>
      </x:c>
      <x:c r="C255" s="36" t="str">
        <x:v>CoE Marketing – HS (former DMEC)​</x:v>
      </x:c>
      <x:c r="D255" s="36"/>
      <x:c r="E255" s="36" t="str"/>
      <x:c r="F255" s="36" t="str"/>
      <x:c r="G255" s="36" t="str"/>
      <x:c r="H255" s="36" t="str"/>
      <x:c r="I255" s="36" t="str"/>
      <x:c r="J255" s="36" t="str"/>
      <x:c r="K255" s="36"/>
      <x:c r="L255" s="36" t="str"/>
      <x:c r="M255" s="36" t="str"/>
      <x:c r="N255" s="36" t="str"/>
      <x:c r="O255" s="43"/>
      <x:c r="P255" s="43"/>
      <x:c r="Q255" s="43"/>
      <x:c r="R255" s="43"/>
      <x:c r="S255" s="43"/>
      <x:c r="T255" s="43"/>
      <x:c r="U255" s="43"/>
      <x:c r="V255" s="43"/>
      <x:c r="W255" s="43"/>
      <x:c r="X255" s="43"/>
      <x:c r="Y255" s="43"/>
      <x:c r="Z255" s="43"/>
      <x:c r="AA255" s="43"/>
      <x:c r="AB255" s="43"/>
      <x:c r="AC255" s="43"/>
      <x:c r="AD255" s="43"/>
      <x:c r="AE255" s="43"/>
      <x:c r="AF255" s="43"/>
      <x:c r="AG255" s="43"/>
      <x:c r="AH255" s="43"/>
      <x:c r="AI255" s="43"/>
      <x:c r="AJ255" s="43"/>
      <x:c r="AK255" s="43"/>
      <x:c r="AL255" s="43"/>
      <x:c r="AM255" s="43"/>
      <x:c r="AN255" s="43"/>
      <x:c r="AO255" s="43"/>
      <x:c r="AP255" s="43"/>
    </x:row>
    <x:row r="256" ht="24" hidden="0" customHeight="1">
      <x:c r="A256" s="36" t="str">
        <x:v>BU Led Waste Matrix!row 259</x:v>
      </x:c>
      <x:c r="B256" s="37" t="str">
        <x:v>Nurture &amp; Campaign Enhancements (AI data enrichment, API connectors, customer match) </x:v>
      </x:c>
      <x:c r="C256" s="36" t="str">
        <x:v>CoE Marketing – HS (former DMEC)​</x:v>
      </x:c>
      <x:c r="D256" s="36"/>
      <x:c r="E256" s="36" t="str"/>
      <x:c r="F256" s="36" t="str"/>
      <x:c r="G256" s="36" t="str"/>
      <x:c r="H256" s="36" t="str"/>
      <x:c r="I256" s="36" t="str"/>
      <x:c r="J256" s="36" t="str"/>
      <x:c r="K256" s="36"/>
      <x:c r="L256" s="36" t="str"/>
      <x:c r="M256" s="36" t="str"/>
      <x:c r="N256" s="36" t="str"/>
      <x:c r="O256" s="43"/>
      <x:c r="P256" s="43"/>
      <x:c r="Q256" s="43"/>
      <x:c r="R256" s="43"/>
      <x:c r="S256" s="43"/>
      <x:c r="T256" s="43"/>
      <x:c r="U256" s="43"/>
      <x:c r="V256" s="43"/>
      <x:c r="W256" s="43"/>
      <x:c r="X256" s="43"/>
      <x:c r="Y256" s="43"/>
      <x:c r="Z256" s="43"/>
      <x:c r="AA256" s="43"/>
      <x:c r="AB256" s="43"/>
      <x:c r="AC256" s="43"/>
      <x:c r="AD256" s="43"/>
      <x:c r="AE256" s="43"/>
      <x:c r="AF256" s="43"/>
      <x:c r="AG256" s="43"/>
      <x:c r="AH256" s="43"/>
      <x:c r="AI256" s="43"/>
      <x:c r="AJ256" s="43"/>
      <x:c r="AK256" s="43"/>
      <x:c r="AL256" s="43"/>
      <x:c r="AM256" s="43"/>
      <x:c r="AN256" s="43"/>
      <x:c r="AO256" s="43"/>
      <x:c r="AP256" s="43"/>
    </x:row>
    <x:row r="257" ht="24" hidden="0" customHeight="1">
      <x:c r="A257" s="36" t="str">
        <x:v>BU Led Waste Matrix!row 260</x:v>
      </x:c>
      <x:c r="B257" s="37" t="str">
        <x:v>Hybris Feature Enhancements (Service Parts Capabilities, AI powered commerce, etc) </x:v>
      </x:c>
      <x:c r="C257" s="36" t="str">
        <x:v>CoE Marketing – HS (former DMEC)​</x:v>
      </x:c>
      <x:c r="D257" s="36"/>
      <x:c r="E257" s="36" t="str"/>
      <x:c r="F257" s="36" t="str"/>
      <x:c r="G257" s="36" t="str"/>
      <x:c r="H257" s="36" t="str"/>
      <x:c r="I257" s="36" t="str"/>
      <x:c r="J257" s="36" t="str"/>
      <x:c r="K257" s="36"/>
      <x:c r="L257" s="36" t="str"/>
      <x:c r="M257" s="36" t="str"/>
      <x:c r="N257" s="36" t="str"/>
      <x:c r="O257" s="43"/>
      <x:c r="P257" s="43"/>
      <x:c r="Q257" s="43"/>
      <x:c r="R257" s="43"/>
      <x:c r="S257" s="43"/>
      <x:c r="T257" s="43"/>
      <x:c r="U257" s="43"/>
      <x:c r="V257" s="43"/>
      <x:c r="W257" s="43"/>
      <x:c r="X257" s="43"/>
      <x:c r="Y257" s="43"/>
      <x:c r="Z257" s="43"/>
      <x:c r="AA257" s="43"/>
      <x:c r="AB257" s="43"/>
      <x:c r="AC257" s="43"/>
      <x:c r="AD257" s="43"/>
      <x:c r="AE257" s="43"/>
      <x:c r="AF257" s="43"/>
      <x:c r="AG257" s="43"/>
      <x:c r="AH257" s="43"/>
      <x:c r="AI257" s="43"/>
      <x:c r="AJ257" s="43"/>
      <x:c r="AK257" s="43"/>
      <x:c r="AL257" s="43"/>
      <x:c r="AM257" s="43"/>
      <x:c r="AN257" s="43"/>
      <x:c r="AO257" s="43"/>
      <x:c r="AP257" s="43"/>
    </x:row>
    <x:row r="258" ht="15" hidden="0" customHeight="1">
      <x:c r="A258" s="36" t="str">
        <x:v>EW Waste Matrix!row 11</x:v>
      </x:c>
      <x:c r="B258" s="37" t="str">
        <x:v>RSL Automation</x:v>
      </x:c>
      <x:c r="C258" s="36" t="str">
        <x:v>SusTaining Engg. Team (STET - ISC)</x:v>
      </x:c>
      <x:c r="D258" s="36" t="n">
        <x:v>1.4</x:v>
      </x:c>
      <x:c r="E258" s="36" t="str">
        <x:v>HEALTHY</x:v>
      </x:c>
      <x:c r="F258" s="36" t="str"/>
      <x:c r="G258" s="36" t="str"/>
      <x:c r="H258" s="36" t="str"/>
      <x:c r="I258" s="36" t="str"/>
      <x:c r="J258" s="36" t="str"/>
      <x:c r="K258" s="36"/>
      <x:c r="L258" s="36" t="str"/>
      <x:c r="M258" s="36" t="str">
        <x:v>HEALTHY — Rank in priority matrix</x:v>
      </x:c>
      <x:c r="N258" s="36" t="str"/>
      <x:c r="O258" s="43"/>
      <x:c r="P258" s="43"/>
      <x:c r="Q258" s="43"/>
      <x:c r="R258" s="43"/>
      <x:c r="S258" s="43"/>
      <x:c r="T258" s="43"/>
      <x:c r="U258" s="43"/>
      <x:c r="V258" s="43"/>
      <x:c r="W258" s="43"/>
      <x:c r="X258" s="43"/>
      <x:c r="Y258" s="43"/>
      <x:c r="Z258" s="43"/>
      <x:c r="AA258" s="43"/>
      <x:c r="AB258" s="43"/>
      <x:c r="AC258" s="43"/>
      <x:c r="AD258" s="43"/>
      <x:c r="AE258" s="43"/>
      <x:c r="AF258" s="43"/>
      <x:c r="AG258" s="43"/>
      <x:c r="AH258" s="43"/>
      <x:c r="AI258" s="43"/>
      <x:c r="AJ258" s="43"/>
      <x:c r="AK258" s="43"/>
      <x:c r="AL258" s="43"/>
      <x:c r="AM258" s="43"/>
      <x:c r="AN258" s="43"/>
      <x:c r="AO258" s="43"/>
      <x:c r="AP258" s="43"/>
    </x:row>
    <x:row r="259" ht="15" hidden="0" customHeight="1">
      <x:c r="A259" s="36" t="str">
        <x:v>EW Waste Matrix!row 12</x:v>
      </x:c>
      <x:c r="B259" s="37" t="str">
        <x:v>D-Lit Automation</x:v>
      </x:c>
      <x:c r="C259" s="36" t="str">
        <x:v>SusTaining Engg. Team (STET - ISC)</x:v>
      </x:c>
      <x:c r="D259" s="36" t="n">
        <x:v>1.05</x:v>
      </x:c>
      <x:c r="E259" s="36" t="str">
        <x:v>HEALTHY</x:v>
      </x:c>
      <x:c r="F259" s="36" t="str"/>
      <x:c r="G259" s="36" t="str"/>
      <x:c r="H259" s="36" t="str"/>
      <x:c r="I259" s="36" t="str"/>
      <x:c r="J259" s="36" t="str"/>
      <x:c r="K259" s="36"/>
      <x:c r="L259" s="36" t="str"/>
      <x:c r="M259" s="36" t="str">
        <x:v>HEALTHY — Rank in priority matrix</x:v>
      </x:c>
      <x:c r="N259" s="36" t="str">
        <x:v>We are developing the D-Lit Automation tool, which consolidates data from systems such as Windchill, SAP, and SPS Dashboard to answer key engineering and business queries. To support compliance and Global Trade requirements, the tool needs access to approved DMR data.</x:v>
      </x:c>
      <x:c r="O259" s="43"/>
      <x:c r="P259" s="43"/>
      <x:c r="Q259" s="43"/>
      <x:c r="R259" s="43"/>
      <x:c r="S259" s="43"/>
      <x:c r="T259" s="43"/>
      <x:c r="U259" s="43"/>
      <x:c r="V259" s="43"/>
      <x:c r="W259" s="43"/>
      <x:c r="X259" s="43"/>
      <x:c r="Y259" s="43"/>
      <x:c r="Z259" s="43"/>
      <x:c r="AA259" s="43"/>
      <x:c r="AB259" s="43"/>
      <x:c r="AC259" s="43"/>
      <x:c r="AD259" s="43"/>
      <x:c r="AE259" s="43"/>
      <x:c r="AF259" s="43"/>
      <x:c r="AG259" s="43"/>
      <x:c r="AH259" s="43"/>
      <x:c r="AI259" s="43"/>
      <x:c r="AJ259" s="43"/>
      <x:c r="AK259" s="43"/>
      <x:c r="AL259" s="43"/>
      <x:c r="AM259" s="43"/>
      <x:c r="AN259" s="43"/>
      <x:c r="AO259" s="43"/>
      <x:c r="AP259" s="43"/>
    </x:row>
    <x:row r="260" ht="15" hidden="0" customHeight="1">
      <x:c r="A260" s="36" t="str">
        <x:v>EW Waste Matrix!row 15</x:v>
      </x:c>
      <x:c r="B260" s="37" t="str">
        <x:v>LCA Automation</x:v>
      </x:c>
      <x:c r="C260" s="36" t="str">
        <x:v>SusTaining Engg. Team (STET - ISC)</x:v>
      </x:c>
      <x:c r="D260" s="36" t="n">
        <x:v>1.25</x:v>
      </x:c>
      <x:c r="E260" s="36" t="str">
        <x:v>HEALTHY</x:v>
      </x:c>
      <x:c r="F260" s="36" t="str"/>
      <x:c r="G260" s="36" t="str"/>
      <x:c r="H260" s="36" t="str"/>
      <x:c r="I260" s="36" t="str"/>
      <x:c r="J260" s="36" t="str"/>
      <x:c r="K260" s="36"/>
      <x:c r="L260" s="36" t="str"/>
      <x:c r="M260" s="36" t="str">
        <x:v>HEALTHY — Rank in priority matrix</x:v>
      </x:c>
      <x:c r="N260" s="36" t="str"/>
      <x:c r="O260" s="43"/>
      <x:c r="P260" s="43"/>
      <x:c r="Q260" s="43"/>
      <x:c r="R260" s="43"/>
      <x:c r="S260" s="43"/>
      <x:c r="T260" s="43"/>
      <x:c r="U260" s="43"/>
      <x:c r="V260" s="43"/>
      <x:c r="W260" s="43"/>
      <x:c r="X260" s="43"/>
      <x:c r="Y260" s="43"/>
      <x:c r="Z260" s="43"/>
      <x:c r="AA260" s="43"/>
      <x:c r="AB260" s="43"/>
      <x:c r="AC260" s="43"/>
      <x:c r="AD260" s="43"/>
      <x:c r="AE260" s="43"/>
      <x:c r="AF260" s="43"/>
      <x:c r="AG260" s="43"/>
      <x:c r="AH260" s="43"/>
      <x:c r="AI260" s="43"/>
      <x:c r="AJ260" s="43"/>
      <x:c r="AK260" s="43"/>
      <x:c r="AL260" s="43"/>
      <x:c r="AM260" s="43"/>
      <x:c r="AN260" s="43"/>
      <x:c r="AO260" s="43"/>
      <x:c r="AP260" s="43"/>
    </x:row>
    <x:row r="261" ht="15" hidden="0" customHeight="1">
      <x:c r="A261" s="36" t="str">
        <x:v>EW Waste Matrix!row 16</x:v>
      </x:c>
      <x:c r="B261" s="37" t="str">
        <x:v>Healthcare Compliance Project Engage </x:v>
      </x:c>
      <x:c r="C261" s="36" t="str">
        <x:v>Legal​</x:v>
      </x:c>
      <x:c r="D261" s="36" t="n">
        <x:v>1.1</x:v>
      </x:c>
      <x:c r="E261" s="36" t="str">
        <x:v>HEALTHY</x:v>
      </x:c>
      <x:c r="F261" s="36" t="str">
        <x:v>YES</x:v>
      </x:c>
      <x:c r="G261" s="36" t="str">
        <x:v>4 — Lean — scope is limited to compliance, with small, justified allowances.</x:v>
      </x:c>
      <x:c r="H261" s="36" t="str">
        <x:v>5 — Severe — criminal liability, loss of a licence, a product or market withdrawal, or a patient-safety / major data-breach exposure.</x:v>
      </x:c>
      <x:c r="I261" s="36" t="str">
        <x:v>5 — Almost certain — active enforcement, an open finding, or automatic detection of a hard reporting obligation.</x:v>
      </x:c>
      <x:c r="J261" s="36" t="str">
        <x:v>4 — Less than six months away.</x:v>
      </x:c>
      <x:c r="K261" s="36" t="n">
        <x:v>25</x:v>
      </x:c>
      <x:c r="L261" s="36" t="str">
        <x:v>P1 — Immediate</x:v>
      </x:c>
      <x:c r="M261" s="36" t="str">
        <x:v>HEALTHY / MUST-DO — P1 — Immediate</x:v>
      </x:c>
      <x:c r="N261" s="36" t="str">
        <x:v>1) BOM Priority (one of legal commitments to Philips’ Board of Management)</x:v>
      </x:c>
      <x:c r="O261" s="43"/>
      <x:c r="P261" s="43"/>
      <x:c r="Q261" s="43"/>
      <x:c r="R261" s="43"/>
      <x:c r="S261" s="43"/>
      <x:c r="T261" s="43"/>
      <x:c r="U261" s="43"/>
      <x:c r="V261" s="43"/>
      <x:c r="W261" s="43"/>
      <x:c r="X261" s="43"/>
      <x:c r="Y261" s="43"/>
      <x:c r="Z261" s="43"/>
      <x:c r="AA261" s="43"/>
      <x:c r="AB261" s="43"/>
      <x:c r="AC261" s="43"/>
      <x:c r="AD261" s="43"/>
      <x:c r="AE261" s="43"/>
      <x:c r="AF261" s="43"/>
      <x:c r="AG261" s="43"/>
      <x:c r="AH261" s="43"/>
      <x:c r="AI261" s="43"/>
      <x:c r="AJ261" s="43"/>
      <x:c r="AK261" s="43"/>
      <x:c r="AL261" s="43"/>
      <x:c r="AM261" s="43"/>
      <x:c r="AN261" s="43"/>
      <x:c r="AO261" s="43"/>
      <x:c r="AP261" s="43"/>
    </x:row>
    <x:row r="262" ht="15" hidden="0" customHeight="1">
      <x:c r="A262" s="36" t="str">
        <x:v>EW Waste Matrix!row 20</x:v>
      </x:c>
      <x:c r="B262" s="37" t="str">
        <x:v>Boardroom Intelligence</x:v>
      </x:c>
      <x:c r="C262" s="36" t="str">
        <x:v>Group Security​</x:v>
      </x:c>
      <x:c r="D262" s="36" t="n">
        <x:v>1.35</x:v>
      </x:c>
      <x:c r="E262" s="36" t="str">
        <x:v>HEALTHY</x:v>
      </x:c>
      <x:c r="F262" s="36" t="str"/>
      <x:c r="G262" s="36" t="str"/>
      <x:c r="H262" s="36" t="str"/>
      <x:c r="I262" s="36" t="str"/>
      <x:c r="J262" s="36" t="str"/>
      <x:c r="K262" s="36"/>
      <x:c r="L262" s="36" t="str"/>
      <x:c r="M262" s="36" t="str">
        <x:v>HEALTHY — Rank in priority matrix</x:v>
      </x:c>
      <x:c r="N262" s="36" t="str">
        <x: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x:v>
      </x:c>
      <x:c r="O262" s="43"/>
      <x:c r="P262" s="43"/>
      <x:c r="Q262" s="43"/>
      <x:c r="R262" s="43"/>
      <x:c r="S262" s="43"/>
      <x:c r="T262" s="43"/>
      <x:c r="U262" s="43"/>
      <x:c r="V262" s="43"/>
      <x:c r="W262" s="43"/>
      <x:c r="X262" s="43"/>
      <x:c r="Y262" s="43"/>
      <x:c r="Z262" s="43"/>
      <x:c r="AA262" s="43"/>
      <x:c r="AB262" s="43"/>
      <x:c r="AC262" s="43"/>
      <x:c r="AD262" s="43"/>
      <x:c r="AE262" s="43"/>
      <x:c r="AF262" s="43"/>
      <x:c r="AG262" s="43"/>
      <x:c r="AH262" s="43"/>
      <x:c r="AI262" s="43"/>
      <x:c r="AJ262" s="43"/>
      <x:c r="AK262" s="43"/>
      <x:c r="AL262" s="43"/>
      <x:c r="AM262" s="43"/>
      <x:c r="AN262" s="43"/>
      <x:c r="AO262" s="43"/>
      <x:c r="AP262" s="43"/>
    </x:row>
    <x:row r="263" ht="15" hidden="0" customHeight="1">
      <x:c r="A263" s="36" t="str">
        <x:v>EW Waste Matrix!row 21</x:v>
      </x:c>
      <x:c r="B263" s="37" t="str">
        <x:v>People Operations: service orchestration</x:v>
      </x:c>
      <x:c r="C263" s="36" t="str">
        <x:v>People function​</x:v>
      </x:c>
      <x:c r="D263" s="36" t="n">
        <x:v>1</x:v>
      </x:c>
      <x:c r="E263" s="36" t="str">
        <x:v>HEALTHY</x:v>
      </x:c>
      <x:c r="F263" s="36" t="str"/>
      <x:c r="G263" s="36" t="str"/>
      <x:c r="H263" s="36" t="str"/>
      <x:c r="I263" s="36" t="str"/>
      <x:c r="J263" s="36" t="str"/>
      <x:c r="K263" s="36"/>
      <x:c r="L263" s="36" t="str"/>
      <x:c r="M263" s="36" t="str">
        <x:v>HEALTHY — Rank in priority matrix</x:v>
      </x:c>
      <x:c r="N263" s="36" t="str">
        <x:v>Contractual commitment. Contract signed in 2026. project carryover to 2027</x:v>
      </x:c>
      <x:c r="O263" s="43"/>
      <x:c r="P263" s="43"/>
      <x:c r="Q263" s="43"/>
      <x:c r="R263" s="43"/>
      <x:c r="S263" s="43"/>
      <x:c r="T263" s="43"/>
      <x:c r="U263" s="43"/>
      <x:c r="V263" s="43"/>
      <x:c r="W263" s="43"/>
      <x:c r="X263" s="43"/>
      <x:c r="Y263" s="43"/>
      <x:c r="Z263" s="43"/>
      <x:c r="AA263" s="43"/>
      <x:c r="AB263" s="43"/>
      <x:c r="AC263" s="43"/>
      <x:c r="AD263" s="43"/>
      <x:c r="AE263" s="43"/>
      <x:c r="AF263" s="43"/>
      <x:c r="AG263" s="43"/>
      <x:c r="AH263" s="43"/>
      <x:c r="AI263" s="43"/>
      <x:c r="AJ263" s="43"/>
      <x:c r="AK263" s="43"/>
      <x:c r="AL263" s="43"/>
      <x:c r="AM263" s="43"/>
      <x:c r="AN263" s="43"/>
      <x:c r="AO263" s="43"/>
      <x:c r="AP263" s="43"/>
    </x:row>
    <x:row r="264" ht="15" hidden="0" customHeight="1">
      <x:c r="A264" s="36" t="str">
        <x:v>EW Waste Matrix!row 22</x:v>
      </x:c>
      <x:c r="B264" s="37" t="str">
        <x:v>Mammoth</x:v>
      </x:c>
      <x:c r="C264" s="36" t="str">
        <x:v>Information Technology ​</x:v>
      </x:c>
      <x:c r="D264" s="36" t="n">
        <x:v>1.15</x:v>
      </x:c>
      <x:c r="E264" s="36" t="str">
        <x:v>HEALTHY</x:v>
      </x:c>
      <x:c r="F264" s="36" t="str"/>
      <x:c r="G264" s="36" t="str"/>
      <x:c r="H264" s="36" t="str"/>
      <x:c r="I264" s="36" t="str"/>
      <x:c r="J264" s="36" t="str"/>
      <x:c r="K264" s="36"/>
      <x:c r="L264" s="36" t="str"/>
      <x:c r="M264" s="36" t="str">
        <x:v>HEALTHY — Rank in priority matrix</x:v>
      </x:c>
      <x:c r="N264" s="36" t="str"/>
      <x:c r="O264" s="43"/>
      <x:c r="P264" s="43"/>
      <x:c r="Q264" s="43"/>
      <x:c r="R264" s="43"/>
      <x:c r="S264" s="43"/>
      <x:c r="T264" s="43"/>
      <x:c r="U264" s="43"/>
      <x:c r="V264" s="43"/>
      <x:c r="W264" s="43"/>
      <x:c r="X264" s="43"/>
      <x:c r="Y264" s="43"/>
      <x:c r="Z264" s="43"/>
      <x:c r="AA264" s="43"/>
      <x:c r="AB264" s="43"/>
      <x:c r="AC264" s="43"/>
      <x:c r="AD264" s="43"/>
      <x:c r="AE264" s="43"/>
      <x:c r="AF264" s="43"/>
      <x:c r="AG264" s="43"/>
      <x:c r="AH264" s="43"/>
      <x:c r="AI264" s="43"/>
      <x:c r="AJ264" s="43"/>
      <x:c r="AK264" s="43"/>
      <x:c r="AL264" s="43"/>
      <x:c r="AM264" s="43"/>
      <x:c r="AN264" s="43"/>
      <x:c r="AO264" s="43"/>
      <x:c r="AP264" s="43"/>
    </x:row>
    <x:row r="265" ht="15" hidden="0" customHeight="1">
      <x:c r="A265" s="36" t="str">
        <x:v>EW Waste Matrix!row 23</x:v>
      </x:c>
      <x:c r="B265" s="37" t="str">
        <x:v>Kairos</x:v>
      </x:c>
      <x:c r="C265" s="36" t="str">
        <x:v>Information Technology ​</x:v>
      </x:c>
      <x:c r="D265" s="36" t="n">
        <x:v>1.85</x:v>
      </x:c>
      <x:c r="E265" s="36" t="str">
        <x:v>HEALTHY</x:v>
      </x:c>
      <x:c r="F265" s="36" t="str"/>
      <x:c r="G265" s="36" t="str"/>
      <x:c r="H265" s="36" t="str"/>
      <x:c r="I265" s="36" t="str"/>
      <x:c r="J265" s="36" t="str"/>
      <x:c r="K265" s="36"/>
      <x:c r="L265" s="36" t="str"/>
      <x:c r="M265" s="36" t="str">
        <x:v>HEALTHY — Rank in priority matrix</x:v>
      </x:c>
      <x:c r="N265" s="36" t="str"/>
      <x:c r="O265" s="43"/>
      <x:c r="P265" s="43"/>
      <x:c r="Q265" s="43"/>
      <x:c r="R265" s="43"/>
      <x:c r="S265" s="43"/>
      <x:c r="T265" s="43"/>
      <x:c r="U265" s="43"/>
      <x:c r="V265" s="43"/>
      <x:c r="W265" s="43"/>
      <x:c r="X265" s="43"/>
      <x:c r="Y265" s="43"/>
      <x:c r="Z265" s="43"/>
      <x:c r="AA265" s="43"/>
      <x:c r="AB265" s="43"/>
      <x:c r="AC265" s="43"/>
      <x:c r="AD265" s="43"/>
      <x:c r="AE265" s="43"/>
      <x:c r="AF265" s="43"/>
      <x:c r="AG265" s="43"/>
      <x:c r="AH265" s="43"/>
      <x:c r="AI265" s="43"/>
      <x:c r="AJ265" s="43"/>
      <x:c r="AK265" s="43"/>
      <x:c r="AL265" s="43"/>
      <x:c r="AM265" s="43"/>
      <x:c r="AN265" s="43"/>
      <x:c r="AO265" s="43"/>
      <x:c r="AP265" s="43"/>
    </x:row>
    <x:row r="266" ht="15" hidden="0" customHeight="1">
      <x:c r="A266" s="36" t="str">
        <x:v>EW Waste Matrix!row 24</x:v>
      </x:c>
      <x:c r="B266" s="37" t="str">
        <x:v>Integrated C&amp;R</x:v>
      </x:c>
      <x:c r="C266" s="36" t="str">
        <x:v>Information Technology ​</x:v>
      </x:c>
      <x:c r="D266" s="36" t="n">
        <x:v>1.6</x:v>
      </x:c>
      <x:c r="E266" s="36" t="str">
        <x:v>HEALTHY</x:v>
      </x:c>
      <x:c r="F266" s="36" t="str"/>
      <x:c r="G266" s="36" t="str"/>
      <x:c r="H266" s="36" t="str"/>
      <x:c r="I266" s="36" t="str"/>
      <x:c r="J266" s="36" t="str"/>
      <x:c r="K266" s="36"/>
      <x:c r="L266" s="36" t="str"/>
      <x:c r="M266" s="36" t="str">
        <x:v>HEALTHY — Rank in priority matrix</x:v>
      </x:c>
      <x:c r="N266" s="36" t="str"/>
      <x:c r="O266" s="43"/>
      <x:c r="P266" s="43"/>
      <x:c r="Q266" s="43"/>
      <x:c r="R266" s="43"/>
      <x:c r="S266" s="43"/>
      <x:c r="T266" s="43"/>
      <x:c r="U266" s="43"/>
      <x:c r="V266" s="43"/>
      <x:c r="W266" s="43"/>
      <x:c r="X266" s="43"/>
      <x:c r="Y266" s="43"/>
      <x:c r="Z266" s="43"/>
      <x:c r="AA266" s="43"/>
      <x:c r="AB266" s="43"/>
      <x:c r="AC266" s="43"/>
      <x:c r="AD266" s="43"/>
      <x:c r="AE266" s="43"/>
      <x:c r="AF266" s="43"/>
      <x:c r="AG266" s="43"/>
      <x:c r="AH266" s="43"/>
      <x:c r="AI266" s="43"/>
      <x:c r="AJ266" s="43"/>
      <x:c r="AK266" s="43"/>
      <x:c r="AL266" s="43"/>
      <x:c r="AM266" s="43"/>
      <x:c r="AN266" s="43"/>
      <x:c r="AO266" s="43"/>
      <x:c r="AP266" s="43"/>
    </x:row>
    <x:row r="267" ht="15" hidden="0" customHeight="1">
      <x:c r="A267" s="36" t="str">
        <x:v>EW Waste Matrix!row 25</x:v>
      </x:c>
      <x:c r="B267" s="37" t="str">
        <x:v>HA AI Enablement</x:v>
      </x:c>
      <x:c r="C267" s="36" t="str">
        <x:v>Information Technology ​</x:v>
      </x:c>
      <x:c r="D267" s="36" t="n">
        <x:v>1.15</x:v>
      </x:c>
      <x:c r="E267" s="36" t="str">
        <x:v>HEALTHY</x:v>
      </x:c>
      <x:c r="F267" s="36" t="str">
        <x:v>YES</x:v>
      </x:c>
      <x:c r="G267" s="36" t="str"/>
      <x:c r="H267" s="36" t="str"/>
      <x:c r="I267" s="36" t="str"/>
      <x:c r="J267" s="36" t="str"/>
      <x:c r="K267" s="36"/>
      <x:c r="L267" s="36" t="str"/>
      <x:c r="M267" s="36" t="str">
        <x:v>HEALTHY / MUST-DO — priority TBD</x:v>
      </x:c>
      <x:c r="N267" s="36" t="str">
        <x:v>Power Platform AI enablement including the LFRs to maintain for the platform governance, Compliance and enforcement. </x:v>
      </x:c>
      <x:c r="O267" s="43"/>
      <x:c r="P267" s="43"/>
      <x:c r="Q267" s="43"/>
      <x:c r="R267" s="43"/>
      <x:c r="S267" s="43"/>
      <x:c r="T267" s="43"/>
      <x:c r="U267" s="43"/>
      <x:c r="V267" s="43"/>
      <x:c r="W267" s="43"/>
      <x:c r="X267" s="43"/>
      <x:c r="Y267" s="43"/>
      <x:c r="Z267" s="43"/>
      <x:c r="AA267" s="43"/>
      <x:c r="AB267" s="43"/>
      <x:c r="AC267" s="43"/>
      <x:c r="AD267" s="43"/>
      <x:c r="AE267" s="43"/>
      <x:c r="AF267" s="43"/>
      <x:c r="AG267" s="43"/>
      <x:c r="AH267" s="43"/>
      <x:c r="AI267" s="43"/>
      <x:c r="AJ267" s="43"/>
      <x:c r="AK267" s="43"/>
      <x:c r="AL267" s="43"/>
      <x:c r="AM267" s="43"/>
      <x:c r="AN267" s="43"/>
      <x:c r="AO267" s="43"/>
      <x:c r="AP267" s="43"/>
    </x:row>
    <x:row r="268" ht="15" hidden="0" customHeight="1">
      <x:c r="A268" s="36" t="str">
        <x:v>EW Waste Matrix!row 26</x:v>
      </x:c>
      <x:c r="B268" s="37" t="str">
        <x:v>PSQ E2E Product Data Lineage Model</x:v>
      </x:c>
      <x:c r="C268" s="36" t="str">
        <x:v>Information Technology ​</x:v>
      </x:c>
      <x:c r="D268" s="36" t="n">
        <x:v>1.6</x:v>
      </x:c>
      <x:c r="E268" s="36" t="str">
        <x:v>HEALTHY</x:v>
      </x:c>
      <x:c r="F268" s="36" t="str"/>
      <x:c r="G268" s="36" t="str"/>
      <x:c r="H268" s="36" t="str"/>
      <x:c r="I268" s="36" t="str"/>
      <x:c r="J268" s="36" t="str"/>
      <x:c r="K268" s="36"/>
      <x:c r="L268" s="36" t="str"/>
      <x:c r="M268" s="36" t="str">
        <x:v>HEALTHY — Rank in priority matrix</x:v>
      </x:c>
      <x:c r="N268" s="36" t="str"/>
      <x:c r="O268" s="43"/>
      <x:c r="P268" s="43"/>
      <x:c r="Q268" s="43"/>
      <x:c r="R268" s="43"/>
      <x:c r="S268" s="43"/>
      <x:c r="T268" s="43"/>
      <x:c r="U268" s="43"/>
      <x:c r="V268" s="43"/>
      <x:c r="W268" s="43"/>
      <x:c r="X268" s="43"/>
      <x:c r="Y268" s="43"/>
      <x:c r="Z268" s="43"/>
      <x:c r="AA268" s="43"/>
      <x:c r="AB268" s="43"/>
      <x:c r="AC268" s="43"/>
      <x:c r="AD268" s="43"/>
      <x:c r="AE268" s="43"/>
      <x:c r="AF268" s="43"/>
      <x:c r="AG268" s="43"/>
      <x:c r="AH268" s="43"/>
      <x:c r="AI268" s="43"/>
      <x:c r="AJ268" s="43"/>
      <x:c r="AK268" s="43"/>
      <x:c r="AL268" s="43"/>
      <x:c r="AM268" s="43"/>
      <x:c r="AN268" s="43"/>
      <x:c r="AO268" s="43"/>
      <x:c r="AP268" s="43"/>
    </x:row>
    <x:row r="269" ht="15" hidden="0" customHeight="1">
      <x:c r="A269" s="36" t="str">
        <x:v>EW Waste Matrix!row 27</x:v>
      </x:c>
      <x:c r="B269" s="37" t="str">
        <x:v>Next Gen CH</x:v>
      </x:c>
      <x:c r="C269" s="36" t="str">
        <x:v>Patient Safety &amp; Quality</x:v>
      </x:c>
      <x:c r="D269" s="36" t="n">
        <x:v>1.65</x:v>
      </x:c>
      <x:c r="E269" s="36" t="str">
        <x:v>HEALTHY</x:v>
      </x:c>
      <x:c r="F269" s="36" t="str"/>
      <x:c r="G269" s="36" t="str"/>
      <x:c r="H269" s="36" t="str"/>
      <x:c r="I269" s="36" t="str"/>
      <x:c r="J269" s="36" t="str"/>
      <x:c r="K269" s="36"/>
      <x:c r="L269" s="36" t="str"/>
      <x:c r="M269" s="36" t="str">
        <x:v>HEALTHY — Rank in priority matrix</x:v>
      </x:c>
      <x:c r="N269" s="36" t="str"/>
      <x:c r="O269" s="43"/>
      <x:c r="P269" s="43"/>
      <x:c r="Q269" s="43"/>
      <x:c r="R269" s="43"/>
      <x:c r="S269" s="43"/>
      <x:c r="T269" s="43"/>
      <x:c r="U269" s="43"/>
      <x:c r="V269" s="43"/>
      <x:c r="W269" s="43"/>
      <x:c r="X269" s="43"/>
      <x:c r="Y269" s="43"/>
      <x:c r="Z269" s="43"/>
      <x:c r="AA269" s="43"/>
      <x:c r="AB269" s="43"/>
      <x:c r="AC269" s="43"/>
      <x:c r="AD269" s="43"/>
      <x:c r="AE269" s="43"/>
      <x:c r="AF269" s="43"/>
      <x:c r="AG269" s="43"/>
      <x:c r="AH269" s="43"/>
      <x:c r="AI269" s="43"/>
      <x:c r="AJ269" s="43"/>
      <x:c r="AK269" s="43"/>
      <x:c r="AL269" s="43"/>
      <x:c r="AM269" s="43"/>
      <x:c r="AN269" s="43"/>
      <x:c r="AO269" s="43"/>
      <x:c r="AP269" s="43"/>
    </x:row>
    <x:row r="270" ht="15" hidden="0" customHeight="1">
      <x:c r="A270" s="36" t="str">
        <x:v>EW Waste Matrix!row 28</x:v>
      </x:c>
      <x:c r="B270" s="37" t="str">
        <x:v>Document control with Ai capabilities (ARIS replacement)</x:v>
      </x:c>
      <x:c r="C270" s="36" t="str">
        <x:v>Patient Safety &amp; Quality</x:v>
      </x:c>
      <x:c r="D270" s="36" t="n">
        <x:v>1.45</x:v>
      </x:c>
      <x:c r="E270" s="36" t="str">
        <x:v>HEALTHY</x:v>
      </x:c>
      <x:c r="F270" s="36" t="str"/>
      <x:c r="G270" s="36" t="str"/>
      <x:c r="H270" s="36" t="str"/>
      <x:c r="I270" s="36" t="str"/>
      <x:c r="J270" s="36" t="str"/>
      <x:c r="K270" s="36"/>
      <x:c r="L270" s="36" t="str"/>
      <x:c r="M270" s="36" t="str">
        <x:v>HEALTHY — Rank in priority matrix</x:v>
      </x:c>
      <x:c r="N270" s="36" t="str"/>
      <x:c r="O270" s="43"/>
      <x:c r="P270" s="43"/>
      <x:c r="Q270" s="43"/>
      <x:c r="R270" s="43"/>
      <x:c r="S270" s="43"/>
      <x:c r="T270" s="43"/>
      <x:c r="U270" s="43"/>
      <x:c r="V270" s="43"/>
      <x:c r="W270" s="43"/>
      <x:c r="X270" s="43"/>
      <x:c r="Y270" s="43"/>
      <x:c r="Z270" s="43"/>
      <x:c r="AA270" s="43"/>
      <x:c r="AB270" s="43"/>
      <x:c r="AC270" s="43"/>
      <x:c r="AD270" s="43"/>
      <x:c r="AE270" s="43"/>
      <x:c r="AF270" s="43"/>
      <x:c r="AG270" s="43"/>
      <x:c r="AH270" s="43"/>
      <x:c r="AI270" s="43"/>
      <x:c r="AJ270" s="43"/>
      <x:c r="AK270" s="43"/>
      <x:c r="AL270" s="43"/>
      <x:c r="AM270" s="43"/>
      <x:c r="AN270" s="43"/>
      <x:c r="AO270" s="43"/>
      <x:c r="AP270" s="43"/>
    </x:row>
    <x:row r="271" ht="15" hidden="0" customHeight="1">
      <x:c r="A271" s="36" t="str">
        <x:v>EW Waste Matrix!row 29</x:v>
      </x:c>
      <x:c r="B271" s="37" t="str">
        <x:v>AI Prioritization Funnel budget</x:v>
      </x:c>
      <x:c r="C271" s="36" t="str">
        <x:v>Information Technology ​</x:v>
      </x:c>
      <x:c r="D271" s="36" t="n">
        <x:v>1.75</x:v>
      </x:c>
      <x:c r="E271" s="36" t="str">
        <x:v>HEALTHY</x:v>
      </x:c>
      <x:c r="F271" s="36" t="str"/>
      <x:c r="G271" s="36" t="str"/>
      <x:c r="H271" s="36" t="str"/>
      <x:c r="I271" s="36" t="str"/>
      <x:c r="J271" s="36" t="str"/>
      <x:c r="K271" s="36"/>
      <x:c r="L271" s="36" t="str"/>
      <x:c r="M271" s="36" t="str">
        <x:v>HEALTHY — Rank in priority matrix</x:v>
      </x:c>
      <x:c r="N271" s="36" t="str"/>
      <x:c r="O271" s="43"/>
      <x:c r="P271" s="43"/>
      <x:c r="Q271" s="43"/>
      <x:c r="R271" s="43"/>
      <x:c r="S271" s="43"/>
      <x:c r="T271" s="43"/>
      <x:c r="U271" s="43"/>
      <x:c r="V271" s="43"/>
      <x:c r="W271" s="43"/>
      <x:c r="X271" s="43"/>
      <x:c r="Y271" s="43"/>
      <x:c r="Z271" s="43"/>
      <x:c r="AA271" s="43"/>
      <x:c r="AB271" s="43"/>
      <x:c r="AC271" s="43"/>
      <x:c r="AD271" s="43"/>
      <x:c r="AE271" s="43"/>
      <x:c r="AF271" s="43"/>
      <x:c r="AG271" s="43"/>
      <x:c r="AH271" s="43"/>
      <x:c r="AI271" s="43"/>
      <x:c r="AJ271" s="43"/>
      <x:c r="AK271" s="43"/>
      <x:c r="AL271" s="43"/>
      <x:c r="AM271" s="43"/>
      <x:c r="AN271" s="43"/>
      <x:c r="AO271" s="43"/>
      <x:c r="AP271" s="43"/>
    </x:row>
    <x:row r="272" ht="24" hidden="0" customHeight="1">
      <x:c r="A272" s="36" t="str">
        <x:v>EW Waste Matrix!row 30</x:v>
      </x:c>
      <x:c r="B272" s="37" t="str">
        <x:v>Establish a future-ready AI powered foundation for Compliance Learning Ecosystem</x:v>
      </x:c>
      <x:c r="C272" s="36" t="str">
        <x:v>Information Technology ​</x:v>
      </x:c>
      <x:c r="D272" s="36" t="n">
        <x:v>1.95</x:v>
      </x:c>
      <x:c r="E272" s="36" t="str">
        <x:v>HEALTHY</x:v>
      </x:c>
      <x:c r="F272" s="36" t="str"/>
      <x:c r="G272" s="36" t="str"/>
      <x:c r="H272" s="36" t="str"/>
      <x:c r="I272" s="36" t="str"/>
      <x:c r="J272" s="36" t="str"/>
      <x:c r="K272" s="36"/>
      <x:c r="L272" s="36" t="str"/>
      <x:c r="M272" s="36" t="str">
        <x:v>HEALTHY — Rank in priority matrix</x:v>
      </x:c>
      <x:c r="N272" s="36" t="str"/>
      <x:c r="O272" s="43"/>
      <x:c r="P272" s="43"/>
      <x:c r="Q272" s="43"/>
      <x:c r="R272" s="43"/>
      <x:c r="S272" s="43"/>
      <x:c r="T272" s="43"/>
      <x:c r="U272" s="43"/>
      <x:c r="V272" s="43"/>
      <x:c r="W272" s="43"/>
      <x:c r="X272" s="43"/>
      <x:c r="Y272" s="43"/>
      <x:c r="Z272" s="43"/>
      <x:c r="AA272" s="43"/>
      <x:c r="AB272" s="43"/>
      <x:c r="AC272" s="43"/>
      <x:c r="AD272" s="43"/>
      <x:c r="AE272" s="43"/>
      <x:c r="AF272" s="43"/>
      <x:c r="AG272" s="43"/>
      <x:c r="AH272" s="43"/>
      <x:c r="AI272" s="43"/>
      <x:c r="AJ272" s="43"/>
      <x:c r="AK272" s="43"/>
      <x:c r="AL272" s="43"/>
      <x:c r="AM272" s="43"/>
      <x:c r="AN272" s="43"/>
      <x:c r="AO272" s="43"/>
      <x:c r="AP272" s="43"/>
    </x:row>
    <x:row r="273" ht="15" hidden="0" customHeight="1">
      <x:c r="A273" s="36" t="str">
        <x:v>EW Waste Matrix!row 31</x:v>
      </x:c>
      <x:c r="B273" s="37" t="str">
        <x:v>SICR APQP Supplier Portal</x:v>
      </x:c>
      <x:c r="C273" s="36" t="str">
        <x:v>Patient Safety &amp; Quality</x:v>
      </x:c>
      <x:c r="D273" s="36" t="n">
        <x:v>1.35</x:v>
      </x:c>
      <x:c r="E273" s="36" t="str">
        <x:v>HEALTHY</x:v>
      </x:c>
      <x:c r="F273" s="36" t="str">
        <x:v>YES</x:v>
      </x:c>
      <x:c r="G273" s="36" t="str">
        <x:v>4 — Lean — scope is limited to compliance, with small, justified allowances.</x:v>
      </x:c>
      <x:c r="H273" s="36" t="str">
        <x:v>5 — Severe — criminal liability, loss of a licence, a product or market withdrawal, or a patient-safety / major data-breach exposure.</x:v>
      </x:c>
      <x:c r="I273" s="36" t="str">
        <x:v>5 — Almost certain — active enforcement, an open finding, or automatic detection of a hard reporting obligation.</x:v>
      </x:c>
      <x:c r="J273" s="36" t="str">
        <x:v>5 — Overdue, or under three months away — we're at or near breach.</x:v>
      </x:c>
      <x:c r="K273" s="36" t="n">
        <x:v>25</x:v>
      </x:c>
      <x:c r="L273" s="36" t="str">
        <x:v>P1 — Immediate</x:v>
      </x:c>
      <x:c r="M273" s="36" t="str">
        <x:v>HEALTHY / MUST-DO — P1 — Immediate</x:v>
      </x:c>
      <x:c r="N273" s="36" t="str"/>
      <x:c r="O273" s="43"/>
      <x:c r="P273" s="43"/>
      <x:c r="Q273" s="43"/>
      <x:c r="R273" s="43"/>
      <x:c r="S273" s="43"/>
      <x:c r="T273" s="43"/>
      <x:c r="U273" s="43"/>
      <x:c r="V273" s="43"/>
      <x:c r="W273" s="43"/>
      <x:c r="X273" s="43"/>
      <x:c r="Y273" s="43"/>
      <x:c r="Z273" s="43"/>
      <x:c r="AA273" s="43"/>
      <x:c r="AB273" s="43"/>
      <x:c r="AC273" s="43"/>
      <x:c r="AD273" s="43"/>
      <x:c r="AE273" s="43"/>
      <x:c r="AF273" s="43"/>
      <x:c r="AG273" s="43"/>
      <x:c r="AH273" s="43"/>
      <x:c r="AI273" s="43"/>
      <x:c r="AJ273" s="43"/>
      <x:c r="AK273" s="43"/>
      <x:c r="AL273" s="43"/>
      <x:c r="AM273" s="43"/>
      <x:c r="AN273" s="43"/>
      <x:c r="AO273" s="43"/>
      <x:c r="AP273" s="43"/>
    </x:row>
    <x:row r="274" ht="15" hidden="0" customHeight="1">
      <x:c r="A274" s="36" t="str">
        <x:v>EW Waste Matrix!row 32</x:v>
      </x:c>
      <x:c r="B274" s="37" t="str">
        <x:v>ARIS deployment for ISC QMS Integration</x:v>
      </x:c>
      <x:c r="C274" s="36" t="str">
        <x:v>Information Technology ​</x:v>
      </x:c>
      <x:c r="D274" s="36" t="n">
        <x:v>2.2</x:v>
      </x:c>
      <x:c r="E274" s="36" t="str">
        <x:v>CONTAIN</x:v>
      </x:c>
      <x:c r="F274" s="36" t="str">
        <x:v>YES</x:v>
      </x:c>
      <x:c r="G274" s="36" t="str">
        <x:v>4 — Lean — scope is limited to compliance, with small, justified allowances.</x:v>
      </x:c>
      <x:c r="H274" s="36" t="str">
        <x:v>4 — Large fine, temporary loss of a licence or certification, or a real hit to customers or the market.</x:v>
      </x:c>
      <x:c r="I274" s="36" t="str">
        <x:v>4 — Likely — an audit or inspection is scheduled, or we've had findings on this before.</x:v>
      </x:c>
      <x:c r="J274" s="36" t="str">
        <x:v>4 — Less than six months away.</x:v>
      </x:c>
      <x:c r="K274" s="36" t="n">
        <x:v>16</x:v>
      </x:c>
      <x:c r="L274" s="36" t="str">
        <x:v>P1 — Immediate</x:v>
      </x:c>
      <x:c r="M274" s="36" t="str">
        <x:v>HEALTHY / MUST-DO — P1 — Immediate</x:v>
      </x:c>
      <x:c r="N274" s="36" t="str"/>
      <x:c r="O274" s="43"/>
      <x:c r="P274" s="43"/>
      <x:c r="Q274" s="43"/>
      <x:c r="R274" s="43"/>
      <x:c r="S274" s="43"/>
      <x:c r="T274" s="43"/>
      <x:c r="U274" s="43"/>
      <x:c r="V274" s="43"/>
      <x:c r="W274" s="43"/>
      <x:c r="X274" s="43"/>
      <x:c r="Y274" s="43"/>
      <x:c r="Z274" s="43"/>
      <x:c r="AA274" s="43"/>
      <x:c r="AB274" s="43"/>
      <x:c r="AC274" s="43"/>
      <x:c r="AD274" s="43"/>
      <x:c r="AE274" s="43"/>
      <x:c r="AF274" s="43"/>
      <x:c r="AG274" s="43"/>
      <x:c r="AH274" s="43"/>
      <x:c r="AI274" s="43"/>
      <x:c r="AJ274" s="43"/>
      <x:c r="AK274" s="43"/>
      <x:c r="AL274" s="43"/>
      <x:c r="AM274" s="43"/>
      <x:c r="AN274" s="43"/>
      <x:c r="AO274" s="43"/>
      <x:c r="AP274" s="43"/>
    </x:row>
    <x:row r="275" ht="15" hidden="0" customHeight="1">
      <x:c r="A275" s="36" t="str">
        <x:v>EW Waste Matrix!row 33</x:v>
      </x:c>
      <x:c r="B275" s="37" t="str">
        <x:v>Service365 2027 Change&amp;Sustain</x:v>
      </x:c>
      <x:c r="C275" s="36" t="str">
        <x:v>Greater China </x:v>
      </x:c>
      <x:c r="D275" s="36" t="n">
        <x:v>1.25</x:v>
      </x:c>
      <x:c r="E275" s="36" t="str">
        <x:v>HEALTHY</x:v>
      </x:c>
      <x:c r="F275" s="36" t="str">
        <x:v>YES</x:v>
      </x:c>
      <x:c r="G275" s="36" t="str">
        <x:v>4 — Lean — scope is limited to compliance, with small, justified allowances.</x:v>
      </x:c>
      <x:c r="H275" s="36" t="str">
        <x:v>5 — Severe — criminal liability, loss of a licence, a product or market withdrawal, or a patient-safety / major data-breach exposure.</x:v>
      </x:c>
      <x:c r="I275" s="36" t="str">
        <x:v>3 — Possible — there's general enforcement in this area and periodic audits.</x:v>
      </x:c>
      <x:c r="J275" s="36" t="str">
        <x:v>5 — Overdue, or under three months away — we're at or near breach.</x:v>
      </x:c>
      <x:c r="K275" s="36" t="n">
        <x:v>15</x:v>
      </x:c>
      <x:c r="L275" s="36" t="str">
        <x:v>P1 — Immediate</x:v>
      </x:c>
      <x:c r="M275" s="36" t="str">
        <x:v>HEALTHY / MUST-DO — P1 — Immediate</x:v>
      </x:c>
      <x:c r="N275" s="36" t="str"/>
      <x:c r="O275" s="43"/>
      <x:c r="P275" s="43"/>
      <x:c r="Q275" s="43"/>
      <x:c r="R275" s="43"/>
      <x:c r="S275" s="43"/>
      <x:c r="T275" s="43"/>
      <x:c r="U275" s="43"/>
      <x:c r="V275" s="43"/>
      <x:c r="W275" s="43"/>
      <x:c r="X275" s="43"/>
      <x:c r="Y275" s="43"/>
      <x:c r="Z275" s="43"/>
      <x:c r="AA275" s="43"/>
      <x:c r="AB275" s="43"/>
      <x:c r="AC275" s="43"/>
      <x:c r="AD275" s="43"/>
      <x:c r="AE275" s="43"/>
      <x:c r="AF275" s="43"/>
      <x:c r="AG275" s="43"/>
      <x:c r="AH275" s="43"/>
      <x:c r="AI275" s="43"/>
      <x:c r="AJ275" s="43"/>
      <x:c r="AK275" s="43"/>
      <x:c r="AL275" s="43"/>
      <x:c r="AM275" s="43"/>
      <x:c r="AN275" s="43"/>
      <x:c r="AO275" s="43"/>
      <x:c r="AP275" s="43"/>
    </x:row>
    <x:row r="276" ht="15" hidden="0" customHeight="1">
      <x:c r="A276" s="36" t="str">
        <x:v>EW Waste Matrix!row 34</x:v>
      </x:c>
      <x:c r="B276" s="37" t="str">
        <x:v>Commercial365 2027 Change&amp;Sustain</x:v>
      </x:c>
      <x:c r="C276" s="36" t="str">
        <x:v>Greater China </x:v>
      </x:c>
      <x:c r="D276" s="36" t="n">
        <x:v>1.25</x:v>
      </x:c>
      <x:c r="E276" s="36" t="str">
        <x:v>HEALTHY</x:v>
      </x:c>
      <x:c r="F276" s="36" t="str">
        <x:v>YES</x:v>
      </x:c>
      <x:c r="G276" s="36" t="str">
        <x:v>4 — Lean — scope is limited to compliance, with small, justified allowances.</x:v>
      </x:c>
      <x:c r="H276" s="36" t="str">
        <x:v>5 — Severe — criminal liability, loss of a licence, a product or market withdrawal, or a patient-safety / major data-breach exposure.</x:v>
      </x:c>
      <x:c r="I276" s="36" t="str">
        <x:v>3 — Possible — there's general enforcement in this area and periodic audits.</x:v>
      </x:c>
      <x:c r="J276" s="36" t="str">
        <x:v>5 — Overdue, or under three months away — we're at or near breach.</x:v>
      </x:c>
      <x:c r="K276" s="36" t="n">
        <x:v>15</x:v>
      </x:c>
      <x:c r="L276" s="36" t="str">
        <x:v>P1 — Immediate</x:v>
      </x:c>
      <x:c r="M276" s="36" t="str">
        <x:v>HEALTHY / MUST-DO — P1 — Immediate</x:v>
      </x:c>
      <x:c r="N276" s="36" t="str"/>
      <x:c r="O276" s="43"/>
      <x:c r="P276" s="43"/>
      <x:c r="Q276" s="43"/>
      <x:c r="R276" s="43"/>
      <x:c r="S276" s="43"/>
      <x:c r="T276" s="43"/>
      <x:c r="U276" s="43"/>
      <x:c r="V276" s="43"/>
      <x:c r="W276" s="43"/>
      <x:c r="X276" s="43"/>
      <x:c r="Y276" s="43"/>
      <x:c r="Z276" s="43"/>
      <x:c r="AA276" s="43"/>
      <x:c r="AB276" s="43"/>
      <x:c r="AC276" s="43"/>
      <x:c r="AD276" s="43"/>
      <x:c r="AE276" s="43"/>
      <x:c r="AF276" s="43"/>
      <x:c r="AG276" s="43"/>
      <x:c r="AH276" s="43"/>
      <x:c r="AI276" s="43"/>
      <x:c r="AJ276" s="43"/>
      <x:c r="AK276" s="43"/>
      <x:c r="AL276" s="43"/>
      <x:c r="AM276" s="43"/>
      <x:c r="AN276" s="43"/>
      <x:c r="AO276" s="43"/>
      <x:c r="AP276" s="43"/>
    </x:row>
    <x:row r="277" ht="15" hidden="0" customHeight="1">
      <x:c r="A277" s="36" t="str">
        <x:v>EW Waste Matrix!row 35</x:v>
      </x:c>
      <x:c r="B277" s="37" t="str">
        <x:v>Channel365 2027 Change&amp;Sustain</x:v>
      </x:c>
      <x:c r="C277" s="36" t="str">
        <x:v>Greater China </x:v>
      </x:c>
      <x:c r="D277" s="36" t="n">
        <x:v>1.25</x:v>
      </x:c>
      <x:c r="E277" s="36" t="str">
        <x:v>HEALTHY</x:v>
      </x:c>
      <x:c r="F277" s="36" t="str">
        <x:v>YES</x:v>
      </x:c>
      <x:c r="G277" s="36" t="str">
        <x:v>4 — Lean — scope is limited to compliance, with small, justified allowances.</x:v>
      </x:c>
      <x:c r="H277" s="36" t="str">
        <x:v>5 — Severe — criminal liability, loss of a licence, a product or market withdrawal, or a patient-safety / major data-breach exposure.</x:v>
      </x:c>
      <x:c r="I277" s="36" t="str">
        <x:v>3 — Possible — there's general enforcement in this area and periodic audits.</x:v>
      </x:c>
      <x:c r="J277" s="36" t="str">
        <x:v>5 — Overdue, or under three months away — we're at or near breach.</x:v>
      </x:c>
      <x:c r="K277" s="36" t="n">
        <x:v>15</x:v>
      </x:c>
      <x:c r="L277" s="36" t="str">
        <x:v>P1 — Immediate</x:v>
      </x:c>
      <x:c r="M277" s="36" t="str">
        <x:v>HEALTHY / MUST-DO — P1 — Immediate</x:v>
      </x:c>
      <x:c r="N277" s="36" t="str"/>
      <x:c r="O277" s="43"/>
      <x:c r="P277" s="43"/>
      <x:c r="Q277" s="43"/>
      <x:c r="R277" s="43"/>
      <x:c r="S277" s="43"/>
      <x:c r="T277" s="43"/>
      <x:c r="U277" s="43"/>
      <x:c r="V277" s="43"/>
      <x:c r="W277" s="43"/>
      <x:c r="X277" s="43"/>
      <x:c r="Y277" s="43"/>
      <x:c r="Z277" s="43"/>
      <x:c r="AA277" s="43"/>
      <x:c r="AB277" s="43"/>
      <x:c r="AC277" s="43"/>
      <x:c r="AD277" s="43"/>
      <x:c r="AE277" s="43"/>
      <x:c r="AF277" s="43"/>
      <x:c r="AG277" s="43"/>
      <x:c r="AH277" s="43"/>
      <x:c r="AI277" s="43"/>
      <x:c r="AJ277" s="43"/>
      <x:c r="AK277" s="43"/>
      <x:c r="AL277" s="43"/>
      <x:c r="AM277" s="43"/>
      <x:c r="AN277" s="43"/>
      <x:c r="AO277" s="43"/>
      <x:c r="AP277" s="43"/>
    </x:row>
    <x:row r="278" ht="15" hidden="0" customHeight="1">
      <x:c r="A278" s="36" t="str">
        <x:v>EW Waste Matrix!row 36</x:v>
      </x:c>
      <x:c r="B278" s="37" t="str">
        <x:v>China Data Lake 2027 Change&amp;Sustain</x:v>
      </x:c>
      <x:c r="C278" s="36" t="str">
        <x:v>Greater China </x:v>
      </x:c>
      <x:c r="D278" s="36" t="n">
        <x:v>1.25</x:v>
      </x:c>
      <x:c r="E278" s="36" t="str">
        <x:v>HEALTHY</x:v>
      </x:c>
      <x:c r="F278" s="36" t="str">
        <x:v>YES</x:v>
      </x:c>
      <x:c r="G278" s="36" t="str">
        <x:v>4 — Lean — scope is limited to compliance, with small, justified allowances.</x:v>
      </x:c>
      <x:c r="H278" s="36" t="str">
        <x:v>5 — Severe — criminal liability, loss of a licence, a product or market withdrawal, or a patient-safety / major data-breach exposure.</x:v>
      </x:c>
      <x:c r="I278" s="36" t="str">
        <x:v>3 — Possible — there's general enforcement in this area and periodic audits.</x:v>
      </x:c>
      <x:c r="J278" s="36" t="str">
        <x:v>5 — Overdue, or under three months away — we're at or near breach.</x:v>
      </x:c>
      <x:c r="K278" s="36" t="n">
        <x:v>15</x:v>
      </x:c>
      <x:c r="L278" s="36" t="str">
        <x:v>P1 — Immediate</x:v>
      </x:c>
      <x:c r="M278" s="36" t="str">
        <x:v>HEALTHY / MUST-DO — P1 — Immediate</x:v>
      </x:c>
      <x:c r="N278" s="36" t="str"/>
      <x:c r="O278" s="43"/>
      <x:c r="P278" s="43"/>
      <x:c r="Q278" s="43"/>
      <x:c r="R278" s="43"/>
      <x:c r="S278" s="43"/>
      <x:c r="T278" s="43"/>
      <x:c r="U278" s="43"/>
      <x:c r="V278" s="43"/>
      <x:c r="W278" s="43"/>
      <x:c r="X278" s="43"/>
      <x:c r="Y278" s="43"/>
      <x:c r="Z278" s="43"/>
      <x:c r="AA278" s="43"/>
      <x:c r="AB278" s="43"/>
      <x:c r="AC278" s="43"/>
      <x:c r="AD278" s="43"/>
      <x:c r="AE278" s="43"/>
      <x:c r="AF278" s="43"/>
      <x:c r="AG278" s="43"/>
      <x:c r="AH278" s="43"/>
      <x:c r="AI278" s="43"/>
      <x:c r="AJ278" s="43"/>
      <x:c r="AK278" s="43"/>
      <x:c r="AL278" s="43"/>
      <x:c r="AM278" s="43"/>
      <x:c r="AN278" s="43"/>
      <x:c r="AO278" s="43"/>
      <x:c r="AP278" s="43"/>
    </x:row>
    <x:row r="279" ht="15" hidden="0" customHeight="1">
      <x:c r="A279" s="36" t="str">
        <x:v>EW Waste Matrix!row 37</x:v>
      </x:c>
      <x:c r="B279" s="37" t="str">
        <x:v>Service365 HK &amp; TW</x:v>
      </x:c>
      <x:c r="C279" s="36" t="str">
        <x:v>Greater China </x:v>
      </x:c>
      <x:c r="D279" s="36" t="n">
        <x:v>1.25</x:v>
      </x:c>
      <x:c r="E279" s="36" t="str">
        <x:v>HEALTHY</x:v>
      </x:c>
      <x:c r="F279" s="36" t="str">
        <x:v>YES</x:v>
      </x:c>
      <x:c r="G279" s="36" t="str">
        <x:v>4 — Lean — scope is limited to compliance, with small, justified allowances.</x:v>
      </x:c>
      <x:c r="H279" s="36" t="str">
        <x:v>5 — Severe — criminal liability, loss of a licence, a product or market withdrawal, or a patient-safety / major data-breach exposure.</x:v>
      </x:c>
      <x:c r="I279" s="36" t="str">
        <x:v>3 — Possible — there's general enforcement in this area and periodic audits.</x:v>
      </x:c>
      <x:c r="J279" s="36" t="str">
        <x:v>5 — Overdue, or under three months away — we're at or near breach.</x:v>
      </x:c>
      <x:c r="K279" s="36" t="n">
        <x:v>15</x:v>
      </x:c>
      <x:c r="L279" s="36" t="str">
        <x:v>P1 — Immediate</x:v>
      </x:c>
      <x:c r="M279" s="36" t="str">
        <x:v>HEALTHY / MUST-DO — P1 — Immediate</x:v>
      </x:c>
      <x:c r="N279" s="36" t="str"/>
      <x:c r="O279" s="43"/>
      <x:c r="P279" s="43"/>
      <x:c r="Q279" s="43"/>
      <x:c r="R279" s="43"/>
      <x:c r="S279" s="43"/>
      <x:c r="T279" s="43"/>
      <x:c r="U279" s="43"/>
      <x:c r="V279" s="43"/>
      <x:c r="W279" s="43"/>
      <x:c r="X279" s="43"/>
      <x:c r="Y279" s="43"/>
      <x:c r="Z279" s="43"/>
      <x:c r="AA279" s="43"/>
      <x:c r="AB279" s="43"/>
      <x:c r="AC279" s="43"/>
      <x:c r="AD279" s="43"/>
      <x:c r="AE279" s="43"/>
      <x:c r="AF279" s="43"/>
      <x:c r="AG279" s="43"/>
      <x:c r="AH279" s="43"/>
      <x:c r="AI279" s="43"/>
      <x:c r="AJ279" s="43"/>
      <x:c r="AK279" s="43"/>
      <x:c r="AL279" s="43"/>
      <x:c r="AM279" s="43"/>
      <x:c r="AN279" s="43"/>
      <x:c r="AO279" s="43"/>
      <x:c r="AP279" s="43"/>
    </x:row>
    <x:row r="280" ht="15" hidden="0" customHeight="1">
      <x:c r="A280" s="36" t="str">
        <x:v>EW Waste Matrix!row 38</x:v>
      </x:c>
      <x:c r="B280" s="37" t="str">
        <x:v>Claims Management</x:v>
      </x:c>
      <x:c r="C280" s="36" t="str"/>
      <x:c r="D280" s="36"/>
      <x:c r="E280" s="36" t="str"/>
      <x:c r="F280" s="36" t="str"/>
      <x:c r="G280" s="36" t="str"/>
      <x:c r="H280" s="36" t="str"/>
      <x:c r="I280" s="36" t="str"/>
      <x:c r="J280" s="36" t="str"/>
      <x:c r="K280" s="36"/>
      <x:c r="L280" s="36" t="str"/>
      <x:c r="M280" s="36" t="str"/>
      <x:c r="N280" s="36" t="str"/>
      <x:c r="O280" s="43"/>
      <x:c r="P280" s="43"/>
      <x:c r="Q280" s="43"/>
      <x:c r="R280" s="43"/>
      <x:c r="S280" s="43"/>
      <x:c r="T280" s="43"/>
      <x:c r="U280" s="43"/>
      <x:c r="V280" s="43"/>
      <x:c r="W280" s="43"/>
      <x:c r="X280" s="43"/>
      <x:c r="Y280" s="43"/>
      <x:c r="Z280" s="43"/>
      <x:c r="AA280" s="43"/>
      <x:c r="AB280" s="43"/>
      <x:c r="AC280" s="43"/>
      <x:c r="AD280" s="43"/>
      <x:c r="AE280" s="43"/>
      <x:c r="AF280" s="43"/>
      <x:c r="AG280" s="43"/>
      <x:c r="AH280" s="43"/>
      <x:c r="AI280" s="43"/>
      <x:c r="AJ280" s="43"/>
      <x:c r="AK280" s="43"/>
      <x:c r="AL280" s="43"/>
      <x:c r="AM280" s="43"/>
      <x:c r="AN280" s="43"/>
      <x:c r="AO280" s="43"/>
      <x:c r="AP280" s="43"/>
    </x:row>
    <x:row r="281" ht="15" hidden="0" customHeight="1">
      <x:c r="A281" s="36" t="str">
        <x:v>EW Waste Matrix!row 39</x:v>
      </x:c>
      <x:c r="B281" s="37" t="str">
        <x:v>NAR Government IT System &amp; Security</x:v>
      </x:c>
      <x:c r="C281" s="36" t="str">
        <x:v>North America</x:v>
      </x:c>
      <x:c r="D281" s="36" t="n">
        <x:v>1.45</x:v>
      </x:c>
      <x:c r="E281" s="36" t="str">
        <x:v>HEALTHY</x:v>
      </x:c>
      <x:c r="F281" s="36" t="str">
        <x:v>YES</x:v>
      </x:c>
      <x:c r="G281" s="36" t="str">
        <x:v>5 — Exactly the minimum — only what's needed to meet the rule, nothing more.</x:v>
      </x:c>
      <x:c r="H281" s="36" t="str">
        <x:v>5 — Severe — criminal liability, loss of a licence, a product or market withdrawal, or a patient-safety / major data-breach exposure.</x:v>
      </x:c>
      <x:c r="I281" s="36" t="str">
        <x:v>5 — Almost certain — active enforcement, an open finding, or automatic detection of a hard reporting obligation.</x:v>
      </x:c>
      <x:c r="J281" s="36" t="str">
        <x:v>5 — Overdue, or under three months away — we're at or near breach.</x:v>
      </x:c>
      <x:c r="K281" s="36" t="n">
        <x:v>25</x:v>
      </x:c>
      <x:c r="L281" s="36" t="str">
        <x:v>P1 — Immediate</x:v>
      </x:c>
      <x:c r="M281" s="36" t="str">
        <x:v>HEALTHY / MUST-DO — P1 — Immediate</x:v>
      </x:c>
      <x:c r="N281" s="36" t="str"/>
      <x:c r="O281" s="43"/>
      <x:c r="P281" s="43"/>
      <x:c r="Q281" s="43"/>
      <x:c r="R281" s="43"/>
      <x:c r="S281" s="43"/>
      <x:c r="T281" s="43"/>
      <x:c r="U281" s="43"/>
      <x:c r="V281" s="43"/>
      <x:c r="W281" s="43"/>
      <x:c r="X281" s="43"/>
      <x:c r="Y281" s="43"/>
      <x:c r="Z281" s="43"/>
      <x:c r="AA281" s="43"/>
      <x:c r="AB281" s="43"/>
      <x:c r="AC281" s="43"/>
      <x:c r="AD281" s="43"/>
      <x:c r="AE281" s="43"/>
      <x:c r="AF281" s="43"/>
      <x:c r="AG281" s="43"/>
      <x:c r="AH281" s="43"/>
      <x:c r="AI281" s="43"/>
      <x:c r="AJ281" s="43"/>
      <x:c r="AK281" s="43"/>
      <x:c r="AL281" s="43"/>
      <x:c r="AM281" s="43"/>
      <x:c r="AN281" s="43"/>
      <x:c r="AO281" s="43"/>
      <x:c r="AP281" s="43"/>
    </x:row>
    <x:row r="282" ht="15" hidden="0" customHeight="1">
      <x:c r="A282" s="36" t="str">
        <x:v>EW Waste Matrix!row 40</x:v>
      </x:c>
      <x:c r="B282" s="37" t="str">
        <x:v>Technology Business Management and FinOps program</x:v>
      </x:c>
      <x:c r="C282" s="36" t="str">
        <x:v>Information Technology ​</x:v>
      </x:c>
      <x:c r="D282" s="36" t="n">
        <x:v>1.4</x:v>
      </x:c>
      <x:c r="E282" s="36" t="str">
        <x:v>HEALTHY</x:v>
      </x:c>
      <x:c r="F282" s="36" t="str"/>
      <x:c r="G282" s="36" t="str"/>
      <x:c r="H282" s="36" t="str"/>
      <x:c r="I282" s="36" t="str"/>
      <x:c r="J282" s="36" t="str"/>
      <x:c r="K282" s="36"/>
      <x:c r="L282" s="36" t="str"/>
      <x:c r="M282" s="36" t="str">
        <x:v>HEALTHY — Rank in priority matrix</x:v>
      </x:c>
      <x:c r="N282" s="36" t="str"/>
      <x:c r="O282" s="43"/>
      <x:c r="P282" s="43"/>
      <x:c r="Q282" s="43"/>
      <x:c r="R282" s="43"/>
      <x:c r="S282" s="43"/>
      <x:c r="T282" s="43"/>
      <x:c r="U282" s="43"/>
      <x:c r="V282" s="43"/>
      <x:c r="W282" s="43"/>
      <x:c r="X282" s="43"/>
      <x:c r="Y282" s="43"/>
      <x:c r="Z282" s="43"/>
      <x:c r="AA282" s="43"/>
      <x:c r="AB282" s="43"/>
      <x:c r="AC282" s="43"/>
      <x:c r="AD282" s="43"/>
      <x:c r="AE282" s="43"/>
      <x:c r="AF282" s="43"/>
      <x:c r="AG282" s="43"/>
      <x:c r="AH282" s="43"/>
      <x:c r="AI282" s="43"/>
      <x:c r="AJ282" s="43"/>
      <x:c r="AK282" s="43"/>
      <x:c r="AL282" s="43"/>
      <x:c r="AM282" s="43"/>
      <x:c r="AN282" s="43"/>
      <x:c r="AO282" s="43"/>
      <x:c r="AP282" s="43"/>
    </x:row>
    <x:row r="283" ht="15" hidden="0" customHeight="1">
      <x:c r="A283" s="36" t="str">
        <x:v>EW Waste Matrix!row 41</x:v>
      </x:c>
      <x:c r="B283" s="37" t="str">
        <x:v>EADI - Master Data Management</x:v>
      </x:c>
      <x:c r="C283" s="36" t="str">
        <x:v>Information Technology ​</x:v>
      </x:c>
      <x:c r="D283" s="36" t="n">
        <x:v>1.1</x:v>
      </x:c>
      <x:c r="E283" s="36" t="str">
        <x:v>HEALTHY</x:v>
      </x:c>
      <x:c r="F283" s="36" t="str"/>
      <x:c r="G283" s="36" t="str"/>
      <x:c r="H283" s="36" t="str"/>
      <x:c r="I283" s="36" t="str"/>
      <x:c r="J283" s="36" t="str"/>
      <x:c r="K283" s="36"/>
      <x:c r="L283" s="36" t="str"/>
      <x:c r="M283" s="36" t="str">
        <x:v>HEALTHY — Rank in priority matrix</x:v>
      </x:c>
      <x:c r="N283" s="36" t="str"/>
      <x:c r="O283" s="43"/>
      <x:c r="P283" s="43"/>
      <x:c r="Q283" s="43"/>
      <x:c r="R283" s="43"/>
      <x:c r="S283" s="43"/>
      <x:c r="T283" s="43"/>
      <x:c r="U283" s="43"/>
      <x:c r="V283" s="43"/>
      <x:c r="W283" s="43"/>
      <x:c r="X283" s="43"/>
      <x:c r="Y283" s="43"/>
      <x:c r="Z283" s="43"/>
      <x:c r="AA283" s="43"/>
      <x:c r="AB283" s="43"/>
      <x:c r="AC283" s="43"/>
      <x:c r="AD283" s="43"/>
      <x:c r="AE283" s="43"/>
      <x:c r="AF283" s="43"/>
      <x:c r="AG283" s="43"/>
      <x:c r="AH283" s="43"/>
      <x:c r="AI283" s="43"/>
      <x:c r="AJ283" s="43"/>
      <x:c r="AK283" s="43"/>
      <x:c r="AL283" s="43"/>
      <x:c r="AM283" s="43"/>
      <x:c r="AN283" s="43"/>
      <x:c r="AO283" s="43"/>
      <x:c r="AP283" s="43"/>
    </x:row>
    <x:row r="284" ht="15" hidden="0" customHeight="1">
      <x:c r="A284" s="36" t="str">
        <x:v>EW Waste Matrix!row 42</x:v>
      </x:c>
      <x:c r="B284" s="37" t="str">
        <x:v>EADI - AI</x:v>
      </x:c>
      <x:c r="C284" s="36" t="str">
        <x:v>Information Technology ​</x:v>
      </x:c>
      <x:c r="D284" s="36" t="n">
        <x:v>1</x:v>
      </x:c>
      <x:c r="E284" s="36" t="str">
        <x:v>HEALTHY</x:v>
      </x:c>
      <x:c r="F284" s="36" t="str"/>
      <x:c r="G284" s="36" t="str"/>
      <x:c r="H284" s="36" t="str"/>
      <x:c r="I284" s="36" t="str"/>
      <x:c r="J284" s="36" t="str"/>
      <x:c r="K284" s="36"/>
      <x:c r="L284" s="36" t="str"/>
      <x:c r="M284" s="36" t="str">
        <x:v>HEALTHY — Rank in priority matrix</x:v>
      </x:c>
      <x:c r="N284" s="36" t="str"/>
      <x:c r="O284" s="43"/>
      <x:c r="P284" s="43"/>
      <x:c r="Q284" s="43"/>
      <x:c r="R284" s="43"/>
      <x:c r="S284" s="43"/>
      <x:c r="T284" s="43"/>
      <x:c r="U284" s="43"/>
      <x:c r="V284" s="43"/>
      <x:c r="W284" s="43"/>
      <x:c r="X284" s="43"/>
      <x:c r="Y284" s="43"/>
      <x:c r="Z284" s="43"/>
      <x:c r="AA284" s="43"/>
      <x:c r="AB284" s="43"/>
      <x:c r="AC284" s="43"/>
      <x:c r="AD284" s="43"/>
      <x:c r="AE284" s="43"/>
      <x:c r="AF284" s="43"/>
      <x:c r="AG284" s="43"/>
      <x:c r="AH284" s="43"/>
      <x:c r="AI284" s="43"/>
      <x:c r="AJ284" s="43"/>
      <x:c r="AK284" s="43"/>
      <x:c r="AL284" s="43"/>
      <x:c r="AM284" s="43"/>
      <x:c r="AN284" s="43"/>
      <x:c r="AO284" s="43"/>
      <x:c r="AP284" s="43"/>
    </x:row>
    <x:row r="285" ht="15" hidden="0" customHeight="1">
      <x:c r="A285" s="36" t="str">
        <x:v>EW Waste Matrix!row 43</x:v>
      </x:c>
      <x:c r="B285" s="37" t="str">
        <x:v>EADI - Modeling</x:v>
      </x:c>
      <x:c r="C285" s="36" t="str">
        <x:v>Information Technology ​</x:v>
      </x:c>
      <x:c r="D285" s="36" t="n">
        <x:v>1.05</x:v>
      </x:c>
      <x:c r="E285" s="36" t="str">
        <x:v>HEALTHY</x:v>
      </x:c>
      <x:c r="F285" s="36" t="str"/>
      <x:c r="G285" s="36" t="str"/>
      <x:c r="H285" s="36" t="str"/>
      <x:c r="I285" s="36" t="str"/>
      <x:c r="J285" s="36" t="str"/>
      <x:c r="K285" s="36"/>
      <x:c r="L285" s="36" t="str"/>
      <x:c r="M285" s="36" t="str">
        <x:v>HEALTHY — Rank in priority matrix</x:v>
      </x:c>
      <x:c r="N285" s="36" t="str"/>
      <x:c r="O285" s="43"/>
      <x:c r="P285" s="43"/>
      <x:c r="Q285" s="43"/>
      <x:c r="R285" s="43"/>
      <x:c r="S285" s="43"/>
      <x:c r="T285" s="43"/>
      <x:c r="U285" s="43"/>
      <x:c r="V285" s="43"/>
      <x:c r="W285" s="43"/>
      <x:c r="X285" s="43"/>
      <x:c r="Y285" s="43"/>
      <x:c r="Z285" s="43"/>
      <x:c r="AA285" s="43"/>
      <x:c r="AB285" s="43"/>
      <x:c r="AC285" s="43"/>
      <x:c r="AD285" s="43"/>
      <x:c r="AE285" s="43"/>
      <x:c r="AF285" s="43"/>
      <x:c r="AG285" s="43"/>
      <x:c r="AH285" s="43"/>
      <x:c r="AI285" s="43"/>
      <x:c r="AJ285" s="43"/>
      <x:c r="AK285" s="43"/>
      <x:c r="AL285" s="43"/>
      <x:c r="AM285" s="43"/>
      <x:c r="AN285" s="43"/>
      <x:c r="AO285" s="43"/>
      <x:c r="AP285" s="43"/>
    </x:row>
    <x:row r="286" ht="15" hidden="0" customHeight="1">
      <x:c r="A286" s="36" t="str">
        <x:v>EW Waste Matrix!row 44</x:v>
      </x:c>
      <x:c r="B286" s="37" t="str">
        <x:v>EADI - DataPlatform 2026</x:v>
      </x:c>
      <x:c r="C286" s="36" t="str">
        <x:v>Information Technology ​</x:v>
      </x:c>
      <x:c r="D286" s="36" t="n">
        <x:v>1</x:v>
      </x:c>
      <x:c r="E286" s="36" t="str">
        <x:v>HEALTHY</x:v>
      </x:c>
      <x:c r="F286" s="36" t="str"/>
      <x:c r="G286" s="36" t="str"/>
      <x:c r="H286" s="36" t="str"/>
      <x:c r="I286" s="36" t="str"/>
      <x:c r="J286" s="36" t="str"/>
      <x:c r="K286" s="36"/>
      <x:c r="L286" s="36" t="str"/>
      <x:c r="M286" s="36" t="str">
        <x:v>HEALTHY — Rank in priority matrix</x:v>
      </x:c>
      <x:c r="N286" s="36" t="str"/>
      <x:c r="O286" s="43"/>
      <x:c r="P286" s="43"/>
      <x:c r="Q286" s="43"/>
      <x:c r="R286" s="43"/>
      <x:c r="S286" s="43"/>
      <x:c r="T286" s="43"/>
      <x:c r="U286" s="43"/>
      <x:c r="V286" s="43"/>
      <x:c r="W286" s="43"/>
      <x:c r="X286" s="43"/>
      <x:c r="Y286" s="43"/>
      <x:c r="Z286" s="43"/>
      <x:c r="AA286" s="43"/>
      <x:c r="AB286" s="43"/>
      <x:c r="AC286" s="43"/>
      <x:c r="AD286" s="43"/>
      <x:c r="AE286" s="43"/>
      <x:c r="AF286" s="43"/>
      <x:c r="AG286" s="43"/>
      <x:c r="AH286" s="43"/>
      <x:c r="AI286" s="43"/>
      <x:c r="AJ286" s="43"/>
      <x:c r="AK286" s="43"/>
      <x:c r="AL286" s="43"/>
      <x:c r="AM286" s="43"/>
      <x:c r="AN286" s="43"/>
      <x:c r="AO286" s="43"/>
      <x:c r="AP286" s="43"/>
    </x:row>
    <x:row r="287" ht="15" hidden="0" customHeight="1">
      <x:c r="A287" s="36" t="str">
        <x:v>EW Waste Matrix!row 45</x:v>
      </x:c>
      <x:c r="B287" s="37" t="str">
        <x:v>EDI - AI Innovation - MCP, Voice, Automation, Business Inisights App</x:v>
      </x:c>
      <x:c r="C287" s="36" t="str">
        <x:v>Information Technology ​</x:v>
      </x:c>
      <x:c r="D287" s="36" t="n">
        <x:v>1</x:v>
      </x:c>
      <x:c r="E287" s="36" t="str">
        <x:v>HEALTHY</x:v>
      </x:c>
      <x:c r="F287" s="36" t="str"/>
      <x:c r="G287" s="36" t="str"/>
      <x:c r="H287" s="36" t="str"/>
      <x:c r="I287" s="36" t="str"/>
      <x:c r="J287" s="36" t="str"/>
      <x:c r="K287" s="36"/>
      <x:c r="L287" s="36" t="str"/>
      <x:c r="M287" s="36" t="str">
        <x:v>HEALTHY — Rank in priority matrix</x:v>
      </x:c>
      <x:c r="N287" s="36" t="str"/>
      <x:c r="O287" s="43"/>
      <x:c r="P287" s="43"/>
      <x:c r="Q287" s="43"/>
      <x:c r="R287" s="43"/>
      <x:c r="S287" s="43"/>
      <x:c r="T287" s="43"/>
      <x:c r="U287" s="43"/>
      <x:c r="V287" s="43"/>
      <x:c r="W287" s="43"/>
      <x:c r="X287" s="43"/>
      <x:c r="Y287" s="43"/>
      <x:c r="Z287" s="43"/>
      <x:c r="AA287" s="43"/>
      <x:c r="AB287" s="43"/>
      <x:c r="AC287" s="43"/>
      <x:c r="AD287" s="43"/>
      <x:c r="AE287" s="43"/>
      <x:c r="AF287" s="43"/>
      <x:c r="AG287" s="43"/>
      <x:c r="AH287" s="43"/>
      <x:c r="AI287" s="43"/>
      <x:c r="AJ287" s="43"/>
      <x:c r="AK287" s="43"/>
      <x:c r="AL287" s="43"/>
      <x:c r="AM287" s="43"/>
      <x:c r="AN287" s="43"/>
      <x:c r="AO287" s="43"/>
      <x:c r="AP287" s="43"/>
    </x:row>
    <x:row r="288" ht="15" hidden="0" customHeight="1">
      <x:c r="A288" s="36" t="str">
        <x:v>EW Waste Matrix!row 46</x:v>
      </x:c>
      <x:c r="B288" s="37" t="str">
        <x:v>EADI - Exploration AI capabilities for Supply Chain</x:v>
      </x:c>
      <x:c r="C288" s="36" t="str">
        <x:v>Information Technology ​</x:v>
      </x:c>
      <x:c r="D288" s="36" t="n">
        <x:v>1</x:v>
      </x:c>
      <x:c r="E288" s="36" t="str">
        <x:v>HEALTHY</x:v>
      </x:c>
      <x:c r="F288" s="36" t="str"/>
      <x:c r="G288" s="36" t="str"/>
      <x:c r="H288" s="36" t="str"/>
      <x:c r="I288" s="36" t="str"/>
      <x:c r="J288" s="36" t="str"/>
      <x:c r="K288" s="36"/>
      <x:c r="L288" s="36" t="str"/>
      <x:c r="M288" s="36" t="str">
        <x:v>HEALTHY — Rank in priority matrix</x:v>
      </x:c>
      <x:c r="N288" s="36" t="str"/>
      <x:c r="O288" s="43"/>
      <x:c r="P288" s="43"/>
      <x:c r="Q288" s="43"/>
      <x:c r="R288" s="43"/>
      <x:c r="S288" s="43"/>
      <x:c r="T288" s="43"/>
      <x:c r="U288" s="43"/>
      <x:c r="V288" s="43"/>
      <x:c r="W288" s="43"/>
      <x:c r="X288" s="43"/>
      <x:c r="Y288" s="43"/>
      <x:c r="Z288" s="43"/>
      <x:c r="AA288" s="43"/>
      <x:c r="AB288" s="43"/>
      <x:c r="AC288" s="43"/>
      <x:c r="AD288" s="43"/>
      <x:c r="AE288" s="43"/>
      <x:c r="AF288" s="43"/>
      <x:c r="AG288" s="43"/>
      <x:c r="AH288" s="43"/>
      <x:c r="AI288" s="43"/>
      <x:c r="AJ288" s="43"/>
      <x:c r="AK288" s="43"/>
      <x:c r="AL288" s="43"/>
      <x:c r="AM288" s="43"/>
      <x:c r="AN288" s="43"/>
      <x:c r="AO288" s="43"/>
      <x:c r="AP288" s="43"/>
    </x:row>
    <x:row r="289" ht="15" hidden="0" customHeight="1">
      <x:c r="A289" s="36" t="str">
        <x:v>EW Waste Matrix!row 47</x:v>
      </x:c>
      <x:c r="B289" s="37" t="str">
        <x:v>EADI - I&amp;A Business Intelligence Rationalisation</x:v>
      </x:c>
      <x:c r="C289" s="36" t="str">
        <x:v>Information Technology ​</x:v>
      </x:c>
      <x:c r="D289" s="36" t="n">
        <x:v>1.35</x:v>
      </x:c>
      <x:c r="E289" s="36" t="str">
        <x:v>HEALTHY</x:v>
      </x:c>
      <x:c r="F289" s="36" t="str"/>
      <x:c r="G289" s="36" t="str"/>
      <x:c r="H289" s="36" t="str"/>
      <x:c r="I289" s="36" t="str"/>
      <x:c r="J289" s="36" t="str"/>
      <x:c r="K289" s="36"/>
      <x:c r="L289" s="36" t="str"/>
      <x:c r="M289" s="36" t="str">
        <x:v>HEALTHY — Rank in priority matrix</x:v>
      </x:c>
      <x:c r="N289" s="36" t="str"/>
      <x:c r="O289" s="43"/>
      <x:c r="P289" s="43"/>
      <x:c r="Q289" s="43"/>
      <x:c r="R289" s="43"/>
      <x:c r="S289" s="43"/>
      <x:c r="T289" s="43"/>
      <x:c r="U289" s="43"/>
      <x:c r="V289" s="43"/>
      <x:c r="W289" s="43"/>
      <x:c r="X289" s="43"/>
      <x:c r="Y289" s="43"/>
      <x:c r="Z289" s="43"/>
      <x:c r="AA289" s="43"/>
      <x:c r="AB289" s="43"/>
      <x:c r="AC289" s="43"/>
      <x:c r="AD289" s="43"/>
      <x:c r="AE289" s="43"/>
      <x:c r="AF289" s="43"/>
      <x:c r="AG289" s="43"/>
      <x:c r="AH289" s="43"/>
      <x:c r="AI289" s="43"/>
      <x:c r="AJ289" s="43"/>
      <x:c r="AK289" s="43"/>
      <x:c r="AL289" s="43"/>
      <x:c r="AM289" s="43"/>
      <x:c r="AN289" s="43"/>
      <x:c r="AO289" s="43"/>
      <x:c r="AP289" s="43"/>
    </x:row>
    <x:row r="290" ht="15" hidden="0" customHeight="1">
      <x:c r="A290" s="36" t="str">
        <x:v>EW Waste Matrix!row 48</x:v>
      </x:c>
      <x:c r="B290" s="37" t="str">
        <x:v>EADI - DQ modernization</x:v>
      </x:c>
      <x:c r="C290" s="36" t="str">
        <x:v>Information Technology ​</x:v>
      </x:c>
      <x:c r="D290" s="36" t="n">
        <x:v>1.2</x:v>
      </x:c>
      <x:c r="E290" s="36" t="str">
        <x:v>HEALTHY</x:v>
      </x:c>
      <x:c r="F290" s="36" t="str"/>
      <x:c r="G290" s="36" t="str"/>
      <x:c r="H290" s="36" t="str"/>
      <x:c r="I290" s="36" t="str"/>
      <x:c r="J290" s="36" t="str"/>
      <x:c r="K290" s="36"/>
      <x:c r="L290" s="36" t="str"/>
      <x:c r="M290" s="36" t="str">
        <x:v>HEALTHY — Rank in priority matrix</x:v>
      </x:c>
      <x:c r="N290" s="36" t="str"/>
      <x:c r="O290" s="43"/>
      <x:c r="P290" s="43"/>
      <x:c r="Q290" s="43"/>
      <x:c r="R290" s="43"/>
      <x:c r="S290" s="43"/>
      <x:c r="T290" s="43"/>
      <x:c r="U290" s="43"/>
      <x:c r="V290" s="43"/>
      <x:c r="W290" s="43"/>
      <x:c r="X290" s="43"/>
      <x:c r="Y290" s="43"/>
      <x:c r="Z290" s="43"/>
      <x:c r="AA290" s="43"/>
      <x:c r="AB290" s="43"/>
      <x:c r="AC290" s="43"/>
      <x:c r="AD290" s="43"/>
      <x:c r="AE290" s="43"/>
      <x:c r="AF290" s="43"/>
      <x:c r="AG290" s="43"/>
      <x:c r="AH290" s="43"/>
      <x:c r="AI290" s="43"/>
      <x:c r="AJ290" s="43"/>
      <x:c r="AK290" s="43"/>
      <x:c r="AL290" s="43"/>
      <x:c r="AM290" s="43"/>
      <x:c r="AN290" s="43"/>
      <x:c r="AO290" s="43"/>
      <x:c r="AP290" s="43"/>
    </x:row>
    <x:row r="291" ht="15" hidden="0" customHeight="1">
      <x:c r="A291" s="36" t="str">
        <x:v>EW Waste Matrix!row 49</x:v>
      </x:c>
      <x:c r="B291" s="37" t="str">
        <x:v>EADI - MDM Strategic Positioning</x:v>
      </x:c>
      <x:c r="C291" s="36" t="str">
        <x:v>Information Technology ​</x:v>
      </x:c>
      <x:c r="D291" s="36" t="n">
        <x:v>1.05</x:v>
      </x:c>
      <x:c r="E291" s="36" t="str">
        <x:v>HEALTHY</x:v>
      </x:c>
      <x:c r="F291" s="36" t="str"/>
      <x:c r="G291" s="36" t="str"/>
      <x:c r="H291" s="36" t="str"/>
      <x:c r="I291" s="36" t="str"/>
      <x:c r="J291" s="36" t="str"/>
      <x:c r="K291" s="36"/>
      <x:c r="L291" s="36" t="str"/>
      <x:c r="M291" s="36" t="str">
        <x:v>HEALTHY — Rank in priority matrix</x:v>
      </x:c>
      <x:c r="N291" s="36" t="str"/>
      <x:c r="O291" s="43"/>
      <x:c r="P291" s="43"/>
      <x:c r="Q291" s="43"/>
      <x:c r="R291" s="43"/>
      <x:c r="S291" s="43"/>
      <x:c r="T291" s="43"/>
      <x:c r="U291" s="43"/>
      <x:c r="V291" s="43"/>
      <x:c r="W291" s="43"/>
      <x:c r="X291" s="43"/>
      <x:c r="Y291" s="43"/>
      <x:c r="Z291" s="43"/>
      <x:c r="AA291" s="43"/>
      <x:c r="AB291" s="43"/>
      <x:c r="AC291" s="43"/>
      <x:c r="AD291" s="43"/>
      <x:c r="AE291" s="43"/>
      <x:c r="AF291" s="43"/>
      <x:c r="AG291" s="43"/>
      <x:c r="AH291" s="43"/>
      <x:c r="AI291" s="43"/>
      <x:c r="AJ291" s="43"/>
      <x:c r="AK291" s="43"/>
      <x:c r="AL291" s="43"/>
      <x:c r="AM291" s="43"/>
      <x:c r="AN291" s="43"/>
      <x:c r="AO291" s="43"/>
      <x:c r="AP291" s="43"/>
    </x:row>
    <x:row r="292" ht="15" hidden="0" customHeight="1">
      <x:c r="A292" s="36" t="str">
        <x:v>EW Waste Matrix!row 50</x:v>
      </x:c>
      <x:c r="B292" s="37" t="str">
        <x:v>EADI - Data Design &amp; Lineage</x:v>
      </x:c>
      <x:c r="C292" s="36" t="str">
        <x:v>Information Technology ​</x:v>
      </x:c>
      <x:c r="D292" s="36" t="n">
        <x:v>1.1</x:v>
      </x:c>
      <x:c r="E292" s="36" t="str">
        <x:v>HEALTHY</x:v>
      </x:c>
      <x:c r="F292" s="36" t="str"/>
      <x:c r="G292" s="36" t="str"/>
      <x:c r="H292" s="36" t="str"/>
      <x:c r="I292" s="36" t="str"/>
      <x:c r="J292" s="36" t="str"/>
      <x:c r="K292" s="36"/>
      <x:c r="L292" s="36" t="str"/>
      <x:c r="M292" s="36" t="str">
        <x:v>HEALTHY — Rank in priority matrix</x:v>
      </x:c>
      <x:c r="N292" s="36" t="str"/>
      <x:c r="O292" s="43"/>
      <x:c r="P292" s="43"/>
      <x:c r="Q292" s="43"/>
      <x:c r="R292" s="43"/>
      <x:c r="S292" s="43"/>
      <x:c r="T292" s="43"/>
      <x:c r="U292" s="43"/>
      <x:c r="V292" s="43"/>
      <x:c r="W292" s="43"/>
      <x:c r="X292" s="43"/>
      <x:c r="Y292" s="43"/>
      <x:c r="Z292" s="43"/>
      <x:c r="AA292" s="43"/>
      <x:c r="AB292" s="43"/>
      <x:c r="AC292" s="43"/>
      <x:c r="AD292" s="43"/>
      <x:c r="AE292" s="43"/>
      <x:c r="AF292" s="43"/>
      <x:c r="AG292" s="43"/>
      <x:c r="AH292" s="43"/>
      <x:c r="AI292" s="43"/>
      <x:c r="AJ292" s="43"/>
      <x:c r="AK292" s="43"/>
      <x:c r="AL292" s="43"/>
      <x:c r="AM292" s="43"/>
      <x:c r="AN292" s="43"/>
      <x:c r="AO292" s="43"/>
      <x:c r="AP292" s="43"/>
    </x:row>
    <x:row r="293" ht="15" hidden="0" customHeight="1">
      <x:c r="A293" s="36" t="str">
        <x:v>EW Waste Matrix!row 51</x:v>
      </x:c>
      <x:c r="B293" s="37" t="str">
        <x:v>EADI - Data Design &amp; Lineage</x:v>
      </x:c>
      <x:c r="C293" s="36" t="str">
        <x:v>Information Technology ​</x:v>
      </x:c>
      <x:c r="D293" s="36" t="n">
        <x:v>1.1</x:v>
      </x:c>
      <x:c r="E293" s="36" t="str">
        <x:v>HEALTHY</x:v>
      </x:c>
      <x:c r="F293" s="36" t="str"/>
      <x:c r="G293" s="36" t="str"/>
      <x:c r="H293" s="36" t="str"/>
      <x:c r="I293" s="36" t="str"/>
      <x:c r="J293" s="36" t="str"/>
      <x:c r="K293" s="36"/>
      <x:c r="L293" s="36" t="str"/>
      <x:c r="M293" s="36" t="str">
        <x:v>HEALTHY — Rank in priority matrix</x:v>
      </x:c>
      <x:c r="N293" s="36" t="str"/>
      <x:c r="O293" s="43"/>
      <x:c r="P293" s="43"/>
      <x:c r="Q293" s="43"/>
      <x:c r="R293" s="43"/>
      <x:c r="S293" s="43"/>
      <x:c r="T293" s="43"/>
      <x:c r="U293" s="43"/>
      <x:c r="V293" s="43"/>
      <x:c r="W293" s="43"/>
      <x:c r="X293" s="43"/>
      <x:c r="Y293" s="43"/>
      <x:c r="Z293" s="43"/>
      <x:c r="AA293" s="43"/>
      <x:c r="AB293" s="43"/>
      <x:c r="AC293" s="43"/>
      <x:c r="AD293" s="43"/>
      <x:c r="AE293" s="43"/>
      <x:c r="AF293" s="43"/>
      <x:c r="AG293" s="43"/>
      <x:c r="AH293" s="43"/>
      <x:c r="AI293" s="43"/>
      <x:c r="AJ293" s="43"/>
      <x:c r="AK293" s="43"/>
      <x:c r="AL293" s="43"/>
      <x:c r="AM293" s="43"/>
      <x:c r="AN293" s="43"/>
      <x:c r="AO293" s="43"/>
      <x:c r="AP293" s="43"/>
    </x:row>
    <x:row r="294" ht="15" hidden="0" customHeight="1">
      <x:c r="A294" s="36" t="str">
        <x:v>EW Waste Matrix!row 52</x:v>
      </x:c>
      <x:c r="B294" s="37" t="str">
        <x:v>EADI- Enabling GAIT</x:v>
      </x:c>
      <x:c r="C294" s="36" t="str">
        <x:v>Information Technology ​</x:v>
      </x:c>
      <x:c r="D294" s="36" t="n">
        <x:v>1.2</x:v>
      </x:c>
      <x:c r="E294" s="36" t="str">
        <x:v>HEALTHY</x:v>
      </x:c>
      <x:c r="F294" s="36" t="str"/>
      <x:c r="G294" s="36" t="str"/>
      <x:c r="H294" s="36" t="str"/>
      <x:c r="I294" s="36" t="str"/>
      <x:c r="J294" s="36" t="str"/>
      <x:c r="K294" s="36"/>
      <x:c r="L294" s="36" t="str"/>
      <x:c r="M294" s="36" t="str">
        <x:v>HEALTHY — Rank in priority matrix</x:v>
      </x:c>
      <x:c r="N294" s="36" t="str"/>
      <x:c r="O294" s="43"/>
      <x:c r="P294" s="43"/>
      <x:c r="Q294" s="43"/>
      <x:c r="R294" s="43"/>
      <x:c r="S294" s="43"/>
      <x:c r="T294" s="43"/>
      <x:c r="U294" s="43"/>
      <x:c r="V294" s="43"/>
      <x:c r="W294" s="43"/>
      <x:c r="X294" s="43"/>
      <x:c r="Y294" s="43"/>
      <x:c r="Z294" s="43"/>
      <x:c r="AA294" s="43"/>
      <x:c r="AB294" s="43"/>
      <x:c r="AC294" s="43"/>
      <x:c r="AD294" s="43"/>
      <x:c r="AE294" s="43"/>
      <x:c r="AF294" s="43"/>
      <x:c r="AG294" s="43"/>
      <x:c r="AH294" s="43"/>
      <x:c r="AI294" s="43"/>
      <x:c r="AJ294" s="43"/>
      <x:c r="AK294" s="43"/>
      <x:c r="AL294" s="43"/>
      <x:c r="AM294" s="43"/>
      <x:c r="AN294" s="43"/>
      <x:c r="AO294" s="43"/>
      <x:c r="AP294" s="43"/>
    </x:row>
    <x:row r="295" ht="15" hidden="0" customHeight="1">
      <x:c r="A295" s="36" t="str">
        <x:v>EW Waste Matrix!row 53</x:v>
      </x:c>
      <x:c r="B295" s="37" t="str">
        <x:v>IR - Brazil Tax Reform Phase 3</x:v>
      </x:c>
      <x:c r="C295" s="36" t="str">
        <x:v>International Regions (IR) - Overall </x:v>
      </x:c>
      <x:c r="D295" s="36" t="n">
        <x:v>1</x:v>
      </x:c>
      <x:c r="E295" s="36" t="str">
        <x:v>HEALTHY</x:v>
      </x:c>
      <x:c r="F295" s="36" t="str">
        <x:v>YES</x:v>
      </x:c>
      <x:c r="G295" s="36" t="str">
        <x:v>5 — Exactly the minimum — only what's needed to meet the rule, nothing more.</x:v>
      </x:c>
      <x:c r="H295" s="36" t="str">
        <x:v>5 — Severe — criminal liability, loss of a licence, a product or market withdrawal, or a patient-safety / major data-breach exposure.</x:v>
      </x:c>
      <x:c r="I295" s="36" t="str">
        <x:v>5 — Almost certain — active enforcement, an open finding, or automatic detection of a hard reporting obligation.</x:v>
      </x:c>
      <x:c r="J295" s="36" t="str">
        <x:v>3 — Between six months and a year away.</x:v>
      </x:c>
      <x:c r="K295" s="36" t="n">
        <x:v>25</x:v>
      </x:c>
      <x:c r="L295" s="36" t="str">
        <x:v>P1 — Immediate</x:v>
      </x:c>
      <x:c r="M295" s="36" t="str">
        <x:v>HEALTHY / MUST-DO — P1 — Immediate</x:v>
      </x:c>
      <x:c r="N295" s="36" t="str"/>
      <x:c r="O295" s="43"/>
      <x:c r="P295" s="43"/>
      <x:c r="Q295" s="43"/>
      <x:c r="R295" s="43"/>
      <x:c r="S295" s="43"/>
      <x:c r="T295" s="43"/>
      <x:c r="U295" s="43"/>
      <x:c r="V295" s="43"/>
      <x:c r="W295" s="43"/>
      <x:c r="X295" s="43"/>
      <x:c r="Y295" s="43"/>
      <x:c r="Z295" s="43"/>
      <x:c r="AA295" s="43"/>
      <x:c r="AB295" s="43"/>
      <x:c r="AC295" s="43"/>
      <x:c r="AD295" s="43"/>
      <x:c r="AE295" s="43"/>
      <x:c r="AF295" s="43"/>
      <x:c r="AG295" s="43"/>
      <x:c r="AH295" s="43"/>
      <x:c r="AI295" s="43"/>
      <x:c r="AJ295" s="43"/>
      <x:c r="AK295" s="43"/>
      <x:c r="AL295" s="43"/>
      <x:c r="AM295" s="43"/>
      <x:c r="AN295" s="43"/>
      <x:c r="AO295" s="43"/>
      <x:c r="AP295" s="43"/>
    </x:row>
    <x:row r="296" ht="15" hidden="0" customHeight="1">
      <x:c r="A296" s="36" t="str">
        <x:v>EW Waste Matrix!row 54</x:v>
      </x:c>
      <x:c r="B296" s="37" t="str">
        <x:v>IR - India Privacy Data Protection Bill</x:v>
      </x:c>
      <x:c r="C296" s="36" t="str">
        <x:v>International Regions (IR) - Overall </x:v>
      </x:c>
      <x:c r="D296" s="36" t="n">
        <x:v>1</x:v>
      </x:c>
      <x:c r="E296" s="36" t="str">
        <x:v>HEALTHY</x:v>
      </x:c>
      <x:c r="F296" s="36" t="str">
        <x:v>YES</x:v>
      </x:c>
      <x:c r="G296" s="36" t="str">
        <x:v>5 — Exactly the minimum — only what's needed to meet the rule, nothing more.</x:v>
      </x:c>
      <x:c r="H296" s="36" t="str">
        <x:v>5 — Severe — criminal liability, loss of a licence, a product or market withdrawal, or a patient-safety / major data-breach exposure.</x:v>
      </x:c>
      <x:c r="I296" s="36" t="str">
        <x:v>4 — Likely — an audit or inspection is scheduled, or we've had findings on this before.</x:v>
      </x:c>
      <x:c r="J296" s="36" t="str">
        <x:v>4 — Less than six months away.</x:v>
      </x:c>
      <x:c r="K296" s="36" t="n">
        <x:v>20</x:v>
      </x:c>
      <x:c r="L296" s="36" t="str">
        <x:v>P1 — Immediate</x:v>
      </x:c>
      <x:c r="M296" s="36" t="str">
        <x:v>HEALTHY / MUST-DO — P1 — Immediate</x:v>
      </x:c>
      <x:c r="N296" s="36" t="str"/>
      <x:c r="O296" s="43"/>
      <x:c r="P296" s="43"/>
      <x:c r="Q296" s="43"/>
      <x:c r="R296" s="43"/>
      <x:c r="S296" s="43"/>
      <x:c r="T296" s="43"/>
      <x:c r="U296" s="43"/>
      <x:c r="V296" s="43"/>
      <x:c r="W296" s="43"/>
      <x:c r="X296" s="43"/>
      <x:c r="Y296" s="43"/>
      <x:c r="Z296" s="43"/>
      <x:c r="AA296" s="43"/>
      <x:c r="AB296" s="43"/>
      <x:c r="AC296" s="43"/>
      <x:c r="AD296" s="43"/>
      <x:c r="AE296" s="43"/>
      <x:c r="AF296" s="43"/>
      <x:c r="AG296" s="43"/>
      <x:c r="AH296" s="43"/>
      <x:c r="AI296" s="43"/>
      <x:c r="AJ296" s="43"/>
      <x:c r="AK296" s="43"/>
      <x:c r="AL296" s="43"/>
      <x:c r="AM296" s="43"/>
      <x:c r="AN296" s="43"/>
      <x:c r="AO296" s="43"/>
      <x:c r="AP296" s="43"/>
    </x:row>
    <x:row r="297" ht="15" hidden="0" customHeight="1">
      <x:c r="A297" s="36" t="str">
        <x:v>EW Waste Matrix!row 55</x:v>
      </x:c>
      <x:c r="B297" s="37" t="str">
        <x:v>IR - ORU Lebanon (formalize current operations)</x:v>
      </x:c>
      <x:c r="C297" s="36" t="str">
        <x:v>International Regions (IR) - Overall </x:v>
      </x:c>
      <x:c r="D297" s="36" t="n">
        <x:v>1.15</x:v>
      </x:c>
      <x:c r="E297" s="36" t="str">
        <x:v>HEALTHY</x:v>
      </x:c>
      <x:c r="F297" s="36" t="str">
        <x:v>YES</x:v>
      </x:c>
      <x:c r="G297" s="36" t="str">
        <x:v>5 — Exactly the minimum — only what's needed to meet the rule, nothing more.</x:v>
      </x:c>
      <x:c r="H297" s="36" t="str">
        <x:v>5 — Severe — criminal liability, loss of a licence, a product or market withdrawal, or a patient-safety / major data-breach exposure.</x:v>
      </x:c>
      <x:c r="I297" s="36" t="str">
        <x:v>3 — Possible — there's general enforcement in this area and periodic audits.</x:v>
      </x:c>
      <x:c r="J297" s="36" t="str">
        <x:v>5 — Overdue, or under three months away — we're at or near breach.</x:v>
      </x:c>
      <x:c r="K297" s="36" t="n">
        <x:v>15</x:v>
      </x:c>
      <x:c r="L297" s="36" t="str">
        <x:v>P1 — Immediate</x:v>
      </x:c>
      <x:c r="M297" s="36" t="str">
        <x:v>HEALTHY / MUST-DO — P1 — Immediate</x:v>
      </x:c>
      <x:c r="N297" s="36" t="str"/>
      <x:c r="O297" s="43"/>
      <x:c r="P297" s="43"/>
      <x:c r="Q297" s="43"/>
      <x:c r="R297" s="43"/>
      <x:c r="S297" s="43"/>
      <x:c r="T297" s="43"/>
      <x:c r="U297" s="43"/>
      <x:c r="V297" s="43"/>
      <x:c r="W297" s="43"/>
      <x:c r="X297" s="43"/>
      <x:c r="Y297" s="43"/>
      <x:c r="Z297" s="43"/>
      <x:c r="AA297" s="43"/>
      <x:c r="AB297" s="43"/>
      <x:c r="AC297" s="43"/>
      <x:c r="AD297" s="43"/>
      <x:c r="AE297" s="43"/>
      <x:c r="AF297" s="43"/>
      <x:c r="AG297" s="43"/>
      <x:c r="AH297" s="43"/>
      <x:c r="AI297" s="43"/>
      <x:c r="AJ297" s="43"/>
      <x:c r="AK297" s="43"/>
      <x:c r="AL297" s="43"/>
      <x:c r="AM297" s="43"/>
      <x:c r="AN297" s="43"/>
      <x:c r="AO297" s="43"/>
      <x:c r="AP297" s="43"/>
    </x:row>
    <x:row r="298" ht="15" hidden="0" customHeight="1">
      <x:c r="A298" s="36" t="str">
        <x:v>EW Waste Matrix!row 56</x:v>
      </x:c>
      <x:c r="B298" s="37" t="str">
        <x:v>Global Hold program Improvement</x:v>
      </x:c>
      <x:c r="C298" s="36" t="str">
        <x:v>Information Technology ​</x:v>
      </x:c>
      <x:c r="D298" s="36" t="n">
        <x:v>1.25</x:v>
      </x:c>
      <x:c r="E298" s="36" t="str">
        <x:v>HEALTHY</x:v>
      </x:c>
      <x:c r="F298" s="36" t="str"/>
      <x:c r="G298" s="36" t="str"/>
      <x:c r="H298" s="36" t="str"/>
      <x:c r="I298" s="36" t="str"/>
      <x:c r="J298" s="36" t="str"/>
      <x:c r="K298" s="36"/>
      <x:c r="L298" s="36" t="str"/>
      <x:c r="M298" s="36" t="str">
        <x:v>HEALTHY — Rank in priority matrix</x:v>
      </x:c>
      <x:c r="N298" s="36" t="str"/>
      <x:c r="O298" s="43"/>
      <x:c r="P298" s="43"/>
      <x:c r="Q298" s="43"/>
      <x:c r="R298" s="43"/>
      <x:c r="S298" s="43"/>
      <x:c r="T298" s="43"/>
      <x:c r="U298" s="43"/>
      <x:c r="V298" s="43"/>
      <x:c r="W298" s="43"/>
      <x:c r="X298" s="43"/>
      <x:c r="Y298" s="43"/>
      <x:c r="Z298" s="43"/>
      <x:c r="AA298" s="43"/>
      <x:c r="AB298" s="43"/>
      <x:c r="AC298" s="43"/>
      <x:c r="AD298" s="43"/>
      <x:c r="AE298" s="43"/>
      <x:c r="AF298" s="43"/>
      <x:c r="AG298" s="43"/>
      <x:c r="AH298" s="43"/>
      <x:c r="AI298" s="43"/>
      <x:c r="AJ298" s="43"/>
      <x:c r="AK298" s="43"/>
      <x:c r="AL298" s="43"/>
      <x:c r="AM298" s="43"/>
      <x:c r="AN298" s="43"/>
      <x:c r="AO298" s="43"/>
      <x:c r="AP298" s="43"/>
    </x:row>
    <x:row r="299" ht="15" hidden="0" customHeight="1">
      <x:c r="A299" s="36" t="str">
        <x:v>EW Waste Matrix!row 57</x:v>
      </x:c>
      <x:c r="B299" s="37" t="str">
        <x:v>Centralized Certificate Verification(CCV) </x:v>
      </x:c>
      <x:c r="C299" s="36" t="str">
        <x:v>Information Technology ​</x:v>
      </x:c>
      <x:c r="D299" s="36" t="n">
        <x:v>1.35</x:v>
      </x:c>
      <x:c r="E299" s="36" t="str">
        <x:v>HEALTHY</x:v>
      </x:c>
      <x:c r="F299" s="36" t="str"/>
      <x:c r="G299" s="36" t="str"/>
      <x:c r="H299" s="36" t="str"/>
      <x:c r="I299" s="36" t="str"/>
      <x:c r="J299" s="36" t="str"/>
      <x:c r="K299" s="36"/>
      <x:c r="L299" s="36" t="str"/>
      <x:c r="M299" s="36" t="str">
        <x:v>HEALTHY — Rank in priority matrix</x:v>
      </x:c>
      <x:c r="N299" s="36" t="str"/>
      <x:c r="O299" s="43"/>
      <x:c r="P299" s="43"/>
      <x:c r="Q299" s="43"/>
      <x:c r="R299" s="43"/>
      <x:c r="S299" s="43"/>
      <x:c r="T299" s="43"/>
      <x:c r="U299" s="43"/>
      <x:c r="V299" s="43"/>
      <x:c r="W299" s="43"/>
      <x:c r="X299" s="43"/>
      <x:c r="Y299" s="43"/>
      <x:c r="Z299" s="43"/>
      <x:c r="AA299" s="43"/>
      <x:c r="AB299" s="43"/>
      <x:c r="AC299" s="43"/>
      <x:c r="AD299" s="43"/>
      <x:c r="AE299" s="43"/>
      <x:c r="AF299" s="43"/>
      <x:c r="AG299" s="43"/>
      <x:c r="AH299" s="43"/>
      <x:c r="AI299" s="43"/>
      <x:c r="AJ299" s="43"/>
      <x:c r="AK299" s="43"/>
      <x:c r="AL299" s="43"/>
      <x:c r="AM299" s="43"/>
      <x:c r="AN299" s="43"/>
      <x:c r="AO299" s="43"/>
      <x:c r="AP299" s="43"/>
    </x:row>
    <x:row r="300" ht="15" hidden="0" customHeight="1">
      <x:c r="A300" s="36" t="str">
        <x:v>EW Waste Matrix!row 58</x:v>
      </x:c>
      <x:c r="B300" s="37" t="str">
        <x:v>RM AI big bet</x:v>
      </x:c>
      <x:c r="C300" s="36" t="str">
        <x:v>Information Technology ​</x:v>
      </x:c>
      <x:c r="D300" s="36" t="n">
        <x:v>1.7</x:v>
      </x:c>
      <x:c r="E300" s="36" t="str">
        <x:v>HEALTHY</x:v>
      </x:c>
      <x:c r="F300" s="36" t="str"/>
      <x:c r="G300" s="36" t="str"/>
      <x:c r="H300" s="36" t="str"/>
      <x:c r="I300" s="36" t="str"/>
      <x:c r="J300" s="36" t="str"/>
      <x:c r="K300" s="36"/>
      <x:c r="L300" s="36" t="str"/>
      <x:c r="M300" s="36" t="str">
        <x:v>HEALTHY — Rank in priority matrix</x:v>
      </x:c>
      <x:c r="N300" s="36" t="str"/>
      <x:c r="O300" s="43"/>
      <x:c r="P300" s="43"/>
      <x:c r="Q300" s="43"/>
      <x:c r="R300" s="43"/>
      <x:c r="S300" s="43"/>
      <x:c r="T300" s="43"/>
      <x:c r="U300" s="43"/>
      <x:c r="V300" s="43"/>
      <x:c r="W300" s="43"/>
      <x:c r="X300" s="43"/>
      <x:c r="Y300" s="43"/>
      <x:c r="Z300" s="43"/>
      <x:c r="AA300" s="43"/>
      <x:c r="AB300" s="43"/>
      <x:c r="AC300" s="43"/>
      <x:c r="AD300" s="43"/>
      <x:c r="AE300" s="43"/>
      <x:c r="AF300" s="43"/>
      <x:c r="AG300" s="43"/>
      <x:c r="AH300" s="43"/>
      <x:c r="AI300" s="43"/>
      <x:c r="AJ300" s="43"/>
      <x:c r="AK300" s="43"/>
      <x:c r="AL300" s="43"/>
      <x:c r="AM300" s="43"/>
      <x:c r="AN300" s="43"/>
      <x:c r="AO300" s="43"/>
      <x:c r="AP300" s="43"/>
    </x:row>
    <x:row r="301" ht="15" hidden="0" customHeight="1">
      <x:c r="A301" s="36" t="str">
        <x:v>EW Waste Matrix!row 59</x:v>
      </x:c>
      <x:c r="B301" s="37" t="str">
        <x:v>IT-Security - Global one Badge</x:v>
      </x:c>
      <x:c r="C301" s="36" t="str">
        <x:v>Information Technology ​</x:v>
      </x:c>
      <x:c r="D301" s="36" t="n">
        <x:v>1.25</x:v>
      </x:c>
      <x:c r="E301" s="36" t="str">
        <x:v>HEALTHY</x:v>
      </x:c>
      <x:c r="F301" s="36" t="str"/>
      <x:c r="G301" s="36" t="str"/>
      <x:c r="H301" s="36" t="str"/>
      <x:c r="I301" s="36" t="str"/>
      <x:c r="J301" s="36" t="str"/>
      <x:c r="K301" s="36"/>
      <x:c r="L301" s="36" t="str"/>
      <x:c r="M301" s="36" t="str">
        <x:v>HEALTHY — Rank in priority matrix</x:v>
      </x:c>
      <x:c r="N301" s="36" t="str"/>
      <x:c r="O301" s="43"/>
      <x:c r="P301" s="43"/>
      <x:c r="Q301" s="43"/>
      <x:c r="R301" s="43"/>
      <x:c r="S301" s="43"/>
      <x:c r="T301" s="43"/>
      <x:c r="U301" s="43"/>
      <x:c r="V301" s="43"/>
      <x:c r="W301" s="43"/>
      <x:c r="X301" s="43"/>
      <x:c r="Y301" s="43"/>
      <x:c r="Z301" s="43"/>
      <x:c r="AA301" s="43"/>
      <x:c r="AB301" s="43"/>
      <x:c r="AC301" s="43"/>
      <x:c r="AD301" s="43"/>
      <x:c r="AE301" s="43"/>
      <x:c r="AF301" s="43"/>
      <x:c r="AG301" s="43"/>
      <x:c r="AH301" s="43"/>
      <x:c r="AI301" s="43"/>
      <x:c r="AJ301" s="43"/>
      <x:c r="AK301" s="43"/>
      <x:c r="AL301" s="43"/>
      <x:c r="AM301" s="43"/>
      <x:c r="AN301" s="43"/>
      <x:c r="AO301" s="43"/>
      <x:c r="AP301" s="43"/>
    </x:row>
    <x:row r="302" ht="15" hidden="0" customHeight="1">
      <x:c r="A302" s="36" t="str">
        <x:v>EW Waste Matrix!row 60</x:v>
      </x:c>
      <x:c r="B302" s="37" t="str">
        <x:v>Finance IT DRP - AP Invoice Process Automation (PIPE) </x:v>
      </x:c>
      <x:c r="C302" s="36" t="str">
        <x:v>Finance​</x:v>
      </x:c>
      <x:c r="D302" s="36" t="n">
        <x:v>1</x:v>
      </x:c>
      <x:c r="E302" s="36" t="str">
        <x:v>HEALTHY</x:v>
      </x:c>
      <x:c r="F302" s="36" t="str"/>
      <x:c r="G302" s="36" t="str"/>
      <x:c r="H302" s="36" t="str"/>
      <x:c r="I302" s="36" t="str"/>
      <x:c r="J302" s="36" t="str"/>
      <x:c r="K302" s="36"/>
      <x:c r="L302" s="36" t="str"/>
      <x:c r="M302" s="36" t="str">
        <x:v>HEALTHY — Rank in priority matrix</x:v>
      </x:c>
      <x:c r="N302" s="36" t="str"/>
      <x:c r="O302" s="43"/>
      <x:c r="P302" s="43"/>
      <x:c r="Q302" s="43"/>
      <x:c r="R302" s="43"/>
      <x:c r="S302" s="43"/>
      <x:c r="T302" s="43"/>
      <x:c r="U302" s="43"/>
      <x:c r="V302" s="43"/>
      <x:c r="W302" s="43"/>
      <x:c r="X302" s="43"/>
      <x:c r="Y302" s="43"/>
      <x:c r="Z302" s="43"/>
      <x:c r="AA302" s="43"/>
      <x:c r="AB302" s="43"/>
      <x:c r="AC302" s="43"/>
      <x:c r="AD302" s="43"/>
      <x:c r="AE302" s="43"/>
      <x:c r="AF302" s="43"/>
      <x:c r="AG302" s="43"/>
      <x:c r="AH302" s="43"/>
      <x:c r="AI302" s="43"/>
      <x:c r="AJ302" s="43"/>
      <x:c r="AK302" s="43"/>
      <x:c r="AL302" s="43"/>
      <x:c r="AM302" s="43"/>
      <x:c r="AN302" s="43"/>
      <x:c r="AO302" s="43"/>
      <x:c r="AP302" s="43"/>
    </x:row>
    <x:row r="303" ht="15" hidden="0" customHeight="1">
      <x:c r="A303" s="36" t="str">
        <x:v>EW Waste Matrix!row 61</x:v>
      </x:c>
      <x:c r="B303" s="37" t="str">
        <x:v>ISC IT DRP</x:v>
      </x:c>
      <x:c r="C303" s="36" t="str">
        <x:v>Information Technology ​</x:v>
      </x:c>
      <x:c r="D303" s="36"/>
      <x:c r="E303" s="36" t="str"/>
      <x:c r="F303" s="36" t="str"/>
      <x:c r="G303" s="36" t="str"/>
      <x:c r="H303" s="36" t="str"/>
      <x:c r="I303" s="36" t="str"/>
      <x:c r="J303" s="36" t="str"/>
      <x:c r="K303" s="36"/>
      <x:c r="L303" s="36" t="str"/>
      <x:c r="M303" s="36" t="str"/>
      <x:c r="N303" s="36" t="str">
        <x:v>Zero budget line, split reflected in # 135 - 138</x:v>
      </x:c>
      <x:c r="O303" s="43"/>
      <x:c r="P303" s="43"/>
      <x:c r="Q303" s="43"/>
      <x:c r="R303" s="43"/>
      <x:c r="S303" s="43"/>
      <x:c r="T303" s="43"/>
      <x:c r="U303" s="43"/>
      <x:c r="V303" s="43"/>
      <x:c r="W303" s="43"/>
      <x:c r="X303" s="43"/>
      <x:c r="Y303" s="43"/>
      <x:c r="Z303" s="43"/>
      <x:c r="AA303" s="43"/>
      <x:c r="AB303" s="43"/>
      <x:c r="AC303" s="43"/>
      <x:c r="AD303" s="43"/>
      <x:c r="AE303" s="43"/>
      <x:c r="AF303" s="43"/>
      <x:c r="AG303" s="43"/>
      <x:c r="AH303" s="43"/>
      <x:c r="AI303" s="43"/>
      <x:c r="AJ303" s="43"/>
      <x:c r="AK303" s="43"/>
      <x:c r="AL303" s="43"/>
      <x:c r="AM303" s="43"/>
      <x:c r="AN303" s="43"/>
      <x:c r="AO303" s="43"/>
      <x:c r="AP303" s="43"/>
    </x:row>
    <x:row r="304" ht="15" hidden="0" customHeight="1">
      <x:c r="A304" s="36" t="str">
        <x:v>EW Waste Matrix!row 62</x:v>
      </x:c>
      <x:c r="B304" s="37" t="str">
        <x:v>Services &amp; Solutions IT DRP</x:v>
      </x:c>
      <x:c r="C304" s="36" t="str">
        <x:v>Information Technology ​</x:v>
      </x:c>
      <x:c r="D304" s="36"/>
      <x:c r="E304" s="36" t="str"/>
      <x:c r="F304" s="36" t="str"/>
      <x:c r="G304" s="36" t="str"/>
      <x:c r="H304" s="36" t="str"/>
      <x:c r="I304" s="36" t="str"/>
      <x:c r="J304" s="36" t="str"/>
      <x:c r="K304" s="36"/>
      <x:c r="L304" s="36" t="str"/>
      <x:c r="M304" s="36" t="str"/>
      <x:c r="N304" s="36" t="str"/>
      <x:c r="O304" s="43"/>
      <x:c r="P304" s="43"/>
      <x:c r="Q304" s="43"/>
      <x:c r="R304" s="43"/>
      <x:c r="S304" s="43"/>
      <x:c r="T304" s="43"/>
      <x:c r="U304" s="43"/>
      <x:c r="V304" s="43"/>
      <x:c r="W304" s="43"/>
      <x:c r="X304" s="43"/>
      <x:c r="Y304" s="43"/>
      <x:c r="Z304" s="43"/>
      <x:c r="AA304" s="43"/>
      <x:c r="AB304" s="43"/>
      <x:c r="AC304" s="43"/>
      <x:c r="AD304" s="43"/>
      <x:c r="AE304" s="43"/>
      <x:c r="AF304" s="43"/>
      <x:c r="AG304" s="43"/>
      <x:c r="AH304" s="43"/>
      <x:c r="AI304" s="43"/>
      <x:c r="AJ304" s="43"/>
      <x:c r="AK304" s="43"/>
      <x:c r="AL304" s="43"/>
      <x:c r="AM304" s="43"/>
      <x:c r="AN304" s="43"/>
      <x:c r="AO304" s="43"/>
      <x:c r="AP304" s="43"/>
    </x:row>
    <x:row r="305" ht="15" hidden="0" customHeight="1">
      <x:c r="A305" s="36" t="str">
        <x:v>EW Waste Matrix!row 63</x:v>
      </x:c>
      <x:c r="B305" s="37" t="str">
        <x:v>Commercial IT DRP</x:v>
      </x:c>
      <x:c r="C305" s="36" t="str">
        <x:v>Information Technology ​</x:v>
      </x:c>
      <x:c r="D305" s="36" t="n">
        <x:v>1.45</x:v>
      </x:c>
      <x:c r="E305" s="36" t="str">
        <x:v>HEALTHY</x:v>
      </x:c>
      <x:c r="F305" s="36" t="str"/>
      <x:c r="G305" s="36" t="str"/>
      <x:c r="H305" s="36" t="str"/>
      <x:c r="I305" s="36" t="str"/>
      <x:c r="J305" s="36" t="str"/>
      <x:c r="K305" s="36"/>
      <x:c r="L305" s="36" t="str"/>
      <x:c r="M305" s="36" t="str">
        <x:v>HEALTHY — Rank in priority matrix</x:v>
      </x:c>
      <x:c r="N305" s="36" t="str"/>
      <x:c r="O305" s="43"/>
      <x:c r="P305" s="43"/>
      <x:c r="Q305" s="43"/>
      <x:c r="R305" s="43"/>
      <x:c r="S305" s="43"/>
      <x:c r="T305" s="43"/>
      <x:c r="U305" s="43"/>
      <x:c r="V305" s="43"/>
      <x:c r="W305" s="43"/>
      <x:c r="X305" s="43"/>
      <x:c r="Y305" s="43"/>
      <x:c r="Z305" s="43"/>
      <x:c r="AA305" s="43"/>
      <x:c r="AB305" s="43"/>
      <x:c r="AC305" s="43"/>
      <x:c r="AD305" s="43"/>
      <x:c r="AE305" s="43"/>
      <x:c r="AF305" s="43"/>
      <x:c r="AG305" s="43"/>
      <x:c r="AH305" s="43"/>
      <x:c r="AI305" s="43"/>
      <x:c r="AJ305" s="43"/>
      <x:c r="AK305" s="43"/>
      <x:c r="AL305" s="43"/>
      <x:c r="AM305" s="43"/>
      <x:c r="AN305" s="43"/>
      <x:c r="AO305" s="43"/>
      <x:c r="AP305" s="43"/>
    </x:row>
    <x:row r="306" ht="15" hidden="0" customHeight="1">
      <x:c r="A306" s="36" t="str">
        <x:v>EW Waste Matrix!row 64</x:v>
      </x:c>
      <x:c r="B306" s="37" t="str">
        <x:v>PST &amp; Hubwoo Replatforming </x:v>
      </x:c>
      <x:c r="C306" s="36" t="str">
        <x:v>Information Technology ​</x:v>
      </x:c>
      <x:c r="D306" s="36" t="n">
        <x:v>1.45</x:v>
      </x:c>
      <x:c r="E306" s="36" t="str">
        <x:v>HEALTHY</x:v>
      </x:c>
      <x:c r="F306" s="36" t="str"/>
      <x:c r="G306" s="36" t="str"/>
      <x:c r="H306" s="36" t="str"/>
      <x:c r="I306" s="36" t="str"/>
      <x:c r="J306" s="36" t="str"/>
      <x:c r="K306" s="36"/>
      <x:c r="L306" s="36" t="str"/>
      <x:c r="M306" s="36" t="str">
        <x:v>HEALTHY — Rank in priority matrix</x:v>
      </x:c>
      <x:c r="N306" s="36" t="str"/>
      <x:c r="O306" s="43"/>
      <x:c r="P306" s="43"/>
      <x:c r="Q306" s="43"/>
      <x:c r="R306" s="43"/>
      <x:c r="S306" s="43"/>
      <x:c r="T306" s="43"/>
      <x:c r="U306" s="43"/>
      <x:c r="V306" s="43"/>
      <x:c r="W306" s="43"/>
      <x:c r="X306" s="43"/>
      <x:c r="Y306" s="43"/>
      <x:c r="Z306" s="43"/>
      <x:c r="AA306" s="43"/>
      <x:c r="AB306" s="43"/>
      <x:c r="AC306" s="43"/>
      <x:c r="AD306" s="43"/>
      <x:c r="AE306" s="43"/>
      <x:c r="AF306" s="43"/>
      <x:c r="AG306" s="43"/>
      <x:c r="AH306" s="43"/>
      <x:c r="AI306" s="43"/>
      <x:c r="AJ306" s="43"/>
      <x:c r="AK306" s="43"/>
      <x:c r="AL306" s="43"/>
      <x:c r="AM306" s="43"/>
      <x:c r="AN306" s="43"/>
      <x:c r="AO306" s="43"/>
      <x:c r="AP306" s="43"/>
    </x:row>
    <x:row r="307" ht="15" hidden="0" customHeight="1">
      <x:c r="A307" s="36" t="str">
        <x:v>EW Waste Matrix!row 65</x:v>
      </x:c>
      <x:c r="B307" s="37" t="str">
        <x:v>GCR IT Decommission</x:v>
      </x:c>
      <x:c r="C307" s="36" t="str">
        <x:v>Information Technology ​</x:v>
      </x:c>
      <x:c r="D307" s="36" t="n">
        <x:v>1.8</x:v>
      </x:c>
      <x:c r="E307" s="36" t="str">
        <x:v>HEALTHY</x:v>
      </x:c>
      <x:c r="F307" s="36" t="str">
        <x:v>YES</x:v>
      </x:c>
      <x:c r="G307" s="36" t="str">
        <x:v>4 — Lean — scope is limited to compliance, with small, justified allowances.</x:v>
      </x:c>
      <x:c r="H307" s="36" t="str">
        <x:v>3 — Meaningful fine, a reportable finding, or a limited restriction on the business.</x:v>
      </x:c>
      <x:c r="I307" s="36" t="str">
        <x:v>3 — Possible — there's general enforcement in this area and periodic audits.</x:v>
      </x:c>
      <x:c r="J307" s="36" t="str">
        <x:v>3 — Between six months and a year away.</x:v>
      </x:c>
      <x:c r="K307" s="36" t="n">
        <x:v>9</x:v>
      </x:c>
      <x:c r="L307" s="36" t="str">
        <x:v>P2 — Scheduled</x:v>
      </x:c>
      <x:c r="M307" s="36" t="str">
        <x:v>HEALTHY / MUST-DO — P2 — Scheduled</x:v>
      </x:c>
      <x:c r="N307" s="36" t="str"/>
      <x:c r="O307" s="43"/>
      <x:c r="P307" s="43"/>
      <x:c r="Q307" s="43"/>
      <x:c r="R307" s="43"/>
      <x:c r="S307" s="43"/>
      <x:c r="T307" s="43"/>
      <x:c r="U307" s="43"/>
      <x:c r="V307" s="43"/>
      <x:c r="W307" s="43"/>
      <x:c r="X307" s="43"/>
      <x:c r="Y307" s="43"/>
      <x:c r="Z307" s="43"/>
      <x:c r="AA307" s="43"/>
      <x:c r="AB307" s="43"/>
      <x:c r="AC307" s="43"/>
      <x:c r="AD307" s="43"/>
      <x:c r="AE307" s="43"/>
      <x:c r="AF307" s="43"/>
      <x:c r="AG307" s="43"/>
      <x:c r="AH307" s="43"/>
      <x:c r="AI307" s="43"/>
      <x:c r="AJ307" s="43"/>
      <x:c r="AK307" s="43"/>
      <x:c r="AL307" s="43"/>
      <x:c r="AM307" s="43"/>
      <x:c r="AN307" s="43"/>
      <x:c r="AO307" s="43"/>
      <x:c r="AP307" s="43"/>
    </x:row>
    <x:row r="308" ht="15" hidden="0" customHeight="1">
      <x:c r="A308" s="36" t="str">
        <x:v>EW Waste Matrix!row 66</x:v>
      </x:c>
      <x:c r="B308" s="37" t="str">
        <x:v>3rd Party Screening Replatformation</x:v>
      </x:c>
      <x:c r="C308" s="36" t="str">
        <x:v>Legal​</x:v>
      </x:c>
      <x:c r="D308" s="36" t="n">
        <x:v>1.05</x:v>
      </x:c>
      <x:c r="E308" s="36" t="str">
        <x:v>HEALTHY</x:v>
      </x:c>
      <x:c r="F308" s="36" t="str">
        <x:v>YES</x:v>
      </x:c>
      <x:c r="G308" s="36" t="str">
        <x:v>4 — Lean — scope is limited to compliance, with small, justified allowances.</x:v>
      </x:c>
      <x:c r="H308" s="36" t="str">
        <x:v>5 — Severe — criminal liability, loss of a licence, a product or market withdrawal, or a patient-safety / major data-breach exposure.</x:v>
      </x:c>
      <x:c r="I308" s="36" t="str">
        <x:v>5 — Almost certain — active enforcement, an open finding, or automatic detection of a hard reporting obligation.</x:v>
      </x:c>
      <x:c r="J308" s="36" t="str">
        <x:v>5 — Overdue, or under three months away — we're at or near breach.</x:v>
      </x:c>
      <x:c r="K308" s="36" t="n">
        <x:v>25</x:v>
      </x:c>
      <x:c r="L308" s="36" t="str">
        <x:v>P1 — Immediate</x:v>
      </x:c>
      <x:c r="M308" s="36" t="str">
        <x:v>HEALTHY / MUST-DO — P1 — Immediate</x:v>
      </x:c>
      <x:c r="N308" s="36" t="str">
        <x:v>1) BOM commitment priority, ABAC &amp; Export control regulations require that we screen our third parties.</x:v>
      </x:c>
      <x:c r="O308" s="43"/>
      <x:c r="P308" s="43"/>
      <x:c r="Q308" s="43"/>
      <x:c r="R308" s="43"/>
      <x:c r="S308" s="43"/>
      <x:c r="T308" s="43"/>
      <x:c r="U308" s="43"/>
      <x:c r="V308" s="43"/>
      <x:c r="W308" s="43"/>
      <x:c r="X308" s="43"/>
      <x:c r="Y308" s="43"/>
      <x:c r="Z308" s="43"/>
      <x:c r="AA308" s="43"/>
      <x:c r="AB308" s="43"/>
      <x:c r="AC308" s="43"/>
      <x:c r="AD308" s="43"/>
      <x:c r="AE308" s="43"/>
      <x:c r="AF308" s="43"/>
      <x:c r="AG308" s="43"/>
      <x:c r="AH308" s="43"/>
      <x:c r="AI308" s="43"/>
      <x:c r="AJ308" s="43"/>
      <x:c r="AK308" s="43"/>
      <x:c r="AL308" s="43"/>
      <x:c r="AM308" s="43"/>
      <x:c r="AN308" s="43"/>
      <x:c r="AO308" s="43"/>
      <x:c r="AP308" s="43"/>
    </x:row>
    <x:row r="309" ht="15" hidden="0" customHeight="1">
      <x:c r="A309" s="36" t="str">
        <x:v>EW Waste Matrix!row 69</x:v>
      </x:c>
      <x:c r="B309" s="37" t="str">
        <x:v>Contractor Management &amp; Permit to Work</x:v>
      </x:c>
      <x:c r="C309" s="36" t="str">
        <x:v>Health &amp; Safety​</x:v>
      </x:c>
      <x:c r="D309" s="36" t="n">
        <x:v>1.3</x:v>
      </x:c>
      <x:c r="E309" s="36" t="str">
        <x:v>HEALTHY</x:v>
      </x:c>
      <x:c r="F309" s="36" t="str">
        <x:v>YES</x:v>
      </x:c>
      <x:c r="G309" s="36" t="str">
        <x:v>4 — Lean — scope is limited to compliance, with small, justified allowances.</x:v>
      </x:c>
      <x:c r="H309" s="36" t="str">
        <x:v>5 — Severe — criminal liability, loss of a licence, a product or market withdrawal, or a patient-safety / major data-breach exposure.</x:v>
      </x:c>
      <x:c r="I309" s="36" t="str">
        <x:v>4 — Likely — an audit or inspection is scheduled, or we've had findings on this before.</x:v>
      </x:c>
      <x:c r="J309" s="36" t="str">
        <x:v>5 — Overdue, or under three months away — we're at or near breach.</x:v>
      </x:c>
      <x:c r="K309" s="36" t="n">
        <x:v>20</x:v>
      </x:c>
      <x:c r="L309" s="36" t="str">
        <x:v>P1 — Immediate</x:v>
      </x:c>
      <x:c r="M309" s="36" t="str">
        <x:v>HEALTHY / MUST-DO — P1 — Immediate</x:v>
      </x:c>
      <x:c r="N309" s="36" t="str">
        <x:v>1) License to Operate (Ex: Environmenatal related permit to work at  Drachten Factory is essential for that faclity to operate, smilarly there are laws and reguations across countries - Philips factories and facilities)</x:v>
      </x:c>
      <x:c r="O309" s="43"/>
      <x:c r="P309" s="43"/>
      <x:c r="Q309" s="43"/>
      <x:c r="R309" s="43"/>
      <x:c r="S309" s="43"/>
      <x:c r="T309" s="43"/>
      <x:c r="U309" s="43"/>
      <x:c r="V309" s="43"/>
      <x:c r="W309" s="43"/>
      <x:c r="X309" s="43"/>
      <x:c r="Y309" s="43"/>
      <x:c r="Z309" s="43"/>
      <x:c r="AA309" s="43"/>
      <x:c r="AB309" s="43"/>
      <x:c r="AC309" s="43"/>
      <x:c r="AD309" s="43"/>
      <x:c r="AE309" s="43"/>
      <x:c r="AF309" s="43"/>
      <x:c r="AG309" s="43"/>
      <x:c r="AH309" s="43"/>
      <x:c r="AI309" s="43"/>
      <x:c r="AJ309" s="43"/>
      <x:c r="AK309" s="43"/>
      <x:c r="AL309" s="43"/>
      <x:c r="AM309" s="43"/>
      <x:c r="AN309" s="43"/>
      <x:c r="AO309" s="43"/>
      <x:c r="AP309" s="43"/>
    </x:row>
    <x:row r="310" ht="15" hidden="0" customHeight="1">
      <x:c r="A310" s="36" t="str">
        <x:v>EW Waste Matrix!row 72</x:v>
      </x:c>
      <x:c r="B310" s="37" t="str">
        <x:v>Optro Accelerate Module </x:v>
      </x:c>
      <x:c r="C310" s="36" t="str">
        <x:v>Internal Audit ​</x:v>
      </x:c>
      <x:c r="D310" s="36" t="n">
        <x:v>1.2</x:v>
      </x:c>
      <x:c r="E310" s="36" t="str">
        <x:v>HEALTHY</x:v>
      </x:c>
      <x:c r="F310" s="36" t="str">
        <x:v>NO</x:v>
      </x:c>
      <x:c r="G310" s="36" t="str">
        <x:v>3 — Mostly lean — only a few extras beyond the minimum remain.</x:v>
      </x:c>
      <x:c r="H310" s="36" t="str">
        <x:v>2 — Small fine or advisory notice — limited clean-up.</x:v>
      </x:c>
      <x:c r="I310" s="36" t="str">
        <x:v>3 — Possible — there's general enforcement in this area and periodic audits.</x:v>
      </x:c>
      <x:c r="J310" s="36" t="str">
        <x:v>2 — Between one and two years away.</x:v>
      </x:c>
      <x:c r="K310" s="36" t="n">
        <x:v>6</x:v>
      </x:c>
      <x:c r="L310" s="36" t="str">
        <x:v>P3 — Plan in window</x:v>
      </x:c>
      <x:c r="M310" s="36" t="str">
        <x:v>HEALTHY — Rank in priority matrix</x:v>
      </x:c>
      <x:c r="N310" s="36" t="str">
        <x: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 </x:v>
      </x:c>
      <x:c r="O310" s="43"/>
      <x:c r="P310" s="43"/>
      <x:c r="Q310" s="43"/>
      <x:c r="R310" s="43"/>
      <x:c r="S310" s="43"/>
      <x:c r="T310" s="43"/>
      <x:c r="U310" s="43"/>
      <x:c r="V310" s="43"/>
      <x:c r="W310" s="43"/>
      <x:c r="X310" s="43"/>
      <x:c r="Y310" s="43"/>
      <x:c r="Z310" s="43"/>
      <x:c r="AA310" s="43"/>
      <x:c r="AB310" s="43"/>
      <x:c r="AC310" s="43"/>
      <x:c r="AD310" s="43"/>
      <x:c r="AE310" s="43"/>
      <x:c r="AF310" s="43"/>
      <x:c r="AG310" s="43"/>
      <x:c r="AH310" s="43"/>
      <x:c r="AI310" s="43"/>
      <x:c r="AJ310" s="43"/>
      <x:c r="AK310" s="43"/>
      <x:c r="AL310" s="43"/>
      <x:c r="AM310" s="43"/>
      <x:c r="AN310" s="43"/>
      <x:c r="AO310" s="43"/>
      <x:c r="AP310" s="43"/>
    </x:row>
    <x:row r="311" ht="15" hidden="0" customHeight="1">
      <x:c r="A311" s="36" t="str">
        <x:v>EW Waste Matrix!row 73</x:v>
      </x:c>
      <x:c r="B311" s="37" t="str">
        <x:v>Internal Audit - AI and Innovation</x:v>
      </x:c>
      <x:c r="C311" s="36" t="str">
        <x:v>Internal Audit ​</x:v>
      </x:c>
      <x:c r="D311" s="36" t="n">
        <x:v>1.65</x:v>
      </x:c>
      <x:c r="E311" s="36" t="str">
        <x:v>HEALTHY</x:v>
      </x:c>
      <x:c r="F311" s="36" t="str">
        <x:v>NO</x:v>
      </x:c>
      <x:c r="G311" s="36" t="str">
        <x:v>3 — Mostly lean — only a few extras beyond the minimum remain.</x:v>
      </x:c>
      <x:c r="H311" s="36" t="str">
        <x:v>2 — Small fine or advisory notice — limited clean-up.</x:v>
      </x:c>
      <x:c r="I311" s="36" t="str">
        <x:v>2 — Unlikely — possible, but no sign of any audit or enforcement.</x:v>
      </x:c>
      <x:c r="J311" s="36" t="str">
        <x:v>2 — Between one and two years away.</x:v>
      </x:c>
      <x:c r="K311" s="36" t="n">
        <x:v>4</x:v>
      </x:c>
      <x:c r="L311" s="36" t="str">
        <x:v>P3 — Plan in window</x:v>
      </x:c>
      <x:c r="M311" s="36" t="str">
        <x:v>HEALTHY — Rank in priority matrix</x:v>
      </x:c>
      <x:c r="N311" s="36" t="str">
        <x:v>1) LFR =  Internal Audit Standards - mainly</x:v>
      </x:c>
      <x:c r="O311" s="43"/>
      <x:c r="P311" s="43"/>
      <x:c r="Q311" s="43"/>
      <x:c r="R311" s="43"/>
      <x:c r="S311" s="43"/>
      <x:c r="T311" s="43"/>
      <x:c r="U311" s="43"/>
      <x:c r="V311" s="43"/>
      <x:c r="W311" s="43"/>
      <x:c r="X311" s="43"/>
      <x:c r="Y311" s="43"/>
      <x:c r="Z311" s="43"/>
      <x:c r="AA311" s="43"/>
      <x:c r="AB311" s="43"/>
      <x:c r="AC311" s="43"/>
      <x:c r="AD311" s="43"/>
      <x:c r="AE311" s="43"/>
      <x:c r="AF311" s="43"/>
      <x:c r="AG311" s="43"/>
      <x:c r="AH311" s="43"/>
      <x:c r="AI311" s="43"/>
      <x:c r="AJ311" s="43"/>
      <x:c r="AK311" s="43"/>
      <x:c r="AL311" s="43"/>
      <x:c r="AM311" s="43"/>
      <x:c r="AN311" s="43"/>
      <x:c r="AO311" s="43"/>
      <x:c r="AP311" s="43"/>
    </x:row>
    <x:row r="312" ht="15" hidden="0" customHeight="1">
      <x:c r="A312" s="36" t="str">
        <x:v>EW Waste Matrix!row 75</x:v>
      </x:c>
      <x:c r="B312" s="37" t="str">
        <x:v>Legal - AI and Innovation</x:v>
      </x:c>
      <x:c r="C312" s="36" t="str">
        <x:v>Legal​</x:v>
      </x:c>
      <x:c r="D312" s="36" t="n">
        <x:v>1.65</x:v>
      </x:c>
      <x:c r="E312" s="36" t="str">
        <x:v>HEALTHY</x:v>
      </x:c>
      <x:c r="F312" s="36" t="str">
        <x:v>NO</x:v>
      </x:c>
      <x:c r="G312" s="36" t="str">
        <x:v>3 — Mostly lean — only a few extras beyond the minimum remain.</x:v>
      </x:c>
      <x:c r="H312" s="36" t="str">
        <x:v>3 — Meaningful fine, a reportable finding, or a limited restriction on the business.</x:v>
      </x:c>
      <x:c r="I312" s="36" t="str">
        <x:v>3 — Possible — there's general enforcement in this area and periodic audits.</x:v>
      </x:c>
      <x:c r="J312" s="36" t="str">
        <x:v>2 — Between one and two years away.</x:v>
      </x:c>
      <x:c r="K312" s="36" t="n">
        <x:v>9</x:v>
      </x:c>
      <x:c r="L312" s="36" t="str">
        <x:v>P3 — Plan in window</x:v>
      </x:c>
      <x:c r="M312" s="36" t="str">
        <x:v>HEALTHY — Rank in priority matrix</x:v>
      </x:c>
      <x:c r="N312" s="36" t="str">
        <x:v>1) LFR = ABAC, HCC, Anti-Trust, Export Controls &amp; Sanctions, Philips GBP</x:v>
      </x:c>
      <x:c r="O312" s="43"/>
      <x:c r="P312" s="43"/>
      <x:c r="Q312" s="43"/>
      <x:c r="R312" s="43"/>
      <x:c r="S312" s="43"/>
      <x:c r="T312" s="43"/>
      <x:c r="U312" s="43"/>
      <x:c r="V312" s="43"/>
      <x:c r="W312" s="43"/>
      <x:c r="X312" s="43"/>
      <x:c r="Y312" s="43"/>
      <x:c r="Z312" s="43"/>
      <x:c r="AA312" s="43"/>
      <x:c r="AB312" s="43"/>
      <x:c r="AC312" s="43"/>
      <x:c r="AD312" s="43"/>
      <x:c r="AE312" s="43"/>
      <x:c r="AF312" s="43"/>
      <x:c r="AG312" s="43"/>
      <x:c r="AH312" s="43"/>
      <x:c r="AI312" s="43"/>
      <x:c r="AJ312" s="43"/>
      <x:c r="AK312" s="43"/>
      <x:c r="AL312" s="43"/>
      <x:c r="AM312" s="43"/>
      <x:c r="AN312" s="43"/>
      <x:c r="AO312" s="43"/>
      <x:c r="AP312" s="43"/>
    </x:row>
    <x:row r="313" ht="15" hidden="0" customHeight="1">
      <x:c r="A313" s="36" t="str">
        <x:v>EW Waste Matrix!row 77</x:v>
      </x:c>
      <x:c r="B313" s="37" t="str">
        <x:v>CLARA - Clinical Partnerships (Site &amp; KOL Engagements)</x:v>
      </x:c>
      <x:c r="C313" s="36" t="str">
        <x:v>Medical Office</x:v>
      </x:c>
      <x:c r="D313" s="36" t="n">
        <x:v>1.4</x:v>
      </x:c>
      <x:c r="E313" s="36" t="str">
        <x:v>HEALTHY</x:v>
      </x:c>
      <x:c r="F313" s="36" t="str">
        <x:v>NO</x:v>
      </x:c>
      <x:c r="G313" s="36" t="str">
        <x:v>4 — Lean — scope is limited to compliance, with small, justified allowances.</x:v>
      </x:c>
      <x:c r="H313" s="36" t="str">
        <x:v>4 — Large fine, temporary loss of a licence or certification, or a real hit to customers or the market.</x:v>
      </x:c>
      <x:c r="I313" s="36" t="str">
        <x:v>5 — Almost certain — active enforcement, an open finding, or automatic detection of a hard reporting obligation.</x:v>
      </x:c>
      <x:c r="J313" s="36" t="str">
        <x:v>3 — Between six months and a year away.</x:v>
      </x:c>
      <x:c r="K313" s="36" t="n">
        <x:v>20</x:v>
      </x:c>
      <x:c r="L313" s="36" t="str">
        <x:v>P1 — Immediate</x:v>
      </x:c>
      <x:c r="M313" s="36" t="str">
        <x:v>HEALTHY — Rank in priority matrix</x:v>
      </x:c>
      <x:c r="N313" s="36" t="str">
        <x:v>2) If IT or IT enabling platform can resource this centrally it will be optimal</x:v>
      </x:c>
      <x:c r="O313" s="43"/>
      <x:c r="P313" s="43"/>
      <x:c r="Q313" s="43"/>
      <x:c r="R313" s="43"/>
      <x:c r="S313" s="43"/>
      <x:c r="T313" s="43"/>
      <x:c r="U313" s="43"/>
      <x:c r="V313" s="43"/>
      <x:c r="W313" s="43"/>
      <x:c r="X313" s="43"/>
      <x:c r="Y313" s="43"/>
      <x:c r="Z313" s="43"/>
      <x:c r="AA313" s="43"/>
      <x:c r="AB313" s="43"/>
      <x:c r="AC313" s="43"/>
      <x:c r="AD313" s="43"/>
      <x:c r="AE313" s="43"/>
      <x:c r="AF313" s="43"/>
      <x:c r="AG313" s="43"/>
      <x:c r="AH313" s="43"/>
      <x:c r="AI313" s="43"/>
      <x:c r="AJ313" s="43"/>
      <x:c r="AK313" s="43"/>
      <x:c r="AL313" s="43"/>
      <x:c r="AM313" s="43"/>
      <x:c r="AN313" s="43"/>
      <x:c r="AO313" s="43"/>
      <x:c r="AP313" s="43"/>
    </x:row>
    <x:row r="314" ht="15" hidden="0" customHeight="1">
      <x:c r="A314" s="36" t="str">
        <x:v>EW Waste Matrix!row 78</x:v>
      </x:c>
      <x:c r="B314" s="37" t="str">
        <x:v>BEACON - Program (BoM - Clinical Research Model)</x:v>
      </x:c>
      <x:c r="C314" s="36" t="str">
        <x:v>Medical Office</x:v>
      </x:c>
      <x:c r="D314" s="36" t="n">
        <x:v>1.6</x:v>
      </x:c>
      <x:c r="E314" s="36" t="str">
        <x:v>HEALTHY</x:v>
      </x:c>
      <x:c r="F314" s="36" t="str">
        <x:v>YES</x:v>
      </x:c>
      <x:c r="G314" s="36" t="str">
        <x:v>4 — Lean — scope is limited to compliance, with small, justified allowances.</x:v>
      </x:c>
      <x:c r="H314" s="36" t="str">
        <x:v>4 — Large fine, temporary loss of a licence or certification, or a real hit to customers or the market.</x:v>
      </x:c>
      <x:c r="I314" s="36" t="str">
        <x:v>5 — Almost certain — active enforcement, an open finding, or automatic detection of a hard reporting obligation.</x:v>
      </x:c>
      <x:c r="J314" s="36" t="str">
        <x:v>4 — Less than six months away.</x:v>
      </x:c>
      <x:c r="K314" s="36" t="n">
        <x:v>20</x:v>
      </x:c>
      <x:c r="L314" s="36" t="str">
        <x:v>P1 — Immediate</x:v>
      </x:c>
      <x:c r="M314" s="36" t="str">
        <x:v>HEALTHY / MUST-DO — P1 — Immediate</x:v>
      </x:c>
      <x:c r="N314" s="36" t="str"/>
      <x:c r="O314" s="43"/>
      <x:c r="P314" s="43"/>
      <x:c r="Q314" s="43"/>
      <x:c r="R314" s="43"/>
      <x:c r="S314" s="43"/>
      <x:c r="T314" s="43"/>
      <x:c r="U314" s="43"/>
      <x:c r="V314" s="43"/>
      <x:c r="W314" s="43"/>
      <x:c r="X314" s="43"/>
      <x:c r="Y314" s="43"/>
      <x:c r="Z314" s="43"/>
      <x:c r="AA314" s="43"/>
      <x:c r="AB314" s="43"/>
      <x:c r="AC314" s="43"/>
      <x:c r="AD314" s="43"/>
      <x:c r="AE314" s="43"/>
      <x:c r="AF314" s="43"/>
      <x:c r="AG314" s="43"/>
      <x:c r="AH314" s="43"/>
      <x:c r="AI314" s="43"/>
      <x:c r="AJ314" s="43"/>
      <x:c r="AK314" s="43"/>
      <x:c r="AL314" s="43"/>
      <x:c r="AM314" s="43"/>
      <x:c r="AN314" s="43"/>
      <x:c r="AO314" s="43"/>
      <x:c r="AP314" s="43"/>
    </x:row>
    <x:row r="315" ht="15" hidden="0" customHeight="1">
      <x:c r="A315" s="36" t="str">
        <x:v>EW Waste Matrix!row 79</x:v>
      </x:c>
      <x:c r="B315" s="37" t="str">
        <x:v>Veeva Program (@investor - Evidence &amp;  Claims Management)</x:v>
      </x:c>
      <x:c r="C315" s="36" t="str">
        <x:v>Medical Office</x:v>
      </x:c>
      <x:c r="D315" s="36" t="n">
        <x:v>1.45</x:v>
      </x:c>
      <x:c r="E315" s="36" t="str">
        <x:v>HEALTHY</x:v>
      </x:c>
      <x:c r="F315" s="36" t="str">
        <x:v>YES</x:v>
      </x:c>
      <x:c r="G315" s="36" t="str">
        <x:v>4 — Lean — scope is limited to compliance, with small, justified allowances.</x:v>
      </x:c>
      <x:c r="H315" s="36" t="str">
        <x:v>4 — Large fine, temporary loss of a licence or certification, or a real hit to customers or the market.</x:v>
      </x:c>
      <x:c r="I315" s="36" t="str">
        <x:v>5 — Almost certain — active enforcement, an open finding, or automatic detection of a hard reporting obligation.</x:v>
      </x:c>
      <x:c r="J315" s="36" t="str">
        <x:v>4 — Less than six months away.</x:v>
      </x:c>
      <x:c r="K315" s="36" t="n">
        <x:v>20</x:v>
      </x:c>
      <x:c r="L315" s="36" t="str">
        <x:v>P1 — Immediate</x:v>
      </x:c>
      <x:c r="M315" s="36" t="str">
        <x:v>HEALTHY / MUST-DO — P1 — Immediate</x:v>
      </x:c>
      <x:c r="N315" s="36" t="str"/>
      <x:c r="O315" s="43"/>
      <x:c r="P315" s="43"/>
      <x:c r="Q315" s="43"/>
      <x:c r="R315" s="43"/>
      <x:c r="S315" s="43"/>
      <x:c r="T315" s="43"/>
      <x:c r="U315" s="43"/>
      <x:c r="V315" s="43"/>
      <x:c r="W315" s="43"/>
      <x:c r="X315" s="43"/>
      <x:c r="Y315" s="43"/>
      <x:c r="Z315" s="43"/>
      <x:c r="AA315" s="43"/>
      <x:c r="AB315" s="43"/>
      <x:c r="AC315" s="43"/>
      <x:c r="AD315" s="43"/>
      <x:c r="AE315" s="43"/>
      <x:c r="AF315" s="43"/>
      <x:c r="AG315" s="43"/>
      <x:c r="AH315" s="43"/>
      <x:c r="AI315" s="43"/>
      <x:c r="AJ315" s="43"/>
      <x:c r="AK315" s="43"/>
      <x:c r="AL315" s="43"/>
      <x:c r="AM315" s="43"/>
      <x:c r="AN315" s="43"/>
      <x:c r="AO315" s="43"/>
      <x:c r="AP315" s="43"/>
    </x:row>
    <x:row r="316" ht="15" hidden="0" customHeight="1">
      <x:c r="A316" s="36" t="str">
        <x:v>EW Waste Matrix!row 80</x:v>
      </x:c>
      <x:c r="B316" s="37" t="str">
        <x:v>eClinical Platform - Compliance &amp; Sustain</x:v>
      </x:c>
      <x:c r="C316" s="36" t="str">
        <x:v>Medical Office</x:v>
      </x:c>
      <x:c r="D316" s="36" t="n">
        <x:v>1.6</x:v>
      </x:c>
      <x:c r="E316" s="36" t="str">
        <x:v>HEALTHY</x:v>
      </x:c>
      <x:c r="F316" s="36" t="str">
        <x:v>YES</x:v>
      </x:c>
      <x:c r="G316" s="36" t="str">
        <x:v>4 — Lean — scope is limited to compliance, with small, justified allowances.</x:v>
      </x:c>
      <x:c r="H316" s="36" t="str">
        <x:v>5 — Severe — criminal liability, loss of a licence, a product or market withdrawal, or a patient-safety / major data-breach exposure.</x:v>
      </x:c>
      <x:c r="I316" s="36" t="str">
        <x:v>5 — Almost certain — active enforcement, an open finding, or automatic detection of a hard reporting obligation.</x:v>
      </x:c>
      <x:c r="J316" s="36" t="str">
        <x:v>4 — Less than six months away.</x:v>
      </x:c>
      <x:c r="K316" s="36" t="n">
        <x:v>25</x:v>
      </x:c>
      <x:c r="L316" s="36" t="str">
        <x:v>P1 — Immediate</x:v>
      </x:c>
      <x:c r="M316" s="36" t="str">
        <x:v>HEALTHY / MUST-DO — P1 — Immediate</x:v>
      </x:c>
      <x:c r="N316" s="36" t="str"/>
      <x:c r="O316" s="43"/>
      <x:c r="P316" s="43"/>
      <x:c r="Q316" s="43"/>
      <x:c r="R316" s="43"/>
      <x:c r="S316" s="43"/>
      <x:c r="T316" s="43"/>
      <x:c r="U316" s="43"/>
      <x:c r="V316" s="43"/>
      <x:c r="W316" s="43"/>
      <x:c r="X316" s="43"/>
      <x:c r="Y316" s="43"/>
      <x:c r="Z316" s="43"/>
      <x:c r="AA316" s="43"/>
      <x:c r="AB316" s="43"/>
      <x:c r="AC316" s="43"/>
      <x:c r="AD316" s="43"/>
      <x:c r="AE316" s="43"/>
      <x:c r="AF316" s="43"/>
      <x:c r="AG316" s="43"/>
      <x:c r="AH316" s="43"/>
      <x:c r="AI316" s="43"/>
      <x:c r="AJ316" s="43"/>
      <x:c r="AK316" s="43"/>
      <x:c r="AL316" s="43"/>
      <x:c r="AM316" s="43"/>
      <x:c r="AN316" s="43"/>
      <x:c r="AO316" s="43"/>
      <x:c r="AP316" s="43"/>
    </x:row>
    <x:row r="317" ht="15" hidden="0" customHeight="1">
      <x:c r="A317" s="36" t="str">
        <x:v>EW Waste Matrix!row 81</x:v>
      </x:c>
      <x:c r="B317" s="37" t="str">
        <x:v>AI Big Bets - Clinical &amp; Medical Affairs, Medical Safety, and HEMAR</x:v>
      </x:c>
      <x:c r="C317" s="36" t="str">
        <x:v>Medical Office</x:v>
      </x:c>
      <x:c r="D317" s="36" t="n">
        <x:v>1.1</x:v>
      </x:c>
      <x:c r="E317" s="36" t="str">
        <x:v>HEALTHY</x:v>
      </x:c>
      <x:c r="F317" s="36" t="str"/>
      <x:c r="G317" s="36" t="str"/>
      <x:c r="H317" s="36" t="str"/>
      <x:c r="I317" s="36" t="str"/>
      <x:c r="J317" s="36" t="str"/>
      <x:c r="K317" s="36"/>
      <x:c r="L317" s="36" t="str"/>
      <x:c r="M317" s="36" t="str">
        <x:v>HEALTHY — Rank in priority matrix</x:v>
      </x:c>
      <x:c r="N317" s="36" t="str"/>
      <x:c r="O317" s="43"/>
      <x:c r="P317" s="43"/>
      <x:c r="Q317" s="43"/>
      <x:c r="R317" s="43"/>
      <x:c r="S317" s="43"/>
      <x:c r="T317" s="43"/>
      <x:c r="U317" s="43"/>
      <x:c r="V317" s="43"/>
      <x:c r="W317" s="43"/>
      <x:c r="X317" s="43"/>
      <x:c r="Y317" s="43"/>
      <x:c r="Z317" s="43"/>
      <x:c r="AA317" s="43"/>
      <x:c r="AB317" s="43"/>
      <x:c r="AC317" s="43"/>
      <x:c r="AD317" s="43"/>
      <x:c r="AE317" s="43"/>
      <x:c r="AF317" s="43"/>
      <x:c r="AG317" s="43"/>
      <x:c r="AH317" s="43"/>
      <x:c r="AI317" s="43"/>
      <x:c r="AJ317" s="43"/>
      <x:c r="AK317" s="43"/>
      <x:c r="AL317" s="43"/>
      <x:c r="AM317" s="43"/>
      <x:c r="AN317" s="43"/>
      <x:c r="AO317" s="43"/>
      <x:c r="AP317" s="43"/>
    </x:row>
    <x:row r="318" ht="15" hidden="0" customHeight="1">
      <x:c r="A318" s="36" t="str">
        <x:v>EW Waste Matrix!row 82</x:v>
      </x:c>
      <x:c r="B318" s="37" t="str">
        <x:v>ARIS Process framework</x:v>
      </x:c>
      <x:c r="C318" s="36" t="str">
        <x:v>Information Technology ​</x:v>
      </x:c>
      <x:c r="D318" s="36" t="n">
        <x:v>1.05</x:v>
      </x:c>
      <x:c r="E318" s="36" t="str">
        <x:v>HEALTHY</x:v>
      </x:c>
      <x:c r="F318" s="36" t="str">
        <x:v>YES</x:v>
      </x:c>
      <x:c r="G318" s="36" t="str">
        <x:v>5 — Exactly the minimum — only what's needed to meet the rule, nothing more.</x:v>
      </x:c>
      <x:c r="H318" s="36" t="str">
        <x:v>5 — Severe — criminal liability, loss of a licence, a product or market withdrawal, or a patient-safety / major data-breach exposure.</x:v>
      </x:c>
      <x:c r="I318" s="36" t="str">
        <x:v>5 — Almost certain — active enforcement, an open finding, or automatic detection of a hard reporting obligation.</x:v>
      </x:c>
      <x:c r="J318" s="36" t="str">
        <x:v>2 — Between one and two years away.</x:v>
      </x:c>
      <x:c r="K318" s="36" t="n">
        <x:v>25</x:v>
      </x:c>
      <x:c r="L318" s="36" t="str">
        <x:v>P1 — Immediate</x:v>
      </x:c>
      <x:c r="M318" s="36" t="str">
        <x:v>HEALTHY / MUST-DO — P1 — Immediate</x:v>
      </x:c>
      <x:c r="N318" s="36" t="str">
        <x: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 </x:v>
      </x:c>
      <x:c r="O318" s="43"/>
      <x:c r="P318" s="43"/>
      <x:c r="Q318" s="43"/>
      <x:c r="R318" s="43"/>
      <x:c r="S318" s="43"/>
      <x:c r="T318" s="43"/>
      <x:c r="U318" s="43"/>
      <x:c r="V318" s="43"/>
      <x:c r="W318" s="43"/>
      <x:c r="X318" s="43"/>
      <x:c r="Y318" s="43"/>
      <x:c r="Z318" s="43"/>
      <x:c r="AA318" s="43"/>
      <x:c r="AB318" s="43"/>
      <x:c r="AC318" s="43"/>
      <x:c r="AD318" s="43"/>
      <x:c r="AE318" s="43"/>
      <x:c r="AF318" s="43"/>
      <x:c r="AG318" s="43"/>
      <x:c r="AH318" s="43"/>
      <x:c r="AI318" s="43"/>
      <x:c r="AJ318" s="43"/>
      <x:c r="AK318" s="43"/>
      <x:c r="AL318" s="43"/>
      <x:c r="AM318" s="43"/>
      <x:c r="AN318" s="43"/>
      <x:c r="AO318" s="43"/>
      <x:c r="AP318" s="43"/>
    </x:row>
    <x:row r="319" ht="15" hidden="0" customHeight="1">
      <x:c r="A319" s="36" t="str">
        <x:v>EW Waste Matrix!row 83</x:v>
      </x:c>
      <x:c r="B319" s="37" t="str">
        <x:v>SPINE24</x:v>
      </x:c>
      <x:c r="C319" s="36" t="str">
        <x:v>Information Technology ​</x:v>
      </x:c>
      <x:c r="D319" s="36" t="n">
        <x:v>1.25</x:v>
      </x:c>
      <x:c r="E319" s="36" t="str">
        <x:v>HEALTHY</x:v>
      </x:c>
      <x:c r="F319" s="36" t="str"/>
      <x:c r="G319" s="36" t="str"/>
      <x:c r="H319" s="36" t="str"/>
      <x:c r="I319" s="36" t="str"/>
      <x:c r="J319" s="36" t="str"/>
      <x:c r="K319" s="36"/>
      <x:c r="L319" s="36" t="str"/>
      <x:c r="M319" s="36" t="str">
        <x:v>HEALTHY — Rank in priority matrix</x:v>
      </x:c>
      <x:c r="N319" s="36" t="str"/>
      <x:c r="O319" s="43"/>
      <x:c r="P319" s="43"/>
      <x:c r="Q319" s="43"/>
      <x:c r="R319" s="43"/>
      <x:c r="S319" s="43"/>
      <x:c r="T319" s="43"/>
      <x:c r="U319" s="43"/>
      <x:c r="V319" s="43"/>
      <x:c r="W319" s="43"/>
      <x:c r="X319" s="43"/>
      <x:c r="Y319" s="43"/>
      <x:c r="Z319" s="43"/>
      <x:c r="AA319" s="43"/>
      <x:c r="AB319" s="43"/>
      <x:c r="AC319" s="43"/>
      <x:c r="AD319" s="43"/>
      <x:c r="AE319" s="43"/>
      <x:c r="AF319" s="43"/>
      <x:c r="AG319" s="43"/>
      <x:c r="AH319" s="43"/>
      <x:c r="AI319" s="43"/>
      <x:c r="AJ319" s="43"/>
      <x:c r="AK319" s="43"/>
      <x:c r="AL319" s="43"/>
      <x:c r="AM319" s="43"/>
      <x:c r="AN319" s="43"/>
      <x:c r="AO319" s="43"/>
      <x:c r="AP319" s="43"/>
    </x:row>
    <x:row r="320" ht="15" hidden="0" customHeight="1">
      <x:c r="A320" s="36" t="str">
        <x:v>EW Waste Matrix!row 84</x:v>
      </x:c>
      <x:c r="B320" s="37" t="str">
        <x:v>Future MES</x:v>
      </x:c>
      <x:c r="C320" s="36" t="str">
        <x:v>Information Technology ​</x:v>
      </x:c>
      <x:c r="D320" s="36" t="n">
        <x:v>1.1</x:v>
      </x:c>
      <x:c r="E320" s="36" t="str">
        <x:v>HEALTHY</x:v>
      </x:c>
      <x:c r="F320" s="36" t="str"/>
      <x:c r="G320" s="36" t="str"/>
      <x:c r="H320" s="36" t="str"/>
      <x:c r="I320" s="36" t="str"/>
      <x:c r="J320" s="36" t="str"/>
      <x:c r="K320" s="36"/>
      <x:c r="L320" s="36" t="str"/>
      <x:c r="M320" s="36" t="str">
        <x:v>HEALTHY — Rank in priority matrix</x:v>
      </x:c>
      <x:c r="N320" s="36" t="str"/>
      <x:c r="O320" s="43"/>
      <x:c r="P320" s="43"/>
      <x:c r="Q320" s="43"/>
      <x:c r="R320" s="43"/>
      <x:c r="S320" s="43"/>
      <x:c r="T320" s="43"/>
      <x:c r="U320" s="43"/>
      <x:c r="V320" s="43"/>
      <x:c r="W320" s="43"/>
      <x:c r="X320" s="43"/>
      <x:c r="Y320" s="43"/>
      <x:c r="Z320" s="43"/>
      <x:c r="AA320" s="43"/>
      <x:c r="AB320" s="43"/>
      <x:c r="AC320" s="43"/>
      <x:c r="AD320" s="43"/>
      <x:c r="AE320" s="43"/>
      <x:c r="AF320" s="43"/>
      <x:c r="AG320" s="43"/>
      <x:c r="AH320" s="43"/>
      <x:c r="AI320" s="43"/>
      <x:c r="AJ320" s="43"/>
      <x:c r="AK320" s="43"/>
      <x:c r="AL320" s="43"/>
      <x:c r="AM320" s="43"/>
      <x:c r="AN320" s="43"/>
      <x:c r="AO320" s="43"/>
      <x:c r="AP320" s="43"/>
    </x:row>
    <x:row r="321" ht="15" hidden="0" customHeight="1">
      <x:c r="A321" s="36" t="str">
        <x:v>EW Waste Matrix!row 85</x:v>
      </x:c>
      <x:c r="B321" s="37" t="str">
        <x:v>ARIC Digital finance strategy - RtR</x:v>
      </x:c>
      <x:c r="C321" s="36" t="str">
        <x:v>Finance​</x:v>
      </x:c>
      <x:c r="D321" s="36" t="n">
        <x:v>1</x:v>
      </x:c>
      <x:c r="E321" s="36" t="str">
        <x:v>HEALTHY</x:v>
      </x:c>
      <x:c r="F321" s="36" t="str"/>
      <x:c r="G321" s="36" t="str"/>
      <x:c r="H321" s="36" t="str"/>
      <x:c r="I321" s="36" t="str"/>
      <x:c r="J321" s="36" t="str"/>
      <x:c r="K321" s="36"/>
      <x:c r="L321" s="36" t="str"/>
      <x:c r="M321" s="36" t="str">
        <x:v>HEALTHY — Rank in priority matrix</x:v>
      </x:c>
      <x:c r="N321" s="36" t="str"/>
      <x:c r="O321" s="43"/>
      <x:c r="P321" s="43"/>
      <x:c r="Q321" s="43"/>
      <x:c r="R321" s="43"/>
      <x:c r="S321" s="43"/>
      <x:c r="T321" s="43"/>
      <x:c r="U321" s="43"/>
      <x:c r="V321" s="43"/>
      <x:c r="W321" s="43"/>
      <x:c r="X321" s="43"/>
      <x:c r="Y321" s="43"/>
      <x:c r="Z321" s="43"/>
      <x:c r="AA321" s="43"/>
      <x:c r="AB321" s="43"/>
      <x:c r="AC321" s="43"/>
      <x:c r="AD321" s="43"/>
      <x:c r="AE321" s="43"/>
      <x:c r="AF321" s="43"/>
      <x:c r="AG321" s="43"/>
      <x:c r="AH321" s="43"/>
      <x:c r="AI321" s="43"/>
      <x:c r="AJ321" s="43"/>
      <x:c r="AK321" s="43"/>
      <x:c r="AL321" s="43"/>
      <x:c r="AM321" s="43"/>
      <x:c r="AN321" s="43"/>
      <x:c r="AO321" s="43"/>
      <x:c r="AP321" s="43"/>
    </x:row>
    <x:row r="322" ht="15" hidden="0" customHeight="1">
      <x:c r="A322" s="36" t="str">
        <x:v>EW Waste Matrix!row 86</x:v>
      </x:c>
      <x:c r="B322" s="37" t="str">
        <x:v>ARIC Digital finance strategy-C&amp;C</x:v>
      </x:c>
      <x:c r="C322" s="36" t="str">
        <x:v>Finance​</x:v>
      </x:c>
      <x:c r="D322" s="36" t="n">
        <x:v>1</x:v>
      </x:c>
      <x:c r="E322" s="36" t="str">
        <x:v>HEALTHY</x:v>
      </x:c>
      <x:c r="F322" s="36" t="str"/>
      <x:c r="G322" s="36" t="str"/>
      <x:c r="H322" s="36" t="str"/>
      <x:c r="I322" s="36" t="str"/>
      <x:c r="J322" s="36" t="str"/>
      <x:c r="K322" s="36"/>
      <x:c r="L322" s="36" t="str"/>
      <x:c r="M322" s="36" t="str">
        <x:v>HEALTHY — Rank in priority matrix</x:v>
      </x:c>
      <x:c r="N322" s="36" t="str"/>
      <x:c r="O322" s="43"/>
      <x:c r="P322" s="43"/>
      <x:c r="Q322" s="43"/>
      <x:c r="R322" s="43"/>
      <x:c r="S322" s="43"/>
      <x:c r="T322" s="43"/>
      <x:c r="U322" s="43"/>
      <x:c r="V322" s="43"/>
      <x:c r="W322" s="43"/>
      <x:c r="X322" s="43"/>
      <x:c r="Y322" s="43"/>
      <x:c r="Z322" s="43"/>
      <x:c r="AA322" s="43"/>
      <x:c r="AB322" s="43"/>
      <x:c r="AC322" s="43"/>
      <x:c r="AD322" s="43"/>
      <x:c r="AE322" s="43"/>
      <x:c r="AF322" s="43"/>
      <x:c r="AG322" s="43"/>
      <x:c r="AH322" s="43"/>
      <x:c r="AI322" s="43"/>
      <x:c r="AJ322" s="43"/>
      <x:c r="AK322" s="43"/>
      <x:c r="AL322" s="43"/>
      <x:c r="AM322" s="43"/>
      <x:c r="AN322" s="43"/>
      <x:c r="AO322" s="43"/>
      <x:c r="AP322" s="43"/>
    </x:row>
    <x:row r="323" ht="24" hidden="0" customHeight="1">
      <x:c r="A323" s="36" t="str">
        <x:v>EW Waste Matrix!row 87</x:v>
      </x:c>
      <x:c r="B323" s="37" t="str">
        <x:v>ARIC LFR's Non SAP being ADL/BW/Power BI etc. Dashboard &amp; Reports for SOx &amp; Compliancy purposes </x:v>
      </x:c>
      <x:c r="C323" s="36" t="str">
        <x:v>Finance​</x:v>
      </x:c>
      <x:c r="D323" s="36" t="n">
        <x:v>1.65</x:v>
      </x:c>
      <x:c r="E323" s="36" t="str">
        <x:v>HEALTHY</x:v>
      </x:c>
      <x:c r="F323" s="36" t="str">
        <x:v>YES</x:v>
      </x:c>
      <x:c r="G323" s="36" t="str">
        <x:v>3 — Mostly lean — only a few extras beyond the minimum remain.</x:v>
      </x:c>
      <x:c r="H323" s="36" t="str">
        <x:v>1 — Minor internal issue only — no outside consequence.</x:v>
      </x:c>
      <x:c r="I323" s="36" t="str">
        <x:v>3 — Possible — there's general enforcement in this area and periodic audits.</x:v>
      </x:c>
      <x:c r="J323" s="36" t="str">
        <x:v>3 — Between six months and a year away.</x:v>
      </x:c>
      <x:c r="K323" s="36" t="n">
        <x:v>3</x:v>
      </x:c>
      <x:c r="L323" s="36" t="str">
        <x:v>P2 — Scheduled</x:v>
      </x:c>
      <x:c r="M323" s="36" t="str">
        <x:v>HEALTHY / MUST-DO — P2 — Scheduled</x:v>
      </x:c>
      <x:c r="N323" s="36" t="str"/>
      <x:c r="O323" s="43"/>
      <x:c r="P323" s="43"/>
      <x:c r="Q323" s="43"/>
      <x:c r="R323" s="43"/>
      <x:c r="S323" s="43"/>
      <x:c r="T323" s="43"/>
      <x:c r="U323" s="43"/>
      <x:c r="V323" s="43"/>
      <x:c r="W323" s="43"/>
      <x:c r="X323" s="43"/>
      <x:c r="Y323" s="43"/>
      <x:c r="Z323" s="43"/>
      <x:c r="AA323" s="43"/>
      <x:c r="AB323" s="43"/>
      <x:c r="AC323" s="43"/>
      <x:c r="AD323" s="43"/>
      <x:c r="AE323" s="43"/>
      <x:c r="AF323" s="43"/>
      <x:c r="AG323" s="43"/>
      <x:c r="AH323" s="43"/>
      <x:c r="AI323" s="43"/>
      <x:c r="AJ323" s="43"/>
      <x:c r="AK323" s="43"/>
      <x:c r="AL323" s="43"/>
      <x:c r="AM323" s="43"/>
      <x:c r="AN323" s="43"/>
      <x:c r="AO323" s="43"/>
      <x:c r="AP323" s="43"/>
    </x:row>
    <x:row r="324" ht="15" hidden="0" customHeight="1">
      <x:c r="A324" s="36" t="str">
        <x:v>EW Waste Matrix!row 88</x:v>
      </x:c>
      <x:c r="B324" s="37" t="str">
        <x:v>Automated workflow for SLA preparation &amp; signing &amp; archiving </x:v>
      </x:c>
      <x:c r="C324" s="36" t="str">
        <x:v>Finance​</x:v>
      </x:c>
      <x:c r="D324" s="36"/>
      <x:c r="E324" s="36" t="str"/>
      <x:c r="F324" s="36" t="str"/>
      <x:c r="G324" s="36" t="str"/>
      <x:c r="H324" s="36" t="str"/>
      <x:c r="I324" s="36" t="str"/>
      <x:c r="J324" s="36" t="str"/>
      <x:c r="K324" s="36"/>
      <x:c r="L324" s="36" t="str"/>
      <x:c r="M324" s="36" t="str"/>
      <x:c r="N324" s="36" t="str"/>
      <x:c r="O324" s="43"/>
      <x:c r="P324" s="43"/>
      <x:c r="Q324" s="43"/>
      <x:c r="R324" s="43"/>
      <x:c r="S324" s="43"/>
      <x:c r="T324" s="43"/>
      <x:c r="U324" s="43"/>
      <x:c r="V324" s="43"/>
      <x:c r="W324" s="43"/>
      <x:c r="X324" s="43"/>
      <x:c r="Y324" s="43"/>
      <x:c r="Z324" s="43"/>
      <x:c r="AA324" s="43"/>
      <x:c r="AB324" s="43"/>
      <x:c r="AC324" s="43"/>
      <x:c r="AD324" s="43"/>
      <x:c r="AE324" s="43"/>
      <x:c r="AF324" s="43"/>
      <x:c r="AG324" s="43"/>
      <x:c r="AH324" s="43"/>
      <x:c r="AI324" s="43"/>
      <x:c r="AJ324" s="43"/>
      <x:c r="AK324" s="43"/>
      <x:c r="AL324" s="43"/>
      <x:c r="AM324" s="43"/>
      <x:c r="AN324" s="43"/>
      <x:c r="AO324" s="43"/>
      <x:c r="AP324" s="43"/>
    </x:row>
    <x:row r="325" ht="15" hidden="0" customHeight="1">
      <x:c r="A325" s="36" t="str">
        <x:v>EW Waste Matrix!row 89</x:v>
      </x:c>
      <x:c r="B325" s="37" t="str">
        <x:v>Communication mining for P2P queries</x:v>
      </x:c>
      <x:c r="C325" s="36" t="str">
        <x:v>Finance​</x:v>
      </x:c>
      <x:c r="D325" s="36" t="n">
        <x:v>1.55</x:v>
      </x:c>
      <x:c r="E325" s="36" t="str">
        <x:v>HEALTHY</x:v>
      </x:c>
      <x:c r="F325" s="36" t="str"/>
      <x:c r="G325" s="36" t="str"/>
      <x:c r="H325" s="36" t="str"/>
      <x:c r="I325" s="36" t="str"/>
      <x:c r="J325" s="36" t="str"/>
      <x:c r="K325" s="36"/>
      <x:c r="L325" s="36" t="str"/>
      <x:c r="M325" s="36" t="str">
        <x:v>HEALTHY — Rank in priority matrix</x:v>
      </x:c>
      <x:c r="N325" s="36" t="str"/>
      <x:c r="O325" s="43"/>
      <x:c r="P325" s="43"/>
      <x:c r="Q325" s="43"/>
      <x:c r="R325" s="43"/>
      <x:c r="S325" s="43"/>
      <x:c r="T325" s="43"/>
      <x:c r="U325" s="43"/>
      <x:c r="V325" s="43"/>
      <x:c r="W325" s="43"/>
      <x:c r="X325" s="43"/>
      <x:c r="Y325" s="43"/>
      <x:c r="Z325" s="43"/>
      <x:c r="AA325" s="43"/>
      <x:c r="AB325" s="43"/>
      <x:c r="AC325" s="43"/>
      <x:c r="AD325" s="43"/>
      <x:c r="AE325" s="43"/>
      <x:c r="AF325" s="43"/>
      <x:c r="AG325" s="43"/>
      <x:c r="AH325" s="43"/>
      <x:c r="AI325" s="43"/>
      <x:c r="AJ325" s="43"/>
      <x:c r="AK325" s="43"/>
      <x:c r="AL325" s="43"/>
      <x:c r="AM325" s="43"/>
      <x:c r="AN325" s="43"/>
      <x:c r="AO325" s="43"/>
      <x:c r="AP325" s="43"/>
    </x:row>
    <x:row r="326" ht="15" hidden="0" customHeight="1">
      <x:c r="A326" s="36" t="str">
        <x:v>EW Waste Matrix!row 90</x:v>
      </x:c>
      <x:c r="B326" s="37" t="str">
        <x:v>Concur Request integration with Travel &amp; Joule implementation &amp; AI Audit tool</x:v>
      </x:c>
      <x:c r="C326" s="36" t="str">
        <x:v>Finance​</x:v>
      </x:c>
      <x:c r="D326" s="36" t="n">
        <x:v>1.5</x:v>
      </x:c>
      <x:c r="E326" s="36" t="str">
        <x:v>HEALTHY</x:v>
      </x:c>
      <x:c r="F326" s="36" t="str"/>
      <x:c r="G326" s="36" t="str"/>
      <x:c r="H326" s="36" t="str"/>
      <x:c r="I326" s="36" t="str"/>
      <x:c r="J326" s="36" t="str"/>
      <x:c r="K326" s="36"/>
      <x:c r="L326" s="36" t="str"/>
      <x:c r="M326" s="36" t="str">
        <x:v>HEALTHY — Rank in priority matrix</x:v>
      </x:c>
      <x:c r="N326" s="36" t="str"/>
      <x:c r="O326" s="43"/>
      <x:c r="P326" s="43"/>
      <x:c r="Q326" s="43"/>
      <x:c r="R326" s="43"/>
      <x:c r="S326" s="43"/>
      <x:c r="T326" s="43"/>
      <x:c r="U326" s="43"/>
      <x:c r="V326" s="43"/>
      <x:c r="W326" s="43"/>
      <x:c r="X326" s="43"/>
      <x:c r="Y326" s="43"/>
      <x:c r="Z326" s="43"/>
      <x:c r="AA326" s="43"/>
      <x:c r="AB326" s="43"/>
      <x:c r="AC326" s="43"/>
      <x:c r="AD326" s="43"/>
      <x:c r="AE326" s="43"/>
      <x:c r="AF326" s="43"/>
      <x:c r="AG326" s="43"/>
      <x:c r="AH326" s="43"/>
      <x:c r="AI326" s="43"/>
      <x:c r="AJ326" s="43"/>
      <x:c r="AK326" s="43"/>
      <x:c r="AL326" s="43"/>
      <x:c r="AM326" s="43"/>
      <x:c r="AN326" s="43"/>
      <x:c r="AO326" s="43"/>
      <x:c r="AP326" s="43"/>
    </x:row>
    <x:row r="327" ht="15" hidden="0" customHeight="1">
      <x:c r="A327" s="36" t="str">
        <x:v>EW Waste Matrix!row 91</x:v>
      </x:c>
      <x:c r="B327" s="37" t="str">
        <x:v>Digital Accounting Operation</x:v>
      </x:c>
      <x:c r="C327" s="36" t="str">
        <x:v>Finance​</x:v>
      </x:c>
      <x:c r="D327" s="36" t="n">
        <x:v>1.75</x:v>
      </x:c>
      <x:c r="E327" s="36" t="str">
        <x:v>HEALTHY</x:v>
      </x:c>
      <x:c r="F327" s="36" t="str"/>
      <x:c r="G327" s="36" t="str"/>
      <x:c r="H327" s="36" t="str"/>
      <x:c r="I327" s="36" t="str"/>
      <x:c r="J327" s="36" t="str"/>
      <x:c r="K327" s="36"/>
      <x:c r="L327" s="36" t="str"/>
      <x:c r="M327" s="36" t="str">
        <x:v>HEALTHY — Rank in priority matrix</x:v>
      </x:c>
      <x:c r="N327" s="36" t="str"/>
      <x:c r="O327" s="43"/>
      <x:c r="P327" s="43"/>
      <x:c r="Q327" s="43"/>
      <x:c r="R327" s="43"/>
      <x:c r="S327" s="43"/>
      <x:c r="T327" s="43"/>
      <x:c r="U327" s="43"/>
      <x:c r="V327" s="43"/>
      <x:c r="W327" s="43"/>
      <x:c r="X327" s="43"/>
      <x:c r="Y327" s="43"/>
      <x:c r="Z327" s="43"/>
      <x:c r="AA327" s="43"/>
      <x:c r="AB327" s="43"/>
      <x:c r="AC327" s="43"/>
      <x:c r="AD327" s="43"/>
      <x:c r="AE327" s="43"/>
      <x:c r="AF327" s="43"/>
      <x:c r="AG327" s="43"/>
      <x:c r="AH327" s="43"/>
      <x:c r="AI327" s="43"/>
      <x:c r="AJ327" s="43"/>
      <x:c r="AK327" s="43"/>
      <x:c r="AL327" s="43"/>
      <x:c r="AM327" s="43"/>
      <x:c r="AN327" s="43"/>
      <x:c r="AO327" s="43"/>
      <x:c r="AP327" s="43"/>
    </x:row>
    <x:row r="328" ht="15" hidden="0" customHeight="1">
      <x:c r="A328" s="36" t="str">
        <x:v>EW Waste Matrix!row 92</x:v>
      </x:c>
      <x:c r="B328" s="37" t="str">
        <x:v>VAT/GST tool</x:v>
      </x:c>
      <x:c r="C328" s="36" t="str">
        <x:v>Finance​</x:v>
      </x:c>
      <x:c r="D328" s="36" t="n">
        <x:v>1.55</x:v>
      </x:c>
      <x:c r="E328" s="36" t="str">
        <x:v>HEALTHY</x:v>
      </x:c>
      <x:c r="F328" s="36" t="str"/>
      <x:c r="G328" s="36" t="str"/>
      <x:c r="H328" s="36" t="str"/>
      <x:c r="I328" s="36" t="str"/>
      <x:c r="J328" s="36" t="str"/>
      <x:c r="K328" s="36"/>
      <x:c r="L328" s="36" t="str"/>
      <x:c r="M328" s="36" t="str">
        <x:v>HEALTHY — Rank in priority matrix</x:v>
      </x:c>
      <x:c r="N328" s="36" t="str"/>
      <x:c r="O328" s="43"/>
      <x:c r="P328" s="43"/>
      <x:c r="Q328" s="43"/>
      <x:c r="R328" s="43"/>
      <x:c r="S328" s="43"/>
      <x:c r="T328" s="43"/>
      <x:c r="U328" s="43"/>
      <x:c r="V328" s="43"/>
      <x:c r="W328" s="43"/>
      <x:c r="X328" s="43"/>
      <x:c r="Y328" s="43"/>
      <x:c r="Z328" s="43"/>
      <x:c r="AA328" s="43"/>
      <x:c r="AB328" s="43"/>
      <x:c r="AC328" s="43"/>
      <x:c r="AD328" s="43"/>
      <x:c r="AE328" s="43"/>
      <x:c r="AF328" s="43"/>
      <x:c r="AG328" s="43"/>
      <x:c r="AH328" s="43"/>
      <x:c r="AI328" s="43"/>
      <x:c r="AJ328" s="43"/>
      <x:c r="AK328" s="43"/>
      <x:c r="AL328" s="43"/>
      <x:c r="AM328" s="43"/>
      <x:c r="AN328" s="43"/>
      <x:c r="AO328" s="43"/>
      <x:c r="AP328" s="43"/>
    </x:row>
    <x:row r="329" ht="15" hidden="0" customHeight="1">
      <x:c r="A329" s="36" t="str">
        <x:v>EW Waste Matrix!row 93</x:v>
      </x:c>
      <x:c r="B329" s="37" t="str">
        <x:v>Form 1099/1042 withholding tax process improvements</x:v>
      </x:c>
      <x:c r="C329" s="36" t="str">
        <x:v>Finance​</x:v>
      </x:c>
      <x:c r="D329" s="36" t="n">
        <x:v>1.85</x:v>
      </x:c>
      <x:c r="E329" s="36" t="str">
        <x:v>HEALTHY</x:v>
      </x:c>
      <x:c r="F329" s="36" t="str"/>
      <x:c r="G329" s="36" t="str"/>
      <x:c r="H329" s="36" t="str"/>
      <x:c r="I329" s="36" t="str"/>
      <x:c r="J329" s="36" t="str"/>
      <x:c r="K329" s="36"/>
      <x:c r="L329" s="36" t="str"/>
      <x:c r="M329" s="36" t="str">
        <x:v>HEALTHY — Rank in priority matrix</x:v>
      </x:c>
      <x:c r="N329" s="36" t="str"/>
      <x:c r="O329" s="43"/>
      <x:c r="P329" s="43"/>
      <x:c r="Q329" s="43"/>
      <x:c r="R329" s="43"/>
      <x:c r="S329" s="43"/>
      <x:c r="T329" s="43"/>
      <x:c r="U329" s="43"/>
      <x:c r="V329" s="43"/>
      <x:c r="W329" s="43"/>
      <x:c r="X329" s="43"/>
      <x:c r="Y329" s="43"/>
      <x:c r="Z329" s="43"/>
      <x:c r="AA329" s="43"/>
      <x:c r="AB329" s="43"/>
      <x:c r="AC329" s="43"/>
      <x:c r="AD329" s="43"/>
      <x:c r="AE329" s="43"/>
      <x:c r="AF329" s="43"/>
      <x:c r="AG329" s="43"/>
      <x:c r="AH329" s="43"/>
      <x:c r="AI329" s="43"/>
      <x:c r="AJ329" s="43"/>
      <x:c r="AK329" s="43"/>
      <x:c r="AL329" s="43"/>
      <x:c r="AM329" s="43"/>
      <x:c r="AN329" s="43"/>
      <x:c r="AO329" s="43"/>
      <x:c r="AP329" s="43"/>
    </x:row>
    <x:row r="330" ht="15" hidden="0" customHeight="1">
      <x:c r="A330" s="36" t="str">
        <x:v>EW Waste Matrix!row 94</x:v>
      </x:c>
      <x:c r="B330" s="37" t="str">
        <x:v>FPA Digital -AI/GenAI implementation (FP&amp;A cases) (Big-Bets)</x:v>
      </x:c>
      <x:c r="C330" s="36" t="str">
        <x:v>Finance​</x:v>
      </x:c>
      <x:c r="D330" s="36" t="n">
        <x:v>1.5</x:v>
      </x:c>
      <x:c r="E330" s="36" t="str">
        <x:v>HEALTHY</x:v>
      </x:c>
      <x:c r="F330" s="36" t="str"/>
      <x:c r="G330" s="36" t="str"/>
      <x:c r="H330" s="36" t="str"/>
      <x:c r="I330" s="36" t="str"/>
      <x:c r="J330" s="36" t="str"/>
      <x:c r="K330" s="36"/>
      <x:c r="L330" s="36" t="str"/>
      <x:c r="M330" s="36" t="str">
        <x:v>HEALTHY — Rank in priority matrix</x:v>
      </x:c>
      <x:c r="N330" s="36" t="str"/>
      <x:c r="O330" s="43"/>
      <x:c r="P330" s="43"/>
      <x:c r="Q330" s="43"/>
      <x:c r="R330" s="43"/>
      <x:c r="S330" s="43"/>
      <x:c r="T330" s="43"/>
      <x:c r="U330" s="43"/>
      <x:c r="V330" s="43"/>
      <x:c r="W330" s="43"/>
      <x:c r="X330" s="43"/>
      <x:c r="Y330" s="43"/>
      <x:c r="Z330" s="43"/>
      <x:c r="AA330" s="43"/>
      <x:c r="AB330" s="43"/>
      <x:c r="AC330" s="43"/>
      <x:c r="AD330" s="43"/>
      <x:c r="AE330" s="43"/>
      <x:c r="AF330" s="43"/>
      <x:c r="AG330" s="43"/>
      <x:c r="AH330" s="43"/>
      <x:c r="AI330" s="43"/>
      <x:c r="AJ330" s="43"/>
      <x:c r="AK330" s="43"/>
      <x:c r="AL330" s="43"/>
      <x:c r="AM330" s="43"/>
      <x:c r="AN330" s="43"/>
      <x:c r="AO330" s="43"/>
      <x:c r="AP330" s="43"/>
    </x:row>
    <x:row r="331" ht="15" hidden="0" customHeight="1">
      <x:c r="A331" s="36" t="str">
        <x:v>EW Waste Matrix!row 95</x:v>
      </x:c>
      <x:c r="B331" s="37" t="str">
        <x:v>GenAI use cases</x:v>
      </x:c>
      <x:c r="C331" s="36" t="str">
        <x:v>Finance​</x:v>
      </x:c>
      <x:c r="D331" s="36" t="n">
        <x:v>1.5</x:v>
      </x:c>
      <x:c r="E331" s="36" t="str">
        <x:v>HEALTHY</x:v>
      </x:c>
      <x:c r="F331" s="36" t="str"/>
      <x:c r="G331" s="36" t="str"/>
      <x:c r="H331" s="36" t="str"/>
      <x:c r="I331" s="36" t="str"/>
      <x:c r="J331" s="36" t="str"/>
      <x:c r="K331" s="36"/>
      <x:c r="L331" s="36" t="str"/>
      <x:c r="M331" s="36" t="str">
        <x:v>HEALTHY — Rank in priority matrix</x:v>
      </x:c>
      <x:c r="N331" s="36" t="str"/>
      <x:c r="O331" s="43"/>
      <x:c r="P331" s="43"/>
      <x:c r="Q331" s="43"/>
      <x:c r="R331" s="43"/>
      <x:c r="S331" s="43"/>
      <x:c r="T331" s="43"/>
      <x:c r="U331" s="43"/>
      <x:c r="V331" s="43"/>
      <x:c r="W331" s="43"/>
      <x:c r="X331" s="43"/>
      <x:c r="Y331" s="43"/>
      <x:c r="Z331" s="43"/>
      <x:c r="AA331" s="43"/>
      <x:c r="AB331" s="43"/>
      <x:c r="AC331" s="43"/>
      <x:c r="AD331" s="43"/>
      <x:c r="AE331" s="43"/>
      <x:c r="AF331" s="43"/>
      <x:c r="AG331" s="43"/>
      <x:c r="AH331" s="43"/>
      <x:c r="AI331" s="43"/>
      <x:c r="AJ331" s="43"/>
      <x:c r="AK331" s="43"/>
      <x:c r="AL331" s="43"/>
      <x:c r="AM331" s="43"/>
      <x:c r="AN331" s="43"/>
      <x:c r="AO331" s="43"/>
      <x:c r="AP331" s="43"/>
    </x:row>
    <x:row r="332" ht="15" hidden="0" customHeight="1">
      <x:c r="A332" s="36" t="str">
        <x:v>EW Waste Matrix!row 96</x:v>
      </x:c>
      <x:c r="B332" s="37" t="str">
        <x:v>MJV improvements</x:v>
      </x:c>
      <x:c r="C332" s="36" t="str">
        <x:v>Finance​</x:v>
      </x:c>
      <x:c r="D332" s="36" t="n">
        <x:v>1.05</x:v>
      </x:c>
      <x:c r="E332" s="36" t="str">
        <x:v>HEALTHY</x:v>
      </x:c>
      <x:c r="F332" s="36" t="str"/>
      <x:c r="G332" s="36" t="str"/>
      <x:c r="H332" s="36" t="str"/>
      <x:c r="I332" s="36" t="str"/>
      <x:c r="J332" s="36" t="str"/>
      <x:c r="K332" s="36"/>
      <x:c r="L332" s="36" t="str"/>
      <x:c r="M332" s="36" t="str">
        <x:v>HEALTHY — Rank in priority matrix</x:v>
      </x:c>
      <x:c r="N332" s="36" t="str"/>
      <x:c r="O332" s="43"/>
      <x:c r="P332" s="43"/>
      <x:c r="Q332" s="43"/>
      <x:c r="R332" s="43"/>
      <x:c r="S332" s="43"/>
      <x:c r="T332" s="43"/>
      <x:c r="U332" s="43"/>
      <x:c r="V332" s="43"/>
      <x:c r="W332" s="43"/>
      <x:c r="X332" s="43"/>
      <x:c r="Y332" s="43"/>
      <x:c r="Z332" s="43"/>
      <x:c r="AA332" s="43"/>
      <x:c r="AB332" s="43"/>
      <x:c r="AC332" s="43"/>
      <x:c r="AD332" s="43"/>
      <x:c r="AE332" s="43"/>
      <x:c r="AF332" s="43"/>
      <x:c r="AG332" s="43"/>
      <x:c r="AH332" s="43"/>
      <x:c r="AI332" s="43"/>
      <x:c r="AJ332" s="43"/>
      <x:c r="AK332" s="43"/>
      <x:c r="AL332" s="43"/>
      <x:c r="AM332" s="43"/>
      <x:c r="AN332" s="43"/>
      <x:c r="AO332" s="43"/>
      <x:c r="AP332" s="43"/>
    </x:row>
    <x:row r="333" ht="15" hidden="0" customHeight="1">
      <x:c r="A333" s="36" t="str">
        <x:v>EW Waste Matrix!row 97</x:v>
      </x:c>
      <x:c r="B333" s="37" t="str">
        <x:v>P2P vendor inquiry chat bot automation &amp; other AI iniciatives</x:v>
      </x:c>
      <x:c r="C333" s="36" t="str">
        <x:v>Finance​</x:v>
      </x:c>
      <x:c r="D333" s="36" t="n">
        <x:v>1.55</x:v>
      </x:c>
      <x:c r="E333" s="36" t="str">
        <x:v>HEALTHY</x:v>
      </x:c>
      <x:c r="F333" s="36" t="str"/>
      <x:c r="G333" s="36" t="str"/>
      <x:c r="H333" s="36" t="str"/>
      <x:c r="I333" s="36" t="str"/>
      <x:c r="J333" s="36" t="str"/>
      <x:c r="K333" s="36"/>
      <x:c r="L333" s="36" t="str"/>
      <x:c r="M333" s="36" t="str">
        <x:v>HEALTHY — Rank in priority matrix</x:v>
      </x:c>
      <x:c r="N333" s="36" t="str"/>
      <x:c r="O333" s="43"/>
      <x:c r="P333" s="43"/>
      <x:c r="Q333" s="43"/>
      <x:c r="R333" s="43"/>
      <x:c r="S333" s="43"/>
      <x:c r="T333" s="43"/>
      <x:c r="U333" s="43"/>
      <x:c r="V333" s="43"/>
      <x:c r="W333" s="43"/>
      <x:c r="X333" s="43"/>
      <x:c r="Y333" s="43"/>
      <x:c r="Z333" s="43"/>
      <x:c r="AA333" s="43"/>
      <x:c r="AB333" s="43"/>
      <x:c r="AC333" s="43"/>
      <x:c r="AD333" s="43"/>
      <x:c r="AE333" s="43"/>
      <x:c r="AF333" s="43"/>
      <x:c r="AG333" s="43"/>
      <x:c r="AH333" s="43"/>
      <x:c r="AI333" s="43"/>
      <x:c r="AJ333" s="43"/>
      <x:c r="AK333" s="43"/>
      <x:c r="AL333" s="43"/>
      <x:c r="AM333" s="43"/>
      <x:c r="AN333" s="43"/>
      <x:c r="AO333" s="43"/>
      <x:c r="AP333" s="43"/>
    </x:row>
    <x:row r="334" ht="15" hidden="0" customHeight="1">
      <x:c r="A334" s="36" t="str">
        <x:v>EW Waste Matrix!row 98</x:v>
      </x:c>
      <x:c r="B334" s="37" t="str">
        <x:v>Predictive Planning Tooling via SAC (Cost Center, Industry, Other)</x:v>
      </x:c>
      <x:c r="C334" s="36" t="str">
        <x:v>Finance​</x:v>
      </x:c>
      <x:c r="D334" s="36" t="n">
        <x:v>1.55</x:v>
      </x:c>
      <x:c r="E334" s="36" t="str">
        <x:v>HEALTHY</x:v>
      </x:c>
      <x:c r="F334" s="36" t="str"/>
      <x:c r="G334" s="36" t="str"/>
      <x:c r="H334" s="36" t="str"/>
      <x:c r="I334" s="36" t="str"/>
      <x:c r="J334" s="36" t="str"/>
      <x:c r="K334" s="36"/>
      <x:c r="L334" s="36" t="str"/>
      <x:c r="M334" s="36" t="str">
        <x:v>HEALTHY — Rank in priority matrix</x:v>
      </x:c>
      <x:c r="N334" s="36" t="str"/>
      <x:c r="O334" s="43"/>
      <x:c r="P334" s="43"/>
      <x:c r="Q334" s="43"/>
      <x:c r="R334" s="43"/>
      <x:c r="S334" s="43"/>
      <x:c r="T334" s="43"/>
      <x:c r="U334" s="43"/>
      <x:c r="V334" s="43"/>
      <x:c r="W334" s="43"/>
      <x:c r="X334" s="43"/>
      <x:c r="Y334" s="43"/>
      <x:c r="Z334" s="43"/>
      <x:c r="AA334" s="43"/>
      <x:c r="AB334" s="43"/>
      <x:c r="AC334" s="43"/>
      <x:c r="AD334" s="43"/>
      <x:c r="AE334" s="43"/>
      <x:c r="AF334" s="43"/>
      <x:c r="AG334" s="43"/>
      <x:c r="AH334" s="43"/>
      <x:c r="AI334" s="43"/>
      <x:c r="AJ334" s="43"/>
      <x:c r="AK334" s="43"/>
      <x:c r="AL334" s="43"/>
      <x:c r="AM334" s="43"/>
      <x:c r="AN334" s="43"/>
      <x:c r="AO334" s="43"/>
      <x:c r="AP334" s="43"/>
    </x:row>
    <x:row r="335" ht="15" hidden="0" customHeight="1">
      <x:c r="A335" s="36" t="str">
        <x:v>EW Waste Matrix!row 99</x:v>
      </x:c>
      <x:c r="B335" s="37" t="str">
        <x:v>Digitalized Financial Insight</x:v>
      </x:c>
      <x:c r="C335" s="36" t="str">
        <x:v>Finance​</x:v>
      </x:c>
      <x:c r="D335" s="36" t="n">
        <x:v>1.55</x:v>
      </x:c>
      <x:c r="E335" s="36" t="str">
        <x:v>HEALTHY</x:v>
      </x:c>
      <x:c r="F335" s="36" t="str"/>
      <x:c r="G335" s="36" t="str"/>
      <x:c r="H335" s="36" t="str"/>
      <x:c r="I335" s="36" t="str"/>
      <x:c r="J335" s="36" t="str"/>
      <x:c r="K335" s="36"/>
      <x:c r="L335" s="36" t="str"/>
      <x:c r="M335" s="36" t="str">
        <x:v>HEALTHY — Rank in priority matrix</x:v>
      </x:c>
      <x:c r="N335" s="36" t="str"/>
      <x:c r="O335" s="43"/>
      <x:c r="P335" s="43"/>
      <x:c r="Q335" s="43"/>
      <x:c r="R335" s="43"/>
      <x:c r="S335" s="43"/>
      <x:c r="T335" s="43"/>
      <x:c r="U335" s="43"/>
      <x:c r="V335" s="43"/>
      <x:c r="W335" s="43"/>
      <x:c r="X335" s="43"/>
      <x:c r="Y335" s="43"/>
      <x:c r="Z335" s="43"/>
      <x:c r="AA335" s="43"/>
      <x:c r="AB335" s="43"/>
      <x:c r="AC335" s="43"/>
      <x:c r="AD335" s="43"/>
      <x:c r="AE335" s="43"/>
      <x:c r="AF335" s="43"/>
      <x:c r="AG335" s="43"/>
      <x:c r="AH335" s="43"/>
      <x:c r="AI335" s="43"/>
      <x:c r="AJ335" s="43"/>
      <x:c r="AK335" s="43"/>
      <x:c r="AL335" s="43"/>
      <x:c r="AM335" s="43"/>
      <x:c r="AN335" s="43"/>
      <x:c r="AO335" s="43"/>
      <x:c r="AP335" s="43"/>
    </x:row>
    <x:row r="336" ht="15" hidden="0" customHeight="1">
      <x:c r="A336" s="36" t="str">
        <x:v>EW Waste Matrix!row 100</x:v>
      </x:c>
      <x:c r="B336" s="37" t="str">
        <x:v>PSA improvements (cfr issues listed in the audit report)</x:v>
      </x:c>
      <x:c r="C336" s="36" t="str">
        <x:v>Finance​</x:v>
      </x:c>
      <x:c r="D336" s="36" t="n">
        <x:v>1.55</x:v>
      </x:c>
      <x:c r="E336" s="36" t="str">
        <x:v>HEALTHY</x:v>
      </x:c>
      <x:c r="F336" s="36" t="str"/>
      <x:c r="G336" s="36" t="str"/>
      <x:c r="H336" s="36" t="str"/>
      <x:c r="I336" s="36" t="str"/>
      <x:c r="J336" s="36" t="str"/>
      <x:c r="K336" s="36"/>
      <x:c r="L336" s="36" t="str"/>
      <x:c r="M336" s="36" t="str">
        <x:v>HEALTHY — Rank in priority matrix</x:v>
      </x:c>
      <x:c r="N336" s="36" t="str"/>
      <x:c r="O336" s="43"/>
      <x:c r="P336" s="43"/>
      <x:c r="Q336" s="43"/>
      <x:c r="R336" s="43"/>
      <x:c r="S336" s="43"/>
      <x:c r="T336" s="43"/>
      <x:c r="U336" s="43"/>
      <x:c r="V336" s="43"/>
      <x:c r="W336" s="43"/>
      <x:c r="X336" s="43"/>
      <x:c r="Y336" s="43"/>
      <x:c r="Z336" s="43"/>
      <x:c r="AA336" s="43"/>
      <x:c r="AB336" s="43"/>
      <x:c r="AC336" s="43"/>
      <x:c r="AD336" s="43"/>
      <x:c r="AE336" s="43"/>
      <x:c r="AF336" s="43"/>
      <x:c r="AG336" s="43"/>
      <x:c r="AH336" s="43"/>
      <x:c r="AI336" s="43"/>
      <x:c r="AJ336" s="43"/>
      <x:c r="AK336" s="43"/>
      <x:c r="AL336" s="43"/>
      <x:c r="AM336" s="43"/>
      <x:c r="AN336" s="43"/>
      <x:c r="AO336" s="43"/>
      <x:c r="AP336" s="43"/>
    </x:row>
    <x:row r="337" ht="15" hidden="0" customHeight="1">
      <x:c r="A337" s="36" t="str">
        <x:v>EW Waste Matrix!row 101</x:v>
      </x:c>
      <x:c r="B337" s="37" t="str">
        <x:v>TESSA BOT phase 2 (use cases shared for 2027 effort estimation)</x:v>
      </x:c>
      <x:c r="C337" s="36" t="str">
        <x:v>Finance​</x:v>
      </x:c>
      <x:c r="D337" s="36" t="n">
        <x:v>1.55</x:v>
      </x:c>
      <x:c r="E337" s="36" t="str">
        <x:v>HEALTHY</x:v>
      </x:c>
      <x:c r="F337" s="36" t="str"/>
      <x:c r="G337" s="36" t="str"/>
      <x:c r="H337" s="36" t="str"/>
      <x:c r="I337" s="36" t="str"/>
      <x:c r="J337" s="36" t="str"/>
      <x:c r="K337" s="36"/>
      <x:c r="L337" s="36" t="str"/>
      <x:c r="M337" s="36" t="str">
        <x:v>HEALTHY — Rank in priority matrix</x:v>
      </x:c>
      <x:c r="N337" s="36" t="str"/>
      <x:c r="O337" s="43"/>
      <x:c r="P337" s="43"/>
      <x:c r="Q337" s="43"/>
      <x:c r="R337" s="43"/>
      <x:c r="S337" s="43"/>
      <x:c r="T337" s="43"/>
      <x:c r="U337" s="43"/>
      <x:c r="V337" s="43"/>
      <x:c r="W337" s="43"/>
      <x:c r="X337" s="43"/>
      <x:c r="Y337" s="43"/>
      <x:c r="Z337" s="43"/>
      <x:c r="AA337" s="43"/>
      <x:c r="AB337" s="43"/>
      <x:c r="AC337" s="43"/>
      <x:c r="AD337" s="43"/>
      <x:c r="AE337" s="43"/>
      <x:c r="AF337" s="43"/>
      <x:c r="AG337" s="43"/>
      <x:c r="AH337" s="43"/>
      <x:c r="AI337" s="43"/>
      <x:c r="AJ337" s="43"/>
      <x:c r="AK337" s="43"/>
      <x:c r="AL337" s="43"/>
      <x:c r="AM337" s="43"/>
      <x:c r="AN337" s="43"/>
      <x:c r="AO337" s="43"/>
      <x:c r="AP337" s="43"/>
    </x:row>
    <x:row r="338" ht="15" hidden="0" customHeight="1">
      <x:c r="A338" s="36" t="str">
        <x:v>EW Waste Matrix!row 102</x:v>
      </x:c>
      <x:c r="B338" s="37" t="str">
        <x:v>Decom UiPatch (Communication Mining)</x:v>
      </x:c>
      <x:c r="C338" s="36" t="str">
        <x:v>Finance​</x:v>
      </x:c>
      <x:c r="D338" s="36" t="n">
        <x:v>1.5</x:v>
      </x:c>
      <x:c r="E338" s="36" t="str">
        <x:v>HEALTHY</x:v>
      </x:c>
      <x:c r="F338" s="36" t="str"/>
      <x:c r="G338" s="36" t="str"/>
      <x:c r="H338" s="36" t="str"/>
      <x:c r="I338" s="36" t="str"/>
      <x:c r="J338" s="36" t="str"/>
      <x:c r="K338" s="36"/>
      <x:c r="L338" s="36" t="str"/>
      <x:c r="M338" s="36" t="str">
        <x:v>HEALTHY — Rank in priority matrix</x:v>
      </x:c>
      <x:c r="N338" s="36" t="str"/>
      <x:c r="O338" s="43"/>
      <x:c r="P338" s="43"/>
      <x:c r="Q338" s="43"/>
      <x:c r="R338" s="43"/>
      <x:c r="S338" s="43"/>
      <x:c r="T338" s="43"/>
      <x:c r="U338" s="43"/>
      <x:c r="V338" s="43"/>
      <x:c r="W338" s="43"/>
      <x:c r="X338" s="43"/>
      <x:c r="Y338" s="43"/>
      <x:c r="Z338" s="43"/>
      <x:c r="AA338" s="43"/>
      <x:c r="AB338" s="43"/>
      <x:c r="AC338" s="43"/>
      <x:c r="AD338" s="43"/>
      <x:c r="AE338" s="43"/>
      <x:c r="AF338" s="43"/>
      <x:c r="AG338" s="43"/>
      <x:c r="AH338" s="43"/>
      <x:c r="AI338" s="43"/>
      <x:c r="AJ338" s="43"/>
      <x:c r="AK338" s="43"/>
      <x:c r="AL338" s="43"/>
      <x:c r="AM338" s="43"/>
      <x:c r="AN338" s="43"/>
      <x:c r="AO338" s="43"/>
      <x:c r="AP338" s="43"/>
    </x:row>
    <x:row r="339" ht="15" hidden="0" customHeight="1">
      <x:c r="A339" s="36" t="str">
        <x:v>EW Waste Matrix!row 103</x:v>
      </x:c>
      <x:c r="B339" s="37" t="str">
        <x:v>C&amp;C: Credit Management</x:v>
      </x:c>
      <x:c r="C339" s="36" t="str">
        <x:v>Finance​</x:v>
      </x:c>
      <x:c r="D339" s="36" t="n">
        <x:v>1.55</x:v>
      </x:c>
      <x:c r="E339" s="36" t="str">
        <x:v>HEALTHY</x:v>
      </x:c>
      <x:c r="F339" s="36" t="str"/>
      <x:c r="G339" s="36" t="str"/>
      <x:c r="H339" s="36" t="str"/>
      <x:c r="I339" s="36" t="str"/>
      <x:c r="J339" s="36" t="str"/>
      <x:c r="K339" s="36"/>
      <x:c r="L339" s="36" t="str"/>
      <x:c r="M339" s="36" t="str">
        <x:v>HEALTHY — Rank in priority matrix</x:v>
      </x:c>
      <x:c r="N339" s="36" t="str"/>
      <x:c r="O339" s="43"/>
      <x:c r="P339" s="43"/>
      <x:c r="Q339" s="43"/>
      <x:c r="R339" s="43"/>
      <x:c r="S339" s="43"/>
      <x:c r="T339" s="43"/>
      <x:c r="U339" s="43"/>
      <x:c r="V339" s="43"/>
      <x:c r="W339" s="43"/>
      <x:c r="X339" s="43"/>
      <x:c r="Y339" s="43"/>
      <x:c r="Z339" s="43"/>
      <x:c r="AA339" s="43"/>
      <x:c r="AB339" s="43"/>
      <x:c r="AC339" s="43"/>
      <x:c r="AD339" s="43"/>
      <x:c r="AE339" s="43"/>
      <x:c r="AF339" s="43"/>
      <x:c r="AG339" s="43"/>
      <x:c r="AH339" s="43"/>
      <x:c r="AI339" s="43"/>
      <x:c r="AJ339" s="43"/>
      <x:c r="AK339" s="43"/>
      <x:c r="AL339" s="43"/>
      <x:c r="AM339" s="43"/>
      <x:c r="AN339" s="43"/>
      <x:c r="AO339" s="43"/>
      <x:c r="AP339" s="43"/>
    </x:row>
    <x:row r="340" ht="24" hidden="0" customHeight="1">
      <x:c r="A340" s="36" t="str">
        <x:v>EW Waste Matrix!row 104</x:v>
      </x:c>
      <x:c r="B340" s="37" t="str">
        <x:v>Infrastructure Setup to support Real Estate initiatives (new site setup, relocation and closure)</x:v>
      </x:c>
      <x:c r="C340" s="36" t="str">
        <x:v>Information Technology ​</x:v>
      </x:c>
      <x:c r="D340" s="36" t="n">
        <x:v>1.25</x:v>
      </x:c>
      <x:c r="E340" s="36" t="str">
        <x:v>HEALTHY</x:v>
      </x:c>
      <x:c r="F340" s="36" t="str"/>
      <x:c r="G340" s="36" t="str"/>
      <x:c r="H340" s="36" t="str"/>
      <x:c r="I340" s="36" t="str"/>
      <x:c r="J340" s="36" t="str"/>
      <x:c r="K340" s="36"/>
      <x:c r="L340" s="36" t="str"/>
      <x:c r="M340" s="36" t="str">
        <x:v>HEALTHY — Rank in priority matrix</x:v>
      </x:c>
      <x:c r="N340" s="36" t="str"/>
      <x:c r="O340" s="43"/>
      <x:c r="P340" s="43"/>
      <x:c r="Q340" s="43"/>
      <x:c r="R340" s="43"/>
      <x:c r="S340" s="43"/>
      <x:c r="T340" s="43"/>
      <x:c r="U340" s="43"/>
      <x:c r="V340" s="43"/>
      <x:c r="W340" s="43"/>
      <x:c r="X340" s="43"/>
      <x:c r="Y340" s="43"/>
      <x:c r="Z340" s="43"/>
      <x:c r="AA340" s="43"/>
      <x:c r="AB340" s="43"/>
      <x:c r="AC340" s="43"/>
      <x:c r="AD340" s="43"/>
      <x:c r="AE340" s="43"/>
      <x:c r="AF340" s="43"/>
      <x:c r="AG340" s="43"/>
      <x:c r="AH340" s="43"/>
      <x:c r="AI340" s="43"/>
      <x:c r="AJ340" s="43"/>
      <x:c r="AK340" s="43"/>
      <x:c r="AL340" s="43"/>
      <x:c r="AM340" s="43"/>
      <x:c r="AN340" s="43"/>
      <x:c r="AO340" s="43"/>
      <x:c r="AP340" s="43"/>
    </x:row>
    <x:row r="341" ht="15" hidden="0" customHeight="1">
      <x:c r="A341" s="36" t="str">
        <x:v>EW Waste Matrix!row 105</x:v>
      </x:c>
      <x:c r="B341" s="37" t="str">
        <x:v>SDLAN, final phase of the progeam and closure</x:v>
      </x:c>
      <x:c r="C341" s="36" t="str">
        <x:v>Information Technology ​</x:v>
      </x:c>
      <x:c r="D341" s="36" t="n">
        <x:v>1.25</x:v>
      </x:c>
      <x:c r="E341" s="36" t="str">
        <x:v>HEALTHY</x:v>
      </x:c>
      <x:c r="F341" s="36" t="str"/>
      <x:c r="G341" s="36" t="str"/>
      <x:c r="H341" s="36" t="str"/>
      <x:c r="I341" s="36" t="str"/>
      <x:c r="J341" s="36" t="str"/>
      <x:c r="K341" s="36"/>
      <x:c r="L341" s="36" t="str"/>
      <x:c r="M341" s="36" t="str">
        <x:v>HEALTHY — Rank in priority matrix</x:v>
      </x:c>
      <x:c r="N341" s="36" t="str"/>
      <x:c r="O341" s="43"/>
      <x:c r="P341" s="43"/>
      <x:c r="Q341" s="43"/>
      <x:c r="R341" s="43"/>
      <x:c r="S341" s="43"/>
      <x:c r="T341" s="43"/>
      <x:c r="U341" s="43"/>
      <x:c r="V341" s="43"/>
      <x:c r="W341" s="43"/>
      <x:c r="X341" s="43"/>
      <x:c r="Y341" s="43"/>
      <x:c r="Z341" s="43"/>
      <x:c r="AA341" s="43"/>
      <x:c r="AB341" s="43"/>
      <x:c r="AC341" s="43"/>
      <x:c r="AD341" s="43"/>
      <x:c r="AE341" s="43"/>
      <x:c r="AF341" s="43"/>
      <x:c r="AG341" s="43"/>
      <x:c r="AH341" s="43"/>
      <x:c r="AI341" s="43"/>
      <x:c r="AJ341" s="43"/>
      <x:c r="AK341" s="43"/>
      <x:c r="AL341" s="43"/>
      <x:c r="AM341" s="43"/>
      <x:c r="AN341" s="43"/>
      <x:c r="AO341" s="43"/>
      <x:c r="AP341" s="43"/>
    </x:row>
    <x:row r="342" ht="15" hidden="0" customHeight="1">
      <x:c r="A342" s="36" t="str">
        <x:v>EW Waste Matrix!row 106</x:v>
      </x:c>
      <x:c r="B342" s="37" t="str">
        <x:v>UPS as a Service</x:v>
      </x:c>
      <x:c r="C342" s="36" t="str">
        <x:v>Information Technology ​</x:v>
      </x:c>
      <x:c r="D342" s="36" t="n">
        <x:v>2.15</x:v>
      </x:c>
      <x:c r="E342" s="36" t="str">
        <x:v>CONTAIN</x:v>
      </x:c>
      <x:c r="F342" s="36" t="str"/>
      <x:c r="G342" s="36" t="str"/>
      <x:c r="H342" s="36" t="str"/>
      <x:c r="I342" s="36" t="str"/>
      <x:c r="J342" s="36" t="str"/>
      <x:c r="K342" s="36"/>
      <x:c r="L342" s="36" t="str"/>
      <x:c r="M342" s="36" t="str">
        <x:v>CONTAIN — Conditions</x:v>
      </x:c>
      <x:c r="N342" s="36" t="str"/>
      <x:c r="O342" s="43"/>
      <x:c r="P342" s="43"/>
      <x:c r="Q342" s="43"/>
      <x:c r="R342" s="43"/>
      <x:c r="S342" s="43"/>
      <x:c r="T342" s="43"/>
      <x:c r="U342" s="43"/>
      <x:c r="V342" s="43"/>
      <x:c r="W342" s="43"/>
      <x:c r="X342" s="43"/>
      <x:c r="Y342" s="43"/>
      <x:c r="Z342" s="43"/>
      <x:c r="AA342" s="43"/>
      <x:c r="AB342" s="43"/>
      <x:c r="AC342" s="43"/>
      <x:c r="AD342" s="43"/>
      <x:c r="AE342" s="43"/>
      <x:c r="AF342" s="43"/>
      <x:c r="AG342" s="43"/>
      <x:c r="AH342" s="43"/>
      <x:c r="AI342" s="43"/>
      <x:c r="AJ342" s="43"/>
      <x:c r="AK342" s="43"/>
      <x:c r="AL342" s="43"/>
      <x:c r="AM342" s="43"/>
      <x:c r="AN342" s="43"/>
      <x:c r="AO342" s="43"/>
      <x:c r="AP342" s="43"/>
    </x:row>
    <x:row r="343" ht="15" hidden="0" customHeight="1">
      <x:c r="A343" s="36" t="str">
        <x:v>EW Waste Matrix!row 107</x:v>
      </x:c>
      <x:c r="B343" s="37" t="str">
        <x:v>Backup as a Service</x:v>
      </x:c>
      <x:c r="C343" s="36" t="str">
        <x:v>Information Technology ​</x:v>
      </x:c>
      <x:c r="D343" s="36" t="n">
        <x:v>1.3</x:v>
      </x:c>
      <x:c r="E343" s="36" t="str">
        <x:v>HEALTHY</x:v>
      </x:c>
      <x:c r="F343" s="36" t="str"/>
      <x:c r="G343" s="36" t="str"/>
      <x:c r="H343" s="36" t="str"/>
      <x:c r="I343" s="36" t="str"/>
      <x:c r="J343" s="36" t="str"/>
      <x:c r="K343" s="36"/>
      <x:c r="L343" s="36" t="str"/>
      <x:c r="M343" s="36" t="str">
        <x:v>HEALTHY — Rank in priority matrix</x:v>
      </x:c>
      <x:c r="N343" s="36" t="str"/>
      <x:c r="O343" s="43"/>
      <x:c r="P343" s="43"/>
      <x:c r="Q343" s="43"/>
      <x:c r="R343" s="43"/>
      <x:c r="S343" s="43"/>
      <x:c r="T343" s="43"/>
      <x:c r="U343" s="43"/>
      <x:c r="V343" s="43"/>
      <x:c r="W343" s="43"/>
      <x:c r="X343" s="43"/>
      <x:c r="Y343" s="43"/>
      <x:c r="Z343" s="43"/>
      <x:c r="AA343" s="43"/>
      <x:c r="AB343" s="43"/>
      <x:c r="AC343" s="43"/>
      <x:c r="AD343" s="43"/>
      <x:c r="AE343" s="43"/>
      <x:c r="AF343" s="43"/>
      <x:c r="AG343" s="43"/>
      <x:c r="AH343" s="43"/>
      <x:c r="AI343" s="43"/>
      <x:c r="AJ343" s="43"/>
      <x:c r="AK343" s="43"/>
      <x:c r="AL343" s="43"/>
      <x:c r="AM343" s="43"/>
      <x:c r="AN343" s="43"/>
      <x:c r="AO343" s="43"/>
      <x:c r="AP343" s="43"/>
    </x:row>
    <x:row r="344" ht="15" hidden="0" customHeight="1">
      <x:c r="A344" s="36" t="str">
        <x:v>EW Waste Matrix!row 108</x:v>
      </x:c>
      <x:c r="B344" s="37" t="str">
        <x:v>Implementing Zero Trust NEtwork Architecture</x:v>
      </x:c>
      <x:c r="C344" s="36" t="str">
        <x:v>Information Technology ​</x:v>
      </x:c>
      <x:c r="D344" s="36" t="n">
        <x:v>1.15</x:v>
      </x:c>
      <x:c r="E344" s="36" t="str">
        <x:v>HEALTHY</x:v>
      </x:c>
      <x:c r="F344" s="36" t="str"/>
      <x:c r="G344" s="36" t="str"/>
      <x:c r="H344" s="36" t="str"/>
      <x:c r="I344" s="36" t="str"/>
      <x:c r="J344" s="36" t="str"/>
      <x:c r="K344" s="36"/>
      <x:c r="L344" s="36" t="str"/>
      <x:c r="M344" s="36" t="str">
        <x:v>HEALTHY — Rank in priority matrix</x:v>
      </x:c>
      <x:c r="N344" s="36" t="str"/>
      <x:c r="O344" s="43"/>
      <x:c r="P344" s="43"/>
      <x:c r="Q344" s="43"/>
      <x:c r="R344" s="43"/>
      <x:c r="S344" s="43"/>
      <x:c r="T344" s="43"/>
      <x:c r="U344" s="43"/>
      <x:c r="V344" s="43"/>
      <x:c r="W344" s="43"/>
      <x:c r="X344" s="43"/>
      <x:c r="Y344" s="43"/>
      <x:c r="Z344" s="43"/>
      <x:c r="AA344" s="43"/>
      <x:c r="AB344" s="43"/>
      <x:c r="AC344" s="43"/>
      <x:c r="AD344" s="43"/>
      <x:c r="AE344" s="43"/>
      <x:c r="AF344" s="43"/>
      <x:c r="AG344" s="43"/>
      <x:c r="AH344" s="43"/>
      <x:c r="AI344" s="43"/>
      <x:c r="AJ344" s="43"/>
      <x:c r="AK344" s="43"/>
      <x:c r="AL344" s="43"/>
      <x:c r="AM344" s="43"/>
      <x:c r="AN344" s="43"/>
      <x:c r="AO344" s="43"/>
      <x:c r="AP344" s="43"/>
    </x:row>
    <x:row r="345" ht="15" hidden="0" customHeight="1">
      <x:c r="A345" s="36" t="str">
        <x:v>EW Waste Matrix!row 109</x:v>
      </x:c>
      <x:c r="B345" s="37" t="str">
        <x:v>HW Lifecycle for NEtwork FW, Access points and core switches</x:v>
      </x:c>
      <x:c r="C345" s="36" t="str">
        <x:v>Information Technology ​</x:v>
      </x:c>
      <x:c r="D345" s="36" t="n">
        <x:v>1.4</x:v>
      </x:c>
      <x:c r="E345" s="36" t="str">
        <x:v>HEALTHY</x:v>
      </x:c>
      <x:c r="F345" s="36" t="str"/>
      <x:c r="G345" s="36" t="str"/>
      <x:c r="H345" s="36" t="str"/>
      <x:c r="I345" s="36" t="str"/>
      <x:c r="J345" s="36" t="str"/>
      <x:c r="K345" s="36"/>
      <x:c r="L345" s="36" t="str"/>
      <x:c r="M345" s="36" t="str">
        <x:v>HEALTHY — Rank in priority matrix</x:v>
      </x:c>
      <x:c r="N345" s="36" t="str"/>
      <x:c r="O345" s="43"/>
      <x:c r="P345" s="43"/>
      <x:c r="Q345" s="43"/>
      <x:c r="R345" s="43"/>
      <x:c r="S345" s="43"/>
      <x:c r="T345" s="43"/>
      <x:c r="U345" s="43"/>
      <x:c r="V345" s="43"/>
      <x:c r="W345" s="43"/>
      <x:c r="X345" s="43"/>
      <x:c r="Y345" s="43"/>
      <x:c r="Z345" s="43"/>
      <x:c r="AA345" s="43"/>
      <x:c r="AB345" s="43"/>
      <x:c r="AC345" s="43"/>
      <x:c r="AD345" s="43"/>
      <x:c r="AE345" s="43"/>
      <x:c r="AF345" s="43"/>
      <x:c r="AG345" s="43"/>
      <x:c r="AH345" s="43"/>
      <x:c r="AI345" s="43"/>
      <x:c r="AJ345" s="43"/>
      <x:c r="AK345" s="43"/>
      <x:c r="AL345" s="43"/>
      <x:c r="AM345" s="43"/>
      <x:c r="AN345" s="43"/>
      <x:c r="AO345" s="43"/>
      <x:c r="AP345" s="43"/>
    </x:row>
    <x:row r="346" ht="15" hidden="0" customHeight="1">
      <x:c r="A346" s="36" t="str">
        <x:v>EW Waste Matrix!row 110</x:v>
      </x:c>
      <x:c r="B346" s="37" t="str">
        <x:v>Cloud File Share Solution (CFSS)</x:v>
      </x:c>
      <x:c r="C346" s="36" t="str">
        <x:v>Information Technology ​</x:v>
      </x:c>
      <x:c r="D346" s="36" t="n">
        <x:v>1.05</x:v>
      </x:c>
      <x:c r="E346" s="36" t="str">
        <x:v>HEALTHY</x:v>
      </x:c>
      <x:c r="F346" s="36" t="str"/>
      <x:c r="G346" s="36" t="str"/>
      <x:c r="H346" s="36" t="str"/>
      <x:c r="I346" s="36" t="str"/>
      <x:c r="J346" s="36" t="str"/>
      <x:c r="K346" s="36"/>
      <x:c r="L346" s="36" t="str"/>
      <x:c r="M346" s="36" t="str">
        <x:v>HEALTHY — Rank in priority matrix</x:v>
      </x:c>
      <x:c r="N346" s="36" t="str"/>
      <x:c r="O346" s="43"/>
      <x:c r="P346" s="43"/>
      <x:c r="Q346" s="43"/>
      <x:c r="R346" s="43"/>
      <x:c r="S346" s="43"/>
      <x:c r="T346" s="43"/>
      <x:c r="U346" s="43"/>
      <x:c r="V346" s="43"/>
      <x:c r="W346" s="43"/>
      <x:c r="X346" s="43"/>
      <x:c r="Y346" s="43"/>
      <x:c r="Z346" s="43"/>
      <x:c r="AA346" s="43"/>
      <x:c r="AB346" s="43"/>
      <x:c r="AC346" s="43"/>
      <x:c r="AD346" s="43"/>
      <x:c r="AE346" s="43"/>
      <x:c r="AF346" s="43"/>
      <x:c r="AG346" s="43"/>
      <x:c r="AH346" s="43"/>
      <x:c r="AI346" s="43"/>
      <x:c r="AJ346" s="43"/>
      <x:c r="AK346" s="43"/>
      <x:c r="AL346" s="43"/>
      <x:c r="AM346" s="43"/>
      <x:c r="AN346" s="43"/>
      <x:c r="AO346" s="43"/>
      <x:c r="AP346" s="43"/>
    </x:row>
    <x:row r="347" ht="15" hidden="0" customHeight="1">
      <x:c r="A347" s="36" t="str">
        <x:v>EW Waste Matrix!row 111</x:v>
      </x:c>
      <x:c r="B347" s="37" t="str">
        <x:v>IT ServiceContinuity Management</x:v>
      </x:c>
      <x:c r="C347" s="36" t="str">
        <x:v>Information Technology ​</x:v>
      </x:c>
      <x:c r="D347" s="36" t="n">
        <x:v>1.45</x:v>
      </x:c>
      <x:c r="E347" s="36" t="str">
        <x:v>HEALTHY</x:v>
      </x:c>
      <x:c r="F347" s="36" t="str">
        <x:v>YES</x:v>
      </x:c>
      <x:c r="G347" s="36" t="str">
        <x:v>5 — Exactly the minimum — only what's needed to meet the rule, nothing more.</x:v>
      </x:c>
      <x:c r="H347" s="36" t="str">
        <x:v>4 — Large fine, temporary loss of a licence or certification, or a real hit to customers or the market.</x:v>
      </x:c>
      <x:c r="I347" s="36" t="str">
        <x:v>4 — Likely — an audit or inspection is scheduled, or we've had findings on this before.</x:v>
      </x:c>
      <x:c r="J347" s="36" t="str">
        <x:v>4 — Less than six months away.</x:v>
      </x:c>
      <x:c r="K347" s="36" t="n">
        <x:v>16</x:v>
      </x:c>
      <x:c r="L347" s="36" t="str">
        <x:v>P1 — Immediate</x:v>
      </x:c>
      <x:c r="M347" s="36" t="str">
        <x:v>HEALTHY / MUST-DO — P1 — Immediate</x:v>
      </x:c>
      <x:c r="N347" s="36" t="str"/>
      <x:c r="O347" s="43"/>
      <x:c r="P347" s="43"/>
      <x:c r="Q347" s="43"/>
      <x:c r="R347" s="43"/>
      <x:c r="S347" s="43"/>
      <x:c r="T347" s="43"/>
      <x:c r="U347" s="43"/>
      <x:c r="V347" s="43"/>
      <x:c r="W347" s="43"/>
      <x:c r="X347" s="43"/>
      <x:c r="Y347" s="43"/>
      <x:c r="Z347" s="43"/>
      <x:c r="AA347" s="43"/>
      <x:c r="AB347" s="43"/>
      <x:c r="AC347" s="43"/>
      <x:c r="AD347" s="43"/>
      <x:c r="AE347" s="43"/>
      <x:c r="AF347" s="43"/>
      <x:c r="AG347" s="43"/>
      <x:c r="AH347" s="43"/>
      <x:c r="AI347" s="43"/>
      <x:c r="AJ347" s="43"/>
      <x:c r="AK347" s="43"/>
      <x:c r="AL347" s="43"/>
      <x:c r="AM347" s="43"/>
      <x:c r="AN347" s="43"/>
      <x:c r="AO347" s="43"/>
      <x:c r="AP347" s="43"/>
    </x:row>
    <x:row r="348" ht="15" hidden="0" customHeight="1">
      <x:c r="A348" s="36" t="str">
        <x:v>EW Waste Matrix!row 112</x:v>
      </x:c>
      <x:c r="B348" s="37" t="str">
        <x:v>AI &amp; Ops</x:v>
      </x:c>
      <x:c r="C348" s="36" t="str">
        <x:v>People function​</x:v>
      </x:c>
      <x:c r="D348" s="36" t="n">
        <x:v>1.1</x:v>
      </x:c>
      <x:c r="E348" s="36" t="str">
        <x:v>HEALTHY</x:v>
      </x:c>
      <x:c r="F348" s="36" t="str"/>
      <x:c r="G348" s="36" t="str"/>
      <x:c r="H348" s="36" t="str"/>
      <x:c r="I348" s="36" t="str"/>
      <x:c r="J348" s="36" t="str"/>
      <x:c r="K348" s="36"/>
      <x:c r="L348" s="36" t="str"/>
      <x:c r="M348" s="36" t="str">
        <x:v>HEALTHY — Rank in priority matrix</x:v>
      </x:c>
      <x:c r="N348" s="36" t="str"/>
      <x:c r="O348" s="43"/>
      <x:c r="P348" s="43"/>
      <x:c r="Q348" s="43"/>
      <x:c r="R348" s="43"/>
      <x:c r="S348" s="43"/>
      <x:c r="T348" s="43"/>
      <x:c r="U348" s="43"/>
      <x:c r="V348" s="43"/>
      <x:c r="W348" s="43"/>
      <x:c r="X348" s="43"/>
      <x:c r="Y348" s="43"/>
      <x:c r="Z348" s="43"/>
      <x:c r="AA348" s="43"/>
      <x:c r="AB348" s="43"/>
      <x:c r="AC348" s="43"/>
      <x:c r="AD348" s="43"/>
      <x:c r="AE348" s="43"/>
      <x:c r="AF348" s="43"/>
      <x:c r="AG348" s="43"/>
      <x:c r="AH348" s="43"/>
      <x:c r="AI348" s="43"/>
      <x:c r="AJ348" s="43"/>
      <x:c r="AK348" s="43"/>
      <x:c r="AL348" s="43"/>
      <x:c r="AM348" s="43"/>
      <x:c r="AN348" s="43"/>
      <x:c r="AO348" s="43"/>
      <x:c r="AP348" s="43"/>
    </x:row>
    <x:row r="349" ht="15" hidden="0" customHeight="1">
      <x:c r="A349" s="36" t="str">
        <x:v>EW Waste Matrix!row 113</x:v>
      </x:c>
      <x:c r="B349" s="37" t="str">
        <x:v>AI hiring (autonomous)</x:v>
      </x:c>
      <x:c r="C349" s="36" t="str">
        <x:v>People function​</x:v>
      </x:c>
      <x:c r="D349" s="36" t="n">
        <x:v>1.1</x:v>
      </x:c>
      <x:c r="E349" s="36" t="str">
        <x:v>HEALTHY</x:v>
      </x:c>
      <x:c r="F349" s="36" t="str"/>
      <x:c r="G349" s="36" t="str"/>
      <x:c r="H349" s="36" t="str"/>
      <x:c r="I349" s="36" t="str"/>
      <x:c r="J349" s="36" t="str"/>
      <x:c r="K349" s="36"/>
      <x:c r="L349" s="36" t="str"/>
      <x:c r="M349" s="36" t="str">
        <x:v>HEALTHY — Rank in priority matrix</x:v>
      </x:c>
      <x:c r="N349" s="36" t="str"/>
      <x:c r="O349" s="43"/>
      <x:c r="P349" s="43"/>
      <x:c r="Q349" s="43"/>
      <x:c r="R349" s="43"/>
      <x:c r="S349" s="43"/>
      <x:c r="T349" s="43"/>
      <x:c r="U349" s="43"/>
      <x:c r="V349" s="43"/>
      <x:c r="W349" s="43"/>
      <x:c r="X349" s="43"/>
      <x:c r="Y349" s="43"/>
      <x:c r="Z349" s="43"/>
      <x:c r="AA349" s="43"/>
      <x:c r="AB349" s="43"/>
      <x:c r="AC349" s="43"/>
      <x:c r="AD349" s="43"/>
      <x:c r="AE349" s="43"/>
      <x:c r="AF349" s="43"/>
      <x:c r="AG349" s="43"/>
      <x:c r="AH349" s="43"/>
      <x:c r="AI349" s="43"/>
      <x:c r="AJ349" s="43"/>
      <x:c r="AK349" s="43"/>
      <x:c r="AL349" s="43"/>
      <x:c r="AM349" s="43"/>
      <x:c r="AN349" s="43"/>
      <x:c r="AO349" s="43"/>
      <x:c r="AP349" s="43"/>
    </x:row>
    <x:row r="350" ht="15" hidden="0" customHeight="1">
      <x:c r="A350" s="36" t="str">
        <x:v>EW Waste Matrix!row 114</x:v>
      </x:c>
      <x:c r="B350" s="37" t="str">
        <x:v>Listening</x:v>
      </x:c>
      <x:c r="C350" s="36" t="str">
        <x:v>People function​</x:v>
      </x:c>
      <x:c r="D350" s="36" t="n">
        <x:v>1.6</x:v>
      </x:c>
      <x:c r="E350" s="36" t="str">
        <x:v>HEALTHY</x:v>
      </x:c>
      <x:c r="F350" s="36" t="str"/>
      <x:c r="G350" s="36" t="str"/>
      <x:c r="H350" s="36" t="str"/>
      <x:c r="I350" s="36" t="str"/>
      <x:c r="J350" s="36" t="str"/>
      <x:c r="K350" s="36"/>
      <x:c r="L350" s="36" t="str"/>
      <x:c r="M350" s="36" t="str">
        <x:v>HEALTHY — Rank in priority matrix</x:v>
      </x:c>
      <x:c r="N350" s="36" t="str"/>
      <x:c r="O350" s="43"/>
      <x:c r="P350" s="43"/>
      <x:c r="Q350" s="43"/>
      <x:c r="R350" s="43"/>
      <x:c r="S350" s="43"/>
      <x:c r="T350" s="43"/>
      <x:c r="U350" s="43"/>
      <x:c r="V350" s="43"/>
      <x:c r="W350" s="43"/>
      <x:c r="X350" s="43"/>
      <x:c r="Y350" s="43"/>
      <x:c r="Z350" s="43"/>
      <x:c r="AA350" s="43"/>
      <x:c r="AB350" s="43"/>
      <x:c r="AC350" s="43"/>
      <x:c r="AD350" s="43"/>
      <x:c r="AE350" s="43"/>
      <x:c r="AF350" s="43"/>
      <x:c r="AG350" s="43"/>
      <x:c r="AH350" s="43"/>
      <x:c r="AI350" s="43"/>
      <x:c r="AJ350" s="43"/>
      <x:c r="AK350" s="43"/>
      <x:c r="AL350" s="43"/>
      <x:c r="AM350" s="43"/>
      <x:c r="AN350" s="43"/>
      <x:c r="AO350" s="43"/>
      <x:c r="AP350" s="43"/>
    </x:row>
    <x:row r="351" ht="15" hidden="0" customHeight="1">
      <x:c r="A351" s="36" t="str">
        <x:v>EW Waste Matrix!row 115</x:v>
      </x:c>
      <x:c r="B351" s="37" t="str">
        <x:v>Personalized learning</x:v>
      </x:c>
      <x:c r="C351" s="36" t="str">
        <x:v>People function​</x:v>
      </x:c>
      <x:c r="D351" s="36" t="n">
        <x:v>1.3</x:v>
      </x:c>
      <x:c r="E351" s="36" t="str">
        <x:v>HEALTHY</x:v>
      </x:c>
      <x:c r="F351" s="36" t="str"/>
      <x:c r="G351" s="36" t="str"/>
      <x:c r="H351" s="36" t="str"/>
      <x:c r="I351" s="36" t="str"/>
      <x:c r="J351" s="36" t="str"/>
      <x:c r="K351" s="36"/>
      <x:c r="L351" s="36" t="str"/>
      <x:c r="M351" s="36" t="str">
        <x:v>HEALTHY — Rank in priority matrix</x:v>
      </x:c>
      <x:c r="N351" s="36" t="str"/>
      <x:c r="O351" s="43"/>
      <x:c r="P351" s="43"/>
      <x:c r="Q351" s="43"/>
      <x:c r="R351" s="43"/>
      <x:c r="S351" s="43"/>
      <x:c r="T351" s="43"/>
      <x:c r="U351" s="43"/>
      <x:c r="V351" s="43"/>
      <x:c r="W351" s="43"/>
      <x:c r="X351" s="43"/>
      <x:c r="Y351" s="43"/>
      <x:c r="Z351" s="43"/>
      <x:c r="AA351" s="43"/>
      <x:c r="AB351" s="43"/>
      <x:c r="AC351" s="43"/>
      <x:c r="AD351" s="43"/>
      <x:c r="AE351" s="43"/>
      <x:c r="AF351" s="43"/>
      <x:c r="AG351" s="43"/>
      <x:c r="AH351" s="43"/>
      <x:c r="AI351" s="43"/>
      <x:c r="AJ351" s="43"/>
      <x:c r="AK351" s="43"/>
      <x:c r="AL351" s="43"/>
      <x:c r="AM351" s="43"/>
      <x:c r="AN351" s="43"/>
      <x:c r="AO351" s="43"/>
      <x:c r="AP351" s="43"/>
    </x:row>
    <x:row r="352" ht="15" hidden="0" customHeight="1">
      <x:c r="A352" s="36" t="str">
        <x:v>EW Waste Matrix!row 116</x:v>
      </x:c>
      <x:c r="B352" s="37" t="str">
        <x:v>Leadership development</x:v>
      </x:c>
      <x:c r="C352" s="36" t="str">
        <x:v>People function​</x:v>
      </x:c>
      <x:c r="D352" s="36" t="n">
        <x:v>1.1</x:v>
      </x:c>
      <x:c r="E352" s="36" t="str">
        <x:v>HEALTHY</x:v>
      </x:c>
      <x:c r="F352" s="36" t="str"/>
      <x:c r="G352" s="36" t="str"/>
      <x:c r="H352" s="36" t="str"/>
      <x:c r="I352" s="36" t="str"/>
      <x:c r="J352" s="36" t="str"/>
      <x:c r="K352" s="36"/>
      <x:c r="L352" s="36" t="str"/>
      <x:c r="M352" s="36" t="str">
        <x:v>HEALTHY — Rank in priority matrix</x:v>
      </x:c>
      <x:c r="N352" s="36" t="str"/>
      <x:c r="O352" s="43"/>
      <x:c r="P352" s="43"/>
      <x:c r="Q352" s="43"/>
      <x:c r="R352" s="43"/>
      <x:c r="S352" s="43"/>
      <x:c r="T352" s="43"/>
      <x:c r="U352" s="43"/>
      <x:c r="V352" s="43"/>
      <x:c r="W352" s="43"/>
      <x:c r="X352" s="43"/>
      <x:c r="Y352" s="43"/>
      <x:c r="Z352" s="43"/>
      <x:c r="AA352" s="43"/>
      <x:c r="AB352" s="43"/>
      <x:c r="AC352" s="43"/>
      <x:c r="AD352" s="43"/>
      <x:c r="AE352" s="43"/>
      <x:c r="AF352" s="43"/>
      <x:c r="AG352" s="43"/>
      <x:c r="AH352" s="43"/>
      <x:c r="AI352" s="43"/>
      <x:c r="AJ352" s="43"/>
      <x:c r="AK352" s="43"/>
      <x:c r="AL352" s="43"/>
      <x:c r="AM352" s="43"/>
      <x:c r="AN352" s="43"/>
      <x:c r="AO352" s="43"/>
      <x:c r="AP352" s="43"/>
    </x:row>
    <x:row r="353" ht="15" hidden="0" customHeight="1">
      <x:c r="A353" s="36" t="str">
        <x:v>EW Waste Matrix!row 117</x:v>
      </x:c>
      <x:c r="B353" s="37" t="str">
        <x:v>Agentic Contact Center</x:v>
      </x:c>
      <x:c r="C353" s="36" t="str">
        <x:v>People function​</x:v>
      </x:c>
      <x:c r="D353" s="36" t="n">
        <x:v>1.25</x:v>
      </x:c>
      <x:c r="E353" s="36" t="str">
        <x:v>HEALTHY</x:v>
      </x:c>
      <x:c r="F353" s="36" t="str"/>
      <x:c r="G353" s="36" t="str"/>
      <x:c r="H353" s="36" t="str"/>
      <x:c r="I353" s="36" t="str"/>
      <x:c r="J353" s="36" t="str"/>
      <x:c r="K353" s="36"/>
      <x:c r="L353" s="36" t="str"/>
      <x:c r="M353" s="36" t="str">
        <x:v>HEALTHY — Rank in priority matrix</x:v>
      </x:c>
      <x:c r="N353" s="36" t="str"/>
      <x:c r="O353" s="43"/>
      <x:c r="P353" s="43"/>
      <x:c r="Q353" s="43"/>
      <x:c r="R353" s="43"/>
      <x:c r="S353" s="43"/>
      <x:c r="T353" s="43"/>
      <x:c r="U353" s="43"/>
      <x:c r="V353" s="43"/>
      <x:c r="W353" s="43"/>
      <x:c r="X353" s="43"/>
      <x:c r="Y353" s="43"/>
      <x:c r="Z353" s="43"/>
      <x:c r="AA353" s="43"/>
      <x:c r="AB353" s="43"/>
      <x:c r="AC353" s="43"/>
      <x:c r="AD353" s="43"/>
      <x:c r="AE353" s="43"/>
      <x:c r="AF353" s="43"/>
      <x:c r="AG353" s="43"/>
      <x:c r="AH353" s="43"/>
      <x:c r="AI353" s="43"/>
      <x:c r="AJ353" s="43"/>
      <x:c r="AK353" s="43"/>
      <x:c r="AL353" s="43"/>
      <x:c r="AM353" s="43"/>
      <x:c r="AN353" s="43"/>
      <x:c r="AO353" s="43"/>
      <x:c r="AP353" s="43"/>
    </x:row>
    <x:row r="354" ht="15" hidden="0" customHeight="1">
      <x:c r="A354" s="36" t="str">
        <x:v>EW Waste Matrix!row 118</x:v>
      </x:c>
      <x:c r="B354" s="37" t="str">
        <x:v>Pay to perform</x:v>
      </x:c>
      <x:c r="C354" s="36" t="str">
        <x:v>People function​</x:v>
      </x:c>
      <x:c r="D354" s="36" t="n">
        <x:v>1.5</x:v>
      </x:c>
      <x:c r="E354" s="36" t="str">
        <x:v>HEALTHY</x:v>
      </x:c>
      <x:c r="F354" s="36" t="str"/>
      <x:c r="G354" s="36" t="str"/>
      <x:c r="H354" s="36" t="str"/>
      <x:c r="I354" s="36" t="str"/>
      <x:c r="J354" s="36" t="str"/>
      <x:c r="K354" s="36"/>
      <x:c r="L354" s="36" t="str"/>
      <x:c r="M354" s="36" t="str">
        <x:v>HEALTHY — Rank in priority matrix</x:v>
      </x:c>
      <x:c r="N354" s="36" t="str"/>
      <x:c r="O354" s="43"/>
      <x:c r="P354" s="43"/>
      <x:c r="Q354" s="43"/>
      <x:c r="R354" s="43"/>
      <x:c r="S354" s="43"/>
      <x:c r="T354" s="43"/>
      <x:c r="U354" s="43"/>
      <x:c r="V354" s="43"/>
      <x:c r="W354" s="43"/>
      <x:c r="X354" s="43"/>
      <x:c r="Y354" s="43"/>
      <x:c r="Z354" s="43"/>
      <x:c r="AA354" s="43"/>
      <x:c r="AB354" s="43"/>
      <x:c r="AC354" s="43"/>
      <x:c r="AD354" s="43"/>
      <x:c r="AE354" s="43"/>
      <x:c r="AF354" s="43"/>
      <x:c r="AG354" s="43"/>
      <x:c r="AH354" s="43"/>
      <x:c r="AI354" s="43"/>
      <x:c r="AJ354" s="43"/>
      <x:c r="AK354" s="43"/>
      <x:c r="AL354" s="43"/>
      <x:c r="AM354" s="43"/>
      <x:c r="AN354" s="43"/>
      <x:c r="AO354" s="43"/>
      <x:c r="AP354" s="43"/>
    </x:row>
    <x:row r="355" ht="15" hidden="0" customHeight="1">
      <x:c r="A355" s="36" t="str">
        <x:v>EW Waste Matrix!row 119</x:v>
      </x:c>
      <x:c r="B355" s="37" t="str">
        <x:v>Sales incentives</x:v>
      </x:c>
      <x:c r="C355" s="36" t="str">
        <x:v>People function​</x:v>
      </x:c>
      <x:c r="D355" s="36" t="n">
        <x:v>1.4</x:v>
      </x:c>
      <x:c r="E355" s="36" t="str">
        <x:v>HEALTHY</x:v>
      </x:c>
      <x:c r="F355" s="36" t="str"/>
      <x:c r="G355" s="36" t="str"/>
      <x:c r="H355" s="36" t="str"/>
      <x:c r="I355" s="36" t="str"/>
      <x:c r="J355" s="36" t="str"/>
      <x:c r="K355" s="36"/>
      <x:c r="L355" s="36" t="str"/>
      <x:c r="M355" s="36" t="str">
        <x:v>HEALTHY — Rank in priority matrix</x:v>
      </x:c>
      <x:c r="N355" s="36" t="str"/>
      <x:c r="O355" s="43"/>
      <x:c r="P355" s="43"/>
      <x:c r="Q355" s="43"/>
      <x:c r="R355" s="43"/>
      <x:c r="S355" s="43"/>
      <x:c r="T355" s="43"/>
      <x:c r="U355" s="43"/>
      <x:c r="V355" s="43"/>
      <x:c r="W355" s="43"/>
      <x:c r="X355" s="43"/>
      <x:c r="Y355" s="43"/>
      <x:c r="Z355" s="43"/>
      <x:c r="AA355" s="43"/>
      <x:c r="AB355" s="43"/>
      <x:c r="AC355" s="43"/>
      <x:c r="AD355" s="43"/>
      <x:c r="AE355" s="43"/>
      <x:c r="AF355" s="43"/>
      <x:c r="AG355" s="43"/>
      <x:c r="AH355" s="43"/>
      <x:c r="AI355" s="43"/>
      <x:c r="AJ355" s="43"/>
      <x:c r="AK355" s="43"/>
      <x:c r="AL355" s="43"/>
      <x:c r="AM355" s="43"/>
      <x:c r="AN355" s="43"/>
      <x:c r="AO355" s="43"/>
      <x:c r="AP355" s="43"/>
    </x:row>
    <x:row r="356" ht="15" hidden="0" customHeight="1">
      <x:c r="A356" s="36" t="str">
        <x:v>EW Waste Matrix!row 120</x:v>
      </x:c>
      <x:c r="B356" s="37" t="str">
        <x:v>Spequinox 2.0</x:v>
      </x:c>
      <x:c r="C356" s="36" t="str">
        <x:v>People function​</x:v>
      </x:c>
      <x:c r="D356" s="36" t="n">
        <x:v>1.8</x:v>
      </x:c>
      <x:c r="E356" s="36" t="str">
        <x:v>HEALTHY</x:v>
      </x:c>
      <x:c r="F356" s="36" t="str"/>
      <x:c r="G356" s="36" t="str"/>
      <x:c r="H356" s="36" t="str"/>
      <x:c r="I356" s="36" t="str"/>
      <x:c r="J356" s="36" t="str"/>
      <x:c r="K356" s="36"/>
      <x:c r="L356" s="36" t="str"/>
      <x:c r="M356" s="36" t="str">
        <x:v>HEALTHY — Rank in priority matrix</x:v>
      </x:c>
      <x:c r="N356" s="36" t="str"/>
      <x:c r="O356" s="43"/>
      <x:c r="P356" s="43"/>
      <x:c r="Q356" s="43"/>
      <x:c r="R356" s="43"/>
      <x:c r="S356" s="43"/>
      <x:c r="T356" s="43"/>
      <x:c r="U356" s="43"/>
      <x:c r="V356" s="43"/>
      <x:c r="W356" s="43"/>
      <x:c r="X356" s="43"/>
      <x:c r="Y356" s="43"/>
      <x:c r="Z356" s="43"/>
      <x:c r="AA356" s="43"/>
      <x:c r="AB356" s="43"/>
      <x:c r="AC356" s="43"/>
      <x:c r="AD356" s="43"/>
      <x:c r="AE356" s="43"/>
      <x:c r="AF356" s="43"/>
      <x:c r="AG356" s="43"/>
      <x:c r="AH356" s="43"/>
      <x:c r="AI356" s="43"/>
      <x:c r="AJ356" s="43"/>
      <x:c r="AK356" s="43"/>
      <x:c r="AL356" s="43"/>
      <x:c r="AM356" s="43"/>
      <x:c r="AN356" s="43"/>
      <x:c r="AO356" s="43"/>
      <x:c r="AP356" s="43"/>
    </x:row>
    <x:row r="357" ht="15" hidden="0" customHeight="1">
      <x:c r="A357" s="36" t="str">
        <x:v>EW Waste Matrix!row 121</x:v>
      </x:c>
      <x:c r="B357" s="37" t="str">
        <x:v>Org Effectiveness </x:v>
      </x:c>
      <x:c r="C357" s="36" t="str">
        <x:v>People function​</x:v>
      </x:c>
      <x:c r="D357" s="36" t="n">
        <x:v>1.75</x:v>
      </x:c>
      <x:c r="E357" s="36" t="str">
        <x:v>HEALTHY</x:v>
      </x:c>
      <x:c r="F357" s="36" t="str"/>
      <x:c r="G357" s="36" t="str"/>
      <x:c r="H357" s="36" t="str"/>
      <x:c r="I357" s="36" t="str"/>
      <x:c r="J357" s="36" t="str"/>
      <x:c r="K357" s="36"/>
      <x:c r="L357" s="36" t="str"/>
      <x:c r="M357" s="36" t="str">
        <x:v>HEALTHY — Rank in priority matrix</x:v>
      </x:c>
      <x:c r="N357" s="36" t="str"/>
      <x:c r="O357" s="43"/>
      <x:c r="P357" s="43"/>
      <x:c r="Q357" s="43"/>
      <x:c r="R357" s="43"/>
      <x:c r="S357" s="43"/>
      <x:c r="T357" s="43"/>
      <x:c r="U357" s="43"/>
      <x:c r="V357" s="43"/>
      <x:c r="W357" s="43"/>
      <x:c r="X357" s="43"/>
      <x:c r="Y357" s="43"/>
      <x:c r="Z357" s="43"/>
      <x:c r="AA357" s="43"/>
      <x:c r="AB357" s="43"/>
      <x:c r="AC357" s="43"/>
      <x:c r="AD357" s="43"/>
      <x:c r="AE357" s="43"/>
      <x:c r="AF357" s="43"/>
      <x:c r="AG357" s="43"/>
      <x:c r="AH357" s="43"/>
      <x:c r="AI357" s="43"/>
      <x:c r="AJ357" s="43"/>
      <x:c r="AK357" s="43"/>
      <x:c r="AL357" s="43"/>
      <x:c r="AM357" s="43"/>
      <x:c r="AN357" s="43"/>
      <x:c r="AO357" s="43"/>
      <x:c r="AP357" s="43"/>
    </x:row>
    <x:row r="358" ht="15" hidden="0" customHeight="1">
      <x:c r="A358" s="36" t="str">
        <x:v>EW Waste Matrix!row 122</x:v>
      </x:c>
      <x:c r="B358" s="37" t="str">
        <x:v>Content (PRX merge into PCP)</x:v>
      </x:c>
      <x:c r="C358" s="36" t="str">
        <x:v>Information Technology ​</x:v>
      </x:c>
      <x:c r="D358" s="36" t="n">
        <x:v>1.05</x:v>
      </x:c>
      <x:c r="E358" s="36" t="str">
        <x:v>HEALTHY</x:v>
      </x:c>
      <x:c r="F358" s="36" t="str"/>
      <x:c r="G358" s="36" t="str"/>
      <x:c r="H358" s="36" t="str"/>
      <x:c r="I358" s="36" t="str"/>
      <x:c r="J358" s="36" t="str"/>
      <x:c r="K358" s="36"/>
      <x:c r="L358" s="36" t="str"/>
      <x:c r="M358" s="36" t="str">
        <x:v>HEALTHY — Rank in priority matrix</x:v>
      </x:c>
      <x:c r="N358" s="36" t="str"/>
      <x:c r="O358" s="43"/>
      <x:c r="P358" s="43"/>
      <x:c r="Q358" s="43"/>
      <x:c r="R358" s="43"/>
      <x:c r="S358" s="43"/>
      <x:c r="T358" s="43"/>
      <x:c r="U358" s="43"/>
      <x:c r="V358" s="43"/>
      <x:c r="W358" s="43"/>
      <x:c r="X358" s="43"/>
      <x:c r="Y358" s="43"/>
      <x:c r="Z358" s="43"/>
      <x:c r="AA358" s="43"/>
      <x:c r="AB358" s="43"/>
      <x:c r="AC358" s="43"/>
      <x:c r="AD358" s="43"/>
      <x:c r="AE358" s="43"/>
      <x:c r="AF358" s="43"/>
      <x:c r="AG358" s="43"/>
      <x:c r="AH358" s="43"/>
      <x:c r="AI358" s="43"/>
      <x:c r="AJ358" s="43"/>
      <x:c r="AK358" s="43"/>
      <x:c r="AL358" s="43"/>
      <x:c r="AM358" s="43"/>
      <x:c r="AN358" s="43"/>
      <x:c r="AO358" s="43"/>
      <x:c r="AP358" s="43"/>
    </x:row>
    <x:row r="359" ht="15" hidden="0" customHeight="1">
      <x:c r="A359" s="36" t="str">
        <x:v>EW Waste Matrix!row 123</x:v>
      </x:c>
      <x:c r="B359" s="37" t="str">
        <x:v>CPQ/CLM Replatforming Capability Development</x:v>
      </x:c>
      <x:c r="C359" s="36" t="str">
        <x:v>Information Technology ​</x:v>
      </x:c>
      <x:c r="D359" s="36" t="n">
        <x:v>1.15</x:v>
      </x:c>
      <x:c r="E359" s="36" t="str">
        <x:v>HEALTHY</x:v>
      </x:c>
      <x:c r="F359" s="36" t="str"/>
      <x:c r="G359" s="36" t="str"/>
      <x:c r="H359" s="36" t="str"/>
      <x:c r="I359" s="36" t="str"/>
      <x:c r="J359" s="36" t="str"/>
      <x:c r="K359" s="36"/>
      <x:c r="L359" s="36" t="str"/>
      <x:c r="M359" s="36" t="str">
        <x:v>HEALTHY — Rank in priority matrix</x:v>
      </x:c>
      <x:c r="N359" s="36" t="str"/>
      <x:c r="O359" s="43"/>
      <x:c r="P359" s="43"/>
      <x:c r="Q359" s="43"/>
      <x:c r="R359" s="43"/>
      <x:c r="S359" s="43"/>
      <x:c r="T359" s="43"/>
      <x:c r="U359" s="43"/>
      <x:c r="V359" s="43"/>
      <x:c r="W359" s="43"/>
      <x:c r="X359" s="43"/>
      <x:c r="Y359" s="43"/>
      <x:c r="Z359" s="43"/>
      <x:c r="AA359" s="43"/>
      <x:c r="AB359" s="43"/>
      <x:c r="AC359" s="43"/>
      <x:c r="AD359" s="43"/>
      <x:c r="AE359" s="43"/>
      <x:c r="AF359" s="43"/>
      <x:c r="AG359" s="43"/>
      <x:c r="AH359" s="43"/>
      <x:c r="AI359" s="43"/>
      <x:c r="AJ359" s="43"/>
      <x:c r="AK359" s="43"/>
      <x:c r="AL359" s="43"/>
      <x:c r="AM359" s="43"/>
      <x:c r="AN359" s="43"/>
      <x:c r="AO359" s="43"/>
      <x:c r="AP359" s="43"/>
    </x:row>
    <x:row r="360" ht="15" hidden="0" customHeight="1">
      <x:c r="A360" s="36" t="str">
        <x:v>EW Waste Matrix!row 124</x:v>
      </x:c>
      <x:c r="B360" s="37" t="str">
        <x:v>RFP.ai</x:v>
      </x:c>
      <x:c r="C360" s="36" t="str">
        <x:v>Information Technology ​</x:v>
      </x:c>
      <x:c r="D360" s="36" t="n">
        <x:v>1.05</x:v>
      </x:c>
      <x:c r="E360" s="36" t="str">
        <x:v>HEALTHY</x:v>
      </x:c>
      <x:c r="F360" s="36" t="str"/>
      <x:c r="G360" s="36" t="str"/>
      <x:c r="H360" s="36" t="str"/>
      <x:c r="I360" s="36" t="str"/>
      <x:c r="J360" s="36" t="str"/>
      <x:c r="K360" s="36"/>
      <x:c r="L360" s="36" t="str"/>
      <x:c r="M360" s="36" t="str">
        <x:v>HEALTHY — Rank in priority matrix</x:v>
      </x:c>
      <x:c r="N360" s="36" t="str"/>
      <x:c r="O360" s="43"/>
      <x:c r="P360" s="43"/>
      <x:c r="Q360" s="43"/>
      <x:c r="R360" s="43"/>
      <x:c r="S360" s="43"/>
      <x:c r="T360" s="43"/>
      <x:c r="U360" s="43"/>
      <x:c r="V360" s="43"/>
      <x:c r="W360" s="43"/>
      <x:c r="X360" s="43"/>
      <x:c r="Y360" s="43"/>
      <x:c r="Z360" s="43"/>
      <x:c r="AA360" s="43"/>
      <x:c r="AB360" s="43"/>
      <x:c r="AC360" s="43"/>
      <x:c r="AD360" s="43"/>
      <x:c r="AE360" s="43"/>
      <x:c r="AF360" s="43"/>
      <x:c r="AG360" s="43"/>
      <x:c r="AH360" s="43"/>
      <x:c r="AI360" s="43"/>
      <x:c r="AJ360" s="43"/>
      <x:c r="AK360" s="43"/>
      <x:c r="AL360" s="43"/>
      <x:c r="AM360" s="43"/>
      <x:c r="AN360" s="43"/>
      <x:c r="AO360" s="43"/>
      <x:c r="AP360" s="43"/>
    </x:row>
    <x:row r="361" ht="15" hidden="0" customHeight="1">
      <x:c r="A361" s="36" t="str">
        <x:v>EW Waste Matrix!row 125</x:v>
      </x:c>
      <x:c r="B361" s="37" t="str">
        <x:v>Installbase and Quoting AI Productivity - NAM</x:v>
      </x:c>
      <x:c r="C361" s="36" t="str">
        <x:v>Information Technology ​</x:v>
      </x:c>
      <x:c r="D361" s="36" t="n">
        <x:v>1.2</x:v>
      </x:c>
      <x:c r="E361" s="36" t="str">
        <x:v>HEALTHY</x:v>
      </x:c>
      <x:c r="F361" s="36" t="str"/>
      <x:c r="G361" s="36" t="str"/>
      <x:c r="H361" s="36" t="str"/>
      <x:c r="I361" s="36" t="str"/>
      <x:c r="J361" s="36" t="str"/>
      <x:c r="K361" s="36"/>
      <x:c r="L361" s="36" t="str"/>
      <x:c r="M361" s="36" t="str">
        <x:v>HEALTHY — Rank in priority matrix</x:v>
      </x:c>
      <x:c r="N361" s="36" t="str"/>
      <x:c r="O361" s="43"/>
      <x:c r="P361" s="43"/>
      <x:c r="Q361" s="43"/>
      <x:c r="R361" s="43"/>
      <x:c r="S361" s="43"/>
      <x:c r="T361" s="43"/>
      <x:c r="U361" s="43"/>
      <x:c r="V361" s="43"/>
      <x:c r="W361" s="43"/>
      <x:c r="X361" s="43"/>
      <x:c r="Y361" s="43"/>
      <x:c r="Z361" s="43"/>
      <x:c r="AA361" s="43"/>
      <x:c r="AB361" s="43"/>
      <x:c r="AC361" s="43"/>
      <x:c r="AD361" s="43"/>
      <x:c r="AE361" s="43"/>
      <x:c r="AF361" s="43"/>
      <x:c r="AG361" s="43"/>
      <x:c r="AH361" s="43"/>
      <x:c r="AI361" s="43"/>
      <x:c r="AJ361" s="43"/>
      <x:c r="AK361" s="43"/>
      <x:c r="AL361" s="43"/>
      <x:c r="AM361" s="43"/>
      <x:c r="AN361" s="43"/>
      <x:c r="AO361" s="43"/>
      <x:c r="AP361" s="43"/>
    </x:row>
    <x:row r="362" ht="15" hidden="0" customHeight="1">
      <x:c r="A362" s="36" t="str">
        <x:v>EW Waste Matrix!row 126</x:v>
      </x:c>
      <x:c r="B362" s="37" t="str">
        <x:v>Sales &amp; Commercial Intelligence</x:v>
      </x:c>
      <x:c r="C362" s="36" t="str">
        <x:v>Information Technology ​</x:v>
      </x:c>
      <x:c r="D362" s="36" t="n">
        <x:v>1.2</x:v>
      </x:c>
      <x:c r="E362" s="36" t="str">
        <x:v>HEALTHY</x:v>
      </x:c>
      <x:c r="F362" s="36" t="str"/>
      <x:c r="G362" s="36" t="str"/>
      <x:c r="H362" s="36" t="str"/>
      <x:c r="I362" s="36" t="str"/>
      <x:c r="J362" s="36" t="str"/>
      <x:c r="K362" s="36"/>
      <x:c r="L362" s="36" t="str"/>
      <x:c r="M362" s="36" t="str">
        <x:v>HEALTHY — Rank in priority matrix</x:v>
      </x:c>
      <x:c r="N362" s="36" t="str"/>
      <x:c r="O362" s="43"/>
      <x:c r="P362" s="43"/>
      <x:c r="Q362" s="43"/>
      <x:c r="R362" s="43"/>
      <x:c r="S362" s="43"/>
      <x:c r="T362" s="43"/>
      <x:c r="U362" s="43"/>
      <x:c r="V362" s="43"/>
      <x:c r="W362" s="43"/>
      <x:c r="X362" s="43"/>
      <x:c r="Y362" s="43"/>
      <x:c r="Z362" s="43"/>
      <x:c r="AA362" s="43"/>
      <x:c r="AB362" s="43"/>
      <x:c r="AC362" s="43"/>
      <x:c r="AD362" s="43"/>
      <x:c r="AE362" s="43"/>
      <x:c r="AF362" s="43"/>
      <x:c r="AG362" s="43"/>
      <x:c r="AH362" s="43"/>
      <x:c r="AI362" s="43"/>
      <x:c r="AJ362" s="43"/>
      <x:c r="AK362" s="43"/>
      <x:c r="AL362" s="43"/>
      <x:c r="AM362" s="43"/>
      <x:c r="AN362" s="43"/>
      <x:c r="AO362" s="43"/>
      <x:c r="AP362" s="43"/>
    </x:row>
    <x:row r="363" ht="15" hidden="0" customHeight="1">
      <x:c r="A363" s="36" t="str">
        <x:v>EW Waste Matrix!row 127</x:v>
      </x:c>
      <x:c r="B363" s="37" t="str">
        <x:v>Replace Appian with cheaper alternative solution</x:v>
      </x:c>
      <x:c r="C363" s="36" t="str">
        <x:v>Information Technology ​</x:v>
      </x:c>
      <x:c r="D363" s="36" t="n">
        <x:v>1</x:v>
      </x:c>
      <x:c r="E363" s="36" t="str">
        <x:v>HEALTHY</x:v>
      </x:c>
      <x:c r="F363" s="36" t="str"/>
      <x:c r="G363" s="36" t="str"/>
      <x:c r="H363" s="36" t="str"/>
      <x:c r="I363" s="36" t="str"/>
      <x:c r="J363" s="36" t="str"/>
      <x:c r="K363" s="36"/>
      <x:c r="L363" s="36" t="str"/>
      <x:c r="M363" s="36" t="str">
        <x:v>HEALTHY — Rank in priority matrix</x:v>
      </x:c>
      <x:c r="N363" s="36" t="str">
        <x:v>Currently 3 items in the Decommissioning and Replatforming (DRP); separately listed on the Waste Scoring Matrix:</x:v>
      </x:c>
      <x:c r="O363" s="43"/>
      <x:c r="P363" s="43"/>
      <x:c r="Q363" s="43"/>
      <x:c r="R363" s="43"/>
      <x:c r="S363" s="43"/>
      <x:c r="T363" s="43"/>
      <x:c r="U363" s="43"/>
      <x:c r="V363" s="43"/>
      <x:c r="W363" s="43"/>
      <x:c r="X363" s="43"/>
      <x:c r="Y363" s="43"/>
      <x:c r="Z363" s="43"/>
      <x:c r="AA363" s="43"/>
      <x:c r="AB363" s="43"/>
      <x:c r="AC363" s="43"/>
      <x:c r="AD363" s="43"/>
      <x:c r="AE363" s="43"/>
      <x:c r="AF363" s="43"/>
      <x:c r="AG363" s="43"/>
      <x:c r="AH363" s="43"/>
      <x:c r="AI363" s="43"/>
      <x:c r="AJ363" s="43"/>
      <x:c r="AK363" s="43"/>
      <x:c r="AL363" s="43"/>
      <x:c r="AM363" s="43"/>
      <x:c r="AN363" s="43"/>
      <x:c r="AO363" s="43"/>
      <x:c r="AP363" s="43"/>
    </x:row>
    <x:row r="364" ht="15" hidden="0" customHeight="1">
      <x:c r="A364" s="36" t="str">
        <x:v>EW Waste Matrix!row 131</x:v>
      </x:c>
      <x:c r="B364" s="37" t="str">
        <x:v>LLM, AI Foundation &amp; ITaaP Extension in GCR</x:v>
      </x:c>
      <x:c r="C364" s="36" t="str">
        <x:v>Information Technology ​</x:v>
      </x:c>
      <x:c r="D364" s="36" t="n">
        <x:v>1</x:v>
      </x:c>
      <x:c r="E364" s="36" t="str">
        <x:v>HEALTHY</x:v>
      </x:c>
      <x:c r="F364" s="36" t="str">
        <x:v>YES</x:v>
      </x:c>
      <x:c r="G364" s="36" t="str">
        <x:v>5 — Exactly the minimum — only what's needed to meet the rule, nothing more.</x:v>
      </x:c>
      <x:c r="H364" s="36" t="str">
        <x:v>1 — Minor internal issue only — no outside consequence.</x:v>
      </x:c>
      <x:c r="I364" s="36" t="str">
        <x:v>3 — Possible — there's general enforcement in this area and periodic audits.</x:v>
      </x:c>
      <x:c r="J364" s="36" t="str">
        <x:v>3 — Between six months and a year away.</x:v>
      </x:c>
      <x:c r="K364" s="36" t="n">
        <x:v>3</x:v>
      </x:c>
      <x:c r="L364" s="36" t="str">
        <x:v>P2 — Scheduled</x:v>
      </x:c>
      <x:c r="M364" s="36" t="str">
        <x:v>HEALTHY / MUST-DO — P2 — Scheduled</x:v>
      </x:c>
      <x:c r="N364" s="36" t="str"/>
      <x:c r="O364" s="43"/>
      <x:c r="P364" s="43"/>
      <x:c r="Q364" s="43"/>
      <x:c r="R364" s="43"/>
      <x:c r="S364" s="43"/>
      <x:c r="T364" s="43"/>
      <x:c r="U364" s="43"/>
      <x:c r="V364" s="43"/>
      <x:c r="W364" s="43"/>
      <x:c r="X364" s="43"/>
      <x:c r="Y364" s="43"/>
      <x:c r="Z364" s="43"/>
      <x:c r="AA364" s="43"/>
      <x:c r="AB364" s="43"/>
      <x:c r="AC364" s="43"/>
      <x:c r="AD364" s="43"/>
      <x:c r="AE364" s="43"/>
      <x:c r="AF364" s="43"/>
      <x:c r="AG364" s="43"/>
      <x:c r="AH364" s="43"/>
      <x:c r="AI364" s="43"/>
      <x:c r="AJ364" s="43"/>
      <x:c r="AK364" s="43"/>
      <x:c r="AL364" s="43"/>
      <x:c r="AM364" s="43"/>
      <x:c r="AN364" s="43"/>
      <x:c r="AO364" s="43"/>
      <x:c r="AP364" s="43"/>
    </x:row>
    <x:row r="365" ht="15" hidden="0" customHeight="1">
      <x:c r="A365" s="36" t="str">
        <x:v>EW Waste Matrix!row 132</x:v>
      </x:c>
      <x:c r="B365" s="37" t="str">
        <x:v>EADI - MDM Decom</x:v>
      </x:c>
      <x:c r="C365" s="36" t="str">
        <x:v>Information Technology ​</x:v>
      </x:c>
      <x:c r="D365" s="36" t="n">
        <x:v>1</x:v>
      </x:c>
      <x:c r="E365" s="36" t="str">
        <x:v>HEALTHY</x:v>
      </x:c>
      <x:c r="F365" s="36" t="str"/>
      <x:c r="G365" s="36" t="str"/>
      <x:c r="H365" s="36" t="str"/>
      <x:c r="I365" s="36" t="str"/>
      <x:c r="J365" s="36" t="str"/>
      <x:c r="K365" s="36"/>
      <x:c r="L365" s="36" t="str"/>
      <x:c r="M365" s="36" t="str">
        <x:v>HEALTHY — Rank in priority matrix</x:v>
      </x:c>
      <x:c r="N365" s="36" t="str"/>
      <x:c r="O365" s="43"/>
      <x:c r="P365" s="43"/>
      <x:c r="Q365" s="43"/>
      <x:c r="R365" s="43"/>
      <x:c r="S365" s="43"/>
      <x:c r="T365" s="43"/>
      <x:c r="U365" s="43"/>
      <x:c r="V365" s="43"/>
      <x:c r="W365" s="43"/>
      <x:c r="X365" s="43"/>
      <x:c r="Y365" s="43"/>
      <x:c r="Z365" s="43"/>
      <x:c r="AA365" s="43"/>
      <x:c r="AB365" s="43"/>
      <x:c r="AC365" s="43"/>
      <x:c r="AD365" s="43"/>
      <x:c r="AE365" s="43"/>
      <x:c r="AF365" s="43"/>
      <x:c r="AG365" s="43"/>
      <x:c r="AH365" s="43"/>
      <x:c r="AI365" s="43"/>
      <x:c r="AJ365" s="43"/>
      <x:c r="AK365" s="43"/>
      <x:c r="AL365" s="43"/>
      <x:c r="AM365" s="43"/>
      <x:c r="AN365" s="43"/>
      <x:c r="AO365" s="43"/>
      <x:c r="AP365" s="43"/>
    </x:row>
    <x:row r="366" ht="15" hidden="0" customHeight="1">
      <x:c r="A366" s="36" t="str">
        <x:v>EW Waste Matrix!row 133</x:v>
      </x:c>
      <x:c r="B366" s="37" t="str">
        <x:v>Conga Advantage</x:v>
      </x:c>
      <x:c r="C366" s="36" t="str">
        <x:v>Information Technology ​</x:v>
      </x:c>
      <x:c r="D366" s="36" t="n">
        <x:v>1.3</x:v>
      </x:c>
      <x:c r="E366" s="36" t="str">
        <x:v>HEALTHY</x:v>
      </x:c>
      <x:c r="F366" s="36" t="str"/>
      <x:c r="G366" s="36" t="str"/>
      <x:c r="H366" s="36" t="str"/>
      <x:c r="I366" s="36" t="str"/>
      <x:c r="J366" s="36" t="str"/>
      <x:c r="K366" s="36"/>
      <x:c r="L366" s="36" t="str"/>
      <x:c r="M366" s="36" t="str">
        <x:v>HEALTHY — Rank in priority matrix</x:v>
      </x:c>
      <x:c r="N366" s="36" t="str"/>
      <x:c r="O366" s="43"/>
      <x:c r="P366" s="43"/>
      <x:c r="Q366" s="43"/>
      <x:c r="R366" s="43"/>
      <x:c r="S366" s="43"/>
      <x:c r="T366" s="43"/>
      <x:c r="U366" s="43"/>
      <x:c r="V366" s="43"/>
      <x:c r="W366" s="43"/>
      <x:c r="X366" s="43"/>
      <x:c r="Y366" s="43"/>
      <x:c r="Z366" s="43"/>
      <x:c r="AA366" s="43"/>
      <x:c r="AB366" s="43"/>
      <x:c r="AC366" s="43"/>
      <x:c r="AD366" s="43"/>
      <x:c r="AE366" s="43"/>
      <x:c r="AF366" s="43"/>
      <x:c r="AG366" s="43"/>
      <x:c r="AH366" s="43"/>
      <x:c r="AI366" s="43"/>
      <x:c r="AJ366" s="43"/>
      <x:c r="AK366" s="43"/>
      <x:c r="AL366" s="43"/>
      <x:c r="AM366" s="43"/>
      <x:c r="AN366" s="43"/>
      <x:c r="AO366" s="43"/>
      <x:c r="AP366" s="43"/>
    </x:row>
    <x:row r="367" ht="15" hidden="0" customHeight="1">
      <x:c r="A367" s="36" t="str">
        <x:v>EW Waste Matrix!row 134</x:v>
      </x:c>
      <x:c r="B367" s="37" t="str">
        <x:v>Sales Replatforming</x:v>
      </x:c>
      <x:c r="C367" s="36" t="str">
        <x:v>Information Technology ​</x:v>
      </x:c>
      <x:c r="D367" s="36"/>
      <x:c r="E367" s="36" t="str"/>
      <x:c r="F367" s="36" t="str"/>
      <x:c r="G367" s="36" t="str"/>
      <x:c r="H367" s="36" t="str"/>
      <x:c r="I367" s="36" t="str"/>
      <x:c r="J367" s="36" t="str"/>
      <x:c r="K367" s="36"/>
      <x:c r="L367" s="36" t="str"/>
      <x:c r="M367" s="36" t="str"/>
      <x:c r="N367" s="36" t="str"/>
      <x:c r="O367" s="43"/>
      <x:c r="P367" s="43"/>
      <x:c r="Q367" s="43"/>
      <x:c r="R367" s="43"/>
      <x:c r="S367" s="43"/>
      <x:c r="T367" s="43"/>
      <x:c r="U367" s="43"/>
      <x:c r="V367" s="43"/>
      <x:c r="W367" s="43"/>
      <x:c r="X367" s="43"/>
      <x:c r="Y367" s="43"/>
      <x:c r="Z367" s="43"/>
      <x:c r="AA367" s="43"/>
      <x:c r="AB367" s="43"/>
      <x:c r="AC367" s="43"/>
      <x:c r="AD367" s="43"/>
      <x:c r="AE367" s="43"/>
      <x:c r="AF367" s="43"/>
      <x:c r="AG367" s="43"/>
      <x:c r="AH367" s="43"/>
      <x:c r="AI367" s="43"/>
      <x:c r="AJ367" s="43"/>
      <x:c r="AK367" s="43"/>
      <x:c r="AL367" s="43"/>
      <x:c r="AM367" s="43"/>
      <x:c r="AN367" s="43"/>
      <x:c r="AO367" s="43"/>
      <x:c r="AP367" s="43"/>
    </x:row>
    <x:row r="368" ht="15" hidden="0" customHeight="1">
      <x:c r="A368" s="36" t="str">
        <x:v>EW Waste Matrix!row 135</x:v>
      </x:c>
      <x:c r="B368" s="37" t="str">
        <x:v>IR - Latam SOVOS 2 DCR (ex Brazil) eInvoices, save 305K IT Ops p.a.</x:v>
      </x:c>
      <x:c r="C368" s="36" t="str">
        <x:v>International Regions (IR) - Overall </x:v>
      </x:c>
      <x:c r="D368" s="36" t="n">
        <x:v>1.2</x:v>
      </x:c>
      <x:c r="E368" s="36" t="str">
        <x:v>HEALTHY</x:v>
      </x:c>
      <x:c r="F368" s="36" t="str"/>
      <x:c r="G368" s="36" t="str"/>
      <x:c r="H368" s="36" t="str"/>
      <x:c r="I368" s="36" t="str"/>
      <x:c r="J368" s="36" t="str"/>
      <x:c r="K368" s="36"/>
      <x:c r="L368" s="36" t="str"/>
      <x:c r="M368" s="36" t="str">
        <x:v>HEALTHY — Rank in priority matrix</x:v>
      </x:c>
      <x:c r="N368" s="36" t="str"/>
      <x:c r="O368" s="43"/>
      <x:c r="P368" s="43"/>
      <x:c r="Q368" s="43"/>
      <x:c r="R368" s="43"/>
      <x:c r="S368" s="43"/>
      <x:c r="T368" s="43"/>
      <x:c r="U368" s="43"/>
      <x:c r="V368" s="43"/>
      <x:c r="W368" s="43"/>
      <x:c r="X368" s="43"/>
      <x:c r="Y368" s="43"/>
      <x:c r="Z368" s="43"/>
      <x:c r="AA368" s="43"/>
      <x:c r="AB368" s="43"/>
      <x:c r="AC368" s="43"/>
      <x:c r="AD368" s="43"/>
      <x:c r="AE368" s="43"/>
      <x:c r="AF368" s="43"/>
      <x:c r="AG368" s="43"/>
      <x:c r="AH368" s="43"/>
      <x:c r="AI368" s="43"/>
      <x:c r="AJ368" s="43"/>
      <x:c r="AK368" s="43"/>
      <x:c r="AL368" s="43"/>
      <x:c r="AM368" s="43"/>
      <x:c r="AN368" s="43"/>
      <x:c r="AO368" s="43"/>
      <x:c r="AP368" s="43"/>
    </x:row>
    <x:row r="369" ht="15" hidden="0" customHeight="1">
      <x:c r="A369" s="36" t="str">
        <x:v>EW Waste Matrix!row 136</x:v>
      </x:c>
      <x:c r="B369" s="37" t="str">
        <x:v>I2M Planisware : Audit Readiness &amp; Innovation Reporting Enablement</x:v>
      </x:c>
      <x:c r="C369" s="36" t="str">
        <x:v>Innovation and Design Business Operations</x:v>
      </x:c>
      <x:c r="D369" s="36" t="n">
        <x:v>1.1</x:v>
      </x:c>
      <x:c r="E369" s="36" t="str">
        <x:v>HEALTHY</x:v>
      </x:c>
      <x:c r="F369" s="36" t="str">
        <x:v>YES</x:v>
      </x:c>
      <x:c r="G369" s="36" t="str">
        <x:v>4 — Lean — scope is limited to compliance, with small, justified allowances.</x:v>
      </x:c>
      <x:c r="H369" s="36" t="str">
        <x:v>4 — Large fine, temporary loss of a licence or certification, or a real hit to customers or the market.</x:v>
      </x:c>
      <x:c r="I369" s="36" t="str">
        <x:v>5 — Almost certain — active enforcement, an open finding, or automatic detection of a hard reporting obligation.</x:v>
      </x:c>
      <x:c r="J369" s="36" t="str">
        <x:v>4 — Less than six months away.</x:v>
      </x:c>
      <x:c r="K369" s="36" t="n">
        <x:v>20</x:v>
      </x:c>
      <x:c r="L369" s="36" t="str">
        <x:v>P1 — Immediate</x:v>
      </x:c>
      <x:c r="M369" s="36" t="str">
        <x:v>HEALTHY / MUST-DO — P1 — Immediate</x:v>
      </x:c>
      <x:c r="N369" s="36" t="str"/>
      <x:c r="O369" s="43"/>
      <x:c r="P369" s="43"/>
      <x:c r="Q369" s="43"/>
      <x:c r="R369" s="43"/>
      <x:c r="S369" s="43"/>
      <x:c r="T369" s="43"/>
      <x:c r="U369" s="43"/>
      <x:c r="V369" s="43"/>
      <x:c r="W369" s="43"/>
      <x:c r="X369" s="43"/>
      <x:c r="Y369" s="43"/>
      <x:c r="Z369" s="43"/>
      <x:c r="AA369" s="43"/>
      <x:c r="AB369" s="43"/>
      <x:c r="AC369" s="43"/>
      <x:c r="AD369" s="43"/>
      <x:c r="AE369" s="43"/>
      <x:c r="AF369" s="43"/>
      <x:c r="AG369" s="43"/>
      <x:c r="AH369" s="43"/>
      <x:c r="AI369" s="43"/>
      <x:c r="AJ369" s="43"/>
      <x:c r="AK369" s="43"/>
      <x:c r="AL369" s="43"/>
      <x:c r="AM369" s="43"/>
      <x:c r="AN369" s="43"/>
      <x:c r="AO369" s="43"/>
      <x:c r="AP369" s="43"/>
    </x:row>
    <x:row r="370" ht="24" hidden="0" customHeight="1">
      <x:c r="A370" s="36" t="str">
        <x:v>EW Waste Matrix!row 137</x:v>
      </x:c>
      <x:c r="B370" s="37" t="str">
        <x:v>I2M Planisware : AI-Driven Portfolio Management focused on Insights &amp; Value Realization</x:v>
      </x:c>
      <x:c r="C370" s="36" t="str">
        <x:v>Innovation and Design Business Operations</x:v>
      </x:c>
      <x:c r="D370" s="36" t="n">
        <x:v>1.15</x:v>
      </x:c>
      <x:c r="E370" s="36" t="str">
        <x:v>HEALTHY</x:v>
      </x:c>
      <x:c r="F370" s="36" t="str"/>
      <x:c r="G370" s="36" t="str"/>
      <x:c r="H370" s="36" t="str"/>
      <x:c r="I370" s="36" t="str"/>
      <x:c r="J370" s="36" t="str"/>
      <x:c r="K370" s="36"/>
      <x:c r="L370" s="36" t="str"/>
      <x:c r="M370" s="36" t="str">
        <x:v>HEALTHY — Rank in priority matrix</x:v>
      </x:c>
      <x:c r="N370" s="36" t="str"/>
      <x:c r="O370" s="43"/>
      <x:c r="P370" s="43"/>
      <x:c r="Q370" s="43"/>
      <x:c r="R370" s="43"/>
      <x:c r="S370" s="43"/>
      <x:c r="T370" s="43"/>
      <x:c r="U370" s="43"/>
      <x:c r="V370" s="43"/>
      <x:c r="W370" s="43"/>
      <x:c r="X370" s="43"/>
      <x:c r="Y370" s="43"/>
      <x:c r="Z370" s="43"/>
      <x:c r="AA370" s="43"/>
      <x:c r="AB370" s="43"/>
      <x:c r="AC370" s="43"/>
      <x:c r="AD370" s="43"/>
      <x:c r="AE370" s="43"/>
      <x:c r="AF370" s="43"/>
      <x:c r="AG370" s="43"/>
      <x:c r="AH370" s="43"/>
      <x:c r="AI370" s="43"/>
      <x:c r="AJ370" s="43"/>
      <x:c r="AK370" s="43"/>
      <x:c r="AL370" s="43"/>
      <x:c r="AM370" s="43"/>
      <x:c r="AN370" s="43"/>
      <x:c r="AO370" s="43"/>
      <x:c r="AP370" s="43"/>
    </x:row>
    <x:row r="371" ht="15" hidden="0" customHeight="1">
      <x:c r="A371" s="36" t="str">
        <x:v>EW Waste Matrix!row 138</x:v>
      </x:c>
      <x:c r="B371" s="37" t="str">
        <x:v>MCP Service Windchill</x:v>
      </x:c>
      <x:c r="C371" s="36" t="str">
        <x:v>Innovation and Design Business Operations</x:v>
      </x:c>
      <x:c r="D371" s="36" t="n">
        <x:v>1.05</x:v>
      </x:c>
      <x:c r="E371" s="36" t="str">
        <x:v>HEALTHY</x:v>
      </x:c>
      <x:c r="F371" s="36" t="str"/>
      <x:c r="G371" s="36" t="str"/>
      <x:c r="H371" s="36" t="str"/>
      <x:c r="I371" s="36" t="str"/>
      <x:c r="J371" s="36" t="str"/>
      <x:c r="K371" s="36"/>
      <x:c r="L371" s="36" t="str"/>
      <x:c r="M371" s="36" t="str">
        <x:v>HEALTHY — Rank in priority matrix</x:v>
      </x:c>
      <x:c r="N371" s="36" t="str"/>
      <x:c r="O371" s="43"/>
      <x:c r="P371" s="43"/>
      <x:c r="Q371" s="43"/>
      <x:c r="R371" s="43"/>
      <x:c r="S371" s="43"/>
      <x:c r="T371" s="43"/>
      <x:c r="U371" s="43"/>
      <x:c r="V371" s="43"/>
      <x:c r="W371" s="43"/>
      <x:c r="X371" s="43"/>
      <x:c r="Y371" s="43"/>
      <x:c r="Z371" s="43"/>
      <x:c r="AA371" s="43"/>
      <x:c r="AB371" s="43"/>
      <x:c r="AC371" s="43"/>
      <x:c r="AD371" s="43"/>
      <x:c r="AE371" s="43"/>
      <x:c r="AF371" s="43"/>
      <x:c r="AG371" s="43"/>
      <x:c r="AH371" s="43"/>
      <x:c r="AI371" s="43"/>
      <x:c r="AJ371" s="43"/>
      <x:c r="AK371" s="43"/>
      <x:c r="AL371" s="43"/>
      <x:c r="AM371" s="43"/>
      <x:c r="AN371" s="43"/>
      <x:c r="AO371" s="43"/>
      <x:c r="AP371" s="43"/>
    </x:row>
    <x:row r="372" ht="24" hidden="0" customHeight="1">
      <x:c r="A372" s="36" t="str">
        <x:v>EW Waste Matrix!row 139</x:v>
      </x:c>
      <x:c r="B372" s="37" t="str">
        <x:v>Digitization of Business Case template: Future proof and AI-powered for smart Portfolio prioritization</x:v>
      </x:c>
      <x:c r="C372" s="36" t="str">
        <x:v>Innovation and Design Business Operations</x:v>
      </x:c>
      <x:c r="D372" s="36" t="n">
        <x:v>1.15</x:v>
      </x:c>
      <x:c r="E372" s="36" t="str">
        <x:v>HEALTHY</x:v>
      </x:c>
      <x:c r="F372" s="36" t="str">
        <x:v>YES</x:v>
      </x:c>
      <x:c r="G372" s="36" t="str">
        <x:v>4 — Lean — scope is limited to compliance, with small, justified allowances.</x:v>
      </x:c>
      <x:c r="H372" s="36" t="str">
        <x:v>4 — Large fine, temporary loss of a licence or certification, or a real hit to customers or the market.</x:v>
      </x:c>
      <x:c r="I372" s="36" t="str">
        <x:v>5 — Almost certain — active enforcement, an open finding, or automatic detection of a hard reporting obligation.</x:v>
      </x:c>
      <x:c r="J372" s="36" t="str">
        <x:v>4 — Less than six months away.</x:v>
      </x:c>
      <x:c r="K372" s="36" t="n">
        <x:v>20</x:v>
      </x:c>
      <x:c r="L372" s="36" t="str">
        <x:v>P1 — Immediate</x:v>
      </x:c>
      <x:c r="M372" s="36" t="str">
        <x:v>HEALTHY / MUST-DO — P1 — Immediate</x:v>
      </x:c>
      <x:c r="N372" s="36" t="str"/>
      <x:c r="O372" s="43"/>
      <x:c r="P372" s="43"/>
      <x:c r="Q372" s="43"/>
      <x:c r="R372" s="43"/>
      <x:c r="S372" s="43"/>
      <x:c r="T372" s="43"/>
      <x:c r="U372" s="43"/>
      <x:c r="V372" s="43"/>
      <x:c r="W372" s="43"/>
      <x:c r="X372" s="43"/>
      <x:c r="Y372" s="43"/>
      <x:c r="Z372" s="43"/>
      <x:c r="AA372" s="43"/>
      <x:c r="AB372" s="43"/>
      <x:c r="AC372" s="43"/>
      <x:c r="AD372" s="43"/>
      <x:c r="AE372" s="43"/>
      <x:c r="AF372" s="43"/>
      <x:c r="AG372" s="43"/>
      <x:c r="AH372" s="43"/>
      <x:c r="AI372" s="43"/>
      <x:c r="AJ372" s="43"/>
      <x:c r="AK372" s="43"/>
      <x:c r="AL372" s="43"/>
      <x:c r="AM372" s="43"/>
      <x:c r="AN372" s="43"/>
      <x:c r="AO372" s="43"/>
      <x:c r="AP372" s="43"/>
    </x:row>
    <x:row r="373" ht="15" hidden="0" customHeight="1">
      <x:c r="A373" s="36" t="str">
        <x:v>EW Waste Matrix!row 140</x:v>
      </x:c>
      <x:c r="B373" s="37" t="str">
        <x:v>Integrated project &amp; business performance modernization</x:v>
      </x:c>
      <x:c r="C373" s="36" t="str">
        <x:v>Innovation and Design Business Operations</x:v>
      </x:c>
      <x:c r="D373" s="36" t="n">
        <x:v>1.4</x:v>
      </x:c>
      <x:c r="E373" s="36" t="str">
        <x:v>HEALTHY</x:v>
      </x:c>
      <x:c r="F373" s="36" t="str"/>
      <x:c r="G373" s="36" t="str"/>
      <x:c r="H373" s="36" t="str"/>
      <x:c r="I373" s="36" t="str"/>
      <x:c r="J373" s="36" t="str"/>
      <x:c r="K373" s="36"/>
      <x:c r="L373" s="36" t="str"/>
      <x:c r="M373" s="36" t="str">
        <x:v>HEALTHY — Rank in priority matrix</x:v>
      </x:c>
      <x:c r="N373" s="36" t="str"/>
      <x:c r="O373" s="43"/>
      <x:c r="P373" s="43"/>
      <x:c r="Q373" s="43"/>
      <x:c r="R373" s="43"/>
      <x:c r="S373" s="43"/>
      <x:c r="T373" s="43"/>
      <x:c r="U373" s="43"/>
      <x:c r="V373" s="43"/>
      <x:c r="W373" s="43"/>
      <x:c r="X373" s="43"/>
      <x:c r="Y373" s="43"/>
      <x:c r="Z373" s="43"/>
      <x:c r="AA373" s="43"/>
      <x:c r="AB373" s="43"/>
      <x:c r="AC373" s="43"/>
      <x:c r="AD373" s="43"/>
      <x:c r="AE373" s="43"/>
      <x:c r="AF373" s="43"/>
      <x:c r="AG373" s="43"/>
      <x:c r="AH373" s="43"/>
      <x:c r="AI373" s="43"/>
      <x:c r="AJ373" s="43"/>
      <x:c r="AK373" s="43"/>
      <x:c r="AL373" s="43"/>
      <x:c r="AM373" s="43"/>
      <x:c r="AN373" s="43"/>
      <x:c r="AO373" s="43"/>
      <x:c r="AP373" s="43"/>
    </x:row>
    <x:row r="374" ht="15" hidden="0" customHeight="1">
      <x:c r="A374" s="36" t="str">
        <x:v>EW Waste Matrix!row 141</x:v>
      </x:c>
      <x:c r="B374" s="37" t="str">
        <x:v>FIN-IR - DACH DMS 2 OpenText document archive, save 92K IT Ops p.a.</x:v>
      </x:c>
      <x:c r="C374" s="36" t="str">
        <x:v>International Regions (IR) - Overall </x:v>
      </x:c>
      <x:c r="D374" s="36" t="n">
        <x:v>1.15</x:v>
      </x:c>
      <x:c r="E374" s="36" t="str">
        <x:v>HEALTHY</x:v>
      </x:c>
      <x:c r="F374" s="36" t="str"/>
      <x:c r="G374" s="36" t="str"/>
      <x:c r="H374" s="36" t="str"/>
      <x:c r="I374" s="36" t="str"/>
      <x:c r="J374" s="36" t="str"/>
      <x:c r="K374" s="36"/>
      <x:c r="L374" s="36" t="str"/>
      <x:c r="M374" s="36" t="str">
        <x:v>HEALTHY — Rank in priority matrix</x:v>
      </x:c>
      <x:c r="N374" s="36" t="str"/>
      <x:c r="O374" s="43"/>
      <x:c r="P374" s="43"/>
      <x:c r="Q374" s="43"/>
      <x:c r="R374" s="43"/>
      <x:c r="S374" s="43"/>
      <x:c r="T374" s="43"/>
      <x:c r="U374" s="43"/>
      <x:c r="V374" s="43"/>
      <x:c r="W374" s="43"/>
      <x:c r="X374" s="43"/>
      <x:c r="Y374" s="43"/>
      <x:c r="Z374" s="43"/>
      <x:c r="AA374" s="43"/>
      <x:c r="AB374" s="43"/>
      <x:c r="AC374" s="43"/>
      <x:c r="AD374" s="43"/>
      <x:c r="AE374" s="43"/>
      <x:c r="AF374" s="43"/>
      <x:c r="AG374" s="43"/>
      <x:c r="AH374" s="43"/>
      <x:c r="AI374" s="43"/>
      <x:c r="AJ374" s="43"/>
      <x:c r="AK374" s="43"/>
      <x:c r="AL374" s="43"/>
      <x:c r="AM374" s="43"/>
      <x:c r="AN374" s="43"/>
      <x:c r="AO374" s="43"/>
      <x:c r="AP374" s="43"/>
    </x:row>
    <x:row r="375" ht="15" hidden="0" customHeight="1">
      <x:c r="A375" s="36" t="str">
        <x:v>EW Waste Matrix!row 142</x:v>
      </x:c>
      <x:c r="B375" s="37" t="str">
        <x:v>Server OS Upgrade</x:v>
      </x:c>
      <x:c r="C375" s="36" t="str">
        <x:v>Information Technology ​</x:v>
      </x:c>
      <x:c r="D375" s="36" t="n">
        <x:v>2.05</x:v>
      </x:c>
      <x:c r="E375" s="36" t="str">
        <x:v>CONTAIN</x:v>
      </x:c>
      <x:c r="F375" s="36" t="str"/>
      <x:c r="G375" s="36" t="str"/>
      <x:c r="H375" s="36" t="str"/>
      <x:c r="I375" s="36" t="str"/>
      <x:c r="J375" s="36" t="str"/>
      <x:c r="K375" s="36"/>
      <x:c r="L375" s="36" t="str"/>
      <x:c r="M375" s="36" t="str">
        <x:v>CONTAIN — Conditions</x:v>
      </x:c>
      <x:c r="N375" s="36" t="str"/>
      <x:c r="O375" s="43"/>
      <x:c r="P375" s="43"/>
      <x:c r="Q375" s="43"/>
      <x:c r="R375" s="43"/>
      <x:c r="S375" s="43"/>
      <x:c r="T375" s="43"/>
      <x:c r="U375" s="43"/>
      <x:c r="V375" s="43"/>
      <x:c r="W375" s="43"/>
      <x:c r="X375" s="43"/>
      <x:c r="Y375" s="43"/>
      <x:c r="Z375" s="43"/>
      <x:c r="AA375" s="43"/>
      <x:c r="AB375" s="43"/>
      <x:c r="AC375" s="43"/>
      <x:c r="AD375" s="43"/>
      <x:c r="AE375" s="43"/>
      <x:c r="AF375" s="43"/>
      <x:c r="AG375" s="43"/>
      <x:c r="AH375" s="43"/>
      <x:c r="AI375" s="43"/>
      <x:c r="AJ375" s="43"/>
      <x:c r="AK375" s="43"/>
      <x:c r="AL375" s="43"/>
      <x:c r="AM375" s="43"/>
      <x:c r="AN375" s="43"/>
      <x:c r="AO375" s="43"/>
      <x:c r="AP375" s="43"/>
    </x:row>
    <x:row r="376" ht="15" hidden="0" customHeight="1">
      <x:c r="A376" s="36" t="str">
        <x:v>EW Waste Matrix!row 143</x:v>
      </x:c>
      <x:c r="B376" s="37" t="str">
        <x:v>QCM - Synapse Data Re-platforming</x:v>
      </x:c>
      <x:c r="C376" s="36" t="str">
        <x:v>Information Technology ​</x:v>
      </x:c>
      <x:c r="D376" s="36"/>
      <x:c r="E376" s="36" t="str"/>
      <x:c r="F376" s="36" t="str"/>
      <x:c r="G376" s="36" t="str"/>
      <x:c r="H376" s="36" t="str"/>
      <x:c r="I376" s="36" t="str"/>
      <x:c r="J376" s="36" t="str"/>
      <x:c r="K376" s="36"/>
      <x:c r="L376" s="36" t="str"/>
      <x:c r="M376" s="36" t="str"/>
      <x:c r="N376" s="36" t="str"/>
      <x:c r="O376" s="43"/>
      <x:c r="P376" s="43"/>
      <x:c r="Q376" s="43"/>
      <x:c r="R376" s="43"/>
      <x:c r="S376" s="43"/>
      <x:c r="T376" s="43"/>
      <x:c r="U376" s="43"/>
      <x:c r="V376" s="43"/>
      <x:c r="W376" s="43"/>
      <x:c r="X376" s="43"/>
      <x:c r="Y376" s="43"/>
      <x:c r="Z376" s="43"/>
      <x:c r="AA376" s="43"/>
      <x:c r="AB376" s="43"/>
      <x:c r="AC376" s="43"/>
      <x:c r="AD376" s="43"/>
      <x:c r="AE376" s="43"/>
      <x:c r="AF376" s="43"/>
      <x:c r="AG376" s="43"/>
      <x:c r="AH376" s="43"/>
      <x:c r="AI376" s="43"/>
      <x:c r="AJ376" s="43"/>
      <x:c r="AK376" s="43"/>
      <x:c r="AL376" s="43"/>
      <x:c r="AM376" s="43"/>
      <x:c r="AN376" s="43"/>
      <x:c r="AO376" s="43"/>
      <x:c r="AP376" s="43"/>
    </x:row>
    <x:row r="377" ht="15" hidden="0" customHeight="1">
      <x:c r="A377" s="36" t="str">
        <x:v>EW Waste Matrix!row 144</x:v>
      </x:c>
      <x:c r="B377" s="37" t="str">
        <x:v>SPC Data Re-platforming</x:v>
      </x:c>
      <x:c r="C377" s="36" t="str">
        <x:v>Information Technology ​</x:v>
      </x:c>
      <x:c r="D377" s="36" t="n">
        <x:v>1.8</x:v>
      </x:c>
      <x:c r="E377" s="36" t="str">
        <x:v>HEALTHY</x:v>
      </x:c>
      <x:c r="F377" s="36" t="str">
        <x:v>NO</x:v>
      </x:c>
      <x:c r="G377" s="36" t="str">
        <x:v>5 — Exactly the minimum — only what's needed to meet the rule, nothing more.</x:v>
      </x:c>
      <x:c r="H377" s="36" t="str">
        <x:v>1 — Minor internal issue only — no outside consequence.</x:v>
      </x:c>
      <x:c r="I377" s="36" t="str">
        <x:v>2 — Unlikely — possible, but no sign of any audit or enforcement.</x:v>
      </x:c>
      <x:c r="J377" s="36" t="str">
        <x:v>2 — Between one and two years away.</x:v>
      </x:c>
      <x:c r="K377" s="36" t="n">
        <x:v>2</x:v>
      </x:c>
      <x:c r="L377" s="36" t="str">
        <x:v>P3 — Plan in window</x:v>
      </x:c>
      <x:c r="M377" s="36" t="str">
        <x:v>HEALTHY — Rank in priority matrix</x:v>
      </x:c>
      <x:c r="N377" s="36" t="str"/>
      <x:c r="O377" s="43"/>
      <x:c r="P377" s="43"/>
      <x:c r="Q377" s="43"/>
      <x:c r="R377" s="43"/>
      <x:c r="S377" s="43"/>
      <x:c r="T377" s="43"/>
      <x:c r="U377" s="43"/>
      <x:c r="V377" s="43"/>
      <x:c r="W377" s="43"/>
      <x:c r="X377" s="43"/>
      <x:c r="Y377" s="43"/>
      <x:c r="Z377" s="43"/>
      <x:c r="AA377" s="43"/>
      <x:c r="AB377" s="43"/>
      <x:c r="AC377" s="43"/>
      <x:c r="AD377" s="43"/>
      <x:c r="AE377" s="43"/>
      <x:c r="AF377" s="43"/>
      <x:c r="AG377" s="43"/>
      <x:c r="AH377" s="43"/>
      <x:c r="AI377" s="43"/>
      <x:c r="AJ377" s="43"/>
      <x:c r="AK377" s="43"/>
      <x:c r="AL377" s="43"/>
      <x:c r="AM377" s="43"/>
      <x:c r="AN377" s="43"/>
      <x:c r="AO377" s="43"/>
      <x:c r="AP377" s="43"/>
    </x:row>
    <x:row r="378" ht="15" hidden="0" customHeight="1">
      <x:c r="A378" s="36" t="str">
        <x:v>EW Waste Matrix!row 145</x:v>
      </x:c>
      <x:c r="B378" s="37" t="str">
        <x:v>EADI Data Replatforming</x:v>
      </x:c>
      <x:c r="C378" s="36" t="str">
        <x:v>Information Technology ​</x:v>
      </x:c>
      <x:c r="D378" s="36" t="n">
        <x:v>1</x:v>
      </x:c>
      <x:c r="E378" s="36" t="str">
        <x:v>HEALTHY</x:v>
      </x:c>
      <x:c r="F378" s="36" t="str"/>
      <x:c r="G378" s="36" t="str"/>
      <x:c r="H378" s="36" t="str"/>
      <x:c r="I378" s="36" t="str"/>
      <x:c r="J378" s="36" t="str"/>
      <x:c r="K378" s="36"/>
      <x:c r="L378" s="36" t="str"/>
      <x:c r="M378" s="36" t="str">
        <x:v>HEALTHY — Rank in priority matrix</x:v>
      </x:c>
      <x:c r="N378" s="36" t="str"/>
      <x:c r="O378" s="43"/>
      <x:c r="P378" s="43"/>
      <x:c r="Q378" s="43"/>
      <x:c r="R378" s="43"/>
      <x:c r="S378" s="43"/>
      <x:c r="T378" s="43"/>
      <x:c r="U378" s="43"/>
      <x:c r="V378" s="43"/>
      <x:c r="W378" s="43"/>
      <x:c r="X378" s="43"/>
      <x:c r="Y378" s="43"/>
      <x:c r="Z378" s="43"/>
      <x:c r="AA378" s="43"/>
      <x:c r="AB378" s="43"/>
      <x:c r="AC378" s="43"/>
      <x:c r="AD378" s="43"/>
      <x:c r="AE378" s="43"/>
      <x:c r="AF378" s="43"/>
      <x:c r="AG378" s="43"/>
      <x:c r="AH378" s="43"/>
      <x:c r="AI378" s="43"/>
      <x:c r="AJ378" s="43"/>
      <x:c r="AK378" s="43"/>
      <x:c r="AL378" s="43"/>
      <x:c r="AM378" s="43"/>
      <x:c r="AN378" s="43"/>
      <x:c r="AO378" s="43"/>
      <x:c r="AP378" s="43"/>
    </x:row>
    <x:row r="379" ht="15" hidden="0" customHeight="1">
      <x:c r="A379" s="36" t="str">
        <x:v>EW Waste Matrix!row 146</x:v>
      </x:c>
      <x:c r="B379" s="37" t="str">
        <x:v>Every Angle for MP1, Decommissioning</x:v>
      </x:c>
      <x:c r="C379" s="36" t="str">
        <x:v>Information Technology ​</x:v>
      </x:c>
      <x:c r="D379" s="36"/>
      <x:c r="E379" s="36" t="str"/>
      <x:c r="F379" s="36" t="str"/>
      <x:c r="G379" s="36" t="str"/>
      <x:c r="H379" s="36" t="str"/>
      <x:c r="I379" s="36" t="str"/>
      <x:c r="J379" s="36" t="str"/>
      <x:c r="K379" s="36"/>
      <x:c r="L379" s="36" t="str"/>
      <x:c r="M379" s="36" t="str"/>
      <x:c r="N379" s="36" t="str"/>
      <x:c r="O379" s="43"/>
      <x:c r="P379" s="43"/>
      <x:c r="Q379" s="43"/>
      <x:c r="R379" s="43"/>
      <x:c r="S379" s="43"/>
      <x:c r="T379" s="43"/>
      <x:c r="U379" s="43"/>
      <x:c r="V379" s="43"/>
      <x:c r="W379" s="43"/>
      <x:c r="X379" s="43"/>
      <x:c r="Y379" s="43"/>
      <x:c r="Z379" s="43"/>
      <x:c r="AA379" s="43"/>
      <x:c r="AB379" s="43"/>
      <x:c r="AC379" s="43"/>
      <x:c r="AD379" s="43"/>
      <x:c r="AE379" s="43"/>
      <x:c r="AF379" s="43"/>
      <x:c r="AG379" s="43"/>
      <x:c r="AH379" s="43"/>
      <x:c r="AI379" s="43"/>
      <x:c r="AJ379" s="43"/>
      <x:c r="AK379" s="43"/>
      <x:c r="AL379" s="43"/>
      <x:c r="AM379" s="43"/>
      <x:c r="AN379" s="43"/>
      <x:c r="AO379" s="43"/>
      <x:c r="AP379" s="43"/>
    </x:row>
    <x:row r="380" ht="15" hidden="0" customHeight="1">
      <x:c r="A380" s="36" t="str">
        <x:v>EW Waste Matrix!row 147</x:v>
      </x:c>
      <x:c r="B380" s="37" t="str">
        <x:v>Knowledge Mgmt - InCenter 2.0 - CSIP Compliance</x:v>
      </x:c>
      <x:c r="C380" s="36" t="str">
        <x:v>Intellectual Property &amp; Standards (IP&amp;S)​</x:v>
      </x:c>
      <x:c r="D380" s="36" t="n">
        <x:v>1.8</x:v>
      </x:c>
      <x:c r="E380" s="36" t="str">
        <x:v>HEALTHY</x:v>
      </x:c>
      <x:c r="F380" s="36" t="str">
        <x:v>NO</x:v>
      </x:c>
      <x:c r="G380" s="36" t="str">
        <x:v>5 — Exactly the minimum — only what's needed to meet the rule, nothing more.</x:v>
      </x:c>
      <x:c r="H380" s="36" t="str">
        <x:v>1 — Minor internal issue only — no outside consequence.</x:v>
      </x:c>
      <x:c r="I380" s="36" t="str">
        <x:v>2 — Unlikely — possible, but no sign of any audit or enforcement.</x:v>
      </x:c>
      <x:c r="J380" s="36" t="str">
        <x:v>2 — Between one and two years away.</x:v>
      </x:c>
      <x:c r="K380" s="36" t="n">
        <x:v>2</x:v>
      </x:c>
      <x:c r="L380" s="36" t="str">
        <x:v>P3 — Plan in window</x:v>
      </x:c>
      <x:c r="M380" s="36" t="str">
        <x:v>HEALTHY — Rank in priority matrix</x:v>
      </x:c>
      <x:c r="N380" s="36" t="str"/>
      <x:c r="O380" s="43"/>
      <x:c r="P380" s="43"/>
      <x:c r="Q380" s="43"/>
      <x:c r="R380" s="43"/>
      <x:c r="S380" s="43"/>
      <x:c r="T380" s="43"/>
      <x:c r="U380" s="43"/>
      <x:c r="V380" s="43"/>
      <x:c r="W380" s="43"/>
      <x:c r="X380" s="43"/>
      <x:c r="Y380" s="43"/>
      <x:c r="Z380" s="43"/>
      <x:c r="AA380" s="43"/>
      <x:c r="AB380" s="43"/>
      <x:c r="AC380" s="43"/>
      <x:c r="AD380" s="43"/>
      <x:c r="AE380" s="43"/>
      <x:c r="AF380" s="43"/>
      <x:c r="AG380" s="43"/>
      <x:c r="AH380" s="43"/>
      <x:c r="AI380" s="43"/>
      <x:c r="AJ380" s="43"/>
      <x:c r="AK380" s="43"/>
      <x:c r="AL380" s="43"/>
      <x:c r="AM380" s="43"/>
      <x:c r="AN380" s="43"/>
      <x:c r="AO380" s="43"/>
      <x:c r="AP380" s="43"/>
    </x:row>
    <x:row r="381" ht="15" hidden="0" customHeight="1">
      <x:c r="A381" s="36" t="str">
        <x:v>EW Waste Matrix!row 148</x:v>
      </x:c>
      <x:c r="B381" s="37" t="str">
        <x:v>Managed Services automation  </x:v>
      </x:c>
      <x:c r="C381" s="36" t="str">
        <x:v>Finance​</x:v>
      </x:c>
      <x:c r="D381" s="36" t="n">
        <x:v>1.55</x:v>
      </x:c>
      <x:c r="E381" s="36" t="str">
        <x:v>HEALTHY</x:v>
      </x:c>
      <x:c r="F381" s="36" t="str"/>
      <x:c r="G381" s="36" t="str"/>
      <x:c r="H381" s="36" t="str"/>
      <x:c r="I381" s="36" t="str"/>
      <x:c r="J381" s="36" t="str"/>
      <x:c r="K381" s="36"/>
      <x:c r="L381" s="36" t="str"/>
      <x:c r="M381" s="36" t="str">
        <x:v>HEALTHY — Rank in priority matrix</x:v>
      </x:c>
      <x:c r="N381" s="36" t="str"/>
      <x:c r="O381" s="43"/>
      <x:c r="P381" s="43"/>
      <x:c r="Q381" s="43"/>
      <x:c r="R381" s="43"/>
      <x:c r="S381" s="43"/>
      <x:c r="T381" s="43"/>
      <x:c r="U381" s="43"/>
      <x:c r="V381" s="43"/>
      <x:c r="W381" s="43"/>
      <x:c r="X381" s="43"/>
      <x:c r="Y381" s="43"/>
      <x:c r="Z381" s="43"/>
      <x:c r="AA381" s="43"/>
      <x:c r="AB381" s="43"/>
      <x:c r="AC381" s="43"/>
      <x:c r="AD381" s="43"/>
      <x:c r="AE381" s="43"/>
      <x:c r="AF381" s="43"/>
      <x:c r="AG381" s="43"/>
      <x:c r="AH381" s="43"/>
      <x:c r="AI381" s="43"/>
      <x:c r="AJ381" s="43"/>
      <x:c r="AK381" s="43"/>
      <x:c r="AL381" s="43"/>
      <x:c r="AM381" s="43"/>
      <x:c r="AN381" s="43"/>
      <x:c r="AO381" s="43"/>
      <x:c r="AP381" s="43"/>
    </x:row>
    <x:row r="382" ht="15" hidden="0" customHeight="1">
      <x:c r="A382" s="36" t="str">
        <x:v>EW Waste Matrix!row 149</x:v>
      </x:c>
      <x:c r="B382" s="37" t="str">
        <x:v>Process Mining RTR</x:v>
      </x:c>
      <x:c r="C382" s="36" t="str">
        <x:v>Finance​</x:v>
      </x:c>
      <x:c r="D382" s="36" t="n">
        <x:v>1.55</x:v>
      </x:c>
      <x:c r="E382" s="36" t="str">
        <x:v>HEALTHY</x:v>
      </x:c>
      <x:c r="F382" s="36" t="str"/>
      <x:c r="G382" s="36" t="str"/>
      <x:c r="H382" s="36" t="str"/>
      <x:c r="I382" s="36" t="str"/>
      <x:c r="J382" s="36" t="str"/>
      <x:c r="K382" s="36"/>
      <x:c r="L382" s="36" t="str"/>
      <x:c r="M382" s="36" t="str">
        <x:v>HEALTHY — Rank in priority matrix</x:v>
      </x:c>
      <x:c r="N382" s="36" t="str"/>
      <x:c r="O382" s="43"/>
      <x:c r="P382" s="43"/>
      <x:c r="Q382" s="43"/>
      <x:c r="R382" s="43"/>
      <x:c r="S382" s="43"/>
      <x:c r="T382" s="43"/>
      <x:c r="U382" s="43"/>
      <x:c r="V382" s="43"/>
      <x:c r="W382" s="43"/>
      <x:c r="X382" s="43"/>
      <x:c r="Y382" s="43"/>
      <x:c r="Z382" s="43"/>
      <x:c r="AA382" s="43"/>
      <x:c r="AB382" s="43"/>
      <x:c r="AC382" s="43"/>
      <x:c r="AD382" s="43"/>
      <x:c r="AE382" s="43"/>
      <x:c r="AF382" s="43"/>
      <x:c r="AG382" s="43"/>
      <x:c r="AH382" s="43"/>
      <x:c r="AI382" s="43"/>
      <x:c r="AJ382" s="43"/>
      <x:c r="AK382" s="43"/>
      <x:c r="AL382" s="43"/>
      <x:c r="AM382" s="43"/>
      <x:c r="AN382" s="43"/>
      <x:c r="AO382" s="43"/>
      <x:c r="AP382" s="43"/>
    </x:row>
    <x:row r="383" ht="15" hidden="0" customHeight="1">
      <x:c r="A383" s="36" t="str">
        <x:v>EW Waste Matrix!row 150</x:v>
      </x:c>
      <x:c r="B383" s="37" t="str">
        <x:v>RTR ChatBOT</x:v>
      </x:c>
      <x:c r="C383" s="36" t="str">
        <x:v>Finance​</x:v>
      </x:c>
      <x:c r="D383" s="36" t="n">
        <x:v>1.55</x:v>
      </x:c>
      <x:c r="E383" s="36" t="str">
        <x:v>HEALTHY</x:v>
      </x:c>
      <x:c r="F383" s="36" t="str"/>
      <x:c r="G383" s="36" t="str"/>
      <x:c r="H383" s="36" t="str"/>
      <x:c r="I383" s="36" t="str"/>
      <x:c r="J383" s="36" t="str"/>
      <x:c r="K383" s="36"/>
      <x:c r="L383" s="36" t="str"/>
      <x:c r="M383" s="36" t="str">
        <x:v>HEALTHY — Rank in priority matrix</x:v>
      </x:c>
      <x:c r="N383" s="36" t="str"/>
      <x:c r="O383" s="43"/>
      <x:c r="P383" s="43"/>
      <x:c r="Q383" s="43"/>
      <x:c r="R383" s="43"/>
      <x:c r="S383" s="43"/>
      <x:c r="T383" s="43"/>
      <x:c r="U383" s="43"/>
      <x:c r="V383" s="43"/>
      <x:c r="W383" s="43"/>
      <x:c r="X383" s="43"/>
      <x:c r="Y383" s="43"/>
      <x:c r="Z383" s="43"/>
      <x:c r="AA383" s="43"/>
      <x:c r="AB383" s="43"/>
      <x:c r="AC383" s="43"/>
      <x:c r="AD383" s="43"/>
      <x:c r="AE383" s="43"/>
      <x:c r="AF383" s="43"/>
      <x:c r="AG383" s="43"/>
      <x:c r="AH383" s="43"/>
      <x:c r="AI383" s="43"/>
      <x:c r="AJ383" s="43"/>
      <x:c r="AK383" s="43"/>
      <x:c r="AL383" s="43"/>
      <x:c r="AM383" s="43"/>
      <x:c r="AN383" s="43"/>
      <x:c r="AO383" s="43"/>
      <x:c r="AP383" s="43"/>
    </x:row>
    <x:row r="384" ht="15" hidden="0" customHeight="1">
      <x:c r="A384" s="36" t="str">
        <x:v>EW Waste Matrix!row 151</x:v>
      </x:c>
      <x:c r="B384" s="37" t="str">
        <x:v>Global AI Hub</x:v>
      </x:c>
      <x:c r="C384" s="36" t="str">
        <x:v>Information Technology ​</x:v>
      </x:c>
      <x:c r="D384" s="36" t="n">
        <x:v>1</x:v>
      </x:c>
      <x:c r="E384" s="36" t="str">
        <x:v>HEALTHY</x:v>
      </x:c>
      <x:c r="F384" s="36" t="str"/>
      <x:c r="G384" s="36" t="str"/>
      <x:c r="H384" s="36" t="str"/>
      <x:c r="I384" s="36" t="str"/>
      <x:c r="J384" s="36" t="str"/>
      <x:c r="K384" s="36"/>
      <x:c r="L384" s="36" t="str"/>
      <x:c r="M384" s="36" t="str">
        <x:v>HEALTHY — Rank in priority matrix</x:v>
      </x:c>
      <x:c r="N384" s="36" t="str"/>
      <x:c r="O384" s="43"/>
      <x:c r="P384" s="43"/>
      <x:c r="Q384" s="43"/>
      <x:c r="R384" s="43"/>
      <x:c r="S384" s="43"/>
      <x:c r="T384" s="43"/>
      <x:c r="U384" s="43"/>
      <x:c r="V384" s="43"/>
      <x:c r="W384" s="43"/>
      <x:c r="X384" s="43"/>
      <x:c r="Y384" s="43"/>
      <x:c r="Z384" s="43"/>
      <x:c r="AA384" s="43"/>
      <x:c r="AB384" s="43"/>
      <x:c r="AC384" s="43"/>
      <x:c r="AD384" s="43"/>
      <x:c r="AE384" s="43"/>
      <x:c r="AF384" s="43"/>
      <x:c r="AG384" s="43"/>
      <x:c r="AH384" s="43"/>
      <x:c r="AI384" s="43"/>
      <x:c r="AJ384" s="43"/>
      <x:c r="AK384" s="43"/>
      <x:c r="AL384" s="43"/>
      <x:c r="AM384" s="43"/>
      <x:c r="AN384" s="43"/>
      <x:c r="AO384" s="43"/>
      <x:c r="AP384" s="43"/>
    </x:row>
    <x:row r="385" ht="15" hidden="0" customHeight="1">
      <x:c r="A385" s="36" t="str">
        <x:v>EW Waste Matrix!row 152</x:v>
      </x:c>
      <x:c r="B385" s="37" t="str">
        <x:v>Landing zones in DC operations</x:v>
      </x:c>
      <x:c r="C385" s="36" t="str">
        <x:v>Information Technology ​</x:v>
      </x:c>
      <x:c r="D385" s="36" t="n">
        <x:v>1.1</x:v>
      </x:c>
      <x:c r="E385" s="36" t="str">
        <x:v>HEALTHY</x:v>
      </x:c>
      <x:c r="F385" s="36" t="str"/>
      <x:c r="G385" s="36" t="str"/>
      <x:c r="H385" s="36" t="str"/>
      <x:c r="I385" s="36" t="str"/>
      <x:c r="J385" s="36" t="str"/>
      <x:c r="K385" s="36"/>
      <x:c r="L385" s="36" t="str"/>
      <x:c r="M385" s="36" t="str">
        <x:v>HEALTHY — Rank in priority matrix</x:v>
      </x:c>
      <x:c r="N385" s="36" t="str"/>
      <x:c r="O385" s="43"/>
      <x:c r="P385" s="43"/>
      <x:c r="Q385" s="43"/>
      <x:c r="R385" s="43"/>
      <x:c r="S385" s="43"/>
      <x:c r="T385" s="43"/>
      <x:c r="U385" s="43"/>
      <x:c r="V385" s="43"/>
      <x:c r="W385" s="43"/>
      <x:c r="X385" s="43"/>
      <x:c r="Y385" s="43"/>
      <x:c r="Z385" s="43"/>
      <x:c r="AA385" s="43"/>
      <x:c r="AB385" s="43"/>
      <x:c r="AC385" s="43"/>
      <x:c r="AD385" s="43"/>
      <x:c r="AE385" s="43"/>
      <x:c r="AF385" s="43"/>
      <x:c r="AG385" s="43"/>
      <x:c r="AH385" s="43"/>
      <x:c r="AI385" s="43"/>
      <x:c r="AJ385" s="43"/>
      <x:c r="AK385" s="43"/>
      <x:c r="AL385" s="43"/>
      <x:c r="AM385" s="43"/>
      <x:c r="AN385" s="43"/>
      <x:c r="AO385" s="43"/>
      <x:c r="AP385" s="43"/>
    </x:row>
    <x:row r="386" ht="15" hidden="0" customHeight="1">
      <x:c r="A386" s="36" t="str">
        <x:v>EW Waste Matrix!row 153</x:v>
      </x:c>
      <x:c r="B386" s="37" t="str">
        <x:v>Landing zones in DC Transformation</x:v>
      </x:c>
      <x:c r="C386" s="36" t="str">
        <x:v>Information Technology ​</x:v>
      </x:c>
      <x:c r="D386" s="36" t="n">
        <x:v>1.1</x:v>
      </x:c>
      <x:c r="E386" s="36" t="str">
        <x:v>HEALTHY</x:v>
      </x:c>
      <x:c r="F386" s="36" t="str"/>
      <x:c r="G386" s="36" t="str"/>
      <x:c r="H386" s="36" t="str"/>
      <x:c r="I386" s="36" t="str"/>
      <x:c r="J386" s="36" t="str"/>
      <x:c r="K386" s="36"/>
      <x:c r="L386" s="36" t="str"/>
      <x:c r="M386" s="36" t="str">
        <x:v>HEALTHY — Rank in priority matrix</x:v>
      </x:c>
      <x:c r="N386" s="36" t="str"/>
      <x:c r="O386" s="43"/>
      <x:c r="P386" s="43"/>
      <x:c r="Q386" s="43"/>
      <x:c r="R386" s="43"/>
      <x:c r="S386" s="43"/>
      <x:c r="T386" s="43"/>
      <x:c r="U386" s="43"/>
      <x:c r="V386" s="43"/>
      <x:c r="W386" s="43"/>
      <x:c r="X386" s="43"/>
      <x:c r="Y386" s="43"/>
      <x:c r="Z386" s="43"/>
      <x:c r="AA386" s="43"/>
      <x:c r="AB386" s="43"/>
      <x:c r="AC386" s="43"/>
      <x:c r="AD386" s="43"/>
      <x:c r="AE386" s="43"/>
      <x:c r="AF386" s="43"/>
      <x:c r="AG386" s="43"/>
      <x:c r="AH386" s="43"/>
      <x:c r="AI386" s="43"/>
      <x:c r="AJ386" s="43"/>
      <x:c r="AK386" s="43"/>
      <x:c r="AL386" s="43"/>
      <x:c r="AM386" s="43"/>
      <x:c r="AN386" s="43"/>
      <x:c r="AO386" s="43"/>
      <x:c r="AP386" s="43"/>
    </x:row>
    <x:row r="387" ht="15" hidden="0" customHeight="1">
      <x:c r="A387" s="36" t="str">
        <x:v>EW Waste Matrix!row 154</x:v>
      </x:c>
      <x:c r="B387" s="37" t="str">
        <x:v>Vmware/Broadcom exit for Compute estate (GoA)</x:v>
      </x:c>
      <x:c r="C387" s="36" t="str">
        <x:v>Information Technology ​</x:v>
      </x:c>
      <x:c r="D387" s="36" t="n">
        <x:v>2.2</x:v>
      </x:c>
      <x:c r="E387" s="36" t="str">
        <x:v>CONTAIN</x:v>
      </x:c>
      <x:c r="F387" s="36" t="str">
        <x:v>YES</x:v>
      </x:c>
      <x:c r="G387" s="36" t="str">
        <x:v>5 — Exactly the minimum — only what's needed to meet the rule, nothing more.</x:v>
      </x:c>
      <x:c r="H387" s="36" t="str">
        <x:v>4 — Large fine, temporary loss of a licence or certification, or a real hit to customers or the market.</x:v>
      </x:c>
      <x:c r="I387" s="36" t="str">
        <x:v>5 — Almost certain — active enforcement, an open finding, or automatic detection of a hard reporting obligation.</x:v>
      </x:c>
      <x:c r="J387" s="36" t="str">
        <x:v>3 — Between six months and a year away.</x:v>
      </x:c>
      <x:c r="K387" s="36" t="n">
        <x:v>20</x:v>
      </x:c>
      <x:c r="L387" s="36" t="str">
        <x:v>P1 — Immediate</x:v>
      </x:c>
      <x:c r="M387" s="36" t="str">
        <x:v>HEALTHY / MUST-DO — P1 — Immediate</x:v>
      </x:c>
      <x:c r="N387" s="36" t="str"/>
      <x:c r="O387" s="43"/>
      <x:c r="P387" s="43"/>
      <x:c r="Q387" s="43"/>
      <x:c r="R387" s="43"/>
      <x:c r="S387" s="43"/>
      <x:c r="T387" s="43"/>
      <x:c r="U387" s="43"/>
      <x:c r="V387" s="43"/>
      <x:c r="W387" s="43"/>
      <x:c r="X387" s="43"/>
      <x:c r="Y387" s="43"/>
      <x:c r="Z387" s="43"/>
      <x:c r="AA387" s="43"/>
      <x:c r="AB387" s="43"/>
      <x:c r="AC387" s="43"/>
      <x:c r="AD387" s="43"/>
      <x:c r="AE387" s="43"/>
      <x:c r="AF387" s="43"/>
      <x:c r="AG387" s="43"/>
      <x:c r="AH387" s="43"/>
      <x:c r="AI387" s="43"/>
      <x:c r="AJ387" s="43"/>
      <x:c r="AK387" s="43"/>
      <x:c r="AL387" s="43"/>
      <x:c r="AM387" s="43"/>
      <x:c r="AN387" s="43"/>
      <x:c r="AO387" s="43"/>
      <x:c r="AP387" s="43"/>
    </x:row>
    <x:row r="388" ht="24" hidden="0" customHeight="1">
      <x:c r="A388" s="36" t="str">
        <x:v>EW Waste Matrix!row 155</x:v>
      </x:c>
      <x:c r="B388" s="37" t="str">
        <x:v>IGM performance management improvement ( Tagged to - IT Finance Foundation)</x:v>
      </x:c>
      <x:c r="C388" s="36" t="str">
        <x:v>Finance​</x:v>
      </x:c>
      <x:c r="D388" s="36" t="n">
        <x:v>1.55</x:v>
      </x:c>
      <x:c r="E388" s="36" t="str">
        <x:v>HEALTHY</x:v>
      </x:c>
      <x:c r="F388" s="36" t="str"/>
      <x:c r="G388" s="36" t="str"/>
      <x:c r="H388" s="36" t="str"/>
      <x:c r="I388" s="36" t="str"/>
      <x:c r="J388" s="36" t="str"/>
      <x:c r="K388" s="36"/>
      <x:c r="L388" s="36" t="str"/>
      <x:c r="M388" s="36" t="str">
        <x:v>HEALTHY — Rank in priority matrix</x:v>
      </x:c>
      <x:c r="N388" s="36" t="str"/>
      <x:c r="O388" s="43"/>
      <x:c r="P388" s="43"/>
      <x:c r="Q388" s="43"/>
      <x:c r="R388" s="43"/>
      <x:c r="S388" s="43"/>
      <x:c r="T388" s="43"/>
      <x:c r="U388" s="43"/>
      <x:c r="V388" s="43"/>
      <x:c r="W388" s="43"/>
      <x:c r="X388" s="43"/>
      <x:c r="Y388" s="43"/>
      <x:c r="Z388" s="43"/>
      <x:c r="AA388" s="43"/>
      <x:c r="AB388" s="43"/>
      <x:c r="AC388" s="43"/>
      <x:c r="AD388" s="43"/>
      <x:c r="AE388" s="43"/>
      <x:c r="AF388" s="43"/>
      <x:c r="AG388" s="43"/>
      <x:c r="AH388" s="43"/>
      <x:c r="AI388" s="43"/>
      <x:c r="AJ388" s="43"/>
      <x:c r="AK388" s="43"/>
      <x:c r="AL388" s="43"/>
      <x:c r="AM388" s="43"/>
      <x:c r="AN388" s="43"/>
      <x:c r="AO388" s="43"/>
      <x:c r="AP388" s="43"/>
    </x:row>
    <x:row r="389" ht="15" hidden="0" customHeight="1">
      <x:c r="A389" s="36" t="str">
        <x:v>EW Waste Matrix!row 156</x:v>
      </x:c>
      <x:c r="B389" s="37" t="str">
        <x:v>ISC IT DRP - Software Optimization: RunMyJob</x:v>
      </x:c>
      <x:c r="C389" s="36" t="str">
        <x:v>Information Technology ​</x:v>
      </x:c>
      <x:c r="D389" s="36" t="n">
        <x:v>1.6</x:v>
      </x:c>
      <x:c r="E389" s="36" t="str">
        <x:v>HEALTHY</x:v>
      </x:c>
      <x:c r="F389" s="36" t="str"/>
      <x:c r="G389" s="36" t="str"/>
      <x:c r="H389" s="36" t="str"/>
      <x:c r="I389" s="36" t="str"/>
      <x:c r="J389" s="36" t="str"/>
      <x:c r="K389" s="36"/>
      <x:c r="L389" s="36" t="str"/>
      <x:c r="M389" s="36" t="str">
        <x:v>HEALTHY — Rank in priority matrix</x:v>
      </x:c>
      <x:c r="N389" s="36" t="str"/>
      <x:c r="O389" s="43"/>
      <x:c r="P389" s="43"/>
      <x:c r="Q389" s="43"/>
      <x:c r="R389" s="43"/>
      <x:c r="S389" s="43"/>
      <x:c r="T389" s="43"/>
      <x:c r="U389" s="43"/>
      <x:c r="V389" s="43"/>
      <x:c r="W389" s="43"/>
      <x:c r="X389" s="43"/>
      <x:c r="Y389" s="43"/>
      <x:c r="Z389" s="43"/>
      <x:c r="AA389" s="43"/>
      <x:c r="AB389" s="43"/>
      <x:c r="AC389" s="43"/>
      <x:c r="AD389" s="43"/>
      <x:c r="AE389" s="43"/>
      <x:c r="AF389" s="43"/>
      <x:c r="AG389" s="43"/>
      <x:c r="AH389" s="43"/>
      <x:c r="AI389" s="43"/>
      <x:c r="AJ389" s="43"/>
      <x:c r="AK389" s="43"/>
      <x:c r="AL389" s="43"/>
      <x:c r="AM389" s="43"/>
      <x:c r="AN389" s="43"/>
      <x:c r="AO389" s="43"/>
      <x:c r="AP389" s="43"/>
    </x:row>
    <x:row r="390" ht="15" hidden="0" customHeight="1">
      <x:c r="A390" s="36" t="str">
        <x:v>EW Waste Matrix!row 157</x:v>
      </x:c>
      <x:c r="B390" s="37" t="str">
        <x:v>ISC IT DRP - Software Optimization: EveryAngle -&gt; ADL</x:v>
      </x:c>
      <x:c r="C390" s="36" t="str">
        <x:v>Information Technology ​</x:v>
      </x:c>
      <x:c r="D390" s="36" t="n">
        <x:v>1.2</x:v>
      </x:c>
      <x:c r="E390" s="36" t="str">
        <x:v>HEALTHY</x:v>
      </x:c>
      <x:c r="F390" s="36" t="str"/>
      <x:c r="G390" s="36" t="str"/>
      <x:c r="H390" s="36" t="str"/>
      <x:c r="I390" s="36" t="str"/>
      <x:c r="J390" s="36" t="str"/>
      <x:c r="K390" s="36"/>
      <x:c r="L390" s="36" t="str"/>
      <x:c r="M390" s="36" t="str">
        <x:v>HEALTHY — Rank in priority matrix</x:v>
      </x:c>
      <x:c r="N390" s="36" t="str"/>
      <x:c r="O390" s="43"/>
      <x:c r="P390" s="43"/>
      <x:c r="Q390" s="43"/>
      <x:c r="R390" s="43"/>
      <x:c r="S390" s="43"/>
      <x:c r="T390" s="43"/>
      <x:c r="U390" s="43"/>
      <x:c r="V390" s="43"/>
      <x:c r="W390" s="43"/>
      <x:c r="X390" s="43"/>
      <x:c r="Y390" s="43"/>
      <x:c r="Z390" s="43"/>
      <x:c r="AA390" s="43"/>
      <x:c r="AB390" s="43"/>
      <x:c r="AC390" s="43"/>
      <x:c r="AD390" s="43"/>
      <x:c r="AE390" s="43"/>
      <x:c r="AF390" s="43"/>
      <x:c r="AG390" s="43"/>
      <x:c r="AH390" s="43"/>
      <x:c r="AI390" s="43"/>
      <x:c r="AJ390" s="43"/>
      <x:c r="AK390" s="43"/>
      <x:c r="AL390" s="43"/>
      <x:c r="AM390" s="43"/>
      <x:c r="AN390" s="43"/>
      <x:c r="AO390" s="43"/>
      <x:c r="AP390" s="43"/>
    </x:row>
    <x:row r="391" ht="15" hidden="0" customHeight="1">
      <x:c r="A391" s="36" t="str">
        <x:v>EW Waste Matrix!row 158</x:v>
      </x:c>
      <x:c r="B391" s="37" t="str">
        <x:v>ISC IT DRP - SAP OneBi &amp; BCS to BDC</x:v>
      </x:c>
      <x:c r="C391" s="36" t="str">
        <x:v>Information Technology ​</x:v>
      </x:c>
      <x:c r="D391" s="36" t="n">
        <x:v>1.45</x:v>
      </x:c>
      <x:c r="E391" s="36" t="str">
        <x:v>HEALTHY</x:v>
      </x:c>
      <x:c r="F391" s="36" t="str"/>
      <x:c r="G391" s="36" t="str"/>
      <x:c r="H391" s="36" t="str"/>
      <x:c r="I391" s="36" t="str"/>
      <x:c r="J391" s="36" t="str"/>
      <x:c r="K391" s="36"/>
      <x:c r="L391" s="36" t="str"/>
      <x:c r="M391" s="36" t="str">
        <x:v>HEALTHY — Rank in priority matrix</x:v>
      </x:c>
      <x:c r="N391" s="36" t="str"/>
      <x:c r="O391" s="43"/>
      <x:c r="P391" s="43"/>
      <x:c r="Q391" s="43"/>
      <x:c r="R391" s="43"/>
      <x:c r="S391" s="43"/>
      <x:c r="T391" s="43"/>
      <x:c r="U391" s="43"/>
      <x:c r="V391" s="43"/>
      <x:c r="W391" s="43"/>
      <x:c r="X391" s="43"/>
      <x:c r="Y391" s="43"/>
      <x:c r="Z391" s="43"/>
      <x:c r="AA391" s="43"/>
      <x:c r="AB391" s="43"/>
      <x:c r="AC391" s="43"/>
      <x:c r="AD391" s="43"/>
      <x:c r="AE391" s="43"/>
      <x:c r="AF391" s="43"/>
      <x:c r="AG391" s="43"/>
      <x:c r="AH391" s="43"/>
      <x:c r="AI391" s="43"/>
      <x:c r="AJ391" s="43"/>
      <x:c r="AK391" s="43"/>
      <x:c r="AL391" s="43"/>
      <x:c r="AM391" s="43"/>
      <x:c r="AN391" s="43"/>
      <x:c r="AO391" s="43"/>
      <x:c r="AP391" s="43"/>
    </x:row>
    <x:row r="392" ht="24" hidden="0" customHeight="1">
      <x:c r="A392" s="36" t="str">
        <x:v>EW Waste Matrix!row 159</x:v>
      </x:c>
      <x:c r="B392" s="37" t="str">
        <x:v>ISC IT DRP - Decommission legacy app and rebuild via GenAI - HS Industry app</x:v>
      </x:c>
      <x:c r="C392" s="36" t="str">
        <x:v>Information Technology ​</x:v>
      </x:c>
      <x:c r="D392" s="36" t="n">
        <x:v>1.9</x:v>
      </x:c>
      <x:c r="E392" s="36" t="str">
        <x:v>HEALTHY</x:v>
      </x:c>
      <x:c r="F392" s="36" t="str"/>
      <x:c r="G392" s="36" t="str"/>
      <x:c r="H392" s="36" t="str"/>
      <x:c r="I392" s="36" t="str"/>
      <x:c r="J392" s="36" t="str"/>
      <x:c r="K392" s="36"/>
      <x:c r="L392" s="36" t="str"/>
      <x:c r="M392" s="36" t="str">
        <x:v>HEALTHY — Rank in priority matrix</x:v>
      </x:c>
      <x:c r="N392" s="36" t="str"/>
      <x:c r="O392" s="43"/>
      <x:c r="P392" s="43"/>
      <x:c r="Q392" s="43"/>
      <x:c r="R392" s="43"/>
      <x:c r="S392" s="43"/>
      <x:c r="T392" s="43"/>
      <x:c r="U392" s="43"/>
      <x:c r="V392" s="43"/>
      <x:c r="W392" s="43"/>
      <x:c r="X392" s="43"/>
      <x:c r="Y392" s="43"/>
      <x:c r="Z392" s="43"/>
      <x:c r="AA392" s="43"/>
      <x:c r="AB392" s="43"/>
      <x:c r="AC392" s="43"/>
      <x:c r="AD392" s="43"/>
      <x:c r="AE392" s="43"/>
      <x:c r="AF392" s="43"/>
      <x:c r="AG392" s="43"/>
      <x:c r="AH392" s="43"/>
      <x:c r="AI392" s="43"/>
      <x:c r="AJ392" s="43"/>
      <x:c r="AK392" s="43"/>
      <x:c r="AL392" s="43"/>
      <x:c r="AM392" s="43"/>
      <x:c r="AN392" s="43"/>
      <x:c r="AO392" s="43"/>
      <x:c r="AP392" s="43"/>
    </x:row>
    <x:row r="393" ht="15" hidden="0" customHeight="1">
      <x:c r="A393" s="36" t="str">
        <x:v>EW Waste Matrix!row 160</x:v>
      </x:c>
      <x:c r="B393" s="37" t="str">
        <x:v>TrueContext replacement</x:v>
      </x:c>
      <x:c r="C393" s="36" t="str">
        <x:v>Information Technology ​</x:v>
      </x:c>
      <x:c r="D393" s="36" t="n">
        <x:v>1.8</x:v>
      </x:c>
      <x:c r="E393" s="36" t="str">
        <x:v>HEALTHY</x:v>
      </x:c>
      <x:c r="F393" s="36" t="str">
        <x:v>NO</x:v>
      </x:c>
      <x:c r="G393" s="36" t="str">
        <x:v>5 — Exactly the minimum — only what's needed to meet the rule, nothing more.</x:v>
      </x:c>
      <x:c r="H393" s="36" t="str">
        <x:v>1 — Minor internal issue only — no outside consequence.</x:v>
      </x:c>
      <x:c r="I393" s="36" t="str">
        <x:v>2 — Unlikely — possible, but no sign of any audit or enforcement.</x:v>
      </x:c>
      <x:c r="J393" s="36" t="str">
        <x:v>2 — Between one and two years away.</x:v>
      </x:c>
      <x:c r="K393" s="36" t="n">
        <x:v>2</x:v>
      </x:c>
      <x:c r="L393" s="36" t="str">
        <x:v>P3 — Plan in window</x:v>
      </x:c>
      <x:c r="M393" s="36" t="str">
        <x:v>HEALTHY — Rank in priority matrix</x:v>
      </x:c>
      <x:c r="N393" s="36" t="str"/>
      <x:c r="O393" s="43"/>
      <x:c r="P393" s="43"/>
      <x:c r="Q393" s="43"/>
      <x:c r="R393" s="43"/>
      <x:c r="S393" s="43"/>
      <x:c r="T393" s="43"/>
      <x:c r="U393" s="43"/>
      <x:c r="V393" s="43"/>
      <x:c r="W393" s="43"/>
      <x:c r="X393" s="43"/>
      <x:c r="Y393" s="43"/>
      <x:c r="Z393" s="43"/>
      <x:c r="AA393" s="43"/>
      <x:c r="AB393" s="43"/>
      <x:c r="AC393" s="43"/>
      <x:c r="AD393" s="43"/>
      <x:c r="AE393" s="43"/>
      <x:c r="AF393" s="43"/>
      <x:c r="AG393" s="43"/>
      <x:c r="AH393" s="43"/>
      <x:c r="AI393" s="43"/>
      <x:c r="AJ393" s="43"/>
      <x:c r="AK393" s="43"/>
      <x:c r="AL393" s="43"/>
      <x:c r="AM393" s="43"/>
      <x:c r="AN393" s="43"/>
      <x:c r="AO393" s="43"/>
      <x:c r="AP393" s="43"/>
    </x:row>
    <x:row r="394" ht="15" hidden="0" customHeight="1">
      <x:c r="A394" s="36" t="str">
        <x:v>EW Waste Matrix!row 161</x:v>
      </x:c>
      <x:c r="B394" s="37" t="str">
        <x:v>Decisions replacement</x:v>
      </x:c>
      <x:c r="C394" s="36" t="str">
        <x:v>Information Technology ​</x:v>
      </x:c>
      <x:c r="D394" s="36" t="n">
        <x:v>1.8</x:v>
      </x:c>
      <x:c r="E394" s="36" t="str">
        <x:v>HEALTHY</x:v>
      </x:c>
      <x:c r="F394" s="36" t="str">
        <x:v>NO</x:v>
      </x:c>
      <x:c r="G394" s="36" t="str">
        <x:v>5 — Exactly the minimum — only what's needed to meet the rule, nothing more.</x:v>
      </x:c>
      <x:c r="H394" s="36" t="str">
        <x:v>1 — Minor internal issue only — no outside consequence.</x:v>
      </x:c>
      <x:c r="I394" s="36" t="str">
        <x:v>2 — Unlikely — possible, but no sign of any audit or enforcement.</x:v>
      </x:c>
      <x:c r="J394" s="36" t="str">
        <x:v>2 — Between one and two years away.</x:v>
      </x:c>
      <x:c r="K394" s="36" t="n">
        <x:v>2</x:v>
      </x:c>
      <x:c r="L394" s="36" t="str">
        <x:v>P3 — Plan in window</x:v>
      </x:c>
      <x:c r="M394" s="36" t="str">
        <x:v>HEALTHY — Rank in priority matrix</x:v>
      </x:c>
      <x:c r="N394" s="36" t="str"/>
      <x:c r="O394" s="43"/>
      <x:c r="P394" s="43"/>
      <x:c r="Q394" s="43"/>
      <x:c r="R394" s="43"/>
      <x:c r="S394" s="43"/>
      <x:c r="T394" s="43"/>
      <x:c r="U394" s="43"/>
      <x:c r="V394" s="43"/>
      <x:c r="W394" s="43"/>
      <x:c r="X394" s="43"/>
      <x:c r="Y394" s="43"/>
      <x:c r="Z394" s="43"/>
      <x:c r="AA394" s="43"/>
      <x:c r="AB394" s="43"/>
      <x:c r="AC394" s="43"/>
      <x:c r="AD394" s="43"/>
      <x:c r="AE394" s="43"/>
      <x:c r="AF394" s="43"/>
      <x:c r="AG394" s="43"/>
      <x:c r="AH394" s="43"/>
      <x:c r="AI394" s="43"/>
      <x:c r="AJ394" s="43"/>
      <x:c r="AK394" s="43"/>
      <x:c r="AL394" s="43"/>
      <x:c r="AM394" s="43"/>
      <x:c r="AN394" s="43"/>
      <x:c r="AO394" s="43"/>
      <x:c r="AP394" s="43"/>
    </x:row>
    <x:row r="395" ht="15" hidden="0" customHeight="1">
      <x:c r="A395" s="36" t="str">
        <x:v>EW Waste Matrix!row 162</x:v>
      </x:c>
      <x:c r="B395" s="37" t="str">
        <x:v>PS Cloud replacement</x:v>
      </x:c>
      <x:c r="C395" s="36" t="str">
        <x:v>Information Technology ​</x:v>
      </x:c>
      <x:c r="D395" s="36" t="n">
        <x:v>1.8</x:v>
      </x:c>
      <x:c r="E395" s="36" t="str">
        <x:v>HEALTHY</x:v>
      </x:c>
      <x:c r="F395" s="36" t="str">
        <x:v>NO</x:v>
      </x:c>
      <x:c r="G395" s="36" t="str">
        <x:v>5 — Exactly the minimum — only what's needed to meet the rule, nothing more.</x:v>
      </x:c>
      <x:c r="H395" s="36" t="str">
        <x:v>1 — Minor internal issue only — no outside consequence.</x:v>
      </x:c>
      <x:c r="I395" s="36" t="str">
        <x:v>2 — Unlikely — possible, but no sign of any audit or enforcement.</x:v>
      </x:c>
      <x:c r="J395" s="36" t="str">
        <x:v>2 — Between one and two years away.</x:v>
      </x:c>
      <x:c r="K395" s="36" t="n">
        <x:v>2</x:v>
      </x:c>
      <x:c r="L395" s="36" t="str">
        <x:v>P3 — Plan in window</x:v>
      </x:c>
      <x:c r="M395" s="36" t="str">
        <x:v>HEALTHY — Rank in priority matrix</x:v>
      </x:c>
      <x:c r="N395" s="36" t="str"/>
      <x:c r="O395" s="43"/>
      <x:c r="P395" s="43"/>
      <x:c r="Q395" s="43"/>
      <x:c r="R395" s="43"/>
      <x:c r="S395" s="43"/>
      <x:c r="T395" s="43"/>
      <x:c r="U395" s="43"/>
      <x:c r="V395" s="43"/>
      <x:c r="W395" s="43"/>
      <x:c r="X395" s="43"/>
      <x:c r="Y395" s="43"/>
      <x:c r="Z395" s="43"/>
      <x:c r="AA395" s="43"/>
      <x:c r="AB395" s="43"/>
      <x:c r="AC395" s="43"/>
      <x:c r="AD395" s="43"/>
      <x:c r="AE395" s="43"/>
      <x:c r="AF395" s="43"/>
      <x:c r="AG395" s="43"/>
      <x:c r="AH395" s="43"/>
      <x:c r="AI395" s="43"/>
      <x:c r="AJ395" s="43"/>
      <x:c r="AK395" s="43"/>
      <x:c r="AL395" s="43"/>
      <x:c r="AM395" s="43"/>
      <x:c r="AN395" s="43"/>
      <x:c r="AO395" s="43"/>
      <x:c r="AP395" s="43"/>
    </x:row>
    <x:row r="396" ht="15" hidden="0" customHeight="1">
      <x:c r="A396" s="36" t="str">
        <x:v>EW Waste Matrix!row 163</x:v>
      </x:c>
      <x:c r="B396" s="37" t="str">
        <x:v>Incenter replacement</x:v>
      </x:c>
      <x:c r="C396" s="36" t="str">
        <x:v>Information Technology ​</x:v>
      </x:c>
      <x:c r="D396" s="36" t="n">
        <x:v>1.8</x:v>
      </x:c>
      <x:c r="E396" s="36" t="str">
        <x:v>HEALTHY</x:v>
      </x:c>
      <x:c r="F396" s="36" t="str">
        <x:v>NO</x:v>
      </x:c>
      <x:c r="G396" s="36" t="str">
        <x:v>5 — Exactly the minimum — only what's needed to meet the rule, nothing more.</x:v>
      </x:c>
      <x:c r="H396" s="36" t="str">
        <x:v>1 — Minor internal issue only — no outside consequence.</x:v>
      </x:c>
      <x:c r="I396" s="36" t="str">
        <x:v>2 — Unlikely — possible, but no sign of any audit or enforcement.</x:v>
      </x:c>
      <x:c r="J396" s="36" t="str">
        <x:v>2 — Between one and two years away.</x:v>
      </x:c>
      <x:c r="K396" s="36" t="n">
        <x:v>2</x:v>
      </x:c>
      <x:c r="L396" s="36" t="str">
        <x:v>P3 — Plan in window</x:v>
      </x:c>
      <x:c r="M396" s="36" t="str">
        <x:v>HEALTHY — Rank in priority matrix</x:v>
      </x:c>
      <x:c r="N396" s="36" t="str"/>
      <x:c r="O396" s="43"/>
      <x:c r="P396" s="43"/>
      <x:c r="Q396" s="43"/>
      <x:c r="R396" s="43"/>
      <x:c r="S396" s="43"/>
      <x:c r="T396" s="43"/>
      <x:c r="U396" s="43"/>
      <x:c r="V396" s="43"/>
      <x:c r="W396" s="43"/>
      <x:c r="X396" s="43"/>
      <x:c r="Y396" s="43"/>
      <x:c r="Z396" s="43"/>
      <x:c r="AA396" s="43"/>
      <x:c r="AB396" s="43"/>
      <x:c r="AC396" s="43"/>
      <x:c r="AD396" s="43"/>
      <x:c r="AE396" s="43"/>
      <x:c r="AF396" s="43"/>
      <x:c r="AG396" s="43"/>
      <x:c r="AH396" s="43"/>
      <x:c r="AI396" s="43"/>
      <x:c r="AJ396" s="43"/>
      <x:c r="AK396" s="43"/>
      <x:c r="AL396" s="43"/>
      <x:c r="AM396" s="43"/>
      <x:c r="AN396" s="43"/>
      <x:c r="AO396" s="43"/>
      <x:c r="AP396" s="43"/>
    </x:row>
    <x:row r="397" ht="15" hidden="0" customHeight="1">
      <x:c r="A397" s="36" t="str">
        <x:v>EW Waste Matrix!row 164</x:v>
      </x:c>
      <x:c r="B397" s="37" t="str">
        <x:v>Grading (framework, governance &amp; job catalogue) </x:v>
      </x:c>
      <x:c r="C397" s="36" t="str">
        <x:v>People function​</x:v>
      </x:c>
      <x:c r="D397" s="36" t="n">
        <x:v>1.7</x:v>
      </x:c>
      <x:c r="E397" s="36" t="str">
        <x:v>HEALTHY</x:v>
      </x:c>
      <x:c r="F397" s="36" t="str"/>
      <x:c r="G397" s="36" t="str"/>
      <x:c r="H397" s="36" t="str"/>
      <x:c r="I397" s="36" t="str"/>
      <x:c r="J397" s="36" t="str"/>
      <x:c r="K397" s="36"/>
      <x:c r="L397" s="36" t="str"/>
      <x:c r="M397" s="36" t="str">
        <x:v>HEALTHY — Rank in priority matrix</x:v>
      </x:c>
      <x:c r="N397" s="36" t="str"/>
      <x:c r="O397" s="43"/>
      <x:c r="P397" s="43"/>
      <x:c r="Q397" s="43"/>
      <x:c r="R397" s="43"/>
      <x:c r="S397" s="43"/>
      <x:c r="T397" s="43"/>
      <x:c r="U397" s="43"/>
      <x:c r="V397" s="43"/>
      <x:c r="W397" s="43"/>
      <x:c r="X397" s="43"/>
      <x:c r="Y397" s="43"/>
      <x:c r="Z397" s="43"/>
      <x:c r="AA397" s="43"/>
      <x:c r="AB397" s="43"/>
      <x:c r="AC397" s="43"/>
      <x:c r="AD397" s="43"/>
      <x:c r="AE397" s="43"/>
      <x:c r="AF397" s="43"/>
      <x:c r="AG397" s="43"/>
      <x:c r="AH397" s="43"/>
      <x:c r="AI397" s="43"/>
      <x:c r="AJ397" s="43"/>
      <x:c r="AK397" s="43"/>
      <x:c r="AL397" s="43"/>
      <x:c r="AM397" s="43"/>
      <x:c r="AN397" s="43"/>
      <x:c r="AO397" s="43"/>
      <x:c r="AP397" s="43"/>
    </x:row>
    <x:row r="398" ht="15" hidden="0" customHeight="1">
      <x:c r="A398" s="36" t="str">
        <x:v>EW Waste Matrix!row 165</x:v>
      </x:c>
      <x:c r="B398" s="37" t="str">
        <x:v>Onboarding </x:v>
      </x:c>
      <x:c r="C398" s="36" t="str">
        <x:v>People function​</x:v>
      </x:c>
      <x:c r="D398" s="36" t="n">
        <x:v>1.7</x:v>
      </x:c>
      <x:c r="E398" s="36" t="str">
        <x:v>HEALTHY</x:v>
      </x:c>
      <x:c r="F398" s="36" t="str"/>
      <x:c r="G398" s="36" t="str"/>
      <x:c r="H398" s="36" t="str"/>
      <x:c r="I398" s="36" t="str"/>
      <x:c r="J398" s="36" t="str"/>
      <x:c r="K398" s="36"/>
      <x:c r="L398" s="36" t="str"/>
      <x:c r="M398" s="36" t="str">
        <x:v>HEALTHY — Rank in priority matrix</x:v>
      </x:c>
      <x:c r="N398" s="36" t="str"/>
      <x:c r="O398" s="43"/>
      <x:c r="P398" s="43"/>
      <x:c r="Q398" s="43"/>
      <x:c r="R398" s="43"/>
      <x:c r="S398" s="43"/>
      <x:c r="T398" s="43"/>
      <x:c r="U398" s="43"/>
      <x:c r="V398" s="43"/>
      <x:c r="W398" s="43"/>
      <x:c r="X398" s="43"/>
      <x:c r="Y398" s="43"/>
      <x:c r="Z398" s="43"/>
      <x:c r="AA398" s="43"/>
      <x:c r="AB398" s="43"/>
      <x:c r="AC398" s="43"/>
      <x:c r="AD398" s="43"/>
      <x:c r="AE398" s="43"/>
      <x:c r="AF398" s="43"/>
      <x:c r="AG398" s="43"/>
      <x:c r="AH398" s="43"/>
      <x:c r="AI398" s="43"/>
      <x:c r="AJ398" s="43"/>
      <x:c r="AK398" s="43"/>
      <x:c r="AL398" s="43"/>
      <x:c r="AM398" s="43"/>
      <x:c r="AN398" s="43"/>
      <x:c r="AO398" s="43"/>
      <x:c r="AP398" s="43"/>
    </x:row>
    <x:row r="399" ht="15" hidden="0" customHeight="1">
      <x:c r="A399" s="36" t="str">
        <x:v>EW Waste Matrix!row 166</x:v>
      </x:c>
      <x:c r="B399" s="37" t="str">
        <x:v>Philips Skills Framework </x:v>
      </x:c>
      <x:c r="C399" s="36" t="str">
        <x:v>People function​</x:v>
      </x:c>
      <x:c r="D399" s="36" t="n">
        <x:v>2.5</x:v>
      </x:c>
      <x:c r="E399" s="36" t="str">
        <x:v>CONTAIN</x:v>
      </x:c>
      <x:c r="F399" s="36" t="str"/>
      <x:c r="G399" s="36" t="str"/>
      <x:c r="H399" s="36" t="str"/>
      <x:c r="I399" s="36" t="str"/>
      <x:c r="J399" s="36" t="str"/>
      <x:c r="K399" s="36"/>
      <x:c r="L399" s="36" t="str"/>
      <x:c r="M399" s="36" t="str">
        <x:v>CONTAIN — Conditions</x:v>
      </x:c>
      <x:c r="N399" s="36" t="str"/>
      <x:c r="O399" s="43"/>
      <x:c r="P399" s="43"/>
      <x:c r="Q399" s="43"/>
      <x:c r="R399" s="43"/>
      <x:c r="S399" s="43"/>
      <x:c r="T399" s="43"/>
      <x:c r="U399" s="43"/>
      <x:c r="V399" s="43"/>
      <x:c r="W399" s="43"/>
      <x:c r="X399" s="43"/>
      <x:c r="Y399" s="43"/>
      <x:c r="Z399" s="43"/>
      <x:c r="AA399" s="43"/>
      <x:c r="AB399" s="43"/>
      <x:c r="AC399" s="43"/>
      <x:c r="AD399" s="43"/>
      <x:c r="AE399" s="43"/>
      <x:c r="AF399" s="43"/>
      <x:c r="AG399" s="43"/>
      <x:c r="AH399" s="43"/>
      <x:c r="AI399" s="43"/>
      <x:c r="AJ399" s="43"/>
      <x:c r="AK399" s="43"/>
      <x:c r="AL399" s="43"/>
      <x:c r="AM399" s="43"/>
      <x:c r="AN399" s="43"/>
      <x:c r="AO399" s="43"/>
      <x:c r="AP399" s="43"/>
    </x:row>
    <x:row r="400" ht="15" hidden="0" customHeight="1">
      <x:c r="A400" s="36" t="str">
        <x:v>EW Waste Matrix!row 167</x:v>
      </x:c>
      <x:c r="B400" s="37" t="str">
        <x:v>PPM</x:v>
      </x:c>
      <x:c r="C400" s="36" t="str">
        <x:v>People function​</x:v>
      </x:c>
      <x:c r="D400" s="36" t="n">
        <x:v>1.7</x:v>
      </x:c>
      <x:c r="E400" s="36" t="str">
        <x:v>HEALTHY</x:v>
      </x:c>
      <x:c r="F400" s="36" t="str"/>
      <x:c r="G400" s="36" t="str"/>
      <x:c r="H400" s="36" t="str"/>
      <x:c r="I400" s="36" t="str"/>
      <x:c r="J400" s="36" t="str"/>
      <x:c r="K400" s="36"/>
      <x:c r="L400" s="36" t="str"/>
      <x:c r="M400" s="36" t="str">
        <x:v>HEALTHY — Rank in priority matrix</x:v>
      </x:c>
      <x:c r="N400" s="36" t="str"/>
      <x:c r="O400" s="43"/>
      <x:c r="P400" s="43"/>
      <x:c r="Q400" s="43"/>
      <x:c r="R400" s="43"/>
      <x:c r="S400" s="43"/>
      <x:c r="T400" s="43"/>
      <x:c r="U400" s="43"/>
      <x:c r="V400" s="43"/>
      <x:c r="W400" s="43"/>
      <x:c r="X400" s="43"/>
      <x:c r="Y400" s="43"/>
      <x:c r="Z400" s="43"/>
      <x:c r="AA400" s="43"/>
      <x:c r="AB400" s="43"/>
      <x:c r="AC400" s="43"/>
      <x:c r="AD400" s="43"/>
      <x:c r="AE400" s="43"/>
      <x:c r="AF400" s="43"/>
      <x:c r="AG400" s="43"/>
      <x:c r="AH400" s="43"/>
      <x:c r="AI400" s="43"/>
      <x:c r="AJ400" s="43"/>
      <x:c r="AK400" s="43"/>
      <x:c r="AL400" s="43"/>
      <x:c r="AM400" s="43"/>
      <x:c r="AN400" s="43"/>
      <x:c r="AO400" s="43"/>
      <x:c r="AP400" s="43"/>
    </x:row>
    <x:row r="401" ht="15" hidden="0" customHeight="1">
      <x:c r="A401" s="36" t="str">
        <x:v>EW Waste Matrix!row 168</x:v>
      </x:c>
      <x:c r="B401" s="37" t="str">
        <x:v>Scheduling</x:v>
      </x:c>
      <x:c r="C401" s="36" t="str">
        <x:v>People function​</x:v>
      </x:c>
      <x:c r="D401" s="36" t="n">
        <x:v>1.35</x:v>
      </x:c>
      <x:c r="E401" s="36" t="str">
        <x:v>HEALTHY</x:v>
      </x:c>
      <x:c r="F401" s="36" t="str"/>
      <x:c r="G401" s="36" t="str"/>
      <x:c r="H401" s="36" t="str"/>
      <x:c r="I401" s="36" t="str"/>
      <x:c r="J401" s="36" t="str"/>
      <x:c r="K401" s="36"/>
      <x:c r="L401" s="36" t="str"/>
      <x:c r="M401" s="36" t="str">
        <x:v>HEALTHY — Rank in priority matrix</x:v>
      </x:c>
      <x:c r="N401" s="36" t="str"/>
      <x:c r="O401" s="43"/>
      <x:c r="P401" s="43"/>
      <x:c r="Q401" s="43"/>
      <x:c r="R401" s="43"/>
      <x:c r="S401" s="43"/>
      <x:c r="T401" s="43"/>
      <x:c r="U401" s="43"/>
      <x:c r="V401" s="43"/>
      <x:c r="W401" s="43"/>
      <x:c r="X401" s="43"/>
      <x:c r="Y401" s="43"/>
      <x:c r="Z401" s="43"/>
      <x:c r="AA401" s="43"/>
      <x:c r="AB401" s="43"/>
      <x:c r="AC401" s="43"/>
      <x:c r="AD401" s="43"/>
      <x:c r="AE401" s="43"/>
      <x:c r="AF401" s="43"/>
      <x:c r="AG401" s="43"/>
      <x:c r="AH401" s="43"/>
      <x:c r="AI401" s="43"/>
      <x:c r="AJ401" s="43"/>
      <x:c r="AK401" s="43"/>
      <x:c r="AL401" s="43"/>
      <x:c r="AM401" s="43"/>
      <x:c r="AN401" s="43"/>
      <x:c r="AO401" s="43"/>
      <x:c r="AP401" s="43"/>
    </x:row>
    <x:row r="402" ht="15" hidden="0" customHeight="1">
      <x:c r="A402" s="36" t="str">
        <x:v>EW Waste Matrix!row 169</x:v>
      </x:c>
      <x:c r="B402" s="37" t="str">
        <x:v>Sourcing </x:v>
      </x:c>
      <x:c r="C402" s="36" t="str">
        <x:v>People function​</x:v>
      </x:c>
      <x:c r="D402" s="36" t="n">
        <x:v>1.7</x:v>
      </x:c>
      <x:c r="E402" s="36" t="str">
        <x:v>HEALTHY</x:v>
      </x:c>
      <x:c r="F402" s="36" t="str"/>
      <x:c r="G402" s="36" t="str"/>
      <x:c r="H402" s="36" t="str"/>
      <x:c r="I402" s="36" t="str"/>
      <x:c r="J402" s="36" t="str"/>
      <x:c r="K402" s="36"/>
      <x:c r="L402" s="36" t="str"/>
      <x:c r="M402" s="36" t="str">
        <x:v>HEALTHY — Rank in priority matrix</x:v>
      </x:c>
      <x:c r="N402" s="36" t="str"/>
      <x:c r="O402" s="43"/>
      <x:c r="P402" s="43"/>
      <x:c r="Q402" s="43"/>
      <x:c r="R402" s="43"/>
      <x:c r="S402" s="43"/>
      <x:c r="T402" s="43"/>
      <x:c r="U402" s="43"/>
      <x:c r="V402" s="43"/>
      <x:c r="W402" s="43"/>
      <x:c r="X402" s="43"/>
      <x:c r="Y402" s="43"/>
      <x:c r="Z402" s="43"/>
      <x:c r="AA402" s="43"/>
      <x:c r="AB402" s="43"/>
      <x:c r="AC402" s="43"/>
      <x:c r="AD402" s="43"/>
      <x:c r="AE402" s="43"/>
      <x:c r="AF402" s="43"/>
      <x:c r="AG402" s="43"/>
      <x:c r="AH402" s="43"/>
      <x:c r="AI402" s="43"/>
      <x:c r="AJ402" s="43"/>
      <x:c r="AK402" s="43"/>
      <x:c r="AL402" s="43"/>
      <x:c r="AM402" s="43"/>
      <x:c r="AN402" s="43"/>
      <x:c r="AO402" s="43"/>
      <x:c r="AP402" s="43"/>
    </x:row>
    <x:row r="403" ht="15" hidden="0" customHeight="1">
      <x:c r="A403" s="36" t="str">
        <x:v>EW Waste Matrix!row 170</x:v>
      </x:c>
      <x:c r="B403" s="37" t="str">
        <x:v>Well-being Insights Platform</x:v>
      </x:c>
      <x:c r="C403" s="36" t="str">
        <x:v>People function​</x:v>
      </x:c>
      <x:c r="D403" s="36" t="n">
        <x:v>1.7</x:v>
      </x:c>
      <x:c r="E403" s="36" t="str">
        <x:v>HEALTHY</x:v>
      </x:c>
      <x:c r="F403" s="36" t="str"/>
      <x:c r="G403" s="36" t="str"/>
      <x:c r="H403" s="36" t="str"/>
      <x:c r="I403" s="36" t="str"/>
      <x:c r="J403" s="36" t="str"/>
      <x:c r="K403" s="36"/>
      <x:c r="L403" s="36" t="str"/>
      <x:c r="M403" s="36" t="str">
        <x:v>HEALTHY — Rank in priority matrix</x:v>
      </x:c>
      <x:c r="N403" s="36" t="str"/>
      <x:c r="O403" s="43"/>
      <x:c r="P403" s="43"/>
      <x:c r="Q403" s="43"/>
      <x:c r="R403" s="43"/>
      <x:c r="S403" s="43"/>
      <x:c r="T403" s="43"/>
      <x:c r="U403" s="43"/>
      <x:c r="V403" s="43"/>
      <x:c r="W403" s="43"/>
      <x:c r="X403" s="43"/>
      <x:c r="Y403" s="43"/>
      <x:c r="Z403" s="43"/>
      <x:c r="AA403" s="43"/>
      <x:c r="AB403" s="43"/>
      <x:c r="AC403" s="43"/>
      <x:c r="AD403" s="43"/>
      <x:c r="AE403" s="43"/>
      <x:c r="AF403" s="43"/>
      <x:c r="AG403" s="43"/>
      <x:c r="AH403" s="43"/>
      <x:c r="AI403" s="43"/>
      <x:c r="AJ403" s="43"/>
      <x:c r="AK403" s="43"/>
      <x:c r="AL403" s="43"/>
      <x:c r="AM403" s="43"/>
      <x:c r="AN403" s="43"/>
      <x:c r="AO403" s="43"/>
      <x:c r="AP403" s="43"/>
    </x:row>
    <x:row r="404" ht="15" hidden="0" customHeight="1">
      <x:c r="A404" s="36" t="str">
        <x:v>EW Waste Matrix!row 171</x:v>
      </x:c>
      <x:c r="B404" s="37" t="str">
        <x:v>Upgrade to Windchill 2027</x:v>
      </x:c>
      <x:c r="C404" s="36" t="str">
        <x:v>Information Technology ​</x:v>
      </x:c>
      <x:c r="D404" s="36" t="n">
        <x:v>1</x:v>
      </x:c>
      <x:c r="E404" s="36" t="str">
        <x:v>HEALTHY</x:v>
      </x:c>
      <x:c r="F404" s="36" t="str"/>
      <x:c r="G404" s="36" t="str"/>
      <x:c r="H404" s="36" t="str"/>
      <x:c r="I404" s="36" t="str"/>
      <x:c r="J404" s="36" t="str"/>
      <x:c r="K404" s="36"/>
      <x:c r="L404" s="36" t="str"/>
      <x:c r="M404" s="36" t="str">
        <x:v>HEALTHY — Rank in priority matrix</x:v>
      </x:c>
      <x:c r="N404" s="36" t="str"/>
      <x:c r="O404" s="43"/>
      <x:c r="P404" s="43"/>
      <x:c r="Q404" s="43"/>
      <x:c r="R404" s="43"/>
      <x:c r="S404" s="43"/>
      <x:c r="T404" s="43"/>
      <x:c r="U404" s="43"/>
      <x:c r="V404" s="43"/>
      <x:c r="W404" s="43"/>
      <x:c r="X404" s="43"/>
      <x:c r="Y404" s="43"/>
      <x:c r="Z404" s="43"/>
      <x:c r="AA404" s="43"/>
      <x:c r="AB404" s="43"/>
      <x:c r="AC404" s="43"/>
      <x:c r="AD404" s="43"/>
      <x:c r="AE404" s="43"/>
      <x:c r="AF404" s="43"/>
      <x:c r="AG404" s="43"/>
      <x:c r="AH404" s="43"/>
      <x:c r="AI404" s="43"/>
      <x:c r="AJ404" s="43"/>
      <x:c r="AK404" s="43"/>
      <x:c r="AL404" s="43"/>
      <x:c r="AM404" s="43"/>
      <x:c r="AN404" s="43"/>
      <x:c r="AO404" s="43"/>
      <x:c r="AP404" s="43"/>
    </x:row>
    <x:row r="405" ht="15" hidden="0" customHeight="1">
      <x:c r="A405" s="36" t="str">
        <x:v>EW Waste Matrix!row 172</x:v>
      </x:c>
      <x:c r="B405" s="37" t="str">
        <x:v>Landscape simplification - CfLM</x:v>
      </x:c>
      <x:c r="C405" s="36" t="str">
        <x:v>Information Technology ​</x:v>
      </x:c>
      <x:c r="D405" s="36" t="n">
        <x:v>1</x:v>
      </x:c>
      <x:c r="E405" s="36" t="str">
        <x:v>HEALTHY</x:v>
      </x:c>
      <x:c r="F405" s="36" t="str"/>
      <x:c r="G405" s="36" t="str"/>
      <x:c r="H405" s="36" t="str"/>
      <x:c r="I405" s="36" t="str"/>
      <x:c r="J405" s="36" t="str"/>
      <x:c r="K405" s="36"/>
      <x:c r="L405" s="36" t="str"/>
      <x:c r="M405" s="36" t="str">
        <x:v>HEALTHY — Rank in priority matrix</x:v>
      </x:c>
      <x:c r="N405" s="36" t="str">
        <x:v>Part of DRP budget</x:v>
      </x:c>
      <x:c r="O405" s="43"/>
      <x:c r="P405" s="43"/>
      <x:c r="Q405" s="43"/>
      <x:c r="R405" s="43"/>
      <x:c r="S405" s="43"/>
      <x:c r="T405" s="43"/>
      <x:c r="U405" s="43"/>
      <x:c r="V405" s="43"/>
      <x:c r="W405" s="43"/>
      <x:c r="X405" s="43"/>
      <x:c r="Y405" s="43"/>
      <x:c r="Z405" s="43"/>
      <x:c r="AA405" s="43"/>
      <x:c r="AB405" s="43"/>
      <x:c r="AC405" s="43"/>
      <x:c r="AD405" s="43"/>
      <x:c r="AE405" s="43"/>
      <x:c r="AF405" s="43"/>
      <x:c r="AG405" s="43"/>
      <x:c r="AH405" s="43"/>
      <x:c r="AI405" s="43"/>
      <x:c r="AJ405" s="43"/>
      <x:c r="AK405" s="43"/>
      <x:c r="AL405" s="43"/>
      <x:c r="AM405" s="43"/>
      <x:c r="AN405" s="43"/>
      <x:c r="AO405" s="43"/>
      <x:c r="AP405" s="43"/>
    </x:row>
    <x:row r="406" ht="24" hidden="0" customHeight="1">
      <x:c r="A406" s="36" t="str">
        <x:v>EW Waste Matrix!row 173</x:v>
      </x:c>
      <x:c r="B406" s="37" t="str">
        <x:v>E2E event planning incl. GBP compliance review, HCP engagement review &amp; registration for GCR (Engage - Legal not usable)</x:v>
      </x:c>
      <x:c r="C406" s="36" t="str">
        <x:v>Greater China </x:v>
      </x:c>
      <x:c r="D406" s="36" t="n">
        <x:v>1.55</x:v>
      </x:c>
      <x:c r="E406" s="36" t="str">
        <x:v>HEALTHY</x:v>
      </x:c>
      <x:c r="F406" s="36" t="str">
        <x:v>YES</x:v>
      </x:c>
      <x:c r="G406" s="36" t="str">
        <x:v>5 — Exactly the minimum — only what's needed to meet the rule, nothing more.</x:v>
      </x:c>
      <x:c r="H406" s="36" t="str">
        <x:v>5 — Severe — criminal liability, loss of a licence, a product or market withdrawal, or a patient-safety / major data-breach exposure.</x:v>
      </x:c>
      <x:c r="I406" s="36" t="str">
        <x:v>3 — Possible — there's general enforcement in this area and periodic audits.</x:v>
      </x:c>
      <x:c r="J406" s="36" t="str">
        <x:v>5 — Overdue, or under three months away — we're at or near breach.</x:v>
      </x:c>
      <x:c r="K406" s="36" t="n">
        <x:v>15</x:v>
      </x:c>
      <x:c r="L406" s="36" t="str">
        <x:v>P1 — Immediate</x:v>
      </x:c>
      <x:c r="M406" s="36" t="str">
        <x:v>HEALTHY / MUST-DO — P1 — Immediate</x:v>
      </x:c>
      <x:c r="N406" s="36" t="str"/>
      <x:c r="O406" s="43"/>
      <x:c r="P406" s="43"/>
      <x:c r="Q406" s="43"/>
      <x:c r="R406" s="43"/>
      <x:c r="S406" s="43"/>
      <x:c r="T406" s="43"/>
      <x:c r="U406" s="43"/>
      <x:c r="V406" s="43"/>
      <x:c r="W406" s="43"/>
      <x:c r="X406" s="43"/>
      <x:c r="Y406" s="43"/>
      <x:c r="Z406" s="43"/>
      <x:c r="AA406" s="43"/>
      <x:c r="AB406" s="43"/>
      <x:c r="AC406" s="43"/>
      <x:c r="AD406" s="43"/>
      <x:c r="AE406" s="43"/>
      <x:c r="AF406" s="43"/>
      <x:c r="AG406" s="43"/>
      <x:c r="AH406" s="43"/>
      <x:c r="AI406" s="43"/>
      <x:c r="AJ406" s="43"/>
      <x:c r="AK406" s="43"/>
      <x:c r="AL406" s="43"/>
      <x:c r="AM406" s="43"/>
      <x:c r="AN406" s="43"/>
      <x:c r="AO406" s="43"/>
      <x:c r="AP406" s="43"/>
    </x:row>
    <x:row r="407" ht="15" hidden="0" customHeight="1">
      <x:c r="A407" s="36" t="str">
        <x:v>EW Waste Matrix!row 174</x:v>
      </x:c>
      <x:c r="B407" s="37" t="str">
        <x:v>CRMA and Qlikview Decom - Commercial Analytics</x:v>
      </x:c>
      <x:c r="C407" s="36" t="str">
        <x:v>Information Technology ​</x:v>
      </x:c>
      <x:c r="D407" s="36" t="n">
        <x:v>1.45</x:v>
      </x:c>
      <x:c r="E407" s="36" t="str">
        <x:v>HEALTHY</x:v>
      </x:c>
      <x:c r="F407" s="36" t="str"/>
      <x:c r="G407" s="36" t="str"/>
      <x:c r="H407" s="36" t="str"/>
      <x:c r="I407" s="36" t="str"/>
      <x:c r="J407" s="36" t="str"/>
      <x:c r="K407" s="36"/>
      <x:c r="L407" s="36" t="str"/>
      <x:c r="M407" s="36" t="str">
        <x:v>HEALTHY — Rank in priority matrix</x:v>
      </x:c>
      <x:c r="N407" s="36" t="str"/>
      <x:c r="O407" s="43"/>
      <x:c r="P407" s="43"/>
      <x:c r="Q407" s="43"/>
      <x:c r="R407" s="43"/>
      <x:c r="S407" s="43"/>
      <x:c r="T407" s="43"/>
      <x:c r="U407" s="43"/>
      <x:c r="V407" s="43"/>
      <x:c r="W407" s="43"/>
      <x:c r="X407" s="43"/>
      <x:c r="Y407" s="43"/>
      <x:c r="Z407" s="43"/>
      <x:c r="AA407" s="43"/>
      <x:c r="AB407" s="43"/>
      <x:c r="AC407" s="43"/>
      <x:c r="AD407" s="43"/>
      <x:c r="AE407" s="43"/>
      <x:c r="AF407" s="43"/>
      <x:c r="AG407" s="43"/>
      <x:c r="AH407" s="43"/>
      <x:c r="AI407" s="43"/>
      <x:c r="AJ407" s="43"/>
      <x:c r="AK407" s="43"/>
      <x:c r="AL407" s="43"/>
      <x:c r="AM407" s="43"/>
      <x:c r="AN407" s="43"/>
      <x:c r="AO407" s="43"/>
      <x:c r="AP407" s="43"/>
    </x:row>
    <x:row r="408" ht="15" hidden="0" customHeight="1">
      <x:c r="A408" s="36" t="str">
        <x:v>EW Waste Matrix!row 175</x:v>
      </x:c>
      <x:c r="B408" s="37" t="str">
        <x:v>Quality AI for GCR Adverse Event Report and Post Market Vigilance</x:v>
      </x:c>
      <x:c r="C408" s="36" t="str">
        <x:v>Patient Safety &amp; Quality</x:v>
      </x:c>
      <x:c r="D408" s="36" t="n">
        <x:v>1.15</x:v>
      </x:c>
      <x:c r="E408" s="36" t="str">
        <x:v>HEALTHY</x:v>
      </x:c>
      <x:c r="F408" s="36" t="str">
        <x:v>YES</x:v>
      </x:c>
      <x:c r="G408" s="36" t="str">
        <x:v>5 — Exactly the minimum — only what's needed to meet the rule, nothing more.</x:v>
      </x:c>
      <x:c r="H408" s="36" t="str">
        <x:v>5 — Severe — criminal liability, loss of a licence, a product or market withdrawal, or a patient-safety / major data-breach exposure.</x:v>
      </x:c>
      <x:c r="I408" s="36" t="str">
        <x:v>5 — Almost certain — active enforcement, an open finding, or automatic detection of a hard reporting obligation.</x:v>
      </x:c>
      <x:c r="J408" s="36" t="str">
        <x:v>3 — Between six months and a year away.</x:v>
      </x:c>
      <x:c r="K408" s="36" t="n">
        <x:v>25</x:v>
      </x:c>
      <x:c r="L408" s="36" t="str">
        <x:v>P1 — Immediate</x:v>
      </x:c>
      <x:c r="M408" s="36" t="str">
        <x:v>HEALTHY / MUST-DO — P1 — Immediate</x:v>
      </x:c>
      <x:c r="N408" s="36" t="str"/>
      <x:c r="O408" s="43"/>
      <x:c r="P408" s="43"/>
      <x:c r="Q408" s="43"/>
      <x:c r="R408" s="43"/>
      <x:c r="S408" s="43"/>
      <x:c r="T408" s="43"/>
      <x:c r="U408" s="43"/>
      <x:c r="V408" s="43"/>
      <x:c r="W408" s="43"/>
      <x:c r="X408" s="43"/>
      <x:c r="Y408" s="43"/>
      <x:c r="Z408" s="43"/>
      <x:c r="AA408" s="43"/>
      <x:c r="AB408" s="43"/>
      <x:c r="AC408" s="43"/>
      <x:c r="AD408" s="43"/>
      <x:c r="AE408" s="43"/>
      <x:c r="AF408" s="43"/>
      <x:c r="AG408" s="43"/>
      <x:c r="AH408" s="43"/>
      <x:c r="AI408" s="43"/>
      <x:c r="AJ408" s="43"/>
      <x:c r="AK408" s="43"/>
      <x:c r="AL408" s="43"/>
      <x:c r="AM408" s="43"/>
      <x:c r="AN408" s="43"/>
      <x:c r="AO408" s="43"/>
      <x:c r="AP408" s="43"/>
    </x:row>
    <x:row r="409" ht="24" hidden="0" customHeight="1">
      <x:c r="A409" s="36" t="str">
        <x:v>EW Waste Matrix!row 176</x:v>
      </x:c>
      <x:c r="B409" s="37" t="str">
        <x:v>Master Data Clean up, Harmonization &amp; Data Stweart for HS &amp; PH (incl. mainland, TW, HK split) for IT SoX readiness, Key Reports</x:v>
      </x:c>
      <x:c r="C409" s="36" t="str">
        <x:v>Greater China </x:v>
      </x:c>
      <x:c r="D409" s="36" t="n">
        <x:v>1.15</x:v>
      </x:c>
      <x:c r="E409" s="36" t="str">
        <x:v>HEALTHY</x:v>
      </x:c>
      <x:c r="F409" s="36" t="str">
        <x:v>YES</x:v>
      </x:c>
      <x:c r="G409" s="36" t="str">
        <x:v>5 — Exactly the minimum — only what's needed to meet the rule, nothing more.</x:v>
      </x:c>
      <x:c r="H409" s="36" t="str">
        <x:v>5 — Severe — criminal liability, loss of a licence, a product or market withdrawal, or a patient-safety / major data-breach exposure.</x:v>
      </x:c>
      <x:c r="I409" s="36" t="str">
        <x:v>5 — Almost certain — active enforcement, an open finding, or automatic detection of a hard reporting obligation.</x:v>
      </x:c>
      <x:c r="J409" s="36" t="str">
        <x:v>3 — Between six months and a year away.</x:v>
      </x:c>
      <x:c r="K409" s="36" t="n">
        <x:v>25</x:v>
      </x:c>
      <x:c r="L409" s="36" t="str">
        <x:v>P1 — Immediate</x:v>
      </x:c>
      <x:c r="M409" s="36" t="str">
        <x:v>HEALTHY / MUST-DO — P1 — Immediate</x:v>
      </x:c>
      <x:c r="N409" s="36" t="str"/>
      <x:c r="O409" s="43"/>
      <x:c r="P409" s="43"/>
      <x:c r="Q409" s="43"/>
      <x:c r="R409" s="43"/>
      <x:c r="S409" s="43"/>
      <x:c r="T409" s="43"/>
      <x:c r="U409" s="43"/>
      <x:c r="V409" s="43"/>
      <x:c r="W409" s="43"/>
      <x:c r="X409" s="43"/>
      <x:c r="Y409" s="43"/>
      <x:c r="Z409" s="43"/>
      <x:c r="AA409" s="43"/>
      <x:c r="AB409" s="43"/>
      <x:c r="AC409" s="43"/>
      <x:c r="AD409" s="43"/>
      <x:c r="AE409" s="43"/>
      <x:c r="AF409" s="43"/>
      <x:c r="AG409" s="43"/>
      <x:c r="AH409" s="43"/>
      <x:c r="AI409" s="43"/>
      <x:c r="AJ409" s="43"/>
      <x:c r="AK409" s="43"/>
      <x:c r="AL409" s="43"/>
      <x:c r="AM409" s="43"/>
      <x:c r="AN409" s="43"/>
      <x:c r="AO409" s="43"/>
      <x:c r="AP409" s="43"/>
    </x:row>
    <x:row r="410" ht="15" hidden="0" customHeight="1">
      <x:c r="A410" s="36" t="str">
        <x:v>EW Waste Matrix!row 177</x:v>
      </x:c>
      <x:c r="B410" s="37" t="str">
        <x:v>Lexa AI - GCR Legal Review &amp; Compliance Assistant</x:v>
      </x:c>
      <x:c r="C410" s="36" t="str">
        <x:v>Legal​</x:v>
      </x:c>
      <x:c r="D410" s="36" t="n">
        <x:v>1.15</x:v>
      </x:c>
      <x:c r="E410" s="36" t="str">
        <x:v>HEALTHY</x:v>
      </x:c>
      <x:c r="F410" s="36" t="str"/>
      <x:c r="G410" s="36" t="str"/>
      <x:c r="H410" s="36" t="str"/>
      <x:c r="I410" s="36" t="str"/>
      <x:c r="J410" s="36" t="str"/>
      <x:c r="K410" s="36"/>
      <x:c r="L410" s="36" t="str"/>
      <x:c r="M410" s="36" t="str">
        <x:v>HEALTHY — Rank in priority matrix</x:v>
      </x:c>
      <x:c r="N410" s="36" t="str"/>
      <x:c r="O410" s="43"/>
      <x:c r="P410" s="43"/>
      <x:c r="Q410" s="43"/>
      <x:c r="R410" s="43"/>
      <x:c r="S410" s="43"/>
      <x:c r="T410" s="43"/>
      <x:c r="U410" s="43"/>
      <x:c r="V410" s="43"/>
      <x:c r="W410" s="43"/>
      <x:c r="X410" s="43"/>
      <x:c r="Y410" s="43"/>
      <x:c r="Z410" s="43"/>
      <x:c r="AA410" s="43"/>
      <x:c r="AB410" s="43"/>
      <x:c r="AC410" s="43"/>
      <x:c r="AD410" s="43"/>
      <x:c r="AE410" s="43"/>
      <x:c r="AF410" s="43"/>
      <x:c r="AG410" s="43"/>
      <x:c r="AH410" s="43"/>
      <x:c r="AI410" s="43"/>
      <x:c r="AJ410" s="43"/>
      <x:c r="AK410" s="43"/>
      <x:c r="AL410" s="43"/>
      <x:c r="AM410" s="43"/>
      <x:c r="AN410" s="43"/>
      <x:c r="AO410" s="43"/>
      <x:c r="AP410" s="43"/>
    </x:row>
    <x:row r="411" ht="36" hidden="0" customHeight="1">
      <x:c r="A411" s="36" t="str">
        <x:v>EW Waste Matrix!row 178</x:v>
      </x:c>
      <x:c r="B411" s="37" t="str">
        <x:v>Multiple GCR Application Enhancement (VAT Mainland, VAT Taiwan, VAT Hongkong, e-Invoice, T&amp;E company billing, EHS Lone woker, USB DLP for IP protection etc.)</x:v>
      </x:c>
      <x:c r="C411" s="36" t="str">
        <x:v>Greater China </x:v>
      </x:c>
      <x:c r="D411" s="36" t="n">
        <x:v>1.5</x:v>
      </x:c>
      <x:c r="E411" s="36" t="str">
        <x:v>HEALTHY</x:v>
      </x:c>
      <x:c r="F411" s="36" t="str">
        <x:v>YES</x:v>
      </x:c>
      <x:c r="G411" s="36" t="str">
        <x:v>5 — Exactly the minimum — only what's needed to meet the rule, nothing more.</x:v>
      </x:c>
      <x:c r="H411" s="36" t="str">
        <x:v>5 — Severe — criminal liability, loss of a licence, a product or market withdrawal, or a patient-safety / major data-breach exposure.</x:v>
      </x:c>
      <x:c r="I411" s="36" t="str">
        <x:v>3 — Possible — there's general enforcement in this area and periodic audits.</x:v>
      </x:c>
      <x:c r="J411" s="36" t="str">
        <x:v>3 — Between six months and a year away.</x:v>
      </x:c>
      <x:c r="K411" s="36" t="n">
        <x:v>15</x:v>
      </x:c>
      <x:c r="L411" s="36" t="str">
        <x:v>P1 — Immediate</x:v>
      </x:c>
      <x:c r="M411" s="36" t="str">
        <x:v>HEALTHY / MUST-DO — P1 — Immediate</x:v>
      </x:c>
      <x:c r="N411" s="36" t="str"/>
      <x:c r="O411" s="43"/>
      <x:c r="P411" s="43"/>
      <x:c r="Q411" s="43"/>
      <x:c r="R411" s="43"/>
      <x:c r="S411" s="43"/>
      <x:c r="T411" s="43"/>
      <x:c r="U411" s="43"/>
      <x:c r="V411" s="43"/>
      <x:c r="W411" s="43"/>
      <x:c r="X411" s="43"/>
      <x:c r="Y411" s="43"/>
      <x:c r="Z411" s="43"/>
      <x:c r="AA411" s="43"/>
      <x:c r="AB411" s="43"/>
      <x:c r="AC411" s="43"/>
      <x:c r="AD411" s="43"/>
      <x:c r="AE411" s="43"/>
      <x:c r="AF411" s="43"/>
      <x:c r="AG411" s="43"/>
      <x:c r="AH411" s="43"/>
      <x:c r="AI411" s="43"/>
      <x:c r="AJ411" s="43"/>
      <x:c r="AK411" s="43"/>
      <x:c r="AL411" s="43"/>
      <x:c r="AM411" s="43"/>
      <x:c r="AN411" s="43"/>
      <x:c r="AO411" s="43"/>
      <x:c r="AP411" s="43"/>
    </x:row>
    <x:row r="412" ht="24" hidden="0" customHeight="1">
      <x:c r="A412" s="36" t="str">
        <x:v>EW Waste Matrix!row 179</x:v>
      </x:c>
      <x:c r="B412" s="37" t="str">
        <x:v>WeComm implementation &amp; AI analysis (official wechat platform to derisk IP leakage and security violation) for GCR</x:v>
      </x:c>
      <x:c r="C412" s="36" t="str">
        <x:v>Group Security​</x:v>
      </x:c>
      <x:c r="D412" s="36"/>
      <x:c r="E412" s="36" t="str"/>
      <x:c r="F412" s="36" t="str"/>
      <x:c r="G412" s="36" t="str"/>
      <x:c r="H412" s="36" t="str"/>
      <x:c r="I412" s="36" t="str"/>
      <x:c r="J412" s="36" t="str"/>
      <x:c r="K412" s="36"/>
      <x:c r="L412" s="36" t="str"/>
      <x:c r="M412" s="36" t="str"/>
      <x:c r="N412" s="36" t="str"/>
      <x:c r="O412" s="43"/>
      <x:c r="P412" s="43"/>
      <x:c r="Q412" s="43"/>
      <x:c r="R412" s="43"/>
      <x:c r="S412" s="43"/>
      <x:c r="T412" s="43"/>
      <x:c r="U412" s="43"/>
      <x:c r="V412" s="43"/>
      <x:c r="W412" s="43"/>
      <x:c r="X412" s="43"/>
      <x:c r="Y412" s="43"/>
      <x:c r="Z412" s="43"/>
      <x:c r="AA412" s="43"/>
      <x:c r="AB412" s="43"/>
      <x:c r="AC412" s="43"/>
      <x:c r="AD412" s="43"/>
      <x:c r="AE412" s="43"/>
      <x:c r="AF412" s="43"/>
      <x:c r="AG412" s="43"/>
      <x:c r="AH412" s="43"/>
      <x:c r="AI412" s="43"/>
      <x:c r="AJ412" s="43"/>
      <x:c r="AK412" s="43"/>
      <x:c r="AL412" s="43"/>
      <x:c r="AM412" s="43"/>
      <x:c r="AN412" s="43"/>
      <x:c r="AO412" s="43"/>
      <x:c r="AP412" s="43"/>
    </x:row>
    <x:row r="413" ht="15" hidden="0" customHeight="1">
      <x:c r="A413" s="36" t="str">
        <x:v>EW Waste Matrix!row 180</x:v>
      </x:c>
      <x:c r="B413" s="37" t="str">
        <x:v>Veeva-Seismic-PAL Integration API upgrade</x:v>
      </x:c>
      <x:c r="C413" s="36" t="str"/>
      <x:c r="D413" s="36" t="n">
        <x:v>1.05</x:v>
      </x:c>
      <x:c r="E413" s="36" t="str">
        <x:v>HEALTHY</x:v>
      </x:c>
      <x:c r="F413" s="36" t="str"/>
      <x:c r="G413" s="36" t="str"/>
      <x:c r="H413" s="36" t="str"/>
      <x:c r="I413" s="36" t="str"/>
      <x:c r="J413" s="36" t="str"/>
      <x:c r="K413" s="36"/>
      <x:c r="L413" s="36" t="str"/>
      <x:c r="M413" s="36" t="str">
        <x:v>HEALTHY — Rank in priority matrix</x:v>
      </x:c>
      <x:c r="N413" s="36" t="str"/>
      <x:c r="O413" s="43"/>
      <x:c r="P413" s="43"/>
      <x:c r="Q413" s="43"/>
      <x:c r="R413" s="43"/>
      <x:c r="S413" s="43"/>
      <x:c r="T413" s="43"/>
      <x:c r="U413" s="43"/>
      <x:c r="V413" s="43"/>
      <x:c r="W413" s="43"/>
      <x:c r="X413" s="43"/>
      <x:c r="Y413" s="43"/>
      <x:c r="Z413" s="43"/>
      <x:c r="AA413" s="43"/>
      <x:c r="AB413" s="43"/>
      <x:c r="AC413" s="43"/>
      <x:c r="AD413" s="43"/>
      <x:c r="AE413" s="43"/>
      <x:c r="AF413" s="43"/>
      <x:c r="AG413" s="43"/>
      <x:c r="AH413" s="43"/>
      <x:c r="AI413" s="43"/>
      <x:c r="AJ413" s="43"/>
      <x:c r="AK413" s="43"/>
      <x:c r="AL413" s="43"/>
      <x:c r="AM413" s="43"/>
      <x:c r="AN413" s="43"/>
      <x:c r="AO413" s="43"/>
      <x:c r="AP413" s="43"/>
    </x:row>
    <x:row r="414" ht="15" hidden="0" customHeight="1">
      <x:c r="A414" s="36" t="str">
        <x:v>EW Waste Matrix!row 181</x:v>
      </x:c>
      <x:c r="B414" s="37" t="str">
        <x:v>Standardization</x:v>
      </x:c>
      <x:c r="C414" s="36" t="str">
        <x:v>People function​</x:v>
      </x:c>
      <x:c r="D414" s="36" t="n">
        <x:v>1.35</x:v>
      </x:c>
      <x:c r="E414" s="36" t="str">
        <x:v>HEALTHY</x:v>
      </x:c>
      <x:c r="F414" s="36" t="str"/>
      <x:c r="G414" s="36" t="str"/>
      <x:c r="H414" s="36" t="str"/>
      <x:c r="I414" s="36" t="str"/>
      <x:c r="J414" s="36" t="str"/>
      <x:c r="K414" s="36"/>
      <x:c r="L414" s="36" t="str"/>
      <x:c r="M414" s="36" t="str">
        <x:v>HEALTHY — Rank in priority matrix</x:v>
      </x:c>
      <x:c r="N414" s="36" t="str"/>
      <x:c r="O414" s="43"/>
      <x:c r="P414" s="43"/>
      <x:c r="Q414" s="43"/>
      <x:c r="R414" s="43"/>
      <x:c r="S414" s="43"/>
      <x:c r="T414" s="43"/>
      <x:c r="U414" s="43"/>
      <x:c r="V414" s="43"/>
      <x:c r="W414" s="43"/>
      <x:c r="X414" s="43"/>
      <x:c r="Y414" s="43"/>
      <x:c r="Z414" s="43"/>
      <x:c r="AA414" s="43"/>
      <x:c r="AB414" s="43"/>
      <x:c r="AC414" s="43"/>
      <x:c r="AD414" s="43"/>
      <x:c r="AE414" s="43"/>
      <x:c r="AF414" s="43"/>
      <x:c r="AG414" s="43"/>
      <x:c r="AH414" s="43"/>
      <x:c r="AI414" s="43"/>
      <x:c r="AJ414" s="43"/>
      <x:c r="AK414" s="43"/>
      <x:c r="AL414" s="43"/>
      <x:c r="AM414" s="43"/>
      <x:c r="AN414" s="43"/>
      <x:c r="AO414" s="43"/>
      <x:c r="AP414" s="43"/>
    </x:row>
    <x:row r="415" ht="15" hidden="0" customHeight="1">
      <x:c r="A415" s="36" t="str">
        <x:v>EW Waste Matrix!row 182</x:v>
      </x:c>
      <x:c r="B415" s="37" t="str">
        <x:v>People data architechture &amp; AI solutions enablement</x:v>
      </x:c>
      <x:c r="C415" s="36" t="str">
        <x:v>People function​</x:v>
      </x:c>
      <x:c r="D415" s="36" t="n">
        <x:v>1.35</x:v>
      </x:c>
      <x:c r="E415" s="36" t="str">
        <x:v>HEALTHY</x:v>
      </x:c>
      <x:c r="F415" s="36" t="str"/>
      <x:c r="G415" s="36" t="str"/>
      <x:c r="H415" s="36" t="str"/>
      <x:c r="I415" s="36" t="str"/>
      <x:c r="J415" s="36" t="str"/>
      <x:c r="K415" s="36"/>
      <x:c r="L415" s="36" t="str"/>
      <x:c r="M415" s="36" t="str">
        <x:v>HEALTHY — Rank in priority matrix</x:v>
      </x:c>
      <x:c r="N415" s="36" t="str"/>
      <x:c r="O415" s="43"/>
      <x:c r="P415" s="43"/>
      <x:c r="Q415" s="43"/>
      <x:c r="R415" s="43"/>
      <x:c r="S415" s="43"/>
      <x:c r="T415" s="43"/>
      <x:c r="U415" s="43"/>
      <x:c r="V415" s="43"/>
      <x:c r="W415" s="43"/>
      <x:c r="X415" s="43"/>
      <x:c r="Y415" s="43"/>
      <x:c r="Z415" s="43"/>
      <x:c r="AA415" s="43"/>
      <x:c r="AB415" s="43"/>
      <x:c r="AC415" s="43"/>
      <x:c r="AD415" s="43"/>
      <x:c r="AE415" s="43"/>
      <x:c r="AF415" s="43"/>
      <x:c r="AG415" s="43"/>
      <x:c r="AH415" s="43"/>
      <x:c r="AI415" s="43"/>
      <x:c r="AJ415" s="43"/>
      <x:c r="AK415" s="43"/>
      <x:c r="AL415" s="43"/>
      <x:c r="AM415" s="43"/>
      <x:c r="AN415" s="43"/>
      <x:c r="AO415" s="43"/>
      <x:c r="AP415" s="43"/>
    </x:row>
    <x:row r="416" ht="15" hidden="0" customHeight="1">
      <x:c r="A416" s="36" t="str">
        <x:v>EW Waste Matrix!row 183</x:v>
      </x:c>
      <x:c r="B416" s="37" t="str">
        <x:v>Long term incentive</x:v>
      </x:c>
      <x:c r="C416" s="36" t="str">
        <x:v>People function​</x:v>
      </x:c>
      <x:c r="D416" s="36" t="n">
        <x:v>2.2</x:v>
      </x:c>
      <x:c r="E416" s="36" t="str">
        <x:v>CONTAIN</x:v>
      </x:c>
      <x:c r="F416" s="36" t="str"/>
      <x:c r="G416" s="36" t="str"/>
      <x:c r="H416" s="36" t="str"/>
      <x:c r="I416" s="36" t="str"/>
      <x:c r="J416" s="36" t="str"/>
      <x:c r="K416" s="36"/>
      <x:c r="L416" s="36" t="str"/>
      <x:c r="M416" s="36" t="str">
        <x:v>CONTAIN — Conditions</x:v>
      </x:c>
      <x:c r="N416" s="36" t="str"/>
      <x:c r="O416" s="43"/>
      <x:c r="P416" s="43"/>
      <x:c r="Q416" s="43"/>
      <x:c r="R416" s="43"/>
      <x:c r="S416" s="43"/>
      <x:c r="T416" s="43"/>
      <x:c r="U416" s="43"/>
      <x:c r="V416" s="43"/>
      <x:c r="W416" s="43"/>
      <x:c r="X416" s="43"/>
      <x:c r="Y416" s="43"/>
      <x:c r="Z416" s="43"/>
      <x:c r="AA416" s="43"/>
      <x:c r="AB416" s="43"/>
      <x:c r="AC416" s="43"/>
      <x:c r="AD416" s="43"/>
      <x:c r="AE416" s="43"/>
      <x:c r="AF416" s="43"/>
      <x:c r="AG416" s="43"/>
      <x:c r="AH416" s="43"/>
      <x:c r="AI416" s="43"/>
      <x:c r="AJ416" s="43"/>
      <x:c r="AK416" s="43"/>
      <x:c r="AL416" s="43"/>
      <x:c r="AM416" s="43"/>
      <x:c r="AN416" s="43"/>
      <x:c r="AO416" s="43"/>
      <x:c r="AP416" s="43"/>
    </x:row>
    <x:row r="417" ht="15" hidden="0" customHeight="1">
      <x:c r="A417" s="36" t="str">
        <x:v>EW Waste Matrix!row 184</x:v>
      </x:c>
      <x:c r="B417" s="37" t="str">
        <x:v>Critical Capabilities</x:v>
      </x:c>
      <x:c r="C417" s="36" t="str">
        <x:v>People function​</x:v>
      </x:c>
      <x:c r="D417" s="36" t="n">
        <x:v>1.75</x:v>
      </x:c>
      <x:c r="E417" s="36" t="str">
        <x:v>HEALTHY</x:v>
      </x:c>
      <x:c r="F417" s="36" t="str"/>
      <x:c r="G417" s="36" t="str"/>
      <x:c r="H417" s="36" t="str"/>
      <x:c r="I417" s="36" t="str"/>
      <x:c r="J417" s="36" t="str"/>
      <x:c r="K417" s="36"/>
      <x:c r="L417" s="36" t="str"/>
      <x:c r="M417" s="36" t="str">
        <x:v>HEALTHY — Rank in priority matrix</x:v>
      </x:c>
      <x:c r="N417" s="36" t="str"/>
      <x:c r="O417" s="43"/>
      <x:c r="P417" s="43"/>
      <x:c r="Q417" s="43"/>
      <x:c r="R417" s="43"/>
      <x:c r="S417" s="43"/>
      <x:c r="T417" s="43"/>
      <x:c r="U417" s="43"/>
      <x:c r="V417" s="43"/>
      <x:c r="W417" s="43"/>
      <x:c r="X417" s="43"/>
      <x:c r="Y417" s="43"/>
      <x:c r="Z417" s="43"/>
      <x:c r="AA417" s="43"/>
      <x:c r="AB417" s="43"/>
      <x:c r="AC417" s="43"/>
      <x:c r="AD417" s="43"/>
      <x:c r="AE417" s="43"/>
      <x:c r="AF417" s="43"/>
      <x:c r="AG417" s="43"/>
      <x:c r="AH417" s="43"/>
      <x:c r="AI417" s="43"/>
      <x:c r="AJ417" s="43"/>
      <x:c r="AK417" s="43"/>
      <x:c r="AL417" s="43"/>
      <x:c r="AM417" s="43"/>
      <x:c r="AN417" s="43"/>
      <x:c r="AO417" s="43"/>
      <x:c r="AP417" s="43"/>
    </x:row>
    <x:row r="418" ht="15" hidden="0" customHeight="1">
      <x:c r="A418" s="36" t="str">
        <x:v>EW Waste Matrix!row 185</x:v>
      </x:c>
      <x:c r="B418" s="37" t="str">
        <x:v>Learning architecture</x:v>
      </x:c>
      <x:c r="C418" s="36" t="str">
        <x:v>People function​</x:v>
      </x:c>
      <x:c r="D418" s="36" t="n">
        <x:v>1.55</x:v>
      </x:c>
      <x:c r="E418" s="36" t="str">
        <x:v>HEALTHY</x:v>
      </x:c>
      <x:c r="F418" s="36" t="str"/>
      <x:c r="G418" s="36" t="str"/>
      <x:c r="H418" s="36" t="str"/>
      <x:c r="I418" s="36" t="str"/>
      <x:c r="J418" s="36" t="str"/>
      <x:c r="K418" s="36"/>
      <x:c r="L418" s="36" t="str"/>
      <x:c r="M418" s="36" t="str">
        <x:v>HEALTHY — Rank in priority matrix</x:v>
      </x:c>
      <x:c r="N418" s="36" t="str"/>
      <x:c r="O418" s="43"/>
      <x:c r="P418" s="43"/>
      <x:c r="Q418" s="43"/>
      <x:c r="R418" s="43"/>
      <x:c r="S418" s="43"/>
      <x:c r="T418" s="43"/>
      <x:c r="U418" s="43"/>
      <x:c r="V418" s="43"/>
      <x:c r="W418" s="43"/>
      <x:c r="X418" s="43"/>
      <x:c r="Y418" s="43"/>
      <x:c r="Z418" s="43"/>
      <x:c r="AA418" s="43"/>
      <x:c r="AB418" s="43"/>
      <x:c r="AC418" s="43"/>
      <x:c r="AD418" s="43"/>
      <x:c r="AE418" s="43"/>
      <x:c r="AF418" s="43"/>
      <x:c r="AG418" s="43"/>
      <x:c r="AH418" s="43"/>
      <x:c r="AI418" s="43"/>
      <x:c r="AJ418" s="43"/>
      <x:c r="AK418" s="43"/>
      <x:c r="AL418" s="43"/>
      <x:c r="AM418" s="43"/>
      <x:c r="AN418" s="43"/>
      <x:c r="AO418" s="43"/>
      <x:c r="AP418" s="43"/>
    </x:row>
    <x:row r="419" ht="15" hidden="0" customHeight="1">
      <x:c r="A419" s="36" t="str">
        <x:v>EW Waste Matrix!row 186</x:v>
      </x:c>
      <x:c r="B419" s="37" t="str">
        <x:v>Global Intranet &amp; Sharepoint</x:v>
      </x:c>
      <x:c r="C419" s="36" t="str">
        <x:v>Communications &amp; Brand</x:v>
      </x:c>
      <x:c r="D419" s="36" t="n">
        <x:v>1.05</x:v>
      </x:c>
      <x:c r="E419" s="36" t="str">
        <x:v>HEALTHY</x:v>
      </x:c>
      <x:c r="F419" s="36" t="str"/>
      <x:c r="G419" s="36" t="str"/>
      <x:c r="H419" s="36" t="str"/>
      <x:c r="I419" s="36" t="str"/>
      <x:c r="J419" s="36" t="str"/>
      <x:c r="K419" s="36"/>
      <x:c r="L419" s="36" t="str"/>
      <x:c r="M419" s="36" t="str">
        <x:v>HEALTHY — Rank in priority matrix</x:v>
      </x:c>
      <x:c r="N419" s="36" t="str"/>
      <x:c r="O419" s="43"/>
      <x:c r="P419" s="43"/>
      <x:c r="Q419" s="43"/>
      <x:c r="R419" s="43"/>
      <x:c r="S419" s="43"/>
      <x:c r="T419" s="43"/>
      <x:c r="U419" s="43"/>
      <x:c r="V419" s="43"/>
      <x:c r="W419" s="43"/>
      <x:c r="X419" s="43"/>
      <x:c r="Y419" s="43"/>
      <x:c r="Z419" s="43"/>
      <x:c r="AA419" s="43"/>
      <x:c r="AB419" s="43"/>
      <x:c r="AC419" s="43"/>
      <x:c r="AD419" s="43"/>
      <x:c r="AE419" s="43"/>
      <x:c r="AF419" s="43"/>
      <x:c r="AG419" s="43"/>
      <x:c r="AH419" s="43"/>
      <x:c r="AI419" s="43"/>
      <x:c r="AJ419" s="43"/>
      <x:c r="AK419" s="43"/>
      <x:c r="AL419" s="43"/>
      <x:c r="AM419" s="43"/>
      <x:c r="AN419" s="43"/>
      <x:c r="AO419" s="43"/>
      <x:c r="AP419" s="43"/>
    </x:row>
    <x:row r="420" ht="24" hidden="0" customHeight="1">
      <x:c r="A420" s="36" t="str">
        <x:v>EW Waste Matrix!row 187</x:v>
      </x:c>
      <x:c r="B420" s="37" t="str">
        <x:v>Corporate website (Investors, Legal &amp; Regulatory pages, ExCo pages, News, Museum, Foundation etc.)</x:v>
      </x:c>
      <x:c r="C420" s="36" t="str">
        <x:v>Communications &amp; Brand</x:v>
      </x:c>
      <x:c r="D420" s="36" t="n">
        <x:v>1.05</x:v>
      </x:c>
      <x:c r="E420" s="36" t="str">
        <x:v>HEALTHY</x:v>
      </x:c>
      <x:c r="F420" s="36" t="str"/>
      <x:c r="G420" s="36" t="str"/>
      <x:c r="H420" s="36" t="str"/>
      <x:c r="I420" s="36" t="str"/>
      <x:c r="J420" s="36" t="str"/>
      <x:c r="K420" s="36"/>
      <x:c r="L420" s="36" t="str"/>
      <x:c r="M420" s="36" t="str">
        <x:v>HEALTHY — Rank in priority matrix</x:v>
      </x:c>
      <x:c r="N420" s="36" t="str"/>
      <x:c r="O420" s="43"/>
      <x:c r="P420" s="43"/>
      <x:c r="Q420" s="43"/>
      <x:c r="R420" s="43"/>
      <x:c r="S420" s="43"/>
      <x:c r="T420" s="43"/>
      <x:c r="U420" s="43"/>
      <x:c r="V420" s="43"/>
      <x:c r="W420" s="43"/>
      <x:c r="X420" s="43"/>
      <x:c r="Y420" s="43"/>
      <x:c r="Z420" s="43"/>
      <x:c r="AA420" s="43"/>
      <x:c r="AB420" s="43"/>
      <x:c r="AC420" s="43"/>
      <x:c r="AD420" s="43"/>
      <x:c r="AE420" s="43"/>
      <x:c r="AF420" s="43"/>
      <x:c r="AG420" s="43"/>
      <x:c r="AH420" s="43"/>
      <x:c r="AI420" s="43"/>
      <x:c r="AJ420" s="43"/>
      <x:c r="AK420" s="43"/>
      <x:c r="AL420" s="43"/>
      <x:c r="AM420" s="43"/>
      <x:c r="AN420" s="43"/>
      <x:c r="AO420" s="43"/>
      <x:c r="AP420" s="43"/>
    </x:row>
    <x:row r="421" ht="15" hidden="0" customHeight="1">
      <x:c r="A421" s="36" t="str">
        <x:v>EW Waste Matrix!row 188</x:v>
      </x:c>
      <x:c r="B421" s="37" t="str">
        <x:v>Results hub replatforming (Quarterly and annual financial reporting)</x:v>
      </x:c>
      <x:c r="C421" s="36" t="str">
        <x:v>Communications &amp; Brand</x:v>
      </x:c>
      <x:c r="D421" s="36" t="n">
        <x:v>1</x:v>
      </x:c>
      <x:c r="E421" s="36" t="str">
        <x:v>HEALTHY</x:v>
      </x:c>
      <x:c r="F421" s="36" t="str"/>
      <x:c r="G421" s="36" t="str"/>
      <x:c r="H421" s="36" t="str"/>
      <x:c r="I421" s="36" t="str"/>
      <x:c r="J421" s="36" t="str"/>
      <x:c r="K421" s="36"/>
      <x:c r="L421" s="36" t="str"/>
      <x:c r="M421" s="36" t="str">
        <x:v>HEALTHY — Rank in priority matrix</x:v>
      </x:c>
      <x:c r="N421" s="36" t="str"/>
      <x:c r="O421" s="43"/>
      <x:c r="P421" s="43"/>
      <x:c r="Q421" s="43"/>
      <x:c r="R421" s="43"/>
      <x:c r="S421" s="43"/>
      <x:c r="T421" s="43"/>
      <x:c r="U421" s="43"/>
      <x:c r="V421" s="43"/>
      <x:c r="W421" s="43"/>
      <x:c r="X421" s="43"/>
      <x:c r="Y421" s="43"/>
      <x:c r="Z421" s="43"/>
      <x:c r="AA421" s="43"/>
      <x:c r="AB421" s="43"/>
      <x:c r="AC421" s="43"/>
      <x:c r="AD421" s="43"/>
      <x:c r="AE421" s="43"/>
      <x:c r="AF421" s="43"/>
      <x:c r="AG421" s="43"/>
      <x:c r="AH421" s="43"/>
      <x:c r="AI421" s="43"/>
      <x:c r="AJ421" s="43"/>
      <x:c r="AK421" s="43"/>
      <x:c r="AL421" s="43"/>
      <x:c r="AM421" s="43"/>
      <x:c r="AN421" s="43"/>
      <x:c r="AO421" s="43"/>
      <x:c r="AP421" s="43"/>
    </x:row>
    <x:row r="422" ht="24" hidden="0" customHeight="1">
      <x:c r="A422" s="36" t="str">
        <x:v>EW Waste Matrix!row 189</x:v>
      </x:c>
      <x:c r="B422" s="37" t="str">
        <x:v>Extending Artifactory footprint &amp; offering to support SDLC and SDLC Security at scale</x:v>
      </x:c>
      <x:c r="C422" s="36" t="str">
        <x:v>Group Security​</x:v>
      </x:c>
      <x:c r="D422" s="36" t="n">
        <x:v>1</x:v>
      </x:c>
      <x:c r="E422" s="36" t="str">
        <x:v>HEALTHY</x:v>
      </x:c>
      <x:c r="F422" s="36" t="str"/>
      <x:c r="G422" s="36" t="str"/>
      <x:c r="H422" s="36" t="str"/>
      <x:c r="I422" s="36" t="str"/>
      <x:c r="J422" s="36" t="str"/>
      <x:c r="K422" s="36"/>
      <x:c r="L422" s="36" t="str"/>
      <x:c r="M422" s="36" t="str">
        <x:v>HEALTHY — Rank in priority matrix</x:v>
      </x:c>
      <x:c r="N422" s="36" t="str"/>
      <x:c r="O422" s="43"/>
      <x:c r="P422" s="43"/>
      <x:c r="Q422" s="43"/>
      <x:c r="R422" s="43"/>
      <x:c r="S422" s="43"/>
      <x:c r="T422" s="43"/>
      <x:c r="U422" s="43"/>
      <x:c r="V422" s="43"/>
      <x:c r="W422" s="43"/>
      <x:c r="X422" s="43"/>
      <x:c r="Y422" s="43"/>
      <x:c r="Z422" s="43"/>
      <x:c r="AA422" s="43"/>
      <x:c r="AB422" s="43"/>
      <x:c r="AC422" s="43"/>
      <x:c r="AD422" s="43"/>
      <x:c r="AE422" s="43"/>
      <x:c r="AF422" s="43"/>
      <x:c r="AG422" s="43"/>
      <x:c r="AH422" s="43"/>
      <x:c r="AI422" s="43"/>
      <x:c r="AJ422" s="43"/>
      <x:c r="AK422" s="43"/>
      <x:c r="AL422" s="43"/>
      <x:c r="AM422" s="43"/>
      <x:c r="AN422" s="43"/>
      <x:c r="AO422" s="43"/>
      <x:c r="AP422" s="43"/>
    </x:row>
    <x:row r="423" ht="15" hidden="0" customHeight="1">
      <x:c r="A423" s="36" t="str">
        <x:v>EW Waste Matrix!row 190</x:v>
      </x:c>
      <x:c r="B423" s="37" t="str">
        <x:v>GALA refactoring</x:v>
      </x:c>
      <x:c r="C423" s="36" t="str">
        <x:v>Intellectual Property &amp; Standards (IP&amp;S)​</x:v>
      </x:c>
      <x:c r="D423" s="36" t="n">
        <x:v>1</x:v>
      </x:c>
      <x:c r="E423" s="36" t="str">
        <x:v>HEALTHY</x:v>
      </x:c>
      <x:c r="F423" s="36" t="str"/>
      <x:c r="G423" s="36" t="str"/>
      <x:c r="H423" s="36" t="str"/>
      <x:c r="I423" s="36" t="str"/>
      <x:c r="J423" s="36" t="str"/>
      <x:c r="K423" s="36"/>
      <x:c r="L423" s="36" t="str"/>
      <x:c r="M423" s="36" t="str">
        <x:v>HEALTHY — Rank in priority matrix</x:v>
      </x:c>
      <x:c r="N423" s="36" t="str"/>
      <x:c r="O423" s="43"/>
      <x:c r="P423" s="43"/>
      <x:c r="Q423" s="43"/>
      <x:c r="R423" s="43"/>
      <x:c r="S423" s="43"/>
      <x:c r="T423" s="43"/>
      <x:c r="U423" s="43"/>
      <x:c r="V423" s="43"/>
      <x:c r="W423" s="43"/>
      <x:c r="X423" s="43"/>
      <x:c r="Y423" s="43"/>
      <x:c r="Z423" s="43"/>
      <x:c r="AA423" s="43"/>
      <x:c r="AB423" s="43"/>
      <x:c r="AC423" s="43"/>
      <x:c r="AD423" s="43"/>
      <x:c r="AE423" s="43"/>
      <x:c r="AF423" s="43"/>
      <x:c r="AG423" s="43"/>
      <x:c r="AH423" s="43"/>
      <x:c r="AI423" s="43"/>
      <x:c r="AJ423" s="43"/>
      <x:c r="AK423" s="43"/>
      <x:c r="AL423" s="43"/>
      <x:c r="AM423" s="43"/>
      <x:c r="AN423" s="43"/>
      <x:c r="AO423" s="43"/>
      <x:c r="AP423" s="43"/>
    </x:row>
    <x:row r="424" ht="15" hidden="0" customHeight="1">
      <x:c r="A424" s="36" t="str">
        <x:v>EW Waste Matrix!row 191</x:v>
      </x:c>
      <x:c r="B424" s="37" t="str">
        <x:v>ISC - Hardware Refresh 3 Sites</x:v>
      </x:c>
      <x:c r="C424" s="36" t="str">
        <x:v>Information Technology ​</x:v>
      </x:c>
      <x:c r="D424" s="36" t="n">
        <x:v>1.55</x:v>
      </x:c>
      <x:c r="E424" s="36" t="str">
        <x:v>HEALTHY</x:v>
      </x:c>
      <x:c r="F424" s="36" t="str"/>
      <x:c r="G424" s="36" t="str"/>
      <x:c r="H424" s="36" t="str"/>
      <x:c r="I424" s="36" t="str"/>
      <x:c r="J424" s="36" t="str"/>
      <x:c r="K424" s="36"/>
      <x:c r="L424" s="36" t="str"/>
      <x:c r="M424" s="36" t="str">
        <x:v>HEALTHY — Rank in priority matrix</x:v>
      </x:c>
      <x:c r="N424" s="36" t="str"/>
      <x:c r="O424" s="43"/>
      <x:c r="P424" s="43"/>
      <x:c r="Q424" s="43"/>
      <x:c r="R424" s="43"/>
      <x:c r="S424" s="43"/>
      <x:c r="T424" s="43"/>
      <x:c r="U424" s="43"/>
      <x:c r="V424" s="43"/>
      <x:c r="W424" s="43"/>
      <x:c r="X424" s="43"/>
      <x:c r="Y424" s="43"/>
      <x:c r="Z424" s="43"/>
      <x:c r="AA424" s="43"/>
      <x:c r="AB424" s="43"/>
      <x:c r="AC424" s="43"/>
      <x:c r="AD424" s="43"/>
      <x:c r="AE424" s="43"/>
      <x:c r="AF424" s="43"/>
      <x:c r="AG424" s="43"/>
      <x:c r="AH424" s="43"/>
      <x:c r="AI424" s="43"/>
      <x:c r="AJ424" s="43"/>
      <x:c r="AK424" s="43"/>
      <x:c r="AL424" s="43"/>
      <x:c r="AM424" s="43"/>
      <x:c r="AN424" s="43"/>
      <x:c r="AO424" s="43"/>
      <x:c r="AP424" s="43"/>
    </x:row>
    <x:row r="425" ht="15" hidden="0" customHeight="1">
      <x:c r="A425" s="36" t="str">
        <x:v>EW Waste Matrix!row 192</x:v>
      </x:c>
      <x:c r="B425" s="37" t="str">
        <x:v>ISC - Stable MES</x:v>
      </x:c>
      <x:c r="C425" s="36" t="str">
        <x:v>Information Technology ​</x:v>
      </x:c>
      <x:c r="D425" s="36" t="n">
        <x:v>2.25</x:v>
      </x:c>
      <x:c r="E425" s="36" t="str">
        <x:v>CONTAIN</x:v>
      </x:c>
      <x:c r="F425" s="36" t="str"/>
      <x:c r="G425" s="36" t="str"/>
      <x:c r="H425" s="36" t="str"/>
      <x:c r="I425" s="36" t="str"/>
      <x:c r="J425" s="36" t="str"/>
      <x:c r="K425" s="36"/>
      <x:c r="L425" s="36" t="str"/>
      <x:c r="M425" s="36" t="str">
        <x:v>CONTAIN — Conditions</x:v>
      </x:c>
      <x:c r="N425" s="36" t="str"/>
      <x:c r="O425" s="43"/>
      <x:c r="P425" s="43"/>
      <x:c r="Q425" s="43"/>
      <x:c r="R425" s="43"/>
      <x:c r="S425" s="43"/>
      <x:c r="T425" s="43"/>
      <x:c r="U425" s="43"/>
      <x:c r="V425" s="43"/>
      <x:c r="W425" s="43"/>
      <x:c r="X425" s="43"/>
      <x:c r="Y425" s="43"/>
      <x:c r="Z425" s="43"/>
      <x:c r="AA425" s="43"/>
      <x:c r="AB425" s="43"/>
      <x:c r="AC425" s="43"/>
      <x:c r="AD425" s="43"/>
      <x:c r="AE425" s="43"/>
      <x:c r="AF425" s="43"/>
      <x:c r="AG425" s="43"/>
      <x:c r="AH425" s="43"/>
      <x:c r="AI425" s="43"/>
      <x:c r="AJ425" s="43"/>
      <x:c r="AK425" s="43"/>
      <x:c r="AL425" s="43"/>
      <x:c r="AM425" s="43"/>
      <x:c r="AN425" s="43"/>
      <x:c r="AO425" s="43"/>
      <x:c r="AP425" s="43"/>
    </x:row>
    <x:row r="426" ht="15" hidden="0" customHeight="1">
      <x:c r="A426" s="36" t="str">
        <x:v>EW Waste Matrix!row 193</x:v>
      </x:c>
      <x:c r="B426" s="37" t="str">
        <x:v>Future State Product Configuration Platform</x:v>
      </x:c>
      <x:c r="C426" s="36" t="str">
        <x:v>Information Technology ​</x:v>
      </x:c>
      <x:c r="D426" s="36"/>
      <x:c r="E426" s="36" t="str"/>
      <x:c r="F426" s="36" t="str"/>
      <x:c r="G426" s="36" t="str"/>
      <x:c r="H426" s="36" t="str"/>
      <x:c r="I426" s="36" t="str"/>
      <x:c r="J426" s="36" t="str"/>
      <x:c r="K426" s="36"/>
      <x:c r="L426" s="36" t="str"/>
      <x:c r="M426" s="36" t="str"/>
      <x:c r="N426" s="36" t="str"/>
      <x:c r="O426" s="43"/>
      <x:c r="P426" s="43"/>
      <x:c r="Q426" s="43"/>
      <x:c r="R426" s="43"/>
      <x:c r="S426" s="43"/>
      <x:c r="T426" s="43"/>
      <x:c r="U426" s="43"/>
      <x:c r="V426" s="43"/>
      <x:c r="W426" s="43"/>
      <x:c r="X426" s="43"/>
      <x:c r="Y426" s="43"/>
      <x:c r="Z426" s="43"/>
      <x:c r="AA426" s="43"/>
      <x:c r="AB426" s="43"/>
      <x:c r="AC426" s="43"/>
      <x:c r="AD426" s="43"/>
      <x:c r="AE426" s="43"/>
      <x:c r="AF426" s="43"/>
      <x:c r="AG426" s="43"/>
      <x:c r="AH426" s="43"/>
      <x:c r="AI426" s="43"/>
      <x:c r="AJ426" s="43"/>
      <x:c r="AK426" s="43"/>
      <x:c r="AL426" s="43"/>
      <x:c r="AM426" s="43"/>
      <x:c r="AN426" s="43"/>
      <x:c r="AO426" s="43"/>
      <x:c r="AP426" s="43"/>
    </x:row>
    <x:row r="427" ht="15" hidden="0" customHeight="1">
      <x:c r="A427" s="36" t="str">
        <x:v>EW Waste Matrix!row 194</x:v>
      </x:c>
      <x:c r="B427" s="37" t="str">
        <x:v>FIN - Internal Controls Automation</x:v>
      </x:c>
      <x:c r="C427" s="36" t="str">
        <x:v>Finance</x:v>
      </x:c>
      <x:c r="D427" s="36"/>
      <x:c r="E427" s="36" t="str"/>
      <x:c r="F427" s="36" t="str"/>
      <x:c r="G427" s="36" t="str"/>
      <x:c r="H427" s="36" t="str"/>
      <x:c r="I427" s="36" t="str"/>
      <x:c r="J427" s="36" t="str"/>
      <x:c r="K427" s="36"/>
      <x:c r="L427" s="36" t="str"/>
      <x:c r="M427" s="36" t="str"/>
      <x:c r="N427" s="36" t="str"/>
      <x:c r="O427" s="43"/>
      <x:c r="P427" s="43"/>
      <x:c r="Q427" s="43"/>
      <x:c r="R427" s="43"/>
      <x:c r="S427" s="43"/>
      <x:c r="T427" s="43"/>
      <x:c r="U427" s="43"/>
      <x:c r="V427" s="43"/>
      <x:c r="W427" s="43"/>
      <x:c r="X427" s="43"/>
      <x:c r="Y427" s="43"/>
      <x:c r="Z427" s="43"/>
      <x:c r="AA427" s="43"/>
      <x:c r="AB427" s="43"/>
      <x:c r="AC427" s="43"/>
      <x:c r="AD427" s="43"/>
      <x:c r="AE427" s="43"/>
      <x:c r="AF427" s="43"/>
      <x:c r="AG427" s="43"/>
      <x:c r="AH427" s="43"/>
      <x:c r="AI427" s="43"/>
      <x:c r="AJ427" s="43"/>
      <x:c r="AK427" s="43"/>
      <x:c r="AL427" s="43"/>
      <x:c r="AM427" s="43"/>
      <x:c r="AN427" s="43"/>
      <x:c r="AO427" s="43"/>
      <x:c r="AP427" s="43"/>
    </x:row>
    <x:row r="428" ht="15" hidden="0" customHeight="1">
      <x:c r="A428" s="36"/>
      <x:c r="B428" s="37"/>
      <x:c r="C428" s="36"/>
      <x:c r="D428" s="36"/>
      <x:c r="E428" s="36"/>
      <x:c r="F428" s="36"/>
      <x:c r="G428" s="36"/>
      <x:c r="H428" s="36"/>
      <x:c r="I428" s="36"/>
      <x:c r="J428" s="36"/>
      <x:c r="K428" s="36"/>
      <x:c r="L428" s="36"/>
      <x:c r="M428" s="36"/>
      <x:c r="N428" s="36"/>
      <x:c r="O428" s="43"/>
      <x:c r="P428" s="43"/>
      <x:c r="Q428" s="43"/>
      <x:c r="R428" s="43"/>
      <x:c r="S428" s="43"/>
      <x:c r="T428" s="43"/>
      <x:c r="U428" s="43"/>
      <x:c r="V428" s="43"/>
      <x:c r="W428" s="43"/>
      <x:c r="X428" s="43"/>
      <x:c r="Y428" s="43"/>
      <x:c r="Z428" s="43"/>
      <x:c r="AA428" s="43"/>
      <x:c r="AB428" s="43"/>
      <x:c r="AC428" s="43"/>
      <x:c r="AD428" s="43"/>
      <x:c r="AE428" s="43"/>
      <x:c r="AF428" s="43"/>
      <x:c r="AG428" s="43"/>
      <x:c r="AH428" s="43"/>
      <x:c r="AI428" s="43"/>
      <x:c r="AJ428" s="43"/>
      <x:c r="AK428" s="43"/>
      <x:c r="AL428" s="43"/>
      <x:c r="AM428" s="43"/>
      <x:c r="AN428" s="43"/>
      <x:c r="AO428" s="43"/>
      <x:c r="AP428" s="43"/>
    </x:row>
    <x:row r="429" ht="15" hidden="0" customHeight="1">
      <x:c r="A429" s="43"/>
      <x:c r="B429" s="45"/>
      <x:c r="C429" s="43"/>
      <x:c r="D429" s="43"/>
      <x:c r="E429" s="43"/>
      <x:c r="F429" s="43"/>
      <x:c r="G429" s="43"/>
      <x:c r="H429" s="43"/>
      <x:c r="I429" s="43"/>
      <x:c r="J429" s="43"/>
      <x:c r="K429" s="43"/>
      <x:c r="L429" s="43"/>
      <x:c r="M429" s="43"/>
      <x:c r="N429" s="43"/>
      <x:c r="O429" s="43"/>
      <x:c r="P429" s="43"/>
      <x:c r="Q429" s="43"/>
      <x:c r="R429" s="43"/>
      <x:c r="S429" s="43"/>
      <x:c r="T429" s="43"/>
      <x:c r="U429" s="43"/>
      <x:c r="V429" s="43"/>
      <x:c r="W429" s="43"/>
      <x:c r="X429" s="43"/>
      <x:c r="Y429" s="43"/>
      <x:c r="Z429" s="43"/>
      <x:c r="AA429" s="43"/>
      <x:c r="AB429" s="43"/>
      <x:c r="AC429" s="43"/>
      <x:c r="AD429" s="43"/>
      <x:c r="AE429" s="43"/>
      <x:c r="AF429" s="43"/>
      <x:c r="AG429" s="43"/>
      <x:c r="AH429" s="43"/>
      <x:c r="AI429" s="43"/>
      <x:c r="AJ429" s="43"/>
      <x:c r="AK429" s="43"/>
      <x:c r="AL429" s="43"/>
      <x:c r="AM429" s="43"/>
      <x:c r="AN429" s="43"/>
      <x:c r="AO429" s="43"/>
      <x:c r="AP429" s="43"/>
    </x:row>
    <x:row r="430" ht="15" hidden="0" customHeight="1">
      <x:c r="A430" s="43"/>
      <x:c r="B430" s="45"/>
      <x:c r="C430" s="43"/>
      <x:c r="D430" s="43"/>
      <x:c r="E430" s="43"/>
      <x:c r="F430" s="43"/>
      <x:c r="G430" s="43"/>
      <x:c r="H430" s="43"/>
      <x:c r="I430" s="43"/>
      <x:c r="J430" s="43"/>
      <x:c r="K430" s="43"/>
      <x:c r="L430" s="43"/>
      <x:c r="M430" s="43"/>
      <x:c r="N430" s="43"/>
      <x:c r="O430" s="43"/>
      <x:c r="P430" s="43"/>
      <x:c r="Q430" s="43"/>
      <x:c r="R430" s="43"/>
      <x:c r="S430" s="43"/>
      <x:c r="T430" s="43"/>
      <x:c r="U430" s="43"/>
      <x:c r="V430" s="43"/>
      <x:c r="W430" s="43"/>
      <x:c r="X430" s="43"/>
      <x:c r="Y430" s="43"/>
      <x:c r="Z430" s="43"/>
      <x:c r="AA430" s="43"/>
      <x:c r="AB430" s="43"/>
      <x:c r="AC430" s="43"/>
      <x:c r="AD430" s="43"/>
      <x:c r="AE430" s="43"/>
      <x:c r="AF430" s="43"/>
      <x:c r="AG430" s="43"/>
      <x:c r="AH430" s="43"/>
      <x:c r="AI430" s="43"/>
      <x:c r="AJ430" s="43"/>
      <x:c r="AK430" s="43"/>
      <x:c r="AL430" s="43"/>
      <x:c r="AM430" s="43"/>
      <x:c r="AN430" s="43"/>
      <x:c r="AO430" s="43"/>
      <x:c r="AP430" s="43"/>
    </x:row>
    <x:row r="431" ht="15" hidden="0" customHeight="1">
      <x:c r="A431" s="43"/>
      <x:c r="B431" s="45"/>
      <x:c r="C431" s="43"/>
      <x:c r="D431" s="43"/>
      <x:c r="E431" s="43"/>
      <x:c r="F431" s="43"/>
      <x:c r="G431" s="43"/>
      <x:c r="H431" s="43"/>
      <x:c r="I431" s="43"/>
      <x:c r="J431" s="43"/>
      <x:c r="K431" s="43"/>
      <x:c r="L431" s="43"/>
      <x:c r="M431" s="43"/>
      <x:c r="N431" s="43"/>
      <x:c r="O431" s="43"/>
      <x:c r="P431" s="43"/>
      <x:c r="Q431" s="43"/>
      <x:c r="R431" s="43"/>
      <x:c r="S431" s="43"/>
      <x:c r="T431" s="43"/>
      <x:c r="U431" s="43"/>
      <x:c r="V431" s="43"/>
      <x:c r="W431" s="43"/>
      <x:c r="X431" s="43"/>
      <x:c r="Y431" s="43"/>
      <x:c r="Z431" s="43"/>
      <x:c r="AA431" s="43"/>
      <x:c r="AB431" s="43"/>
      <x:c r="AC431" s="43"/>
      <x:c r="AD431" s="43"/>
      <x:c r="AE431" s="43"/>
      <x:c r="AF431" s="43"/>
      <x:c r="AG431" s="43"/>
      <x:c r="AH431" s="43"/>
      <x:c r="AI431" s="43"/>
      <x:c r="AJ431" s="43"/>
      <x:c r="AK431" s="43"/>
      <x:c r="AL431" s="43"/>
      <x:c r="AM431" s="43"/>
      <x:c r="AN431" s="43"/>
      <x:c r="AO431" s="43"/>
      <x:c r="AP431" s="43"/>
    </x:row>
    <x:row r="432" ht="15" hidden="0" customHeight="1">
      <x:c r="A432" s="43"/>
      <x:c r="B432" s="45"/>
      <x:c r="C432" s="43"/>
      <x:c r="D432" s="43"/>
      <x:c r="E432" s="43"/>
      <x:c r="F432" s="43"/>
      <x:c r="G432" s="43"/>
      <x:c r="H432" s="43"/>
      <x:c r="I432" s="43"/>
      <x:c r="J432" s="43"/>
      <x:c r="K432" s="43"/>
      <x:c r="L432" s="43"/>
      <x:c r="M432" s="43"/>
      <x:c r="N432" s="43"/>
      <x:c r="O432" s="43"/>
      <x:c r="P432" s="43"/>
      <x:c r="Q432" s="43"/>
      <x:c r="R432" s="43"/>
      <x:c r="S432" s="43"/>
      <x:c r="T432" s="43"/>
      <x:c r="U432" s="43"/>
      <x:c r="V432" s="43"/>
      <x:c r="W432" s="43"/>
      <x:c r="X432" s="43"/>
      <x:c r="Y432" s="43"/>
      <x:c r="Z432" s="43"/>
      <x:c r="AA432" s="43"/>
      <x:c r="AB432" s="43"/>
      <x:c r="AC432" s="43"/>
      <x:c r="AD432" s="43"/>
      <x:c r="AE432" s="43"/>
      <x:c r="AF432" s="43"/>
      <x:c r="AG432" s="43"/>
      <x:c r="AH432" s="43"/>
      <x:c r="AI432" s="43"/>
      <x:c r="AJ432" s="43"/>
      <x:c r="AK432" s="43"/>
      <x:c r="AL432" s="43"/>
      <x:c r="AM432" s="43"/>
      <x:c r="AN432" s="43"/>
      <x:c r="AO432" s="43"/>
      <x:c r="AP432" s="43"/>
    </x:row>
    <x:row r="433" ht="15" hidden="0" customHeight="1">
      <x:c r="A433" s="43"/>
      <x:c r="B433" s="45"/>
      <x:c r="C433" s="43"/>
      <x:c r="D433" s="43"/>
      <x:c r="E433" s="43"/>
      <x:c r="F433" s="43"/>
      <x:c r="G433" s="43"/>
      <x:c r="H433" s="43"/>
      <x:c r="I433" s="43"/>
      <x:c r="J433" s="43"/>
      <x:c r="K433" s="43"/>
      <x:c r="L433" s="43"/>
      <x:c r="M433" s="43"/>
      <x:c r="N433" s="43"/>
      <x:c r="O433" s="43"/>
      <x:c r="P433" s="43"/>
      <x:c r="Q433" s="43"/>
      <x:c r="R433" s="43"/>
      <x:c r="S433" s="43"/>
      <x:c r="T433" s="43"/>
      <x:c r="U433" s="43"/>
      <x:c r="V433" s="43"/>
      <x:c r="W433" s="43"/>
      <x:c r="X433" s="43"/>
      <x:c r="Y433" s="43"/>
      <x:c r="Z433" s="43"/>
      <x:c r="AA433" s="43"/>
      <x:c r="AB433" s="43"/>
      <x:c r="AC433" s="43"/>
      <x:c r="AD433" s="43"/>
      <x:c r="AE433" s="43"/>
      <x:c r="AF433" s="43"/>
      <x:c r="AG433" s="43"/>
      <x:c r="AH433" s="43"/>
      <x:c r="AI433" s="43"/>
      <x:c r="AJ433" s="43"/>
      <x:c r="AK433" s="43"/>
      <x:c r="AL433" s="43"/>
      <x:c r="AM433" s="43"/>
      <x:c r="AN433" s="43"/>
      <x:c r="AO433" s="43"/>
      <x:c r="AP433" s="43"/>
    </x:row>
    <x:row r="434" ht="15" hidden="0" customHeight="1">
      <x:c r="A434" s="43"/>
      <x:c r="B434" s="45"/>
      <x:c r="C434" s="43"/>
      <x:c r="D434" s="43"/>
      <x:c r="E434" s="43"/>
      <x:c r="F434" s="43"/>
      <x:c r="G434" s="43"/>
      <x:c r="H434" s="43"/>
      <x:c r="I434" s="43"/>
      <x:c r="J434" s="43"/>
      <x:c r="K434" s="43"/>
      <x:c r="L434" s="43"/>
      <x:c r="M434" s="43"/>
      <x:c r="N434" s="43"/>
      <x:c r="O434" s="43"/>
      <x:c r="P434" s="43"/>
      <x:c r="Q434" s="43"/>
      <x:c r="R434" s="43"/>
      <x:c r="S434" s="43"/>
      <x:c r="T434" s="43"/>
      <x:c r="U434" s="43"/>
      <x:c r="V434" s="43"/>
      <x:c r="W434" s="43"/>
      <x:c r="X434" s="43"/>
      <x:c r="Y434" s="43"/>
      <x:c r="Z434" s="43"/>
      <x:c r="AA434" s="43"/>
      <x:c r="AB434" s="43"/>
      <x:c r="AC434" s="43"/>
      <x:c r="AD434" s="43"/>
      <x:c r="AE434" s="43"/>
      <x:c r="AF434" s="43"/>
      <x:c r="AG434" s="43"/>
      <x:c r="AH434" s="43"/>
      <x:c r="AI434" s="43"/>
      <x:c r="AJ434" s="43"/>
      <x:c r="AK434" s="43"/>
      <x:c r="AL434" s="43"/>
      <x:c r="AM434" s="43"/>
      <x:c r="AN434" s="43"/>
      <x:c r="AO434" s="43"/>
      <x:c r="AP434" s="43"/>
    </x:row>
    <x:row r="435" ht="15" hidden="0" customHeight="1">
      <x:c r="A435" s="43"/>
      <x:c r="B435" s="45"/>
      <x:c r="C435" s="43"/>
      <x:c r="D435" s="43"/>
      <x:c r="E435" s="43"/>
      <x:c r="F435" s="43"/>
      <x:c r="G435" s="43"/>
      <x:c r="H435" s="43"/>
      <x:c r="I435" s="43"/>
      <x:c r="J435" s="43"/>
      <x:c r="K435" s="43"/>
      <x:c r="L435" s="43"/>
      <x:c r="M435" s="43"/>
      <x:c r="N435" s="43"/>
      <x:c r="O435" s="43"/>
      <x:c r="P435" s="43"/>
      <x:c r="Q435" s="43"/>
      <x:c r="R435" s="43"/>
      <x:c r="S435" s="43"/>
      <x:c r="T435" s="43"/>
      <x:c r="U435" s="43"/>
      <x:c r="V435" s="43"/>
      <x:c r="W435" s="43"/>
      <x:c r="X435" s="43"/>
      <x:c r="Y435" s="43"/>
      <x:c r="Z435" s="43"/>
      <x:c r="AA435" s="43"/>
      <x:c r="AB435" s="43"/>
      <x:c r="AC435" s="43"/>
      <x:c r="AD435" s="43"/>
      <x:c r="AE435" s="43"/>
      <x:c r="AF435" s="43"/>
      <x:c r="AG435" s="43"/>
      <x:c r="AH435" s="43"/>
      <x:c r="AI435" s="43"/>
      <x:c r="AJ435" s="43"/>
      <x:c r="AK435" s="43"/>
      <x:c r="AL435" s="43"/>
      <x:c r="AM435" s="43"/>
      <x:c r="AN435" s="43"/>
      <x:c r="AO435" s="43"/>
      <x:c r="AP435" s="43"/>
    </x:row>
    <x:row r="436" ht="15" hidden="0" customHeight="1">
      <x:c r="A436" s="43"/>
      <x:c r="B436" s="45"/>
      <x:c r="C436" s="43"/>
      <x:c r="D436" s="43"/>
      <x:c r="E436" s="43"/>
      <x:c r="F436" s="43"/>
      <x:c r="G436" s="43"/>
      <x:c r="H436" s="43"/>
      <x:c r="I436" s="43"/>
      <x:c r="J436" s="43"/>
      <x:c r="K436" s="43"/>
      <x:c r="L436" s="43"/>
      <x:c r="M436" s="43"/>
      <x:c r="N436" s="43"/>
      <x:c r="O436" s="43"/>
      <x:c r="P436" s="43"/>
      <x:c r="Q436" s="43"/>
      <x:c r="R436" s="43"/>
      <x:c r="S436" s="43"/>
      <x:c r="T436" s="43"/>
      <x:c r="U436" s="43"/>
      <x:c r="V436" s="43"/>
      <x:c r="W436" s="43"/>
      <x:c r="X436" s="43"/>
      <x:c r="Y436" s="43"/>
      <x:c r="Z436" s="43"/>
      <x:c r="AA436" s="43"/>
      <x:c r="AB436" s="43"/>
      <x:c r="AC436" s="43"/>
      <x:c r="AD436" s="43"/>
      <x:c r="AE436" s="43"/>
      <x:c r="AF436" s="43"/>
      <x:c r="AG436" s="43"/>
      <x:c r="AH436" s="43"/>
      <x:c r="AI436" s="43"/>
      <x:c r="AJ436" s="43"/>
      <x:c r="AK436" s="43"/>
      <x:c r="AL436" s="43"/>
      <x:c r="AM436" s="43"/>
      <x:c r="AN436" s="43"/>
      <x:c r="AO436" s="43"/>
      <x:c r="AP436" s="43"/>
    </x:row>
    <x:row r="437" ht="15" hidden="0" customHeight="1">
      <x:c r="A437" s="43"/>
      <x:c r="B437" s="45"/>
      <x:c r="C437" s="43"/>
      <x:c r="D437" s="43"/>
      <x:c r="E437" s="43"/>
      <x:c r="F437" s="43"/>
      <x:c r="G437" s="43"/>
      <x:c r="H437" s="43"/>
      <x:c r="I437" s="43"/>
      <x:c r="J437" s="43"/>
      <x:c r="K437" s="43"/>
      <x:c r="L437" s="43"/>
      <x:c r="M437" s="43"/>
      <x:c r="N437" s="43"/>
      <x:c r="O437" s="43"/>
      <x:c r="P437" s="43"/>
      <x:c r="Q437" s="43"/>
      <x:c r="R437" s="43"/>
      <x:c r="S437" s="43"/>
      <x:c r="T437" s="43"/>
      <x:c r="U437" s="43"/>
      <x:c r="V437" s="43"/>
      <x:c r="W437" s="43"/>
      <x:c r="X437" s="43"/>
      <x:c r="Y437" s="43"/>
      <x:c r="Z437" s="43"/>
      <x:c r="AA437" s="43"/>
      <x:c r="AB437" s="43"/>
      <x:c r="AC437" s="43"/>
      <x:c r="AD437" s="43"/>
      <x:c r="AE437" s="43"/>
      <x:c r="AF437" s="43"/>
      <x:c r="AG437" s="43"/>
      <x:c r="AH437" s="43"/>
      <x:c r="AI437" s="43"/>
      <x:c r="AJ437" s="43"/>
      <x:c r="AK437" s="43"/>
      <x:c r="AL437" s="43"/>
      <x:c r="AM437" s="43"/>
      <x:c r="AN437" s="43"/>
      <x:c r="AO437" s="43"/>
      <x:c r="AP437" s="43"/>
    </x:row>
    <x:row r="438" ht="15" hidden="0" customHeight="1">
      <x:c r="A438" s="43"/>
      <x:c r="B438" s="45"/>
      <x:c r="C438" s="43"/>
      <x:c r="D438" s="43"/>
      <x:c r="E438" s="43"/>
      <x:c r="F438" s="43"/>
      <x:c r="G438" s="43"/>
      <x:c r="H438" s="43"/>
      <x:c r="I438" s="43"/>
      <x:c r="J438" s="43"/>
      <x:c r="K438" s="43"/>
      <x:c r="L438" s="43"/>
      <x:c r="M438" s="43"/>
      <x:c r="N438" s="43"/>
      <x:c r="O438" s="43"/>
      <x:c r="P438" s="43"/>
      <x:c r="Q438" s="43"/>
      <x:c r="R438" s="43"/>
      <x:c r="S438" s="43"/>
      <x:c r="T438" s="43"/>
      <x:c r="U438" s="43"/>
      <x:c r="V438" s="43"/>
      <x:c r="W438" s="43"/>
      <x:c r="X438" s="43"/>
      <x:c r="Y438" s="43"/>
      <x:c r="Z438" s="43"/>
      <x:c r="AA438" s="43"/>
      <x:c r="AB438" s="43"/>
      <x:c r="AC438" s="43"/>
      <x:c r="AD438" s="43"/>
      <x:c r="AE438" s="43"/>
      <x:c r="AF438" s="43"/>
      <x:c r="AG438" s="43"/>
      <x:c r="AH438" s="43"/>
      <x:c r="AI438" s="43"/>
      <x:c r="AJ438" s="43"/>
      <x:c r="AK438" s="43"/>
      <x:c r="AL438" s="43"/>
      <x:c r="AM438" s="43"/>
      <x:c r="AN438" s="43"/>
      <x:c r="AO438" s="43"/>
      <x:c r="AP438" s="43"/>
    </x:row>
    <x:row r="439" ht="15" hidden="0" customHeight="1">
      <x:c r="A439" s="43"/>
      <x:c r="B439" s="45"/>
      <x:c r="C439" s="43"/>
      <x:c r="D439" s="43"/>
      <x:c r="E439" s="43"/>
      <x:c r="F439" s="43"/>
      <x:c r="G439" s="43"/>
      <x:c r="H439" s="43"/>
      <x:c r="I439" s="43"/>
      <x:c r="J439" s="43"/>
      <x:c r="K439" s="43"/>
      <x:c r="L439" s="43"/>
      <x:c r="M439" s="43"/>
      <x:c r="N439" s="43"/>
      <x:c r="O439" s="43"/>
      <x:c r="P439" s="43"/>
      <x:c r="Q439" s="43"/>
      <x:c r="R439" s="43"/>
      <x:c r="S439" s="43"/>
      <x:c r="T439" s="43"/>
      <x:c r="U439" s="43"/>
      <x:c r="V439" s="43"/>
      <x:c r="W439" s="43"/>
      <x:c r="X439" s="43"/>
      <x:c r="Y439" s="43"/>
      <x:c r="Z439" s="43"/>
      <x:c r="AA439" s="43"/>
      <x:c r="AB439" s="43"/>
      <x:c r="AC439" s="43"/>
      <x:c r="AD439" s="43"/>
      <x:c r="AE439" s="43"/>
      <x:c r="AF439" s="43"/>
      <x:c r="AG439" s="43"/>
      <x:c r="AH439" s="43"/>
      <x:c r="AI439" s="43"/>
      <x:c r="AJ439" s="43"/>
      <x:c r="AK439" s="43"/>
      <x:c r="AL439" s="43"/>
      <x:c r="AM439" s="43"/>
      <x:c r="AN439" s="43"/>
      <x:c r="AO439" s="43"/>
      <x:c r="AP439" s="43"/>
    </x:row>
    <x:row r="440" ht="15" hidden="0" customHeight="1">
      <x:c r="A440" s="43"/>
      <x:c r="B440" s="45"/>
      <x:c r="C440" s="43"/>
      <x:c r="D440" s="43"/>
      <x:c r="E440" s="43"/>
      <x:c r="F440" s="43"/>
      <x:c r="G440" s="43"/>
      <x:c r="H440" s="43"/>
      <x:c r="I440" s="43"/>
      <x:c r="J440" s="43"/>
      <x:c r="K440" s="43"/>
      <x:c r="L440" s="43"/>
      <x:c r="M440" s="43"/>
      <x:c r="N440" s="43"/>
      <x:c r="O440" s="43"/>
      <x:c r="P440" s="43"/>
      <x:c r="Q440" s="43"/>
      <x:c r="R440" s="43"/>
      <x:c r="S440" s="43"/>
      <x:c r="T440" s="43"/>
      <x:c r="U440" s="43"/>
      <x:c r="V440" s="43"/>
      <x:c r="W440" s="43"/>
      <x:c r="X440" s="43"/>
      <x:c r="Y440" s="43"/>
      <x:c r="Z440" s="43"/>
      <x:c r="AA440" s="43"/>
      <x:c r="AB440" s="43"/>
      <x:c r="AC440" s="43"/>
      <x:c r="AD440" s="43"/>
      <x:c r="AE440" s="43"/>
      <x:c r="AF440" s="43"/>
      <x:c r="AG440" s="43"/>
      <x:c r="AH440" s="43"/>
      <x:c r="AI440" s="43"/>
      <x:c r="AJ440" s="43"/>
      <x:c r="AK440" s="43"/>
      <x:c r="AL440" s="43"/>
      <x:c r="AM440" s="43"/>
      <x:c r="AN440" s="43"/>
      <x:c r="AO440" s="43"/>
      <x:c r="AP440" s="43"/>
    </x:row>
    <x:row r="441" ht="15" hidden="0" customHeight="1">
      <x:c r="A441" s="43"/>
      <x:c r="B441" s="45"/>
      <x:c r="C441" s="43"/>
      <x:c r="D441" s="43"/>
      <x:c r="E441" s="43"/>
      <x:c r="F441" s="43"/>
      <x:c r="G441" s="43"/>
      <x:c r="H441" s="43"/>
      <x:c r="I441" s="43"/>
      <x:c r="J441" s="43"/>
      <x:c r="K441" s="43"/>
      <x:c r="L441" s="43"/>
      <x:c r="M441" s="43"/>
      <x:c r="N441" s="43"/>
      <x:c r="O441" s="43"/>
      <x:c r="P441" s="43"/>
      <x:c r="Q441" s="43"/>
      <x:c r="R441" s="43"/>
      <x:c r="S441" s="43"/>
      <x:c r="T441" s="43"/>
      <x:c r="U441" s="43"/>
      <x:c r="V441" s="43"/>
      <x:c r="W441" s="43"/>
      <x:c r="X441" s="43"/>
      <x:c r="Y441" s="43"/>
      <x:c r="Z441" s="43"/>
      <x:c r="AA441" s="43"/>
      <x:c r="AB441" s="43"/>
      <x:c r="AC441" s="43"/>
      <x:c r="AD441" s="43"/>
      <x:c r="AE441" s="43"/>
      <x:c r="AF441" s="43"/>
      <x:c r="AG441" s="43"/>
      <x:c r="AH441" s="43"/>
      <x:c r="AI441" s="43"/>
      <x:c r="AJ441" s="43"/>
      <x:c r="AK441" s="43"/>
      <x:c r="AL441" s="43"/>
      <x:c r="AM441" s="43"/>
      <x:c r="AN441" s="43"/>
      <x:c r="AO441" s="43"/>
      <x:c r="AP441" s="43"/>
    </x:row>
    <x:row r="442" ht="15" hidden="0" customHeight="1">
      <x:c r="A442" s="43"/>
      <x:c r="B442" s="45"/>
      <x:c r="C442" s="43"/>
      <x:c r="D442" s="43"/>
      <x:c r="E442" s="43"/>
      <x:c r="F442" s="43"/>
      <x:c r="G442" s="43"/>
      <x:c r="H442" s="43"/>
      <x:c r="I442" s="43"/>
      <x:c r="J442" s="43"/>
      <x:c r="K442" s="43"/>
      <x:c r="L442" s="43"/>
      <x:c r="M442" s="43"/>
      <x:c r="N442" s="43"/>
      <x:c r="O442" s="43"/>
      <x:c r="P442" s="43"/>
      <x:c r="Q442" s="43"/>
      <x:c r="R442" s="43"/>
      <x:c r="S442" s="43"/>
      <x:c r="T442" s="43"/>
      <x:c r="U442" s="43"/>
      <x:c r="V442" s="43"/>
      <x:c r="W442" s="43"/>
      <x:c r="X442" s="43"/>
      <x:c r="Y442" s="43"/>
      <x:c r="Z442" s="43"/>
      <x:c r="AA442" s="43"/>
      <x:c r="AB442" s="43"/>
      <x:c r="AC442" s="43"/>
      <x:c r="AD442" s="43"/>
      <x:c r="AE442" s="43"/>
      <x:c r="AF442" s="43"/>
      <x:c r="AG442" s="43"/>
      <x:c r="AH442" s="43"/>
      <x:c r="AI442" s="43"/>
      <x:c r="AJ442" s="43"/>
      <x:c r="AK442" s="43"/>
      <x:c r="AL442" s="43"/>
      <x:c r="AM442" s="43"/>
      <x:c r="AN442" s="43"/>
      <x:c r="AO442" s="43"/>
      <x:c r="AP442" s="43"/>
    </x:row>
    <x:row r="443" ht="15" hidden="0" customHeight="1">
      <x:c r="A443" s="43"/>
      <x:c r="B443" s="45"/>
      <x:c r="C443" s="43"/>
      <x:c r="D443" s="43"/>
      <x:c r="E443" s="43"/>
      <x:c r="F443" s="43"/>
      <x:c r="G443" s="43"/>
      <x:c r="H443" s="43"/>
      <x:c r="I443" s="43"/>
      <x:c r="J443" s="43"/>
      <x:c r="K443" s="43"/>
      <x:c r="L443" s="43"/>
      <x:c r="M443" s="43"/>
      <x:c r="N443" s="43"/>
      <x:c r="O443" s="43"/>
      <x:c r="P443" s="43"/>
      <x:c r="Q443" s="43"/>
      <x:c r="R443" s="43"/>
      <x:c r="S443" s="43"/>
      <x:c r="T443" s="43"/>
      <x:c r="U443" s="43"/>
      <x:c r="V443" s="43"/>
      <x:c r="W443" s="43"/>
      <x:c r="X443" s="43"/>
      <x:c r="Y443" s="43"/>
      <x:c r="Z443" s="43"/>
      <x:c r="AA443" s="43"/>
      <x:c r="AB443" s="43"/>
      <x:c r="AC443" s="43"/>
      <x:c r="AD443" s="43"/>
      <x:c r="AE443" s="43"/>
      <x:c r="AF443" s="43"/>
      <x:c r="AG443" s="43"/>
      <x:c r="AH443" s="43"/>
      <x:c r="AI443" s="43"/>
      <x:c r="AJ443" s="43"/>
      <x:c r="AK443" s="43"/>
      <x:c r="AL443" s="43"/>
      <x:c r="AM443" s="43"/>
      <x:c r="AN443" s="43"/>
      <x:c r="AO443" s="43"/>
      <x:c r="AP443" s="43"/>
    </x:row>
    <x:row r="444" ht="15" hidden="0" customHeight="1">
      <x:c r="A444" s="43"/>
      <x:c r="B444" s="45"/>
      <x:c r="C444" s="43"/>
      <x:c r="D444" s="43"/>
      <x:c r="E444" s="43"/>
      <x:c r="F444" s="43"/>
      <x:c r="G444" s="43"/>
      <x:c r="H444" s="43"/>
      <x:c r="I444" s="43"/>
      <x:c r="J444" s="43"/>
      <x:c r="K444" s="43"/>
      <x:c r="L444" s="43"/>
      <x:c r="M444" s="43"/>
      <x:c r="N444" s="43"/>
      <x:c r="O444" s="43"/>
      <x:c r="P444" s="43"/>
      <x:c r="Q444" s="43"/>
      <x:c r="R444" s="43"/>
      <x:c r="S444" s="43"/>
      <x:c r="T444" s="43"/>
      <x:c r="U444" s="43"/>
      <x:c r="V444" s="43"/>
      <x:c r="W444" s="43"/>
      <x:c r="X444" s="43"/>
      <x:c r="Y444" s="43"/>
      <x:c r="Z444" s="43"/>
      <x:c r="AA444" s="43"/>
      <x:c r="AB444" s="43"/>
      <x:c r="AC444" s="43"/>
      <x:c r="AD444" s="43"/>
      <x:c r="AE444" s="43"/>
      <x:c r="AF444" s="43"/>
      <x:c r="AG444" s="43"/>
      <x:c r="AH444" s="43"/>
      <x:c r="AI444" s="43"/>
      <x:c r="AJ444" s="43"/>
      <x:c r="AK444" s="43"/>
      <x:c r="AL444" s="43"/>
      <x:c r="AM444" s="43"/>
      <x:c r="AN444" s="43"/>
      <x:c r="AO444" s="43"/>
      <x:c r="AP444" s="43"/>
    </x:row>
    <x:row r="445" ht="15" hidden="0" customHeight="1">
      <x:c r="A445" s="43"/>
      <x:c r="B445" s="45"/>
      <x:c r="C445" s="43"/>
      <x:c r="D445" s="43"/>
      <x:c r="E445" s="43"/>
      <x:c r="F445" s="43"/>
      <x:c r="G445" s="43"/>
      <x:c r="H445" s="43"/>
      <x:c r="I445" s="43"/>
      <x:c r="J445" s="43"/>
      <x:c r="K445" s="43"/>
      <x:c r="L445" s="43"/>
      <x:c r="M445" s="43"/>
      <x:c r="N445" s="43"/>
      <x:c r="O445" s="43"/>
      <x:c r="P445" s="43"/>
      <x:c r="Q445" s="43"/>
      <x:c r="R445" s="43"/>
      <x:c r="S445" s="43"/>
      <x:c r="T445" s="43"/>
      <x:c r="U445" s="43"/>
      <x:c r="V445" s="43"/>
      <x:c r="W445" s="43"/>
      <x:c r="X445" s="43"/>
      <x:c r="Y445" s="43"/>
      <x:c r="Z445" s="43"/>
      <x:c r="AA445" s="43"/>
      <x:c r="AB445" s="43"/>
      <x:c r="AC445" s="43"/>
      <x:c r="AD445" s="43"/>
      <x:c r="AE445" s="43"/>
      <x:c r="AF445" s="43"/>
      <x:c r="AG445" s="43"/>
      <x:c r="AH445" s="43"/>
      <x:c r="AI445" s="43"/>
      <x:c r="AJ445" s="43"/>
      <x:c r="AK445" s="43"/>
      <x:c r="AL445" s="43"/>
      <x:c r="AM445" s="43"/>
      <x:c r="AN445" s="43"/>
      <x:c r="AO445" s="43"/>
      <x:c r="AP445" s="43"/>
    </x:row>
    <x:row r="446" ht="15" hidden="0" customHeight="1">
      <x:c r="A446" s="43"/>
      <x:c r="B446" s="45"/>
      <x:c r="C446" s="43"/>
      <x:c r="D446" s="43"/>
      <x:c r="E446" s="43"/>
      <x:c r="F446" s="43"/>
      <x:c r="G446" s="43"/>
      <x:c r="H446" s="43"/>
      <x:c r="I446" s="43"/>
      <x:c r="J446" s="43"/>
      <x:c r="K446" s="43"/>
      <x:c r="L446" s="43"/>
      <x:c r="M446" s="43"/>
      <x:c r="N446" s="43"/>
      <x:c r="O446" s="43"/>
      <x:c r="P446" s="43"/>
      <x:c r="Q446" s="43"/>
      <x:c r="R446" s="43"/>
      <x:c r="S446" s="43"/>
      <x:c r="T446" s="43"/>
      <x:c r="U446" s="43"/>
      <x:c r="V446" s="43"/>
      <x:c r="W446" s="43"/>
      <x:c r="X446" s="43"/>
      <x:c r="Y446" s="43"/>
      <x:c r="Z446" s="43"/>
      <x:c r="AA446" s="43"/>
      <x:c r="AB446" s="43"/>
      <x:c r="AC446" s="43"/>
      <x:c r="AD446" s="43"/>
      <x:c r="AE446" s="43"/>
      <x:c r="AF446" s="43"/>
      <x:c r="AG446" s="43"/>
      <x:c r="AH446" s="43"/>
      <x:c r="AI446" s="43"/>
      <x:c r="AJ446" s="43"/>
      <x:c r="AK446" s="43"/>
      <x:c r="AL446" s="43"/>
      <x:c r="AM446" s="43"/>
      <x:c r="AN446" s="43"/>
      <x:c r="AO446" s="43"/>
      <x:c r="AP446" s="43"/>
    </x:row>
    <x:row r="447" ht="15" hidden="0" customHeight="1">
      <x:c r="A447" s="43"/>
      <x:c r="B447" s="45"/>
      <x:c r="C447" s="43"/>
      <x:c r="D447" s="43"/>
      <x:c r="E447" s="43"/>
      <x:c r="F447" s="43"/>
      <x:c r="G447" s="43"/>
      <x:c r="H447" s="43"/>
      <x:c r="I447" s="43"/>
      <x:c r="J447" s="43"/>
      <x:c r="K447" s="43"/>
      <x:c r="L447" s="43"/>
      <x:c r="M447" s="43"/>
      <x:c r="N447" s="43"/>
      <x:c r="O447" s="43"/>
      <x:c r="P447" s="43"/>
      <x:c r="Q447" s="43"/>
      <x:c r="R447" s="43"/>
      <x:c r="S447" s="43"/>
      <x:c r="T447" s="43"/>
      <x:c r="U447" s="43"/>
      <x:c r="V447" s="43"/>
      <x:c r="W447" s="43"/>
      <x:c r="X447" s="43"/>
      <x:c r="Y447" s="43"/>
      <x:c r="Z447" s="43"/>
      <x:c r="AA447" s="43"/>
      <x:c r="AB447" s="43"/>
      <x:c r="AC447" s="43"/>
      <x:c r="AD447" s="43"/>
      <x:c r="AE447" s="43"/>
      <x:c r="AF447" s="43"/>
      <x:c r="AG447" s="43"/>
      <x:c r="AH447" s="43"/>
      <x:c r="AI447" s="43"/>
      <x:c r="AJ447" s="43"/>
      <x:c r="AK447" s="43"/>
      <x:c r="AL447" s="43"/>
      <x:c r="AM447" s="43"/>
      <x:c r="AN447" s="43"/>
      <x:c r="AO447" s="43"/>
      <x:c r="AP447" s="43"/>
    </x:row>
    <x:row r="448" ht="15" hidden="0" customHeight="1">
      <x:c r="A448" s="43"/>
      <x:c r="B448" s="45"/>
      <x:c r="C448" s="43"/>
      <x:c r="D448" s="43"/>
      <x:c r="E448" s="43"/>
      <x:c r="F448" s="43"/>
      <x:c r="G448" s="43"/>
      <x:c r="H448" s="43"/>
      <x:c r="I448" s="43"/>
      <x:c r="J448" s="43"/>
      <x:c r="K448" s="43"/>
      <x:c r="L448" s="43"/>
      <x:c r="M448" s="43"/>
      <x:c r="N448" s="43"/>
      <x:c r="O448" s="43"/>
      <x:c r="P448" s="43"/>
      <x:c r="Q448" s="43"/>
      <x:c r="R448" s="43"/>
      <x:c r="S448" s="43"/>
      <x:c r="T448" s="43"/>
      <x:c r="U448" s="43"/>
      <x:c r="V448" s="43"/>
      <x:c r="W448" s="43"/>
      <x:c r="X448" s="43"/>
      <x:c r="Y448" s="43"/>
      <x:c r="Z448" s="43"/>
      <x:c r="AA448" s="43"/>
      <x:c r="AB448" s="43"/>
      <x:c r="AC448" s="43"/>
      <x:c r="AD448" s="43"/>
      <x:c r="AE448" s="43"/>
      <x:c r="AF448" s="43"/>
      <x:c r="AG448" s="43"/>
      <x:c r="AH448" s="43"/>
      <x:c r="AI448" s="43"/>
      <x:c r="AJ448" s="43"/>
      <x:c r="AK448" s="43"/>
      <x:c r="AL448" s="43"/>
      <x:c r="AM448" s="43"/>
      <x:c r="AN448" s="43"/>
      <x:c r="AO448" s="43"/>
      <x:c r="AP448" s="43"/>
    </x:row>
    <x:row r="449" ht="15" hidden="0" customHeight="1">
      <x:c r="A449" s="43"/>
      <x:c r="B449" s="45"/>
      <x:c r="C449" s="43"/>
      <x:c r="D449" s="43"/>
      <x:c r="E449" s="43"/>
      <x:c r="F449" s="43"/>
      <x:c r="G449" s="43"/>
      <x:c r="H449" s="43"/>
      <x:c r="I449" s="43"/>
      <x:c r="J449" s="43"/>
      <x:c r="K449" s="43"/>
      <x:c r="L449" s="43"/>
      <x:c r="M449" s="43"/>
      <x:c r="N449" s="43"/>
      <x:c r="O449" s="43"/>
      <x:c r="P449" s="43"/>
      <x:c r="Q449" s="43"/>
      <x:c r="R449" s="43"/>
      <x:c r="S449" s="43"/>
      <x:c r="T449" s="43"/>
      <x:c r="U449" s="43"/>
      <x:c r="V449" s="43"/>
      <x:c r="W449" s="43"/>
      <x:c r="X449" s="43"/>
      <x:c r="Y449" s="43"/>
      <x:c r="Z449" s="43"/>
      <x:c r="AA449" s="43"/>
      <x:c r="AB449" s="43"/>
      <x:c r="AC449" s="43"/>
      <x:c r="AD449" s="43"/>
      <x:c r="AE449" s="43"/>
      <x:c r="AF449" s="43"/>
      <x:c r="AG449" s="43"/>
      <x:c r="AH449" s="43"/>
      <x:c r="AI449" s="43"/>
      <x:c r="AJ449" s="43"/>
      <x:c r="AK449" s="43"/>
      <x:c r="AL449" s="43"/>
      <x:c r="AM449" s="43"/>
      <x:c r="AN449" s="43"/>
      <x:c r="AO449" s="43"/>
      <x:c r="AP449" s="43"/>
    </x:row>
    <x:row r="450" ht="15" hidden="0" customHeight="1">
      <x:c r="A450" s="43"/>
      <x:c r="B450" s="45"/>
      <x:c r="C450" s="43"/>
      <x:c r="D450" s="43"/>
      <x:c r="E450" s="43"/>
      <x:c r="F450" s="43"/>
      <x:c r="G450" s="43"/>
      <x:c r="H450" s="43"/>
      <x:c r="I450" s="43"/>
      <x:c r="J450" s="43"/>
      <x:c r="K450" s="43"/>
      <x:c r="L450" s="43"/>
      <x:c r="M450" s="43"/>
      <x:c r="N450" s="43"/>
      <x:c r="O450" s="43"/>
      <x:c r="P450" s="43"/>
      <x:c r="Q450" s="43"/>
      <x:c r="R450" s="43"/>
      <x:c r="S450" s="43"/>
      <x:c r="T450" s="43"/>
      <x:c r="U450" s="43"/>
      <x:c r="V450" s="43"/>
      <x:c r="W450" s="43"/>
      <x:c r="X450" s="43"/>
      <x:c r="Y450" s="43"/>
      <x:c r="Z450" s="43"/>
      <x:c r="AA450" s="43"/>
      <x:c r="AB450" s="43"/>
      <x:c r="AC450" s="43"/>
      <x:c r="AD450" s="43"/>
      <x:c r="AE450" s="43"/>
      <x:c r="AF450" s="43"/>
      <x:c r="AG450" s="43"/>
      <x:c r="AH450" s="43"/>
      <x:c r="AI450" s="43"/>
      <x:c r="AJ450" s="43"/>
      <x:c r="AK450" s="43"/>
      <x:c r="AL450" s="43"/>
      <x:c r="AM450" s="43"/>
      <x:c r="AN450" s="43"/>
      <x:c r="AO450" s="43"/>
      <x:c r="AP450" s="43"/>
    </x:row>
    <x:row r="451" ht="15" hidden="0" customHeight="1">
      <x:c r="A451" s="43"/>
      <x:c r="B451" s="45"/>
      <x:c r="C451" s="43"/>
      <x:c r="D451" s="43"/>
      <x:c r="E451" s="43"/>
      <x:c r="F451" s="43"/>
      <x:c r="G451" s="43"/>
      <x:c r="H451" s="43"/>
      <x:c r="I451" s="43"/>
      <x:c r="J451" s="43"/>
      <x:c r="K451" s="43"/>
      <x:c r="L451" s="43"/>
      <x:c r="M451" s="43"/>
      <x:c r="N451" s="43"/>
      <x:c r="O451" s="43"/>
      <x:c r="P451" s="43"/>
      <x:c r="Q451" s="43"/>
      <x:c r="R451" s="43"/>
      <x:c r="S451" s="43"/>
      <x:c r="T451" s="43"/>
      <x:c r="U451" s="43"/>
      <x:c r="V451" s="43"/>
      <x:c r="W451" s="43"/>
      <x:c r="X451" s="43"/>
      <x:c r="Y451" s="43"/>
      <x:c r="Z451" s="43"/>
      <x:c r="AA451" s="43"/>
      <x:c r="AB451" s="43"/>
      <x:c r="AC451" s="43"/>
      <x:c r="AD451" s="43"/>
      <x:c r="AE451" s="43"/>
      <x:c r="AF451" s="43"/>
      <x:c r="AG451" s="43"/>
      <x:c r="AH451" s="43"/>
      <x:c r="AI451" s="43"/>
      <x:c r="AJ451" s="43"/>
      <x:c r="AK451" s="43"/>
      <x:c r="AL451" s="43"/>
      <x:c r="AM451" s="43"/>
      <x:c r="AN451" s="43"/>
      <x:c r="AO451" s="43"/>
      <x:c r="AP451" s="43"/>
    </x:row>
    <x:row r="452" ht="15" hidden="0" customHeight="1">
      <x:c r="A452" s="43"/>
      <x:c r="B452" s="45"/>
      <x:c r="C452" s="43"/>
      <x:c r="D452" s="43"/>
      <x:c r="E452" s="43"/>
      <x:c r="F452" s="43"/>
      <x:c r="G452" s="43"/>
      <x:c r="H452" s="43"/>
      <x:c r="I452" s="43"/>
      <x:c r="J452" s="43"/>
      <x:c r="K452" s="43"/>
      <x:c r="L452" s="43"/>
      <x:c r="M452" s="43"/>
      <x:c r="N452" s="43"/>
      <x:c r="O452" s="43"/>
      <x:c r="P452" s="43"/>
      <x:c r="Q452" s="43"/>
      <x:c r="R452" s="43"/>
      <x:c r="S452" s="43"/>
      <x:c r="T452" s="43"/>
      <x:c r="U452" s="43"/>
      <x:c r="V452" s="43"/>
      <x:c r="W452" s="43"/>
      <x:c r="X452" s="43"/>
      <x:c r="Y452" s="43"/>
      <x:c r="Z452" s="43"/>
      <x:c r="AA452" s="43"/>
      <x:c r="AB452" s="43"/>
      <x:c r="AC452" s="43"/>
      <x:c r="AD452" s="43"/>
      <x:c r="AE452" s="43"/>
      <x:c r="AF452" s="43"/>
      <x:c r="AG452" s="43"/>
      <x:c r="AH452" s="43"/>
      <x:c r="AI452" s="43"/>
      <x:c r="AJ452" s="43"/>
      <x:c r="AK452" s="43"/>
      <x:c r="AL452" s="43"/>
      <x:c r="AM452" s="43"/>
      <x:c r="AN452" s="43"/>
      <x:c r="AO452" s="43"/>
      <x:c r="AP452" s="43"/>
    </x:row>
    <x:row r="453" ht="15" hidden="0" customHeight="1">
      <x:c r="A453" s="43"/>
      <x:c r="B453" s="45"/>
      <x:c r="C453" s="43"/>
      <x:c r="D453" s="43"/>
      <x:c r="E453" s="43"/>
      <x:c r="F453" s="43"/>
      <x:c r="G453" s="43"/>
      <x:c r="H453" s="43"/>
      <x:c r="I453" s="43"/>
      <x:c r="J453" s="43"/>
      <x:c r="K453" s="43"/>
      <x:c r="L453" s="43"/>
      <x:c r="M453" s="43"/>
      <x:c r="N453" s="43"/>
      <x:c r="O453" s="43"/>
      <x:c r="P453" s="43"/>
      <x:c r="Q453" s="43"/>
      <x:c r="R453" s="43"/>
      <x:c r="S453" s="43"/>
      <x:c r="T453" s="43"/>
      <x:c r="U453" s="43"/>
      <x:c r="V453" s="43"/>
      <x:c r="W453" s="43"/>
      <x:c r="X453" s="43"/>
      <x:c r="Y453" s="43"/>
      <x:c r="Z453" s="43"/>
      <x:c r="AA453" s="43"/>
      <x:c r="AB453" s="43"/>
      <x:c r="AC453" s="43"/>
      <x:c r="AD453" s="43"/>
      <x:c r="AE453" s="43"/>
      <x:c r="AF453" s="43"/>
      <x:c r="AG453" s="43"/>
      <x:c r="AH453" s="43"/>
      <x:c r="AI453" s="43"/>
      <x:c r="AJ453" s="43"/>
      <x:c r="AK453" s="43"/>
      <x:c r="AL453" s="43"/>
      <x:c r="AM453" s="43"/>
      <x:c r="AN453" s="43"/>
      <x:c r="AO453" s="43"/>
      <x:c r="AP453" s="43"/>
    </x:row>
    <x:row r="454" ht="15" hidden="0" customHeight="1">
      <x:c r="A454" s="43"/>
      <x:c r="B454" s="45"/>
      <x:c r="C454" s="43"/>
      <x:c r="D454" s="43"/>
      <x:c r="E454" s="43"/>
      <x:c r="F454" s="43"/>
      <x:c r="G454" s="43"/>
      <x:c r="H454" s="43"/>
      <x:c r="I454" s="43"/>
      <x:c r="J454" s="43"/>
      <x:c r="K454" s="43"/>
      <x:c r="L454" s="43"/>
      <x:c r="M454" s="43"/>
      <x:c r="N454" s="43"/>
      <x:c r="O454" s="43"/>
      <x:c r="P454" s="43"/>
      <x:c r="Q454" s="43"/>
      <x:c r="R454" s="43"/>
      <x:c r="S454" s="43"/>
      <x:c r="T454" s="43"/>
      <x:c r="U454" s="43"/>
      <x:c r="V454" s="43"/>
      <x:c r="W454" s="43"/>
      <x:c r="X454" s="43"/>
      <x:c r="Y454" s="43"/>
      <x:c r="Z454" s="43"/>
      <x:c r="AA454" s="43"/>
      <x:c r="AB454" s="43"/>
      <x:c r="AC454" s="43"/>
      <x:c r="AD454" s="43"/>
      <x:c r="AE454" s="43"/>
      <x:c r="AF454" s="43"/>
      <x:c r="AG454" s="43"/>
      <x:c r="AH454" s="43"/>
      <x:c r="AI454" s="43"/>
      <x:c r="AJ454" s="43"/>
      <x:c r="AK454" s="43"/>
      <x:c r="AL454" s="43"/>
      <x:c r="AM454" s="43"/>
      <x:c r="AN454" s="43"/>
      <x:c r="AO454" s="43"/>
      <x:c r="AP454" s="43"/>
    </x:row>
    <x:row r="455" ht="15" hidden="0" customHeight="1">
      <x:c r="A455" s="43"/>
      <x:c r="B455" s="45"/>
      <x:c r="C455" s="43"/>
      <x:c r="D455" s="43"/>
      <x:c r="E455" s="43"/>
      <x:c r="F455" s="43"/>
      <x:c r="G455" s="43"/>
      <x:c r="H455" s="43"/>
      <x:c r="I455" s="43"/>
      <x:c r="J455" s="43"/>
      <x:c r="K455" s="43"/>
      <x:c r="L455" s="43"/>
      <x:c r="M455" s="43"/>
      <x:c r="N455" s="43"/>
      <x:c r="O455" s="43"/>
      <x:c r="P455" s="43"/>
      <x:c r="Q455" s="43"/>
      <x:c r="R455" s="43"/>
      <x:c r="S455" s="43"/>
      <x:c r="T455" s="43"/>
      <x:c r="U455" s="43"/>
      <x:c r="V455" s="43"/>
      <x:c r="W455" s="43"/>
      <x:c r="X455" s="43"/>
      <x:c r="Y455" s="43"/>
      <x:c r="Z455" s="43"/>
      <x:c r="AA455" s="43"/>
      <x:c r="AB455" s="43"/>
      <x:c r="AC455" s="43"/>
      <x:c r="AD455" s="43"/>
      <x:c r="AE455" s="43"/>
      <x:c r="AF455" s="43"/>
      <x:c r="AG455" s="43"/>
      <x:c r="AH455" s="43"/>
      <x:c r="AI455" s="43"/>
      <x:c r="AJ455" s="43"/>
      <x:c r="AK455" s="43"/>
      <x:c r="AL455" s="43"/>
      <x:c r="AM455" s="43"/>
      <x:c r="AN455" s="43"/>
      <x:c r="AO455" s="43"/>
      <x:c r="AP455" s="43"/>
    </x:row>
    <x:row r="456" ht="15" hidden="0" customHeight="1">
      <x:c r="A456" s="43"/>
      <x:c r="B456" s="45"/>
      <x:c r="C456" s="43"/>
      <x:c r="D456" s="43"/>
      <x:c r="E456" s="43"/>
      <x:c r="F456" s="43"/>
      <x:c r="G456" s="43"/>
      <x:c r="H456" s="43"/>
      <x:c r="I456" s="43"/>
      <x:c r="J456" s="43"/>
      <x:c r="K456" s="43"/>
      <x:c r="L456" s="43"/>
      <x:c r="M456" s="43"/>
      <x:c r="N456" s="43"/>
      <x:c r="O456" s="43"/>
      <x:c r="P456" s="43"/>
      <x:c r="Q456" s="43"/>
      <x:c r="R456" s="43"/>
      <x:c r="S456" s="43"/>
      <x:c r="T456" s="43"/>
      <x:c r="U456" s="43"/>
      <x:c r="V456" s="43"/>
      <x:c r="W456" s="43"/>
      <x:c r="X456" s="43"/>
      <x:c r="Y456" s="43"/>
      <x:c r="Z456" s="43"/>
      <x:c r="AA456" s="43"/>
      <x:c r="AB456" s="43"/>
      <x:c r="AC456" s="43"/>
      <x:c r="AD456" s="43"/>
      <x:c r="AE456" s="43"/>
      <x:c r="AF456" s="43"/>
      <x:c r="AG456" s="43"/>
      <x:c r="AH456" s="43"/>
      <x:c r="AI456" s="43"/>
      <x:c r="AJ456" s="43"/>
      <x:c r="AK456" s="43"/>
      <x:c r="AL456" s="43"/>
      <x:c r="AM456" s="43"/>
      <x:c r="AN456" s="43"/>
      <x:c r="AO456" s="43"/>
      <x:c r="AP456" s="43"/>
    </x:row>
    <x:row r="457" ht="15" hidden="0" customHeight="1">
      <x:c r="A457" s="43"/>
      <x:c r="B457" s="45"/>
      <x:c r="C457" s="43"/>
      <x:c r="D457" s="43"/>
      <x:c r="E457" s="43"/>
      <x:c r="F457" s="43"/>
      <x:c r="G457" s="43"/>
      <x:c r="H457" s="43"/>
      <x:c r="I457" s="43"/>
      <x:c r="J457" s="43"/>
      <x:c r="K457" s="43"/>
      <x:c r="L457" s="43"/>
      <x:c r="M457" s="43"/>
      <x:c r="N457" s="43"/>
      <x:c r="O457" s="43"/>
      <x:c r="P457" s="43"/>
      <x:c r="Q457" s="43"/>
      <x:c r="R457" s="43"/>
      <x:c r="S457" s="43"/>
      <x:c r="T457" s="43"/>
      <x:c r="U457" s="43"/>
      <x:c r="V457" s="43"/>
      <x:c r="W457" s="43"/>
      <x:c r="X457" s="43"/>
      <x:c r="Y457" s="43"/>
      <x:c r="Z457" s="43"/>
      <x:c r="AA457" s="43"/>
      <x:c r="AB457" s="43"/>
      <x:c r="AC457" s="43"/>
      <x:c r="AD457" s="43"/>
      <x:c r="AE457" s="43"/>
      <x:c r="AF457" s="43"/>
      <x:c r="AG457" s="43"/>
      <x:c r="AH457" s="43"/>
      <x:c r="AI457" s="43"/>
      <x:c r="AJ457" s="43"/>
      <x:c r="AK457" s="43"/>
      <x:c r="AL457" s="43"/>
      <x:c r="AM457" s="43"/>
      <x:c r="AN457" s="43"/>
      <x:c r="AO457" s="43"/>
      <x:c r="AP457" s="43"/>
    </x:row>
    <x:row r="458" ht="15" hidden="0" customHeight="1">
      <x:c r="A458" s="43"/>
      <x:c r="B458" s="45"/>
      <x:c r="C458" s="43"/>
      <x:c r="D458" s="43"/>
      <x:c r="E458" s="43"/>
      <x:c r="F458" s="43"/>
      <x:c r="G458" s="43"/>
      <x:c r="H458" s="43"/>
      <x:c r="I458" s="43"/>
      <x:c r="J458" s="43"/>
      <x:c r="K458" s="43"/>
      <x:c r="L458" s="43"/>
      <x:c r="M458" s="43"/>
      <x:c r="N458" s="43"/>
      <x:c r="O458" s="43"/>
      <x:c r="P458" s="43"/>
      <x:c r="Q458" s="43"/>
      <x:c r="R458" s="43"/>
      <x:c r="S458" s="43"/>
      <x:c r="T458" s="43"/>
      <x:c r="U458" s="43"/>
      <x:c r="V458" s="43"/>
      <x:c r="W458" s="43"/>
      <x:c r="X458" s="43"/>
      <x:c r="Y458" s="43"/>
      <x:c r="Z458" s="43"/>
      <x:c r="AA458" s="43"/>
      <x:c r="AB458" s="43"/>
      <x:c r="AC458" s="43"/>
      <x:c r="AD458" s="43"/>
      <x:c r="AE458" s="43"/>
      <x:c r="AF458" s="43"/>
      <x:c r="AG458" s="43"/>
      <x:c r="AH458" s="43"/>
      <x:c r="AI458" s="43"/>
      <x:c r="AJ458" s="43"/>
      <x:c r="AK458" s="43"/>
      <x:c r="AL458" s="43"/>
      <x:c r="AM458" s="43"/>
      <x:c r="AN458" s="43"/>
      <x:c r="AO458" s="43"/>
      <x:c r="AP458" s="43"/>
    </x:row>
    <x:row r="459" ht="15" hidden="0" customHeight="1">
      <x:c r="A459" s="43"/>
      <x:c r="B459" s="45"/>
      <x:c r="C459" s="43"/>
      <x:c r="D459" s="43"/>
      <x:c r="E459" s="43"/>
      <x:c r="F459" s="43"/>
      <x:c r="G459" s="43"/>
      <x:c r="H459" s="43"/>
      <x:c r="I459" s="43"/>
      <x:c r="J459" s="43"/>
      <x:c r="K459" s="43"/>
      <x:c r="L459" s="43"/>
      <x:c r="M459" s="43"/>
      <x:c r="N459" s="43"/>
      <x:c r="O459" s="43"/>
      <x:c r="P459" s="43"/>
      <x:c r="Q459" s="43"/>
      <x:c r="R459" s="43"/>
      <x:c r="S459" s="43"/>
      <x:c r="T459" s="43"/>
      <x:c r="U459" s="43"/>
      <x:c r="V459" s="43"/>
      <x:c r="W459" s="43"/>
      <x:c r="X459" s="43"/>
      <x:c r="Y459" s="43"/>
      <x:c r="Z459" s="43"/>
      <x:c r="AA459" s="43"/>
      <x:c r="AB459" s="43"/>
      <x:c r="AC459" s="43"/>
      <x:c r="AD459" s="43"/>
      <x:c r="AE459" s="43"/>
      <x:c r="AF459" s="43"/>
      <x:c r="AG459" s="43"/>
      <x:c r="AH459" s="43"/>
      <x:c r="AI459" s="43"/>
      <x:c r="AJ459" s="43"/>
      <x:c r="AK459" s="43"/>
      <x:c r="AL459" s="43"/>
      <x:c r="AM459" s="43"/>
      <x:c r="AN459" s="43"/>
      <x:c r="AO459" s="43"/>
      <x:c r="AP459" s="43"/>
    </x:row>
    <x:row r="460" ht="15" hidden="0" customHeight="1">
      <x:c r="A460" s="43"/>
      <x:c r="B460" s="45"/>
      <x:c r="C460" s="43"/>
      <x:c r="D460" s="43"/>
      <x:c r="E460" s="43"/>
      <x:c r="F460" s="43"/>
      <x:c r="G460" s="43"/>
      <x:c r="H460" s="43"/>
      <x:c r="I460" s="43"/>
      <x:c r="J460" s="43"/>
      <x:c r="K460" s="43"/>
      <x:c r="L460" s="43"/>
      <x:c r="M460" s="43"/>
      <x:c r="N460" s="43"/>
      <x:c r="O460" s="43"/>
      <x:c r="P460" s="43"/>
      <x:c r="Q460" s="43"/>
      <x:c r="R460" s="43"/>
      <x:c r="S460" s="43"/>
      <x:c r="T460" s="43"/>
      <x:c r="U460" s="43"/>
      <x:c r="V460" s="43"/>
      <x:c r="W460" s="43"/>
      <x:c r="X460" s="43"/>
      <x:c r="Y460" s="43"/>
      <x:c r="Z460" s="43"/>
      <x:c r="AA460" s="43"/>
      <x:c r="AB460" s="43"/>
      <x:c r="AC460" s="43"/>
      <x:c r="AD460" s="43"/>
      <x:c r="AE460" s="43"/>
      <x:c r="AF460" s="43"/>
      <x:c r="AG460" s="43"/>
      <x:c r="AH460" s="43"/>
      <x:c r="AI460" s="43"/>
      <x:c r="AJ460" s="43"/>
      <x:c r="AK460" s="43"/>
      <x:c r="AL460" s="43"/>
      <x:c r="AM460" s="43"/>
      <x:c r="AN460" s="43"/>
      <x:c r="AO460" s="43"/>
      <x:c r="AP460" s="43"/>
    </x:row>
    <x:row r="461" ht="15" hidden="0" customHeight="1">
      <x:c r="A461" s="43"/>
      <x:c r="B461" s="45"/>
      <x:c r="C461" s="43"/>
      <x:c r="D461" s="43"/>
      <x:c r="E461" s="43"/>
      <x:c r="F461" s="43"/>
      <x:c r="G461" s="43"/>
      <x:c r="H461" s="43"/>
      <x:c r="I461" s="43"/>
      <x:c r="J461" s="43"/>
      <x:c r="K461" s="43"/>
      <x:c r="L461" s="43"/>
      <x:c r="M461" s="43"/>
      <x:c r="N461" s="43"/>
      <x:c r="O461" s="43"/>
      <x:c r="P461" s="43"/>
      <x:c r="Q461" s="43"/>
      <x:c r="R461" s="43"/>
      <x:c r="S461" s="43"/>
      <x:c r="T461" s="43"/>
      <x:c r="U461" s="43"/>
      <x:c r="V461" s="43"/>
      <x:c r="W461" s="43"/>
      <x:c r="X461" s="43"/>
      <x:c r="Y461" s="43"/>
      <x:c r="Z461" s="43"/>
      <x:c r="AA461" s="43"/>
      <x:c r="AB461" s="43"/>
      <x:c r="AC461" s="43"/>
      <x:c r="AD461" s="43"/>
      <x:c r="AE461" s="43"/>
      <x:c r="AF461" s="43"/>
      <x:c r="AG461" s="43"/>
      <x:c r="AH461" s="43"/>
      <x:c r="AI461" s="43"/>
      <x:c r="AJ461" s="43"/>
      <x:c r="AK461" s="43"/>
      <x:c r="AL461" s="43"/>
      <x:c r="AM461" s="43"/>
      <x:c r="AN461" s="43"/>
      <x:c r="AO461" s="43"/>
      <x:c r="AP461" s="43"/>
    </x:row>
    <x:row r="462" ht="15" hidden="0" customHeight="1">
      <x:c r="A462" s="43"/>
      <x:c r="B462" s="45"/>
      <x:c r="C462" s="43"/>
      <x:c r="D462" s="43"/>
      <x:c r="E462" s="43"/>
      <x:c r="F462" s="43"/>
      <x:c r="G462" s="43"/>
      <x:c r="H462" s="43"/>
      <x:c r="I462" s="43"/>
      <x:c r="J462" s="43"/>
      <x:c r="K462" s="43"/>
      <x:c r="L462" s="43"/>
      <x:c r="M462" s="43"/>
      <x:c r="N462" s="43"/>
      <x:c r="O462" s="43"/>
      <x:c r="P462" s="43"/>
      <x:c r="Q462" s="43"/>
      <x:c r="R462" s="43"/>
      <x:c r="S462" s="43"/>
      <x:c r="T462" s="43"/>
      <x:c r="U462" s="43"/>
      <x:c r="V462" s="43"/>
      <x:c r="W462" s="43"/>
      <x:c r="X462" s="43"/>
      <x:c r="Y462" s="43"/>
      <x:c r="Z462" s="43"/>
      <x:c r="AA462" s="43"/>
      <x:c r="AB462" s="43"/>
      <x:c r="AC462" s="43"/>
      <x:c r="AD462" s="43"/>
      <x:c r="AE462" s="43"/>
      <x:c r="AF462" s="43"/>
      <x:c r="AG462" s="43"/>
      <x:c r="AH462" s="43"/>
      <x:c r="AI462" s="43"/>
      <x:c r="AJ462" s="43"/>
      <x:c r="AK462" s="43"/>
      <x:c r="AL462" s="43"/>
      <x:c r="AM462" s="43"/>
      <x:c r="AN462" s="43"/>
      <x:c r="AO462" s="43"/>
      <x:c r="AP462" s="43"/>
    </x:row>
    <x:row r="463" ht="15" hidden="0" customHeight="1">
      <x:c r="A463" s="43"/>
      <x:c r="B463" s="45"/>
      <x:c r="C463" s="43"/>
      <x:c r="D463" s="43"/>
      <x:c r="E463" s="43"/>
      <x:c r="F463" s="43"/>
      <x:c r="G463" s="43"/>
      <x:c r="H463" s="43"/>
      <x:c r="I463" s="43"/>
      <x:c r="J463" s="43"/>
      <x:c r="K463" s="43"/>
      <x:c r="L463" s="43"/>
      <x:c r="M463" s="43"/>
      <x:c r="N463" s="43"/>
      <x:c r="O463" s="43"/>
      <x:c r="P463" s="43"/>
      <x:c r="Q463" s="43"/>
      <x:c r="R463" s="43"/>
      <x:c r="S463" s="43"/>
      <x:c r="T463" s="43"/>
      <x:c r="U463" s="43"/>
      <x:c r="V463" s="43"/>
      <x:c r="W463" s="43"/>
      <x:c r="X463" s="43"/>
      <x:c r="Y463" s="43"/>
      <x:c r="Z463" s="43"/>
      <x:c r="AA463" s="43"/>
      <x:c r="AB463" s="43"/>
      <x:c r="AC463" s="43"/>
      <x:c r="AD463" s="43"/>
      <x:c r="AE463" s="43"/>
      <x:c r="AF463" s="43"/>
      <x:c r="AG463" s="43"/>
      <x:c r="AH463" s="43"/>
      <x:c r="AI463" s="43"/>
      <x:c r="AJ463" s="43"/>
      <x:c r="AK463" s="43"/>
      <x:c r="AL463" s="43"/>
      <x:c r="AM463" s="43"/>
      <x:c r="AN463" s="43"/>
      <x:c r="AO463" s="43"/>
      <x:c r="AP463" s="43"/>
    </x:row>
    <x:row r="464" ht="15" hidden="0" customHeight="1">
      <x:c r="A464" s="43"/>
      <x:c r="B464" s="45"/>
      <x:c r="C464" s="43"/>
      <x:c r="D464" s="43"/>
      <x:c r="E464" s="43"/>
      <x:c r="F464" s="43"/>
      <x:c r="G464" s="43"/>
      <x:c r="H464" s="43"/>
      <x:c r="I464" s="43"/>
      <x:c r="J464" s="43"/>
      <x:c r="K464" s="43"/>
      <x:c r="L464" s="43"/>
      <x:c r="M464" s="43"/>
      <x:c r="N464" s="43"/>
      <x:c r="O464" s="43"/>
      <x:c r="P464" s="43"/>
      <x:c r="Q464" s="43"/>
      <x:c r="R464" s="43"/>
      <x:c r="S464" s="43"/>
      <x:c r="T464" s="43"/>
      <x:c r="U464" s="43"/>
      <x:c r="V464" s="43"/>
      <x:c r="W464" s="43"/>
      <x:c r="X464" s="43"/>
      <x:c r="Y464" s="43"/>
      <x:c r="Z464" s="43"/>
      <x:c r="AA464" s="43"/>
      <x:c r="AB464" s="43"/>
      <x:c r="AC464" s="43"/>
      <x:c r="AD464" s="43"/>
      <x:c r="AE464" s="43"/>
      <x:c r="AF464" s="43"/>
      <x:c r="AG464" s="43"/>
      <x:c r="AH464" s="43"/>
      <x:c r="AI464" s="43"/>
      <x:c r="AJ464" s="43"/>
      <x:c r="AK464" s="43"/>
      <x:c r="AL464" s="43"/>
      <x:c r="AM464" s="43"/>
      <x:c r="AN464" s="43"/>
      <x:c r="AO464" s="43"/>
      <x:c r="AP464" s="43"/>
    </x:row>
    <x:row r="465" ht="15" hidden="0" customHeight="1">
      <x:c r="A465" s="43"/>
      <x:c r="B465" s="45"/>
      <x:c r="C465" s="43"/>
      <x:c r="D465" s="43"/>
      <x:c r="E465" s="43"/>
      <x:c r="F465" s="43"/>
      <x:c r="G465" s="43"/>
      <x:c r="H465" s="43"/>
      <x:c r="I465" s="43"/>
      <x:c r="J465" s="43"/>
      <x:c r="K465" s="43"/>
      <x:c r="L465" s="43"/>
      <x:c r="M465" s="43"/>
      <x:c r="N465" s="43"/>
      <x:c r="O465" s="43"/>
      <x:c r="P465" s="43"/>
      <x:c r="Q465" s="43"/>
      <x:c r="R465" s="43"/>
      <x:c r="S465" s="43"/>
      <x:c r="T465" s="43"/>
      <x:c r="U465" s="43"/>
      <x:c r="V465" s="43"/>
      <x:c r="W465" s="43"/>
      <x:c r="X465" s="43"/>
      <x:c r="Y465" s="43"/>
      <x:c r="Z465" s="43"/>
      <x:c r="AA465" s="43"/>
      <x:c r="AB465" s="43"/>
      <x:c r="AC465" s="43"/>
      <x:c r="AD465" s="43"/>
      <x:c r="AE465" s="43"/>
      <x:c r="AF465" s="43"/>
      <x:c r="AG465" s="43"/>
      <x:c r="AH465" s="43"/>
      <x:c r="AI465" s="43"/>
      <x:c r="AJ465" s="43"/>
      <x:c r="AK465" s="43"/>
      <x:c r="AL465" s="43"/>
      <x:c r="AM465" s="43"/>
      <x:c r="AN465" s="43"/>
      <x:c r="AO465" s="43"/>
      <x:c r="AP465" s="43"/>
    </x:row>
    <x:row r="466" ht="15" hidden="0" customHeight="1">
      <x:c r="A466" s="43"/>
      <x:c r="B466" s="45"/>
      <x:c r="C466" s="43"/>
      <x:c r="D466" s="43"/>
      <x:c r="E466" s="43"/>
      <x:c r="F466" s="43"/>
      <x:c r="G466" s="43"/>
      <x:c r="H466" s="43"/>
      <x:c r="I466" s="43"/>
      <x:c r="J466" s="43"/>
      <x:c r="K466" s="43"/>
      <x:c r="L466" s="43"/>
      <x:c r="M466" s="43"/>
      <x:c r="N466" s="43"/>
      <x:c r="O466" s="43"/>
      <x:c r="P466" s="43"/>
      <x:c r="Q466" s="43"/>
      <x:c r="R466" s="43"/>
      <x:c r="S466" s="43"/>
      <x:c r="T466" s="43"/>
      <x:c r="U466" s="43"/>
      <x:c r="V466" s="43"/>
      <x:c r="W466" s="43"/>
      <x:c r="X466" s="43"/>
      <x:c r="Y466" s="43"/>
      <x:c r="Z466" s="43"/>
      <x:c r="AA466" s="43"/>
      <x:c r="AB466" s="43"/>
      <x:c r="AC466" s="43"/>
      <x:c r="AD466" s="43"/>
      <x:c r="AE466" s="43"/>
      <x:c r="AF466" s="43"/>
      <x:c r="AG466" s="43"/>
      <x:c r="AH466" s="43"/>
      <x:c r="AI466" s="43"/>
      <x:c r="AJ466" s="43"/>
      <x:c r="AK466" s="43"/>
      <x:c r="AL466" s="43"/>
      <x:c r="AM466" s="43"/>
      <x:c r="AN466" s="43"/>
      <x:c r="AO466" s="43"/>
      <x:c r="AP466" s="43"/>
    </x:row>
    <x:row r="467" ht="15" hidden="0" customHeight="1">
      <x:c r="A467" s="43"/>
      <x:c r="B467" s="45"/>
      <x:c r="C467" s="43"/>
      <x:c r="D467" s="43"/>
      <x:c r="E467" s="43"/>
      <x:c r="F467" s="43"/>
      <x:c r="G467" s="43"/>
      <x:c r="H467" s="43"/>
      <x:c r="I467" s="43"/>
      <x:c r="J467" s="43"/>
      <x:c r="K467" s="43"/>
      <x:c r="L467" s="43"/>
      <x:c r="M467" s="43"/>
      <x:c r="N467" s="43"/>
      <x:c r="O467" s="43"/>
      <x:c r="P467" s="43"/>
      <x:c r="Q467" s="43"/>
      <x:c r="R467" s="43"/>
      <x:c r="S467" s="43"/>
      <x:c r="T467" s="43"/>
      <x:c r="U467" s="43"/>
      <x:c r="V467" s="43"/>
      <x:c r="W467" s="43"/>
      <x:c r="X467" s="43"/>
      <x:c r="Y467" s="43"/>
      <x:c r="Z467" s="43"/>
      <x:c r="AA467" s="43"/>
      <x:c r="AB467" s="43"/>
      <x:c r="AC467" s="43"/>
      <x:c r="AD467" s="43"/>
      <x:c r="AE467" s="43"/>
      <x:c r="AF467" s="43"/>
      <x:c r="AG467" s="43"/>
      <x:c r="AH467" s="43"/>
      <x:c r="AI467" s="43"/>
      <x:c r="AJ467" s="43"/>
      <x:c r="AK467" s="43"/>
      <x:c r="AL467" s="43"/>
      <x:c r="AM467" s="43"/>
      <x:c r="AN467" s="43"/>
      <x:c r="AO467" s="43"/>
      <x:c r="AP467" s="43"/>
    </x:row>
    <x:row r="468" ht="15" hidden="0" customHeight="1">
      <x:c r="A468" s="43"/>
      <x:c r="B468" s="45"/>
      <x:c r="C468" s="43"/>
      <x:c r="D468" s="43"/>
      <x:c r="E468" s="43"/>
      <x:c r="F468" s="43"/>
      <x:c r="G468" s="43"/>
      <x:c r="H468" s="43"/>
      <x:c r="I468" s="43"/>
      <x:c r="J468" s="43"/>
      <x:c r="K468" s="43"/>
      <x:c r="L468" s="43"/>
      <x:c r="M468" s="43"/>
      <x:c r="N468" s="43"/>
      <x:c r="O468" s="43"/>
      <x:c r="P468" s="43"/>
      <x:c r="Q468" s="43"/>
      <x:c r="R468" s="43"/>
      <x:c r="S468" s="43"/>
      <x:c r="T468" s="43"/>
      <x:c r="U468" s="43"/>
      <x:c r="V468" s="43"/>
      <x:c r="W468" s="43"/>
      <x:c r="X468" s="43"/>
      <x:c r="Y468" s="43"/>
      <x:c r="Z468" s="43"/>
      <x:c r="AA468" s="43"/>
      <x:c r="AB468" s="43"/>
      <x:c r="AC468" s="43"/>
      <x:c r="AD468" s="43"/>
      <x:c r="AE468" s="43"/>
      <x:c r="AF468" s="43"/>
      <x:c r="AG468" s="43"/>
      <x:c r="AH468" s="43"/>
      <x:c r="AI468" s="43"/>
      <x:c r="AJ468" s="43"/>
      <x:c r="AK468" s="43"/>
      <x:c r="AL468" s="43"/>
      <x:c r="AM468" s="43"/>
      <x:c r="AN468" s="43"/>
      <x:c r="AO468" s="43"/>
      <x:c r="AP468" s="43"/>
    </x:row>
    <x:row r="469" ht="15" hidden="0" customHeight="1">
      <x:c r="A469" s="43"/>
      <x:c r="B469" s="45"/>
      <x:c r="C469" s="43"/>
      <x:c r="D469" s="43"/>
      <x:c r="E469" s="43"/>
      <x:c r="F469" s="43"/>
      <x:c r="G469" s="43"/>
      <x:c r="H469" s="43"/>
      <x:c r="I469" s="43"/>
      <x:c r="J469" s="43"/>
      <x:c r="K469" s="43"/>
      <x:c r="L469" s="43"/>
      <x:c r="M469" s="43"/>
      <x:c r="N469" s="43"/>
      <x:c r="O469" s="43"/>
      <x:c r="P469" s="43"/>
      <x:c r="Q469" s="43"/>
      <x:c r="R469" s="43"/>
      <x:c r="S469" s="43"/>
      <x:c r="T469" s="43"/>
      <x:c r="U469" s="43"/>
      <x:c r="V469" s="43"/>
      <x:c r="W469" s="43"/>
      <x:c r="X469" s="43"/>
      <x:c r="Y469" s="43"/>
      <x:c r="Z469" s="43"/>
      <x:c r="AA469" s="43"/>
      <x:c r="AB469" s="43"/>
      <x:c r="AC469" s="43"/>
      <x:c r="AD469" s="43"/>
      <x:c r="AE469" s="43"/>
      <x:c r="AF469" s="43"/>
      <x:c r="AG469" s="43"/>
      <x:c r="AH469" s="43"/>
      <x:c r="AI469" s="43"/>
      <x:c r="AJ469" s="43"/>
      <x:c r="AK469" s="43"/>
      <x:c r="AL469" s="43"/>
      <x:c r="AM469" s="43"/>
      <x:c r="AN469" s="43"/>
      <x:c r="AO469" s="43"/>
      <x:c r="AP469" s="43"/>
    </x:row>
    <x:row r="470" ht="15" hidden="0" customHeight="1">
      <x:c r="A470" s="43"/>
      <x:c r="B470" s="45"/>
      <x:c r="C470" s="43"/>
      <x:c r="D470" s="43"/>
      <x:c r="E470" s="43"/>
      <x:c r="F470" s="43"/>
      <x:c r="G470" s="43"/>
      <x:c r="H470" s="43"/>
      <x:c r="I470" s="43"/>
      <x:c r="J470" s="43"/>
      <x:c r="K470" s="43"/>
      <x:c r="L470" s="43"/>
      <x:c r="M470" s="43"/>
      <x:c r="N470" s="43"/>
      <x:c r="O470" s="43"/>
      <x:c r="P470" s="43"/>
      <x:c r="Q470" s="43"/>
      <x:c r="R470" s="43"/>
      <x:c r="S470" s="43"/>
      <x:c r="T470" s="43"/>
      <x:c r="U470" s="43"/>
      <x:c r="V470" s="43"/>
      <x:c r="W470" s="43"/>
      <x:c r="X470" s="43"/>
      <x:c r="Y470" s="43"/>
      <x:c r="Z470" s="43"/>
      <x:c r="AA470" s="43"/>
      <x:c r="AB470" s="43"/>
      <x:c r="AC470" s="43"/>
      <x:c r="AD470" s="43"/>
      <x:c r="AE470" s="43"/>
      <x:c r="AF470" s="43"/>
      <x:c r="AG470" s="43"/>
      <x:c r="AH470" s="43"/>
      <x:c r="AI470" s="43"/>
      <x:c r="AJ470" s="43"/>
      <x:c r="AK470" s="43"/>
      <x:c r="AL470" s="43"/>
      <x:c r="AM470" s="43"/>
      <x:c r="AN470" s="43"/>
      <x:c r="AO470" s="43"/>
      <x:c r="AP470" s="43"/>
    </x:row>
    <x:row r="471" ht="15" hidden="0" customHeight="1">
      <x:c r="A471" s="43"/>
      <x:c r="B471" s="45"/>
      <x:c r="C471" s="43"/>
      <x:c r="D471" s="43"/>
      <x:c r="E471" s="43"/>
      <x:c r="F471" s="43"/>
      <x:c r="G471" s="43"/>
      <x:c r="H471" s="43"/>
      <x:c r="I471" s="43"/>
      <x:c r="J471" s="43"/>
      <x:c r="K471" s="43"/>
      <x:c r="L471" s="43"/>
      <x:c r="M471" s="43"/>
      <x:c r="N471" s="43"/>
      <x:c r="O471" s="43"/>
      <x:c r="P471" s="43"/>
      <x:c r="Q471" s="43"/>
      <x:c r="R471" s="43"/>
      <x:c r="S471" s="43"/>
      <x:c r="T471" s="43"/>
      <x:c r="U471" s="43"/>
      <x:c r="V471" s="43"/>
      <x:c r="W471" s="43"/>
      <x:c r="X471" s="43"/>
      <x:c r="Y471" s="43"/>
      <x:c r="Z471" s="43"/>
      <x:c r="AA471" s="43"/>
      <x:c r="AB471" s="43"/>
      <x:c r="AC471" s="43"/>
      <x:c r="AD471" s="43"/>
      <x:c r="AE471" s="43"/>
      <x:c r="AF471" s="43"/>
      <x:c r="AG471" s="43"/>
      <x:c r="AH471" s="43"/>
      <x:c r="AI471" s="43"/>
      <x:c r="AJ471" s="43"/>
      <x:c r="AK471" s="43"/>
      <x:c r="AL471" s="43"/>
      <x:c r="AM471" s="43"/>
      <x:c r="AN471" s="43"/>
      <x:c r="AO471" s="43"/>
      <x:c r="AP471" s="43"/>
    </x:row>
    <x:row r="472" ht="15" hidden="0" customHeight="1">
      <x:c r="A472" s="43"/>
      <x:c r="B472" s="45"/>
      <x:c r="C472" s="43"/>
      <x:c r="D472" s="43"/>
      <x:c r="E472" s="43"/>
      <x:c r="F472" s="43"/>
      <x:c r="G472" s="43"/>
      <x:c r="H472" s="43"/>
      <x:c r="I472" s="43"/>
      <x:c r="J472" s="43"/>
      <x:c r="K472" s="43"/>
      <x:c r="L472" s="43"/>
      <x:c r="M472" s="43"/>
      <x:c r="N472" s="43"/>
      <x:c r="O472" s="43"/>
      <x:c r="P472" s="43"/>
      <x:c r="Q472" s="43"/>
      <x:c r="R472" s="43"/>
      <x:c r="S472" s="43"/>
      <x:c r="T472" s="43"/>
      <x:c r="U472" s="43"/>
      <x:c r="V472" s="43"/>
      <x:c r="W472" s="43"/>
      <x:c r="X472" s="43"/>
      <x:c r="Y472" s="43"/>
      <x:c r="Z472" s="43"/>
      <x:c r="AA472" s="43"/>
      <x:c r="AB472" s="43"/>
      <x:c r="AC472" s="43"/>
      <x:c r="AD472" s="43"/>
      <x:c r="AE472" s="43"/>
      <x:c r="AF472" s="43"/>
      <x:c r="AG472" s="43"/>
      <x:c r="AH472" s="43"/>
      <x:c r="AI472" s="43"/>
      <x:c r="AJ472" s="43"/>
      <x:c r="AK472" s="43"/>
      <x:c r="AL472" s="43"/>
      <x:c r="AM472" s="43"/>
      <x:c r="AN472" s="43"/>
      <x:c r="AO472" s="43"/>
      <x:c r="AP472" s="43"/>
    </x:row>
    <x:row r="473" ht="15" hidden="0" customHeight="1">
      <x:c r="A473" s="43"/>
      <x:c r="B473" s="45"/>
      <x:c r="C473" s="43"/>
      <x:c r="D473" s="43"/>
      <x:c r="E473" s="43"/>
      <x:c r="F473" s="43"/>
      <x:c r="G473" s="43"/>
      <x:c r="H473" s="43"/>
      <x:c r="I473" s="43"/>
      <x:c r="J473" s="43"/>
      <x:c r="K473" s="43"/>
      <x:c r="L473" s="43"/>
      <x:c r="M473" s="43"/>
      <x:c r="N473" s="43"/>
      <x:c r="O473" s="43"/>
      <x:c r="P473" s="43"/>
      <x:c r="Q473" s="43"/>
      <x:c r="R473" s="43"/>
      <x:c r="S473" s="43"/>
      <x:c r="T473" s="43"/>
      <x:c r="U473" s="43"/>
      <x:c r="V473" s="43"/>
      <x:c r="W473" s="43"/>
      <x:c r="X473" s="43"/>
      <x:c r="Y473" s="43"/>
      <x:c r="Z473" s="43"/>
      <x:c r="AA473" s="43"/>
      <x:c r="AB473" s="43"/>
      <x:c r="AC473" s="43"/>
      <x:c r="AD473" s="43"/>
      <x:c r="AE473" s="43"/>
      <x:c r="AF473" s="43"/>
      <x:c r="AG473" s="43"/>
      <x:c r="AH473" s="43"/>
      <x:c r="AI473" s="43"/>
      <x:c r="AJ473" s="43"/>
      <x:c r="AK473" s="43"/>
      <x:c r="AL473" s="43"/>
      <x:c r="AM473" s="43"/>
      <x:c r="AN473" s="43"/>
      <x:c r="AO473" s="43"/>
      <x:c r="AP473" s="43"/>
    </x:row>
    <x:row r="474" ht="15" hidden="0" customHeight="1">
      <x:c r="A474" s="43"/>
      <x:c r="B474" s="45"/>
      <x:c r="C474" s="43"/>
      <x:c r="D474" s="43"/>
      <x:c r="E474" s="43"/>
      <x:c r="F474" s="43"/>
      <x:c r="G474" s="43"/>
      <x:c r="H474" s="43"/>
      <x:c r="I474" s="43"/>
      <x:c r="J474" s="43"/>
      <x:c r="K474" s="43"/>
      <x:c r="L474" s="43"/>
      <x:c r="M474" s="43"/>
      <x:c r="N474" s="43"/>
      <x:c r="O474" s="43"/>
      <x:c r="P474" s="43"/>
      <x:c r="Q474" s="43"/>
      <x:c r="R474" s="43"/>
      <x:c r="S474" s="43"/>
      <x:c r="T474" s="43"/>
      <x:c r="U474" s="43"/>
      <x:c r="V474" s="43"/>
      <x:c r="W474" s="43"/>
      <x:c r="X474" s="43"/>
      <x:c r="Y474" s="43"/>
      <x:c r="Z474" s="43"/>
      <x:c r="AA474" s="43"/>
      <x:c r="AB474" s="43"/>
      <x:c r="AC474" s="43"/>
      <x:c r="AD474" s="43"/>
      <x:c r="AE474" s="43"/>
      <x:c r="AF474" s="43"/>
      <x:c r="AG474" s="43"/>
      <x:c r="AH474" s="43"/>
      <x:c r="AI474" s="43"/>
      <x:c r="AJ474" s="43"/>
      <x:c r="AK474" s="43"/>
      <x:c r="AL474" s="43"/>
      <x:c r="AM474" s="43"/>
      <x:c r="AN474" s="43"/>
      <x:c r="AO474" s="43"/>
      <x:c r="AP474" s="43"/>
    </x:row>
    <x:row r="475" ht="15" hidden="0" customHeight="1">
      <x:c r="A475" s="43"/>
      <x:c r="B475" s="45"/>
      <x:c r="C475" s="43"/>
      <x:c r="D475" s="43"/>
      <x:c r="E475" s="43"/>
      <x:c r="F475" s="43"/>
      <x:c r="G475" s="43"/>
      <x:c r="H475" s="43"/>
      <x:c r="I475" s="43"/>
      <x:c r="J475" s="43"/>
      <x:c r="K475" s="43"/>
      <x:c r="L475" s="43"/>
      <x:c r="M475" s="43"/>
      <x:c r="N475" s="43"/>
      <x:c r="O475" s="43"/>
      <x:c r="P475" s="43"/>
      <x:c r="Q475" s="43"/>
      <x:c r="R475" s="43"/>
      <x:c r="S475" s="43"/>
      <x:c r="T475" s="43"/>
      <x:c r="U475" s="43"/>
      <x:c r="V475" s="43"/>
      <x:c r="W475" s="43"/>
      <x:c r="X475" s="43"/>
      <x:c r="Y475" s="43"/>
      <x:c r="Z475" s="43"/>
      <x:c r="AA475" s="43"/>
      <x:c r="AB475" s="43"/>
      <x:c r="AC475" s="43"/>
      <x:c r="AD475" s="43"/>
      <x:c r="AE475" s="43"/>
      <x:c r="AF475" s="43"/>
      <x:c r="AG475" s="43"/>
      <x:c r="AH475" s="43"/>
      <x:c r="AI475" s="43"/>
      <x:c r="AJ475" s="43"/>
      <x:c r="AK475" s="43"/>
      <x:c r="AL475" s="43"/>
      <x:c r="AM475" s="43"/>
      <x:c r="AN475" s="43"/>
      <x:c r="AO475" s="43"/>
      <x:c r="AP475" s="43"/>
    </x:row>
    <x:row r="476" ht="15" hidden="0" customHeight="1">
      <x:c r="A476" s="43"/>
      <x:c r="B476" s="45"/>
      <x:c r="C476" s="43"/>
      <x:c r="D476" s="43"/>
      <x:c r="E476" s="43"/>
      <x:c r="F476" s="43"/>
      <x:c r="G476" s="43"/>
      <x:c r="H476" s="43"/>
      <x:c r="I476" s="43"/>
      <x:c r="J476" s="43"/>
      <x:c r="K476" s="43"/>
      <x:c r="L476" s="43"/>
      <x:c r="M476" s="43"/>
      <x:c r="N476" s="43"/>
      <x:c r="O476" s="43"/>
      <x:c r="P476" s="43"/>
      <x:c r="Q476" s="43"/>
      <x:c r="R476" s="43"/>
      <x:c r="S476" s="43"/>
      <x:c r="T476" s="43"/>
      <x:c r="U476" s="43"/>
      <x:c r="V476" s="43"/>
      <x:c r="W476" s="43"/>
      <x:c r="X476" s="43"/>
      <x:c r="Y476" s="43"/>
      <x:c r="Z476" s="43"/>
      <x:c r="AA476" s="43"/>
      <x:c r="AB476" s="43"/>
      <x:c r="AC476" s="43"/>
      <x:c r="AD476" s="43"/>
      <x:c r="AE476" s="43"/>
      <x:c r="AF476" s="43"/>
      <x:c r="AG476" s="43"/>
      <x:c r="AH476" s="43"/>
      <x:c r="AI476" s="43"/>
      <x:c r="AJ476" s="43"/>
      <x:c r="AK476" s="43"/>
      <x:c r="AL476" s="43"/>
      <x:c r="AM476" s="43"/>
      <x:c r="AN476" s="43"/>
      <x:c r="AO476" s="43"/>
      <x:c r="AP476" s="43"/>
    </x:row>
    <x:row r="477" ht="15" hidden="0" customHeight="1">
      <x:c r="A477" s="43"/>
      <x:c r="B477" s="45"/>
      <x:c r="C477" s="43"/>
      <x:c r="D477" s="43"/>
      <x:c r="E477" s="43"/>
      <x:c r="F477" s="43"/>
      <x:c r="G477" s="43"/>
      <x:c r="H477" s="43"/>
      <x:c r="I477" s="43"/>
      <x:c r="J477" s="43"/>
      <x:c r="K477" s="43"/>
      <x:c r="L477" s="43"/>
      <x:c r="M477" s="43"/>
      <x:c r="N477" s="43"/>
      <x:c r="O477" s="43"/>
      <x:c r="P477" s="43"/>
      <x:c r="Q477" s="43"/>
      <x:c r="R477" s="43"/>
      <x:c r="S477" s="43"/>
      <x:c r="T477" s="43"/>
      <x:c r="U477" s="43"/>
      <x:c r="V477" s="43"/>
      <x:c r="W477" s="43"/>
      <x:c r="X477" s="43"/>
      <x:c r="Y477" s="43"/>
      <x:c r="Z477" s="43"/>
      <x:c r="AA477" s="43"/>
      <x:c r="AB477" s="43"/>
      <x:c r="AC477" s="43"/>
      <x:c r="AD477" s="43"/>
      <x:c r="AE477" s="43"/>
      <x:c r="AF477" s="43"/>
      <x:c r="AG477" s="43"/>
      <x:c r="AH477" s="43"/>
      <x:c r="AI477" s="43"/>
      <x:c r="AJ477" s="43"/>
      <x:c r="AK477" s="43"/>
      <x:c r="AL477" s="43"/>
      <x:c r="AM477" s="43"/>
      <x:c r="AN477" s="43"/>
      <x:c r="AO477" s="43"/>
      <x:c r="AP477" s="43"/>
    </x:row>
    <x:row r="478" ht="15" hidden="0" customHeight="1">
      <x:c r="A478" s="43"/>
      <x:c r="B478" s="45"/>
      <x:c r="C478" s="43"/>
      <x:c r="D478" s="43"/>
      <x:c r="E478" s="43"/>
      <x:c r="F478" s="43"/>
      <x:c r="G478" s="43"/>
      <x:c r="H478" s="43"/>
      <x:c r="I478" s="43"/>
      <x:c r="J478" s="43"/>
      <x:c r="K478" s="43"/>
      <x:c r="L478" s="43"/>
      <x:c r="M478" s="43"/>
      <x:c r="N478" s="43"/>
      <x:c r="O478" s="43"/>
      <x:c r="P478" s="43"/>
      <x:c r="Q478" s="43"/>
      <x:c r="R478" s="43"/>
      <x:c r="S478" s="43"/>
      <x:c r="T478" s="43"/>
      <x:c r="U478" s="43"/>
      <x:c r="V478" s="43"/>
      <x:c r="W478" s="43"/>
      <x:c r="X478" s="43"/>
      <x:c r="Y478" s="43"/>
      <x:c r="Z478" s="43"/>
      <x:c r="AA478" s="43"/>
      <x:c r="AB478" s="43"/>
      <x:c r="AC478" s="43"/>
      <x:c r="AD478" s="43"/>
      <x:c r="AE478" s="43"/>
      <x:c r="AF478" s="43"/>
      <x:c r="AG478" s="43"/>
      <x:c r="AH478" s="43"/>
      <x:c r="AI478" s="43"/>
      <x:c r="AJ478" s="43"/>
      <x:c r="AK478" s="43"/>
      <x:c r="AL478" s="43"/>
      <x:c r="AM478" s="43"/>
      <x:c r="AN478" s="43"/>
      <x:c r="AO478" s="43"/>
      <x:c r="AP478" s="43"/>
    </x:row>
    <x:row r="479" ht="15" hidden="0" customHeight="1">
      <x:c r="A479" s="43"/>
      <x:c r="B479" s="45"/>
      <x:c r="C479" s="43"/>
      <x:c r="D479" s="43"/>
      <x:c r="E479" s="43"/>
      <x:c r="F479" s="43"/>
      <x:c r="G479" s="43"/>
      <x:c r="H479" s="43"/>
      <x:c r="I479" s="43"/>
      <x:c r="J479" s="43"/>
      <x:c r="K479" s="43"/>
      <x:c r="L479" s="43"/>
      <x:c r="M479" s="43"/>
      <x:c r="N479" s="43"/>
      <x:c r="O479" s="43"/>
      <x:c r="P479" s="43"/>
      <x:c r="Q479" s="43"/>
      <x:c r="R479" s="43"/>
      <x:c r="S479" s="43"/>
      <x:c r="T479" s="43"/>
      <x:c r="U479" s="43"/>
      <x:c r="V479" s="43"/>
      <x:c r="W479" s="43"/>
      <x:c r="X479" s="43"/>
      <x:c r="Y479" s="43"/>
      <x:c r="Z479" s="43"/>
      <x:c r="AA479" s="43"/>
      <x:c r="AB479" s="43"/>
      <x:c r="AC479" s="43"/>
      <x:c r="AD479" s="43"/>
      <x:c r="AE479" s="43"/>
      <x:c r="AF479" s="43"/>
      <x:c r="AG479" s="43"/>
      <x:c r="AH479" s="43"/>
      <x:c r="AI479" s="43"/>
      <x:c r="AJ479" s="43"/>
      <x:c r="AK479" s="43"/>
      <x:c r="AL479" s="43"/>
      <x:c r="AM479" s="43"/>
      <x:c r="AN479" s="43"/>
      <x:c r="AO479" s="43"/>
      <x:c r="AP479" s="43"/>
    </x:row>
    <x:row r="480" ht="15" hidden="0" customHeight="1">
      <x:c r="A480" s="43"/>
      <x:c r="B480" s="45"/>
      <x:c r="C480" s="43"/>
      <x:c r="D480" s="43"/>
      <x:c r="E480" s="43"/>
      <x:c r="F480" s="43"/>
      <x:c r="G480" s="43"/>
      <x:c r="H480" s="43"/>
      <x:c r="I480" s="43"/>
      <x:c r="J480" s="43"/>
      <x:c r="K480" s="43"/>
      <x:c r="L480" s="43"/>
      <x:c r="M480" s="43"/>
      <x:c r="N480" s="43"/>
      <x:c r="O480" s="43"/>
      <x:c r="P480" s="43"/>
      <x:c r="Q480" s="43"/>
      <x:c r="R480" s="43"/>
      <x:c r="S480" s="43"/>
      <x:c r="T480" s="43"/>
      <x:c r="U480" s="43"/>
      <x:c r="V480" s="43"/>
      <x:c r="W480" s="43"/>
      <x:c r="X480" s="43"/>
      <x:c r="Y480" s="43"/>
      <x:c r="Z480" s="43"/>
      <x:c r="AA480" s="43"/>
      <x:c r="AB480" s="43"/>
      <x:c r="AC480" s="43"/>
      <x:c r="AD480" s="43"/>
      <x:c r="AE480" s="43"/>
      <x:c r="AF480" s="43"/>
      <x:c r="AG480" s="43"/>
      <x:c r="AH480" s="43"/>
      <x:c r="AI480" s="43"/>
      <x:c r="AJ480" s="43"/>
      <x:c r="AK480" s="43"/>
      <x:c r="AL480" s="43"/>
      <x:c r="AM480" s="43"/>
      <x:c r="AN480" s="43"/>
      <x:c r="AO480" s="43"/>
      <x:c r="AP480" s="43"/>
    </x:row>
    <x:row r="481" ht="15" hidden="0" customHeight="1">
      <x:c r="A481" s="43"/>
      <x:c r="B481" s="45"/>
      <x:c r="C481" s="43"/>
      <x:c r="D481" s="43"/>
      <x:c r="E481" s="43"/>
      <x:c r="F481" s="43"/>
      <x:c r="G481" s="43"/>
      <x:c r="H481" s="43"/>
      <x:c r="I481" s="43"/>
      <x:c r="J481" s="43"/>
      <x:c r="K481" s="43"/>
      <x:c r="L481" s="43"/>
      <x:c r="M481" s="43"/>
      <x:c r="N481" s="43"/>
      <x:c r="O481" s="43"/>
      <x:c r="P481" s="43"/>
      <x:c r="Q481" s="43"/>
      <x:c r="R481" s="43"/>
      <x:c r="S481" s="43"/>
      <x:c r="T481" s="43"/>
      <x:c r="U481" s="43"/>
      <x:c r="V481" s="43"/>
      <x:c r="W481" s="43"/>
      <x:c r="X481" s="43"/>
      <x:c r="Y481" s="43"/>
      <x:c r="Z481" s="43"/>
      <x:c r="AA481" s="43"/>
      <x:c r="AB481" s="43"/>
      <x:c r="AC481" s="43"/>
      <x:c r="AD481" s="43"/>
      <x:c r="AE481" s="43"/>
      <x:c r="AF481" s="43"/>
      <x:c r="AG481" s="43"/>
      <x:c r="AH481" s="43"/>
      <x:c r="AI481" s="43"/>
      <x:c r="AJ481" s="43"/>
      <x:c r="AK481" s="43"/>
      <x:c r="AL481" s="43"/>
      <x:c r="AM481" s="43"/>
      <x:c r="AN481" s="43"/>
      <x:c r="AO481" s="43"/>
      <x:c r="AP481" s="43"/>
    </x:row>
    <x:row r="482" ht="15" hidden="0" customHeight="1">
      <x:c r="A482" s="43"/>
      <x:c r="B482" s="45"/>
      <x:c r="C482" s="43"/>
      <x:c r="D482" s="43"/>
      <x:c r="E482" s="43"/>
      <x:c r="F482" s="43"/>
      <x:c r="G482" s="43"/>
      <x:c r="H482" s="43"/>
      <x:c r="I482" s="43"/>
      <x:c r="J482" s="43"/>
      <x:c r="K482" s="43"/>
      <x:c r="L482" s="43"/>
      <x:c r="M482" s="43"/>
      <x:c r="N482" s="43"/>
      <x:c r="O482" s="43"/>
      <x:c r="P482" s="43"/>
      <x:c r="Q482" s="43"/>
      <x:c r="R482" s="43"/>
      <x:c r="S482" s="43"/>
      <x:c r="T482" s="43"/>
      <x:c r="U482" s="43"/>
      <x:c r="V482" s="43"/>
      <x:c r="W482" s="43"/>
      <x:c r="X482" s="43"/>
      <x:c r="Y482" s="43"/>
      <x:c r="Z482" s="43"/>
      <x:c r="AA482" s="43"/>
      <x:c r="AB482" s="43"/>
      <x:c r="AC482" s="43"/>
      <x:c r="AD482" s="43"/>
      <x:c r="AE482" s="43"/>
      <x:c r="AF482" s="43"/>
      <x:c r="AG482" s="43"/>
      <x:c r="AH482" s="43"/>
      <x:c r="AI482" s="43"/>
      <x:c r="AJ482" s="43"/>
      <x:c r="AK482" s="43"/>
      <x:c r="AL482" s="43"/>
      <x:c r="AM482" s="43"/>
      <x:c r="AN482" s="43"/>
      <x:c r="AO482" s="43"/>
      <x:c r="AP482" s="43"/>
    </x:row>
    <x:row r="483" ht="15" hidden="0" customHeight="1">
      <x:c r="A483" s="43"/>
      <x:c r="B483" s="45"/>
      <x:c r="C483" s="43"/>
      <x:c r="D483" s="43"/>
      <x:c r="E483" s="43"/>
      <x:c r="F483" s="43"/>
      <x:c r="G483" s="43"/>
      <x:c r="H483" s="43"/>
      <x:c r="I483" s="43"/>
      <x:c r="J483" s="43"/>
      <x:c r="K483" s="43"/>
      <x:c r="L483" s="43"/>
      <x:c r="M483" s="43"/>
      <x:c r="N483" s="43"/>
      <x:c r="O483" s="43"/>
      <x:c r="P483" s="43"/>
      <x:c r="Q483" s="43"/>
      <x:c r="R483" s="43"/>
      <x:c r="S483" s="43"/>
      <x:c r="T483" s="43"/>
      <x:c r="U483" s="43"/>
      <x:c r="V483" s="43"/>
      <x:c r="W483" s="43"/>
      <x:c r="X483" s="43"/>
      <x:c r="Y483" s="43"/>
      <x:c r="Z483" s="43"/>
      <x:c r="AA483" s="43"/>
      <x:c r="AB483" s="43"/>
      <x:c r="AC483" s="43"/>
      <x:c r="AD483" s="43"/>
      <x:c r="AE483" s="43"/>
      <x:c r="AF483" s="43"/>
      <x:c r="AG483" s="43"/>
      <x:c r="AH483" s="43"/>
      <x:c r="AI483" s="43"/>
      <x:c r="AJ483" s="43"/>
      <x:c r="AK483" s="43"/>
      <x:c r="AL483" s="43"/>
      <x:c r="AM483" s="43"/>
      <x:c r="AN483" s="43"/>
      <x:c r="AO483" s="43"/>
      <x:c r="AP483" s="43"/>
    </x:row>
    <x:row r="484" ht="15" hidden="0" customHeight="1">
      <x:c r="A484" s="43"/>
      <x:c r="B484" s="45"/>
      <x:c r="C484" s="43"/>
      <x:c r="D484" s="43"/>
      <x:c r="E484" s="43"/>
      <x:c r="F484" s="43"/>
      <x:c r="G484" s="43"/>
      <x:c r="H484" s="43"/>
      <x:c r="I484" s="43"/>
      <x:c r="J484" s="43"/>
      <x:c r="K484" s="43"/>
      <x:c r="L484" s="43"/>
      <x:c r="M484" s="43"/>
      <x:c r="N484" s="43"/>
      <x:c r="O484" s="43"/>
      <x:c r="P484" s="43"/>
      <x:c r="Q484" s="43"/>
      <x:c r="R484" s="43"/>
      <x:c r="S484" s="43"/>
      <x:c r="T484" s="43"/>
      <x:c r="U484" s="43"/>
      <x:c r="V484" s="43"/>
      <x:c r="W484" s="43"/>
      <x:c r="X484" s="43"/>
      <x:c r="Y484" s="43"/>
      <x:c r="Z484" s="43"/>
      <x:c r="AA484" s="43"/>
      <x:c r="AB484" s="43"/>
      <x:c r="AC484" s="43"/>
      <x:c r="AD484" s="43"/>
      <x:c r="AE484" s="43"/>
      <x:c r="AF484" s="43"/>
      <x:c r="AG484" s="43"/>
      <x:c r="AH484" s="43"/>
      <x:c r="AI484" s="43"/>
      <x:c r="AJ484" s="43"/>
      <x:c r="AK484" s="43"/>
      <x:c r="AL484" s="43"/>
      <x:c r="AM484" s="43"/>
      <x:c r="AN484" s="43"/>
      <x:c r="AO484" s="43"/>
      <x:c r="AP484" s="43"/>
    </x:row>
    <x:row r="485" ht="15" hidden="0" customHeight="1">
      <x:c r="A485" s="43"/>
      <x:c r="B485" s="45"/>
      <x:c r="C485" s="43"/>
      <x:c r="D485" s="43"/>
      <x:c r="E485" s="43"/>
      <x:c r="F485" s="43"/>
      <x:c r="G485" s="43"/>
      <x:c r="H485" s="43"/>
      <x:c r="I485" s="43"/>
      <x:c r="J485" s="43"/>
      <x:c r="K485" s="43"/>
      <x:c r="L485" s="43"/>
      <x:c r="M485" s="43"/>
      <x:c r="N485" s="43"/>
      <x:c r="O485" s="43"/>
      <x:c r="P485" s="43"/>
      <x:c r="Q485" s="43"/>
      <x:c r="R485" s="43"/>
      <x:c r="S485" s="43"/>
      <x:c r="T485" s="43"/>
      <x:c r="U485" s="43"/>
      <x:c r="V485" s="43"/>
      <x:c r="W485" s="43"/>
      <x:c r="X485" s="43"/>
      <x:c r="Y485" s="43"/>
      <x:c r="Z485" s="43"/>
      <x:c r="AA485" s="43"/>
      <x:c r="AB485" s="43"/>
      <x:c r="AC485" s="43"/>
      <x:c r="AD485" s="43"/>
      <x:c r="AE485" s="43"/>
      <x:c r="AF485" s="43"/>
      <x:c r="AG485" s="43"/>
      <x:c r="AH485" s="43"/>
      <x:c r="AI485" s="43"/>
      <x:c r="AJ485" s="43"/>
      <x:c r="AK485" s="43"/>
      <x:c r="AL485" s="43"/>
      <x:c r="AM485" s="43"/>
      <x:c r="AN485" s="43"/>
      <x:c r="AO485" s="43"/>
      <x:c r="AP485" s="43"/>
    </x:row>
    <x:row r="486" ht="15" hidden="0" customHeight="1">
      <x:c r="A486" s="43"/>
      <x:c r="B486" s="45"/>
      <x:c r="C486" s="43"/>
      <x:c r="D486" s="43"/>
      <x:c r="E486" s="43"/>
      <x:c r="F486" s="43"/>
      <x:c r="G486" s="43"/>
      <x:c r="H486" s="43"/>
      <x:c r="I486" s="43"/>
      <x:c r="J486" s="43"/>
      <x:c r="K486" s="43"/>
      <x:c r="L486" s="43"/>
      <x:c r="M486" s="43"/>
      <x:c r="N486" s="43"/>
      <x:c r="O486" s="43"/>
      <x:c r="P486" s="43"/>
      <x:c r="Q486" s="43"/>
      <x:c r="R486" s="43"/>
      <x:c r="S486" s="43"/>
      <x:c r="T486" s="43"/>
      <x:c r="U486" s="43"/>
      <x:c r="V486" s="43"/>
      <x:c r="W486" s="43"/>
      <x:c r="X486" s="43"/>
      <x:c r="Y486" s="43"/>
      <x:c r="Z486" s="43"/>
      <x:c r="AA486" s="43"/>
      <x:c r="AB486" s="43"/>
      <x:c r="AC486" s="43"/>
      <x:c r="AD486" s="43"/>
      <x:c r="AE486" s="43"/>
      <x:c r="AF486" s="43"/>
      <x:c r="AG486" s="43"/>
      <x:c r="AH486" s="43"/>
      <x:c r="AI486" s="43"/>
      <x:c r="AJ486" s="43"/>
      <x:c r="AK486" s="43"/>
      <x:c r="AL486" s="43"/>
      <x:c r="AM486" s="43"/>
      <x:c r="AN486" s="43"/>
      <x:c r="AO486" s="43"/>
      <x:c r="AP486" s="43"/>
    </x:row>
    <x:row r="487" ht="15" hidden="0" customHeight="1">
      <x:c r="A487" s="43"/>
      <x:c r="B487" s="45"/>
      <x:c r="C487" s="43"/>
      <x:c r="D487" s="43"/>
      <x:c r="E487" s="43"/>
      <x:c r="F487" s="43"/>
      <x:c r="G487" s="43"/>
      <x:c r="H487" s="43"/>
      <x:c r="I487" s="43"/>
      <x:c r="J487" s="43"/>
      <x:c r="K487" s="43"/>
      <x:c r="L487" s="43"/>
      <x:c r="M487" s="43"/>
      <x:c r="N487" s="43"/>
      <x:c r="O487" s="43"/>
      <x:c r="P487" s="43"/>
      <x:c r="Q487" s="43"/>
      <x:c r="R487" s="43"/>
      <x:c r="S487" s="43"/>
      <x:c r="T487" s="43"/>
      <x:c r="U487" s="43"/>
      <x:c r="V487" s="43"/>
      <x:c r="W487" s="43"/>
      <x:c r="X487" s="43"/>
      <x:c r="Y487" s="43"/>
      <x:c r="Z487" s="43"/>
      <x:c r="AA487" s="43"/>
      <x:c r="AB487" s="43"/>
      <x:c r="AC487" s="43"/>
      <x:c r="AD487" s="43"/>
      <x:c r="AE487" s="43"/>
      <x:c r="AF487" s="43"/>
      <x:c r="AG487" s="43"/>
      <x:c r="AH487" s="43"/>
      <x:c r="AI487" s="43"/>
      <x:c r="AJ487" s="43"/>
      <x:c r="AK487" s="43"/>
      <x:c r="AL487" s="43"/>
      <x:c r="AM487" s="43"/>
      <x:c r="AN487" s="43"/>
      <x:c r="AO487" s="43"/>
      <x:c r="AP487" s="43"/>
    </x:row>
    <x:row r="488" ht="15" hidden="0" customHeight="1">
      <x:c r="A488" s="43"/>
      <x:c r="B488" s="45"/>
      <x:c r="C488" s="43"/>
      <x:c r="D488" s="43"/>
      <x:c r="E488" s="43"/>
      <x:c r="F488" s="43"/>
      <x:c r="G488" s="43"/>
      <x:c r="H488" s="43"/>
      <x:c r="I488" s="43"/>
      <x:c r="J488" s="43"/>
      <x:c r="K488" s="43"/>
      <x:c r="L488" s="43"/>
      <x:c r="M488" s="43"/>
      <x:c r="N488" s="43"/>
      <x:c r="O488" s="43"/>
      <x:c r="P488" s="43"/>
      <x:c r="Q488" s="43"/>
      <x:c r="R488" s="43"/>
      <x:c r="S488" s="43"/>
      <x:c r="T488" s="43"/>
      <x:c r="U488" s="43"/>
      <x:c r="V488" s="43"/>
      <x:c r="W488" s="43"/>
      <x:c r="X488" s="43"/>
      <x:c r="Y488" s="43"/>
      <x:c r="Z488" s="43"/>
      <x:c r="AA488" s="43"/>
      <x:c r="AB488" s="43"/>
      <x:c r="AC488" s="43"/>
      <x:c r="AD488" s="43"/>
      <x:c r="AE488" s="43"/>
      <x:c r="AF488" s="43"/>
      <x:c r="AG488" s="43"/>
      <x:c r="AH488" s="43"/>
      <x:c r="AI488" s="43"/>
      <x:c r="AJ488" s="43"/>
      <x:c r="AK488" s="43"/>
      <x:c r="AL488" s="43"/>
      <x:c r="AM488" s="43"/>
      <x:c r="AN488" s="43"/>
      <x:c r="AO488" s="43"/>
      <x:c r="AP488" s="43"/>
    </x:row>
    <x:row r="489" ht="15" hidden="0" customHeight="1">
      <x:c r="A489" s="43"/>
      <x:c r="B489" s="45"/>
      <x:c r="C489" s="43"/>
      <x:c r="D489" s="43"/>
      <x:c r="E489" s="43"/>
      <x:c r="F489" s="43"/>
      <x:c r="G489" s="43"/>
      <x:c r="H489" s="43"/>
      <x:c r="I489" s="43"/>
      <x:c r="J489" s="43"/>
      <x:c r="K489" s="43"/>
      <x:c r="L489" s="43"/>
      <x:c r="M489" s="43"/>
      <x:c r="N489" s="43"/>
      <x:c r="O489" s="43"/>
      <x:c r="P489" s="43"/>
      <x:c r="Q489" s="43"/>
      <x:c r="R489" s="43"/>
      <x:c r="S489" s="43"/>
      <x:c r="T489" s="43"/>
      <x:c r="U489" s="43"/>
      <x:c r="V489" s="43"/>
      <x:c r="W489" s="43"/>
      <x:c r="X489" s="43"/>
      <x:c r="Y489" s="43"/>
      <x:c r="Z489" s="43"/>
      <x:c r="AA489" s="43"/>
      <x:c r="AB489" s="43"/>
      <x:c r="AC489" s="43"/>
      <x:c r="AD489" s="43"/>
      <x:c r="AE489" s="43"/>
      <x:c r="AF489" s="43"/>
      <x:c r="AG489" s="43"/>
      <x:c r="AH489" s="43"/>
      <x:c r="AI489" s="43"/>
      <x:c r="AJ489" s="43"/>
      <x:c r="AK489" s="43"/>
      <x:c r="AL489" s="43"/>
      <x:c r="AM489" s="43"/>
      <x:c r="AN489" s="43"/>
      <x:c r="AO489" s="43"/>
      <x:c r="AP489" s="43"/>
    </x:row>
    <x:row r="490" ht="15" hidden="0" customHeight="1">
      <x:c r="A490" s="43"/>
      <x:c r="B490" s="45"/>
      <x:c r="C490" s="43"/>
      <x:c r="D490" s="43"/>
      <x:c r="E490" s="43"/>
      <x:c r="F490" s="43"/>
      <x:c r="G490" s="43"/>
      <x:c r="H490" s="43"/>
      <x:c r="I490" s="43"/>
      <x:c r="J490" s="43"/>
      <x:c r="K490" s="43"/>
      <x:c r="L490" s="43"/>
      <x:c r="M490" s="43"/>
      <x:c r="N490" s="43"/>
      <x:c r="O490" s="43"/>
      <x:c r="P490" s="43"/>
      <x:c r="Q490" s="43"/>
      <x:c r="R490" s="43"/>
      <x:c r="S490" s="43"/>
      <x:c r="T490" s="43"/>
      <x:c r="U490" s="43"/>
      <x:c r="V490" s="43"/>
      <x:c r="W490" s="43"/>
      <x:c r="X490" s="43"/>
      <x:c r="Y490" s="43"/>
      <x:c r="Z490" s="43"/>
      <x:c r="AA490" s="43"/>
      <x:c r="AB490" s="43"/>
      <x:c r="AC490" s="43"/>
      <x:c r="AD490" s="43"/>
      <x:c r="AE490" s="43"/>
      <x:c r="AF490" s="43"/>
      <x:c r="AG490" s="43"/>
      <x:c r="AH490" s="43"/>
      <x:c r="AI490" s="43"/>
      <x:c r="AJ490" s="43"/>
      <x:c r="AK490" s="43"/>
      <x:c r="AL490" s="43"/>
      <x:c r="AM490" s="43"/>
      <x:c r="AN490" s="43"/>
      <x:c r="AO490" s="43"/>
      <x:c r="AP490" s="43"/>
    </x:row>
    <x:row r="491" ht="15" hidden="0" customHeight="1">
      <x:c r="A491" s="43"/>
      <x:c r="B491" s="45"/>
      <x:c r="C491" s="43"/>
      <x:c r="D491" s="43"/>
      <x:c r="E491" s="43"/>
      <x:c r="F491" s="43"/>
      <x:c r="G491" s="43"/>
      <x:c r="H491" s="43"/>
      <x:c r="I491" s="43"/>
      <x:c r="J491" s="43"/>
      <x:c r="K491" s="43"/>
      <x:c r="L491" s="43"/>
      <x:c r="M491" s="43"/>
      <x:c r="N491" s="43"/>
      <x:c r="O491" s="43"/>
      <x:c r="P491" s="43"/>
      <x:c r="Q491" s="43"/>
      <x:c r="R491" s="43"/>
      <x:c r="S491" s="43"/>
      <x:c r="T491" s="43"/>
      <x:c r="U491" s="43"/>
      <x:c r="V491" s="43"/>
      <x:c r="W491" s="43"/>
      <x:c r="X491" s="43"/>
      <x:c r="Y491" s="43"/>
      <x:c r="Z491" s="43"/>
      <x:c r="AA491" s="43"/>
      <x:c r="AB491" s="43"/>
      <x:c r="AC491" s="43"/>
      <x:c r="AD491" s="43"/>
      <x:c r="AE491" s="43"/>
      <x:c r="AF491" s="43"/>
      <x:c r="AG491" s="43"/>
      <x:c r="AH491" s="43"/>
      <x:c r="AI491" s="43"/>
      <x:c r="AJ491" s="43"/>
      <x:c r="AK491" s="43"/>
      <x:c r="AL491" s="43"/>
      <x:c r="AM491" s="43"/>
      <x:c r="AN491" s="43"/>
      <x:c r="AO491" s="43"/>
      <x:c r="AP491" s="43"/>
    </x:row>
    <x:row r="492" ht="15" hidden="0" customHeight="1">
      <x:c r="A492" s="43"/>
      <x:c r="B492" s="45"/>
      <x:c r="C492" s="43"/>
      <x:c r="D492" s="43"/>
      <x:c r="E492" s="43"/>
      <x:c r="F492" s="43"/>
      <x:c r="G492" s="43"/>
      <x:c r="H492" s="43"/>
      <x:c r="I492" s="43"/>
      <x:c r="J492" s="43"/>
      <x:c r="K492" s="43"/>
      <x:c r="L492" s="43"/>
      <x:c r="M492" s="43"/>
      <x:c r="N492" s="43"/>
      <x:c r="O492" s="43"/>
      <x:c r="P492" s="43"/>
      <x:c r="Q492" s="43"/>
      <x:c r="R492" s="43"/>
      <x:c r="S492" s="43"/>
      <x:c r="T492" s="43"/>
      <x:c r="U492" s="43"/>
      <x:c r="V492" s="43"/>
      <x:c r="W492" s="43"/>
      <x:c r="X492" s="43"/>
      <x:c r="Y492" s="43"/>
      <x:c r="Z492" s="43"/>
      <x:c r="AA492" s="43"/>
      <x:c r="AB492" s="43"/>
      <x:c r="AC492" s="43"/>
      <x:c r="AD492" s="43"/>
      <x:c r="AE492" s="43"/>
      <x:c r="AF492" s="43"/>
      <x:c r="AG492" s="43"/>
      <x:c r="AH492" s="43"/>
      <x:c r="AI492" s="43"/>
      <x:c r="AJ492" s="43"/>
      <x:c r="AK492" s="43"/>
      <x:c r="AL492" s="43"/>
      <x:c r="AM492" s="43"/>
      <x:c r="AN492" s="43"/>
      <x:c r="AO492" s="43"/>
      <x:c r="AP492" s="43"/>
    </x:row>
    <x:row r="493" ht="15" hidden="0" customHeight="1">
      <x:c r="A493" s="43"/>
      <x:c r="B493" s="45"/>
      <x:c r="C493" s="43"/>
      <x:c r="D493" s="43"/>
      <x:c r="E493" s="43"/>
      <x:c r="F493" s="43"/>
      <x:c r="G493" s="43"/>
      <x:c r="H493" s="43"/>
      <x:c r="I493" s="43"/>
      <x:c r="J493" s="43"/>
      <x:c r="K493" s="43"/>
      <x:c r="L493" s="43"/>
      <x:c r="M493" s="43"/>
      <x:c r="N493" s="43"/>
      <x:c r="O493" s="43"/>
      <x:c r="P493" s="43"/>
      <x:c r="Q493" s="43"/>
      <x:c r="R493" s="43"/>
      <x:c r="S493" s="43"/>
      <x:c r="T493" s="43"/>
      <x:c r="U493" s="43"/>
      <x:c r="V493" s="43"/>
      <x:c r="W493" s="43"/>
      <x:c r="X493" s="43"/>
      <x:c r="Y493" s="43"/>
      <x:c r="Z493" s="43"/>
      <x:c r="AA493" s="43"/>
      <x:c r="AB493" s="43"/>
      <x:c r="AC493" s="43"/>
      <x:c r="AD493" s="43"/>
      <x:c r="AE493" s="43"/>
      <x:c r="AF493" s="43"/>
      <x:c r="AG493" s="43"/>
      <x:c r="AH493" s="43"/>
      <x:c r="AI493" s="43"/>
      <x:c r="AJ493" s="43"/>
      <x:c r="AK493" s="43"/>
      <x:c r="AL493" s="43"/>
      <x:c r="AM493" s="43"/>
      <x:c r="AN493" s="43"/>
      <x:c r="AO493" s="43"/>
      <x:c r="AP493" s="43"/>
    </x:row>
    <x:row r="494" ht="15" hidden="0" customHeight="1">
      <x:c r="A494" s="43"/>
      <x:c r="B494" s="45"/>
      <x:c r="C494" s="43"/>
      <x:c r="D494" s="43"/>
      <x:c r="E494" s="43"/>
      <x:c r="F494" s="43"/>
      <x:c r="G494" s="43"/>
      <x:c r="H494" s="43"/>
      <x:c r="I494" s="43"/>
      <x:c r="J494" s="43"/>
      <x:c r="K494" s="43"/>
      <x:c r="L494" s="43"/>
      <x:c r="M494" s="43"/>
      <x:c r="N494" s="43"/>
      <x:c r="O494" s="43"/>
      <x:c r="P494" s="43"/>
      <x:c r="Q494" s="43"/>
      <x:c r="R494" s="43"/>
      <x:c r="S494" s="43"/>
      <x:c r="T494" s="43"/>
      <x:c r="U494" s="43"/>
      <x:c r="V494" s="43"/>
      <x:c r="W494" s="43"/>
      <x:c r="X494" s="43"/>
      <x:c r="Y494" s="43"/>
      <x:c r="Z494" s="43"/>
      <x:c r="AA494" s="43"/>
      <x:c r="AB494" s="43"/>
      <x:c r="AC494" s="43"/>
      <x:c r="AD494" s="43"/>
      <x:c r="AE494" s="43"/>
      <x:c r="AF494" s="43"/>
      <x:c r="AG494" s="43"/>
      <x:c r="AH494" s="43"/>
      <x:c r="AI494" s="43"/>
      <x:c r="AJ494" s="43"/>
      <x:c r="AK494" s="43"/>
      <x:c r="AL494" s="43"/>
      <x:c r="AM494" s="43"/>
      <x:c r="AN494" s="43"/>
      <x:c r="AO494" s="43"/>
      <x:c r="AP494" s="43"/>
    </x:row>
    <x:row r="495" ht="15" hidden="0" customHeight="1">
      <x:c r="A495" s="43"/>
      <x:c r="B495" s="45"/>
      <x:c r="C495" s="43"/>
      <x:c r="D495" s="43"/>
      <x:c r="E495" s="43"/>
      <x:c r="F495" s="43"/>
      <x:c r="G495" s="43"/>
      <x:c r="H495" s="43"/>
      <x:c r="I495" s="43"/>
      <x:c r="J495" s="43"/>
      <x:c r="K495" s="43"/>
      <x:c r="L495" s="43"/>
      <x:c r="M495" s="43"/>
      <x:c r="N495" s="43"/>
      <x:c r="O495" s="43"/>
      <x:c r="P495" s="43"/>
      <x:c r="Q495" s="43"/>
      <x:c r="R495" s="43"/>
      <x:c r="S495" s="43"/>
      <x:c r="T495" s="43"/>
      <x:c r="U495" s="43"/>
      <x:c r="V495" s="43"/>
      <x:c r="W495" s="43"/>
      <x:c r="X495" s="43"/>
      <x:c r="Y495" s="43"/>
      <x:c r="Z495" s="43"/>
      <x:c r="AA495" s="43"/>
      <x:c r="AB495" s="43"/>
      <x:c r="AC495" s="43"/>
      <x:c r="AD495" s="43"/>
      <x:c r="AE495" s="43"/>
      <x:c r="AF495" s="43"/>
      <x:c r="AG495" s="43"/>
      <x:c r="AH495" s="43"/>
      <x:c r="AI495" s="43"/>
      <x:c r="AJ495" s="43"/>
      <x:c r="AK495" s="43"/>
      <x:c r="AL495" s="43"/>
      <x:c r="AM495" s="43"/>
      <x:c r="AN495" s="43"/>
      <x:c r="AO495" s="43"/>
      <x:c r="AP495" s="43"/>
    </x:row>
    <x:row r="496" ht="15" hidden="0" customHeight="1">
      <x:c r="A496" s="43"/>
      <x:c r="B496" s="45"/>
      <x:c r="C496" s="43"/>
      <x:c r="D496" s="43"/>
      <x:c r="E496" s="43"/>
      <x:c r="F496" s="43"/>
      <x:c r="G496" s="43"/>
      <x:c r="H496" s="43"/>
      <x:c r="I496" s="43"/>
      <x:c r="J496" s="43"/>
      <x:c r="K496" s="43"/>
      <x:c r="L496" s="43"/>
      <x:c r="M496" s="43"/>
      <x:c r="N496" s="43"/>
      <x:c r="O496" s="43"/>
      <x:c r="P496" s="43"/>
      <x:c r="Q496" s="43"/>
      <x:c r="R496" s="43"/>
      <x:c r="S496" s="43"/>
      <x:c r="T496" s="43"/>
      <x:c r="U496" s="43"/>
      <x:c r="V496" s="43"/>
      <x:c r="W496" s="43"/>
      <x:c r="X496" s="43"/>
      <x:c r="Y496" s="43"/>
      <x:c r="Z496" s="43"/>
      <x:c r="AA496" s="43"/>
      <x:c r="AB496" s="43"/>
      <x:c r="AC496" s="43"/>
      <x:c r="AD496" s="43"/>
      <x:c r="AE496" s="43"/>
      <x:c r="AF496" s="43"/>
      <x:c r="AG496" s="43"/>
      <x:c r="AH496" s="43"/>
      <x:c r="AI496" s="43"/>
      <x:c r="AJ496" s="43"/>
      <x:c r="AK496" s="43"/>
      <x:c r="AL496" s="43"/>
      <x:c r="AM496" s="43"/>
      <x:c r="AN496" s="43"/>
      <x:c r="AO496" s="43"/>
      <x:c r="AP496" s="43"/>
    </x:row>
    <x:row r="497" ht="15" hidden="0" customHeight="1">
      <x:c r="A497" s="43"/>
      <x:c r="B497" s="45"/>
      <x:c r="C497" s="43"/>
      <x:c r="D497" s="43"/>
      <x:c r="E497" s="43"/>
      <x:c r="F497" s="43"/>
      <x:c r="G497" s="43"/>
      <x:c r="H497" s="43"/>
      <x:c r="I497" s="43"/>
      <x:c r="J497" s="43"/>
      <x:c r="K497" s="43"/>
      <x:c r="L497" s="43"/>
      <x:c r="M497" s="43"/>
      <x:c r="N497" s="43"/>
      <x:c r="O497" s="43"/>
      <x:c r="P497" s="43"/>
      <x:c r="Q497" s="43"/>
      <x:c r="R497" s="43"/>
      <x:c r="S497" s="43"/>
      <x:c r="T497" s="43"/>
      <x:c r="U497" s="43"/>
      <x:c r="V497" s="43"/>
      <x:c r="W497" s="43"/>
      <x:c r="X497" s="43"/>
      <x:c r="Y497" s="43"/>
      <x:c r="Z497" s="43"/>
      <x:c r="AA497" s="43"/>
      <x:c r="AB497" s="43"/>
      <x:c r="AC497" s="43"/>
      <x:c r="AD497" s="43"/>
      <x:c r="AE497" s="43"/>
      <x:c r="AF497" s="43"/>
      <x:c r="AG497" s="43"/>
      <x:c r="AH497" s="43"/>
      <x:c r="AI497" s="43"/>
      <x:c r="AJ497" s="43"/>
      <x:c r="AK497" s="43"/>
      <x:c r="AL497" s="43"/>
      <x:c r="AM497" s="43"/>
      <x:c r="AN497" s="43"/>
      <x:c r="AO497" s="43"/>
      <x:c r="AP497" s="43"/>
    </x:row>
    <x:row r="498" ht="15" hidden="0" customHeight="1">
      <x:c r="A498" s="43"/>
      <x:c r="B498" s="45"/>
      <x:c r="C498" s="43"/>
      <x:c r="D498" s="43"/>
      <x:c r="E498" s="43"/>
      <x:c r="F498" s="43"/>
      <x:c r="G498" s="43"/>
      <x:c r="H498" s="43"/>
      <x:c r="I498" s="43"/>
      <x:c r="J498" s="43"/>
      <x:c r="K498" s="43"/>
      <x:c r="L498" s="43"/>
      <x:c r="M498" s="43"/>
      <x:c r="N498" s="43"/>
      <x:c r="O498" s="43"/>
      <x:c r="P498" s="43"/>
      <x:c r="Q498" s="43"/>
      <x:c r="R498" s="43"/>
      <x:c r="S498" s="43"/>
      <x:c r="T498" s="43"/>
      <x:c r="U498" s="43"/>
      <x:c r="V498" s="43"/>
      <x:c r="W498" s="43"/>
      <x:c r="X498" s="43"/>
      <x:c r="Y498" s="43"/>
      <x:c r="Z498" s="43"/>
      <x:c r="AA498" s="43"/>
      <x:c r="AB498" s="43"/>
      <x:c r="AC498" s="43"/>
      <x:c r="AD498" s="43"/>
      <x:c r="AE498" s="43"/>
      <x:c r="AF498" s="43"/>
      <x:c r="AG498" s="43"/>
      <x:c r="AH498" s="43"/>
      <x:c r="AI498" s="43"/>
      <x:c r="AJ498" s="43"/>
      <x:c r="AK498" s="43"/>
      <x:c r="AL498" s="43"/>
      <x:c r="AM498" s="43"/>
      <x:c r="AN498" s="43"/>
      <x:c r="AO498" s="43"/>
      <x:c r="AP498" s="43"/>
    </x:row>
    <x:row r="499" ht="15" hidden="0" customHeight="1">
      <x:c r="A499" s="43"/>
      <x:c r="B499" s="45"/>
      <x:c r="C499" s="43"/>
      <x:c r="D499" s="43"/>
      <x:c r="E499" s="43"/>
      <x:c r="F499" s="43"/>
      <x:c r="G499" s="43"/>
      <x:c r="H499" s="43"/>
      <x:c r="I499" s="43"/>
      <x:c r="J499" s="43"/>
      <x:c r="K499" s="43"/>
      <x:c r="L499" s="43"/>
      <x:c r="M499" s="43"/>
      <x:c r="N499" s="43"/>
      <x:c r="O499" s="43"/>
      <x:c r="P499" s="43"/>
      <x:c r="Q499" s="43"/>
      <x:c r="R499" s="43"/>
      <x:c r="S499" s="43"/>
      <x:c r="T499" s="43"/>
      <x:c r="U499" s="43"/>
      <x:c r="V499" s="43"/>
      <x:c r="W499" s="43"/>
      <x:c r="X499" s="43"/>
      <x:c r="Y499" s="43"/>
      <x:c r="Z499" s="43"/>
      <x:c r="AA499" s="43"/>
      <x:c r="AB499" s="43"/>
      <x:c r="AC499" s="43"/>
      <x:c r="AD499" s="43"/>
      <x:c r="AE499" s="43"/>
      <x:c r="AF499" s="43"/>
      <x:c r="AG499" s="43"/>
      <x:c r="AH499" s="43"/>
      <x:c r="AI499" s="43"/>
      <x:c r="AJ499" s="43"/>
      <x:c r="AK499" s="43"/>
      <x:c r="AL499" s="43"/>
      <x:c r="AM499" s="43"/>
      <x:c r="AN499" s="43"/>
      <x:c r="AO499" s="43"/>
      <x:c r="AP499" s="43"/>
    </x:row>
    <x:row r="500" ht="15" hidden="0" customHeight="1">
      <x:c r="A500" s="43"/>
      <x:c r="B500" s="45"/>
      <x:c r="C500" s="43"/>
      <x:c r="D500" s="43"/>
      <x:c r="E500" s="43"/>
      <x:c r="F500" s="43"/>
      <x:c r="G500" s="43"/>
      <x:c r="H500" s="43"/>
      <x:c r="I500" s="43"/>
      <x:c r="J500" s="43"/>
      <x:c r="K500" s="43"/>
      <x:c r="L500" s="43"/>
      <x:c r="M500" s="43"/>
      <x:c r="N500" s="43"/>
      <x:c r="O500" s="43"/>
      <x:c r="P500" s="43"/>
      <x:c r="Q500" s="43"/>
      <x:c r="R500" s="43"/>
      <x:c r="S500" s="43"/>
      <x:c r="T500" s="43"/>
      <x:c r="U500" s="43"/>
      <x:c r="V500" s="43"/>
      <x:c r="W500" s="43"/>
      <x:c r="X500" s="43"/>
      <x:c r="Y500" s="43"/>
      <x:c r="Z500" s="43"/>
      <x:c r="AA500" s="43"/>
      <x:c r="AB500" s="43"/>
      <x:c r="AC500" s="43"/>
      <x:c r="AD500" s="43"/>
      <x:c r="AE500" s="43"/>
      <x:c r="AF500" s="43"/>
      <x:c r="AG500" s="43"/>
      <x:c r="AH500" s="43"/>
      <x:c r="AI500" s="43"/>
      <x:c r="AJ500" s="43"/>
      <x:c r="AK500" s="43"/>
      <x:c r="AL500" s="43"/>
      <x:c r="AM500" s="43"/>
      <x:c r="AN500" s="43"/>
      <x:c r="AO500" s="43"/>
      <x:c r="AP500" s="43"/>
    </x:row>
    <x:row r="501" ht="15" hidden="0" customHeight="1">
      <x:c r="A501" s="43"/>
      <x:c r="B501" s="45"/>
      <x:c r="C501" s="43"/>
      <x:c r="D501" s="43"/>
      <x:c r="E501" s="43"/>
      <x:c r="F501" s="43"/>
      <x:c r="G501" s="43"/>
      <x:c r="H501" s="43"/>
      <x:c r="I501" s="43"/>
      <x:c r="J501" s="43"/>
      <x:c r="K501" s="43"/>
      <x:c r="L501" s="43"/>
      <x:c r="M501" s="43"/>
      <x:c r="N501" s="43"/>
      <x:c r="O501" s="43"/>
      <x:c r="P501" s="43"/>
      <x:c r="Q501" s="43"/>
      <x:c r="R501" s="43"/>
      <x:c r="S501" s="43"/>
      <x:c r="T501" s="43"/>
      <x:c r="U501" s="43"/>
      <x:c r="V501" s="43"/>
      <x:c r="W501" s="43"/>
      <x:c r="X501" s="43"/>
      <x:c r="Y501" s="43"/>
      <x:c r="Z501" s="43"/>
      <x:c r="AA501" s="43"/>
      <x:c r="AB501" s="43"/>
      <x:c r="AC501" s="43"/>
      <x:c r="AD501" s="43"/>
      <x:c r="AE501" s="43"/>
      <x:c r="AF501" s="43"/>
      <x:c r="AG501" s="43"/>
      <x:c r="AH501" s="43"/>
      <x:c r="AI501" s="43"/>
      <x:c r="AJ501" s="43"/>
      <x:c r="AK501" s="43"/>
      <x:c r="AL501" s="43"/>
      <x:c r="AM501" s="43"/>
      <x:c r="AN501" s="43"/>
      <x:c r="AO501" s="43"/>
      <x:c r="AP501" s="43"/>
    </x:row>
    <x:row r="502" ht="15" hidden="0" customHeight="1">
      <x:c r="A502" s="43"/>
      <x:c r="B502" s="45"/>
      <x:c r="C502" s="43"/>
      <x:c r="D502" s="43"/>
      <x:c r="E502" s="43"/>
      <x:c r="F502" s="43"/>
      <x:c r="G502" s="43"/>
      <x:c r="H502" s="43"/>
      <x:c r="I502" s="43"/>
      <x:c r="J502" s="43"/>
      <x:c r="K502" s="43"/>
      <x:c r="L502" s="43"/>
      <x:c r="M502" s="43"/>
      <x:c r="N502" s="43"/>
      <x:c r="O502" s="43"/>
      <x:c r="P502" s="43"/>
      <x:c r="Q502" s="43"/>
      <x:c r="R502" s="43"/>
      <x:c r="S502" s="43"/>
      <x:c r="T502" s="43"/>
      <x:c r="U502" s="43"/>
      <x:c r="V502" s="43"/>
      <x:c r="W502" s="43"/>
      <x:c r="X502" s="43"/>
      <x:c r="Y502" s="43"/>
      <x:c r="Z502" s="43"/>
      <x:c r="AA502" s="43"/>
      <x:c r="AB502" s="43"/>
      <x:c r="AC502" s="43"/>
      <x:c r="AD502" s="43"/>
      <x:c r="AE502" s="43"/>
      <x:c r="AF502" s="43"/>
      <x:c r="AG502" s="43"/>
      <x:c r="AH502" s="43"/>
      <x:c r="AI502" s="43"/>
      <x:c r="AJ502" s="43"/>
      <x:c r="AK502" s="43"/>
      <x:c r="AL502" s="43"/>
      <x:c r="AM502" s="43"/>
      <x:c r="AN502" s="43"/>
      <x:c r="AO502" s="43"/>
      <x:c r="AP502" s="43"/>
    </x:row>
    <x:row r="503" ht="15" hidden="0" customHeight="1">
      <x:c r="A503" s="43"/>
      <x:c r="B503" s="45"/>
      <x:c r="C503" s="43"/>
      <x:c r="D503" s="43"/>
      <x:c r="E503" s="43"/>
      <x:c r="F503" s="43"/>
      <x:c r="G503" s="43"/>
      <x:c r="H503" s="43"/>
      <x:c r="I503" s="43"/>
      <x:c r="J503" s="43"/>
      <x:c r="K503" s="43"/>
      <x:c r="L503" s="43"/>
      <x:c r="M503" s="43"/>
      <x:c r="N503" s="43"/>
      <x:c r="O503" s="43"/>
      <x:c r="P503" s="43"/>
      <x:c r="Q503" s="43"/>
      <x:c r="R503" s="43"/>
      <x:c r="S503" s="43"/>
      <x:c r="T503" s="43"/>
      <x:c r="U503" s="43"/>
      <x:c r="V503" s="43"/>
      <x:c r="W503" s="43"/>
      <x:c r="X503" s="43"/>
      <x:c r="Y503" s="43"/>
      <x:c r="Z503" s="43"/>
      <x:c r="AA503" s="43"/>
      <x:c r="AB503" s="43"/>
      <x:c r="AC503" s="43"/>
      <x:c r="AD503" s="43"/>
      <x:c r="AE503" s="43"/>
      <x:c r="AF503" s="43"/>
      <x:c r="AG503" s="43"/>
      <x:c r="AH503" s="43"/>
      <x:c r="AI503" s="43"/>
      <x:c r="AJ503" s="43"/>
      <x:c r="AK503" s="43"/>
      <x:c r="AL503" s="43"/>
      <x:c r="AM503" s="43"/>
      <x:c r="AN503" s="43"/>
      <x:c r="AO503" s="43"/>
      <x:c r="AP503" s="43"/>
    </x:row>
    <x:row r="504" ht="15" hidden="0" customHeight="1">
      <x:c r="A504" s="43"/>
      <x:c r="B504" s="45"/>
      <x:c r="C504" s="43"/>
      <x:c r="D504" s="43"/>
      <x:c r="E504" s="43"/>
      <x:c r="F504" s="43"/>
      <x:c r="G504" s="43"/>
      <x:c r="H504" s="43"/>
      <x:c r="I504" s="43"/>
      <x:c r="J504" s="43"/>
      <x:c r="K504" s="43"/>
      <x:c r="L504" s="43"/>
      <x:c r="M504" s="43"/>
      <x:c r="N504" s="43"/>
      <x:c r="O504" s="43"/>
      <x:c r="P504" s="43"/>
      <x:c r="Q504" s="43"/>
      <x:c r="R504" s="43"/>
      <x:c r="S504" s="43"/>
      <x:c r="T504" s="43"/>
      <x:c r="U504" s="43"/>
      <x:c r="V504" s="43"/>
      <x:c r="W504" s="43"/>
      <x:c r="X504" s="43"/>
      <x:c r="Y504" s="43"/>
      <x:c r="Z504" s="43"/>
      <x:c r="AA504" s="43"/>
      <x:c r="AB504" s="43"/>
      <x:c r="AC504" s="43"/>
      <x:c r="AD504" s="43"/>
      <x:c r="AE504" s="43"/>
      <x:c r="AF504" s="43"/>
      <x:c r="AG504" s="43"/>
      <x:c r="AH504" s="43"/>
      <x:c r="AI504" s="43"/>
      <x:c r="AJ504" s="43"/>
      <x:c r="AK504" s="43"/>
      <x:c r="AL504" s="43"/>
      <x:c r="AM504" s="43"/>
      <x:c r="AN504" s="43"/>
      <x:c r="AO504" s="43"/>
      <x:c r="AP504" s="43"/>
    </x:row>
    <x:row r="505" ht="15" hidden="0" customHeight="1">
      <x:c r="A505" s="43"/>
      <x:c r="B505" s="45"/>
      <x:c r="C505" s="43"/>
      <x:c r="D505" s="43"/>
      <x:c r="E505" s="43"/>
      <x:c r="F505" s="43"/>
      <x:c r="G505" s="43"/>
      <x:c r="H505" s="43"/>
      <x:c r="I505" s="43"/>
      <x:c r="J505" s="43"/>
      <x:c r="K505" s="43"/>
      <x:c r="L505" s="43"/>
      <x:c r="M505" s="43"/>
      <x:c r="N505" s="43"/>
      <x:c r="O505" s="43"/>
      <x:c r="P505" s="43"/>
      <x:c r="Q505" s="43"/>
      <x:c r="R505" s="43"/>
      <x:c r="S505" s="43"/>
      <x:c r="T505" s="43"/>
      <x:c r="U505" s="43"/>
      <x:c r="V505" s="43"/>
      <x:c r="W505" s="43"/>
      <x:c r="X505" s="43"/>
      <x:c r="Y505" s="43"/>
      <x:c r="Z505" s="43"/>
      <x:c r="AA505" s="43"/>
      <x:c r="AB505" s="43"/>
      <x:c r="AC505" s="43"/>
      <x:c r="AD505" s="43"/>
      <x:c r="AE505" s="43"/>
      <x:c r="AF505" s="43"/>
      <x:c r="AG505" s="43"/>
      <x:c r="AH505" s="43"/>
      <x:c r="AI505" s="43"/>
      <x:c r="AJ505" s="43"/>
      <x:c r="AK505" s="43"/>
      <x:c r="AL505" s="43"/>
      <x:c r="AM505" s="43"/>
      <x:c r="AN505" s="43"/>
      <x:c r="AO505" s="43"/>
      <x:c r="AP505" s="43"/>
    </x:row>
    <x:row r="506" ht="15" hidden="0" customHeight="1">
      <x:c r="A506" s="43"/>
      <x:c r="B506" s="45"/>
      <x:c r="C506" s="43"/>
      <x:c r="D506" s="43"/>
      <x:c r="E506" s="43"/>
      <x:c r="F506" s="43"/>
      <x:c r="G506" s="43"/>
      <x:c r="H506" s="43"/>
      <x:c r="I506" s="43"/>
      <x:c r="J506" s="43"/>
      <x:c r="K506" s="43"/>
      <x:c r="L506" s="43"/>
      <x:c r="M506" s="43"/>
      <x:c r="N506" s="43"/>
      <x:c r="O506" s="43"/>
      <x:c r="P506" s="43"/>
      <x:c r="Q506" s="43"/>
      <x:c r="R506" s="43"/>
      <x:c r="S506" s="43"/>
      <x:c r="T506" s="43"/>
      <x:c r="U506" s="43"/>
      <x:c r="V506" s="43"/>
      <x:c r="W506" s="43"/>
      <x:c r="X506" s="43"/>
      <x:c r="Y506" s="43"/>
      <x:c r="Z506" s="43"/>
      <x:c r="AA506" s="43"/>
      <x:c r="AB506" s="43"/>
      <x:c r="AC506" s="43"/>
      <x:c r="AD506" s="43"/>
      <x:c r="AE506" s="43"/>
      <x:c r="AF506" s="43"/>
      <x:c r="AG506" s="43"/>
      <x:c r="AH506" s="43"/>
      <x:c r="AI506" s="43"/>
      <x:c r="AJ506" s="43"/>
      <x:c r="AK506" s="43"/>
      <x:c r="AL506" s="43"/>
      <x:c r="AM506" s="43"/>
      <x:c r="AN506" s="43"/>
      <x:c r="AO506" s="43"/>
      <x:c r="AP506" s="43"/>
    </x:row>
    <x:row r="507" ht="15" hidden="0" customHeight="1">
      <x:c r="A507" s="43"/>
      <x:c r="B507" s="45"/>
      <x:c r="C507" s="43"/>
      <x:c r="D507" s="43"/>
      <x:c r="E507" s="43"/>
      <x:c r="F507" s="43"/>
      <x:c r="G507" s="43"/>
      <x:c r="H507" s="43"/>
      <x:c r="I507" s="43"/>
      <x:c r="J507" s="43"/>
      <x:c r="K507" s="43"/>
      <x:c r="L507" s="43"/>
      <x:c r="M507" s="43"/>
      <x:c r="N507" s="43"/>
      <x:c r="O507" s="43"/>
      <x:c r="P507" s="43"/>
      <x:c r="Q507" s="43"/>
      <x:c r="R507" s="43"/>
      <x:c r="S507" s="43"/>
      <x:c r="T507" s="43"/>
      <x:c r="U507" s="43"/>
      <x:c r="V507" s="43"/>
      <x:c r="W507" s="43"/>
      <x:c r="X507" s="43"/>
      <x:c r="Y507" s="43"/>
      <x:c r="Z507" s="43"/>
      <x:c r="AA507" s="43"/>
      <x:c r="AB507" s="43"/>
      <x:c r="AC507" s="43"/>
      <x:c r="AD507" s="43"/>
      <x:c r="AE507" s="43"/>
      <x:c r="AF507" s="43"/>
      <x:c r="AG507" s="43"/>
      <x:c r="AH507" s="43"/>
      <x:c r="AI507" s="43"/>
      <x:c r="AJ507" s="43"/>
      <x:c r="AK507" s="43"/>
      <x:c r="AL507" s="43"/>
      <x:c r="AM507" s="43"/>
      <x:c r="AN507" s="43"/>
      <x:c r="AO507" s="43"/>
      <x:c r="AP507" s="43"/>
    </x:row>
    <x:row r="508" ht="15" hidden="0" customHeight="1">
      <x:c r="A508" s="43"/>
      <x:c r="B508" s="45"/>
      <x:c r="C508" s="43"/>
      <x:c r="D508" s="43"/>
      <x:c r="E508" s="43"/>
      <x:c r="F508" s="43"/>
      <x:c r="G508" s="43"/>
      <x:c r="H508" s="43"/>
      <x:c r="I508" s="43"/>
      <x:c r="J508" s="43"/>
      <x:c r="K508" s="43"/>
      <x:c r="L508" s="43"/>
      <x:c r="M508" s="43"/>
      <x:c r="N508" s="43"/>
      <x:c r="O508" s="43"/>
      <x:c r="P508" s="43"/>
      <x:c r="Q508" s="43"/>
      <x:c r="R508" s="43"/>
      <x:c r="S508" s="43"/>
      <x:c r="T508" s="43"/>
      <x:c r="U508" s="43"/>
      <x:c r="V508" s="43"/>
      <x:c r="W508" s="43"/>
      <x:c r="X508" s="43"/>
      <x:c r="Y508" s="43"/>
      <x:c r="Z508" s="43"/>
      <x:c r="AA508" s="43"/>
      <x:c r="AB508" s="43"/>
      <x:c r="AC508" s="43"/>
      <x:c r="AD508" s="43"/>
      <x:c r="AE508" s="43"/>
      <x:c r="AF508" s="43"/>
      <x:c r="AG508" s="43"/>
      <x:c r="AH508" s="43"/>
      <x:c r="AI508" s="43"/>
      <x:c r="AJ508" s="43"/>
      <x:c r="AK508" s="43"/>
      <x:c r="AL508" s="43"/>
      <x:c r="AM508" s="43"/>
      <x:c r="AN508" s="43"/>
      <x:c r="AO508" s="43"/>
      <x:c r="AP508" s="43"/>
    </x:row>
    <x:row r="509" ht="15" hidden="0" customHeight="1">
      <x:c r="A509" s="43"/>
      <x:c r="B509" s="45"/>
      <x:c r="C509" s="43"/>
      <x:c r="D509" s="43"/>
      <x:c r="E509" s="43"/>
      <x:c r="F509" s="43"/>
      <x:c r="G509" s="43"/>
      <x:c r="H509" s="43"/>
      <x:c r="I509" s="43"/>
      <x:c r="J509" s="43"/>
      <x:c r="K509" s="43"/>
      <x:c r="L509" s="43"/>
      <x:c r="M509" s="43"/>
      <x:c r="N509" s="43"/>
      <x:c r="O509" s="43"/>
      <x:c r="P509" s="43"/>
      <x:c r="Q509" s="43"/>
      <x:c r="R509" s="43"/>
      <x:c r="S509" s="43"/>
      <x:c r="T509" s="43"/>
      <x:c r="U509" s="43"/>
      <x:c r="V509" s="43"/>
      <x:c r="W509" s="43"/>
      <x:c r="X509" s="43"/>
      <x:c r="Y509" s="43"/>
      <x:c r="Z509" s="43"/>
      <x:c r="AA509" s="43"/>
      <x:c r="AB509" s="43"/>
      <x:c r="AC509" s="43"/>
      <x:c r="AD509" s="43"/>
      <x:c r="AE509" s="43"/>
      <x:c r="AF509" s="43"/>
      <x:c r="AG509" s="43"/>
      <x:c r="AH509" s="43"/>
      <x:c r="AI509" s="43"/>
      <x:c r="AJ509" s="43"/>
      <x:c r="AK509" s="43"/>
      <x:c r="AL509" s="43"/>
      <x:c r="AM509" s="43"/>
      <x:c r="AN509" s="43"/>
      <x:c r="AO509" s="43"/>
      <x:c r="AP509" s="43"/>
    </x:row>
  </x:sheetData>
  <x:pageMargins left="0.7" right="0.7" top="0.75" bottom="0.75" header="0.3" footer="0.3"/>
  <x:tableParts count="1">
    <x:tablePart xmlns:r="http://schemas.openxmlformats.org/officeDocument/2006/relationships" r:id="Rec11edcc2b2c4dd9"/>
  </x:tableParts>
</x:worksheet>
</file>